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xports/"/>
    </mc:Choice>
  </mc:AlternateContent>
  <xr:revisionPtr revIDLastSave="9" documentId="11_FE0DE49D5997E1C2D02C6CE505174223F0C8DEC8" xr6:coauthVersionLast="47" xr6:coauthVersionMax="47" xr10:uidLastSave="{82636E11-9A83-1B43-AD40-DA071C23EE66}"/>
  <bookViews>
    <workbookView xWindow="0" yWindow="760" windowWidth="34560" windowHeight="20400" activeTab="1" xr2:uid="{00000000-000D-0000-FFFF-FFFF00000000}"/>
  </bookViews>
  <sheets>
    <sheet name="Dashboard" sheetId="2" r:id="rId1"/>
    <sheet name="Zoek Woning" sheetId="3" r:id="rId2"/>
    <sheet name="Print Kaart" sheetId="4" r:id="rId3"/>
    <sheet name="Contacten" sheetId="5" r:id="rId4"/>
    <sheet name="Tijdlijn" sheetId="6" r:id="rId5"/>
    <sheet name="Financieel" sheetId="7" r:id="rId6"/>
    <sheet name="Data" sheetId="1" r:id="rId7"/>
  </sheets>
  <definedNames>
    <definedName name="_xlnm.Print_Area" localSheetId="2">'Print Kaart'!$A$1:$F$36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B32" i="3"/>
  <c r="B31" i="3"/>
  <c r="B34" i="4" s="1"/>
  <c r="B30" i="3"/>
  <c r="B33" i="4" s="1"/>
  <c r="B29" i="3"/>
  <c r="B32" i="4" s="1"/>
  <c r="B26" i="3"/>
  <c r="B25" i="4" s="1"/>
  <c r="B25" i="3"/>
  <c r="D24" i="4" s="1"/>
  <c r="B24" i="3"/>
  <c r="B24" i="4" s="1"/>
  <c r="E21" i="3"/>
  <c r="B21" i="3"/>
  <c r="E20" i="3"/>
  <c r="D23" i="4" s="1"/>
  <c r="B20" i="3"/>
  <c r="B23" i="4" s="1"/>
  <c r="E19" i="3"/>
  <c r="D29" i="4" s="1"/>
  <c r="B19" i="3"/>
  <c r="D28" i="4" s="1"/>
  <c r="E18" i="3"/>
  <c r="B29" i="4" s="1"/>
  <c r="B18" i="3"/>
  <c r="B28" i="4" s="1"/>
  <c r="E16" i="3"/>
  <c r="E15" i="3"/>
  <c r="B20" i="4" s="1"/>
  <c r="B15" i="3"/>
  <c r="E14" i="3"/>
  <c r="B14" i="3"/>
  <c r="E3" i="4" s="1"/>
  <c r="E13" i="3"/>
  <c r="B18" i="4" s="1"/>
  <c r="B13" i="3"/>
  <c r="D10" i="4" s="1"/>
  <c r="B12" i="3"/>
  <c r="B10" i="4" s="1"/>
  <c r="B11" i="3"/>
  <c r="D9" i="4" s="1"/>
  <c r="E10" i="3"/>
  <c r="B10" i="3"/>
  <c r="B9" i="4" s="1"/>
  <c r="E9" i="3"/>
  <c r="B9" i="3"/>
  <c r="D8" i="4" s="1"/>
  <c r="E8" i="3"/>
  <c r="B15" i="4" s="1"/>
  <c r="B8" i="3"/>
  <c r="B8" i="4" s="1"/>
  <c r="E7" i="3"/>
  <c r="B14" i="4" s="1"/>
  <c r="B7" i="3"/>
  <c r="B4" i="4" s="1"/>
  <c r="E6" i="3"/>
  <c r="B13" i="4" s="1"/>
  <c r="B6" i="3"/>
  <c r="B3" i="4" s="1"/>
</calcChain>
</file>

<file path=xl/sharedStrings.xml><?xml version="1.0" encoding="utf-8"?>
<sst xmlns="http://schemas.openxmlformats.org/spreadsheetml/2006/main" count="15442" uniqueCount="3278">
  <si>
    <t>object_id</t>
  </si>
  <si>
    <t>house_id</t>
  </si>
  <si>
    <t>adres</t>
  </si>
  <si>
    <t>postcode</t>
  </si>
  <si>
    <t>plaats</t>
  </si>
  <si>
    <t>woning_type</t>
  </si>
  <si>
    <t>oppervlakte_m2</t>
  </si>
  <si>
    <t>aantal_slaapkamers</t>
  </si>
  <si>
    <t>capaciteit_personen</t>
  </si>
  <si>
    <t>huis_actief</t>
  </si>
  <si>
    <t>facturatie_type</t>
  </si>
  <si>
    <t>kluis_code_1</t>
  </si>
  <si>
    <t>kluis_code_2</t>
  </si>
  <si>
    <t>meterbeheerder</t>
  </si>
  <si>
    <t>gwe_leverancier</t>
  </si>
  <si>
    <t>sharepoint_folder</t>
  </si>
  <si>
    <t>sharepoint_inhuur</t>
  </si>
  <si>
    <t>sharepoint_verhuur</t>
  </si>
  <si>
    <t>sharepoint_inhuur_overeenkomsten</t>
  </si>
  <si>
    <t>borg_standaard</t>
  </si>
  <si>
    <t>voorschot_gwe_standaard</t>
  </si>
  <si>
    <t>voorschot_schoonmaak_standaard</t>
  </si>
  <si>
    <t>eigenaar_id</t>
  </si>
  <si>
    <t>eigenaar_naam</t>
  </si>
  <si>
    <t>eigenaar_type</t>
  </si>
  <si>
    <t>eigenaar_contactpersoon</t>
  </si>
  <si>
    <t>eigenaar_email</t>
  </si>
  <si>
    <t>eigenaar_telefoon</t>
  </si>
  <si>
    <t>eigenaar_adres</t>
  </si>
  <si>
    <t>eigenaar_postcode</t>
  </si>
  <si>
    <t>eigenaar_plaats</t>
  </si>
  <si>
    <t>eigenaar_land</t>
  </si>
  <si>
    <t>eigenaar_kvk</t>
  </si>
  <si>
    <t>eigenaar_btw</t>
  </si>
  <si>
    <t>eigenaar_iban</t>
  </si>
  <si>
    <t>inhuur_contract_id</t>
  </si>
  <si>
    <t>inhuur_start</t>
  </si>
  <si>
    <t>inhuur_eind</t>
  </si>
  <si>
    <t>inhuur_status</t>
  </si>
  <si>
    <t>inhuur_min_duur</t>
  </si>
  <si>
    <t>inhuur_opzegtermijn</t>
  </si>
  <si>
    <t>inhuur_hovk</t>
  </si>
  <si>
    <t>inhuur_rechtsvorm</t>
  </si>
  <si>
    <t>inhuur_contract_link</t>
  </si>
  <si>
    <t>inhuur_notities</t>
  </si>
  <si>
    <t>inhuur_kale_huur</t>
  </si>
  <si>
    <t>inhuur_totaal_excl_btw</t>
  </si>
  <si>
    <t>inhuur_totaal_incl_btw</t>
  </si>
  <si>
    <t>inhuur_btw_percentage</t>
  </si>
  <si>
    <t>inhuur_borg</t>
  </si>
  <si>
    <t>inhuur_voorschot_gwe</t>
  </si>
  <si>
    <t>inhuur_vve_kosten</t>
  </si>
  <si>
    <t>inhuur_overige_kosten</t>
  </si>
  <si>
    <t>inhuur_internet_kosten</t>
  </si>
  <si>
    <t>huurder_id</t>
  </si>
  <si>
    <t>huurder_naam</t>
  </si>
  <si>
    <t>huurder_type</t>
  </si>
  <si>
    <t>huurder_contactpersoon</t>
  </si>
  <si>
    <t>huurder_email</t>
  </si>
  <si>
    <t>huurder_telefoon</t>
  </si>
  <si>
    <t>huurder_adres</t>
  </si>
  <si>
    <t>huurder_postcode</t>
  </si>
  <si>
    <t>huurder_plaats</t>
  </si>
  <si>
    <t>huurder_land</t>
  </si>
  <si>
    <t>huurder_kvk</t>
  </si>
  <si>
    <t>huurder_btw</t>
  </si>
  <si>
    <t>huurder_iban</t>
  </si>
  <si>
    <t>huurder_marge_max</t>
  </si>
  <si>
    <t>verhuur_contract_id</t>
  </si>
  <si>
    <t>verhuur_start</t>
  </si>
  <si>
    <t>verhuur_eind</t>
  </si>
  <si>
    <t>verhuur_duur_maanden</t>
  </si>
  <si>
    <t>verhuur_contract_type</t>
  </si>
  <si>
    <t>verhuur_status</t>
  </si>
  <si>
    <t>verhuur_kale_huur</t>
  </si>
  <si>
    <t>verhuur_totaal_excl_btw</t>
  </si>
  <si>
    <t>verhuur_totaal_incl_btw</t>
  </si>
  <si>
    <t>verhuur_btw_percentage</t>
  </si>
  <si>
    <t>verhuur_voorschot_gwe</t>
  </si>
  <si>
    <t>verhuur_overige_kosten</t>
  </si>
  <si>
    <t>verhuur_eindschoonmaak</t>
  </si>
  <si>
    <t>verhuur_borg</t>
  </si>
  <si>
    <t>gwe_verantwoordelijk</t>
  </si>
  <si>
    <t>incl_stoffering</t>
  </si>
  <si>
    <t>incl_meubilering</t>
  </si>
  <si>
    <t>incl_internet</t>
  </si>
  <si>
    <t>incl_schoonmaak_kwartaal</t>
  </si>
  <si>
    <t>incl_bedlinnen</t>
  </si>
  <si>
    <t>incl_tuinonderhoud</t>
  </si>
  <si>
    <t>incl_eindschoonmaak</t>
  </si>
  <si>
    <t>incl_afvalverwerking</t>
  </si>
  <si>
    <t>schoonmaak_pakket</t>
  </si>
  <si>
    <t>marge_maand_excl_btw</t>
  </si>
  <si>
    <t>marge_jaar_excl_btw</t>
  </si>
  <si>
    <t>marge_percentage</t>
  </si>
  <si>
    <t>beschikbaarheid_status</t>
  </si>
  <si>
    <t>dagen_tot_beschikbaar</t>
  </si>
  <si>
    <t>0001</t>
  </si>
  <si>
    <t>Nunspeetlaan 14</t>
  </si>
  <si>
    <t>2573 HG</t>
  </si>
  <si>
    <t>Den Haag</t>
  </si>
  <si>
    <t>Vakantiepark</t>
  </si>
  <si>
    <t>Factuur</t>
  </si>
  <si>
    <t>https://ryanrent.sharepoint.com/sites/RyanRent/Gedeelde%20documenten/Forms/AllItems.aspx?id=%2Fsites%2FRyanRent%2FGedeelde%20documenten%2FGeneral%2F01%5FRyanRent%26Co%2F01%5FWoningen%2FNunspeetlaan%2014%20Den%20Haag</t>
  </si>
  <si>
    <t>https://ryanrent.sharepoint.com/sites/RyanRent/Gedeelde%20documenten/Forms/AllItems.aspx?id=%2Fsites%2FRyanRent%2FGedeelde%20documenten%2FGeneral%2F01%5FRyanRent%26Co%2F01%5FWoningen%2FNunspeetlaan%2014%20Den%20Haag%2F2%5FInhuur</t>
  </si>
  <si>
    <t>https://ryanrent.sharepoint.com/sites/RyanRent/Gedeelde%20documenten/Forms/AllItems.aspx?id=%2Fsites%2FRyanRent%2FGedeelde%20documenten%2FGeneral%2F01%5FRyanRent%26Co%2F01%5FWoningen%2FNunspeetlaan%2014%20Den%20Haag%2F3%5FVerhuur</t>
  </si>
  <si>
    <t>https://ryanrent.sharepoint.com/sites/RyanRent/Gedeelde%20documenten/Forms/AllItems.aspx?id=%2Fsites%2FRyanRent%2FGedeelde%20documenten%2FGeneral%2F01%5FRyanRent%26Co%2F01%5FWoningen%2FNunspeetlaan%2014%20Den%20Haag%2F2%5FInhuur%2F2%5FInhuurovereenkomsten</t>
  </si>
  <si>
    <t>Geen inhuur</t>
  </si>
  <si>
    <t>Tradiro Services B.V.</t>
  </si>
  <si>
    <t>particulier</t>
  </si>
  <si>
    <t>facturen@tradiro.nl</t>
  </si>
  <si>
    <t>null</t>
  </si>
  <si>
    <t>Honderdland 960</t>
  </si>
  <si>
    <t>2678 PS</t>
  </si>
  <si>
    <t>Maasdijk</t>
  </si>
  <si>
    <t>Nederland</t>
  </si>
  <si>
    <t>59979135.0</t>
  </si>
  <si>
    <t>NL05 RABO 0154 0739 89</t>
  </si>
  <si>
    <t>2026-01-14</t>
  </si>
  <si>
    <t>bepaalde_tijd</t>
  </si>
  <si>
    <t>Onbepaalde tijd</t>
  </si>
  <si>
    <t>ryanrent</t>
  </si>
  <si>
    <t>Verhuurd (onbepaald)</t>
  </si>
  <si>
    <t>0002</t>
  </si>
  <si>
    <t>Allard Piersonlaan 142</t>
  </si>
  <si>
    <t>2522 MT</t>
  </si>
  <si>
    <t>Appartement</t>
  </si>
  <si>
    <t>DS</t>
  </si>
  <si>
    <t>https://ryanrent.sharepoint.com/sites/RyanRent/Gedeelde%20documenten/Forms/AllItems.aspx?id=%2Fsites%2FRyanRent%2FGedeelde%20documenten%2FGeneral%2F01%5FRyanRent%26Co%2F01%5FWoningen%2FAllard%20Piersonlaan%20142%20Den%20Haag</t>
  </si>
  <si>
    <t>https://ryanrent.sharepoint.com/sites/RyanRent/Gedeelde%20documenten/Forms/AllItems.aspx?id=%2Fsites%2FRyanRent%2FGedeelde%20documenten%2FGeneral%2F01%5FRyanRent%26Co%2F01%5FWoningen%2FAllard%20Piersonlaan%20142%20Den%20Haag%2F2%5FInhuur</t>
  </si>
  <si>
    <t>https://ryanrent.sharepoint.com/sites/RyanRent/Gedeelde%20documenten/Forms/AllItems.aspx?id=%2Fsites%2FRyanRent%2FGedeelde%20documenten%2FGeneral%2F01%5FRyanRent%26Co%2F01%5FWoningen%2FAllard%20Piersonlaan%20142%20Den%20Haag%2F3%5FVerhuur</t>
  </si>
  <si>
    <t>https://ryanrent.sharepoint.com/sites/RyanRent/Gedeelde%20documenten/Forms/AllItems.aspx?id=%2Fsites%2FRyanRent%2FGedeelde%20documenten%2FGeneral%2F01%5FRyanRent%26Co%2F01%5FWoningen%2FAllard%20Piersonlaan%20142%20Den%20Haag%2F2%5FInhuur%2F2%5FInhuurovereenkomsten</t>
  </si>
  <si>
    <t>0003</t>
  </si>
  <si>
    <t>Acacia 2</t>
  </si>
  <si>
    <t>3224EB</t>
  </si>
  <si>
    <t>Hellevoetsluis</t>
  </si>
  <si>
    <t>4202</t>
  </si>
  <si>
    <t>1005</t>
  </si>
  <si>
    <t>https://ryanrent.sharepoint.com/sites/RyanRent/Gedeelde%20documenten/Forms/AllItems.aspx?id=%2Fsites%2FRyanRent%2FGedeelde%20documenten%2FGeneral%2F01%5FRyanRent%26Co%2F01%5FWoningen%2FAcacia%202%2C%20Hellevoetsluis</t>
  </si>
  <si>
    <t>https://ryanrent.sharepoint.com/sites/RyanRent/Gedeelde%20documenten/Forms/AllItems.aspx?id=%2Fsites%2FRyanRent%2FGedeelde%20documenten%2FGeneral%2F01%5FRyanRent%26Co%2F01%5FWoningen%2FAcacia%202%2C%20Hellevoetsluis%2F2%5FInhuur</t>
  </si>
  <si>
    <t>https://ryanrent.sharepoint.com/sites/RyanRent/Gedeelde%20documenten/Forms/AllItems.aspx?id=%2Fsites%2FRyanRent%2FGedeelde%20documenten%2FGeneral%2F01%5FRyanRent%26Co%2F01%5FWoningen%2FAcacia%202%2C%20Hellevoetsluis%2F3%5FVerhuur</t>
  </si>
  <si>
    <t>https://ryanrent.sharepoint.com/sites/RyanRent/Gedeelde%20documenten/Forms/AllItems.aspx?id=%2Fsites%2FRyanRent%2FGedeelde%20documenten%2FGeneral%2F01%5FRyanRent%26Co%2F01%5FWoningen%2FAcacia%202%2C%20Hellevoetsluis%2F2%5FInhuur%2F2%5FInhuurovereenkomsten</t>
  </si>
  <si>
    <t>Leegstand</t>
  </si>
  <si>
    <t>Beschikbaar</t>
  </si>
  <si>
    <t>0004</t>
  </si>
  <si>
    <t>Broekweg 25</t>
  </si>
  <si>
    <t>3131 HC</t>
  </si>
  <si>
    <t>Vlaardingen</t>
  </si>
  <si>
    <t>https://ryanrent.sharepoint.com/sites/RyanRent/Gedeelde%20documenten/Forms/AllItems.aspx?id=%2Fsites%2FRyanRent%2FGedeelde%20documenten%2FGeneral%2F01%5FRyanRent%26Co%2F01%5FWoningen%2FBroekweg%2025%20Vlaardingen</t>
  </si>
  <si>
    <t>https://ryanrent.sharepoint.com/sites/RyanRent/Gedeelde%20documenten/Forms/AllItems.aspx?id=%2Fsites%2FRyanRent%2FGedeelde%20documenten%2FGeneral%2F01%5FRyanRent%26Co%2F01%5FWoningen%2FBroekweg%2025%20Vlaardingen%2F2%5FInhuur</t>
  </si>
  <si>
    <t>https://ryanrent.sharepoint.com/sites/RyanRent/Gedeelde%20documenten/Forms/AllItems.aspx?id=%2Fsites%2FRyanRent%2FGedeelde%20documenten%2FGeneral%2F01%5FRyanRent%26Co%2F01%5FWoningen%2FBroekweg%2025%20Vlaardingen%2F3%5FVerhuur</t>
  </si>
  <si>
    <t>https://ryanrent.sharepoint.com/sites/RyanRent/Gedeelde%20documenten/Forms/AllItems.aspx?id=%2Fsites%2FRyanRent%2FGedeelde%20documenten%2FGeneral%2F01%5FRyanRent%26Co%2F01%5FWoningen%2FBroekweg%2025%20Vlaardingen%2F2%5FInhuur%2F2%5FInhuurovereenkomsten</t>
  </si>
  <si>
    <t>0005</t>
  </si>
  <si>
    <t>Ringbaan Oost 327</t>
  </si>
  <si>
    <t>5014 GG</t>
  </si>
  <si>
    <t>Tilburg</t>
  </si>
  <si>
    <t>1908</t>
  </si>
  <si>
    <t>https://ryanrent.sharepoint.com/sites/RyanRent/Gedeelde%20documenten/Forms/AllItems.aspx?id=%2Fsites%2FRyanRent%2FGedeelde%20documenten%2FGeneral%2F01%5FRyanRent%26Co%2F01%5FWoningen%2FRingbaan%20Oost%20327%20Tilburg</t>
  </si>
  <si>
    <t>https://ryanrent.sharepoint.com/sites/RyanRent/Gedeelde%20documenten/Forms/AllItems.aspx?id=%2Fsites%2FRyanRent%2FGedeelde%20documenten%2FGeneral%2F01%5FRyanRent%26Co%2F01%5FWoningen%2FRingbaan%20Oost%20327%20Tilburg%2F2%5FInhuur</t>
  </si>
  <si>
    <t>https://ryanrent.sharepoint.com/sites/RyanRent/Gedeelde%20documenten/Forms/AllItems.aspx?id=%2Fsites%2FRyanRent%2FGedeelde%20documenten%2FGeneral%2F01%5FRyanRent%26Co%2F01%5FWoningen%2FRingbaan%20Oost%20327%20Tilburg%2F3%5FVerhuur</t>
  </si>
  <si>
    <t>T. Eenhuistra/J. Pluimakers</t>
  </si>
  <si>
    <t>2025-08-01</t>
  </si>
  <si>
    <t>2027-08-01</t>
  </si>
  <si>
    <t>Actief</t>
  </si>
  <si>
    <t>AKT Autoschade</t>
  </si>
  <si>
    <t>facturen@aktautoschade.com</t>
  </si>
  <si>
    <t>06 33417286</t>
  </si>
  <si>
    <t>Goirkekanaaldijk 211-18</t>
  </si>
  <si>
    <t>Verhuurd</t>
  </si>
  <si>
    <t>0006</t>
  </si>
  <si>
    <t>Enschotsestraat 163</t>
  </si>
  <si>
    <t>5014 DD</t>
  </si>
  <si>
    <t>https://ryanrent.sharepoint.com/sites/RyanRent/Gedeelde%20documenten/Forms/AllItems.aspx?id=%2Fsites%2FRyanRent%2FGedeelde%20documenten%2FGeneral%2F01%5FRyanRent%26Co%2F01%5FWoningen%2FEnschotsestraat%20163%20Tilburg</t>
  </si>
  <si>
    <t>https://ryanrent.sharepoint.com/sites/RyanRent/Gedeelde%20documenten/Forms/AllItems.aspx?id=%2Fsites%2FRyanRent%2FGedeelde%20documenten%2FGeneral%2F01%5FRyanRent%26Co%2F01%5FWoningen%2FEnschotsestraat%20163%20Tilburg%2F2%5FInhuur</t>
  </si>
  <si>
    <t>https://ryanrent.sharepoint.com/sites/RyanRent/Gedeelde%20documenten/Forms/AllItems.aspx?id=%2Fsites%2FRyanRent%2FGedeelde%20documenten%2FGeneral%2F01%5FRyanRent%26Co%2F01%5FWoningen%2FEnschotsestraat%20163%20Tilburg%2F3%5FVerhuur</t>
  </si>
  <si>
    <t>Optima Uitzendbureau B.V.</t>
  </si>
  <si>
    <t>Financieel@optimauitzendburo.nl</t>
  </si>
  <si>
    <t>0184 675 489</t>
  </si>
  <si>
    <t>Kade 40</t>
  </si>
  <si>
    <t>Hardinxveld Giessendam</t>
  </si>
  <si>
    <t>24403530.0</t>
  </si>
  <si>
    <t>eigen_beheer</t>
  </si>
  <si>
    <t>intensief</t>
  </si>
  <si>
    <t>0007</t>
  </si>
  <si>
    <t>Adriaan Baasstraat 34</t>
  </si>
  <si>
    <t>7902HN</t>
  </si>
  <si>
    <t>Hoogeveen</t>
  </si>
  <si>
    <t>7902</t>
  </si>
  <si>
    <t>https://ryanrent.sharepoint.com/sites/RyanRent/Gedeelde%20documenten/Forms/AllItems.aspx?id=%2Fsites%2FRyanRent%2FGedeelde%20documenten%2FGeneral%2F01%5FRyanRent%26Co%2F01%5FWoningen%2FAdriaan%20Baasstraat%2034%2C%20Hoogeveen</t>
  </si>
  <si>
    <t>https://ryanrent.sharepoint.com/sites/RyanRent/Gedeelde%20documenten/Forms/AllItems.aspx?id=%2Fsites%2FRyanRent%2FGedeelde%20documenten%2FGeneral%2F01%5FRyanRent%26Co%2F01%5FWoningen%2FAdriaan%20Baasstraat%2034%2C%20Hoogeveen%2F2%5FInhuur</t>
  </si>
  <si>
    <t>https://ryanrent.sharepoint.com/sites/RyanRent/Gedeelde%20documenten/Forms/AllItems.aspx?id=%2Fsites%2FRyanRent%2FGedeelde%20documenten%2FGeneral%2F01%5FRyanRent%26Co%2F01%5FWoningen%2FAdriaan%20Baasstraat%2034%2C%20Hoogeveen%2F3%5FVerhuur</t>
  </si>
  <si>
    <t>https://ryanrent.sharepoint.com/sites/RyanRent/Gedeelde%20documenten/Forms/AllItems.aspx?id=%2Fsites%2FRyanRent%2FGedeelde%20documenten%2FGeneral%2F01%5FRyanRent%26Co%2F01%5FWoningen%2FAdriaan%20Baasstraat%2034%2C%20Hoogeveen%2F2%5FInhuur%2F2%5FInhuurovereenkomsten</t>
  </si>
  <si>
    <t>InAxtion Vastgoed B.V.</t>
  </si>
  <si>
    <t>Invoice.vastgoed@inaxtion.com</t>
  </si>
  <si>
    <t>06 43 36 18 85</t>
  </si>
  <si>
    <t>Wijnstraat 123</t>
  </si>
  <si>
    <t>Dordrecht</t>
  </si>
  <si>
    <t>16074829.0</t>
  </si>
  <si>
    <t>NL68 ABNA 0427 9222 08</t>
  </si>
  <si>
    <t>2025-04-18</t>
  </si>
  <si>
    <t>2026-04-17</t>
  </si>
  <si>
    <t>basis</t>
  </si>
  <si>
    <t>0008</t>
  </si>
  <si>
    <t>Arkelse Onderweg 24a</t>
  </si>
  <si>
    <t>4206AH</t>
  </si>
  <si>
    <t>Gorinchem</t>
  </si>
  <si>
    <t>2324</t>
  </si>
  <si>
    <t>0009</t>
  </si>
  <si>
    <t>Galgeweg 48-A</t>
  </si>
  <si>
    <t>2691MG</t>
  </si>
  <si>
    <t>s-Gravenzande</t>
  </si>
  <si>
    <t>0010</t>
  </si>
  <si>
    <t>Kethelweg 1B</t>
  </si>
  <si>
    <t>3135 GA</t>
  </si>
  <si>
    <t>https://ryanrent.sharepoint.com/sites/RyanRent/Gedeelde%20documenten/Forms/AllItems.aspx?id=%2Fsites%2FRyanRent%2FGedeelde%20documenten%2FGeneral%2F01%5FRyanRent%26Co%2F01%5FWoningen%2FKethelweg%201B%20Vlaardingen</t>
  </si>
  <si>
    <t>2023-02-01</t>
  </si>
  <si>
    <t>onbepaalde_tijd</t>
  </si>
  <si>
    <t>0011</t>
  </si>
  <si>
    <t>Kethelweg 1C</t>
  </si>
  <si>
    <t>https://ryanrent.sharepoint.com/sites/RyanRent/Gedeelde%20documenten/Forms/AllItems.aspx?id=%2Fsites%2FRyanRent%2FGedeelde%20documenten%2FGeneral%2F01%5FRyanRent%26Co%2F01%5FWoningen%2FKethelweg%201C%20Vlaardingen</t>
  </si>
  <si>
    <t>https://ryanrent.sharepoint.com/sites/RyanRent/Gedeelde%20documenten/Forms/AllItems.aspx?id=%2Fsites%2FRyanRent%2FGedeelde%20documenten%2FGeneral%2F01%5FRyanRent%26Co%2F01%5FWoningen%2FKethelweg%201C%20Vlaardingen%2F2%5FInhuur</t>
  </si>
  <si>
    <t>https://ryanrent.sharepoint.com/sites/RyanRent/Gedeelde%20documenten/Forms/AllItems.aspx?id=%2Fsites%2FRyanRent%2FGedeelde%20documenten%2FGeneral%2F01%5FRyanRent%26Co%2F01%5FWoningen%2FKethelweg%201C%20Vlaardingen%2F3%5FVerhuur</t>
  </si>
  <si>
    <t>0012</t>
  </si>
  <si>
    <t>Baarlelaan 27</t>
  </si>
  <si>
    <t>7906GB</t>
  </si>
  <si>
    <t>1975</t>
  </si>
  <si>
    <t>https://ryanrent.sharepoint.com/sites/RyanRent/Gedeelde%20documenten/Forms/AllItems.aspx?id=%2Fsites%2FRyanRent%2FGedeelde%20documenten%2FGeneral%2F01%5FRyanRent%26Co%2F01%5FWoningen%2FBaarlelaan%2027%2C%20Hoogeveen</t>
  </si>
  <si>
    <t>https://ryanrent.sharepoint.com/sites/RyanRent/Gedeelde%20documenten/Forms/AllItems.aspx?id=%2Fsites%2FRyanRent%2FGedeelde%20documenten%2FGeneral%2F01%5FRyanRent%26Co%2F01%5FWoningen%2FBaarlelaan%2027%2C%20Hoogeveen%2F2%5FInhuur</t>
  </si>
  <si>
    <t>https://ryanrent.sharepoint.com/sites/RyanRent/Gedeelde%20documenten/Forms/AllItems.aspx?id=%2Fsites%2FRyanRent%2FGedeelde%20documenten%2FGeneral%2F01%5FRyanRent%26Co%2F01%5FWoningen%2FBaarlelaan%2027%2C%20Hoogeveen%2F3%5FVerhuur</t>
  </si>
  <si>
    <t>https://ryanrent.sharepoint.com/sites/RyanRent/Gedeelde%20documenten/Forms/AllItems.aspx?id=%2Fsites%2FRyanRent%2FGedeelde%20documenten%2FGeneral%2F01%5FRyanRent%26Co%2F01%5FWoningen%2FBaarlelaan%2027%2C%20Hoogeveen%2F2%5FInhuur%2F2%5FInhuurovereenkomsten</t>
  </si>
  <si>
    <t>0013</t>
  </si>
  <si>
    <t>Baarsveen 197</t>
  </si>
  <si>
    <t>3205 BB</t>
  </si>
  <si>
    <t>Spijkenisse</t>
  </si>
  <si>
    <t>9197</t>
  </si>
  <si>
    <t>1144</t>
  </si>
  <si>
    <t>https://ryanrent.sharepoint.com/sites/RyanRent/Gedeelde%20documenten/Forms/AllItems.aspx?id=%2Fsites%2FRyanRent%2FGedeelde%20documenten%2FGeneral%2F01%5FRyanRent%26Co%2F01%5FWoningen%2FBaarsveen%20197%2C%20Spijkenisse</t>
  </si>
  <si>
    <t>https://ryanrent.sharepoint.com/sites/RyanRent/Gedeelde%20documenten/Forms/AllItems.aspx?id=%2Fsites%2FRyanRent%2FGedeelde%20documenten%2FGeneral%2F01%5FRyanRent%26Co%2F01%5FWoningen%2FBaarsveen%20197%2C%20Spijkenisse%2F2%5FInhuur</t>
  </si>
  <si>
    <t>https://ryanrent.sharepoint.com/sites/RyanRent/Gedeelde%20documenten/Forms/AllItems.aspx?id=%2Fsites%2FRyanRent%2FGedeelde%20documenten%2FGeneral%2F01%5FRyanRent%26Co%2F01%5FWoningen%2FBaarsveen%20197%2C%20Spijkenisse%2F3%5FVerhuur</t>
  </si>
  <si>
    <t>https://ryanrent.sharepoint.com/sites/RyanRent/Gedeelde%20documenten/Forms/AllItems.aspx?id=%2Fsites%2FRyanRent%2FGedeelde%20documenten%2FGeneral%2F01%5FRyanRent%26Co%2F01%5FWoningen%2FBaarsveen%20197%2C%20Spijkenisse%2F2%5FInhuur%2F2%5FInhuurovereenkomsten</t>
  </si>
  <si>
    <t>0014</t>
  </si>
  <si>
    <t>Abelenlaan 143</t>
  </si>
  <si>
    <t>3181WD</t>
  </si>
  <si>
    <t>Rozenburg</t>
  </si>
  <si>
    <t>3143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</si>
  <si>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</si>
  <si>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</si>
  <si>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</si>
  <si>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</si>
  <si>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</si>
  <si>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</si>
  <si>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</si>
  <si>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</si>
  <si>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https://ryanrent.sharepoint.com/sites/RyanRent/Gedeelde%20documenten/Forms/AllItems.aspx?id=%2Fsites%2FRyanRent%2FGedeelde%20documenten%2FGeneral%2F01%5FRyanRent%26Co%2F01%5FWoningen%2FVan%20Scorelstraat%2073%20Maassluis</t>
  </si>
  <si>
    <t>https://ryanrent.sharepoint.com/sites/RyanRent/Gedeelde%20documenten/Forms/AllItems.aspx?id=%2Fsites%2FRyanRent%2FGedeelde%20documenten%2FGeneral%2F01%5FRyanRent%26Co%2F01%5FWoningen%2FVan%20Scorelstraat%2073%20Maassluis%2F2%5FInhuur</t>
  </si>
  <si>
    <t>https://ryanrent.sharepoint.com/sites/RyanRent/Gedeelde%20documenten/Forms/AllItems.aspx?id=%2Fsites%2FRyanRent%2FGedeelde%20documenten%2FGeneral%2F01%5FRyanRent%26Co%2F01%5FWoningen%2FVan%20Scorelstraat%2073%20Maassluis%2F3%5FVerhuur</t>
  </si>
  <si>
    <t>https://ryanrent.sharepoint.com/sites/RyanRent/Gedeelde%20documenten/Forms/AllItems.aspx?id=%2Fsites%2FRyanRent%2FGedeelde%20documenten%2FGeneral%2F01%5FRyanRent%26Co%2F01%5FWoningen%2FVan%20Scorelstraat%2073%20Maassluis%2F2%5FInhuur%2F2%5FInhuurovereenkomsten</t>
  </si>
  <si>
    <t>0017</t>
  </si>
  <si>
    <t>G.A. Brederolaan 75B</t>
  </si>
  <si>
    <t>3141 CD</t>
  </si>
  <si>
    <t>https://ryanrent.sharepoint.com/sites/RyanRent/Gedeelde%20documenten/Forms/AllItems.aspx?id=%2Fsites%2FRyanRent%2FGedeelde%20documenten%2FGeneral%2F01%5FRyanRent%26Co%2F01%5FWoningen%2FG.A.%20Brederolaan%2075B%20Maassluis</t>
  </si>
  <si>
    <t>0018</t>
  </si>
  <si>
    <t>Meester G. Groen van Prinsterlaan 313</t>
  </si>
  <si>
    <t>1181TV</t>
  </si>
  <si>
    <t>Amstelveen</t>
  </si>
  <si>
    <t>https://ryanrent.sharepoint.com/sites/RyanRent/Gedeelde%20documenten/Forms/AllItems.aspx?id=%2Fsites%2FRyanRent%2FGedeelde%20documenten%2FGeneral%2F01%5FRyanRent%26Co%2F01%5FWoningen%2FMeester%20G.%20groen%20van%20Prinsterlaan%20313%2C%20Amstelveen</t>
  </si>
  <si>
    <t>https://ryanrent.sharepoint.com/sites/RyanRent/Gedeelde%20documenten/Forms/AllItems.aspx?id=%2Fsites%2FRyanRent%2FGedeelde%20documenten%2FGeneral%2F01%5FRyanRent%26Co%2F01%5FWoningen%2FMeester%20G.%20groen%20van%20Prinsterlaan%20313%2C%20Amstelveen%2F2%5FInhuur</t>
  </si>
  <si>
    <t>https://ryanrent.sharepoint.com/sites/RyanRent/Gedeelde%20documenten/Forms/AllItems.aspx?id=%2Fsites%2FRyanRent%2FGedeelde%20documenten%2FGeneral%2F01%5FRyanRent%26Co%2F01%5FWoningen%2FMeester%20G.%20groen%20van%20Prinsterlaan%20313%2C%20Amstelveen%2F3%5FVerhuur</t>
  </si>
  <si>
    <t>https://ryanrent.sharepoint.com/sites/RyanRent/Gedeelde%20documenten/Forms/AllItems.aspx?id=%2Fsites%2FRyanRent%2FGedeelde%20documenten%2FGeneral%2F01%5FRyanRent%26Co%2F01%5FWoningen%2FMeester%20G.%20groen%20van%20Prinsterlaan%20313%2C%20Amstelveen%2F2%5FInhuur%2F2%5FInhuurovereenkomsten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</si>
  <si>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</si>
  <si>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</si>
  <si>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</si>
  <si>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</si>
  <si>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</si>
  <si>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</si>
  <si>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</si>
  <si>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https://ryanrent.sharepoint.com/sites/RyanRent/Gedeelde%20documenten/Forms/AllItems.aspx?id=%2Fsites%2FRyanRent%2FGedeelde%20documenten%2FGeneral%2F01%5FRyanRent%26Co%2F01%5FWoningen%2FMr.%20Troelstrastraat%2037%20Vlaardingen</t>
  </si>
  <si>
    <t>0021</t>
  </si>
  <si>
    <t>Vaartweg 106C</t>
  </si>
  <si>
    <t>3131 HV</t>
  </si>
  <si>
    <t>https://ryanrent.sharepoint.com/sites/RyanRent/Gedeelde%20documenten/Forms/AllItems.aspx?id=%2Fsites%2FRyanRent%2FGedeelde%20documenten%2FGeneral%2F01%5FRyanRent%26Co%2F01%5FWoningen%2FVaartweg%20106C%2C%20Vlaardingen</t>
  </si>
  <si>
    <t>https://ryanrent.sharepoint.com/sites/RyanRent/Gedeelde%20documenten/Forms/AllItems.aspx?id=%2Fsites%2FRyanRent%2FGedeelde%20documenten%2FGeneral%2F01%5FRyanRent%26Co%2F01%5FWoningen%2FVaartweg%20106C%2C%20Vlaardingen%2F2%5FInhuur</t>
  </si>
  <si>
    <t>https://ryanrent.sharepoint.com/sites/RyanRent/Gedeelde%20documenten/Forms/AllItems.aspx?id=%2Fsites%2FRyanRent%2FGedeelde%20documenten%2FGeneral%2F01%5FRyanRent%26Co%2F01%5FWoningen%2FVaartweg%20106C%2C%20Vlaardingen%2F3%5FVerhuur</t>
  </si>
  <si>
    <t>https://ryanrent.sharepoint.com/sites/RyanRent/Gedeelde%20documenten/Forms/AllItems.aspx?id=%2Fsites%2FRyanRent%2FGedeelde%20documenten%2FGeneral%2F01%5FRyanRent%26Co%2F01%5FWoningen%2FVaartweg%20106C%2C%20Vlaardingen%2F2%5FInhuur%2F2%5FInhuurovereenkomsten</t>
  </si>
  <si>
    <t>0022</t>
  </si>
  <si>
    <t>2e van Leydengaelstraat 6</t>
  </si>
  <si>
    <t>3134 LL</t>
  </si>
  <si>
    <t>https://ryanrent.sharepoint.com/sites/RyanRent/Gedeelde%20documenten/Forms/AllItems.aspx?id=%2Fsites%2FRyanRent%2FGedeelde%20documenten%2FGeneral%2F01%5FRyanRent%26Co%2F01%5FWoningen%2F2e%20van%20leyden%20gaelstraat%206%20Vlaardingen</t>
  </si>
  <si>
    <t>https://ryanrent.sharepoint.com/sites/RyanRent/Gedeelde%20documenten/Forms/AllItems.aspx?id=%2Fsites%2FRyanRent%2FGedeelde%20documenten%2FGeneral%2F01%5FRyanRent%26Co%2F01%5FWoningen%2F2e%20van%20leyden%20gaelstraat%206%20Vlaardingen%2F2%5FInhuur</t>
  </si>
  <si>
    <t>https://ryanrent.sharepoint.com/sites/RyanRent/Gedeelde%20documenten/Forms/AllItems.aspx?id=%2Fsites%2FRyanRent%2FGedeelde%20documenten%2FGeneral%2F01%5FRyanRent%26Co%2F01%5FWoningen%2F2e%20van%20leyden%20gaelstraat%206%20Vlaardingen%2F3%5FVerhuur</t>
  </si>
  <si>
    <t>https://ryanrent.sharepoint.com/sites/RyanRent/Gedeelde%20documenten/Forms/AllItems.aspx?id=%2Fsites%2FRyanRent%2FGedeelde%20documenten%2FGeneral%2F01%5FRyanRent%26Co%2F01%5FWoningen%2F2e%20van%20leyden%20gaelstraat%206%20Vlaardingen%2F2%5FInhuur%2F2%5FInhuurovereenkomsten</t>
  </si>
  <si>
    <t>0023</t>
  </si>
  <si>
    <t>Desiree Geerartstraat 1B</t>
  </si>
  <si>
    <t>5111CH</t>
  </si>
  <si>
    <t>Baarle-Nassau</t>
  </si>
  <si>
    <t>0107</t>
  </si>
  <si>
    <t>S. Kleiren</t>
  </si>
  <si>
    <t>sabine.kleiren@gmail.com</t>
  </si>
  <si>
    <t>NL20 RABO 0103 8768 98</t>
  </si>
  <si>
    <t>2024-10-18</t>
  </si>
  <si>
    <t>2027-10-18</t>
  </si>
  <si>
    <t>NL Realty B.V.</t>
  </si>
  <si>
    <t>administratie@nl-jobs.com</t>
  </si>
  <si>
    <t>06 22 040 775</t>
  </si>
  <si>
    <t>Honderdland 1</t>
  </si>
  <si>
    <t>MAASDIJK</t>
  </si>
  <si>
    <t>NL90 RABO 0346 4019 25</t>
  </si>
  <si>
    <t>0024</t>
  </si>
  <si>
    <t>Desiree Geerartstraat 1C</t>
  </si>
  <si>
    <t>0025</t>
  </si>
  <si>
    <t>Groenelaan 30B</t>
  </si>
  <si>
    <t>3114 CH</t>
  </si>
  <si>
    <t>Schiedam</t>
  </si>
  <si>
    <t>2206</t>
  </si>
  <si>
    <t>https://ryanrent.sharepoint.com/sites/RyanRent/Gedeelde%20documenten/Forms/AllItems.aspx?id=%2Fsites%2FRyanRent%2FGedeelde%20documenten%2FGeneral%2F01%5FRyanRent%26Co%2F01%5FWoningen%2FGroenelaan%2030B%2C%20Schiedam</t>
  </si>
  <si>
    <t>https://ryanrent.sharepoint.com/sites/RyanRent/Gedeelde%20documenten/Forms/AllItems.aspx?id=%2Fsites%2FRyanRent%2FGedeelde%20documenten%2FGeneral%2F01%5FRyanRent%26Co%2F01%5FWoningen%2FGroenelaan%2030B%2C%20Schiedam%2F2%5FInhuur</t>
  </si>
  <si>
    <t>https://ryanrent.sharepoint.com/sites/RyanRent/Gedeelde%20documenten/Forms/AllItems.aspx?id=%2Fsites%2FRyanRent%2FGedeelde%20documenten%2FGeneral%2F01%5FRyanRent%26Co%2F01%5FWoningen%2FGroenelaan%2030B%2C%20Schiedam%2F3%5FVerhuur</t>
  </si>
  <si>
    <t>https://ryanrent.sharepoint.com/sites/RyanRent/Gedeelde%20documenten/Forms/AllItems.aspx?id=%2Fsites%2FRyanRent%2FGedeelde%20documenten%2FGeneral%2F01%5FRyanRent%26Co%2F01%5FWoningen%2FGroenelaan%2030B%2C%20Schiedam%2F2%5FInhuur%2F2%5FInhuurovereenkomsten</t>
  </si>
  <si>
    <t>0026</t>
  </si>
  <si>
    <t>Chopinstraat 39C</t>
  </si>
  <si>
    <t>3131 DB</t>
  </si>
  <si>
    <t>https://ryanrent.sharepoint.com/sites/RyanRent/Gedeelde%20documenten/Forms/AllItems.aspx?id=%2Fsites%2FRyanRent%2FGedeelde%20documenten%2FGeneral%2F01%5FRyanRent%26Co%2F01%5FWoningen%2FChopinstraat%2039C%20Vlaardingen</t>
  </si>
  <si>
    <t>https://ryanrent.sharepoint.com/sites/RyanRent/Gedeelde%20documenten/Forms/AllItems.aspx?id=%2Fsites%2FRyanRent%2FGedeelde%20documenten%2FGeneral%2F01%5FRyanRent%26Co%2F01%5FWoningen%2FChopinstraat%2039C%20Vlaardingen%2F2%5FInhuur</t>
  </si>
  <si>
    <t>https://ryanrent.sharepoint.com/sites/RyanRent/Gedeelde%20documenten/Forms/AllItems.aspx?id=%2Fsites%2FRyanRent%2FGedeelde%20documenten%2FGeneral%2F01%5FRyanRent%26Co%2F01%5FWoningen%2FChopinstraat%2039C%20Vlaardingen%2F3%5FVerhuur</t>
  </si>
  <si>
    <t>https://ryanrent.sharepoint.com/sites/RyanRent/Gedeelde%20documenten/Forms/AllItems.aspx?id=%2Fsites%2FRyanRent%2FGedeelde%20documenten%2FGeneral%2F01%5FRyanRent%26Co%2F01%5FWoningen%2FChopinstraat%2039C%20Vlaardingen%2F2%5FInhuur%2F2%5FInhuurovereenkomsten</t>
  </si>
  <si>
    <t>Park Wonen BV</t>
  </si>
  <si>
    <t>bedrijf</t>
  </si>
  <si>
    <t>info@parkwonen.nl</t>
  </si>
  <si>
    <t>010 — 844 25 52</t>
  </si>
  <si>
    <t>Kruisplein 488a</t>
  </si>
  <si>
    <t>3012 CC</t>
  </si>
  <si>
    <t>64549836</t>
  </si>
  <si>
    <t>NLO4 RABO 0307 5644 79</t>
  </si>
  <si>
    <t>2019-09-16</t>
  </si>
  <si>
    <t>0027</t>
  </si>
  <si>
    <t>Buizerdstraat 210</t>
  </si>
  <si>
    <t>3145 AD</t>
  </si>
  <si>
    <t>https://ryanrent.sharepoint.com/sites/RyanRent/Gedeelde%20documenten/Forms/AllItems.aspx?id=%2Fsites%2FRyanRent%2FGedeelde%20documenten%2FGeneral%2F01%5FRyanRent%26Co%2F01%5FWoningen%2FBuizerdstraat%20210%20Maassluis</t>
  </si>
  <si>
    <t>https://ryanrent.sharepoint.com/sites/RyanRent/Gedeelde%20documenten/Forms/AllItems.aspx?id=%2Fsites%2FRyanRent%2FGedeelde%20documenten%2FGeneral%2F01%5FRyanRent%26Co%2F01%5FWoningen%2FBuizerdstraat%20210%20Maassluis%2F2%5FInhuur</t>
  </si>
  <si>
    <t>https://ryanrent.sharepoint.com/sites/RyanRent/Gedeelde%20documenten/Forms/AllItems.aspx?id=%2Fsites%2FRyanRent%2FGedeelde%20documenten%2FGeneral%2F01%5FRyanRent%26Co%2F01%5FWoningen%2FBuizerdstraat%20210%20Maassluis%2F3%5FVerhuur</t>
  </si>
  <si>
    <t>https://ryanrent.sharepoint.com/sites/RyanRent/Gedeelde%20documenten/Forms/AllItems.aspx?id=%2Fsites%2FRyanRent%2FGedeelde%20documenten%2FGeneral%2F01%5FRyanRent%26Co%2F01%5FWoningen%2FBuizerdstraat%20210%20Maassluis%2F2%5FInhuur%2F2%5FInhuurovereenkomsten</t>
  </si>
  <si>
    <t>2023-03-01</t>
  </si>
  <si>
    <t>0028</t>
  </si>
  <si>
    <t>Lange kruisweg 12</t>
  </si>
  <si>
    <t>2676 BL</t>
  </si>
  <si>
    <t>https://ryanrent.sharepoint.com/sites/RyanRent/Gedeelde%20documenten/Forms/AllItems.aspx?id=%2Fsites%2FRyanRent%2FGedeelde%20documenten%2FGeneral%2F01%5FRyanRent%26Co%2F01%5FWoningen%2FLange%20Kruisweg%2012%20Maasdijk</t>
  </si>
  <si>
    <t>0029</t>
  </si>
  <si>
    <t>Madeliefstraat 46C</t>
  </si>
  <si>
    <t>3083TJ</t>
  </si>
  <si>
    <t>https://ryanrent.sharepoint.com/sites/RyanRent/Gedeelde%20documenten/Forms/AllItems.aspx?id=%2Fsites%2FRyanRent%2FGedeelde%20documenten%2FGeneral%2F01%5FRyanRent%26Co%2F01%5FWoningen%2FMadeliefstraat%2046c%20Rotterdam</t>
  </si>
  <si>
    <t>https://ryanrent.sharepoint.com/sites/RyanRent/Gedeelde%20documenten/Forms/AllItems.aspx?id=%2Fsites%2FRyanRent%2FGedeelde%20documenten%2FGeneral%2F01%5FRyanRent%26Co%2F01%5FWoningen%2FMadeliefstraat%2046c%20Rotterdam%2F2%5FInhuur</t>
  </si>
  <si>
    <t>https://ryanrent.sharepoint.com/sites/RyanRent/Gedeelde%20documenten/Forms/AllItems.aspx?id=%2Fsites%2FRyanRent%2FGedeelde%20documenten%2FGeneral%2F01%5FRyanRent%26Co%2F01%5FWoningen%2FMadeliefstraat%2046c%20Rotterdam%2F3%5FVerhuur</t>
  </si>
  <si>
    <t>https://ryanrent.sharepoint.com/sites/RyanRent/Gedeelde%20documenten/Forms/AllItems.aspx?id=%2Fsites%2FRyanRent%2FGedeelde%20documenten%2FGeneral%2F01%5FRyanRent%26Co%2F01%5FWoningen%2FMadeliefstraat%2046c%20Rotterdam%2F2%5FInhuur%2F2%5FInhuurovereenkomsten</t>
  </si>
  <si>
    <t>M. Kathiravelu</t>
  </si>
  <si>
    <t>2024-10-01</t>
  </si>
  <si>
    <t>2026-09-30</t>
  </si>
  <si>
    <t>RNDV Industries</t>
  </si>
  <si>
    <t>laura.brackiene@rndv.eu</t>
  </si>
  <si>
    <t>+37062054093</t>
  </si>
  <si>
    <t>Taikos pr. 52C</t>
  </si>
  <si>
    <t>Klipeda</t>
  </si>
  <si>
    <t>Litouwen</t>
  </si>
  <si>
    <t>1304203983</t>
  </si>
  <si>
    <t>0030</t>
  </si>
  <si>
    <t>Curacaolaan 88</t>
  </si>
  <si>
    <t>3131 XD</t>
  </si>
  <si>
    <t>https://ryanrent.sharepoint.com/sites/RyanRent/Gedeelde%20documenten/Forms/AllItems.aspx?id=%2Fsites%2FRyanRent%2FGedeelde%20documenten%2FGeneral%2F01%5FRyanRent%26Co%2F01%5FWoningen%2FCuracaolaan%2088%20Vlaardingen</t>
  </si>
  <si>
    <t>0031</t>
  </si>
  <si>
    <t>Hogenbanweg 331</t>
  </si>
  <si>
    <t>3112 CK</t>
  </si>
  <si>
    <t>https://ryanrent.sharepoint.com/sites/RyanRent/Gedeelde%20documenten/Forms/AllItems.aspx?id=%2Fsites%2FRyanRent%2FGedeelde%20documenten%2FGeneral%2F01%5FRyanRent%26Co%2F01%5FWoningen%2FHogenbanweg%20331%20Schiedam</t>
  </si>
  <si>
    <t>0032</t>
  </si>
  <si>
    <t>Jacob van offwegenlaan 26</t>
  </si>
  <si>
    <t>2282 HR</t>
  </si>
  <si>
    <t>Rijswijk</t>
  </si>
  <si>
    <t>https://ryanrent.sharepoint.com/sites/RyanRent/Gedeelde%20documenten/Forms/AllItems.aspx?id=%2Fsites%2FRyanRent%2FGedeelde%20documenten%2FGeneral%2F01%5FRyanRent%26Co%2F01%5FWoningen%2FJacob%20van%20Lennepstraat%2013a</t>
  </si>
  <si>
    <t>0033</t>
  </si>
  <si>
    <t>Kethelweg 66C</t>
  </si>
  <si>
    <t>3135 GM</t>
  </si>
  <si>
    <t>https://ryanrent.sharepoint.com/sites/RyanRent/Gedeelde%20documenten/Forms/AllItems.aspx?id=%2Fsites%2FRyanRent%2FGedeelde%20documenten%2FGeneral%2F01%5FRyanRent%26Co%2F01%5FWoningen%2FKethelweg%2066C%20Vlaardingen</t>
  </si>
  <si>
    <t>0034</t>
  </si>
  <si>
    <t>Kethelweg 68A</t>
  </si>
  <si>
    <t>https://ryanrent.sharepoint.com/sites/RyanRent/Gedeelde%20documenten/Forms/AllItems.aspx?id=%2Fsites%2FRyanRent%2FGedeelde%20documenten%2FGeneral%2F01%5FRyanRent%26Co%2F01%5FWoningen%2FKethelweg%2068A%20Vlaardingen</t>
  </si>
  <si>
    <t>0035</t>
  </si>
  <si>
    <t>Messchaertplein 39</t>
  </si>
  <si>
    <t>3131 TG</t>
  </si>
  <si>
    <t>https://ryanrent.sharepoint.com/sites/RyanRent/Gedeelde%20documenten/Forms/AllItems.aspx?id=%2Fsites%2FRyanRent%2FGedeelde%20documenten%2FGeneral%2F01%5FRyanRent%26Co%2F01%5FWoningen%2FMesschaertplein%2039%20Vlaardingen</t>
  </si>
  <si>
    <t>2022-11-14</t>
  </si>
  <si>
    <t>0036</t>
  </si>
  <si>
    <t>Messchaertplein 40</t>
  </si>
  <si>
    <t>https://ryanrent.sharepoint.com/sites/RyanRent/Gedeelde%20documenten/Forms/AllItems.aspx?id=%2Fsites%2FRyanRent%2FGedeelde%20documenten%2FGeneral%2F01%5FRyanRent%26Co%2F01%5FWoningen%2FMesschaertplein%2040%20Vlaardingen</t>
  </si>
  <si>
    <t>0037</t>
  </si>
  <si>
    <t>Westfrankelandsestraat 108B</t>
  </si>
  <si>
    <t>3117 AW</t>
  </si>
  <si>
    <t>0038</t>
  </si>
  <si>
    <t>Westfrankelandsestraat 108</t>
  </si>
  <si>
    <t>https://ryanrent.sharepoint.com/sites/RyanRent/Gedeelde%20documenten/Forms/AllItems.aspx?id=%2Fsites%2FRyanRent%2FGedeelde%20documenten%2FGeneral%2F01%5FRyanRent%26Co%2F01%5FWoningen%2FWestfrankelandsestraat%20108%20Schiedam</t>
  </si>
  <si>
    <t>https://ryanrent.sharepoint.com/sites/RyanRent/Gedeelde%20documenten/Forms/AllItems.aspx?id=%2Fsites%2FRyanRent%2FGedeelde%20documenten%2FGeneral%2F01%5FRyanRent%26Co%2F01%5FWoningen%2FWestfrankelandsestraat%20108%20Schiedam%2F2%5FInhuur</t>
  </si>
  <si>
    <t>https://ryanrent.sharepoint.com/sites/RyanRent/Gedeelde%20documenten/Forms/AllItems.aspx?id=%2Fsites%2FRyanRent%2FGedeelde%20documenten%2FGeneral%2F01%5FRyanRent%26Co%2F01%5FWoningen%2FWestfrankelandsestraat%20108%20Schiedam%2F3%5FVerhuur</t>
  </si>
  <si>
    <t>https://ryanrent.sharepoint.com/sites/RyanRent/Gedeelde%20documenten/Forms/AllItems.aspx?id=%2Fsites%2FRyanRent%2FGedeelde%20documenten%2FGeneral%2F01%5FRyanRent%26Co%2F01%5FWoningen%2FWestfrankelandsestraat%20108%20Schiedam%2F2%5FInhuur%2F2%5FInhuurovereenkomsten</t>
  </si>
  <si>
    <t>0039</t>
  </si>
  <si>
    <t>Inundatiestraat 3</t>
  </si>
  <si>
    <t>4551VE</t>
  </si>
  <si>
    <t>Sas van Gent</t>
  </si>
  <si>
    <t>5103</t>
  </si>
  <si>
    <t>https://ryanrent.sharepoint.com/sites/RyanRent/Gedeelde%20documenten/Forms/AllItems.aspx?id=%2Fsites%2FRyanRent%2FGedeelde%20documenten%2FGeneral%2F01%5FRyanRent%26Co%2F01%5FWoningen%2FInundatiestraat%203%20Sas%20van%20Gent</t>
  </si>
  <si>
    <t>https://ryanrent.sharepoint.com/sites/RyanRent/Gedeelde%20documenten/Forms/AllItems.aspx?id=%2Fsites%2FRyanRent%2FGedeelde%20documenten%2FGeneral%2F01%5FRyanRent%26Co%2F01%5FWoningen%2FInundatiestraat%203%20Sas%20van%20Gent%2F2%5FInhuur</t>
  </si>
  <si>
    <t>https://ryanrent.sharepoint.com/sites/RyanRent/Gedeelde%20documenten/Forms/AllItems.aspx?id=%2Fsites%2FRyanRent%2FGedeelde%20documenten%2FGeneral%2F01%5FRyanRent%26Co%2F01%5FWoningen%2FInundatiestraat%203%20Sas%20van%20Gent%2F3%5FVerhuur</t>
  </si>
  <si>
    <t>https://ryanrent.sharepoint.com/sites/RyanRent/Gedeelde%20documenten/Forms/AllItems.aspx?id=%2Fsites%2FRyanRent%2FGedeelde%20documenten%2FGeneral%2F01%5FRyanRent%26Co%2F01%5FWoningen%2FInundatiestraat%203%20Sas%20van%20Gent%2F2%5FInhuur%2F2%5FInhuurovereenkomsten</t>
  </si>
  <si>
    <t>J.G. van Pieterson</t>
  </si>
  <si>
    <t>C.G. Roosweg 28</t>
  </si>
  <si>
    <t>Schoonhoven</t>
  </si>
  <si>
    <t>NL82 ABNA 0886 0378 24</t>
  </si>
  <si>
    <t>2024-09-01</t>
  </si>
  <si>
    <t>2026-08-31</t>
  </si>
  <si>
    <t>0040</t>
  </si>
  <si>
    <t>Beatrixstraat 3</t>
  </si>
  <si>
    <t>3181GA</t>
  </si>
  <si>
    <t>1003</t>
  </si>
  <si>
    <t>https://ryanrent.sharepoint.com/sites/RyanRent/Gedeelde%20documenten/Forms/AllItems.aspx?id=%2Fsites%2FRyanRent%2FGedeelde%20documenten%2FGeneral%2F01%5FRyanRent%26Co%2F01%5FWoningen%2FBeatrixstraat%203%2C%20Rozenburg</t>
  </si>
  <si>
    <t>https://ryanrent.sharepoint.com/sites/RyanRent/Gedeelde%20documenten/Forms/AllItems.aspx?id=%2Fsites%2FRyanRent%2FGedeelde%20documenten%2FGeneral%2F01%5FRyanRent%26Co%2F01%5FWoningen%2FBeatrixstraat%203%2C%20Rozenburg%2F2%5FInhuur</t>
  </si>
  <si>
    <t>https://ryanrent.sharepoint.com/sites/RyanRent/Gedeelde%20documenten/Forms/AllItems.aspx?id=%2Fsites%2FRyanRent%2FGedeelde%20documenten%2FGeneral%2F01%5FRyanRent%26Co%2F01%5FWoningen%2FBeatrixstraat%203%2C%20Rozenburg%2F3%5FVerhuur</t>
  </si>
  <si>
    <t>https://ryanrent.sharepoint.com/sites/RyanRent/Gedeelde%20documenten/Forms/AllItems.aspx?id=%2Fsites%2FRyanRent%2FGedeelde%20documenten%2FGeneral%2F01%5FRyanRent%26Co%2F01%5FWoningen%2FBeatrixstraat%203%2C%20Rozenburg%2F2%5FInhuur%2F2%5FInhuurovereenkomsten</t>
  </si>
  <si>
    <t>Impes Service S.p.A.</t>
  </si>
  <si>
    <t>fatture.olanda@impesservice.it, Nicola.pisani@impesservice.it</t>
  </si>
  <si>
    <t>+31 6 87020773</t>
  </si>
  <si>
    <t>President Kennedylaan 19</t>
  </si>
  <si>
    <t>'s-Gravenhage</t>
  </si>
  <si>
    <t>2022-10-01</t>
  </si>
  <si>
    <t>2026-10-09</t>
  </si>
  <si>
    <t>0041</t>
  </si>
  <si>
    <t>Nunspeetlaan 53</t>
  </si>
  <si>
    <t>2573 HB</t>
  </si>
  <si>
    <t>https://ryanrent.sharepoint.com/sites/RyanRent/Gedeelde%20documenten/Forms/AllItems.aspx?id=%2Fsites%2FRyanRent%2FGedeelde%20documenten%2FGeneral%2F01%5FRyanRent%26Co%2F01%5FWoningen%2FNunspeetlaan%2053%20Den%20Haag</t>
  </si>
  <si>
    <t>https://ryanrent.sharepoint.com/sites/RyanRent/Gedeelde%20documenten/Forms/AllItems.aspx?id=%2Fsites%2FRyanRent%2FGedeelde%20documenten%2FGeneral%2F01%5FRyanRent%26Co%2F01%5FWoningen%2FNunspeetlaan%2053%20Den%20Haag%2F2%5FInhuur</t>
  </si>
  <si>
    <t>https://ryanrent.sharepoint.com/sites/RyanRent/Gedeelde%20documenten/Forms/AllItems.aspx?id=%2Fsites%2FRyanRent%2FGedeelde%20documenten%2FGeneral%2F01%5FRyanRent%26Co%2F01%5FWoningen%2FNunspeetlaan%2053%20Den%20Haag%2F3%5FVerhuur</t>
  </si>
  <si>
    <t>https://ryanrent.sharepoint.com/sites/RyanRent/Gedeelde%20documenten/Forms/AllItems.aspx?id=%2Fsites%2FRyanRent%2FGedeelde%20documenten%2FGeneral%2F01%5FRyanRent%26Co%2F01%5FWoningen%2FNunspeetlaan%2053%20Den%20Haag%2F2%5FInhuur%2F2%5FInhuurovereenkomsten</t>
  </si>
  <si>
    <t>0042</t>
  </si>
  <si>
    <t>Parallelweg 110A</t>
  </si>
  <si>
    <t>3131 DK</t>
  </si>
  <si>
    <t>https://ryanrent.sharepoint.com/sites/RyanRent/Gedeelde%20documenten/Forms/AllItems.aspx?id=%2Fsites%2FRyanRent%2FGedeelde%20documenten%2FGeneral%2F01%5FRyanRent%26Co%2F01%5FWoningen%2FParallelweg%20110A%20Vlaardingen</t>
  </si>
  <si>
    <t>https://ryanrent.sharepoint.com/sites/RyanRent/Gedeelde%20documenten/Forms/AllItems.aspx?id=%2Fsites%2FRyanRent%2FGedeelde%20documenten%2FGeneral%2F01%5FRyanRent%26Co%2F01%5FWoningen%2FParallelweg%20110A%20Vlaardingen%2F2%5FInhuur</t>
  </si>
  <si>
    <t>https://ryanrent.sharepoint.com/sites/RyanRent/Gedeelde%20documenten/Forms/AllItems.aspx?id=%2Fsites%2FRyanRent%2FGedeelde%20documenten%2FGeneral%2F01%5FRyanRent%26Co%2F01%5FWoningen%2FParallelweg%20110A%20Vlaardingen%2F3%5FVerhuur</t>
  </si>
  <si>
    <t>https://ryanrent.sharepoint.com/sites/RyanRent/Gedeelde%20documenten/Forms/AllItems.aspx?id=%2Fsites%2FRyanRent%2FGedeelde%20documenten%2FGeneral%2F01%5FRyanRent%26Co%2F01%5FWoningen%2FParallelweg%20110A%20Vlaardingen%2F2%5FInhuur%2F2%5FInhuurovereenkomsten</t>
  </si>
  <si>
    <t>Parkwonen</t>
  </si>
  <si>
    <t>Kruisplein 488A</t>
  </si>
  <si>
    <t>NL04 RABO 0307 5644 79</t>
  </si>
  <si>
    <t>0043</t>
  </si>
  <si>
    <t>Amperelaan 23</t>
  </si>
  <si>
    <t>8451BW</t>
  </si>
  <si>
    <t>Oudeschoot</t>
  </si>
  <si>
    <t>0623</t>
  </si>
  <si>
    <t>0044</t>
  </si>
  <si>
    <t>Pleinweg 101a</t>
  </si>
  <si>
    <t>3081JH</t>
  </si>
  <si>
    <t>3010</t>
  </si>
  <si>
    <t>https://ryanrent.sharepoint.com/sites/RyanRent/Gedeelde%20documenten/Forms/AllItems.aspx?id=%2Fsites%2FRyanRent%2FGedeelde%20documenten%2FGeneral%2F01%5FRyanRent%26Co%2F01%5FWoningen%2FPleinweg%20101a%2C%20Rotterdam</t>
  </si>
  <si>
    <t>https://ryanrent.sharepoint.com/sites/RyanRent/Gedeelde%20documenten/Forms/AllItems.aspx?id=%2Fsites%2FRyanRent%2FGedeelde%20documenten%2FGeneral%2F01%5FRyanRent%26Co%2F01%5FWoningen%2FPleinweg%20101a%2C%20Rotterdam%2F2%5FInhuur</t>
  </si>
  <si>
    <t>https://ryanrent.sharepoint.com/sites/RyanRent/Gedeelde%20documenten/Forms/AllItems.aspx?id=%2Fsites%2FRyanRent%2FGedeelde%20documenten%2FGeneral%2F01%5FRyanRent%26Co%2F01%5FWoningen%2FPleinweg%20101a%2C%20Rotterdam%2F3%5FVerhuur</t>
  </si>
  <si>
    <t>https://ryanrent.sharepoint.com/sites/RyanRent/Gedeelde%20documenten/Forms/AllItems.aspx?id=%2Fsites%2FRyanRent%2FGedeelde%20documenten%2FGeneral%2F01%5FRyanRent%26Co%2F01%5FWoningen%2FPleinweg%20101a%2C%20Rotterdam%2F2%5FInhuur%2F2%5FInhuurovereenkomsten</t>
  </si>
  <si>
    <t>0045</t>
  </si>
  <si>
    <t>Pleinweg 101b</t>
  </si>
  <si>
    <t>8110</t>
  </si>
  <si>
    <t>https://ryanrent.sharepoint.com/sites/RyanRent/Gedeelde%20documenten/Forms/AllItems.aspx?id=%2Fsites%2FRyanRent%2FGedeelde%20documenten%2FGeneral%2F01%5FRyanRent%26Co%2F01%5FWoningen%2FPleinweg%20101b%2C%20Rotterdam</t>
  </si>
  <si>
    <t>https://ryanrent.sharepoint.com/sites/RyanRent/Gedeelde%20documenten/Forms/AllItems.aspx?id=%2Fsites%2FRyanRent%2FGedeelde%20documenten%2FGeneral%2F01%5FRyanRent%26Co%2F01%5FWoningen%2FPleinweg%20101b%2C%20Rotterdam%2F2%5FInhuur</t>
  </si>
  <si>
    <t>https://ryanrent.sharepoint.com/sites/RyanRent/Gedeelde%20documenten/Forms/AllItems.aspx?id=%2Fsites%2FRyanRent%2FGedeelde%20documenten%2FGeneral%2F01%5FRyanRent%26Co%2F01%5FWoningen%2FPleinweg%20101b%2C%20Rotterdam%2F3%5FVerhuur</t>
  </si>
  <si>
    <t>https://ryanrent.sharepoint.com/sites/RyanRent/Gedeelde%20documenten/Forms/AllItems.aspx?id=%2Fsites%2FRyanRent%2FGedeelde%20documenten%2FGeneral%2F01%5FRyanRent%26Co%2F01%5FWoningen%2FPleinweg%20101b%2C%20Rotterdam%2F2%5FInhuur%2F2%5FInhuurovereenkomsten</t>
  </si>
  <si>
    <t>0046</t>
  </si>
  <si>
    <t>Nieuwenhoornstraat 46B</t>
  </si>
  <si>
    <t>3082 VJ</t>
  </si>
  <si>
    <t>3046</t>
  </si>
  <si>
    <t>https://ryanrent.sharepoint.com/sites/RyanRent/Gedeelde%20documenten/Forms/AllItems.aspx?id=%2Fsites%2FRyanRent%2FGedeelde%20documenten%2FGeneral%2F01%5FRyanRent%26Co%2F01%5FWoningen%2FNieuwenhoornstraat%2046B%2C%20Rotterdam</t>
  </si>
  <si>
    <t>https://ryanrent.sharepoint.com/sites/RyanRent/Gedeelde%20documenten/Forms/AllItems.aspx?id=%2Fsites%2FRyanRent%2FGedeelde%20documenten%2FGeneral%2F01%5FRyanRent%26Co%2F01%5FWoningen%2FNieuwenhoornstraat%2046B%2C%20Rotterdam%2F2%5FInhuur</t>
  </si>
  <si>
    <t>https://ryanrent.sharepoint.com/sites/RyanRent/Gedeelde%20documenten/Forms/AllItems.aspx?id=%2Fsites%2FRyanRent%2FGedeelde%20documenten%2FGeneral%2F01%5FRyanRent%26Co%2F01%5FWoningen%2FNieuwenhoornstraat%2046B%2C%20Rotterdam%2F3%5FVerhuur</t>
  </si>
  <si>
    <t>https://ryanrent.sharepoint.com/sites/RyanRent/Gedeelde%20documenten/Forms/AllItems.aspx?id=%2Fsites%2FRyanRent%2FGedeelde%20documenten%2FGeneral%2F01%5FRyanRent%26Co%2F01%5FWoningen%2FNieuwenhoornstraat%2046B%2C%20Rotterdam%2F2%5FInhuur%2F2%5FInhuurovereenkomsten</t>
  </si>
  <si>
    <t>UAB Techsome</t>
  </si>
  <si>
    <t>info@techsoma.lt</t>
  </si>
  <si>
    <t>Šėtos g. 116-311</t>
  </si>
  <si>
    <t>Kėdainiai</t>
  </si>
  <si>
    <t>95342265.0</t>
  </si>
  <si>
    <t>LT80 7300 0101 8868 2143</t>
  </si>
  <si>
    <t>2025-01-01</t>
  </si>
  <si>
    <t>2026-01-01</t>
  </si>
  <si>
    <t>Verlopen</t>
  </si>
  <si>
    <t>0047</t>
  </si>
  <si>
    <t>Bisschopstraat 68</t>
  </si>
  <si>
    <t>8325BD</t>
  </si>
  <si>
    <t>Vollenhove</t>
  </si>
  <si>
    <t>0246</t>
  </si>
  <si>
    <t>https://ryanrent.sharepoint.com/sites/RyanRent/Gedeelde%20documenten/Forms/AllItems.aspx?id=%2Fsites%2FRyanRent%2FGedeelde%20documenten%2FGeneral%2F01%5FRyanRent%26Co%2F01%5FWoningen%2FBisschopstraat%2068%2C%20Vollenhove</t>
  </si>
  <si>
    <t>https://ryanrent.sharepoint.com/sites/RyanRent/Gedeelde%20documenten/Forms/AllItems.aspx?id=%2Fsites%2FRyanRent%2FGedeelde%20documenten%2FGeneral%2F01%5FRyanRent%26Co%2F01%5FWoningen%2FBisschopstraat%2068%2C%20Vollenhove%2F2%5FInhuur</t>
  </si>
  <si>
    <t>https://ryanrent.sharepoint.com/sites/RyanRent/Gedeelde%20documenten/Forms/AllItems.aspx?id=%2Fsites%2FRyanRent%2FGedeelde%20documenten%2FGeneral%2F01%5FRyanRent%26Co%2F01%5FWoningen%2FBisschopstraat%2068%2C%20Vollenhove%2F3%5FVerhuur</t>
  </si>
  <si>
    <t>https://ryanrent.sharepoint.com/sites/RyanRent/Gedeelde%20documenten/Forms/AllItems.aspx?id=%2Fsites%2FRyanRent%2FGedeelde%20documenten%2FGeneral%2F01%5FRyanRent%26Co%2F01%5FWoningen%2FBisschopstraat%2068%2C%20Vollenhove%2F2%5FInhuur%2F2%5FInhuurovereenkomsten</t>
  </si>
  <si>
    <t>T. Hoolhorst</t>
  </si>
  <si>
    <t>t.hoolhorst@gmail.com</t>
  </si>
  <si>
    <t>Leliestraat 21</t>
  </si>
  <si>
    <t>Utrecht</t>
  </si>
  <si>
    <t>NL13 KNAB 0405 5294 14</t>
  </si>
  <si>
    <t>2022-03-01</t>
  </si>
  <si>
    <t>0048</t>
  </si>
  <si>
    <t>Bliek 41</t>
  </si>
  <si>
    <t>3225XB</t>
  </si>
  <si>
    <t>1841</t>
  </si>
  <si>
    <t>https://ryanrent.sharepoint.com/sites/RyanRent/Gedeelde%20documenten/Forms/AllItems.aspx?id=%2Fsites%2FRyanRent%2FGedeelde%20documenten%2FGeneral%2F01%5FRyanRent%26Co%2F01%5FWoningen%2FBliek%2041%2C%20Hellevoetsluis</t>
  </si>
  <si>
    <t>https://ryanrent.sharepoint.com/sites/RyanRent/Gedeelde%20documenten/Forms/AllItems.aspx?id=%2Fsites%2FRyanRent%2FGedeelde%20documenten%2FGeneral%2F01%5FRyanRent%26Co%2F01%5FWoningen%2FBliek%2041%2C%20Hellevoetsluis%2F2%5FInhuur</t>
  </si>
  <si>
    <t>https://ryanrent.sharepoint.com/sites/RyanRent/Gedeelde%20documenten/Forms/AllItems.aspx?id=%2Fsites%2FRyanRent%2FGedeelde%20documenten%2FGeneral%2F01%5FRyanRent%26Co%2F01%5FWoningen%2FBliek%2041%2C%20Hellevoetsluis%2F3%5FVerhuur</t>
  </si>
  <si>
    <t>https://ryanrent.sharepoint.com/sites/RyanRent/Gedeelde%20documenten/Forms/AllItems.aspx?id=%2Fsites%2FRyanRent%2FGedeelde%20documenten%2FGeneral%2F01%5FRyanRent%26Co%2F01%5FWoningen%2FBliek%2041%2C%20Hellevoetsluis%2F2%5FInhuur%2F2%5FInhuurovereenkomsten</t>
  </si>
  <si>
    <t>0049</t>
  </si>
  <si>
    <t>Bornerbroeksestraat 129A</t>
  </si>
  <si>
    <t>7601BE</t>
  </si>
  <si>
    <t>Almelo</t>
  </si>
  <si>
    <t>7229</t>
  </si>
  <si>
    <t>https://ryanrent.sharepoint.com/sites/RyanRent/Gedeelde%20documenten/Forms/AllItems.aspx?id=%2Fsites%2FRyanRent%2FGedeelde%20documenten%2FGeneral%2F01%5FRyanRent%26Co%2F01%5FWoningen%2FBornerbroeksestraat%20129a%2C%20Almelo</t>
  </si>
  <si>
    <t>https://ryanrent.sharepoint.com/sites/RyanRent/Gedeelde%20documenten/Forms/AllItems.aspx?id=%2Fsites%2FRyanRent%2FGedeelde%20documenten%2FGeneral%2F01%5FRyanRent%26Co%2F01%5FWoningen%2FBornerbroeksestraat%20129a%2C%20Almelo%2F2%5FInhuur</t>
  </si>
  <si>
    <t>https://ryanrent.sharepoint.com/sites/RyanRent/Gedeelde%20documenten/Forms/AllItems.aspx?id=%2Fsites%2FRyanRent%2FGedeelde%20documenten%2FGeneral%2F01%5FRyanRent%26Co%2F01%5FWoningen%2FBornerbroeksestraat%20129a%2C%20Almelo%2F3%5FVerhuur</t>
  </si>
  <si>
    <t>https://ryanrent.sharepoint.com/sites/RyanRent/Gedeelde%20documenten/Forms/AllItems.aspx?id=%2Fsites%2FRyanRent%2FGedeelde%20documenten%2FGeneral%2F01%5FRyanRent%26Co%2F01%5FWoningen%2FBornerbroeksestraat%20129a%2C%20Almelo%2F2%5FInhuur%2F2%5FInhuurovereenkomsten</t>
  </si>
  <si>
    <t>Dhr. J.L. Meerding</t>
  </si>
  <si>
    <t>jlmeerding@gmai.com</t>
  </si>
  <si>
    <t>Mauvezand 6</t>
  </si>
  <si>
    <t>Laren NH</t>
  </si>
  <si>
    <t>NL29 ABNA 0416 0042 29</t>
  </si>
  <si>
    <t>2022-09-01</t>
  </si>
  <si>
    <t>2027-08-31</t>
  </si>
  <si>
    <t>Team Unica B.V.</t>
  </si>
  <si>
    <t>facturen@teamunica.nl</t>
  </si>
  <si>
    <t>206 142 186 41</t>
  </si>
  <si>
    <t>Langeweg 15B</t>
  </si>
  <si>
    <t>Oostvoorne</t>
  </si>
  <si>
    <t>76348881</t>
  </si>
  <si>
    <t>0050</t>
  </si>
  <si>
    <t>Sint Josephstraat 61</t>
  </si>
  <si>
    <t>5017GD</t>
  </si>
  <si>
    <t>https://ryanrent.sharepoint.com/sites/RyanRent/Gedeelde%20documenten/Forms/AllItems.aspx?id=%2Fsites%2FRyanRent%2FGedeelde%20documenten%2FGeneral%2F01%5FRyanRent%26Co%2F01%5FWoningen%2FSint%20Josephstraat%2061%2C%20Tilburg</t>
  </si>
  <si>
    <t>https://ryanrent.sharepoint.com/sites/RyanRent/Gedeelde%20documenten/Forms/AllItems.aspx?id=%2Fsites%2FRyanRent%2FGedeelde%20documenten%2FGeneral%2F01%5FRyanRent%26Co%2F01%5FWoningen%2FSint%20Josephstraat%2061%2C%20Tilburg%2F2%5FInhuur</t>
  </si>
  <si>
    <t>https://ryanrent.sharepoint.com/sites/RyanRent/Gedeelde%20documenten/Forms/AllItems.aspx?id=%2Fsites%2FRyanRent%2FGedeelde%20documenten%2FGeneral%2F01%5FRyanRent%26Co%2F01%5FWoningen%2FSint%20Josephstraat%2061%2C%20Tilburg%2F3%5FVerhuur</t>
  </si>
  <si>
    <t>https://ryanrent.sharepoint.com/sites/RyanRent/Gedeelde%20documenten/Forms/AllItems.aspx?id=%2Fsites%2FRyanRent%2FGedeelde%20documenten%2FGeneral%2F01%5FRyanRent%26Co%2F01%5FWoningen%2FSint%20Josephstraat%2061%2C%20Tilburg%2F2%5FInhuur%2F2%5FInhuurovereenkomsten</t>
  </si>
  <si>
    <t>2024-08-03</t>
  </si>
  <si>
    <t>2026-08-02</t>
  </si>
  <si>
    <t>Welcome Housing B.V.</t>
  </si>
  <si>
    <t>Invoices@hobij.nl</t>
  </si>
  <si>
    <t>0413-870000</t>
  </si>
  <si>
    <t>Heilig Hartplein 1</t>
  </si>
  <si>
    <t>Veghel</t>
  </si>
  <si>
    <t>0051</t>
  </si>
  <si>
    <t>Coehoorn van Scheltingaweg 12</t>
  </si>
  <si>
    <t>8442EX</t>
  </si>
  <si>
    <t>Heerenveen</t>
  </si>
  <si>
    <t>0312</t>
  </si>
  <si>
    <t>https://ryanrent.sharepoint.com/sites/RyanRent/Gedeelde%20documenten/Forms/AllItems.aspx?id=%2Fsites%2FRyanRent%2FGedeelde%20documenten%2FGeneral%2F01%5FRyanRent%26Co%2F01%5FWoningen%2FCoehoorn%20van%20Scheltingaweg%2012%2C%20Heerenveen</t>
  </si>
  <si>
    <t>https://ryanrent.sharepoint.com/sites/RyanRent/Gedeelde%20documenten/Forms/AllItems.aspx?id=%2Fsites%2FRyanRent%2FGedeelde%20documenten%2FGeneral%2F01%5FRyanRent%26Co%2F01%5FWoningen%2FCoehoorn%20van%20Scheltingaweg%2012%2C%20Heerenveen%2F2%5FInhuur</t>
  </si>
  <si>
    <t>https://ryanrent.sharepoint.com/sites/RyanRent/Gedeelde%20documenten/Forms/AllItems.aspx?id=%2Fsites%2FRyanRent%2FGedeelde%20documenten%2FGeneral%2F01%5FRyanRent%26Co%2F01%5FWoningen%2FCoehoorn%20van%20Scheltingaweg%2012%2C%20Heerenveen%2F3%5FVerhuur</t>
  </si>
  <si>
    <t>https://ryanrent.sharepoint.com/sites/RyanRent/Gedeelde%20documenten/Forms/AllItems.aspx?id=%2Fsites%2FRyanRent%2FGedeelde%20documenten%2FGeneral%2F01%5FRyanRent%26Co%2F01%5FWoningen%2FCoehoorn%20van%20Scheltingaweg%2012%2C%20Heerenveen%2F2%5FInhuur%2F2%5FInhuurovereenkomsten</t>
  </si>
  <si>
    <t>0052</t>
  </si>
  <si>
    <t>Coehoorn van Scheltingaweg 66</t>
  </si>
  <si>
    <t>8442GA</t>
  </si>
  <si>
    <t>8366</t>
  </si>
  <si>
    <t>0053</t>
  </si>
  <si>
    <t xml:space="preserve">Curcumastraat 39 </t>
  </si>
  <si>
    <t>3193XA</t>
  </si>
  <si>
    <t>Hoogvliet</t>
  </si>
  <si>
    <t>3124</t>
  </si>
  <si>
    <t>https://ryanrent.sharepoint.com/sites/RyanRent/Gedeelde%20documenten/Forms/AllItems.aspx?id=%2Fsites%2FRyanRent%2FGedeelde%20documenten%2FGeneral%2F01%5FRyanRent%26Co%2F01%5FWoningen%2FCurcumastraat%2039%2C%20Hoogvliet</t>
  </si>
  <si>
    <t>https://ryanrent.sharepoint.com/sites/RyanRent/Gedeelde%20documenten/Forms/AllItems.aspx?id=%2Fsites%2FRyanRent%2FGedeelde%20documenten%2FGeneral%2F01%5FRyanRent%26Co%2F01%5FWoningen%2FCurcumastraat%2039%2C%20Hoogvliet%2F2%5FInhuur</t>
  </si>
  <si>
    <t>https://ryanrent.sharepoint.com/sites/RyanRent/Gedeelde%20documenten/Forms/AllItems.aspx?id=%2Fsites%2FRyanRent%2FGedeelde%20documenten%2FGeneral%2F01%5FRyanRent%26Co%2F01%5FWoningen%2FCurcumastraat%2039%2C%20Hoogvliet%2F3%5FVerhuur</t>
  </si>
  <si>
    <t>https://ryanrent.sharepoint.com/sites/RyanRent/Gedeelde%20documenten/Forms/AllItems.aspx?id=%2Fsites%2FRyanRent%2FGedeelde%20documenten%2FGeneral%2F01%5FRyanRent%26Co%2F01%5FWoningen%2FCurcumastraat%2039%2C%20Hoogvliet%2F2%5FInhuur%2F2%5FInhuurovereenkomsten</t>
  </si>
  <si>
    <t>0054</t>
  </si>
  <si>
    <t>De Gasperistraat 11</t>
  </si>
  <si>
    <t>4463 KJ</t>
  </si>
  <si>
    <t>Goes</t>
  </si>
  <si>
    <t>0911</t>
  </si>
  <si>
    <t>0055</t>
  </si>
  <si>
    <t>Baanhoek 139</t>
  </si>
  <si>
    <t>3361 GC</t>
  </si>
  <si>
    <t>Sliedrecht</t>
  </si>
  <si>
    <t>6139</t>
  </si>
  <si>
    <t>https://ryanrent.sharepoint.com/sites/RyanRent/Gedeelde%20documenten/Forms/AllItems.aspx?id=%2Fsites%2FRyanRent%2FGedeelde%20documenten%2FGeneral%2F01%5FRyanRent%26Co%2F01%5FWoningen%2FBaanhoek%20139%2C%20Sliedrecht</t>
  </si>
  <si>
    <t>https://ryanrent.sharepoint.com/sites/RyanRent/Gedeelde%20documenten/Forms/AllItems.aspx?id=%2Fsites%2FRyanRent%2FGedeelde%20documenten%2FGeneral%2F01%5FRyanRent%26Co%2F01%5FWoningen%2FBaanhoek%20139%2C%20Sliedrecht%2F2%5FInhuur</t>
  </si>
  <si>
    <t>https://ryanrent.sharepoint.com/sites/RyanRent/Gedeelde%20documenten/Forms/AllItems.aspx?id=%2Fsites%2FRyanRent%2FGedeelde%20documenten%2FGeneral%2F01%5FRyanRent%26Co%2F01%5FWoningen%2FBaanhoek%20139%2C%20Sliedrecht%2F3%5FVerhuur</t>
  </si>
  <si>
    <t>https://ryanrent.sharepoint.com/sites/RyanRent/Gedeelde%20documenten/Forms/AllItems.aspx?id=%2Fsites%2FRyanRent%2FGedeelde%20documenten%2FGeneral%2F01%5FRyanRent%26Co%2F01%5FWoningen%2FBaanhoek%20139%2C%20Sliedrecht%2F2%5FInhuur%2F2%5FInhuurovereenkomsten</t>
  </si>
  <si>
    <t>0056</t>
  </si>
  <si>
    <t>De Hooidollen 606</t>
  </si>
  <si>
    <t>8918JZ</t>
  </si>
  <si>
    <t>Leeuwarden</t>
  </si>
  <si>
    <t>2506</t>
  </si>
  <si>
    <t>https://ryanrent.sharepoint.com/sites/RyanRent/Gedeelde%20documenten/Forms/AllItems.aspx?id=%2Fsites%2FRyanRent%2FGedeelde%20documenten%2FGeneral%2F01%5FRyanRent%26Co%2F01%5FWoningen%2FDe%20Hooidollen%20606%2C%20Leeuwarden</t>
  </si>
  <si>
    <t>https://ryanrent.sharepoint.com/sites/RyanRent/Gedeelde%20documenten/Forms/AllItems.aspx?id=%2Fsites%2FRyanRent%2FGedeelde%20documenten%2FGeneral%2F01%5FRyanRent%26Co%2F01%5FWoningen%2FDe%20Hooidollen%20606%2C%20Leeuwarden%2F2%5FInhuur</t>
  </si>
  <si>
    <t>https://ryanrent.sharepoint.com/sites/RyanRent/Gedeelde%20documenten/Forms/AllItems.aspx?id=%2Fsites%2FRyanRent%2FGedeelde%20documenten%2FGeneral%2F01%5FRyanRent%26Co%2F01%5FWoningen%2FDe%20Hooidollen%20606%2C%20Leeuwarden%2F3%5FVerhuur</t>
  </si>
  <si>
    <t>https://ryanrent.sharepoint.com/sites/RyanRent/Gedeelde%20documenten/Forms/AllItems.aspx?id=%2Fsites%2FRyanRent%2FGedeelde%20documenten%2FGeneral%2F01%5FRyanRent%26Co%2F01%5FWoningen%2FDe%20Hooidollen%20606%2C%20Leeuwarden%2F2%5FInhuur%2F2%5FInhuurovereenkomsten</t>
  </si>
  <si>
    <t>0057</t>
  </si>
  <si>
    <t xml:space="preserve">Markt 5 </t>
  </si>
  <si>
    <t>3142 GE</t>
  </si>
  <si>
    <t>https://ryanrent.sharepoint.com/sites/RyanRent/Gedeelde%20documenten/Forms/AllItems.aspx?id=%2Fsites%2FRyanRent%2FGedeelde%20documenten%2FGeneral%2F01%5FRyanRent%26Co%2F01%5FWoningen%2FMarkt%205%2C%20Maassluis</t>
  </si>
  <si>
    <t>https://ryanrent.sharepoint.com/sites/RyanRent/Gedeelde%20documenten/Forms/AllItems.aspx?id=%2Fsites%2FRyanRent%2FGedeelde%20documenten%2FGeneral%2F01%5FRyanRent%26Co%2F01%5FWoningen%2FMarkt%205%2C%20Maassluis%2F2%5FInhuur</t>
  </si>
  <si>
    <t>https://ryanrent.sharepoint.com/sites/RyanRent/Gedeelde%20documenten/Forms/AllItems.aspx?id=%2Fsites%2FRyanRent%2FGedeelde%20documenten%2FGeneral%2F01%5FRyanRent%26Co%2F01%5FWoningen%2FMarkt%205%2C%20Maassluis%2F3%5FVerhuur</t>
  </si>
  <si>
    <t>https://ryanrent.sharepoint.com/sites/RyanRent/Gedeelde%20documenten/Forms/AllItems.aspx?id=%2Fsites%2FRyanRent%2FGedeelde%20documenten%2FGeneral%2F01%5FRyanRent%26Co%2F01%5FWoningen%2FMarkt%205%2C%20Maassluis%2F2%5FInhuur%2F2%5FInhuurovereenkomsten</t>
  </si>
  <si>
    <t>0058</t>
  </si>
  <si>
    <t>Deugenweerd 18</t>
  </si>
  <si>
    <t>7271XT</t>
  </si>
  <si>
    <t>Borculo</t>
  </si>
  <si>
    <t>2418</t>
  </si>
  <si>
    <t>Dhr. T. Roestenberg en Mw. Roestenberg - Hustinx</t>
  </si>
  <si>
    <t>timoroestenberg@hotmail.com</t>
  </si>
  <si>
    <t>06 199 144 13</t>
  </si>
  <si>
    <t>De Haarmansenk 7</t>
  </si>
  <si>
    <t>Schalkhaar</t>
  </si>
  <si>
    <t>NL42 ASNB 8832 1748 71</t>
  </si>
  <si>
    <t>0059</t>
  </si>
  <si>
    <t>Dieptol 63</t>
  </si>
  <si>
    <t>8332BK</t>
  </si>
  <si>
    <t xml:space="preserve">Steenwijk </t>
  </si>
  <si>
    <t>1063</t>
  </si>
  <si>
    <t>https://ryanrent.sharepoint.com/sites/RyanRent/Gedeelde%20documenten/Forms/AllItems.aspx?id=%2Fsites%2FRyanRent%2FGedeelde%20documenten%2FGeneral%2F01%5FRyanRent%26Co%2F01%5FWoningen%2FDieptol%2063%2C%20Steenwijk</t>
  </si>
  <si>
    <t>https://ryanrent.sharepoint.com/sites/RyanRent/Gedeelde%20documenten/Forms/AllItems.aspx?id=%2Fsites%2FRyanRent%2FGedeelde%20documenten%2FGeneral%2F01%5FRyanRent%26Co%2F01%5FWoningen%2FDieptol%2063%2C%20Steenwijk%2F2%5FInhuur</t>
  </si>
  <si>
    <t>https://ryanrent.sharepoint.com/sites/RyanRent/Gedeelde%20documenten/Forms/AllItems.aspx?id=%2Fsites%2FRyanRent%2FGedeelde%20documenten%2FGeneral%2F01%5FRyanRent%26Co%2F01%5FWoningen%2FDieptol%2063%2C%20Steenwijk%2F3%5FVerhuur</t>
  </si>
  <si>
    <t>https://ryanrent.sharepoint.com/sites/RyanRent/Gedeelde%20documenten/Forms/AllItems.aspx?id=%2Fsites%2FRyanRent%2FGedeelde%20documenten%2FGeneral%2F01%5FRyanRent%26Co%2F01%5FWoningen%2FDieptol%2063%2C%20Steenwijk%2F2%5FInhuur%2F2%5FInhuurovereenkomsten</t>
  </si>
  <si>
    <t>0060</t>
  </si>
  <si>
    <t>Besterdring 6</t>
  </si>
  <si>
    <t>5014 HG</t>
  </si>
  <si>
    <t>1405</t>
  </si>
  <si>
    <t>0061</t>
  </si>
  <si>
    <t xml:space="preserve">Dwarsweg 44 </t>
  </si>
  <si>
    <t>3181HG</t>
  </si>
  <si>
    <t xml:space="preserve"> 0244</t>
  </si>
  <si>
    <t>9090</t>
  </si>
  <si>
    <t>https://ryanrent.sharepoint.com/sites/RyanRent/Gedeelde%20documenten/Forms/AllItems.aspx?id=%2Fsites%2FRyanRent%2FGedeelde%20documenten%2FGeneral%2F01%5FRyanRent%26Co%2F01%5FWoningen%2FDwarsweg%2044%2C%20Rozenburg</t>
  </si>
  <si>
    <t>https://ryanrent.sharepoint.com/sites/RyanRent/Gedeelde%20documenten/Forms/AllItems.aspx?id=%2Fsites%2FRyanRent%2FGedeelde%20documenten%2FGeneral%2F01%5FRyanRent%26Co%2F01%5FWoningen%2FDwarsweg%2044%2C%20Rozenburg%2F2%5FInhuur</t>
  </si>
  <si>
    <t>https://ryanrent.sharepoint.com/sites/RyanRent/Gedeelde%20documenten/Forms/AllItems.aspx?id=%2Fsites%2FRyanRent%2FGedeelde%20documenten%2FGeneral%2F01%5FRyanRent%26Co%2F01%5FWoningen%2FDwarsweg%2044%2C%20Rozenburg%2F3%5FVerhuur</t>
  </si>
  <si>
    <t>https://ryanrent.sharepoint.com/sites/RyanRent/Gedeelde%20documenten/Forms/AllItems.aspx?id=%2Fsites%2FRyanRent%2FGedeelde%20documenten%2FGeneral%2F01%5FRyanRent%26Co%2F01%5FWoningen%2FDwarsweg%2044%2C%20Rozenburg%2F2%5FInhuur%2F2%5FInhuurovereenkomsten</t>
  </si>
  <si>
    <t>Hugo Vastgoed B.V.</t>
  </si>
  <si>
    <t>administratie@hemobeheer.nl</t>
  </si>
  <si>
    <t>2076 515 45 06</t>
  </si>
  <si>
    <t>Academiesingel 37 A</t>
  </si>
  <si>
    <t>BREDA</t>
  </si>
  <si>
    <t>81215169.0</t>
  </si>
  <si>
    <t>NL06 ABNA 0889 9369 43</t>
  </si>
  <si>
    <t>onbepaalde tijd</t>
  </si>
  <si>
    <t>0062</t>
  </si>
  <si>
    <t>Eendrachtstraat 22</t>
  </si>
  <si>
    <t>3241CD</t>
  </si>
  <si>
    <t>Middelharnis</t>
  </si>
  <si>
    <t>8522</t>
  </si>
  <si>
    <t>0063</t>
  </si>
  <si>
    <t>Energieweg 40</t>
  </si>
  <si>
    <t>3133EC</t>
  </si>
  <si>
    <t>1140</t>
  </si>
  <si>
    <t>https://ryanrent.sharepoint.com/sites/RyanRent/Gedeelde%20documenten/Forms/AllItems.aspx?id=%2Fsites%2FRyanRent%2FGedeelde%20documenten%2FGeneral%2F01%5FRyanRent%26Co%2F01%5FWoningen%2FEnergieweg%2040%2C%20Vlaardingen</t>
  </si>
  <si>
    <t>https://ryanrent.sharepoint.com/sites/RyanRent/Gedeelde%20documenten/Forms/AllItems.aspx?id=%2Fsites%2FRyanRent%2FGedeelde%20documenten%2FGeneral%2F01%5FRyanRent%26Co%2F01%5FWoningen%2FEnergieweg%2040%2C%20Vlaardingen%2F2%5FInhuur</t>
  </si>
  <si>
    <t>https://ryanrent.sharepoint.com/sites/RyanRent/Gedeelde%20documenten/Forms/AllItems.aspx?id=%2Fsites%2FRyanRent%2FGedeelde%20documenten%2FGeneral%2F01%5FRyanRent%26Co%2F01%5FWoningen%2FEnergieweg%2040%2C%20Vlaardingen%2F3%5FVerhuur</t>
  </si>
  <si>
    <t>https://ryanrent.sharepoint.com/sites/RyanRent/Gedeelde%20documenten/Forms/AllItems.aspx?id=%2Fsites%2FRyanRent%2FGedeelde%20documenten%2FGeneral%2F01%5FRyanRent%26Co%2F01%5FWoningen%2FEnergieweg%2040%2C%20Vlaardingen%2F2%5FInhuur%2F2%5FInhuurovereenkomsten</t>
  </si>
  <si>
    <t>0064</t>
  </si>
  <si>
    <t>Enk 6</t>
  </si>
  <si>
    <t>7621ES</t>
  </si>
  <si>
    <t>Borne</t>
  </si>
  <si>
    <t>7806</t>
  </si>
  <si>
    <t>https://ryanrent.sharepoint.com/sites/RyanRent/Gedeelde%20documenten/Forms/AllItems.aspx?id=%2Fsites%2FRyanRent%2FGedeelde%20documenten%2FGeneral%2F01%5FRyanRent%26Co%2F01%5FWoningen%2FEnk%206%2C%20Borne</t>
  </si>
  <si>
    <t>https://ryanrent.sharepoint.com/sites/RyanRent/Gedeelde%20documenten/Forms/AllItems.aspx?id=%2Fsites%2FRyanRent%2FGedeelde%20documenten%2FGeneral%2F01%5FRyanRent%26Co%2F01%5FWoningen%2FEnk%206%2C%20Borne%2F2%5FInhuur</t>
  </si>
  <si>
    <t>https://ryanrent.sharepoint.com/sites/RyanRent/Gedeelde%20documenten/Forms/AllItems.aspx?id=%2Fsites%2FRyanRent%2FGedeelde%20documenten%2FGeneral%2F01%5FRyanRent%26Co%2F01%5FWoningen%2FEnk%206%2C%20Borne%2F3%5FVerhuur</t>
  </si>
  <si>
    <t>https://ryanrent.sharepoint.com/sites/RyanRent/Gedeelde%20documenten/Forms/AllItems.aspx?id=%2Fsites%2FRyanRent%2FGedeelde%20documenten%2FGeneral%2F01%5FRyanRent%26Co%2F01%5FWoningen%2FEnk%206%2C%20Borne%2F2%5FInhuur%2F2%5FInhuurovereenkomsten</t>
  </si>
  <si>
    <t>0065</t>
  </si>
  <si>
    <t xml:space="preserve">Esdoornlaan 68 </t>
  </si>
  <si>
    <t>3181XD</t>
  </si>
  <si>
    <t>1768</t>
  </si>
  <si>
    <t>https://ryanrent.sharepoint.com/sites/RyanRent/Gedeelde%20documenten/Forms/AllItems.aspx?id=%2Fsites%2FRyanRent%2FGedeelde%20documenten%2FGeneral%2F01%5FRyanRent%26Co%2F01%5FWoningen%2FEsdoornlaan%2068%2C%20Rozenburg</t>
  </si>
  <si>
    <t>https://ryanrent.sharepoint.com/sites/RyanRent/Gedeelde%20documenten/Forms/AllItems.aspx?id=%2Fsites%2FRyanRent%2FGedeelde%20documenten%2FGeneral%2F01%5FRyanRent%26Co%2F01%5FWoningen%2FEsdoornlaan%2068%2C%20Rozenburg%2F2%5FInhuur</t>
  </si>
  <si>
    <t>https://ryanrent.sharepoint.com/sites/RyanRent/Gedeelde%20documenten/Forms/AllItems.aspx?id=%2Fsites%2FRyanRent%2FGedeelde%20documenten%2FGeneral%2F01%5FRyanRent%26Co%2F01%5FWoningen%2FEsdoornlaan%2068%2C%20Rozenburg%2F3%5FVerhuur</t>
  </si>
  <si>
    <t>https://ryanrent.sharepoint.com/sites/RyanRent/Gedeelde%20documenten/Forms/AllItems.aspx?id=%2Fsites%2FRyanRent%2FGedeelde%20documenten%2FGeneral%2F01%5FRyanRent%26Co%2F01%5FWoningen%2FEsdoornlaan%2068%2C%20Rozenburg%2F2%5FInhuur%2F2%5FInhuurovereenkomsten</t>
  </si>
  <si>
    <t>0066</t>
  </si>
  <si>
    <t>Dorpsstraat 73</t>
  </si>
  <si>
    <t>2841 BH</t>
  </si>
  <si>
    <t>Moordrecht</t>
  </si>
  <si>
    <t>4173</t>
  </si>
  <si>
    <t>https://ryanrent.sharepoint.com/sites/RyanRent/Gedeelde%20documenten/Forms/AllItems.aspx?id=%2Fsites%2FRyanRent%2FGedeelde%20documenten%2FGeneral%2F01%5FRyanRent%26Co%2F01%5FWoningen%2FDorpsstraat%2073%2C%20Moordrecht</t>
  </si>
  <si>
    <t>https://ryanrent.sharepoint.com/sites/RyanRent/Gedeelde%20documenten/Forms/AllItems.aspx?id=%2Fsites%2FRyanRent%2FGedeelde%20documenten%2FGeneral%2F01%5FRyanRent%26Co%2F01%5FWoningen%2FDorpsstraat%2073%2C%20Moordrecht%2F2%5FInhuur</t>
  </si>
  <si>
    <t>https://ryanrent.sharepoint.com/sites/RyanRent/Gedeelde%20documenten/Forms/AllItems.aspx?id=%2Fsites%2FRyanRent%2FGedeelde%20documenten%2FGeneral%2F01%5FRyanRent%26Co%2F01%5FWoningen%2FDorpsstraat%2073%2C%20Moordrecht%2F3%5FVerhuur</t>
  </si>
  <si>
    <t>https://ryanrent.sharepoint.com/sites/RyanRent/Gedeelde%20documenten/Forms/AllItems.aspx?id=%2Fsites%2FRyanRent%2FGedeelde%20documenten%2FGeneral%2F01%5FRyanRent%26Co%2F01%5FWoningen%2FDorpsstraat%2073%2C%20Moordrecht%2F2%5FInhuur%2F2%5FInhuurovereenkomsten</t>
  </si>
  <si>
    <t>Maatschap vd Vlist -Teuben</t>
  </si>
  <si>
    <t>0067</t>
  </si>
  <si>
    <t>Franz Liszstraat 5</t>
  </si>
  <si>
    <t>4536EA</t>
  </si>
  <si>
    <t>Terneuzen</t>
  </si>
  <si>
    <t>4405</t>
  </si>
  <si>
    <t>https://ryanrent.sharepoint.com/sites/RyanRent/Gedeelde%20documenten/Forms/AllItems.aspx?id=%2Fsites%2FRyanRent%2FGedeelde%20documenten%2FGeneral%2F01%5FRyanRent%26Co%2F01%5FWoningen%2FFranzliszstraat%205%2C%20Terneuzen</t>
  </si>
  <si>
    <t>https://ryanrent.sharepoint.com/sites/RyanRent/Gedeelde%20documenten/Forms/AllItems.aspx?id=%2Fsites%2FRyanRent%2FGedeelde%20documenten%2FGeneral%2F01%5FRyanRent%26Co%2F01%5FWoningen%2FFranzliszstraat%205%2C%20Terneuzen%2F2%5FInhuur</t>
  </si>
  <si>
    <t>https://ryanrent.sharepoint.com/sites/RyanRent/Gedeelde%20documenten/Forms/AllItems.aspx?id=%2Fsites%2FRyanRent%2FGedeelde%20documenten%2FGeneral%2F01%5FRyanRent%26Co%2F01%5FWoningen%2FFranzliszstraat%205%2C%20Terneuzen%2F3%5FVerhuur</t>
  </si>
  <si>
    <t>https://ryanrent.sharepoint.com/sites/RyanRent/Gedeelde%20documenten/Forms/AllItems.aspx?id=%2Fsites%2FRyanRent%2FGedeelde%20documenten%2FGeneral%2F01%5FRyanRent%26Co%2F01%5FWoningen%2FFranzliszstraat%205%2C%20Terneuzen%2F2%5FInhuur%2F2%5FInhuurovereenkomsten</t>
  </si>
  <si>
    <t>Value+ Vastgoedmanagement</t>
  </si>
  <si>
    <t>2022-01-21</t>
  </si>
  <si>
    <t>2027-01-20</t>
  </si>
  <si>
    <t>0068</t>
  </si>
  <si>
    <t>F.Erensstraat 21</t>
  </si>
  <si>
    <t>6136JE</t>
  </si>
  <si>
    <t>Sittard</t>
  </si>
  <si>
    <t>1969</t>
  </si>
  <si>
    <t>0069</t>
  </si>
  <si>
    <t>Gaffelaar 3</t>
  </si>
  <si>
    <t>8802NR</t>
  </si>
  <si>
    <t>Franeker</t>
  </si>
  <si>
    <t>1970</t>
  </si>
  <si>
    <t>9191</t>
  </si>
  <si>
    <t>0070</t>
  </si>
  <si>
    <t>Geleenstraat 1</t>
  </si>
  <si>
    <t xml:space="preserve">6133XK </t>
  </si>
  <si>
    <t>7001</t>
  </si>
  <si>
    <t>https://ryanrent.sharepoint.com/sites/RyanRent/Gedeelde%20documenten/Forms/AllItems.aspx?id=%2Fsites%2FRyanRent%2FGedeelde%20documenten%2FGeneral%2F01%5FRyanRent%26Co%2F01%5FWoningen%2FGeleenstraat%201%2C%20Sittard</t>
  </si>
  <si>
    <t>https://ryanrent.sharepoint.com/sites/RyanRent/Gedeelde%20documenten/Forms/AllItems.aspx?id=%2Fsites%2FRyanRent%2FGedeelde%20documenten%2FGeneral%2F01%5FRyanRent%26Co%2F01%5FWoningen%2FGeleenstraat%201%2C%20Sittard%2F2%5FInhuur</t>
  </si>
  <si>
    <t>https://ryanrent.sharepoint.com/sites/RyanRent/Gedeelde%20documenten/Forms/AllItems.aspx?id=%2Fsites%2FRyanRent%2FGedeelde%20documenten%2FGeneral%2F01%5FRyanRent%26Co%2F01%5FWoningen%2FGeleenstraat%201%2C%20Sittard%2F3%5FVerhuur</t>
  </si>
  <si>
    <t>https://ryanrent.sharepoint.com/sites/RyanRent/Gedeelde%20documenten/Forms/AllItems.aspx?id=%2Fsites%2FRyanRent%2FGedeelde%20documenten%2FGeneral%2F01%5FRyanRent%26Co%2F01%5FWoningen%2FGeleenstraat%201%2C%20Sittard%2F2%5FInhuur%2F2%5FInhuurovereenkomsten</t>
  </si>
  <si>
    <t>0071</t>
  </si>
  <si>
    <t>H. Algraplein 25</t>
  </si>
  <si>
    <t>8802RE</t>
  </si>
  <si>
    <t>https://ryanrent.sharepoint.com/sites/RyanRent/Gedeelde%20documenten/Forms/AllItems.aspx?id=%2Fsites%2FRyanRent%2FGedeelde%20documenten%2FGeneral%2F01%5FRyanRent%26Co%2F01%5FWoningen%2FH.%20Algraplein%2025%2C%20Franeker</t>
  </si>
  <si>
    <t>https://ryanrent.sharepoint.com/sites/RyanRent/Gedeelde%20documenten/Forms/AllItems.aspx?id=%2Fsites%2FRyanRent%2FGedeelde%20documenten%2FGeneral%2F01%5FRyanRent%26Co%2F01%5FWoningen%2FH.%20Algraplein%2025%2C%20Franeker%2F2%5FInhuur</t>
  </si>
  <si>
    <t>https://ryanrent.sharepoint.com/sites/RyanRent/Gedeelde%20documenten/Forms/AllItems.aspx?id=%2Fsites%2FRyanRent%2FGedeelde%20documenten%2FGeneral%2F01%5FRyanRent%26Co%2F01%5FWoningen%2FH.%20Algraplein%2025%2C%20Franeker%2F3%5FVerhuur</t>
  </si>
  <si>
    <t>https://ryanrent.sharepoint.com/sites/RyanRent/Gedeelde%20documenten/Forms/AllItems.aspx?id=%2Fsites%2FRyanRent%2FGedeelde%20documenten%2FGeneral%2F01%5FRyanRent%26Co%2F01%5FWoningen%2FH.%20Algraplein%2025%2C%20Franeker%2F2%5FInhuur%2F2%5FInhuurovereenkomsten</t>
  </si>
  <si>
    <t>BJ Bakker</t>
  </si>
  <si>
    <t>bjbakker85@hotmail.com</t>
  </si>
  <si>
    <t>Spiens 3</t>
  </si>
  <si>
    <t>Dokkum</t>
  </si>
  <si>
    <t>NL36 RABO 0302 0165 70</t>
  </si>
  <si>
    <t>DIT en Larex Vakpersoneel B.V.</t>
  </si>
  <si>
    <t>factuur@ditenlarexvakpersoneel.nl</t>
  </si>
  <si>
    <t>06 117 50 200</t>
  </si>
  <si>
    <t>Maagdenburgstraat 10</t>
  </si>
  <si>
    <t>DEVENTER</t>
  </si>
  <si>
    <t>8116290.0</t>
  </si>
  <si>
    <t>NL17 RABO 0320 0278 72</t>
  </si>
  <si>
    <t>2025-08-16</t>
  </si>
  <si>
    <t>2026-06-15</t>
  </si>
  <si>
    <t>0072</t>
  </si>
  <si>
    <t>Heemskerkstraat 19</t>
  </si>
  <si>
    <t>9866AR</t>
  </si>
  <si>
    <t>Lutjegast</t>
  </si>
  <si>
    <t>https://ryanrent.sharepoint.com/sites/RyanRent/Gedeelde%20documenten/Forms/AllItems.aspx?id=%2Fsites%2FRyanRent%2FGedeelde%20documenten%2FGeneral%2F01%5FRyanRent%26Co%2F01%5FWoningen%2FHeemskerkstraat%2019%2C%20Lutjegast</t>
  </si>
  <si>
    <t>https://ryanrent.sharepoint.com/sites/RyanRent/Gedeelde%20documenten/Forms/AllItems.aspx?id=%2Fsites%2FRyanRent%2FGedeelde%20documenten%2FGeneral%2F01%5FRyanRent%26Co%2F01%5FWoningen%2FHeemskerkstraat%2019%2C%20Lutjegast%2F2%5FInhuur</t>
  </si>
  <si>
    <t>https://ryanrent.sharepoint.com/sites/RyanRent/Gedeelde%20documenten/Forms/AllItems.aspx?id=%2Fsites%2FRyanRent%2FGedeelde%20documenten%2FGeneral%2F01%5FRyanRent%26Co%2F01%5FWoningen%2FHeemskerkstraat%2019%2C%20Lutjegast%2F3%5FVerhuur</t>
  </si>
  <si>
    <t>https://ryanrent.sharepoint.com/sites/RyanRent/Gedeelde%20documenten/Forms/AllItems.aspx?id=%2Fsites%2FRyanRent%2FGedeelde%20documenten%2FGeneral%2F01%5FRyanRent%26Co%2F01%5FWoningen%2FHeemskerkstraat%2019%2C%20Lutjegast%2F2%5FInhuur%2F2%5FInhuurovereenkomsten</t>
  </si>
  <si>
    <t>0073</t>
  </si>
  <si>
    <t>Hendrik Deddenstraat 26</t>
  </si>
  <si>
    <t>8395PX</t>
  </si>
  <si>
    <t>Steggerda</t>
  </si>
  <si>
    <t>6426</t>
  </si>
  <si>
    <t>https://ryanrent.sharepoint.com/sites/RyanRent/Gedeelde%20documenten/Forms/AllItems.aspx?id=%2Fsites%2FRyanRent%2FGedeelde%20documenten%2FGeneral%2F01%5FRyanRent%26Co%2F01%5FWoningen%2FHendrik%20Deddenstraat%2026%2C%20Steggerda</t>
  </si>
  <si>
    <t>https://ryanrent.sharepoint.com/sites/RyanRent/Gedeelde%20documenten/Forms/AllItems.aspx?id=%2Fsites%2FRyanRent%2FGedeelde%20documenten%2FGeneral%2F01%5FRyanRent%26Co%2F01%5FWoningen%2FHendrik%20Deddenstraat%2026%2C%20Steggerda%2F2%5FInhuur</t>
  </si>
  <si>
    <t>https://ryanrent.sharepoint.com/sites/RyanRent/Gedeelde%20documenten/Forms/AllItems.aspx?id=%2Fsites%2FRyanRent%2FGedeelde%20documenten%2FGeneral%2F01%5FRyanRent%26Co%2F01%5FWoningen%2FHendrik%20Deddenstraat%2026%2C%20Steggerda%2F3%5FVerhuur</t>
  </si>
  <si>
    <t>https://ryanrent.sharepoint.com/sites/RyanRent/Gedeelde%20documenten/Forms/AllItems.aspx?id=%2Fsites%2FRyanRent%2FGedeelde%20documenten%2FGeneral%2F01%5FRyanRent%26Co%2F01%5FWoningen%2FHendrik%20Deddenstraat%2026%2C%20Steggerda%2F2%5FInhuur%2F2%5FInhuurovereenkomsten</t>
  </si>
  <si>
    <t>0074</t>
  </si>
  <si>
    <t>Mgr. W.M. Bekkerslaan 34</t>
  </si>
  <si>
    <t>3141SK</t>
  </si>
  <si>
    <t>Fransen Vastgoed / Holland Huisvesting B.V.</t>
  </si>
  <si>
    <t>info@fransenvastgoed.nl</t>
  </si>
  <si>
    <t>Lekdreef 2</t>
  </si>
  <si>
    <t>Krimpen aan de Lek</t>
  </si>
  <si>
    <t>NL80 RABO 0190 7126 43</t>
  </si>
  <si>
    <t>0075</t>
  </si>
  <si>
    <t>Hoofdstraat 110</t>
  </si>
  <si>
    <t>5473AT</t>
  </si>
  <si>
    <t>Heeswijk-Dinther</t>
  </si>
  <si>
    <t>2710</t>
  </si>
  <si>
    <t>https://ryanrent.sharepoint.com/sites/RyanRent/Gedeelde%20documenten/Forms/AllItems.aspx?id=%2Fsites%2FRyanRent%2FGedeelde%20documenten%2FGeneral%2F01%5FRyanRent%26Co%2F01%5FWoningen%2FHoofdstraat%20110%2C%20Heeswijk</t>
  </si>
  <si>
    <t>https://ryanrent.sharepoint.com/sites/RyanRent/Gedeelde%20documenten/Forms/AllItems.aspx?id=%2Fsites%2FRyanRent%2FGedeelde%20documenten%2FGeneral%2F01%5FRyanRent%26Co%2F01%5FWoningen%2FHoofdstraat%20110%2C%20Heeswijk%2F2%5FInhuur</t>
  </si>
  <si>
    <t>https://ryanrent.sharepoint.com/sites/RyanRent/Gedeelde%20documenten/Forms/AllItems.aspx?id=%2Fsites%2FRyanRent%2FGedeelde%20documenten%2FGeneral%2F01%5FRyanRent%26Co%2F01%5FWoningen%2FHoofdstraat%20110%2C%20Heeswijk%2F3%5FVerhuur</t>
  </si>
  <si>
    <t>https://ryanrent.sharepoint.com/sites/RyanRent/Gedeelde%20documenten/Forms/AllItems.aspx?id=%2Fsites%2FRyanRent%2FGedeelde%20documenten%2FGeneral%2F01%5FRyanRent%26Co%2F01%5FWoningen%2FHoofdstraat%20110%2C%20Heeswijk%2F2%5FInhuur%2F2%5FInhuurovereenkomsten</t>
  </si>
  <si>
    <t>0076</t>
  </si>
  <si>
    <t>Molendijk 4</t>
  </si>
  <si>
    <t>3255AL</t>
  </si>
  <si>
    <t>Oude-Tonge</t>
  </si>
  <si>
    <t>5504</t>
  </si>
  <si>
    <t>https://ryanrent.sharepoint.com/sites/RyanRent/Gedeelde%20documenten/Forms/AllItems.aspx?id=%2Fsites%2FRyanRent%2FGedeelde%20documenten%2FGeneral%2F01%5FRyanRent%26Co%2F01%5FWoningen%2FMolendijk%204%2C%20Oude%20Tonge</t>
  </si>
  <si>
    <t>https://ryanrent.sharepoint.com/sites/RyanRent/Gedeelde%20documenten/Forms/AllItems.aspx?id=%2Fsites%2FRyanRent%2FGedeelde%20documenten%2FGeneral%2F01%5FRyanRent%26Co%2F01%5FWoningen%2FMolendijk%204%2C%20Oude%20Tonge%2F2%5FInhuur</t>
  </si>
  <si>
    <t>https://ryanrent.sharepoint.com/sites/RyanRent/Gedeelde%20documenten/Forms/AllItems.aspx?id=%2Fsites%2FRyanRent%2FGedeelde%20documenten%2FGeneral%2F01%5FRyanRent%26Co%2F01%5FWoningen%2FMolendijk%204%2C%20Oude%20Tonge%2F3%5FVerhuur</t>
  </si>
  <si>
    <t>https://ryanrent.sharepoint.com/sites/RyanRent/Gedeelde%20documenten/Forms/AllItems.aspx?id=%2Fsites%2FRyanRent%2FGedeelde%20documenten%2FGeneral%2F01%5FRyanRent%26Co%2F01%5FWoningen%2FMolendijk%204%2C%20Oude%20Tonge%2F2%5FInhuur%2F2%5FInhuurovereenkomsten</t>
  </si>
  <si>
    <t>J. van der Linde</t>
  </si>
  <si>
    <t>NL90 RABO 0352 2550 99</t>
  </si>
  <si>
    <t>2024-06-01</t>
  </si>
  <si>
    <t>2026-05-31</t>
  </si>
  <si>
    <t>Multiservizi Romania SRL</t>
  </si>
  <si>
    <t>amministrazionepythagoras@gmail.com</t>
  </si>
  <si>
    <t>Sector 1 str academiei nr 35-37 scb et2</t>
  </si>
  <si>
    <t>Bucuresti</t>
  </si>
  <si>
    <t>Roemenië</t>
  </si>
  <si>
    <t>0077</t>
  </si>
  <si>
    <t>Voorstraat 10</t>
  </si>
  <si>
    <t>3255AX</t>
  </si>
  <si>
    <t>5510</t>
  </si>
  <si>
    <t>https://ryanrent.sharepoint.com/sites/RyanRent/Gedeelde%20documenten/Forms/AllItems.aspx?id=%2Fsites%2FRyanRent%2FGedeelde%20documenten%2FGeneral%2F01%5FRyanRent%26Co%2F01%5FWoningen%2FVoorstraat%2010%2C%20Oude%20Tonge</t>
  </si>
  <si>
    <t>https://ryanrent.sharepoint.com/sites/RyanRent/Gedeelde%20documenten/Forms/AllItems.aspx?id=%2Fsites%2FRyanRent%2FGedeelde%20documenten%2FGeneral%2F01%5FRyanRent%26Co%2F01%5FWoningen%2FVoorstraat%2010%2C%20Oude%20Tonge%2F2%5FInhuur</t>
  </si>
  <si>
    <t>https://ryanrent.sharepoint.com/sites/RyanRent/Gedeelde%20documenten/Forms/AllItems.aspx?id=%2Fsites%2FRyanRent%2FGedeelde%20documenten%2FGeneral%2F01%5FRyanRent%26Co%2F01%5FWoningen%2FVoorstraat%2010%2C%20Oude%20Tonge%2F3%5FVerhuur</t>
  </si>
  <si>
    <t>https://ryanrent.sharepoint.com/sites/RyanRent/Gedeelde%20documenten/Forms/AllItems.aspx?id=%2Fsites%2FRyanRent%2FGedeelde%20documenten%2FGeneral%2F01%5FRyanRent%26Co%2F01%5FWoningen%2FVoorstraat%2010%2C%20Oude%20Tonge%2F2%5FInhuur%2F2%5FInhuurovereenkomsten</t>
  </si>
  <si>
    <t>J, van de Linde</t>
  </si>
  <si>
    <t>0078</t>
  </si>
  <si>
    <t>Hooizolder 6</t>
  </si>
  <si>
    <t>9205 CA</t>
  </si>
  <si>
    <t>Drachten</t>
  </si>
  <si>
    <t>9260</t>
  </si>
  <si>
    <t>https://ryanrent.sharepoint.com/sites/RyanRent/Gedeelde%20documenten/Forms/AllItems.aspx?id=%2Fsites%2FRyanRent%2FGedeelde%20documenten%2FGeneral%2F01%5FRyanRent%26Co%2F01%5FWoningen%2FHooizolder%206%2C%20Drachten</t>
  </si>
  <si>
    <t>https://ryanrent.sharepoint.com/sites/RyanRent/Gedeelde%20documenten/Forms/AllItems.aspx?id=%2Fsites%2FRyanRent%2FGedeelde%20documenten%2FGeneral%2F01%5FRyanRent%26Co%2F01%5FWoningen%2FHooizolder%206%2C%20Drachten%2F2%5FInhuur</t>
  </si>
  <si>
    <t>https://ryanrent.sharepoint.com/sites/RyanRent/Gedeelde%20documenten/Forms/AllItems.aspx?id=%2Fsites%2FRyanRent%2FGedeelde%20documenten%2FGeneral%2F01%5FRyanRent%26Co%2F01%5FWoningen%2FHooizolder%206%2C%20Drachten%2F3%5FVerhuur</t>
  </si>
  <si>
    <t>https://ryanrent.sharepoint.com/sites/RyanRent/Gedeelde%20documenten/Forms/AllItems.aspx?id=%2Fsites%2FRyanRent%2FGedeelde%20documenten%2FGeneral%2F01%5FRyanRent%26Co%2F01%5FWoningen%2FHooizolder%206%2C%20Drachten%2F2%5FInhuur%2F2%5FInhuurovereenkomsten</t>
  </si>
  <si>
    <t>0079</t>
  </si>
  <si>
    <t>Ploegstraat 2a</t>
  </si>
  <si>
    <t>3114NP</t>
  </si>
  <si>
    <t>3102</t>
  </si>
  <si>
    <t>https://ryanrent.sharepoint.com/sites/RyanRent/Gedeelde%20documenten/Forms/AllItems.aspx?id=%2Fsites%2FRyanRent%2FGedeelde%20documenten%2FGeneral%2F01%5FRyanRent%26Co%2F01%5FWoningen%2FPloegstraat%202A%2C%20Schiedam</t>
  </si>
  <si>
    <t>https://ryanrent.sharepoint.com/sites/RyanRent/Gedeelde%20documenten/Forms/AllItems.aspx?id=%2Fsites%2FRyanRent%2FGedeelde%20documenten%2FGeneral%2F01%5FRyanRent%26Co%2F01%5FWoningen%2FPloegstraat%202A%2C%20Schiedam%2F2%5FInhuur</t>
  </si>
  <si>
    <t>https://ryanrent.sharepoint.com/sites/RyanRent/Gedeelde%20documenten/Forms/AllItems.aspx?id=%2Fsites%2FRyanRent%2FGedeelde%20documenten%2FGeneral%2F01%5FRyanRent%26Co%2F01%5FWoningen%2FPloegstraat%202A%2C%20Schiedam%2F3%5FVerhuur</t>
  </si>
  <si>
    <t>https://ryanrent.sharepoint.com/sites/RyanRent/Gedeelde%20documenten/Forms/AllItems.aspx?id=%2Fsites%2FRyanRent%2FGedeelde%20documenten%2FGeneral%2F01%5FRyanRent%26Co%2F01%5FWoningen%2FPloegstraat%202A%2C%20Schiedam%2F2%5FInhuur%2F2%5FInhuurovereenkomsten</t>
  </si>
  <si>
    <t>Houses2Rent</t>
  </si>
  <si>
    <t>info@houses2rent.nl</t>
  </si>
  <si>
    <t>06-20877085</t>
  </si>
  <si>
    <t>Stellingmolen 42</t>
  </si>
  <si>
    <t>NL17 INGB 0390 7692 58</t>
  </si>
  <si>
    <t>0080</t>
  </si>
  <si>
    <t>Voorstraat 25</t>
  </si>
  <si>
    <t>3135HV</t>
  </si>
  <si>
    <t>3125</t>
  </si>
  <si>
    <t>https://ryanrent.sharepoint.com/sites/RyanRent/Gedeelde%20documenten/Forms/AllItems.aspx?id=%2Fsites%2FRyanRent%2FGedeelde%20documenten%2FGeneral%2F01%5FRyanRent%26Co%2F01%5FWoningen%2FVoorstraat%2025%2C%20Vlaardingen</t>
  </si>
  <si>
    <t>https://ryanrent.sharepoint.com/sites/RyanRent/Gedeelde%20documenten/Forms/AllItems.aspx?id=%2Fsites%2FRyanRent%2FGedeelde%20documenten%2FGeneral%2F01%5FRyanRent%26Co%2F01%5FWoningen%2FVoorstraat%2025%2C%20Vlaardingen%2F2%5FInhuur</t>
  </si>
  <si>
    <t>https://ryanrent.sharepoint.com/sites/RyanRent/Gedeelde%20documenten/Forms/AllItems.aspx?id=%2Fsites%2FRyanRent%2FGedeelde%20documenten%2FGeneral%2F01%5FRyanRent%26Co%2F01%5FWoningen%2FVoorstraat%2025%2C%20Vlaardingen%2F3%5FVerhuur</t>
  </si>
  <si>
    <t>https://ryanrent.sharepoint.com/sites/RyanRent/Gedeelde%20documenten/Forms/AllItems.aspx?id=%2Fsites%2FRyanRent%2FGedeelde%20documenten%2FGeneral%2F01%5FRyanRent%26Co%2F01%5FWoningen%2FVoorstraat%2025%2C%20Vlaardingen%2F2%5FInhuur%2F2%5FInhuurovereenkomsten</t>
  </si>
  <si>
    <t>2025-06-06</t>
  </si>
  <si>
    <t>0081</t>
  </si>
  <si>
    <t>Patrijsstraat 39</t>
  </si>
  <si>
    <t>3353AZ</t>
  </si>
  <si>
    <t>Papendrecht</t>
  </si>
  <si>
    <t>https://ryanrent.sharepoint.com/sites/RyanRent/Gedeelde%20documenten/Forms/AllItems.aspx?id=%2Fsites%2FRyanRent%2FGedeelde%20documenten%2FGeneral%2F01%5FRyanRent%26Co%2F01%5FWoningen%2FPatrijsstraat%2039%20Papendrecht</t>
  </si>
  <si>
    <t>https://ryanrent.sharepoint.com/sites/RyanRent/Gedeelde%20documenten/Forms/AllItems.aspx?id=%2Fsites%2FRyanRent%2FGedeelde%20documenten%2FGeneral%2F01%5FRyanRent%26Co%2F01%5FWoningen%2FPatrijsstraat%2039%20Papendrecht%2F2%5FInhuur</t>
  </si>
  <si>
    <t>https://ryanrent.sharepoint.com/sites/RyanRent/Gedeelde%20documenten/Forms/AllItems.aspx?id=%2Fsites%2FRyanRent%2FGedeelde%20documenten%2FGeneral%2F01%5FRyanRent%26Co%2F01%5FWoningen%2FPatrijsstraat%2039%20Papendrecht%2F3%5FVerhuur</t>
  </si>
  <si>
    <t>https://ryanrent.sharepoint.com/sites/RyanRent/Gedeelde%20documenten/Forms/AllItems.aspx?id=%2Fsites%2FRyanRent%2FGedeelde%20documenten%2FGeneral%2F01%5FRyanRent%26Co%2F01%5FWoningen%2FPatrijsstraat%2039%20Papendrecht%2F2%5FInhuur%2F2%5FInhuurovereenkomsten</t>
  </si>
  <si>
    <t>G.K. Stoel</t>
  </si>
  <si>
    <t>rolfstoel@hotmail.com</t>
  </si>
  <si>
    <t>06-14901449</t>
  </si>
  <si>
    <t>0082</t>
  </si>
  <si>
    <t>Kanaal van Steenenhoek Z.Z. 10</t>
  </si>
  <si>
    <t>4202LS</t>
  </si>
  <si>
    <t>4210</t>
  </si>
  <si>
    <t>https://ryanrent.sharepoint.com/sites/RyanRent/Gedeelde%20documenten/Forms/AllItems.aspx?id=%2Fsites%2FRyanRent%2FGedeelde%20documenten%2FGeneral%2F01%5FRyanRent%26Co%2F01%5FWoningen%2FKanaal%20van%20Steenenhoek%20Z.%20Z.%2010%2C%20Gorinchem</t>
  </si>
  <si>
    <t>https://ryanrent.sharepoint.com/sites/RyanRent/Gedeelde%20documenten/Forms/AllItems.aspx?id=%2Fsites%2FRyanRent%2FGedeelde%20documenten%2FGeneral%2F01%5FRyanRent%26Co%2F01%5FWoningen%2FKanaal%20van%20Steenenhoek%20Z.%20Z.%2010%2C%20Gorinchem%2F2%5FInhuur</t>
  </si>
  <si>
    <t>https://ryanrent.sharepoint.com/sites/RyanRent/Gedeelde%20documenten/Forms/AllItems.aspx?id=%2Fsites%2FRyanRent%2FGedeelde%20documenten%2FGeneral%2F01%5FRyanRent%26Co%2F01%5FWoningen%2FKanaal%20van%20Steenenhoek%20Z.%20Z.%2010%2C%20Gorinchem%2F3%5FVerhuur</t>
  </si>
  <si>
    <t>https://ryanrent.sharepoint.com/sites/RyanRent/Gedeelde%20documenten/Forms/AllItems.aspx?id=%2Fsites%2FRyanRent%2FGedeelde%20documenten%2FGeneral%2F01%5FRyanRent%26Co%2F01%5FWoningen%2FKanaal%20van%20Steenenhoek%20Z.%20Z.%2010%2C%20Gorinchem%2F2%5FInhuur%2F2%5FInhuurovereenkomsten</t>
  </si>
  <si>
    <t>0083</t>
  </si>
  <si>
    <t>Pastoriedijk 89</t>
  </si>
  <si>
    <t>3195HA</t>
  </si>
  <si>
    <t>Pernis</t>
  </si>
  <si>
    <t>3189</t>
  </si>
  <si>
    <t>0084</t>
  </si>
  <si>
    <t>Kerkdreef 42</t>
  </si>
  <si>
    <t>4571GJ</t>
  </si>
  <si>
    <t>Axel</t>
  </si>
  <si>
    <t>https://ryanrent.sharepoint.com/sites/RyanRent/Gedeelde%20documenten/Forms/AllItems.aspx?id=%2Fsites%2FRyanRent%2FGedeelde%20documenten%2FGeneral%2F01%5FRyanRent%26Co%2F01%5FWoningen%2FKerkdreef%2042%2C%20Axel</t>
  </si>
  <si>
    <t>https://ryanrent.sharepoint.com/sites/RyanRent/Gedeelde%20documenten/Forms/AllItems.aspx?id=%2Fsites%2FRyanRent%2FGedeelde%20documenten%2FGeneral%2F01%5FRyanRent%26Co%2F01%5FWoningen%2FKerkdreef%2042%2C%20Axel%2F2%5FInhuur</t>
  </si>
  <si>
    <t>https://ryanrent.sharepoint.com/sites/RyanRent/Gedeelde%20documenten/Forms/AllItems.aspx?id=%2Fsites%2FRyanRent%2FGedeelde%20documenten%2FGeneral%2F01%5FRyanRent%26Co%2F01%5FWoningen%2FKerkdreef%2042%2C%20Axel%2F3%5FVerhuur</t>
  </si>
  <si>
    <t>https://ryanrent.sharepoint.com/sites/RyanRent/Gedeelde%20documenten/Forms/AllItems.aspx?id=%2Fsites%2FRyanRent%2FGedeelde%20documenten%2FGeneral%2F01%5FRyanRent%26Co%2F01%5FWoningen%2FKerkdreef%2042%2C%20Axel%2F2%5FInhuur%2F2%5FInhuurovereenkomsten</t>
  </si>
  <si>
    <t>0085</t>
  </si>
  <si>
    <t>Kierkegaardhof 54</t>
  </si>
  <si>
    <t>1277 AL</t>
  </si>
  <si>
    <t>Huizen</t>
  </si>
  <si>
    <t>2954</t>
  </si>
  <si>
    <t>https://ryanrent.sharepoint.com/sites/RyanRent/Gedeelde%20documenten/Forms/AllItems.aspx?id=%2Fsites%2FRyanRent%2FGedeelde%20documenten%2FGeneral%2F01%5FRyanRent%26Co%2F01%5FWoningen%2FKierkegaardhof%2054%2C%20Huizen</t>
  </si>
  <si>
    <t>https://ryanrent.sharepoint.com/sites/RyanRent/Gedeelde%20documenten/Forms/AllItems.aspx?id=%2Fsites%2FRyanRent%2FGedeelde%20documenten%2FGeneral%2F01%5FRyanRent%26Co%2F01%5FWoningen%2FKierkegaardhof%2054%2C%20Huizen%2F2%5FInhuur</t>
  </si>
  <si>
    <t>https://ryanrent.sharepoint.com/sites/RyanRent/Gedeelde%20documenten/Forms/AllItems.aspx?id=%2Fsites%2FRyanRent%2FGedeelde%20documenten%2FGeneral%2F01%5FRyanRent%26Co%2F01%5FWoningen%2FKierkegaardhof%2054%2C%20Huizen%2F3%5FVerhuur</t>
  </si>
  <si>
    <t>https://ryanrent.sharepoint.com/sites/RyanRent/Gedeelde%20documenten/Forms/AllItems.aspx?id=%2Fsites%2FRyanRent%2FGedeelde%20documenten%2FGeneral%2F01%5FRyanRent%26Co%2F01%5FWoningen%2FKierkegaardhof%2054%2C%20Huizen%2F2%5FInhuur%2F2%5FInhuurovereenkomsten</t>
  </si>
  <si>
    <t>0086</t>
  </si>
  <si>
    <t>Kleine Beer 60</t>
  </si>
  <si>
    <t>7904 LV</t>
  </si>
  <si>
    <t>9360</t>
  </si>
  <si>
    <t>https://ryanrent.sharepoint.com/sites/RyanRent/Gedeelde%20documenten/Forms/AllItems.aspx?id=%2Fsites%2FRyanRent%2FGedeelde%20documenten%2FGeneral%2F01%5FRyanRent%26Co%2F01%5FWoningen%2FKleine%20Beer%2060%2C%20Hoogeveen</t>
  </si>
  <si>
    <t>https://ryanrent.sharepoint.com/sites/RyanRent/Gedeelde%20documenten/Forms/AllItems.aspx?id=%2Fsites%2FRyanRent%2FGedeelde%20documenten%2FGeneral%2F01%5FRyanRent%26Co%2F01%5FWoningen%2FKleine%20Beer%2060%2C%20Hoogeveen%2F2%5FInhuur</t>
  </si>
  <si>
    <t>https://ryanrent.sharepoint.com/sites/RyanRent/Gedeelde%20documenten/Forms/AllItems.aspx?id=%2Fsites%2FRyanRent%2FGedeelde%20documenten%2FGeneral%2F01%5FRyanRent%26Co%2F01%5FWoningen%2FKleine%20Beer%2060%2C%20Hoogeveen%2F3%5FVerhuur</t>
  </si>
  <si>
    <t>https://ryanrent.sharepoint.com/sites/RyanRent/Gedeelde%20documenten/Forms/AllItems.aspx?id=%2Fsites%2FRyanRent%2FGedeelde%20documenten%2FGeneral%2F01%5FRyanRent%26Co%2F01%5FWoningen%2FKleine%20Beer%2060%2C%20Hoogeveen%2F2%5FInhuur%2F2%5FInhuurovereenkomsten</t>
  </si>
  <si>
    <t>0087</t>
  </si>
  <si>
    <t>Jasmijnring 37</t>
  </si>
  <si>
    <t>4881HT</t>
  </si>
  <si>
    <t>Zundert</t>
  </si>
  <si>
    <t>8137</t>
  </si>
  <si>
    <t>https://ryanrent.sharepoint.com/sites/RyanRent/Gedeelde%20documenten/Forms/AllItems.aspx?id=%2Fsites%2FRyanRent%2FGedeelde%20documenten%2FGeneral%2F01%5FRyanRent%26Co%2F01%5FWoningen%2FJasmijnring%2037%2C%20Zundert</t>
  </si>
  <si>
    <t>https://ryanrent.sharepoint.com/sites/RyanRent/Gedeelde%20documenten/Forms/AllItems.aspx?id=%2Fsites%2FRyanRent%2FGedeelde%20documenten%2FGeneral%2F01%5FRyanRent%26Co%2F01%5FWoningen%2FJasmijnring%2037%2C%20Zundert%2F2%5FInhuur</t>
  </si>
  <si>
    <t>https://ryanrent.sharepoint.com/sites/RyanRent/Gedeelde%20documenten/Forms/AllItems.aspx?id=%2Fsites%2FRyanRent%2FGedeelde%20documenten%2FGeneral%2F01%5FRyanRent%26Co%2F01%5FWoningen%2FJasmijnring%2037%2C%20Zundert%2F3%5FVerhuur</t>
  </si>
  <si>
    <t>https://ryanrent.sharepoint.com/sites/RyanRent/Gedeelde%20documenten/Forms/AllItems.aspx?id=%2Fsites%2FRyanRent%2FGedeelde%20documenten%2FGeneral%2F01%5FRyanRent%26Co%2F01%5FWoningen%2FJasmijnring%2037%2C%20Zundert%2F2%5FInhuur%2F2%5FInhuurovereenkomsten</t>
  </si>
  <si>
    <t>0088</t>
  </si>
  <si>
    <t>Kethelweg 66A</t>
  </si>
  <si>
    <t>https://ryanrent.sharepoint.com/sites/RyanRent/Gedeelde%20documenten/Forms/AllItems.aspx?id=%2Fsites%2FRyanRent%2FGedeelde%20documenten%2FGeneral%2F01%5FRyanRent%26Co%2F01%5FWoningen%2FKethelweg%2066A%2C%20Vlaardingen</t>
  </si>
  <si>
    <t>https://ryanrent.sharepoint.com/sites/RyanRent/Gedeelde%20documenten/Forms/AllItems.aspx?id=%2Fsites%2FRyanRent%2FGedeelde%20documenten%2FGeneral%2F01%5FRyanRent%26Co%2F01%5FWoningen%2FKethelweg%2066A%2C%20Vlaardingen%2F2%5FInhuur</t>
  </si>
  <si>
    <t>https://ryanrent.sharepoint.com/sites/RyanRent/Gedeelde%20documenten/Forms/AllItems.aspx?id=%2Fsites%2FRyanRent%2FGedeelde%20documenten%2FGeneral%2F01%5FRyanRent%26Co%2F01%5FWoningen%2FKethelweg%2066A%2C%20Vlaardingen%2F3%5FVerhuur</t>
  </si>
  <si>
    <t>https://ryanrent.sharepoint.com/sites/RyanRent/Gedeelde%20documenten/Forms/AllItems.aspx?id=%2Fsites%2FRyanRent%2FGedeelde%20documenten%2FGeneral%2F01%5FRyanRent%26Co%2F01%5FWoningen%2FKethelweg%2066A%2C%20Vlaardingen%2F2%5FInhuur%2F2%5FInhuurovereenkomsten</t>
  </si>
  <si>
    <t>0089</t>
  </si>
  <si>
    <t>Van Maanenstraat 14A</t>
  </si>
  <si>
    <t>3038 CZ</t>
  </si>
  <si>
    <t>https://ryanrent.sharepoint.com/sites/RyanRent/Gedeelde%20documenten/Forms/AllItems.aspx?id=%2Fsites%2FRyanRent%2FGedeelde%20documenten%2FGeneral%2F01%5FRyanRent%26Co%2F01%5FWoningen%2FVan%20Maanenstraat%2014A%2C%20Rotterdam</t>
  </si>
  <si>
    <t>https://ryanrent.sharepoint.com/sites/RyanRent/Gedeelde%20documenten/Forms/AllItems.aspx?id=%2Fsites%2FRyanRent%2FGedeelde%20documenten%2FGeneral%2F01%5FRyanRent%26Co%2F01%5FWoningen%2FVan%20Maanenstraat%2014A%2C%20Rotterdam%2F2%5FInhuur</t>
  </si>
  <si>
    <t>https://ryanrent.sharepoint.com/sites/RyanRent/Gedeelde%20documenten/Forms/AllItems.aspx?id=%2Fsites%2FRyanRent%2FGedeelde%20documenten%2FGeneral%2F01%5FRyanRent%26Co%2F01%5FWoningen%2FVan%20Maanenstraat%2014A%2C%20Rotterdam%2F3%5FVerhuur</t>
  </si>
  <si>
    <t>https://ryanrent.sharepoint.com/sites/RyanRent/Gedeelde%20documenten/Forms/AllItems.aspx?id=%2Fsites%2FRyanRent%2FGedeelde%20documenten%2FGeneral%2F01%5FRyanRent%26Co%2F01%5FWoningen%2FVan%20Maanenstraat%2014A%2C%20Rotterdam%2F2%5FInhuur%2F2%5FInhuurovereenkomsten</t>
  </si>
  <si>
    <t>J.P. Stoel</t>
  </si>
  <si>
    <t>Jpstoel@gma</t>
  </si>
  <si>
    <t>06 408 960 47</t>
  </si>
  <si>
    <t>Focuzop-eu</t>
  </si>
  <si>
    <t>administratie@focuzop-eu.com</t>
  </si>
  <si>
    <t>06-45085584</t>
  </si>
  <si>
    <t>Amperestraat 7-14</t>
  </si>
  <si>
    <t>Harderwijk</t>
  </si>
  <si>
    <t>85020184</t>
  </si>
  <si>
    <t>0090</t>
  </si>
  <si>
    <t>Laan van Nieuw Blankenburg 278</t>
  </si>
  <si>
    <t>3181AL</t>
  </si>
  <si>
    <t xml:space="preserve">Rozenburg </t>
  </si>
  <si>
    <t>https://ryanrent.sharepoint.com/sites/RyanRent/Gedeelde%20documenten/Forms/AllItems.aspx?id=%2Fsites%2FRyanRent%2FGedeelde%20documenten%2FGeneral%2F01%5FRyanRent%26Co%2F01%5FWoningen%2FLaan%20van%20Nieuw%20Blankenburg%20328%2C%20Rozenburg</t>
  </si>
  <si>
    <t>https://ryanrent.sharepoint.com/sites/RyanRent/Gedeelde%20documenten/Forms/AllItems.aspx?id=%2Fsites%2FRyanRent%2FGedeelde%20documenten%2FGeneral%2F01%5FRyanRent%26Co%2F01%5FWoningen%2FLaan%20van%20Nieuw%20Blankenburg%20328%2C%20Rozenburg%2F2%5FInhuur</t>
  </si>
  <si>
    <t>https://ryanrent.sharepoint.com/sites/RyanRent/Gedeelde%20documenten/Forms/AllItems.aspx?id=%2Fsites%2FRyanRent%2FGedeelde%20documenten%2FGeneral%2F01%5FRyanRent%26Co%2F01%5FWoningen%2FLaan%20van%20Nieuw%20Blankenburg%20328%2C%20Rozenburg%2F3%5FVerhuur</t>
  </si>
  <si>
    <t>https://ryanrent.sharepoint.com/sites/RyanRent/Gedeelde%20documenten/Forms/AllItems.aspx?id=%2Fsites%2FRyanRent%2FGedeelde%20documenten%2FGeneral%2F01%5FRyanRent%26Co%2F01%5FWoningen%2Fvan%20Ruijsdaellaan%2072a%20Schiedam%2F2%5FInhuur%2F2%5FInhuurovereenkomsten</t>
  </si>
  <si>
    <t>0091</t>
  </si>
  <si>
    <t>Landsteinerhof 68</t>
  </si>
  <si>
    <t>7908 BC</t>
  </si>
  <si>
    <t>5768</t>
  </si>
  <si>
    <t>https://ryanrent.sharepoint.com/sites/RyanRent/Gedeelde%20documenten/Forms/AllItems.aspx?id=%2Fsites%2FRyanRent%2FGedeelde%20documenten%2FGeneral%2F01%5FRyanRent%26Co%2F01%5FWoningen%2FLandsteinerhof%2068%2C%20Hoogeveen</t>
  </si>
  <si>
    <t>https://ryanrent.sharepoint.com/sites/RyanRent/Gedeelde%20documenten/Forms/AllItems.aspx?id=%2Fsites%2FRyanRent%2FGedeelde%20documenten%2FGeneral%2F01%5FRyanRent%26Co%2F01%5FWoningen%2FLandsteinerhof%2068%2C%20Hoogeveen%2F2%5FInhuur</t>
  </si>
  <si>
    <t>https://ryanrent.sharepoint.com/sites/RyanRent/Gedeelde%20documenten/Forms/AllItems.aspx?id=%2Fsites%2FRyanRent%2FGedeelde%20documenten%2FGeneral%2F01%5FRyanRent%26Co%2F01%5FWoningen%2FLandsteinerhof%2068%2C%20Hoogeveen%2F3%5FVerhuur</t>
  </si>
  <si>
    <t>https://ryanrent.sharepoint.com/sites/RyanRent/Gedeelde%20documenten/Forms/AllItems.aspx?id=%2Fsites%2FRyanRent%2FGedeelde%20documenten%2FGeneral%2F01%5FRyanRent%26Co%2F01%5FWoningen%2FLandsteinerhof%2068%2C%20Hoogeveen%2F2%5FInhuur%2F2%5FInhuurovereenkomsten</t>
  </si>
  <si>
    <t>0092</t>
  </si>
  <si>
    <t>Lange Brink 3</t>
  </si>
  <si>
    <t>8315AH</t>
  </si>
  <si>
    <t>Luttelgeest</t>
  </si>
  <si>
    <t>5003</t>
  </si>
  <si>
    <t>https://ryanrent.sharepoint.com/sites/RyanRent/Gedeelde%20documenten/Forms/AllItems.aspx?id=%2Fsites%2FRyanRent%2FGedeelde%20documenten%2FGeneral%2F01%5FRyanRent%26Co%2F01%5FWoningen%2FLange%20Brink%203%2C%20Luttelgeest</t>
  </si>
  <si>
    <t>https://ryanrent.sharepoint.com/sites/RyanRent/Gedeelde%20documenten/Forms/AllItems.aspx?id=%2Fsites%2FRyanRent%2FGedeelde%20documenten%2FGeneral%2F01%5FRyanRent%26Co%2F01%5FWoningen%2FLange%20Brink%203%2C%20Luttelgeest%2F2%5FInhuur</t>
  </si>
  <si>
    <t>https://ryanrent.sharepoint.com/sites/RyanRent/Gedeelde%20documenten/Forms/AllItems.aspx?id=%2Fsites%2FRyanRent%2FGedeelde%20documenten%2FGeneral%2F01%5FRyanRent%26Co%2F01%5FWoningen%2FLange%20Brink%203%2C%20Luttelgeest%2F3%5FVerhuur</t>
  </si>
  <si>
    <t>0093</t>
  </si>
  <si>
    <t>Fabristraat 34A</t>
  </si>
  <si>
    <t>3117 ML</t>
  </si>
  <si>
    <t>3134</t>
  </si>
  <si>
    <t>0094</t>
  </si>
  <si>
    <t>Fabristraat 34B</t>
  </si>
  <si>
    <t>1734</t>
  </si>
  <si>
    <t>0095</t>
  </si>
  <si>
    <t>Engelsestraat 16L3</t>
  </si>
  <si>
    <t>3028CG</t>
  </si>
  <si>
    <t>https://ryanrent.sharepoint.com/sites/RyanRent/Gedeelde%20documenten/Forms/AllItems.aspx?id=%2Fsites%2FRyanRent%2FGedeelde%20documenten%2FGeneral%2F01%5FRyanRent%26Co%2F01%5FWoningen%2FEngelsestraat%2016L3%2C%20Rotterdam</t>
  </si>
  <si>
    <t>https://ryanrent.sharepoint.com/sites/RyanRent/Gedeelde%20documenten/Forms/AllItems.aspx?id=%2Fsites%2FRyanRent%2FGedeelde%20documenten%2FGeneral%2F01%5FRyanRent%26Co%2F01%5FWoningen%2FEngelsestraat%2016L3%2C%20Rotterdam%2F2%5FInhuur</t>
  </si>
  <si>
    <t>https://ryanrent.sharepoint.com/sites/RyanRent/Gedeelde%20documenten/Forms/AllItems.aspx?id=%2Fsites%2FRyanRent%2FGedeelde%20documenten%2FGeneral%2F01%5FRyanRent%26Co%2F01%5FWoningen%2FEngelsestraat%2016L3%2C%20Rotterdam%2F3%5FVerhuur</t>
  </si>
  <si>
    <t>https://ryanrent.sharepoint.com/sites/RyanRent/Gedeelde%20documenten/Forms/AllItems.aspx?id=%2Fsites%2FRyanRent%2FGedeelde%20documenten%2FGeneral%2F01%5FRyanRent%26Co%2F01%5FWoningen%2FEngelsestraat%2016L3%2C%20Rotterdam%2F2%5FInhuur%2F2%5FInhuurovereenkomsten</t>
  </si>
  <si>
    <t>In Stijl Totaalbouw BV</t>
  </si>
  <si>
    <t>info@instijltotaalbouw.nl</t>
  </si>
  <si>
    <t>06-44404678</t>
  </si>
  <si>
    <t>Burgemeester Freijterslaan 1</t>
  </si>
  <si>
    <t>Roosendaal</t>
  </si>
  <si>
    <t>0096</t>
  </si>
  <si>
    <t>Loggerstraat 3</t>
  </si>
  <si>
    <t>8862ZN</t>
  </si>
  <si>
    <t>Harlingen</t>
  </si>
  <si>
    <t>8803</t>
  </si>
  <si>
    <t>0097</t>
  </si>
  <si>
    <t>Burchstraat 16A</t>
  </si>
  <si>
    <t>4501 BJ</t>
  </si>
  <si>
    <t>Oostburg</t>
  </si>
  <si>
    <t>4516</t>
  </si>
  <si>
    <t>A.H.S. Willemsen</t>
  </si>
  <si>
    <t>huurwoningarnhem@gmail.com</t>
  </si>
  <si>
    <t>NL90 ABNA 0861 1395 26</t>
  </si>
  <si>
    <t>2024-05-01</t>
  </si>
  <si>
    <t>2026-04-30</t>
  </si>
  <si>
    <t>0098</t>
  </si>
  <si>
    <t>Melis Stokezijde 94</t>
  </si>
  <si>
    <t>2543GG</t>
  </si>
  <si>
    <t>https://ryanrent.sharepoint.com/sites/RyanRent/Gedeelde%20documenten/Forms/AllItems.aspx?id=%2Fsites%2FRyanRent%2FGedeelde%20documenten%2FGeneral%2F01%5FRyanRent%26Co%2F01%5FWoningen%2FMelis%20Stokezijde%2094%2C%20Den%20Haag</t>
  </si>
  <si>
    <t>https://ryanrent.sharepoint.com/sites/RyanRent/Gedeelde%20documenten/Forms/AllItems.aspx?id=%2Fsites%2FRyanRent%2FGedeelde%20documenten%2FGeneral%2F01%5FRyanRent%26Co%2F01%5FWoningen%2FMelis%20Stokezijde%2094%2C%20Den%20Haag%2F2%5FInhuur</t>
  </si>
  <si>
    <t>https://ryanrent.sharepoint.com/sites/RyanRent/Gedeelde%20documenten/Forms/AllItems.aspx?id=%2Fsites%2FRyanRent%2FGedeelde%20documenten%2FGeneral%2F01%5FRyanRent%26Co%2F01%5FWoningen%2FMelis%20Stokezijde%2094%2C%20Den%20Haag%2F3%5FVerhuur</t>
  </si>
  <si>
    <t>https://ryanrent.sharepoint.com/sites/RyanRent/Gedeelde%20documenten/Forms/AllItems.aspx?id=%2Fsites%2FRyanRent%2FGedeelde%20documenten%2FGeneral%2F01%5FRyanRent%26Co%2F01%5FWoningen%2FMelis%20Stokezijde%2094%2C%20Den%20Haag%2F2%5FInhuur%2F2%5FInhuurovereenkomsten</t>
  </si>
  <si>
    <t>0099</t>
  </si>
  <si>
    <t>Steenen Dijck 87</t>
  </si>
  <si>
    <t>3146 BX</t>
  </si>
  <si>
    <t>4687</t>
  </si>
  <si>
    <t>https://ryanrent.sharepoint.com/sites/RyanRent/Gedeelde%20documenten/Forms/AllItems.aspx?id=%2Fsites%2FRyanRent%2FGedeelde%20documenten%2FGeneral%2F01%5FRyanRent%26Co%2F01%5FWoningen%2FSteenen%20Dijck%2087%2C%20Maassluis</t>
  </si>
  <si>
    <t>https://ryanrent.sharepoint.com/sites/RyanRent/Gedeelde%20documenten/Forms/AllItems.aspx?id=%2Fsites%2FRyanRent%2FGedeelde%20documenten%2FGeneral%2F01%5FRyanRent%26Co%2F01%5FWoningen%2FSteenen%20Dijck%2087%2C%20Maassluis%2F2%5FInhuur</t>
  </si>
  <si>
    <t>https://ryanrent.sharepoint.com/sites/RyanRent/Gedeelde%20documenten/Forms/AllItems.aspx?id=%2Fsites%2FRyanRent%2FGedeelde%20documenten%2FGeneral%2F01%5FRyanRent%26Co%2F01%5FWoningen%2FSteenen%20Dijck%2087%2C%20Maassluis%2F3%5FVerhuur</t>
  </si>
  <si>
    <t>https://ryanrent.sharepoint.com/sites/RyanRent/Gedeelde%20documenten/Forms/AllItems.aspx?id=%2Fsites%2FRyanRent%2FGedeelde%20documenten%2FGeneral%2F01%5FRyanRent%26Co%2F01%5FWoningen%2FSteenen%20Dijck%2087%2C%20Maassluis%2F2%5FInhuur%2F2%5FInhuurovereenkomsten</t>
  </si>
  <si>
    <t>0100</t>
  </si>
  <si>
    <t>Molenweg 135</t>
  </si>
  <si>
    <t>3181AW</t>
  </si>
  <si>
    <t>7635</t>
  </si>
  <si>
    <t>https://ryanrent.sharepoint.com/sites/RyanRent/Gedeelde%20documenten/Forms/AllItems.aspx?id=%2Fsites%2FRyanRent%2FGedeelde%20documenten%2FGeneral%2F01%5FRyanRent%26Co%2F01%5FWoningen%2FMolenweg%20135%2C%20Rozenburg</t>
  </si>
  <si>
    <t>https://ryanrent.sharepoint.com/sites/RyanRent/Gedeelde%20documenten/Forms/AllItems.aspx?id=%2Fsites%2FRyanRent%2FGedeelde%20documenten%2FGeneral%2F01%5FRyanRent%26Co%2F01%5FWoningen%2FMolenweg%20135%2C%20Rozenburg%2F2%5FInhuur</t>
  </si>
  <si>
    <t>https://ryanrent.sharepoint.com/sites/RyanRent/Gedeelde%20documenten/Forms/AllItems.aspx?id=%2Fsites%2FRyanRent%2FGedeelde%20documenten%2FGeneral%2F01%5FRyanRent%26Co%2F01%5FWoningen%2FMolenweg%20135%2C%20Rozenburg%2F3%5FVerhuur</t>
  </si>
  <si>
    <t>https://ryanrent.sharepoint.com/sites/RyanRent/Gedeelde%20documenten/Forms/AllItems.aspx?id=%2Fsites%2FRyanRent%2FGedeelde%20documenten%2FGeneral%2F01%5FRyanRent%26Co%2F01%5FWoningen%2FMolenweg%20135%2C%20Rozenburg%2F2%5FInhuur%2F2%5FInhuurovereenkomsten</t>
  </si>
  <si>
    <t>City Estate (Reinier Derksen)</t>
  </si>
  <si>
    <t>0101</t>
  </si>
  <si>
    <t>Moureauveld 8</t>
  </si>
  <si>
    <t>4702MA</t>
  </si>
  <si>
    <t>1039</t>
  </si>
  <si>
    <t>https://ryanrent.sharepoint.com/sites/RyanRent/Gedeelde%20documenten/Forms/AllItems.aspx?id=%2Fsites%2FRyanRent%2FGedeelde%20documenten%2FGeneral%2F01%5FRyanRent%26Co%2F01%5FWoningen%2FMoureauveld%208%2C%20Roosendaal</t>
  </si>
  <si>
    <t>https://ryanrent.sharepoint.com/sites/RyanRent/Gedeelde%20documenten/Forms/AllItems.aspx?id=%2Fsites%2FRyanRent%2FGedeelde%20documenten%2FGeneral%2F01%5FRyanRent%26Co%2F01%5FWoningen%2FMoureauveld%208%2C%20Roosendaal%2F2%5FInhuur</t>
  </si>
  <si>
    <t>https://ryanrent.sharepoint.com/sites/RyanRent/Gedeelde%20documenten/Forms/AllItems.aspx?id=%2Fsites%2FRyanRent%2FGedeelde%20documenten%2FGeneral%2F01%5FRyanRent%26Co%2F01%5FWoningen%2FMoureauveld%208%2C%20Roosendaal%2F3%5FVerhuur</t>
  </si>
  <si>
    <t>https://ryanrent.sharepoint.com/sites/RyanRent/Gedeelde%20documenten/Forms/AllItems.aspx?id=%2Fsites%2FRyanRent%2FGedeelde%20documenten%2FGeneral%2F01%5FRyanRent%26Co%2F01%5FWoningen%2FMoureauveld%208%2C%20Roosendaal%2F2%5FInhuur%2F2%5FInhuurovereenkomsten</t>
  </si>
  <si>
    <t>0102</t>
  </si>
  <si>
    <t>Narcissenstraat 9</t>
  </si>
  <si>
    <t>3181WT</t>
  </si>
  <si>
    <t>https://ryanrent.sharepoint.com/sites/RyanRent/Gedeelde%20documenten/Forms/AllItems.aspx?id=%2Fsites%2FRyanRent%2FGedeelde%20documenten%2FGeneral%2F01%5FRyanRent%26Co%2F01%5FWoningen%2FNarcissenstraat%209%2C%20Rozenburg</t>
  </si>
  <si>
    <t>https://ryanrent.sharepoint.com/sites/RyanRent/Gedeelde%20documenten/Forms/AllItems.aspx?id=%2Fsites%2FRyanRent%2FGedeelde%20documenten%2FGeneral%2F01%5FRyanRent%26Co%2F01%5FWoningen%2FNarcissenstraat%209%2C%20Rozenburg%2F2%5FInhuur</t>
  </si>
  <si>
    <t>https://ryanrent.sharepoint.com/sites/RyanRent/Gedeelde%20documenten/Forms/AllItems.aspx?id=%2Fsites%2FRyanRent%2FGedeelde%20documenten%2FGeneral%2F01%5FRyanRent%26Co%2F01%5FWoningen%2FNarcissenstraat%209%2C%20Rozenburg%2F3%5FVerhuur</t>
  </si>
  <si>
    <t>https://ryanrent.sharepoint.com/sites/RyanRent/Gedeelde%20documenten/Forms/AllItems.aspx?id=%2Fsites%2FRyanRent%2FGedeelde%20documenten%2FGeneral%2F01%5FRyanRent%26Co%2F01%5FWoningen%2FNarcissenstraat%209%2C%20Rozenburg%2F2%5FInhuur%2F2%5FInhuurovereenkomsten</t>
  </si>
  <si>
    <t>0103</t>
  </si>
  <si>
    <t>Narcissenstraat 23</t>
  </si>
  <si>
    <t>3181 WT</t>
  </si>
  <si>
    <t>https://ryanrent.sharepoint.com/sites/RyanRent/Gedeelde%20documenten/Forms/AllItems.aspx?id=%2Fsites%2FRyanRent%2FGedeelde%20documenten%2FGeneral%2F01%5FRyanRent%26Co%2F01%5FWoningen%2FNarcissenstraat%2023%20Rozenburg</t>
  </si>
  <si>
    <t>https://ryanrent.sharepoint.com/sites/RyanRent/Gedeelde%20documenten/Forms/AllItems.aspx?id=%2Fsites%2FRyanRent%2FGedeelde%20documenten%2FGeneral%2F01%5FRyanRent%26Co%2F01%5FWoningen%2FNarcissenstraat%2023%20Rozenburg%2F2%5FInhuur</t>
  </si>
  <si>
    <t>https://ryanrent.sharepoint.com/sites/RyanRent/Gedeelde%20documenten/Forms/AllItems.aspx?id=%2Fsites%2FRyanRent%2FGedeelde%20documenten%2FGeneral%2F01%5FRyanRent%26Co%2F01%5FWoningen%2FNarcissenstraat%2023%20Rozenburg%2F3%5FVerhuur</t>
  </si>
  <si>
    <t>https://ryanrent.sharepoint.com/sites/RyanRent/Gedeelde%20documenten/Forms/AllItems.aspx?id=%2Fsites%2FRyanRent%2FGedeelde%20documenten%2FGeneral%2F01%5FRyanRent%26Co%2F01%5FWoningen%2FNarcissenstraat%2023%20Rozenburg%2F2%5FInhuur%2F2%5FInhuurovereenkomsten</t>
  </si>
  <si>
    <t>0104</t>
  </si>
  <si>
    <t>Narcissenstraat 37</t>
  </si>
  <si>
    <t>4837</t>
  </si>
  <si>
    <t>https://ryanrent.sharepoint.com/sites/RyanRent/Gedeelde%20documenten/Forms/AllItems.aspx?id=%2Fsites%2FRyanRent%2FGedeelde%20documenten%2FGeneral%2F01%5FRyanRent%26Co%2F01%5FWoningen%2FNarcissenstraat%2037%2C%20Rozenburg</t>
  </si>
  <si>
    <t>https://ryanrent.sharepoint.com/sites/RyanRent/Gedeelde%20documenten/Forms/AllItems.aspx?id=%2Fsites%2FRyanRent%2FGedeelde%20documenten%2FGeneral%2F01%5FRyanRent%26Co%2F01%5FWoningen%2FNarcissenstraat%2037%2C%20Rozenburg%2F2%5FInhuur</t>
  </si>
  <si>
    <t>https://ryanrent.sharepoint.com/sites/RyanRent/Gedeelde%20documenten/Forms/AllItems.aspx?id=%2Fsites%2FRyanRent%2FGedeelde%20documenten%2FGeneral%2F01%5FRyanRent%26Co%2F01%5FWoningen%2FNarcissenstraat%2037%2C%20Rozenburg%2F3%5FVerhuur</t>
  </si>
  <si>
    <t>https://ryanrent.sharepoint.com/sites/RyanRent/Gedeelde%20documenten/Forms/AllItems.aspx?id=%2Fsites%2FRyanRent%2FGedeelde%20documenten%2FGeneral%2F01%5FRyanRent%26Co%2F01%5FWoningen%2FNarcissenstraat%2037%2C%20Rozenburg%2F2%5FInhuur%2F2%5FInhuurovereenkomsten</t>
  </si>
  <si>
    <t>M. Poel</t>
  </si>
  <si>
    <t>bureau</t>
  </si>
  <si>
    <t>monique_pruijsen@hotmail.com</t>
  </si>
  <si>
    <t>20650128055</t>
  </si>
  <si>
    <t>Esdoornlaan 64</t>
  </si>
  <si>
    <t>ROZENBURG</t>
  </si>
  <si>
    <t>NL96 RABO 0138 5699 08</t>
  </si>
  <si>
    <t>2020-08-10</t>
  </si>
  <si>
    <t>0105</t>
  </si>
  <si>
    <t>Wieldraaierstraat 39</t>
  </si>
  <si>
    <t>4204EW</t>
  </si>
  <si>
    <t>https://ryanrent.sharepoint.com/sites/RyanRent/Gedeelde%20documenten/Forms/AllItems.aspx?id=%2Fsites%2FRyanRent%2FGedeelde%20documenten%2FGeneral%2F01%5FRyanRent%26Co%2F01%5FWoningen%2FWieldraaierstraat%2039%20Gorinchem</t>
  </si>
  <si>
    <t>https://ryanrent.sharepoint.com/sites/RyanRent/Gedeelde%20documenten/Forms/AllItems.aspx?id=%2Fsites%2FRyanRent%2FGedeelde%20documenten%2FGeneral%2F01%5FRyanRent%26Co%2F01%5FWoningen%2FWieldraaierstraat%2039%20Gorinchem%2F2%5FInhuur</t>
  </si>
  <si>
    <t>https://ryanrent.sharepoint.com/sites/RyanRent/Gedeelde%20documenten/Forms/AllItems.aspx?id=%2Fsites%2FRyanRent%2FGedeelde%20documenten%2FGeneral%2F01%5FRyanRent%26Co%2F01%5FWoningen%2FWieldraaierstraat%2039%20Gorinchem%2F3%5FVerhuur</t>
  </si>
  <si>
    <t>https://ryanrent.sharepoint.com/sites/RyanRent/Gedeelde%20documenten/Forms/AllItems.aspx?id=%2Fsites%2FRyanRent%2FGedeelde%20documenten%2FGeneral%2F01%5FRyanRent%26Co%2F01%5FWoningen%2FWieldraaierstraat%2039%20Gorinchem%2F2%5FInhuur%2F2%5FInhuurovereenkomsten</t>
  </si>
  <si>
    <t>Vivir wonen (Mendy)</t>
  </si>
  <si>
    <t>0106</t>
  </si>
  <si>
    <t>Prinses Wilhelminastraat 9</t>
  </si>
  <si>
    <t>3467 PK</t>
  </si>
  <si>
    <t>Hekendorp</t>
  </si>
  <si>
    <t>3409</t>
  </si>
  <si>
    <t>Hoefslag 8</t>
  </si>
  <si>
    <t>8391BJ</t>
  </si>
  <si>
    <t>Noordwolde</t>
  </si>
  <si>
    <t>https://ryanrent.sharepoint.com/sites/RyanRent/Gedeelde%20documenten/Forms/AllItems.aspx?id=%2Fsites%2FRyanRent%2FGedeelde%20documenten%2FGeneral%2F01%5FRyanRent%26Co%2F01%5FWoningen%2FHoefslag%208%20Noordwolde</t>
  </si>
  <si>
    <t>https://ryanrent.sharepoint.com/sites/RyanRent/Gedeelde%20documenten/Forms/AllItems.aspx?id=%2Fsites%2FRyanRent%2FGedeelde%20documenten%2FGeneral%2F01%5FRyanRent%26Co%2F01%5FWoningen%2FHoefslag%208%20Noordwolde%2F2%5FInhuur</t>
  </si>
  <si>
    <t>https://ryanrent.sharepoint.com/sites/RyanRent/Gedeelde%20documenten/Forms/AllItems.aspx?id=%2Fsites%2FRyanRent%2FGedeelde%20documenten%2FGeneral%2F01%5FRyanRent%26Co%2F01%5FWoningen%2FHoefslag%208%20Noordwolde%2F3%5FVerhuur</t>
  </si>
  <si>
    <t>https://ryanrent.sharepoint.com/sites/RyanRent/Gedeelde%20documenten/Forms/AllItems.aspx?id=%2Fsites%2FRyanRent%2FGedeelde%20documenten%2FGeneral%2F01%5FRyanRent%26Co%2F01%5FWoningen%2FHoefslag%208%20Noordwolde%2F2%5FInhuur%2F2%5FInhuurovereenkomsten</t>
  </si>
  <si>
    <t>H. Samson</t>
  </si>
  <si>
    <t>2024-04-01</t>
  </si>
  <si>
    <t>2027-03-31</t>
  </si>
  <si>
    <t>0108</t>
  </si>
  <si>
    <t>Nieuwe Zeedijk 1K 308</t>
  </si>
  <si>
    <t>3221LZ</t>
  </si>
  <si>
    <t>3008</t>
  </si>
  <si>
    <t>0109</t>
  </si>
  <si>
    <t>Geldersestraat 91</t>
  </si>
  <si>
    <t>4191BB</t>
  </si>
  <si>
    <t>Geldermalsen</t>
  </si>
  <si>
    <t>https://ryanrent.sharepoint.com/sites/RyanRent/Gedeelde%20documenten/Forms/AllItems.aspx?id=%2Fsites%2FRyanRent%2FGedeelde%20documenten%2FGeneral%2F01%5FRyanRent%26Co%2F01%5FWoningen%2FGeldersestraat%2091%2C%20Geldermalsen</t>
  </si>
  <si>
    <t>https://ryanrent.sharepoint.com/sites/RyanRent/Gedeelde%20documenten/Forms/AllItems.aspx?id=%2Fsites%2FRyanRent%2FGedeelde%20documenten%2FGeneral%2F01%5FRyanRent%26Co%2F01%5FWoningen%2FGeldersestraat%2091%2C%20Geldermalsen%2F2%5FInhuur</t>
  </si>
  <si>
    <t>https://ryanrent.sharepoint.com/sites/RyanRent/Gedeelde%20documenten/Forms/AllItems.aspx?id=%2Fsites%2FRyanRent%2FGedeelde%20documenten%2FGeneral%2F01%5FRyanRent%26Co%2F01%5FWoningen%2FGeldersestraat%2091%2C%20Geldermalsen%2F3%5FVerhuur</t>
  </si>
  <si>
    <t>https://ryanrent.sharepoint.com/sites/RyanRent/Gedeelde%20documenten/Forms/AllItems.aspx?id=%2Fsites%2FRyanRent%2FGedeelde%20documenten%2FGeneral%2F01%5FRyanRent%26Co%2F01%5FWoningen%2FGeldersestraat%2091%2C%20Geldermalsen%2F2%5FInhuur%2F2%5FInhuurovereenkomsten</t>
  </si>
  <si>
    <t>Johan ven der Burg</t>
  </si>
  <si>
    <t>2026-03-31</t>
  </si>
  <si>
    <t>Vivir Wonen</t>
  </si>
  <si>
    <t>info@vivirwonen.nl</t>
  </si>
  <si>
    <t>(+31)6 123 33 496</t>
  </si>
  <si>
    <t>Postbus 811</t>
  </si>
  <si>
    <t>58693807.0</t>
  </si>
  <si>
    <t>NL52 RABO 0106 0699 77</t>
  </si>
  <si>
    <t>0110</t>
  </si>
  <si>
    <t>Opaal 9</t>
  </si>
  <si>
    <t>4337MA</t>
  </si>
  <si>
    <t>Middelburg</t>
  </si>
  <si>
    <t>3609</t>
  </si>
  <si>
    <t>https://ryanrent.sharepoint.com/sites/RyanRent/Gedeelde%20documenten/Forms/AllItems.aspx?id=%2Fsites%2FRyanRent%2FGedeelde%20documenten%2FGeneral%2F01%5FRyanRent%26Co%2F01%5FWoningen%2FOpaal%209%2C%20Middelburg</t>
  </si>
  <si>
    <t>https://ryanrent.sharepoint.com/sites/RyanRent/Gedeelde%20documenten/Forms/AllItems.aspx?id=%2Fsites%2FRyanRent%2FGedeelde%20documenten%2FGeneral%2F01%5FRyanRent%26Co%2F01%5FWoningen%2FOpaal%209%2C%20Middelburg%2F2%5FInhuur</t>
  </si>
  <si>
    <t>https://ryanrent.sharepoint.com/sites/RyanRent/Gedeelde%20documenten/Forms/AllItems.aspx?id=%2Fsites%2FRyanRent%2FGedeelde%20documenten%2FGeneral%2F01%5FRyanRent%26Co%2F01%5FWoningen%2FOpaal%209%2C%20Middelburg%2F3%5FVerhuur</t>
  </si>
  <si>
    <t>https://ryanrent.sharepoint.com/sites/RyanRent/Gedeelde%20documenten/Forms/AllItems.aspx?id=%2Fsites%2FRyanRent%2FGedeelde%20documenten%2FGeneral%2F01%5FRyanRent%26Co%2F01%5FWoningen%2FOpaal%209%2C%20Middelburg%2F2%5FInhuur%2F2%5FInhuurovereenkomsten</t>
  </si>
  <si>
    <t>GOTI Verhuur B.V.</t>
  </si>
  <si>
    <t>zakelijk</t>
  </si>
  <si>
    <t>info@gotiverhuur.nl</t>
  </si>
  <si>
    <t>Noorderhaven 63</t>
  </si>
  <si>
    <t>1098148.0</t>
  </si>
  <si>
    <t>NL94 INGB 0665 1314 02</t>
  </si>
  <si>
    <t>2020-06-01</t>
  </si>
  <si>
    <t>2025-12-31</t>
  </si>
  <si>
    <t>0111</t>
  </si>
  <si>
    <t>Oosterstraat 89</t>
  </si>
  <si>
    <t>3134NN</t>
  </si>
  <si>
    <t>1189</t>
  </si>
  <si>
    <t>0112</t>
  </si>
  <si>
    <t>Oudewerfslaan 84</t>
  </si>
  <si>
    <t>9675 EW</t>
  </si>
  <si>
    <t>Winschoten</t>
  </si>
  <si>
    <t>6984</t>
  </si>
  <si>
    <t>https://ryanrent.sharepoint.com/sites/RyanRent/Gedeelde%20documenten/Forms/AllItems.aspx?id=%2Fsites%2FRyanRent%2FGedeelde%20documenten%2FGeneral%2F01%5FRyanRent%26Co%2F01%5FWoningen%2FOudewerfslaan%2084%2C%20Winschoten</t>
  </si>
  <si>
    <t>https://ryanrent.sharepoint.com/sites/RyanRent/Gedeelde%20documenten/Forms/AllItems.aspx?id=%2Fsites%2FRyanRent%2FGedeelde%20documenten%2FGeneral%2F01%5FRyanRent%26Co%2F01%5FWoningen%2FOudewerfslaan%2084%2C%20Winschoten%2F2%5FInhuur</t>
  </si>
  <si>
    <t>https://ryanrent.sharepoint.com/sites/RyanRent/Gedeelde%20documenten/Forms/AllItems.aspx?id=%2Fsites%2FRyanRent%2FGedeelde%20documenten%2FGeneral%2F01%5FRyanRent%26Co%2F01%5FWoningen%2FOudewerfslaan%2084%2C%20Winschoten%2F3%5FVerhuur</t>
  </si>
  <si>
    <t>https://ryanrent.sharepoint.com/sites/RyanRent/Gedeelde%20documenten/Forms/AllItems.aspx?id=%2Fsites%2FRyanRent%2FGedeelde%20documenten%2FGeneral%2F01%5FRyanRent%26Co%2F01%5FWoningen%2FOudewerfslaan%2084%2C%20Winschoten%2F2%5FInhuur%2F2%5FInhuurovereenkomsten</t>
  </si>
  <si>
    <t>0113</t>
  </si>
  <si>
    <t>Peursumseweg 119A</t>
  </si>
  <si>
    <t>3381 KV</t>
  </si>
  <si>
    <t>Giessenburg</t>
  </si>
  <si>
    <t>8219</t>
  </si>
  <si>
    <t>0114</t>
  </si>
  <si>
    <t>Piersonstraat 8</t>
  </si>
  <si>
    <t>3119RG</t>
  </si>
  <si>
    <t>https://ryanrent.sharepoint.com/sites/RyanRent/Gedeelde%20documenten/Forms/AllItems.aspx?id=%2Fsites%2FRyanRent%2FGedeelde%20documenten%2FGeneral%2F01%5FRyanRent%26Co%2F01%5FWoningen%2FPiersonstraat%208%2C%20Schiedam</t>
  </si>
  <si>
    <t>https://ryanrent.sharepoint.com/sites/RyanRent/Gedeelde%20documenten/Forms/AllItems.aspx?id=%2Fsites%2FRyanRent%2FGedeelde%20documenten%2FGeneral%2F01%5FRyanRent%26Co%2F01%5FWoningen%2FPiersonstraat%208%2C%20Schiedam%2F2%5FInhuur</t>
  </si>
  <si>
    <t>https://ryanrent.sharepoint.com/sites/RyanRent/Gedeelde%20documenten/Forms/AllItems.aspx?id=%2Fsites%2FRyanRent%2FGedeelde%20documenten%2FGeneral%2F01%5FRyanRent%26Co%2F01%5FWoningen%2FPiersonstraat%208%2C%20Schiedam%2F3%5FVerhuur</t>
  </si>
  <si>
    <t>https://ryanrent.sharepoint.com/sites/RyanRent/Gedeelde%20documenten/Forms/AllItems.aspx?id=%2Fsites%2FRyanRent%2FGedeelde%20documenten%2FGeneral%2F01%5FRyanRent%26Co%2F01%5FWoningen%2FPiersonstraat%208%2C%20Schiedam%2F2%5FInhuur%2F2%5FInhuurovereenkomsten</t>
  </si>
  <si>
    <t>Maatschap J.W. Meershoek &amp; W.M. Meershoek</t>
  </si>
  <si>
    <t>j.meershoek1@chello.nl</t>
  </si>
  <si>
    <t>Grootzand 11</t>
  </si>
  <si>
    <t>HOEK VAN HOLLAND</t>
  </si>
  <si>
    <t>NL37 ABNA 0406 1514 07</t>
  </si>
  <si>
    <t>2019-09-21</t>
  </si>
  <si>
    <t>2026-12-18</t>
  </si>
  <si>
    <t>0115</t>
  </si>
  <si>
    <t>Poppestraat 59</t>
  </si>
  <si>
    <t>4711EW</t>
  </si>
  <si>
    <t>St. Willebrord</t>
  </si>
  <si>
    <t>7159</t>
  </si>
  <si>
    <t>https://ryanrent.sharepoint.com/sites/RyanRent/Gedeelde%20documenten/Forms/AllItems.aspx?id=%2Fsites%2FRyanRent%2FGedeelde%20documenten%2FGeneral%2F01%5FRyanRent%26Co%2F01%5FWoningen%2FPoppestraat%2059%20St.%20Willebrord</t>
  </si>
  <si>
    <t>https://ryanrent.sharepoint.com/sites/RyanRent/Gedeelde%20documenten/Forms/AllItems.aspx?id=%2Fsites%2FRyanRent%2FGedeelde%20documenten%2FGeneral%2F01%5FRyanRent%26Co%2F01%5FWoningen%2FPoppestraat%2059%20St.%20Willebrord%2F2%5FInhuur</t>
  </si>
  <si>
    <t>https://ryanrent.sharepoint.com/sites/RyanRent/Gedeelde%20documenten/Forms/AllItems.aspx?id=%2Fsites%2FRyanRent%2FGedeelde%20documenten%2FGeneral%2F01%5FRyanRent%26Co%2F01%5FWoningen%2FPoppestraat%2059%20St.%20Willebrord%2F3%5FVerhuur</t>
  </si>
  <si>
    <t>https://ryanrent.sharepoint.com/sites/RyanRent/Gedeelde%20documenten/Forms/AllItems.aspx?id=%2Fsites%2FRyanRent%2FGedeelde%20documenten%2FGeneral%2F01%5FRyanRent%26Co%2F01%5FWoningen%2FPoppestraat%2059%20St.%20Willebrord%2F2%5FInhuur%2F2%5FInhuurovereenkomsten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</si>
  <si>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</si>
  <si>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</si>
  <si>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</si>
  <si>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</si>
  <si>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</si>
  <si>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</si>
  <si>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</si>
  <si>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</si>
  <si>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2236</t>
  </si>
  <si>
    <t>https://ryanrent.sharepoint.com/sites/RyanRent/Gedeelde%20documenten/Forms/AllItems.aspx?id=%2Fsites%2FRyanRent%2FGedeelde%20documenten%2FGeneral%2F01%5FRyanRent%26Co%2F01%5FWoningen%2FPrunuslaan%2036%2C%20Nieuwolda</t>
  </si>
  <si>
    <t>https://ryanrent.sharepoint.com/sites/RyanRent/Gedeelde%20documenten/Forms/AllItems.aspx?id=%2Fsites%2FRyanRent%2FGedeelde%20documenten%2FGeneral%2F01%5FRyanRent%26Co%2F01%5FWoningen%2FPrunuslaan%2036%2C%20Nieuwolda%2F2%5FInhuur</t>
  </si>
  <si>
    <t>https://ryanrent.sharepoint.com/sites/RyanRent/Gedeelde%20documenten/Forms/AllItems.aspx?id=%2Fsites%2FRyanRent%2FGedeelde%20documenten%2FGeneral%2F01%5FRyanRent%26Co%2F01%5FWoningen%2FPrunuslaan%2036%2C%20Nieuwolda%2F3%5FVerhuur</t>
  </si>
  <si>
    <t>https://ryanrent.sharepoint.com/sites/RyanRent/Gedeelde%20documenten/Forms/AllItems.aspx?id=%2Fsites%2FRyanRent%2FGedeelde%20documenten%2FGeneral%2F01%5FRyanRent%26Co%2F01%5FWoningen%2FPrunuslaan%2036%2C%20Nieuwolda%2F2%5FInhuur%2F2%5FInhuurovereenkomsten</t>
  </si>
  <si>
    <t>A. Ghali</t>
  </si>
  <si>
    <t>Rooseveltlaan 956</t>
  </si>
  <si>
    <t>NL11 ABNA 0560 7581 38</t>
  </si>
  <si>
    <t>2021-05-03</t>
  </si>
  <si>
    <t>2026-02-28</t>
  </si>
  <si>
    <t>bepaalde tijd</t>
  </si>
  <si>
    <t>Workforce Housing International B.V</t>
  </si>
  <si>
    <t>invoices@w-hi.com</t>
  </si>
  <si>
    <t>0252-255550</t>
  </si>
  <si>
    <t>Keizersgracht 241</t>
  </si>
  <si>
    <t>Amsterdam</t>
  </si>
  <si>
    <t>195259619</t>
  </si>
  <si>
    <t>NL37 INGB 0395 8388 94</t>
  </si>
  <si>
    <t>Binnenkort beschikbaar</t>
  </si>
  <si>
    <t>0118</t>
  </si>
  <si>
    <t>Marathonlaan 26</t>
  </si>
  <si>
    <t>2807BB</t>
  </si>
  <si>
    <t>Gouda</t>
  </si>
  <si>
    <t>2826</t>
  </si>
  <si>
    <t>https://ryanrent.sharepoint.com/sites/RyanRent/Gedeelde%20documenten/Forms/AllItems.aspx?id=%2Fsites%2FRyanRent%2FGedeelde%20documenten%2FGeneral%2F01%5FRyanRent%26Co%2F01%5FWoningen%2FMarathonlaan%2026%2C%20Gouda</t>
  </si>
  <si>
    <t>https://ryanrent.sharepoint.com/sites/RyanRent/Gedeelde%20documenten/Forms/AllItems.aspx?id=%2Fsites%2FRyanRent%2FGedeelde%20documenten%2FGeneral%2F01%5FRyanRent%26Co%2F01%5FWoningen%2FMarathonlaan%2026%2C%20Gouda%2F2%5FInhuur</t>
  </si>
  <si>
    <t>https://ryanrent.sharepoint.com/sites/RyanRent/Gedeelde%20documenten/Forms/AllItems.aspx?id=%2Fsites%2FRyanRent%2FGedeelde%20documenten%2FGeneral%2F01%5FRyanRent%26Co%2F01%5FWoningen%2FMarathonlaan%2026%2C%20Gouda%2F3%5FVerhuur</t>
  </si>
  <si>
    <t>https://ryanrent.sharepoint.com/sites/RyanRent/Gedeelde%20documenten/Forms/AllItems.aspx?id=%2Fsites%2FRyanRent%2FGedeelde%20documenten%2FGeneral%2F01%5FRyanRent%26Co%2F01%5FWoningen%2FMarathonlaan%2026%2C%20Gouda%2F2%5FInhuur%2F2%5FInhuurovereenkomsten</t>
  </si>
  <si>
    <t>Bw-engineering</t>
  </si>
  <si>
    <t>r.adelaar@bw-engineering.nl</t>
  </si>
  <si>
    <t>06-345 79 097</t>
  </si>
  <si>
    <t>van Brakelstraat 66</t>
  </si>
  <si>
    <t>634579097</t>
  </si>
  <si>
    <t>NL74 ABNA 0554 0784 57</t>
  </si>
  <si>
    <t>0119</t>
  </si>
  <si>
    <t>Koningin Julianastraat 27</t>
  </si>
  <si>
    <t>3466LG</t>
  </si>
  <si>
    <t>Waarder</t>
  </si>
  <si>
    <t>3427</t>
  </si>
  <si>
    <t>0120</t>
  </si>
  <si>
    <t>Plaats 10</t>
  </si>
  <si>
    <t>3417EC</t>
  </si>
  <si>
    <t>Montfoort</t>
  </si>
  <si>
    <t>3410</t>
  </si>
  <si>
    <t>1005.0</t>
  </si>
  <si>
    <t>https://ryanrent.sharepoint.com/sites/RyanRent/Gedeelde%20documenten/Forms/AllItems.aspx?id=%2Fsites%2FRyanRent%2FGedeelde%20documenten%2FGeneral%2F01%5FRyanRent%26Co%2F01%5FWoningen%2FDe%20Plaats%2010%2C%20Montfoort</t>
  </si>
  <si>
    <t>https://ryanrent.sharepoint.com/sites/RyanRent/Gedeelde%20documenten/Forms/AllItems.aspx?id=%2Fsites%2FRyanRent%2FGedeelde%20documenten%2FGeneral%2F01%5FRyanRent%26Co%2F01%5FWoningen%2FDe%20Plaats%2010%2C%20Montfoort%2F2%5FInhuur</t>
  </si>
  <si>
    <t>https://ryanrent.sharepoint.com/sites/RyanRent/Gedeelde%20documenten/Forms/AllItems.aspx?id=%2Fsites%2FRyanRent%2FGedeelde%20documenten%2FGeneral%2F01%5FRyanRent%26Co%2F01%5FWoningen%2FDe%20Plaats%2010%2C%20Montfoort%2F3%5FVerhuur</t>
  </si>
  <si>
    <t>https://ryanrent.sharepoint.com/sites/RyanRent/Gedeelde%20documenten/Forms/AllItems.aspx?id=%2Fsites%2FRyanRent%2FGedeelde%20documenten%2FGeneral%2F01%5FRyanRent%26Co%2F01%5FWoningen%2FDe%20Plaats%2010%2C%20Montfoort%2F2%5FInhuur%2F2%5FInhuurovereenkomsten</t>
  </si>
  <si>
    <t>Johan van der Burg</t>
  </si>
  <si>
    <t>johanvanderburg87@gmail.com</t>
  </si>
  <si>
    <t>NL74 RABO 0134 5913 64</t>
  </si>
  <si>
    <t>Estra Logistics Systems B.V.</t>
  </si>
  <si>
    <t>finance@cruisr.nl</t>
  </si>
  <si>
    <t>06 153 52 404</t>
  </si>
  <si>
    <t>Zuid Hollandiaan 7</t>
  </si>
  <si>
    <t>282166021</t>
  </si>
  <si>
    <t>0121</t>
  </si>
  <si>
    <t>Rivierdijk 794</t>
  </si>
  <si>
    <t>3371EM</t>
  </si>
  <si>
    <t>Hardinxveld - Giessendam</t>
  </si>
  <si>
    <t>8794</t>
  </si>
  <si>
    <t>https://ryanrent.sharepoint.com/sites/RyanRent/Gedeelde%20documenten/Forms/AllItems.aspx?id=%2Fsites%2FRyanRent%2FGedeelde%20documenten%2FGeneral%2F01%5FRyanRent%26Co%2F01%5FWoningen%2FRivierdijk%20794%2C%20Hardinxveld-Giessendam</t>
  </si>
  <si>
    <t>https://ryanrent.sharepoint.com/sites/RyanRent/Gedeelde%20documenten/Forms/AllItems.aspx?id=%2Fsites%2FRyanRent%2FGedeelde%20documenten%2FGeneral%2F01%5FRyanRent%26Co%2F01%5FWoningen%2FRivierdijk%20794%2C%20Hardinxveld-Giessendam%2F2%5FInhuur</t>
  </si>
  <si>
    <t>https://ryanrent.sharepoint.com/sites/RyanRent/Gedeelde%20documenten/Forms/AllItems.aspx?id=%2Fsites%2FRyanRent%2FGedeelde%20documenten%2FGeneral%2F01%5FRyanRent%26Co%2F01%5FWoningen%2FRivierdijk%20794%2C%20Hardinxveld-Giessendam%2F3%5FVerhuur</t>
  </si>
  <si>
    <t>https://ryanrent.sharepoint.com/sites/RyanRent/Gedeelde%20documenten/Forms/AllItems.aspx?id=%2Fsites%2FRyanRent%2FGedeelde%20documenten%2FGeneral%2F01%5FRyanRent%26Co%2F01%5FWoningen%2FRivierdijk%20794%2C%20Hardinxveld-Giessendam%2F2%5FInhuur%2F2%5FInhuurovereenkomsten</t>
  </si>
  <si>
    <t>0122</t>
  </si>
  <si>
    <t>Kethelweg 66B</t>
  </si>
  <si>
    <t>https://ryanrent.sharepoint.com/sites/RyanRent/Gedeelde%20documenten/Forms/AllItems.aspx?id=%2Fsites%2FRyanRent%2FGedeelde%20documenten%2FGeneral%2F01%5FRyanRent%26Co%2F01%5FWoningen%2FKethelweg%2066B%2C%20Vlaardingen</t>
  </si>
  <si>
    <t>https://ryanrent.sharepoint.com/sites/RyanRent/Gedeelde%20documenten/Forms/AllItems.aspx?id=%2Fsites%2FRyanRent%2FGedeelde%20documenten%2FGeneral%2F01%5FRyanRent%26Co%2F01%5FWoningen%2FKethelweg%2066B%2C%20Vlaardingen%2F2%5FInhuur</t>
  </si>
  <si>
    <t>https://ryanrent.sharepoint.com/sites/RyanRent/Gedeelde%20documenten/Forms/AllItems.aspx?id=%2Fsites%2FRyanRent%2FGedeelde%20documenten%2FGeneral%2F01%5FRyanRent%26Co%2F01%5FWoningen%2FKethelweg%2066B%2C%20Vlaardingen%2F3%5FVerhuur</t>
  </si>
  <si>
    <t>https://ryanrent.sharepoint.com/sites/RyanRent/Gedeelde%20documenten/Forms/AllItems.aspx?id=%2Fsites%2FRyanRent%2FGedeelde%20documenten%2FGeneral%2F01%5FRyanRent%26Co%2F01%5FWoningen%2FKethelweg%2066B%2C%20Vlaardingen%2F2%5FInhuur%2F2%5FInhuurovereenkomsten</t>
  </si>
  <si>
    <t>0123</t>
  </si>
  <si>
    <t>Snecanusstraat 12</t>
  </si>
  <si>
    <t>8607BK</t>
  </si>
  <si>
    <t>Sneek</t>
  </si>
  <si>
    <t>9012</t>
  </si>
  <si>
    <t>https://ryanrent.sharepoint.com/sites/RyanRent/Gedeelde%20documenten/Forms/AllItems.aspx?id=%2Fsites%2FRyanRent%2FGedeelde%20documenten%2FGeneral%2F01%5FRyanRent%26Co%2F01%5FWoningen%2FSnecanusstraat%2012%2C%20Sneek</t>
  </si>
  <si>
    <t>https://ryanrent.sharepoint.com/sites/RyanRent/Gedeelde%20documenten/Forms/AllItems.aspx?id=%2Fsites%2FRyanRent%2FGedeelde%20documenten%2FGeneral%2F01%5FRyanRent%26Co%2F01%5FWoningen%2FSnecanusstraat%2012%2C%20Sneek%2F2%5FInhuur</t>
  </si>
  <si>
    <t>https://ryanrent.sharepoint.com/sites/RyanRent/Gedeelde%20documenten/Forms/AllItems.aspx?id=%2Fsites%2FRyanRent%2FGedeelde%20documenten%2FGeneral%2F01%5FRyanRent%26Co%2F01%5FWoningen%2FSnecanusstraat%2012%2C%20Sneek%2F3%5FVerhuur</t>
  </si>
  <si>
    <t>https://ryanrent.sharepoint.com/sites/RyanRent/Gedeelde%20documenten/Forms/AllItems.aspx?id=%2Fsites%2FRyanRent%2FGedeelde%20documenten%2FGeneral%2F01%5FRyanRent%26Co%2F01%5FWoningen%2FSnecanusstraat%2012%2C%20Sneek%2F2%5FInhuur%2F2%5FInhuurovereenkomsten</t>
  </si>
  <si>
    <t>0124</t>
  </si>
  <si>
    <t>Snoekenveen 242</t>
  </si>
  <si>
    <t>3205CN</t>
  </si>
  <si>
    <t>1242</t>
  </si>
  <si>
    <t>https://ryanrent.sharepoint.com/sites/RyanRent/Gedeelde%20documenten/Forms/AllItems.aspx?id=%2Fsites%2FRyanRent%2FGedeelde%20documenten%2FGeneral%2F01%5FRyanRent%26Co%2F01%5FWoningen%2FSnoekenveen%20242%2C%20Spijkenisse</t>
  </si>
  <si>
    <t>https://ryanrent.sharepoint.com/sites/RyanRent/Gedeelde%20documenten/Forms/AllItems.aspx?id=%2Fsites%2FRyanRent%2FGedeelde%20documenten%2FGeneral%2F01%5FRyanRent%26Co%2F01%5FWoningen%2FSnoekenveen%20242%2C%20Spijkenisse%2F2%5FInhuur</t>
  </si>
  <si>
    <t>https://ryanrent.sharepoint.com/sites/RyanRent/Gedeelde%20documenten/Forms/AllItems.aspx?id=%2Fsites%2FRyanRent%2FGedeelde%20documenten%2FGeneral%2F01%5FRyanRent%26Co%2F01%5FWoningen%2FSnoekenveen%20242%2C%20Spijkenisse%2F3%5FVerhuur</t>
  </si>
  <si>
    <t>https://ryanrent.sharepoint.com/sites/RyanRent/Gedeelde%20documenten/Forms/AllItems.aspx?id=%2Fsites%2FRyanRent%2FGedeelde%20documenten%2FGeneral%2F01%5FRyanRent%26Co%2F01%5FWoningen%2FSnoekenveen%20242%2C%20Spijkenisse%2F2%5FInhuur%2F2%5FInhuurovereenkomsten</t>
  </si>
  <si>
    <t>0125</t>
  </si>
  <si>
    <t>Korte Singelstraat 21-3</t>
  </si>
  <si>
    <t>3112 GA</t>
  </si>
  <si>
    <t>https://ryanrent.sharepoint.com/sites/RyanRent/Gedeelde%20documenten/Forms/AllItems.aspx?id=%2Fsites%2FRyanRent%2FGedeelde%20documenten%2FGeneral%2F01%5FRyanRent%26Co%2F01%5FWoningen%2FKorte%20Singelstraat%2021-3%2C%20Schiedam</t>
  </si>
  <si>
    <t>https://ryanrent.sharepoint.com/sites/RyanRent/Gedeelde%20documenten/Forms/AllItems.aspx?id=%2Fsites%2FRyanRent%2FGedeelde%20documenten%2FGeneral%2F01%5FRyanRent%26Co%2F01%5FWoningen%2FKorte%20Singelstraat%2021-3%2C%20Schiedam%2F2%5FInhuur</t>
  </si>
  <si>
    <t>https://ryanrent.sharepoint.com/sites/RyanRent/Gedeelde%20documenten/Forms/AllItems.aspx?id=%2Fsites%2FRyanRent%2FGedeelde%20documenten%2FGeneral%2F01%5FRyanRent%26Co%2F01%5FWoningen%2FKorte%20Singelstraat%2021-3%2C%20Schiedam%2F3%5FVerhuur</t>
  </si>
  <si>
    <t>https://ryanrent.sharepoint.com/sites/RyanRent/Gedeelde%20documenten/Forms/AllItems.aspx?id=%2Fsites%2FRyanRent%2FGedeelde%20documenten%2FGeneral%2F01%5FRyanRent%26Co%2F01%5FWoningen%2FKorte%20Singelstraat%2021-3%2C%20Schiedam%2F2%5FInhuur%2F2%5FInhuurovereenkomsten</t>
  </si>
  <si>
    <t>0126</t>
  </si>
  <si>
    <t>Korte Singelstraat 21-2</t>
  </si>
  <si>
    <t>0127</t>
  </si>
  <si>
    <t>Struitenweg 19b</t>
  </si>
  <si>
    <t>3082WP</t>
  </si>
  <si>
    <t>https://ryanrent.sharepoint.com/sites/RyanRent/Gedeelde%20documenten/Forms/AllItems.aspx?id=%2Fsites%2FRyanRent%2FGedeelde%20documenten%2FGeneral%2F01%5FRyanRent%26Co%2F01%5FWoningen%2FStruitenweg%2019b%2C%20Rotterdam</t>
  </si>
  <si>
    <t>https://ryanrent.sharepoint.com/sites/RyanRent/Gedeelde%20documenten/Forms/AllItems.aspx?id=%2Fsites%2FRyanRent%2FGedeelde%20documenten%2FGeneral%2F01%5FRyanRent%26Co%2F01%5FWoningen%2FStruitenweg%2019b%2C%20Rotterdam%2F2%5FInhuur</t>
  </si>
  <si>
    <t>https://ryanrent.sharepoint.com/sites/RyanRent/Gedeelde%20documenten/Forms/AllItems.aspx?id=%2Fsites%2FRyanRent%2FGedeelde%20documenten%2FGeneral%2F01%5FRyanRent%26Co%2F01%5FWoningen%2FStruitenweg%2019b%2C%20Rotterdam%2F3%5FVerhuur</t>
  </si>
  <si>
    <t>https://ryanrent.sharepoint.com/sites/RyanRent/Gedeelde%20documenten/Forms/AllItems.aspx?id=%2Fsites%2FRyanRent%2FGedeelde%20documenten%2FGeneral%2F01%5FRyanRent%26Co%2F01%5FWoningen%2FStruitenweg%2019b%2C%20Rotterdam%2F2%5FInhuur%2F2%5FInhuurovereenkomsten</t>
  </si>
  <si>
    <t>0128</t>
  </si>
  <si>
    <t>Tesselschadelaan 45</t>
  </si>
  <si>
    <t>4707CJ</t>
  </si>
  <si>
    <t>3845</t>
  </si>
  <si>
    <t>https://ryanrent.sharepoint.com/sites/RyanRent/Gedeelde%20documenten/Forms/AllItems.aspx?id=%2Fsites%2FRyanRent%2FGedeelde%20documenten%2FGeneral%2F01%5FRyanRent%26Co%2F01%5FWoningen%2FTesselschadelaan%2045%2C%20Roosendaal</t>
  </si>
  <si>
    <t>https://ryanrent.sharepoint.com/sites/RyanRent/Gedeelde%20documenten/Forms/AllItems.aspx?id=%2Fsites%2FRyanRent%2FGedeelde%20documenten%2FGeneral%2F01%5FRyanRent%26Co%2F01%5FWoningen%2FTesselschadelaan%2045%2C%20Roosendaal%2F2%5FInhuur</t>
  </si>
  <si>
    <t>https://ryanrent.sharepoint.com/sites/RyanRent/Gedeelde%20documenten/Forms/AllItems.aspx?id=%2Fsites%2FRyanRent%2FGedeelde%20documenten%2FGeneral%2F01%5FRyanRent%26Co%2F01%5FWoningen%2FTesselschadelaan%2045%2C%20Roosendaal%2F3%5FVerhuur</t>
  </si>
  <si>
    <t>https://ryanrent.sharepoint.com/sites/RyanRent/Gedeelde%20documenten/Forms/AllItems.aspx?id=%2Fsites%2FRyanRent%2FGedeelde%20documenten%2FGeneral%2F01%5FRyanRent%26Co%2F01%5FWoningen%2FTesselschadelaan%2045%2C%20Roosendaal%2F2%5FInhuur%2F2%5FInhuurovereenkomsten</t>
  </si>
  <si>
    <t>Sjoerd Dolstra</t>
  </si>
  <si>
    <t>2020-05-15</t>
  </si>
  <si>
    <t>0129</t>
  </si>
  <si>
    <t xml:space="preserve">Utrechtse straatweg 7 </t>
  </si>
  <si>
    <t>3421GL</t>
  </si>
  <si>
    <t>Oudewater</t>
  </si>
  <si>
    <t>1307</t>
  </si>
  <si>
    <t>https://ryanrent.sharepoint.com/sites/RyanRent/Gedeelde%20documenten/Forms/AllItems.aspx?id=%2Fsites%2FRyanRent%2FGedeelde%20documenten%2FGeneral%2F01%5FRyanRent%26Co%2F01%5FWoningen%2FUtrechtsestraatweg%207%2C%20Oudewater</t>
  </si>
  <si>
    <t>https://ryanrent.sharepoint.com/sites/RyanRent/Gedeelde%20documenten/Forms/AllItems.aspx?id=%2Fsites%2FRyanRent%2FGedeelde%20documenten%2FGeneral%2F01%5FRyanRent%26Co%2F01%5FWoningen%2FUtrechtsestraatweg%207%2C%20Oudewater%2F2%5FInhuur</t>
  </si>
  <si>
    <t>https://ryanrent.sharepoint.com/sites/RyanRent/Gedeelde%20documenten/Forms/AllItems.aspx?id=%2Fsites%2FRyanRent%2FGedeelde%20documenten%2FGeneral%2F01%5FRyanRent%26Co%2F01%5FWoningen%2FUtrechtsestraatweg%207%2C%20Oudewater%2F3%5FVerhuur</t>
  </si>
  <si>
    <t>https://ryanrent.sharepoint.com/sites/RyanRent/Gedeelde%20documenten/Forms/AllItems.aspx?id=%2Fsites%2FRyanRent%2FGedeelde%20documenten%2FGeneral%2F01%5FRyanRent%26Co%2F01%5FWoningen%2FUtrechtsestraatweg%207%2C%20Oudewater%2F2%5FInhuur%2F2%5FInhuurovereenkomsten</t>
  </si>
  <si>
    <t>0130</t>
  </si>
  <si>
    <t>Van Langedonckstraat 80</t>
  </si>
  <si>
    <t>3076 SM</t>
  </si>
  <si>
    <t>0131</t>
  </si>
  <si>
    <t>Chopinstraat 35A</t>
  </si>
  <si>
    <t>3131 BD</t>
  </si>
  <si>
    <t>https://ryanrent.sharepoint.com/sites/RyanRent/Gedeelde%20documenten/Forms/AllItems.aspx?id=%2Fsites%2FRyanRent%2FGedeelde%20documenten%2FGeneral%2F01%5FRyanRent%26Co%2F01%5FWoningen%2FChopinstraat%2035A%2C%20Vlaardingen</t>
  </si>
  <si>
    <t>https://ryanrent.sharepoint.com/sites/RyanRent/Gedeelde%20documenten/Forms/AllItems.aspx?id=%2Fsites%2FRyanRent%2FGedeelde%20documenten%2FGeneral%2F01%5FRyanRent%26Co%2F01%5FWoningen%2FChopinstraat%2035A%2C%20Vlaardingen%2F2%5FInhuur</t>
  </si>
  <si>
    <t>https://ryanrent.sharepoint.com/sites/RyanRent/Gedeelde%20documenten/Forms/AllItems.aspx?id=%2Fsites%2FRyanRent%2FGedeelde%20documenten%2FGeneral%2F01%5FRyanRent%26Co%2F01%5FWoningen%2FChopinstraat%2035A%2C%20Vlaardingen%2F3%5FVerhuur</t>
  </si>
  <si>
    <t>https://ryanrent.sharepoint.com/sites/RyanRent/Gedeelde%20documenten/Forms/AllItems.aspx?id=%2Fsites%2FRyanRent%2FGedeelde%20documenten%2FGeneral%2F01%5FRyanRent%26Co%2F01%5FWoningen%2FChopinstraat%2035A%2C%20Vlaardingen%2F2%5FInhuur%2F2%5FInhuurovereenkomsten</t>
  </si>
  <si>
    <t>0132</t>
  </si>
  <si>
    <t>Voeghoutenstraat 236</t>
  </si>
  <si>
    <t>7891LJ</t>
  </si>
  <si>
    <t>Klazienaveen</t>
  </si>
  <si>
    <t>8036</t>
  </si>
  <si>
    <t>0133</t>
  </si>
  <si>
    <t>Herenpad 20A</t>
  </si>
  <si>
    <t>3111 LP</t>
  </si>
  <si>
    <t>https://ryanrent.sharepoint.com/sites/RyanRent/Gedeelde%20documenten/Forms/AllItems.aspx?id=%2Fsites%2FRyanRent%2FGedeelde%20documenten%2FGeneral%2F01%5FRyanRent%26Co%2F01%5FWoningen%2FHerenpad%2020A%2C%20Schiedam</t>
  </si>
  <si>
    <t>https://ryanrent.sharepoint.com/sites/RyanRent/Gedeelde%20documenten/Forms/AllItems.aspx?id=%2Fsites%2FRyanRent%2FGedeelde%20documenten%2FGeneral%2F01%5FRyanRent%26Co%2F01%5FWoningen%2FHerenpad%2020A%2C%20Schiedam%2F2%5FInhuur</t>
  </si>
  <si>
    <t>https://ryanrent.sharepoint.com/sites/RyanRent/Gedeelde%20documenten/Forms/AllItems.aspx?id=%2Fsites%2FRyanRent%2FGedeelde%20documenten%2FGeneral%2F01%5FRyanRent%26Co%2F01%5FWoningen%2FHerenpad%2020A%2C%20Schiedam%2F3%5FVerhuur</t>
  </si>
  <si>
    <t>https://ryanrent.sharepoint.com/sites/RyanRent/Gedeelde%20documenten/Forms/AllItems.aspx?id=%2Fsites%2FRyanRent%2FGedeelde%20documenten%2FGeneral%2F01%5FRyanRent%26Co%2F01%5FWoningen%2FHerenpad%2020A%2C%20Schiedam%2F2%5FInhuur%2F2%5FInhuurovereenkomsten</t>
  </si>
  <si>
    <t>Westhavendomein BV</t>
  </si>
  <si>
    <t>vastgoed@westhavendomein.nl</t>
  </si>
  <si>
    <t>010-2477477</t>
  </si>
  <si>
    <t>NL07 INGB 0000 0151 23</t>
  </si>
  <si>
    <t>S. Bakker OPH Verhuur</t>
  </si>
  <si>
    <t>Hoofdweg 7</t>
  </si>
  <si>
    <t>Hitzum</t>
  </si>
  <si>
    <t>NL85 INGB 0102 8401 21</t>
  </si>
  <si>
    <t>2026-01-20</t>
  </si>
  <si>
    <t>Uitzendbureau Bakker B.V.</t>
  </si>
  <si>
    <t>administratie@bedrijvenbakker.nl</t>
  </si>
  <si>
    <t>06 2550336</t>
  </si>
  <si>
    <t>Albertjoachimkade 33H</t>
  </si>
  <si>
    <t>2026-01-09</t>
  </si>
  <si>
    <t>2027-01-08</t>
  </si>
  <si>
    <t>0134</t>
  </si>
  <si>
    <t>Herenpad 20 B</t>
  </si>
  <si>
    <t xml:space="preserve">3111 LN </t>
  </si>
  <si>
    <t>0135</t>
  </si>
  <si>
    <t>Amperestraat 36A</t>
  </si>
  <si>
    <t>3112MD</t>
  </si>
  <si>
    <t>3136</t>
  </si>
  <si>
    <t>https://ryanrent.sharepoint.com/sites/RyanRent/Gedeelde%20documenten/Forms/AllItems.aspx?id=%2Fsites%2FRyanRent%2FGedeelde%20documenten%2FGeneral%2F01%5FRyanRent%26Co%2F01%5FWoningen%2FAmperestraat%2036A%2C%20Schiedam</t>
  </si>
  <si>
    <t>https://ryanrent.sharepoint.com/sites/RyanRent/Gedeelde%20documenten/Forms/AllItems.aspx?id=%2Fsites%2FRyanRent%2FGedeelde%20documenten%2FGeneral%2F01%5FRyanRent%26Co%2F01%5FWoningen%2FAmperestraat%2036A%2C%20Schiedam%2F2%5FInhuur</t>
  </si>
  <si>
    <t>https://ryanrent.sharepoint.com/sites/RyanRent/Gedeelde%20documenten/Forms/AllItems.aspx?id=%2Fsites%2FRyanRent%2FGedeelde%20documenten%2FGeneral%2F01%5FRyanRent%26Co%2F01%5FWoningen%2FAmperestraat%2036A%2C%20Schiedam%2F3%5FVerhuur</t>
  </si>
  <si>
    <t>https://ryanrent.sharepoint.com/sites/RyanRent/Gedeelde%20documenten/Forms/AllItems.aspx?id=%2Fsites%2FRyanRent%2FGedeelde%20documenten%2FGeneral%2F01%5FRyanRent%26Co%2F01%5FWoningen%2FAmperestraat%2036A%2C%20Schiedam%2F2%5FInhuur%2F2%5FInhuurovereenkomsten</t>
  </si>
  <si>
    <t>0136</t>
  </si>
  <si>
    <t>Elisadonk 220</t>
  </si>
  <si>
    <t>4707ER</t>
  </si>
  <si>
    <t>4720</t>
  </si>
  <si>
    <t>https://ryanrent.sharepoint.com/sites/RyanRent/Gedeelde%20documenten/Forms/AllItems.aspx?id=%2Fsites%2FRyanRent%2FGedeelde%20documenten%2FGeneral%2F01%5FRyanRent%26Co%2F01%5FWoningen%2FElisadonk%20220%20Roosendaal</t>
  </si>
  <si>
    <t>https://ryanrent.sharepoint.com/sites/RyanRent/Gedeelde%20documenten/Forms/AllItems.aspx?id=%2Fsites%2FRyanRent%2FGedeelde%20documenten%2FGeneral%2F01%5FRyanRent%26Co%2F01%5FWoningen%2FElisadonk%20220%20Roosendaal%2F2%5FInhuur</t>
  </si>
  <si>
    <t>https://ryanrent.sharepoint.com/sites/RyanRent/Gedeelde%20documenten/Forms/AllItems.aspx?id=%2Fsites%2FRyanRent%2FGedeelde%20documenten%2FGeneral%2F01%5FRyanRent%26Co%2F01%5FWoningen%2FElisadonk%20220%20Roosendaal%2F3%5FVerhuur</t>
  </si>
  <si>
    <t>https://ryanrent.sharepoint.com/sites/RyanRent/Gedeelde%20documenten/Forms/AllItems.aspx?id=%2Fsites%2FRyanRent%2FGedeelde%20documenten%2FGeneral%2F01%5FRyanRent%26Co%2F01%5FWoningen%2FElisadonk%20220%20Roosendaal%2F2%5FInhuur%2F2%5FInhuurovereenkomsten</t>
  </si>
  <si>
    <t>M&amp;M Hendriks</t>
  </si>
  <si>
    <t>2024-03-01</t>
  </si>
  <si>
    <t>EG Facility &amp; Services BV</t>
  </si>
  <si>
    <t>facturen@egfs.nl</t>
  </si>
  <si>
    <t>06 43220422</t>
  </si>
  <si>
    <t>Velsenstraat 6A</t>
  </si>
  <si>
    <t>Werkendam</t>
  </si>
  <si>
    <t>88802957.0</t>
  </si>
  <si>
    <t>NL69 RABO 0359 9345 79</t>
  </si>
  <si>
    <t>0137</t>
  </si>
  <si>
    <t>Venkelstraat 29A</t>
  </si>
  <si>
    <t>Brielle</t>
  </si>
  <si>
    <t>0138</t>
  </si>
  <si>
    <t>Westercluft</t>
  </si>
  <si>
    <t>8332 AH</t>
  </si>
  <si>
    <t>1906</t>
  </si>
  <si>
    <t>Dhr. R. Bekken</t>
  </si>
  <si>
    <t>renzo.bekken@gmail.com</t>
  </si>
  <si>
    <t>206 24524308</t>
  </si>
  <si>
    <t>Roemer Visscherlaan 57</t>
  </si>
  <si>
    <t>Zeist</t>
  </si>
  <si>
    <t>NL62 BUNQ 2070 7468 01</t>
  </si>
  <si>
    <t>Stay21</t>
  </si>
  <si>
    <t>2025-10-10</t>
  </si>
  <si>
    <t>0139</t>
  </si>
  <si>
    <t xml:space="preserve">Wilgensingel 63 </t>
  </si>
  <si>
    <t>3181XK</t>
  </si>
  <si>
    <t>https://ryanrent.sharepoint.com/sites/RyanRent/Gedeelde%20documenten/Forms/AllItems.aspx?id=%2Fsites%2FRyanRent%2FGedeelde%20documenten%2FGeneral%2F01%5FRyanRent%26Co%2F01%5FWoningen%2FWilgensingel%2063%20Rozenburg</t>
  </si>
  <si>
    <t>https://ryanrent.sharepoint.com/sites/RyanRent/Gedeelde%20documenten/Forms/AllItems.aspx?id=%2Fsites%2FRyanRent%2FGedeelde%20documenten%2FGeneral%2F01%5FRyanRent%26Co%2F01%5FWoningen%2FWilgensingel%2063%20Rozenburg%2F2%5FInhuur</t>
  </si>
  <si>
    <t>https://ryanrent.sharepoint.com/sites/RyanRent/Gedeelde%20documenten/Forms/AllItems.aspx?id=%2Fsites%2FRyanRent%2FGedeelde%20documenten%2FGeneral%2F01%5FRyanRent%26Co%2F01%5FWoningen%2FWilgensingel%2063%20Rozenburg%2F3%5FVerhuur</t>
  </si>
  <si>
    <t>https://ryanrent.sharepoint.com/sites/RyanRent/Gedeelde%20documenten/Forms/AllItems.aspx?id=%2Fsites%2FRyanRent%2FGedeelde%20documenten%2FGeneral%2F01%5FRyanRent%26Co%2F01%5FWoningen%2FWilgensingel%2063%20Rozenburg%2F2%5FInhuur%2F2%5FInhuurovereenkomsten</t>
  </si>
  <si>
    <t>0140</t>
  </si>
  <si>
    <t>Wilgenstraat 37</t>
  </si>
  <si>
    <t>5038PB</t>
  </si>
  <si>
    <t>9737</t>
  </si>
  <si>
    <t>https://ryanrent.sharepoint.com/sites/RyanRent/Gedeelde%20documenten/Forms/AllItems.aspx?id=%2Fsites%2FRyanRent%2FGedeelde%20documenten%2FGeneral%2F01%5FRyanRent%26Co%2F01%5FWoningen%2FWilgenstraat%2037%20Tilburg</t>
  </si>
  <si>
    <t>https://ryanrent.sharepoint.com/sites/RyanRent/Gedeelde%20documenten/Forms/AllItems.aspx?id=%2Fsites%2FRyanRent%2FGedeelde%20documenten%2FGeneral%2F01%5FRyanRent%26Co%2F01%5FWoningen%2FWilgenstraat%2037%20Tilburg%2F2%5FInhuur</t>
  </si>
  <si>
    <t>https://ryanrent.sharepoint.com/sites/RyanRent/Gedeelde%20documenten/Forms/AllItems.aspx?id=%2Fsites%2FRyanRent%2FGedeelde%20documenten%2FGeneral%2F01%5FRyanRent%26Co%2F01%5FWoningen%2FWilgenstraat%2037%20Tilburg%2F3%5FVerhuur</t>
  </si>
  <si>
    <t>https://ryanrent.sharepoint.com/sites/RyanRent/Gedeelde%20documenten/Forms/AllItems.aspx?id=%2Fsites%2FRyanRent%2FGedeelde%20documenten%2FGeneral%2F01%5FRyanRent%26Co%2F01%5FWoningen%2FWilgenstraat%2037%20Tilburg%2F2%5FInhuur%2F2%5FInhuurovereenkomsten</t>
  </si>
  <si>
    <t>0141</t>
  </si>
  <si>
    <t>Wilhelminastraat 8</t>
  </si>
  <si>
    <t>4696 BS</t>
  </si>
  <si>
    <t>Stavenisse</t>
  </si>
  <si>
    <t>3450</t>
  </si>
  <si>
    <t>https://ryanrent.sharepoint.com/sites/RyanRent/Gedeelde%20documenten/Forms/AllItems.aspx?id=%2Fsites%2FRyanRent%2FGedeelde%20documenten%2FGeneral%2F01%5FRyanRent%26Co%2F01%5FWoningen%2FWilhelminastraat%208%2C%20Stavenisse</t>
  </si>
  <si>
    <t>https://ryanrent.sharepoint.com/sites/RyanRent/Gedeelde%20documenten/Forms/AllItems.aspx?id=%2Fsites%2FRyanRent%2FGedeelde%20documenten%2FGeneral%2F01%5FRyanRent%26Co%2F01%5FWoningen%2FWilhelminastraat%208%2C%20Stavenisse%2F2%5FInhuur</t>
  </si>
  <si>
    <t>https://ryanrent.sharepoint.com/sites/RyanRent/Gedeelde%20documenten/Forms/AllItems.aspx?id=%2Fsites%2FRyanRent%2FGedeelde%20documenten%2FGeneral%2F01%5FRyanRent%26Co%2F01%5FWoningen%2FWilhelminastraat%208%2C%20Stavenisse%2F3%5FVerhuur</t>
  </si>
  <si>
    <t>https://ryanrent.sharepoint.com/sites/RyanRent/Gedeelde%20documenten/Forms/AllItems.aspx?id=%2Fsites%2FRyanRent%2FGedeelde%20documenten%2FGeneral%2F01%5FRyanRent%26Co%2F01%5FWoningen%2FWilhelminastraat%208%2C%20Stavenisse%2F2%5FInhuur%2F2%5FInhuurovereenkomsten</t>
  </si>
  <si>
    <t>Buurman Vastgoed E B.V.</t>
  </si>
  <si>
    <t>admin@inexho.com</t>
  </si>
  <si>
    <t>06 153 97 067</t>
  </si>
  <si>
    <t>Westerweg 291</t>
  </si>
  <si>
    <t>Alkmaar</t>
  </si>
  <si>
    <t>20615397067</t>
  </si>
  <si>
    <t>0142</t>
  </si>
  <si>
    <t>Wilhelmina Druckerstraat 68</t>
  </si>
  <si>
    <t>7741 RM</t>
  </si>
  <si>
    <t>Coevorden</t>
  </si>
  <si>
    <t>8668</t>
  </si>
  <si>
    <t>0143</t>
  </si>
  <si>
    <t>Willem Lodewijkstraat 8</t>
  </si>
  <si>
    <t>8801EL</t>
  </si>
  <si>
    <t>6608</t>
  </si>
  <si>
    <t>https://ryanrent.sharepoint.com/sites/RyanRent/Gedeelde%20documenten/Forms/AllItems.aspx?id=%2Fsites%2FRyanRent%2FGedeelde%20documenten%2FGeneral%2F01%5FRyanRent%26Co%2F01%5FWoningen%2FWillem%20Lodewijkstraat%208%2C%20Franeker</t>
  </si>
  <si>
    <t>https://ryanrent.sharepoint.com/sites/RyanRent/Gedeelde%20documenten/Forms/AllItems.aspx?id=%2Fsites%2FRyanRent%2FGedeelde%20documenten%2FGeneral%2F01%5FRyanRent%26Co%2F01%5FWoningen%2FWillem%20Lodewijkstraat%208%2C%20Franeker%2F2%5FInhuur</t>
  </si>
  <si>
    <t>https://ryanrent.sharepoint.com/sites/RyanRent/Gedeelde%20documenten/Forms/AllItems.aspx?id=%2Fsites%2FRyanRent%2FGedeelde%20documenten%2FGeneral%2F01%5FRyanRent%26Co%2F01%5FWoningen%2FWillem%20Lodewijkstraat%208%2C%20Franeker%2F3%5FVerhuur</t>
  </si>
  <si>
    <t>https://ryanrent.sharepoint.com/sites/RyanRent/Gedeelde%20documenten/Forms/AllItems.aspx?id=%2Fsites%2FRyanRent%2FGedeelde%20documenten%2FGeneral%2F01%5FRyanRent%26Co%2F01%5FWoningen%2FWillem%20Lodewijkstraat%208%2C%20Franeker%2F2%5FInhuur%2F2%5FInhuurovereenkomsten</t>
  </si>
  <si>
    <t>0144</t>
  </si>
  <si>
    <t>Scheepjesbrug 433</t>
  </si>
  <si>
    <t>4231ZZ</t>
  </si>
  <si>
    <t>Meerkerk</t>
  </si>
  <si>
    <t>4408</t>
  </si>
  <si>
    <t>https://ryanrent.sharepoint.com/sites/RyanRent/Gedeelde%20documenten/Forms/AllItems.aspx?id=%2Fsites%2FRyanRent%2FGedeelde%20documenten%2FGeneral%2F01%5FRyanRent%26Co%2F01%5FWoningen%2FScheepjesbrug%20433%2C%20Meerkerk</t>
  </si>
  <si>
    <t>https://ryanrent.sharepoint.com/sites/RyanRent/Gedeelde%20documenten/Forms/AllItems.aspx?id=%2Fsites%2FRyanRent%2FGedeelde%20documenten%2FGeneral%2F01%5FRyanRent%26Co%2F01%5FWoningen%2FScheepjesbrug%20433%2C%20Meerkerk%2F2%5FInhuur</t>
  </si>
  <si>
    <t>https://ryanrent.sharepoint.com/sites/RyanRent/Gedeelde%20documenten/Forms/AllItems.aspx?id=%2Fsites%2FRyanRent%2FGedeelde%20documenten%2FGeneral%2F01%5FRyanRent%26Co%2F01%5FWoningen%2FScheepjesbrug%20433%2C%20Meerkerk%2F3%5FVerhuur</t>
  </si>
  <si>
    <t>https://ryanrent.sharepoint.com/sites/RyanRent/Gedeelde%20documenten/Forms/AllItems.aspx?id=%2Fsites%2FRyanRent%2FGedeelde%20documenten%2FGeneral%2F01%5FRyanRent%26Co%2F01%5FWoningen%2FScheepjesbrug%20433%2C%20Meerkerk%2F2%5FInhuur%2F2%5FInhuurovereenkomsten</t>
  </si>
  <si>
    <t>B. Bosch</t>
  </si>
  <si>
    <t>brucebosch@live.nl</t>
  </si>
  <si>
    <t>Stuartweg 29</t>
  </si>
  <si>
    <t>Vianen</t>
  </si>
  <si>
    <t>NL18 INGB 0796 0357 25</t>
  </si>
  <si>
    <t>2024-01-06</t>
  </si>
  <si>
    <t>2026-03-22</t>
  </si>
  <si>
    <t>0145</t>
  </si>
  <si>
    <t>Wouwbaan 230</t>
  </si>
  <si>
    <t>4703TA</t>
  </si>
  <si>
    <t>5330</t>
  </si>
  <si>
    <t>https://ryanrent.sharepoint.com/sites/RyanRent/Gedeelde%20documenten/Forms/AllItems.aspx?id=%2Fsites%2FRyanRent%2FGedeelde%20documenten%2FGeneral%2F01%5FRyanRent%26Co%2F01%5FWoningen%2FWouwbaan%20230%2C%20Roosendaal</t>
  </si>
  <si>
    <t>https://ryanrent.sharepoint.com/sites/RyanRent/Gedeelde%20documenten/Forms/AllItems.aspx?id=%2Fsites%2FRyanRent%2FGedeelde%20documenten%2FGeneral%2F01%5FRyanRent%26Co%2F01%5FWoningen%2FWouwbaan%20230%2C%20Roosendaal%2F2%5FInhuur</t>
  </si>
  <si>
    <t>https://ryanrent.sharepoint.com/sites/RyanRent/Gedeelde%20documenten/Forms/AllItems.aspx?id=%2Fsites%2FRyanRent%2FGedeelde%20documenten%2FGeneral%2F01%5FRyanRent%26Co%2F01%5FWoningen%2FWouwbaan%20230%2C%20Roosendaal%2F3%5FVerhuur</t>
  </si>
  <si>
    <t>https://ryanrent.sharepoint.com/sites/RyanRent/Gedeelde%20documenten/Forms/AllItems.aspx?id=%2Fsites%2FRyanRent%2FGedeelde%20documenten%2FGeneral%2F01%5FRyanRent%26Co%2F01%5FWoningen%2FWouwbaan%20230%2C%20Roosendaal%2F2%5FInhuur%2F2%5FInhuurovereenkomsten</t>
  </si>
  <si>
    <t>0146</t>
  </si>
  <si>
    <t>Johan Willen Frisostraat 36</t>
  </si>
  <si>
    <t>8606CW</t>
  </si>
  <si>
    <t>4402</t>
  </si>
  <si>
    <t>R. Bouius</t>
  </si>
  <si>
    <t>bouius@hotmail.com</t>
  </si>
  <si>
    <t>06-13658480</t>
  </si>
  <si>
    <t>2024-01-01</t>
  </si>
  <si>
    <t>2026-12-31</t>
  </si>
  <si>
    <t>Team Home Rentals B.V.</t>
  </si>
  <si>
    <t>administratie@teamhomerentals.nl</t>
  </si>
  <si>
    <t>085 - 0645224</t>
  </si>
  <si>
    <t>Dopplerweg1</t>
  </si>
  <si>
    <t>71523561.0</t>
  </si>
  <si>
    <t>NL61 RABO 0330 2631 02</t>
  </si>
  <si>
    <t>0147</t>
  </si>
  <si>
    <t>Hugo de Grootstraat 72A&amp;B</t>
  </si>
  <si>
    <t>2518 EG</t>
  </si>
  <si>
    <t>2525</t>
  </si>
  <si>
    <t>https://ryanrent.sharepoint.com/sites/RyanRent/Gedeelde%20documenten/Forms/AllItems.aspx?id=%2Fsites%2FRyanRent%2FGedeelde%20documenten%2FGeneral%2F01%5FRyanRent%26Co%2F01%5FWoningen%2FHugo%20de%20Grootstraat%2C%20Den%20Haag</t>
  </si>
  <si>
    <t>https://ryanrent.sharepoint.com/sites/RyanRent/Gedeelde%20documenten/Forms/AllItems.aspx?id=%2Fsites%2FRyanRent%2FGedeelde%20documenten%2FGeneral%2F01%5FRyanRent%26Co%2F01%5FWoningen%2FHugo%20de%20Grootstraat%2C%20Den%20Haag%2F2%5FInhuur</t>
  </si>
  <si>
    <t>https://ryanrent.sharepoint.com/sites/RyanRent/Gedeelde%20documenten/Forms/AllItems.aspx?id=%2Fsites%2FRyanRent%2FGedeelde%20documenten%2FGeneral%2F01%5FRyanRent%26Co%2F01%5FWoningen%2FHugo%20de%20Grootstraat%2C%20Den%20Haag%2F3%5FVerhuur</t>
  </si>
  <si>
    <t>https://ryanrent.sharepoint.com/sites/RyanRent/Gedeelde%20documenten/Forms/AllItems.aspx?id=%2Fsites%2FRyanRent%2FGedeelde%20documenten%2FGeneral%2F01%5FRyanRent%26Co%2F01%5FWoningen%2FHugo%20de%20Grootstraat%2C%20Den%20Haag%2F2%5FInhuur%2F2%5FInhuurovereenkomsten</t>
  </si>
  <si>
    <t>0148</t>
  </si>
  <si>
    <t>2e Maasbosstraat 2 a</t>
  </si>
  <si>
    <t>3134XJ</t>
  </si>
  <si>
    <t>https://ryanrent.sharepoint.com/sites/RyanRent/Gedeelde%20documenten/Forms/AllItems.aspx?id=%2Fsites%2FRyanRent%2FGedeelde%20documenten%2FGeneral%2F01%5FRyanRent%26Co%2F01%5FWoningen%2F2e%20Maasbosstraat%202C%20Vlaardingen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</si>
  <si>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</si>
  <si>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</si>
  <si>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</si>
  <si>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</si>
  <si>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</si>
  <si>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</si>
  <si>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</si>
  <si>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https://ryanrent.sharepoint.com/sites/RyanRent/Gedeelde%20documenten/Forms/AllItems.aspx?id=%2Fsites%2FRyanRent%2FGedeelde%20documenten%2FGeneral%2F01%5FRyanRent%26Co%2F01%5FWoningen%2FDatheenstraat%20255%20Vlaardingen</t>
  </si>
  <si>
    <t>https://ryanrent.sharepoint.com/sites/RyanRent/Gedeelde%20documenten/Forms/AllItems.aspx?id=%2Fsites%2FRyanRent%2FGedeelde%20documenten%2FGeneral%2F01%5FRyanRent%26Co%2F01%5FWoningen%2FDatheenstraat%20255%20Vlaardingen%2F2%5FInhuur</t>
  </si>
  <si>
    <t>https://ryanrent.sharepoint.com/sites/RyanRent/Gedeelde%20documenten/Forms/AllItems.aspx?id=%2Fsites%2FRyanRent%2FGedeelde%20documenten%2FGeneral%2F01%5FRyanRent%26Co%2F01%5FWoningen%2FDatheenstraat%20255%20Vlaardingen%2F3%5FVerhuur</t>
  </si>
  <si>
    <t>https://ryanrent.sharepoint.com/sites/RyanRent/Gedeelde%20documenten/Forms/AllItems.aspx?id=%2Fsites%2FRyanRent%2FGedeelde%20documenten%2FGeneral%2F01%5FRyanRent%26Co%2F01%5FWoningen%2FDatheenstraat%20255%20Vlaardingen%2F2%5FInhuur%2F2%5FInhuurovereenkomsten</t>
  </si>
  <si>
    <t>0152</t>
  </si>
  <si>
    <t>Beeklaan 294</t>
  </si>
  <si>
    <t>2562AV</t>
  </si>
  <si>
    <t xml:space="preserve">Den Haag </t>
  </si>
  <si>
    <t>1294</t>
  </si>
  <si>
    <t>https://ryanrent.sharepoint.com/sites/RyanRent/Gedeelde%20documenten/Forms/AllItems.aspx?id=%2Fsites%2FRyanRent%2FGedeelde%20documenten%2FGeneral%2F01%5FRyanRent%26Co%2F01%5FWoningen%2FBeeklaan%20294%20Den%20Haag</t>
  </si>
  <si>
    <t>https://ryanrent.sharepoint.com/sites/RyanRent/Gedeelde%20documenten/Forms/AllItems.aspx?id=%2Fsites%2FRyanRent%2FGedeelde%20documenten%2FGeneral%2F01%5FRyanRent%26Co%2F01%5FWoningen%2FBeeklaan%20294%20Den%20Haag%2F2%5FInhuur</t>
  </si>
  <si>
    <t>https://ryanrent.sharepoint.com/sites/RyanRent/Gedeelde%20documenten/Forms/AllItems.aspx?id=%2Fsites%2FRyanRent%2FGedeelde%20documenten%2FGeneral%2F01%5FRyanRent%26Co%2F01%5FWoningen%2FBeeklaan%20294%20Den%20Haag%2F3%5FVerhuur</t>
  </si>
  <si>
    <t>https://ryanrent.sharepoint.com/sites/RyanRent/Gedeelde%20documenten/Forms/AllItems.aspx?id=%2Fsites%2FRyanRent%2FGedeelde%20documenten%2FGeneral%2F01%5FRyanRent%26Co%2F01%5FWoningen%2FBeeklaan%20294%20Den%20Haag%2F2%5FInhuur%2F2%5FInhuurovereenkomsten</t>
  </si>
  <si>
    <t>Homescout21 B.V.</t>
  </si>
  <si>
    <t>rene@homescout21.com</t>
  </si>
  <si>
    <t>Keizerstraat 28 1</t>
  </si>
  <si>
    <t>'S-GRAVENHAGE</t>
  </si>
  <si>
    <t>82780242.0</t>
  </si>
  <si>
    <t>NL22 ABNA 0101 0258 58</t>
  </si>
  <si>
    <t>Duijndam Personeelsdiensten B.V.</t>
  </si>
  <si>
    <t>facturen@duijndamworks.nl</t>
  </si>
  <si>
    <t>0174-270365</t>
  </si>
  <si>
    <t>Honderdland 241</t>
  </si>
  <si>
    <t>54370914.0</t>
  </si>
  <si>
    <t>2025-08-29</t>
  </si>
  <si>
    <t>2026-08-28</t>
  </si>
  <si>
    <t>0153</t>
  </si>
  <si>
    <t>Deensestraat 6A2</t>
  </si>
  <si>
    <t>3028GH</t>
  </si>
  <si>
    <t>https://ryanrent.sharepoint.com/sites/RyanRent/Gedeelde%20documenten/Forms/AllItems.aspx?id=%2Fsites%2FRyanRent%2FGedeelde%20documenten%2FGeneral%2F01%5FRyanRent%26Co%2F01%5FWoningen%2FDeensestraat%206A2%2C%20Rotterdam</t>
  </si>
  <si>
    <t>https://ryanrent.sharepoint.com/sites/RyanRent/Gedeelde%20documenten/Forms/AllItems.aspx?id=%2Fsites%2FRyanRent%2FGedeelde%20documenten%2FGeneral%2F01%5FRyanRent%26Co%2F01%5FWoningen%2FDeensestraat%206A2%2C%20Rotterdam%2F2%5FInhuur</t>
  </si>
  <si>
    <t>https://ryanrent.sharepoint.com/sites/RyanRent/Gedeelde%20documenten/Forms/AllItems.aspx?id=%2Fsites%2FRyanRent%2FGedeelde%20documenten%2FGeneral%2F01%5FRyanRent%26Co%2F01%5FWoningen%2FDeensestraat%206A2%2C%20Rotterdam%2F3%5FVerhuur</t>
  </si>
  <si>
    <t>https://ryanrent.sharepoint.com/sites/RyanRent/Gedeelde%20documenten/Forms/AllItems.aspx?id=%2Fsites%2FRyanRent%2FGedeelde%20documenten%2FGeneral%2F01%5FRyanRent%26Co%2F01%5FWoningen%2FDeensestraat%206A2%2C%20Rotterdam%2F2%5FInhuur%2F2%5FInhuurovereenkomsten</t>
  </si>
  <si>
    <t>0154</t>
  </si>
  <si>
    <t>Rubensplein 6B3</t>
  </si>
  <si>
    <t>3117BK</t>
  </si>
  <si>
    <t>0155</t>
  </si>
  <si>
    <t>Broersveld 150A</t>
  </si>
  <si>
    <t>3111LK</t>
  </si>
  <si>
    <t>SCHIEDAM</t>
  </si>
  <si>
    <t>0156</t>
  </si>
  <si>
    <t>Broersvest 74 c</t>
  </si>
  <si>
    <t>3112DG</t>
  </si>
  <si>
    <t>3174</t>
  </si>
  <si>
    <t>https://ryanrent.sharepoint.com/sites/RyanRent/Gedeelde%20documenten/Forms/AllItems.aspx?id=%2Fsites%2FRyanRent%2FGedeelde%20documenten%2FGeneral%2F01%5FRyanRent%26Co%2F01%5FWoningen%2FBroersvest%2074C%20Schiedam</t>
  </si>
  <si>
    <t>0157</t>
  </si>
  <si>
    <t>Kuipers-Rietbergpad 15</t>
  </si>
  <si>
    <t>3191BP</t>
  </si>
  <si>
    <t>9115</t>
  </si>
  <si>
    <t>0158</t>
  </si>
  <si>
    <t>Visartstraat 31</t>
  </si>
  <si>
    <t>4541BA</t>
  </si>
  <si>
    <t xml:space="preserve">Sluiskil </t>
  </si>
  <si>
    <t>1913</t>
  </si>
  <si>
    <t>https://ryanrent.sharepoint.com/sites/RyanRent/Gedeelde%20documenten/Forms/AllItems.aspx?id=%2Fsites%2FRyanRent%2FGedeelde%20documenten%2FGeneral%2F01%5FRyanRent%26Co%2F01%5FWoningen%2FVisartstraat%2031%20Sluiskil</t>
  </si>
  <si>
    <t>https://ryanrent.sharepoint.com/sites/RyanRent/Gedeelde%20documenten/Forms/AllItems.aspx?id=%2Fsites%2FRyanRent%2FGedeelde%20documenten%2FGeneral%2F01%5FRyanRent%26Co%2F01%5FWoningen%2FVisartstraat%2031%20Sluiskil%2F2%5FInhuur</t>
  </si>
  <si>
    <t>https://ryanrent.sharepoint.com/sites/RyanRent/Gedeelde%20documenten/Forms/AllItems.aspx?id=%2Fsites%2FRyanRent%2FGedeelde%20documenten%2FGeneral%2F01%5FRyanRent%26Co%2F01%5FWoningen%2FVisartstraat%2031%20Sluiskil%2F3%5FVerhuur</t>
  </si>
  <si>
    <t>https://ryanrent.sharepoint.com/sites/RyanRent/Gedeelde%20documenten/Forms/AllItems.aspx?id=%2Fsites%2FRyanRent%2FGedeelde%20documenten%2FGeneral%2F01%5FRyanRent%26Co%2F01%5FWoningen%2FVisartstraat%2031%20Sluiskil%2F2%5FInhuur%2F2%5FInhuurovereenkomsten</t>
  </si>
  <si>
    <t>BBTS (Vastgoed Spijkenisse)</t>
  </si>
  <si>
    <t>a.bilge@vastgoedspijkenisse.nl</t>
  </si>
  <si>
    <t>Theemsweg 85</t>
  </si>
  <si>
    <t>53388917.0</t>
  </si>
  <si>
    <t>23-12-01</t>
  </si>
  <si>
    <t>24-11-30</t>
  </si>
  <si>
    <t>0159</t>
  </si>
  <si>
    <t>Kastanjelaan 232</t>
  </si>
  <si>
    <t>4621HM</t>
  </si>
  <si>
    <t>Bergen op Zoom</t>
  </si>
  <si>
    <t>4623</t>
  </si>
  <si>
    <t>https://ryanrent.sharepoint.com/sites/RyanRent/Gedeelde%20documenten/Forms/AllItems.aspx?id=%2Fsites%2FRyanRent%2FGedeelde%20documenten%2FGeneral%2F01%5FRyanRent%26Co%2F01%5FWoningen%2FKastanjelaan%20232%2C%20Bergen%20op%20Zoom</t>
  </si>
  <si>
    <t>https://ryanrent.sharepoint.com/sites/RyanRent/Gedeelde%20documenten/Forms/AllItems.aspx?id=%2Fsites%2FRyanRent%2FGedeelde%20documenten%2FGeneral%2F01%5FRyanRent%26Co%2F01%5FWoningen%2FKastanjelaan%20232%2C%20Bergen%20op%20Zoom%2F2%5FInhuur</t>
  </si>
  <si>
    <t>https://ryanrent.sharepoint.com/sites/RyanRent/Gedeelde%20documenten/Forms/AllItems.aspx?id=%2Fsites%2FRyanRent%2FGedeelde%20documenten%2FGeneral%2F01%5FRyanRent%26Co%2F01%5FWoningen%2FKastanjelaan%20232%2C%20Bergen%20op%20Zoom%2F3%5FVerhuur</t>
  </si>
  <si>
    <t>https://ryanrent.sharepoint.com/sites/RyanRent/Gedeelde%20documenten/Forms/AllItems.aspx?id=%2Fsites%2FRyanRent%2FGedeelde%20documenten%2FGeneral%2F01%5FRyanRent%26Co%2F01%5FWoningen%2FKastanjelaan%20232%2C%20Bergen%20op%20Zoom%2F2%5FInhuur%2F2%5FInhuurovereenkomsten</t>
  </si>
  <si>
    <t>Hopmans Flexstay</t>
  </si>
  <si>
    <t>NL93 RABO 0318 1254 98</t>
  </si>
  <si>
    <t>PRP Solutions Flex Sp. Z.O.O</t>
  </si>
  <si>
    <t>costs@prpsolutions.eu</t>
  </si>
  <si>
    <t>Dobrzynska 36</t>
  </si>
  <si>
    <t>Plock</t>
  </si>
  <si>
    <t>Polen</t>
  </si>
  <si>
    <t>2025-05-21</t>
  </si>
  <si>
    <t>2026-03-20</t>
  </si>
  <si>
    <t>0160</t>
  </si>
  <si>
    <t>Chopinstraat 33C</t>
  </si>
  <si>
    <t>3131DB</t>
  </si>
  <si>
    <t>https://ryanrent.sharepoint.com/sites/RyanRent/Gedeelde%20documenten/Forms/AllItems.aspx?id=%2Fsites%2FRyanRent%2FGedeelde%20documenten%2FGeneral%2F01%5FRyanRent%26Co%2F01%5FWoningen%2FChopinstraat%2033C%20Vlaardingen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</si>
  <si>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</si>
  <si>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</si>
  <si>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</si>
  <si>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</si>
  <si>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</si>
  <si>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</si>
  <si>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</si>
  <si>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VLAARDINGEN</t>
  </si>
  <si>
    <t>Nikozijn B.V.</t>
  </si>
  <si>
    <t>06-53208852</t>
  </si>
  <si>
    <t>59979135</t>
  </si>
  <si>
    <t>NL59 ABNA 050.83.20.917</t>
  </si>
  <si>
    <t>2018-05-01</t>
  </si>
  <si>
    <t>0163</t>
  </si>
  <si>
    <t>Curacaolaan 24</t>
  </si>
  <si>
    <t>3131XC</t>
  </si>
  <si>
    <t>https://ryanrent.sharepoint.com/sites/RyanRent/Gedeelde%20documenten/Forms/AllItems.aspx?id=%2Fsites%2FRyanRent%2FGedeelde%20documenten%2FGeneral%2F01%5FRyanRent%26Co%2F01%5FWoningen%2FCuracaolaan%2024%20Vlaardingen</t>
  </si>
  <si>
    <t>0164</t>
  </si>
  <si>
    <t>Sint-Annalandstraat 116</t>
  </si>
  <si>
    <t>3086TG</t>
  </si>
  <si>
    <t>https://ryanrent.sharepoint.com/sites/RyanRent/Gedeelde%20documenten/Forms/AllItems.aspx?id=%2Fsites%2FRyanRent%2FGedeelde%20documenten%2FGeneral%2F01%5FRyanRent%26Co%2F01%5FWoningen%2FSint-Annalandstraat%20116%2C%20Rotterdam</t>
  </si>
  <si>
    <t>https://ryanrent.sharepoint.com/sites/RyanRent/Gedeelde%20documenten/Forms/AllItems.aspx?id=%2Fsites%2FRyanRent%2FGedeelde%20documenten%2FGeneral%2F01%5FRyanRent%26Co%2F01%5FWoningen%2FSint-Annalandstraat%20116%2C%20Rotterdam%2F2%5FInhuur</t>
  </si>
  <si>
    <t>https://ryanrent.sharepoint.com/sites/RyanRent/Gedeelde%20documenten/Forms/AllItems.aspx?id=%2Fsites%2FRyanRent%2FGedeelde%20documenten%2FGeneral%2F01%5FRyanRent%26Co%2F01%5FWoningen%2FSint-Annalandstraat%20116%2C%20Rotterdam%2F3%5FVerhuur</t>
  </si>
  <si>
    <t>https://ryanrent.sharepoint.com/sites/RyanRent/Gedeelde%20documenten/Forms/AllItems.aspx?id=%2Fsites%2FRyanRent%2FGedeelde%20documenten%2FGeneral%2F01%5FRyanRent%26Co%2F01%5FWoningen%2FSint-Annalandstraat%20116%2C%20Rotterdam%2F2%5FInhuur%2F2%5FInhuurovereenkomsten</t>
  </si>
  <si>
    <t>0165</t>
  </si>
  <si>
    <t>De Driesprong 17</t>
  </si>
  <si>
    <t>2295LL</t>
  </si>
  <si>
    <t>KWINTSHEUL</t>
  </si>
  <si>
    <t>https://ryanrent.sharepoint.com/sites/RyanRent/Gedeelde%20documenten/Forms/AllItems.aspx?id=%2Fsites%2FRyanRent%2FGedeelde%20documenten%2FGeneral%2F01%5FRyanRent%26Co%2F01%5FWoningen%2FDe%20Driesprong%2017%20Kwintsheul</t>
  </si>
  <si>
    <t>0166</t>
  </si>
  <si>
    <t>Nieuwkerkstraat 78</t>
  </si>
  <si>
    <t>3311TK</t>
  </si>
  <si>
    <t>https://ryanrent.sharepoint.com/sites/RyanRent/Gedeelde%20documenten/Forms/AllItems.aspx?id=%2Fsites%2FRyanRent%2FGedeelde%20documenten%2FGeneral%2F01%5FRyanRent%26Co%2F01%5FWoningen%2FNieuwkerkstraat%2078%2C%20Dordrecht</t>
  </si>
  <si>
    <t>https://ryanrent.sharepoint.com/sites/RyanRent/Gedeelde%20documenten/Forms/AllItems.aspx?id=%2Fsites%2FRyanRent%2FGedeelde%20documenten%2FGeneral%2F01%5FRyanRent%26Co%2F01%5FWoningen%2FNieuwkerkstraat%2078%2C%20Dordrecht%2F2%5FInhuur</t>
  </si>
  <si>
    <t>https://ryanrent.sharepoint.com/sites/RyanRent/Gedeelde%20documenten/Forms/AllItems.aspx?id=%2Fsites%2FRyanRent%2FGedeelde%20documenten%2FGeneral%2F01%5FRyanRent%26Co%2F01%5FWoningen%2FNieuwkerkstraat%2078%2C%20Dordrecht%2F3%5FVerhuur</t>
  </si>
  <si>
    <t>https://ryanrent.sharepoint.com/sites/RyanRent/Gedeelde%20documenten/Forms/AllItems.aspx?id=%2Fsites%2FRyanRent%2FGedeelde%20documenten%2FGeneral%2F01%5FRyanRent%26Co%2F01%5FWoningen%2FNieuwkerkstraat%2078%2C%20Dordrecht%2F2%5FInhuur%2F2%5FInhuurovereenkomsten</t>
  </si>
  <si>
    <t>0167</t>
  </si>
  <si>
    <t>Vogelschorstraat 24</t>
  </si>
  <si>
    <t>4541AZ</t>
  </si>
  <si>
    <t>Sluiskil</t>
  </si>
  <si>
    <t>4971</t>
  </si>
  <si>
    <t>https://ryanrent.sharepoint.com/sites/RyanRent/Gedeelde%20documenten/Forms/AllItems.aspx?id=%2Fsites%2FRyanRent%2FGedeelde%20documenten%2FGeneral%2F01%5FRyanRent%26Co%2F01%5FWoningen%2FVogelschorstraat%2024%20Sluiskil</t>
  </si>
  <si>
    <t>https://ryanrent.sharepoint.com/sites/RyanRent/Gedeelde%20documenten/Forms/AllItems.aspx?id=%2Fsites%2FRyanRent%2FGedeelde%20documenten%2FGeneral%2F01%5FRyanRent%26Co%2F01%5FWoningen%2FVogelschorstraat%2024%20Sluiskil%2F2%5FInhuur</t>
  </si>
  <si>
    <t>https://ryanrent.sharepoint.com/sites/RyanRent/Gedeelde%20documenten/Forms/AllItems.aspx?id=%2Fsites%2FRyanRent%2FGedeelde%20documenten%2FGeneral%2F01%5FRyanRent%26Co%2F01%5FWoningen%2FVogelschorstraat%2024%20Sluiskil%2F3%5FVerhuur</t>
  </si>
  <si>
    <t>https://ryanrent.sharepoint.com/sites/RyanRent/Gedeelde%20documenten/Forms/AllItems.aspx?id=%2Fsites%2FRyanRent%2FGedeelde%20documenten%2FGeneral%2F01%5FRyanRent%26Co%2F01%5FWoningen%2FVogelschorstraat%2024%20Sluiskil%2F2%5FInhuur%2F2%5FInhuurovereenkomsten</t>
  </si>
  <si>
    <t>A. Brouwers &amp; S. Brouwers- van Weert</t>
  </si>
  <si>
    <t>2029-12-31</t>
  </si>
  <si>
    <t>24-01-01</t>
  </si>
  <si>
    <t>29-12-31</t>
  </si>
  <si>
    <t>0168</t>
  </si>
  <si>
    <t>Engelsestraat 16L1</t>
  </si>
  <si>
    <t>ROTTERDAM</t>
  </si>
  <si>
    <t>https://ryanrent.sharepoint.com/sites/RyanRent/Gedeelde%20documenten/Forms/AllItems.aspx?id=%2Fsites%2FRyanRent%2FGedeelde%20documenten%2FGeneral%2F01%5FRyanRent%26Co%2F01%5FWoningen%2FEngelsestraat%2016L1%20Rotterdam</t>
  </si>
  <si>
    <t>0169</t>
  </si>
  <si>
    <t>de Genestetstraat 32</t>
  </si>
  <si>
    <t>4532GB</t>
  </si>
  <si>
    <t>TERNEUZEN</t>
  </si>
  <si>
    <t>0170</t>
  </si>
  <si>
    <t>Goudestein 30</t>
  </si>
  <si>
    <t>3085 DB</t>
  </si>
  <si>
    <t>LogIQ Barendrecht B.V.</t>
  </si>
  <si>
    <t>facturen0180@logiq.nl</t>
  </si>
  <si>
    <t>Ebweg 12</t>
  </si>
  <si>
    <t>Barendrecht</t>
  </si>
  <si>
    <t>NL22 ABNA 0885 7890 32</t>
  </si>
  <si>
    <t>2025-09-11</t>
  </si>
  <si>
    <t>2026-09-10</t>
  </si>
  <si>
    <t>0171</t>
  </si>
  <si>
    <t>Wijdstraat 13</t>
  </si>
  <si>
    <t>3421 AJ</t>
  </si>
  <si>
    <t>3413</t>
  </si>
  <si>
    <t>https://ryanrent.sharepoint.com/sites/RyanRent/Gedeelde%20documenten/Forms/AllItems.aspx?id=%2Fsites%2FRyanRent%2FGedeelde%20documenten%2FGeneral%2F01%5FRyanRent%26Co%2F01%5FWoningen%2FWijdstraat%2013%2C%20Oudewater</t>
  </si>
  <si>
    <t>https://ryanrent.sharepoint.com/sites/RyanRent/Gedeelde%20documenten/Forms/AllItems.aspx?id=%2Fsites%2FRyanRent%2FGedeelde%20documenten%2FGeneral%2F01%5FRyanRent%26Co%2F01%5FWoningen%2FWijdstraat%2013%2C%20Oudewater%2F2%5FInhuur</t>
  </si>
  <si>
    <t>https://ryanrent.sharepoint.com/sites/RyanRent/Gedeelde%20documenten/Forms/AllItems.aspx?id=%2Fsites%2FRyanRent%2FGedeelde%20documenten%2FGeneral%2F01%5FRyanRent%26Co%2F01%5FWoningen%2FWijdstraat%2013%2C%20Oudewater%2F3%5FVerhuur</t>
  </si>
  <si>
    <t>https://ryanrent.sharepoint.com/sites/RyanRent/Gedeelde%20documenten/Forms/AllItems.aspx?id=%2Fsites%2FRyanRent%2FGedeelde%20documenten%2FGeneral%2F01%5FRyanRent%26Co%2F01%5FWoningen%2FWijdstraat%2013%2C%20Oudewater%2F2%5FInhuur%2F2%5FInhuurovereenkomsten</t>
  </si>
  <si>
    <t>Groen Holding / van Vliet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</si>
  <si>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</si>
  <si>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</si>
  <si>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</si>
  <si>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</si>
  <si>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</si>
  <si>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</si>
  <si>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</si>
  <si>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</si>
  <si>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Prominent Groeneweg I OG BV</t>
  </si>
  <si>
    <t>0174</t>
  </si>
  <si>
    <t>Groeneweg 74</t>
  </si>
  <si>
    <t>2691MR</t>
  </si>
  <si>
    <t>https://ryanrent.sharepoint.com/sites/RyanRent/Gedeelde%20documenten/Forms/AllItems.aspx?id=%2Fsites%2FRyanRent%2FGedeelde%20documenten%2FGeneral%2F01%5FRyanRent%26Co%2F01%5FWoningen%2FGroeneweg%2074%20%27s-gravenzande</t>
  </si>
  <si>
    <t>0175</t>
  </si>
  <si>
    <t>Hagastraat 8</t>
  </si>
  <si>
    <t>3114ND</t>
  </si>
  <si>
    <t>https://ryanrent.sharepoint.com/sites/RyanRent/Gedeelde%20documenten/Forms/AllItems.aspx?id=%2Fsites%2FRyanRent%2FGedeelde%20documenten%2FGeneral%2F01%5FRyanRent%26Co%2F01%5FWoningen%2FHagastraat%208%20Schiedam</t>
  </si>
  <si>
    <t>0176</t>
  </si>
  <si>
    <t xml:space="preserve">Herautpad 22 </t>
  </si>
  <si>
    <t>3119DL</t>
  </si>
  <si>
    <t>0177</t>
  </si>
  <si>
    <t>Hoge Noordweg 27B</t>
  </si>
  <si>
    <t>2671DZ</t>
  </si>
  <si>
    <t>NAALDWIJK</t>
  </si>
  <si>
    <t>https://ryanrent.sharepoint.com/sites/RyanRent/Gedeelde%20documenten/Forms/AllItems.aspx?id=%2Fsites%2FRyanRent%2FGedeelde%20documenten%2FGeneral%2F01%5FRyanRent%26Co%2F01%5FWoningen%2FHoge%20Noordweg%2028%20Naaldwijk</t>
  </si>
  <si>
    <t>https://ryanrent.sharepoint.com/sites/RyanRent/Gedeelde%20documenten/Forms/AllItems.aspx?id=%2Fsites%2FRyanRent%2FGedeelde%20documenten%2FGeneral%2F01%5FRyanRent%26Co%2F01%5FWoningen%2FHoge%20Noordweg%2028%20Naaldwijk%2F2%5FInhuur</t>
  </si>
  <si>
    <t>https://ryanrent.sharepoint.com/sites/RyanRent/Gedeelde%20documenten/Forms/AllItems.aspx?id=%2Fsites%2FRyanRent%2FGedeelde%20documenten%2FGeneral%2F01%5FRyanRent%26Co%2F01%5FWoningen%2FHoge%20Noordweg%2028%20Naaldwijk%2F3%5FVerhuur</t>
  </si>
  <si>
    <t>https://ryanrent.sharepoint.com/sites/RyanRent/Gedeelde%20documenten/Forms/AllItems.aspx?id=%2Fsites%2FRyanRent%2FGedeelde%20documenten%2FGeneral%2F01%5FRyanRent%26Co%2F01%5FWoningen%2FHoge%20Noordweg%2028%20Naaldwijk%2F2%5FInhuur%2F2%5FInhuurovereenkomsten</t>
  </si>
  <si>
    <t>0178</t>
  </si>
  <si>
    <t>Hoge Noordweg 28</t>
  </si>
  <si>
    <t>0179</t>
  </si>
  <si>
    <t>Rooseveltlaan 185</t>
  </si>
  <si>
    <t>4624DM</t>
  </si>
  <si>
    <t>4685</t>
  </si>
  <si>
    <t>https://ryanrent.sharepoint.com/sites/RyanRent/Gedeelde%20documenten/Forms/AllItems.aspx?id=%2Fsites%2FRyanRent%2FGedeelde%20documenten%2FGeneral%2F01%5FRyanRent%26Co%2F01%5FWoningen%2FRooseveltlaan%20185%2C%20Bergen%20op%20Zoom</t>
  </si>
  <si>
    <t>https://ryanrent.sharepoint.com/sites/RyanRent/Gedeelde%20documenten/Forms/AllItems.aspx?id=%2Fsites%2FRyanRent%2FGedeelde%20documenten%2FGeneral%2F01%5FRyanRent%26Co%2F01%5FWoningen%2FRooseveltlaan%20185%2C%20Bergen%20op%20Zoom%2F2%5FInhuur</t>
  </si>
  <si>
    <t>https://ryanrent.sharepoint.com/sites/RyanRent/Gedeelde%20documenten/Forms/AllItems.aspx?id=%2Fsites%2FRyanRent%2FGedeelde%20documenten%2FGeneral%2F01%5FRyanRent%26Co%2F01%5FWoningen%2FRooseveltlaan%20185%2C%20Bergen%20op%20Zoom%2F3%5FVerhuur</t>
  </si>
  <si>
    <t>https://ryanrent.sharepoint.com/sites/RyanRent/Gedeelde%20documenten/Forms/AllItems.aspx?id=%2Fsites%2FRyanRent%2FGedeelde%20documenten%2FGeneral%2F01%5FRyanRent%26Co%2F01%5FWoningen%2FRooseveltlaan%20185%2C%20Bergen%20op%20Zoom%2F2%5FInhuur%2F2%5FInhuurovereenkomsten</t>
  </si>
  <si>
    <t>Digo Real Estate BV</t>
  </si>
  <si>
    <t>info@digorealestate.com</t>
  </si>
  <si>
    <t>+31 6 22 82 66 20</t>
  </si>
  <si>
    <t>NL68 RABO 0364 3051 26</t>
  </si>
  <si>
    <t>N2people B.V.</t>
  </si>
  <si>
    <t>invoice@n2people.nl</t>
  </si>
  <si>
    <t>085 0200805 / 06 13430756</t>
  </si>
  <si>
    <t>Mandenmakerstraat 11</t>
  </si>
  <si>
    <t>Uden</t>
  </si>
  <si>
    <t>17206030.0</t>
  </si>
  <si>
    <t>2025-11-07</t>
  </si>
  <si>
    <t>2026-05-06</t>
  </si>
  <si>
    <t>0180</t>
  </si>
  <si>
    <t>Liesveld 100</t>
  </si>
  <si>
    <t>3131CM</t>
  </si>
  <si>
    <t>Inactief</t>
  </si>
  <si>
    <t>0181</t>
  </si>
  <si>
    <t>Hontenissestraat 124</t>
  </si>
  <si>
    <t>3086KJ</t>
  </si>
  <si>
    <t>0182</t>
  </si>
  <si>
    <t>Malzwin 34</t>
  </si>
  <si>
    <t>8223 XG</t>
  </si>
  <si>
    <t>Lelystad</t>
  </si>
  <si>
    <t>1134</t>
  </si>
  <si>
    <t>0183</t>
  </si>
  <si>
    <t xml:space="preserve">Hugo de Vriesstraat 54 </t>
  </si>
  <si>
    <t>3132TG</t>
  </si>
  <si>
    <t>0184</t>
  </si>
  <si>
    <t>Mathenesserdijk 261 C03</t>
  </si>
  <si>
    <t>3027AK</t>
  </si>
  <si>
    <t>https://ryanrent.sharepoint.com/sites/RyanRent/Gedeelde%20documenten/Forms/AllItems.aspx?id=%2Fsites%2FRyanRent%2FGedeelde%20documenten%2FGeneral%2F01%5FRyanRent%26Co%2F01%5FWoningen%2FMathenesserdijk%20261%20C3%20Rotterdam</t>
  </si>
  <si>
    <t>https://ryanrent.sharepoint.com/sites/RyanRent/Gedeelde%20documenten/Forms/AllItems.aspx?id=%2Fsites%2FRyanRent%2FGedeelde%20documenten%2FGeneral%2F01%5FRyanRent%26Co%2F01%5FWoningen%2FMathenesserdijk%20261%20C3%20Rotterdam%2F2%5FInhuur</t>
  </si>
  <si>
    <t>https://ryanrent.sharepoint.com/sites/RyanRent/Gedeelde%20documenten/Forms/AllItems.aspx?id=%2Fsites%2FRyanRent%2FGedeelde%20documenten%2FGeneral%2F01%5FRyanRent%26Co%2F01%5FWoningen%2FMathenesserdijk%20261%20C3%20Rotterdam%2F3%5FVerhuur</t>
  </si>
  <si>
    <t>https://ryanrent.sharepoint.com/sites/RyanRent/Gedeelde%20documenten/Forms/AllItems.aspx?id=%2Fsites%2FRyanRent%2FGedeelde%20documenten%2FGeneral%2F01%5FRyanRent%26Co%2F01%5FWoningen%2FMathenesserdijk%20261%20C3%20Rotterdam%2F2%5FInhuur%2F2%5FInhuurovereenkomsten</t>
  </si>
  <si>
    <t>0185</t>
  </si>
  <si>
    <t>Laan van Nieuw Blankenburg 328</t>
  </si>
  <si>
    <t xml:space="preserve">3181AM </t>
  </si>
  <si>
    <t>0186</t>
  </si>
  <si>
    <t>Woutersweg 20</t>
  </si>
  <si>
    <t>2691 PR</t>
  </si>
  <si>
    <t xml:space="preserve"> 's-Gravenzande</t>
  </si>
  <si>
    <t>https://ryanrent.sharepoint.com/sites/RyanRent/Gedeelde%20documenten/Forms/AllItems.aspx?id=%2Fsites%2FRyanRent%2FGedeelde%20documenten%2FGeneral%2F01%5FRyanRent%26Co%2F01%5FWoningen%2FWoutersweg%2020%20%27s-Gravenzande</t>
  </si>
  <si>
    <t>https://ryanrent.sharepoint.com/sites/RyanRent/Gedeelde%20documenten/Forms/AllItems.aspx?id=%2Fsites%2FRyanRent%2FGedeelde%20documenten%2FGeneral%2F01%5FRyanRent%26Co%2F01%5FWoningen%2FWoutersweg%2020%20%27s-Gravenzande%2F2%5FInhuur</t>
  </si>
  <si>
    <t>https://ryanrent.sharepoint.com/sites/RyanRent/Gedeelde%20documenten/Forms/AllItems.aspx?id=%2Fsites%2FRyanRent%2FGedeelde%20documenten%2FGeneral%2F01%5FRyanRent%26Co%2F01%5FWoningen%2FWoutersweg%2020%20%27s-Gravenzande%2F3%5FVerhuur</t>
  </si>
  <si>
    <t>https://ryanrent.sharepoint.com/sites/RyanRent/Gedeelde%20documenten/Forms/AllItems.aspx?id=%2Fsites%2FRyanRent%2FGedeelde%20documenten%2FGeneral%2F01%5FRyanRent%26Co%2F01%5FWoningen%2FWoutersweg%2020%20%27s-Gravenzande%2F2%5FInhuur%2F2%5FInhuurovereenkomsten</t>
  </si>
  <si>
    <t>0187</t>
  </si>
  <si>
    <t>Jacob van Lennepstraat 13 A</t>
  </si>
  <si>
    <t>3117SH</t>
  </si>
  <si>
    <t>0188</t>
  </si>
  <si>
    <t>Jacob van Lennepstraat 13 B</t>
  </si>
  <si>
    <t>0189</t>
  </si>
  <si>
    <t>Jacob van Lennepstraat 34</t>
  </si>
  <si>
    <t>3117SK</t>
  </si>
  <si>
    <t>Soul Inn B.B. B.V.</t>
  </si>
  <si>
    <t>service@hb-vb.nl</t>
  </si>
  <si>
    <t>070-3615080</t>
  </si>
  <si>
    <t>Dr. Lelykade 249</t>
  </si>
  <si>
    <t>2583 JZ</t>
  </si>
  <si>
    <t>NL03RABO0156109085</t>
  </si>
  <si>
    <t>0190</t>
  </si>
  <si>
    <t>Achterdijk 47a</t>
  </si>
  <si>
    <t>4243 TM</t>
  </si>
  <si>
    <t>Nieuwland</t>
  </si>
  <si>
    <t>1247</t>
  </si>
  <si>
    <t>0191</t>
  </si>
  <si>
    <t>Jan van Arkelstraat 118</t>
  </si>
  <si>
    <t>3132VP</t>
  </si>
  <si>
    <t>https://ryanrent.sharepoint.com/sites/RyanRent/Gedeelde%20documenten/Forms/AllItems.aspx?id=%2Fsites%2FRyanRent%2FGedeelde%20documenten%2FGeneral%2F01%5FRyanRent%26Co%2F01%5FWoningen%2FJan%20van%20Arkelstraat%20118%20Vlaardingen</t>
  </si>
  <si>
    <t>0192</t>
  </si>
  <si>
    <t xml:space="preserve">Kaapsebos 11 </t>
  </si>
  <si>
    <t>2676BX</t>
  </si>
  <si>
    <t>https://ryanrent.sharepoint.com/sites/RyanRent/Gedeelde%20documenten/Forms/AllItems.aspx?id=%2Fsites%2FRyanRent%2FGedeelde%20documenten%2FGeneral%2F01%5FRyanRent%26Co%2F01%5FWoningen%2FKaapsebos%2011%20Maasdijk</t>
  </si>
  <si>
    <t>Greenroads Beheer B.V.</t>
  </si>
  <si>
    <t>Kaapsebos 13</t>
  </si>
  <si>
    <t>2676 BX</t>
  </si>
  <si>
    <t>27300625</t>
  </si>
  <si>
    <t>NL08RABO0328704393</t>
  </si>
  <si>
    <t>0193</t>
  </si>
  <si>
    <t>Kapershoek 11</t>
  </si>
  <si>
    <t>3085ED</t>
  </si>
  <si>
    <t>https://ryanrent.sharepoint.com/sites/RyanRent/Gedeelde%20documenten/Forms/AllItems.aspx?id=%2Fsites%2FRyanRent%2FGedeelde%20documenten%2FGeneral%2F01%5FRyanRent%26Co%2F01%5FWoningen%2FKapershoek%2011%20Rotterdam</t>
  </si>
  <si>
    <t>https://ryanrent.sharepoint.com/sites/RyanRent/Gedeelde%20documenten/Forms/AllItems.aspx?id=%2Fsites%2FRyanRent%2FGedeelde%20documenten%2FGeneral%2F01%5FRyanRent%26Co%2F01%5FWoningen%2FKapershoek%2011%20Rotterdam%2F2%5FInhuur</t>
  </si>
  <si>
    <t>https://ryanrent.sharepoint.com/sites/RyanRent/Gedeelde%20documenten/Forms/AllItems.aspx?id=%2Fsites%2FRyanRent%2FGedeelde%20documenten%2FGeneral%2F01%5FRyanRent%26Co%2F01%5FWoningen%2FKapershoek%2011%20Rotterdam%2F3%5FVerhuur</t>
  </si>
  <si>
    <t>https://ryanrent.sharepoint.com/sites/RyanRent/Gedeelde%20documenten/Forms/AllItems.aspx?id=%2Fsites%2FRyanRent%2FGedeelde%20documenten%2FGeneral%2F01%5FRyanRent%26Co%2F01%5FWoningen%2FKapershoek%2011%20Rotterdam%2F2%5FInhuur%2F2%5FInhuurovereenkomsten</t>
  </si>
  <si>
    <t>Labour Housing BV</t>
  </si>
  <si>
    <t>crediteuren@ottoworkforce.eu</t>
  </si>
  <si>
    <t>06 164 77 586</t>
  </si>
  <si>
    <t>Postbus 5145</t>
  </si>
  <si>
    <t>VENRAY</t>
  </si>
  <si>
    <t>50188895</t>
  </si>
  <si>
    <t>NL84 ABNA 0405 8514 13</t>
  </si>
  <si>
    <t>2025-12-12</t>
  </si>
  <si>
    <t>2026-12-11</t>
  </si>
  <si>
    <t>0194</t>
  </si>
  <si>
    <t>Keesomstraat 22</t>
  </si>
  <si>
    <t>3132TJ</t>
  </si>
  <si>
    <t>https://ryanrent.sharepoint.com/sites/RyanRent/Gedeelde%20documenten/Forms/AllItems.aspx?id=%2Fsites%2FRyanRent%2FGedeelde%20documenten%2FGeneral%2F01%5FRyanRent%26Co%2F01%5FWoningen%2FKeesomstraat%2022%20Vlaardingen</t>
  </si>
  <si>
    <t>0195</t>
  </si>
  <si>
    <t xml:space="preserve">Keesomstraat 50 </t>
  </si>
  <si>
    <t>https://ryanrent.sharepoint.com/sites/RyanRent/Gedeelde%20documenten/Forms/AllItems.aspx?id=%2Fsites%2FRyanRent%2FGedeelde%20documenten%2FGeneral%2F01%5FRyanRent%26Co%2F01%5FWoningen%2FKeesomstraat%2050%20Vlaardingen</t>
  </si>
  <si>
    <t>0196</t>
  </si>
  <si>
    <t>Keesomstraat 54</t>
  </si>
  <si>
    <t>https://ryanrent.sharepoint.com/sites/RyanRent/Gedeelde%20documenten/Forms/AllItems.aspx?id=%2Fsites%2FRyanRent%2FGedeelde%20documenten%2FGeneral%2F01%5FRyanRent%26Co%2F01%5FWoningen%2FKeesomstraat%2054%20Vlaardingen</t>
  </si>
  <si>
    <t>0197</t>
  </si>
  <si>
    <t>Scheepjesbrug 814</t>
  </si>
  <si>
    <t>4214</t>
  </si>
  <si>
    <t>https://ryanrent.sharepoint.com/sites/RyanRent/Gedeelde%20documenten/Forms/AllItems.aspx?id=%2Fsites%2FRyanRent%2FGedeelde%20documenten%2FGeneral%2F01%5FRyanRent%26Co%2F01%5FWoningen%2FScheepjesbrug%20814%20%2C%20Meerkerk</t>
  </si>
  <si>
    <t>https://ryanrent.sharepoint.com/sites/RyanRent/Gedeelde%20documenten/Forms/AllItems.aspx?id=%2Fsites%2FRyanRent%2FGedeelde%20documenten%2FGeneral%2F01%5FRyanRent%26Co%2F01%5FWoningen%2FScheepjesbrug%20814%20%2C%20Meerkerk%2F2%5FInhuur</t>
  </si>
  <si>
    <t>https://ryanrent.sharepoint.com/sites/RyanRent/Gedeelde%20documenten/Forms/AllItems.aspx?id=%2Fsites%2FRyanRent%2FGedeelde%20documenten%2FGeneral%2F01%5FRyanRent%26Co%2F01%5FWoningen%2FScheepjesbrug%20814%20%2C%20Meerkerk%2F3%5FVerhuur</t>
  </si>
  <si>
    <t>https://ryanrent.sharepoint.com/sites/RyanRent/Gedeelde%20documenten/Forms/AllItems.aspx?id=%2Fsites%2FRyanRent%2FGedeelde%20documenten%2FGeneral%2F01%5FRyanRent%26Co%2F01%5FWoningen%2FScheepjesbrug%20814%20%2C%20Meerkerk%2F2%5FInhuur%2F2%5FInhuurovereenkomsten</t>
  </si>
  <si>
    <t>Flextalent4u Uitzenden B.V.</t>
  </si>
  <si>
    <t>administratie@flextalent4u.nl</t>
  </si>
  <si>
    <t>Manmakerweg 23</t>
  </si>
  <si>
    <t>Bleskensgraaf Ca</t>
  </si>
  <si>
    <t>2023-06-01</t>
  </si>
  <si>
    <t>0198</t>
  </si>
  <si>
    <t>Krabbendijkestraat 456</t>
  </si>
  <si>
    <t>3086 LV</t>
  </si>
  <si>
    <t>0199</t>
  </si>
  <si>
    <t>Kerstendijk 125</t>
  </si>
  <si>
    <t>3079EV</t>
  </si>
  <si>
    <t>https://ryanrent.sharepoint.com/sites/RyanRent/Gedeelde%20documenten/Forms/AllItems.aspx?id=%2Fsites%2FRyanRent%2FGedeelde%20documenten%2FGeneral%2F01%5FRyanRent%26Co%2F01%5FWoningen%2FKerstendijk%20125%2C%20Rotterdam</t>
  </si>
  <si>
    <t>https://ryanrent.sharepoint.com/sites/RyanRent/Gedeelde%20documenten/Forms/AllItems.aspx?id=%2Fsites%2FRyanRent%2FGedeelde%20documenten%2FGeneral%2F01%5FRyanRent%26Co%2F01%5FWoningen%2FKerstendijk%20125%2C%20Rotterdam%2F2%5FInhuur</t>
  </si>
  <si>
    <t>https://ryanrent.sharepoint.com/sites/RyanRent/Gedeelde%20documenten/Forms/AllItems.aspx?id=%2Fsites%2FRyanRent%2FGedeelde%20documenten%2FGeneral%2F01%5FRyanRent%26Co%2F01%5FWoningen%2FKerstendijk%20125%2C%20Rotterdam%2F3%5FVerhuur</t>
  </si>
  <si>
    <t>https://ryanrent.sharepoint.com/sites/RyanRent/Gedeelde%20documenten/Forms/AllItems.aspx?id=%2Fsites%2FRyanRent%2FGedeelde%20documenten%2FGeneral%2F01%5FRyanRent%26Co%2F01%5FWoningen%2FKerstendijk%20125%2C%20Rotterdam%2F2%5FInhuur%2F2%5FInhuurovereenkomsten</t>
  </si>
  <si>
    <t>0200</t>
  </si>
  <si>
    <t>Stal 355</t>
  </si>
  <si>
    <t>9205AN</t>
  </si>
  <si>
    <t xml:space="preserve">Drachten </t>
  </si>
  <si>
    <t>1355</t>
  </si>
  <si>
    <t>https://ryanrent.sharepoint.com/sites/RyanRent/Gedeelde%20documenten/Forms/AllItems.aspx?id=%2Fsites%2FRyanRent%2FGedeelde%20documenten%2FGeneral%2F01%5FRyanRent%26Co%2F01%5FWoningen%2FStal%20355%2C%20Drachten</t>
  </si>
  <si>
    <t>https://ryanrent.sharepoint.com/sites/RyanRent/Gedeelde%20documenten/Forms/AllItems.aspx?id=%2Fsites%2FRyanRent%2FGedeelde%20documenten%2FGeneral%2F01%5FRyanRent%26Co%2F01%5FWoningen%2FStal%20355%2C%20Drachten%2F2%5FInhuur</t>
  </si>
  <si>
    <t>https://ryanrent.sharepoint.com/sites/RyanRent/Gedeelde%20documenten/Forms/AllItems.aspx?id=%2Fsites%2FRyanRent%2FGedeelde%20documenten%2FGeneral%2F01%5FRyanRent%26Co%2F01%5FWoningen%2FStal%20355%2C%20Drachten%2F3%5FVerhuur</t>
  </si>
  <si>
    <t>https://ryanrent.sharepoint.com/sites/RyanRent/Gedeelde%20documenten/Forms/AllItems.aspx?id=%2Fsites%2FRyanRent%2FGedeelde%20documenten%2FGeneral%2F01%5FRyanRent%26Co%2F01%5FWoningen%2FStal%20355%2C%20Drachten%2F2%5FInhuur%2F2%5FInhuurovereenkomsten</t>
  </si>
  <si>
    <t>0201</t>
  </si>
  <si>
    <t>Amberberg 14</t>
  </si>
  <si>
    <t>4707 NM</t>
  </si>
  <si>
    <t>4714</t>
  </si>
  <si>
    <t>0202</t>
  </si>
  <si>
    <t>Kimbrenoord 15</t>
  </si>
  <si>
    <t>3079 KC</t>
  </si>
  <si>
    <t>https://ryanrent.sharepoint.com/sites/RyanRent/Gedeelde%20documenten/Forms/AllItems.aspx?id=%2Fsites%2FRyanRent%2FGedeelde%20documenten%2FGeneral%2F01%5FRyanRent%26Co%2F01%5FWoningen%2FKimbrenoord%2015%20Rotterdam</t>
  </si>
  <si>
    <t>https://ryanrent.sharepoint.com/sites/RyanRent/Gedeelde%20documenten/Forms/AllItems.aspx?id=%2Fsites%2FRyanRent%2FGedeelde%20documenten%2FGeneral%2F01%5FRyanRent%26Co%2F01%5FWoningen%2FKimbrenoord%2015%20Rotterdam%2F2%5FInhuur</t>
  </si>
  <si>
    <t>https://ryanrent.sharepoint.com/sites/RyanRent/Gedeelde%20documenten/Forms/AllItems.aspx?id=%2Fsites%2FRyanRent%2FGedeelde%20documenten%2FGeneral%2F01%5FRyanRent%26Co%2F01%5FWoningen%2FKimbrenoord%2015%20Rotterdam%2F3%5FVerhuur</t>
  </si>
  <si>
    <t>https://ryanrent.sharepoint.com/sites/RyanRent/Gedeelde%20documenten/Forms/AllItems.aspx?id=%2Fsites%2FRyanRent%2FGedeelde%20documenten%2FGeneral%2F01%5FRyanRent%26Co%2F01%5FWoningen%2FKimbrenoord%2015%20Rotterdam%2F2%5FInhuur%2F2%5FInhuurovereenkomsten</t>
  </si>
  <si>
    <t>2025-04-04</t>
  </si>
  <si>
    <t>2026-07-03</t>
  </si>
  <si>
    <t>0203</t>
  </si>
  <si>
    <t>Dorpstraat 48</t>
  </si>
  <si>
    <t>3411AG</t>
  </si>
  <si>
    <t>Lopik</t>
  </si>
  <si>
    <t>8048/ 3484</t>
  </si>
  <si>
    <t>anders</t>
  </si>
  <si>
    <t>0204</t>
  </si>
  <si>
    <t>Punter 22 34</t>
  </si>
  <si>
    <t>8242DT</t>
  </si>
  <si>
    <t>1334</t>
  </si>
  <si>
    <t>https://ryanrent.sharepoint.com/sites/RyanRent/Gedeelde%20documenten/Forms/AllItems.aspx?id=%2Fsites%2FRyanRent%2FGedeelde%20documenten%2FGeneral%2F01%5FRyanRent%26Co%2F01%5FWoningen%2FPunter%2022%2034%2C%20Lelystad</t>
  </si>
  <si>
    <t>https://ryanrent.sharepoint.com/sites/RyanRent/Gedeelde%20documenten/Forms/AllItems.aspx?id=%2Fsites%2FRyanRent%2FGedeelde%20documenten%2FGeneral%2F01%5FRyanRent%26Co%2F01%5FWoningen%2FPunter%2022%2034%2C%20Lelystad%2F2%5FInhuur</t>
  </si>
  <si>
    <t>https://ryanrent.sharepoint.com/sites/RyanRent/Gedeelde%20documenten/Forms/AllItems.aspx?id=%2Fsites%2FRyanRent%2FGedeelde%20documenten%2FGeneral%2F01%5FRyanRent%26Co%2F01%5FWoningen%2FPunter%2022%2034%2C%20Lelystad%2F3%5FVerhuur</t>
  </si>
  <si>
    <t>https://ryanrent.sharepoint.com/sites/RyanRent/Gedeelde%20documenten/Forms/AllItems.aspx?id=%2Fsites%2FRyanRent%2FGedeelde%20documenten%2FGeneral%2F01%5FRyanRent%26Co%2F01%5FWoningen%2FPunter%2022%2034%2C%20Lelystad%2F2%5FInhuur%2F2%5FInhuurovereenkomsten</t>
  </si>
  <si>
    <t>0205</t>
  </si>
  <si>
    <t>Kreekrug 1</t>
  </si>
  <si>
    <t>2678PR</t>
  </si>
  <si>
    <t>DE LIER</t>
  </si>
  <si>
    <t>https://ryanrent.sharepoint.com/sites/RyanRent/Gedeelde%20documenten/Forms/AllItems.aspx?id=%2Fsites%2FRyanRent%2FGedeelde%20documenten%2FGeneral%2F01%5FRyanRent%26Co%2F01%5FWoningen%2FKreekrug%201%20De%20Lier</t>
  </si>
  <si>
    <t>0206</t>
  </si>
  <si>
    <t>Kruiningenstraat 152</t>
  </si>
  <si>
    <t>3086KS</t>
  </si>
  <si>
    <t>https://ryanrent.sharepoint.com/sites/RyanRent/Gedeelde%20documenten/Forms/AllItems.aspx?id=%2Fsites%2FRyanRent%2FGedeelde%20documenten%2FGeneral%2F01%5FRyanRent%26Co%2F01%5FWoningen%2FKruiningenstraat%20152%20Rotterdam</t>
  </si>
  <si>
    <t>https://ryanrent.sharepoint.com/sites/RyanRent/Gedeelde%20documenten/Forms/AllItems.aspx?id=%2Fsites%2FRyanRent%2FGedeelde%20documenten%2FGeneral%2F01%5FRyanRent%26Co%2F01%5FWoningen%2FKruiningenstraat%20152%20Rotterdam%2F2%5FInhuur</t>
  </si>
  <si>
    <t>https://ryanrent.sharepoint.com/sites/RyanRent/Gedeelde%20documenten/Forms/AllItems.aspx?id=%2Fsites%2FRyanRent%2FGedeelde%20documenten%2FGeneral%2F01%5FRyanRent%26Co%2F01%5FWoningen%2FKruiningenstraat%20152%20Rotterdam%2F3%5FVerhuur</t>
  </si>
  <si>
    <t>https://ryanrent.sharepoint.com/sites/RyanRent/Gedeelde%20documenten/Forms/AllItems.aspx?id=%2Fsites%2FRyanRent%2FGedeelde%20documenten%2FGeneral%2F01%5FRyanRent%26Co%2F01%5FWoningen%2FKruiningenstraat%20152%20Rotterdam%2F2%5FInhuur%2F2%5FInhuurovereenkomsten</t>
  </si>
  <si>
    <t>Light Personeelsdiensten</t>
  </si>
  <si>
    <t>2025-11-01</t>
  </si>
  <si>
    <t>2026-10-31</t>
  </si>
  <si>
    <t>0207</t>
  </si>
  <si>
    <t>Kwikstaartweg 45</t>
  </si>
  <si>
    <t>3136JH</t>
  </si>
  <si>
    <t>https://ryanrent.sharepoint.com/sites/RyanRent/Gedeelde%20documenten/Forms/AllItems.aspx?id=%2Fsites%2FRyanRent%2FGedeelde%20documenten%2FGeneral%2F01%5FRyanRent%26Co%2F01%5FWoningen%2FKwikstaartweg%2045%20Vlaardingen</t>
  </si>
  <si>
    <t>0208</t>
  </si>
  <si>
    <t>Mr. L.A. Kesperweg 31A</t>
  </si>
  <si>
    <t>3135BS</t>
  </si>
  <si>
    <t>https://ryanrent.sharepoint.com/sites/RyanRent/Gedeelde%20documenten/Forms/AllItems.aspx?id=%2Fsites%2FRyanRent%2FGedeelde%20documenten%2FGeneral%2F01%5FRyanRent%26Co%2F01%5FWoningen%2FMr.%20L.A.%20Kesperweg%2031A%2C%20Vlaardingen</t>
  </si>
  <si>
    <t>https://ryanrent.sharepoint.com/sites/RyanRent/Gedeelde%20documenten/Forms/AllItems.aspx?id=%2Fsites%2FRyanRent%2FGedeelde%20documenten%2FGeneral%2F01%5FRyanRent%26Co%2F01%5FWoningen%2FMr.%20L.A.%20Kesperweg%2031A%2C%20Vlaardingen%2F2%5FInhuur</t>
  </si>
  <si>
    <t>https://ryanrent.sharepoint.com/sites/RyanRent/Gedeelde%20documenten/Forms/AllItems.aspx?id=%2Fsites%2FRyanRent%2FGedeelde%20documenten%2FGeneral%2F01%5FRyanRent%26Co%2F01%5FWoningen%2FMr.%20L.A.%20Kesperweg%2031A%2C%20Vlaardingen%2F3%5FVerhuur</t>
  </si>
  <si>
    <t>https://ryanrent.sharepoint.com/sites/RyanRent/Gedeelde%20documenten/Forms/AllItems.aspx?id=%2Fsites%2FRyanRent%2FGedeelde%20documenten%2FGeneral%2F01%5FRyanRent%26Co%2F01%5FWoningen%2FMr.%20L.A.%20Kesperweg%2031A%2C%20Vlaardingen%2F2%5FInhuur%2F2%5FInhuurovereenkomsten</t>
  </si>
  <si>
    <t>0209</t>
  </si>
  <si>
    <t>Laan van Adrichem 12</t>
  </si>
  <si>
    <t>2678CZ</t>
  </si>
  <si>
    <t>0210</t>
  </si>
  <si>
    <t>Lorentzstraat 73</t>
  </si>
  <si>
    <t>3132SP</t>
  </si>
  <si>
    <t>https://ryanrent.sharepoint.com/sites/RyanRent/Gedeelde%20documenten/Forms/AllItems.aspx?id=%2Fsites%2FRyanRent%2FGedeelde%20documenten%2FGeneral%2F01%5FRyanRent%26Co%2F01%5FWoningen%2FLorentzstraat%2073%20Vlaardingen</t>
  </si>
  <si>
    <t>0211</t>
  </si>
  <si>
    <t>Maasdijk 206</t>
  </si>
  <si>
    <t>https://ryanrent.sharepoint.com/sites/RyanRent/Gedeelde%20documenten/Forms/AllItems.aspx?id=%2Fsites%2FRyanRent%2FGedeelde%20documenten%2FGeneral%2F01%5FRyanRent%26Co%2F01%5FWoningen%2FMaasdijk%20206%20%27s-gravenzande</t>
  </si>
  <si>
    <t>Gebr van der Voort v.o.f.</t>
  </si>
  <si>
    <t>van Rijckevorsellaan 6</t>
  </si>
  <si>
    <t>'s-Gravenzande</t>
  </si>
  <si>
    <t>NL34RABO0342916386</t>
  </si>
  <si>
    <t>2010-01-01</t>
  </si>
  <si>
    <t>0212</t>
  </si>
  <si>
    <t>Wijngaard 66</t>
  </si>
  <si>
    <t>8212 CD</t>
  </si>
  <si>
    <t>2166</t>
  </si>
  <si>
    <t>https://ryanrent.sharepoint.com/sites/RyanRent/Gedeelde%20documenten/Forms/AllItems.aspx?id=%2Fsites%2FRyanRent%2FGedeelde%20documenten%2FGeneral%2F01%5FRyanRent%26Co%2F01%5FWoningen%2FWijngaard%2066%2C%20Lelystad</t>
  </si>
  <si>
    <t>https://ryanrent.sharepoint.com/sites/RyanRent/Gedeelde%20documenten/Forms/AllItems.aspx?id=%2Fsites%2FRyanRent%2FGedeelde%20documenten%2FGeneral%2F01%5FRyanRent%26Co%2F01%5FWoningen%2FWijngaard%2066%2C%20Lelystad%2F2%5FInhuur</t>
  </si>
  <si>
    <t>https://ryanrent.sharepoint.com/sites/RyanRent/Gedeelde%20documenten/Forms/AllItems.aspx?id=%2Fsites%2FRyanRent%2FGedeelde%20documenten%2FGeneral%2F01%5FRyanRent%26Co%2F01%5FWoningen%2FWijngaard%2066%2C%20Lelystad%2F3%5FVerhuur</t>
  </si>
  <si>
    <t>https://ryanrent.sharepoint.com/sites/RyanRent/Gedeelde%20documenten/Forms/AllItems.aspx?id=%2Fsites%2FRyanRent%2FGedeelde%20documenten%2FGeneral%2F01%5FRyanRent%26Co%2F01%5FWoningen%2FWijngaard%2066%2C%20Lelystad%2F2%5FInhuur%2F2%5FInhuurovereenkomsten</t>
  </si>
  <si>
    <t>2026-01-16</t>
  </si>
  <si>
    <t>2026-11-15</t>
  </si>
  <si>
    <t>0213</t>
  </si>
  <si>
    <t>Mr. Troelstrastraat 11</t>
  </si>
  <si>
    <t>3131HR</t>
  </si>
  <si>
    <t>0214</t>
  </si>
  <si>
    <t>Mendelssohnplein 13D</t>
  </si>
  <si>
    <t>3131RD</t>
  </si>
  <si>
    <t>https://ryanrent.sharepoint.com/sites/RyanRent/Gedeelde%20documenten/Forms/AllItems.aspx?id=%2Fsites%2FRyanRent%2FGedeelde%20documenten%2FGeneral%2F01%5FRyanRent%26Co%2F01%5FWoningen%2FMendelssohnplein%2013D%20Vlaardingen</t>
  </si>
  <si>
    <t>0215</t>
  </si>
  <si>
    <t>Mendelssohnplein 10C</t>
  </si>
  <si>
    <t>https://ryanrent.sharepoint.com/sites/RyanRent/Gedeelde%20documenten/Forms/AllItems.aspx?id=%2Fsites%2FRyanRent%2FGedeelde%20documenten%2FGeneral%2F01%5FRyanRent%26Co%2F01%5FWoningen%2FMendelssohnplein%2010C%20Vlaardingen</t>
  </si>
  <si>
    <t>0216</t>
  </si>
  <si>
    <t>Mendelssohnplein 46a</t>
  </si>
  <si>
    <t>3131RK</t>
  </si>
  <si>
    <t>https://ryanrent.sharepoint.com/sites/RyanRent/Gedeelde%20documenten/Forms/AllItems.aspx?id=%2Fsites%2FRyanRent%2FGedeelde%20documenten%2FGeneral%2F01%5FRyanRent%26Co%2F01%5FWoningen%2FMendelssohnplein%2046a%20Vlaardingen</t>
  </si>
  <si>
    <t>0217</t>
  </si>
  <si>
    <t>Middelrode 8</t>
  </si>
  <si>
    <t>3085CR</t>
  </si>
  <si>
    <t>https://ryanrent.sharepoint.com/sites/RyanRent/Gedeelde%20documenten/Forms/AllItems.aspx?id=%2Fsites%2FRyanRent%2FGedeelde%20documenten%2FGeneral%2F01%5FRyanRent%26Co%2F01%5FWoningen%2FMiddelrode%208%20Rotterdam</t>
  </si>
  <si>
    <t>https://ryanrent.sharepoint.com/sites/RyanRent/Gedeelde%20documenten/Forms/AllItems.aspx?id=%2Fsites%2FRyanRent%2FGedeelde%20documenten%2FGeneral%2F01%5FRyanRent%26Co%2F01%5FWoningen%2FMiddelrode%208%20Rotterdam%2F2%5FInhuur</t>
  </si>
  <si>
    <t>https://ryanrent.sharepoint.com/sites/RyanRent/Gedeelde%20documenten/Forms/AllItems.aspx?id=%2Fsites%2FRyanRent%2FGedeelde%20documenten%2FGeneral%2F01%5FRyanRent%26Co%2F01%5FWoningen%2FMiddelrode%208%20Rotterdam%2F3%5FVerhuur</t>
  </si>
  <si>
    <t>https://ryanrent.sharepoint.com/sites/RyanRent/Gedeelde%20documenten/Forms/AllItems.aspx?id=%2Fsites%2FRyanRent%2FGedeelde%20documenten%2FGeneral%2F01%5FRyanRent%26Co%2F01%5FWoningen%2FMiddelrode%208%20Rotterdam%2F2%5FInhuur%2F2%5FInhuurovereenkomsten</t>
  </si>
  <si>
    <t>0218</t>
  </si>
  <si>
    <t>P.F. Catsstraat 8</t>
  </si>
  <si>
    <t>8801VC</t>
  </si>
  <si>
    <t>0219</t>
  </si>
  <si>
    <t>Miltonstraat 55</t>
  </si>
  <si>
    <t>3076TG</t>
  </si>
  <si>
    <t>https://ryanrent.sharepoint.com/sites/RyanRent/Gedeelde%20documenten/Forms/AllItems.aspx?id=%2Fsites%2FRyanRent%2FGedeelde%20documenten%2FGeneral%2F01%5FRyanRent%26Co%2F01%5FWoningen%2FMiltonstraat%2055%20Rotterdam</t>
  </si>
  <si>
    <t>https://ryanrent.sharepoint.com/sites/RyanRent/Gedeelde%20documenten/Forms/AllItems.aspx?id=%2Fsites%2FRyanRent%2FGedeelde%20documenten%2FGeneral%2F01%5FRyanRent%26Co%2F01%5FWoningen%2FMiltonstraat%2055%20Rotterdam%2F2%5FInhuur</t>
  </si>
  <si>
    <t>https://ryanrent.sharepoint.com/sites/RyanRent/Gedeelde%20documenten/Forms/AllItems.aspx?id=%2Fsites%2FRyanRent%2FGedeelde%20documenten%2FGeneral%2F01%5FRyanRent%26Co%2F01%5FWoningen%2FMiltonstraat%2055%20Rotterdam%2F3%5FVerhuur</t>
  </si>
  <si>
    <t>https://ryanrent.sharepoint.com/sites/RyanRent/Gedeelde%20documenten/Forms/AllItems.aspx?id=%2Fsites%2FRyanRent%2FGedeelde%20documenten%2FGeneral%2F01%5FRyanRent%26Co%2F01%5FWoningen%2FMiltonstraat%2055%20Rotterdam%2F2%5FInhuur%2F2%5FInhuurovereenkomsten</t>
  </si>
  <si>
    <t>JES Funding en Beheer B.V.</t>
  </si>
  <si>
    <t>verhuur@jesbeheer.com</t>
  </si>
  <si>
    <t>06-54615625</t>
  </si>
  <si>
    <t>Koninginneweg 13</t>
  </si>
  <si>
    <t>1217 KP</t>
  </si>
  <si>
    <t>Hilversum</t>
  </si>
  <si>
    <t>2021-07-01</t>
  </si>
  <si>
    <t>0220</t>
  </si>
  <si>
    <t>Miltonstraat 85</t>
  </si>
  <si>
    <t>3076TH</t>
  </si>
  <si>
    <t>0221</t>
  </si>
  <si>
    <t>Molenstraat 10</t>
  </si>
  <si>
    <t>2671EX</t>
  </si>
  <si>
    <t>Naaldwijk</t>
  </si>
  <si>
    <t>https://ryanrent.sharepoint.com/sites/RyanRent/Gedeelde%20documenten/Forms/AllItems.aspx?id=%2Fsites%2FRyanRent%2FGedeelde%20documenten%2FGeneral%2F01%5FRyanRent%26Co%2F01%5FWoningen%2FMolenstraat%2010%20Naaldwijk</t>
  </si>
  <si>
    <t>0222</t>
  </si>
  <si>
    <t>Molenstraat 23</t>
  </si>
  <si>
    <t>2671EW</t>
  </si>
  <si>
    <t>https://ryanrent.sharepoint.com/sites/RyanRent/Gedeelde%20documenten/Forms/AllItems.aspx?id=%2Fsites%2FRyanRent%2FGedeelde%20documenten%2FGeneral%2F01%5FRyanRent%26Co%2F01%5FWoningen%2FMolenstraat%2023%20Naaldwijk</t>
  </si>
  <si>
    <t>0223</t>
  </si>
  <si>
    <t>Acacialaan 9</t>
  </si>
  <si>
    <t>2641 aa</t>
  </si>
  <si>
    <t>Pijnacker</t>
  </si>
  <si>
    <t>1139</t>
  </si>
  <si>
    <t>0224</t>
  </si>
  <si>
    <t>Nicolaas Beetsstraat 29</t>
  </si>
  <si>
    <t>3131GP</t>
  </si>
  <si>
    <t>https://ryanrent.sharepoint.com/sites/RyanRent/Gedeelde%20documenten/Forms/AllItems.aspx?id=%2Fsites%2FRyanRent%2FGedeelde%20documenten%2FGeneral%2F01%5FRyanRent%26Co%2F01%5FWoningen%2FNicolaas%20Beetsstraat%2029%20Vlaardingen</t>
  </si>
  <si>
    <t>0225</t>
  </si>
  <si>
    <t>Kerkwervesingel 127</t>
  </si>
  <si>
    <t>3086HL</t>
  </si>
  <si>
    <t>https://ryanrent.sharepoint.com/sites/RyanRent/Gedeelde%20documenten/Forms/AllItems.aspx?id=%2Fsites%2FRyanRent%2FGedeelde%20documenten%2FGeneral%2F01%5FRyanRent%26Co%2F01%5FWoningen%2FKerkwervesingel%20127%2C%20Rotterdam</t>
  </si>
  <si>
    <t>https://ryanrent.sharepoint.com/sites/RyanRent/Gedeelde%20documenten/Forms/AllItems.aspx?id=%2Fsites%2FRyanRent%2FGedeelde%20documenten%2FGeneral%2F01%5FRyanRent%26Co%2F01%5FWoningen%2FKerkwervesingel%20127%2C%20Rotterdam%2F2%5FInhuur</t>
  </si>
  <si>
    <t>https://ryanrent.sharepoint.com/sites/RyanRent/Gedeelde%20documenten/Forms/AllItems.aspx?id=%2Fsites%2FRyanRent%2FGedeelde%20documenten%2FGeneral%2F01%5FRyanRent%26Co%2F01%5FWoningen%2FKerkwervesingel%20127%2C%20Rotterdam%2F3%5FVerhuur</t>
  </si>
  <si>
    <t>https://ryanrent.sharepoint.com/sites/RyanRent/Gedeelde%20documenten/Forms/AllItems.aspx?id=%2Fsites%2FRyanRent%2FGedeelde%20documenten%2FGeneral%2F01%5FRyanRent%26Co%2F01%5FWoningen%2FKerkwervesingel%20127%2C%20Rotterdam%2F2%5FInhuur%2F2%5FInhuurovereenkomsten</t>
  </si>
  <si>
    <t>0226</t>
  </si>
  <si>
    <t>Rivierdijk 793</t>
  </si>
  <si>
    <t>5793</t>
  </si>
  <si>
    <t>https://ryanrent.sharepoint.com/sites/RyanRent/Gedeelde%20documenten/Forms/AllItems.aspx?id=%2Fsites%2FRyanRent%2FGedeelde%20documenten%2FGeneral%2F01%5FRyanRent%26Co%2F01%5FWoningen%2FRivierdijk%20793%2C%20Hardinxveld-Giessendam</t>
  </si>
  <si>
    <t>https://ryanrent.sharepoint.com/sites/RyanRent/Gedeelde%20documenten/Forms/AllItems.aspx?id=%2Fsites%2FRyanRent%2FGedeelde%20documenten%2FGeneral%2F01%5FRyanRent%26Co%2F01%5FWoningen%2FRivierdijk%20793%2C%20Hardinxveld-Giessendam%2F2%5FInhuur</t>
  </si>
  <si>
    <t>https://ryanrent.sharepoint.com/sites/RyanRent/Gedeelde%20documenten/Forms/AllItems.aspx?id=%2Fsites%2FRyanRent%2FGedeelde%20documenten%2FGeneral%2F01%5FRyanRent%26Co%2F01%5FWoningen%2FRivierdijk%20793%2C%20Hardinxveld-Giessendam%2F3%5FVerhuur</t>
  </si>
  <si>
    <t>https://ryanrent.sharepoint.com/sites/RyanRent/Gedeelde%20documenten/Forms/AllItems.aspx?id=%2Fsites%2FRyanRent%2FGedeelde%20documenten%2FGeneral%2F01%5FRyanRent%26Co%2F01%5FWoningen%2FRivierdijk%20793%2C%20Hardinxveld-Giessendam%2F2%5FInhuur%2F2%5FInhuurovereenkomsten</t>
  </si>
  <si>
    <t>Business Housing</t>
  </si>
  <si>
    <t>eliane@zamens.nl</t>
  </si>
  <si>
    <t>Oosteinde 26</t>
  </si>
  <si>
    <t>Oud Alblas</t>
  </si>
  <si>
    <t>69861846.0</t>
  </si>
  <si>
    <t>NL50 RABO 0323 5939 68</t>
  </si>
  <si>
    <t>2023-07-01</t>
  </si>
  <si>
    <t>0227</t>
  </si>
  <si>
    <t xml:space="preserve">Oostlaan 3 </t>
  </si>
  <si>
    <t>2678NK</t>
  </si>
  <si>
    <t>Uitzendburo Tradiro B.V.</t>
  </si>
  <si>
    <t>NL47 RABO 0128 6245 07</t>
  </si>
  <si>
    <t>0228</t>
  </si>
  <si>
    <t xml:space="preserve">Parallelweg 122A </t>
  </si>
  <si>
    <t>3131DL</t>
  </si>
  <si>
    <t>0229</t>
  </si>
  <si>
    <t>Parallelweg 98B</t>
  </si>
  <si>
    <t>3131DJ</t>
  </si>
  <si>
    <t>https://ryanrent.sharepoint.com/sites/RyanRent/Gedeelde%20documenten/Forms/AllItems.aspx?id=%2Fsites%2FRyanRent%2FGedeelde%20documenten%2FGeneral%2F01%5FRyanRent%26Co%2F01%5FWoningen%2FParallelweg%2098b%20Vlaardingen</t>
  </si>
  <si>
    <t>0230</t>
  </si>
  <si>
    <t>Pasteursingel 61</t>
  </si>
  <si>
    <t>3028EJ</t>
  </si>
  <si>
    <t>https://ryanrent.sharepoint.com/sites/RyanRent/Gedeelde%20documenten/Forms/AllItems.aspx?id=%2Fsites%2FRyanRent%2FGedeelde%20documenten%2FGeneral%2F01%5FRyanRent%26Co%2F01%5FWoningen%2FPasteursingel%2061b%20Rotterdam</t>
  </si>
  <si>
    <t>0231</t>
  </si>
  <si>
    <t>Platostraat 80</t>
  </si>
  <si>
    <t>3076BP</t>
  </si>
  <si>
    <t>0232</t>
  </si>
  <si>
    <t>Zuidhoek 209D</t>
  </si>
  <si>
    <t>3082PH</t>
  </si>
  <si>
    <t>https://ryanrent.sharepoint.com/sites/RyanRent/Gedeelde%20documenten/Forms/AllItems.aspx?id=%2Fsites%2FRyanRent%2FGedeelde%20documenten%2FGeneral%2F01%5FRyanRent%26Co%2F01%5FWoningen%2FZuidhoek%20209D%2C%20Rotterdam</t>
  </si>
  <si>
    <t>https://ryanrent.sharepoint.com/sites/RyanRent/Gedeelde%20documenten/Forms/AllItems.aspx?id=%2Fsites%2FRyanRent%2FGedeelde%20documenten%2FGeneral%2F01%5FRyanRent%26Co%2F01%5FWoningen%2FZuidhoek%20209D%2C%20Rotterdam%2F2%5FInhuur</t>
  </si>
  <si>
    <t>https://ryanrent.sharepoint.com/sites/RyanRent/Gedeelde%20documenten/Forms/AllItems.aspx?id=%2Fsites%2FRyanRent%2FGedeelde%20documenten%2FGeneral%2F01%5FRyanRent%26Co%2F01%5FWoningen%2FZuidhoek%20209D%2C%20Rotterdam%2F3%5FVerhuur</t>
  </si>
  <si>
    <t>https://ryanrent.sharepoint.com/sites/RyanRent/Gedeelde%20documenten/Forms/AllItems.aspx?id=%2Fsites%2FRyanRent%2FGedeelde%20documenten%2FGeneral%2F01%5FRyanRent%26Co%2F01%5FWoningen%2FZuidhoek%20209D%2C%20Rotterdam%2F2%5FInhuur%2F2%5FInhuurovereenkomsten</t>
  </si>
  <si>
    <t>2025-12-05</t>
  </si>
  <si>
    <t>2026-12-04</t>
  </si>
  <si>
    <t>0233</t>
  </si>
  <si>
    <t>Rembrandtstraat 20B</t>
  </si>
  <si>
    <t>2671GD</t>
  </si>
  <si>
    <t>https://ryanrent.sharepoint.com/sites/RyanRent/Gedeelde%20documenten/Forms/AllItems.aspx?id=%2Fsites%2FRyanRent%2FGedeelde%20documenten%2FGeneral%2F01%5FRyanRent%26Co%2F01%5FWoningen%2FRembrandtstraat%2020B%20Naaldwijk</t>
  </si>
  <si>
    <t>0234</t>
  </si>
  <si>
    <t>Rotterdamsedijk 154B</t>
  </si>
  <si>
    <t>3112BJ</t>
  </si>
  <si>
    <t>https://ryanrent.sharepoint.com/sites/RyanRent/Gedeelde%20documenten/Forms/AllItems.aspx?id=%2Fsites%2FRyanRent%2FGedeelde%20documenten%2FGeneral%2F01%5FRyanRent%26Co%2F01%5FWoningen%2FRotterdamsedijk%20154b%20Schiedam</t>
  </si>
  <si>
    <t>0235</t>
  </si>
  <si>
    <t>Rubensplein 3 B</t>
  </si>
  <si>
    <t>https://ryanrent.sharepoint.com/sites/RyanRent/Gedeelde%20documenten/Forms/AllItems.aspx?id=%2Fsites%2FRyanRent%2FGedeelde%20documenten%2FGeneral%2F01%5FRyanRent%26Co%2F01%5FWoningen%2FRubensplein%203b%20Schiedam</t>
  </si>
  <si>
    <t>Tradiro Housing BV</t>
  </si>
  <si>
    <t>James Wattweg 20</t>
  </si>
  <si>
    <t>3133 KK</t>
  </si>
  <si>
    <t>63681552</t>
  </si>
  <si>
    <t>NL84 RABO 0306 8492 16</t>
  </si>
  <si>
    <t>2018-11-01</t>
  </si>
  <si>
    <t>0236</t>
  </si>
  <si>
    <t>Schalkeroord 389</t>
  </si>
  <si>
    <t>3079WH</t>
  </si>
  <si>
    <t>R.R. Kalmeijer en M.R. Klootwijk</t>
  </si>
  <si>
    <t>Laan van Magisch Realisme 5</t>
  </si>
  <si>
    <t>3059 VJ</t>
  </si>
  <si>
    <t>NLS7 RABO 0341 695165</t>
  </si>
  <si>
    <t>2019-06-01</t>
  </si>
  <si>
    <t>0237</t>
  </si>
  <si>
    <t>Schere 238</t>
  </si>
  <si>
    <t>3085DZ</t>
  </si>
  <si>
    <t>0238</t>
  </si>
  <si>
    <t xml:space="preserve">Van der Werffstraat 370 </t>
  </si>
  <si>
    <t>3132WK</t>
  </si>
  <si>
    <t>https://ryanrent.sharepoint.com/sites/RyanRent/Gedeelde%20documenten/Forms/AllItems.aspx?id=%2Fsites%2FRyanRent%2FGedeelde%20documenten%2FGeneral%2F01%5FRyanRent%26Co%2F01%5FWoningen%2FVan%20Swinderenstraat%2021%2C%20Coevorden</t>
  </si>
  <si>
    <t>https://ryanrent.sharepoint.com/sites/RyanRent/Gedeelde%20documenten/Forms/AllItems.aspx?id=%2Fsites%2FRyanRent%2FGedeelde%20documenten%2FGeneral%2F01%5FRyanRent%26Co%2F01%5FWoningen%2FVan%20Swinderenstraat%2021%2C%20Coevorden%2F2%5FInhuur</t>
  </si>
  <si>
    <t>https://ryanrent.sharepoint.com/sites/RyanRent/Gedeelde%20documenten/Forms/AllItems.aspx?id=%2Fsites%2FRyanRent%2FGedeelde%20documenten%2FGeneral%2F01%5FRyanRent%26Co%2F01%5FWoningen%2FVan%20Swinderenstraat%2021%2C%20Coevorden%2F3%5FVerhuur</t>
  </si>
  <si>
    <t>https://ryanrent.sharepoint.com/sites/RyanRent/Gedeelde%20documenten/Forms/AllItems.aspx?id=%2Fsites%2FRyanRent%2FGedeelde%20documenten%2FGeneral%2F01%5FRyanRent%26Co%2F01%5FWoningen%2FVan%20Swinderenstraat%2021%2C%20Coevorden%2F2%5FInhuur%2F2%5FInhuurovereenkomsten</t>
  </si>
  <si>
    <t>0239</t>
  </si>
  <si>
    <t>Schoonegge 110</t>
  </si>
  <si>
    <t>3085CZ</t>
  </si>
  <si>
    <t>https://ryanrent.sharepoint.com/sites/RyanRent/Gedeelde%20documenten/Forms/AllItems.aspx?id=%2Fsites%2FRyanRent%2FGedeelde%20documenten%2FGeneral%2F01%5FRyanRent%26Co%2F01%5FWoningen%2FSchoonegge%20110%2C%20Rotterdam</t>
  </si>
  <si>
    <t>https://ryanrent.sharepoint.com/sites/RyanRent/Gedeelde%20documenten/Forms/AllItems.aspx?id=%2Fsites%2FRyanRent%2FGedeelde%20documenten%2FGeneral%2F01%5FRyanRent%26Co%2F01%5FWoningen%2FSchoonegge%20110%2C%20Rotterdam%2F2%5FInhuur</t>
  </si>
  <si>
    <t>https://ryanrent.sharepoint.com/sites/RyanRent/Gedeelde%20documenten/Forms/AllItems.aspx?id=%2Fsites%2FRyanRent%2FGedeelde%20documenten%2FGeneral%2F01%5FRyanRent%26Co%2F01%5FWoningen%2FSchoonegge%20110%2C%20Rotterdam%2F3%5FVerhuur</t>
  </si>
  <si>
    <t>https://ryanrent.sharepoint.com/sites/RyanRent/Gedeelde%20documenten/Forms/AllItems.aspx?id=%2Fsites%2FRyanRent%2FGedeelde%20documenten%2FGeneral%2F01%5FRyanRent%26Co%2F01%5FWoningen%2FSchoonegge%20110%2C%20Rotterdam%2F2%5FInhuur%2F2%5FInhuurovereenkomsten</t>
  </si>
  <si>
    <t>EU Facility Services</t>
  </si>
  <si>
    <t>inkoopfacturen@houseofcovebo.nl</t>
  </si>
  <si>
    <t>033 29 94 222</t>
  </si>
  <si>
    <t>Ambachtsstraat 13</t>
  </si>
  <si>
    <t>NIJKERK</t>
  </si>
  <si>
    <t>32110787.0</t>
  </si>
  <si>
    <t>NL94 ABNA 0254 3837 93</t>
  </si>
  <si>
    <t>2025-06-11</t>
  </si>
  <si>
    <t>2026-06-10</t>
  </si>
  <si>
    <t>0240</t>
  </si>
  <si>
    <t>Schoonegge 84</t>
  </si>
  <si>
    <t>3085CX</t>
  </si>
  <si>
    <t>https://ryanrent.sharepoint.com/sites/RyanRent/Gedeelde%20documenten/Forms/AllItems.aspx?id=%2Fsites%2FRyanRent%2FGedeelde%20documenten%2FGeneral%2F01%5FRyanRent%26Co%2F01%5FWoningen%2FSchoonegge%2084%20Rotterdam</t>
  </si>
  <si>
    <t>0241</t>
  </si>
  <si>
    <t>van der Werffstraat 166</t>
  </si>
  <si>
    <t>3132WG</t>
  </si>
  <si>
    <t>0242</t>
  </si>
  <si>
    <t>Sint Liduinastraat 76 A</t>
  </si>
  <si>
    <t>3117CV</t>
  </si>
  <si>
    <t>https://ryanrent.sharepoint.com/sites/RyanRent/Gedeelde%20documenten/Forms/AllItems.aspx?id=%2Fsites%2FRyanRent%2FGedeelde%20documenten%2FGeneral%2F01%5FRyanRent%26Co%2F01%5FWoningen%2FSint%20Liduinastraat%2080b%20Schiedam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</si>
  <si>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</si>
  <si>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</si>
  <si>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</si>
  <si>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</si>
  <si>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</si>
  <si>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</si>
  <si>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</si>
  <si>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Socratesstraat 168</t>
  </si>
  <si>
    <t>3076BZ</t>
  </si>
  <si>
    <t>0247</t>
  </si>
  <si>
    <t>Spoorsingel 154b</t>
  </si>
  <si>
    <t>3134XW</t>
  </si>
  <si>
    <t>https://ryanrent.sharepoint.com/sites/RyanRent/Gedeelde%20documenten/Forms/AllItems.aspx?id=%2Fsites%2FRyanRent%2FGedeelde%20documenten%2FGeneral%2F01%5FRyanRent%26Co%2F01%5FWoningen%2FSpoorsingel%20154b%20Vlaardingen</t>
  </si>
  <si>
    <t>https://ryanrent.sharepoint.com/sites/RyanRent/Gedeelde%20documenten/Forms/AllItems.aspx?id=%2Fsites%2FRyanRent%2FGedeelde%20documenten%2FGeneral%2F01%5FRyanRent%26Co%2F01%5FWoningen%2FSpoorsingel%20154b%20Vlaardingen%2F2%5FInhuur</t>
  </si>
  <si>
    <t>https://ryanrent.sharepoint.com/sites/RyanRent/Gedeelde%20documenten/Forms/AllItems.aspx?id=%2Fsites%2FRyanRent%2FGedeelde%20documenten%2FGeneral%2F01%5FRyanRent%26Co%2F01%5FWoningen%2FSpoorsingel%20154b%20Vlaardingen%2F3%5FVerhuur</t>
  </si>
  <si>
    <t>https://ryanrent.sharepoint.com/sites/RyanRent/Gedeelde%20documenten/Forms/AllItems.aspx?id=%2Fsites%2FRyanRent%2FGedeelde%20documenten%2FGeneral%2F01%5FRyanRent%26Co%2F01%5FWoningen%2FSpoorsingel%20154b%20Vlaardingen%2F2%5FInhuur%2F2%5FInhuurovereenkomsten</t>
  </si>
  <si>
    <t>0248</t>
  </si>
  <si>
    <t>van der Waalsstraat 16</t>
  </si>
  <si>
    <t>0249</t>
  </si>
  <si>
    <t>Tholenstraat 114</t>
  </si>
  <si>
    <t>3086TP</t>
  </si>
  <si>
    <t>https://ryanrent.sharepoint.com/sites/RyanRent/Gedeelde%20documenten/Forms/AllItems.aspx?id=%2Fsites%2FRyanRent%2FGedeelde%20documenten%2FGeneral%2F01%5FRyanRent%26Co%2F01%5FWoningen%2FTholenstraat%20114%20Rotterdam</t>
  </si>
  <si>
    <t>https://ryanrent.sharepoint.com/sites/RyanRent/Gedeelde%20documenten/Forms/AllItems.aspx?id=%2Fsites%2FRyanRent%2FGedeelde%20documenten%2FGeneral%2F01%5FRyanRent%26Co%2F01%5FWoningen%2FTholenstraat%20114%20Rotterdam%2F2%5FInhuur</t>
  </si>
  <si>
    <t>https://ryanrent.sharepoint.com/sites/RyanRent/Gedeelde%20documenten/Forms/AllItems.aspx?id=%2Fsites%2FRyanRent%2FGedeelde%20documenten%2FGeneral%2F01%5FRyanRent%26Co%2F01%5FWoningen%2FTholenstraat%20114%20Rotterdam%2F3%5FVerhuur</t>
  </si>
  <si>
    <t>https://ryanrent.sharepoint.com/sites/RyanRent/Gedeelde%20documenten/Forms/AllItems.aspx?id=%2Fsites%2FRyanRent%2FGedeelde%20documenten%2FGeneral%2F01%5FRyanRent%26Co%2F01%5FWoningen%2FTholenstraat%20114%20Rotterdam%2F2%5FInhuur%2F2%5FInhuurovereenkomsten</t>
  </si>
  <si>
    <t>JES Funding &amp; Beheer B.V.</t>
  </si>
  <si>
    <t>info@jesbeheer.com</t>
  </si>
  <si>
    <t>06-27270429</t>
  </si>
  <si>
    <t>NL79 INGB 0008 0477 55</t>
  </si>
  <si>
    <t>0250</t>
  </si>
  <si>
    <t>van der Waalsstraat 70</t>
  </si>
  <si>
    <t>3132TN</t>
  </si>
  <si>
    <t>0251</t>
  </si>
  <si>
    <t>Middenbaan Noord 18A</t>
  </si>
  <si>
    <t>3191EM</t>
  </si>
  <si>
    <t>https://ryanrent.sharepoint.com/sites/RyanRent/Gedeelde%20documenten/Forms/AllItems.aspx?id=%2Fsites%2FRyanRent%2FGedeelde%20documenten%2FGeneral%2F01%5FRyanRent%26Co%2F01%5FWoningen%2FMiddenbaan%20Noord%2018_28%2C%20Hoogvliet</t>
  </si>
  <si>
    <t>https://ryanrent.sharepoint.com/sites/RyanRent/Gedeelde%20documenten/Forms/AllItems.aspx?id=%2Fsites%2FRyanRent%2FGedeelde%20documenten%2FGeneral%2F01%5FRyanRent%26Co%2F01%5FWoningen%2FMiddenbaan%20Noord%2018_28%2C%20Hoogvliet%2F2%5FInhuur</t>
  </si>
  <si>
    <t>https://ryanrent.sharepoint.com/sites/RyanRent/Gedeelde%20documenten/Forms/AllItems.aspx?id=%2Fsites%2FRyanRent%2FGedeelde%20documenten%2FGeneral%2F01%5FRyanRent%26Co%2F01%5FWoningen%2FMiddenbaan%20Noord%2018_28%2C%20Hoogvliet%2F3%5FVerhuur</t>
  </si>
  <si>
    <t>https://ryanrent.sharepoint.com/sites/RyanRent/Gedeelde%20documenten/Forms/AllItems.aspx?id=%2Fsites%2FRyanRent%2FGedeelde%20documenten%2FGeneral%2F01%5FRyanRent%26Co%2F01%5FWoningen%2FMiddenbaan%20Noord%2018_28%2C%20Hoogvliet%2F2%5FInhuur%2F2%5FInhuurovereenkomsten</t>
  </si>
  <si>
    <t>0252</t>
  </si>
  <si>
    <t xml:space="preserve">Middenbaan Noord 18B </t>
  </si>
  <si>
    <t>3191EH</t>
  </si>
  <si>
    <t>2023-05-01</t>
  </si>
  <si>
    <t>2028-04-30</t>
  </si>
  <si>
    <t>GAP Costruzioni S.r.l.</t>
  </si>
  <si>
    <t>invoice@gapcostruzioni.it</t>
  </si>
  <si>
    <t>+39 346 7115 004</t>
  </si>
  <si>
    <t>Viale Italia 110</t>
  </si>
  <si>
    <t>Augusta</t>
  </si>
  <si>
    <t>Italië</t>
  </si>
  <si>
    <t>IT29 E030 6984 6201 0000 0011 940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</si>
  <si>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</si>
  <si>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</si>
  <si>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</si>
  <si>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</si>
  <si>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</si>
  <si>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</si>
  <si>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</si>
  <si>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</si>
  <si>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</si>
  <si>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</si>
  <si>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Suricare B.V.</t>
  </si>
  <si>
    <t>arie.degroot@carevisie.nl</t>
  </si>
  <si>
    <t>Kastanjelaan 8</t>
  </si>
  <si>
    <t>VELP</t>
  </si>
  <si>
    <t>83481699.0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</si>
  <si>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</si>
  <si>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</si>
  <si>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</si>
  <si>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</si>
  <si>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</si>
  <si>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</si>
  <si>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</si>
  <si>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https://ryanrent.sharepoint.com/sites/RyanRent/Gedeelde%20documenten/Forms/AllItems.aspx?id=%2Fsites%2FRyanRent%2FGedeelde%20documenten%2FGeneral%2F01%5FRyanRent%26Co%2F01%5FWoningen%2FPersoonsdam%20176%2C%20Rotterdam</t>
  </si>
  <si>
    <t>https://ryanrent.sharepoint.com/sites/RyanRent/Gedeelde%20documenten/Forms/AllItems.aspx?id=%2Fsites%2FRyanRent%2FGedeelde%20documenten%2FGeneral%2F01%5FRyanRent%26Co%2F01%5FWoningen%2FPersoonsdam%20176%2C%20Rotterdam%2F2%5FInhuur</t>
  </si>
  <si>
    <t>https://ryanrent.sharepoint.com/sites/RyanRent/Gedeelde%20documenten/Forms/AllItems.aspx?id=%2Fsites%2FRyanRent%2FGedeelde%20documenten%2FGeneral%2F01%5FRyanRent%26Co%2F01%5FWoningen%2FPersoonsdam%20176%2C%20Rotterdam%2F3%5FVerhuur</t>
  </si>
  <si>
    <t>https://ryanrent.sharepoint.com/sites/RyanRent/Gedeelde%20documenten/Forms/AllItems.aspx?id=%2Fsites%2FRyanRent%2FGedeelde%20documenten%2FGeneral%2F01%5FRyanRent%26Co%2F01%5FWoningen%2FPersoonsdam%20176%2C%20Rotterdam%2F2%5FInhuur%2F2%5FInhuurovereenkomsten</t>
  </si>
  <si>
    <t>Flexvesting B.V.</t>
  </si>
  <si>
    <t>administratie@flexvesting.com</t>
  </si>
  <si>
    <t>033 303 59 40</t>
  </si>
  <si>
    <t>Wiekenweg 50b</t>
  </si>
  <si>
    <t>Amersfoort</t>
  </si>
  <si>
    <t>83276491.0</t>
  </si>
  <si>
    <t>NL51 RABO 0370 7195 57</t>
  </si>
  <si>
    <t>2025-04-01</t>
  </si>
  <si>
    <t>2026-04-01</t>
  </si>
  <si>
    <t>0261</t>
  </si>
  <si>
    <t>Persoonsdam 177</t>
  </si>
  <si>
    <t>https://ryanrent.sharepoint.com/sites/RyanRent/Gedeelde%20documenten/Forms/AllItems.aspx?id=%2Fsites%2FRyanRent%2FGedeelde%20documenten%2FGeneral%2F01%5FRyanRent%26Co%2F01%5FWoningen%2FPersoonsdam%20177%2C%20Rotterdam</t>
  </si>
  <si>
    <t>https://ryanrent.sharepoint.com/sites/RyanRent/Gedeelde%20documenten/Forms/AllItems.aspx?id=%2Fsites%2FRyanRent%2FGedeelde%20documenten%2FGeneral%2F01%5FRyanRent%26Co%2F01%5FWoningen%2FPersoonsdam%20177%2C%20Rotterdam%2F2%5FInhuur</t>
  </si>
  <si>
    <t>https://ryanrent.sharepoint.com/sites/RyanRent/Gedeelde%20documenten/Forms/AllItems.aspx?id=%2Fsites%2FRyanRent%2FGedeelde%20documenten%2FGeneral%2F01%5FRyanRent%26Co%2F01%5FWoningen%2FPersoonsdam%20177%2C%20Rotterdam%2F3%5FVerhuur</t>
  </si>
  <si>
    <t>https://ryanrent.sharepoint.com/sites/RyanRent/Gedeelde%20documenten/Forms/AllItems.aspx?id=%2Fsites%2FRyanRent%2FGedeelde%20documenten%2FGeneral%2F01%5FRyanRent%26Co%2F01%5FWoningen%2FPersoonsdam%20177%2C%20Rotterdam%2F2%5FInhuur%2F2%5FInhuurovereenkomsten</t>
  </si>
  <si>
    <t>0262</t>
  </si>
  <si>
    <t>Persoonsdam 178</t>
  </si>
  <si>
    <t>https://ryanrent.sharepoint.com/sites/RyanRent/Gedeelde%20documenten/Forms/AllItems.aspx?id=%2Fsites%2FRyanRent%2FGedeelde%20documenten%2FGeneral%2F01%5FRyanRent%26Co%2F01%5FWoningen%2FPersoonsdam%20178%2C%20Rotterdam</t>
  </si>
  <si>
    <t>https://ryanrent.sharepoint.com/sites/RyanRent/Gedeelde%20documenten/Forms/AllItems.aspx?id=%2Fsites%2FRyanRent%2FGedeelde%20documenten%2FGeneral%2F01%5FRyanRent%26Co%2F01%5FWoningen%2FPersoonsdam%20178%2C%20Rotterdam%2F2%5FInhuur</t>
  </si>
  <si>
    <t>https://ryanrent.sharepoint.com/sites/RyanRent/Gedeelde%20documenten/Forms/AllItems.aspx?id=%2Fsites%2FRyanRent%2FGedeelde%20documenten%2FGeneral%2F01%5FRyanRent%26Co%2F01%5FWoningen%2FPersoonsdam%20178%2C%20Rotterdam%2F3%5FVerhuur</t>
  </si>
  <si>
    <t>https://ryanrent.sharepoint.com/sites/RyanRent/Gedeelde%20documenten/Forms/AllItems.aspx?id=%2Fsites%2FRyanRent%2FGedeelde%20documenten%2FGeneral%2F01%5FRyanRent%26Co%2F01%5FWoningen%2FPersoonsdam%20178%2C%20Rotterdam%2F2%5FInhuur%2F2%5FInhuurovereenkomsten</t>
  </si>
  <si>
    <t>0263</t>
  </si>
  <si>
    <t>Persoonsdam 179</t>
  </si>
  <si>
    <t>https://ryanrent.sharepoint.com/sites/RyanRent/Gedeelde%20documenten/Forms/AllItems.aspx?id=%2Fsites%2FRyanRent%2FGedeelde%20documenten%2FGeneral%2F01%5FRyanRent%26Co%2F01%5FWoningen%2FPersoonsdam%20179%2C%20Rotterdam</t>
  </si>
  <si>
    <t>https://ryanrent.sharepoint.com/sites/RyanRent/Gedeelde%20documenten/Forms/AllItems.aspx?id=%2Fsites%2FRyanRent%2FGedeelde%20documenten%2FGeneral%2F01%5FRyanRent%26Co%2F01%5FWoningen%2FPersoonsdam%20179%2C%20Rotterdam%2F2%5FInhuur</t>
  </si>
  <si>
    <t>https://ryanrent.sharepoint.com/sites/RyanRent/Gedeelde%20documenten/Forms/AllItems.aspx?id=%2Fsites%2FRyanRent%2FGedeelde%20documenten%2FGeneral%2F01%5FRyanRent%26Co%2F01%5FWoningen%2FPersoonsdam%20179%2C%20Rotterdam%2F3%5FVerhuur</t>
  </si>
  <si>
    <t>https://ryanrent.sharepoint.com/sites/RyanRent/Gedeelde%20documenten/Forms/AllItems.aspx?id=%2Fsites%2FRyanRent%2FGedeelde%20documenten%2FGeneral%2F01%5FRyanRent%26Co%2F01%5FWoningen%2FPersoonsdam%20179%2C%20Rotterdam%2F2%5FInhuur%2F2%5FInhuurovereenkomsten</t>
  </si>
  <si>
    <t>0264</t>
  </si>
  <si>
    <t>Persoonsdam 180</t>
  </si>
  <si>
    <t>https://ryanrent.sharepoint.com/sites/RyanRent/Gedeelde%20documenten/Forms/AllItems.aspx?id=%2Fsites%2FRyanRent%2FGedeelde%20documenten%2FGeneral%2F01%5FRyanRent%26Co%2F01%5FWoningen%2FPersoonsdam%20180%2C%20Rotterdam</t>
  </si>
  <si>
    <t>https://ryanrent.sharepoint.com/sites/RyanRent/Gedeelde%20documenten/Forms/AllItems.aspx?id=%2Fsites%2FRyanRent%2FGedeelde%20documenten%2FGeneral%2F01%5FRyanRent%26Co%2F01%5FWoningen%2FPersoonsdam%20180%2C%20Rotterdam%2F2%5FInhuur</t>
  </si>
  <si>
    <t>https://ryanrent.sharepoint.com/sites/RyanRent/Gedeelde%20documenten/Forms/AllItems.aspx?id=%2Fsites%2FRyanRent%2FGedeelde%20documenten%2FGeneral%2F01%5FRyanRent%26Co%2F01%5FWoningen%2FPersoonsdam%20180%2C%20Rotterdam%2F3%5FVerhuur</t>
  </si>
  <si>
    <t>https://ryanrent.sharepoint.com/sites/RyanRent/Gedeelde%20documenten/Forms/AllItems.aspx?id=%2Fsites%2FRyanRent%2FGedeelde%20documenten%2FGeneral%2F01%5FRyanRent%26Co%2F01%5FWoningen%2FPersoonsdam%20180%2C%20Rotterdam%2F2%5FInhuur%2F2%5FInhuurovereenkomsten</t>
  </si>
  <si>
    <t>0265</t>
  </si>
  <si>
    <t>Persoonsdam 181</t>
  </si>
  <si>
    <t>https://ryanrent.sharepoint.com/sites/RyanRent/Gedeelde%20documenten/Forms/AllItems.aspx?id=%2Fsites%2FRyanRent%2FGedeelde%20documenten%2FGeneral%2F01%5FRyanRent%26Co%2F01%5FWoningen%2FPersoonsdam%20181%2C%20Rotterdam</t>
  </si>
  <si>
    <t>https://ryanrent.sharepoint.com/sites/RyanRent/Gedeelde%20documenten/Forms/AllItems.aspx?id=%2Fsites%2FRyanRent%2FGedeelde%20documenten%2FGeneral%2F01%5FRyanRent%26Co%2F01%5FWoningen%2FPersoonsdam%20181%2C%20Rotterdam%2F2%5FInhuur</t>
  </si>
  <si>
    <t>https://ryanrent.sharepoint.com/sites/RyanRent/Gedeelde%20documenten/Forms/AllItems.aspx?id=%2Fsites%2FRyanRent%2FGedeelde%20documenten%2FGeneral%2F01%5FRyanRent%26Co%2F01%5FWoningen%2FPersoonsdam%20181%2C%20Rotterdam%2F3%5FVerhuur</t>
  </si>
  <si>
    <t>https://ryanrent.sharepoint.com/sites/RyanRent/Gedeelde%20documenten/Forms/AllItems.aspx?id=%2Fsites%2FRyanRent%2FGedeelde%20documenten%2FGeneral%2F01%5FRyanRent%26Co%2F01%5FWoningen%2FPersoonsdam%20181%2C%20Rotterdam%2F2%5FInhuur%2F2%5FInhuurovereenkomsten</t>
  </si>
  <si>
    <t>0266</t>
  </si>
  <si>
    <t>Persoonsdam 182</t>
  </si>
  <si>
    <t>https://ryanrent.sharepoint.com/sites/RyanRent/Gedeelde%20documenten/Forms/AllItems.aspx?id=%2Fsites%2FRyanRent%2FGedeelde%20documenten%2FGeneral%2F01%5FRyanRent%26Co%2F01%5FWoningen%2FPersoonsdam%20182%2C%20Rotterdam</t>
  </si>
  <si>
    <t>https://ryanrent.sharepoint.com/sites/RyanRent/Gedeelde%20documenten/Forms/AllItems.aspx?id=%2Fsites%2FRyanRent%2FGedeelde%20documenten%2FGeneral%2F01%5FRyanRent%26Co%2F01%5FWoningen%2FPersoonsdam%20182%2C%20Rotterdam%2F2%5FInhuur</t>
  </si>
  <si>
    <t>https://ryanrent.sharepoint.com/sites/RyanRent/Gedeelde%20documenten/Forms/AllItems.aspx?id=%2Fsites%2FRyanRent%2FGedeelde%20documenten%2FGeneral%2F01%5FRyanRent%26Co%2F01%5FWoningen%2FPersoonsdam%20182%2C%20Rotterdam%2F3%5FVerhuur</t>
  </si>
  <si>
    <t>https://ryanrent.sharepoint.com/sites/RyanRent/Gedeelde%20documenten/Forms/AllItems.aspx?id=%2Fsites%2FRyanRent%2FGedeelde%20documenten%2FGeneral%2F01%5FRyanRent%26Co%2F01%5FWoningen%2FPersoonsdam%20182%2C%20Rotterdam%2F2%5FInhuur%2F2%5FInhuurovereenkomsten</t>
  </si>
  <si>
    <t>0267</t>
  </si>
  <si>
    <t>Persoonsdam 194</t>
  </si>
  <si>
    <t>https://ryanrent.sharepoint.com/sites/RyanRent/Gedeelde%20documenten/Forms/AllItems.aspx?id=%2Fsites%2FRyanRent%2FGedeelde%20documenten%2FGeneral%2F01%5FRyanRent%26Co%2F01%5FWoningen%2FPersoonsdam%20194%2C%20Rotterdam</t>
  </si>
  <si>
    <t>https://ryanrent.sharepoint.com/sites/RyanRent/Gedeelde%20documenten/Forms/AllItems.aspx?id=%2Fsites%2FRyanRent%2FGedeelde%20documenten%2FGeneral%2F01%5FRyanRent%26Co%2F01%5FWoningen%2FPersoonsdam%20194%2C%20Rotterdam%2F2%5FInhuur</t>
  </si>
  <si>
    <t>https://ryanrent.sharepoint.com/sites/RyanRent/Gedeelde%20documenten/Forms/AllItems.aspx?id=%2Fsites%2FRyanRent%2FGedeelde%20documenten%2FGeneral%2F01%5FRyanRent%26Co%2F01%5FWoningen%2FPersoonsdam%20194%2C%20Rotterdam%2F3%5FVerhuur</t>
  </si>
  <si>
    <t>https://ryanrent.sharepoint.com/sites/RyanRent/Gedeelde%20documenten/Forms/AllItems.aspx?id=%2Fsites%2FRyanRent%2FGedeelde%20documenten%2FGeneral%2F01%5FRyanRent%26Co%2F01%5FWoningen%2FPersoonsdam%20194%2C%20Rotterdam%2F2%5FInhuur%2F2%5FInhuurovereenkomsten</t>
  </si>
  <si>
    <t>0268</t>
  </si>
  <si>
    <t>Persoonsdam 198</t>
  </si>
  <si>
    <t>https://ryanrent.sharepoint.com/sites/RyanRent/Gedeelde%20documenten/Forms/AllItems.aspx?id=%2Fsites%2FRyanRent%2FGedeelde%20documenten%2FGeneral%2F01%5FRyanRent%26Co%2F01%5FWoningen%2FPersoonsdam%20198%2C%20Rotterdam</t>
  </si>
  <si>
    <t>https://ryanrent.sharepoint.com/sites/RyanRent/Gedeelde%20documenten/Forms/AllItems.aspx?id=%2Fsites%2FRyanRent%2FGedeelde%20documenten%2FGeneral%2F01%5FRyanRent%26Co%2F01%5FWoningen%2FPersoonsdam%20198%2C%20Rotterdam%2F2%5FInhuur</t>
  </si>
  <si>
    <t>https://ryanrent.sharepoint.com/sites/RyanRent/Gedeelde%20documenten/Forms/AllItems.aspx?id=%2Fsites%2FRyanRent%2FGedeelde%20documenten%2FGeneral%2F01%5FRyanRent%26Co%2F01%5FWoningen%2FPersoonsdam%20198%2C%20Rotterdam%2F3%5FVerhuur</t>
  </si>
  <si>
    <t>https://ryanrent.sharepoint.com/sites/RyanRent/Gedeelde%20documenten/Forms/AllItems.aspx?id=%2Fsites%2FRyanRent%2FGedeelde%20documenten%2FGeneral%2F01%5FRyanRent%26Co%2F01%5FWoningen%2FPersoonsdam%20198%2C%20Rotterdam%2F2%5FInhuur%2F2%5FInhuurovereenkomsten</t>
  </si>
  <si>
    <t>0269</t>
  </si>
  <si>
    <t>Professor Kamerlingh Onneslaan 134A</t>
  </si>
  <si>
    <t>3112 VL</t>
  </si>
  <si>
    <t>https://ryanrent.sharepoint.com/sites/RyanRent/Gedeelde%20documenten/Forms/AllItems.aspx?id=%2Fsites%2FRyanRent%2FGedeelde%20documenten%2FGeneral%2F01%5FRyanRent%26Co%2F01%5FWoningen%2FProfessor%20Kamerlingh%20Onneslaan%20134B1%2C%20Schiedam</t>
  </si>
  <si>
    <t>https://ryanrent.sharepoint.com/sites/RyanRent/Gedeelde%20documenten/Forms/AllItems.aspx?id=%2Fsites%2FRyanRent%2FGedeelde%20documenten%2FGeneral%2F01%5FRyanRent%26Co%2F01%5FWoningen%2FProfessor%20Kamerlingh%20Onneslaan%20134B1%2C%20Schiedam%2F2%5FInhuur</t>
  </si>
  <si>
    <t>https://ryanrent.sharepoint.com/sites/RyanRent/Gedeelde%20documenten/Forms/AllItems.aspx?id=%2Fsites%2FRyanRent%2FGedeelde%20documenten%2FGeneral%2F01%5FRyanRent%26Co%2F01%5FWoningen%2FProfessor%20Kamerlingh%20Onneslaan%20134B1%2C%20Schiedam%2F3%5FVerhuur</t>
  </si>
  <si>
    <t>https://ryanrent.sharepoint.com/sites/RyanRent/Gedeelde%20documenten/Forms/AllItems.aspx?id=%2Fsites%2FRyanRent%2FGedeelde%20documenten%2FGeneral%2F01%5FRyanRent%26Co%2F01%5FWoningen%2FProfessor%20Kamerlingh%20Onneslaan%20134B1%2C%20Schiedam%2F2%5FInhuur%2F2%5FInhuurovereenkomsten</t>
  </si>
  <si>
    <t>P. Nederstigt</t>
  </si>
  <si>
    <t>p.nederstigt@casema.nl</t>
  </si>
  <si>
    <t>Frans Halsstraat 67</t>
  </si>
  <si>
    <t>Lisse</t>
  </si>
  <si>
    <t>NL30 ABNA 0401 3982 42</t>
  </si>
  <si>
    <t>Housing en Transport Facilities BV</t>
  </si>
  <si>
    <t>+31641786315</t>
  </si>
  <si>
    <t>2431 64 17 86 315</t>
  </si>
  <si>
    <t>0270</t>
  </si>
  <si>
    <t>Professor Kamerlingh Onneslaan 134B1</t>
  </si>
  <si>
    <t>2024-07-27</t>
  </si>
  <si>
    <t>2026-07-26</t>
  </si>
  <si>
    <t>0271</t>
  </si>
  <si>
    <t>Professor Kamerlingh Onneslaan 134B2</t>
  </si>
  <si>
    <t>0272</t>
  </si>
  <si>
    <t>Professor Kamerlingh Onneslaan 134B3</t>
  </si>
  <si>
    <t>0273</t>
  </si>
  <si>
    <t>Fenacoliuslaan 56B</t>
  </si>
  <si>
    <t>3143AE</t>
  </si>
  <si>
    <t>Engie</t>
  </si>
  <si>
    <t>Van Bergen Personeelsdiensten B.V.</t>
  </si>
  <si>
    <t>facturen@aubvanbergen.nl</t>
  </si>
  <si>
    <t>NL76 RABO 0328 7743 67</t>
  </si>
  <si>
    <t>2020-03-06</t>
  </si>
  <si>
    <t>0274</t>
  </si>
  <si>
    <t>Karel Doormanlaan 21A</t>
  </si>
  <si>
    <t>2678EX</t>
  </si>
  <si>
    <t>Inclusief</t>
  </si>
  <si>
    <t>De Rembrandt B.V.</t>
  </si>
  <si>
    <t>Flip van Adrichem</t>
  </si>
  <si>
    <t>flip@eetcafedewitte.nl</t>
  </si>
  <si>
    <t>06-41372342</t>
  </si>
  <si>
    <t>NL21RABO0156104105</t>
  </si>
  <si>
    <t>2018-03-01</t>
  </si>
  <si>
    <t>0275</t>
  </si>
  <si>
    <t>Burgemeester Crezeelaan 76</t>
  </si>
  <si>
    <t>2678KZ</t>
  </si>
  <si>
    <t>K. Zuidgeest</t>
  </si>
  <si>
    <t>2012-11-26</t>
  </si>
  <si>
    <t>0276</t>
  </si>
  <si>
    <t>Burgemeester Cramerlaan 82</t>
  </si>
  <si>
    <t>2678 AN</t>
  </si>
  <si>
    <t>2019-01-01</t>
  </si>
  <si>
    <t>0277</t>
  </si>
  <si>
    <t>Gerberalaan 113</t>
  </si>
  <si>
    <t>2671 KC</t>
  </si>
  <si>
    <t>0278</t>
  </si>
  <si>
    <t>Lange Broekweg 46</t>
  </si>
  <si>
    <t>2671 DV</t>
  </si>
  <si>
    <t>G. Hofland</t>
  </si>
  <si>
    <t>Goos Hofland</t>
  </si>
  <si>
    <t>goos@hoflandfloweringplants.nl</t>
  </si>
  <si>
    <t>0174-625887</t>
  </si>
  <si>
    <t>NL27RABO0343661063</t>
  </si>
  <si>
    <t>2017-12-10</t>
  </si>
  <si>
    <t>0279</t>
  </si>
  <si>
    <t>Haagkamp 11</t>
  </si>
  <si>
    <t>2675 SK</t>
  </si>
  <si>
    <t>Honselersdijk</t>
  </si>
  <si>
    <t>Inclusief met VS</t>
  </si>
  <si>
    <t>0280</t>
  </si>
  <si>
    <t>Bovendijk 59</t>
  </si>
  <si>
    <t>2295 RW</t>
  </si>
  <si>
    <t>Kwintsheul</t>
  </si>
  <si>
    <t>https://ryanrent.sharepoint.com/sites/RyanRent/Gedeelde%20documenten/Forms/AllItems.aspx?id=%2Fsites%2FRyanRent%2FGedeelde%20documenten%2FGeneral%2F01%5FRyanRent%26Co%2F01%5FWoningen%2FBovendijk%2059%2C%20Kwintsheul</t>
  </si>
  <si>
    <t>https://ryanrent.sharepoint.com/sites/RyanRent/Gedeelde%20documenten/Forms/AllItems.aspx?id=%2Fsites%2FRyanRent%2FGedeelde%20documenten%2FGeneral%2F01%5FRyanRent%26Co%2F01%5FWoningen%2FBovendijk%2059%2C%20Kwintsheul%2F2%5FInhuur</t>
  </si>
  <si>
    <t>https://ryanrent.sharepoint.com/sites/RyanRent/Gedeelde%20documenten/Forms/AllItems.aspx?id=%2Fsites%2FRyanRent%2FGedeelde%20documenten%2FGeneral%2F01%5FRyanRent%26Co%2F01%5FWoningen%2FBovendijk%2059%2C%20Kwintsheul%2F3%5FVerhuur</t>
  </si>
  <si>
    <t>https://ryanrent.sharepoint.com/sites/RyanRent/Gedeelde%20documenten/Forms/AllItems.aspx?id=%2Fsites%2FRyanRent%2FGedeelde%20documenten%2FGeneral%2F01%5FRyanRent%26Co%2F01%5FWoningen%2FBovendijk%2059%2C%20Kwintsheul%2F2%5FInhuur%2F2%5FInhuurovereenkomsten</t>
  </si>
  <si>
    <t>M. Nottet</t>
  </si>
  <si>
    <t>mnottet@caiway.nl</t>
  </si>
  <si>
    <t>06-50502637</t>
  </si>
  <si>
    <t>NL60RABO0323282903</t>
  </si>
  <si>
    <t>2014-06-01</t>
  </si>
  <si>
    <t>0281</t>
  </si>
  <si>
    <t>Bovendijk 61</t>
  </si>
  <si>
    <t>https://ryanrent.sharepoint.com/sites/RyanRent/Gedeelde%20documenten/Forms/AllItems.aspx?id=%2Fsites%2FRyanRent%2FGedeelde%20documenten%2FGeneral%2F01%5FRyanRent%26Co%2F01%5FWoningen%2FBovendijk%2061%20Kwintsheul</t>
  </si>
  <si>
    <t>https://ryanrent.sharepoint.com/sites/RyanRent/Gedeelde%20documenten/Forms/AllItems.aspx?id=%2Fsites%2FRyanRent%2FGedeelde%20documenten%2FGeneral%2F01%5FRyanRent%26Co%2F01%5FWoningen%2FBovendijk%2061%20Kwintsheul%2F2%5FInhuur</t>
  </si>
  <si>
    <t>https://ryanrent.sharepoint.com/sites/RyanRent/Gedeelde%20documenten/Forms/AllItems.aspx?id=%2Fsites%2FRyanRent%2FGedeelde%20documenten%2FGeneral%2F01%5FRyanRent%26Co%2F01%5FWoningen%2FBovendijk%2061%20Kwintsheul%2F3%5FVerhuur</t>
  </si>
  <si>
    <t>https://ryanrent.sharepoint.com/sites/RyanRent/Gedeelde%20documenten/Forms/AllItems.aspx?id=%2Fsites%2FRyanRent%2FGedeelde%20documenten%2FGeneral%2F01%5FRyanRent%26Co%2F01%5FWoningen%2FBovendijk%2061%20Kwintsheul%2F2%5FInhuur%2F2%5FInhuurovereenkomsten</t>
  </si>
  <si>
    <t>0282</t>
  </si>
  <si>
    <t>Madeweg 25C</t>
  </si>
  <si>
    <t>2681 PJ</t>
  </si>
  <si>
    <t>Monster</t>
  </si>
  <si>
    <t>H. van Leeuwen</t>
  </si>
  <si>
    <t>Petra</t>
  </si>
  <si>
    <t>petra@huubvanleeuwen.nl</t>
  </si>
  <si>
    <t>06-51262904 / 0174-248804</t>
  </si>
  <si>
    <t>NL96RABO0375644504</t>
  </si>
  <si>
    <t>2017-04-01</t>
  </si>
  <si>
    <t>0283</t>
  </si>
  <si>
    <t>Madeweg 35A</t>
  </si>
  <si>
    <t>2681 PK</t>
  </si>
  <si>
    <t>J.S. Vink Vastgoed</t>
  </si>
  <si>
    <t>2021-03-01</t>
  </si>
  <si>
    <t>0284</t>
  </si>
  <si>
    <t>Molenweg 3A</t>
  </si>
  <si>
    <t>2681 RD</t>
  </si>
  <si>
    <t>M.J.W. van den Enden &amp; B.M. van den Enden</t>
  </si>
  <si>
    <t>Barbara van den Enden</t>
  </si>
  <si>
    <t>endem3@caiway.nl</t>
  </si>
  <si>
    <t>06-51611737 Barbara / 06-54398790 Maup</t>
  </si>
  <si>
    <t>NL81INGB0112509347</t>
  </si>
  <si>
    <t>0285</t>
  </si>
  <si>
    <t>Poeldijkseweg 27</t>
  </si>
  <si>
    <t>2681 LT</t>
  </si>
  <si>
    <t>2023-11-01</t>
  </si>
  <si>
    <t>0286</t>
  </si>
  <si>
    <t>Waellandweg 12</t>
  </si>
  <si>
    <t>2681 LV</t>
  </si>
  <si>
    <t>T. Olsthoorn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</si>
  <si>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</si>
  <si>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</si>
  <si>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</si>
  <si>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</si>
  <si>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</si>
  <si>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</si>
  <si>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</si>
  <si>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0.0</t>
  </si>
  <si>
    <t>2023-01-01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</si>
  <si>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</si>
  <si>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</si>
  <si>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</si>
  <si>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</si>
  <si>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</si>
  <si>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</si>
  <si>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</si>
  <si>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2019-05-06</t>
  </si>
  <si>
    <t>2020-03-01</t>
  </si>
  <si>
    <t>0292</t>
  </si>
  <si>
    <t>Burgemeester Stulemeijerlaan 71</t>
  </si>
  <si>
    <t>3118BC</t>
  </si>
  <si>
    <t>0293</t>
  </si>
  <si>
    <t>Akkerweg 41 [huis 14]</t>
  </si>
  <si>
    <t>1779GJ</t>
  </si>
  <si>
    <t>Den Oever</t>
  </si>
  <si>
    <t>2005</t>
  </si>
  <si>
    <t>https://ryanrent.sharepoint.com/sites/RyanRent/Gedeelde%20documenten/Forms/AllItems.aspx?id=%2Fsites%2FRyanRent%2FGedeelde%20documenten%2FGeneral%2F01%5FRyanRent%26Co%2F01%5FWoningen%2FAkkerweg%2041%20%5Bhuis%2055%5D%2C%20Den%20Oever</t>
  </si>
  <si>
    <t>https://ryanrent.sharepoint.com/sites/RyanRent/Gedeelde%20documenten/Forms/AllItems.aspx?id=%2Fsites%2FRyanRent%2FGedeelde%20documenten%2FGeneral%2F01%5FRyanRent%26Co%2F01%5FWoningen%2FAkkerweg%2041%20%5Bhuis%2055%5D%2C%20Den%20Oever%2F2%5FInhuur</t>
  </si>
  <si>
    <t>https://ryanrent.sharepoint.com/sites/RyanRent/Gedeelde%20documenten/Forms/AllItems.aspx?id=%2Fsites%2FRyanRent%2FGedeelde%20documenten%2FGeneral%2F01%5FRyanRent%26Co%2F01%5FWoningen%2FAkkerweg%2041%20%5Bhuis%2055%5D%2C%20Den%20Oever%2F3%5FVerhuur</t>
  </si>
  <si>
    <t>https://ryanrent.sharepoint.com/sites/RyanRent/Gedeelde%20documenten/Forms/AllItems.aspx?id=%2Fsites%2FRyanRent%2FGedeelde%20documenten%2FGeneral%2F01%5FRyanRent%26Co%2F01%5FWoningen%2FAkkerweg%2041%20%5Bhuis%2055%5D%2C%20Den%20Oever%2F2%5FInhuur%2F2%5FInhuurovereenkomsten</t>
  </si>
  <si>
    <t>2025-09-13</t>
  </si>
  <si>
    <t>0294</t>
  </si>
  <si>
    <t xml:space="preserve">Akkerweg 41 [huis 15] </t>
  </si>
  <si>
    <t>1115</t>
  </si>
  <si>
    <t>C. van Driel e/o B.M. Verdouw</t>
  </si>
  <si>
    <t>drielviist@gmail.com / bmverdouw@gmail.com</t>
  </si>
  <si>
    <t>06 53141599</t>
  </si>
  <si>
    <t>2023-10-01</t>
  </si>
  <si>
    <t>0295</t>
  </si>
  <si>
    <t>Akkerweg 41 [018]</t>
  </si>
  <si>
    <t>Den oever</t>
  </si>
  <si>
    <t>2018</t>
  </si>
  <si>
    <t>0296</t>
  </si>
  <si>
    <t>Akkerweg 41 [022]</t>
  </si>
  <si>
    <t>2227</t>
  </si>
  <si>
    <t>0297</t>
  </si>
  <si>
    <t xml:space="preserve">Akkerweg 41 [huis 26] </t>
  </si>
  <si>
    <t>1726</t>
  </si>
  <si>
    <t>Cris</t>
  </si>
  <si>
    <t>Royal DS Personeel-service</t>
  </si>
  <si>
    <t>m.langeveld@royalds.nl</t>
  </si>
  <si>
    <t>06 532 88 389</t>
  </si>
  <si>
    <t>Ambachtsweg 57</t>
  </si>
  <si>
    <t>Nijmegen</t>
  </si>
  <si>
    <t>2025-10-01</t>
  </si>
  <si>
    <t>0298</t>
  </si>
  <si>
    <t>Akkerweg 41 [031]</t>
  </si>
  <si>
    <t>3127</t>
  </si>
  <si>
    <t>0299</t>
  </si>
  <si>
    <t xml:space="preserve">Akkerweg 41 [huis 37] </t>
  </si>
  <si>
    <t xml:space="preserve">Den Oever </t>
  </si>
  <si>
    <t>3257</t>
  </si>
  <si>
    <t>0300</t>
  </si>
  <si>
    <t xml:space="preserve">Akkerweg 41 [huis 40] </t>
  </si>
  <si>
    <t>2405</t>
  </si>
  <si>
    <t>0301</t>
  </si>
  <si>
    <t xml:space="preserve">Akkerweg 41 [huis 41] </t>
  </si>
  <si>
    <t>2415</t>
  </si>
  <si>
    <t>0302</t>
  </si>
  <si>
    <t>Akkerweg 41 [huis 42]</t>
  </si>
  <si>
    <t>2425</t>
  </si>
  <si>
    <t>0303</t>
  </si>
  <si>
    <t xml:space="preserve">Akkerweg 41 [huis 55] </t>
  </si>
  <si>
    <t>2555</t>
  </si>
  <si>
    <t>2025-01-15</t>
  </si>
  <si>
    <t>2030-01-15</t>
  </si>
  <si>
    <t>0304</t>
  </si>
  <si>
    <t>Akkerweg 41 [huis 56]</t>
  </si>
  <si>
    <t>2556</t>
  </si>
  <si>
    <t>0305</t>
  </si>
  <si>
    <t>Akkerweg 41 [huis 57]</t>
  </si>
  <si>
    <t>5207</t>
  </si>
  <si>
    <t>2025-04-25</t>
  </si>
  <si>
    <t>2027-04-24</t>
  </si>
  <si>
    <t>MNA Proud Facilities B.V.</t>
  </si>
  <si>
    <t>Recep@prokonak.nl</t>
  </si>
  <si>
    <t>06 423 54595</t>
  </si>
  <si>
    <t>Tomatenlaan 29</t>
  </si>
  <si>
    <t>80752721</t>
  </si>
  <si>
    <t>NL59 RABO 0366 0069 59</t>
  </si>
  <si>
    <t>0306</t>
  </si>
  <si>
    <t>Akkerweg 41 [059]</t>
  </si>
  <si>
    <t>2559</t>
  </si>
  <si>
    <t>0307</t>
  </si>
  <si>
    <t>Akkerweg 41 [huis 75]</t>
  </si>
  <si>
    <t>2775</t>
  </si>
  <si>
    <t>FISSH B.V.</t>
  </si>
  <si>
    <t>administratie@fissh.nl</t>
  </si>
  <si>
    <t>06 338 76 573</t>
  </si>
  <si>
    <t>Copernicusstraat 18</t>
  </si>
  <si>
    <t>Wijchen</t>
  </si>
  <si>
    <t>264206165</t>
  </si>
  <si>
    <t>0308</t>
  </si>
  <si>
    <t>Kerkweg 9a [huis 135]</t>
  </si>
  <si>
    <t>1711RR</t>
  </si>
  <si>
    <t>Hensbroek</t>
  </si>
  <si>
    <t>3571</t>
  </si>
  <si>
    <t>https://ryanrent.sharepoint.com/sites/RyanRent/Gedeelde%20documenten/Forms/AllItems.aspx?id=%2Fsites%2FRyanRent%2FGedeelde%20documenten%2FGeneral%2F01%5FRyanRent%26Co%2F01%5FWoningen%2FKerkweg%209a%20%5Bhuis%20349%5D%20Hensbroek</t>
  </si>
  <si>
    <t>https://ryanrent.sharepoint.com/sites/RyanRent/Gedeelde%20documenten/Forms/AllItems.aspx?id=%2Fsites%2FRyanRent%2FGedeelde%20documenten%2FGeneral%2F01%5FRyanRent%26Co%2F01%5FWoningen%2FKerkweg%209a%20%5Bhuis%20349%5D%20Hensbroek%2F2%5FInhuur</t>
  </si>
  <si>
    <t>https://ryanrent.sharepoint.com/sites/RyanRent/Gedeelde%20documenten/Forms/AllItems.aspx?id=%2Fsites%2FRyanRent%2FGedeelde%20documenten%2FGeneral%2F01%5FRyanRent%26Co%2F01%5FWoningen%2FKerkweg%209a%20%5Bhuis%20349%5D%20Hensbroek%2F3%5FVerhuur</t>
  </si>
  <si>
    <t>https://ryanrent.sharepoint.com/sites/RyanRent/Gedeelde%20documenten/Forms/AllItems.aspx?id=%2Fsites%2FRyanRent%2FGedeelde%20documenten%2FGeneral%2F01%5FRyanRent%26Co%2F01%5FWoningen%2FKerkweg%209a%20%5Bhuis%20349%5D%20Hensbroek%2F2%5FInhuur%2F2%5FInhuurovereenkomsten</t>
  </si>
  <si>
    <t>Chalet Park Holiday</t>
  </si>
  <si>
    <t>Werckpost Service B.V.</t>
  </si>
  <si>
    <t>facturen@werckpost.nl</t>
  </si>
  <si>
    <t>106-15954842</t>
  </si>
  <si>
    <t>Het Rif 1</t>
  </si>
  <si>
    <t>URK</t>
  </si>
  <si>
    <t>64653986.0</t>
  </si>
  <si>
    <t>2026-06-12</t>
  </si>
  <si>
    <t>0309</t>
  </si>
  <si>
    <t>Kerkweg 9a [huis 137]</t>
  </si>
  <si>
    <t>2037</t>
  </si>
  <si>
    <t>UAB Toromega</t>
  </si>
  <si>
    <t>dovydas.j@toromega.eu</t>
  </si>
  <si>
    <t>+37069058856</t>
  </si>
  <si>
    <t>Danes g.6</t>
  </si>
  <si>
    <t>Klaipeda</t>
  </si>
  <si>
    <t>0310</t>
  </si>
  <si>
    <t>Kerkweg 9a [huis 210]</t>
  </si>
  <si>
    <t>1710</t>
  </si>
  <si>
    <t>2024-08-16</t>
  </si>
  <si>
    <t>2026-08-15</t>
  </si>
  <si>
    <t>0311</t>
  </si>
  <si>
    <t>Kerkweg 9a [huis 269]</t>
  </si>
  <si>
    <t>0969</t>
  </si>
  <si>
    <t>Kerkweg 9a [huis 333]</t>
  </si>
  <si>
    <t>1133</t>
  </si>
  <si>
    <t>2024-09-13</t>
  </si>
  <si>
    <t>2026-09-13</t>
  </si>
  <si>
    <t>13/09/2028</t>
  </si>
  <si>
    <t>0313</t>
  </si>
  <si>
    <t>Kerkweg 9a [huis 334]</t>
  </si>
  <si>
    <t>0314</t>
  </si>
  <si>
    <t>Kerkweg 9a [huis 338]</t>
  </si>
  <si>
    <t>1138</t>
  </si>
  <si>
    <t>0315</t>
  </si>
  <si>
    <t>Kerkweg 9a [huis 342]</t>
  </si>
  <si>
    <t>1742</t>
  </si>
  <si>
    <t>2024-11-08</t>
  </si>
  <si>
    <t>2026-11-08</t>
  </si>
  <si>
    <t>0316</t>
  </si>
  <si>
    <t>Kerkweg 9a [huis 346]</t>
  </si>
  <si>
    <t>1735</t>
  </si>
  <si>
    <t>2024-06-21</t>
  </si>
  <si>
    <t>2026-06-20</t>
  </si>
  <si>
    <t>0317</t>
  </si>
  <si>
    <t>Kerkweg 9a [huis 347]</t>
  </si>
  <si>
    <t>4711</t>
  </si>
  <si>
    <t>0318</t>
  </si>
  <si>
    <t>Kerkweg 9a [huis 349]</t>
  </si>
  <si>
    <t>0949</t>
  </si>
  <si>
    <t>2023-09-15</t>
  </si>
  <si>
    <t>2026-09-01</t>
  </si>
  <si>
    <t>0319</t>
  </si>
  <si>
    <t>Kerkweg 9a [huis 356]</t>
  </si>
  <si>
    <t>1193</t>
  </si>
  <si>
    <t>0320</t>
  </si>
  <si>
    <t>Kerkweg 9a [huis 359]</t>
  </si>
  <si>
    <t>5617</t>
  </si>
  <si>
    <t>0321</t>
  </si>
  <si>
    <t>Kerkweg 9a [huis 453]</t>
  </si>
  <si>
    <t>4517</t>
  </si>
  <si>
    <t>2024-09-20</t>
  </si>
  <si>
    <t>2026-09-20</t>
  </si>
  <si>
    <t>0322</t>
  </si>
  <si>
    <t>Bettingeslag 10</t>
  </si>
  <si>
    <t>7824HD</t>
  </si>
  <si>
    <t>Emmen</t>
  </si>
  <si>
    <t>7810</t>
  </si>
  <si>
    <t>https://ryanrent.sharepoint.com/sites/RyanRent/Gedeelde%20documenten/Forms/AllItems.aspx?id=%2Fsites%2FRyanRent%2FGedeelde%20documenten%2FGeneral%2F01%5FRyanRent%26Co%2F01%5FWoningen%2FBettingeslag%2010%2C%20Emmen</t>
  </si>
  <si>
    <t>https://ryanrent.sharepoint.com/sites/RyanRent/Gedeelde%20documenten/Forms/AllItems.aspx?id=%2Fsites%2FRyanRent%2FGedeelde%20documenten%2FGeneral%2F01%5FRyanRent%26Co%2F01%5FWoningen%2FBettingeslag%2010%2C%20Emmen%2F2%5FInhuur</t>
  </si>
  <si>
    <t>https://ryanrent.sharepoint.com/sites/RyanRent/Gedeelde%20documenten/Forms/AllItems.aspx?id=%2Fsites%2FRyanRent%2FGedeelde%20documenten%2FGeneral%2F01%5FRyanRent%26Co%2F01%5FWoningen%2FBettingeslag%2010%2C%20Emmen%2F3%5FVerhuur</t>
  </si>
  <si>
    <t>https://ryanrent.sharepoint.com/sites/RyanRent/Gedeelde%20documenten/Forms/AllItems.aspx?id=%2Fsites%2FRyanRent%2FGedeelde%20documenten%2FGeneral%2F01%5FRyanRent%26Co%2F01%5FWoningen%2FBettingeslag%2010%2C%20Emmen%2F2%5FInhuur%2F2%5FInhuurovereenkomsten</t>
  </si>
  <si>
    <t>2025-02-01</t>
  </si>
  <si>
    <t>2026-02-01</t>
  </si>
  <si>
    <t>CB Construction UAB</t>
  </si>
  <si>
    <t>info@cbconstruction.eu</t>
  </si>
  <si>
    <t>00370 675 13321</t>
  </si>
  <si>
    <t>Chemijos g.27c-62</t>
  </si>
  <si>
    <t>Kaunas</t>
  </si>
  <si>
    <t>2025-12-28</t>
  </si>
  <si>
    <t>0323</t>
  </si>
  <si>
    <t>Marnixstraat 32</t>
  </si>
  <si>
    <t>7553LC</t>
  </si>
  <si>
    <t>Hengelo</t>
  </si>
  <si>
    <t>7532</t>
  </si>
  <si>
    <t>https://ryanrent.sharepoint.com/sites/RyanRent/Gedeelde%20documenten/Forms/AllItems.aspx?id=%2Fsites%2FRyanRent%2FGedeelde%20documenten%2FGeneral%2F01%5FRyanRent%26Co%2F01%5FWoningen%2FMarnixstraat%2032%2C%20Hengelo</t>
  </si>
  <si>
    <t>https://ryanrent.sharepoint.com/sites/RyanRent/Gedeelde%20documenten/Forms/AllItems.aspx?id=%2Fsites%2FRyanRent%2FGedeelde%20documenten%2FGeneral%2F01%5FRyanRent%26Co%2F01%5FWoningen%2FMarnixstraat%2032%2C%20Hengelo%2F2%5FInhuur</t>
  </si>
  <si>
    <t>https://ryanrent.sharepoint.com/sites/RyanRent/Gedeelde%20documenten/Forms/AllItems.aspx?id=%2Fsites%2FRyanRent%2FGedeelde%20documenten%2FGeneral%2F01%5FRyanRent%26Co%2F01%5FWoningen%2FMarnixstraat%2032%2C%20Hengelo%2F3%5FVerhuur</t>
  </si>
  <si>
    <t>https://ryanrent.sharepoint.com/sites/RyanRent/Gedeelde%20documenten/Forms/AllItems.aspx?id=%2Fsites%2FRyanRent%2FGedeelde%20documenten%2FGeneral%2F01%5FRyanRent%26Co%2F01%5FWoningen%2FMarnixstraat%2032%2C%20Hengelo%2F2%5FInhuur%2F2%5FInhuurovereenkomsten</t>
  </si>
  <si>
    <t>R. Paalman</t>
  </si>
  <si>
    <t>0324</t>
  </si>
  <si>
    <t>Van Swinderenstraat 21</t>
  </si>
  <si>
    <t>7741 VK</t>
  </si>
  <si>
    <t>4121</t>
  </si>
  <si>
    <t>E. Beukema</t>
  </si>
  <si>
    <t>et.beukema@gmail.com</t>
  </si>
  <si>
    <t>06 31077111</t>
  </si>
  <si>
    <t>2025-03-01</t>
  </si>
  <si>
    <t>0325</t>
  </si>
  <si>
    <t>Hendriklaan 49</t>
  </si>
  <si>
    <t>6043 BN</t>
  </si>
  <si>
    <t>Roermond</t>
  </si>
  <si>
    <t>1990</t>
  </si>
  <si>
    <t>https://ryanrent.sharepoint.com/sites/RyanRent/Gedeelde%20documenten/Forms/AllItems.aspx?id=%2Fsites%2FRyanRent%2FGedeelde%20documenten%2FGeneral%2F01%5FRyanRent%26Co%2F01%5FWoningen%2FHendriklaan%2049%2C%20Roermond</t>
  </si>
  <si>
    <t>https://ryanrent.sharepoint.com/sites/RyanRent/Gedeelde%20documenten/Forms/AllItems.aspx?id=%2Fsites%2FRyanRent%2FGedeelde%20documenten%2FGeneral%2F01%5FRyanRent%26Co%2F01%5FWoningen%2FHendriklaan%2049%2C%20Roermond%2F2%5FInhuur</t>
  </si>
  <si>
    <t>https://ryanrent.sharepoint.com/sites/RyanRent/Gedeelde%20documenten/Forms/AllItems.aspx?id=%2Fsites%2FRyanRent%2FGedeelde%20documenten%2FGeneral%2F01%5FRyanRent%26Co%2F01%5FWoningen%2FHendriklaan%2049%2C%20Roermond%2F3%5FVerhuur</t>
  </si>
  <si>
    <t>https://ryanrent.sharepoint.com/sites/RyanRent/Gedeelde%20documenten/Forms/AllItems.aspx?id=%2Fsites%2FRyanRent%2FGedeelde%20documenten%2FGeneral%2F01%5FRyanRent%26Co%2F01%5FWoningen%2FHendriklaan%2049%2C%20Roermond%2F2%5FInhuur%2F2%5FInhuurovereenkomsten</t>
  </si>
  <si>
    <t>VALO Facilities B.V.</t>
  </si>
  <si>
    <t>invoices.facilities@valo-group.eu</t>
  </si>
  <si>
    <t>Bruistensingel 400</t>
  </si>
  <si>
    <t>'s-Hertogenbosch</t>
  </si>
  <si>
    <t>2025-01-04</t>
  </si>
  <si>
    <t>2026-01-04</t>
  </si>
  <si>
    <t>0326</t>
  </si>
  <si>
    <t>Akkerweg 41 [068]</t>
  </si>
  <si>
    <t>0327</t>
  </si>
  <si>
    <t>Putter 42</t>
  </si>
  <si>
    <t>4872 PB</t>
  </si>
  <si>
    <t>Etten-Leur</t>
  </si>
  <si>
    <t>https://ryanrent.sharepoint.com/sites/RyanRent/Gedeelde%20documenten/Forms/AllItems.aspx?id=%2Fsites%2FRyanRent%2FGedeelde%20documenten%2FGeneral%2F01%5FRyanRent%26Co%2F01%5FWoningen%2FPutter%2042%2C%20Etten-Leur</t>
  </si>
  <si>
    <t>https://ryanrent.sharepoint.com/sites/RyanRent/Gedeelde%20documenten/Forms/AllItems.aspx?id=%2Fsites%2FRyanRent%2FGedeelde%20documenten%2FGeneral%2F01%5FRyanRent%26Co%2F01%5FWoningen%2FPutter%2042%2C%20Etten-Leur%2F2%5FInhuur</t>
  </si>
  <si>
    <t>https://ryanrent.sharepoint.com/sites/RyanRent/Gedeelde%20documenten/Forms/AllItems.aspx?id=%2Fsites%2FRyanRent%2FGedeelde%20documenten%2FGeneral%2F01%5FRyanRent%26Co%2F01%5FWoningen%2FPutter%2042%2C%20Etten-Leur%2F3%5FVerhuur</t>
  </si>
  <si>
    <t>https://ryanrent.sharepoint.com/sites/RyanRent/Gedeelde%20documenten/Forms/AllItems.aspx?id=%2Fsites%2FRyanRent%2FGedeelde%20documenten%2FGeneral%2F01%5FRyanRent%26Co%2F01%5FWoningen%2FPutter%2042%2C%20Etten-Leur%2F2%5FInhuur%2F2%5FInhuurovereenkomsten</t>
  </si>
  <si>
    <t>4 Homes B.V.</t>
  </si>
  <si>
    <t>factuur@4homes.nl</t>
  </si>
  <si>
    <t>0167 - 745023</t>
  </si>
  <si>
    <t>Prins Reinierstraat 18a</t>
  </si>
  <si>
    <t>Steenbergen</t>
  </si>
  <si>
    <t>27178161</t>
  </si>
  <si>
    <t>NL30 RABO 0120 4592 56</t>
  </si>
  <si>
    <t>2025-09-01</t>
  </si>
  <si>
    <t>I–Housing Vastgoed Beheer B.V.</t>
  </si>
  <si>
    <t>administratie@i-housingvastgoedbeheer.nl</t>
  </si>
  <si>
    <t>Eusebiusbuitensingel 32-2</t>
  </si>
  <si>
    <t>Arnhem</t>
  </si>
  <si>
    <t>81783604.0</t>
  </si>
  <si>
    <t>NL89 RABO 0366 5365 24</t>
  </si>
  <si>
    <t>0328</t>
  </si>
  <si>
    <t>Noordmolenstraat 36A</t>
  </si>
  <si>
    <t>3111PD</t>
  </si>
  <si>
    <t>1136</t>
  </si>
  <si>
    <t>https://ryanrent.sharepoint.com/sites/RyanRent/Gedeelde%20documenten/Forms/AllItems.aspx?id=%2Fsites%2FRyanRent%2FGedeelde%20documenten%2FGeneral%2F01%5FRyanRent%26Co%2F01%5FWoningen%2FNoordmolenstraat%2036a%20schiedam</t>
  </si>
  <si>
    <t>https://ryanrent.sharepoint.com/sites/RyanRent/Gedeelde%20documenten/Forms/AllItems.aspx?id=%2Fsites%2FRyanRent%2FGedeelde%20documenten%2FGeneral%2F01%5FRyanRent%26Co%2F01%5FWoningen%2FNoordmolenstraat%2036a%20schiedam%2F2%5FInhuur</t>
  </si>
  <si>
    <t>https://ryanrent.sharepoint.com/sites/RyanRent/Gedeelde%20documenten/Forms/AllItems.aspx?id=%2Fsites%2FRyanRent%2FGedeelde%20documenten%2FGeneral%2F01%5FRyanRent%26Co%2F01%5FWoningen%2FNoordmolenstraat%2036a%20schiedam%2F3%5FVerhuur</t>
  </si>
  <si>
    <t>https://ryanrent.sharepoint.com/sites/RyanRent/Gedeelde%20documenten/Forms/AllItems.aspx?id=%2Fsites%2FRyanRent%2FGedeelde%20documenten%2FGeneral%2F01%5FRyanRent%26Co%2F01%5FWoningen%2FNoordmolenstraat%2036a%20schiedam%2F2%5FInhuur%2F2%5FInhuurovereenkomsten</t>
  </si>
  <si>
    <t>0329</t>
  </si>
  <si>
    <t>Noordmolenstraat 36B</t>
  </si>
  <si>
    <t>https://ryanrent.sharepoint.com/sites/RyanRent/Gedeelde%20documenten/Forms/AllItems.aspx?id=%2Fsites%2FRyanRent%2FGedeelde%20documenten%2FGeneral%2F01%5FRyanRent%26Co%2F01%5FWoningen%2FNoordmolenstraat%2036B%20Schiedam</t>
  </si>
  <si>
    <t>https://ryanrent.sharepoint.com/sites/RyanRent/Gedeelde%20documenten/Forms/AllItems.aspx?id=%2Fsites%2FRyanRent%2FGedeelde%20documenten%2FGeneral%2F01%5FRyanRent%26Co%2F01%5FWoningen%2FNoordmolenstraat%2036B%20Schiedam%2F2%5FInhuur</t>
  </si>
  <si>
    <t>https://ryanrent.sharepoint.com/sites/RyanRent/Gedeelde%20documenten/Forms/AllItems.aspx?id=%2Fsites%2FRyanRent%2FGedeelde%20documenten%2FGeneral%2F01%5FRyanRent%26Co%2F01%5FWoningen%2FNoordmolenstraat%2036B%20Schiedam%2F3%5FVerhuur</t>
  </si>
  <si>
    <t>https://ryanrent.sharepoint.com/sites/RyanRent/Gedeelde%20documenten/Forms/AllItems.aspx?id=%2Fsites%2FRyanRent%2FGedeelde%20documenten%2FGeneral%2F01%5FRyanRent%26Co%2F01%5FWoningen%2FNoordmolenstraat%2036B%20Schiedam%2F2%5FInhuur%2F2%5FInhuurovereenkomsten</t>
  </si>
  <si>
    <t>0330</t>
  </si>
  <si>
    <t>Noordmolenstraat 36C</t>
  </si>
  <si>
    <t>https://ryanrent.sharepoint.com/sites/RyanRent/Gedeelde%20documenten/Forms/AllItems.aspx?id=%2Fsites%2FRyanRent%2FGedeelde%20documenten%2FGeneral%2F01%5FRyanRent%26Co%2F01%5FWoningen%2FNoordmolenstraat%2036C%20Schiedam</t>
  </si>
  <si>
    <t>https://ryanrent.sharepoint.com/sites/RyanRent/Gedeelde%20documenten/Forms/AllItems.aspx?id=%2Fsites%2FRyanRent%2FGedeelde%20documenten%2FGeneral%2F01%5FRyanRent%26Co%2F01%5FWoningen%2FNoordmolenstraat%2036C%20Schiedam%2F2%5FInhuur</t>
  </si>
  <si>
    <t>https://ryanrent.sharepoint.com/sites/RyanRent/Gedeelde%20documenten/Forms/AllItems.aspx?id=%2Fsites%2FRyanRent%2FGedeelde%20documenten%2FGeneral%2F01%5FRyanRent%26Co%2F01%5FWoningen%2FNoordmolenstraat%2036C%20Schiedam%2F3%5FVerhuur</t>
  </si>
  <si>
    <t>https://ryanrent.sharepoint.com/sites/RyanRent/Gedeelde%20documenten/Forms/AllItems.aspx?id=%2Fsites%2FRyanRent%2FGedeelde%20documenten%2FGeneral%2F01%5FRyanRent%26Co%2F01%5FWoningen%2FNoordmolenstraat%2036C%20Schiedam%2F2%5FInhuur%2F2%5FInhuurovereenkomsten</t>
  </si>
  <si>
    <t>0331</t>
  </si>
  <si>
    <t>Flankstraat 11</t>
  </si>
  <si>
    <t>4551AR</t>
  </si>
  <si>
    <t>4511</t>
  </si>
  <si>
    <t>https://ryanrent.sharepoint.com/sites/RyanRent/Gedeelde%20documenten/Forms/AllItems.aspx?id=%2Fsites%2FRyanRent%2FGedeelde%20documenten%2FGeneral%2F01%5FRyanRent%26Co%2F01%5FWoningen%2FFlankstraat%2011%20Sas%20van%20Gent</t>
  </si>
  <si>
    <t>https://ryanrent.sharepoint.com/sites/RyanRent/Gedeelde%20documenten/Forms/AllItems.aspx?id=%2Fsites%2FRyanRent%2FGedeelde%20documenten%2FGeneral%2F01%5FRyanRent%26Co%2F01%5FWoningen%2FFlankstraat%2011%20Sas%20van%20Gent%2F2%5FInhuur</t>
  </si>
  <si>
    <t>https://ryanrent.sharepoint.com/sites/RyanRent/Gedeelde%20documenten/Forms/AllItems.aspx?id=%2Fsites%2FRyanRent%2FGedeelde%20documenten%2FGeneral%2F01%5FRyanRent%26Co%2F01%5FWoningen%2FFlankstraat%2011%20Sas%20van%20Gent%2F3%5FVerhuur</t>
  </si>
  <si>
    <t>https://ryanrent.sharepoint.com/sites/RyanRent/Gedeelde%20documenten/Forms/AllItems.aspx?id=%2Fsites%2FRyanRent%2FGedeelde%20documenten%2FGeneral%2F01%5FRyanRent%26Co%2F01%5FWoningen%2FFlankstraat%2011%20Sas%20van%20Gent%2F2%5FInhuur%2F2%5FInhuurovereenkomsten</t>
  </si>
  <si>
    <t>TH Mungroop</t>
  </si>
  <si>
    <t>0332</t>
  </si>
  <si>
    <t>Kerkweg 9a [huis 340]</t>
  </si>
  <si>
    <t>2025-01-24</t>
  </si>
  <si>
    <t>2026-01-24</t>
  </si>
  <si>
    <t>Orange Investments Group</t>
  </si>
  <si>
    <t>0333</t>
  </si>
  <si>
    <t>Kethelweg 66D</t>
  </si>
  <si>
    <t>https://ryanrent.sharepoint.com/sites/RyanRent/Gedeelde%20documenten/Forms/AllItems.aspx?id=%2Fsites%2FRyanRent%2FGedeelde%20documenten%2FGeneral%2F01%5FRyanRent%26Co%2F01%5FWoningen%2FKethelweg%2066D%20Vlaardingen</t>
  </si>
  <si>
    <t>https://ryanrent.sharepoint.com/sites/RyanRent/Gedeelde%20documenten/Forms/AllItems.aspx?id=%2Fsites%2FRyanRent%2FGedeelde%20documenten%2FGeneral%2F01%5FRyanRent%26Co%2F01%5FWoningen%2FKethelweg%2066D%20Vlaardingen%2F2%5FInhuur</t>
  </si>
  <si>
    <t>https://ryanrent.sharepoint.com/sites/RyanRent/Gedeelde%20documenten/Forms/AllItems.aspx?id=%2Fsites%2FRyanRent%2FGedeelde%20documenten%2FGeneral%2F01%5FRyanRent%26Co%2F01%5FWoningen%2FKethelweg%2066D%20Vlaardingen%2F3%5FVerhuur</t>
  </si>
  <si>
    <t>https://ryanrent.sharepoint.com/sites/RyanRent/Gedeelde%20documenten/Forms/AllItems.aspx?id=%2Fsites%2FRyanRent%2FGedeelde%20documenten%2FGeneral%2F01%5FRyanRent%26Co%2F01%5FWoningen%2FKethelweg%2066D%20Vlaardingen%2F2%5FInhuur%2F2%5FInhuurovereenkomsten</t>
  </si>
  <si>
    <t>0334</t>
  </si>
  <si>
    <t>Hof van zeeland 2</t>
  </si>
  <si>
    <t>4451 RS</t>
  </si>
  <si>
    <t xml:space="preserve">Heinkenszand </t>
  </si>
  <si>
    <t>0335</t>
  </si>
  <si>
    <t>Molenweg 3B</t>
  </si>
  <si>
    <t>2025-01-02</t>
  </si>
  <si>
    <t>0336</t>
  </si>
  <si>
    <t>Ofwegen 1A</t>
  </si>
  <si>
    <t>2481KA</t>
  </si>
  <si>
    <t>Woubrugge</t>
  </si>
  <si>
    <t>1890</t>
  </si>
  <si>
    <t>https://ryanrent.sharepoint.com/sites/RyanRent/Gedeelde%20documenten/Forms/AllItems.aspx?id=%2Fsites%2FRyanRent%2FGedeelde%20documenten%2FGeneral%2F01%5FRyanRent%26Co%2F01%5FWoningen%2FOfwegen%201A%20Woubrugge</t>
  </si>
  <si>
    <t>https://ryanrent.sharepoint.com/sites/RyanRent/Gedeelde%20documenten/Forms/AllItems.aspx?id=%2Fsites%2FRyanRent%2FGedeelde%20documenten%2FGeneral%2F01%5FRyanRent%26Co%2F01%5FWoningen%2FOfwegen%201A%20Woubrugge%2F2%5FInhuur</t>
  </si>
  <si>
    <t>https://ryanrent.sharepoint.com/sites/RyanRent/Gedeelde%20documenten/Forms/AllItems.aspx?id=%2Fsites%2FRyanRent%2FGedeelde%20documenten%2FGeneral%2F01%5FRyanRent%26Co%2F01%5FWoningen%2FOfwegen%201A%20Woubrugge%2F3%5FVerhuur</t>
  </si>
  <si>
    <t>https://ryanrent.sharepoint.com/sites/RyanRent/Gedeelde%20documenten/Forms/AllItems.aspx?id=%2Fsites%2FRyanRent%2FGedeelde%20documenten%2FGeneral%2F01%5FRyanRent%26Co%2F01%5FWoningen%2FOfwegen%201A%20Woubrugge%2F2%5FInhuur%2F2%5FInhuurovereenkomsten</t>
  </si>
  <si>
    <t>Facili Flex BV</t>
  </si>
  <si>
    <t>invoice@ifj.nl</t>
  </si>
  <si>
    <t>0297-389680</t>
  </si>
  <si>
    <t>Legmeerdijk 313</t>
  </si>
  <si>
    <t>Aalsmeer</t>
  </si>
  <si>
    <t>NL68 RABO 0330 6682 42</t>
  </si>
  <si>
    <t>2025-02-17</t>
  </si>
  <si>
    <t>2026-02-17</t>
  </si>
  <si>
    <t>0337</t>
  </si>
  <si>
    <t>Kruisweg 16</t>
  </si>
  <si>
    <t>2481NA</t>
  </si>
  <si>
    <t>1617</t>
  </si>
  <si>
    <t>https://ryanrent.sharepoint.com/sites/RyanRent/Gedeelde%20documenten/Forms/AllItems.aspx?id=%2Fsites%2FRyanRent%2FGedeelde%20documenten%2FGeneral%2F01%5FRyanRent%26Co%2F01%5FWoningen%2Fkruisweg%2016%20Woubrugge</t>
  </si>
  <si>
    <t>https://ryanrent.sharepoint.com/sites/RyanRent/Gedeelde%20documenten/Forms/AllItems.aspx?id=%2Fsites%2FRyanRent%2FGedeelde%20documenten%2FGeneral%2F01%5FRyanRent%26Co%2F01%5FWoningen%2Fkruisweg%2016%20Woubrugge%2F2%5FInhuur</t>
  </si>
  <si>
    <t>https://ryanrent.sharepoint.com/sites/RyanRent/Gedeelde%20documenten/Forms/AllItems.aspx?id=%2Fsites%2FRyanRent%2FGedeelde%20documenten%2FGeneral%2F01%5FRyanRent%26Co%2F01%5FWoningen%2Fkruisweg%2016%20Woubrugge%2F3%5FVerhuur</t>
  </si>
  <si>
    <t>https://ryanrent.sharepoint.com/sites/RyanRent/Gedeelde%20documenten/Forms/AllItems.aspx?id=%2Fsites%2FRyanRent%2FGedeelde%20documenten%2FGeneral%2F01%5FRyanRent%26Co%2F01%5FWoningen%2Fkruisweg%2016%20Woubrugge%2F2%5FInhuur%2F2%5FInhuurovereenkomsten</t>
  </si>
  <si>
    <t>2025-02-25</t>
  </si>
  <si>
    <t>2026-02-25</t>
  </si>
  <si>
    <t>0338</t>
  </si>
  <si>
    <t>Kerkweg 9a [huis 348]</t>
  </si>
  <si>
    <t>0339</t>
  </si>
  <si>
    <t>Kerkweg 9a [huis 357]</t>
  </si>
  <si>
    <t>2025-03-07</t>
  </si>
  <si>
    <t>2027-03-07</t>
  </si>
  <si>
    <t>Eastmen</t>
  </si>
  <si>
    <t>0340</t>
  </si>
  <si>
    <t>Professor Poelslaan 58C</t>
  </si>
  <si>
    <t>3028ET</t>
  </si>
  <si>
    <t>3508</t>
  </si>
  <si>
    <t>https://ryanrent.sharepoint.com/sites/RyanRent/Gedeelde%20documenten/Forms/AllItems.aspx?id=%2Fsites%2FRyanRent%2FGedeelde%20documenten%2FGeneral%2F01%5FRyanRent%26Co%2F01%5FWoningen%2FProfessor%20Poelslaan%2058c%20Rotterdam</t>
  </si>
  <si>
    <t>https://ryanrent.sharepoint.com/sites/RyanRent/Gedeelde%20documenten/Forms/AllItems.aspx?id=%2Fsites%2FRyanRent%2FGedeelde%20documenten%2FGeneral%2F01%5FRyanRent%26Co%2F01%5FWoningen%2FProfessor%20Poelslaan%2058c%20Rotterdam%2F2%5FInhuur</t>
  </si>
  <si>
    <t>https://ryanrent.sharepoint.com/sites/RyanRent/Gedeelde%20documenten/Forms/AllItems.aspx?id=%2Fsites%2FRyanRent%2FGedeelde%20documenten%2FGeneral%2F01%5FRyanRent%26Co%2F01%5FWoningen%2FProfessor%20Poelslaan%2058c%20Rotterdam%2F3%5FVerhuur</t>
  </si>
  <si>
    <t>https://ryanrent.sharepoint.com/sites/RyanRent/Gedeelde%20documenten/Forms/AllItems.aspx?id=%2Fsites%2FRyanRent%2FGedeelde%20documenten%2FGeneral%2F01%5FRyanRent%26Co%2F01%5FWoningen%2FProfessor%20Poelslaan%2058c%20Rotterdam%2F2%5FInhuur%2F2%5FInhuurovereenkomsten</t>
  </si>
  <si>
    <t>C.R. Valk &amp; H.J. Valk</t>
  </si>
  <si>
    <t>2025-02-15</t>
  </si>
  <si>
    <t>2026-02-15</t>
  </si>
  <si>
    <t>Comé Valk en Arjen Valk</t>
  </si>
  <si>
    <t>NL11RABO0325367345</t>
  </si>
  <si>
    <t>01-11-2018</t>
  </si>
  <si>
    <t>0341</t>
  </si>
  <si>
    <t xml:space="preserve">Akkerweg 41 [huis 10] </t>
  </si>
  <si>
    <t>2210</t>
  </si>
  <si>
    <t>0342</t>
  </si>
  <si>
    <t>Akkerweg 41 [016]</t>
  </si>
  <si>
    <t>2216</t>
  </si>
  <si>
    <t>0343</t>
  </si>
  <si>
    <t>Akkerweg 41 [019]</t>
  </si>
  <si>
    <t>2219</t>
  </si>
  <si>
    <t>0344</t>
  </si>
  <si>
    <t>Pastoor Gilisstraat 81-A</t>
  </si>
  <si>
    <t>5121CC</t>
  </si>
  <si>
    <t>Rijen</t>
  </si>
  <si>
    <t>5181</t>
  </si>
  <si>
    <t>Edward Bosch</t>
  </si>
  <si>
    <t>NL03 ABNA 0867 0942 73</t>
  </si>
  <si>
    <t>2026-03-01</t>
  </si>
  <si>
    <t>0345</t>
  </si>
  <si>
    <t>Compierekade 15</t>
  </si>
  <si>
    <t>2404 NA</t>
  </si>
  <si>
    <t>Alphen a/d Rijn</t>
  </si>
  <si>
    <t>1551</t>
  </si>
  <si>
    <t>0346</t>
  </si>
  <si>
    <t>Beukenlaan 53</t>
  </si>
  <si>
    <t>3181XA</t>
  </si>
  <si>
    <t>8153</t>
  </si>
  <si>
    <t>https://ryanrent.sharepoint.com/sites/RyanRent/Gedeelde%20documenten/Forms/AllItems.aspx?id=%2Fsites%2FRyanRent%2FGedeelde%20documenten%2FGeneral%2F01%5FRyanRent%26Co%2F01%5FWoningen%2FBeukenlaan%2053%20Rozenburg</t>
  </si>
  <si>
    <t>https://ryanrent.sharepoint.com/sites/RyanRent/Gedeelde%20documenten/Forms/AllItems.aspx?id=%2Fsites%2FRyanRent%2FGedeelde%20documenten%2FGeneral%2F01%5FRyanRent%26Co%2F01%5FWoningen%2FBeukenlaan%2053%20Rozenburg%2F2%5FInhuur</t>
  </si>
  <si>
    <t>https://ryanrent.sharepoint.com/sites/RyanRent/Gedeelde%20documenten/Forms/AllItems.aspx?id=%2Fsites%2FRyanRent%2FGedeelde%20documenten%2FGeneral%2F01%5FRyanRent%26Co%2F01%5FWoningen%2FBeukenlaan%2053%20Rozenburg%2F3%5FVerhuur</t>
  </si>
  <si>
    <t>https://ryanrent.sharepoint.com/sites/RyanRent/Gedeelde%20documenten/Forms/AllItems.aspx?id=%2Fsites%2FRyanRent%2FGedeelde%20documenten%2FGeneral%2F01%5FRyanRent%26Co%2F01%5FWoningen%2FBeukenlaan%2053%20Rozenburg%2F2%5FInhuur%2F2%5FInhuurovereenkomsten</t>
  </si>
  <si>
    <t>PMM Workforce Management Ltd</t>
  </si>
  <si>
    <t>d.soare@pmm-group.eu , accounting@pmm-group.eu</t>
  </si>
  <si>
    <t>Triq ix-Xatt 154, Level 2, Office A</t>
  </si>
  <si>
    <t>Gzira</t>
  </si>
  <si>
    <t>Malta</t>
  </si>
  <si>
    <t>0347</t>
  </si>
  <si>
    <t>Van Ruijsdaellaan 72A</t>
  </si>
  <si>
    <t>3117XV</t>
  </si>
  <si>
    <t>https://ryanrent.sharepoint.com/sites/RyanRent/Gedeelde%20documenten/Forms/AllItems.aspx?id=%2Fsites%2FRyanRent%2FGedeelde%20documenten%2FGeneral%2F01%5FRyanRent%26Co%2F01%5FWoningen%2Fvan%20Ruijsdaellaan%2072a%20Schiedam</t>
  </si>
  <si>
    <t>https://ryanrent.sharepoint.com/sites/RyanRent/Gedeelde%20documenten/Forms/AllItems.aspx?id=%2Fsites%2FRyanRent%2FGedeelde%20documenten%2FGeneral%2F01%5FRyanRent%26Co%2F01%5FWoningen%2Fvan%20Ruijsdaellaan%2072a%20Schiedam%2F2%5FInhuur</t>
  </si>
  <si>
    <t>https://ryanrent.sharepoint.com/sites/RyanRent/Gedeelde%20documenten/Forms/AllItems.aspx?id=%2Fsites%2FRyanRent%2FGedeelde%20documenten%2FGeneral%2F01%5FRyanRent%26Co%2F01%5FWoningen%2Fvan%20Ruijsdaellaan%2072a%20Schiedam%2F3%5FVerhuur</t>
  </si>
  <si>
    <t>0348</t>
  </si>
  <si>
    <t>Wagenstraat 70</t>
  </si>
  <si>
    <t>4845CW</t>
  </si>
  <si>
    <t>Wagenberg</t>
  </si>
  <si>
    <t>1270</t>
  </si>
  <si>
    <t>https://ryanrent.sharepoint.com/sites/RyanRent/Gedeelde%20documenten/Forms/AllItems.aspx?id=%2Fsites%2FRyanRent%2FGedeelde%20documenten%2FGeneral%2F01%5FRyanRent%26Co%2F01%5FWoningen%2FWagenstraat%2070%2C%20Wagenberg</t>
  </si>
  <si>
    <t>https://ryanrent.sharepoint.com/sites/RyanRent/Gedeelde%20documenten/Forms/AllItems.aspx?id=%2Fsites%2FRyanRent%2FGedeelde%20documenten%2FGeneral%2F01%5FRyanRent%26Co%2F01%5FWoningen%2FWagenstraat%2070%2C%20Wagenberg%2F2%5FInhuur</t>
  </si>
  <si>
    <t>https://ryanrent.sharepoint.com/sites/RyanRent/Gedeelde%20documenten/Forms/AllItems.aspx?id=%2Fsites%2FRyanRent%2FGedeelde%20documenten%2FGeneral%2F01%5FRyanRent%26Co%2F01%5FWoningen%2FWagenstraat%2070%2C%20Wagenberg%2F3%5FVerhuur</t>
  </si>
  <si>
    <t>https://ryanrent.sharepoint.com/sites/RyanRent/Gedeelde%20documenten/Forms/AllItems.aspx?id=%2Fsites%2FRyanRent%2FGedeelde%20documenten%2FGeneral%2F01%5FRyanRent%26Co%2F01%5FWoningen%2FWagenstraat%2070%2C%20Wagenberg%2F2%5FInhuur%2F2%5FInhuurovereenkomsten</t>
  </si>
  <si>
    <t>0349</t>
  </si>
  <si>
    <t>Persoonsdam 196</t>
  </si>
  <si>
    <t>https://ryanrent.sharepoint.com/sites/RyanRent/Gedeelde%20documenten/Forms/AllItems.aspx?id=%2Fsites%2FRyanRent%2FGedeelde%20documenten%2FGeneral%2F01%5FRyanRent%26Co%2F01%5FWoningen%2FPersoonsdam%20196%20Rotterdam</t>
  </si>
  <si>
    <t>https://ryanrent.sharepoint.com/sites/RyanRent/Gedeelde%20documenten/Forms/AllItems.aspx?id=%2Fsites%2FRyanRent%2FGedeelde%20documenten%2FGeneral%2F01%5FRyanRent%26Co%2F01%5FWoningen%2FPersoonsdam%20196%20Rotterdam%2F2%5FInhuur</t>
  </si>
  <si>
    <t>https://ryanrent.sharepoint.com/sites/RyanRent/Gedeelde%20documenten/Forms/AllItems.aspx?id=%2Fsites%2FRyanRent%2FGedeelde%20documenten%2FGeneral%2F01%5FRyanRent%26Co%2F01%5FWoningen%2FPersoonsdam%20196%20Rotterdam%2F3%5FVerhuur</t>
  </si>
  <si>
    <t>https://ryanrent.sharepoint.com/sites/RyanRent/Gedeelde%20documenten/Forms/AllItems.aspx?id=%2Fsites%2FRyanRent%2FGedeelde%20documenten%2FGeneral%2F01%5FRyanRent%26Co%2F01%5FWoningen%2FPersoonsdam%20196%20Rotterdam%2F2%5FInhuur%2F2%5FInhuurovereenkomsten</t>
  </si>
  <si>
    <t>2025-03-17</t>
  </si>
  <si>
    <t>2026-03-17</t>
  </si>
  <si>
    <t>0350</t>
  </si>
  <si>
    <t xml:space="preserve">Akkerweg 41 [huis 35] </t>
  </si>
  <si>
    <t>2027-04-17</t>
  </si>
  <si>
    <t>0351</t>
  </si>
  <si>
    <t>Van Ruijsdaellaan 72B</t>
  </si>
  <si>
    <t>0352</t>
  </si>
  <si>
    <t>Van Ruijsdaellaan 72C</t>
  </si>
  <si>
    <t>0353</t>
  </si>
  <si>
    <t>Archimedesstraat 6B</t>
  </si>
  <si>
    <t>3112DB</t>
  </si>
  <si>
    <t>0354</t>
  </si>
  <si>
    <t>Dorpsstraat 48</t>
  </si>
  <si>
    <t>2445AN</t>
  </si>
  <si>
    <t>Aarlanderveen</t>
  </si>
  <si>
    <t>2022</t>
  </si>
  <si>
    <t>0355</t>
  </si>
  <si>
    <t>Van Hoofsweg 4</t>
  </si>
  <si>
    <t>4681SJ</t>
  </si>
  <si>
    <t>Nieuw-Vossemeer</t>
  </si>
  <si>
    <t>0356</t>
  </si>
  <si>
    <t>Akkerweg 41 [huis 36]</t>
  </si>
  <si>
    <t>2025-07-15</t>
  </si>
  <si>
    <t>2027-04-14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</si>
  <si>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</si>
  <si>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</si>
  <si>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</si>
  <si>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</si>
  <si>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</si>
  <si>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</si>
  <si>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</si>
  <si>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https://ryanrent.sharepoint.com/sites/RyanRent/Gedeelde%20documenten/Forms/AllItems.aspx?id=%2Fsites%2FRyanRent%2FGedeelde%20documenten%2FGeneral%2F01%5FRyanRent%26Co%2F01%5FWoningen%2FKimbrenoord%2049%20Rotterdam</t>
  </si>
  <si>
    <t>https://ryanrent.sharepoint.com/sites/RyanRent/Gedeelde%20documenten/Forms/AllItems.aspx?id=%2Fsites%2FRyanRent%2FGedeelde%20documenten%2FGeneral%2F01%5FRyanRent%26Co%2F01%5FWoningen%2FKimbrenoord%2049%20Rotterdam%2F2%5FInhuur</t>
  </si>
  <si>
    <t>https://ryanrent.sharepoint.com/sites/RyanRent/Gedeelde%20documenten/Forms/AllItems.aspx?id=%2Fsites%2FRyanRent%2FGedeelde%20documenten%2FGeneral%2F01%5FRyanRent%26Co%2F01%5FWoningen%2FKimbrenoord%2049%20Rotterdam%2F3%5FVerhuur</t>
  </si>
  <si>
    <t>https://ryanrent.sharepoint.com/sites/RyanRent/Gedeelde%20documenten/Forms/AllItems.aspx?id=%2Fsites%2FRyanRent%2FGedeelde%20documenten%2FGeneral%2F01%5FRyanRent%26Co%2F01%5FWoningen%2FKimbrenoord%2049%20Rotterdam%2F2%5FInhuur%2F2%5FInhuurovereenkomsten</t>
  </si>
  <si>
    <t>Dockholland</t>
  </si>
  <si>
    <t>2026-04-24</t>
  </si>
  <si>
    <t>0360</t>
  </si>
  <si>
    <t>Kruiningenstraat 185</t>
  </si>
  <si>
    <t>3086KM</t>
  </si>
  <si>
    <t>https://ryanrent.sharepoint.com/sites/RyanRent/Gedeelde%20documenten/Forms/AllItems.aspx?id=%2Fsites%2FRyanRent%2FGedeelde%20documenten%2FGeneral%2F01%5FRyanRent%26Co%2F01%5FWoningen%2FKruiningenstraat%20185%20Rotterdam</t>
  </si>
  <si>
    <t>https://ryanrent.sharepoint.com/sites/RyanRent/Gedeelde%20documenten/Forms/AllItems.aspx?id=%2Fsites%2FRyanRent%2FGedeelde%20documenten%2FGeneral%2F01%5FRyanRent%26Co%2F01%5FWoningen%2FKruiningenstraat%20185%20Rotterdam%2F2%5FInhuur</t>
  </si>
  <si>
    <t>https://ryanrent.sharepoint.com/sites/RyanRent/Gedeelde%20documenten/Forms/AllItems.aspx?id=%2Fsites%2FRyanRent%2FGedeelde%20documenten%2FGeneral%2F01%5FRyanRent%26Co%2F01%5FWoningen%2FKruiningenstraat%20185%20Rotterdam%2F3%5FVerhuur</t>
  </si>
  <si>
    <t>https://ryanrent.sharepoint.com/sites/RyanRent/Gedeelde%20documenten/Forms/AllItems.aspx?id=%2Fsites%2FRyanRent%2FGedeelde%20documenten%2FGeneral%2F01%5FRyanRent%26Co%2F01%5FWoningen%2FKruiningenstraat%20185%20Rotterdam%2F2%5FInhuur%2F2%5FInhuurovereenkomsten</t>
  </si>
  <si>
    <t>2026-04-25</t>
  </si>
  <si>
    <t>0361</t>
  </si>
  <si>
    <t>Putsebocht 136 B01</t>
  </si>
  <si>
    <t>3073 HS</t>
  </si>
  <si>
    <t>0362</t>
  </si>
  <si>
    <t>Ruigenhoek 69</t>
  </si>
  <si>
    <t>3085EM</t>
  </si>
  <si>
    <t>https://ryanrent.sharepoint.com/sites/RyanRent/Gedeelde%20documenten/Forms/AllItems.aspx?id=%2Fsites%2FRyanRent%2FGedeelde%20documenten%2FGeneral%2F01%5FRyanRent%26Co%2F01%5FWoningen%2FRuigenhoek%2069%20Rotterdam</t>
  </si>
  <si>
    <t>https://ryanrent.sharepoint.com/sites/RyanRent/Gedeelde%20documenten/Forms/AllItems.aspx?id=%2Fsites%2FRyanRent%2FGedeelde%20documenten%2FGeneral%2F01%5FRyanRent%26Co%2F01%5FWoningen%2FRuigenhoek%2069%20Rotterdam%2F2%5FInhuur</t>
  </si>
  <si>
    <t>https://ryanrent.sharepoint.com/sites/RyanRent/Gedeelde%20documenten/Forms/AllItems.aspx?id=%2Fsites%2FRyanRent%2FGedeelde%20documenten%2FGeneral%2F01%5FRyanRent%26Co%2F01%5FWoningen%2FRuigenhoek%2069%20Rotterdam%2F3%5FVerhuur</t>
  </si>
  <si>
    <t>https://ryanrent.sharepoint.com/sites/RyanRent/Gedeelde%20documenten/Forms/AllItems.aspx?id=%2Fsites%2FRyanRent%2FGedeelde%20documenten%2FGeneral%2F01%5FRyanRent%26Co%2F01%5FWoningen%2FRuigenhoek%2069%20Rotterdam%2F2%5FInhuur%2F2%5FInhuurovereenkomsten</t>
  </si>
  <si>
    <t>0363</t>
  </si>
  <si>
    <t>Rietdijkstraat 56A</t>
  </si>
  <si>
    <t>3151 GJ</t>
  </si>
  <si>
    <t>0364</t>
  </si>
  <si>
    <t>Rietdijkstraat 56B</t>
  </si>
  <si>
    <t>0365</t>
  </si>
  <si>
    <t>Laan op zuid 949</t>
  </si>
  <si>
    <t>3072DB</t>
  </si>
  <si>
    <t>https://ryanrent.sharepoint.com/sites/RyanRent/Gedeelde%20documenten/Forms/AllItems.aspx?id=%2Fsites%2FRyanRent%2FGedeelde%20documenten%2FGeneral%2F01%5FRyanRent%26Co%2F01%5FWoningen%2FLaan%20op%20Zuid%20949%20Rotterdam</t>
  </si>
  <si>
    <t>https://ryanrent.sharepoint.com/sites/RyanRent/Gedeelde%20documenten/Forms/AllItems.aspx?id=%2Fsites%2FRyanRent%2FGedeelde%20documenten%2FGeneral%2F01%5FRyanRent%26Co%2F01%5FWoningen%2FLaan%20op%20Zuid%20949%20Rotterdam%2F2%5FInhuur</t>
  </si>
  <si>
    <t>https://ryanrent.sharepoint.com/sites/RyanRent/Gedeelde%20documenten/Forms/AllItems.aspx?id=%2Fsites%2FRyanRent%2FGedeelde%20documenten%2FGeneral%2F01%5FRyanRent%26Co%2F01%5FWoningen%2FLaan%20op%20Zuid%20949%20Rotterdam%2F3%5FVerhuur</t>
  </si>
  <si>
    <t>0366</t>
  </si>
  <si>
    <t>Lekdijk 14</t>
  </si>
  <si>
    <t>2921 AD</t>
  </si>
  <si>
    <t>Krimpen aan den Ijsel</t>
  </si>
  <si>
    <t>0367</t>
  </si>
  <si>
    <t>Baanhoek 137</t>
  </si>
  <si>
    <t>3361GC</t>
  </si>
  <si>
    <t>6113</t>
  </si>
  <si>
    <t>0368</t>
  </si>
  <si>
    <t>Wedderweg 3A</t>
  </si>
  <si>
    <t>9699 RA</t>
  </si>
  <si>
    <t>Vriescheloo</t>
  </si>
  <si>
    <t>1939</t>
  </si>
  <si>
    <t>CB-Homes B.V.</t>
  </si>
  <si>
    <t>info@cb-homes.nl</t>
  </si>
  <si>
    <t>Langeweg 3 a</t>
  </si>
  <si>
    <t>OOSTVOORNE</t>
  </si>
  <si>
    <t>78756081.0</t>
  </si>
  <si>
    <t>NL61 INGB 0006 7055 02</t>
  </si>
  <si>
    <t>2025-05-01</t>
  </si>
  <si>
    <t>0369</t>
  </si>
  <si>
    <t>Oranjestraat 63</t>
  </si>
  <si>
    <t>3111AN</t>
  </si>
  <si>
    <t>https://ryanrent.sharepoint.com/sites/RyanRent/Gedeelde%20documenten/Forms/AllItems.aspx?id=%2Fsites%2FRyanRent%2FGedeelde%20documenten%2FGeneral%2F01%5FRyanRent%26Co%2F01%5FWoningen%2FOranjestraat%2063%20Schiedam</t>
  </si>
  <si>
    <t>https://ryanrent.sharepoint.com/sites/RyanRent/Gedeelde%20documenten/Forms/AllItems.aspx?id=%2Fsites%2FRyanRent%2FGedeelde%20documenten%2FGeneral%2F01%5FRyanRent%26Co%2F01%5FWoningen%2FOranjestraat%2063%20Schiedam%2F2%5FInhuur</t>
  </si>
  <si>
    <t>https://ryanrent.sharepoint.com/sites/RyanRent/Gedeelde%20documenten/Forms/AllItems.aspx?id=%2Fsites%2FRyanRent%2FGedeelde%20documenten%2FGeneral%2F01%5FRyanRent%26Co%2F01%5FWoningen%2FOranjestraat%2063%20Schiedam%2F3%5FVerhuur</t>
  </si>
  <si>
    <t>https://ryanrent.sharepoint.com/sites/RyanRent/Gedeelde%20documenten/Forms/AllItems.aspx?id=%2Fsites%2FRyanRent%2FGedeelde%20documenten%2FGeneral%2F01%5FRyanRent%26Co%2F01%5FWoningen%2FOranjestraat%2063%20Schiedam%2F2%5FInhuur%2F2%5FInhuurovereenkomsten</t>
  </si>
  <si>
    <t>Kwekerij Stef Kleijweg</t>
  </si>
  <si>
    <t>Stefkleijweg@gmail.com</t>
  </si>
  <si>
    <t>Woudselaan 14</t>
  </si>
  <si>
    <t>Den Hoorn ZH</t>
  </si>
  <si>
    <t>2027-07-31</t>
  </si>
  <si>
    <t>H.T.C. Facility Services B.V.</t>
  </si>
  <si>
    <t>inkoop@htcfacilityservices.nl</t>
  </si>
  <si>
    <t>06 139 29 236</t>
  </si>
  <si>
    <t>Rivium Quadrant 2</t>
  </si>
  <si>
    <t>Capelle aan den IJssel</t>
  </si>
  <si>
    <t>70962499.0</t>
  </si>
  <si>
    <t>NL43 RABO 0358 2186 32</t>
  </si>
  <si>
    <t>0370</t>
  </si>
  <si>
    <t>Cloosterstraat 23a</t>
  </si>
  <si>
    <t>4587CA</t>
  </si>
  <si>
    <t>Kloosterzande</t>
  </si>
  <si>
    <t>2343</t>
  </si>
  <si>
    <t>0371</t>
  </si>
  <si>
    <t>De Zwingel 8B</t>
  </si>
  <si>
    <t>4926DC</t>
  </si>
  <si>
    <t>Lage Zwaluwe</t>
  </si>
  <si>
    <t>https://ryanrent.sharepoint.com/sites/RyanRent/Gedeelde%20documenten/Forms/AllItems.aspx?id=%2Fsites%2FRyanRent%2FGedeelde%20documenten%2FGeneral%2F01%5FRyanRent%26Co%2F01%5FWoningen%2FDe%20Zwingel%208B%20Lage%20Zwaluwe</t>
  </si>
  <si>
    <t>https://ryanrent.sharepoint.com/sites/RyanRent/Gedeelde%20documenten/Forms/AllItems.aspx?id=%2Fsites%2FRyanRent%2FGedeelde%20documenten%2FGeneral%2F01%5FRyanRent%26Co%2F01%5FWoningen%2FDe%20Zwingel%208B%20Lage%20Zwaluwe%2F2%5FInhuur</t>
  </si>
  <si>
    <t>https://ryanrent.sharepoint.com/sites/RyanRent/Gedeelde%20documenten/Forms/AllItems.aspx?id=%2Fsites%2FRyanRent%2FGedeelde%20documenten%2FGeneral%2F01%5FRyanRent%26Co%2F01%5FWoningen%2FDe%20Zwingel%208B%20Lage%20Zwaluwe%2F3%5FVerhuur</t>
  </si>
  <si>
    <t>https://ryanrent.sharepoint.com/sites/RyanRent/Gedeelde%20documenten/Forms/AllItems.aspx?id=%2Fsites%2FRyanRent%2FGedeelde%20documenten%2FGeneral%2F01%5FRyanRent%26Co%2F01%5FWoningen%2FDe%20Zwingel%208B%20Lage%20Zwaluwe%2F2%5FInhuur%2F2%5FInhuurovereenkomsten</t>
  </si>
  <si>
    <t>Tetering en Martens</t>
  </si>
  <si>
    <t>NL07 RBRB 8836 2755 32</t>
  </si>
  <si>
    <t>0372</t>
  </si>
  <si>
    <t xml:space="preserve">Akkerweg 41 [huis 11] </t>
  </si>
  <si>
    <t>0373</t>
  </si>
  <si>
    <t>Akkerweg 41 [huis 17]</t>
  </si>
  <si>
    <t>0374</t>
  </si>
  <si>
    <t>Vierambachtsstraat 32-B01</t>
  </si>
  <si>
    <t>3023AN</t>
  </si>
  <si>
    <t>https://ryanrent.sharepoint.com/sites/RyanRent/Gedeelde%20documenten/Forms/AllItems.aspx?id=%2Fsites%2FRyanRent%2FGedeelde%20documenten%2FGeneral%2F01%5FRyanRent%26Co%2F01%5FWoningen%2FVierambachtsstraat%2032-B01%20Rotterdam</t>
  </si>
  <si>
    <t>https://ryanrent.sharepoint.com/sites/RyanRent/Gedeelde%20documenten/Forms/AllItems.aspx?id=%2Fsites%2FRyanRent%2FGedeelde%20documenten%2FGeneral%2F01%5FRyanRent%26Co%2F01%5FWoningen%2FVierambachtsstraat%2032-B01%20Rotterdam%2F2%5FInhuur</t>
  </si>
  <si>
    <t>https://ryanrent.sharepoint.com/sites/RyanRent/Gedeelde%20documenten/Forms/AllItems.aspx?id=%2Fsites%2FRyanRent%2FGedeelde%20documenten%2FGeneral%2F01%5FRyanRent%26Co%2F01%5FWoningen%2FVierambachtsstraat%2032-B01%20Rotterdam%2F3%5FVerhuur</t>
  </si>
  <si>
    <t>https://ryanrent.sharepoint.com/sites/RyanRent/Gedeelde%20documenten/Forms/AllItems.aspx?id=%2Fsites%2FRyanRent%2FGedeelde%20documenten%2FGeneral%2F01%5FRyanRent%26Co%2F01%5FWoningen%2FVierambachtsstraat%2032-B01%20Rotterdam%2F2%5FInhuur%2F2%5FInhuurovereenkomsten</t>
  </si>
  <si>
    <t>2025-07-01</t>
  </si>
  <si>
    <t>0375</t>
  </si>
  <si>
    <t>Cubalaan 25</t>
  </si>
  <si>
    <t>2685 LA</t>
  </si>
  <si>
    <t>Poeldijk</t>
  </si>
  <si>
    <t>8525</t>
  </si>
  <si>
    <t>https://ryanrent.sharepoint.com/sites/RyanRent/Gedeelde%20documenten/Forms/AllItems.aspx?id=%2Fsites%2FRyanRent%2FGedeelde%20documenten%2FGeneral%2F01%5FRyanRent%26Co%2F01%5FWoningen%2FCubalaan%2025%20Poeldijk</t>
  </si>
  <si>
    <t>https://ryanrent.sharepoint.com/sites/RyanRent/Gedeelde%20documenten/Forms/AllItems.aspx?id=%2Fsites%2FRyanRent%2FGedeelde%20documenten%2FGeneral%2F01%5FRyanRent%26Co%2F01%5FWoningen%2FCubalaan%2025%20Poeldijk%2F2%5FInhuur</t>
  </si>
  <si>
    <t>https://ryanrent.sharepoint.com/sites/RyanRent/Gedeelde%20documenten/Forms/AllItems.aspx?id=%2Fsites%2FRyanRent%2FGedeelde%20documenten%2FGeneral%2F01%5FRyanRent%26Co%2F01%5FWoningen%2FCubalaan%2025%20Poeldijk%2F3%5FVerhuur</t>
  </si>
  <si>
    <t>https://ryanrent.sharepoint.com/sites/RyanRent/Gedeelde%20documenten/Forms/AllItems.aspx?id=%2Fsites%2FRyanRent%2FGedeelde%20documenten%2FGeneral%2F01%5FRyanRent%26Co%2F01%5FWoningen%2FCubalaan%2025%20Poeldijk%2F2%5FInhuur%2F2%5FInhuurovereenkomsten</t>
  </si>
  <si>
    <t>Z. Yilmaz</t>
  </si>
  <si>
    <t>zyilmaz@yilmazradijs.nt</t>
  </si>
  <si>
    <t>50619418327</t>
  </si>
  <si>
    <t>0376</t>
  </si>
  <si>
    <t>Zwethkade Zuid 30A</t>
  </si>
  <si>
    <t>2635CV</t>
  </si>
  <si>
    <t>Den Hoorn</t>
  </si>
  <si>
    <t>3035</t>
  </si>
  <si>
    <t>https://ryanrent.sharepoint.com/sites/RyanRent/Gedeelde%20documenten/Forms/AllItems.aspx?id=%2Fsites%2FRyanRent%2FGedeelde%20documenten%2FGeneral%2F01%5FRyanRent%26Co%2F01%5FWoningen%2FZwethkade%20Zuid%2030%20Den%20Hoorn</t>
  </si>
  <si>
    <t>https://ryanrent.sharepoint.com/sites/RyanRent/Gedeelde%20documenten/Forms/AllItems.aspx?id=%2Fsites%2FRyanRent%2FGedeelde%20documenten%2FGeneral%2F01%5FRyanRent%26Co%2F01%5FWoningen%2FZwethkade%20Zuid%2030%20Den%20Hoorn%2F2%5FInhuur</t>
  </si>
  <si>
    <t>https://ryanrent.sharepoint.com/sites/RyanRent/Gedeelde%20documenten/Forms/AllItems.aspx?id=%2Fsites%2FRyanRent%2FGedeelde%20documenten%2FGeneral%2F01%5FRyanRent%26Co%2F01%5FWoningen%2FZwethkade%20Zuid%2030%20Den%20Hoorn%2F3%5FVerhuur</t>
  </si>
  <si>
    <t>https://ryanrent.sharepoint.com/sites/RyanRent/Gedeelde%20documenten/Forms/AllItems.aspx?id=%2Fsites%2FRyanRent%2FGedeelde%20documenten%2FGeneral%2F01%5FRyanRent%26Co%2F01%5FWoningen%2FZwethkade%20Zuid%2030%20Den%20Hoorn%2F2%5FInhuur%2F2%5FInhuurovereenkomsten</t>
  </si>
  <si>
    <t>2025-08-11</t>
  </si>
  <si>
    <t>2026-08-10</t>
  </si>
  <si>
    <t>0377</t>
  </si>
  <si>
    <t>Rijpstraat 24</t>
  </si>
  <si>
    <t>3151BV</t>
  </si>
  <si>
    <t>2812</t>
  </si>
  <si>
    <t xml:space="preserve">Total  </t>
  </si>
  <si>
    <t>2019-05-15</t>
  </si>
  <si>
    <t>0378</t>
  </si>
  <si>
    <t>Poeldijkseweg 29</t>
  </si>
  <si>
    <t>P.C. Vijverberg</t>
  </si>
  <si>
    <t>Piet Vijverberg</t>
  </si>
  <si>
    <t>piet@pietvijverberg.nl</t>
  </si>
  <si>
    <t>06-53299575</t>
  </si>
  <si>
    <t>NL95RABO0142277460</t>
  </si>
  <si>
    <t>2027-06-30</t>
  </si>
  <si>
    <t>0379</t>
  </si>
  <si>
    <t>Akkerweg 41 [074]</t>
  </si>
  <si>
    <t>1779 GJ</t>
  </si>
  <si>
    <t>0380</t>
  </si>
  <si>
    <t>Parallelweg 114C</t>
  </si>
  <si>
    <t>https://ryanrent.sharepoint.com/sites/RyanRent/Gedeelde%20documenten/Forms/AllItems.aspx?id=%2Fsites%2FRyanRent%2FGedeelde%20documenten%2FGeneral%2F01%5FRyanRent%26Co%2F01%5FWoningen%2FParallelweg%20114C%2C%20Vlaardingen</t>
  </si>
  <si>
    <t>https://ryanrent.sharepoint.com/sites/RyanRent/Gedeelde%20documenten/Forms/AllItems.aspx?id=%2Fsites%2FRyanRent%2FGedeelde%20documenten%2FGeneral%2F01%5FRyanRent%26Co%2F01%5FWoningen%2FParallelweg%20114C%2C%20Vlaardingen%2F2%5FInhuur</t>
  </si>
  <si>
    <t>https://ryanrent.sharepoint.com/sites/RyanRent/Gedeelde%20documenten/Forms/AllItems.aspx?id=%2Fsites%2FRyanRent%2FGedeelde%20documenten%2FGeneral%2F01%5FRyanRent%26Co%2F01%5FWoningen%2FParallelweg%20114C%2C%20Vlaardingen%2F3%5FVerhuur</t>
  </si>
  <si>
    <t>https://ryanrent.sharepoint.com/sites/RyanRent/Gedeelde%20documenten/Forms/AllItems.aspx?id=%2Fsites%2FRyanRent%2FGedeelde%20documenten%2FGeneral%2F01%5FRyanRent%26Co%2F01%5FWoningen%2FParallelweg%20114C%2C%20Vlaardingen%2F2%5FInhuur%2F2%5FInhuurovereenkomsten</t>
  </si>
  <si>
    <t>2025-09-15</t>
  </si>
  <si>
    <t>2027-09-30</t>
  </si>
  <si>
    <t>0381</t>
  </si>
  <si>
    <t>Parallelweg 134B</t>
  </si>
  <si>
    <t>https://ryanrent.sharepoint.com/sites/RyanRent/Gedeelde%20documenten/Forms/AllItems.aspx?id=%2Fsites%2FRyanRent%2FGedeelde%20documenten%2FGeneral%2F01%5FRyanRent%26Co%2F01%5FWoningen%2FParallelweg%20134B%2C%20Vlaardingen</t>
  </si>
  <si>
    <t>https://ryanrent.sharepoint.com/sites/RyanRent/Gedeelde%20documenten/Forms/AllItems.aspx?id=%2Fsites%2FRyanRent%2FGedeelde%20documenten%2FGeneral%2F01%5FRyanRent%26Co%2F01%5FWoningen%2FParallelweg%20134B%2C%20Vlaardingen%2F2%5FInhuur</t>
  </si>
  <si>
    <t>https://ryanrent.sharepoint.com/sites/RyanRent/Gedeelde%20documenten/Forms/AllItems.aspx?id=%2Fsites%2FRyanRent%2FGedeelde%20documenten%2FGeneral%2F01%5FRyanRent%26Co%2F01%5FWoningen%2FParallelweg%20134B%2C%20Vlaardingen%2F3%5FVerhuur</t>
  </si>
  <si>
    <t>https://ryanrent.sharepoint.com/sites/RyanRent/Gedeelde%20documenten/Forms/AllItems.aspx?id=%2Fsites%2FRyanRent%2FGedeelde%20documenten%2FGeneral%2F01%5FRyanRent%26Co%2F01%5FWoningen%2FParallelweg%20134B%2C%20Vlaardingen%2F2%5FInhuur%2F2%5FInhuurovereenkomsten</t>
  </si>
  <si>
    <t>0382</t>
  </si>
  <si>
    <t xml:space="preserve">Kwekerslaan 7 </t>
  </si>
  <si>
    <t>2691NP</t>
  </si>
  <si>
    <t>s-Gravezande</t>
  </si>
  <si>
    <t>https://ryanrent.sharepoint.com/sites/RyanRent/Gedeelde%20documenten/Forms/AllItems.aspx?id=%2Fsites%2FRyanRent%2FGedeelde%20documenten%2FGeneral%2F01%5FRyanRent%26Co%2F01%5FWoningen%2FKwekerslaan%207%20%27s-Gravezande</t>
  </si>
  <si>
    <t>https://ryanrent.sharepoint.com/sites/RyanRent/Gedeelde%20documenten/Forms/AllItems.aspx?id=%2Fsites%2FRyanRent%2FGedeelde%20documenten%2FGeneral%2F01%5FRyanRent%26Co%2F01%5FWoningen%2FKwekerslaan%207%20%27s-Gravezande%2F2%5FInhuur</t>
  </si>
  <si>
    <t>https://ryanrent.sharepoint.com/sites/RyanRent/Gedeelde%20documenten/Forms/AllItems.aspx?id=%2Fsites%2FRyanRent%2FGedeelde%20documenten%2FGeneral%2F01%5FRyanRent%26Co%2F01%5FWoningen%2FKwekerslaan%207%20%27s-Gravezande%2F3%5FVerhuur</t>
  </si>
  <si>
    <t>https://ryanrent.sharepoint.com/sites/RyanRent/Gedeelde%20documenten/Forms/AllItems.aspx?id=%2Fsites%2FRyanRent%2FGedeelde%20documenten%2FGeneral%2F01%5FRyanRent%26Co%2F01%5FWoningen%2FKwekerslaan%207%20%27s-Gravezande%2F2%5FInhuur%2F2%5FInhuurovereenkomsten</t>
  </si>
  <si>
    <t>2025-10-03</t>
  </si>
  <si>
    <t>0383</t>
  </si>
  <si>
    <t xml:space="preserve">Akkerweg 41 [huis 20] </t>
  </si>
  <si>
    <t>0384</t>
  </si>
  <si>
    <t>Akkerweg 41 [huis 58]</t>
  </si>
  <si>
    <t>0385</t>
  </si>
  <si>
    <t>Lavendelpad 6</t>
  </si>
  <si>
    <t>3206</t>
  </si>
  <si>
    <t>https://ryanrent.sharepoint.com/sites/RyanRent/Gedeelde%20documenten/Forms/AllItems.aspx?id=%2Fsites%2FRyanRent%2FGedeelde%20documenten%2FGeneral%2F01%5FRyanRent%26Co%2F01%5FWoningen%2FLavendelpad%206%2C%20s-Gravendeel</t>
  </si>
  <si>
    <t>https://ryanrent.sharepoint.com/sites/RyanRent/Gedeelde%20documenten/Forms/AllItems.aspx?id=%2Fsites%2FRyanRent%2FGedeelde%20documenten%2FGeneral%2F01%5FRyanRent%26Co%2F01%5FWoningen%2FLavendelpad%206%2C%20s-Gravendeel%2F2%5FInhuur</t>
  </si>
  <si>
    <t>https://ryanrent.sharepoint.com/sites/RyanRent/Gedeelde%20documenten/Forms/AllItems.aspx?id=%2Fsites%2FRyanRent%2FGedeelde%20documenten%2FGeneral%2F01%5FRyanRent%26Co%2F01%5FWoningen%2FLavendelpad%206%2C%20s-Gravendeel%2F3%5FVerhuur</t>
  </si>
  <si>
    <t>https://ryanrent.sharepoint.com/sites/RyanRent/Gedeelde%20documenten/Forms/AllItems.aspx?id=%2Fsites%2FRyanRent%2FGedeelde%20documenten%2FGeneral%2F01%5FRyanRent%26Co%2F01%5FWoningen%2FLavendelpad%206%2C%20s-Gravendeel%2F2%5FInhuur%2F2%5FInhuurovereenkomsten</t>
  </si>
  <si>
    <t>OJP B.V.</t>
  </si>
  <si>
    <t>rita.guimaraes@ojp.pt</t>
  </si>
  <si>
    <t>+32473954591</t>
  </si>
  <si>
    <t>Marten Meesweg 25G</t>
  </si>
  <si>
    <t>84474432.0</t>
  </si>
  <si>
    <t>NL10 INGB 0674 8358 24</t>
  </si>
  <si>
    <t>0386</t>
  </si>
  <si>
    <t>Poolsestraat 29a</t>
  </si>
  <si>
    <t>3028EN</t>
  </si>
  <si>
    <t>https://ryanrent.sharepoint.com/sites/RyanRent/Gedeelde%20documenten/Forms/AllItems.aspx?id=%2Fsites%2FRyanRent%2FGedeelde%20documenten%2FGeneral%2F01%5FRyanRent%26Co%2F01%5FWoningen%2FPoolsestraat%2029a%20Rotterdam</t>
  </si>
  <si>
    <t>https://ryanrent.sharepoint.com/sites/RyanRent/Gedeelde%20documenten/Forms/AllItems.aspx?id=%2Fsites%2FRyanRent%2FGedeelde%20documenten%2FGeneral%2F01%5FRyanRent%26Co%2F01%5FWoningen%2FPoolsestraat%2029a%20Rotterdam%2F2%5FInhuur</t>
  </si>
  <si>
    <t>https://ryanrent.sharepoint.com/sites/RyanRent/Gedeelde%20documenten/Forms/AllItems.aspx?id=%2Fsites%2FRyanRent%2FGedeelde%20documenten%2FGeneral%2F01%5FRyanRent%26Co%2F01%5FWoningen%2FPoolsestraat%2029a%20Rotterdam%2F3%5FVerhuur</t>
  </si>
  <si>
    <t>https://ryanrent.sharepoint.com/sites/RyanRent/Gedeelde%20documenten/Forms/AllItems.aspx?id=%2Fsites%2FRyanRent%2FGedeelde%20documenten%2FGeneral%2F01%5FRyanRent%26Co%2F01%5FWoningen%2FPoolsestraat%2029a%20Rotterdam%2F2%5FInhuur%2F2%5FInhuurovereenkomsten</t>
  </si>
  <si>
    <t>R. Basil</t>
  </si>
  <si>
    <t>0387</t>
  </si>
  <si>
    <t xml:space="preserve">Verschansing 21 </t>
  </si>
  <si>
    <t>3181NG</t>
  </si>
  <si>
    <t>https://ryanrent.sharepoint.com/sites/RyanRent/Gedeelde%20documenten/Forms/AllItems.aspx?id=%2Fsites%2FRyanRent%2FGedeelde%20documenten%2FGeneral%2F01%5FRyanRent%26Co%2F01%5FWoningen%2FVerschansing%2021%2C%20Rozenburg</t>
  </si>
  <si>
    <t>https://ryanrent.sharepoint.com/sites/RyanRent/Gedeelde%20documenten/Forms/AllItems.aspx?id=%2Fsites%2FRyanRent%2FGedeelde%20documenten%2FGeneral%2F01%5FRyanRent%26Co%2F01%5FWoningen%2FVerschansing%2021%2C%20Rozenburg%2F2%5FInhuur</t>
  </si>
  <si>
    <t>https://ryanrent.sharepoint.com/sites/RyanRent/Gedeelde%20documenten/Forms/AllItems.aspx?id=%2Fsites%2FRyanRent%2FGedeelde%20documenten%2FGeneral%2F01%5FRyanRent%26Co%2F01%5FWoningen%2FVerschansing%2021%2C%20Rozenburg%2F3%5FVerhuur</t>
  </si>
  <si>
    <t>https://ryanrent.sharepoint.com/sites/RyanRent/Gedeelde%20documenten/Forms/AllItems.aspx?id=%2Fsites%2FRyanRent%2FGedeelde%20documenten%2FGeneral%2F01%5FRyanRent%26Co%2F01%5FWoningen%2FVerschansing%2021%2C%20Rozenburg%2F2%5FInhuur%2F2%5FInhuurovereenkomsten</t>
  </si>
  <si>
    <t>2025-10-30</t>
  </si>
  <si>
    <t>0388</t>
  </si>
  <si>
    <t>1e Middellandstraat 104A</t>
  </si>
  <si>
    <t>3021BH</t>
  </si>
  <si>
    <t>https://ryanrent.sharepoint.com/sites/RyanRent/Gedeelde%20documenten/Forms/AllItems.aspx?id=%2Fsites%2FRyanRent%2FGedeelde%20documenten%2FGeneral%2F01%5FRyanRent%26Co%2F01%5FWoningen%2F1e%20Middellandstraat%20104a%2C%20Rotterdam</t>
  </si>
  <si>
    <t>https://ryanrent.sharepoint.com/sites/RyanRent/Gedeelde%20documenten/Forms/AllItems.aspx?id=%2Fsites%2FRyanRent%2FGedeelde%20documenten%2FGeneral%2F01%5FRyanRent%26Co%2F01%5FWoningen%2F1e%20Middellandstraat%20104a%2C%20Rotterdam%2F2%5FInhuur</t>
  </si>
  <si>
    <t>https://ryanrent.sharepoint.com/sites/RyanRent/Gedeelde%20documenten/Forms/AllItems.aspx?id=%2Fsites%2FRyanRent%2FGedeelde%20documenten%2FGeneral%2F01%5FRyanRent%26Co%2F01%5FWoningen%2F1e%20Middellandstraat%20104a%2C%20Rotterdam%2F3%5FVerhuur</t>
  </si>
  <si>
    <t>https://ryanrent.sharepoint.com/sites/RyanRent/Gedeelde%20documenten/Forms/AllItems.aspx?id=%2Fsites%2FRyanRent%2FGedeelde%20documenten%2FGeneral%2F01%5FRyanRent%26Co%2F01%5FWoningen%2F1e%20Middellandstraat%20104a%2C%20Rotterdam%2F2%5FInhuur%2F2%5FInhuurovereenkomsten</t>
  </si>
  <si>
    <t>Orange Invesments Group</t>
  </si>
  <si>
    <t>2025-10-31</t>
  </si>
  <si>
    <t>0389</t>
  </si>
  <si>
    <t>Kritostraat 54</t>
  </si>
  <si>
    <t>3076BH</t>
  </si>
  <si>
    <t>https://ryanrent.sharepoint.com/sites/RyanRent/Gedeelde%20documenten/Forms/AllItems.aspx?id=%2Fsites%2FRyanRent%2FGedeelde%20documenten%2FGeneral%2F01%5FRyanRent%26Co%2F01%5FWoningen%2FKritostraat%2054%2C%20Rotterdam</t>
  </si>
  <si>
    <t>https://ryanrent.sharepoint.com/sites/RyanRent/Gedeelde%20documenten/Forms/AllItems.aspx?id=%2Fsites%2FRyanRent%2FGedeelde%20documenten%2FGeneral%2F01%5FRyanRent%26Co%2F01%5FWoningen%2FKritostraat%2054%2C%20Rotterdam%2F2%5FInhuur</t>
  </si>
  <si>
    <t>https://ryanrent.sharepoint.com/sites/RyanRent/Gedeelde%20documenten/Forms/AllItems.aspx?id=%2Fsites%2FRyanRent%2FGedeelde%20documenten%2FGeneral%2F01%5FRyanRent%26Co%2F01%5FWoningen%2FKritostraat%2054%2C%20Rotterdam%2F3%5FVerhuur</t>
  </si>
  <si>
    <t>https://ryanrent.sharepoint.com/sites/RyanRent/Gedeelde%20documenten/Forms/AllItems.aspx?id=%2Fsites%2FRyanRent%2FGedeelde%20documenten%2FGeneral%2F01%5FRyanRent%26Co%2F01%5FWoningen%2FKritostraat%2054%2C%20Rotterdam%2F2%5FInhuur%2F2%5FInhuurovereenkomsten</t>
  </si>
  <si>
    <t>2025-11-14</t>
  </si>
  <si>
    <t>0390</t>
  </si>
  <si>
    <t>Roerdompstraat 4B</t>
  </si>
  <si>
    <t>2953ER</t>
  </si>
  <si>
    <t>Alblasserdam</t>
  </si>
  <si>
    <t>0391</t>
  </si>
  <si>
    <t>Industriestraat 9</t>
  </si>
  <si>
    <t>5107NC</t>
  </si>
  <si>
    <t>Dongen</t>
  </si>
  <si>
    <t>https://ryanrent.sharepoint.com/sites/RyanRent/Gedeelde%20documenten/Forms/AllItems.aspx?id=%2Fsites%2FRyanRent%2FGedeelde%20documenten%2FGeneral%2F01%5FRyanRent%26Co%2F01%5FWoningen%2FIndustriestraat%209%20Dongen</t>
  </si>
  <si>
    <t>https://ryanrent.sharepoint.com/sites/RyanRent/Gedeelde%20documenten/Forms/AllItems.aspx?id=%2Fsites%2FRyanRent%2FGedeelde%20documenten%2FGeneral%2F01%5FRyanRent%26Co%2F01%5FWoningen%2FIndustriestraat%209%20Dongen%2F2%5FInhuur</t>
  </si>
  <si>
    <t>https://ryanrent.sharepoint.com/sites/RyanRent/Gedeelde%20documenten/Forms/AllItems.aspx?id=%2Fsites%2FRyanRent%2FGedeelde%20documenten%2FGeneral%2F01%5FRyanRent%26Co%2F01%5FWoningen%2FIndustriestraat%209%20Dongen%2F3%5FVerhuur</t>
  </si>
  <si>
    <t>https://ryanrent.sharepoint.com/sites/RyanRent/Gedeelde%20documenten/Forms/AllItems.aspx?id=%2Fsites%2FRyanRent%2FGedeelde%20documenten%2FGeneral%2F01%5FRyanRent%26Co%2F01%5FWoningen%2FIndustriestraat%209%20Dongen%2F2%5FInhuur%2F2%5FInhuurovereenkomsten</t>
  </si>
  <si>
    <t>B. van Abeelen</t>
  </si>
  <si>
    <t>vanabeelenstucadoorsbedrijf@gmail.com</t>
  </si>
  <si>
    <t>Blauwloop 2</t>
  </si>
  <si>
    <t>Loon op Zand</t>
  </si>
  <si>
    <t>NL95 INGB 0113 3306 85</t>
  </si>
  <si>
    <t>0392</t>
  </si>
  <si>
    <t>Burgemeester Baumannlaan 175H</t>
  </si>
  <si>
    <t>3042AD</t>
  </si>
  <si>
    <t>0393</t>
  </si>
  <si>
    <t>Donze Visserstraat 13</t>
  </si>
  <si>
    <t>4531 BA</t>
  </si>
  <si>
    <t>https://ryanrent.sharepoint.com/sites/RyanRent/Gedeelde%20documenten/Forms/AllItems.aspx?id=%2Fsites%2FRyanRent%2FGedeelde%20documenten%2FGeneral%2F01%5FRyanRent%26Co%2F01%5FWoningen%2FDonze%20Visserstraat%2013%20Terneuzen</t>
  </si>
  <si>
    <t>https://ryanrent.sharepoint.com/sites/RyanRent/Gedeelde%20documenten/Forms/AllItems.aspx?id=%2Fsites%2FRyanRent%2FGedeelde%20documenten%2FGeneral%2F01%5FRyanRent%26Co%2F01%5FWoningen%2FDonze%20Visserstraat%2013%20Terneuzen%2F2%5FInhuur</t>
  </si>
  <si>
    <t>https://ryanrent.sharepoint.com/sites/RyanRent/Gedeelde%20documenten/Forms/AllItems.aspx?id=%2Fsites%2FRyanRent%2FGedeelde%20documenten%2FGeneral%2F01%5FRyanRent%26Co%2F01%5FWoningen%2FDonze%20Visserstraat%2013%20Terneuzen%2F3%5FVerhuur</t>
  </si>
  <si>
    <t>https://ryanrent.sharepoint.com/sites/RyanRent/Gedeelde%20documenten/Forms/AllItems.aspx?id=%2Fsites%2FRyanRent%2FGedeelde%20documenten%2FGeneral%2F01%5FRyanRent%26Co%2F01%5FWoningen%2FDonze%20Visserstraat%2013%20Terneuzen%2F2%5FInhuur%2F2%5FInhuurovereenkomsten</t>
  </si>
  <si>
    <t>0394</t>
  </si>
  <si>
    <t>Zegwaardseweg 54</t>
  </si>
  <si>
    <t>2723 PB</t>
  </si>
  <si>
    <t>Zoetermeer</t>
  </si>
  <si>
    <t>0395</t>
  </si>
  <si>
    <t>Pastoriedijk 325</t>
  </si>
  <si>
    <t>3195 HD</t>
  </si>
  <si>
    <t>0396</t>
  </si>
  <si>
    <t>Haven 24</t>
  </si>
  <si>
    <t>3143 BC</t>
  </si>
  <si>
    <t>https://ryanrent.sharepoint.com/sites/RyanRent/Gedeelde%20documenten/Forms/AllItems.aspx?id=%2Fsites%2FRyanRent%2FGedeelde%20documenten%2FGeneral%2F01%5FRyanRent%26Co%2F01%5FWoningen%2FHaven%2024%2C%20Maassluis</t>
  </si>
  <si>
    <t>https://ryanrent.sharepoint.com/sites/RyanRent/Gedeelde%20documenten/Forms/AllItems.aspx?id=%2Fsites%2FRyanRent%2FGedeelde%20documenten%2FGeneral%2F01%5FRyanRent%26Co%2F01%5FWoningen%2FHaven%2024%2C%20Maassluis%2F2%5FInhuur</t>
  </si>
  <si>
    <t>https://ryanrent.sharepoint.com/sites/RyanRent/Gedeelde%20documenten/Forms/AllItems.aspx?id=%2Fsites%2FRyanRent%2FGedeelde%20documenten%2FGeneral%2F01%5FRyanRent%26Co%2F01%5FWoningen%2FHaven%2024%2C%20Maassluis%2F3%5FVerhuur</t>
  </si>
  <si>
    <t>https://ryanrent.sharepoint.com/sites/RyanRent/Gedeelde%20documenten/Forms/AllItems.aspx?id=%2Fsites%2FRyanRent%2FGedeelde%20documenten%2FGeneral%2F01%5FRyanRent%26Co%2F01%5FWoningen%2FHaven%2024%2C%20Maassluis%2F2%5FInhuur%2F2%5FInhuurovereenkomsten</t>
  </si>
  <si>
    <t>dockHolland Huisvesting B.V.</t>
  </si>
  <si>
    <t>inkoopfacturen@dockholland.com</t>
  </si>
  <si>
    <t>Industrieweg 130A</t>
  </si>
  <si>
    <t>24255227.0</t>
  </si>
  <si>
    <t>NL65 ABNA 0892 0134 27</t>
  </si>
  <si>
    <t>0397</t>
  </si>
  <si>
    <t>Boogertstraat 5A</t>
  </si>
  <si>
    <t>3141VN</t>
  </si>
  <si>
    <t>https://ryanrent.sharepoint.com/sites/RyanRent/Gedeelde%20documenten/Forms/AllItems.aspx?id=%2Fsites%2FRyanRent%2FGedeelde%20documenten%2FGeneral%2F01%5FRyanRent%26Co%2F01%5FWoningen%2FBoogertstraat%205A%2C%20Maassluis</t>
  </si>
  <si>
    <t>https://ryanrent.sharepoint.com/sites/RyanRent/Gedeelde%20documenten/Forms/AllItems.aspx?id=%2Fsites%2FRyanRent%2FGedeelde%20documenten%2FGeneral%2F01%5FRyanRent%26Co%2F01%5FWoningen%2FBoogertstraat%205A%2C%20Maassluis%2F2%5FInhuur</t>
  </si>
  <si>
    <t>https://ryanrent.sharepoint.com/sites/RyanRent/Gedeelde%20documenten/Forms/AllItems.aspx?id=%2Fsites%2FRyanRent%2FGedeelde%20documenten%2FGeneral%2F01%5FRyanRent%26Co%2F01%5FWoningen%2FBoogertstraat%205A%2C%20Maassluis%2F3%5FVerhuur</t>
  </si>
  <si>
    <t>https://ryanrent.sharepoint.com/sites/RyanRent/Gedeelde%20documenten/Forms/AllItems.aspx?id=%2Fsites%2FRyanRent%2FGedeelde%20documenten%2FGeneral%2F01%5FRyanRent%26Co%2F01%5FWoningen%2FBoogertstraat%205A%2C%20Maassluis%2F2%5FInhuur%2F2%5FInhuurovereenkomsten</t>
  </si>
  <si>
    <t>0398</t>
  </si>
  <si>
    <t>Boogertstraat 7A</t>
  </si>
  <si>
    <t>https://ryanrent.sharepoint.com/sites/RyanRent/Gedeelde%20documenten/Forms/AllItems.aspx?id=%2Fsites%2FRyanRent%2FGedeelde%20documenten%2FGeneral%2F01%5FRyanRent%26Co%2F01%5FWoningen%2FBoogertstraat%207A%2C%20Maassluis</t>
  </si>
  <si>
    <t>https://ryanrent.sharepoint.com/sites/RyanRent/Gedeelde%20documenten/Forms/AllItems.aspx?id=%2Fsites%2FRyanRent%2FGedeelde%20documenten%2FGeneral%2F01%5FRyanRent%26Co%2F01%5FWoningen%2FBoogertstraat%207A%2C%20Maassluis%2F2%5FInhuur</t>
  </si>
  <si>
    <t>https://ryanrent.sharepoint.com/sites/RyanRent/Gedeelde%20documenten/Forms/AllItems.aspx?id=%2Fsites%2FRyanRent%2FGedeelde%20documenten%2FGeneral%2F01%5FRyanRent%26Co%2F01%5FWoningen%2FBoogertstraat%207A%2C%20Maassluis%2F3%5FVerhuur</t>
  </si>
  <si>
    <t>https://ryanrent.sharepoint.com/sites/RyanRent/Gedeelde%20documenten/Forms/AllItems.aspx?id=%2Fsites%2FRyanRent%2FGedeelde%20documenten%2FGeneral%2F01%5FRyanRent%26Co%2F01%5FWoningen%2FBoogertstraat%207A%2C%20Maassluis%2F2%5FInhuur%2F2%5FInhuurovereenkomsten</t>
  </si>
  <si>
    <t>0399</t>
  </si>
  <si>
    <t>Maasdijk 67</t>
  </si>
  <si>
    <t>0400</t>
  </si>
  <si>
    <t>Ranaholm 3</t>
  </si>
  <si>
    <t>0401</t>
  </si>
  <si>
    <t>Hoge Noordweg 26A</t>
  </si>
  <si>
    <t>0402</t>
  </si>
  <si>
    <t>Broersveld 150B</t>
  </si>
  <si>
    <t>0403</t>
  </si>
  <si>
    <t>Hontenissestraat 124A</t>
  </si>
  <si>
    <t>0404</t>
  </si>
  <si>
    <t>Europalaan 50</t>
  </si>
  <si>
    <t>0405</t>
  </si>
  <si>
    <t>Oosthavenkade 39</t>
  </si>
  <si>
    <t>0406</t>
  </si>
  <si>
    <t>Hoge Noordweg 27A</t>
  </si>
  <si>
    <t>0407</t>
  </si>
  <si>
    <t>Professor Kamerlingh Onneslaan 98A</t>
  </si>
  <si>
    <t>0408</t>
  </si>
  <si>
    <t>Lauwersmeer 4</t>
  </si>
  <si>
    <t>0409</t>
  </si>
  <si>
    <t>Noordstraat 26</t>
  </si>
  <si>
    <t>Walsoorden</t>
  </si>
  <si>
    <t>0410</t>
  </si>
  <si>
    <t>Dorpstraat 46</t>
  </si>
  <si>
    <t>0411</t>
  </si>
  <si>
    <t>Homeflex Park</t>
  </si>
  <si>
    <t>0412</t>
  </si>
  <si>
    <t>Hontenissestraat 162</t>
  </si>
  <si>
    <t>0413</t>
  </si>
  <si>
    <t>Groenelaan 35</t>
  </si>
  <si>
    <t>0414</t>
  </si>
  <si>
    <t>Platostraat 38</t>
  </si>
  <si>
    <t>JS Vastgoed</t>
  </si>
  <si>
    <t>Achterom 117</t>
  </si>
  <si>
    <t>2991 AC</t>
  </si>
  <si>
    <t>NL26 RABO 0156 3479 70</t>
  </si>
  <si>
    <t>2018-03-16</t>
  </si>
  <si>
    <t>0415</t>
  </si>
  <si>
    <t>Rotterdamsedijk 104a2</t>
  </si>
  <si>
    <t>0416</t>
  </si>
  <si>
    <t>Jacob van Ruijsdaelstraat 28</t>
  </si>
  <si>
    <t>0417</t>
  </si>
  <si>
    <t>Deensestraat 91A</t>
  </si>
  <si>
    <t>0418</t>
  </si>
  <si>
    <t>Burg. Knappertlaan 176A</t>
  </si>
  <si>
    <t>0419</t>
  </si>
  <si>
    <t>Westfrankelandsestraat 106</t>
  </si>
  <si>
    <t>https://ryanrent.sharepoint.com/sites/RyanRent/Gedeelde%20documenten/Forms/AllItems.aspx?id=%2Fsites%2FRyanRent%2FGedeelde%20documenten%2FGeneral%2F01%5FRyanRent%26Co%2F01%5FWoningen%2FWestfrankelandsestraat%20106%20Schiedam</t>
  </si>
  <si>
    <t>https://ryanrent.sharepoint.com/sites/RyanRent/Gedeelde%20documenten/Forms/AllItems.aspx?id=%2Fsites%2FRyanRent%2FGedeelde%20documenten%2FGeneral%2F01%5FRyanRent%26Co%2F01%5FWoningen%2FWestfrankelandsestraat%20106%20Schiedam%2F2%5FInhuur</t>
  </si>
  <si>
    <t>https://ryanrent.sharepoint.com/sites/RyanRent/Gedeelde%20documenten/Forms/AllItems.aspx?id=%2Fsites%2FRyanRent%2FGedeelde%20documenten%2FGeneral%2F01%5FRyanRent%26Co%2F01%5FWoningen%2FWestfrankelandsestraat%20106%20Schiedam%2F3%5FVerhuur</t>
  </si>
  <si>
    <t>https://ryanrent.sharepoint.com/sites/RyanRent/Gedeelde%20documenten/Forms/AllItems.aspx?id=%2Fsites%2FRyanRent%2FGedeelde%20documenten%2FGeneral%2F01%5FRyanRent%26Co%2F01%5FWoningen%2FWestfrankelandsestraat%20106%20Schiedam%2F2%5FInhuur%2F2%5FInhuurovereenkomsten</t>
  </si>
  <si>
    <t>0420</t>
  </si>
  <si>
    <t>Kethelweg 60</t>
  </si>
  <si>
    <t>0421</t>
  </si>
  <si>
    <t>Knuttelstraat 17</t>
  </si>
  <si>
    <t>Delft</t>
  </si>
  <si>
    <t>0422</t>
  </si>
  <si>
    <t>Broekweg 166B</t>
  </si>
  <si>
    <t>0423</t>
  </si>
  <si>
    <t>Schalkeroord 16</t>
  </si>
  <si>
    <t>0424</t>
  </si>
  <si>
    <t>Oudcamp 14</t>
  </si>
  <si>
    <t>Maasland</t>
  </si>
  <si>
    <t>0425</t>
  </si>
  <si>
    <t>Sint Jorispad 4</t>
  </si>
  <si>
    <t>0426</t>
  </si>
  <si>
    <t>Middenscheepvaartstraat 30</t>
  </si>
  <si>
    <t>0427</t>
  </si>
  <si>
    <t>Schiedamseweg 260c</t>
  </si>
  <si>
    <t>0428</t>
  </si>
  <si>
    <t>Van Hogendorplaan 1641</t>
  </si>
  <si>
    <t>0429</t>
  </si>
  <si>
    <t>Messchaertplein 36 Bovenwoning</t>
  </si>
  <si>
    <t>0430</t>
  </si>
  <si>
    <t>Krabbendijkestraat 429</t>
  </si>
  <si>
    <t>0431</t>
  </si>
  <si>
    <t>1e Verdeligsweg 6 - 537</t>
  </si>
  <si>
    <t>Putte</t>
  </si>
  <si>
    <t>0432</t>
  </si>
  <si>
    <t>1e Verdeligsweg 6 - 821</t>
  </si>
  <si>
    <t>0433</t>
  </si>
  <si>
    <t>1e Verdeligsweg 6 - 822</t>
  </si>
  <si>
    <t>0435</t>
  </si>
  <si>
    <t>Broersvest 74c</t>
  </si>
  <si>
    <t>0436</t>
  </si>
  <si>
    <t>de Lus 16 ap28</t>
  </si>
  <si>
    <t>Schagen</t>
  </si>
  <si>
    <t>0437</t>
  </si>
  <si>
    <t>Dorpstraat 27</t>
  </si>
  <si>
    <t>0438</t>
  </si>
  <si>
    <t>Franselaan 273-B</t>
  </si>
  <si>
    <t>0439</t>
  </si>
  <si>
    <t>Galgeweg 48A</t>
  </si>
  <si>
    <t>0440</t>
  </si>
  <si>
    <t>Genestestraat 32</t>
  </si>
  <si>
    <t>0441</t>
  </si>
  <si>
    <t>Grimbergen 19</t>
  </si>
  <si>
    <t>0442</t>
  </si>
  <si>
    <t>Herenpad 20B</t>
  </si>
  <si>
    <t>0443</t>
  </si>
  <si>
    <t>Ida Gerhardtplein 10</t>
  </si>
  <si>
    <t>0444</t>
  </si>
  <si>
    <t>J. van Lennepstraat 13A</t>
  </si>
  <si>
    <t>0445</t>
  </si>
  <si>
    <t>J. van Lennepstraat 13B</t>
  </si>
  <si>
    <t>0446</t>
  </si>
  <si>
    <t>J. van Lennepstraat 34</t>
  </si>
  <si>
    <t>0447</t>
  </si>
  <si>
    <t>Kerklaan 74</t>
  </si>
  <si>
    <t>Nieuwerkerk aan den IJssel</t>
  </si>
  <si>
    <t>0448</t>
  </si>
  <si>
    <t>Kerklaan 80</t>
  </si>
  <si>
    <t>0449</t>
  </si>
  <si>
    <t>Korhaanstraat 6</t>
  </si>
  <si>
    <t>0450</t>
  </si>
  <si>
    <t>Laan van Zuid 949</t>
  </si>
  <si>
    <t>0451</t>
  </si>
  <si>
    <t>Leidinglaan 64+66</t>
  </si>
  <si>
    <t>0452</t>
  </si>
  <si>
    <t>Nic. Beetsstraat 29</t>
  </si>
  <si>
    <t>0453</t>
  </si>
  <si>
    <t>Nijverheidstraat 26a, Studio 201</t>
  </si>
  <si>
    <t>0454</t>
  </si>
  <si>
    <t>Oostene 23</t>
  </si>
  <si>
    <t>0455</t>
  </si>
  <si>
    <t>Papsouwselaan 30</t>
  </si>
  <si>
    <t>0456</t>
  </si>
  <si>
    <t>Papsouwselaan 32</t>
  </si>
  <si>
    <t>0457</t>
  </si>
  <si>
    <t>Papsouwselaan 34</t>
  </si>
  <si>
    <t>0458</t>
  </si>
  <si>
    <t>Papsouwselaan 44</t>
  </si>
  <si>
    <t>0459</t>
  </si>
  <si>
    <t>Papsouwselaan 52</t>
  </si>
  <si>
    <t>0460</t>
  </si>
  <si>
    <t>Papsouwselaan 58</t>
  </si>
  <si>
    <t>0461</t>
  </si>
  <si>
    <t>Papsouwselaan 68</t>
  </si>
  <si>
    <t>0462</t>
  </si>
  <si>
    <t>Papsouwselaan 86</t>
  </si>
  <si>
    <t>0463</t>
  </si>
  <si>
    <t>Papsouwselaan 138</t>
  </si>
  <si>
    <t>0464</t>
  </si>
  <si>
    <t>Papsouwselaan 178</t>
  </si>
  <si>
    <t>0465</t>
  </si>
  <si>
    <t>Rubensplein 3b</t>
  </si>
  <si>
    <t>0466</t>
  </si>
  <si>
    <t>Singelweg 95</t>
  </si>
  <si>
    <t>0467</t>
  </si>
  <si>
    <t>St. Annalandstraat 116</t>
  </si>
  <si>
    <t>0468</t>
  </si>
  <si>
    <t>Sweelinckstraat 32</t>
  </si>
  <si>
    <t>0469</t>
  </si>
  <si>
    <t>Tulpenstraat 45</t>
  </si>
  <si>
    <t>0470</t>
  </si>
  <si>
    <t>v.d. Waalstraat 16</t>
  </si>
  <si>
    <t>0472</t>
  </si>
  <si>
    <t>Westlandse Langeweg 14</t>
  </si>
  <si>
    <t>0473</t>
  </si>
  <si>
    <t>Wouwsestraat 65</t>
  </si>
  <si>
    <t>0474</t>
  </si>
  <si>
    <t>Honselaarsdijk 27</t>
  </si>
  <si>
    <t>0475</t>
  </si>
  <si>
    <t>Broekweg 26</t>
  </si>
  <si>
    <t>2691 RN</t>
  </si>
  <si>
    <t>0476</t>
  </si>
  <si>
    <t>Stuifkenszand 2c-4e</t>
  </si>
  <si>
    <t>Unknown</t>
  </si>
  <si>
    <t>0477</t>
  </si>
  <si>
    <t>Hotel de Sluiskop</t>
  </si>
  <si>
    <t>0478</t>
  </si>
  <si>
    <t>Admiraliteitskade 80-02</t>
  </si>
  <si>
    <t>0479</t>
  </si>
  <si>
    <t>Parallelweg 112D</t>
  </si>
  <si>
    <t>0480</t>
  </si>
  <si>
    <t>Noordmolenstraat 38A</t>
  </si>
  <si>
    <t>0481</t>
  </si>
  <si>
    <t>Noordmolenstraat 38B</t>
  </si>
  <si>
    <t>0482</t>
  </si>
  <si>
    <t>Noordmolenstraat 34</t>
  </si>
  <si>
    <t>0483</t>
  </si>
  <si>
    <t>Oostduinlaan 14</t>
  </si>
  <si>
    <t>0484</t>
  </si>
  <si>
    <t>Dirk Schaferplein 140</t>
  </si>
  <si>
    <t>0485</t>
  </si>
  <si>
    <t>Grote Markt 41</t>
  </si>
  <si>
    <t>0486</t>
  </si>
  <si>
    <t>Kortlandstraat 8</t>
  </si>
  <si>
    <t>0487</t>
  </si>
  <si>
    <t>Parallelweg 132B</t>
  </si>
  <si>
    <t>0488</t>
  </si>
  <si>
    <t>Van Goghlaan 36</t>
  </si>
  <si>
    <t>0489</t>
  </si>
  <si>
    <t>Woudseweg 146</t>
  </si>
  <si>
    <t>0490</t>
  </si>
  <si>
    <t>Boswoning 11</t>
  </si>
  <si>
    <t>0491</t>
  </si>
  <si>
    <t>P.J. Troelstraweg 2 a</t>
  </si>
  <si>
    <t>0492</t>
  </si>
  <si>
    <t>Stroodorpe 1</t>
  </si>
  <si>
    <t>SALES DASHBOARD</t>
  </si>
  <si>
    <t>Gegenereerd: 21-01-2026 13:52</t>
  </si>
  <si>
    <t>Totaal Woningen</t>
  </si>
  <si>
    <t>Status</t>
  </si>
  <si>
    <t>Aantal</t>
  </si>
  <si>
    <t>Object</t>
  </si>
  <si>
    <t>Marge</t>
  </si>
  <si>
    <t>0291 - Koperwerf 28...</t>
  </si>
  <si>
    <t>Binnenkort Vrij</t>
  </si>
  <si>
    <t>0474 - Honselaarsdijk 27...</t>
  </si>
  <si>
    <t>0325 - Hendriklaan 49...</t>
  </si>
  <si>
    <t>Totale Marge/Maand</t>
  </si>
  <si>
    <t>Gem. Marge/Woning</t>
  </si>
  <si>
    <t>Jaarlijkse Omzet</t>
  </si>
  <si>
    <t>0409 - Noordstraat 26...</t>
  </si>
  <si>
    <t>€ 282.109,53</t>
  </si>
  <si>
    <t>€ 548,85</t>
  </si>
  <si>
    <t>€ 3.385.314,36</t>
  </si>
  <si>
    <t>0205 - Kreekrug 1...</t>
  </si>
  <si>
    <t>0383 - Akkerweg 41 [huis 20...</t>
  </si>
  <si>
    <t>0293 - Akkerweg 41 [huis 14...</t>
  </si>
  <si>
    <t>Stad</t>
  </si>
  <si>
    <t>Woningen</t>
  </si>
  <si>
    <t>0009 - Galgeweg 48-A...</t>
  </si>
  <si>
    <t>0404 - Europalaan 50...</t>
  </si>
  <si>
    <t>0139 - Wilgensingel 63 ...</t>
  </si>
  <si>
    <t>WONING OPZOEKEN</t>
  </si>
  <si>
    <t>Selecteer Object ID:</t>
  </si>
  <si>
    <t>WONING INFORMATIE</t>
  </si>
  <si>
    <t>EIGENAAR</t>
  </si>
  <si>
    <t>Object ID:</t>
  </si>
  <si>
    <t>Naam:</t>
  </si>
  <si>
    <t>Adres:</t>
  </si>
  <si>
    <t>Email:</t>
  </si>
  <si>
    <t>Postcode:</t>
  </si>
  <si>
    <t>Telefoon:</t>
  </si>
  <si>
    <t>Plaats:</t>
  </si>
  <si>
    <t>Type:</t>
  </si>
  <si>
    <t>IBAN:</t>
  </si>
  <si>
    <t>Oppervlakte:</t>
  </si>
  <si>
    <t>Slaapkamers:</t>
  </si>
  <si>
    <t>HUURDER</t>
  </si>
  <si>
    <t>Capaciteit:</t>
  </si>
  <si>
    <t>Status:</t>
  </si>
  <si>
    <t>Dagen tot beschikbaar:</t>
  </si>
  <si>
    <t>INHUUR CONTRACT</t>
  </si>
  <si>
    <t>VERHUUR CONTRACT</t>
  </si>
  <si>
    <t>Start:</t>
  </si>
  <si>
    <t>Eind:</t>
  </si>
  <si>
    <t>Bedrag excl:</t>
  </si>
  <si>
    <t>Borg:</t>
  </si>
  <si>
    <t>MARGE ANALYSE</t>
  </si>
  <si>
    <t>Marge/maand:</t>
  </si>
  <si>
    <t>Marge/jaar:</t>
  </si>
  <si>
    <t>Marge %:</t>
  </si>
  <si>
    <t>DOCUMENTEN &amp; LINKS</t>
  </si>
  <si>
    <t>Woning Folder:</t>
  </si>
  <si>
    <t>Inhuur Docs:</t>
  </si>
  <si>
    <t>Verhuur Docs:</t>
  </si>
  <si>
    <t>Overeenkomsten:</t>
  </si>
  <si>
    <t>Contract Link:</t>
  </si>
  <si>
    <t>WONING INFORMATIEKAART</t>
  </si>
  <si>
    <t>Object:</t>
  </si>
  <si>
    <t>WONING SPECIFICATIES</t>
  </si>
  <si>
    <t>Opp. (m²):</t>
  </si>
  <si>
    <t>HUIDIGE HUURDER</t>
  </si>
  <si>
    <t>FINANCIEEL OVERZICHT</t>
  </si>
  <si>
    <t>Inhuur/maand:</t>
  </si>
  <si>
    <t>Verhuur/maand:</t>
  </si>
  <si>
    <t>CONTRACT DETAILS</t>
  </si>
  <si>
    <t>Inhuur start:</t>
  </si>
  <si>
    <t>Inhuur eind:</t>
  </si>
  <si>
    <t>Verhuur start:</t>
  </si>
  <si>
    <t>Verhuur eind:</t>
  </si>
  <si>
    <t>DOCUMENTEN</t>
  </si>
  <si>
    <t>Gegenereerd: 21-01-2026</t>
  </si>
  <si>
    <t>CONTACTEN OVERZICHT</t>
  </si>
  <si>
    <t>EIGENAREN</t>
  </si>
  <si>
    <t>ID</t>
  </si>
  <si>
    <t>Naam</t>
  </si>
  <si>
    <t>Email</t>
  </si>
  <si>
    <t>Telefoon</t>
  </si>
  <si>
    <t>Adres</t>
  </si>
  <si>
    <t>Postcode</t>
  </si>
  <si>
    <t>Plaats</t>
  </si>
  <si>
    <t>HUURDERS</t>
  </si>
  <si>
    <t>Type</t>
  </si>
  <si>
    <t>CONTRACT TIJDLIJN</t>
  </si>
  <si>
    <t>Huurder</t>
  </si>
  <si>
    <t>Start</t>
  </si>
  <si>
    <t>Eind</t>
  </si>
  <si>
    <t>Dagen Resterend</t>
  </si>
  <si>
    <t>LEGENDA:</t>
  </si>
  <si>
    <t>&lt; 30 dagen</t>
  </si>
  <si>
    <t>30-60 dagen</t>
  </si>
  <si>
    <t>TOTALEN</t>
  </si>
  <si>
    <t>Totale Inhuur/maand:</t>
  </si>
  <si>
    <t>Jaarlijks:</t>
  </si>
  <si>
    <t>Totale Verhuur/maand:</t>
  </si>
  <si>
    <t>Totale Marge/maand:</t>
  </si>
  <si>
    <t>MARGE PER WONING</t>
  </si>
  <si>
    <t>Inhuur</t>
  </si>
  <si>
    <t>Verhuur</t>
  </si>
  <si>
    <t>Marge/Maand</t>
  </si>
  <si>
    <t>Marge/Jaar</t>
  </si>
  <si>
    <t>Marge %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</si>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</sst>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24"/>
      <color rgb="FF1F4E79"/>
      <name val="Calibri"/>
      <family val="2"/>
    </font>
    <font>
      <i/>
      <sz val="11"/>
      <color rgb="FF666666"/>
      <name val="Calibri"/>
      <family val="2"/>
    </font>
    <font>
      <b/>
      <sz val="11"/>
      <color rgb="FF1F4E79"/>
      <name val="Calibri"/>
      <family val="2"/>
    </font>
    <font>
      <b/>
      <sz val="20"/>
      <color rgb="FF228B22"/>
      <name val="Calibri"/>
      <family val="2"/>
    </font>
    <font>
      <b/>
      <sz val="20"/>
      <color rgb="FF1F4E79"/>
      <name val="Calibri"/>
      <family val="2"/>
    </font>
    <font>
      <b/>
      <sz val="11"/>
      <name val="Calibri"/>
      <family val="2"/>
    </font>
    <font>
      <b/>
      <sz val="12"/>
      <color rgb="FF1F4E79"/>
      <name val="Calibri"/>
      <family val="2"/>
    </font>
    <font>
      <b/>
      <sz val="18"/>
      <color rgb="FF1F4E79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i/>
      <sz val="8"/>
      <color rgb="FF666666"/>
      <name val="Calibri"/>
      <family val="2"/>
    </font>
    <font>
      <b/>
      <sz val="14"/>
      <color rgb="FFFFFFFF"/>
      <name val="Calibri"/>
      <family val="2"/>
    </font>
    <font>
      <b/>
      <sz val="11"/>
      <color rgb="FF228B22"/>
      <name val="Calibri"/>
      <family val="2"/>
    </font>
    <font>
      <b/>
      <sz val="11"/>
      <color rgb="FFFFFFFF"/>
      <name val="Calibri"/>
      <family val="2"/>
    </font>
    <font>
      <sz val="11"/>
      <color rgb="FF228B22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99"/>
        <bgColor rgb="FFFFFF99"/>
      </patternFill>
    </fill>
    <fill>
      <patternFill patternType="solid">
        <fgColor rgb="FFD6EAF8"/>
        <bgColor rgb="FFD6EAF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CCB"/>
        <bgColor rgb="FFFFCCCB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3" borderId="0" xfId="0" applyFill="1"/>
    <xf numFmtId="0" fontId="8" fillId="4" borderId="0" xfId="0" applyFont="1" applyFill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8" fillId="0" borderId="0" xfId="0" applyFont="1"/>
    <xf numFmtId="0" fontId="14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2" borderId="0" xfId="0" applyFont="1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164" fontId="16" fillId="0" borderId="0" xfId="0" applyNumberFormat="1" applyFont="1"/>
    <xf numFmtId="164" fontId="18" fillId="0" borderId="0" xfId="0" applyNumberFormat="1" applyFont="1"/>
    <xf numFmtId="10" fontId="0" fillId="0" borderId="0" xfId="0" applyNumberFormat="1"/>
    <xf numFmtId="164" fontId="19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13" fillId="2" borderId="0" xfId="0" applyFont="1" applyFill="1"/>
    <xf numFmtId="0" fontId="0" fillId="2" borderId="0" xfId="0" applyFill="1"/>
    <xf numFmtId="0" fontId="15" fillId="2" borderId="0" xfId="0" applyFont="1" applyFill="1"/>
    <xf numFmtId="0" fontId="9" fillId="0" borderId="0" xfId="0" applyFont="1"/>
    <xf numFmtId="0" fontId="17" fillId="2" borderId="0" xfId="0" applyFont="1" applyFill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Portfolio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Dashboard!$K$4</c:f>
              <c:strCache>
                <c:ptCount val="1"/>
                <c:pt idx="0">
                  <c:v>Aantal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Dashboard!$K$5:$K$8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Dashboard!$J$5:$J$8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45A-484F-912F-F3E0F1A637F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10 Steden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Dashboard!$K$12</c:f>
              <c:strCache>
                <c:ptCount val="1"/>
                <c:pt idx="0">
                  <c:v>Woningen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Dashboard!$K$13:$K$22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Dashboard!$J$13:$J$22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6EC-B64A-A04B-9BADE73B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10 Marge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Dashboard!$N$4</c:f>
              <c:strCache>
                <c:ptCount val="1"/>
                <c:pt idx="0">
                  <c:v>Marge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Dashboard!$N$5:$N$14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Dashboard!$M$5:$M$14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4AA-FC45-9A99-68E90419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12</xdr:row>
      <xdr:rowOff>50800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101600</xdr:colOff>
      <xdr:row>10</xdr:row>
      <xdr:rowOff>12700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88900</xdr:colOff>
      <xdr:row>29</xdr:row>
      <xdr:rowOff>177800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CS515">
  <autoFilter ref="A1:CS515" xr:uid="{00000000-0009-0000-0100-000001000000}"/>
  <tableColumns count="97">
    <tableColumn id="1" xr3:uid="{00000000-0010-0000-0000-000001000000}" name="object_id"/>
    <tableColumn id="2" xr3:uid="{00000000-0010-0000-0000-000002000000}" name="house_id"/>
    <tableColumn id="3" xr3:uid="{00000000-0010-0000-0000-000003000000}" name="adres"/>
    <tableColumn id="4" xr3:uid="{00000000-0010-0000-0000-000004000000}" name="postcode"/>
    <tableColumn id="5" xr3:uid="{00000000-0010-0000-0000-000005000000}" name="plaats"/>
    <tableColumn id="6" xr3:uid="{00000000-0010-0000-0000-000006000000}" name="woning_type"/>
    <tableColumn id="7" xr3:uid="{00000000-0010-0000-0000-000007000000}" name="oppervlakte_m2"/>
    <tableColumn id="8" xr3:uid="{00000000-0010-0000-0000-000008000000}" name="aantal_slaapkamers"/>
    <tableColumn id="9" xr3:uid="{00000000-0010-0000-0000-000009000000}" name="capaciteit_personen"/>
    <tableColumn id="10" xr3:uid="{00000000-0010-0000-0000-00000A000000}" name="huis_actief"/>
    <tableColumn id="11" xr3:uid="{00000000-0010-0000-0000-00000B000000}" name="facturatie_type"/>
    <tableColumn id="12" xr3:uid="{00000000-0010-0000-0000-00000C000000}" name="kluis_code_1"/>
    <tableColumn id="13" xr3:uid="{00000000-0010-0000-0000-00000D000000}" name="kluis_code_2"/>
    <tableColumn id="14" xr3:uid="{00000000-0010-0000-0000-00000E000000}" name="meterbeheerder"/>
    <tableColumn id="15" xr3:uid="{00000000-0010-0000-0000-00000F000000}" name="gwe_leverancier"/>
    <tableColumn id="16" xr3:uid="{00000000-0010-0000-0000-000010000000}" name="sharepoint_folder"/>
    <tableColumn id="17" xr3:uid="{00000000-0010-0000-0000-000011000000}" name="sharepoint_inhuur"/>
    <tableColumn id="18" xr3:uid="{00000000-0010-0000-0000-000012000000}" name="sharepoint_verhuur"/>
    <tableColumn id="19" xr3:uid="{00000000-0010-0000-0000-000013000000}" name="sharepoint_inhuur_overeenkomsten"/>
    <tableColumn id="20" xr3:uid="{00000000-0010-0000-0000-000014000000}" name="borg_standaard"/>
    <tableColumn id="21" xr3:uid="{00000000-0010-0000-0000-000015000000}" name="voorschot_gwe_standaard"/>
    <tableColumn id="22" xr3:uid="{00000000-0010-0000-0000-000016000000}" name="voorschot_schoonmaak_standaard"/>
    <tableColumn id="23" xr3:uid="{00000000-0010-0000-0000-000017000000}" name="eigenaar_id"/>
    <tableColumn id="24" xr3:uid="{00000000-0010-0000-0000-000018000000}" name="eigenaar_naam"/>
    <tableColumn id="25" xr3:uid="{00000000-0010-0000-0000-000019000000}" name="eigenaar_type"/>
    <tableColumn id="26" xr3:uid="{00000000-0010-0000-0000-00001A000000}" name="eigenaar_contactpersoon"/>
    <tableColumn id="27" xr3:uid="{00000000-0010-0000-0000-00001B000000}" name="eigenaar_email"/>
    <tableColumn id="28" xr3:uid="{00000000-0010-0000-0000-00001C000000}" name="eigenaar_telefoon"/>
    <tableColumn id="29" xr3:uid="{00000000-0010-0000-0000-00001D000000}" name="eigenaar_adres"/>
    <tableColumn id="30" xr3:uid="{00000000-0010-0000-0000-00001E000000}" name="eigenaar_postcode"/>
    <tableColumn id="31" xr3:uid="{00000000-0010-0000-0000-00001F000000}" name="eigenaar_plaats"/>
    <tableColumn id="32" xr3:uid="{00000000-0010-0000-0000-000020000000}" name="eigenaar_land"/>
    <tableColumn id="33" xr3:uid="{00000000-0010-0000-0000-000021000000}" name="eigenaar_kvk"/>
    <tableColumn id="34" xr3:uid="{00000000-0010-0000-0000-000022000000}" name="eigenaar_btw"/>
    <tableColumn id="35" xr3:uid="{00000000-0010-0000-0000-000023000000}" name="eigenaar_iban"/>
    <tableColumn id="36" xr3:uid="{00000000-0010-0000-0000-000024000000}" name="inhuur_contract_id"/>
    <tableColumn id="37" xr3:uid="{00000000-0010-0000-0000-000025000000}" name="inhuur_start"/>
    <tableColumn id="38" xr3:uid="{00000000-0010-0000-0000-000026000000}" name="inhuur_eind"/>
    <tableColumn id="39" xr3:uid="{00000000-0010-0000-0000-000027000000}" name="inhuur_status"/>
    <tableColumn id="40" xr3:uid="{00000000-0010-0000-0000-000028000000}" name="inhuur_min_duur"/>
    <tableColumn id="41" xr3:uid="{00000000-0010-0000-0000-000029000000}" name="inhuur_opzegtermijn"/>
    <tableColumn id="42" xr3:uid="{00000000-0010-0000-0000-00002A000000}" name="inhuur_hovk"/>
    <tableColumn id="43" xr3:uid="{00000000-0010-0000-0000-00002B000000}" name="inhuur_rechtsvorm"/>
    <tableColumn id="44" xr3:uid="{00000000-0010-0000-0000-00002C000000}" name="inhuur_contract_link"/>
    <tableColumn id="45" xr3:uid="{00000000-0010-0000-0000-00002D000000}" name="inhuur_notities"/>
    <tableColumn id="46" xr3:uid="{00000000-0010-0000-0000-00002E000000}" name="inhuur_kale_huur"/>
    <tableColumn id="47" xr3:uid="{00000000-0010-0000-0000-00002F000000}" name="inhuur_totaal_excl_btw"/>
    <tableColumn id="48" xr3:uid="{00000000-0010-0000-0000-000030000000}" name="inhuur_totaal_incl_btw"/>
    <tableColumn id="49" xr3:uid="{00000000-0010-0000-0000-000031000000}" name="inhuur_btw_percentage"/>
    <tableColumn id="50" xr3:uid="{00000000-0010-0000-0000-000032000000}" name="inhuur_borg"/>
    <tableColumn id="51" xr3:uid="{00000000-0010-0000-0000-000033000000}" name="inhuur_voorschot_gwe"/>
    <tableColumn id="52" xr3:uid="{00000000-0010-0000-0000-000034000000}" name="inhuur_vve_kosten"/>
    <tableColumn id="53" xr3:uid="{00000000-0010-0000-0000-000035000000}" name="inhuur_overige_kosten"/>
    <tableColumn id="54" xr3:uid="{00000000-0010-0000-0000-000036000000}" name="inhuur_internet_kosten"/>
    <tableColumn id="55" xr3:uid="{00000000-0010-0000-0000-000037000000}" name="huurder_id"/>
    <tableColumn id="56" xr3:uid="{00000000-0010-0000-0000-000038000000}" name="huurder_naam"/>
    <tableColumn id="57" xr3:uid="{00000000-0010-0000-0000-000039000000}" name="huurder_type"/>
    <tableColumn id="58" xr3:uid="{00000000-0010-0000-0000-00003A000000}" name="huurder_contactpersoon"/>
    <tableColumn id="59" xr3:uid="{00000000-0010-0000-0000-00003B000000}" name="huurder_email"/>
    <tableColumn id="60" xr3:uid="{00000000-0010-0000-0000-00003C000000}" name="huurder_telefoon"/>
    <tableColumn id="61" xr3:uid="{00000000-0010-0000-0000-00003D000000}" name="huurder_adres"/>
    <tableColumn id="62" xr3:uid="{00000000-0010-0000-0000-00003E000000}" name="huurder_postcode"/>
    <tableColumn id="63" xr3:uid="{00000000-0010-0000-0000-00003F000000}" name="huurder_plaats"/>
    <tableColumn id="64" xr3:uid="{00000000-0010-0000-0000-000040000000}" name="huurder_land"/>
    <tableColumn id="65" xr3:uid="{00000000-0010-0000-0000-000041000000}" name="huurder_kvk"/>
    <tableColumn id="66" xr3:uid="{00000000-0010-0000-0000-000042000000}" name="huurder_btw"/>
    <tableColumn id="67" xr3:uid="{00000000-0010-0000-0000-000043000000}" name="huurder_iban"/>
    <tableColumn id="68" xr3:uid="{00000000-0010-0000-0000-000044000000}" name="huurder_marge_max"/>
    <tableColumn id="69" xr3:uid="{00000000-0010-0000-0000-000045000000}" name="verhuur_contract_id"/>
    <tableColumn id="70" xr3:uid="{00000000-0010-0000-0000-000046000000}" name="verhuur_start"/>
    <tableColumn id="71" xr3:uid="{00000000-0010-0000-0000-000047000000}" name="verhuur_eind"/>
    <tableColumn id="72" xr3:uid="{00000000-0010-0000-0000-000048000000}" name="verhuur_duur_maanden"/>
    <tableColumn id="73" xr3:uid="{00000000-0010-0000-0000-000049000000}" name="verhuur_contract_type"/>
    <tableColumn id="74" xr3:uid="{00000000-0010-0000-0000-00004A000000}" name="verhuur_status"/>
    <tableColumn id="75" xr3:uid="{00000000-0010-0000-0000-00004B000000}" name="verhuur_kale_huur"/>
    <tableColumn id="76" xr3:uid="{00000000-0010-0000-0000-00004C000000}" name="verhuur_totaal_excl_btw"/>
    <tableColumn id="77" xr3:uid="{00000000-0010-0000-0000-00004D000000}" name="verhuur_totaal_incl_btw"/>
    <tableColumn id="78" xr3:uid="{00000000-0010-0000-0000-00004E000000}" name="verhuur_btw_percentage"/>
    <tableColumn id="79" xr3:uid="{00000000-0010-0000-0000-00004F000000}" name="verhuur_voorschot_gwe"/>
    <tableColumn id="80" xr3:uid="{00000000-0010-0000-0000-000050000000}" name="verhuur_overige_kosten"/>
    <tableColumn id="81" xr3:uid="{00000000-0010-0000-0000-000051000000}" name="verhuur_eindschoonmaak"/>
    <tableColumn id="82" xr3:uid="{00000000-0010-0000-0000-000052000000}" name="verhuur_borg"/>
    <tableColumn id="83" xr3:uid="{00000000-0010-0000-0000-000053000000}" name="gwe_verantwoordelijk"/>
    <tableColumn id="84" xr3:uid="{00000000-0010-0000-0000-000054000000}" name="incl_stoffering"/>
    <tableColumn id="85" xr3:uid="{00000000-0010-0000-0000-000055000000}" name="incl_meubilering"/>
    <tableColumn id="86" xr3:uid="{00000000-0010-0000-0000-000056000000}" name="incl_internet"/>
    <tableColumn id="87" xr3:uid="{00000000-0010-0000-0000-000057000000}" name="incl_schoonmaak_kwartaal"/>
    <tableColumn id="88" xr3:uid="{00000000-0010-0000-0000-000058000000}" name="incl_bedlinnen"/>
    <tableColumn id="89" xr3:uid="{00000000-0010-0000-0000-000059000000}" name="incl_tuinonderhoud"/>
    <tableColumn id="90" xr3:uid="{00000000-0010-0000-0000-00005A000000}" name="incl_eindschoonmaak"/>
    <tableColumn id="91" xr3:uid="{00000000-0010-0000-0000-00005B000000}" name="incl_afvalverwerking"/>
    <tableColumn id="92" xr3:uid="{00000000-0010-0000-0000-00005C000000}" name="schoonmaak_pakket"/>
    <tableColumn id="93" xr3:uid="{00000000-0010-0000-0000-00005D000000}" name="marge_maand_excl_btw"/>
    <tableColumn id="94" xr3:uid="{00000000-0010-0000-0000-00005E000000}" name="marge_jaar_excl_btw"/>
    <tableColumn id="95" xr3:uid="{00000000-0010-0000-0000-00005F000000}" name="marge_percentage"/>
    <tableColumn id="96" xr3:uid="{00000000-0010-0000-0000-000060000000}" name="beschikbaarheid_status"/>
    <tableColumn id="97" xr3:uid="{00000000-0010-0000-0000-000061000000}" name="dagen_tot_beschikba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O1" sqref="O1"/>
    </sheetView>
  </sheetViews>
  <sheetFormatPr baseColWidth="10" defaultColWidth="8.83203125" defaultRowHeight="15" x14ac:dyDescent="0.2"/>
  <cols>
    <col min="10" max="11" width="13" hidden="1" customWidth="1"/>
    <col min="13" max="14" width="13" hidden="1" customWidth="1"/>
  </cols>
  <sheetData>
    <row r="1" spans="1:14" ht="31" x14ac:dyDescent="0.35">
      <c r="A1" s="26" t="s">
        <v>3171</v>
      </c>
      <c r="B1" s="25"/>
      <c r="C1" s="25"/>
      <c r="D1" s="25"/>
      <c r="E1" s="25"/>
      <c r="F1" s="25"/>
      <c r="G1" s="25"/>
      <c r="H1" s="25"/>
    </row>
    <row r="2" spans="1:14" x14ac:dyDescent="0.2">
      <c r="A2" s="24" t="s">
        <v>3172</v>
      </c>
      <c r="B2" s="25"/>
      <c r="C2" s="25"/>
      <c r="D2" s="25"/>
      <c r="E2" s="25"/>
      <c r="F2" s="25"/>
      <c r="G2" s="25"/>
      <c r="H2" s="25"/>
    </row>
    <row r="4" spans="1:14" x14ac:dyDescent="0.2">
      <c r="B4" s="3" t="s">
        <v>3173</v>
      </c>
      <c r="D4" s="3" t="s">
        <v>163</v>
      </c>
      <c r="F4" s="3" t="s">
        <v>143</v>
      </c>
      <c r="J4" t="s">
        <v>3174</v>
      </c>
      <c r="K4" t="s">
        <v>3175</v>
      </c>
      <c r="M4" t="s">
        <v>3176</v>
      </c>
      <c r="N4" t="s">
        <v>3177</v>
      </c>
    </row>
    <row r="5" spans="1:14" ht="31" x14ac:dyDescent="0.35">
      <c r="B5" s="2">
        <v>514</v>
      </c>
      <c r="D5" s="2">
        <v>499</v>
      </c>
      <c r="F5" s="2">
        <v>173</v>
      </c>
      <c r="J5" t="s">
        <v>143</v>
      </c>
      <c r="K5">
        <v>173</v>
      </c>
      <c r="M5" t="s">
        <v>3178</v>
      </c>
      <c r="N5">
        <v>41710</v>
      </c>
    </row>
    <row r="6" spans="1:14" x14ac:dyDescent="0.2">
      <c r="B6" s="3" t="s">
        <v>168</v>
      </c>
      <c r="D6" s="3" t="s">
        <v>3179</v>
      </c>
      <c r="F6" s="3" t="s">
        <v>1648</v>
      </c>
      <c r="J6" t="s">
        <v>168</v>
      </c>
      <c r="K6">
        <v>311</v>
      </c>
      <c r="M6" t="s">
        <v>3180</v>
      </c>
      <c r="N6">
        <v>15163.2</v>
      </c>
    </row>
    <row r="7" spans="1:14" ht="31" x14ac:dyDescent="0.35">
      <c r="B7" s="2">
        <v>311</v>
      </c>
      <c r="D7" s="2">
        <v>15</v>
      </c>
      <c r="F7" s="2">
        <v>15</v>
      </c>
      <c r="J7" t="s">
        <v>3179</v>
      </c>
      <c r="K7">
        <v>15</v>
      </c>
      <c r="M7" t="s">
        <v>3181</v>
      </c>
      <c r="N7">
        <v>6030</v>
      </c>
    </row>
    <row r="8" spans="1:14" x14ac:dyDescent="0.2">
      <c r="B8" s="4" t="s">
        <v>3182</v>
      </c>
      <c r="D8" s="4" t="s">
        <v>3183</v>
      </c>
      <c r="F8" s="4" t="s">
        <v>3184</v>
      </c>
      <c r="J8" t="s">
        <v>1648</v>
      </c>
      <c r="K8">
        <v>15</v>
      </c>
      <c r="M8" t="s">
        <v>3185</v>
      </c>
      <c r="N8">
        <v>5883.03</v>
      </c>
    </row>
    <row r="9" spans="1:14" ht="26" x14ac:dyDescent="0.3">
      <c r="B9" s="5" t="s">
        <v>3186</v>
      </c>
      <c r="D9" s="5" t="s">
        <v>3187</v>
      </c>
      <c r="F9" s="5" t="s">
        <v>3188</v>
      </c>
      <c r="M9" t="s">
        <v>3189</v>
      </c>
      <c r="N9">
        <v>4800</v>
      </c>
    </row>
    <row r="10" spans="1:14" x14ac:dyDescent="0.2">
      <c r="M10" t="s">
        <v>3190</v>
      </c>
      <c r="N10">
        <v>4515</v>
      </c>
    </row>
    <row r="11" spans="1:14" x14ac:dyDescent="0.2">
      <c r="M11" t="s">
        <v>3191</v>
      </c>
      <c r="N11">
        <v>3885</v>
      </c>
    </row>
    <row r="12" spans="1:14" x14ac:dyDescent="0.2">
      <c r="J12" t="s">
        <v>3192</v>
      </c>
      <c r="K12" t="s">
        <v>3193</v>
      </c>
      <c r="M12" t="s">
        <v>3194</v>
      </c>
      <c r="N12">
        <v>3643.5</v>
      </c>
    </row>
    <row r="13" spans="1:14" x14ac:dyDescent="0.2">
      <c r="J13" t="s">
        <v>272</v>
      </c>
      <c r="K13">
        <v>73</v>
      </c>
      <c r="M13" t="s">
        <v>3195</v>
      </c>
      <c r="N13">
        <v>3615.03</v>
      </c>
    </row>
    <row r="14" spans="1:14" x14ac:dyDescent="0.2">
      <c r="J14" t="s">
        <v>312</v>
      </c>
      <c r="K14">
        <v>50</v>
      </c>
      <c r="M14" t="s">
        <v>3196</v>
      </c>
      <c r="N14">
        <v>3457.68</v>
      </c>
    </row>
    <row r="15" spans="1:14" x14ac:dyDescent="0.2">
      <c r="J15" t="s">
        <v>147</v>
      </c>
      <c r="K15">
        <v>39</v>
      </c>
    </row>
    <row r="16" spans="1:14" x14ac:dyDescent="0.2">
      <c r="J16" t="s">
        <v>1526</v>
      </c>
      <c r="K16">
        <v>21</v>
      </c>
    </row>
    <row r="17" spans="10:11" x14ac:dyDescent="0.2">
      <c r="J17" t="s">
        <v>2371</v>
      </c>
      <c r="K17">
        <v>17</v>
      </c>
    </row>
    <row r="18" spans="10:11" x14ac:dyDescent="0.2">
      <c r="J18" t="s">
        <v>252</v>
      </c>
      <c r="K18">
        <v>13</v>
      </c>
    </row>
    <row r="19" spans="10:11" x14ac:dyDescent="0.2">
      <c r="J19" t="s">
        <v>243</v>
      </c>
      <c r="K19">
        <v>12</v>
      </c>
    </row>
    <row r="20" spans="10:11" x14ac:dyDescent="0.2">
      <c r="J20" t="s">
        <v>559</v>
      </c>
      <c r="K20">
        <v>11</v>
      </c>
    </row>
    <row r="21" spans="10:11" x14ac:dyDescent="0.2">
      <c r="J21" t="s">
        <v>2290</v>
      </c>
      <c r="K21">
        <v>11</v>
      </c>
    </row>
    <row r="22" spans="10:11" x14ac:dyDescent="0.2">
      <c r="J22" t="s">
        <v>3026</v>
      </c>
      <c r="K22">
        <v>11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6" customWidth="1"/>
    <col min="4" max="4" width="20" customWidth="1"/>
    <col min="5" max="5" width="30" customWidth="1"/>
    <col min="6" max="6" width="6" customWidth="1"/>
  </cols>
  <sheetData>
    <row r="1" spans="1:6" ht="26" x14ac:dyDescent="0.3">
      <c r="A1" s="27" t="s">
        <v>3197</v>
      </c>
      <c r="B1" s="25"/>
      <c r="C1" s="25"/>
      <c r="D1" s="25"/>
      <c r="E1" s="25"/>
      <c r="F1" s="25"/>
    </row>
    <row r="3" spans="1:6" x14ac:dyDescent="0.2">
      <c r="A3" s="6" t="s">
        <v>3198</v>
      </c>
      <c r="B3" s="7">
        <v>3</v>
      </c>
    </row>
    <row r="5" spans="1:6" ht="16" x14ac:dyDescent="0.2">
      <c r="A5" s="8" t="s">
        <v>3199</v>
      </c>
      <c r="D5" s="8" t="s">
        <v>3200</v>
      </c>
    </row>
    <row r="6" spans="1:6" x14ac:dyDescent="0.2">
      <c r="A6" s="6" t="s">
        <v>3201</v>
      </c>
      <c r="B6" t="str">
        <f>IFERROR(VLOOKUP($B$3,Data!$A:$CS,1,FALSE),"")</f>
        <v/>
      </c>
      <c r="D6" s="6" t="s">
        <v>3202</v>
      </c>
      <c r="E6" t="str">
        <f>IFERROR(VLOOKUP($B$3,Data!$A:$CS,24,FALSE),"")</f>
        <v/>
      </c>
    </row>
    <row r="7" spans="1:6" x14ac:dyDescent="0.2">
      <c r="A7" s="6" t="s">
        <v>3203</v>
      </c>
      <c r="B7" t="str">
        <f>IFERROR(VLOOKUP($B$3,Data!$A:$CS,3,FALSE),"")</f>
        <v/>
      </c>
      <c r="D7" s="6" t="s">
        <v>3204</v>
      </c>
      <c r="E7" t="str">
        <f>IFERROR(VLOOKUP($B$3,Data!$A:$CS,27,FALSE),"")</f>
        <v/>
      </c>
    </row>
    <row r="8" spans="1:6" x14ac:dyDescent="0.2">
      <c r="A8" s="6" t="s">
        <v>3205</v>
      </c>
      <c r="B8" t="str">
        <f>IFERROR(VLOOKUP($B$3,Data!$A:$CS,4,FALSE),"")</f>
        <v/>
      </c>
      <c r="D8" s="6" t="s">
        <v>3206</v>
      </c>
      <c r="E8" t="str">
        <f>IFERROR(VLOOKUP($B$3,Data!$A:$CS,28,FALSE),"")</f>
        <v/>
      </c>
    </row>
    <row r="9" spans="1:6" x14ac:dyDescent="0.2">
      <c r="A9" s="6" t="s">
        <v>3207</v>
      </c>
      <c r="B9" t="str">
        <f>IFERROR(VLOOKUP($B$3,Data!$A:$CS,5,FALSE),"")</f>
        <v/>
      </c>
      <c r="D9" s="6" t="s">
        <v>3203</v>
      </c>
      <c r="E9" t="str">
        <f>IFERROR(VLOOKUP($B$3,Data!$A:$CS,29,FALSE),"")</f>
        <v/>
      </c>
    </row>
    <row r="10" spans="1:6" x14ac:dyDescent="0.2">
      <c r="A10" s="6" t="s">
        <v>3208</v>
      </c>
      <c r="B10" t="str">
        <f>IFERROR(VLOOKUP($B$3,Data!$A:$CS,6,FALSE),"")</f>
        <v/>
      </c>
      <c r="D10" s="6" t="s">
        <v>3209</v>
      </c>
      <c r="E10" t="str">
        <f>IFERROR(VLOOKUP($B$3,Data!$A:$CS,35,FALSE),"")</f>
        <v/>
      </c>
    </row>
    <row r="11" spans="1:6" x14ac:dyDescent="0.2">
      <c r="A11" s="6" t="s">
        <v>3210</v>
      </c>
      <c r="B11" t="str">
        <f>IFERROR(VLOOKUP($B$3,Data!$A:$CS,7,FALSE),"")</f>
        <v/>
      </c>
    </row>
    <row r="12" spans="1:6" ht="16" x14ac:dyDescent="0.2">
      <c r="A12" s="6" t="s">
        <v>3211</v>
      </c>
      <c r="B12" t="str">
        <f>IFERROR(VLOOKUP($B$3,Data!$A:$CS,8,FALSE),"")</f>
        <v/>
      </c>
      <c r="D12" s="8" t="s">
        <v>3212</v>
      </c>
    </row>
    <row r="13" spans="1:6" x14ac:dyDescent="0.2">
      <c r="A13" s="6" t="s">
        <v>3213</v>
      </c>
      <c r="B13" t="str">
        <f>IFERROR(VLOOKUP($B$3,Data!$A:$CS,9,FALSE),"")</f>
        <v/>
      </c>
      <c r="D13" s="6" t="s">
        <v>3202</v>
      </c>
      <c r="E13" t="str">
        <f>IFERROR(VLOOKUP($B$3,Data!$A:$CS,56,FALSE),"")</f>
        <v/>
      </c>
    </row>
    <row r="14" spans="1:6" x14ac:dyDescent="0.2">
      <c r="A14" s="6" t="s">
        <v>3214</v>
      </c>
      <c r="B14" t="str">
        <f>IFERROR(VLOOKUP($B$3,Data!$A:$CS,96,FALSE),"")</f>
        <v/>
      </c>
      <c r="D14" s="6" t="s">
        <v>3204</v>
      </c>
      <c r="E14" t="str">
        <f>IFERROR(VLOOKUP($B$3,Data!$A:$CS,59,FALSE),"")</f>
        <v/>
      </c>
    </row>
    <row r="15" spans="1:6" x14ac:dyDescent="0.2">
      <c r="A15" s="6" t="s">
        <v>3215</v>
      </c>
      <c r="B15" t="str">
        <f>IFERROR(VLOOKUP($B$3,Data!$A:$CS,97,FALSE),"")</f>
        <v/>
      </c>
      <c r="D15" s="6" t="s">
        <v>3206</v>
      </c>
      <c r="E15" t="str">
        <f>IFERROR(VLOOKUP($B$3,Data!$A:$CS,60,FALSE),"")</f>
        <v/>
      </c>
    </row>
    <row r="16" spans="1:6" x14ac:dyDescent="0.2">
      <c r="D16" s="6" t="s">
        <v>3208</v>
      </c>
      <c r="E16" t="str">
        <f>IFERROR(VLOOKUP($B$3,Data!$A:$CS,57,FALSE),"")</f>
        <v/>
      </c>
    </row>
    <row r="17" spans="1:5" ht="16" x14ac:dyDescent="0.2">
      <c r="A17" s="8" t="s">
        <v>3216</v>
      </c>
      <c r="D17" s="8" t="s">
        <v>3217</v>
      </c>
    </row>
    <row r="18" spans="1:5" x14ac:dyDescent="0.2">
      <c r="A18" s="6" t="s">
        <v>3218</v>
      </c>
      <c r="B18" t="str">
        <f>IFERROR(VLOOKUP($B$3,Data!$A:$CS,37,FALSE),"")</f>
        <v/>
      </c>
      <c r="D18" s="6" t="s">
        <v>3218</v>
      </c>
      <c r="E18" t="str">
        <f>IFERROR(VLOOKUP($B$3,Data!$A:$CS,70,FALSE),"")</f>
        <v/>
      </c>
    </row>
    <row r="19" spans="1:5" x14ac:dyDescent="0.2">
      <c r="A19" s="6" t="s">
        <v>3219</v>
      </c>
      <c r="B19" t="str">
        <f>IFERROR(VLOOKUP($B$3,Data!$A:$CS,38,FALSE),"")</f>
        <v/>
      </c>
      <c r="D19" s="6" t="s">
        <v>3219</v>
      </c>
      <c r="E19" t="str">
        <f>IFERROR(VLOOKUP($B$3,Data!$A:$CS,71,FALSE),"")</f>
        <v/>
      </c>
    </row>
    <row r="20" spans="1:5" x14ac:dyDescent="0.2">
      <c r="A20" s="6" t="s">
        <v>3220</v>
      </c>
      <c r="B20" t="str">
        <f>IFERROR(VLOOKUP($B$3,Data!$A:$CS,47,FALSE),"")</f>
        <v/>
      </c>
      <c r="D20" s="6" t="s">
        <v>3220</v>
      </c>
      <c r="E20" t="str">
        <f>IFERROR(VLOOKUP($B$3,Data!$A:$CS,76,FALSE),"")</f>
        <v/>
      </c>
    </row>
    <row r="21" spans="1:5" x14ac:dyDescent="0.2">
      <c r="A21" s="6" t="s">
        <v>3221</v>
      </c>
      <c r="B21" t="str">
        <f>IFERROR(VLOOKUP($B$3,Data!$A:$CS,50,FALSE),"")</f>
        <v/>
      </c>
      <c r="D21" s="6" t="s">
        <v>3221</v>
      </c>
      <c r="E21" t="str">
        <f>IFERROR(VLOOKUP($B$3,Data!$A:$CS,82,FALSE),"")</f>
        <v/>
      </c>
    </row>
    <row r="23" spans="1:5" ht="16" x14ac:dyDescent="0.2">
      <c r="A23" s="8" t="s">
        <v>3222</v>
      </c>
    </row>
    <row r="24" spans="1:5" x14ac:dyDescent="0.2">
      <c r="A24" s="6" t="s">
        <v>3223</v>
      </c>
      <c r="B24" t="str">
        <f>IFERROR(VLOOKUP($B$3,Data!$A:$CS,93,FALSE),"")</f>
        <v/>
      </c>
    </row>
    <row r="25" spans="1:5" x14ac:dyDescent="0.2">
      <c r="A25" s="6" t="s">
        <v>3224</v>
      </c>
      <c r="B25" t="str">
        <f>IFERROR(VLOOKUP($B$3,Data!$A:$CS,94,FALSE),"")</f>
        <v/>
      </c>
    </row>
    <row r="26" spans="1:5" x14ac:dyDescent="0.2">
      <c r="A26" s="6" t="s">
        <v>3225</v>
      </c>
      <c r="B26" t="str">
        <f>IFERROR(VLOOKUP($B$3,Data!$A:$CS,95,FALSE),"")</f>
        <v/>
      </c>
    </row>
    <row r="28" spans="1:5" ht="16" x14ac:dyDescent="0.2">
      <c r="A28" s="8" t="s">
        <v>3226</v>
      </c>
    </row>
    <row r="29" spans="1:5" x14ac:dyDescent="0.2">
      <c r="A29" s="6" t="s">
        <v>3227</v>
      </c>
      <c r="B29" t="str">
        <f>IFERROR(VLOOKUP($B$3,Data!$A:$CS,16,FALSE),"")</f>
        <v/>
      </c>
    </row>
    <row r="30" spans="1:5" x14ac:dyDescent="0.2">
      <c r="A30" s="6" t="s">
        <v>3228</v>
      </c>
      <c r="B30" t="str">
        <f>IFERROR(VLOOKUP($B$3,Data!$A:$CS,17,FALSE),"")</f>
        <v/>
      </c>
    </row>
    <row r="31" spans="1:5" x14ac:dyDescent="0.2">
      <c r="A31" s="6" t="s">
        <v>3229</v>
      </c>
      <c r="B31" t="str">
        <f>IFERROR(VLOOKUP($B$3,Data!$A:$CS,18,FALSE),"")</f>
        <v/>
      </c>
    </row>
    <row r="32" spans="1:5" x14ac:dyDescent="0.2">
      <c r="A32" s="6" t="s">
        <v>3230</v>
      </c>
      <c r="B32" t="str">
        <f>IFERROR(VLOOKUP($B$3,Data!$A:$CS,19,FALSE),"")</f>
        <v/>
      </c>
    </row>
    <row r="33" spans="1:2" x14ac:dyDescent="0.2">
      <c r="A33" s="6" t="s">
        <v>3231</v>
      </c>
      <c r="B33" t="str">
        <f>IFERROR(VLOOKUP($B$3,Data!$A:$CS,44,FALSE),"")</f>
        <v/>
      </c>
    </row>
  </sheetData>
  <mergeCells count="1">
    <mergeCell ref="A1:F1"/>
  </mergeCells>
  <dataValidations count="1">
    <dataValidation type="list" allowBlank="1" error="Selecteer een geldig Object ID" prompt="Kies een woning" sqref="B3" xr:uid="{00000000-0002-0000-0200-000000000000}">
      <formula1>_xlfn._LONGTEXT("0001,0002,0003,0004,0005,0006,0007,0008,0009,0010,0011,0012,0013,0014,0015,0016,0017,0018,0019,0020,0021,0022,0023,0024,0025,0026,0027,0028,0029,0030,0031,0032,0033,0034,0035,0036,0037,0038,0039,0040,0041,0042,0043,0044,0045,0046,0047,0048,0049,0050,0051,","0052,0053,0054,0055,0056,0057,0058,0059,0060,0061,0062,0063,0064,0065,0066,0067,0068,0069,0070,0071,0072,0073,0074,0075,0076,0077,0078,0079,0080,0081,0082,0083,0084,0085,0086,0087,0088,0089,0090,0091,0092,0093,0094,0095,0096,0097,0098,0099,0100,0101,0102,","0103,0104,0105,0106,0107,0108,0109,0110,0111,0112,0113,0114,0115,0116,0117,0118,0119,0120,0121,0122,0123,0124,0125,0126,0127,0128,0129,0130,0131,0132,0133,0134,0135,0136,0137,0138,0139,0140,0141,0142,0143,0144,0145,0146,0147,0148,0149,0150,0151,0152,0153,","0154,0155,0156,0157,0158,0159,0160,0161,0162,0163,0164,0165,0166,0167,0168,0169,0170,0171,0172,0173,0174,0175,0176,0177,0178,0179,0180,0181,0182,0183,0184,0185,0186,0187,0188,0189,0190,0191,0192,0193,0194,0195,0196,0197,0198,0199,0200,0201,0202,0203,0204,","0205,0206,0207,0208,0209,0210,0211,0212,0213,0214,0215,0216,0217,0218,0219,0220,0221,0222,0223,0224,0225,0226,0227,0228,0229,0230,0231,0232,0233,0234,0235,0236,0237,0238,0239,0240,0241,0242,0243,0244,0245,0246,0247,0248,0249,0250,0251,0252,0253,0254,0255,","0256,0257,0258,0259,0260,0261,0262,0263,0264,0265,0266,0267,0268,0269,0270,0271,0272,0273,0274,0275,0276,0277,0278,0279,0280,0281,0282,0283,0284,0285,0286,0287,0288,0289,0290,0291,0292,0293,0294,0295,0296,0297,0298,0299,0300,0301,0302,0303,0304,0305,0306,","0307,0308,0309,0310,0311,0312,0313,0314,0315,0316,0317,0318,0319,0320,0321,0322,0323,0324,0325,0326,0327,0328,0329,0330,0331,0332,0333,0334,0335,0336,0337,0338,0339,0340,0341,0342,0343,0344,0345,0346,0347,0348,0349,0350,0351,0352,0353,0354,0355,0356,0357,","0358,0359,0360,0361,0362,0363,0364,0365,0366,0367,0368,0369,0370,0371,0372,0373,0374,0375,0376,0377,0378,0379,0380,0381,0382,0383,0384,0385,0386,0387,0388,0389,0390,0391,0392,0393,0394,0395,0396,0397,0398,0399,0400,0401,0402,0403,0404,0405,0406,0407,0408,","0409,0410,0411,0412,0413,0414,0415,0416,0417,0418,0419,0420,0421,0422,0423,0424,0425,0426,0427,0428,0429,0430,0431,0432,0433,0435,0436,0437,0438,0439,0440,0441,0442,0443,0444,0445,0446,0447,0448,0449,0450,0451,0452,0453,0454,0455,0456,0457,0458,0459,0460,","0461,0462,0463,0464,0465,0466,0467,0468,0469,0470,0472,0473,0474,0475,0476,0477,0478,0479,0480,0481,0482,0483,0484,0485,0486,0487,0488,0489,0490,0491,0492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6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15" customWidth="1"/>
    <col min="4" max="4" width="25" customWidth="1"/>
    <col min="5" max="6" width="15" customWidth="1"/>
  </cols>
  <sheetData>
    <row r="1" spans="1:6" ht="24" x14ac:dyDescent="0.3">
      <c r="A1" s="28" t="s">
        <v>3232</v>
      </c>
      <c r="B1" s="25"/>
      <c r="C1" s="25"/>
      <c r="D1" s="25"/>
      <c r="E1" s="25"/>
      <c r="F1" s="25"/>
    </row>
    <row r="3" spans="1:6" ht="19" x14ac:dyDescent="0.25">
      <c r="A3" s="6" t="s">
        <v>3233</v>
      </c>
      <c r="B3" s="9" t="str">
        <f>'Zoek Woning'!B6</f>
        <v/>
      </c>
      <c r="D3" t="s">
        <v>3214</v>
      </c>
      <c r="E3" s="10" t="str">
        <f>'Zoek Woning'!B14</f>
        <v/>
      </c>
    </row>
    <row r="4" spans="1:6" ht="16" x14ac:dyDescent="0.2">
      <c r="A4" t="s">
        <v>3203</v>
      </c>
      <c r="B4" s="11" t="str">
        <f>'Zoek Woning'!B7</f>
        <v/>
      </c>
    </row>
    <row r="6" spans="1:6" x14ac:dyDescent="0.2">
      <c r="A6" s="30"/>
      <c r="B6" s="25"/>
      <c r="C6" s="25"/>
      <c r="D6" s="25"/>
      <c r="E6" s="25"/>
      <c r="F6" s="25"/>
    </row>
    <row r="7" spans="1:6" ht="16" x14ac:dyDescent="0.2">
      <c r="A7" s="12" t="s">
        <v>3234</v>
      </c>
    </row>
    <row r="8" spans="1:6" x14ac:dyDescent="0.2">
      <c r="A8" t="s">
        <v>3205</v>
      </c>
      <c r="B8" t="str">
        <f>'Zoek Woning'!B8</f>
        <v/>
      </c>
      <c r="C8" t="s">
        <v>3207</v>
      </c>
      <c r="D8" t="str">
        <f>'Zoek Woning'!B9</f>
        <v/>
      </c>
    </row>
    <row r="9" spans="1:6" x14ac:dyDescent="0.2">
      <c r="A9" t="s">
        <v>3208</v>
      </c>
      <c r="B9" t="str">
        <f>'Zoek Woning'!B10</f>
        <v/>
      </c>
      <c r="C9" t="s">
        <v>3235</v>
      </c>
      <c r="D9" t="str">
        <f>'Zoek Woning'!B11</f>
        <v/>
      </c>
    </row>
    <row r="10" spans="1:6" x14ac:dyDescent="0.2">
      <c r="A10" t="s">
        <v>3211</v>
      </c>
      <c r="B10" t="str">
        <f>'Zoek Woning'!B12</f>
        <v/>
      </c>
      <c r="C10" t="s">
        <v>3213</v>
      </c>
      <c r="D10" t="str">
        <f>'Zoek Woning'!B13</f>
        <v/>
      </c>
    </row>
    <row r="12" spans="1:6" ht="16" x14ac:dyDescent="0.2">
      <c r="A12" s="29" t="s">
        <v>3200</v>
      </c>
      <c r="B12" s="25"/>
      <c r="C12" s="25"/>
      <c r="D12" s="25"/>
      <c r="E12" s="25"/>
      <c r="F12" s="25"/>
    </row>
    <row r="13" spans="1:6" x14ac:dyDescent="0.2">
      <c r="A13" t="s">
        <v>3202</v>
      </c>
      <c r="B13" t="str">
        <f>'Zoek Woning'!E6</f>
        <v/>
      </c>
    </row>
    <row r="14" spans="1:6" x14ac:dyDescent="0.2">
      <c r="A14" t="s">
        <v>3204</v>
      </c>
      <c r="B14" t="str">
        <f>'Zoek Woning'!E7</f>
        <v/>
      </c>
    </row>
    <row r="15" spans="1:6" x14ac:dyDescent="0.2">
      <c r="A15" t="s">
        <v>3206</v>
      </c>
      <c r="B15" t="str">
        <f>'Zoek Woning'!E8</f>
        <v/>
      </c>
    </row>
    <row r="17" spans="1:6" ht="16" x14ac:dyDescent="0.2">
      <c r="A17" s="29" t="s">
        <v>3236</v>
      </c>
      <c r="B17" s="25"/>
      <c r="C17" s="25"/>
      <c r="D17" s="25"/>
      <c r="E17" s="25"/>
      <c r="F17" s="25"/>
    </row>
    <row r="18" spans="1:6" x14ac:dyDescent="0.2">
      <c r="A18" t="s">
        <v>3202</v>
      </c>
      <c r="B18" t="str">
        <f>'Zoek Woning'!E13</f>
        <v/>
      </c>
    </row>
    <row r="19" spans="1:6" x14ac:dyDescent="0.2">
      <c r="A19" t="s">
        <v>3204</v>
      </c>
      <c r="B19" t="s">
        <v>3277</v>
      </c>
    </row>
    <row r="20" spans="1:6" x14ac:dyDescent="0.2">
      <c r="A20" t="s">
        <v>3206</v>
      </c>
      <c r="B20" t="str">
        <f>'Zoek Woning'!E15</f>
        <v/>
      </c>
    </row>
    <row r="22" spans="1:6" ht="16" x14ac:dyDescent="0.2">
      <c r="A22" s="29" t="s">
        <v>3237</v>
      </c>
      <c r="B22" s="25"/>
      <c r="C22" s="25"/>
      <c r="D22" s="25"/>
      <c r="E22" s="25"/>
      <c r="F22" s="25"/>
    </row>
    <row r="23" spans="1:6" x14ac:dyDescent="0.2">
      <c r="A23" t="s">
        <v>3238</v>
      </c>
      <c r="B23" t="str">
        <f>'Zoek Woning'!B20</f>
        <v/>
      </c>
      <c r="C23" t="s">
        <v>3239</v>
      </c>
      <c r="D23" t="str">
        <f>'Zoek Woning'!E20</f>
        <v/>
      </c>
    </row>
    <row r="24" spans="1:6" x14ac:dyDescent="0.2">
      <c r="A24" t="s">
        <v>3223</v>
      </c>
      <c r="B24" t="str">
        <f>'Zoek Woning'!B24</f>
        <v/>
      </c>
      <c r="C24" t="s">
        <v>3224</v>
      </c>
      <c r="D24" t="str">
        <f>'Zoek Woning'!B25</f>
        <v/>
      </c>
    </row>
    <row r="25" spans="1:6" x14ac:dyDescent="0.2">
      <c r="A25" t="s">
        <v>3225</v>
      </c>
      <c r="B25" t="str">
        <f>'Zoek Woning'!B26</f>
        <v/>
      </c>
    </row>
    <row r="27" spans="1:6" ht="16" x14ac:dyDescent="0.2">
      <c r="A27" s="29" t="s">
        <v>3240</v>
      </c>
      <c r="B27" s="25"/>
      <c r="C27" s="25"/>
      <c r="D27" s="25"/>
      <c r="E27" s="25"/>
      <c r="F27" s="25"/>
    </row>
    <row r="28" spans="1:6" x14ac:dyDescent="0.2">
      <c r="A28" t="s">
        <v>3241</v>
      </c>
      <c r="B28" t="str">
        <f>'Zoek Woning'!B18</f>
        <v/>
      </c>
      <c r="C28" t="s">
        <v>3242</v>
      </c>
      <c r="D28" t="str">
        <f>'Zoek Woning'!B19</f>
        <v/>
      </c>
    </row>
    <row r="29" spans="1:6" x14ac:dyDescent="0.2">
      <c r="A29" t="s">
        <v>3243</v>
      </c>
      <c r="B29" t="str">
        <f>'Zoek Woning'!E18</f>
        <v/>
      </c>
      <c r="C29" t="s">
        <v>3244</v>
      </c>
      <c r="D29" t="str">
        <f>'Zoek Woning'!E19</f>
        <v/>
      </c>
    </row>
    <row r="31" spans="1:6" ht="16" x14ac:dyDescent="0.2">
      <c r="A31" s="29" t="s">
        <v>3245</v>
      </c>
      <c r="B31" s="25"/>
      <c r="C31" s="25"/>
      <c r="D31" s="25"/>
      <c r="E31" s="25"/>
      <c r="F31" s="25"/>
    </row>
    <row r="32" spans="1:6" x14ac:dyDescent="0.2">
      <c r="A32" t="s">
        <v>3227</v>
      </c>
      <c r="B32" t="str">
        <f>'Zoek Woning'!B29</f>
        <v/>
      </c>
    </row>
    <row r="33" spans="1:2" x14ac:dyDescent="0.2">
      <c r="A33" t="s">
        <v>3228</v>
      </c>
      <c r="B33" t="str">
        <f>'Zoek Woning'!B30</f>
        <v/>
      </c>
    </row>
    <row r="34" spans="1:2" x14ac:dyDescent="0.2">
      <c r="A34" t="s">
        <v>3229</v>
      </c>
      <c r="B34" t="str">
        <f>'Zoek Woning'!B31</f>
        <v/>
      </c>
    </row>
    <row r="36" spans="1:2" x14ac:dyDescent="0.2">
      <c r="A36" s="13" t="s">
        <v>3246</v>
      </c>
    </row>
  </sheetData>
  <mergeCells count="7">
    <mergeCell ref="A1:F1"/>
    <mergeCell ref="A27:F27"/>
    <mergeCell ref="A31:F31"/>
    <mergeCell ref="A6:F6"/>
    <mergeCell ref="A22:F22"/>
    <mergeCell ref="A17:F17"/>
    <mergeCell ref="A12:F12"/>
  </mergeCells>
  <pageMargins left="0.5" right="0.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4"/>
  <sheetViews>
    <sheetView workbookViewId="0">
      <pane ySplit="4" topLeftCell="A5" activePane="bottomLeft" state="frozen"/>
      <selection pane="bottomLeft" activeCell="E144" sqref="E144"/>
    </sheetView>
  </sheetViews>
  <sheetFormatPr baseColWidth="10" defaultColWidth="8.83203125" defaultRowHeight="15" x14ac:dyDescent="0.2"/>
  <cols>
    <col min="1" max="1" width="21" customWidth="1"/>
    <col min="2" max="4" width="40" customWidth="1"/>
    <col min="5" max="5" width="30" customWidth="1"/>
    <col min="6" max="6" width="40" customWidth="1"/>
    <col min="7" max="7" width="20" customWidth="1"/>
    <col min="8" max="8" width="24" customWidth="1"/>
  </cols>
  <sheetData>
    <row r="1" spans="1:8" ht="24" x14ac:dyDescent="0.3">
      <c r="A1" s="32" t="s">
        <v>3247</v>
      </c>
      <c r="B1" s="25"/>
      <c r="C1" s="25"/>
      <c r="D1" s="25"/>
      <c r="E1" s="25"/>
      <c r="F1" s="25"/>
      <c r="G1" s="25"/>
      <c r="H1" s="25"/>
    </row>
    <row r="3" spans="1:8" ht="19" x14ac:dyDescent="0.25">
      <c r="A3" s="31" t="s">
        <v>3248</v>
      </c>
      <c r="B3" s="25"/>
      <c r="C3" s="25"/>
      <c r="D3" s="25"/>
      <c r="E3" s="25"/>
      <c r="F3" s="25"/>
      <c r="G3" s="25"/>
      <c r="H3" s="25"/>
    </row>
    <row r="4" spans="1:8" x14ac:dyDescent="0.2">
      <c r="A4" s="14" t="s">
        <v>3249</v>
      </c>
      <c r="B4" s="14" t="s">
        <v>3250</v>
      </c>
      <c r="C4" s="14" t="s">
        <v>3251</v>
      </c>
      <c r="D4" s="14" t="s">
        <v>3252</v>
      </c>
      <c r="E4" s="14" t="s">
        <v>3253</v>
      </c>
      <c r="F4" s="14" t="s">
        <v>3254</v>
      </c>
      <c r="G4" s="14" t="s">
        <v>3255</v>
      </c>
      <c r="H4" s="14" t="s">
        <v>3193</v>
      </c>
    </row>
    <row r="5" spans="1:8" x14ac:dyDescent="0.2">
      <c r="A5">
        <v>763</v>
      </c>
      <c r="B5" t="s">
        <v>160</v>
      </c>
      <c r="H5">
        <v>3</v>
      </c>
    </row>
    <row r="6" spans="1:8" x14ac:dyDescent="0.2">
      <c r="A6">
        <v>326</v>
      </c>
      <c r="B6" t="s">
        <v>296</v>
      </c>
      <c r="C6" t="s">
        <v>297</v>
      </c>
      <c r="H6">
        <v>2</v>
      </c>
    </row>
    <row r="7" spans="1:8" x14ac:dyDescent="0.2">
      <c r="A7">
        <v>984</v>
      </c>
      <c r="B7" t="s">
        <v>325</v>
      </c>
      <c r="C7" t="s">
        <v>327</v>
      </c>
      <c r="D7" t="s">
        <v>328</v>
      </c>
      <c r="E7" t="s">
        <v>329</v>
      </c>
      <c r="F7" t="s">
        <v>330</v>
      </c>
      <c r="G7" t="s">
        <v>272</v>
      </c>
      <c r="H7">
        <v>3</v>
      </c>
    </row>
    <row r="8" spans="1:8" x14ac:dyDescent="0.2">
      <c r="A8">
        <v>850</v>
      </c>
      <c r="B8" t="s">
        <v>353</v>
      </c>
      <c r="H8">
        <v>1</v>
      </c>
    </row>
    <row r="9" spans="1:8" x14ac:dyDescent="0.2">
      <c r="A9">
        <v>644</v>
      </c>
      <c r="B9" t="s">
        <v>409</v>
      </c>
      <c r="E9" t="s">
        <v>410</v>
      </c>
      <c r="G9" t="s">
        <v>411</v>
      </c>
      <c r="H9">
        <v>1</v>
      </c>
    </row>
    <row r="10" spans="1:8" x14ac:dyDescent="0.2">
      <c r="A10">
        <v>258</v>
      </c>
      <c r="B10" t="s">
        <v>444</v>
      </c>
      <c r="C10" t="s">
        <v>327</v>
      </c>
      <c r="E10" t="s">
        <v>445</v>
      </c>
      <c r="G10" t="s">
        <v>272</v>
      </c>
      <c r="H10">
        <v>6</v>
      </c>
    </row>
    <row r="11" spans="1:8" x14ac:dyDescent="0.2">
      <c r="A11">
        <v>147</v>
      </c>
      <c r="B11" t="s">
        <v>493</v>
      </c>
      <c r="C11" t="s">
        <v>494</v>
      </c>
      <c r="E11" t="s">
        <v>495</v>
      </c>
      <c r="G11" t="s">
        <v>496</v>
      </c>
      <c r="H11">
        <v>1</v>
      </c>
    </row>
    <row r="12" spans="1:8" x14ac:dyDescent="0.2">
      <c r="A12">
        <v>175</v>
      </c>
      <c r="B12" t="s">
        <v>516</v>
      </c>
      <c r="C12" t="s">
        <v>517</v>
      </c>
      <c r="E12" t="s">
        <v>518</v>
      </c>
      <c r="G12" t="s">
        <v>519</v>
      </c>
      <c r="H12">
        <v>3</v>
      </c>
    </row>
    <row r="13" spans="1:8" x14ac:dyDescent="0.2">
      <c r="A13">
        <v>206</v>
      </c>
      <c r="B13" t="s">
        <v>600</v>
      </c>
      <c r="C13" t="s">
        <v>601</v>
      </c>
      <c r="D13" t="s">
        <v>602</v>
      </c>
      <c r="E13" t="s">
        <v>603</v>
      </c>
      <c r="G13" t="s">
        <v>604</v>
      </c>
      <c r="H13">
        <v>1</v>
      </c>
    </row>
    <row r="14" spans="1:8" x14ac:dyDescent="0.2">
      <c r="A14">
        <v>111</v>
      </c>
      <c r="B14" t="s">
        <v>628</v>
      </c>
      <c r="C14" t="s">
        <v>629</v>
      </c>
      <c r="D14" t="s">
        <v>630</v>
      </c>
      <c r="E14" t="s">
        <v>631</v>
      </c>
      <c r="G14" t="s">
        <v>632</v>
      </c>
      <c r="H14">
        <v>1</v>
      </c>
    </row>
    <row r="15" spans="1:8" x14ac:dyDescent="0.2">
      <c r="A15">
        <v>802</v>
      </c>
      <c r="B15" t="s">
        <v>675</v>
      </c>
      <c r="H15">
        <v>1</v>
      </c>
    </row>
    <row r="16" spans="1:8" x14ac:dyDescent="0.2">
      <c r="A16">
        <v>806</v>
      </c>
      <c r="B16" t="s">
        <v>685</v>
      </c>
      <c r="H16">
        <v>1</v>
      </c>
    </row>
    <row r="17" spans="1:8" x14ac:dyDescent="0.2">
      <c r="A17">
        <v>241</v>
      </c>
      <c r="B17" t="s">
        <v>714</v>
      </c>
      <c r="C17" t="s">
        <v>715</v>
      </c>
      <c r="E17" t="s">
        <v>716</v>
      </c>
      <c r="G17" t="s">
        <v>717</v>
      </c>
      <c r="H17">
        <v>1</v>
      </c>
    </row>
    <row r="18" spans="1:8" x14ac:dyDescent="0.2">
      <c r="A18">
        <v>701</v>
      </c>
      <c r="B18" t="s">
        <v>748</v>
      </c>
      <c r="C18" t="s">
        <v>749</v>
      </c>
      <c r="E18" t="s">
        <v>750</v>
      </c>
      <c r="G18" t="s">
        <v>751</v>
      </c>
      <c r="H18">
        <v>3</v>
      </c>
    </row>
    <row r="19" spans="1:8" x14ac:dyDescent="0.2">
      <c r="A19">
        <v>630</v>
      </c>
      <c r="B19" t="s">
        <v>771</v>
      </c>
      <c r="H19">
        <v>1</v>
      </c>
    </row>
    <row r="20" spans="1:8" x14ac:dyDescent="0.2">
      <c r="A20">
        <v>839</v>
      </c>
      <c r="B20" t="s">
        <v>788</v>
      </c>
      <c r="H20">
        <v>1</v>
      </c>
    </row>
    <row r="21" spans="1:8" x14ac:dyDescent="0.2">
      <c r="A21">
        <v>271</v>
      </c>
      <c r="B21" t="s">
        <v>806</v>
      </c>
      <c r="C21" t="s">
        <v>807</v>
      </c>
      <c r="D21" t="s">
        <v>808</v>
      </c>
      <c r="E21" t="s">
        <v>809</v>
      </c>
      <c r="G21" t="s">
        <v>252</v>
      </c>
      <c r="H21">
        <v>10</v>
      </c>
    </row>
    <row r="22" spans="1:8" x14ac:dyDescent="0.2">
      <c r="A22">
        <v>314</v>
      </c>
      <c r="B22" t="s">
        <v>828</v>
      </c>
      <c r="C22" t="s">
        <v>829</v>
      </c>
      <c r="D22" t="s">
        <v>830</v>
      </c>
      <c r="E22" t="s">
        <v>821</v>
      </c>
      <c r="G22" t="s">
        <v>823</v>
      </c>
      <c r="H22">
        <v>1</v>
      </c>
    </row>
    <row r="23" spans="1:8" x14ac:dyDescent="0.2">
      <c r="A23">
        <v>795</v>
      </c>
      <c r="B23" t="s">
        <v>891</v>
      </c>
      <c r="C23" t="s">
        <v>892</v>
      </c>
      <c r="D23" t="s">
        <v>893</v>
      </c>
      <c r="H23">
        <v>4</v>
      </c>
    </row>
    <row r="24" spans="1:8" x14ac:dyDescent="0.2">
      <c r="A24">
        <v>295</v>
      </c>
      <c r="B24" t="s">
        <v>938</v>
      </c>
      <c r="C24" t="s">
        <v>939</v>
      </c>
      <c r="D24" t="s">
        <v>940</v>
      </c>
      <c r="E24" t="s">
        <v>941</v>
      </c>
      <c r="G24" t="s">
        <v>942</v>
      </c>
      <c r="H24">
        <v>4</v>
      </c>
    </row>
    <row r="25" spans="1:8" x14ac:dyDescent="0.2">
      <c r="A25">
        <v>302</v>
      </c>
      <c r="B25" t="s">
        <v>953</v>
      </c>
      <c r="C25" t="s">
        <v>954</v>
      </c>
      <c r="H25">
        <v>1</v>
      </c>
    </row>
    <row r="26" spans="1:8" x14ac:dyDescent="0.2">
      <c r="A26">
        <v>823</v>
      </c>
      <c r="B26" t="s">
        <v>981</v>
      </c>
      <c r="H26">
        <v>2</v>
      </c>
    </row>
    <row r="27" spans="1:8" x14ac:dyDescent="0.2">
      <c r="A27">
        <v>60</v>
      </c>
      <c r="B27" t="s">
        <v>1011</v>
      </c>
      <c r="C27" t="s">
        <v>1013</v>
      </c>
      <c r="D27" t="s">
        <v>1014</v>
      </c>
      <c r="E27" t="s">
        <v>1015</v>
      </c>
      <c r="G27" t="s">
        <v>1016</v>
      </c>
      <c r="H27">
        <v>1</v>
      </c>
    </row>
    <row r="28" spans="1:8" x14ac:dyDescent="0.2">
      <c r="A28">
        <v>824</v>
      </c>
      <c r="B28" t="s">
        <v>1026</v>
      </c>
      <c r="H28">
        <v>1</v>
      </c>
    </row>
    <row r="29" spans="1:8" x14ac:dyDescent="0.2">
      <c r="A29">
        <v>792</v>
      </c>
      <c r="B29" t="s">
        <v>1039</v>
      </c>
      <c r="H29">
        <v>1</v>
      </c>
    </row>
    <row r="30" spans="1:8" x14ac:dyDescent="0.2">
      <c r="A30">
        <v>783</v>
      </c>
      <c r="B30" t="s">
        <v>1054</v>
      </c>
      <c r="H30">
        <v>3</v>
      </c>
    </row>
    <row r="31" spans="1:8" x14ac:dyDescent="0.2">
      <c r="A31">
        <v>7</v>
      </c>
      <c r="B31" t="s">
        <v>1104</v>
      </c>
      <c r="C31" t="s">
        <v>1105</v>
      </c>
      <c r="E31" t="s">
        <v>1106</v>
      </c>
      <c r="G31" t="s">
        <v>1107</v>
      </c>
      <c r="H31">
        <v>1</v>
      </c>
    </row>
    <row r="32" spans="1:8" x14ac:dyDescent="0.2">
      <c r="A32">
        <v>115</v>
      </c>
      <c r="B32" t="s">
        <v>1133</v>
      </c>
      <c r="E32" t="s">
        <v>1134</v>
      </c>
      <c r="G32" t="s">
        <v>496</v>
      </c>
      <c r="H32">
        <v>1</v>
      </c>
    </row>
    <row r="33" spans="1:8" x14ac:dyDescent="0.2">
      <c r="A33">
        <v>291</v>
      </c>
      <c r="B33" t="s">
        <v>1177</v>
      </c>
      <c r="C33" t="s">
        <v>1178</v>
      </c>
      <c r="H33">
        <v>2</v>
      </c>
    </row>
    <row r="34" spans="1:8" x14ac:dyDescent="0.2">
      <c r="A34">
        <v>836</v>
      </c>
      <c r="B34" t="s">
        <v>1241</v>
      </c>
      <c r="H34">
        <v>1</v>
      </c>
    </row>
    <row r="35" spans="1:8" x14ac:dyDescent="0.2">
      <c r="A35">
        <v>602</v>
      </c>
      <c r="B35" t="s">
        <v>1274</v>
      </c>
      <c r="C35" t="s">
        <v>1275</v>
      </c>
      <c r="D35" t="s">
        <v>1276</v>
      </c>
      <c r="H35">
        <v>3</v>
      </c>
    </row>
    <row r="36" spans="1:8" x14ac:dyDescent="0.2">
      <c r="A36">
        <v>803</v>
      </c>
      <c r="B36" t="s">
        <v>1308</v>
      </c>
      <c r="H36">
        <v>1</v>
      </c>
    </row>
    <row r="37" spans="1:8" x14ac:dyDescent="0.2">
      <c r="A37">
        <v>164</v>
      </c>
      <c r="B37" t="s">
        <v>1324</v>
      </c>
      <c r="C37" t="s">
        <v>1325</v>
      </c>
      <c r="D37" t="s">
        <v>1326</v>
      </c>
      <c r="E37" t="s">
        <v>1327</v>
      </c>
      <c r="G37" t="s">
        <v>1328</v>
      </c>
      <c r="H37">
        <v>1</v>
      </c>
    </row>
    <row r="38" spans="1:8" x14ac:dyDescent="0.2">
      <c r="A38">
        <v>135</v>
      </c>
      <c r="B38" t="s">
        <v>1384</v>
      </c>
      <c r="C38" t="s">
        <v>1385</v>
      </c>
      <c r="E38" t="s">
        <v>1386</v>
      </c>
      <c r="G38" t="s">
        <v>1387</v>
      </c>
      <c r="H38">
        <v>1</v>
      </c>
    </row>
    <row r="39" spans="1:8" x14ac:dyDescent="0.2">
      <c r="A39">
        <v>848</v>
      </c>
      <c r="B39" t="s">
        <v>1403</v>
      </c>
      <c r="C39" t="s">
        <v>1404</v>
      </c>
      <c r="D39" t="s">
        <v>1405</v>
      </c>
      <c r="H39">
        <v>1</v>
      </c>
    </row>
    <row r="40" spans="1:8" x14ac:dyDescent="0.2">
      <c r="A40">
        <v>211</v>
      </c>
      <c r="B40" t="s">
        <v>1446</v>
      </c>
      <c r="C40" t="s">
        <v>1447</v>
      </c>
      <c r="E40" t="s">
        <v>1448</v>
      </c>
      <c r="G40" t="s">
        <v>1449</v>
      </c>
      <c r="H40">
        <v>10</v>
      </c>
    </row>
    <row r="41" spans="1:8" x14ac:dyDescent="0.2">
      <c r="A41">
        <v>542</v>
      </c>
      <c r="B41" t="s">
        <v>1506</v>
      </c>
      <c r="H41">
        <v>1</v>
      </c>
    </row>
    <row r="42" spans="1:8" x14ac:dyDescent="0.2">
      <c r="A42">
        <v>989</v>
      </c>
      <c r="B42" t="s">
        <v>1527</v>
      </c>
      <c r="D42" t="s">
        <v>1528</v>
      </c>
      <c r="H42">
        <v>1</v>
      </c>
    </row>
    <row r="43" spans="1:8" x14ac:dyDescent="0.2">
      <c r="A43">
        <v>838</v>
      </c>
      <c r="B43" t="s">
        <v>1564</v>
      </c>
      <c r="H43">
        <v>1</v>
      </c>
    </row>
    <row r="44" spans="1:8" x14ac:dyDescent="0.2">
      <c r="A44">
        <v>840</v>
      </c>
      <c r="B44" t="s">
        <v>1594</v>
      </c>
      <c r="H44">
        <v>1</v>
      </c>
    </row>
    <row r="45" spans="1:8" x14ac:dyDescent="0.2">
      <c r="A45">
        <v>997</v>
      </c>
      <c r="B45" t="s">
        <v>1603</v>
      </c>
      <c r="H45">
        <v>1</v>
      </c>
    </row>
    <row r="46" spans="1:8" x14ac:dyDescent="0.2">
      <c r="A46">
        <v>590</v>
      </c>
      <c r="B46" t="s">
        <v>1633</v>
      </c>
      <c r="C46" t="s">
        <v>1634</v>
      </c>
      <c r="D46" t="s">
        <v>1635</v>
      </c>
      <c r="H46">
        <v>1</v>
      </c>
    </row>
    <row r="47" spans="1:8" x14ac:dyDescent="0.2">
      <c r="A47">
        <v>17</v>
      </c>
      <c r="B47" t="s">
        <v>108</v>
      </c>
      <c r="C47" t="s">
        <v>110</v>
      </c>
      <c r="D47" t="s">
        <v>111</v>
      </c>
      <c r="E47" t="s">
        <v>112</v>
      </c>
      <c r="F47" t="s">
        <v>113</v>
      </c>
      <c r="G47" t="s">
        <v>114</v>
      </c>
      <c r="H47">
        <v>5</v>
      </c>
    </row>
    <row r="48" spans="1:8" x14ac:dyDescent="0.2">
      <c r="A48">
        <v>970</v>
      </c>
      <c r="B48" t="s">
        <v>1686</v>
      </c>
      <c r="C48" t="s">
        <v>1687</v>
      </c>
      <c r="D48" t="s">
        <v>1688</v>
      </c>
      <c r="E48" t="s">
        <v>1689</v>
      </c>
      <c r="F48" t="s">
        <v>1690</v>
      </c>
      <c r="G48" t="s">
        <v>100</v>
      </c>
      <c r="H48">
        <v>1</v>
      </c>
    </row>
    <row r="49" spans="1:8" x14ac:dyDescent="0.2">
      <c r="A49">
        <v>983</v>
      </c>
      <c r="B49" t="s">
        <v>1705</v>
      </c>
      <c r="E49" t="s">
        <v>1706</v>
      </c>
      <c r="F49" t="s">
        <v>1707</v>
      </c>
      <c r="G49" t="s">
        <v>114</v>
      </c>
      <c r="H49">
        <v>1</v>
      </c>
    </row>
    <row r="50" spans="1:8" x14ac:dyDescent="0.2">
      <c r="A50">
        <v>979</v>
      </c>
      <c r="B50" t="s">
        <v>1830</v>
      </c>
      <c r="E50" t="s">
        <v>1831</v>
      </c>
      <c r="G50" t="s">
        <v>1832</v>
      </c>
      <c r="H50">
        <v>1</v>
      </c>
    </row>
    <row r="51" spans="1:8" x14ac:dyDescent="0.2">
      <c r="A51">
        <v>969</v>
      </c>
      <c r="B51" t="s">
        <v>1876</v>
      </c>
      <c r="C51" t="s">
        <v>1877</v>
      </c>
      <c r="D51" t="s">
        <v>1878</v>
      </c>
      <c r="E51" t="s">
        <v>1879</v>
      </c>
      <c r="F51" t="s">
        <v>1880</v>
      </c>
      <c r="G51" t="s">
        <v>1881</v>
      </c>
      <c r="H51">
        <v>3</v>
      </c>
    </row>
    <row r="52" spans="1:8" x14ac:dyDescent="0.2">
      <c r="A52">
        <v>53</v>
      </c>
      <c r="B52" t="s">
        <v>1918</v>
      </c>
      <c r="C52" t="s">
        <v>1919</v>
      </c>
      <c r="E52" t="s">
        <v>1920</v>
      </c>
      <c r="G52" t="s">
        <v>1921</v>
      </c>
      <c r="H52">
        <v>1</v>
      </c>
    </row>
    <row r="53" spans="1:8" x14ac:dyDescent="0.2">
      <c r="A53">
        <v>656</v>
      </c>
      <c r="B53" t="s">
        <v>1928</v>
      </c>
      <c r="H53">
        <v>1</v>
      </c>
    </row>
    <row r="54" spans="1:8" x14ac:dyDescent="0.2">
      <c r="A54">
        <v>993</v>
      </c>
      <c r="B54" t="s">
        <v>1964</v>
      </c>
      <c r="E54" t="s">
        <v>1965</v>
      </c>
      <c r="F54" t="s">
        <v>1966</v>
      </c>
      <c r="G54" t="s">
        <v>147</v>
      </c>
      <c r="H54">
        <v>1</v>
      </c>
    </row>
    <row r="55" spans="1:8" x14ac:dyDescent="0.2">
      <c r="A55">
        <v>982</v>
      </c>
      <c r="B55" t="s">
        <v>1973</v>
      </c>
      <c r="E55" t="s">
        <v>1974</v>
      </c>
      <c r="F55" t="s">
        <v>1975</v>
      </c>
      <c r="G55" t="s">
        <v>272</v>
      </c>
      <c r="H55">
        <v>1</v>
      </c>
    </row>
    <row r="56" spans="1:8" x14ac:dyDescent="0.2">
      <c r="A56">
        <v>300</v>
      </c>
      <c r="B56" t="s">
        <v>2040</v>
      </c>
      <c r="C56" t="s">
        <v>2041</v>
      </c>
      <c r="D56" t="s">
        <v>2042</v>
      </c>
      <c r="H56">
        <v>1</v>
      </c>
    </row>
    <row r="57" spans="1:8" x14ac:dyDescent="0.2">
      <c r="A57">
        <v>311</v>
      </c>
      <c r="B57" t="s">
        <v>2156</v>
      </c>
      <c r="C57" t="s">
        <v>2157</v>
      </c>
      <c r="E57" t="s">
        <v>2158</v>
      </c>
      <c r="G57" t="s">
        <v>2159</v>
      </c>
      <c r="H57">
        <v>4</v>
      </c>
    </row>
    <row r="58" spans="1:8" x14ac:dyDescent="0.2">
      <c r="A58">
        <v>954</v>
      </c>
      <c r="B58" t="s">
        <v>2184</v>
      </c>
      <c r="C58" t="s">
        <v>2186</v>
      </c>
      <c r="D58" t="s">
        <v>2187</v>
      </c>
      <c r="H58">
        <v>1</v>
      </c>
    </row>
    <row r="59" spans="1:8" x14ac:dyDescent="0.2">
      <c r="A59">
        <v>771</v>
      </c>
      <c r="B59" t="s">
        <v>2193</v>
      </c>
      <c r="H59">
        <v>1</v>
      </c>
    </row>
    <row r="60" spans="1:8" x14ac:dyDescent="0.2">
      <c r="A60">
        <v>955</v>
      </c>
      <c r="B60" t="s">
        <v>2205</v>
      </c>
      <c r="C60" t="s">
        <v>2207</v>
      </c>
      <c r="D60" t="s">
        <v>2208</v>
      </c>
      <c r="H60">
        <v>1</v>
      </c>
    </row>
    <row r="61" spans="1:8" x14ac:dyDescent="0.2">
      <c r="A61">
        <v>952</v>
      </c>
      <c r="B61" t="s">
        <v>2224</v>
      </c>
      <c r="C61" t="s">
        <v>2225</v>
      </c>
      <c r="D61" t="s">
        <v>2226</v>
      </c>
      <c r="H61">
        <v>4</v>
      </c>
    </row>
    <row r="62" spans="1:8" x14ac:dyDescent="0.2">
      <c r="A62">
        <v>957</v>
      </c>
      <c r="B62" t="s">
        <v>2239</v>
      </c>
      <c r="C62" t="s">
        <v>2241</v>
      </c>
      <c r="D62" t="s">
        <v>2242</v>
      </c>
      <c r="H62">
        <v>1</v>
      </c>
    </row>
    <row r="63" spans="1:8" x14ac:dyDescent="0.2">
      <c r="A63">
        <v>759</v>
      </c>
      <c r="B63" t="s">
        <v>2248</v>
      </c>
      <c r="H63">
        <v>1</v>
      </c>
    </row>
    <row r="64" spans="1:8" x14ac:dyDescent="0.2">
      <c r="A64">
        <v>956</v>
      </c>
      <c r="B64" t="s">
        <v>2253</v>
      </c>
      <c r="C64" t="s">
        <v>2255</v>
      </c>
      <c r="D64" t="s">
        <v>2256</v>
      </c>
      <c r="H64">
        <v>2</v>
      </c>
    </row>
    <row r="65" spans="1:8" x14ac:dyDescent="0.2">
      <c r="A65">
        <v>786</v>
      </c>
      <c r="B65" t="s">
        <v>2265</v>
      </c>
      <c r="H65">
        <v>1</v>
      </c>
    </row>
    <row r="66" spans="1:8" x14ac:dyDescent="0.2">
      <c r="A66">
        <v>766</v>
      </c>
      <c r="B66" t="s">
        <v>2300</v>
      </c>
      <c r="C66" t="s">
        <v>2301</v>
      </c>
      <c r="D66" t="s">
        <v>2302</v>
      </c>
      <c r="H66">
        <v>8</v>
      </c>
    </row>
    <row r="67" spans="1:8" x14ac:dyDescent="0.2">
      <c r="A67">
        <v>726</v>
      </c>
      <c r="B67" t="s">
        <v>2314</v>
      </c>
      <c r="H67">
        <v>7</v>
      </c>
    </row>
    <row r="68" spans="1:8" x14ac:dyDescent="0.2">
      <c r="A68">
        <v>849</v>
      </c>
      <c r="B68" t="s">
        <v>2377</v>
      </c>
      <c r="H68">
        <v>14</v>
      </c>
    </row>
    <row r="69" spans="1:8" x14ac:dyDescent="0.2">
      <c r="A69">
        <v>821</v>
      </c>
      <c r="B69" t="s">
        <v>2466</v>
      </c>
      <c r="H69">
        <v>1</v>
      </c>
    </row>
    <row r="70" spans="1:8" x14ac:dyDescent="0.2">
      <c r="A70">
        <v>837</v>
      </c>
      <c r="B70" t="s">
        <v>2471</v>
      </c>
      <c r="C70" t="s">
        <v>2472</v>
      </c>
      <c r="D70" t="s">
        <v>2473</v>
      </c>
      <c r="H70">
        <v>1</v>
      </c>
    </row>
    <row r="71" spans="1:8" x14ac:dyDescent="0.2">
      <c r="A71">
        <v>85</v>
      </c>
      <c r="B71" t="s">
        <v>2500</v>
      </c>
      <c r="C71" t="s">
        <v>2501</v>
      </c>
      <c r="D71" t="s">
        <v>2502</v>
      </c>
      <c r="E71" t="s">
        <v>2503</v>
      </c>
      <c r="G71" t="s">
        <v>2504</v>
      </c>
      <c r="H71">
        <v>2</v>
      </c>
    </row>
    <row r="72" spans="1:8" x14ac:dyDescent="0.2">
      <c r="A72">
        <v>805</v>
      </c>
      <c r="B72" t="s">
        <v>2542</v>
      </c>
      <c r="H72">
        <v>1</v>
      </c>
    </row>
    <row r="73" spans="1:8" x14ac:dyDescent="0.2">
      <c r="A73">
        <v>253</v>
      </c>
      <c r="B73" t="s">
        <v>2570</v>
      </c>
      <c r="C73" t="s">
        <v>2571</v>
      </c>
      <c r="D73" t="s">
        <v>2572</v>
      </c>
      <c r="E73" t="s">
        <v>2573</v>
      </c>
      <c r="G73" t="s">
        <v>2574</v>
      </c>
      <c r="H73">
        <v>2</v>
      </c>
    </row>
    <row r="74" spans="1:8" x14ac:dyDescent="0.2">
      <c r="A74">
        <v>854</v>
      </c>
      <c r="B74" t="s">
        <v>2603</v>
      </c>
      <c r="H74">
        <v>1</v>
      </c>
    </row>
    <row r="75" spans="1:8" x14ac:dyDescent="0.2">
      <c r="A75">
        <v>990</v>
      </c>
      <c r="B75" t="s">
        <v>2606</v>
      </c>
      <c r="H75">
        <v>1</v>
      </c>
    </row>
    <row r="76" spans="1:8" x14ac:dyDescent="0.2">
      <c r="A76">
        <v>681</v>
      </c>
      <c r="B76" t="s">
        <v>2623</v>
      </c>
      <c r="H76">
        <v>1</v>
      </c>
    </row>
    <row r="77" spans="1:8" x14ac:dyDescent="0.2">
      <c r="A77">
        <v>816</v>
      </c>
      <c r="B77" t="s">
        <v>2701</v>
      </c>
      <c r="H77">
        <v>6</v>
      </c>
    </row>
    <row r="78" spans="1:8" x14ac:dyDescent="0.2">
      <c r="A78">
        <v>121</v>
      </c>
      <c r="B78" t="s">
        <v>2745</v>
      </c>
      <c r="C78" t="s">
        <v>2746</v>
      </c>
      <c r="E78" t="s">
        <v>2747</v>
      </c>
      <c r="G78" t="s">
        <v>2748</v>
      </c>
      <c r="H78">
        <v>1</v>
      </c>
    </row>
    <row r="79" spans="1:8" x14ac:dyDescent="0.2">
      <c r="A79">
        <v>359</v>
      </c>
      <c r="B79" t="s">
        <v>2759</v>
      </c>
      <c r="C79" t="s">
        <v>2760</v>
      </c>
      <c r="E79" t="s">
        <v>2761</v>
      </c>
      <c r="G79" t="s">
        <v>2762</v>
      </c>
      <c r="H79">
        <v>1</v>
      </c>
    </row>
    <row r="80" spans="1:8" x14ac:dyDescent="0.2">
      <c r="A80">
        <v>683</v>
      </c>
      <c r="B80" t="s">
        <v>2784</v>
      </c>
      <c r="H80">
        <v>1</v>
      </c>
    </row>
    <row r="81" spans="1:8" x14ac:dyDescent="0.2">
      <c r="A81">
        <v>799</v>
      </c>
      <c r="B81" t="s">
        <v>2807</v>
      </c>
      <c r="C81" t="s">
        <v>2808</v>
      </c>
      <c r="D81" t="s">
        <v>2809</v>
      </c>
      <c r="H81">
        <v>2</v>
      </c>
    </row>
    <row r="82" spans="1:8" x14ac:dyDescent="0.2">
      <c r="A82">
        <v>958</v>
      </c>
      <c r="B82" t="s">
        <v>2829</v>
      </c>
      <c r="C82" t="s">
        <v>2831</v>
      </c>
      <c r="D82" t="s">
        <v>2832</v>
      </c>
      <c r="H82">
        <v>1</v>
      </c>
    </row>
    <row r="83" spans="1:8" x14ac:dyDescent="0.2">
      <c r="A83">
        <v>172</v>
      </c>
      <c r="B83" t="s">
        <v>2092</v>
      </c>
      <c r="C83" t="s">
        <v>2093</v>
      </c>
      <c r="D83" t="s">
        <v>2094</v>
      </c>
      <c r="E83" t="s">
        <v>2095</v>
      </c>
      <c r="G83" t="s">
        <v>2096</v>
      </c>
      <c r="H83">
        <v>1</v>
      </c>
    </row>
    <row r="84" spans="1:8" x14ac:dyDescent="0.2">
      <c r="A84">
        <v>832</v>
      </c>
      <c r="B84" t="s">
        <v>2885</v>
      </c>
      <c r="H84">
        <v>1</v>
      </c>
    </row>
    <row r="85" spans="1:8" x14ac:dyDescent="0.2">
      <c r="A85">
        <v>84</v>
      </c>
      <c r="B85" t="s">
        <v>2547</v>
      </c>
      <c r="H85">
        <v>1</v>
      </c>
    </row>
    <row r="86" spans="1:8" x14ac:dyDescent="0.2">
      <c r="A86">
        <v>751</v>
      </c>
      <c r="B86" t="s">
        <v>2901</v>
      </c>
      <c r="H86">
        <v>2</v>
      </c>
    </row>
    <row r="87" spans="1:8" x14ac:dyDescent="0.2">
      <c r="A87">
        <v>375</v>
      </c>
      <c r="B87" t="s">
        <v>2923</v>
      </c>
      <c r="C87" t="s">
        <v>2924</v>
      </c>
      <c r="E87" t="s">
        <v>2925</v>
      </c>
      <c r="G87" t="s">
        <v>2926</v>
      </c>
      <c r="H87">
        <v>1</v>
      </c>
    </row>
    <row r="88" spans="1:8" x14ac:dyDescent="0.2">
      <c r="A88">
        <v>145</v>
      </c>
      <c r="B88" t="s">
        <v>2952</v>
      </c>
      <c r="C88" t="s">
        <v>2953</v>
      </c>
      <c r="E88" t="s">
        <v>2954</v>
      </c>
      <c r="G88" t="s">
        <v>272</v>
      </c>
      <c r="H88">
        <v>3</v>
      </c>
    </row>
    <row r="89" spans="1:8" x14ac:dyDescent="0.2">
      <c r="A89">
        <v>971</v>
      </c>
      <c r="B89" t="s">
        <v>3003</v>
      </c>
      <c r="E89" t="s">
        <v>3004</v>
      </c>
      <c r="F89" t="s">
        <v>3005</v>
      </c>
      <c r="G89" t="s">
        <v>1582</v>
      </c>
      <c r="H89">
        <v>1</v>
      </c>
    </row>
    <row r="92" spans="1:8" ht="19" x14ac:dyDescent="0.25">
      <c r="A92" s="31" t="s">
        <v>3256</v>
      </c>
      <c r="B92" s="25"/>
      <c r="C92" s="25"/>
      <c r="D92" s="25"/>
      <c r="E92" s="25"/>
      <c r="F92" s="25"/>
      <c r="G92" s="25"/>
      <c r="H92" s="25"/>
    </row>
    <row r="93" spans="1:8" x14ac:dyDescent="0.2">
      <c r="A93" s="15" t="s">
        <v>3249</v>
      </c>
      <c r="B93" s="15" t="s">
        <v>3250</v>
      </c>
      <c r="C93" s="15" t="s">
        <v>3257</v>
      </c>
      <c r="D93" s="15" t="s">
        <v>3251</v>
      </c>
      <c r="E93" s="15" t="s">
        <v>3252</v>
      </c>
      <c r="F93" s="15" t="s">
        <v>3253</v>
      </c>
      <c r="G93" s="15" t="s">
        <v>3254</v>
      </c>
      <c r="H93" s="15" t="s">
        <v>3255</v>
      </c>
    </row>
    <row r="94" spans="1:8" x14ac:dyDescent="0.2">
      <c r="A94">
        <v>17</v>
      </c>
      <c r="B94" t="s">
        <v>108</v>
      </c>
      <c r="C94" t="s">
        <v>109</v>
      </c>
      <c r="D94" t="s">
        <v>110</v>
      </c>
      <c r="E94" t="s">
        <v>111</v>
      </c>
      <c r="F94" t="s">
        <v>112</v>
      </c>
      <c r="G94" t="s">
        <v>113</v>
      </c>
      <c r="H94" t="s">
        <v>114</v>
      </c>
    </row>
    <row r="95" spans="1:8" x14ac:dyDescent="0.2">
      <c r="A95">
        <v>237</v>
      </c>
      <c r="B95" t="s">
        <v>164</v>
      </c>
      <c r="C95" t="s">
        <v>109</v>
      </c>
      <c r="D95" t="s">
        <v>165</v>
      </c>
      <c r="E95" t="s">
        <v>166</v>
      </c>
      <c r="F95" t="s">
        <v>167</v>
      </c>
      <c r="H95" t="s">
        <v>155</v>
      </c>
    </row>
    <row r="96" spans="1:8" x14ac:dyDescent="0.2">
      <c r="A96">
        <v>353</v>
      </c>
      <c r="B96" t="s">
        <v>175</v>
      </c>
      <c r="C96" t="s">
        <v>109</v>
      </c>
      <c r="D96" t="s">
        <v>176</v>
      </c>
      <c r="E96" t="s">
        <v>177</v>
      </c>
      <c r="F96" t="s">
        <v>178</v>
      </c>
      <c r="H96" t="s">
        <v>179</v>
      </c>
    </row>
    <row r="97" spans="1:8" x14ac:dyDescent="0.2">
      <c r="A97">
        <v>154</v>
      </c>
      <c r="B97" t="s">
        <v>192</v>
      </c>
      <c r="C97" t="s">
        <v>109</v>
      </c>
      <c r="D97" t="s">
        <v>193</v>
      </c>
      <c r="E97" t="s">
        <v>194</v>
      </c>
      <c r="F97" t="s">
        <v>195</v>
      </c>
      <c r="H97" t="s">
        <v>196</v>
      </c>
    </row>
    <row r="98" spans="1:8" x14ac:dyDescent="0.2">
      <c r="A98">
        <v>236</v>
      </c>
      <c r="B98" t="s">
        <v>301</v>
      </c>
      <c r="C98" t="s">
        <v>109</v>
      </c>
      <c r="D98" t="s">
        <v>302</v>
      </c>
      <c r="E98" t="s">
        <v>303</v>
      </c>
      <c r="F98" t="s">
        <v>304</v>
      </c>
      <c r="H98" t="s">
        <v>305</v>
      </c>
    </row>
    <row r="99" spans="1:8" x14ac:dyDescent="0.2">
      <c r="A99">
        <v>329</v>
      </c>
      <c r="B99" t="s">
        <v>356</v>
      </c>
      <c r="C99" t="s">
        <v>109</v>
      </c>
      <c r="D99" t="s">
        <v>357</v>
      </c>
      <c r="E99" t="s">
        <v>358</v>
      </c>
      <c r="F99" t="s">
        <v>359</v>
      </c>
      <c r="H99" t="s">
        <v>360</v>
      </c>
    </row>
    <row r="100" spans="1:8" x14ac:dyDescent="0.2">
      <c r="A100">
        <v>220</v>
      </c>
      <c r="B100" t="s">
        <v>423</v>
      </c>
      <c r="C100" t="s">
        <v>109</v>
      </c>
      <c r="D100" t="s">
        <v>424</v>
      </c>
      <c r="E100" t="s">
        <v>425</v>
      </c>
      <c r="F100" t="s">
        <v>426</v>
      </c>
      <c r="H100" t="s">
        <v>427</v>
      </c>
    </row>
    <row r="101" spans="1:8" x14ac:dyDescent="0.2">
      <c r="A101">
        <v>330</v>
      </c>
      <c r="B101" t="s">
        <v>475</v>
      </c>
      <c r="C101" t="s">
        <v>109</v>
      </c>
      <c r="D101" t="s">
        <v>476</v>
      </c>
      <c r="F101" t="s">
        <v>477</v>
      </c>
      <c r="H101" t="s">
        <v>478</v>
      </c>
    </row>
    <row r="102" spans="1:8" x14ac:dyDescent="0.2">
      <c r="A102">
        <v>286</v>
      </c>
      <c r="B102" t="s">
        <v>523</v>
      </c>
      <c r="C102" t="s">
        <v>109</v>
      </c>
      <c r="D102" t="s">
        <v>524</v>
      </c>
      <c r="E102" t="s">
        <v>525</v>
      </c>
      <c r="F102" t="s">
        <v>526</v>
      </c>
      <c r="H102" t="s">
        <v>527</v>
      </c>
    </row>
    <row r="103" spans="1:8" x14ac:dyDescent="0.2">
      <c r="A103">
        <v>312</v>
      </c>
      <c r="B103" t="s">
        <v>538</v>
      </c>
      <c r="C103" t="s">
        <v>109</v>
      </c>
      <c r="D103" t="s">
        <v>539</v>
      </c>
      <c r="E103" t="s">
        <v>540</v>
      </c>
      <c r="F103" t="s">
        <v>541</v>
      </c>
      <c r="H103" t="s">
        <v>542</v>
      </c>
    </row>
    <row r="104" spans="1:8" x14ac:dyDescent="0.2">
      <c r="A104">
        <v>210</v>
      </c>
      <c r="B104" t="s">
        <v>719</v>
      </c>
      <c r="C104" t="s">
        <v>109</v>
      </c>
      <c r="D104" t="s">
        <v>720</v>
      </c>
      <c r="E104" t="s">
        <v>721</v>
      </c>
      <c r="F104" t="s">
        <v>722</v>
      </c>
      <c r="H104" t="s">
        <v>723</v>
      </c>
    </row>
    <row r="105" spans="1:8" x14ac:dyDescent="0.2">
      <c r="A105">
        <v>324</v>
      </c>
      <c r="B105" t="s">
        <v>775</v>
      </c>
      <c r="C105" t="s">
        <v>109</v>
      </c>
      <c r="D105" t="s">
        <v>776</v>
      </c>
      <c r="F105" t="s">
        <v>777</v>
      </c>
      <c r="H105" t="s">
        <v>778</v>
      </c>
    </row>
    <row r="106" spans="1:8" x14ac:dyDescent="0.2">
      <c r="A106">
        <v>290</v>
      </c>
      <c r="B106" t="s">
        <v>894</v>
      </c>
      <c r="C106" t="s">
        <v>109</v>
      </c>
      <c r="D106" t="s">
        <v>895</v>
      </c>
      <c r="E106" t="s">
        <v>896</v>
      </c>
      <c r="F106" t="s">
        <v>897</v>
      </c>
      <c r="H106" t="s">
        <v>898</v>
      </c>
    </row>
    <row r="107" spans="1:8" x14ac:dyDescent="0.2">
      <c r="A107">
        <v>26</v>
      </c>
      <c r="B107" t="s">
        <v>1056</v>
      </c>
      <c r="C107" t="s">
        <v>109</v>
      </c>
      <c r="D107" t="s">
        <v>1057</v>
      </c>
      <c r="E107" t="s">
        <v>1058</v>
      </c>
      <c r="F107" t="s">
        <v>1059</v>
      </c>
      <c r="H107" t="s">
        <v>205</v>
      </c>
    </row>
    <row r="108" spans="1:8" x14ac:dyDescent="0.2">
      <c r="A108">
        <v>6</v>
      </c>
      <c r="B108" t="s">
        <v>1071</v>
      </c>
      <c r="C108" t="s">
        <v>1072</v>
      </c>
      <c r="D108" t="s">
        <v>1073</v>
      </c>
      <c r="F108" t="s">
        <v>1074</v>
      </c>
      <c r="H108" t="s">
        <v>946</v>
      </c>
    </row>
    <row r="109" spans="1:8" x14ac:dyDescent="0.2">
      <c r="A109">
        <v>363</v>
      </c>
      <c r="B109" t="s">
        <v>1139</v>
      </c>
      <c r="C109" t="s">
        <v>109</v>
      </c>
      <c r="D109" t="s">
        <v>1140</v>
      </c>
      <c r="E109" t="s">
        <v>1141</v>
      </c>
      <c r="F109" t="s">
        <v>1142</v>
      </c>
      <c r="H109" t="s">
        <v>1143</v>
      </c>
    </row>
    <row r="110" spans="1:8" x14ac:dyDescent="0.2">
      <c r="A110">
        <v>342</v>
      </c>
      <c r="B110" t="s">
        <v>1156</v>
      </c>
      <c r="C110" t="s">
        <v>109</v>
      </c>
      <c r="D110" t="s">
        <v>1157</v>
      </c>
      <c r="E110" t="s">
        <v>1158</v>
      </c>
      <c r="F110" t="s">
        <v>1159</v>
      </c>
      <c r="H110" t="s">
        <v>272</v>
      </c>
    </row>
    <row r="111" spans="1:8" x14ac:dyDescent="0.2">
      <c r="A111">
        <v>320</v>
      </c>
      <c r="B111" t="s">
        <v>1180</v>
      </c>
      <c r="C111" t="s">
        <v>109</v>
      </c>
      <c r="D111" t="s">
        <v>1181</v>
      </c>
      <c r="E111" t="s">
        <v>1182</v>
      </c>
      <c r="F111" t="s">
        <v>1183</v>
      </c>
      <c r="H111" t="s">
        <v>427</v>
      </c>
    </row>
    <row r="112" spans="1:8" x14ac:dyDescent="0.2">
      <c r="A112">
        <v>23</v>
      </c>
      <c r="B112" t="s">
        <v>1278</v>
      </c>
      <c r="C112" t="s">
        <v>109</v>
      </c>
      <c r="F112" t="s">
        <v>1279</v>
      </c>
      <c r="H112" t="s">
        <v>1280</v>
      </c>
    </row>
    <row r="113" spans="1:8" x14ac:dyDescent="0.2">
      <c r="A113">
        <v>298</v>
      </c>
      <c r="B113" t="s">
        <v>1283</v>
      </c>
      <c r="C113" t="s">
        <v>109</v>
      </c>
      <c r="D113" t="s">
        <v>1284</v>
      </c>
      <c r="E113" t="s">
        <v>1285</v>
      </c>
      <c r="F113" t="s">
        <v>1286</v>
      </c>
      <c r="H113" t="s">
        <v>568</v>
      </c>
    </row>
    <row r="114" spans="1:8" x14ac:dyDescent="0.2">
      <c r="A114">
        <v>276</v>
      </c>
      <c r="B114" t="s">
        <v>1310</v>
      </c>
      <c r="C114" t="s">
        <v>109</v>
      </c>
      <c r="D114" t="s">
        <v>1311</v>
      </c>
      <c r="E114" t="s">
        <v>1312</v>
      </c>
      <c r="F114" t="s">
        <v>1313</v>
      </c>
      <c r="H114" t="s">
        <v>1314</v>
      </c>
    </row>
    <row r="115" spans="1:8" x14ac:dyDescent="0.2">
      <c r="A115">
        <v>89</v>
      </c>
      <c r="B115" t="s">
        <v>1330</v>
      </c>
      <c r="C115" t="s">
        <v>1072</v>
      </c>
    </row>
    <row r="116" spans="1:8" x14ac:dyDescent="0.2">
      <c r="A116">
        <v>346</v>
      </c>
      <c r="B116" t="s">
        <v>1356</v>
      </c>
      <c r="C116" t="s">
        <v>109</v>
      </c>
      <c r="D116" t="s">
        <v>1357</v>
      </c>
      <c r="E116" t="s">
        <v>1358</v>
      </c>
      <c r="F116" t="s">
        <v>1359</v>
      </c>
      <c r="H116" t="s">
        <v>1360</v>
      </c>
    </row>
    <row r="117" spans="1:8" x14ac:dyDescent="0.2">
      <c r="A117">
        <v>30</v>
      </c>
      <c r="B117" t="s">
        <v>1408</v>
      </c>
      <c r="C117" t="s">
        <v>109</v>
      </c>
      <c r="D117" t="s">
        <v>1409</v>
      </c>
      <c r="E117" t="s">
        <v>1410</v>
      </c>
      <c r="F117" t="s">
        <v>1411</v>
      </c>
      <c r="H117" t="s">
        <v>233</v>
      </c>
    </row>
    <row r="118" spans="1:8" x14ac:dyDescent="0.2">
      <c r="A118">
        <v>360</v>
      </c>
      <c r="B118" t="s">
        <v>1452</v>
      </c>
      <c r="C118" t="s">
        <v>109</v>
      </c>
      <c r="D118" t="s">
        <v>1453</v>
      </c>
      <c r="E118" t="s">
        <v>1454</v>
      </c>
      <c r="F118" t="s">
        <v>1455</v>
      </c>
      <c r="H118" t="s">
        <v>114</v>
      </c>
    </row>
    <row r="119" spans="1:8" x14ac:dyDescent="0.2">
      <c r="A119">
        <v>190</v>
      </c>
      <c r="B119" t="s">
        <v>1491</v>
      </c>
      <c r="C119" t="s">
        <v>109</v>
      </c>
      <c r="D119" t="s">
        <v>1492</v>
      </c>
      <c r="F119" t="s">
        <v>1493</v>
      </c>
      <c r="H119" t="s">
        <v>233</v>
      </c>
    </row>
    <row r="120" spans="1:8" x14ac:dyDescent="0.2">
      <c r="A120">
        <v>336</v>
      </c>
      <c r="B120" t="s">
        <v>1508</v>
      </c>
      <c r="C120" t="s">
        <v>109</v>
      </c>
      <c r="D120" t="s">
        <v>1509</v>
      </c>
      <c r="F120" t="s">
        <v>1510</v>
      </c>
      <c r="H120" t="s">
        <v>1511</v>
      </c>
    </row>
    <row r="121" spans="1:8" x14ac:dyDescent="0.2">
      <c r="A121">
        <v>355</v>
      </c>
      <c r="B121" t="s">
        <v>1579</v>
      </c>
      <c r="C121" t="s">
        <v>109</v>
      </c>
      <c r="D121" t="s">
        <v>1580</v>
      </c>
      <c r="F121" t="s">
        <v>1581</v>
      </c>
      <c r="H121" t="s">
        <v>1582</v>
      </c>
    </row>
    <row r="122" spans="1:8" x14ac:dyDescent="0.2">
      <c r="A122">
        <v>372</v>
      </c>
      <c r="B122" t="s">
        <v>1637</v>
      </c>
      <c r="C122" t="s">
        <v>109</v>
      </c>
      <c r="D122" t="s">
        <v>1638</v>
      </c>
      <c r="E122" t="s">
        <v>1639</v>
      </c>
      <c r="F122" t="s">
        <v>1640</v>
      </c>
      <c r="H122" t="s">
        <v>1641</v>
      </c>
    </row>
    <row r="123" spans="1:8" x14ac:dyDescent="0.2">
      <c r="A123">
        <v>234</v>
      </c>
      <c r="B123" t="s">
        <v>1717</v>
      </c>
      <c r="C123" t="s">
        <v>109</v>
      </c>
      <c r="D123" t="s">
        <v>1718</v>
      </c>
      <c r="E123" t="s">
        <v>1719</v>
      </c>
      <c r="F123" t="s">
        <v>1720</v>
      </c>
      <c r="H123" t="s">
        <v>1721</v>
      </c>
    </row>
    <row r="124" spans="1:8" x14ac:dyDescent="0.2">
      <c r="A124">
        <v>266</v>
      </c>
      <c r="B124" t="s">
        <v>1743</v>
      </c>
      <c r="C124" t="s">
        <v>109</v>
      </c>
      <c r="D124" t="s">
        <v>1744</v>
      </c>
      <c r="F124" t="s">
        <v>1745</v>
      </c>
      <c r="H124" t="s">
        <v>1746</v>
      </c>
    </row>
    <row r="125" spans="1:8" x14ac:dyDescent="0.2">
      <c r="A125">
        <v>48</v>
      </c>
      <c r="B125" t="s">
        <v>1806</v>
      </c>
      <c r="C125" t="s">
        <v>109</v>
      </c>
    </row>
    <row r="126" spans="1:8" x14ac:dyDescent="0.2">
      <c r="A126">
        <v>126</v>
      </c>
      <c r="B126" t="s">
        <v>1995</v>
      </c>
      <c r="C126" t="s">
        <v>109</v>
      </c>
      <c r="D126" t="s">
        <v>1996</v>
      </c>
      <c r="E126" t="s">
        <v>1997</v>
      </c>
      <c r="F126" t="s">
        <v>1998</v>
      </c>
      <c r="H126" t="s">
        <v>1999</v>
      </c>
    </row>
    <row r="127" spans="1:8" x14ac:dyDescent="0.2">
      <c r="A127">
        <v>374</v>
      </c>
      <c r="B127" t="s">
        <v>2059</v>
      </c>
      <c r="C127" t="s">
        <v>109</v>
      </c>
      <c r="D127" t="s">
        <v>2060</v>
      </c>
      <c r="E127" t="s">
        <v>2061</v>
      </c>
      <c r="F127" t="s">
        <v>2062</v>
      </c>
      <c r="H127" t="s">
        <v>2063</v>
      </c>
    </row>
    <row r="128" spans="1:8" x14ac:dyDescent="0.2">
      <c r="A128">
        <v>217</v>
      </c>
      <c r="B128" t="s">
        <v>2076</v>
      </c>
      <c r="C128" t="s">
        <v>109</v>
      </c>
      <c r="D128" t="s">
        <v>2077</v>
      </c>
      <c r="F128" t="s">
        <v>2078</v>
      </c>
      <c r="H128" t="s">
        <v>2079</v>
      </c>
    </row>
    <row r="129" spans="1:8" x14ac:dyDescent="0.2">
      <c r="A129">
        <v>172</v>
      </c>
      <c r="B129" t="s">
        <v>2092</v>
      </c>
      <c r="C129" t="s">
        <v>109</v>
      </c>
      <c r="D129" t="s">
        <v>2093</v>
      </c>
      <c r="E129" t="s">
        <v>2094</v>
      </c>
      <c r="F129" t="s">
        <v>2095</v>
      </c>
      <c r="H129" t="s">
        <v>2096</v>
      </c>
    </row>
    <row r="130" spans="1:8" x14ac:dyDescent="0.2">
      <c r="A130">
        <v>88</v>
      </c>
      <c r="B130" t="s">
        <v>2161</v>
      </c>
      <c r="C130" t="s">
        <v>1072</v>
      </c>
      <c r="D130" t="s">
        <v>1996</v>
      </c>
      <c r="E130" t="s">
        <v>2162</v>
      </c>
    </row>
    <row r="131" spans="1:8" x14ac:dyDescent="0.2">
      <c r="A131">
        <v>284</v>
      </c>
      <c r="B131" t="s">
        <v>2176</v>
      </c>
      <c r="C131" t="s">
        <v>109</v>
      </c>
      <c r="D131" t="s">
        <v>2177</v>
      </c>
      <c r="F131" t="s">
        <v>112</v>
      </c>
      <c r="H131" t="s">
        <v>114</v>
      </c>
    </row>
    <row r="132" spans="1:8" x14ac:dyDescent="0.2">
      <c r="A132">
        <v>304</v>
      </c>
      <c r="B132" t="s">
        <v>2315</v>
      </c>
      <c r="C132" t="s">
        <v>109</v>
      </c>
      <c r="D132" t="s">
        <v>2316</v>
      </c>
      <c r="E132" t="s">
        <v>2317</v>
      </c>
      <c r="F132" t="s">
        <v>2318</v>
      </c>
      <c r="H132" t="s">
        <v>2319</v>
      </c>
    </row>
    <row r="133" spans="1:8" x14ac:dyDescent="0.2">
      <c r="A133">
        <v>348</v>
      </c>
      <c r="B133" t="s">
        <v>2350</v>
      </c>
      <c r="C133" t="s">
        <v>109</v>
      </c>
      <c r="D133" t="s">
        <v>2351</v>
      </c>
      <c r="E133" t="s">
        <v>2352</v>
      </c>
      <c r="F133" t="s">
        <v>2353</v>
      </c>
      <c r="H133" t="s">
        <v>427</v>
      </c>
    </row>
    <row r="134" spans="1:8" x14ac:dyDescent="0.2">
      <c r="A134">
        <v>347</v>
      </c>
      <c r="B134" t="s">
        <v>2362</v>
      </c>
      <c r="C134" t="s">
        <v>109</v>
      </c>
      <c r="D134" t="s">
        <v>2363</v>
      </c>
      <c r="E134" t="s">
        <v>2364</v>
      </c>
      <c r="F134" t="s">
        <v>2365</v>
      </c>
      <c r="H134" t="s">
        <v>2366</v>
      </c>
    </row>
    <row r="135" spans="1:8" x14ac:dyDescent="0.2">
      <c r="A135">
        <v>149</v>
      </c>
      <c r="B135" t="s">
        <v>2378</v>
      </c>
      <c r="C135" t="s">
        <v>109</v>
      </c>
      <c r="D135" t="s">
        <v>2379</v>
      </c>
      <c r="E135" t="s">
        <v>2380</v>
      </c>
      <c r="F135" t="s">
        <v>2381</v>
      </c>
      <c r="H135" t="s">
        <v>2382</v>
      </c>
    </row>
    <row r="136" spans="1:8" x14ac:dyDescent="0.2">
      <c r="A136">
        <v>83</v>
      </c>
      <c r="B136" t="s">
        <v>2388</v>
      </c>
      <c r="C136" t="s">
        <v>1072</v>
      </c>
      <c r="D136" t="s">
        <v>2389</v>
      </c>
      <c r="E136" t="s">
        <v>2390</v>
      </c>
      <c r="F136" t="s">
        <v>2391</v>
      </c>
      <c r="H136" t="s">
        <v>2392</v>
      </c>
    </row>
    <row r="137" spans="1:8" x14ac:dyDescent="0.2">
      <c r="A137">
        <v>352</v>
      </c>
      <c r="B137" t="s">
        <v>2451</v>
      </c>
      <c r="C137" t="s">
        <v>109</v>
      </c>
      <c r="D137" t="s">
        <v>2452</v>
      </c>
      <c r="E137" t="s">
        <v>2453</v>
      </c>
      <c r="F137" t="s">
        <v>2454</v>
      </c>
      <c r="H137" t="s">
        <v>2455</v>
      </c>
    </row>
    <row r="138" spans="1:8" x14ac:dyDescent="0.2">
      <c r="A138">
        <v>305</v>
      </c>
      <c r="B138" t="s">
        <v>2484</v>
      </c>
      <c r="C138" t="s">
        <v>109</v>
      </c>
      <c r="D138" t="s">
        <v>2485</v>
      </c>
      <c r="F138" t="s">
        <v>2486</v>
      </c>
      <c r="H138" t="s">
        <v>2487</v>
      </c>
    </row>
    <row r="139" spans="1:8" x14ac:dyDescent="0.2">
      <c r="A139">
        <v>358</v>
      </c>
      <c r="B139" t="s">
        <v>2508</v>
      </c>
      <c r="C139" t="s">
        <v>109</v>
      </c>
      <c r="D139" t="s">
        <v>2509</v>
      </c>
      <c r="F139" t="s">
        <v>2510</v>
      </c>
      <c r="H139" t="s">
        <v>2511</v>
      </c>
    </row>
    <row r="140" spans="1:8" x14ac:dyDescent="0.2">
      <c r="A140">
        <v>84</v>
      </c>
      <c r="B140" t="s">
        <v>2547</v>
      </c>
      <c r="C140" t="s">
        <v>1072</v>
      </c>
    </row>
    <row r="141" spans="1:8" x14ac:dyDescent="0.2">
      <c r="A141">
        <v>86</v>
      </c>
      <c r="B141" t="s">
        <v>2594</v>
      </c>
      <c r="C141" t="s">
        <v>1072</v>
      </c>
    </row>
    <row r="142" spans="1:8" x14ac:dyDescent="0.2">
      <c r="A142">
        <v>277</v>
      </c>
      <c r="B142" t="s">
        <v>2639</v>
      </c>
      <c r="C142" t="s">
        <v>109</v>
      </c>
      <c r="D142" t="s">
        <v>2640</v>
      </c>
      <c r="F142" t="s">
        <v>2641</v>
      </c>
      <c r="H142" t="s">
        <v>2642</v>
      </c>
    </row>
    <row r="143" spans="1:8" x14ac:dyDescent="0.2">
      <c r="A143">
        <v>136</v>
      </c>
      <c r="B143" t="s">
        <v>2764</v>
      </c>
      <c r="C143" t="s">
        <v>109</v>
      </c>
      <c r="D143" t="s">
        <v>2765</v>
      </c>
      <c r="E143" t="s">
        <v>2766</v>
      </c>
      <c r="F143" t="s">
        <v>2767</v>
      </c>
      <c r="H143" t="s">
        <v>2768</v>
      </c>
    </row>
    <row r="144" spans="1:8" x14ac:dyDescent="0.2">
      <c r="A144">
        <v>123</v>
      </c>
      <c r="B144" t="s">
        <v>2872</v>
      </c>
      <c r="C144" t="s">
        <v>109</v>
      </c>
      <c r="D144" t="s">
        <v>2873</v>
      </c>
      <c r="E144" t="s">
        <v>2874</v>
      </c>
      <c r="F144" t="s">
        <v>2875</v>
      </c>
      <c r="H144" t="s">
        <v>272</v>
      </c>
    </row>
  </sheetData>
  <mergeCells count="3">
    <mergeCell ref="A3:H3"/>
    <mergeCell ref="A92:H9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6"/>
  <sheetViews>
    <sheetView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19" customWidth="1"/>
    <col min="2" max="2" width="38" customWidth="1"/>
    <col min="3" max="3" width="37" customWidth="1"/>
    <col min="4" max="5" width="12" customWidth="1"/>
    <col min="6" max="7" width="17" customWidth="1"/>
    <col min="8" max="13" width="6" customWidth="1"/>
  </cols>
  <sheetData>
    <row r="1" spans="1:13" ht="24" x14ac:dyDescent="0.3">
      <c r="A1" s="32" t="s">
        <v>3258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spans="1:13" x14ac:dyDescent="0.2">
      <c r="A3" s="16" t="s">
        <v>3176</v>
      </c>
      <c r="B3" s="16" t="s">
        <v>3253</v>
      </c>
      <c r="C3" s="16" t="s">
        <v>3259</v>
      </c>
      <c r="D3" s="16" t="s">
        <v>3260</v>
      </c>
      <c r="E3" s="16" t="s">
        <v>3261</v>
      </c>
      <c r="F3" s="16" t="s">
        <v>3174</v>
      </c>
      <c r="G3" s="16" t="s">
        <v>3262</v>
      </c>
    </row>
    <row r="4" spans="1:13" x14ac:dyDescent="0.2">
      <c r="A4" s="17" t="s">
        <v>2543</v>
      </c>
      <c r="B4" s="17" t="s">
        <v>2544</v>
      </c>
      <c r="C4" s="17" t="s">
        <v>2547</v>
      </c>
      <c r="D4" s="17" t="s">
        <v>2545</v>
      </c>
      <c r="E4" s="17" t="s">
        <v>2546</v>
      </c>
      <c r="F4" s="17" t="s">
        <v>163</v>
      </c>
      <c r="G4" s="17">
        <v>2</v>
      </c>
    </row>
    <row r="5" spans="1:13" x14ac:dyDescent="0.2">
      <c r="A5" s="17" t="s">
        <v>2522</v>
      </c>
      <c r="B5" s="17" t="s">
        <v>2523</v>
      </c>
      <c r="C5" s="17" t="s">
        <v>1491</v>
      </c>
      <c r="D5" s="17" t="s">
        <v>2449</v>
      </c>
      <c r="E5" s="17" t="s">
        <v>2450</v>
      </c>
      <c r="F5" s="17" t="s">
        <v>163</v>
      </c>
      <c r="G5" s="17">
        <v>10</v>
      </c>
    </row>
    <row r="6" spans="1:13" x14ac:dyDescent="0.2">
      <c r="A6" s="17" t="s">
        <v>2514</v>
      </c>
      <c r="B6" s="17" t="s">
        <v>2515</v>
      </c>
      <c r="C6" s="17" t="s">
        <v>1491</v>
      </c>
      <c r="D6" s="17" t="s">
        <v>2449</v>
      </c>
      <c r="E6" s="17" t="s">
        <v>2450</v>
      </c>
      <c r="F6" s="17" t="s">
        <v>163</v>
      </c>
      <c r="G6" s="17">
        <v>10</v>
      </c>
    </row>
    <row r="7" spans="1:13" x14ac:dyDescent="0.2">
      <c r="A7" s="17" t="s">
        <v>2548</v>
      </c>
      <c r="B7" s="17" t="s">
        <v>2549</v>
      </c>
      <c r="C7" s="17" t="s">
        <v>108</v>
      </c>
      <c r="D7" s="17" t="s">
        <v>2449</v>
      </c>
      <c r="E7" s="17" t="s">
        <v>2450</v>
      </c>
      <c r="F7" s="17" t="s">
        <v>163</v>
      </c>
      <c r="G7" s="17">
        <v>10</v>
      </c>
    </row>
    <row r="8" spans="1:13" x14ac:dyDescent="0.2">
      <c r="A8" s="17" t="s">
        <v>2528</v>
      </c>
      <c r="B8" s="17" t="s">
        <v>2529</v>
      </c>
      <c r="C8" s="17" t="s">
        <v>1491</v>
      </c>
      <c r="D8" s="17" t="s">
        <v>2449</v>
      </c>
      <c r="E8" s="17" t="s">
        <v>2450</v>
      </c>
      <c r="F8" s="17" t="s">
        <v>163</v>
      </c>
      <c r="G8" s="17">
        <v>10</v>
      </c>
    </row>
    <row r="9" spans="1:13" x14ac:dyDescent="0.2">
      <c r="A9" s="17" t="s">
        <v>2457</v>
      </c>
      <c r="B9" s="17" t="s">
        <v>2458</v>
      </c>
      <c r="C9" s="17" t="s">
        <v>2092</v>
      </c>
      <c r="D9" s="17" t="s">
        <v>2449</v>
      </c>
      <c r="E9" s="17" t="s">
        <v>2450</v>
      </c>
      <c r="F9" s="17" t="s">
        <v>163</v>
      </c>
      <c r="G9" s="17">
        <v>10</v>
      </c>
    </row>
    <row r="10" spans="1:13" x14ac:dyDescent="0.2">
      <c r="A10" s="17" t="s">
        <v>2595</v>
      </c>
      <c r="B10" s="17" t="s">
        <v>2596</v>
      </c>
      <c r="C10" s="17" t="s">
        <v>108</v>
      </c>
      <c r="D10" s="17" t="s">
        <v>2604</v>
      </c>
      <c r="E10" s="17" t="s">
        <v>2605</v>
      </c>
      <c r="F10" s="17" t="s">
        <v>163</v>
      </c>
      <c r="G10" s="17">
        <v>24</v>
      </c>
    </row>
    <row r="11" spans="1:13" x14ac:dyDescent="0.2">
      <c r="A11" s="17" t="s">
        <v>2595</v>
      </c>
      <c r="B11" s="17" t="s">
        <v>2596</v>
      </c>
      <c r="C11" s="17" t="s">
        <v>108</v>
      </c>
      <c r="D11" s="17" t="s">
        <v>2604</v>
      </c>
      <c r="E11" s="17" t="s">
        <v>2605</v>
      </c>
      <c r="F11" s="17" t="s">
        <v>163</v>
      </c>
      <c r="G11" s="17">
        <v>24</v>
      </c>
    </row>
    <row r="12" spans="1:13" x14ac:dyDescent="0.2">
      <c r="A12" s="18" t="s">
        <v>2578</v>
      </c>
      <c r="B12" s="18" t="s">
        <v>2579</v>
      </c>
      <c r="C12" s="18" t="s">
        <v>108</v>
      </c>
      <c r="D12" s="18" t="s">
        <v>2586</v>
      </c>
      <c r="E12" s="18" t="s">
        <v>2587</v>
      </c>
      <c r="F12" s="18" t="s">
        <v>163</v>
      </c>
      <c r="G12" s="18">
        <v>34</v>
      </c>
    </row>
    <row r="13" spans="1:13" x14ac:dyDescent="0.2">
      <c r="A13" s="18" t="s">
        <v>2467</v>
      </c>
      <c r="B13" s="18" t="s">
        <v>2468</v>
      </c>
      <c r="C13" s="18" t="s">
        <v>2092</v>
      </c>
      <c r="D13" s="18" t="s">
        <v>2474</v>
      </c>
      <c r="E13" s="18" t="s">
        <v>1137</v>
      </c>
      <c r="F13" s="18" t="s">
        <v>163</v>
      </c>
      <c r="G13" s="18">
        <v>37</v>
      </c>
    </row>
    <row r="14" spans="1:13" x14ac:dyDescent="0.2">
      <c r="A14" s="18" t="s">
        <v>1300</v>
      </c>
      <c r="B14" s="18" t="s">
        <v>1301</v>
      </c>
      <c r="C14" s="18" t="s">
        <v>1310</v>
      </c>
      <c r="D14" s="18" t="s">
        <v>1309</v>
      </c>
      <c r="E14" s="18" t="s">
        <v>1137</v>
      </c>
      <c r="F14" s="18" t="s">
        <v>163</v>
      </c>
      <c r="G14" s="18">
        <v>37</v>
      </c>
    </row>
    <row r="15" spans="1:13" x14ac:dyDescent="0.2">
      <c r="A15" s="18" t="s">
        <v>1124</v>
      </c>
      <c r="B15" s="18" t="s">
        <v>1125</v>
      </c>
      <c r="C15" s="18" t="s">
        <v>1139</v>
      </c>
      <c r="D15" s="18" t="s">
        <v>1136</v>
      </c>
      <c r="E15" s="18" t="s">
        <v>1137</v>
      </c>
      <c r="F15" s="18" t="s">
        <v>163</v>
      </c>
      <c r="G15" s="18">
        <v>37</v>
      </c>
    </row>
    <row r="16" spans="1:13" x14ac:dyDescent="0.2">
      <c r="A16" s="18" t="s">
        <v>2618</v>
      </c>
      <c r="B16" s="18" t="s">
        <v>2619</v>
      </c>
      <c r="C16" s="18" t="s">
        <v>2161</v>
      </c>
      <c r="D16" s="18" t="s">
        <v>2474</v>
      </c>
      <c r="E16" s="18" t="s">
        <v>2625</v>
      </c>
      <c r="F16" s="18" t="s">
        <v>163</v>
      </c>
      <c r="G16" s="18">
        <v>38</v>
      </c>
    </row>
    <row r="17" spans="1:7" x14ac:dyDescent="0.2">
      <c r="A17" s="18" t="s">
        <v>1497</v>
      </c>
      <c r="B17" s="18" t="s">
        <v>1498</v>
      </c>
      <c r="C17" s="18" t="s">
        <v>1508</v>
      </c>
      <c r="D17" s="18" t="s">
        <v>1513</v>
      </c>
      <c r="E17" s="18" t="s">
        <v>1514</v>
      </c>
      <c r="F17" s="18" t="s">
        <v>163</v>
      </c>
      <c r="G17" s="18">
        <v>57</v>
      </c>
    </row>
    <row r="18" spans="1:7" x14ac:dyDescent="0.2">
      <c r="A18" s="18" t="s">
        <v>1375</v>
      </c>
      <c r="B18" s="18" t="s">
        <v>1376</v>
      </c>
      <c r="C18" s="18" t="s">
        <v>1180</v>
      </c>
      <c r="D18" s="18" t="s">
        <v>1389</v>
      </c>
      <c r="E18" s="18" t="s">
        <v>1390</v>
      </c>
      <c r="F18" s="18" t="s">
        <v>163</v>
      </c>
      <c r="G18" s="18">
        <v>59</v>
      </c>
    </row>
    <row r="19" spans="1:7" x14ac:dyDescent="0.2">
      <c r="A19" t="s">
        <v>1147</v>
      </c>
      <c r="B19" t="s">
        <v>1148</v>
      </c>
      <c r="C19" t="s">
        <v>1156</v>
      </c>
      <c r="D19" t="s">
        <v>1040</v>
      </c>
      <c r="E19" t="s">
        <v>1055</v>
      </c>
      <c r="F19" t="s">
        <v>163</v>
      </c>
      <c r="G19">
        <v>68</v>
      </c>
    </row>
    <row r="20" spans="1:7" x14ac:dyDescent="0.2">
      <c r="A20" t="s">
        <v>1046</v>
      </c>
      <c r="B20" t="s">
        <v>1047</v>
      </c>
      <c r="C20" t="s">
        <v>1056</v>
      </c>
      <c r="D20" t="s">
        <v>1040</v>
      </c>
      <c r="E20" t="s">
        <v>1055</v>
      </c>
      <c r="F20" t="s">
        <v>163</v>
      </c>
      <c r="G20">
        <v>68</v>
      </c>
    </row>
    <row r="21" spans="1:7" x14ac:dyDescent="0.2">
      <c r="A21" t="s">
        <v>1162</v>
      </c>
      <c r="B21" t="s">
        <v>1163</v>
      </c>
      <c r="C21" t="s">
        <v>719</v>
      </c>
      <c r="D21" t="s">
        <v>1040</v>
      </c>
      <c r="E21" t="s">
        <v>1055</v>
      </c>
      <c r="F21" t="s">
        <v>163</v>
      </c>
      <c r="G21">
        <v>68</v>
      </c>
    </row>
    <row r="22" spans="1:7" x14ac:dyDescent="0.2">
      <c r="A22" t="s">
        <v>2886</v>
      </c>
      <c r="B22" t="s">
        <v>2887</v>
      </c>
      <c r="C22" t="s">
        <v>356</v>
      </c>
      <c r="D22" t="s">
        <v>2893</v>
      </c>
      <c r="E22" t="s">
        <v>1055</v>
      </c>
      <c r="F22" t="s">
        <v>163</v>
      </c>
      <c r="G22">
        <v>68</v>
      </c>
    </row>
    <row r="23" spans="1:7" x14ac:dyDescent="0.2">
      <c r="A23" t="s">
        <v>2894</v>
      </c>
      <c r="B23" t="s">
        <v>2895</v>
      </c>
      <c r="C23" t="s">
        <v>1278</v>
      </c>
      <c r="D23" t="s">
        <v>2902</v>
      </c>
      <c r="E23" t="s">
        <v>1055</v>
      </c>
      <c r="F23" t="s">
        <v>163</v>
      </c>
      <c r="G23">
        <v>68</v>
      </c>
    </row>
    <row r="24" spans="1:7" x14ac:dyDescent="0.2">
      <c r="A24" t="s">
        <v>2903</v>
      </c>
      <c r="B24" t="s">
        <v>2904</v>
      </c>
      <c r="C24" t="s">
        <v>1278</v>
      </c>
      <c r="D24" t="s">
        <v>2910</v>
      </c>
      <c r="E24" t="s">
        <v>1055</v>
      </c>
      <c r="F24" t="s">
        <v>163</v>
      </c>
      <c r="G24">
        <v>68</v>
      </c>
    </row>
    <row r="25" spans="1:7" x14ac:dyDescent="0.2">
      <c r="A25" t="s">
        <v>1167</v>
      </c>
      <c r="B25" t="s">
        <v>1168</v>
      </c>
      <c r="C25" t="s">
        <v>1180</v>
      </c>
      <c r="D25" t="s">
        <v>1040</v>
      </c>
      <c r="E25" t="s">
        <v>1055</v>
      </c>
      <c r="F25" t="s">
        <v>163</v>
      </c>
      <c r="G25">
        <v>68</v>
      </c>
    </row>
    <row r="26" spans="1:7" x14ac:dyDescent="0.2">
      <c r="A26" t="s">
        <v>2085</v>
      </c>
      <c r="B26" t="s">
        <v>2086</v>
      </c>
      <c r="C26" t="s">
        <v>2092</v>
      </c>
      <c r="D26" t="s">
        <v>2099</v>
      </c>
      <c r="E26" t="s">
        <v>2100</v>
      </c>
      <c r="F26" t="s">
        <v>163</v>
      </c>
      <c r="G26">
        <v>69</v>
      </c>
    </row>
    <row r="27" spans="1:7" x14ac:dyDescent="0.2">
      <c r="A27" t="s">
        <v>2107</v>
      </c>
      <c r="B27" t="s">
        <v>2108</v>
      </c>
      <c r="C27" t="s">
        <v>2092</v>
      </c>
      <c r="D27" t="s">
        <v>2099</v>
      </c>
      <c r="E27" t="s">
        <v>2100</v>
      </c>
      <c r="F27" t="s">
        <v>163</v>
      </c>
      <c r="G27">
        <v>69</v>
      </c>
    </row>
    <row r="28" spans="1:7" x14ac:dyDescent="0.2">
      <c r="A28" t="s">
        <v>2101</v>
      </c>
      <c r="B28" t="s">
        <v>2102</v>
      </c>
      <c r="C28" t="s">
        <v>2092</v>
      </c>
      <c r="D28" t="s">
        <v>2099</v>
      </c>
      <c r="E28" t="s">
        <v>2100</v>
      </c>
      <c r="F28" t="s">
        <v>163</v>
      </c>
      <c r="G28">
        <v>69</v>
      </c>
    </row>
    <row r="29" spans="1:7" x14ac:dyDescent="0.2">
      <c r="A29" t="s">
        <v>2137</v>
      </c>
      <c r="B29" t="s">
        <v>2138</v>
      </c>
      <c r="C29" t="s">
        <v>2092</v>
      </c>
      <c r="D29" t="s">
        <v>2099</v>
      </c>
      <c r="E29" t="s">
        <v>2100</v>
      </c>
      <c r="F29" t="s">
        <v>163</v>
      </c>
      <c r="G29">
        <v>69</v>
      </c>
    </row>
    <row r="30" spans="1:7" x14ac:dyDescent="0.2">
      <c r="A30" t="s">
        <v>183</v>
      </c>
      <c r="B30" t="s">
        <v>184</v>
      </c>
      <c r="C30" t="s">
        <v>192</v>
      </c>
      <c r="D30" t="s">
        <v>199</v>
      </c>
      <c r="E30" t="s">
        <v>200</v>
      </c>
      <c r="F30" t="s">
        <v>163</v>
      </c>
      <c r="G30">
        <v>85</v>
      </c>
    </row>
    <row r="31" spans="1:7" x14ac:dyDescent="0.2">
      <c r="A31" t="s">
        <v>2695</v>
      </c>
      <c r="B31" t="s">
        <v>2696</v>
      </c>
      <c r="C31" t="s">
        <v>1579</v>
      </c>
      <c r="D31" t="s">
        <v>2348</v>
      </c>
      <c r="E31" t="s">
        <v>2702</v>
      </c>
      <c r="F31" t="s">
        <v>163</v>
      </c>
      <c r="G31">
        <v>92</v>
      </c>
    </row>
    <row r="32" spans="1:7" x14ac:dyDescent="0.2">
      <c r="A32" t="s">
        <v>2703</v>
      </c>
      <c r="B32" t="s">
        <v>2704</v>
      </c>
      <c r="C32" t="s">
        <v>1995</v>
      </c>
      <c r="D32" t="s">
        <v>2348</v>
      </c>
      <c r="E32" t="s">
        <v>2710</v>
      </c>
      <c r="F32" t="s">
        <v>163</v>
      </c>
      <c r="G32">
        <v>93</v>
      </c>
    </row>
    <row r="33" spans="1:7" x14ac:dyDescent="0.2">
      <c r="A33" t="s">
        <v>2714</v>
      </c>
      <c r="B33" t="s">
        <v>2715</v>
      </c>
      <c r="C33" t="s">
        <v>1995</v>
      </c>
      <c r="D33" t="s">
        <v>2348</v>
      </c>
      <c r="E33" t="s">
        <v>2710</v>
      </c>
      <c r="F33" t="s">
        <v>163</v>
      </c>
      <c r="G33">
        <v>93</v>
      </c>
    </row>
    <row r="34" spans="1:7" x14ac:dyDescent="0.2">
      <c r="A34" t="s">
        <v>948</v>
      </c>
      <c r="B34" t="s">
        <v>949</v>
      </c>
      <c r="C34" t="s">
        <v>108</v>
      </c>
      <c r="D34" t="s">
        <v>956</v>
      </c>
      <c r="E34" t="s">
        <v>957</v>
      </c>
      <c r="F34" t="s">
        <v>163</v>
      </c>
      <c r="G34">
        <v>98</v>
      </c>
    </row>
    <row r="35" spans="1:7" x14ac:dyDescent="0.2">
      <c r="A35" t="s">
        <v>1869</v>
      </c>
      <c r="B35" t="s">
        <v>1870</v>
      </c>
      <c r="C35" t="s">
        <v>1278</v>
      </c>
      <c r="D35" t="s">
        <v>1807</v>
      </c>
      <c r="E35" t="s">
        <v>957</v>
      </c>
      <c r="F35" t="s">
        <v>163</v>
      </c>
      <c r="G35">
        <v>98</v>
      </c>
    </row>
    <row r="36" spans="1:7" x14ac:dyDescent="0.2">
      <c r="A36" t="s">
        <v>1625</v>
      </c>
      <c r="B36" t="s">
        <v>1626</v>
      </c>
      <c r="C36" t="s">
        <v>1637</v>
      </c>
      <c r="D36" t="s">
        <v>1643</v>
      </c>
      <c r="E36" t="s">
        <v>1644</v>
      </c>
      <c r="F36" t="s">
        <v>163</v>
      </c>
      <c r="G36">
        <v>104</v>
      </c>
    </row>
    <row r="37" spans="1:7" x14ac:dyDescent="0.2">
      <c r="A37" t="s">
        <v>1859</v>
      </c>
      <c r="B37" t="s">
        <v>1860</v>
      </c>
      <c r="C37" t="s">
        <v>1278</v>
      </c>
      <c r="D37" t="s">
        <v>1643</v>
      </c>
      <c r="E37" t="s">
        <v>1644</v>
      </c>
      <c r="F37" t="s">
        <v>163</v>
      </c>
      <c r="G37">
        <v>104</v>
      </c>
    </row>
    <row r="38" spans="1:7" x14ac:dyDescent="0.2">
      <c r="A38" t="s">
        <v>884</v>
      </c>
      <c r="B38" t="s">
        <v>885</v>
      </c>
      <c r="C38" t="s">
        <v>894</v>
      </c>
      <c r="D38" t="s">
        <v>773</v>
      </c>
      <c r="E38" t="s">
        <v>774</v>
      </c>
      <c r="F38" t="s">
        <v>163</v>
      </c>
      <c r="G38">
        <v>129</v>
      </c>
    </row>
    <row r="39" spans="1:7" x14ac:dyDescent="0.2">
      <c r="A39" t="s">
        <v>780</v>
      </c>
      <c r="B39" t="s">
        <v>781</v>
      </c>
      <c r="C39" t="s">
        <v>775</v>
      </c>
      <c r="D39" t="s">
        <v>773</v>
      </c>
      <c r="E39" t="s">
        <v>774</v>
      </c>
      <c r="F39" t="s">
        <v>163</v>
      </c>
      <c r="G39">
        <v>129</v>
      </c>
    </row>
    <row r="40" spans="1:7" x14ac:dyDescent="0.2">
      <c r="A40" t="s">
        <v>762</v>
      </c>
      <c r="B40" t="s">
        <v>763</v>
      </c>
      <c r="C40" t="s">
        <v>775</v>
      </c>
      <c r="D40" t="s">
        <v>773</v>
      </c>
      <c r="E40" t="s">
        <v>774</v>
      </c>
      <c r="F40" t="s">
        <v>163</v>
      </c>
      <c r="G40">
        <v>129</v>
      </c>
    </row>
    <row r="41" spans="1:7" x14ac:dyDescent="0.2">
      <c r="A41" t="s">
        <v>1988</v>
      </c>
      <c r="B41" t="s">
        <v>1989</v>
      </c>
      <c r="C41" t="s">
        <v>1995</v>
      </c>
      <c r="D41" t="s">
        <v>2002</v>
      </c>
      <c r="E41" t="s">
        <v>2003</v>
      </c>
      <c r="F41" t="s">
        <v>163</v>
      </c>
      <c r="G41">
        <v>139</v>
      </c>
    </row>
    <row r="42" spans="1:7" x14ac:dyDescent="0.2">
      <c r="A42" t="s">
        <v>2368</v>
      </c>
      <c r="B42" t="s">
        <v>2369</v>
      </c>
      <c r="C42" t="s">
        <v>2378</v>
      </c>
      <c r="D42" t="s">
        <v>299</v>
      </c>
      <c r="E42" t="s">
        <v>2384</v>
      </c>
      <c r="F42" t="s">
        <v>163</v>
      </c>
      <c r="G42">
        <v>141</v>
      </c>
    </row>
    <row r="43" spans="1:7" x14ac:dyDescent="0.2">
      <c r="A43" t="s">
        <v>707</v>
      </c>
      <c r="B43" t="s">
        <v>708</v>
      </c>
      <c r="C43" t="s">
        <v>719</v>
      </c>
      <c r="D43" t="s">
        <v>726</v>
      </c>
      <c r="E43" t="s">
        <v>727</v>
      </c>
      <c r="F43" t="s">
        <v>163</v>
      </c>
      <c r="G43">
        <v>144</v>
      </c>
    </row>
    <row r="44" spans="1:7" x14ac:dyDescent="0.2">
      <c r="A44" t="s">
        <v>2429</v>
      </c>
      <c r="B44" t="s">
        <v>2430</v>
      </c>
      <c r="C44" t="s">
        <v>2378</v>
      </c>
      <c r="D44" t="s">
        <v>2419</v>
      </c>
      <c r="E44" t="s">
        <v>2420</v>
      </c>
      <c r="F44" t="s">
        <v>163</v>
      </c>
      <c r="G44">
        <v>149</v>
      </c>
    </row>
    <row r="45" spans="1:7" x14ac:dyDescent="0.2">
      <c r="A45" t="s">
        <v>2416</v>
      </c>
      <c r="B45" t="s">
        <v>2417</v>
      </c>
      <c r="C45" t="s">
        <v>1717</v>
      </c>
      <c r="D45" t="s">
        <v>2419</v>
      </c>
      <c r="E45" t="s">
        <v>2420</v>
      </c>
      <c r="F45" t="s">
        <v>163</v>
      </c>
      <c r="G45">
        <v>149</v>
      </c>
    </row>
    <row r="46" spans="1:7" x14ac:dyDescent="0.2">
      <c r="A46" t="s">
        <v>2432</v>
      </c>
      <c r="B46" t="s">
        <v>2433</v>
      </c>
      <c r="C46" t="s">
        <v>1717</v>
      </c>
      <c r="D46" t="s">
        <v>2419</v>
      </c>
      <c r="E46" t="s">
        <v>2420</v>
      </c>
      <c r="F46" t="s">
        <v>163</v>
      </c>
      <c r="G46">
        <v>149</v>
      </c>
    </row>
    <row r="47" spans="1:7" x14ac:dyDescent="0.2">
      <c r="A47" t="s">
        <v>1771</v>
      </c>
      <c r="B47" t="s">
        <v>1772</v>
      </c>
      <c r="C47" t="s">
        <v>1579</v>
      </c>
      <c r="D47" t="s">
        <v>1778</v>
      </c>
      <c r="E47" t="s">
        <v>1779</v>
      </c>
      <c r="F47" t="s">
        <v>163</v>
      </c>
      <c r="G47">
        <v>162</v>
      </c>
    </row>
    <row r="48" spans="1:7" x14ac:dyDescent="0.2">
      <c r="A48" t="s">
        <v>2168</v>
      </c>
      <c r="B48" t="s">
        <v>2169</v>
      </c>
      <c r="C48" t="s">
        <v>2161</v>
      </c>
      <c r="D48" t="s">
        <v>2166</v>
      </c>
      <c r="E48" t="s">
        <v>2167</v>
      </c>
      <c r="F48" t="s">
        <v>163</v>
      </c>
      <c r="G48">
        <v>185</v>
      </c>
    </row>
    <row r="49" spans="1:7" x14ac:dyDescent="0.2">
      <c r="A49" t="s">
        <v>2164</v>
      </c>
      <c r="B49" t="s">
        <v>2165</v>
      </c>
      <c r="C49" t="s">
        <v>2161</v>
      </c>
      <c r="D49" t="s">
        <v>2166</v>
      </c>
      <c r="E49" t="s">
        <v>2167</v>
      </c>
      <c r="F49" t="s">
        <v>163</v>
      </c>
      <c r="G49">
        <v>185</v>
      </c>
    </row>
    <row r="50" spans="1:7" x14ac:dyDescent="0.2">
      <c r="A50" t="s">
        <v>2170</v>
      </c>
      <c r="B50" t="s">
        <v>2171</v>
      </c>
      <c r="C50" t="s">
        <v>2161</v>
      </c>
      <c r="D50" t="s">
        <v>536</v>
      </c>
      <c r="E50" t="s">
        <v>537</v>
      </c>
      <c r="F50" t="s">
        <v>163</v>
      </c>
      <c r="G50">
        <v>192</v>
      </c>
    </row>
    <row r="51" spans="1:7" x14ac:dyDescent="0.2">
      <c r="A51" t="s">
        <v>529</v>
      </c>
      <c r="B51" t="s">
        <v>530</v>
      </c>
      <c r="C51" t="s">
        <v>538</v>
      </c>
      <c r="D51" t="s">
        <v>536</v>
      </c>
      <c r="E51" t="s">
        <v>537</v>
      </c>
      <c r="F51" t="s">
        <v>163</v>
      </c>
      <c r="G51">
        <v>192</v>
      </c>
    </row>
    <row r="52" spans="1:7" x14ac:dyDescent="0.2">
      <c r="A52" t="s">
        <v>2149</v>
      </c>
      <c r="B52" t="s">
        <v>2150</v>
      </c>
      <c r="C52" t="s">
        <v>2161</v>
      </c>
      <c r="D52" t="s">
        <v>536</v>
      </c>
      <c r="E52" t="s">
        <v>537</v>
      </c>
      <c r="F52" t="s">
        <v>163</v>
      </c>
      <c r="G52">
        <v>192</v>
      </c>
    </row>
    <row r="53" spans="1:7" x14ac:dyDescent="0.2">
      <c r="A53" t="s">
        <v>2810</v>
      </c>
      <c r="B53" t="s">
        <v>2811</v>
      </c>
      <c r="C53" t="s">
        <v>108</v>
      </c>
      <c r="D53" t="s">
        <v>2819</v>
      </c>
      <c r="E53" t="s">
        <v>2820</v>
      </c>
      <c r="F53" t="s">
        <v>163</v>
      </c>
      <c r="G53">
        <v>200</v>
      </c>
    </row>
    <row r="54" spans="1:7" x14ac:dyDescent="0.2">
      <c r="A54" t="s">
        <v>2393</v>
      </c>
      <c r="B54" t="s">
        <v>2394</v>
      </c>
      <c r="C54" t="s">
        <v>1717</v>
      </c>
      <c r="D54" t="s">
        <v>2396</v>
      </c>
      <c r="E54" t="s">
        <v>2397</v>
      </c>
      <c r="F54" t="s">
        <v>163</v>
      </c>
      <c r="G54">
        <v>205</v>
      </c>
    </row>
    <row r="55" spans="1:7" x14ac:dyDescent="0.2">
      <c r="A55" t="s">
        <v>1437</v>
      </c>
      <c r="B55" t="s">
        <v>1438</v>
      </c>
      <c r="C55" t="s">
        <v>1452</v>
      </c>
      <c r="D55" t="s">
        <v>1457</v>
      </c>
      <c r="E55" t="s">
        <v>1458</v>
      </c>
      <c r="F55" t="s">
        <v>163</v>
      </c>
      <c r="G55">
        <v>218</v>
      </c>
    </row>
    <row r="56" spans="1:7" x14ac:dyDescent="0.2">
      <c r="A56" t="s">
        <v>400</v>
      </c>
      <c r="B56" t="s">
        <v>401</v>
      </c>
      <c r="C56" t="s">
        <v>356</v>
      </c>
      <c r="D56" t="s">
        <v>413</v>
      </c>
      <c r="E56" t="s">
        <v>414</v>
      </c>
      <c r="F56" t="s">
        <v>163</v>
      </c>
      <c r="G56">
        <v>221</v>
      </c>
    </row>
    <row r="57" spans="1:7" x14ac:dyDescent="0.2">
      <c r="A57" t="s">
        <v>2385</v>
      </c>
      <c r="B57" t="s">
        <v>2386</v>
      </c>
      <c r="C57" t="s">
        <v>2388</v>
      </c>
      <c r="D57" t="s">
        <v>413</v>
      </c>
      <c r="E57" t="s">
        <v>414</v>
      </c>
      <c r="F57" t="s">
        <v>163</v>
      </c>
      <c r="G57">
        <v>221</v>
      </c>
    </row>
    <row r="58" spans="1:7" x14ac:dyDescent="0.2">
      <c r="A58" t="s">
        <v>2492</v>
      </c>
      <c r="B58" t="s">
        <v>2493</v>
      </c>
      <c r="C58" t="s">
        <v>2508</v>
      </c>
      <c r="D58" t="s">
        <v>2507</v>
      </c>
      <c r="E58" t="s">
        <v>414</v>
      </c>
      <c r="F58" t="s">
        <v>163</v>
      </c>
      <c r="G58">
        <v>221</v>
      </c>
    </row>
    <row r="59" spans="1:7" x14ac:dyDescent="0.2">
      <c r="A59" t="s">
        <v>2798</v>
      </c>
      <c r="B59" t="s">
        <v>2799</v>
      </c>
      <c r="C59" t="s">
        <v>108</v>
      </c>
      <c r="D59" t="s">
        <v>2688</v>
      </c>
      <c r="E59" t="s">
        <v>414</v>
      </c>
      <c r="F59" t="s">
        <v>163</v>
      </c>
      <c r="G59">
        <v>221</v>
      </c>
    </row>
    <row r="60" spans="1:7" x14ac:dyDescent="0.2">
      <c r="A60" t="s">
        <v>2424</v>
      </c>
      <c r="B60" t="s">
        <v>2425</v>
      </c>
      <c r="C60" t="s">
        <v>2378</v>
      </c>
      <c r="D60" t="s">
        <v>2427</v>
      </c>
      <c r="E60" t="s">
        <v>2428</v>
      </c>
      <c r="F60" t="s">
        <v>163</v>
      </c>
      <c r="G60">
        <v>222</v>
      </c>
    </row>
    <row r="61" spans="1:7" x14ac:dyDescent="0.2">
      <c r="A61" t="s">
        <v>1576</v>
      </c>
      <c r="B61" t="s">
        <v>1577</v>
      </c>
      <c r="C61" t="s">
        <v>1579</v>
      </c>
      <c r="D61" t="s">
        <v>1584</v>
      </c>
      <c r="E61" t="s">
        <v>1585</v>
      </c>
      <c r="F61" t="s">
        <v>163</v>
      </c>
      <c r="G61">
        <v>231</v>
      </c>
    </row>
    <row r="62" spans="1:7" x14ac:dyDescent="0.2">
      <c r="A62" t="s">
        <v>2421</v>
      </c>
      <c r="B62" t="s">
        <v>2422</v>
      </c>
      <c r="C62" t="s">
        <v>1717</v>
      </c>
      <c r="D62" t="s">
        <v>2403</v>
      </c>
      <c r="E62" t="s">
        <v>2404</v>
      </c>
      <c r="F62" t="s">
        <v>163</v>
      </c>
      <c r="G62">
        <v>234</v>
      </c>
    </row>
    <row r="63" spans="1:7" x14ac:dyDescent="0.2">
      <c r="A63" t="s">
        <v>547</v>
      </c>
      <c r="B63" t="s">
        <v>2401</v>
      </c>
      <c r="C63" t="s">
        <v>1717</v>
      </c>
      <c r="D63" t="s">
        <v>2403</v>
      </c>
      <c r="E63" t="s">
        <v>2404</v>
      </c>
      <c r="F63" t="s">
        <v>163</v>
      </c>
      <c r="G63">
        <v>234</v>
      </c>
    </row>
    <row r="64" spans="1:7" x14ac:dyDescent="0.2">
      <c r="A64" t="s">
        <v>2406</v>
      </c>
      <c r="B64" t="s">
        <v>2407</v>
      </c>
      <c r="C64" t="s">
        <v>1717</v>
      </c>
      <c r="D64" t="s">
        <v>2403</v>
      </c>
      <c r="E64" t="s">
        <v>2404</v>
      </c>
      <c r="F64" t="s">
        <v>163</v>
      </c>
      <c r="G64">
        <v>234</v>
      </c>
    </row>
    <row r="65" spans="1:7" x14ac:dyDescent="0.2">
      <c r="A65" t="s">
        <v>2408</v>
      </c>
      <c r="B65" t="s">
        <v>2409</v>
      </c>
      <c r="C65" t="s">
        <v>1717</v>
      </c>
      <c r="D65" t="s">
        <v>2403</v>
      </c>
      <c r="E65" t="s">
        <v>2404</v>
      </c>
      <c r="F65" t="s">
        <v>163</v>
      </c>
      <c r="G65">
        <v>234</v>
      </c>
    </row>
    <row r="66" spans="1:7" x14ac:dyDescent="0.2">
      <c r="A66" t="s">
        <v>2435</v>
      </c>
      <c r="B66" t="s">
        <v>2436</v>
      </c>
      <c r="C66" t="s">
        <v>1717</v>
      </c>
      <c r="D66" t="s">
        <v>2438</v>
      </c>
      <c r="E66" t="s">
        <v>2439</v>
      </c>
      <c r="F66" t="s">
        <v>163</v>
      </c>
      <c r="G66">
        <v>241</v>
      </c>
    </row>
    <row r="67" spans="1:7" x14ac:dyDescent="0.2">
      <c r="A67" t="s">
        <v>346</v>
      </c>
      <c r="B67" t="s">
        <v>347</v>
      </c>
      <c r="C67" t="s">
        <v>356</v>
      </c>
      <c r="D67" t="s">
        <v>354</v>
      </c>
      <c r="E67" t="s">
        <v>355</v>
      </c>
      <c r="F67" t="s">
        <v>163</v>
      </c>
      <c r="G67">
        <v>251</v>
      </c>
    </row>
    <row r="68" spans="1:7" x14ac:dyDescent="0.2">
      <c r="A68" t="s">
        <v>1320</v>
      </c>
      <c r="B68" t="s">
        <v>1321</v>
      </c>
      <c r="C68" t="s">
        <v>1330</v>
      </c>
      <c r="D68" t="s">
        <v>1331</v>
      </c>
      <c r="E68" t="s">
        <v>429</v>
      </c>
      <c r="F68" t="s">
        <v>163</v>
      </c>
      <c r="G68">
        <v>260</v>
      </c>
    </row>
    <row r="69" spans="1:7" x14ac:dyDescent="0.2">
      <c r="A69" t="s">
        <v>415</v>
      </c>
      <c r="B69" t="s">
        <v>416</v>
      </c>
      <c r="C69" t="s">
        <v>423</v>
      </c>
      <c r="D69" t="s">
        <v>428</v>
      </c>
      <c r="E69" t="s">
        <v>429</v>
      </c>
      <c r="F69" t="s">
        <v>163</v>
      </c>
      <c r="G69">
        <v>260</v>
      </c>
    </row>
    <row r="70" spans="1:7" x14ac:dyDescent="0.2">
      <c r="A70" t="s">
        <v>2878</v>
      </c>
      <c r="B70" t="s">
        <v>2879</v>
      </c>
      <c r="C70" t="s">
        <v>1806</v>
      </c>
      <c r="D70" t="s">
        <v>1807</v>
      </c>
      <c r="E70" t="s">
        <v>1808</v>
      </c>
      <c r="F70" t="s">
        <v>163</v>
      </c>
      <c r="G70">
        <v>282</v>
      </c>
    </row>
    <row r="71" spans="1:7" x14ac:dyDescent="0.2">
      <c r="A71" t="s">
        <v>1799</v>
      </c>
      <c r="B71" t="s">
        <v>1800</v>
      </c>
      <c r="C71" t="s">
        <v>1806</v>
      </c>
      <c r="D71" t="s">
        <v>1807</v>
      </c>
      <c r="E71" t="s">
        <v>1808</v>
      </c>
      <c r="F71" t="s">
        <v>163</v>
      </c>
      <c r="G71">
        <v>282</v>
      </c>
    </row>
    <row r="72" spans="1:7" x14ac:dyDescent="0.2">
      <c r="A72" t="s">
        <v>2411</v>
      </c>
      <c r="B72" t="s">
        <v>2412</v>
      </c>
      <c r="C72" t="s">
        <v>356</v>
      </c>
      <c r="D72" t="s">
        <v>2414</v>
      </c>
      <c r="E72" t="s">
        <v>2415</v>
      </c>
      <c r="F72" t="s">
        <v>163</v>
      </c>
      <c r="G72">
        <v>290</v>
      </c>
    </row>
    <row r="73" spans="1:7" x14ac:dyDescent="0.2">
      <c r="A73" t="s">
        <v>1835</v>
      </c>
      <c r="B73" t="s">
        <v>1836</v>
      </c>
      <c r="C73" t="s">
        <v>719</v>
      </c>
      <c r="D73" t="s">
        <v>1843</v>
      </c>
      <c r="E73" t="s">
        <v>1844</v>
      </c>
      <c r="F73" t="s">
        <v>163</v>
      </c>
      <c r="G73">
        <v>297</v>
      </c>
    </row>
    <row r="74" spans="1:7" x14ac:dyDescent="0.2">
      <c r="A74" t="s">
        <v>1944</v>
      </c>
      <c r="B74" t="s">
        <v>1945</v>
      </c>
      <c r="C74" t="s">
        <v>1717</v>
      </c>
      <c r="D74" t="s">
        <v>1951</v>
      </c>
      <c r="E74" t="s">
        <v>1952</v>
      </c>
      <c r="F74" t="s">
        <v>163</v>
      </c>
      <c r="G74">
        <v>316</v>
      </c>
    </row>
    <row r="75" spans="1:7" x14ac:dyDescent="0.2">
      <c r="A75" t="s">
        <v>1710</v>
      </c>
      <c r="B75" t="s">
        <v>1711</v>
      </c>
      <c r="C75" t="s">
        <v>1717</v>
      </c>
      <c r="D75" t="s">
        <v>1724</v>
      </c>
      <c r="E75" t="s">
        <v>1725</v>
      </c>
      <c r="F75" t="s">
        <v>163</v>
      </c>
      <c r="G75">
        <v>323</v>
      </c>
    </row>
    <row r="76" spans="1:7" x14ac:dyDescent="0.2">
      <c r="A76" t="s">
        <v>1097</v>
      </c>
      <c r="B76" t="s">
        <v>1098</v>
      </c>
      <c r="C76" t="s">
        <v>423</v>
      </c>
      <c r="D76" t="s">
        <v>1109</v>
      </c>
      <c r="E76" t="s">
        <v>1110</v>
      </c>
      <c r="F76" t="s">
        <v>163</v>
      </c>
      <c r="G76">
        <v>330</v>
      </c>
    </row>
    <row r="77" spans="1:7" x14ac:dyDescent="0.2">
      <c r="A77" t="s">
        <v>2964</v>
      </c>
      <c r="B77" t="s">
        <v>2965</v>
      </c>
      <c r="C77" t="s">
        <v>1278</v>
      </c>
      <c r="D77" t="s">
        <v>482</v>
      </c>
      <c r="E77" t="s">
        <v>1407</v>
      </c>
      <c r="F77" t="s">
        <v>163</v>
      </c>
      <c r="G77">
        <v>343</v>
      </c>
    </row>
    <row r="78" spans="1:7" x14ac:dyDescent="0.2">
      <c r="A78" t="s">
        <v>2957</v>
      </c>
      <c r="B78" t="s">
        <v>2958</v>
      </c>
      <c r="C78" t="s">
        <v>1278</v>
      </c>
      <c r="D78" t="s">
        <v>482</v>
      </c>
      <c r="E78" t="s">
        <v>1407</v>
      </c>
      <c r="F78" t="s">
        <v>163</v>
      </c>
      <c r="G78">
        <v>343</v>
      </c>
    </row>
    <row r="79" spans="1:7" x14ac:dyDescent="0.2">
      <c r="A79" t="s">
        <v>1399</v>
      </c>
      <c r="B79" t="s">
        <v>1400</v>
      </c>
      <c r="C79" t="s">
        <v>1408</v>
      </c>
      <c r="D79" t="s">
        <v>1406</v>
      </c>
      <c r="E79" t="s">
        <v>1407</v>
      </c>
      <c r="F79" t="s">
        <v>163</v>
      </c>
      <c r="G79">
        <v>343</v>
      </c>
    </row>
    <row r="80" spans="1:7" x14ac:dyDescent="0.2">
      <c r="A80" t="s">
        <v>1267</v>
      </c>
      <c r="B80" t="s">
        <v>1268</v>
      </c>
      <c r="C80" t="s">
        <v>1283</v>
      </c>
      <c r="D80" t="s">
        <v>1287</v>
      </c>
      <c r="E80" t="s">
        <v>1288</v>
      </c>
      <c r="F80" t="s">
        <v>163</v>
      </c>
      <c r="G80">
        <v>351</v>
      </c>
    </row>
    <row r="81" spans="1:7" x14ac:dyDescent="0.2">
      <c r="A81" t="s">
        <v>676</v>
      </c>
      <c r="B81" t="s">
        <v>677</v>
      </c>
      <c r="C81" t="s">
        <v>108</v>
      </c>
      <c r="D81" t="s">
        <v>686</v>
      </c>
      <c r="E81" t="s">
        <v>687</v>
      </c>
      <c r="F81" t="s">
        <v>163</v>
      </c>
      <c r="G81">
        <v>363</v>
      </c>
    </row>
    <row r="82" spans="1:7" x14ac:dyDescent="0.2">
      <c r="A82" t="s">
        <v>2590</v>
      </c>
      <c r="B82" t="s">
        <v>2591</v>
      </c>
      <c r="C82" t="s">
        <v>2594</v>
      </c>
      <c r="D82" t="s">
        <v>2592</v>
      </c>
      <c r="E82" t="s">
        <v>2593</v>
      </c>
      <c r="F82" t="s">
        <v>163</v>
      </c>
      <c r="G82">
        <v>409</v>
      </c>
    </row>
    <row r="83" spans="1:7" x14ac:dyDescent="0.2">
      <c r="A83" t="s">
        <v>295</v>
      </c>
      <c r="B83" t="s">
        <v>1032</v>
      </c>
      <c r="C83" t="s">
        <v>719</v>
      </c>
      <c r="D83" t="s">
        <v>1040</v>
      </c>
      <c r="E83" t="s">
        <v>1041</v>
      </c>
      <c r="F83" t="s">
        <v>163</v>
      </c>
      <c r="G83">
        <v>433</v>
      </c>
    </row>
    <row r="84" spans="1:7" x14ac:dyDescent="0.2">
      <c r="A84" t="s">
        <v>2686</v>
      </c>
      <c r="B84" t="s">
        <v>2687</v>
      </c>
      <c r="C84" t="s">
        <v>2350</v>
      </c>
      <c r="D84" t="s">
        <v>2688</v>
      </c>
      <c r="E84" t="s">
        <v>2689</v>
      </c>
      <c r="F84" t="s">
        <v>163</v>
      </c>
      <c r="G84">
        <v>447</v>
      </c>
    </row>
    <row r="85" spans="1:7" x14ac:dyDescent="0.2">
      <c r="A85" t="s">
        <v>2788</v>
      </c>
      <c r="B85" t="s">
        <v>2789</v>
      </c>
      <c r="C85" t="s">
        <v>2350</v>
      </c>
      <c r="D85" t="s">
        <v>199</v>
      </c>
      <c r="E85" t="s">
        <v>2669</v>
      </c>
      <c r="F85" t="s">
        <v>163</v>
      </c>
      <c r="G85">
        <v>450</v>
      </c>
    </row>
    <row r="86" spans="1:7" x14ac:dyDescent="0.2">
      <c r="A86" t="s">
        <v>2786</v>
      </c>
      <c r="B86" t="s">
        <v>2787</v>
      </c>
      <c r="C86" t="s">
        <v>2350</v>
      </c>
      <c r="D86" t="s">
        <v>199</v>
      </c>
      <c r="E86" t="s">
        <v>2669</v>
      </c>
      <c r="F86" t="s">
        <v>163</v>
      </c>
      <c r="G86">
        <v>450</v>
      </c>
    </row>
    <row r="87" spans="1:7" x14ac:dyDescent="0.2">
      <c r="A87" t="s">
        <v>2667</v>
      </c>
      <c r="B87" t="s">
        <v>2668</v>
      </c>
      <c r="C87" t="s">
        <v>2350</v>
      </c>
      <c r="D87" t="s">
        <v>199</v>
      </c>
      <c r="E87" t="s">
        <v>2669</v>
      </c>
      <c r="F87" t="s">
        <v>163</v>
      </c>
      <c r="G87">
        <v>450</v>
      </c>
    </row>
    <row r="88" spans="1:7" x14ac:dyDescent="0.2">
      <c r="A88" t="s">
        <v>2345</v>
      </c>
      <c r="B88" t="s">
        <v>2346</v>
      </c>
      <c r="C88" t="s">
        <v>2350</v>
      </c>
      <c r="D88" t="s">
        <v>2348</v>
      </c>
      <c r="E88" t="s">
        <v>2349</v>
      </c>
      <c r="F88" t="s">
        <v>163</v>
      </c>
      <c r="G88">
        <v>457</v>
      </c>
    </row>
    <row r="89" spans="1:7" x14ac:dyDescent="0.2">
      <c r="A89" t="s">
        <v>2752</v>
      </c>
      <c r="B89" t="s">
        <v>2753</v>
      </c>
      <c r="C89" t="s">
        <v>2764</v>
      </c>
      <c r="D89" t="s">
        <v>161</v>
      </c>
      <c r="E89" t="s">
        <v>2763</v>
      </c>
      <c r="F89" t="s">
        <v>163</v>
      </c>
      <c r="G89">
        <v>555</v>
      </c>
    </row>
    <row r="90" spans="1:7" x14ac:dyDescent="0.2">
      <c r="A90" t="s">
        <v>152</v>
      </c>
      <c r="B90" t="s">
        <v>153</v>
      </c>
      <c r="C90" t="s">
        <v>164</v>
      </c>
      <c r="D90" t="s">
        <v>161</v>
      </c>
      <c r="E90" t="s">
        <v>162</v>
      </c>
      <c r="F90" t="s">
        <v>163</v>
      </c>
      <c r="G90">
        <v>556</v>
      </c>
    </row>
    <row r="91" spans="1:7" x14ac:dyDescent="0.2">
      <c r="A91" t="s">
        <v>169</v>
      </c>
      <c r="B91" t="s">
        <v>170</v>
      </c>
      <c r="C91" t="s">
        <v>175</v>
      </c>
      <c r="D91" t="s">
        <v>161</v>
      </c>
      <c r="E91" t="s">
        <v>162</v>
      </c>
      <c r="F91" t="s">
        <v>163</v>
      </c>
      <c r="G91">
        <v>556</v>
      </c>
    </row>
    <row r="92" spans="1:7" x14ac:dyDescent="0.2">
      <c r="A92" t="s">
        <v>507</v>
      </c>
      <c r="B92" t="s">
        <v>508</v>
      </c>
      <c r="C92" t="s">
        <v>523</v>
      </c>
      <c r="D92" t="s">
        <v>521</v>
      </c>
      <c r="E92" t="s">
        <v>522</v>
      </c>
      <c r="F92" t="s">
        <v>163</v>
      </c>
      <c r="G92">
        <v>586</v>
      </c>
    </row>
    <row r="93" spans="1:7" x14ac:dyDescent="0.2">
      <c r="A93" t="s">
        <v>1200</v>
      </c>
      <c r="B93" t="s">
        <v>1201</v>
      </c>
      <c r="C93" t="s">
        <v>523</v>
      </c>
      <c r="D93" t="s">
        <v>521</v>
      </c>
      <c r="E93" t="s">
        <v>522</v>
      </c>
      <c r="F93" t="s">
        <v>163</v>
      </c>
      <c r="G93">
        <v>586</v>
      </c>
    </row>
    <row r="94" spans="1:7" x14ac:dyDescent="0.2">
      <c r="A94" t="s">
        <v>2846</v>
      </c>
      <c r="B94" t="s">
        <v>2847</v>
      </c>
      <c r="C94" t="s">
        <v>108</v>
      </c>
      <c r="D94" t="s">
        <v>2844</v>
      </c>
      <c r="E94" t="s">
        <v>2845</v>
      </c>
      <c r="F94" t="s">
        <v>163</v>
      </c>
      <c r="G94">
        <v>616</v>
      </c>
    </row>
    <row r="95" spans="1:7" x14ac:dyDescent="0.2">
      <c r="A95" t="s">
        <v>2838</v>
      </c>
      <c r="B95" t="s">
        <v>2839</v>
      </c>
      <c r="C95" t="s">
        <v>108</v>
      </c>
      <c r="D95" t="s">
        <v>2844</v>
      </c>
      <c r="E95" t="s">
        <v>2845</v>
      </c>
      <c r="F95" t="s">
        <v>163</v>
      </c>
      <c r="G95">
        <v>616</v>
      </c>
    </row>
    <row r="96" spans="1:7" x14ac:dyDescent="0.2">
      <c r="A96" t="s">
        <v>291</v>
      </c>
      <c r="B96" t="s">
        <v>292</v>
      </c>
      <c r="C96" t="s">
        <v>301</v>
      </c>
      <c r="D96" t="s">
        <v>299</v>
      </c>
      <c r="E96" t="s">
        <v>300</v>
      </c>
      <c r="F96" t="s">
        <v>163</v>
      </c>
      <c r="G96">
        <v>634</v>
      </c>
    </row>
    <row r="97" spans="1:7" x14ac:dyDescent="0.2">
      <c r="A97" t="s">
        <v>307</v>
      </c>
      <c r="B97" t="s">
        <v>308</v>
      </c>
      <c r="C97" t="s">
        <v>301</v>
      </c>
      <c r="D97" t="s">
        <v>299</v>
      </c>
      <c r="E97" t="s">
        <v>300</v>
      </c>
      <c r="F97" t="s">
        <v>163</v>
      </c>
      <c r="G97">
        <v>634</v>
      </c>
    </row>
    <row r="98" spans="1:7" x14ac:dyDescent="0.2">
      <c r="A98" t="s">
        <v>2324</v>
      </c>
      <c r="B98" t="s">
        <v>2325</v>
      </c>
      <c r="C98" t="s">
        <v>301</v>
      </c>
      <c r="D98" t="s">
        <v>2303</v>
      </c>
      <c r="E98" t="s">
        <v>2058</v>
      </c>
      <c r="F98" t="s">
        <v>163</v>
      </c>
      <c r="G98">
        <v>829</v>
      </c>
    </row>
    <row r="99" spans="1:7" x14ac:dyDescent="0.2">
      <c r="A99" t="s">
        <v>2297</v>
      </c>
      <c r="B99" t="s">
        <v>2298</v>
      </c>
      <c r="C99" t="s">
        <v>301</v>
      </c>
      <c r="D99" t="s">
        <v>2303</v>
      </c>
      <c r="E99" t="s">
        <v>2058</v>
      </c>
      <c r="F99" t="s">
        <v>163</v>
      </c>
      <c r="G99">
        <v>829</v>
      </c>
    </row>
    <row r="100" spans="1:7" x14ac:dyDescent="0.2">
      <c r="A100" t="s">
        <v>2083</v>
      </c>
      <c r="B100" t="s">
        <v>2084</v>
      </c>
      <c r="C100" t="s">
        <v>1491</v>
      </c>
      <c r="D100" t="s">
        <v>2057</v>
      </c>
      <c r="E100" t="s">
        <v>2058</v>
      </c>
      <c r="F100" t="s">
        <v>163</v>
      </c>
      <c r="G100">
        <v>829</v>
      </c>
    </row>
    <row r="101" spans="1:7" x14ac:dyDescent="0.2">
      <c r="A101" t="s">
        <v>2068</v>
      </c>
      <c r="B101" t="s">
        <v>2069</v>
      </c>
      <c r="C101" t="s">
        <v>1491</v>
      </c>
      <c r="D101" t="s">
        <v>2057</v>
      </c>
      <c r="E101" t="s">
        <v>2058</v>
      </c>
      <c r="F101" t="s">
        <v>163</v>
      </c>
      <c r="G101">
        <v>829</v>
      </c>
    </row>
    <row r="102" spans="1:7" x14ac:dyDescent="0.2">
      <c r="A102" t="s">
        <v>2776</v>
      </c>
      <c r="B102" t="s">
        <v>2777</v>
      </c>
      <c r="C102" t="s">
        <v>108</v>
      </c>
      <c r="D102" t="s">
        <v>2751</v>
      </c>
      <c r="E102" t="s">
        <v>2058</v>
      </c>
      <c r="F102" t="s">
        <v>163</v>
      </c>
      <c r="G102">
        <v>829</v>
      </c>
    </row>
    <row r="103" spans="1:7" x14ac:dyDescent="0.2">
      <c r="A103" t="s">
        <v>2074</v>
      </c>
      <c r="B103" t="s">
        <v>2075</v>
      </c>
      <c r="C103" t="s">
        <v>2076</v>
      </c>
      <c r="D103" t="s">
        <v>2057</v>
      </c>
      <c r="E103" t="s">
        <v>2058</v>
      </c>
      <c r="F103" t="s">
        <v>163</v>
      </c>
      <c r="G103">
        <v>829</v>
      </c>
    </row>
    <row r="104" spans="1:7" x14ac:dyDescent="0.2">
      <c r="A104" t="s">
        <v>2072</v>
      </c>
      <c r="B104" t="s">
        <v>2073</v>
      </c>
      <c r="C104" t="s">
        <v>1491</v>
      </c>
      <c r="D104" t="s">
        <v>2057</v>
      </c>
      <c r="E104" t="s">
        <v>2058</v>
      </c>
      <c r="F104" t="s">
        <v>163</v>
      </c>
      <c r="G104">
        <v>829</v>
      </c>
    </row>
    <row r="105" spans="1:7" x14ac:dyDescent="0.2">
      <c r="A105" t="s">
        <v>2398</v>
      </c>
      <c r="B105" t="s">
        <v>2399</v>
      </c>
      <c r="C105" t="s">
        <v>2388</v>
      </c>
      <c r="D105" t="s">
        <v>2303</v>
      </c>
      <c r="E105" t="s">
        <v>2058</v>
      </c>
      <c r="F105" t="s">
        <v>163</v>
      </c>
      <c r="G105">
        <v>829</v>
      </c>
    </row>
    <row r="106" spans="1:7" x14ac:dyDescent="0.2">
      <c r="A106" t="s">
        <v>2070</v>
      </c>
      <c r="B106" t="s">
        <v>2071</v>
      </c>
      <c r="C106" t="s">
        <v>1491</v>
      </c>
      <c r="D106" t="s">
        <v>2057</v>
      </c>
      <c r="E106" t="s">
        <v>2058</v>
      </c>
      <c r="F106" t="s">
        <v>163</v>
      </c>
      <c r="G106">
        <v>829</v>
      </c>
    </row>
    <row r="107" spans="1:7" x14ac:dyDescent="0.2">
      <c r="A107" t="s">
        <v>2054</v>
      </c>
      <c r="B107" t="s">
        <v>2055</v>
      </c>
      <c r="C107" t="s">
        <v>2059</v>
      </c>
      <c r="D107" t="s">
        <v>2057</v>
      </c>
      <c r="E107" t="s">
        <v>2058</v>
      </c>
      <c r="F107" t="s">
        <v>163</v>
      </c>
      <c r="G107">
        <v>829</v>
      </c>
    </row>
    <row r="108" spans="1:7" x14ac:dyDescent="0.2">
      <c r="A108" t="s">
        <v>2066</v>
      </c>
      <c r="B108" t="s">
        <v>2067</v>
      </c>
      <c r="C108" t="s">
        <v>2059</v>
      </c>
      <c r="D108" t="s">
        <v>2057</v>
      </c>
      <c r="E108" t="s">
        <v>2058</v>
      </c>
      <c r="F108" t="s">
        <v>163</v>
      </c>
      <c r="G108">
        <v>829</v>
      </c>
    </row>
    <row r="109" spans="1:7" x14ac:dyDescent="0.2">
      <c r="A109" t="s">
        <v>2081</v>
      </c>
      <c r="B109" t="s">
        <v>2082</v>
      </c>
      <c r="C109" t="s">
        <v>1491</v>
      </c>
      <c r="D109" t="s">
        <v>2057</v>
      </c>
      <c r="E109" t="s">
        <v>2058</v>
      </c>
      <c r="F109" t="s">
        <v>163</v>
      </c>
      <c r="G109">
        <v>829</v>
      </c>
    </row>
    <row r="110" spans="1:7" x14ac:dyDescent="0.2">
      <c r="A110" t="s">
        <v>1482</v>
      </c>
      <c r="B110" t="s">
        <v>1483</v>
      </c>
      <c r="C110" t="s">
        <v>1491</v>
      </c>
      <c r="D110" t="s">
        <v>1495</v>
      </c>
      <c r="E110" t="s">
        <v>1496</v>
      </c>
      <c r="F110" t="s">
        <v>163</v>
      </c>
    </row>
    <row r="111" spans="1:7" x14ac:dyDescent="0.2">
      <c r="A111" t="s">
        <v>1555</v>
      </c>
      <c r="B111" t="s">
        <v>1556</v>
      </c>
      <c r="C111" t="s">
        <v>1491</v>
      </c>
      <c r="D111" t="s">
        <v>1566</v>
      </c>
      <c r="E111" t="s">
        <v>1567</v>
      </c>
      <c r="F111" t="s">
        <v>163</v>
      </c>
    </row>
    <row r="112" spans="1:7" x14ac:dyDescent="0.2">
      <c r="A112" s="17" t="s">
        <v>97</v>
      </c>
      <c r="B112" s="17" t="s">
        <v>98</v>
      </c>
      <c r="C112" s="17" t="s">
        <v>108</v>
      </c>
      <c r="D112" s="17" t="s">
        <v>118</v>
      </c>
      <c r="E112" s="17"/>
      <c r="F112" s="17" t="s">
        <v>120</v>
      </c>
      <c r="G112" s="17">
        <v>0</v>
      </c>
    </row>
    <row r="113" spans="1:7" x14ac:dyDescent="0.2">
      <c r="A113" s="17" t="s">
        <v>123</v>
      </c>
      <c r="B113" s="17" t="s">
        <v>124</v>
      </c>
      <c r="C113" s="17" t="s">
        <v>108</v>
      </c>
      <c r="D113" s="17" t="s">
        <v>118</v>
      </c>
      <c r="E113" s="17"/>
      <c r="F113" s="17" t="s">
        <v>120</v>
      </c>
      <c r="G113" s="17">
        <v>0</v>
      </c>
    </row>
    <row r="114" spans="1:7" x14ac:dyDescent="0.2">
      <c r="A114" s="17" t="s">
        <v>207</v>
      </c>
      <c r="B114" s="17" t="s">
        <v>208</v>
      </c>
      <c r="C114" s="17" t="s">
        <v>108</v>
      </c>
      <c r="D114" s="17" t="s">
        <v>118</v>
      </c>
      <c r="E114" s="17"/>
      <c r="F114" s="17" t="s">
        <v>120</v>
      </c>
      <c r="G114" s="17">
        <v>0</v>
      </c>
    </row>
    <row r="115" spans="1:7" x14ac:dyDescent="0.2">
      <c r="A115" s="17" t="s">
        <v>211</v>
      </c>
      <c r="B115" s="17" t="s">
        <v>212</v>
      </c>
      <c r="C115" s="17" t="s">
        <v>108</v>
      </c>
      <c r="D115" s="17" t="s">
        <v>215</v>
      </c>
      <c r="E115" s="17"/>
      <c r="F115" s="17" t="s">
        <v>120</v>
      </c>
      <c r="G115" s="17">
        <v>0</v>
      </c>
    </row>
    <row r="116" spans="1:7" x14ac:dyDescent="0.2">
      <c r="A116" s="17" t="s">
        <v>217</v>
      </c>
      <c r="B116" s="17" t="s">
        <v>218</v>
      </c>
      <c r="C116" s="17" t="s">
        <v>108</v>
      </c>
      <c r="D116" s="17" t="s">
        <v>215</v>
      </c>
      <c r="E116" s="17"/>
      <c r="F116" s="17" t="s">
        <v>120</v>
      </c>
      <c r="G116" s="17">
        <v>0</v>
      </c>
    </row>
    <row r="117" spans="1:7" x14ac:dyDescent="0.2">
      <c r="A117" s="17" t="s">
        <v>245</v>
      </c>
      <c r="B117" s="17" t="s">
        <v>246</v>
      </c>
      <c r="C117" s="17" t="s">
        <v>108</v>
      </c>
      <c r="D117" s="17" t="s">
        <v>118</v>
      </c>
      <c r="E117" s="17"/>
      <c r="F117" s="17" t="s">
        <v>120</v>
      </c>
      <c r="G117" s="17">
        <v>0</v>
      </c>
    </row>
    <row r="118" spans="1:7" x14ac:dyDescent="0.2">
      <c r="A118" s="17" t="s">
        <v>273</v>
      </c>
      <c r="B118" s="17" t="s">
        <v>274</v>
      </c>
      <c r="C118" s="17" t="s">
        <v>108</v>
      </c>
      <c r="D118" s="17" t="s">
        <v>215</v>
      </c>
      <c r="E118" s="17"/>
      <c r="F118" s="17" t="s">
        <v>120</v>
      </c>
      <c r="G118" s="17">
        <v>0</v>
      </c>
    </row>
    <row r="119" spans="1:7" x14ac:dyDescent="0.2">
      <c r="A119" s="17" t="s">
        <v>277</v>
      </c>
      <c r="B119" s="17" t="s">
        <v>278</v>
      </c>
      <c r="C119" s="17" t="s">
        <v>108</v>
      </c>
      <c r="D119" s="17" t="s">
        <v>215</v>
      </c>
      <c r="E119" s="17"/>
      <c r="F119" s="17" t="s">
        <v>120</v>
      </c>
      <c r="G119" s="17">
        <v>0</v>
      </c>
    </row>
    <row r="120" spans="1:7" x14ac:dyDescent="0.2">
      <c r="A120" s="17" t="s">
        <v>309</v>
      </c>
      <c r="B120" s="17" t="s">
        <v>310</v>
      </c>
      <c r="C120" s="17" t="s">
        <v>108</v>
      </c>
      <c r="D120" s="17" t="s">
        <v>215</v>
      </c>
      <c r="E120" s="17"/>
      <c r="F120" s="17" t="s">
        <v>120</v>
      </c>
      <c r="G120" s="17">
        <v>0</v>
      </c>
    </row>
    <row r="121" spans="1:7" x14ac:dyDescent="0.2">
      <c r="A121" s="17" t="s">
        <v>334</v>
      </c>
      <c r="B121" s="17" t="s">
        <v>335</v>
      </c>
      <c r="C121" s="17" t="s">
        <v>108</v>
      </c>
      <c r="D121" s="17" t="s">
        <v>341</v>
      </c>
      <c r="E121" s="17"/>
      <c r="F121" s="17" t="s">
        <v>120</v>
      </c>
      <c r="G121" s="17">
        <v>0</v>
      </c>
    </row>
    <row r="122" spans="1:7" x14ac:dyDescent="0.2">
      <c r="A122" s="17" t="s">
        <v>342</v>
      </c>
      <c r="B122" s="17" t="s">
        <v>343</v>
      </c>
      <c r="C122" s="17" t="s">
        <v>108</v>
      </c>
      <c r="D122" s="17" t="s">
        <v>341</v>
      </c>
      <c r="E122" s="17"/>
      <c r="F122" s="17" t="s">
        <v>120</v>
      </c>
      <c r="G122" s="17">
        <v>0</v>
      </c>
    </row>
    <row r="123" spans="1:7" x14ac:dyDescent="0.2">
      <c r="A123" s="17" t="s">
        <v>363</v>
      </c>
      <c r="B123" s="17" t="s">
        <v>364</v>
      </c>
      <c r="C123" s="17" t="s">
        <v>108</v>
      </c>
      <c r="D123" s="17" t="s">
        <v>118</v>
      </c>
      <c r="E123" s="17"/>
      <c r="F123" s="17" t="s">
        <v>120</v>
      </c>
      <c r="G123" s="17">
        <v>0</v>
      </c>
    </row>
    <row r="124" spans="1:7" x14ac:dyDescent="0.2">
      <c r="A124" s="17" t="s">
        <v>376</v>
      </c>
      <c r="B124" s="17" t="s">
        <v>377</v>
      </c>
      <c r="C124" s="17" t="s">
        <v>108</v>
      </c>
      <c r="D124" s="17" t="s">
        <v>341</v>
      </c>
      <c r="E124" s="17"/>
      <c r="F124" s="17" t="s">
        <v>120</v>
      </c>
      <c r="G124" s="17">
        <v>0</v>
      </c>
    </row>
    <row r="125" spans="1:7" x14ac:dyDescent="0.2">
      <c r="A125" s="17" t="s">
        <v>380</v>
      </c>
      <c r="B125" s="17" t="s">
        <v>381</v>
      </c>
      <c r="C125" s="17" t="s">
        <v>108</v>
      </c>
      <c r="D125" s="17" t="s">
        <v>341</v>
      </c>
      <c r="E125" s="17"/>
      <c r="F125" s="17" t="s">
        <v>120</v>
      </c>
      <c r="G125" s="17">
        <v>0</v>
      </c>
    </row>
    <row r="126" spans="1:7" x14ac:dyDescent="0.2">
      <c r="A126" s="17" t="s">
        <v>391</v>
      </c>
      <c r="B126" s="17" t="s">
        <v>392</v>
      </c>
      <c r="C126" s="17" t="s">
        <v>108</v>
      </c>
      <c r="D126" s="17" t="s">
        <v>118</v>
      </c>
      <c r="E126" s="17"/>
      <c r="F126" s="17" t="s">
        <v>120</v>
      </c>
      <c r="G126" s="17">
        <v>0</v>
      </c>
    </row>
    <row r="127" spans="1:7" x14ac:dyDescent="0.2">
      <c r="A127" s="17" t="s">
        <v>430</v>
      </c>
      <c r="B127" s="17" t="s">
        <v>431</v>
      </c>
      <c r="C127" s="17" t="s">
        <v>108</v>
      </c>
      <c r="D127" s="17" t="s">
        <v>118</v>
      </c>
      <c r="E127" s="17"/>
      <c r="F127" s="17" t="s">
        <v>120</v>
      </c>
      <c r="G127" s="17">
        <v>0</v>
      </c>
    </row>
    <row r="128" spans="1:7" x14ac:dyDescent="0.2">
      <c r="A128" s="17" t="s">
        <v>588</v>
      </c>
      <c r="B128" s="17" t="s">
        <v>589</v>
      </c>
      <c r="C128" s="17" t="s">
        <v>108</v>
      </c>
      <c r="D128" s="17" t="s">
        <v>118</v>
      </c>
      <c r="E128" s="17"/>
      <c r="F128" s="17" t="s">
        <v>120</v>
      </c>
      <c r="G128" s="17">
        <v>0</v>
      </c>
    </row>
    <row r="129" spans="1:7" x14ac:dyDescent="0.2">
      <c r="A129" s="17" t="s">
        <v>641</v>
      </c>
      <c r="B129" s="17" t="s">
        <v>642</v>
      </c>
      <c r="C129" s="17" t="s">
        <v>108</v>
      </c>
      <c r="D129" s="17" t="s">
        <v>118</v>
      </c>
      <c r="E129" s="17"/>
      <c r="F129" s="17" t="s">
        <v>120</v>
      </c>
      <c r="G129" s="17">
        <v>0</v>
      </c>
    </row>
    <row r="130" spans="1:7" x14ac:dyDescent="0.2">
      <c r="A130" s="17" t="s">
        <v>745</v>
      </c>
      <c r="B130" s="17" t="s">
        <v>746</v>
      </c>
      <c r="C130" s="17" t="s">
        <v>108</v>
      </c>
      <c r="D130" s="17" t="s">
        <v>481</v>
      </c>
      <c r="E130" s="17"/>
      <c r="F130" s="17" t="s">
        <v>120</v>
      </c>
      <c r="G130" s="17">
        <v>0</v>
      </c>
    </row>
    <row r="131" spans="1:7" x14ac:dyDescent="0.2">
      <c r="A131" s="17" t="s">
        <v>745</v>
      </c>
      <c r="B131" s="17" t="s">
        <v>746</v>
      </c>
      <c r="C131" s="17" t="s">
        <v>108</v>
      </c>
      <c r="D131" s="17" t="s">
        <v>118</v>
      </c>
      <c r="E131" s="17"/>
      <c r="F131" s="17" t="s">
        <v>120</v>
      </c>
      <c r="G131" s="17">
        <v>0</v>
      </c>
    </row>
    <row r="132" spans="1:7" x14ac:dyDescent="0.2">
      <c r="A132" s="17" t="s">
        <v>798</v>
      </c>
      <c r="B132" s="17" t="s">
        <v>799</v>
      </c>
      <c r="C132" s="17" t="s">
        <v>108</v>
      </c>
      <c r="D132" s="17" t="s">
        <v>773</v>
      </c>
      <c r="E132" s="17"/>
      <c r="F132" s="17" t="s">
        <v>120</v>
      </c>
      <c r="G132" s="17">
        <v>0</v>
      </c>
    </row>
    <row r="133" spans="1:7" x14ac:dyDescent="0.2">
      <c r="A133" s="17" t="s">
        <v>811</v>
      </c>
      <c r="B133" s="17" t="s">
        <v>812</v>
      </c>
      <c r="C133" s="17" t="s">
        <v>108</v>
      </c>
      <c r="D133" s="17" t="s">
        <v>819</v>
      </c>
      <c r="E133" s="17"/>
      <c r="F133" s="17" t="s">
        <v>120</v>
      </c>
      <c r="G133" s="17">
        <v>0</v>
      </c>
    </row>
    <row r="134" spans="1:7" x14ac:dyDescent="0.2">
      <c r="A134" s="17" t="s">
        <v>931</v>
      </c>
      <c r="B134" s="17" t="s">
        <v>932</v>
      </c>
      <c r="C134" s="17" t="s">
        <v>108</v>
      </c>
      <c r="D134" s="17" t="s">
        <v>481</v>
      </c>
      <c r="E134" s="17"/>
      <c r="F134" s="17" t="s">
        <v>120</v>
      </c>
      <c r="G134" s="17">
        <v>0</v>
      </c>
    </row>
    <row r="135" spans="1:7" x14ac:dyDescent="0.2">
      <c r="A135" s="17" t="s">
        <v>1027</v>
      </c>
      <c r="B135" s="17" t="s">
        <v>1028</v>
      </c>
      <c r="C135" s="17" t="s">
        <v>108</v>
      </c>
      <c r="D135" s="17" t="s">
        <v>118</v>
      </c>
      <c r="E135" s="17"/>
      <c r="F135" s="17" t="s">
        <v>120</v>
      </c>
      <c r="G135" s="17">
        <v>0</v>
      </c>
    </row>
    <row r="136" spans="1:7" x14ac:dyDescent="0.2">
      <c r="A136" s="17" t="s">
        <v>1079</v>
      </c>
      <c r="B136" s="17" t="s">
        <v>1080</v>
      </c>
      <c r="C136" s="17" t="s">
        <v>108</v>
      </c>
      <c r="D136" s="17" t="s">
        <v>118</v>
      </c>
      <c r="E136" s="17"/>
      <c r="F136" s="17" t="s">
        <v>120</v>
      </c>
      <c r="G136" s="17">
        <v>0</v>
      </c>
    </row>
    <row r="137" spans="1:7" x14ac:dyDescent="0.2">
      <c r="A137" s="17" t="s">
        <v>1167</v>
      </c>
      <c r="B137" s="17" t="s">
        <v>1168</v>
      </c>
      <c r="C137" s="17" t="s">
        <v>108</v>
      </c>
      <c r="D137" s="17" t="s">
        <v>118</v>
      </c>
      <c r="E137" s="17"/>
      <c r="F137" s="17" t="s">
        <v>120</v>
      </c>
      <c r="G137" s="17">
        <v>0</v>
      </c>
    </row>
    <row r="138" spans="1:7" x14ac:dyDescent="0.2">
      <c r="A138" s="17" t="s">
        <v>1267</v>
      </c>
      <c r="B138" s="17" t="s">
        <v>1268</v>
      </c>
      <c r="C138" s="17" t="s">
        <v>1278</v>
      </c>
      <c r="D138" s="17" t="s">
        <v>1282</v>
      </c>
      <c r="E138" s="17"/>
      <c r="F138" s="17" t="s">
        <v>120</v>
      </c>
      <c r="G138" s="17">
        <v>0</v>
      </c>
    </row>
    <row r="139" spans="1:7" x14ac:dyDescent="0.2">
      <c r="A139" s="17" t="s">
        <v>1267</v>
      </c>
      <c r="B139" s="17" t="s">
        <v>1268</v>
      </c>
      <c r="C139" s="17" t="s">
        <v>1283</v>
      </c>
      <c r="D139" s="17" t="s">
        <v>1287</v>
      </c>
      <c r="E139" s="17"/>
      <c r="F139" s="17" t="s">
        <v>120</v>
      </c>
      <c r="G139" s="17">
        <v>0</v>
      </c>
    </row>
    <row r="140" spans="1:7" x14ac:dyDescent="0.2">
      <c r="A140" s="17" t="s">
        <v>1289</v>
      </c>
      <c r="B140" s="17" t="s">
        <v>1290</v>
      </c>
      <c r="C140" s="17" t="s">
        <v>108</v>
      </c>
      <c r="D140" s="17" t="s">
        <v>118</v>
      </c>
      <c r="E140" s="17"/>
      <c r="F140" s="17" t="s">
        <v>120</v>
      </c>
      <c r="G140" s="17">
        <v>0</v>
      </c>
    </row>
    <row r="141" spans="1:7" x14ac:dyDescent="0.2">
      <c r="A141" s="17" t="s">
        <v>1332</v>
      </c>
      <c r="B141" s="17" t="s">
        <v>1333</v>
      </c>
      <c r="C141" s="17" t="s">
        <v>108</v>
      </c>
      <c r="D141" s="17" t="s">
        <v>118</v>
      </c>
      <c r="E141" s="17"/>
      <c r="F141" s="17" t="s">
        <v>120</v>
      </c>
      <c r="G141" s="17">
        <v>0</v>
      </c>
    </row>
    <row r="142" spans="1:7" x14ac:dyDescent="0.2">
      <c r="A142" s="17" t="s">
        <v>1422</v>
      </c>
      <c r="B142" s="17" t="s">
        <v>1423</v>
      </c>
      <c r="C142" s="17" t="s">
        <v>108</v>
      </c>
      <c r="D142" s="17" t="s">
        <v>481</v>
      </c>
      <c r="E142" s="17"/>
      <c r="F142" s="17" t="s">
        <v>120</v>
      </c>
      <c r="G142" s="17">
        <v>0</v>
      </c>
    </row>
    <row r="143" spans="1:7" x14ac:dyDescent="0.2">
      <c r="A143" s="17" t="s">
        <v>1426</v>
      </c>
      <c r="B143" s="17" t="s">
        <v>1427</v>
      </c>
      <c r="C143" s="17" t="s">
        <v>108</v>
      </c>
      <c r="D143" s="17" t="s">
        <v>481</v>
      </c>
      <c r="E143" s="17"/>
      <c r="F143" s="17" t="s">
        <v>120</v>
      </c>
      <c r="G143" s="17">
        <v>0</v>
      </c>
    </row>
    <row r="144" spans="1:7" x14ac:dyDescent="0.2">
      <c r="A144" s="17" t="s">
        <v>1428</v>
      </c>
      <c r="B144" s="17" t="s">
        <v>1429</v>
      </c>
      <c r="C144" s="17" t="s">
        <v>108</v>
      </c>
      <c r="D144" s="17" t="s">
        <v>481</v>
      </c>
      <c r="E144" s="17"/>
      <c r="F144" s="17" t="s">
        <v>120</v>
      </c>
      <c r="G144" s="17">
        <v>0</v>
      </c>
    </row>
    <row r="145" spans="1:7" x14ac:dyDescent="0.2">
      <c r="A145" s="17" t="s">
        <v>1437</v>
      </c>
      <c r="B145" s="17" t="s">
        <v>1438</v>
      </c>
      <c r="C145" s="17" t="s">
        <v>108</v>
      </c>
      <c r="D145" s="17" t="s">
        <v>118</v>
      </c>
      <c r="E145" s="17"/>
      <c r="F145" s="17" t="s">
        <v>120</v>
      </c>
      <c r="G145" s="17">
        <v>0</v>
      </c>
    </row>
    <row r="146" spans="1:7" x14ac:dyDescent="0.2">
      <c r="A146" s="17" t="s">
        <v>1473</v>
      </c>
      <c r="B146" s="17" t="s">
        <v>1474</v>
      </c>
      <c r="C146" s="17" t="s">
        <v>108</v>
      </c>
      <c r="D146" s="17" t="s">
        <v>118</v>
      </c>
      <c r="E146" s="17"/>
      <c r="F146" s="17" t="s">
        <v>120</v>
      </c>
      <c r="G146" s="17">
        <v>0</v>
      </c>
    </row>
    <row r="147" spans="1:7" x14ac:dyDescent="0.2">
      <c r="A147" s="17" t="s">
        <v>1515</v>
      </c>
      <c r="B147" s="17" t="s">
        <v>1516</v>
      </c>
      <c r="C147" s="17" t="s">
        <v>108</v>
      </c>
      <c r="D147" s="17" t="s">
        <v>481</v>
      </c>
      <c r="E147" s="17"/>
      <c r="F147" s="17" t="s">
        <v>120</v>
      </c>
      <c r="G147" s="17">
        <v>0</v>
      </c>
    </row>
    <row r="148" spans="1:7" x14ac:dyDescent="0.2">
      <c r="A148" s="17" t="s">
        <v>1523</v>
      </c>
      <c r="B148" s="17" t="s">
        <v>1524</v>
      </c>
      <c r="C148" s="17" t="s">
        <v>108</v>
      </c>
      <c r="D148" s="17" t="s">
        <v>118</v>
      </c>
      <c r="E148" s="17"/>
      <c r="F148" s="17" t="s">
        <v>120</v>
      </c>
      <c r="G148" s="17">
        <v>0</v>
      </c>
    </row>
    <row r="149" spans="1:7" x14ac:dyDescent="0.2">
      <c r="A149" s="17" t="s">
        <v>1532</v>
      </c>
      <c r="B149" s="17" t="s">
        <v>1533</v>
      </c>
      <c r="C149" s="17" t="s">
        <v>108</v>
      </c>
      <c r="D149" s="17" t="s">
        <v>118</v>
      </c>
      <c r="E149" s="17"/>
      <c r="F149" s="17" t="s">
        <v>120</v>
      </c>
      <c r="G149" s="17">
        <v>0</v>
      </c>
    </row>
    <row r="150" spans="1:7" x14ac:dyDescent="0.2">
      <c r="A150" s="17" t="s">
        <v>1536</v>
      </c>
      <c r="B150" s="17" t="s">
        <v>1537</v>
      </c>
      <c r="C150" s="17" t="s">
        <v>108</v>
      </c>
      <c r="D150" s="17" t="s">
        <v>481</v>
      </c>
      <c r="E150" s="17"/>
      <c r="F150" s="17" t="s">
        <v>120</v>
      </c>
      <c r="G150" s="17">
        <v>0</v>
      </c>
    </row>
    <row r="151" spans="1:7" x14ac:dyDescent="0.2">
      <c r="A151" s="17" t="s">
        <v>1543</v>
      </c>
      <c r="B151" s="17" t="s">
        <v>1544</v>
      </c>
      <c r="C151" s="17" t="s">
        <v>108</v>
      </c>
      <c r="D151" s="17" t="s">
        <v>481</v>
      </c>
      <c r="E151" s="17"/>
      <c r="F151" s="17" t="s">
        <v>120</v>
      </c>
      <c r="G151" s="17">
        <v>0</v>
      </c>
    </row>
    <row r="152" spans="1:7" x14ac:dyDescent="0.2">
      <c r="A152" s="17" t="s">
        <v>1576</v>
      </c>
      <c r="B152" s="17" t="s">
        <v>1577</v>
      </c>
      <c r="C152" s="17" t="s">
        <v>108</v>
      </c>
      <c r="D152" s="17" t="s">
        <v>118</v>
      </c>
      <c r="E152" s="17"/>
      <c r="F152" s="17" t="s">
        <v>120</v>
      </c>
      <c r="G152" s="17">
        <v>0</v>
      </c>
    </row>
    <row r="153" spans="1:7" x14ac:dyDescent="0.2">
      <c r="A153" s="17" t="s">
        <v>1595</v>
      </c>
      <c r="B153" s="17" t="s">
        <v>1596</v>
      </c>
      <c r="C153" s="17" t="s">
        <v>108</v>
      </c>
      <c r="D153" s="17" t="s">
        <v>118</v>
      </c>
      <c r="E153" s="17"/>
      <c r="F153" s="17" t="s">
        <v>120</v>
      </c>
      <c r="G153" s="17">
        <v>0</v>
      </c>
    </row>
    <row r="154" spans="1:7" x14ac:dyDescent="0.2">
      <c r="A154" s="17" t="s">
        <v>1599</v>
      </c>
      <c r="B154" s="17" t="s">
        <v>1600</v>
      </c>
      <c r="C154" s="17" t="s">
        <v>108</v>
      </c>
      <c r="D154" s="17" t="s">
        <v>118</v>
      </c>
      <c r="E154" s="17"/>
      <c r="F154" s="17" t="s">
        <v>120</v>
      </c>
      <c r="G154" s="17">
        <v>0</v>
      </c>
    </row>
    <row r="155" spans="1:7" x14ac:dyDescent="0.2">
      <c r="A155" s="17" t="s">
        <v>1604</v>
      </c>
      <c r="B155" s="17" t="s">
        <v>1605</v>
      </c>
      <c r="C155" s="17" t="s">
        <v>108</v>
      </c>
      <c r="D155" s="17" t="s">
        <v>118</v>
      </c>
      <c r="E155" s="17"/>
      <c r="F155" s="17" t="s">
        <v>120</v>
      </c>
      <c r="G155" s="17">
        <v>0</v>
      </c>
    </row>
    <row r="156" spans="1:7" x14ac:dyDescent="0.2">
      <c r="A156" s="17" t="s">
        <v>1608</v>
      </c>
      <c r="B156" s="17" t="s">
        <v>1609</v>
      </c>
      <c r="C156" s="17" t="s">
        <v>108</v>
      </c>
      <c r="D156" s="17" t="s">
        <v>118</v>
      </c>
      <c r="E156" s="17"/>
      <c r="F156" s="17" t="s">
        <v>120</v>
      </c>
      <c r="G156" s="17">
        <v>0</v>
      </c>
    </row>
    <row r="157" spans="1:7" x14ac:dyDescent="0.2">
      <c r="A157" s="17" t="s">
        <v>1612</v>
      </c>
      <c r="B157" s="17" t="s">
        <v>1613</v>
      </c>
      <c r="C157" s="17" t="s">
        <v>108</v>
      </c>
      <c r="D157" s="17" t="s">
        <v>481</v>
      </c>
      <c r="E157" s="17"/>
      <c r="F157" s="17" t="s">
        <v>120</v>
      </c>
      <c r="G157" s="17">
        <v>0</v>
      </c>
    </row>
    <row r="158" spans="1:7" x14ac:dyDescent="0.2">
      <c r="A158" s="17" t="s">
        <v>1615</v>
      </c>
      <c r="B158" s="17" t="s">
        <v>1616</v>
      </c>
      <c r="C158" s="17" t="s">
        <v>108</v>
      </c>
      <c r="D158" s="17" t="s">
        <v>118</v>
      </c>
      <c r="E158" s="17"/>
      <c r="F158" s="17" t="s">
        <v>120</v>
      </c>
      <c r="G158" s="17">
        <v>0</v>
      </c>
    </row>
    <row r="159" spans="1:7" x14ac:dyDescent="0.2">
      <c r="A159" s="17" t="s">
        <v>1623</v>
      </c>
      <c r="B159" s="17" t="s">
        <v>1624</v>
      </c>
      <c r="C159" s="17" t="s">
        <v>108</v>
      </c>
      <c r="D159" s="17" t="s">
        <v>118</v>
      </c>
      <c r="E159" s="17"/>
      <c r="F159" s="17" t="s">
        <v>120</v>
      </c>
      <c r="G159" s="17">
        <v>0</v>
      </c>
    </row>
    <row r="160" spans="1:7" x14ac:dyDescent="0.2">
      <c r="A160" s="17" t="s">
        <v>1645</v>
      </c>
      <c r="B160" s="17" t="s">
        <v>1646</v>
      </c>
      <c r="C160" s="17" t="s">
        <v>108</v>
      </c>
      <c r="D160" s="17" t="s">
        <v>118</v>
      </c>
      <c r="E160" s="17"/>
      <c r="F160" s="17" t="s">
        <v>120</v>
      </c>
      <c r="G160" s="17">
        <v>0</v>
      </c>
    </row>
    <row r="161" spans="1:7" x14ac:dyDescent="0.2">
      <c r="A161" s="17" t="s">
        <v>1657</v>
      </c>
      <c r="B161" s="17" t="s">
        <v>1658</v>
      </c>
      <c r="C161" s="17" t="s">
        <v>108</v>
      </c>
      <c r="D161" s="17" t="s">
        <v>118</v>
      </c>
      <c r="E161" s="17"/>
      <c r="F161" s="17" t="s">
        <v>120</v>
      </c>
      <c r="G161" s="17">
        <v>0</v>
      </c>
    </row>
    <row r="162" spans="1:7" x14ac:dyDescent="0.2">
      <c r="A162" s="17" t="s">
        <v>1660</v>
      </c>
      <c r="B162" s="17" t="s">
        <v>1661</v>
      </c>
      <c r="C162" s="17" t="s">
        <v>108</v>
      </c>
      <c r="D162" s="17" t="s">
        <v>118</v>
      </c>
      <c r="E162" s="17"/>
      <c r="F162" s="17" t="s">
        <v>120</v>
      </c>
      <c r="G162" s="17">
        <v>0</v>
      </c>
    </row>
    <row r="163" spans="1:7" x14ac:dyDescent="0.2">
      <c r="A163" s="17" t="s">
        <v>1670</v>
      </c>
      <c r="B163" s="17" t="s">
        <v>1671</v>
      </c>
      <c r="C163" s="17" t="s">
        <v>108</v>
      </c>
      <c r="D163" s="17" t="s">
        <v>481</v>
      </c>
      <c r="E163" s="17"/>
      <c r="F163" s="17" t="s">
        <v>120</v>
      </c>
      <c r="G163" s="17">
        <v>0</v>
      </c>
    </row>
    <row r="164" spans="1:7" x14ac:dyDescent="0.2">
      <c r="A164" s="17" t="s">
        <v>1678</v>
      </c>
      <c r="B164" s="17" t="s">
        <v>1679</v>
      </c>
      <c r="C164" s="17" t="s">
        <v>108</v>
      </c>
      <c r="D164" s="17" t="s">
        <v>481</v>
      </c>
      <c r="E164" s="17"/>
      <c r="F164" s="17" t="s">
        <v>120</v>
      </c>
      <c r="G164" s="17">
        <v>0</v>
      </c>
    </row>
    <row r="165" spans="1:7" x14ac:dyDescent="0.2">
      <c r="A165" s="17" t="s">
        <v>1681</v>
      </c>
      <c r="B165" s="17" t="s">
        <v>1682</v>
      </c>
      <c r="C165" s="17" t="s">
        <v>108</v>
      </c>
      <c r="D165" s="17" t="s">
        <v>481</v>
      </c>
      <c r="E165" s="17"/>
      <c r="F165" s="17" t="s">
        <v>120</v>
      </c>
      <c r="G165" s="17">
        <v>0</v>
      </c>
    </row>
    <row r="166" spans="1:7" x14ac:dyDescent="0.2">
      <c r="A166" s="17" t="s">
        <v>1697</v>
      </c>
      <c r="B166" s="17" t="s">
        <v>1698</v>
      </c>
      <c r="C166" s="17" t="s">
        <v>108</v>
      </c>
      <c r="D166" s="17" t="s">
        <v>118</v>
      </c>
      <c r="E166" s="17"/>
      <c r="F166" s="17" t="s">
        <v>120</v>
      </c>
      <c r="G166" s="17">
        <v>0</v>
      </c>
    </row>
    <row r="167" spans="1:7" x14ac:dyDescent="0.2">
      <c r="A167" s="17" t="s">
        <v>1701</v>
      </c>
      <c r="B167" s="17" t="s">
        <v>1702</v>
      </c>
      <c r="C167" s="17" t="s">
        <v>108</v>
      </c>
      <c r="D167" s="17" t="s">
        <v>118</v>
      </c>
      <c r="E167" s="17"/>
      <c r="F167" s="17" t="s">
        <v>120</v>
      </c>
      <c r="G167" s="17">
        <v>0</v>
      </c>
    </row>
    <row r="168" spans="1:7" x14ac:dyDescent="0.2">
      <c r="A168" s="17" t="s">
        <v>1710</v>
      </c>
      <c r="B168" s="17" t="s">
        <v>1711</v>
      </c>
      <c r="C168" s="17" t="s">
        <v>108</v>
      </c>
      <c r="D168" s="17" t="s">
        <v>118</v>
      </c>
      <c r="E168" s="17"/>
      <c r="F168" s="17" t="s">
        <v>120</v>
      </c>
      <c r="G168" s="17">
        <v>0</v>
      </c>
    </row>
    <row r="169" spans="1:7" x14ac:dyDescent="0.2">
      <c r="A169" s="17" t="s">
        <v>1726</v>
      </c>
      <c r="B169" s="17" t="s">
        <v>1727</v>
      </c>
      <c r="C169" s="17" t="s">
        <v>108</v>
      </c>
      <c r="D169" s="17" t="s">
        <v>118</v>
      </c>
      <c r="E169" s="17"/>
      <c r="F169" s="17" t="s">
        <v>120</v>
      </c>
      <c r="G169" s="17">
        <v>0</v>
      </c>
    </row>
    <row r="170" spans="1:7" x14ac:dyDescent="0.2">
      <c r="A170" s="17" t="s">
        <v>1730</v>
      </c>
      <c r="B170" s="17" t="s">
        <v>1731</v>
      </c>
      <c r="C170" s="17" t="s">
        <v>108</v>
      </c>
      <c r="D170" s="17" t="s">
        <v>118</v>
      </c>
      <c r="E170" s="17"/>
      <c r="F170" s="17" t="s">
        <v>120</v>
      </c>
      <c r="G170" s="17">
        <v>0</v>
      </c>
    </row>
    <row r="171" spans="1:7" x14ac:dyDescent="0.2">
      <c r="A171" s="17" t="s">
        <v>1733</v>
      </c>
      <c r="B171" s="17" t="s">
        <v>1734</v>
      </c>
      <c r="C171" s="17" t="s">
        <v>108</v>
      </c>
      <c r="D171" s="17" t="s">
        <v>118</v>
      </c>
      <c r="E171" s="17"/>
      <c r="F171" s="17" t="s">
        <v>120</v>
      </c>
      <c r="G171" s="17">
        <v>0</v>
      </c>
    </row>
    <row r="172" spans="1:7" x14ac:dyDescent="0.2">
      <c r="A172" s="17" t="s">
        <v>1751</v>
      </c>
      <c r="B172" s="17" t="s">
        <v>1752</v>
      </c>
      <c r="C172" s="17" t="s">
        <v>108</v>
      </c>
      <c r="D172" s="17" t="s">
        <v>118</v>
      </c>
      <c r="E172" s="17"/>
      <c r="F172" s="17" t="s">
        <v>120</v>
      </c>
      <c r="G172" s="17">
        <v>0</v>
      </c>
    </row>
    <row r="173" spans="1:7" x14ac:dyDescent="0.2">
      <c r="A173" s="17" t="s">
        <v>1767</v>
      </c>
      <c r="B173" s="17" t="s">
        <v>1768</v>
      </c>
      <c r="C173" s="17" t="s">
        <v>108</v>
      </c>
      <c r="D173" s="17" t="s">
        <v>118</v>
      </c>
      <c r="E173" s="17"/>
      <c r="F173" s="17" t="s">
        <v>120</v>
      </c>
      <c r="G173" s="17">
        <v>0</v>
      </c>
    </row>
    <row r="174" spans="1:7" x14ac:dyDescent="0.2">
      <c r="A174" s="17" t="s">
        <v>1771</v>
      </c>
      <c r="B174" s="17" t="s">
        <v>1772</v>
      </c>
      <c r="C174" s="17" t="s">
        <v>108</v>
      </c>
      <c r="D174" s="17" t="s">
        <v>118</v>
      </c>
      <c r="E174" s="17"/>
      <c r="F174" s="17" t="s">
        <v>120</v>
      </c>
      <c r="G174" s="17">
        <v>0</v>
      </c>
    </row>
    <row r="175" spans="1:7" x14ac:dyDescent="0.2">
      <c r="A175" s="17" t="s">
        <v>1780</v>
      </c>
      <c r="B175" s="17" t="s">
        <v>1781</v>
      </c>
      <c r="C175" s="17" t="s">
        <v>108</v>
      </c>
      <c r="D175" s="17" t="s">
        <v>118</v>
      </c>
      <c r="E175" s="17"/>
      <c r="F175" s="17" t="s">
        <v>120</v>
      </c>
      <c r="G175" s="17">
        <v>0</v>
      </c>
    </row>
    <row r="176" spans="1:7" x14ac:dyDescent="0.2">
      <c r="A176" s="17" t="s">
        <v>1794</v>
      </c>
      <c r="B176" s="17" t="s">
        <v>1795</v>
      </c>
      <c r="C176" s="17" t="s">
        <v>108</v>
      </c>
      <c r="D176" s="17" t="s">
        <v>118</v>
      </c>
      <c r="E176" s="17"/>
      <c r="F176" s="17" t="s">
        <v>120</v>
      </c>
      <c r="G176" s="17">
        <v>0</v>
      </c>
    </row>
    <row r="177" spans="1:7" x14ac:dyDescent="0.2">
      <c r="A177" s="17" t="s">
        <v>1799</v>
      </c>
      <c r="B177" s="17" t="s">
        <v>1800</v>
      </c>
      <c r="C177" s="17" t="s">
        <v>108</v>
      </c>
      <c r="D177" s="17" t="s">
        <v>118</v>
      </c>
      <c r="E177" s="17"/>
      <c r="F177" s="17" t="s">
        <v>120</v>
      </c>
      <c r="G177" s="17">
        <v>0</v>
      </c>
    </row>
    <row r="178" spans="1:7" x14ac:dyDescent="0.2">
      <c r="A178" s="17" t="s">
        <v>1809</v>
      </c>
      <c r="B178" s="17" t="s">
        <v>1810</v>
      </c>
      <c r="C178" s="17" t="s">
        <v>108</v>
      </c>
      <c r="D178" s="17" t="s">
        <v>481</v>
      </c>
      <c r="E178" s="17"/>
      <c r="F178" s="17" t="s">
        <v>120</v>
      </c>
      <c r="G178" s="17">
        <v>0</v>
      </c>
    </row>
    <row r="179" spans="1:7" x14ac:dyDescent="0.2">
      <c r="A179" s="17" t="s">
        <v>1813</v>
      </c>
      <c r="B179" s="17" t="s">
        <v>1814</v>
      </c>
      <c r="C179" s="17" t="s">
        <v>108</v>
      </c>
      <c r="D179" s="17" t="s">
        <v>118</v>
      </c>
      <c r="E179" s="17"/>
      <c r="F179" s="17" t="s">
        <v>120</v>
      </c>
      <c r="G179" s="17">
        <v>0</v>
      </c>
    </row>
    <row r="180" spans="1:7" x14ac:dyDescent="0.2">
      <c r="A180" s="17" t="s">
        <v>1820</v>
      </c>
      <c r="B180" s="17" t="s">
        <v>1821</v>
      </c>
      <c r="C180" s="17" t="s">
        <v>108</v>
      </c>
      <c r="D180" s="17" t="s">
        <v>118</v>
      </c>
      <c r="E180" s="17"/>
      <c r="F180" s="17" t="s">
        <v>120</v>
      </c>
      <c r="G180" s="17">
        <v>0</v>
      </c>
    </row>
    <row r="181" spans="1:7" x14ac:dyDescent="0.2">
      <c r="A181" s="17" t="s">
        <v>1823</v>
      </c>
      <c r="B181" s="17" t="s">
        <v>1824</v>
      </c>
      <c r="C181" s="17" t="s">
        <v>108</v>
      </c>
      <c r="D181" s="17" t="s">
        <v>118</v>
      </c>
      <c r="E181" s="17"/>
      <c r="F181" s="17" t="s">
        <v>120</v>
      </c>
      <c r="G181" s="17">
        <v>0</v>
      </c>
    </row>
    <row r="182" spans="1:7" x14ac:dyDescent="0.2">
      <c r="A182" s="17" t="s">
        <v>1827</v>
      </c>
      <c r="B182" s="17" t="s">
        <v>1828</v>
      </c>
      <c r="C182" s="17" t="s">
        <v>108</v>
      </c>
      <c r="D182" s="17" t="s">
        <v>481</v>
      </c>
      <c r="E182" s="17"/>
      <c r="F182" s="17" t="s">
        <v>120</v>
      </c>
      <c r="G182" s="17">
        <v>0</v>
      </c>
    </row>
    <row r="183" spans="1:7" x14ac:dyDescent="0.2">
      <c r="A183" s="17" t="s">
        <v>1845</v>
      </c>
      <c r="B183" s="17" t="s">
        <v>1846</v>
      </c>
      <c r="C183" s="17" t="s">
        <v>108</v>
      </c>
      <c r="D183" s="17" t="s">
        <v>118</v>
      </c>
      <c r="E183" s="17"/>
      <c r="F183" s="17" t="s">
        <v>120</v>
      </c>
      <c r="G183" s="17">
        <v>0</v>
      </c>
    </row>
    <row r="184" spans="1:7" x14ac:dyDescent="0.2">
      <c r="A184" s="17" t="s">
        <v>1848</v>
      </c>
      <c r="B184" s="17" t="s">
        <v>1849</v>
      </c>
      <c r="C184" s="17" t="s">
        <v>108</v>
      </c>
      <c r="D184" s="17" t="s">
        <v>118</v>
      </c>
      <c r="E184" s="17"/>
      <c r="F184" s="17" t="s">
        <v>120</v>
      </c>
      <c r="G184" s="17">
        <v>0</v>
      </c>
    </row>
    <row r="185" spans="1:7" x14ac:dyDescent="0.2">
      <c r="A185" s="17" t="s">
        <v>1852</v>
      </c>
      <c r="B185" s="17" t="s">
        <v>1853</v>
      </c>
      <c r="C185" s="17" t="s">
        <v>108</v>
      </c>
      <c r="D185" s="17" t="s">
        <v>118</v>
      </c>
      <c r="E185" s="17"/>
      <c r="F185" s="17" t="s">
        <v>120</v>
      </c>
      <c r="G185" s="17">
        <v>0</v>
      </c>
    </row>
    <row r="186" spans="1:7" x14ac:dyDescent="0.2">
      <c r="A186" s="17" t="s">
        <v>1855</v>
      </c>
      <c r="B186" s="17" t="s">
        <v>1856</v>
      </c>
      <c r="C186" s="17" t="s">
        <v>108</v>
      </c>
      <c r="D186" s="17" t="s">
        <v>118</v>
      </c>
      <c r="E186" s="17"/>
      <c r="F186" s="17" t="s">
        <v>120</v>
      </c>
      <c r="G186" s="17">
        <v>0</v>
      </c>
    </row>
    <row r="187" spans="1:7" x14ac:dyDescent="0.2">
      <c r="A187" s="17" t="s">
        <v>1859</v>
      </c>
      <c r="B187" s="17" t="s">
        <v>1860</v>
      </c>
      <c r="C187" s="17" t="s">
        <v>108</v>
      </c>
      <c r="D187" s="17" t="s">
        <v>118</v>
      </c>
      <c r="E187" s="17"/>
      <c r="F187" s="17" t="s">
        <v>120</v>
      </c>
      <c r="G187" s="17">
        <v>0</v>
      </c>
    </row>
    <row r="188" spans="1:7" x14ac:dyDescent="0.2">
      <c r="A188" s="17" t="s">
        <v>1869</v>
      </c>
      <c r="B188" s="17" t="s">
        <v>1870</v>
      </c>
      <c r="C188" s="17" t="s">
        <v>108</v>
      </c>
      <c r="D188" s="17" t="s">
        <v>118</v>
      </c>
      <c r="E188" s="17"/>
      <c r="F188" s="17" t="s">
        <v>120</v>
      </c>
      <c r="G188" s="17">
        <v>0</v>
      </c>
    </row>
    <row r="189" spans="1:7" x14ac:dyDescent="0.2">
      <c r="A189" s="17" t="s">
        <v>1883</v>
      </c>
      <c r="B189" s="17" t="s">
        <v>1884</v>
      </c>
      <c r="C189" s="17" t="s">
        <v>108</v>
      </c>
      <c r="D189" s="17" t="s">
        <v>118</v>
      </c>
      <c r="E189" s="17"/>
      <c r="F189" s="17" t="s">
        <v>120</v>
      </c>
      <c r="G189" s="17">
        <v>0</v>
      </c>
    </row>
    <row r="190" spans="1:7" x14ac:dyDescent="0.2">
      <c r="A190" s="17" t="s">
        <v>1886</v>
      </c>
      <c r="B190" s="17" t="s">
        <v>1887</v>
      </c>
      <c r="C190" s="17" t="s">
        <v>108</v>
      </c>
      <c r="D190" s="17" t="s">
        <v>481</v>
      </c>
      <c r="E190" s="17"/>
      <c r="F190" s="17" t="s">
        <v>120</v>
      </c>
      <c r="G190" s="17">
        <v>0</v>
      </c>
    </row>
    <row r="191" spans="1:7" x14ac:dyDescent="0.2">
      <c r="A191" s="17" t="s">
        <v>1891</v>
      </c>
      <c r="B191" s="17" t="s">
        <v>1892</v>
      </c>
      <c r="C191" s="17" t="s">
        <v>108</v>
      </c>
      <c r="D191" s="17" t="s">
        <v>481</v>
      </c>
      <c r="E191" s="17"/>
      <c r="F191" s="17" t="s">
        <v>120</v>
      </c>
      <c r="G191" s="17">
        <v>0</v>
      </c>
    </row>
    <row r="192" spans="1:7" x14ac:dyDescent="0.2">
      <c r="A192" s="17" t="s">
        <v>1895</v>
      </c>
      <c r="B192" s="17" t="s">
        <v>1896</v>
      </c>
      <c r="C192" s="17" t="s">
        <v>108</v>
      </c>
      <c r="D192" s="17" t="s">
        <v>118</v>
      </c>
      <c r="E192" s="17"/>
      <c r="F192" s="17" t="s">
        <v>120</v>
      </c>
      <c r="G192" s="17">
        <v>0</v>
      </c>
    </row>
    <row r="193" spans="1:7" x14ac:dyDescent="0.2">
      <c r="A193" s="17" t="s">
        <v>1904</v>
      </c>
      <c r="B193" s="17" t="s">
        <v>1905</v>
      </c>
      <c r="C193" s="17" t="s">
        <v>108</v>
      </c>
      <c r="D193" s="17" t="s">
        <v>118</v>
      </c>
      <c r="E193" s="17"/>
      <c r="F193" s="17" t="s">
        <v>120</v>
      </c>
      <c r="G193" s="17">
        <v>0</v>
      </c>
    </row>
    <row r="194" spans="1:7" x14ac:dyDescent="0.2">
      <c r="A194" s="17" t="s">
        <v>1925</v>
      </c>
      <c r="B194" s="17" t="s">
        <v>1926</v>
      </c>
      <c r="C194" s="17" t="s">
        <v>108</v>
      </c>
      <c r="D194" s="17" t="s">
        <v>481</v>
      </c>
      <c r="E194" s="17"/>
      <c r="F194" s="17" t="s">
        <v>120</v>
      </c>
      <c r="G194" s="17">
        <v>0</v>
      </c>
    </row>
    <row r="195" spans="1:7" x14ac:dyDescent="0.2">
      <c r="A195" s="17" t="s">
        <v>1930</v>
      </c>
      <c r="B195" s="17" t="s">
        <v>1931</v>
      </c>
      <c r="C195" s="17" t="s">
        <v>108</v>
      </c>
      <c r="D195" s="17" t="s">
        <v>118</v>
      </c>
      <c r="E195" s="17"/>
      <c r="F195" s="17" t="s">
        <v>120</v>
      </c>
      <c r="G195" s="17">
        <v>0</v>
      </c>
    </row>
    <row r="196" spans="1:7" x14ac:dyDescent="0.2">
      <c r="A196" s="17" t="s">
        <v>1933</v>
      </c>
      <c r="B196" s="17" t="s">
        <v>1934</v>
      </c>
      <c r="C196" s="17" t="s">
        <v>108</v>
      </c>
      <c r="D196" s="17" t="s">
        <v>118</v>
      </c>
      <c r="E196" s="17"/>
      <c r="F196" s="17" t="s">
        <v>120</v>
      </c>
      <c r="G196" s="17">
        <v>0</v>
      </c>
    </row>
    <row r="197" spans="1:7" x14ac:dyDescent="0.2">
      <c r="A197" s="17" t="s">
        <v>1937</v>
      </c>
      <c r="B197" s="17" t="s">
        <v>1938</v>
      </c>
      <c r="C197" s="17" t="s">
        <v>108</v>
      </c>
      <c r="D197" s="17" t="s">
        <v>481</v>
      </c>
      <c r="E197" s="17"/>
      <c r="F197" s="17" t="s">
        <v>120</v>
      </c>
      <c r="G197" s="17">
        <v>0</v>
      </c>
    </row>
    <row r="198" spans="1:7" x14ac:dyDescent="0.2">
      <c r="A198" s="17" t="s">
        <v>1941</v>
      </c>
      <c r="B198" s="17" t="s">
        <v>1942</v>
      </c>
      <c r="C198" s="17" t="s">
        <v>108</v>
      </c>
      <c r="D198" s="17" t="s">
        <v>118</v>
      </c>
      <c r="E198" s="17"/>
      <c r="F198" s="17" t="s">
        <v>120</v>
      </c>
      <c r="G198" s="17">
        <v>0</v>
      </c>
    </row>
    <row r="199" spans="1:7" x14ac:dyDescent="0.2">
      <c r="A199" s="17" t="s">
        <v>1944</v>
      </c>
      <c r="B199" s="17" t="s">
        <v>1945</v>
      </c>
      <c r="C199" s="17" t="s">
        <v>108</v>
      </c>
      <c r="D199" s="17" t="s">
        <v>118</v>
      </c>
      <c r="E199" s="17"/>
      <c r="F199" s="17" t="s">
        <v>120</v>
      </c>
      <c r="G199" s="17">
        <v>0</v>
      </c>
    </row>
    <row r="200" spans="1:7" x14ac:dyDescent="0.2">
      <c r="A200" s="17" t="s">
        <v>1953</v>
      </c>
      <c r="B200" s="17" t="s">
        <v>1954</v>
      </c>
      <c r="C200" s="17" t="s">
        <v>108</v>
      </c>
      <c r="D200" s="17" t="s">
        <v>481</v>
      </c>
      <c r="E200" s="17"/>
      <c r="F200" s="17" t="s">
        <v>120</v>
      </c>
      <c r="G200" s="17">
        <v>0</v>
      </c>
    </row>
    <row r="201" spans="1:7" x14ac:dyDescent="0.2">
      <c r="A201" s="17" t="s">
        <v>1957</v>
      </c>
      <c r="B201" s="17" t="s">
        <v>1958</v>
      </c>
      <c r="C201" s="17" t="s">
        <v>108</v>
      </c>
      <c r="D201" s="17" t="s">
        <v>118</v>
      </c>
      <c r="E201" s="17"/>
      <c r="F201" s="17" t="s">
        <v>120</v>
      </c>
      <c r="G201" s="17">
        <v>0</v>
      </c>
    </row>
    <row r="202" spans="1:7" x14ac:dyDescent="0.2">
      <c r="A202" s="17" t="s">
        <v>1961</v>
      </c>
      <c r="B202" s="17" t="s">
        <v>1962</v>
      </c>
      <c r="C202" s="17" t="s">
        <v>108</v>
      </c>
      <c r="D202" s="17" t="s">
        <v>118</v>
      </c>
      <c r="E202" s="17"/>
      <c r="F202" s="17" t="s">
        <v>120</v>
      </c>
      <c r="G202" s="17">
        <v>0</v>
      </c>
    </row>
    <row r="203" spans="1:7" x14ac:dyDescent="0.2">
      <c r="A203" s="17" t="s">
        <v>1970</v>
      </c>
      <c r="B203" s="17" t="s">
        <v>1971</v>
      </c>
      <c r="C203" s="17" t="s">
        <v>108</v>
      </c>
      <c r="D203" s="17" t="s">
        <v>481</v>
      </c>
      <c r="E203" s="17"/>
      <c r="F203" s="17" t="s">
        <v>120</v>
      </c>
      <c r="G203" s="17">
        <v>0</v>
      </c>
    </row>
    <row r="204" spans="1:7" x14ac:dyDescent="0.2">
      <c r="A204" s="17" t="s">
        <v>1978</v>
      </c>
      <c r="B204" s="17" t="s">
        <v>1979</v>
      </c>
      <c r="C204" s="17" t="s">
        <v>108</v>
      </c>
      <c r="D204" s="17" t="s">
        <v>118</v>
      </c>
      <c r="E204" s="17"/>
      <c r="F204" s="17" t="s">
        <v>120</v>
      </c>
      <c r="G204" s="17">
        <v>0</v>
      </c>
    </row>
    <row r="205" spans="1:7" x14ac:dyDescent="0.2">
      <c r="A205" s="17" t="s">
        <v>1981</v>
      </c>
      <c r="B205" s="17" t="s">
        <v>1982</v>
      </c>
      <c r="C205" s="17" t="s">
        <v>108</v>
      </c>
      <c r="D205" s="17" t="s">
        <v>118</v>
      </c>
      <c r="E205" s="17"/>
      <c r="F205" s="17" t="s">
        <v>120</v>
      </c>
      <c r="G205" s="17">
        <v>0</v>
      </c>
    </row>
    <row r="206" spans="1:7" x14ac:dyDescent="0.2">
      <c r="A206" s="17" t="s">
        <v>1988</v>
      </c>
      <c r="B206" s="17" t="s">
        <v>1989</v>
      </c>
      <c r="C206" s="17" t="s">
        <v>108</v>
      </c>
      <c r="D206" s="17" t="s">
        <v>118</v>
      </c>
      <c r="E206" s="17"/>
      <c r="F206" s="17" t="s">
        <v>120</v>
      </c>
      <c r="G206" s="17">
        <v>0</v>
      </c>
    </row>
    <row r="207" spans="1:7" x14ac:dyDescent="0.2">
      <c r="A207" s="17" t="s">
        <v>2004</v>
      </c>
      <c r="B207" s="17" t="s">
        <v>2005</v>
      </c>
      <c r="C207" s="17" t="s">
        <v>108</v>
      </c>
      <c r="D207" s="17" t="s">
        <v>118</v>
      </c>
      <c r="E207" s="17"/>
      <c r="F207" s="17" t="s">
        <v>120</v>
      </c>
      <c r="G207" s="17">
        <v>0</v>
      </c>
    </row>
    <row r="208" spans="1:7" x14ac:dyDescent="0.2">
      <c r="A208" s="17" t="s">
        <v>2008</v>
      </c>
      <c r="B208" s="17" t="s">
        <v>2009</v>
      </c>
      <c r="C208" s="17" t="s">
        <v>108</v>
      </c>
      <c r="D208" s="17" t="s">
        <v>481</v>
      </c>
      <c r="E208" s="17"/>
      <c r="F208" s="17" t="s">
        <v>120</v>
      </c>
      <c r="G208" s="17">
        <v>0</v>
      </c>
    </row>
    <row r="209" spans="1:7" x14ac:dyDescent="0.2">
      <c r="A209" s="17" t="s">
        <v>2011</v>
      </c>
      <c r="B209" s="17" t="s">
        <v>2012</v>
      </c>
      <c r="C209" s="17" t="s">
        <v>108</v>
      </c>
      <c r="D209" s="17" t="s">
        <v>118</v>
      </c>
      <c r="E209" s="17"/>
      <c r="F209" s="17" t="s">
        <v>120</v>
      </c>
      <c r="G209" s="17">
        <v>0</v>
      </c>
    </row>
    <row r="210" spans="1:7" x14ac:dyDescent="0.2">
      <c r="A210" s="17" t="s">
        <v>2015</v>
      </c>
      <c r="B210" s="17" t="s">
        <v>2016</v>
      </c>
      <c r="C210" s="17" t="s">
        <v>108</v>
      </c>
      <c r="D210" s="17" t="s">
        <v>481</v>
      </c>
      <c r="E210" s="17"/>
      <c r="F210" s="17" t="s">
        <v>120</v>
      </c>
      <c r="G210" s="17">
        <v>0</v>
      </c>
    </row>
    <row r="211" spans="1:7" x14ac:dyDescent="0.2">
      <c r="A211" s="17" t="s">
        <v>2019</v>
      </c>
      <c r="B211" s="17" t="s">
        <v>2020</v>
      </c>
      <c r="C211" s="17" t="s">
        <v>108</v>
      </c>
      <c r="D211" s="17" t="s">
        <v>118</v>
      </c>
      <c r="E211" s="17"/>
      <c r="F211" s="17" t="s">
        <v>120</v>
      </c>
      <c r="G211" s="17">
        <v>0</v>
      </c>
    </row>
    <row r="212" spans="1:7" x14ac:dyDescent="0.2">
      <c r="A212" s="17" t="s">
        <v>488</v>
      </c>
      <c r="B212" s="17" t="s">
        <v>2022</v>
      </c>
      <c r="C212" s="17" t="s">
        <v>108</v>
      </c>
      <c r="D212" s="17" t="s">
        <v>118</v>
      </c>
      <c r="E212" s="17"/>
      <c r="F212" s="17" t="s">
        <v>120</v>
      </c>
      <c r="G212" s="17">
        <v>0</v>
      </c>
    </row>
    <row r="213" spans="1:7" x14ac:dyDescent="0.2">
      <c r="A213" s="17" t="s">
        <v>2024</v>
      </c>
      <c r="B213" s="17" t="s">
        <v>2025</v>
      </c>
      <c r="C213" s="17" t="s">
        <v>108</v>
      </c>
      <c r="D213" s="17" t="s">
        <v>118</v>
      </c>
      <c r="E213" s="17"/>
      <c r="F213" s="17" t="s">
        <v>120</v>
      </c>
      <c r="G213" s="17">
        <v>0</v>
      </c>
    </row>
    <row r="214" spans="1:7" x14ac:dyDescent="0.2">
      <c r="A214" s="17" t="s">
        <v>2033</v>
      </c>
      <c r="B214" s="17" t="s">
        <v>2034</v>
      </c>
      <c r="C214" s="17" t="s">
        <v>108</v>
      </c>
      <c r="D214" s="17" t="s">
        <v>118</v>
      </c>
      <c r="E214" s="17"/>
      <c r="F214" s="17" t="s">
        <v>120</v>
      </c>
      <c r="G214" s="17">
        <v>0</v>
      </c>
    </row>
    <row r="215" spans="1:7" x14ac:dyDescent="0.2">
      <c r="A215" s="17" t="s">
        <v>2033</v>
      </c>
      <c r="B215" s="17" t="s">
        <v>2034</v>
      </c>
      <c r="C215" s="17" t="s">
        <v>108</v>
      </c>
      <c r="D215" s="17" t="s">
        <v>118</v>
      </c>
      <c r="E215" s="17"/>
      <c r="F215" s="17" t="s">
        <v>120</v>
      </c>
      <c r="G215" s="17">
        <v>0</v>
      </c>
    </row>
    <row r="216" spans="1:7" x14ac:dyDescent="0.2">
      <c r="A216" s="17" t="s">
        <v>2044</v>
      </c>
      <c r="B216" s="17" t="s">
        <v>2045</v>
      </c>
      <c r="C216" s="17" t="s">
        <v>108</v>
      </c>
      <c r="D216" s="17" t="s">
        <v>118</v>
      </c>
      <c r="E216" s="17"/>
      <c r="F216" s="17" t="s">
        <v>120</v>
      </c>
      <c r="G216" s="17">
        <v>0</v>
      </c>
    </row>
    <row r="217" spans="1:7" x14ac:dyDescent="0.2">
      <c r="A217" s="17" t="s">
        <v>2172</v>
      </c>
      <c r="B217" s="17" t="s">
        <v>2173</v>
      </c>
      <c r="C217" s="17" t="s">
        <v>108</v>
      </c>
      <c r="D217" s="17" t="s">
        <v>118</v>
      </c>
      <c r="E217" s="17"/>
      <c r="F217" s="17" t="s">
        <v>120</v>
      </c>
      <c r="G217" s="17">
        <v>0</v>
      </c>
    </row>
    <row r="218" spans="1:7" x14ac:dyDescent="0.2">
      <c r="A218" s="17" t="s">
        <v>2172</v>
      </c>
      <c r="B218" s="17" t="s">
        <v>2173</v>
      </c>
      <c r="C218" s="17" t="s">
        <v>2176</v>
      </c>
      <c r="D218" s="17" t="s">
        <v>2179</v>
      </c>
      <c r="E218" s="17"/>
      <c r="F218" s="17" t="s">
        <v>120</v>
      </c>
      <c r="G218" s="17">
        <v>0</v>
      </c>
    </row>
    <row r="219" spans="1:7" x14ac:dyDescent="0.2">
      <c r="A219" s="17" t="s">
        <v>2180</v>
      </c>
      <c r="B219" s="17" t="s">
        <v>2181</v>
      </c>
      <c r="C219" s="17" t="s">
        <v>2176</v>
      </c>
      <c r="D219" s="17" t="s">
        <v>2189</v>
      </c>
      <c r="E219" s="17"/>
      <c r="F219" s="17" t="s">
        <v>120</v>
      </c>
      <c r="G219" s="17">
        <v>0</v>
      </c>
    </row>
    <row r="220" spans="1:7" x14ac:dyDescent="0.2">
      <c r="A220" s="17" t="s">
        <v>2190</v>
      </c>
      <c r="B220" s="17" t="s">
        <v>2191</v>
      </c>
      <c r="C220" s="17" t="s">
        <v>2176</v>
      </c>
      <c r="D220" s="17" t="s">
        <v>2194</v>
      </c>
      <c r="E220" s="17"/>
      <c r="F220" s="17" t="s">
        <v>120</v>
      </c>
      <c r="G220" s="17">
        <v>0</v>
      </c>
    </row>
    <row r="221" spans="1:7" x14ac:dyDescent="0.2">
      <c r="A221" s="17" t="s">
        <v>2195</v>
      </c>
      <c r="B221" s="17" t="s">
        <v>2196</v>
      </c>
      <c r="C221" s="17" t="s">
        <v>2176</v>
      </c>
      <c r="D221" s="17" t="s">
        <v>2198</v>
      </c>
      <c r="E221" s="17"/>
      <c r="F221" s="17" t="s">
        <v>120</v>
      </c>
      <c r="G221" s="17">
        <v>0</v>
      </c>
    </row>
    <row r="222" spans="1:7" x14ac:dyDescent="0.2">
      <c r="A222" s="17" t="s">
        <v>2199</v>
      </c>
      <c r="B222" s="17" t="s">
        <v>2200</v>
      </c>
      <c r="C222" s="17" t="s">
        <v>108</v>
      </c>
      <c r="D222" s="17" t="s">
        <v>118</v>
      </c>
      <c r="E222" s="17"/>
      <c r="F222" s="17" t="s">
        <v>120</v>
      </c>
      <c r="G222" s="17">
        <v>0</v>
      </c>
    </row>
    <row r="223" spans="1:7" x14ac:dyDescent="0.2">
      <c r="A223" s="17" t="s">
        <v>2202</v>
      </c>
      <c r="B223" s="17" t="s">
        <v>2203</v>
      </c>
      <c r="C223" s="17" t="s">
        <v>2176</v>
      </c>
      <c r="D223" s="17" t="s">
        <v>2210</v>
      </c>
      <c r="E223" s="17"/>
      <c r="F223" s="17" t="s">
        <v>120</v>
      </c>
      <c r="G223" s="17">
        <v>0</v>
      </c>
    </row>
    <row r="224" spans="1:7" x14ac:dyDescent="0.2">
      <c r="A224" s="17" t="s">
        <v>2211</v>
      </c>
      <c r="B224" s="17" t="s">
        <v>2212</v>
      </c>
      <c r="C224" s="17" t="s">
        <v>108</v>
      </c>
      <c r="D224" s="17" t="s">
        <v>118</v>
      </c>
      <c r="E224" s="17"/>
      <c r="F224" s="17" t="s">
        <v>120</v>
      </c>
      <c r="G224" s="17">
        <v>0</v>
      </c>
    </row>
    <row r="225" spans="1:7" x14ac:dyDescent="0.2">
      <c r="A225" s="17" t="s">
        <v>2211</v>
      </c>
      <c r="B225" s="17" t="s">
        <v>2212</v>
      </c>
      <c r="C225" s="17" t="s">
        <v>2176</v>
      </c>
      <c r="D225" s="17" t="s">
        <v>2194</v>
      </c>
      <c r="E225" s="17"/>
      <c r="F225" s="17" t="s">
        <v>120</v>
      </c>
      <c r="G225" s="17">
        <v>0</v>
      </c>
    </row>
    <row r="226" spans="1:7" x14ac:dyDescent="0.2">
      <c r="A226" s="17" t="s">
        <v>2216</v>
      </c>
      <c r="B226" s="17" t="s">
        <v>2217</v>
      </c>
      <c r="C226" s="17" t="s">
        <v>2176</v>
      </c>
      <c r="D226" s="17" t="s">
        <v>2228</v>
      </c>
      <c r="E226" s="17"/>
      <c r="F226" s="17" t="s">
        <v>120</v>
      </c>
      <c r="G226" s="17">
        <v>0</v>
      </c>
    </row>
    <row r="227" spans="1:7" x14ac:dyDescent="0.2">
      <c r="A227" s="17" t="s">
        <v>2216</v>
      </c>
      <c r="B227" s="17" t="s">
        <v>2217</v>
      </c>
      <c r="C227" s="17" t="s">
        <v>2176</v>
      </c>
      <c r="D227" s="17" t="s">
        <v>2228</v>
      </c>
      <c r="E227" s="17"/>
      <c r="F227" s="17" t="s">
        <v>120</v>
      </c>
      <c r="G227" s="17">
        <v>0</v>
      </c>
    </row>
    <row r="228" spans="1:7" x14ac:dyDescent="0.2">
      <c r="A228" s="17" t="s">
        <v>2229</v>
      </c>
      <c r="B228" s="17" t="s">
        <v>2230</v>
      </c>
      <c r="C228" s="17" t="s">
        <v>2176</v>
      </c>
      <c r="D228" s="17" t="s">
        <v>2228</v>
      </c>
      <c r="E228" s="17"/>
      <c r="F228" s="17" t="s">
        <v>120</v>
      </c>
      <c r="G228" s="17">
        <v>0</v>
      </c>
    </row>
    <row r="229" spans="1:7" x14ac:dyDescent="0.2">
      <c r="A229" s="17" t="s">
        <v>2229</v>
      </c>
      <c r="B229" s="17" t="s">
        <v>2230</v>
      </c>
      <c r="C229" s="17" t="s">
        <v>2176</v>
      </c>
      <c r="D229" s="17" t="s">
        <v>2228</v>
      </c>
      <c r="E229" s="17"/>
      <c r="F229" s="17" t="s">
        <v>120</v>
      </c>
      <c r="G229" s="17">
        <v>0</v>
      </c>
    </row>
    <row r="230" spans="1:7" x14ac:dyDescent="0.2">
      <c r="A230" s="17" t="s">
        <v>2235</v>
      </c>
      <c r="B230" s="17" t="s">
        <v>2236</v>
      </c>
      <c r="C230" s="17" t="s">
        <v>2176</v>
      </c>
      <c r="D230" s="17" t="s">
        <v>2244</v>
      </c>
      <c r="E230" s="17"/>
      <c r="F230" s="17" t="s">
        <v>120</v>
      </c>
      <c r="G230" s="17">
        <v>0</v>
      </c>
    </row>
    <row r="231" spans="1:7" x14ac:dyDescent="0.2">
      <c r="A231" s="17" t="s">
        <v>2245</v>
      </c>
      <c r="B231" s="17" t="s">
        <v>2246</v>
      </c>
      <c r="C231" s="17" t="s">
        <v>2176</v>
      </c>
      <c r="D231" s="17" t="s">
        <v>2249</v>
      </c>
      <c r="E231" s="17"/>
      <c r="F231" s="17" t="s">
        <v>120</v>
      </c>
      <c r="G231" s="17">
        <v>0</v>
      </c>
    </row>
    <row r="232" spans="1:7" x14ac:dyDescent="0.2">
      <c r="A232" s="17" t="s">
        <v>2250</v>
      </c>
      <c r="B232" s="17" t="s">
        <v>2251</v>
      </c>
      <c r="C232" s="17" t="s">
        <v>2176</v>
      </c>
      <c r="D232" s="17" t="s">
        <v>2194</v>
      </c>
      <c r="E232" s="17"/>
      <c r="F232" s="17" t="s">
        <v>120</v>
      </c>
      <c r="G232" s="17">
        <v>0</v>
      </c>
    </row>
    <row r="233" spans="1:7" x14ac:dyDescent="0.2">
      <c r="A233" s="17" t="s">
        <v>2258</v>
      </c>
      <c r="B233" s="17" t="s">
        <v>2259</v>
      </c>
      <c r="C233" s="17" t="s">
        <v>2176</v>
      </c>
      <c r="D233" s="17" t="s">
        <v>2261</v>
      </c>
      <c r="E233" s="17"/>
      <c r="F233" s="17" t="s">
        <v>120</v>
      </c>
      <c r="G233" s="17">
        <v>0</v>
      </c>
    </row>
    <row r="234" spans="1:7" x14ac:dyDescent="0.2">
      <c r="A234" s="17" t="s">
        <v>2262</v>
      </c>
      <c r="B234" s="17" t="s">
        <v>2263</v>
      </c>
      <c r="C234" s="17" t="s">
        <v>2176</v>
      </c>
      <c r="D234" s="17" t="s">
        <v>2194</v>
      </c>
      <c r="E234" s="17"/>
      <c r="F234" s="17" t="s">
        <v>120</v>
      </c>
      <c r="G234" s="17">
        <v>0</v>
      </c>
    </row>
    <row r="235" spans="1:7" x14ac:dyDescent="0.2">
      <c r="A235" s="17" t="s">
        <v>2270</v>
      </c>
      <c r="B235" s="17" t="s">
        <v>2271</v>
      </c>
      <c r="C235" s="17" t="s">
        <v>2176</v>
      </c>
      <c r="D235" s="17" t="s">
        <v>2274</v>
      </c>
      <c r="E235" s="17"/>
      <c r="F235" s="17" t="s">
        <v>120</v>
      </c>
      <c r="G235" s="17">
        <v>0</v>
      </c>
    </row>
    <row r="236" spans="1:7" x14ac:dyDescent="0.2">
      <c r="A236" s="17" t="s">
        <v>2275</v>
      </c>
      <c r="B236" s="17" t="s">
        <v>2276</v>
      </c>
      <c r="C236" s="17" t="s">
        <v>2176</v>
      </c>
      <c r="D236" s="17" t="s">
        <v>2274</v>
      </c>
      <c r="E236" s="17"/>
      <c r="F236" s="17" t="s">
        <v>120</v>
      </c>
      <c r="G236" s="17">
        <v>0</v>
      </c>
    </row>
    <row r="237" spans="1:7" x14ac:dyDescent="0.2">
      <c r="A237" s="17" t="s">
        <v>2279</v>
      </c>
      <c r="B237" s="17" t="s">
        <v>2280</v>
      </c>
      <c r="C237" s="17" t="s">
        <v>108</v>
      </c>
      <c r="D237" s="17" t="s">
        <v>118</v>
      </c>
      <c r="E237" s="17"/>
      <c r="F237" s="17" t="s">
        <v>120</v>
      </c>
      <c r="G237" s="17">
        <v>0</v>
      </c>
    </row>
    <row r="238" spans="1:7" x14ac:dyDescent="0.2">
      <c r="A238" s="17" t="s">
        <v>2279</v>
      </c>
      <c r="B238" s="17" t="s">
        <v>2280</v>
      </c>
      <c r="C238" s="17" t="s">
        <v>2176</v>
      </c>
      <c r="D238" s="17" t="s">
        <v>2282</v>
      </c>
      <c r="E238" s="17"/>
      <c r="F238" s="17" t="s">
        <v>120</v>
      </c>
      <c r="G238" s="17">
        <v>0</v>
      </c>
    </row>
    <row r="239" spans="1:7" x14ac:dyDescent="0.2">
      <c r="A239" s="17" t="s">
        <v>2279</v>
      </c>
      <c r="B239" s="17" t="s">
        <v>2280</v>
      </c>
      <c r="C239" s="17" t="s">
        <v>2176</v>
      </c>
      <c r="D239" s="17" t="s">
        <v>2283</v>
      </c>
      <c r="E239" s="17"/>
      <c r="F239" s="17" t="s">
        <v>120</v>
      </c>
      <c r="G239" s="17">
        <v>0</v>
      </c>
    </row>
    <row r="240" spans="1:7" x14ac:dyDescent="0.2">
      <c r="A240" s="17" t="s">
        <v>2284</v>
      </c>
      <c r="B240" s="17" t="s">
        <v>2285</v>
      </c>
      <c r="C240" s="17" t="s">
        <v>108</v>
      </c>
      <c r="D240" s="17" t="s">
        <v>118</v>
      </c>
      <c r="E240" s="17"/>
      <c r="F240" s="17" t="s">
        <v>120</v>
      </c>
      <c r="G240" s="17">
        <v>0</v>
      </c>
    </row>
    <row r="241" spans="1:7" x14ac:dyDescent="0.2">
      <c r="A241" s="17" t="s">
        <v>2359</v>
      </c>
      <c r="B241" s="17" t="s">
        <v>2360</v>
      </c>
      <c r="C241" s="17" t="s">
        <v>2362</v>
      </c>
      <c r="D241" s="17" t="s">
        <v>1807</v>
      </c>
      <c r="E241" s="17"/>
      <c r="F241" s="17" t="s">
        <v>120</v>
      </c>
      <c r="G241" s="17">
        <v>0</v>
      </c>
    </row>
    <row r="242" spans="1:7" x14ac:dyDescent="0.2">
      <c r="A242" s="17" t="s">
        <v>2558</v>
      </c>
      <c r="B242" s="17" t="s">
        <v>2559</v>
      </c>
      <c r="C242" s="17" t="s">
        <v>2176</v>
      </c>
      <c r="D242" s="17" t="s">
        <v>2560</v>
      </c>
      <c r="E242" s="17"/>
      <c r="F242" s="17" t="s">
        <v>120</v>
      </c>
      <c r="G242" s="17">
        <v>0</v>
      </c>
    </row>
    <row r="243" spans="1:7" x14ac:dyDescent="0.2">
      <c r="A243" s="17" t="s">
        <v>2561</v>
      </c>
      <c r="B243" s="17" t="s">
        <v>2562</v>
      </c>
      <c r="C243" s="17" t="s">
        <v>108</v>
      </c>
      <c r="D243" s="17" t="s">
        <v>118</v>
      </c>
      <c r="E243" s="17"/>
      <c r="F243" s="17" t="s">
        <v>120</v>
      </c>
      <c r="G243" s="17">
        <v>0</v>
      </c>
    </row>
    <row r="244" spans="1:7" x14ac:dyDescent="0.2">
      <c r="A244" s="17" t="s">
        <v>2626</v>
      </c>
      <c r="B244" s="17" t="s">
        <v>2627</v>
      </c>
      <c r="C244" s="17" t="s">
        <v>108</v>
      </c>
      <c r="D244" s="17" t="s">
        <v>118</v>
      </c>
      <c r="E244" s="17"/>
      <c r="F244" s="17" t="s">
        <v>120</v>
      </c>
      <c r="G244" s="17">
        <v>0</v>
      </c>
    </row>
    <row r="245" spans="1:7" x14ac:dyDescent="0.2">
      <c r="A245" s="17" t="s">
        <v>2644</v>
      </c>
      <c r="B245" s="17" t="s">
        <v>2645</v>
      </c>
      <c r="C245" s="17" t="s">
        <v>108</v>
      </c>
      <c r="D245" s="17" t="s">
        <v>2474</v>
      </c>
      <c r="E245" s="17"/>
      <c r="F245" s="17" t="s">
        <v>120</v>
      </c>
      <c r="G245" s="17">
        <v>0</v>
      </c>
    </row>
    <row r="246" spans="1:7" x14ac:dyDescent="0.2">
      <c r="A246" s="17" t="s">
        <v>2650</v>
      </c>
      <c r="B246" s="17" t="s">
        <v>2651</v>
      </c>
      <c r="C246" s="17" t="s">
        <v>108</v>
      </c>
      <c r="D246" s="17" t="s">
        <v>118</v>
      </c>
      <c r="E246" s="17"/>
      <c r="F246" s="17" t="s">
        <v>120</v>
      </c>
      <c r="G246" s="17">
        <v>0</v>
      </c>
    </row>
    <row r="247" spans="1:7" x14ac:dyDescent="0.2">
      <c r="A247" s="17" t="s">
        <v>2670</v>
      </c>
      <c r="B247" s="17" t="s">
        <v>2671</v>
      </c>
      <c r="C247" s="17" t="s">
        <v>108</v>
      </c>
      <c r="D247" s="17" t="s">
        <v>2099</v>
      </c>
      <c r="E247" s="17"/>
      <c r="F247" s="17" t="s">
        <v>120</v>
      </c>
      <c r="G247" s="17">
        <v>0</v>
      </c>
    </row>
    <row r="248" spans="1:7" x14ac:dyDescent="0.2">
      <c r="A248" s="17" t="s">
        <v>2672</v>
      </c>
      <c r="B248" s="17" t="s">
        <v>2673</v>
      </c>
      <c r="C248" s="17" t="s">
        <v>108</v>
      </c>
      <c r="D248" s="17" t="s">
        <v>2665</v>
      </c>
      <c r="E248" s="17"/>
      <c r="F248" s="17" t="s">
        <v>120</v>
      </c>
      <c r="G248" s="17">
        <v>0</v>
      </c>
    </row>
    <row r="249" spans="1:7" x14ac:dyDescent="0.2">
      <c r="A249" s="17" t="s">
        <v>2674</v>
      </c>
      <c r="B249" s="17" t="s">
        <v>2675</v>
      </c>
      <c r="C249" s="17" t="s">
        <v>108</v>
      </c>
      <c r="D249" s="17" t="s">
        <v>2099</v>
      </c>
      <c r="E249" s="17"/>
      <c r="F249" s="17" t="s">
        <v>120</v>
      </c>
      <c r="G249" s="17">
        <v>0</v>
      </c>
    </row>
    <row r="250" spans="1:7" x14ac:dyDescent="0.2">
      <c r="A250" s="17" t="s">
        <v>2692</v>
      </c>
      <c r="B250" s="17" t="s">
        <v>2693</v>
      </c>
      <c r="C250" s="17" t="s">
        <v>108</v>
      </c>
      <c r="D250" s="17" t="s">
        <v>118</v>
      </c>
      <c r="E250" s="17"/>
      <c r="F250" s="17" t="s">
        <v>120</v>
      </c>
      <c r="G250" s="17">
        <v>0</v>
      </c>
    </row>
    <row r="251" spans="1:7" x14ac:dyDescent="0.2">
      <c r="A251" s="17" t="s">
        <v>2695</v>
      </c>
      <c r="B251" s="17" t="s">
        <v>2696</v>
      </c>
      <c r="C251" s="17" t="s">
        <v>108</v>
      </c>
      <c r="D251" s="17" t="s">
        <v>118</v>
      </c>
      <c r="E251" s="17"/>
      <c r="F251" s="17" t="s">
        <v>120</v>
      </c>
      <c r="G251" s="17">
        <v>0</v>
      </c>
    </row>
    <row r="252" spans="1:7" x14ac:dyDescent="0.2">
      <c r="A252" s="17" t="s">
        <v>2703</v>
      </c>
      <c r="B252" s="17" t="s">
        <v>2704</v>
      </c>
      <c r="C252" s="17" t="s">
        <v>108</v>
      </c>
      <c r="D252" s="17" t="s">
        <v>118</v>
      </c>
      <c r="E252" s="17"/>
      <c r="F252" s="17" t="s">
        <v>120</v>
      </c>
      <c r="G252" s="17">
        <v>0</v>
      </c>
    </row>
    <row r="253" spans="1:7" x14ac:dyDescent="0.2">
      <c r="A253" s="17" t="s">
        <v>2711</v>
      </c>
      <c r="B253" s="17" t="s">
        <v>2712</v>
      </c>
      <c r="C253" s="17" t="s">
        <v>108</v>
      </c>
      <c r="D253" s="17" t="s">
        <v>118</v>
      </c>
      <c r="E253" s="17"/>
      <c r="F253" s="17" t="s">
        <v>120</v>
      </c>
      <c r="G253" s="17">
        <v>0</v>
      </c>
    </row>
    <row r="254" spans="1:7" x14ac:dyDescent="0.2">
      <c r="A254" s="17" t="s">
        <v>2714</v>
      </c>
      <c r="B254" s="17" t="s">
        <v>2715</v>
      </c>
      <c r="C254" s="17" t="s">
        <v>108</v>
      </c>
      <c r="D254" s="17" t="s">
        <v>118</v>
      </c>
      <c r="E254" s="17"/>
      <c r="F254" s="17" t="s">
        <v>120</v>
      </c>
      <c r="G254" s="17">
        <v>0</v>
      </c>
    </row>
    <row r="255" spans="1:7" x14ac:dyDescent="0.2">
      <c r="A255" s="17" t="s">
        <v>2721</v>
      </c>
      <c r="B255" s="17" t="s">
        <v>2722</v>
      </c>
      <c r="C255" s="17" t="s">
        <v>2176</v>
      </c>
      <c r="D255" s="17" t="s">
        <v>2274</v>
      </c>
      <c r="E255" s="17"/>
      <c r="F255" s="17" t="s">
        <v>120</v>
      </c>
      <c r="G255" s="17">
        <v>0</v>
      </c>
    </row>
    <row r="256" spans="1:7" x14ac:dyDescent="0.2">
      <c r="A256" s="17" t="s">
        <v>2724</v>
      </c>
      <c r="B256" s="17" t="s">
        <v>2725</v>
      </c>
      <c r="C256" s="17" t="s">
        <v>2176</v>
      </c>
      <c r="D256" s="17" t="s">
        <v>2274</v>
      </c>
      <c r="E256" s="17"/>
      <c r="F256" s="17" t="s">
        <v>120</v>
      </c>
      <c r="G256" s="17">
        <v>0</v>
      </c>
    </row>
    <row r="257" spans="1:7" x14ac:dyDescent="0.2">
      <c r="A257" s="17" t="s">
        <v>2732</v>
      </c>
      <c r="B257" s="17" t="s">
        <v>2733</v>
      </c>
      <c r="C257" s="17" t="s">
        <v>108</v>
      </c>
      <c r="D257" s="17" t="s">
        <v>118</v>
      </c>
      <c r="E257" s="17"/>
      <c r="F257" s="17" t="s">
        <v>120</v>
      </c>
      <c r="G257" s="17">
        <v>0</v>
      </c>
    </row>
    <row r="258" spans="1:7" x14ac:dyDescent="0.2">
      <c r="A258" s="17" t="s">
        <v>2821</v>
      </c>
      <c r="B258" s="17" t="s">
        <v>2822</v>
      </c>
      <c r="C258" s="17" t="s">
        <v>2176</v>
      </c>
      <c r="D258" s="17" t="s">
        <v>2826</v>
      </c>
      <c r="E258" s="17"/>
      <c r="F258" s="17" t="s">
        <v>120</v>
      </c>
      <c r="G258" s="17">
        <v>0</v>
      </c>
    </row>
    <row r="259" spans="1:7" x14ac:dyDescent="0.2">
      <c r="A259" s="17" t="s">
        <v>2827</v>
      </c>
      <c r="B259" s="17" t="s">
        <v>2828</v>
      </c>
      <c r="C259" s="17" t="s">
        <v>2176</v>
      </c>
      <c r="D259" s="17" t="s">
        <v>1924</v>
      </c>
      <c r="E259" s="17"/>
      <c r="F259" s="17" t="s">
        <v>120</v>
      </c>
      <c r="G259" s="17">
        <v>0</v>
      </c>
    </row>
    <row r="260" spans="1:7" x14ac:dyDescent="0.2">
      <c r="A260" s="17" t="s">
        <v>2852</v>
      </c>
      <c r="B260" s="17" t="s">
        <v>2853</v>
      </c>
      <c r="C260" s="17" t="s">
        <v>108</v>
      </c>
      <c r="D260" s="17" t="s">
        <v>2860</v>
      </c>
      <c r="E260" s="17"/>
      <c r="F260" s="17" t="s">
        <v>120</v>
      </c>
      <c r="G260" s="17">
        <v>0</v>
      </c>
    </row>
    <row r="261" spans="1:7" x14ac:dyDescent="0.2">
      <c r="A261" s="17" t="s">
        <v>2865</v>
      </c>
      <c r="B261" s="17" t="s">
        <v>2866</v>
      </c>
      <c r="C261" s="17" t="s">
        <v>2872</v>
      </c>
      <c r="D261" s="17" t="s">
        <v>1331</v>
      </c>
      <c r="E261" s="17"/>
      <c r="F261" s="17" t="s">
        <v>120</v>
      </c>
      <c r="G261" s="17">
        <v>0</v>
      </c>
    </row>
    <row r="262" spans="1:7" x14ac:dyDescent="0.2">
      <c r="A262" s="17" t="s">
        <v>2911</v>
      </c>
      <c r="B262" s="17" t="s">
        <v>2912</v>
      </c>
      <c r="C262" s="17" t="s">
        <v>108</v>
      </c>
      <c r="D262" s="17" t="s">
        <v>118</v>
      </c>
      <c r="E262" s="17"/>
      <c r="F262" s="17" t="s">
        <v>120</v>
      </c>
      <c r="G262" s="17">
        <v>0</v>
      </c>
    </row>
    <row r="263" spans="1:7" x14ac:dyDescent="0.2">
      <c r="A263" s="17" t="s">
        <v>2970</v>
      </c>
      <c r="B263" s="17" t="s">
        <v>2971</v>
      </c>
      <c r="C263" s="17" t="s">
        <v>108</v>
      </c>
      <c r="D263" s="17" t="s">
        <v>118</v>
      </c>
      <c r="E263" s="17"/>
      <c r="F263" s="17" t="s">
        <v>120</v>
      </c>
      <c r="G263" s="17">
        <v>0</v>
      </c>
    </row>
    <row r="264" spans="1:7" x14ac:dyDescent="0.2">
      <c r="A264" s="17" t="s">
        <v>2972</v>
      </c>
      <c r="B264" s="17" t="s">
        <v>2973</v>
      </c>
      <c r="C264" s="17" t="s">
        <v>108</v>
      </c>
      <c r="D264" s="17" t="s">
        <v>118</v>
      </c>
      <c r="E264" s="17"/>
      <c r="F264" s="17" t="s">
        <v>120</v>
      </c>
      <c r="G264" s="17">
        <v>0</v>
      </c>
    </row>
    <row r="265" spans="1:7" x14ac:dyDescent="0.2">
      <c r="A265" s="17" t="s">
        <v>2974</v>
      </c>
      <c r="B265" s="17" t="s">
        <v>2975</v>
      </c>
      <c r="C265" s="17" t="s">
        <v>108</v>
      </c>
      <c r="D265" s="17" t="s">
        <v>118</v>
      </c>
      <c r="E265" s="17"/>
      <c r="F265" s="17" t="s">
        <v>120</v>
      </c>
      <c r="G265" s="17">
        <v>0</v>
      </c>
    </row>
    <row r="266" spans="1:7" x14ac:dyDescent="0.2">
      <c r="A266" s="17" t="s">
        <v>2976</v>
      </c>
      <c r="B266" s="17" t="s">
        <v>2977</v>
      </c>
      <c r="C266" s="17" t="s">
        <v>108</v>
      </c>
      <c r="D266" s="17" t="s">
        <v>118</v>
      </c>
      <c r="E266" s="17"/>
      <c r="F266" s="17" t="s">
        <v>120</v>
      </c>
      <c r="G266" s="17">
        <v>0</v>
      </c>
    </row>
    <row r="267" spans="1:7" x14ac:dyDescent="0.2">
      <c r="A267" s="17" t="s">
        <v>2978</v>
      </c>
      <c r="B267" s="17" t="s">
        <v>2979</v>
      </c>
      <c r="C267" s="17" t="s">
        <v>108</v>
      </c>
      <c r="D267" s="17" t="s">
        <v>118</v>
      </c>
      <c r="E267" s="17"/>
      <c r="F267" s="17" t="s">
        <v>120</v>
      </c>
      <c r="G267" s="17">
        <v>0</v>
      </c>
    </row>
    <row r="268" spans="1:7" x14ac:dyDescent="0.2">
      <c r="A268" s="17" t="s">
        <v>2980</v>
      </c>
      <c r="B268" s="17" t="s">
        <v>2981</v>
      </c>
      <c r="C268" s="17" t="s">
        <v>108</v>
      </c>
      <c r="D268" s="17" t="s">
        <v>118</v>
      </c>
      <c r="E268" s="17"/>
      <c r="F268" s="17" t="s">
        <v>120</v>
      </c>
      <c r="G268" s="17">
        <v>0</v>
      </c>
    </row>
    <row r="269" spans="1:7" x14ac:dyDescent="0.2">
      <c r="A269" s="17" t="s">
        <v>2982</v>
      </c>
      <c r="B269" s="17" t="s">
        <v>2983</v>
      </c>
      <c r="C269" s="17" t="s">
        <v>108</v>
      </c>
      <c r="D269" s="17" t="s">
        <v>118</v>
      </c>
      <c r="E269" s="17"/>
      <c r="F269" s="17" t="s">
        <v>120</v>
      </c>
      <c r="G269" s="17">
        <v>0</v>
      </c>
    </row>
    <row r="270" spans="1:7" x14ac:dyDescent="0.2">
      <c r="A270" s="17" t="s">
        <v>2984</v>
      </c>
      <c r="B270" s="17" t="s">
        <v>2985</v>
      </c>
      <c r="C270" s="17" t="s">
        <v>108</v>
      </c>
      <c r="D270" s="17" t="s">
        <v>118</v>
      </c>
      <c r="E270" s="17"/>
      <c r="F270" s="17" t="s">
        <v>120</v>
      </c>
      <c r="G270" s="17">
        <v>0</v>
      </c>
    </row>
    <row r="271" spans="1:7" x14ac:dyDescent="0.2">
      <c r="A271" s="17" t="s">
        <v>2986</v>
      </c>
      <c r="B271" s="17" t="s">
        <v>2987</v>
      </c>
      <c r="C271" s="17" t="s">
        <v>108</v>
      </c>
      <c r="D271" s="17" t="s">
        <v>118</v>
      </c>
      <c r="E271" s="17"/>
      <c r="F271" s="17" t="s">
        <v>120</v>
      </c>
      <c r="G271" s="17">
        <v>0</v>
      </c>
    </row>
    <row r="272" spans="1:7" x14ac:dyDescent="0.2">
      <c r="A272" s="17" t="s">
        <v>2988</v>
      </c>
      <c r="B272" s="17" t="s">
        <v>2989</v>
      </c>
      <c r="C272" s="17" t="s">
        <v>108</v>
      </c>
      <c r="D272" s="17" t="s">
        <v>118</v>
      </c>
      <c r="E272" s="17"/>
      <c r="F272" s="17" t="s">
        <v>120</v>
      </c>
      <c r="G272" s="17">
        <v>0</v>
      </c>
    </row>
    <row r="273" spans="1:7" x14ac:dyDescent="0.2">
      <c r="A273" s="17" t="s">
        <v>2990</v>
      </c>
      <c r="B273" s="17" t="s">
        <v>2991</v>
      </c>
      <c r="C273" s="17" t="s">
        <v>108</v>
      </c>
      <c r="D273" s="17" t="s">
        <v>118</v>
      </c>
      <c r="E273" s="17"/>
      <c r="F273" s="17" t="s">
        <v>120</v>
      </c>
      <c r="G273" s="17">
        <v>0</v>
      </c>
    </row>
    <row r="274" spans="1:7" x14ac:dyDescent="0.2">
      <c r="A274" s="17" t="s">
        <v>2993</v>
      </c>
      <c r="B274" s="17" t="s">
        <v>2994</v>
      </c>
      <c r="C274" s="17" t="s">
        <v>108</v>
      </c>
      <c r="D274" s="17" t="s">
        <v>118</v>
      </c>
      <c r="E274" s="17"/>
      <c r="F274" s="17" t="s">
        <v>120</v>
      </c>
      <c r="G274" s="17">
        <v>0</v>
      </c>
    </row>
    <row r="275" spans="1:7" x14ac:dyDescent="0.2">
      <c r="A275" s="17" t="s">
        <v>2995</v>
      </c>
      <c r="B275" s="17" t="s">
        <v>2996</v>
      </c>
      <c r="C275" s="17" t="s">
        <v>108</v>
      </c>
      <c r="D275" s="17" t="s">
        <v>118</v>
      </c>
      <c r="E275" s="17"/>
      <c r="F275" s="17" t="s">
        <v>120</v>
      </c>
      <c r="G275" s="17">
        <v>0</v>
      </c>
    </row>
    <row r="276" spans="1:7" x14ac:dyDescent="0.2">
      <c r="A276" s="17" t="s">
        <v>2997</v>
      </c>
      <c r="B276" s="17" t="s">
        <v>2998</v>
      </c>
      <c r="C276" s="17" t="s">
        <v>108</v>
      </c>
      <c r="D276" s="17" t="s">
        <v>118</v>
      </c>
      <c r="E276" s="17"/>
      <c r="F276" s="17" t="s">
        <v>120</v>
      </c>
      <c r="G276" s="17">
        <v>0</v>
      </c>
    </row>
    <row r="277" spans="1:7" x14ac:dyDescent="0.2">
      <c r="A277" s="17" t="s">
        <v>2999</v>
      </c>
      <c r="B277" s="17" t="s">
        <v>3000</v>
      </c>
      <c r="C277" s="17" t="s">
        <v>108</v>
      </c>
      <c r="D277" s="17" t="s">
        <v>118</v>
      </c>
      <c r="E277" s="17"/>
      <c r="F277" s="17" t="s">
        <v>120</v>
      </c>
      <c r="G277" s="17">
        <v>0</v>
      </c>
    </row>
    <row r="278" spans="1:7" x14ac:dyDescent="0.2">
      <c r="A278" s="17" t="s">
        <v>3001</v>
      </c>
      <c r="B278" s="17" t="s">
        <v>3002</v>
      </c>
      <c r="C278" s="17" t="s">
        <v>108</v>
      </c>
      <c r="D278" s="17" t="s">
        <v>118</v>
      </c>
      <c r="E278" s="17"/>
      <c r="F278" s="17" t="s">
        <v>120</v>
      </c>
      <c r="G278" s="17">
        <v>0</v>
      </c>
    </row>
    <row r="279" spans="1:7" x14ac:dyDescent="0.2">
      <c r="A279" s="17" t="s">
        <v>3008</v>
      </c>
      <c r="B279" s="17" t="s">
        <v>3009</v>
      </c>
      <c r="C279" s="17" t="s">
        <v>108</v>
      </c>
      <c r="D279" s="17" t="s">
        <v>118</v>
      </c>
      <c r="E279" s="17"/>
      <c r="F279" s="17" t="s">
        <v>120</v>
      </c>
      <c r="G279" s="17">
        <v>0</v>
      </c>
    </row>
    <row r="280" spans="1:7" x14ac:dyDescent="0.2">
      <c r="A280" s="17" t="s">
        <v>3010</v>
      </c>
      <c r="B280" s="17" t="s">
        <v>3011</v>
      </c>
      <c r="C280" s="17" t="s">
        <v>108</v>
      </c>
      <c r="D280" s="17" t="s">
        <v>118</v>
      </c>
      <c r="E280" s="17"/>
      <c r="F280" s="17" t="s">
        <v>120</v>
      </c>
      <c r="G280" s="17">
        <v>0</v>
      </c>
    </row>
    <row r="281" spans="1:7" x14ac:dyDescent="0.2">
      <c r="A281" s="17" t="s">
        <v>3012</v>
      </c>
      <c r="B281" s="17" t="s">
        <v>3013</v>
      </c>
      <c r="C281" s="17" t="s">
        <v>108</v>
      </c>
      <c r="D281" s="17" t="s">
        <v>118</v>
      </c>
      <c r="E281" s="17"/>
      <c r="F281" s="17" t="s">
        <v>120</v>
      </c>
      <c r="G281" s="17">
        <v>0</v>
      </c>
    </row>
    <row r="282" spans="1:7" x14ac:dyDescent="0.2">
      <c r="A282" s="17" t="s">
        <v>3014</v>
      </c>
      <c r="B282" s="17" t="s">
        <v>3015</v>
      </c>
      <c r="C282" s="17" t="s">
        <v>108</v>
      </c>
      <c r="D282" s="17" t="s">
        <v>118</v>
      </c>
      <c r="E282" s="17"/>
      <c r="F282" s="17" t="s">
        <v>120</v>
      </c>
      <c r="G282" s="17">
        <v>0</v>
      </c>
    </row>
    <row r="283" spans="1:7" x14ac:dyDescent="0.2">
      <c r="A283" s="17" t="s">
        <v>3016</v>
      </c>
      <c r="B283" s="17" t="s">
        <v>3017</v>
      </c>
      <c r="C283" s="17" t="s">
        <v>108</v>
      </c>
      <c r="D283" s="17" t="s">
        <v>118</v>
      </c>
      <c r="E283" s="17"/>
      <c r="F283" s="17" t="s">
        <v>120</v>
      </c>
      <c r="G283" s="17">
        <v>0</v>
      </c>
    </row>
    <row r="284" spans="1:7" x14ac:dyDescent="0.2">
      <c r="A284" s="17" t="s">
        <v>3022</v>
      </c>
      <c r="B284" s="17" t="s">
        <v>3023</v>
      </c>
      <c r="C284" s="17" t="s">
        <v>108</v>
      </c>
      <c r="D284" s="17" t="s">
        <v>118</v>
      </c>
      <c r="E284" s="17"/>
      <c r="F284" s="17" t="s">
        <v>120</v>
      </c>
      <c r="G284" s="17">
        <v>0</v>
      </c>
    </row>
    <row r="285" spans="1:7" x14ac:dyDescent="0.2">
      <c r="A285" s="17" t="s">
        <v>3024</v>
      </c>
      <c r="B285" s="17" t="s">
        <v>3025</v>
      </c>
      <c r="C285" s="17" t="s">
        <v>108</v>
      </c>
      <c r="D285" s="17" t="s">
        <v>118</v>
      </c>
      <c r="E285" s="17"/>
      <c r="F285" s="17" t="s">
        <v>120</v>
      </c>
      <c r="G285" s="17">
        <v>0</v>
      </c>
    </row>
    <row r="286" spans="1:7" x14ac:dyDescent="0.2">
      <c r="A286" s="17" t="s">
        <v>3027</v>
      </c>
      <c r="B286" s="17" t="s">
        <v>3028</v>
      </c>
      <c r="C286" s="17" t="s">
        <v>108</v>
      </c>
      <c r="D286" s="17" t="s">
        <v>118</v>
      </c>
      <c r="E286" s="17"/>
      <c r="F286" s="17" t="s">
        <v>120</v>
      </c>
      <c r="G286" s="17">
        <v>0</v>
      </c>
    </row>
    <row r="287" spans="1:7" x14ac:dyDescent="0.2">
      <c r="A287" s="17" t="s">
        <v>3029</v>
      </c>
      <c r="B287" s="17" t="s">
        <v>3030</v>
      </c>
      <c r="C287" s="17" t="s">
        <v>108</v>
      </c>
      <c r="D287" s="17" t="s">
        <v>118</v>
      </c>
      <c r="E287" s="17"/>
      <c r="F287" s="17" t="s">
        <v>120</v>
      </c>
      <c r="G287" s="17">
        <v>0</v>
      </c>
    </row>
    <row r="288" spans="1:7" x14ac:dyDescent="0.2">
      <c r="A288" s="17" t="s">
        <v>3046</v>
      </c>
      <c r="B288" s="17" t="s">
        <v>3047</v>
      </c>
      <c r="C288" s="17" t="s">
        <v>108</v>
      </c>
      <c r="D288" s="17" t="s">
        <v>118</v>
      </c>
      <c r="E288" s="17"/>
      <c r="F288" s="17" t="s">
        <v>120</v>
      </c>
      <c r="G288" s="17">
        <v>0</v>
      </c>
    </row>
    <row r="289" spans="1:7" x14ac:dyDescent="0.2">
      <c r="A289" s="17" t="s">
        <v>3049</v>
      </c>
      <c r="B289" s="17" t="s">
        <v>3050</v>
      </c>
      <c r="C289" s="17" t="s">
        <v>108</v>
      </c>
      <c r="D289" s="17" t="s">
        <v>118</v>
      </c>
      <c r="E289" s="17"/>
      <c r="F289" s="17" t="s">
        <v>120</v>
      </c>
      <c r="G289" s="17">
        <v>0</v>
      </c>
    </row>
    <row r="290" spans="1:7" x14ac:dyDescent="0.2">
      <c r="A290" s="17" t="s">
        <v>3051</v>
      </c>
      <c r="B290" s="17" t="s">
        <v>3052</v>
      </c>
      <c r="C290" s="17" t="s">
        <v>108</v>
      </c>
      <c r="D290" s="17" t="s">
        <v>118</v>
      </c>
      <c r="E290" s="17"/>
      <c r="F290" s="17" t="s">
        <v>120</v>
      </c>
      <c r="G290" s="17">
        <v>0</v>
      </c>
    </row>
    <row r="291" spans="1:7" x14ac:dyDescent="0.2">
      <c r="A291" s="17" t="s">
        <v>3055</v>
      </c>
      <c r="B291" s="17" t="s">
        <v>3056</v>
      </c>
      <c r="C291" s="17" t="s">
        <v>108</v>
      </c>
      <c r="D291" s="17" t="s">
        <v>118</v>
      </c>
      <c r="E291" s="17"/>
      <c r="F291" s="17" t="s">
        <v>120</v>
      </c>
      <c r="G291" s="17">
        <v>0</v>
      </c>
    </row>
    <row r="292" spans="1:7" x14ac:dyDescent="0.2">
      <c r="A292" s="17" t="s">
        <v>3058</v>
      </c>
      <c r="B292" s="17" t="s">
        <v>3059</v>
      </c>
      <c r="C292" s="17" t="s">
        <v>108</v>
      </c>
      <c r="D292" s="17" t="s">
        <v>118</v>
      </c>
      <c r="E292" s="17"/>
      <c r="F292" s="17" t="s">
        <v>120</v>
      </c>
      <c r="G292" s="17">
        <v>0</v>
      </c>
    </row>
    <row r="293" spans="1:7" x14ac:dyDescent="0.2">
      <c r="A293" s="17" t="s">
        <v>3060</v>
      </c>
      <c r="B293" s="17" t="s">
        <v>3061</v>
      </c>
      <c r="C293" s="17" t="s">
        <v>108</v>
      </c>
      <c r="D293" s="17" t="s">
        <v>118</v>
      </c>
      <c r="E293" s="17"/>
      <c r="F293" s="17" t="s">
        <v>120</v>
      </c>
      <c r="G293" s="17">
        <v>0</v>
      </c>
    </row>
    <row r="294" spans="1:7" x14ac:dyDescent="0.2">
      <c r="A294" s="17" t="s">
        <v>3064</v>
      </c>
      <c r="B294" s="17" t="s">
        <v>3065</v>
      </c>
      <c r="C294" s="17" t="s">
        <v>108</v>
      </c>
      <c r="D294" s="17" t="s">
        <v>118</v>
      </c>
      <c r="E294" s="17"/>
      <c r="F294" s="17" t="s">
        <v>120</v>
      </c>
      <c r="G294" s="17">
        <v>0</v>
      </c>
    </row>
    <row r="295" spans="1:7" x14ac:dyDescent="0.2">
      <c r="A295" s="17" t="s">
        <v>3066</v>
      </c>
      <c r="B295" s="17" t="s">
        <v>3067</v>
      </c>
      <c r="C295" s="17" t="s">
        <v>108</v>
      </c>
      <c r="D295" s="17" t="s">
        <v>118</v>
      </c>
      <c r="E295" s="17"/>
      <c r="F295" s="17" t="s">
        <v>120</v>
      </c>
      <c r="G295" s="17">
        <v>0</v>
      </c>
    </row>
    <row r="296" spans="1:7" x14ac:dyDescent="0.2">
      <c r="A296" s="17" t="s">
        <v>3070</v>
      </c>
      <c r="B296" s="17" t="s">
        <v>3071</v>
      </c>
      <c r="C296" s="17" t="s">
        <v>108</v>
      </c>
      <c r="D296" s="17" t="s">
        <v>118</v>
      </c>
      <c r="E296" s="17"/>
      <c r="F296" s="17" t="s">
        <v>120</v>
      </c>
      <c r="G296" s="17">
        <v>0</v>
      </c>
    </row>
    <row r="297" spans="1:7" x14ac:dyDescent="0.2">
      <c r="A297" s="17" t="s">
        <v>3072</v>
      </c>
      <c r="B297" s="17" t="s">
        <v>3073</v>
      </c>
      <c r="C297" s="17" t="s">
        <v>108</v>
      </c>
      <c r="D297" s="17" t="s">
        <v>118</v>
      </c>
      <c r="E297" s="17"/>
      <c r="F297" s="17" t="s">
        <v>120</v>
      </c>
      <c r="G297" s="17">
        <v>0</v>
      </c>
    </row>
    <row r="298" spans="1:7" x14ac:dyDescent="0.2">
      <c r="A298" s="17" t="s">
        <v>3074</v>
      </c>
      <c r="B298" s="17" t="s">
        <v>3075</v>
      </c>
      <c r="C298" s="17" t="s">
        <v>108</v>
      </c>
      <c r="D298" s="17" t="s">
        <v>118</v>
      </c>
      <c r="E298" s="17"/>
      <c r="F298" s="17" t="s">
        <v>120</v>
      </c>
      <c r="G298" s="17">
        <v>0</v>
      </c>
    </row>
    <row r="299" spans="1:7" x14ac:dyDescent="0.2">
      <c r="A299" s="17" t="s">
        <v>3076</v>
      </c>
      <c r="B299" s="17" t="s">
        <v>3077</v>
      </c>
      <c r="C299" s="17" t="s">
        <v>108</v>
      </c>
      <c r="D299" s="17" t="s">
        <v>118</v>
      </c>
      <c r="E299" s="17"/>
      <c r="F299" s="17" t="s">
        <v>120</v>
      </c>
      <c r="G299" s="17">
        <v>0</v>
      </c>
    </row>
    <row r="300" spans="1:7" x14ac:dyDescent="0.2">
      <c r="A300" s="17" t="s">
        <v>3078</v>
      </c>
      <c r="B300" s="17" t="s">
        <v>3079</v>
      </c>
      <c r="C300" s="17" t="s">
        <v>108</v>
      </c>
      <c r="D300" s="17" t="s">
        <v>118</v>
      </c>
      <c r="E300" s="17"/>
      <c r="F300" s="17" t="s">
        <v>120</v>
      </c>
      <c r="G300" s="17">
        <v>0</v>
      </c>
    </row>
    <row r="301" spans="1:7" x14ac:dyDescent="0.2">
      <c r="A301" s="17" t="s">
        <v>3081</v>
      </c>
      <c r="B301" s="17" t="s">
        <v>3082</v>
      </c>
      <c r="C301" s="17" t="s">
        <v>108</v>
      </c>
      <c r="D301" s="17" t="s">
        <v>118</v>
      </c>
      <c r="E301" s="17"/>
      <c r="F301" s="17" t="s">
        <v>120</v>
      </c>
      <c r="G301" s="17">
        <v>0</v>
      </c>
    </row>
    <row r="302" spans="1:7" x14ac:dyDescent="0.2">
      <c r="A302" s="17" t="s">
        <v>3083</v>
      </c>
      <c r="B302" s="17" t="s">
        <v>3084</v>
      </c>
      <c r="C302" s="17" t="s">
        <v>108</v>
      </c>
      <c r="D302" s="17" t="s">
        <v>118</v>
      </c>
      <c r="E302" s="17"/>
      <c r="F302" s="17" t="s">
        <v>120</v>
      </c>
      <c r="G302" s="17">
        <v>0</v>
      </c>
    </row>
    <row r="303" spans="1:7" x14ac:dyDescent="0.2">
      <c r="A303" s="17" t="s">
        <v>3085</v>
      </c>
      <c r="B303" s="17" t="s">
        <v>3086</v>
      </c>
      <c r="C303" s="17" t="s">
        <v>108</v>
      </c>
      <c r="D303" s="17" t="s">
        <v>118</v>
      </c>
      <c r="E303" s="17"/>
      <c r="F303" s="17" t="s">
        <v>120</v>
      </c>
      <c r="G303" s="17">
        <v>0</v>
      </c>
    </row>
    <row r="304" spans="1:7" x14ac:dyDescent="0.2">
      <c r="A304" s="17" t="s">
        <v>3087</v>
      </c>
      <c r="B304" s="17" t="s">
        <v>3088</v>
      </c>
      <c r="C304" s="17" t="s">
        <v>108</v>
      </c>
      <c r="D304" s="17" t="s">
        <v>118</v>
      </c>
      <c r="E304" s="17"/>
      <c r="F304" s="17" t="s">
        <v>120</v>
      </c>
      <c r="G304" s="17">
        <v>0</v>
      </c>
    </row>
    <row r="305" spans="1:7" x14ac:dyDescent="0.2">
      <c r="A305" s="17" t="s">
        <v>3089</v>
      </c>
      <c r="B305" s="17" t="s">
        <v>3090</v>
      </c>
      <c r="C305" s="17" t="s">
        <v>108</v>
      </c>
      <c r="D305" s="17" t="s">
        <v>118</v>
      </c>
      <c r="E305" s="17"/>
      <c r="F305" s="17" t="s">
        <v>120</v>
      </c>
      <c r="G305" s="17">
        <v>0</v>
      </c>
    </row>
    <row r="306" spans="1:7" x14ac:dyDescent="0.2">
      <c r="A306" s="17" t="s">
        <v>3091</v>
      </c>
      <c r="B306" s="17" t="s">
        <v>3092</v>
      </c>
      <c r="C306" s="17" t="s">
        <v>108</v>
      </c>
      <c r="D306" s="17" t="s">
        <v>118</v>
      </c>
      <c r="E306" s="17"/>
      <c r="F306" s="17" t="s">
        <v>120</v>
      </c>
      <c r="G306" s="17">
        <v>0</v>
      </c>
    </row>
    <row r="307" spans="1:7" x14ac:dyDescent="0.2">
      <c r="A307" s="17" t="s">
        <v>3093</v>
      </c>
      <c r="B307" s="17" t="s">
        <v>3094</v>
      </c>
      <c r="C307" s="17" t="s">
        <v>108</v>
      </c>
      <c r="D307" s="17" t="s">
        <v>118</v>
      </c>
      <c r="E307" s="17"/>
      <c r="F307" s="17" t="s">
        <v>120</v>
      </c>
      <c r="G307" s="17">
        <v>0</v>
      </c>
    </row>
    <row r="308" spans="1:7" x14ac:dyDescent="0.2">
      <c r="A308" s="17" t="s">
        <v>3095</v>
      </c>
      <c r="B308" s="17" t="s">
        <v>3096</v>
      </c>
      <c r="C308" s="17" t="s">
        <v>108</v>
      </c>
      <c r="D308" s="17" t="s">
        <v>118</v>
      </c>
      <c r="E308" s="17"/>
      <c r="F308" s="17" t="s">
        <v>120</v>
      </c>
      <c r="G308" s="17">
        <v>0</v>
      </c>
    </row>
    <row r="309" spans="1:7" x14ac:dyDescent="0.2">
      <c r="A309" s="17" t="s">
        <v>3097</v>
      </c>
      <c r="B309" s="17" t="s">
        <v>3098</v>
      </c>
      <c r="C309" s="17" t="s">
        <v>108</v>
      </c>
      <c r="D309" s="17" t="s">
        <v>118</v>
      </c>
      <c r="E309" s="17"/>
      <c r="F309" s="17" t="s">
        <v>120</v>
      </c>
      <c r="G309" s="17">
        <v>0</v>
      </c>
    </row>
    <row r="310" spans="1:7" x14ac:dyDescent="0.2">
      <c r="A310" s="17" t="s">
        <v>3099</v>
      </c>
      <c r="B310" s="17" t="s">
        <v>3100</v>
      </c>
      <c r="C310" s="17" t="s">
        <v>108</v>
      </c>
      <c r="D310" s="17" t="s">
        <v>118</v>
      </c>
      <c r="E310" s="17"/>
      <c r="F310" s="17" t="s">
        <v>120</v>
      </c>
      <c r="G310" s="17">
        <v>0</v>
      </c>
    </row>
    <row r="311" spans="1:7" x14ac:dyDescent="0.2">
      <c r="A311" s="17" t="s">
        <v>3101</v>
      </c>
      <c r="B311" s="17" t="s">
        <v>3102</v>
      </c>
      <c r="C311" s="17" t="s">
        <v>108</v>
      </c>
      <c r="D311" s="17" t="s">
        <v>118</v>
      </c>
      <c r="E311" s="17"/>
      <c r="F311" s="17" t="s">
        <v>120</v>
      </c>
      <c r="G311" s="17">
        <v>0</v>
      </c>
    </row>
    <row r="312" spans="1:7" x14ac:dyDescent="0.2">
      <c r="A312" s="17" t="s">
        <v>3103</v>
      </c>
      <c r="B312" s="17" t="s">
        <v>3104</v>
      </c>
      <c r="C312" s="17" t="s">
        <v>108</v>
      </c>
      <c r="D312" s="17" t="s">
        <v>118</v>
      </c>
      <c r="E312" s="17"/>
      <c r="F312" s="17" t="s">
        <v>120</v>
      </c>
      <c r="G312" s="17">
        <v>0</v>
      </c>
    </row>
    <row r="313" spans="1:7" x14ac:dyDescent="0.2">
      <c r="A313" s="17" t="s">
        <v>3105</v>
      </c>
      <c r="B313" s="17" t="s">
        <v>3106</v>
      </c>
      <c r="C313" s="17" t="s">
        <v>108</v>
      </c>
      <c r="D313" s="17" t="s">
        <v>118</v>
      </c>
      <c r="E313" s="17"/>
      <c r="F313" s="17" t="s">
        <v>120</v>
      </c>
      <c r="G313" s="17">
        <v>0</v>
      </c>
    </row>
    <row r="314" spans="1:7" x14ac:dyDescent="0.2">
      <c r="A314" s="17" t="s">
        <v>3107</v>
      </c>
      <c r="B314" s="17" t="s">
        <v>3108</v>
      </c>
      <c r="C314" s="17" t="s">
        <v>108</v>
      </c>
      <c r="D314" s="17" t="s">
        <v>118</v>
      </c>
      <c r="E314" s="17"/>
      <c r="F314" s="17" t="s">
        <v>120</v>
      </c>
      <c r="G314" s="17">
        <v>0</v>
      </c>
    </row>
    <row r="315" spans="1:7" x14ac:dyDescent="0.2">
      <c r="A315" s="17" t="s">
        <v>3109</v>
      </c>
      <c r="B315" s="17" t="s">
        <v>3110</v>
      </c>
      <c r="C315" s="17" t="s">
        <v>108</v>
      </c>
      <c r="D315" s="17" t="s">
        <v>118</v>
      </c>
      <c r="E315" s="17"/>
      <c r="F315" s="17" t="s">
        <v>120</v>
      </c>
      <c r="G315" s="17">
        <v>0</v>
      </c>
    </row>
    <row r="316" spans="1:7" x14ac:dyDescent="0.2">
      <c r="A316" s="17" t="s">
        <v>3111</v>
      </c>
      <c r="B316" s="17" t="s">
        <v>3112</v>
      </c>
      <c r="C316" s="17" t="s">
        <v>108</v>
      </c>
      <c r="D316" s="17" t="s">
        <v>118</v>
      </c>
      <c r="E316" s="17"/>
      <c r="F316" s="17" t="s">
        <v>120</v>
      </c>
      <c r="G316" s="17">
        <v>0</v>
      </c>
    </row>
    <row r="317" spans="1:7" x14ac:dyDescent="0.2">
      <c r="A317" s="17" t="s">
        <v>3113</v>
      </c>
      <c r="B317" s="17" t="s">
        <v>3114</v>
      </c>
      <c r="C317" s="17" t="s">
        <v>108</v>
      </c>
      <c r="D317" s="17" t="s">
        <v>118</v>
      </c>
      <c r="E317" s="17"/>
      <c r="F317" s="17" t="s">
        <v>120</v>
      </c>
      <c r="G317" s="17">
        <v>0</v>
      </c>
    </row>
    <row r="318" spans="1:7" x14ac:dyDescent="0.2">
      <c r="A318" s="17" t="s">
        <v>3117</v>
      </c>
      <c r="B318" s="17" t="s">
        <v>3118</v>
      </c>
      <c r="C318" s="17" t="s">
        <v>108</v>
      </c>
      <c r="D318" s="17" t="s">
        <v>118</v>
      </c>
      <c r="E318" s="17"/>
      <c r="F318" s="17" t="s">
        <v>120</v>
      </c>
      <c r="G318" s="17">
        <v>0</v>
      </c>
    </row>
    <row r="319" spans="1:7" x14ac:dyDescent="0.2">
      <c r="A319" s="17" t="s">
        <v>3119</v>
      </c>
      <c r="B319" s="17" t="s">
        <v>3120</v>
      </c>
      <c r="C319" s="17" t="s">
        <v>108</v>
      </c>
      <c r="D319" s="17" t="s">
        <v>118</v>
      </c>
      <c r="E319" s="17"/>
      <c r="F319" s="17" t="s">
        <v>120</v>
      </c>
      <c r="G319" s="17">
        <v>0</v>
      </c>
    </row>
    <row r="320" spans="1:7" x14ac:dyDescent="0.2">
      <c r="A320" s="17" t="s">
        <v>3121</v>
      </c>
      <c r="B320" s="17" t="s">
        <v>3122</v>
      </c>
      <c r="C320" s="17" t="s">
        <v>108</v>
      </c>
      <c r="D320" s="17" t="s">
        <v>118</v>
      </c>
      <c r="E320" s="17"/>
      <c r="F320" s="17" t="s">
        <v>120</v>
      </c>
      <c r="G320" s="17">
        <v>0</v>
      </c>
    </row>
    <row r="321" spans="1:7" x14ac:dyDescent="0.2">
      <c r="A321" s="17" t="s">
        <v>3123</v>
      </c>
      <c r="B321" s="17" t="s">
        <v>3124</v>
      </c>
      <c r="C321" s="17" t="s">
        <v>108</v>
      </c>
      <c r="D321" s="17" t="s">
        <v>118</v>
      </c>
      <c r="E321" s="17"/>
      <c r="F321" s="17" t="s">
        <v>120</v>
      </c>
      <c r="G321" s="17">
        <v>0</v>
      </c>
    </row>
    <row r="322" spans="1:7" x14ac:dyDescent="0.2">
      <c r="A322" s="17" t="s">
        <v>3125</v>
      </c>
      <c r="B322" s="17" t="s">
        <v>3126</v>
      </c>
      <c r="C322" s="17" t="s">
        <v>108</v>
      </c>
      <c r="D322" s="17" t="s">
        <v>118</v>
      </c>
      <c r="E322" s="17"/>
      <c r="F322" s="17" t="s">
        <v>120</v>
      </c>
      <c r="G322" s="17">
        <v>0</v>
      </c>
    </row>
    <row r="323" spans="1:7" x14ac:dyDescent="0.2">
      <c r="A323" s="17" t="s">
        <v>3127</v>
      </c>
      <c r="B323" s="17" t="s">
        <v>3128</v>
      </c>
      <c r="C323" s="17" t="s">
        <v>108</v>
      </c>
      <c r="D323" s="17" t="s">
        <v>118</v>
      </c>
      <c r="E323" s="17"/>
      <c r="F323" s="17" t="s">
        <v>120</v>
      </c>
      <c r="G323" s="17">
        <v>0</v>
      </c>
    </row>
    <row r="324" spans="1:7" x14ac:dyDescent="0.2">
      <c r="A324" s="17" t="s">
        <v>3129</v>
      </c>
      <c r="B324" s="17" t="s">
        <v>3130</v>
      </c>
      <c r="C324" s="17" t="s">
        <v>108</v>
      </c>
      <c r="D324" s="17" t="s">
        <v>118</v>
      </c>
      <c r="E324" s="17"/>
      <c r="F324" s="17" t="s">
        <v>120</v>
      </c>
      <c r="G324" s="17">
        <v>0</v>
      </c>
    </row>
    <row r="325" spans="1:7" x14ac:dyDescent="0.2">
      <c r="A325" s="17" t="s">
        <v>3131</v>
      </c>
      <c r="B325" s="17" t="s">
        <v>3132</v>
      </c>
      <c r="C325" s="17" t="s">
        <v>108</v>
      </c>
      <c r="D325" s="17" t="s">
        <v>481</v>
      </c>
      <c r="E325" s="17"/>
      <c r="F325" s="17" t="s">
        <v>120</v>
      </c>
      <c r="G325" s="17">
        <v>0</v>
      </c>
    </row>
    <row r="326" spans="1:7" x14ac:dyDescent="0.2">
      <c r="A326" s="17" t="s">
        <v>3133</v>
      </c>
      <c r="B326" s="17" t="s">
        <v>3134</v>
      </c>
      <c r="C326" s="17" t="s">
        <v>108</v>
      </c>
      <c r="D326" s="17" t="s">
        <v>481</v>
      </c>
      <c r="E326" s="17"/>
      <c r="F326" s="17" t="s">
        <v>120</v>
      </c>
      <c r="G326" s="17">
        <v>0</v>
      </c>
    </row>
    <row r="327" spans="1:7" x14ac:dyDescent="0.2">
      <c r="A327" s="17" t="s">
        <v>3136</v>
      </c>
      <c r="B327" s="17" t="s">
        <v>3137</v>
      </c>
      <c r="C327" s="17" t="s">
        <v>108</v>
      </c>
      <c r="D327" s="17" t="s">
        <v>118</v>
      </c>
      <c r="E327" s="17"/>
      <c r="F327" s="17" t="s">
        <v>120</v>
      </c>
      <c r="G327" s="17">
        <v>0</v>
      </c>
    </row>
    <row r="328" spans="1:7" x14ac:dyDescent="0.2">
      <c r="A328" s="17" t="s">
        <v>3139</v>
      </c>
      <c r="B328" s="17" t="s">
        <v>3140</v>
      </c>
      <c r="C328" s="17" t="s">
        <v>108</v>
      </c>
      <c r="D328" s="17" t="s">
        <v>118</v>
      </c>
      <c r="E328" s="17"/>
      <c r="F328" s="17" t="s">
        <v>120</v>
      </c>
      <c r="G328" s="17">
        <v>0</v>
      </c>
    </row>
    <row r="329" spans="1:7" x14ac:dyDescent="0.2">
      <c r="A329" s="17" t="s">
        <v>3141</v>
      </c>
      <c r="B329" s="17" t="s">
        <v>3142</v>
      </c>
      <c r="C329" s="17" t="s">
        <v>108</v>
      </c>
      <c r="D329" s="17" t="s">
        <v>118</v>
      </c>
      <c r="E329" s="17"/>
      <c r="F329" s="17" t="s">
        <v>120</v>
      </c>
      <c r="G329" s="17">
        <v>0</v>
      </c>
    </row>
    <row r="330" spans="1:7" x14ac:dyDescent="0.2">
      <c r="A330" s="17" t="s">
        <v>3161</v>
      </c>
      <c r="B330" s="17" t="s">
        <v>3162</v>
      </c>
      <c r="C330" s="17" t="s">
        <v>108</v>
      </c>
      <c r="D330" s="17" t="s">
        <v>118</v>
      </c>
      <c r="E330" s="17"/>
      <c r="F330" s="17" t="s">
        <v>120</v>
      </c>
      <c r="G330" s="17">
        <v>0</v>
      </c>
    </row>
    <row r="331" spans="1:7" x14ac:dyDescent="0.2">
      <c r="A331" s="17" t="s">
        <v>3163</v>
      </c>
      <c r="B331" s="17" t="s">
        <v>3164</v>
      </c>
      <c r="C331" s="17" t="s">
        <v>108</v>
      </c>
      <c r="D331" s="17" t="s">
        <v>481</v>
      </c>
      <c r="E331" s="17"/>
      <c r="F331" s="17" t="s">
        <v>120</v>
      </c>
      <c r="G331" s="17">
        <v>0</v>
      </c>
    </row>
    <row r="334" spans="1:7" x14ac:dyDescent="0.2">
      <c r="A334" s="6" t="s">
        <v>3263</v>
      </c>
    </row>
    <row r="335" spans="1:7" x14ac:dyDescent="0.2">
      <c r="A335" s="17" t="s">
        <v>3264</v>
      </c>
    </row>
    <row r="336" spans="1:7" x14ac:dyDescent="0.2">
      <c r="A336" s="18" t="s">
        <v>3265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24"/>
  <sheetViews>
    <sheetView workbookViewId="0">
      <pane ySplit="10" topLeftCell="A11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23" customWidth="1"/>
    <col min="2" max="2" width="39" customWidth="1"/>
    <col min="3" max="3" width="12" customWidth="1"/>
    <col min="4" max="5" width="20" customWidth="1"/>
    <col min="6" max="6" width="21" customWidth="1"/>
    <col min="7" max="7" width="9" customWidth="1"/>
    <col min="8" max="8" width="24" customWidth="1"/>
  </cols>
  <sheetData>
    <row r="1" spans="1:8" ht="24" x14ac:dyDescent="0.3">
      <c r="A1" s="32" t="s">
        <v>3237</v>
      </c>
      <c r="B1" s="25"/>
      <c r="C1" s="25"/>
      <c r="D1" s="25"/>
      <c r="E1" s="25"/>
      <c r="F1" s="25"/>
      <c r="G1" s="25"/>
      <c r="H1" s="25"/>
    </row>
    <row r="3" spans="1:8" ht="19" x14ac:dyDescent="0.25">
      <c r="A3" s="34" t="s">
        <v>3266</v>
      </c>
      <c r="B3" s="25"/>
      <c r="C3" s="25"/>
      <c r="D3" s="25"/>
    </row>
    <row r="4" spans="1:8" x14ac:dyDescent="0.2">
      <c r="A4" t="s">
        <v>3267</v>
      </c>
      <c r="B4" s="19">
        <v>405275.17</v>
      </c>
      <c r="C4" t="s">
        <v>3268</v>
      </c>
      <c r="D4" s="19">
        <v>4863302.04</v>
      </c>
    </row>
    <row r="5" spans="1:8" x14ac:dyDescent="0.2">
      <c r="A5" t="s">
        <v>3269</v>
      </c>
      <c r="B5" s="19">
        <v>687384.7</v>
      </c>
      <c r="D5" s="19">
        <v>8248616.3999999994</v>
      </c>
    </row>
    <row r="6" spans="1:8" x14ac:dyDescent="0.2">
      <c r="A6" t="s">
        <v>3270</v>
      </c>
      <c r="B6" s="20">
        <v>282109.53000000003</v>
      </c>
      <c r="D6" s="20">
        <v>3385314.3599999989</v>
      </c>
    </row>
    <row r="9" spans="1:8" x14ac:dyDescent="0.2">
      <c r="A9" s="33" t="s">
        <v>3271</v>
      </c>
      <c r="B9" s="25"/>
      <c r="C9" s="25"/>
      <c r="D9" s="25"/>
      <c r="E9" s="25"/>
      <c r="F9" s="25"/>
      <c r="G9" s="25"/>
      <c r="H9" s="25"/>
    </row>
    <row r="10" spans="1:8" x14ac:dyDescent="0.2">
      <c r="A10" s="14" t="s">
        <v>3176</v>
      </c>
      <c r="B10" s="14" t="s">
        <v>3253</v>
      </c>
      <c r="C10" s="14" t="s">
        <v>3272</v>
      </c>
      <c r="D10" s="14" t="s">
        <v>3273</v>
      </c>
      <c r="E10" s="14" t="s">
        <v>3274</v>
      </c>
      <c r="F10" s="14" t="s">
        <v>3275</v>
      </c>
      <c r="G10" s="14" t="s">
        <v>3276</v>
      </c>
      <c r="H10" s="14" t="s">
        <v>3174</v>
      </c>
    </row>
    <row r="11" spans="1:8" x14ac:dyDescent="0.2">
      <c r="A11" t="s">
        <v>2279</v>
      </c>
      <c r="B11" t="s">
        <v>2280</v>
      </c>
      <c r="C11" s="19"/>
      <c r="D11" s="19">
        <v>41710</v>
      </c>
      <c r="E11" s="21">
        <v>41710</v>
      </c>
      <c r="F11" s="19">
        <v>500520</v>
      </c>
      <c r="G11" s="22"/>
      <c r="H11" t="s">
        <v>122</v>
      </c>
    </row>
    <row r="12" spans="1:8" x14ac:dyDescent="0.2">
      <c r="A12" t="s">
        <v>3131</v>
      </c>
      <c r="B12" t="s">
        <v>3132</v>
      </c>
      <c r="C12" s="19"/>
      <c r="D12" s="19">
        <v>15163.2</v>
      </c>
      <c r="E12" s="21">
        <v>15163.2</v>
      </c>
      <c r="F12" s="19">
        <v>181958.39999999999</v>
      </c>
      <c r="G12" s="22"/>
      <c r="H12" t="s">
        <v>122</v>
      </c>
    </row>
    <row r="13" spans="1:8" x14ac:dyDescent="0.2">
      <c r="A13" t="s">
        <v>2475</v>
      </c>
      <c r="B13" t="s">
        <v>2476</v>
      </c>
      <c r="C13" s="19"/>
      <c r="D13" s="19">
        <v>6030</v>
      </c>
      <c r="E13" s="21">
        <v>6030</v>
      </c>
      <c r="F13" s="19">
        <v>72360</v>
      </c>
      <c r="G13" s="22"/>
      <c r="H13" t="s">
        <v>143</v>
      </c>
    </row>
    <row r="14" spans="1:8" x14ac:dyDescent="0.2">
      <c r="A14" t="s">
        <v>2990</v>
      </c>
      <c r="B14" t="s">
        <v>2991</v>
      </c>
      <c r="C14" s="19"/>
      <c r="D14" s="19">
        <v>5883.03</v>
      </c>
      <c r="E14" s="21">
        <v>5883.03</v>
      </c>
      <c r="F14" s="19">
        <v>70596.36</v>
      </c>
      <c r="G14" s="22"/>
      <c r="H14" t="s">
        <v>122</v>
      </c>
    </row>
    <row r="15" spans="1:8" x14ac:dyDescent="0.2">
      <c r="A15" t="s">
        <v>1794</v>
      </c>
      <c r="B15" t="s">
        <v>1795</v>
      </c>
      <c r="C15" s="19"/>
      <c r="D15" s="19">
        <v>4800</v>
      </c>
      <c r="E15" s="21">
        <v>4800</v>
      </c>
      <c r="F15" s="19">
        <v>57600</v>
      </c>
      <c r="G15" s="22"/>
      <c r="H15" t="s">
        <v>122</v>
      </c>
    </row>
    <row r="16" spans="1:8" x14ac:dyDescent="0.2">
      <c r="A16" t="s">
        <v>2861</v>
      </c>
      <c r="B16" t="s">
        <v>2862</v>
      </c>
      <c r="C16" s="19"/>
      <c r="D16" s="19">
        <v>4515</v>
      </c>
      <c r="E16" s="21">
        <v>4515</v>
      </c>
      <c r="F16" s="19">
        <v>54180</v>
      </c>
      <c r="G16" s="22"/>
      <c r="H16" t="s">
        <v>1648</v>
      </c>
    </row>
    <row r="17" spans="1:8" x14ac:dyDescent="0.2">
      <c r="A17" t="s">
        <v>2287</v>
      </c>
      <c r="B17" t="s">
        <v>2288</v>
      </c>
      <c r="C17" s="19"/>
      <c r="D17" s="19">
        <v>3885</v>
      </c>
      <c r="E17" s="21">
        <v>3885</v>
      </c>
      <c r="F17" s="19">
        <v>46620</v>
      </c>
      <c r="G17" s="22"/>
      <c r="H17" t="s">
        <v>1648</v>
      </c>
    </row>
    <row r="18" spans="1:8" x14ac:dyDescent="0.2">
      <c r="A18" t="s">
        <v>207</v>
      </c>
      <c r="B18" t="s">
        <v>208</v>
      </c>
      <c r="C18" s="19"/>
      <c r="D18" s="19">
        <v>3643.5</v>
      </c>
      <c r="E18" s="21">
        <v>3643.5</v>
      </c>
      <c r="F18" s="19">
        <v>43722</v>
      </c>
      <c r="G18" s="22"/>
      <c r="H18" t="s">
        <v>122</v>
      </c>
    </row>
    <row r="19" spans="1:8" x14ac:dyDescent="0.2">
      <c r="A19" t="s">
        <v>2980</v>
      </c>
      <c r="B19" t="s">
        <v>2981</v>
      </c>
      <c r="C19" s="19"/>
      <c r="D19" s="19">
        <v>3615.03</v>
      </c>
      <c r="E19" s="21">
        <v>3615.03</v>
      </c>
      <c r="F19" s="19">
        <v>43380.36</v>
      </c>
      <c r="G19" s="22"/>
      <c r="H19" t="s">
        <v>122</v>
      </c>
    </row>
    <row r="20" spans="1:8" x14ac:dyDescent="0.2">
      <c r="A20" t="s">
        <v>1332</v>
      </c>
      <c r="B20" t="s">
        <v>1333</v>
      </c>
      <c r="C20" s="19"/>
      <c r="D20" s="19">
        <v>3457.68</v>
      </c>
      <c r="E20" s="21">
        <v>3457.68</v>
      </c>
      <c r="F20" s="19">
        <v>41492.160000000003</v>
      </c>
      <c r="G20" s="22"/>
      <c r="H20" t="s">
        <v>122</v>
      </c>
    </row>
    <row r="21" spans="1:8" x14ac:dyDescent="0.2">
      <c r="A21" t="s">
        <v>245</v>
      </c>
      <c r="B21" t="s">
        <v>246</v>
      </c>
      <c r="C21" s="19"/>
      <c r="D21" s="19">
        <v>3400</v>
      </c>
      <c r="E21" s="21">
        <v>3400</v>
      </c>
      <c r="F21" s="19">
        <v>40800</v>
      </c>
      <c r="G21" s="22"/>
      <c r="H21" t="s">
        <v>122</v>
      </c>
    </row>
    <row r="22" spans="1:8" x14ac:dyDescent="0.2">
      <c r="A22" t="s">
        <v>2997</v>
      </c>
      <c r="B22" t="s">
        <v>2998</v>
      </c>
      <c r="C22" s="19"/>
      <c r="D22" s="19">
        <v>3347.25</v>
      </c>
      <c r="E22" s="21">
        <v>3347.25</v>
      </c>
      <c r="F22" s="19">
        <v>40167</v>
      </c>
      <c r="G22" s="22"/>
      <c r="H22" t="s">
        <v>122</v>
      </c>
    </row>
    <row r="23" spans="1:8" x14ac:dyDescent="0.2">
      <c r="A23" t="s">
        <v>415</v>
      </c>
      <c r="B23" t="s">
        <v>416</v>
      </c>
      <c r="C23" s="19"/>
      <c r="D23" s="19">
        <v>3300</v>
      </c>
      <c r="E23" s="21">
        <v>3300</v>
      </c>
      <c r="F23" s="19">
        <v>39600</v>
      </c>
      <c r="G23" s="22"/>
      <c r="H23" t="s">
        <v>168</v>
      </c>
    </row>
    <row r="24" spans="1:8" x14ac:dyDescent="0.2">
      <c r="A24" t="s">
        <v>1532</v>
      </c>
      <c r="B24" t="s">
        <v>1533</v>
      </c>
      <c r="C24" s="19"/>
      <c r="D24" s="19">
        <v>3269</v>
      </c>
      <c r="E24" s="21">
        <v>3269</v>
      </c>
      <c r="F24" s="19">
        <v>39228</v>
      </c>
      <c r="G24" s="22"/>
      <c r="H24" t="s">
        <v>122</v>
      </c>
    </row>
    <row r="25" spans="1:8" x14ac:dyDescent="0.2">
      <c r="A25" t="s">
        <v>2911</v>
      </c>
      <c r="B25" t="s">
        <v>2912</v>
      </c>
      <c r="C25" s="19"/>
      <c r="D25" s="19">
        <v>3200</v>
      </c>
      <c r="E25" s="21">
        <v>3200</v>
      </c>
      <c r="F25" s="19">
        <v>38400</v>
      </c>
      <c r="G25" s="22"/>
      <c r="H25" t="s">
        <v>122</v>
      </c>
    </row>
    <row r="26" spans="1:8" x14ac:dyDescent="0.2">
      <c r="A26" t="s">
        <v>1771</v>
      </c>
      <c r="B26" t="s">
        <v>1772</v>
      </c>
      <c r="C26" s="19"/>
      <c r="D26" s="19">
        <v>2950</v>
      </c>
      <c r="E26" s="21">
        <v>2950</v>
      </c>
      <c r="F26" s="19">
        <v>35400</v>
      </c>
      <c r="G26" s="22"/>
      <c r="H26" t="s">
        <v>122</v>
      </c>
    </row>
    <row r="27" spans="1:8" x14ac:dyDescent="0.2">
      <c r="A27" t="s">
        <v>1771</v>
      </c>
      <c r="B27" t="s">
        <v>1772</v>
      </c>
      <c r="C27" s="19"/>
      <c r="D27" s="19">
        <v>2950</v>
      </c>
      <c r="E27" s="21">
        <v>2950</v>
      </c>
      <c r="F27" s="19">
        <v>35400</v>
      </c>
      <c r="G27" s="22"/>
      <c r="H27" t="s">
        <v>168</v>
      </c>
    </row>
    <row r="28" spans="1:8" x14ac:dyDescent="0.2">
      <c r="A28" t="s">
        <v>342</v>
      </c>
      <c r="B28" t="s">
        <v>343</v>
      </c>
      <c r="C28" s="19"/>
      <c r="D28" s="19">
        <v>2928.69</v>
      </c>
      <c r="E28" s="21">
        <v>2928.69</v>
      </c>
      <c r="F28" s="19">
        <v>35144.28</v>
      </c>
      <c r="G28" s="22"/>
      <c r="H28" t="s">
        <v>122</v>
      </c>
    </row>
    <row r="29" spans="1:8" x14ac:dyDescent="0.2">
      <c r="A29" t="s">
        <v>641</v>
      </c>
      <c r="B29" t="s">
        <v>642</v>
      </c>
      <c r="C29" s="19"/>
      <c r="D29" s="19">
        <v>2841.93</v>
      </c>
      <c r="E29" s="21">
        <v>2841.93</v>
      </c>
      <c r="F29" s="19">
        <v>34103.160000000003</v>
      </c>
      <c r="G29" s="22"/>
      <c r="H29" t="s">
        <v>122</v>
      </c>
    </row>
    <row r="30" spans="1:8" x14ac:dyDescent="0.2">
      <c r="A30" t="s">
        <v>1852</v>
      </c>
      <c r="B30" t="s">
        <v>1853</v>
      </c>
      <c r="C30" s="19"/>
      <c r="D30" s="19">
        <v>2801</v>
      </c>
      <c r="E30" s="21">
        <v>2801</v>
      </c>
      <c r="F30" s="19">
        <v>33612</v>
      </c>
      <c r="G30" s="22"/>
      <c r="H30" t="s">
        <v>122</v>
      </c>
    </row>
    <row r="31" spans="1:8" x14ac:dyDescent="0.2">
      <c r="A31" t="s">
        <v>1848</v>
      </c>
      <c r="B31" t="s">
        <v>1849</v>
      </c>
      <c r="C31" s="19"/>
      <c r="D31" s="19">
        <v>2801</v>
      </c>
      <c r="E31" s="21">
        <v>2801</v>
      </c>
      <c r="F31" s="19">
        <v>33612</v>
      </c>
      <c r="G31" s="22"/>
      <c r="H31" t="s">
        <v>122</v>
      </c>
    </row>
    <row r="32" spans="1:8" x14ac:dyDescent="0.2">
      <c r="A32" t="s">
        <v>1623</v>
      </c>
      <c r="B32" t="s">
        <v>1624</v>
      </c>
      <c r="C32" s="19"/>
      <c r="D32" s="19">
        <v>2800</v>
      </c>
      <c r="E32" s="21">
        <v>2800</v>
      </c>
      <c r="F32" s="19">
        <v>33600</v>
      </c>
      <c r="G32" s="22"/>
      <c r="H32" t="s">
        <v>122</v>
      </c>
    </row>
    <row r="33" spans="1:8" x14ac:dyDescent="0.2">
      <c r="A33" t="s">
        <v>1615</v>
      </c>
      <c r="B33" t="s">
        <v>1616</v>
      </c>
      <c r="C33" s="19"/>
      <c r="D33" s="19">
        <v>2700</v>
      </c>
      <c r="E33" s="21">
        <v>2700</v>
      </c>
      <c r="F33" s="19">
        <v>32400</v>
      </c>
      <c r="G33" s="22"/>
      <c r="H33" t="s">
        <v>122</v>
      </c>
    </row>
    <row r="34" spans="1:8" x14ac:dyDescent="0.2">
      <c r="A34" t="s">
        <v>1595</v>
      </c>
      <c r="B34" t="s">
        <v>1596</v>
      </c>
      <c r="C34" s="19"/>
      <c r="D34" s="19">
        <v>2650</v>
      </c>
      <c r="E34" s="21">
        <v>2650</v>
      </c>
      <c r="F34" s="19">
        <v>31800</v>
      </c>
      <c r="G34" s="22"/>
      <c r="H34" t="s">
        <v>122</v>
      </c>
    </row>
    <row r="35" spans="1:8" x14ac:dyDescent="0.2">
      <c r="A35" t="s">
        <v>1799</v>
      </c>
      <c r="B35" t="s">
        <v>1800</v>
      </c>
      <c r="C35" s="19"/>
      <c r="D35" s="19">
        <v>2650</v>
      </c>
      <c r="E35" s="21">
        <v>2650</v>
      </c>
      <c r="F35" s="19">
        <v>31800</v>
      </c>
      <c r="G35" s="22"/>
      <c r="H35" t="s">
        <v>122</v>
      </c>
    </row>
    <row r="36" spans="1:8" x14ac:dyDescent="0.2">
      <c r="A36" t="s">
        <v>1799</v>
      </c>
      <c r="B36" t="s">
        <v>1800</v>
      </c>
      <c r="C36" s="19"/>
      <c r="D36" s="19">
        <v>2650</v>
      </c>
      <c r="E36" s="21">
        <v>2650</v>
      </c>
      <c r="F36" s="19">
        <v>31800</v>
      </c>
      <c r="G36" s="22"/>
      <c r="H36" t="s">
        <v>168</v>
      </c>
    </row>
    <row r="37" spans="1:8" x14ac:dyDescent="0.2">
      <c r="A37" t="s">
        <v>1482</v>
      </c>
      <c r="B37" t="s">
        <v>1483</v>
      </c>
      <c r="C37" s="19"/>
      <c r="D37" s="19">
        <v>2649.11</v>
      </c>
      <c r="E37" s="21">
        <v>2649.11</v>
      </c>
      <c r="F37" s="19">
        <v>31789.32</v>
      </c>
      <c r="G37" s="22"/>
      <c r="H37" t="s">
        <v>168</v>
      </c>
    </row>
    <row r="38" spans="1:8" x14ac:dyDescent="0.2">
      <c r="A38" t="s">
        <v>2229</v>
      </c>
      <c r="B38" t="s">
        <v>2230</v>
      </c>
      <c r="C38" s="19"/>
      <c r="D38" s="19">
        <v>2625</v>
      </c>
      <c r="E38" s="21">
        <v>2625</v>
      </c>
      <c r="F38" s="19">
        <v>31500</v>
      </c>
      <c r="G38" s="22"/>
      <c r="H38" t="s">
        <v>122</v>
      </c>
    </row>
    <row r="39" spans="1:8" x14ac:dyDescent="0.2">
      <c r="A39" t="s">
        <v>3064</v>
      </c>
      <c r="B39" t="s">
        <v>3065</v>
      </c>
      <c r="C39" s="19"/>
      <c r="D39" s="19">
        <v>2602.5</v>
      </c>
      <c r="E39" s="21">
        <v>2602.5</v>
      </c>
      <c r="F39" s="19">
        <v>31230</v>
      </c>
      <c r="G39" s="22"/>
      <c r="H39" t="s">
        <v>122</v>
      </c>
    </row>
    <row r="40" spans="1:8" x14ac:dyDescent="0.2">
      <c r="A40" t="s">
        <v>1710</v>
      </c>
      <c r="B40" t="s">
        <v>1711</v>
      </c>
      <c r="C40" s="19"/>
      <c r="D40" s="19">
        <v>2600</v>
      </c>
      <c r="E40" s="21">
        <v>2600</v>
      </c>
      <c r="F40" s="19">
        <v>31200</v>
      </c>
      <c r="G40" s="22"/>
      <c r="H40" t="s">
        <v>168</v>
      </c>
    </row>
    <row r="41" spans="1:8" x14ac:dyDescent="0.2">
      <c r="A41" t="s">
        <v>1710</v>
      </c>
      <c r="B41" t="s">
        <v>1711</v>
      </c>
      <c r="C41" s="19"/>
      <c r="D41" s="19">
        <v>2600</v>
      </c>
      <c r="E41" s="21">
        <v>2600</v>
      </c>
      <c r="F41" s="19">
        <v>31200</v>
      </c>
      <c r="G41" s="22"/>
      <c r="H41" t="s">
        <v>122</v>
      </c>
    </row>
    <row r="42" spans="1:8" x14ac:dyDescent="0.2">
      <c r="A42" t="s">
        <v>2988</v>
      </c>
      <c r="B42" t="s">
        <v>2989</v>
      </c>
      <c r="C42" s="19"/>
      <c r="D42" s="19">
        <v>2550</v>
      </c>
      <c r="E42" s="21">
        <v>2550</v>
      </c>
      <c r="F42" s="19">
        <v>30600</v>
      </c>
      <c r="G42" s="22"/>
      <c r="H42" t="s">
        <v>122</v>
      </c>
    </row>
    <row r="43" spans="1:8" x14ac:dyDescent="0.2">
      <c r="A43" t="s">
        <v>1988</v>
      </c>
      <c r="B43" t="s">
        <v>1989</v>
      </c>
      <c r="C43" s="19"/>
      <c r="D43" s="19">
        <v>2550</v>
      </c>
      <c r="E43" s="21">
        <v>2550</v>
      </c>
      <c r="F43" s="19">
        <v>30600</v>
      </c>
      <c r="G43" s="22"/>
      <c r="H43" t="s">
        <v>122</v>
      </c>
    </row>
    <row r="44" spans="1:8" x14ac:dyDescent="0.2">
      <c r="A44" t="s">
        <v>1988</v>
      </c>
      <c r="B44" t="s">
        <v>1989</v>
      </c>
      <c r="C44" s="19"/>
      <c r="D44" s="19">
        <v>2550</v>
      </c>
      <c r="E44" s="21">
        <v>2550</v>
      </c>
      <c r="F44" s="19">
        <v>30600</v>
      </c>
      <c r="G44" s="22"/>
      <c r="H44" t="s">
        <v>168</v>
      </c>
    </row>
    <row r="45" spans="1:8" x14ac:dyDescent="0.2">
      <c r="A45" t="s">
        <v>391</v>
      </c>
      <c r="B45" t="s">
        <v>392</v>
      </c>
      <c r="C45" s="19"/>
      <c r="D45" s="19">
        <v>2546.5100000000002</v>
      </c>
      <c r="E45" s="21">
        <v>2546.5100000000002</v>
      </c>
      <c r="F45" s="19">
        <v>30558.12</v>
      </c>
      <c r="G45" s="22"/>
      <c r="H45" t="s">
        <v>122</v>
      </c>
    </row>
    <row r="46" spans="1:8" x14ac:dyDescent="0.2">
      <c r="A46" t="s">
        <v>2270</v>
      </c>
      <c r="B46" t="s">
        <v>2271</v>
      </c>
      <c r="C46" s="19"/>
      <c r="D46" s="19">
        <v>2500</v>
      </c>
      <c r="E46" s="21">
        <v>2500</v>
      </c>
      <c r="F46" s="19">
        <v>30000</v>
      </c>
      <c r="G46" s="22"/>
      <c r="H46" t="s">
        <v>122</v>
      </c>
    </row>
    <row r="47" spans="1:8" x14ac:dyDescent="0.2">
      <c r="A47" t="s">
        <v>2275</v>
      </c>
      <c r="B47" t="s">
        <v>2276</v>
      </c>
      <c r="C47" s="19"/>
      <c r="D47" s="19">
        <v>2500</v>
      </c>
      <c r="E47" s="21">
        <v>2500</v>
      </c>
      <c r="F47" s="19">
        <v>30000</v>
      </c>
      <c r="G47" s="22"/>
      <c r="H47" t="s">
        <v>122</v>
      </c>
    </row>
    <row r="48" spans="1:8" x14ac:dyDescent="0.2">
      <c r="A48" t="s">
        <v>1859</v>
      </c>
      <c r="B48" t="s">
        <v>1860</v>
      </c>
      <c r="C48" s="19"/>
      <c r="D48" s="19">
        <v>2500</v>
      </c>
      <c r="E48" s="21">
        <v>2500</v>
      </c>
      <c r="F48" s="19">
        <v>30000</v>
      </c>
      <c r="G48" s="22"/>
      <c r="H48" t="s">
        <v>122</v>
      </c>
    </row>
    <row r="49" spans="1:8" x14ac:dyDescent="0.2">
      <c r="A49" t="s">
        <v>1859</v>
      </c>
      <c r="B49" t="s">
        <v>1860</v>
      </c>
      <c r="C49" s="19"/>
      <c r="D49" s="19">
        <v>2500</v>
      </c>
      <c r="E49" s="21">
        <v>2500</v>
      </c>
      <c r="F49" s="19">
        <v>30000</v>
      </c>
      <c r="G49" s="22"/>
      <c r="H49" t="s">
        <v>168</v>
      </c>
    </row>
    <row r="50" spans="1:8" x14ac:dyDescent="0.2">
      <c r="A50" t="s">
        <v>183</v>
      </c>
      <c r="B50" t="s">
        <v>184</v>
      </c>
      <c r="C50" s="19"/>
      <c r="D50" s="19">
        <v>2480</v>
      </c>
      <c r="E50" s="21">
        <v>2480</v>
      </c>
      <c r="F50" s="19">
        <v>29760</v>
      </c>
      <c r="G50" s="22"/>
      <c r="H50" t="s">
        <v>168</v>
      </c>
    </row>
    <row r="51" spans="1:8" x14ac:dyDescent="0.2">
      <c r="A51" t="s">
        <v>467</v>
      </c>
      <c r="B51" t="s">
        <v>468</v>
      </c>
      <c r="C51" s="19"/>
      <c r="D51" s="19">
        <v>2386.1</v>
      </c>
      <c r="E51" s="21">
        <v>2386.1</v>
      </c>
      <c r="F51" s="19">
        <v>28633.200000000001</v>
      </c>
      <c r="G51" s="22"/>
      <c r="H51" t="s">
        <v>143</v>
      </c>
    </row>
    <row r="52" spans="1:8" x14ac:dyDescent="0.2">
      <c r="A52" t="s">
        <v>1576</v>
      </c>
      <c r="B52" t="s">
        <v>1577</v>
      </c>
      <c r="C52" s="19"/>
      <c r="D52" s="19">
        <v>2350</v>
      </c>
      <c r="E52" s="21">
        <v>2350</v>
      </c>
      <c r="F52" s="19">
        <v>28200</v>
      </c>
      <c r="G52" s="22"/>
      <c r="H52" t="s">
        <v>168</v>
      </c>
    </row>
    <row r="53" spans="1:8" x14ac:dyDescent="0.2">
      <c r="A53" t="s">
        <v>1576</v>
      </c>
      <c r="B53" t="s">
        <v>1577</v>
      </c>
      <c r="C53" s="19"/>
      <c r="D53" s="19">
        <v>2350</v>
      </c>
      <c r="E53" s="21">
        <v>2350</v>
      </c>
      <c r="F53" s="19">
        <v>28200</v>
      </c>
      <c r="G53" s="22"/>
      <c r="H53" t="s">
        <v>122</v>
      </c>
    </row>
    <row r="54" spans="1:8" x14ac:dyDescent="0.2">
      <c r="A54" t="s">
        <v>1726</v>
      </c>
      <c r="B54" t="s">
        <v>1727</v>
      </c>
      <c r="C54" s="19"/>
      <c r="D54" s="19">
        <v>2336</v>
      </c>
      <c r="E54" s="21">
        <v>2336</v>
      </c>
      <c r="F54" s="19">
        <v>28032</v>
      </c>
      <c r="G54" s="22"/>
      <c r="H54" t="s">
        <v>122</v>
      </c>
    </row>
    <row r="55" spans="1:8" x14ac:dyDescent="0.2">
      <c r="A55" t="s">
        <v>2172</v>
      </c>
      <c r="B55" t="s">
        <v>2173</v>
      </c>
      <c r="C55" s="19"/>
      <c r="D55" s="19">
        <v>2227</v>
      </c>
      <c r="E55" s="21">
        <v>2227</v>
      </c>
      <c r="F55" s="19">
        <v>26724</v>
      </c>
      <c r="G55" s="22"/>
      <c r="H55" t="s">
        <v>122</v>
      </c>
    </row>
    <row r="56" spans="1:8" x14ac:dyDescent="0.2">
      <c r="A56" t="s">
        <v>2024</v>
      </c>
      <c r="B56" t="s">
        <v>2025</v>
      </c>
      <c r="C56" s="19"/>
      <c r="D56" s="19">
        <v>2129.12</v>
      </c>
      <c r="E56" s="21">
        <v>2129.12</v>
      </c>
      <c r="F56" s="19">
        <v>25549.439999999999</v>
      </c>
      <c r="G56" s="22"/>
      <c r="H56" t="s">
        <v>122</v>
      </c>
    </row>
    <row r="57" spans="1:8" x14ac:dyDescent="0.2">
      <c r="A57" t="s">
        <v>380</v>
      </c>
      <c r="B57" t="s">
        <v>381</v>
      </c>
      <c r="C57" s="19"/>
      <c r="D57" s="19">
        <v>2082</v>
      </c>
      <c r="E57" s="21">
        <v>2082</v>
      </c>
      <c r="F57" s="19">
        <v>24984</v>
      </c>
      <c r="G57" s="22"/>
      <c r="H57" t="s">
        <v>122</v>
      </c>
    </row>
    <row r="58" spans="1:8" x14ac:dyDescent="0.2">
      <c r="A58" t="s">
        <v>376</v>
      </c>
      <c r="B58" t="s">
        <v>377</v>
      </c>
      <c r="C58" s="19"/>
      <c r="D58" s="19">
        <v>2082</v>
      </c>
      <c r="E58" s="21">
        <v>2082</v>
      </c>
      <c r="F58" s="19">
        <v>24984</v>
      </c>
      <c r="G58" s="22"/>
      <c r="H58" t="s">
        <v>122</v>
      </c>
    </row>
    <row r="59" spans="1:8" x14ac:dyDescent="0.2">
      <c r="A59" t="s">
        <v>1473</v>
      </c>
      <c r="B59" t="s">
        <v>1474</v>
      </c>
      <c r="C59" s="19"/>
      <c r="D59" s="19">
        <v>2051.5100000000002</v>
      </c>
      <c r="E59" s="21">
        <v>2051.5100000000002</v>
      </c>
      <c r="F59" s="19">
        <v>24618.12</v>
      </c>
      <c r="G59" s="22"/>
      <c r="H59" t="s">
        <v>122</v>
      </c>
    </row>
    <row r="60" spans="1:8" x14ac:dyDescent="0.2">
      <c r="A60" t="s">
        <v>676</v>
      </c>
      <c r="B60" t="s">
        <v>677</v>
      </c>
      <c r="C60" s="19">
        <v>1665.6</v>
      </c>
      <c r="D60" s="19">
        <v>3643.5</v>
      </c>
      <c r="E60" s="21">
        <v>1977.9</v>
      </c>
      <c r="F60" s="19">
        <v>23734.799999999999</v>
      </c>
      <c r="G60" s="22">
        <v>118.75</v>
      </c>
      <c r="H60" t="s">
        <v>168</v>
      </c>
    </row>
    <row r="61" spans="1:8" x14ac:dyDescent="0.2">
      <c r="A61" t="s">
        <v>2724</v>
      </c>
      <c r="B61" t="s">
        <v>2725</v>
      </c>
      <c r="C61" s="19"/>
      <c r="D61" s="19">
        <v>1950</v>
      </c>
      <c r="E61" s="21">
        <v>1950</v>
      </c>
      <c r="F61" s="19">
        <v>23400</v>
      </c>
      <c r="G61" s="22"/>
      <c r="H61" t="s">
        <v>122</v>
      </c>
    </row>
    <row r="62" spans="1:8" x14ac:dyDescent="0.2">
      <c r="A62" t="s">
        <v>2211</v>
      </c>
      <c r="B62" t="s">
        <v>2212</v>
      </c>
      <c r="C62" s="19"/>
      <c r="D62" s="19">
        <v>1950</v>
      </c>
      <c r="E62" s="21">
        <v>1950</v>
      </c>
      <c r="F62" s="19">
        <v>23400</v>
      </c>
      <c r="G62" s="22"/>
      <c r="H62" t="s">
        <v>122</v>
      </c>
    </row>
    <row r="63" spans="1:8" x14ac:dyDescent="0.2">
      <c r="A63" t="s">
        <v>1604</v>
      </c>
      <c r="B63" t="s">
        <v>1605</v>
      </c>
      <c r="C63" s="19"/>
      <c r="D63" s="19">
        <v>1916</v>
      </c>
      <c r="E63" s="21">
        <v>1916</v>
      </c>
      <c r="F63" s="19">
        <v>22992</v>
      </c>
      <c r="G63" s="22"/>
      <c r="H63" t="s">
        <v>122</v>
      </c>
    </row>
    <row r="64" spans="1:8" x14ac:dyDescent="0.2">
      <c r="A64" t="s">
        <v>152</v>
      </c>
      <c r="B64" t="s">
        <v>153</v>
      </c>
      <c r="C64" s="19">
        <v>4300</v>
      </c>
      <c r="D64" s="19">
        <v>6210.93</v>
      </c>
      <c r="E64" s="21">
        <v>1910.93</v>
      </c>
      <c r="F64" s="19">
        <v>22931.16</v>
      </c>
      <c r="G64" s="22">
        <v>44.44</v>
      </c>
      <c r="H64" t="s">
        <v>168</v>
      </c>
    </row>
    <row r="65" spans="1:8" x14ac:dyDescent="0.2">
      <c r="A65" t="s">
        <v>2886</v>
      </c>
      <c r="B65" t="s">
        <v>2887</v>
      </c>
      <c r="C65" s="19">
        <v>2470</v>
      </c>
      <c r="D65" s="19">
        <v>4350</v>
      </c>
      <c r="E65" s="21">
        <v>1880</v>
      </c>
      <c r="F65" s="19">
        <v>22560</v>
      </c>
      <c r="G65" s="22">
        <v>76.11</v>
      </c>
      <c r="H65" t="s">
        <v>168</v>
      </c>
    </row>
    <row r="66" spans="1:8" x14ac:dyDescent="0.2">
      <c r="A66" t="s">
        <v>1823</v>
      </c>
      <c r="B66" t="s">
        <v>1824</v>
      </c>
      <c r="C66" s="19"/>
      <c r="D66" s="19">
        <v>1865.5</v>
      </c>
      <c r="E66" s="21">
        <v>1865.5</v>
      </c>
      <c r="F66" s="19">
        <v>22386</v>
      </c>
      <c r="G66" s="22"/>
      <c r="H66" t="s">
        <v>122</v>
      </c>
    </row>
    <row r="67" spans="1:8" x14ac:dyDescent="0.2">
      <c r="A67" t="s">
        <v>1599</v>
      </c>
      <c r="B67" t="s">
        <v>1600</v>
      </c>
      <c r="C67" s="19"/>
      <c r="D67" s="19">
        <v>1850</v>
      </c>
      <c r="E67" s="21">
        <v>1850</v>
      </c>
      <c r="F67" s="19">
        <v>22200</v>
      </c>
      <c r="G67" s="22"/>
      <c r="H67" t="s">
        <v>122</v>
      </c>
    </row>
    <row r="68" spans="1:8" x14ac:dyDescent="0.2">
      <c r="A68" t="s">
        <v>277</v>
      </c>
      <c r="B68" t="s">
        <v>278</v>
      </c>
      <c r="C68" s="19"/>
      <c r="D68" s="19">
        <v>1830.43</v>
      </c>
      <c r="E68" s="21">
        <v>1830.43</v>
      </c>
      <c r="F68" s="19">
        <v>21965.16</v>
      </c>
      <c r="G68" s="22"/>
      <c r="H68" t="s">
        <v>122</v>
      </c>
    </row>
    <row r="69" spans="1:8" x14ac:dyDescent="0.2">
      <c r="A69" t="s">
        <v>123</v>
      </c>
      <c r="B69" t="s">
        <v>124</v>
      </c>
      <c r="C69" s="19"/>
      <c r="D69" s="19">
        <v>1829.53</v>
      </c>
      <c r="E69" s="21">
        <v>1829.53</v>
      </c>
      <c r="F69" s="19">
        <v>21954.36</v>
      </c>
      <c r="G69" s="22"/>
      <c r="H69" t="s">
        <v>122</v>
      </c>
    </row>
    <row r="70" spans="1:8" x14ac:dyDescent="0.2">
      <c r="A70" t="s">
        <v>97</v>
      </c>
      <c r="B70" t="s">
        <v>98</v>
      </c>
      <c r="C70" s="19"/>
      <c r="D70" s="19">
        <v>1829.53</v>
      </c>
      <c r="E70" s="21">
        <v>1829.53</v>
      </c>
      <c r="F70" s="19">
        <v>21954.36</v>
      </c>
      <c r="G70" s="22"/>
      <c r="H70" t="s">
        <v>122</v>
      </c>
    </row>
    <row r="71" spans="1:8" x14ac:dyDescent="0.2">
      <c r="A71" t="s">
        <v>2821</v>
      </c>
      <c r="B71" t="s">
        <v>2822</v>
      </c>
      <c r="C71" s="19"/>
      <c r="D71" s="19">
        <v>1733.33</v>
      </c>
      <c r="E71" s="21">
        <v>1733.33</v>
      </c>
      <c r="F71" s="19">
        <v>20799.96</v>
      </c>
      <c r="G71" s="22"/>
      <c r="H71" t="s">
        <v>122</v>
      </c>
    </row>
    <row r="72" spans="1:8" x14ac:dyDescent="0.2">
      <c r="A72" t="s">
        <v>273</v>
      </c>
      <c r="B72" t="s">
        <v>274</v>
      </c>
      <c r="C72" s="19"/>
      <c r="D72" s="19">
        <v>1723.44</v>
      </c>
      <c r="E72" s="21">
        <v>1723.44</v>
      </c>
      <c r="F72" s="19">
        <v>20681.28</v>
      </c>
      <c r="G72" s="22"/>
      <c r="H72" t="s">
        <v>122</v>
      </c>
    </row>
    <row r="73" spans="1:8" x14ac:dyDescent="0.2">
      <c r="A73" t="s">
        <v>588</v>
      </c>
      <c r="B73" t="s">
        <v>589</v>
      </c>
      <c r="C73" s="19"/>
      <c r="D73" s="19">
        <v>1715.6</v>
      </c>
      <c r="E73" s="21">
        <v>1715.6</v>
      </c>
      <c r="F73" s="19">
        <v>20587.2</v>
      </c>
      <c r="G73" s="22"/>
      <c r="H73" t="s">
        <v>122</v>
      </c>
    </row>
    <row r="74" spans="1:8" x14ac:dyDescent="0.2">
      <c r="A74" t="s">
        <v>211</v>
      </c>
      <c r="B74" t="s">
        <v>212</v>
      </c>
      <c r="C74" s="19"/>
      <c r="D74" s="19">
        <v>1708.41</v>
      </c>
      <c r="E74" s="21">
        <v>1708.41</v>
      </c>
      <c r="F74" s="19">
        <v>20500.919999999998</v>
      </c>
      <c r="G74" s="22"/>
      <c r="H74" t="s">
        <v>122</v>
      </c>
    </row>
    <row r="75" spans="1:8" x14ac:dyDescent="0.2">
      <c r="A75" t="s">
        <v>217</v>
      </c>
      <c r="B75" t="s">
        <v>218</v>
      </c>
      <c r="C75" s="19"/>
      <c r="D75" s="19">
        <v>1708.41</v>
      </c>
      <c r="E75" s="21">
        <v>1708.41</v>
      </c>
      <c r="F75" s="19">
        <v>20500.919999999998</v>
      </c>
      <c r="G75" s="22"/>
      <c r="H75" t="s">
        <v>122</v>
      </c>
    </row>
    <row r="76" spans="1:8" x14ac:dyDescent="0.2">
      <c r="A76" t="s">
        <v>2798</v>
      </c>
      <c r="B76" t="s">
        <v>2799</v>
      </c>
      <c r="C76" s="19">
        <v>3600</v>
      </c>
      <c r="D76" s="19">
        <v>5300</v>
      </c>
      <c r="E76" s="21">
        <v>1700</v>
      </c>
      <c r="F76" s="19">
        <v>20400</v>
      </c>
      <c r="G76" s="22">
        <v>47.22</v>
      </c>
      <c r="H76" t="s">
        <v>168</v>
      </c>
    </row>
    <row r="77" spans="1:8" x14ac:dyDescent="0.2">
      <c r="A77" t="s">
        <v>334</v>
      </c>
      <c r="B77" t="s">
        <v>335</v>
      </c>
      <c r="C77" s="19"/>
      <c r="D77" s="19">
        <v>1677.89</v>
      </c>
      <c r="E77" s="21">
        <v>1677.89</v>
      </c>
      <c r="F77" s="19">
        <v>20134.68</v>
      </c>
      <c r="G77" s="22"/>
      <c r="H77" t="s">
        <v>122</v>
      </c>
    </row>
    <row r="78" spans="1:8" x14ac:dyDescent="0.2">
      <c r="A78" t="s">
        <v>1751</v>
      </c>
      <c r="B78" t="s">
        <v>1752</v>
      </c>
      <c r="C78" s="19">
        <v>1200</v>
      </c>
      <c r="D78" s="19">
        <v>2841.93</v>
      </c>
      <c r="E78" s="21">
        <v>1641.93</v>
      </c>
      <c r="F78" s="19">
        <v>19703.16</v>
      </c>
      <c r="G78" s="22">
        <v>136.83000000000001</v>
      </c>
      <c r="H78" t="s">
        <v>122</v>
      </c>
    </row>
    <row r="79" spans="1:8" x14ac:dyDescent="0.2">
      <c r="A79" t="s">
        <v>3060</v>
      </c>
      <c r="B79" t="s">
        <v>3061</v>
      </c>
      <c r="C79" s="19"/>
      <c r="D79" s="19">
        <v>1641.12</v>
      </c>
      <c r="E79" s="21">
        <v>1641.12</v>
      </c>
      <c r="F79" s="19">
        <v>19693.439999999999</v>
      </c>
      <c r="G79" s="22"/>
      <c r="H79" t="s">
        <v>122</v>
      </c>
    </row>
    <row r="80" spans="1:8" x14ac:dyDescent="0.2">
      <c r="A80" t="s">
        <v>2978</v>
      </c>
      <c r="B80" t="s">
        <v>2979</v>
      </c>
      <c r="C80" s="19"/>
      <c r="D80" s="19">
        <v>1574</v>
      </c>
      <c r="E80" s="21">
        <v>1574</v>
      </c>
      <c r="F80" s="19">
        <v>18888</v>
      </c>
      <c r="G80" s="22"/>
      <c r="H80" t="s">
        <v>122</v>
      </c>
    </row>
    <row r="81" spans="1:8" x14ac:dyDescent="0.2">
      <c r="A81" t="s">
        <v>1079</v>
      </c>
      <c r="B81" t="s">
        <v>1080</v>
      </c>
      <c r="C81" s="19"/>
      <c r="D81" s="19">
        <v>1569.3</v>
      </c>
      <c r="E81" s="21">
        <v>1569.3</v>
      </c>
      <c r="F81" s="19">
        <v>18831.599999999999</v>
      </c>
      <c r="G81" s="22"/>
      <c r="H81" t="s">
        <v>122</v>
      </c>
    </row>
    <row r="82" spans="1:8" x14ac:dyDescent="0.2">
      <c r="A82" t="s">
        <v>1855</v>
      </c>
      <c r="B82" t="s">
        <v>1856</v>
      </c>
      <c r="C82" s="19"/>
      <c r="D82" s="19">
        <v>1561.5</v>
      </c>
      <c r="E82" s="21">
        <v>1561.5</v>
      </c>
      <c r="F82" s="19">
        <v>18738</v>
      </c>
      <c r="G82" s="22"/>
      <c r="H82" t="s">
        <v>122</v>
      </c>
    </row>
    <row r="83" spans="1:8" x14ac:dyDescent="0.2">
      <c r="A83" t="s">
        <v>3010</v>
      </c>
      <c r="B83" t="s">
        <v>3011</v>
      </c>
      <c r="C83" s="19"/>
      <c r="D83" s="19">
        <v>1560</v>
      </c>
      <c r="E83" s="21">
        <v>1560</v>
      </c>
      <c r="F83" s="19">
        <v>18720</v>
      </c>
      <c r="G83" s="22"/>
      <c r="H83" t="s">
        <v>122</v>
      </c>
    </row>
    <row r="84" spans="1:8" x14ac:dyDescent="0.2">
      <c r="A84" t="s">
        <v>2776</v>
      </c>
      <c r="B84" t="s">
        <v>2777</v>
      </c>
      <c r="C84" s="19">
        <v>11526.66</v>
      </c>
      <c r="D84" s="19">
        <v>13043.23</v>
      </c>
      <c r="E84" s="21">
        <v>1516.57</v>
      </c>
      <c r="F84" s="19">
        <v>18198.84</v>
      </c>
      <c r="G84" s="22">
        <v>13.16</v>
      </c>
      <c r="H84" t="s">
        <v>168</v>
      </c>
    </row>
    <row r="85" spans="1:8" x14ac:dyDescent="0.2">
      <c r="A85" t="s">
        <v>2279</v>
      </c>
      <c r="B85" t="s">
        <v>2280</v>
      </c>
      <c r="C85" s="19"/>
      <c r="D85" s="19">
        <v>1500</v>
      </c>
      <c r="E85" s="21">
        <v>1500</v>
      </c>
      <c r="F85" s="19">
        <v>18000</v>
      </c>
      <c r="G85" s="22"/>
      <c r="H85" t="s">
        <v>122</v>
      </c>
    </row>
    <row r="86" spans="1:8" x14ac:dyDescent="0.2">
      <c r="A86" t="s">
        <v>2711</v>
      </c>
      <c r="B86" t="s">
        <v>2712</v>
      </c>
      <c r="C86" s="19"/>
      <c r="D86" s="19">
        <v>1494.99</v>
      </c>
      <c r="E86" s="21">
        <v>1494.99</v>
      </c>
      <c r="F86" s="19">
        <v>17939.88</v>
      </c>
      <c r="G86" s="22"/>
      <c r="H86" t="s">
        <v>122</v>
      </c>
    </row>
    <row r="87" spans="1:8" x14ac:dyDescent="0.2">
      <c r="A87" t="s">
        <v>2548</v>
      </c>
      <c r="B87" t="s">
        <v>2549</v>
      </c>
      <c r="C87" s="19">
        <v>1000</v>
      </c>
      <c r="D87" s="19">
        <v>2491.65</v>
      </c>
      <c r="E87" s="21">
        <v>1491.65</v>
      </c>
      <c r="F87" s="19">
        <v>17899.8</v>
      </c>
      <c r="G87" s="22">
        <v>149.16999999999999</v>
      </c>
      <c r="H87" t="s">
        <v>1146</v>
      </c>
    </row>
    <row r="88" spans="1:8" x14ac:dyDescent="0.2">
      <c r="A88" t="s">
        <v>1097</v>
      </c>
      <c r="B88" t="s">
        <v>1098</v>
      </c>
      <c r="C88" s="19">
        <v>1191.08</v>
      </c>
      <c r="D88" s="19">
        <v>2650</v>
      </c>
      <c r="E88" s="21">
        <v>1458.92</v>
      </c>
      <c r="F88" s="19">
        <v>17507.04</v>
      </c>
      <c r="G88" s="22">
        <v>122.49</v>
      </c>
      <c r="H88" t="s">
        <v>168</v>
      </c>
    </row>
    <row r="89" spans="1:8" x14ac:dyDescent="0.2">
      <c r="A89" t="s">
        <v>1608</v>
      </c>
      <c r="B89" t="s">
        <v>1609</v>
      </c>
      <c r="C89" s="19"/>
      <c r="D89" s="19">
        <v>1451.23</v>
      </c>
      <c r="E89" s="21">
        <v>1451.23</v>
      </c>
      <c r="F89" s="19">
        <v>17414.759999999998</v>
      </c>
      <c r="G89" s="22"/>
      <c r="H89" t="s">
        <v>122</v>
      </c>
    </row>
    <row r="90" spans="1:8" x14ac:dyDescent="0.2">
      <c r="A90" t="s">
        <v>2195</v>
      </c>
      <c r="B90" t="s">
        <v>2196</v>
      </c>
      <c r="C90" s="19"/>
      <c r="D90" s="19">
        <v>1450</v>
      </c>
      <c r="E90" s="21">
        <v>1450</v>
      </c>
      <c r="F90" s="19">
        <v>17400</v>
      </c>
      <c r="G90" s="22"/>
      <c r="H90" t="s">
        <v>122</v>
      </c>
    </row>
    <row r="91" spans="1:8" x14ac:dyDescent="0.2">
      <c r="A91" t="s">
        <v>309</v>
      </c>
      <c r="B91" t="s">
        <v>310</v>
      </c>
      <c r="C91" s="19"/>
      <c r="D91" s="19">
        <v>1430</v>
      </c>
      <c r="E91" s="21">
        <v>1430</v>
      </c>
      <c r="F91" s="19">
        <v>17160</v>
      </c>
      <c r="G91" s="22"/>
      <c r="H91" t="s">
        <v>122</v>
      </c>
    </row>
    <row r="92" spans="1:8" x14ac:dyDescent="0.2">
      <c r="A92" t="s">
        <v>3119</v>
      </c>
      <c r="B92" t="s">
        <v>3120</v>
      </c>
      <c r="C92" s="19"/>
      <c r="D92" s="19">
        <v>1415</v>
      </c>
      <c r="E92" s="21">
        <v>1415</v>
      </c>
      <c r="F92" s="19">
        <v>16980</v>
      </c>
      <c r="G92" s="22"/>
      <c r="H92" t="s">
        <v>122</v>
      </c>
    </row>
    <row r="93" spans="1:8" x14ac:dyDescent="0.2">
      <c r="A93" t="s">
        <v>3058</v>
      </c>
      <c r="B93" t="s">
        <v>3059</v>
      </c>
      <c r="C93" s="19"/>
      <c r="D93" s="19">
        <v>1409.4</v>
      </c>
      <c r="E93" s="21">
        <v>1409.4</v>
      </c>
      <c r="F93" s="19">
        <v>16912.8</v>
      </c>
      <c r="G93" s="22"/>
      <c r="H93" t="s">
        <v>122</v>
      </c>
    </row>
    <row r="94" spans="1:8" x14ac:dyDescent="0.2">
      <c r="A94" t="s">
        <v>1733</v>
      </c>
      <c r="B94" t="s">
        <v>1734</v>
      </c>
      <c r="C94" s="19"/>
      <c r="D94" s="19">
        <v>1405</v>
      </c>
      <c r="E94" s="21">
        <v>1405</v>
      </c>
      <c r="F94" s="19">
        <v>16860</v>
      </c>
      <c r="G94" s="22"/>
      <c r="H94" t="s">
        <v>122</v>
      </c>
    </row>
    <row r="95" spans="1:8" x14ac:dyDescent="0.2">
      <c r="A95" t="s">
        <v>1933</v>
      </c>
      <c r="B95" t="s">
        <v>1934</v>
      </c>
      <c r="C95" s="19"/>
      <c r="D95" s="19">
        <v>1397</v>
      </c>
      <c r="E95" s="21">
        <v>1397</v>
      </c>
      <c r="F95" s="19">
        <v>16764</v>
      </c>
      <c r="G95" s="22"/>
      <c r="H95" t="s">
        <v>122</v>
      </c>
    </row>
    <row r="96" spans="1:8" x14ac:dyDescent="0.2">
      <c r="A96" t="s">
        <v>948</v>
      </c>
      <c r="B96" t="s">
        <v>949</v>
      </c>
      <c r="C96" s="19">
        <v>2607.5</v>
      </c>
      <c r="D96" s="19">
        <v>4000</v>
      </c>
      <c r="E96" s="21">
        <v>1392.5</v>
      </c>
      <c r="F96" s="19">
        <v>16710</v>
      </c>
      <c r="G96" s="22">
        <v>53.4</v>
      </c>
      <c r="H96" t="s">
        <v>168</v>
      </c>
    </row>
    <row r="97" spans="1:8" x14ac:dyDescent="0.2">
      <c r="A97" t="s">
        <v>1660</v>
      </c>
      <c r="B97" t="s">
        <v>1661</v>
      </c>
      <c r="C97" s="19">
        <v>1545.73</v>
      </c>
      <c r="D97" s="19">
        <v>2932.63</v>
      </c>
      <c r="E97" s="21">
        <v>1386.9</v>
      </c>
      <c r="F97" s="19">
        <v>16642.8</v>
      </c>
      <c r="G97" s="22">
        <v>89.72</v>
      </c>
      <c r="H97" t="s">
        <v>122</v>
      </c>
    </row>
    <row r="98" spans="1:8" x14ac:dyDescent="0.2">
      <c r="A98" t="s">
        <v>2216</v>
      </c>
      <c r="B98" t="s">
        <v>2217</v>
      </c>
      <c r="C98" s="19"/>
      <c r="D98" s="19">
        <v>1375</v>
      </c>
      <c r="E98" s="21">
        <v>1375</v>
      </c>
      <c r="F98" s="19">
        <v>16500</v>
      </c>
      <c r="G98" s="22"/>
      <c r="H98" t="s">
        <v>122</v>
      </c>
    </row>
    <row r="99" spans="1:8" x14ac:dyDescent="0.2">
      <c r="A99" t="s">
        <v>1046</v>
      </c>
      <c r="B99" t="s">
        <v>1047</v>
      </c>
      <c r="C99" s="19">
        <v>3500</v>
      </c>
      <c r="D99" s="19">
        <v>4872.2</v>
      </c>
      <c r="E99" s="21">
        <v>1372.2</v>
      </c>
      <c r="F99" s="19">
        <v>16466.400000000001</v>
      </c>
      <c r="G99" s="22">
        <v>39.21</v>
      </c>
      <c r="H99" t="s">
        <v>168</v>
      </c>
    </row>
    <row r="100" spans="1:8" x14ac:dyDescent="0.2">
      <c r="A100" t="s">
        <v>1978</v>
      </c>
      <c r="B100" t="s">
        <v>1979</v>
      </c>
      <c r="C100" s="19"/>
      <c r="D100" s="19">
        <v>1345.37</v>
      </c>
      <c r="E100" s="21">
        <v>1345.37</v>
      </c>
      <c r="F100" s="19">
        <v>16144.44</v>
      </c>
      <c r="G100" s="22"/>
      <c r="H100" t="s">
        <v>122</v>
      </c>
    </row>
    <row r="101" spans="1:8" x14ac:dyDescent="0.2">
      <c r="A101" t="s">
        <v>2324</v>
      </c>
      <c r="B101" t="s">
        <v>2325</v>
      </c>
      <c r="C101" s="19">
        <v>3770.05</v>
      </c>
      <c r="D101" s="19">
        <v>5110.3599999999997</v>
      </c>
      <c r="E101" s="21">
        <v>1340.309999999999</v>
      </c>
      <c r="F101" s="19">
        <v>16083.71999999999</v>
      </c>
      <c r="G101" s="22">
        <v>35.549999999999997</v>
      </c>
      <c r="H101" t="s">
        <v>168</v>
      </c>
    </row>
    <row r="102" spans="1:8" x14ac:dyDescent="0.2">
      <c r="A102" t="s">
        <v>2721</v>
      </c>
      <c r="B102" t="s">
        <v>2722</v>
      </c>
      <c r="C102" s="19"/>
      <c r="D102" s="19">
        <v>1300</v>
      </c>
      <c r="E102" s="21">
        <v>1300</v>
      </c>
      <c r="F102" s="19">
        <v>15600</v>
      </c>
      <c r="G102" s="22"/>
      <c r="H102" t="s">
        <v>122</v>
      </c>
    </row>
    <row r="103" spans="1:8" x14ac:dyDescent="0.2">
      <c r="A103" t="s">
        <v>2810</v>
      </c>
      <c r="B103" t="s">
        <v>2811</v>
      </c>
      <c r="C103" s="19">
        <v>2600</v>
      </c>
      <c r="D103" s="19">
        <v>3890</v>
      </c>
      <c r="E103" s="21">
        <v>1290</v>
      </c>
      <c r="F103" s="19">
        <v>15480</v>
      </c>
      <c r="G103" s="22">
        <v>49.62</v>
      </c>
      <c r="H103" t="s">
        <v>168</v>
      </c>
    </row>
    <row r="104" spans="1:8" x14ac:dyDescent="0.2">
      <c r="A104" t="s">
        <v>1645</v>
      </c>
      <c r="B104" t="s">
        <v>1646</v>
      </c>
      <c r="C104" s="19"/>
      <c r="D104" s="19">
        <v>1270.97</v>
      </c>
      <c r="E104" s="21">
        <v>1270.97</v>
      </c>
      <c r="F104" s="19">
        <v>15251.64</v>
      </c>
      <c r="G104" s="22"/>
      <c r="H104" t="s">
        <v>1648</v>
      </c>
    </row>
    <row r="105" spans="1:8" x14ac:dyDescent="0.2">
      <c r="A105" t="s">
        <v>780</v>
      </c>
      <c r="B105" t="s">
        <v>781</v>
      </c>
      <c r="C105" s="19">
        <v>2622.95</v>
      </c>
      <c r="D105" s="19">
        <v>3868.8</v>
      </c>
      <c r="E105" s="21">
        <v>1245.8499999999999</v>
      </c>
      <c r="F105" s="19">
        <v>14950.2</v>
      </c>
      <c r="G105" s="22">
        <v>47.5</v>
      </c>
      <c r="H105" t="s">
        <v>168</v>
      </c>
    </row>
    <row r="106" spans="1:8" x14ac:dyDescent="0.2">
      <c r="A106" t="s">
        <v>762</v>
      </c>
      <c r="B106" t="s">
        <v>763</v>
      </c>
      <c r="C106" s="19">
        <v>2622.95</v>
      </c>
      <c r="D106" s="19">
        <v>3868.79</v>
      </c>
      <c r="E106" s="21">
        <v>1245.8399999999999</v>
      </c>
      <c r="F106" s="19">
        <v>14950.08</v>
      </c>
      <c r="G106" s="22">
        <v>47.5</v>
      </c>
      <c r="H106" t="s">
        <v>168</v>
      </c>
    </row>
    <row r="107" spans="1:8" x14ac:dyDescent="0.2">
      <c r="A107" t="s">
        <v>2068</v>
      </c>
      <c r="B107" t="s">
        <v>2069</v>
      </c>
      <c r="C107" s="19">
        <v>1927.44</v>
      </c>
      <c r="D107" s="19">
        <v>3159.6</v>
      </c>
      <c r="E107" s="21">
        <v>1232.1600000000001</v>
      </c>
      <c r="F107" s="19">
        <v>14785.92</v>
      </c>
      <c r="G107" s="22">
        <v>63.93</v>
      </c>
      <c r="H107" t="s">
        <v>168</v>
      </c>
    </row>
    <row r="108" spans="1:8" x14ac:dyDescent="0.2">
      <c r="A108" t="s">
        <v>2070</v>
      </c>
      <c r="B108" t="s">
        <v>2071</v>
      </c>
      <c r="C108" s="19">
        <v>1927.44</v>
      </c>
      <c r="D108" s="19">
        <v>3159.6</v>
      </c>
      <c r="E108" s="21">
        <v>1232.1600000000001</v>
      </c>
      <c r="F108" s="19">
        <v>14785.92</v>
      </c>
      <c r="G108" s="22">
        <v>63.93</v>
      </c>
      <c r="H108" t="s">
        <v>168</v>
      </c>
    </row>
    <row r="109" spans="1:8" x14ac:dyDescent="0.2">
      <c r="A109" t="s">
        <v>2072</v>
      </c>
      <c r="B109" t="s">
        <v>2073</v>
      </c>
      <c r="C109" s="19">
        <v>1927.44</v>
      </c>
      <c r="D109" s="19">
        <v>3159.6</v>
      </c>
      <c r="E109" s="21">
        <v>1232.1600000000001</v>
      </c>
      <c r="F109" s="19">
        <v>14785.92</v>
      </c>
      <c r="G109" s="22">
        <v>63.93</v>
      </c>
      <c r="H109" t="s">
        <v>168</v>
      </c>
    </row>
    <row r="110" spans="1:8" x14ac:dyDescent="0.2">
      <c r="A110" t="s">
        <v>1162</v>
      </c>
      <c r="B110" t="s">
        <v>1163</v>
      </c>
      <c r="C110" s="19">
        <v>2500</v>
      </c>
      <c r="D110" s="19">
        <v>3709.28</v>
      </c>
      <c r="E110" s="21">
        <v>1209.28</v>
      </c>
      <c r="F110" s="19">
        <v>14511.36</v>
      </c>
      <c r="G110" s="22">
        <v>48.37</v>
      </c>
      <c r="H110" t="s">
        <v>168</v>
      </c>
    </row>
    <row r="111" spans="1:8" x14ac:dyDescent="0.2">
      <c r="A111" t="s">
        <v>488</v>
      </c>
      <c r="B111" t="s">
        <v>2022</v>
      </c>
      <c r="C111" s="19"/>
      <c r="D111" s="19">
        <v>1200</v>
      </c>
      <c r="E111" s="21">
        <v>1200</v>
      </c>
      <c r="F111" s="19">
        <v>14400</v>
      </c>
      <c r="G111" s="22"/>
      <c r="H111" t="s">
        <v>122</v>
      </c>
    </row>
    <row r="112" spans="1:8" x14ac:dyDescent="0.2">
      <c r="A112" t="s">
        <v>1375</v>
      </c>
      <c r="B112" t="s">
        <v>1376</v>
      </c>
      <c r="C112" s="19">
        <v>3000</v>
      </c>
      <c r="D112" s="19">
        <v>4200</v>
      </c>
      <c r="E112" s="21">
        <v>1200</v>
      </c>
      <c r="F112" s="19">
        <v>14400</v>
      </c>
      <c r="G112" s="22">
        <v>40</v>
      </c>
      <c r="H112" t="s">
        <v>1146</v>
      </c>
    </row>
    <row r="113" spans="1:8" x14ac:dyDescent="0.2">
      <c r="A113" t="s">
        <v>1941</v>
      </c>
      <c r="B113" t="s">
        <v>1942</v>
      </c>
      <c r="C113" s="19"/>
      <c r="D113" s="19">
        <v>1200</v>
      </c>
      <c r="E113" s="21">
        <v>1200</v>
      </c>
      <c r="F113" s="19">
        <v>14400</v>
      </c>
      <c r="G113" s="22"/>
      <c r="H113" t="s">
        <v>122</v>
      </c>
    </row>
    <row r="114" spans="1:8" x14ac:dyDescent="0.2">
      <c r="A114" t="s">
        <v>2878</v>
      </c>
      <c r="B114" t="s">
        <v>2879</v>
      </c>
      <c r="C114" s="19">
        <v>2060</v>
      </c>
      <c r="D114" s="19">
        <v>3250</v>
      </c>
      <c r="E114" s="21">
        <v>1190</v>
      </c>
      <c r="F114" s="19">
        <v>14280</v>
      </c>
      <c r="G114" s="22">
        <v>57.77</v>
      </c>
      <c r="H114" t="s">
        <v>168</v>
      </c>
    </row>
    <row r="115" spans="1:8" x14ac:dyDescent="0.2">
      <c r="A115" t="s">
        <v>2903</v>
      </c>
      <c r="B115" t="s">
        <v>2904</v>
      </c>
      <c r="C115" s="19">
        <v>1365</v>
      </c>
      <c r="D115" s="19">
        <v>2550</v>
      </c>
      <c r="E115" s="21">
        <v>1185</v>
      </c>
      <c r="F115" s="19">
        <v>14220</v>
      </c>
      <c r="G115" s="22">
        <v>86.81</v>
      </c>
      <c r="H115" t="s">
        <v>168</v>
      </c>
    </row>
    <row r="116" spans="1:8" x14ac:dyDescent="0.2">
      <c r="A116" t="s">
        <v>2033</v>
      </c>
      <c r="B116" t="s">
        <v>2034</v>
      </c>
      <c r="C116" s="19">
        <v>1175</v>
      </c>
      <c r="D116" s="19">
        <v>2350</v>
      </c>
      <c r="E116" s="21">
        <v>1175</v>
      </c>
      <c r="F116" s="19">
        <v>14100</v>
      </c>
      <c r="G116" s="22">
        <v>100</v>
      </c>
      <c r="H116" t="s">
        <v>122</v>
      </c>
    </row>
    <row r="117" spans="1:8" x14ac:dyDescent="0.2">
      <c r="A117" t="s">
        <v>400</v>
      </c>
      <c r="B117" t="s">
        <v>401</v>
      </c>
      <c r="C117" s="19">
        <v>1500</v>
      </c>
      <c r="D117" s="19">
        <v>2625</v>
      </c>
      <c r="E117" s="21">
        <v>1125</v>
      </c>
      <c r="F117" s="19">
        <v>13500</v>
      </c>
      <c r="G117" s="22">
        <v>75</v>
      </c>
      <c r="H117" t="s">
        <v>168</v>
      </c>
    </row>
    <row r="118" spans="1:8" x14ac:dyDescent="0.2">
      <c r="A118" t="s">
        <v>811</v>
      </c>
      <c r="B118" t="s">
        <v>812</v>
      </c>
      <c r="C118" s="19">
        <v>1300</v>
      </c>
      <c r="D118" s="19">
        <v>2420</v>
      </c>
      <c r="E118" s="21">
        <v>1120</v>
      </c>
      <c r="F118" s="19">
        <v>13440</v>
      </c>
      <c r="G118" s="22">
        <v>86.15</v>
      </c>
      <c r="H118" t="s">
        <v>122</v>
      </c>
    </row>
    <row r="119" spans="1:8" x14ac:dyDescent="0.2">
      <c r="A119" t="s">
        <v>1167</v>
      </c>
      <c r="B119" t="s">
        <v>1168</v>
      </c>
      <c r="C119" s="19">
        <v>2000</v>
      </c>
      <c r="D119" s="19">
        <v>3100</v>
      </c>
      <c r="E119" s="21">
        <v>1100</v>
      </c>
      <c r="F119" s="19">
        <v>13200</v>
      </c>
      <c r="G119" s="22">
        <v>55</v>
      </c>
      <c r="H119" t="s">
        <v>168</v>
      </c>
    </row>
    <row r="120" spans="1:8" x14ac:dyDescent="0.2">
      <c r="A120" t="s">
        <v>1167</v>
      </c>
      <c r="B120" t="s">
        <v>1168</v>
      </c>
      <c r="C120" s="19">
        <v>2000</v>
      </c>
      <c r="D120" s="19">
        <v>3100</v>
      </c>
      <c r="E120" s="21">
        <v>1100</v>
      </c>
      <c r="F120" s="19">
        <v>13200</v>
      </c>
      <c r="G120" s="22">
        <v>55</v>
      </c>
      <c r="H120" t="s">
        <v>122</v>
      </c>
    </row>
    <row r="121" spans="1:8" x14ac:dyDescent="0.2">
      <c r="A121" t="s">
        <v>1147</v>
      </c>
      <c r="B121" t="s">
        <v>1148</v>
      </c>
      <c r="C121" s="19">
        <v>2500</v>
      </c>
      <c r="D121" s="19">
        <v>3600</v>
      </c>
      <c r="E121" s="21">
        <v>1100</v>
      </c>
      <c r="F121" s="19">
        <v>13200</v>
      </c>
      <c r="G121" s="22">
        <v>44</v>
      </c>
      <c r="H121" t="s">
        <v>168</v>
      </c>
    </row>
    <row r="122" spans="1:8" x14ac:dyDescent="0.2">
      <c r="A122" t="s">
        <v>931</v>
      </c>
      <c r="B122" t="s">
        <v>932</v>
      </c>
      <c r="C122" s="19">
        <v>894</v>
      </c>
      <c r="D122" s="19">
        <v>1993.32</v>
      </c>
      <c r="E122" s="21">
        <v>1099.32</v>
      </c>
      <c r="F122" s="19">
        <v>13191.84</v>
      </c>
      <c r="G122" s="22">
        <v>122.97</v>
      </c>
      <c r="H122" t="s">
        <v>122</v>
      </c>
    </row>
    <row r="123" spans="1:8" x14ac:dyDescent="0.2">
      <c r="A123" t="s">
        <v>2578</v>
      </c>
      <c r="B123" t="s">
        <v>2579</v>
      </c>
      <c r="C123" s="19">
        <v>4330</v>
      </c>
      <c r="D123" s="19">
        <v>5350</v>
      </c>
      <c r="E123" s="21">
        <v>1020</v>
      </c>
      <c r="F123" s="19">
        <v>12240</v>
      </c>
      <c r="G123" s="22">
        <v>23.56</v>
      </c>
      <c r="H123" t="s">
        <v>1146</v>
      </c>
    </row>
    <row r="124" spans="1:8" x14ac:dyDescent="0.2">
      <c r="A124" t="s">
        <v>2284</v>
      </c>
      <c r="B124" t="s">
        <v>2285</v>
      </c>
      <c r="C124" s="19"/>
      <c r="D124" s="19">
        <v>1019</v>
      </c>
      <c r="E124" s="21">
        <v>1019</v>
      </c>
      <c r="F124" s="19">
        <v>12228</v>
      </c>
      <c r="G124" s="22"/>
      <c r="H124" t="s">
        <v>122</v>
      </c>
    </row>
    <row r="125" spans="1:8" x14ac:dyDescent="0.2">
      <c r="A125" t="s">
        <v>1625</v>
      </c>
      <c r="B125" t="s">
        <v>1626</v>
      </c>
      <c r="C125" s="19">
        <v>2790.5</v>
      </c>
      <c r="D125" s="19">
        <v>3800</v>
      </c>
      <c r="E125" s="21">
        <v>1009.5</v>
      </c>
      <c r="F125" s="19">
        <v>12114</v>
      </c>
      <c r="G125" s="22">
        <v>36.18</v>
      </c>
      <c r="H125" t="s">
        <v>168</v>
      </c>
    </row>
    <row r="126" spans="1:8" x14ac:dyDescent="0.2">
      <c r="A126" t="s">
        <v>2297</v>
      </c>
      <c r="B126" t="s">
        <v>2298</v>
      </c>
      <c r="C126" s="19">
        <v>2903.38</v>
      </c>
      <c r="D126" s="19">
        <v>3907.77</v>
      </c>
      <c r="E126" s="21">
        <v>1004.39</v>
      </c>
      <c r="F126" s="19">
        <v>12052.68</v>
      </c>
      <c r="G126" s="22">
        <v>34.590000000000003</v>
      </c>
      <c r="H126" t="s">
        <v>168</v>
      </c>
    </row>
    <row r="127" spans="1:8" x14ac:dyDescent="0.2">
      <c r="A127" t="s">
        <v>2618</v>
      </c>
      <c r="B127" t="s">
        <v>2619</v>
      </c>
      <c r="C127" s="19">
        <v>3000</v>
      </c>
      <c r="D127" s="19">
        <v>4000</v>
      </c>
      <c r="E127" s="21">
        <v>1000</v>
      </c>
      <c r="F127" s="19">
        <v>12000</v>
      </c>
      <c r="G127" s="22">
        <v>33.33</v>
      </c>
      <c r="H127" t="s">
        <v>1146</v>
      </c>
    </row>
    <row r="128" spans="1:8" x14ac:dyDescent="0.2">
      <c r="A128" t="s">
        <v>2435</v>
      </c>
      <c r="B128" t="s">
        <v>2436</v>
      </c>
      <c r="C128" s="19">
        <v>3181.45</v>
      </c>
      <c r="D128" s="19">
        <v>4175</v>
      </c>
      <c r="E128" s="21">
        <v>993.55000000000018</v>
      </c>
      <c r="F128" s="19">
        <v>11922.6</v>
      </c>
      <c r="G128" s="22">
        <v>31.23</v>
      </c>
      <c r="H128" t="s">
        <v>168</v>
      </c>
    </row>
    <row r="129" spans="1:8" x14ac:dyDescent="0.2">
      <c r="A129" t="s">
        <v>1289</v>
      </c>
      <c r="B129" t="s">
        <v>1290</v>
      </c>
      <c r="C129" s="19"/>
      <c r="D129" s="19">
        <v>992.34</v>
      </c>
      <c r="E129" s="21">
        <v>992.34</v>
      </c>
      <c r="F129" s="19">
        <v>11908.08</v>
      </c>
      <c r="G129" s="22"/>
      <c r="H129" t="s">
        <v>122</v>
      </c>
    </row>
    <row r="130" spans="1:8" x14ac:dyDescent="0.2">
      <c r="A130" t="s">
        <v>2976</v>
      </c>
      <c r="B130" t="s">
        <v>2977</v>
      </c>
      <c r="C130" s="19"/>
      <c r="D130" s="19">
        <v>990.46</v>
      </c>
      <c r="E130" s="21">
        <v>990.46</v>
      </c>
      <c r="F130" s="19">
        <v>11885.52</v>
      </c>
      <c r="G130" s="22"/>
      <c r="H130" t="s">
        <v>122</v>
      </c>
    </row>
    <row r="131" spans="1:8" x14ac:dyDescent="0.2">
      <c r="A131" t="s">
        <v>3074</v>
      </c>
      <c r="B131" t="s">
        <v>3075</v>
      </c>
      <c r="C131" s="19"/>
      <c r="D131" s="19">
        <v>989.88</v>
      </c>
      <c r="E131" s="21">
        <v>989.88</v>
      </c>
      <c r="F131" s="19">
        <v>11878.56</v>
      </c>
      <c r="G131" s="22"/>
      <c r="H131" t="s">
        <v>122</v>
      </c>
    </row>
    <row r="132" spans="1:8" x14ac:dyDescent="0.2">
      <c r="A132" t="s">
        <v>3072</v>
      </c>
      <c r="B132" t="s">
        <v>3073</v>
      </c>
      <c r="C132" s="19"/>
      <c r="D132" s="19">
        <v>989.88</v>
      </c>
      <c r="E132" s="21">
        <v>989.88</v>
      </c>
      <c r="F132" s="19">
        <v>11878.56</v>
      </c>
      <c r="G132" s="22"/>
      <c r="H132" t="s">
        <v>122</v>
      </c>
    </row>
    <row r="133" spans="1:8" x14ac:dyDescent="0.2">
      <c r="A133" t="s">
        <v>1944</v>
      </c>
      <c r="B133" t="s">
        <v>1945</v>
      </c>
      <c r="C133" s="19">
        <v>1673</v>
      </c>
      <c r="D133" s="19">
        <v>2650</v>
      </c>
      <c r="E133" s="21">
        <v>977</v>
      </c>
      <c r="F133" s="19">
        <v>11724</v>
      </c>
      <c r="G133" s="22">
        <v>58.4</v>
      </c>
      <c r="H133" t="s">
        <v>168</v>
      </c>
    </row>
    <row r="134" spans="1:8" x14ac:dyDescent="0.2">
      <c r="A134" t="s">
        <v>1944</v>
      </c>
      <c r="B134" t="s">
        <v>1945</v>
      </c>
      <c r="C134" s="19">
        <v>1673</v>
      </c>
      <c r="D134" s="19">
        <v>2650</v>
      </c>
      <c r="E134" s="21">
        <v>977</v>
      </c>
      <c r="F134" s="19">
        <v>11724</v>
      </c>
      <c r="G134" s="22">
        <v>58.4</v>
      </c>
      <c r="H134" t="s">
        <v>122</v>
      </c>
    </row>
    <row r="135" spans="1:8" x14ac:dyDescent="0.2">
      <c r="A135" t="s">
        <v>3093</v>
      </c>
      <c r="B135" t="s">
        <v>3094</v>
      </c>
      <c r="C135" s="19"/>
      <c r="D135" s="19">
        <v>972</v>
      </c>
      <c r="E135" s="21">
        <v>972</v>
      </c>
      <c r="F135" s="19">
        <v>11664</v>
      </c>
      <c r="G135" s="22"/>
      <c r="H135" t="s">
        <v>122</v>
      </c>
    </row>
    <row r="136" spans="1:8" x14ac:dyDescent="0.2">
      <c r="A136" t="s">
        <v>1320</v>
      </c>
      <c r="B136" t="s">
        <v>1321</v>
      </c>
      <c r="C136" s="19">
        <v>2705</v>
      </c>
      <c r="D136" s="19">
        <v>3675</v>
      </c>
      <c r="E136" s="21">
        <v>970</v>
      </c>
      <c r="F136" s="19">
        <v>11640</v>
      </c>
      <c r="G136" s="22">
        <v>35.86</v>
      </c>
      <c r="H136" t="s">
        <v>168</v>
      </c>
    </row>
    <row r="137" spans="1:8" x14ac:dyDescent="0.2">
      <c r="A137" t="s">
        <v>2033</v>
      </c>
      <c r="B137" t="s">
        <v>2034</v>
      </c>
      <c r="C137" s="19">
        <v>1400.53</v>
      </c>
      <c r="D137" s="19">
        <v>2350</v>
      </c>
      <c r="E137" s="21">
        <v>949.47</v>
      </c>
      <c r="F137" s="19">
        <v>11393.64</v>
      </c>
      <c r="G137" s="22">
        <v>67.790000000000006</v>
      </c>
      <c r="H137" t="s">
        <v>122</v>
      </c>
    </row>
    <row r="138" spans="1:8" x14ac:dyDescent="0.2">
      <c r="A138" t="s">
        <v>2543</v>
      </c>
      <c r="B138" t="s">
        <v>2544</v>
      </c>
      <c r="C138" s="19">
        <v>2769.81</v>
      </c>
      <c r="D138" s="19">
        <v>3685</v>
      </c>
      <c r="E138" s="21">
        <v>915.19</v>
      </c>
      <c r="F138" s="19">
        <v>10982.28</v>
      </c>
      <c r="G138" s="22">
        <v>33.04</v>
      </c>
      <c r="H138" t="s">
        <v>1146</v>
      </c>
    </row>
    <row r="139" spans="1:8" x14ac:dyDescent="0.2">
      <c r="A139" t="s">
        <v>3083</v>
      </c>
      <c r="B139" t="s">
        <v>3084</v>
      </c>
      <c r="C139" s="19"/>
      <c r="D139" s="19">
        <v>914.99</v>
      </c>
      <c r="E139" s="21">
        <v>914.99</v>
      </c>
      <c r="F139" s="19">
        <v>10979.88</v>
      </c>
      <c r="G139" s="22"/>
      <c r="H139" t="s">
        <v>1648</v>
      </c>
    </row>
    <row r="140" spans="1:8" x14ac:dyDescent="0.2">
      <c r="A140" t="s">
        <v>2054</v>
      </c>
      <c r="B140" t="s">
        <v>2055</v>
      </c>
      <c r="C140" s="19">
        <v>1927.44</v>
      </c>
      <c r="D140" s="19">
        <v>2837.83</v>
      </c>
      <c r="E140" s="21">
        <v>910.38999999999987</v>
      </c>
      <c r="F140" s="19">
        <v>10924.68</v>
      </c>
      <c r="G140" s="22">
        <v>47.23</v>
      </c>
      <c r="H140" t="s">
        <v>168</v>
      </c>
    </row>
    <row r="141" spans="1:8" x14ac:dyDescent="0.2">
      <c r="A141" t="s">
        <v>2066</v>
      </c>
      <c r="B141" t="s">
        <v>2067</v>
      </c>
      <c r="C141" s="19">
        <v>1927.44</v>
      </c>
      <c r="D141" s="19">
        <v>2837.83</v>
      </c>
      <c r="E141" s="21">
        <v>910.38999999999987</v>
      </c>
      <c r="F141" s="19">
        <v>10924.68</v>
      </c>
      <c r="G141" s="22">
        <v>47.23</v>
      </c>
      <c r="H141" t="s">
        <v>168</v>
      </c>
    </row>
    <row r="142" spans="1:8" x14ac:dyDescent="0.2">
      <c r="A142" t="s">
        <v>2011</v>
      </c>
      <c r="B142" t="s">
        <v>2012</v>
      </c>
      <c r="C142" s="19"/>
      <c r="D142" s="19">
        <v>900</v>
      </c>
      <c r="E142" s="21">
        <v>900</v>
      </c>
      <c r="F142" s="19">
        <v>10800</v>
      </c>
      <c r="G142" s="22"/>
      <c r="H142" t="s">
        <v>122</v>
      </c>
    </row>
    <row r="143" spans="1:8" x14ac:dyDescent="0.2">
      <c r="A143" t="s">
        <v>1657</v>
      </c>
      <c r="B143" t="s">
        <v>1658</v>
      </c>
      <c r="C143" s="19"/>
      <c r="D143" s="19">
        <v>895</v>
      </c>
      <c r="E143" s="21">
        <v>895</v>
      </c>
      <c r="F143" s="19">
        <v>10740</v>
      </c>
      <c r="G143" s="22"/>
      <c r="H143" t="s">
        <v>122</v>
      </c>
    </row>
    <row r="144" spans="1:8" x14ac:dyDescent="0.2">
      <c r="A144" t="s">
        <v>1697</v>
      </c>
      <c r="B144" t="s">
        <v>1698</v>
      </c>
      <c r="C144" s="19"/>
      <c r="D144" s="19">
        <v>895</v>
      </c>
      <c r="E144" s="21">
        <v>895</v>
      </c>
      <c r="F144" s="19">
        <v>10740</v>
      </c>
      <c r="G144" s="22"/>
      <c r="H144" t="s">
        <v>122</v>
      </c>
    </row>
    <row r="145" spans="1:8" x14ac:dyDescent="0.2">
      <c r="A145" t="s">
        <v>1730</v>
      </c>
      <c r="B145" t="s">
        <v>1731</v>
      </c>
      <c r="C145" s="19"/>
      <c r="D145" s="19">
        <v>895</v>
      </c>
      <c r="E145" s="21">
        <v>895</v>
      </c>
      <c r="F145" s="19">
        <v>10740</v>
      </c>
      <c r="G145" s="22"/>
      <c r="H145" t="s">
        <v>122</v>
      </c>
    </row>
    <row r="146" spans="1:8" x14ac:dyDescent="0.2">
      <c r="A146" t="s">
        <v>3089</v>
      </c>
      <c r="B146" t="s">
        <v>3090</v>
      </c>
      <c r="C146" s="19"/>
      <c r="D146" s="19">
        <v>895</v>
      </c>
      <c r="E146" s="21">
        <v>895</v>
      </c>
      <c r="F146" s="19">
        <v>10740</v>
      </c>
      <c r="G146" s="22"/>
      <c r="H146" t="s">
        <v>122</v>
      </c>
    </row>
    <row r="147" spans="1:8" x14ac:dyDescent="0.2">
      <c r="A147" t="s">
        <v>1981</v>
      </c>
      <c r="B147" t="s">
        <v>1982</v>
      </c>
      <c r="C147" s="19"/>
      <c r="D147" s="19">
        <v>895</v>
      </c>
      <c r="E147" s="21">
        <v>895</v>
      </c>
      <c r="F147" s="19">
        <v>10740</v>
      </c>
      <c r="G147" s="22"/>
      <c r="H147" t="s">
        <v>122</v>
      </c>
    </row>
    <row r="148" spans="1:8" x14ac:dyDescent="0.2">
      <c r="A148" t="s">
        <v>1957</v>
      </c>
      <c r="B148" t="s">
        <v>1958</v>
      </c>
      <c r="C148" s="19"/>
      <c r="D148" s="19">
        <v>895</v>
      </c>
      <c r="E148" s="21">
        <v>895</v>
      </c>
      <c r="F148" s="19">
        <v>10740</v>
      </c>
      <c r="G148" s="22"/>
      <c r="H148" t="s">
        <v>122</v>
      </c>
    </row>
    <row r="149" spans="1:8" x14ac:dyDescent="0.2">
      <c r="A149" t="s">
        <v>1813</v>
      </c>
      <c r="B149" t="s">
        <v>1814</v>
      </c>
      <c r="C149" s="19"/>
      <c r="D149" s="19">
        <v>895</v>
      </c>
      <c r="E149" s="21">
        <v>895</v>
      </c>
      <c r="F149" s="19">
        <v>10740</v>
      </c>
      <c r="G149" s="22"/>
      <c r="H149" t="s">
        <v>122</v>
      </c>
    </row>
    <row r="150" spans="1:8" x14ac:dyDescent="0.2">
      <c r="A150" t="s">
        <v>2044</v>
      </c>
      <c r="B150" t="s">
        <v>2045</v>
      </c>
      <c r="C150" s="19"/>
      <c r="D150" s="19">
        <v>895</v>
      </c>
      <c r="E150" s="21">
        <v>895</v>
      </c>
      <c r="F150" s="19">
        <v>10740</v>
      </c>
      <c r="G150" s="22"/>
      <c r="H150" t="s">
        <v>122</v>
      </c>
    </row>
    <row r="151" spans="1:8" x14ac:dyDescent="0.2">
      <c r="A151" t="s">
        <v>3125</v>
      </c>
      <c r="B151" t="s">
        <v>3126</v>
      </c>
      <c r="C151" s="19"/>
      <c r="D151" s="19">
        <v>895</v>
      </c>
      <c r="E151" s="21">
        <v>895</v>
      </c>
      <c r="F151" s="19">
        <v>10740</v>
      </c>
      <c r="G151" s="22"/>
      <c r="H151" t="s">
        <v>122</v>
      </c>
    </row>
    <row r="152" spans="1:8" x14ac:dyDescent="0.2">
      <c r="A152" t="s">
        <v>1845</v>
      </c>
      <c r="B152" t="s">
        <v>1846</v>
      </c>
      <c r="C152" s="19"/>
      <c r="D152" s="19">
        <v>895</v>
      </c>
      <c r="E152" s="21">
        <v>895</v>
      </c>
      <c r="F152" s="19">
        <v>10740</v>
      </c>
      <c r="G152" s="22"/>
      <c r="H152" t="s">
        <v>122</v>
      </c>
    </row>
    <row r="153" spans="1:8" x14ac:dyDescent="0.2">
      <c r="A153" t="s">
        <v>1930</v>
      </c>
      <c r="B153" t="s">
        <v>1931</v>
      </c>
      <c r="C153" s="19"/>
      <c r="D153" s="19">
        <v>895</v>
      </c>
      <c r="E153" s="21">
        <v>895</v>
      </c>
      <c r="F153" s="19">
        <v>10740</v>
      </c>
      <c r="G153" s="22"/>
      <c r="H153" t="s">
        <v>122</v>
      </c>
    </row>
    <row r="154" spans="1:8" x14ac:dyDescent="0.2">
      <c r="A154" t="s">
        <v>2019</v>
      </c>
      <c r="B154" t="s">
        <v>2020</v>
      </c>
      <c r="C154" s="19"/>
      <c r="D154" s="19">
        <v>895</v>
      </c>
      <c r="E154" s="21">
        <v>895</v>
      </c>
      <c r="F154" s="19">
        <v>10740</v>
      </c>
      <c r="G154" s="22"/>
      <c r="H154" t="s">
        <v>122</v>
      </c>
    </row>
    <row r="155" spans="1:8" x14ac:dyDescent="0.2">
      <c r="A155" t="s">
        <v>363</v>
      </c>
      <c r="B155" t="s">
        <v>364</v>
      </c>
      <c r="C155" s="19"/>
      <c r="D155" s="19">
        <v>895</v>
      </c>
      <c r="E155" s="21">
        <v>895</v>
      </c>
      <c r="F155" s="19">
        <v>10740</v>
      </c>
      <c r="G155" s="22"/>
      <c r="H155" t="s">
        <v>122</v>
      </c>
    </row>
    <row r="156" spans="1:8" x14ac:dyDescent="0.2">
      <c r="A156" t="s">
        <v>3133</v>
      </c>
      <c r="B156" t="s">
        <v>3134</v>
      </c>
      <c r="C156" s="19"/>
      <c r="D156" s="19">
        <v>864</v>
      </c>
      <c r="E156" s="21">
        <v>864</v>
      </c>
      <c r="F156" s="19">
        <v>10368</v>
      </c>
      <c r="G156" s="22"/>
      <c r="H156" t="s">
        <v>122</v>
      </c>
    </row>
    <row r="157" spans="1:8" x14ac:dyDescent="0.2">
      <c r="A157" t="s">
        <v>346</v>
      </c>
      <c r="B157" t="s">
        <v>347</v>
      </c>
      <c r="C157" s="19">
        <v>1350</v>
      </c>
      <c r="D157" s="19">
        <v>2212.9</v>
      </c>
      <c r="E157" s="21">
        <v>862.90000000000009</v>
      </c>
      <c r="F157" s="19">
        <v>10354.799999999999</v>
      </c>
      <c r="G157" s="22">
        <v>63.92</v>
      </c>
      <c r="H157" t="s">
        <v>168</v>
      </c>
    </row>
    <row r="158" spans="1:8" x14ac:dyDescent="0.2">
      <c r="A158" t="s">
        <v>2432</v>
      </c>
      <c r="B158" t="s">
        <v>2433</v>
      </c>
      <c r="C158" s="19">
        <v>2718.1</v>
      </c>
      <c r="D158" s="19">
        <v>3575</v>
      </c>
      <c r="E158" s="21">
        <v>856.90000000000009</v>
      </c>
      <c r="F158" s="19">
        <v>10282.799999999999</v>
      </c>
      <c r="G158" s="22">
        <v>31.53</v>
      </c>
      <c r="H158" t="s">
        <v>168</v>
      </c>
    </row>
    <row r="159" spans="1:8" x14ac:dyDescent="0.2">
      <c r="A159" t="s">
        <v>2561</v>
      </c>
      <c r="B159" t="s">
        <v>2562</v>
      </c>
      <c r="C159" s="19">
        <v>2400</v>
      </c>
      <c r="D159" s="19">
        <v>3250</v>
      </c>
      <c r="E159" s="21">
        <v>850</v>
      </c>
      <c r="F159" s="19">
        <v>10200</v>
      </c>
      <c r="G159" s="22">
        <v>35.42</v>
      </c>
      <c r="H159" t="s">
        <v>122</v>
      </c>
    </row>
    <row r="160" spans="1:8" x14ac:dyDescent="0.2">
      <c r="A160" t="s">
        <v>2258</v>
      </c>
      <c r="B160" t="s">
        <v>2259</v>
      </c>
      <c r="C160" s="19"/>
      <c r="D160" s="19">
        <v>850</v>
      </c>
      <c r="E160" s="21">
        <v>850</v>
      </c>
      <c r="F160" s="19">
        <v>10200</v>
      </c>
      <c r="G160" s="22"/>
      <c r="H160" t="s">
        <v>122</v>
      </c>
    </row>
    <row r="161" spans="1:8" x14ac:dyDescent="0.2">
      <c r="A161" t="s">
        <v>2429</v>
      </c>
      <c r="B161" t="s">
        <v>2430</v>
      </c>
      <c r="C161" s="19">
        <v>2803.1</v>
      </c>
      <c r="D161" s="19">
        <v>3650</v>
      </c>
      <c r="E161" s="21">
        <v>846.90000000000009</v>
      </c>
      <c r="F161" s="19">
        <v>10162.799999999999</v>
      </c>
      <c r="G161" s="22">
        <v>30.21</v>
      </c>
      <c r="H161" t="s">
        <v>168</v>
      </c>
    </row>
    <row r="162" spans="1:8" x14ac:dyDescent="0.2">
      <c r="A162" t="s">
        <v>1437</v>
      </c>
      <c r="B162" t="s">
        <v>1438</v>
      </c>
      <c r="C162" s="19">
        <v>4206</v>
      </c>
      <c r="D162" s="19">
        <v>5050</v>
      </c>
      <c r="E162" s="21">
        <v>844</v>
      </c>
      <c r="F162" s="19">
        <v>10128</v>
      </c>
      <c r="G162" s="22">
        <v>20.07</v>
      </c>
      <c r="H162" t="s">
        <v>122</v>
      </c>
    </row>
    <row r="163" spans="1:8" x14ac:dyDescent="0.2">
      <c r="A163" t="s">
        <v>1437</v>
      </c>
      <c r="B163" t="s">
        <v>1438</v>
      </c>
      <c r="C163" s="19">
        <v>4206</v>
      </c>
      <c r="D163" s="19">
        <v>5050</v>
      </c>
      <c r="E163" s="21">
        <v>844</v>
      </c>
      <c r="F163" s="19">
        <v>10128</v>
      </c>
      <c r="G163" s="22">
        <v>20.07</v>
      </c>
      <c r="H163" t="s">
        <v>168</v>
      </c>
    </row>
    <row r="164" spans="1:8" x14ac:dyDescent="0.2">
      <c r="A164" t="s">
        <v>2703</v>
      </c>
      <c r="B164" t="s">
        <v>2704</v>
      </c>
      <c r="C164" s="19">
        <v>1906.66</v>
      </c>
      <c r="D164" s="19">
        <v>2750</v>
      </c>
      <c r="E164" s="21">
        <v>843.33999999999992</v>
      </c>
      <c r="F164" s="19">
        <v>10120.08</v>
      </c>
      <c r="G164" s="22">
        <v>44.23</v>
      </c>
      <c r="H164" t="s">
        <v>122</v>
      </c>
    </row>
    <row r="165" spans="1:8" x14ac:dyDescent="0.2">
      <c r="A165" t="s">
        <v>2703</v>
      </c>
      <c r="B165" t="s">
        <v>2704</v>
      </c>
      <c r="C165" s="19">
        <v>1906.66</v>
      </c>
      <c r="D165" s="19">
        <v>2750</v>
      </c>
      <c r="E165" s="21">
        <v>843.33999999999992</v>
      </c>
      <c r="F165" s="19">
        <v>10120.08</v>
      </c>
      <c r="G165" s="22">
        <v>44.23</v>
      </c>
      <c r="H165" t="s">
        <v>168</v>
      </c>
    </row>
    <row r="166" spans="1:8" x14ac:dyDescent="0.2">
      <c r="A166" t="s">
        <v>2714</v>
      </c>
      <c r="B166" t="s">
        <v>2715</v>
      </c>
      <c r="C166" s="19">
        <v>1906.66</v>
      </c>
      <c r="D166" s="19">
        <v>2750</v>
      </c>
      <c r="E166" s="21">
        <v>843.33999999999992</v>
      </c>
      <c r="F166" s="19">
        <v>10120.08</v>
      </c>
      <c r="G166" s="22">
        <v>44.23</v>
      </c>
      <c r="H166" t="s">
        <v>122</v>
      </c>
    </row>
    <row r="167" spans="1:8" x14ac:dyDescent="0.2">
      <c r="A167" t="s">
        <v>2714</v>
      </c>
      <c r="B167" t="s">
        <v>2715</v>
      </c>
      <c r="C167" s="19">
        <v>1906.66</v>
      </c>
      <c r="D167" s="19">
        <v>2750</v>
      </c>
      <c r="E167" s="21">
        <v>843.33999999999992</v>
      </c>
      <c r="F167" s="19">
        <v>10120.08</v>
      </c>
      <c r="G167" s="22">
        <v>44.23</v>
      </c>
      <c r="H167" t="s">
        <v>168</v>
      </c>
    </row>
    <row r="168" spans="1:8" x14ac:dyDescent="0.2">
      <c r="A168" t="s">
        <v>529</v>
      </c>
      <c r="B168" t="s">
        <v>530</v>
      </c>
      <c r="C168" s="19">
        <v>3742.83</v>
      </c>
      <c r="D168" s="19">
        <v>4564</v>
      </c>
      <c r="E168" s="21">
        <v>821.17000000000007</v>
      </c>
      <c r="F168" s="19">
        <v>9854.0400000000009</v>
      </c>
      <c r="G168" s="22">
        <v>21.94</v>
      </c>
      <c r="H168" t="s">
        <v>168</v>
      </c>
    </row>
    <row r="169" spans="1:8" x14ac:dyDescent="0.2">
      <c r="A169" t="s">
        <v>2081</v>
      </c>
      <c r="B169" t="s">
        <v>2082</v>
      </c>
      <c r="C169" s="19">
        <v>1927.44</v>
      </c>
      <c r="D169" s="19">
        <v>2748.54</v>
      </c>
      <c r="E169" s="21">
        <v>821.09999999999991</v>
      </c>
      <c r="F169" s="19">
        <v>9853.1999999999989</v>
      </c>
      <c r="G169" s="22">
        <v>42.6</v>
      </c>
      <c r="H169" t="s">
        <v>168</v>
      </c>
    </row>
    <row r="170" spans="1:8" x14ac:dyDescent="0.2">
      <c r="A170" t="s">
        <v>2083</v>
      </c>
      <c r="B170" t="s">
        <v>2084</v>
      </c>
      <c r="C170" s="19">
        <v>1927.44</v>
      </c>
      <c r="D170" s="19">
        <v>2748.54</v>
      </c>
      <c r="E170" s="21">
        <v>821.09999999999991</v>
      </c>
      <c r="F170" s="19">
        <v>9853.1999999999989</v>
      </c>
      <c r="G170" s="22">
        <v>42.6</v>
      </c>
      <c r="H170" t="s">
        <v>168</v>
      </c>
    </row>
    <row r="171" spans="1:8" x14ac:dyDescent="0.2">
      <c r="A171" t="s">
        <v>2424</v>
      </c>
      <c r="B171" t="s">
        <v>2425</v>
      </c>
      <c r="C171" s="19">
        <v>2858.9</v>
      </c>
      <c r="D171" s="19">
        <v>3675</v>
      </c>
      <c r="E171" s="21">
        <v>816.09999999999991</v>
      </c>
      <c r="F171" s="19">
        <v>9793.1999999999989</v>
      </c>
      <c r="G171" s="22">
        <v>28.55</v>
      </c>
      <c r="H171" t="s">
        <v>168</v>
      </c>
    </row>
    <row r="172" spans="1:8" x14ac:dyDescent="0.2">
      <c r="A172" t="s">
        <v>2406</v>
      </c>
      <c r="B172" t="s">
        <v>2407</v>
      </c>
      <c r="C172" s="19">
        <v>2769.81</v>
      </c>
      <c r="D172" s="19">
        <v>3575</v>
      </c>
      <c r="E172" s="21">
        <v>805.19</v>
      </c>
      <c r="F172" s="19">
        <v>9662.2800000000007</v>
      </c>
      <c r="G172" s="22">
        <v>29.07</v>
      </c>
      <c r="H172" t="s">
        <v>168</v>
      </c>
    </row>
    <row r="173" spans="1:8" x14ac:dyDescent="0.2">
      <c r="A173" t="s">
        <v>2411</v>
      </c>
      <c r="B173" t="s">
        <v>2412</v>
      </c>
      <c r="C173" s="19">
        <v>2819.81</v>
      </c>
      <c r="D173" s="19">
        <v>3625</v>
      </c>
      <c r="E173" s="21">
        <v>805.19</v>
      </c>
      <c r="F173" s="19">
        <v>9662.2800000000007</v>
      </c>
      <c r="G173" s="22">
        <v>28.55</v>
      </c>
      <c r="H173" t="s">
        <v>168</v>
      </c>
    </row>
    <row r="174" spans="1:8" x14ac:dyDescent="0.2">
      <c r="A174" t="s">
        <v>2408</v>
      </c>
      <c r="B174" t="s">
        <v>2409</v>
      </c>
      <c r="C174" s="19">
        <v>2769.81</v>
      </c>
      <c r="D174" s="19">
        <v>3575</v>
      </c>
      <c r="E174" s="21">
        <v>805.19</v>
      </c>
      <c r="F174" s="19">
        <v>9662.2800000000007</v>
      </c>
      <c r="G174" s="22">
        <v>29.07</v>
      </c>
      <c r="H174" t="s">
        <v>168</v>
      </c>
    </row>
    <row r="175" spans="1:8" x14ac:dyDescent="0.2">
      <c r="A175" t="s">
        <v>2421</v>
      </c>
      <c r="B175" t="s">
        <v>2422</v>
      </c>
      <c r="C175" s="19">
        <v>2769.81</v>
      </c>
      <c r="D175" s="19">
        <v>3575</v>
      </c>
      <c r="E175" s="21">
        <v>805.19</v>
      </c>
      <c r="F175" s="19">
        <v>9662.2800000000007</v>
      </c>
      <c r="G175" s="22">
        <v>29.07</v>
      </c>
      <c r="H175" t="s">
        <v>168</v>
      </c>
    </row>
    <row r="176" spans="1:8" x14ac:dyDescent="0.2">
      <c r="A176" t="s">
        <v>547</v>
      </c>
      <c r="B176" t="s">
        <v>2401</v>
      </c>
      <c r="C176" s="19">
        <v>2769.81</v>
      </c>
      <c r="D176" s="19">
        <v>3575</v>
      </c>
      <c r="E176" s="21">
        <v>805.19</v>
      </c>
      <c r="F176" s="19">
        <v>9662.2800000000007</v>
      </c>
      <c r="G176" s="22">
        <v>29.07</v>
      </c>
      <c r="H176" t="s">
        <v>168</v>
      </c>
    </row>
    <row r="177" spans="1:8" x14ac:dyDescent="0.2">
      <c r="A177" t="s">
        <v>2595</v>
      </c>
      <c r="B177" t="s">
        <v>2596</v>
      </c>
      <c r="C177" s="19">
        <v>1950</v>
      </c>
      <c r="D177" s="19">
        <v>2750</v>
      </c>
      <c r="E177" s="21">
        <v>800</v>
      </c>
      <c r="F177" s="19">
        <v>9600</v>
      </c>
      <c r="G177" s="22">
        <v>41.03</v>
      </c>
      <c r="H177" t="s">
        <v>1146</v>
      </c>
    </row>
    <row r="178" spans="1:8" x14ac:dyDescent="0.2">
      <c r="A178" t="s">
        <v>2457</v>
      </c>
      <c r="B178" t="s">
        <v>2458</v>
      </c>
      <c r="C178" s="19">
        <v>2056.75</v>
      </c>
      <c r="D178" s="19">
        <v>2850</v>
      </c>
      <c r="E178" s="21">
        <v>793.25</v>
      </c>
      <c r="F178" s="19">
        <v>9519</v>
      </c>
      <c r="G178" s="22">
        <v>38.57</v>
      </c>
      <c r="H178" t="s">
        <v>1146</v>
      </c>
    </row>
    <row r="179" spans="1:8" x14ac:dyDescent="0.2">
      <c r="A179" t="s">
        <v>1555</v>
      </c>
      <c r="B179" t="s">
        <v>1556</v>
      </c>
      <c r="C179" s="19">
        <v>1873</v>
      </c>
      <c r="D179" s="19">
        <v>2649.11</v>
      </c>
      <c r="E179" s="21">
        <v>776.11000000000013</v>
      </c>
      <c r="F179" s="19">
        <v>9313.3200000000015</v>
      </c>
      <c r="G179" s="22">
        <v>41.44</v>
      </c>
      <c r="H179" t="s">
        <v>168</v>
      </c>
    </row>
    <row r="180" spans="1:8" x14ac:dyDescent="0.2">
      <c r="A180" t="s">
        <v>3081</v>
      </c>
      <c r="B180" t="s">
        <v>3082</v>
      </c>
      <c r="C180" s="19"/>
      <c r="D180" s="19">
        <v>764.26</v>
      </c>
      <c r="E180" s="21">
        <v>764.26</v>
      </c>
      <c r="F180" s="19">
        <v>9171.119999999999</v>
      </c>
      <c r="G180" s="22"/>
      <c r="H180" t="s">
        <v>122</v>
      </c>
    </row>
    <row r="181" spans="1:8" x14ac:dyDescent="0.2">
      <c r="A181" t="s">
        <v>3070</v>
      </c>
      <c r="B181" t="s">
        <v>3071</v>
      </c>
      <c r="C181" s="19"/>
      <c r="D181" s="19">
        <v>757.44</v>
      </c>
      <c r="E181" s="21">
        <v>757.44</v>
      </c>
      <c r="F181" s="19">
        <v>9089.2800000000007</v>
      </c>
      <c r="G181" s="22"/>
      <c r="H181" t="s">
        <v>122</v>
      </c>
    </row>
    <row r="182" spans="1:8" x14ac:dyDescent="0.2">
      <c r="A182" t="s">
        <v>2492</v>
      </c>
      <c r="B182" t="s">
        <v>2493</v>
      </c>
      <c r="C182" s="19">
        <v>1850</v>
      </c>
      <c r="D182" s="19">
        <v>2600</v>
      </c>
      <c r="E182" s="21">
        <v>750</v>
      </c>
      <c r="F182" s="19">
        <v>9000</v>
      </c>
      <c r="G182" s="22">
        <v>40.54</v>
      </c>
      <c r="H182" t="s">
        <v>168</v>
      </c>
    </row>
    <row r="183" spans="1:8" x14ac:dyDescent="0.2">
      <c r="A183" t="s">
        <v>2416</v>
      </c>
      <c r="B183" t="s">
        <v>2417</v>
      </c>
      <c r="C183" s="19">
        <v>2803.1</v>
      </c>
      <c r="D183" s="19">
        <v>3550</v>
      </c>
      <c r="E183" s="21">
        <v>746.90000000000009</v>
      </c>
      <c r="F183" s="19">
        <v>8962.8000000000011</v>
      </c>
      <c r="G183" s="22">
        <v>26.65</v>
      </c>
      <c r="H183" t="s">
        <v>168</v>
      </c>
    </row>
    <row r="184" spans="1:8" x14ac:dyDescent="0.2">
      <c r="A184" t="s">
        <v>2786</v>
      </c>
      <c r="B184" t="s">
        <v>2787</v>
      </c>
      <c r="C184" s="19">
        <v>2804.82</v>
      </c>
      <c r="D184" s="19">
        <v>3550</v>
      </c>
      <c r="E184" s="21">
        <v>745.17999999999984</v>
      </c>
      <c r="F184" s="19">
        <v>8942.159999999998</v>
      </c>
      <c r="G184" s="22">
        <v>26.57</v>
      </c>
      <c r="H184" t="s">
        <v>168</v>
      </c>
    </row>
    <row r="185" spans="1:8" x14ac:dyDescent="0.2">
      <c r="A185" t="s">
        <v>2964</v>
      </c>
      <c r="B185" t="s">
        <v>2965</v>
      </c>
      <c r="C185" s="19">
        <v>2080</v>
      </c>
      <c r="D185" s="19">
        <v>2815</v>
      </c>
      <c r="E185" s="21">
        <v>735</v>
      </c>
      <c r="F185" s="19">
        <v>8820</v>
      </c>
      <c r="G185" s="22">
        <v>35.340000000000003</v>
      </c>
      <c r="H185" t="s">
        <v>168</v>
      </c>
    </row>
    <row r="186" spans="1:8" x14ac:dyDescent="0.2">
      <c r="A186" t="s">
        <v>2957</v>
      </c>
      <c r="B186" t="s">
        <v>2958</v>
      </c>
      <c r="C186" s="19">
        <v>2080</v>
      </c>
      <c r="D186" s="19">
        <v>2815</v>
      </c>
      <c r="E186" s="21">
        <v>735</v>
      </c>
      <c r="F186" s="19">
        <v>8820</v>
      </c>
      <c r="G186" s="22">
        <v>35.340000000000003</v>
      </c>
      <c r="H186" t="s">
        <v>168</v>
      </c>
    </row>
    <row r="187" spans="1:8" x14ac:dyDescent="0.2">
      <c r="A187" t="s">
        <v>3121</v>
      </c>
      <c r="B187" t="s">
        <v>3122</v>
      </c>
      <c r="C187" s="19"/>
      <c r="D187" s="19">
        <v>730.44</v>
      </c>
      <c r="E187" s="21">
        <v>730.44</v>
      </c>
      <c r="F187" s="19">
        <v>8765.2800000000007</v>
      </c>
      <c r="G187" s="22"/>
      <c r="H187" t="s">
        <v>122</v>
      </c>
    </row>
    <row r="188" spans="1:8" x14ac:dyDescent="0.2">
      <c r="A188" t="s">
        <v>1523</v>
      </c>
      <c r="B188" t="s">
        <v>1524</v>
      </c>
      <c r="C188" s="19">
        <v>844.55</v>
      </c>
      <c r="D188" s="19">
        <v>1557.73</v>
      </c>
      <c r="E188" s="21">
        <v>713.18000000000006</v>
      </c>
      <c r="F188" s="19">
        <v>8558.16</v>
      </c>
      <c r="G188" s="22">
        <v>84.44</v>
      </c>
      <c r="H188" t="s">
        <v>122</v>
      </c>
    </row>
    <row r="189" spans="1:8" x14ac:dyDescent="0.2">
      <c r="A189" t="s">
        <v>1399</v>
      </c>
      <c r="B189" t="s">
        <v>1400</v>
      </c>
      <c r="C189" s="19">
        <v>2472.38</v>
      </c>
      <c r="D189" s="19">
        <v>3175</v>
      </c>
      <c r="E189" s="21">
        <v>702.61999999999989</v>
      </c>
      <c r="F189" s="19">
        <v>8431.4399999999987</v>
      </c>
      <c r="G189" s="22">
        <v>28.42</v>
      </c>
      <c r="H189" t="s">
        <v>168</v>
      </c>
    </row>
    <row r="190" spans="1:8" x14ac:dyDescent="0.2">
      <c r="A190" t="s">
        <v>2838</v>
      </c>
      <c r="B190" t="s">
        <v>2839</v>
      </c>
      <c r="C190" s="19">
        <v>1650</v>
      </c>
      <c r="D190" s="19">
        <v>2350</v>
      </c>
      <c r="E190" s="21">
        <v>700</v>
      </c>
      <c r="F190" s="19">
        <v>8400</v>
      </c>
      <c r="G190" s="22">
        <v>42.42</v>
      </c>
      <c r="H190" t="s">
        <v>168</v>
      </c>
    </row>
    <row r="191" spans="1:8" x14ac:dyDescent="0.2">
      <c r="A191" t="s">
        <v>2846</v>
      </c>
      <c r="B191" t="s">
        <v>2847</v>
      </c>
      <c r="C191" s="19">
        <v>1650</v>
      </c>
      <c r="D191" s="19">
        <v>2350</v>
      </c>
      <c r="E191" s="21">
        <v>700</v>
      </c>
      <c r="F191" s="19">
        <v>8400</v>
      </c>
      <c r="G191" s="22">
        <v>42.42</v>
      </c>
      <c r="H191" t="s">
        <v>168</v>
      </c>
    </row>
    <row r="192" spans="1:8" x14ac:dyDescent="0.2">
      <c r="A192" t="s">
        <v>1904</v>
      </c>
      <c r="B192" t="s">
        <v>1905</v>
      </c>
      <c r="C192" s="19">
        <v>1100</v>
      </c>
      <c r="D192" s="19">
        <v>1800</v>
      </c>
      <c r="E192" s="21">
        <v>700</v>
      </c>
      <c r="F192" s="19">
        <v>8400</v>
      </c>
      <c r="G192" s="22">
        <v>63.64</v>
      </c>
      <c r="H192" t="s">
        <v>122</v>
      </c>
    </row>
    <row r="193" spans="1:8" x14ac:dyDescent="0.2">
      <c r="A193" t="s">
        <v>2894</v>
      </c>
      <c r="B193" t="s">
        <v>2895</v>
      </c>
      <c r="C193" s="19">
        <v>1100</v>
      </c>
      <c r="D193" s="19">
        <v>1800</v>
      </c>
      <c r="E193" s="21">
        <v>700</v>
      </c>
      <c r="F193" s="19">
        <v>8400</v>
      </c>
      <c r="G193" s="22">
        <v>63.64</v>
      </c>
      <c r="H193" t="s">
        <v>168</v>
      </c>
    </row>
    <row r="194" spans="1:8" x14ac:dyDescent="0.2">
      <c r="A194" t="s">
        <v>1200</v>
      </c>
      <c r="B194" t="s">
        <v>1201</v>
      </c>
      <c r="C194" s="19">
        <v>2257.37</v>
      </c>
      <c r="D194" s="19">
        <v>2950</v>
      </c>
      <c r="E194" s="21">
        <v>692.63000000000011</v>
      </c>
      <c r="F194" s="19">
        <v>8311.5600000000013</v>
      </c>
      <c r="G194" s="22">
        <v>30.68</v>
      </c>
      <c r="H194" t="s">
        <v>168</v>
      </c>
    </row>
    <row r="195" spans="1:8" x14ac:dyDescent="0.2">
      <c r="A195" t="s">
        <v>707</v>
      </c>
      <c r="B195" t="s">
        <v>708</v>
      </c>
      <c r="C195" s="19">
        <v>2150</v>
      </c>
      <c r="D195" s="19">
        <v>2825</v>
      </c>
      <c r="E195" s="21">
        <v>675</v>
      </c>
      <c r="F195" s="19">
        <v>8100</v>
      </c>
      <c r="G195" s="22">
        <v>31.4</v>
      </c>
      <c r="H195" t="s">
        <v>168</v>
      </c>
    </row>
    <row r="196" spans="1:8" x14ac:dyDescent="0.2">
      <c r="A196" t="s">
        <v>3078</v>
      </c>
      <c r="B196" t="s">
        <v>3079</v>
      </c>
      <c r="C196" s="19"/>
      <c r="D196" s="19">
        <v>647.1</v>
      </c>
      <c r="E196" s="21">
        <v>647.1</v>
      </c>
      <c r="F196" s="19">
        <v>7765.2000000000007</v>
      </c>
      <c r="G196" s="22"/>
      <c r="H196" t="s">
        <v>122</v>
      </c>
    </row>
    <row r="197" spans="1:8" x14ac:dyDescent="0.2">
      <c r="A197" t="s">
        <v>2311</v>
      </c>
      <c r="B197" t="s">
        <v>2312</v>
      </c>
      <c r="C197" s="19">
        <v>1660</v>
      </c>
      <c r="D197" s="19">
        <v>2300</v>
      </c>
      <c r="E197" s="21">
        <v>640</v>
      </c>
      <c r="F197" s="19">
        <v>7680</v>
      </c>
      <c r="G197" s="22">
        <v>38.549999999999997</v>
      </c>
      <c r="H197" t="s">
        <v>1648</v>
      </c>
    </row>
    <row r="198" spans="1:8" x14ac:dyDescent="0.2">
      <c r="A198" t="s">
        <v>507</v>
      </c>
      <c r="B198" t="s">
        <v>508</v>
      </c>
      <c r="C198" s="19">
        <v>1972.46</v>
      </c>
      <c r="D198" s="19">
        <v>2600</v>
      </c>
      <c r="E198" s="21">
        <v>627.54</v>
      </c>
      <c r="F198" s="19">
        <v>7530.48</v>
      </c>
      <c r="G198" s="22">
        <v>31.82</v>
      </c>
      <c r="H198" t="s">
        <v>168</v>
      </c>
    </row>
    <row r="199" spans="1:8" x14ac:dyDescent="0.2">
      <c r="A199" t="s">
        <v>3117</v>
      </c>
      <c r="B199" t="s">
        <v>3118</v>
      </c>
      <c r="C199" s="19"/>
      <c r="D199" s="19">
        <v>614.82000000000005</v>
      </c>
      <c r="E199" s="21">
        <v>614.82000000000005</v>
      </c>
      <c r="F199" s="19">
        <v>7377.84</v>
      </c>
      <c r="G199" s="22"/>
      <c r="H199" t="s">
        <v>122</v>
      </c>
    </row>
    <row r="200" spans="1:8" x14ac:dyDescent="0.2">
      <c r="A200" t="s">
        <v>2334</v>
      </c>
      <c r="B200" t="s">
        <v>2335</v>
      </c>
      <c r="C200" s="19">
        <v>4490.05</v>
      </c>
      <c r="D200" s="19">
        <v>5100</v>
      </c>
      <c r="E200" s="21">
        <v>609.94999999999982</v>
      </c>
      <c r="F200" s="19">
        <v>7319.3999999999978</v>
      </c>
      <c r="G200" s="22">
        <v>13.58</v>
      </c>
      <c r="H200" t="s">
        <v>1648</v>
      </c>
    </row>
    <row r="201" spans="1:8" x14ac:dyDescent="0.2">
      <c r="A201" t="s">
        <v>1835</v>
      </c>
      <c r="B201" t="s">
        <v>1836</v>
      </c>
      <c r="C201" s="19">
        <v>2416.16</v>
      </c>
      <c r="D201" s="19">
        <v>3025</v>
      </c>
      <c r="E201" s="21">
        <v>608.84000000000015</v>
      </c>
      <c r="F201" s="19">
        <v>7306.0800000000017</v>
      </c>
      <c r="G201" s="22">
        <v>25.2</v>
      </c>
      <c r="H201" t="s">
        <v>168</v>
      </c>
    </row>
    <row r="202" spans="1:8" x14ac:dyDescent="0.2">
      <c r="A202" t="s">
        <v>2995</v>
      </c>
      <c r="B202" t="s">
        <v>2996</v>
      </c>
      <c r="C202" s="19"/>
      <c r="D202" s="19">
        <v>600</v>
      </c>
      <c r="E202" s="21">
        <v>600</v>
      </c>
      <c r="F202" s="19">
        <v>7200</v>
      </c>
      <c r="G202" s="22"/>
      <c r="H202" t="s">
        <v>122</v>
      </c>
    </row>
    <row r="203" spans="1:8" x14ac:dyDescent="0.2">
      <c r="A203" t="s">
        <v>2788</v>
      </c>
      <c r="B203" t="s">
        <v>2789</v>
      </c>
      <c r="C203" s="19">
        <v>2904.8</v>
      </c>
      <c r="D203" s="19">
        <v>3500</v>
      </c>
      <c r="E203" s="21">
        <v>595.19999999999982</v>
      </c>
      <c r="F203" s="19">
        <v>7142.3999999999978</v>
      </c>
      <c r="G203" s="22">
        <v>20.49</v>
      </c>
      <c r="H203" t="s">
        <v>168</v>
      </c>
    </row>
    <row r="204" spans="1:8" x14ac:dyDescent="0.2">
      <c r="A204" t="s">
        <v>2695</v>
      </c>
      <c r="B204" t="s">
        <v>2696</v>
      </c>
      <c r="C204" s="19">
        <v>1906.66</v>
      </c>
      <c r="D204" s="19">
        <v>2500</v>
      </c>
      <c r="E204" s="21">
        <v>593.33999999999992</v>
      </c>
      <c r="F204" s="19">
        <v>7120.079999999999</v>
      </c>
      <c r="G204" s="22">
        <v>31.12</v>
      </c>
      <c r="H204" t="s">
        <v>168</v>
      </c>
    </row>
    <row r="205" spans="1:8" x14ac:dyDescent="0.2">
      <c r="A205" t="s">
        <v>2695</v>
      </c>
      <c r="B205" t="s">
        <v>2696</v>
      </c>
      <c r="C205" s="19">
        <v>1906.66</v>
      </c>
      <c r="D205" s="19">
        <v>2500</v>
      </c>
      <c r="E205" s="21">
        <v>593.33999999999992</v>
      </c>
      <c r="F205" s="19">
        <v>7120.079999999999</v>
      </c>
      <c r="G205" s="22">
        <v>31.12</v>
      </c>
      <c r="H205" t="s">
        <v>122</v>
      </c>
    </row>
    <row r="206" spans="1:8" x14ac:dyDescent="0.2">
      <c r="A206" t="s">
        <v>2686</v>
      </c>
      <c r="B206" t="s">
        <v>2687</v>
      </c>
      <c r="C206" s="19">
        <v>1817.91</v>
      </c>
      <c r="D206" s="19">
        <v>2400</v>
      </c>
      <c r="E206" s="21">
        <v>582.08999999999992</v>
      </c>
      <c r="F206" s="19">
        <v>6985.079999999999</v>
      </c>
      <c r="G206" s="22">
        <v>32.020000000000003</v>
      </c>
      <c r="H206" t="s">
        <v>168</v>
      </c>
    </row>
    <row r="207" spans="1:8" x14ac:dyDescent="0.2">
      <c r="A207" t="s">
        <v>2398</v>
      </c>
      <c r="B207" t="s">
        <v>2399</v>
      </c>
      <c r="C207" s="19">
        <v>1948.9</v>
      </c>
      <c r="D207" s="19">
        <v>2525</v>
      </c>
      <c r="E207" s="21">
        <v>576.09999999999991</v>
      </c>
      <c r="F207" s="19">
        <v>6913.1999999999989</v>
      </c>
      <c r="G207" s="22">
        <v>29.56</v>
      </c>
      <c r="H207" t="s">
        <v>168</v>
      </c>
    </row>
    <row r="208" spans="1:8" x14ac:dyDescent="0.2">
      <c r="A208" t="s">
        <v>2752</v>
      </c>
      <c r="B208" t="s">
        <v>2753</v>
      </c>
      <c r="C208" s="19">
        <v>1175</v>
      </c>
      <c r="D208" s="19">
        <v>1750</v>
      </c>
      <c r="E208" s="21">
        <v>575</v>
      </c>
      <c r="F208" s="19">
        <v>6900</v>
      </c>
      <c r="G208" s="22">
        <v>48.94</v>
      </c>
      <c r="H208" t="s">
        <v>168</v>
      </c>
    </row>
    <row r="209" spans="1:8" x14ac:dyDescent="0.2">
      <c r="A209" t="s">
        <v>295</v>
      </c>
      <c r="B209" t="s">
        <v>1032</v>
      </c>
      <c r="C209" s="19">
        <v>2134.0500000000002</v>
      </c>
      <c r="D209" s="19">
        <v>2696.35</v>
      </c>
      <c r="E209" s="21">
        <v>562.29999999999973</v>
      </c>
      <c r="F209" s="19">
        <v>6747.5999999999967</v>
      </c>
      <c r="G209" s="22">
        <v>26.35</v>
      </c>
      <c r="H209" t="s">
        <v>168</v>
      </c>
    </row>
    <row r="210" spans="1:8" x14ac:dyDescent="0.2">
      <c r="A210" t="s">
        <v>3113</v>
      </c>
      <c r="B210" t="s">
        <v>3114</v>
      </c>
      <c r="C210" s="19"/>
      <c r="D210" s="19">
        <v>560</v>
      </c>
      <c r="E210" s="21">
        <v>560</v>
      </c>
      <c r="F210" s="19">
        <v>6720</v>
      </c>
      <c r="G210" s="22"/>
      <c r="H210" t="s">
        <v>122</v>
      </c>
    </row>
    <row r="211" spans="1:8" x14ac:dyDescent="0.2">
      <c r="A211" t="s">
        <v>2467</v>
      </c>
      <c r="B211" t="s">
        <v>2468</v>
      </c>
      <c r="C211" s="19">
        <v>1800</v>
      </c>
      <c r="D211" s="19">
        <v>2350</v>
      </c>
      <c r="E211" s="21">
        <v>550</v>
      </c>
      <c r="F211" s="19">
        <v>6600</v>
      </c>
      <c r="G211" s="22">
        <v>30.56</v>
      </c>
      <c r="H211" t="s">
        <v>1146</v>
      </c>
    </row>
    <row r="212" spans="1:8" x14ac:dyDescent="0.2">
      <c r="A212" t="s">
        <v>3163</v>
      </c>
      <c r="B212" t="s">
        <v>3164</v>
      </c>
      <c r="C212" s="19"/>
      <c r="D212" s="19">
        <v>540</v>
      </c>
      <c r="E212" s="21">
        <v>540</v>
      </c>
      <c r="F212" s="19">
        <v>6480</v>
      </c>
      <c r="G212" s="22"/>
      <c r="H212" t="s">
        <v>122</v>
      </c>
    </row>
    <row r="213" spans="1:8" x14ac:dyDescent="0.2">
      <c r="A213" t="s">
        <v>1497</v>
      </c>
      <c r="B213" t="s">
        <v>1498</v>
      </c>
      <c r="C213" s="19">
        <v>2231.81</v>
      </c>
      <c r="D213" s="19">
        <v>2750</v>
      </c>
      <c r="E213" s="21">
        <v>518.19000000000005</v>
      </c>
      <c r="F213" s="19">
        <v>6218.2800000000007</v>
      </c>
      <c r="G213" s="22">
        <v>23.22</v>
      </c>
      <c r="H213" t="s">
        <v>1146</v>
      </c>
    </row>
    <row r="214" spans="1:8" x14ac:dyDescent="0.2">
      <c r="A214" t="s">
        <v>291</v>
      </c>
      <c r="B214" t="s">
        <v>292</v>
      </c>
      <c r="C214" s="19">
        <v>3519</v>
      </c>
      <c r="D214" s="19">
        <v>4033.88</v>
      </c>
      <c r="E214" s="21">
        <v>514.88000000000011</v>
      </c>
      <c r="F214" s="19">
        <v>6178.5600000000013</v>
      </c>
      <c r="G214" s="22">
        <v>14.63</v>
      </c>
      <c r="H214" t="s">
        <v>168</v>
      </c>
    </row>
    <row r="215" spans="1:8" x14ac:dyDescent="0.2">
      <c r="A215" t="s">
        <v>307</v>
      </c>
      <c r="B215" t="s">
        <v>308</v>
      </c>
      <c r="C215" s="19">
        <v>3519</v>
      </c>
      <c r="D215" s="19">
        <v>4033.88</v>
      </c>
      <c r="E215" s="21">
        <v>514.88000000000011</v>
      </c>
      <c r="F215" s="19">
        <v>6178.5600000000013</v>
      </c>
      <c r="G215" s="22">
        <v>14.63</v>
      </c>
      <c r="H215" t="s">
        <v>168</v>
      </c>
    </row>
    <row r="216" spans="1:8" x14ac:dyDescent="0.2">
      <c r="A216" t="s">
        <v>2359</v>
      </c>
      <c r="B216" t="s">
        <v>2360</v>
      </c>
      <c r="C216" s="19">
        <v>2421.88</v>
      </c>
      <c r="D216" s="19">
        <v>2900</v>
      </c>
      <c r="E216" s="21">
        <v>478.11999999999989</v>
      </c>
      <c r="F216" s="19">
        <v>5737.4399999999987</v>
      </c>
      <c r="G216" s="22">
        <v>19.739999999999998</v>
      </c>
      <c r="H216" t="s">
        <v>122</v>
      </c>
    </row>
    <row r="217" spans="1:8" x14ac:dyDescent="0.2">
      <c r="A217" t="s">
        <v>3046</v>
      </c>
      <c r="B217" t="s">
        <v>3047</v>
      </c>
      <c r="C217" s="19"/>
      <c r="D217" s="19">
        <v>475</v>
      </c>
      <c r="E217" s="21">
        <v>475</v>
      </c>
      <c r="F217" s="19">
        <v>5700</v>
      </c>
      <c r="G217" s="22"/>
      <c r="H217" t="s">
        <v>122</v>
      </c>
    </row>
    <row r="218" spans="1:8" x14ac:dyDescent="0.2">
      <c r="A218" t="s">
        <v>3049</v>
      </c>
      <c r="B218" t="s">
        <v>3050</v>
      </c>
      <c r="C218" s="19"/>
      <c r="D218" s="19">
        <v>475</v>
      </c>
      <c r="E218" s="21">
        <v>475</v>
      </c>
      <c r="F218" s="19">
        <v>5700</v>
      </c>
      <c r="G218" s="22"/>
      <c r="H218" t="s">
        <v>122</v>
      </c>
    </row>
    <row r="219" spans="1:8" x14ac:dyDescent="0.2">
      <c r="A219" t="s">
        <v>3051</v>
      </c>
      <c r="B219" t="s">
        <v>3052</v>
      </c>
      <c r="C219" s="19"/>
      <c r="D219" s="19">
        <v>475</v>
      </c>
      <c r="E219" s="21">
        <v>475</v>
      </c>
      <c r="F219" s="19">
        <v>5700</v>
      </c>
      <c r="G219" s="22"/>
      <c r="H219" t="s">
        <v>122</v>
      </c>
    </row>
    <row r="220" spans="1:8" x14ac:dyDescent="0.2">
      <c r="A220" t="s">
        <v>2393</v>
      </c>
      <c r="B220" t="s">
        <v>2394</v>
      </c>
      <c r="C220" s="19">
        <v>2325.4299999999998</v>
      </c>
      <c r="D220" s="19">
        <v>2800</v>
      </c>
      <c r="E220" s="21">
        <v>474.57000000000022</v>
      </c>
      <c r="F220" s="19">
        <v>5694.840000000002</v>
      </c>
      <c r="G220" s="22">
        <v>20.41</v>
      </c>
      <c r="H220" t="s">
        <v>168</v>
      </c>
    </row>
    <row r="221" spans="1:8" x14ac:dyDescent="0.2">
      <c r="A221" t="s">
        <v>2074</v>
      </c>
      <c r="B221" t="s">
        <v>2075</v>
      </c>
      <c r="C221" s="19">
        <v>1284.94</v>
      </c>
      <c r="D221" s="19">
        <v>1752.29</v>
      </c>
      <c r="E221" s="21">
        <v>467.34999999999991</v>
      </c>
      <c r="F221" s="19">
        <v>5608.1999999999989</v>
      </c>
      <c r="G221" s="22">
        <v>36.369999999999997</v>
      </c>
      <c r="H221" t="s">
        <v>168</v>
      </c>
    </row>
    <row r="222" spans="1:8" x14ac:dyDescent="0.2">
      <c r="A222" t="s">
        <v>2852</v>
      </c>
      <c r="B222" t="s">
        <v>2853</v>
      </c>
      <c r="C222" s="19">
        <v>4506</v>
      </c>
      <c r="D222" s="19">
        <v>4956.32</v>
      </c>
      <c r="E222" s="21">
        <v>450.31999999999971</v>
      </c>
      <c r="F222" s="19">
        <v>5403.8399999999974</v>
      </c>
      <c r="G222" s="22">
        <v>9.99</v>
      </c>
      <c r="H222" t="s">
        <v>122</v>
      </c>
    </row>
    <row r="223" spans="1:8" x14ac:dyDescent="0.2">
      <c r="A223" t="s">
        <v>2522</v>
      </c>
      <c r="B223" t="s">
        <v>2523</v>
      </c>
      <c r="C223" s="19">
        <v>1500</v>
      </c>
      <c r="D223" s="19">
        <v>1950</v>
      </c>
      <c r="E223" s="21">
        <v>450</v>
      </c>
      <c r="F223" s="19">
        <v>5400</v>
      </c>
      <c r="G223" s="22">
        <v>30</v>
      </c>
      <c r="H223" t="s">
        <v>1146</v>
      </c>
    </row>
    <row r="224" spans="1:8" x14ac:dyDescent="0.2">
      <c r="A224" t="s">
        <v>2514</v>
      </c>
      <c r="B224" t="s">
        <v>2515</v>
      </c>
      <c r="C224" s="19">
        <v>1500</v>
      </c>
      <c r="D224" s="19">
        <v>1950</v>
      </c>
      <c r="E224" s="21">
        <v>450</v>
      </c>
      <c r="F224" s="19">
        <v>5400</v>
      </c>
      <c r="G224" s="22">
        <v>30</v>
      </c>
      <c r="H224" t="s">
        <v>1146</v>
      </c>
    </row>
    <row r="225" spans="1:8" x14ac:dyDescent="0.2">
      <c r="A225" t="s">
        <v>2528</v>
      </c>
      <c r="B225" t="s">
        <v>2529</v>
      </c>
      <c r="C225" s="19">
        <v>1500</v>
      </c>
      <c r="D225" s="19">
        <v>1950</v>
      </c>
      <c r="E225" s="21">
        <v>450</v>
      </c>
      <c r="F225" s="19">
        <v>5400</v>
      </c>
      <c r="G225" s="22">
        <v>30</v>
      </c>
      <c r="H225" t="s">
        <v>1146</v>
      </c>
    </row>
    <row r="226" spans="1:8" x14ac:dyDescent="0.2">
      <c r="A226" t="s">
        <v>3123</v>
      </c>
      <c r="B226" t="s">
        <v>3124</v>
      </c>
      <c r="C226" s="19"/>
      <c r="D226" s="19">
        <v>441</v>
      </c>
      <c r="E226" s="21">
        <v>441</v>
      </c>
      <c r="F226" s="19">
        <v>5292</v>
      </c>
      <c r="G226" s="22"/>
      <c r="H226" t="s">
        <v>122</v>
      </c>
    </row>
    <row r="227" spans="1:8" x14ac:dyDescent="0.2">
      <c r="A227" t="s">
        <v>3097</v>
      </c>
      <c r="B227" t="s">
        <v>3098</v>
      </c>
      <c r="C227" s="19"/>
      <c r="D227" s="19">
        <v>435</v>
      </c>
      <c r="E227" s="21">
        <v>435</v>
      </c>
      <c r="F227" s="19">
        <v>5220</v>
      </c>
      <c r="G227" s="22"/>
      <c r="H227" t="s">
        <v>122</v>
      </c>
    </row>
    <row r="228" spans="1:8" x14ac:dyDescent="0.2">
      <c r="A228" t="s">
        <v>3105</v>
      </c>
      <c r="B228" t="s">
        <v>3106</v>
      </c>
      <c r="C228" s="19"/>
      <c r="D228" s="19">
        <v>435</v>
      </c>
      <c r="E228" s="21">
        <v>435</v>
      </c>
      <c r="F228" s="19">
        <v>5220</v>
      </c>
      <c r="G228" s="22"/>
      <c r="H228" t="s">
        <v>122</v>
      </c>
    </row>
    <row r="229" spans="1:8" x14ac:dyDescent="0.2">
      <c r="A229" t="s">
        <v>3103</v>
      </c>
      <c r="B229" t="s">
        <v>3104</v>
      </c>
      <c r="C229" s="19"/>
      <c r="D229" s="19">
        <v>435</v>
      </c>
      <c r="E229" s="21">
        <v>435</v>
      </c>
      <c r="F229" s="19">
        <v>5220</v>
      </c>
      <c r="G229" s="22"/>
      <c r="H229" t="s">
        <v>122</v>
      </c>
    </row>
    <row r="230" spans="1:8" x14ac:dyDescent="0.2">
      <c r="A230" t="s">
        <v>3101</v>
      </c>
      <c r="B230" t="s">
        <v>3102</v>
      </c>
      <c r="C230" s="19"/>
      <c r="D230" s="19">
        <v>435</v>
      </c>
      <c r="E230" s="21">
        <v>435</v>
      </c>
      <c r="F230" s="19">
        <v>5220</v>
      </c>
      <c r="G230" s="22"/>
      <c r="H230" t="s">
        <v>122</v>
      </c>
    </row>
    <row r="231" spans="1:8" x14ac:dyDescent="0.2">
      <c r="A231" t="s">
        <v>3099</v>
      </c>
      <c r="B231" t="s">
        <v>3100</v>
      </c>
      <c r="C231" s="19"/>
      <c r="D231" s="19">
        <v>435</v>
      </c>
      <c r="E231" s="21">
        <v>435</v>
      </c>
      <c r="F231" s="19">
        <v>5220</v>
      </c>
      <c r="G231" s="22"/>
      <c r="H231" t="s">
        <v>122</v>
      </c>
    </row>
    <row r="232" spans="1:8" x14ac:dyDescent="0.2">
      <c r="A232" t="s">
        <v>3109</v>
      </c>
      <c r="B232" t="s">
        <v>3110</v>
      </c>
      <c r="C232" s="19"/>
      <c r="D232" s="19">
        <v>435</v>
      </c>
      <c r="E232" s="21">
        <v>435</v>
      </c>
      <c r="F232" s="19">
        <v>5220</v>
      </c>
      <c r="G232" s="22"/>
      <c r="H232" t="s">
        <v>122</v>
      </c>
    </row>
    <row r="233" spans="1:8" x14ac:dyDescent="0.2">
      <c r="A233" t="s">
        <v>3107</v>
      </c>
      <c r="B233" t="s">
        <v>3108</v>
      </c>
      <c r="C233" s="19"/>
      <c r="D233" s="19">
        <v>435</v>
      </c>
      <c r="E233" s="21">
        <v>435</v>
      </c>
      <c r="F233" s="19">
        <v>5220</v>
      </c>
      <c r="G233" s="22"/>
      <c r="H233" t="s">
        <v>122</v>
      </c>
    </row>
    <row r="234" spans="1:8" x14ac:dyDescent="0.2">
      <c r="A234" t="s">
        <v>3095</v>
      </c>
      <c r="B234" t="s">
        <v>3096</v>
      </c>
      <c r="C234" s="19"/>
      <c r="D234" s="19">
        <v>435</v>
      </c>
      <c r="E234" s="21">
        <v>435</v>
      </c>
      <c r="F234" s="19">
        <v>5220</v>
      </c>
      <c r="G234" s="22"/>
      <c r="H234" t="s">
        <v>122</v>
      </c>
    </row>
    <row r="235" spans="1:8" x14ac:dyDescent="0.2">
      <c r="A235" t="s">
        <v>3111</v>
      </c>
      <c r="B235" t="s">
        <v>3112</v>
      </c>
      <c r="C235" s="19"/>
      <c r="D235" s="19">
        <v>435</v>
      </c>
      <c r="E235" s="21">
        <v>435</v>
      </c>
      <c r="F235" s="19">
        <v>5220</v>
      </c>
      <c r="G235" s="22"/>
      <c r="H235" t="s">
        <v>122</v>
      </c>
    </row>
    <row r="236" spans="1:8" x14ac:dyDescent="0.2">
      <c r="A236" t="s">
        <v>798</v>
      </c>
      <c r="B236" t="s">
        <v>799</v>
      </c>
      <c r="C236" s="19">
        <v>1300</v>
      </c>
      <c r="D236" s="19">
        <v>1734.98</v>
      </c>
      <c r="E236" s="21">
        <v>434.98</v>
      </c>
      <c r="F236" s="19">
        <v>5219.76</v>
      </c>
      <c r="G236" s="22">
        <v>33.46</v>
      </c>
      <c r="H236" t="s">
        <v>122</v>
      </c>
    </row>
    <row r="237" spans="1:8" x14ac:dyDescent="0.2">
      <c r="A237" t="s">
        <v>1869</v>
      </c>
      <c r="B237" t="s">
        <v>1870</v>
      </c>
      <c r="C237" s="19">
        <v>1175</v>
      </c>
      <c r="D237" s="19">
        <v>1600</v>
      </c>
      <c r="E237" s="21">
        <v>425</v>
      </c>
      <c r="F237" s="19">
        <v>5100</v>
      </c>
      <c r="G237" s="22">
        <v>36.17</v>
      </c>
      <c r="H237" t="s">
        <v>122</v>
      </c>
    </row>
    <row r="238" spans="1:8" x14ac:dyDescent="0.2">
      <c r="A238" t="s">
        <v>1869</v>
      </c>
      <c r="B238" t="s">
        <v>1870</v>
      </c>
      <c r="C238" s="19">
        <v>1175</v>
      </c>
      <c r="D238" s="19">
        <v>1600</v>
      </c>
      <c r="E238" s="21">
        <v>425</v>
      </c>
      <c r="F238" s="19">
        <v>5100</v>
      </c>
      <c r="G238" s="22">
        <v>36.17</v>
      </c>
      <c r="H238" t="s">
        <v>168</v>
      </c>
    </row>
    <row r="239" spans="1:8" x14ac:dyDescent="0.2">
      <c r="A239" t="s">
        <v>2667</v>
      </c>
      <c r="B239" t="s">
        <v>2668</v>
      </c>
      <c r="C239" s="19">
        <v>1976.88</v>
      </c>
      <c r="D239" s="19">
        <v>2400</v>
      </c>
      <c r="E239" s="21">
        <v>423.11999999999989</v>
      </c>
      <c r="F239" s="19">
        <v>5077.4399999999987</v>
      </c>
      <c r="G239" s="22">
        <v>21.4</v>
      </c>
      <c r="H239" t="s">
        <v>168</v>
      </c>
    </row>
    <row r="240" spans="1:8" x14ac:dyDescent="0.2">
      <c r="A240" t="s">
        <v>2674</v>
      </c>
      <c r="B240" t="s">
        <v>2675</v>
      </c>
      <c r="C240" s="19">
        <v>1250</v>
      </c>
      <c r="D240" s="19">
        <v>1623.96</v>
      </c>
      <c r="E240" s="21">
        <v>373.96</v>
      </c>
      <c r="F240" s="19">
        <v>4487.5200000000004</v>
      </c>
      <c r="G240" s="22">
        <v>29.92</v>
      </c>
      <c r="H240" t="s">
        <v>122</v>
      </c>
    </row>
    <row r="241" spans="1:8" x14ac:dyDescent="0.2">
      <c r="A241" t="s">
        <v>2865</v>
      </c>
      <c r="B241" t="s">
        <v>2866</v>
      </c>
      <c r="C241" s="19">
        <v>4200</v>
      </c>
      <c r="D241" s="19">
        <v>4568</v>
      </c>
      <c r="E241" s="21">
        <v>368</v>
      </c>
      <c r="F241" s="19">
        <v>4416</v>
      </c>
      <c r="G241" s="22">
        <v>8.76</v>
      </c>
      <c r="H241" t="s">
        <v>122</v>
      </c>
    </row>
    <row r="242" spans="1:8" x14ac:dyDescent="0.2">
      <c r="A242" t="s">
        <v>2149</v>
      </c>
      <c r="B242" t="s">
        <v>2150</v>
      </c>
      <c r="C242" s="19">
        <v>1728.45</v>
      </c>
      <c r="D242" s="19">
        <v>2086.2600000000002</v>
      </c>
      <c r="E242" s="21">
        <v>357.81000000000017</v>
      </c>
      <c r="F242" s="19">
        <v>4293.7200000000021</v>
      </c>
      <c r="G242" s="22">
        <v>20.7</v>
      </c>
      <c r="H242" t="s">
        <v>168</v>
      </c>
    </row>
    <row r="243" spans="1:8" x14ac:dyDescent="0.2">
      <c r="A243" t="s">
        <v>2368</v>
      </c>
      <c r="B243" t="s">
        <v>2369</v>
      </c>
      <c r="C243" s="19">
        <v>1745</v>
      </c>
      <c r="D243" s="19">
        <v>2100</v>
      </c>
      <c r="E243" s="21">
        <v>355</v>
      </c>
      <c r="F243" s="19">
        <v>4260</v>
      </c>
      <c r="G243" s="22">
        <v>20.34</v>
      </c>
      <c r="H243" t="s">
        <v>168</v>
      </c>
    </row>
    <row r="244" spans="1:8" x14ac:dyDescent="0.2">
      <c r="A244" t="s">
        <v>2590</v>
      </c>
      <c r="B244" t="s">
        <v>2591</v>
      </c>
      <c r="C244" s="19">
        <v>2854.81</v>
      </c>
      <c r="D244" s="19">
        <v>3200</v>
      </c>
      <c r="E244" s="21">
        <v>345.19000000000011</v>
      </c>
      <c r="F244" s="19">
        <v>4142.2800000000007</v>
      </c>
      <c r="G244" s="22">
        <v>12.09</v>
      </c>
      <c r="H244" t="s">
        <v>168</v>
      </c>
    </row>
    <row r="245" spans="1:8" x14ac:dyDescent="0.2">
      <c r="A245" t="s">
        <v>1300</v>
      </c>
      <c r="B245" t="s">
        <v>1301</v>
      </c>
      <c r="C245" s="19">
        <v>2130.7800000000002</v>
      </c>
      <c r="D245" s="19">
        <v>2446.35</v>
      </c>
      <c r="E245" s="21">
        <v>315.56999999999971</v>
      </c>
      <c r="F245" s="19">
        <v>3786.839999999997</v>
      </c>
      <c r="G245" s="22">
        <v>14.81</v>
      </c>
      <c r="H245" t="s">
        <v>1146</v>
      </c>
    </row>
    <row r="246" spans="1:8" x14ac:dyDescent="0.2">
      <c r="A246" t="s">
        <v>2672</v>
      </c>
      <c r="B246" t="s">
        <v>2673</v>
      </c>
      <c r="C246" s="19">
        <v>1250</v>
      </c>
      <c r="D246" s="19">
        <v>1560</v>
      </c>
      <c r="E246" s="21">
        <v>310</v>
      </c>
      <c r="F246" s="19">
        <v>3720</v>
      </c>
      <c r="G246" s="22">
        <v>24.8</v>
      </c>
      <c r="H246" t="s">
        <v>122</v>
      </c>
    </row>
    <row r="247" spans="1:8" x14ac:dyDescent="0.2">
      <c r="A247" t="s">
        <v>2670</v>
      </c>
      <c r="B247" t="s">
        <v>2671</v>
      </c>
      <c r="C247" s="19">
        <v>1250</v>
      </c>
      <c r="D247" s="19">
        <v>1560</v>
      </c>
      <c r="E247" s="21">
        <v>310</v>
      </c>
      <c r="F247" s="19">
        <v>3720</v>
      </c>
      <c r="G247" s="22">
        <v>24.8</v>
      </c>
      <c r="H247" t="s">
        <v>122</v>
      </c>
    </row>
    <row r="248" spans="1:8" x14ac:dyDescent="0.2">
      <c r="A248" t="s">
        <v>2644</v>
      </c>
      <c r="B248" t="s">
        <v>2645</v>
      </c>
      <c r="C248" s="19">
        <v>1250</v>
      </c>
      <c r="D248" s="19">
        <v>1560</v>
      </c>
      <c r="E248" s="21">
        <v>310</v>
      </c>
      <c r="F248" s="19">
        <v>3720</v>
      </c>
      <c r="G248" s="22">
        <v>24.8</v>
      </c>
      <c r="H248" t="s">
        <v>122</v>
      </c>
    </row>
    <row r="249" spans="1:8" x14ac:dyDescent="0.2">
      <c r="A249" t="s">
        <v>2385</v>
      </c>
      <c r="B249" t="s">
        <v>2386</v>
      </c>
      <c r="C249" s="19">
        <v>1745</v>
      </c>
      <c r="D249" s="19">
        <v>2050</v>
      </c>
      <c r="E249" s="21">
        <v>305</v>
      </c>
      <c r="F249" s="19">
        <v>3660</v>
      </c>
      <c r="G249" s="22">
        <v>17.48</v>
      </c>
      <c r="H249" t="s">
        <v>168</v>
      </c>
    </row>
    <row r="250" spans="1:8" x14ac:dyDescent="0.2">
      <c r="A250" t="s">
        <v>1347</v>
      </c>
      <c r="B250" t="s">
        <v>1348</v>
      </c>
      <c r="C250" s="19"/>
      <c r="D250" s="19">
        <v>300</v>
      </c>
      <c r="E250" s="21">
        <v>300</v>
      </c>
      <c r="F250" s="19">
        <v>3600</v>
      </c>
      <c r="G250" s="22"/>
      <c r="H250" t="s">
        <v>143</v>
      </c>
    </row>
    <row r="251" spans="1:8" x14ac:dyDescent="0.2">
      <c r="A251" t="s">
        <v>1062</v>
      </c>
      <c r="B251" t="s">
        <v>1063</v>
      </c>
      <c r="C251" s="19"/>
      <c r="D251" s="19">
        <v>300</v>
      </c>
      <c r="E251" s="21">
        <v>300</v>
      </c>
      <c r="F251" s="19">
        <v>3600</v>
      </c>
      <c r="G251" s="22"/>
      <c r="H251" t="s">
        <v>143</v>
      </c>
    </row>
    <row r="252" spans="1:8" x14ac:dyDescent="0.2">
      <c r="A252" t="s">
        <v>2164</v>
      </c>
      <c r="B252" t="s">
        <v>2165</v>
      </c>
      <c r="C252" s="19">
        <v>1296.3499999999999</v>
      </c>
      <c r="D252" s="19">
        <v>1586.58</v>
      </c>
      <c r="E252" s="21">
        <v>290.23</v>
      </c>
      <c r="F252" s="19">
        <v>3482.76</v>
      </c>
      <c r="G252" s="22">
        <v>22.39</v>
      </c>
      <c r="H252" t="s">
        <v>168</v>
      </c>
    </row>
    <row r="253" spans="1:8" x14ac:dyDescent="0.2">
      <c r="A253" t="s">
        <v>2168</v>
      </c>
      <c r="B253" t="s">
        <v>2169</v>
      </c>
      <c r="C253" s="19">
        <v>1296.3499999999999</v>
      </c>
      <c r="D253" s="19">
        <v>1586.58</v>
      </c>
      <c r="E253" s="21">
        <v>290.23</v>
      </c>
      <c r="F253" s="19">
        <v>3482.76</v>
      </c>
      <c r="G253" s="22">
        <v>22.39</v>
      </c>
      <c r="H253" t="s">
        <v>168</v>
      </c>
    </row>
    <row r="254" spans="1:8" x14ac:dyDescent="0.2">
      <c r="A254" t="s">
        <v>2170</v>
      </c>
      <c r="B254" t="s">
        <v>2171</v>
      </c>
      <c r="C254" s="19">
        <v>1296.3499999999999</v>
      </c>
      <c r="D254" s="19">
        <v>1586.58</v>
      </c>
      <c r="E254" s="21">
        <v>290.23</v>
      </c>
      <c r="F254" s="19">
        <v>3482.76</v>
      </c>
      <c r="G254" s="22">
        <v>22.39</v>
      </c>
      <c r="H254" t="s">
        <v>168</v>
      </c>
    </row>
    <row r="255" spans="1:8" x14ac:dyDescent="0.2">
      <c r="A255" t="s">
        <v>169</v>
      </c>
      <c r="B255" t="s">
        <v>170</v>
      </c>
      <c r="C255" s="19">
        <v>4300</v>
      </c>
      <c r="D255" s="19">
        <v>4575</v>
      </c>
      <c r="E255" s="21">
        <v>275</v>
      </c>
      <c r="F255" s="19">
        <v>3300</v>
      </c>
      <c r="G255" s="22">
        <v>6.4</v>
      </c>
      <c r="H255" t="s">
        <v>168</v>
      </c>
    </row>
    <row r="256" spans="1:8" x14ac:dyDescent="0.2">
      <c r="A256" t="s">
        <v>1736</v>
      </c>
      <c r="B256" t="s">
        <v>1737</v>
      </c>
      <c r="C256" s="19"/>
      <c r="D256" s="19">
        <v>250</v>
      </c>
      <c r="E256" s="21">
        <v>250</v>
      </c>
      <c r="F256" s="19">
        <v>3000</v>
      </c>
      <c r="G256" s="22"/>
      <c r="H256" t="s">
        <v>143</v>
      </c>
    </row>
    <row r="257" spans="1:8" x14ac:dyDescent="0.2">
      <c r="A257" t="s">
        <v>1267</v>
      </c>
      <c r="B257" t="s">
        <v>1268</v>
      </c>
      <c r="C257" s="19">
        <v>1575</v>
      </c>
      <c r="D257" s="19">
        <v>1800</v>
      </c>
      <c r="E257" s="21">
        <v>225</v>
      </c>
      <c r="F257" s="19">
        <v>2700</v>
      </c>
      <c r="G257" s="22">
        <v>14.29</v>
      </c>
      <c r="H257" t="s">
        <v>122</v>
      </c>
    </row>
    <row r="258" spans="1:8" x14ac:dyDescent="0.2">
      <c r="A258" t="s">
        <v>2345</v>
      </c>
      <c r="B258" t="s">
        <v>2346</v>
      </c>
      <c r="C258" s="19">
        <v>2226.37</v>
      </c>
      <c r="D258" s="19">
        <v>2400</v>
      </c>
      <c r="E258" s="21">
        <v>173.63000000000011</v>
      </c>
      <c r="F258" s="19">
        <v>2083.5600000000009</v>
      </c>
      <c r="G258" s="22">
        <v>7.8</v>
      </c>
      <c r="H258" t="s">
        <v>168</v>
      </c>
    </row>
    <row r="259" spans="1:8" x14ac:dyDescent="0.2">
      <c r="A259" t="s">
        <v>1267</v>
      </c>
      <c r="B259" t="s">
        <v>1268</v>
      </c>
      <c r="C259" s="19">
        <v>1575</v>
      </c>
      <c r="D259" s="19">
        <v>1700</v>
      </c>
      <c r="E259" s="21">
        <v>125</v>
      </c>
      <c r="F259" s="19">
        <v>1500</v>
      </c>
      <c r="G259" s="22">
        <v>7.94</v>
      </c>
      <c r="H259" t="s">
        <v>122</v>
      </c>
    </row>
    <row r="260" spans="1:8" x14ac:dyDescent="0.2">
      <c r="A260" t="s">
        <v>1267</v>
      </c>
      <c r="B260" t="s">
        <v>1268</v>
      </c>
      <c r="C260" s="19">
        <v>1575</v>
      </c>
      <c r="D260" s="19">
        <v>1700</v>
      </c>
      <c r="E260" s="21">
        <v>125</v>
      </c>
      <c r="F260" s="19">
        <v>1500</v>
      </c>
      <c r="G260" s="22">
        <v>7.94</v>
      </c>
      <c r="H260" t="s">
        <v>168</v>
      </c>
    </row>
    <row r="261" spans="1:8" x14ac:dyDescent="0.2">
      <c r="A261" t="s">
        <v>884</v>
      </c>
      <c r="B261" t="s">
        <v>885</v>
      </c>
      <c r="C261" s="19"/>
      <c r="D261" s="19">
        <v>120</v>
      </c>
      <c r="E261" s="21">
        <v>120</v>
      </c>
      <c r="F261" s="19">
        <v>1440</v>
      </c>
      <c r="G261" s="22"/>
      <c r="H261" t="s">
        <v>168</v>
      </c>
    </row>
    <row r="262" spans="1:8" x14ac:dyDescent="0.2">
      <c r="A262" t="s">
        <v>2199</v>
      </c>
      <c r="B262" t="s">
        <v>2200</v>
      </c>
      <c r="C262" s="19"/>
      <c r="D262" s="19">
        <v>111.47</v>
      </c>
      <c r="E262" s="21">
        <v>111.47</v>
      </c>
      <c r="F262" s="19">
        <v>1337.64</v>
      </c>
      <c r="G262" s="22"/>
      <c r="H262" t="s">
        <v>122</v>
      </c>
    </row>
    <row r="263" spans="1:8" x14ac:dyDescent="0.2">
      <c r="A263" t="s">
        <v>3001</v>
      </c>
      <c r="B263" t="s">
        <v>3002</v>
      </c>
      <c r="C263" s="19">
        <v>1000</v>
      </c>
      <c r="D263" s="19">
        <v>1080</v>
      </c>
      <c r="E263" s="21">
        <v>80</v>
      </c>
      <c r="F263" s="19">
        <v>960</v>
      </c>
      <c r="G263" s="22">
        <v>8</v>
      </c>
      <c r="H263" t="s">
        <v>122</v>
      </c>
    </row>
    <row r="264" spans="1:8" x14ac:dyDescent="0.2">
      <c r="A264" t="s">
        <v>2137</v>
      </c>
      <c r="B264" t="s">
        <v>2138</v>
      </c>
      <c r="C264" s="19">
        <v>1526.43</v>
      </c>
      <c r="D264" s="19">
        <v>1603.32</v>
      </c>
      <c r="E264" s="21">
        <v>76.889999999999873</v>
      </c>
      <c r="F264" s="19">
        <v>922.67999999999847</v>
      </c>
      <c r="G264" s="22">
        <v>5.04</v>
      </c>
      <c r="H264" t="s">
        <v>168</v>
      </c>
    </row>
    <row r="265" spans="1:8" x14ac:dyDescent="0.2">
      <c r="A265" t="s">
        <v>2085</v>
      </c>
      <c r="B265" t="s">
        <v>2086</v>
      </c>
      <c r="C265" s="19">
        <v>1526.43</v>
      </c>
      <c r="D265" s="19">
        <v>1603.32</v>
      </c>
      <c r="E265" s="21">
        <v>76.889999999999873</v>
      </c>
      <c r="F265" s="19">
        <v>922.67999999999847</v>
      </c>
      <c r="G265" s="22">
        <v>5.04</v>
      </c>
      <c r="H265" t="s">
        <v>168</v>
      </c>
    </row>
    <row r="266" spans="1:8" x14ac:dyDescent="0.2">
      <c r="A266" t="s">
        <v>2101</v>
      </c>
      <c r="B266" t="s">
        <v>2102</v>
      </c>
      <c r="C266" s="19">
        <v>1526.43</v>
      </c>
      <c r="D266" s="19">
        <v>1603.32</v>
      </c>
      <c r="E266" s="21">
        <v>76.889999999999873</v>
      </c>
      <c r="F266" s="19">
        <v>922.67999999999847</v>
      </c>
      <c r="G266" s="22">
        <v>5.04</v>
      </c>
      <c r="H266" t="s">
        <v>168</v>
      </c>
    </row>
    <row r="267" spans="1:8" x14ac:dyDescent="0.2">
      <c r="A267" t="s">
        <v>2107</v>
      </c>
      <c r="B267" t="s">
        <v>2108</v>
      </c>
      <c r="C267" s="19">
        <v>1526.43</v>
      </c>
      <c r="D267" s="19">
        <v>1603.32</v>
      </c>
      <c r="E267" s="21">
        <v>76.889999999999873</v>
      </c>
      <c r="F267" s="19">
        <v>922.67999999999847</v>
      </c>
      <c r="G267" s="22">
        <v>5.04</v>
      </c>
      <c r="H267" t="s">
        <v>168</v>
      </c>
    </row>
    <row r="268" spans="1:8" x14ac:dyDescent="0.2">
      <c r="A268" t="s">
        <v>3091</v>
      </c>
      <c r="B268" t="s">
        <v>3092</v>
      </c>
      <c r="C268" s="19"/>
      <c r="D268" s="19">
        <v>59.85</v>
      </c>
      <c r="E268" s="21">
        <v>59.85</v>
      </c>
      <c r="F268" s="19">
        <v>718.2</v>
      </c>
      <c r="G268" s="22"/>
      <c r="H268" t="s">
        <v>122</v>
      </c>
    </row>
    <row r="269" spans="1:8" x14ac:dyDescent="0.2">
      <c r="A269" t="s">
        <v>3055</v>
      </c>
      <c r="B269" t="s">
        <v>3056</v>
      </c>
      <c r="C269" s="19"/>
      <c r="D269" s="19">
        <v>59.85</v>
      </c>
      <c r="E269" s="21">
        <v>59.85</v>
      </c>
      <c r="F269" s="19">
        <v>718.2</v>
      </c>
      <c r="G269" s="22"/>
      <c r="H269" t="s">
        <v>122</v>
      </c>
    </row>
    <row r="270" spans="1:8" x14ac:dyDescent="0.2">
      <c r="A270" t="s">
        <v>2984</v>
      </c>
      <c r="B270" t="s">
        <v>2985</v>
      </c>
      <c r="C270" s="19"/>
      <c r="D270" s="19">
        <v>0</v>
      </c>
      <c r="E270" s="19">
        <v>0</v>
      </c>
      <c r="F270" s="19">
        <v>0</v>
      </c>
      <c r="G270" s="22"/>
      <c r="H270" t="s">
        <v>122</v>
      </c>
    </row>
    <row r="271" spans="1:8" x14ac:dyDescent="0.2">
      <c r="A271" t="s">
        <v>1252</v>
      </c>
      <c r="B271" t="s">
        <v>1253</v>
      </c>
      <c r="C271" s="19"/>
      <c r="D271" s="19"/>
      <c r="E271" s="19">
        <v>0</v>
      </c>
      <c r="F271" s="19">
        <v>0</v>
      </c>
      <c r="G271" s="22"/>
      <c r="H271" t="s">
        <v>143</v>
      </c>
    </row>
    <row r="272" spans="1:8" x14ac:dyDescent="0.2">
      <c r="A272" t="s">
        <v>2938</v>
      </c>
      <c r="B272" t="s">
        <v>2939</v>
      </c>
      <c r="C272" s="19"/>
      <c r="D272" s="19"/>
      <c r="E272" s="19">
        <v>0</v>
      </c>
      <c r="F272" s="19">
        <v>0</v>
      </c>
      <c r="G272" s="22"/>
      <c r="H272" t="s">
        <v>143</v>
      </c>
    </row>
    <row r="273" spans="1:8" x14ac:dyDescent="0.2">
      <c r="A273" t="s">
        <v>2942</v>
      </c>
      <c r="B273" t="s">
        <v>2943</v>
      </c>
      <c r="C273" s="19"/>
      <c r="D273" s="19"/>
      <c r="E273" s="19">
        <v>0</v>
      </c>
      <c r="F273" s="19">
        <v>0</v>
      </c>
      <c r="G273" s="22"/>
      <c r="H273" t="s">
        <v>143</v>
      </c>
    </row>
    <row r="274" spans="1:8" x14ac:dyDescent="0.2">
      <c r="A274" t="s">
        <v>3022</v>
      </c>
      <c r="B274" t="s">
        <v>3023</v>
      </c>
      <c r="C274" s="19"/>
      <c r="D274" s="19">
        <v>0</v>
      </c>
      <c r="E274" s="19">
        <v>0</v>
      </c>
      <c r="F274" s="19">
        <v>0</v>
      </c>
      <c r="G274" s="22"/>
      <c r="H274" t="s">
        <v>122</v>
      </c>
    </row>
    <row r="275" spans="1:8" x14ac:dyDescent="0.2">
      <c r="A275" t="s">
        <v>3016</v>
      </c>
      <c r="B275" t="s">
        <v>3017</v>
      </c>
      <c r="C275" s="19"/>
      <c r="D275" s="19">
        <v>0</v>
      </c>
      <c r="E275" s="19">
        <v>0</v>
      </c>
      <c r="F275" s="19">
        <v>0</v>
      </c>
      <c r="G275" s="22"/>
      <c r="H275" t="s">
        <v>122</v>
      </c>
    </row>
    <row r="276" spans="1:8" x14ac:dyDescent="0.2">
      <c r="A276" t="s">
        <v>3014</v>
      </c>
      <c r="B276" t="s">
        <v>3015</v>
      </c>
      <c r="C276" s="19"/>
      <c r="D276" s="19">
        <v>0</v>
      </c>
      <c r="E276" s="19">
        <v>0</v>
      </c>
      <c r="F276" s="19">
        <v>0</v>
      </c>
      <c r="G276" s="22"/>
      <c r="H276" t="s">
        <v>122</v>
      </c>
    </row>
    <row r="277" spans="1:8" x14ac:dyDescent="0.2">
      <c r="A277" t="s">
        <v>3012</v>
      </c>
      <c r="B277" t="s">
        <v>3013</v>
      </c>
      <c r="C277" s="19"/>
      <c r="D277" s="19">
        <v>0</v>
      </c>
      <c r="E277" s="19">
        <v>0</v>
      </c>
      <c r="F277" s="19">
        <v>0</v>
      </c>
      <c r="G277" s="22"/>
      <c r="H277" t="s">
        <v>122</v>
      </c>
    </row>
    <row r="278" spans="1:8" x14ac:dyDescent="0.2">
      <c r="A278" t="s">
        <v>284</v>
      </c>
      <c r="B278" t="s">
        <v>285</v>
      </c>
      <c r="C278" s="19"/>
      <c r="D278" s="19"/>
      <c r="E278" s="19">
        <v>0</v>
      </c>
      <c r="F278" s="19">
        <v>0</v>
      </c>
      <c r="G278" s="22"/>
      <c r="H278" t="s">
        <v>143</v>
      </c>
    </row>
    <row r="279" spans="1:8" x14ac:dyDescent="0.2">
      <c r="A279" t="s">
        <v>3008</v>
      </c>
      <c r="B279" t="s">
        <v>3009</v>
      </c>
      <c r="C279" s="19"/>
      <c r="D279" s="19">
        <v>0</v>
      </c>
      <c r="E279" s="19">
        <v>0</v>
      </c>
      <c r="F279" s="19">
        <v>0</v>
      </c>
      <c r="G279" s="22"/>
      <c r="H279" t="s">
        <v>122</v>
      </c>
    </row>
    <row r="280" spans="1:8" x14ac:dyDescent="0.2">
      <c r="A280" t="s">
        <v>1255</v>
      </c>
      <c r="B280" t="s">
        <v>1256</v>
      </c>
      <c r="C280" s="19"/>
      <c r="D280" s="19"/>
      <c r="E280" s="19">
        <v>0</v>
      </c>
      <c r="F280" s="19">
        <v>0</v>
      </c>
      <c r="G280" s="22"/>
      <c r="H280" t="s">
        <v>143</v>
      </c>
    </row>
    <row r="281" spans="1:8" x14ac:dyDescent="0.2">
      <c r="A281" t="s">
        <v>2982</v>
      </c>
      <c r="B281" t="s">
        <v>2983</v>
      </c>
      <c r="C281" s="19"/>
      <c r="D281" s="19">
        <v>0</v>
      </c>
      <c r="E281" s="19">
        <v>0</v>
      </c>
      <c r="F281" s="19">
        <v>0</v>
      </c>
      <c r="G281" s="22"/>
      <c r="H281" t="s">
        <v>122</v>
      </c>
    </row>
    <row r="282" spans="1:8" x14ac:dyDescent="0.2">
      <c r="A282" t="s">
        <v>2999</v>
      </c>
      <c r="B282" t="s">
        <v>3000</v>
      </c>
      <c r="C282" s="19"/>
      <c r="D282" s="19">
        <v>0</v>
      </c>
      <c r="E282" s="19">
        <v>0</v>
      </c>
      <c r="F282" s="19">
        <v>0</v>
      </c>
      <c r="G282" s="22"/>
      <c r="H282" t="s">
        <v>122</v>
      </c>
    </row>
    <row r="283" spans="1:8" x14ac:dyDescent="0.2">
      <c r="A283" t="s">
        <v>2970</v>
      </c>
      <c r="B283" t="s">
        <v>2971</v>
      </c>
      <c r="C283" s="19"/>
      <c r="D283" s="19">
        <v>0</v>
      </c>
      <c r="E283" s="19">
        <v>0</v>
      </c>
      <c r="F283" s="19">
        <v>0</v>
      </c>
      <c r="G283" s="22"/>
      <c r="H283" t="s">
        <v>122</v>
      </c>
    </row>
    <row r="284" spans="1:8" x14ac:dyDescent="0.2">
      <c r="A284" t="s">
        <v>2972</v>
      </c>
      <c r="B284" t="s">
        <v>2973</v>
      </c>
      <c r="C284" s="19"/>
      <c r="D284" s="19">
        <v>0</v>
      </c>
      <c r="E284" s="19">
        <v>0</v>
      </c>
      <c r="F284" s="19">
        <v>0</v>
      </c>
      <c r="G284" s="22"/>
      <c r="H284" t="s">
        <v>122</v>
      </c>
    </row>
    <row r="285" spans="1:8" x14ac:dyDescent="0.2">
      <c r="A285" t="s">
        <v>2974</v>
      </c>
      <c r="B285" t="s">
        <v>2975</v>
      </c>
      <c r="C285" s="19"/>
      <c r="D285" s="19">
        <v>0</v>
      </c>
      <c r="E285" s="19">
        <v>0</v>
      </c>
      <c r="F285" s="19">
        <v>0</v>
      </c>
      <c r="G285" s="22"/>
      <c r="H285" t="s">
        <v>122</v>
      </c>
    </row>
    <row r="286" spans="1:8" x14ac:dyDescent="0.2">
      <c r="A286" t="s">
        <v>2993</v>
      </c>
      <c r="B286" t="s">
        <v>2994</v>
      </c>
      <c r="C286" s="19"/>
      <c r="D286" s="19">
        <v>0</v>
      </c>
      <c r="E286" s="19">
        <v>0</v>
      </c>
      <c r="F286" s="19">
        <v>0</v>
      </c>
      <c r="G286" s="22"/>
      <c r="H286" t="s">
        <v>122</v>
      </c>
    </row>
    <row r="287" spans="1:8" x14ac:dyDescent="0.2">
      <c r="A287" t="s">
        <v>367</v>
      </c>
      <c r="B287" t="s">
        <v>368</v>
      </c>
      <c r="C287" s="19"/>
      <c r="D287" s="19"/>
      <c r="E287" s="19">
        <v>0</v>
      </c>
      <c r="F287" s="19">
        <v>0</v>
      </c>
      <c r="G287" s="22"/>
      <c r="H287" t="s">
        <v>143</v>
      </c>
    </row>
    <row r="288" spans="1:8" x14ac:dyDescent="0.2">
      <c r="A288" t="s">
        <v>1262</v>
      </c>
      <c r="B288" t="s">
        <v>1263</v>
      </c>
      <c r="C288" s="19"/>
      <c r="D288" s="19"/>
      <c r="E288" s="19">
        <v>0</v>
      </c>
      <c r="F288" s="19">
        <v>0</v>
      </c>
      <c r="G288" s="22"/>
      <c r="H288" t="s">
        <v>143</v>
      </c>
    </row>
    <row r="289" spans="1:8" x14ac:dyDescent="0.2">
      <c r="A289" t="s">
        <v>2986</v>
      </c>
      <c r="B289" t="s">
        <v>2987</v>
      </c>
      <c r="C289" s="19"/>
      <c r="D289" s="19">
        <v>0</v>
      </c>
      <c r="E289" s="19">
        <v>0</v>
      </c>
      <c r="F289" s="19">
        <v>0</v>
      </c>
      <c r="G289" s="22"/>
      <c r="H289" t="s">
        <v>122</v>
      </c>
    </row>
    <row r="290" spans="1:8" x14ac:dyDescent="0.2">
      <c r="A290" t="s">
        <v>1937</v>
      </c>
      <c r="B290" t="s">
        <v>1938</v>
      </c>
      <c r="C290" s="19"/>
      <c r="D290" s="19">
        <v>0</v>
      </c>
      <c r="E290" s="19">
        <v>0</v>
      </c>
      <c r="F290" s="19">
        <v>0</v>
      </c>
      <c r="G290" s="22"/>
      <c r="H290" t="s">
        <v>122</v>
      </c>
    </row>
    <row r="291" spans="1:8" x14ac:dyDescent="0.2">
      <c r="A291" t="s">
        <v>371</v>
      </c>
      <c r="B291" t="s">
        <v>372</v>
      </c>
      <c r="C291" s="19"/>
      <c r="D291" s="19"/>
      <c r="E291" s="19">
        <v>0</v>
      </c>
      <c r="F291" s="19">
        <v>0</v>
      </c>
      <c r="G291" s="22"/>
      <c r="H291" t="s">
        <v>143</v>
      </c>
    </row>
    <row r="292" spans="1:8" x14ac:dyDescent="0.2">
      <c r="A292" t="s">
        <v>2931</v>
      </c>
      <c r="B292" t="s">
        <v>2932</v>
      </c>
      <c r="C292" s="19"/>
      <c r="D292" s="19"/>
      <c r="E292" s="19">
        <v>0</v>
      </c>
      <c r="F292" s="19">
        <v>0</v>
      </c>
      <c r="G292" s="22"/>
      <c r="H292" t="s">
        <v>143</v>
      </c>
    </row>
    <row r="293" spans="1:8" x14ac:dyDescent="0.2">
      <c r="A293" t="s">
        <v>1217</v>
      </c>
      <c r="B293" t="s">
        <v>1218</v>
      </c>
      <c r="C293" s="19"/>
      <c r="D293" s="19"/>
      <c r="E293" s="19">
        <v>0</v>
      </c>
      <c r="F293" s="19">
        <v>0</v>
      </c>
      <c r="G293" s="22"/>
      <c r="H293" t="s">
        <v>143</v>
      </c>
    </row>
    <row r="294" spans="1:8" x14ac:dyDescent="0.2">
      <c r="A294" t="s">
        <v>2682</v>
      </c>
      <c r="B294" t="s">
        <v>2683</v>
      </c>
      <c r="C294" s="19"/>
      <c r="D294" s="19"/>
      <c r="E294" s="19">
        <v>0</v>
      </c>
      <c r="F294" s="19">
        <v>0</v>
      </c>
      <c r="G294" s="22"/>
      <c r="H294" t="s">
        <v>143</v>
      </c>
    </row>
    <row r="295" spans="1:8" x14ac:dyDescent="0.2">
      <c r="A295" t="s">
        <v>924</v>
      </c>
      <c r="B295" t="s">
        <v>925</v>
      </c>
      <c r="C295" s="19"/>
      <c r="D295" s="19"/>
      <c r="E295" s="19">
        <v>0</v>
      </c>
      <c r="F295" s="19">
        <v>0</v>
      </c>
      <c r="G295" s="22"/>
      <c r="H295" t="s">
        <v>143</v>
      </c>
    </row>
    <row r="296" spans="1:8" x14ac:dyDescent="0.2">
      <c r="A296" t="s">
        <v>2692</v>
      </c>
      <c r="B296" t="s">
        <v>2693</v>
      </c>
      <c r="C296" s="19"/>
      <c r="D296" s="19">
        <v>0</v>
      </c>
      <c r="E296" s="19">
        <v>0</v>
      </c>
      <c r="F296" s="19">
        <v>0</v>
      </c>
      <c r="G296" s="22"/>
      <c r="H296" t="s">
        <v>122</v>
      </c>
    </row>
    <row r="297" spans="1:8" x14ac:dyDescent="0.2">
      <c r="A297" t="s">
        <v>1692</v>
      </c>
      <c r="B297" t="s">
        <v>1693</v>
      </c>
      <c r="C297" s="19"/>
      <c r="D297" s="19"/>
      <c r="E297" s="19">
        <v>0</v>
      </c>
      <c r="F297" s="19">
        <v>0</v>
      </c>
      <c r="G297" s="22"/>
      <c r="H297" t="s">
        <v>143</v>
      </c>
    </row>
    <row r="298" spans="1:8" x14ac:dyDescent="0.2">
      <c r="A298" t="s">
        <v>1681</v>
      </c>
      <c r="B298" t="s">
        <v>1682</v>
      </c>
      <c r="C298" s="19"/>
      <c r="D298" s="19">
        <v>0</v>
      </c>
      <c r="E298" s="19">
        <v>0</v>
      </c>
      <c r="F298" s="19">
        <v>0</v>
      </c>
      <c r="G298" s="22"/>
      <c r="H298" t="s">
        <v>122</v>
      </c>
    </row>
    <row r="299" spans="1:8" x14ac:dyDescent="0.2">
      <c r="A299" t="s">
        <v>1678</v>
      </c>
      <c r="B299" t="s">
        <v>1679</v>
      </c>
      <c r="C299" s="19"/>
      <c r="D299" s="19">
        <v>0</v>
      </c>
      <c r="E299" s="19">
        <v>0</v>
      </c>
      <c r="F299" s="19">
        <v>0</v>
      </c>
      <c r="G299" s="22"/>
      <c r="H299" t="s">
        <v>122</v>
      </c>
    </row>
    <row r="300" spans="1:8" x14ac:dyDescent="0.2">
      <c r="A300" t="s">
        <v>1670</v>
      </c>
      <c r="B300" t="s">
        <v>1671</v>
      </c>
      <c r="C300" s="19"/>
      <c r="D300" s="19">
        <v>0</v>
      </c>
      <c r="E300" s="19">
        <v>0</v>
      </c>
      <c r="F300" s="19">
        <v>0</v>
      </c>
      <c r="G300" s="22"/>
      <c r="H300" t="s">
        <v>122</v>
      </c>
    </row>
    <row r="301" spans="1:8" x14ac:dyDescent="0.2">
      <c r="A301" t="s">
        <v>1667</v>
      </c>
      <c r="B301" t="s">
        <v>1668</v>
      </c>
      <c r="C301" s="19"/>
      <c r="D301" s="19"/>
      <c r="E301" s="19">
        <v>0</v>
      </c>
      <c r="F301" s="19">
        <v>0</v>
      </c>
      <c r="G301" s="22"/>
      <c r="H301" t="s">
        <v>143</v>
      </c>
    </row>
    <row r="302" spans="1:8" x14ac:dyDescent="0.2">
      <c r="A302" t="s">
        <v>1209</v>
      </c>
      <c r="B302" t="s">
        <v>1210</v>
      </c>
      <c r="C302" s="19"/>
      <c r="D302" s="19"/>
      <c r="E302" s="19">
        <v>0</v>
      </c>
      <c r="F302" s="19">
        <v>0</v>
      </c>
      <c r="G302" s="22"/>
      <c r="H302" t="s">
        <v>143</v>
      </c>
    </row>
    <row r="303" spans="1:8" x14ac:dyDescent="0.2">
      <c r="A303" t="s">
        <v>499</v>
      </c>
      <c r="B303" t="s">
        <v>500</v>
      </c>
      <c r="C303" s="19"/>
      <c r="D303" s="19"/>
      <c r="E303" s="19">
        <v>0</v>
      </c>
      <c r="F303" s="19">
        <v>0</v>
      </c>
      <c r="G303" s="22"/>
      <c r="H303" t="s">
        <v>143</v>
      </c>
    </row>
    <row r="304" spans="1:8" x14ac:dyDescent="0.2">
      <c r="A304" t="s">
        <v>2726</v>
      </c>
      <c r="B304" t="s">
        <v>2727</v>
      </c>
      <c r="C304" s="19"/>
      <c r="D304" s="19"/>
      <c r="E304" s="19">
        <v>0</v>
      </c>
      <c r="F304" s="19">
        <v>0</v>
      </c>
      <c r="G304" s="22"/>
      <c r="H304" t="s">
        <v>143</v>
      </c>
    </row>
    <row r="305" spans="1:8" x14ac:dyDescent="0.2">
      <c r="A305" t="s">
        <v>2732</v>
      </c>
      <c r="B305" t="s">
        <v>2733</v>
      </c>
      <c r="C305" s="19"/>
      <c r="D305" s="19">
        <v>0</v>
      </c>
      <c r="E305" s="19">
        <v>0</v>
      </c>
      <c r="F305" s="19">
        <v>0</v>
      </c>
      <c r="G305" s="22"/>
      <c r="H305" t="s">
        <v>122</v>
      </c>
    </row>
    <row r="306" spans="1:8" x14ac:dyDescent="0.2">
      <c r="A306" t="s">
        <v>2736</v>
      </c>
      <c r="B306" t="s">
        <v>2737</v>
      </c>
      <c r="C306" s="19"/>
      <c r="D306" s="19"/>
      <c r="E306" s="19">
        <v>0</v>
      </c>
      <c r="F306" s="19">
        <v>0</v>
      </c>
      <c r="G306" s="22"/>
      <c r="H306" t="s">
        <v>143</v>
      </c>
    </row>
    <row r="307" spans="1:8" x14ac:dyDescent="0.2">
      <c r="A307" t="s">
        <v>2771</v>
      </c>
      <c r="B307" t="s">
        <v>2772</v>
      </c>
      <c r="C307" s="19"/>
      <c r="D307" s="19"/>
      <c r="E307" s="19">
        <v>0</v>
      </c>
      <c r="F307" s="19">
        <v>0</v>
      </c>
      <c r="G307" s="22"/>
      <c r="H307" t="s">
        <v>1648</v>
      </c>
    </row>
    <row r="308" spans="1:8" x14ac:dyDescent="0.2">
      <c r="A308" t="s">
        <v>2928</v>
      </c>
      <c r="B308" t="s">
        <v>2929</v>
      </c>
      <c r="C308" s="19"/>
      <c r="D308" s="19"/>
      <c r="E308" s="19">
        <v>0</v>
      </c>
      <c r="F308" s="19">
        <v>0</v>
      </c>
      <c r="G308" s="22"/>
      <c r="H308" t="s">
        <v>143</v>
      </c>
    </row>
    <row r="309" spans="1:8" x14ac:dyDescent="0.2">
      <c r="A309" t="s">
        <v>460</v>
      </c>
      <c r="B309" t="s">
        <v>461</v>
      </c>
      <c r="C309" s="19"/>
      <c r="D309" s="19"/>
      <c r="E309" s="19">
        <v>0</v>
      </c>
      <c r="F309" s="19">
        <v>0</v>
      </c>
      <c r="G309" s="22"/>
      <c r="H309" t="s">
        <v>143</v>
      </c>
    </row>
    <row r="310" spans="1:8" x14ac:dyDescent="0.2">
      <c r="A310" t="s">
        <v>1652</v>
      </c>
      <c r="B310" t="s">
        <v>1653</v>
      </c>
      <c r="C310" s="19"/>
      <c r="D310" s="19"/>
      <c r="E310" s="19">
        <v>0</v>
      </c>
      <c r="F310" s="19">
        <v>0</v>
      </c>
      <c r="G310" s="22"/>
      <c r="H310" t="s">
        <v>143</v>
      </c>
    </row>
    <row r="311" spans="1:8" x14ac:dyDescent="0.2">
      <c r="A311" t="s">
        <v>452</v>
      </c>
      <c r="B311" t="s">
        <v>453</v>
      </c>
      <c r="C311" s="19"/>
      <c r="D311" s="19"/>
      <c r="E311" s="19">
        <v>0</v>
      </c>
      <c r="F311" s="19">
        <v>0</v>
      </c>
      <c r="G311" s="22"/>
      <c r="H311" t="s">
        <v>143</v>
      </c>
    </row>
    <row r="312" spans="1:8" x14ac:dyDescent="0.2">
      <c r="A312" t="s">
        <v>447</v>
      </c>
      <c r="B312" t="s">
        <v>448</v>
      </c>
      <c r="C312" s="19"/>
      <c r="D312" s="19"/>
      <c r="E312" s="19">
        <v>0</v>
      </c>
      <c r="F312" s="19">
        <v>0</v>
      </c>
      <c r="G312" s="22"/>
      <c r="H312" t="s">
        <v>143</v>
      </c>
    </row>
    <row r="313" spans="1:8" x14ac:dyDescent="0.2">
      <c r="A313" t="s">
        <v>2827</v>
      </c>
      <c r="B313" t="s">
        <v>2828</v>
      </c>
      <c r="C313" s="19">
        <v>1500</v>
      </c>
      <c r="D313" s="19">
        <v>1500</v>
      </c>
      <c r="E313" s="19">
        <v>0</v>
      </c>
      <c r="F313" s="19">
        <v>0</v>
      </c>
      <c r="G313">
        <v>0</v>
      </c>
      <c r="H313" t="s">
        <v>122</v>
      </c>
    </row>
    <row r="314" spans="1:8" x14ac:dyDescent="0.2">
      <c r="A314" t="s">
        <v>2835</v>
      </c>
      <c r="B314" t="s">
        <v>2836</v>
      </c>
      <c r="C314" s="19"/>
      <c r="D314" s="19"/>
      <c r="E314" s="19">
        <v>0</v>
      </c>
      <c r="F314" s="19">
        <v>0</v>
      </c>
      <c r="G314" s="22"/>
      <c r="H314" t="s">
        <v>143</v>
      </c>
    </row>
    <row r="315" spans="1:8" x14ac:dyDescent="0.2">
      <c r="A315" t="s">
        <v>1224</v>
      </c>
      <c r="B315" t="s">
        <v>1225</v>
      </c>
      <c r="C315" s="19"/>
      <c r="D315" s="19"/>
      <c r="E315" s="19">
        <v>0</v>
      </c>
      <c r="F315" s="19">
        <v>0</v>
      </c>
      <c r="G315" s="22"/>
      <c r="H315" t="s">
        <v>143</v>
      </c>
    </row>
    <row r="316" spans="1:8" x14ac:dyDescent="0.2">
      <c r="A316" t="s">
        <v>1226</v>
      </c>
      <c r="B316" t="s">
        <v>1227</v>
      </c>
      <c r="C316" s="19"/>
      <c r="D316" s="19"/>
      <c r="E316" s="19">
        <v>0</v>
      </c>
      <c r="F316" s="19">
        <v>0</v>
      </c>
      <c r="G316" s="22"/>
      <c r="H316" t="s">
        <v>143</v>
      </c>
    </row>
    <row r="317" spans="1:8" x14ac:dyDescent="0.2">
      <c r="A317" t="s">
        <v>430</v>
      </c>
      <c r="B317" t="s">
        <v>431</v>
      </c>
      <c r="C317" s="19"/>
      <c r="D317" s="19">
        <v>0</v>
      </c>
      <c r="E317" s="19">
        <v>0</v>
      </c>
      <c r="F317" s="19">
        <v>0</v>
      </c>
      <c r="G317" s="22"/>
      <c r="H317" t="s">
        <v>122</v>
      </c>
    </row>
    <row r="318" spans="1:8" x14ac:dyDescent="0.2">
      <c r="A318" t="s">
        <v>2863</v>
      </c>
      <c r="B318" t="s">
        <v>2864</v>
      </c>
      <c r="C318" s="19"/>
      <c r="D318" s="19"/>
      <c r="E318" s="19">
        <v>0</v>
      </c>
      <c r="F318" s="19">
        <v>0</v>
      </c>
      <c r="G318" s="22"/>
      <c r="H318" t="s">
        <v>1648</v>
      </c>
    </row>
    <row r="319" spans="1:8" x14ac:dyDescent="0.2">
      <c r="A319" t="s">
        <v>1243</v>
      </c>
      <c r="B319" t="s">
        <v>1244</v>
      </c>
      <c r="C319" s="19"/>
      <c r="D319" s="19"/>
      <c r="E319" s="19">
        <v>0</v>
      </c>
      <c r="F319" s="19">
        <v>0</v>
      </c>
      <c r="G319" s="22"/>
      <c r="H319" t="s">
        <v>143</v>
      </c>
    </row>
    <row r="320" spans="1:8" x14ac:dyDescent="0.2">
      <c r="A320" t="s">
        <v>394</v>
      </c>
      <c r="B320" t="s">
        <v>395</v>
      </c>
      <c r="C320" s="19"/>
      <c r="D320" s="19"/>
      <c r="E320" s="19">
        <v>0</v>
      </c>
      <c r="F320" s="19">
        <v>0</v>
      </c>
      <c r="G320" s="22"/>
      <c r="H320" t="s">
        <v>143</v>
      </c>
    </row>
    <row r="321" spans="1:8" x14ac:dyDescent="0.2">
      <c r="A321" t="s">
        <v>3027</v>
      </c>
      <c r="B321" t="s">
        <v>3028</v>
      </c>
      <c r="C321" s="19"/>
      <c r="D321" s="19">
        <v>0</v>
      </c>
      <c r="E321" s="19">
        <v>0</v>
      </c>
      <c r="F321" s="19">
        <v>0</v>
      </c>
      <c r="G321" s="22"/>
      <c r="H321" t="s">
        <v>122</v>
      </c>
    </row>
    <row r="322" spans="1:8" x14ac:dyDescent="0.2">
      <c r="A322" t="s">
        <v>3024</v>
      </c>
      <c r="B322" t="s">
        <v>3025</v>
      </c>
      <c r="C322" s="19"/>
      <c r="D322" s="19">
        <v>0</v>
      </c>
      <c r="E322" s="19">
        <v>0</v>
      </c>
      <c r="F322" s="19">
        <v>0</v>
      </c>
      <c r="G322" s="22"/>
      <c r="H322" t="s">
        <v>122</v>
      </c>
    </row>
    <row r="323" spans="1:8" x14ac:dyDescent="0.2">
      <c r="A323" t="s">
        <v>3042</v>
      </c>
      <c r="B323" t="s">
        <v>3043</v>
      </c>
      <c r="C323" s="19"/>
      <c r="D323" s="19"/>
      <c r="E323" s="19">
        <v>0</v>
      </c>
      <c r="F323" s="19">
        <v>0</v>
      </c>
      <c r="G323" s="22"/>
      <c r="H323" t="s">
        <v>143</v>
      </c>
    </row>
    <row r="324" spans="1:8" x14ac:dyDescent="0.2">
      <c r="A324" t="s">
        <v>3029</v>
      </c>
      <c r="B324" t="s">
        <v>3030</v>
      </c>
      <c r="C324" s="19"/>
      <c r="D324" s="19">
        <v>0</v>
      </c>
      <c r="E324" s="19">
        <v>0</v>
      </c>
      <c r="F324" s="19">
        <v>0</v>
      </c>
      <c r="G324" s="22"/>
      <c r="H324" t="s">
        <v>122</v>
      </c>
    </row>
    <row r="325" spans="1:8" x14ac:dyDescent="0.2">
      <c r="A325" t="s">
        <v>3031</v>
      </c>
      <c r="B325" t="s">
        <v>3032</v>
      </c>
      <c r="C325" s="19"/>
      <c r="D325" s="19"/>
      <c r="E325" s="19">
        <v>0</v>
      </c>
      <c r="F325" s="19">
        <v>0</v>
      </c>
      <c r="G325" s="22"/>
      <c r="H325" t="s">
        <v>143</v>
      </c>
    </row>
    <row r="326" spans="1:8" x14ac:dyDescent="0.2">
      <c r="A326" t="s">
        <v>1428</v>
      </c>
      <c r="B326" t="s">
        <v>1429</v>
      </c>
      <c r="C326" s="19"/>
      <c r="D326" s="19">
        <v>0</v>
      </c>
      <c r="E326" s="19">
        <v>0</v>
      </c>
      <c r="F326" s="19">
        <v>0</v>
      </c>
      <c r="G326" s="22"/>
      <c r="H326" t="s">
        <v>122</v>
      </c>
    </row>
    <row r="327" spans="1:8" x14ac:dyDescent="0.2">
      <c r="A327" t="s">
        <v>1426</v>
      </c>
      <c r="B327" t="s">
        <v>1427</v>
      </c>
      <c r="C327" s="19"/>
      <c r="D327" s="19">
        <v>0</v>
      </c>
      <c r="E327" s="19">
        <v>0</v>
      </c>
      <c r="F327" s="19">
        <v>0</v>
      </c>
      <c r="G327" s="22"/>
      <c r="H327" t="s">
        <v>122</v>
      </c>
    </row>
    <row r="328" spans="1:8" x14ac:dyDescent="0.2">
      <c r="A328" t="s">
        <v>3115</v>
      </c>
      <c r="B328" t="s">
        <v>3116</v>
      </c>
      <c r="C328" s="19"/>
      <c r="D328" s="19"/>
      <c r="E328" s="19">
        <v>0</v>
      </c>
      <c r="F328" s="19">
        <v>0</v>
      </c>
      <c r="G328" s="22"/>
      <c r="H328" t="s">
        <v>143</v>
      </c>
    </row>
    <row r="329" spans="1:8" x14ac:dyDescent="0.2">
      <c r="A329" t="s">
        <v>1422</v>
      </c>
      <c r="B329" t="s">
        <v>1423</v>
      </c>
      <c r="C329" s="19"/>
      <c r="D329" s="19">
        <v>0</v>
      </c>
      <c r="E329" s="19">
        <v>0</v>
      </c>
      <c r="F329" s="19">
        <v>0</v>
      </c>
      <c r="G329" s="22"/>
      <c r="H329" t="s">
        <v>122</v>
      </c>
    </row>
    <row r="330" spans="1:8" x14ac:dyDescent="0.2">
      <c r="A330" t="s">
        <v>1414</v>
      </c>
      <c r="B330" t="s">
        <v>1415</v>
      </c>
      <c r="C330" s="19"/>
      <c r="D330" s="19"/>
      <c r="E330" s="19">
        <v>0</v>
      </c>
      <c r="F330" s="19">
        <v>0</v>
      </c>
      <c r="G330" s="22"/>
      <c r="H330" t="s">
        <v>143</v>
      </c>
    </row>
    <row r="331" spans="1:8" x14ac:dyDescent="0.2">
      <c r="A331" t="s">
        <v>1391</v>
      </c>
      <c r="B331" t="s">
        <v>1392</v>
      </c>
      <c r="C331" s="19"/>
      <c r="D331" s="19"/>
      <c r="E331" s="19">
        <v>0</v>
      </c>
      <c r="F331" s="19">
        <v>0</v>
      </c>
      <c r="G331" s="22"/>
      <c r="H331" t="s">
        <v>143</v>
      </c>
    </row>
    <row r="332" spans="1:8" x14ac:dyDescent="0.2">
      <c r="A332" t="s">
        <v>144</v>
      </c>
      <c r="B332" t="s">
        <v>145</v>
      </c>
      <c r="C332" s="19"/>
      <c r="D332" s="19"/>
      <c r="E332" s="19">
        <v>0</v>
      </c>
      <c r="F332" s="19">
        <v>0</v>
      </c>
      <c r="G332" s="22"/>
      <c r="H332" t="s">
        <v>143</v>
      </c>
    </row>
    <row r="333" spans="1:8" x14ac:dyDescent="0.2">
      <c r="A333" t="s">
        <v>3127</v>
      </c>
      <c r="B333" t="s">
        <v>3128</v>
      </c>
      <c r="C333" s="19"/>
      <c r="D333" s="19">
        <v>0</v>
      </c>
      <c r="E333" s="19">
        <v>0</v>
      </c>
      <c r="F333" s="19">
        <v>0</v>
      </c>
      <c r="G333" s="22"/>
      <c r="H333" t="s">
        <v>122</v>
      </c>
    </row>
    <row r="334" spans="1:8" x14ac:dyDescent="0.2">
      <c r="A334" t="s">
        <v>3129</v>
      </c>
      <c r="B334" t="s">
        <v>3130</v>
      </c>
      <c r="C334" s="19"/>
      <c r="D334" s="19">
        <v>0</v>
      </c>
      <c r="E334" s="19">
        <v>0</v>
      </c>
      <c r="F334" s="19">
        <v>0</v>
      </c>
      <c r="G334" s="22"/>
      <c r="H334" t="s">
        <v>122</v>
      </c>
    </row>
    <row r="335" spans="1:8" x14ac:dyDescent="0.2">
      <c r="A335" t="s">
        <v>132</v>
      </c>
      <c r="B335" t="s">
        <v>133</v>
      </c>
      <c r="C335" s="19"/>
      <c r="D335" s="19"/>
      <c r="E335" s="19">
        <v>0</v>
      </c>
      <c r="F335" s="19">
        <v>0</v>
      </c>
      <c r="G335" s="22"/>
      <c r="H335" t="s">
        <v>143</v>
      </c>
    </row>
    <row r="336" spans="1:8" x14ac:dyDescent="0.2">
      <c r="A336" t="s">
        <v>1339</v>
      </c>
      <c r="B336" t="s">
        <v>1340</v>
      </c>
      <c r="C336" s="19"/>
      <c r="D336" s="19"/>
      <c r="E336" s="19">
        <v>0</v>
      </c>
      <c r="F336" s="19">
        <v>0</v>
      </c>
      <c r="G336" s="22"/>
      <c r="H336" t="s">
        <v>143</v>
      </c>
    </row>
    <row r="337" spans="1:8" x14ac:dyDescent="0.2">
      <c r="A337" t="s">
        <v>3136</v>
      </c>
      <c r="B337" t="s">
        <v>3137</v>
      </c>
      <c r="C337" s="19"/>
      <c r="D337" s="19">
        <v>0</v>
      </c>
      <c r="E337" s="19">
        <v>0</v>
      </c>
      <c r="F337" s="19">
        <v>0</v>
      </c>
      <c r="G337" s="22"/>
      <c r="H337" t="s">
        <v>122</v>
      </c>
    </row>
    <row r="338" spans="1:8" x14ac:dyDescent="0.2">
      <c r="A338" t="s">
        <v>3139</v>
      </c>
      <c r="B338" t="s">
        <v>3140</v>
      </c>
      <c r="C338" s="19"/>
      <c r="D338" s="19">
        <v>0</v>
      </c>
      <c r="E338" s="19">
        <v>0</v>
      </c>
      <c r="F338" s="19">
        <v>0</v>
      </c>
      <c r="G338" s="22"/>
      <c r="H338" t="s">
        <v>122</v>
      </c>
    </row>
    <row r="339" spans="1:8" x14ac:dyDescent="0.2">
      <c r="A339" t="s">
        <v>3141</v>
      </c>
      <c r="B339" t="s">
        <v>3142</v>
      </c>
      <c r="C339" s="19"/>
      <c r="D339" s="19">
        <v>0</v>
      </c>
      <c r="E339" s="19">
        <v>0</v>
      </c>
      <c r="F339" s="19">
        <v>0</v>
      </c>
      <c r="G339" s="22"/>
      <c r="H339" t="s">
        <v>122</v>
      </c>
    </row>
    <row r="340" spans="1:8" x14ac:dyDescent="0.2">
      <c r="A340" t="s">
        <v>3143</v>
      </c>
      <c r="B340" t="s">
        <v>3144</v>
      </c>
      <c r="C340" s="19"/>
      <c r="D340" s="19"/>
      <c r="E340" s="19">
        <v>0</v>
      </c>
      <c r="F340" s="19">
        <v>0</v>
      </c>
      <c r="G340" s="22"/>
      <c r="H340" t="s">
        <v>143</v>
      </c>
    </row>
    <row r="341" spans="1:8" x14ac:dyDescent="0.2">
      <c r="A341" t="s">
        <v>3145</v>
      </c>
      <c r="B341" t="s">
        <v>3146</v>
      </c>
      <c r="C341" s="19"/>
      <c r="D341" s="19"/>
      <c r="E341" s="19">
        <v>0</v>
      </c>
      <c r="F341" s="19">
        <v>0</v>
      </c>
      <c r="G341" s="22"/>
      <c r="H341" t="s">
        <v>143</v>
      </c>
    </row>
    <row r="342" spans="1:8" x14ac:dyDescent="0.2">
      <c r="A342" t="s">
        <v>3147</v>
      </c>
      <c r="B342" t="s">
        <v>3148</v>
      </c>
      <c r="C342" s="19"/>
      <c r="D342" s="19"/>
      <c r="E342" s="19">
        <v>0</v>
      </c>
      <c r="F342" s="19">
        <v>0</v>
      </c>
      <c r="G342" s="22"/>
      <c r="H342" t="s">
        <v>143</v>
      </c>
    </row>
    <row r="343" spans="1:8" x14ac:dyDescent="0.2">
      <c r="A343" t="s">
        <v>3149</v>
      </c>
      <c r="B343" t="s">
        <v>3150</v>
      </c>
      <c r="C343" s="19"/>
      <c r="D343" s="19"/>
      <c r="E343" s="19">
        <v>0</v>
      </c>
      <c r="F343" s="19">
        <v>0</v>
      </c>
      <c r="G343" s="22"/>
      <c r="H343" t="s">
        <v>143</v>
      </c>
    </row>
    <row r="344" spans="1:8" x14ac:dyDescent="0.2">
      <c r="A344" t="s">
        <v>3151</v>
      </c>
      <c r="B344" t="s">
        <v>3152</v>
      </c>
      <c r="C344" s="19"/>
      <c r="D344" s="19"/>
      <c r="E344" s="19">
        <v>0</v>
      </c>
      <c r="F344" s="19">
        <v>0</v>
      </c>
      <c r="G344" s="22"/>
      <c r="H344" t="s">
        <v>143</v>
      </c>
    </row>
    <row r="345" spans="1:8" x14ac:dyDescent="0.2">
      <c r="A345" t="s">
        <v>3153</v>
      </c>
      <c r="B345" t="s">
        <v>3154</v>
      </c>
      <c r="C345" s="19"/>
      <c r="D345" s="19"/>
      <c r="E345" s="19">
        <v>0</v>
      </c>
      <c r="F345" s="19">
        <v>0</v>
      </c>
      <c r="G345" s="22"/>
      <c r="H345" t="s">
        <v>143</v>
      </c>
    </row>
    <row r="346" spans="1:8" x14ac:dyDescent="0.2">
      <c r="A346" t="s">
        <v>3155</v>
      </c>
      <c r="B346" t="s">
        <v>3156</v>
      </c>
      <c r="C346" s="19"/>
      <c r="D346" s="19"/>
      <c r="E346" s="19">
        <v>0</v>
      </c>
      <c r="F346" s="19">
        <v>0</v>
      </c>
      <c r="G346" s="22"/>
      <c r="H346" t="s">
        <v>143</v>
      </c>
    </row>
    <row r="347" spans="1:8" x14ac:dyDescent="0.2">
      <c r="A347" t="s">
        <v>3157</v>
      </c>
      <c r="B347" t="s">
        <v>3158</v>
      </c>
      <c r="C347" s="19"/>
      <c r="D347" s="19"/>
      <c r="E347" s="19">
        <v>0</v>
      </c>
      <c r="F347" s="19">
        <v>0</v>
      </c>
      <c r="G347" s="22"/>
      <c r="H347" t="s">
        <v>143</v>
      </c>
    </row>
    <row r="348" spans="1:8" x14ac:dyDescent="0.2">
      <c r="A348" t="s">
        <v>3159</v>
      </c>
      <c r="B348" t="s">
        <v>3160</v>
      </c>
      <c r="C348" s="19"/>
      <c r="D348" s="19"/>
      <c r="E348" s="19">
        <v>0</v>
      </c>
      <c r="F348" s="19">
        <v>0</v>
      </c>
      <c r="G348" s="22"/>
      <c r="H348" t="s">
        <v>143</v>
      </c>
    </row>
    <row r="349" spans="1:8" x14ac:dyDescent="0.2">
      <c r="A349" t="s">
        <v>3161</v>
      </c>
      <c r="B349" t="s">
        <v>3162</v>
      </c>
      <c r="C349" s="19"/>
      <c r="D349" s="19">
        <v>0</v>
      </c>
      <c r="E349" s="19">
        <v>0</v>
      </c>
      <c r="F349" s="19">
        <v>0</v>
      </c>
      <c r="G349" s="22"/>
      <c r="H349" t="s">
        <v>122</v>
      </c>
    </row>
    <row r="350" spans="1:8" x14ac:dyDescent="0.2">
      <c r="A350" t="s">
        <v>1367</v>
      </c>
      <c r="B350" t="s">
        <v>1368</v>
      </c>
      <c r="C350" s="19"/>
      <c r="D350" s="19"/>
      <c r="E350" s="19">
        <v>0</v>
      </c>
      <c r="F350" s="19">
        <v>0</v>
      </c>
      <c r="G350" s="22"/>
      <c r="H350" t="s">
        <v>143</v>
      </c>
    </row>
    <row r="351" spans="1:8" x14ac:dyDescent="0.2">
      <c r="A351" t="s">
        <v>3165</v>
      </c>
      <c r="B351" t="s">
        <v>3166</v>
      </c>
      <c r="C351" s="19"/>
      <c r="D351" s="19"/>
      <c r="E351" s="19">
        <v>0</v>
      </c>
      <c r="F351" s="19">
        <v>0</v>
      </c>
      <c r="G351" s="22"/>
      <c r="H351" t="s">
        <v>143</v>
      </c>
    </row>
    <row r="352" spans="1:8" x14ac:dyDescent="0.2">
      <c r="A352" t="s">
        <v>3167</v>
      </c>
      <c r="B352" t="s">
        <v>3168</v>
      </c>
      <c r="C352" s="19"/>
      <c r="D352" s="19"/>
      <c r="E352" s="19">
        <v>0</v>
      </c>
      <c r="F352" s="19">
        <v>0</v>
      </c>
      <c r="G352" s="22"/>
      <c r="H352" t="s">
        <v>143</v>
      </c>
    </row>
    <row r="353" spans="1:8" x14ac:dyDescent="0.2">
      <c r="A353" t="s">
        <v>1469</v>
      </c>
      <c r="B353" t="s">
        <v>1470</v>
      </c>
      <c r="C353" s="19"/>
      <c r="D353" s="19"/>
      <c r="E353" s="19">
        <v>0</v>
      </c>
      <c r="F353" s="19">
        <v>0</v>
      </c>
      <c r="G353" s="22"/>
      <c r="H353" t="s">
        <v>143</v>
      </c>
    </row>
    <row r="354" spans="1:8" x14ac:dyDescent="0.2">
      <c r="A354" t="s">
        <v>1317</v>
      </c>
      <c r="B354" t="s">
        <v>1318</v>
      </c>
      <c r="C354" s="19"/>
      <c r="D354" s="19"/>
      <c r="E354" s="19">
        <v>0</v>
      </c>
      <c r="F354" s="19">
        <v>0</v>
      </c>
      <c r="G354" s="22"/>
      <c r="H354" t="s">
        <v>143</v>
      </c>
    </row>
    <row r="355" spans="1:8" x14ac:dyDescent="0.2">
      <c r="A355" t="s">
        <v>1478</v>
      </c>
      <c r="B355" t="s">
        <v>1479</v>
      </c>
      <c r="C355" s="19"/>
      <c r="D355" s="19"/>
      <c r="E355" s="19">
        <v>0</v>
      </c>
      <c r="F355" s="19">
        <v>0</v>
      </c>
      <c r="G355" s="22"/>
      <c r="H355" t="s">
        <v>143</v>
      </c>
    </row>
    <row r="356" spans="1:8" x14ac:dyDescent="0.2">
      <c r="A356" t="s">
        <v>3062</v>
      </c>
      <c r="B356" t="s">
        <v>3063</v>
      </c>
      <c r="C356" s="19"/>
      <c r="D356" s="19"/>
      <c r="E356" s="19">
        <v>0</v>
      </c>
      <c r="F356" s="19">
        <v>0</v>
      </c>
      <c r="G356" s="22"/>
      <c r="H356" t="s">
        <v>143</v>
      </c>
    </row>
    <row r="357" spans="1:8" x14ac:dyDescent="0.2">
      <c r="A357" t="s">
        <v>3034</v>
      </c>
      <c r="B357" t="s">
        <v>3035</v>
      </c>
      <c r="C357" s="19"/>
      <c r="D357" s="19"/>
      <c r="E357" s="19">
        <v>0</v>
      </c>
      <c r="F357" s="19">
        <v>0</v>
      </c>
      <c r="G357" s="22"/>
      <c r="H357" t="s">
        <v>143</v>
      </c>
    </row>
    <row r="358" spans="1:8" x14ac:dyDescent="0.2">
      <c r="A358" t="s">
        <v>3036</v>
      </c>
      <c r="B358" t="s">
        <v>3037</v>
      </c>
      <c r="C358" s="19"/>
      <c r="D358" s="19"/>
      <c r="E358" s="19">
        <v>0</v>
      </c>
      <c r="F358" s="19">
        <v>0</v>
      </c>
      <c r="G358" s="22"/>
      <c r="H358" t="s">
        <v>143</v>
      </c>
    </row>
    <row r="359" spans="1:8" x14ac:dyDescent="0.2">
      <c r="A359" t="s">
        <v>3038</v>
      </c>
      <c r="B359" t="s">
        <v>3039</v>
      </c>
      <c r="C359" s="19"/>
      <c r="D359" s="19"/>
      <c r="E359" s="19">
        <v>0</v>
      </c>
      <c r="F359" s="19">
        <v>0</v>
      </c>
      <c r="G359" s="22"/>
      <c r="H359" t="s">
        <v>143</v>
      </c>
    </row>
    <row r="360" spans="1:8" x14ac:dyDescent="0.2">
      <c r="A360" t="s">
        <v>3040</v>
      </c>
      <c r="B360" t="s">
        <v>3041</v>
      </c>
      <c r="C360" s="19"/>
      <c r="D360" s="19"/>
      <c r="E360" s="19">
        <v>0</v>
      </c>
      <c r="F360" s="19">
        <v>0</v>
      </c>
      <c r="G360" s="22"/>
      <c r="H360" t="s">
        <v>143</v>
      </c>
    </row>
    <row r="361" spans="1:8" x14ac:dyDescent="0.2">
      <c r="A361" t="s">
        <v>1194</v>
      </c>
      <c r="B361" t="s">
        <v>1195</v>
      </c>
      <c r="C361" s="19"/>
      <c r="D361" s="19"/>
      <c r="E361" s="19">
        <v>0</v>
      </c>
      <c r="F361" s="19">
        <v>0</v>
      </c>
      <c r="G361" s="22"/>
      <c r="H361" t="s">
        <v>143</v>
      </c>
    </row>
    <row r="362" spans="1:8" x14ac:dyDescent="0.2">
      <c r="A362" t="s">
        <v>3044</v>
      </c>
      <c r="B362" t="s">
        <v>3045</v>
      </c>
      <c r="C362" s="19"/>
      <c r="D362" s="19"/>
      <c r="E362" s="19">
        <v>0</v>
      </c>
      <c r="F362" s="19">
        <v>0</v>
      </c>
      <c r="G362" s="22"/>
      <c r="H362" t="s">
        <v>143</v>
      </c>
    </row>
    <row r="363" spans="1:8" x14ac:dyDescent="0.2">
      <c r="A363" t="s">
        <v>1572</v>
      </c>
      <c r="B363" t="s">
        <v>1573</v>
      </c>
      <c r="C363" s="19"/>
      <c r="D363" s="19"/>
      <c r="E363" s="19">
        <v>0</v>
      </c>
      <c r="F363" s="19">
        <v>0</v>
      </c>
      <c r="G363" s="22"/>
      <c r="H363" t="s">
        <v>143</v>
      </c>
    </row>
    <row r="364" spans="1:8" x14ac:dyDescent="0.2">
      <c r="A364" t="s">
        <v>1568</v>
      </c>
      <c r="B364" t="s">
        <v>1569</v>
      </c>
      <c r="C364" s="19"/>
      <c r="D364" s="19"/>
      <c r="E364" s="19">
        <v>0</v>
      </c>
      <c r="F364" s="19">
        <v>0</v>
      </c>
      <c r="G364" s="22"/>
      <c r="H364" t="s">
        <v>143</v>
      </c>
    </row>
    <row r="365" spans="1:8" x14ac:dyDescent="0.2">
      <c r="A365" t="s">
        <v>1548</v>
      </c>
      <c r="B365" t="s">
        <v>1549</v>
      </c>
      <c r="C365" s="19"/>
      <c r="D365" s="19"/>
      <c r="E365" s="19">
        <v>0</v>
      </c>
      <c r="F365" s="19">
        <v>0</v>
      </c>
      <c r="G365" s="22"/>
      <c r="H365" t="s">
        <v>143</v>
      </c>
    </row>
    <row r="366" spans="1:8" x14ac:dyDescent="0.2">
      <c r="A366" t="s">
        <v>3053</v>
      </c>
      <c r="B366" t="s">
        <v>3054</v>
      </c>
      <c r="C366" s="19"/>
      <c r="D366" s="19"/>
      <c r="E366" s="19">
        <v>0</v>
      </c>
      <c r="F366" s="19">
        <v>0</v>
      </c>
      <c r="G366" s="22"/>
      <c r="H366" t="s">
        <v>143</v>
      </c>
    </row>
    <row r="367" spans="1:8" x14ac:dyDescent="0.2">
      <c r="A367" t="s">
        <v>269</v>
      </c>
      <c r="B367" t="s">
        <v>270</v>
      </c>
      <c r="C367" s="19"/>
      <c r="D367" s="19"/>
      <c r="E367" s="19">
        <v>0</v>
      </c>
      <c r="F367" s="19">
        <v>0</v>
      </c>
      <c r="G367" s="22"/>
      <c r="H367" t="s">
        <v>143</v>
      </c>
    </row>
    <row r="368" spans="1:8" x14ac:dyDescent="0.2">
      <c r="A368" t="s">
        <v>261</v>
      </c>
      <c r="B368" t="s">
        <v>262</v>
      </c>
      <c r="C368" s="19"/>
      <c r="D368" s="19"/>
      <c r="E368" s="19">
        <v>0</v>
      </c>
      <c r="F368" s="19">
        <v>0</v>
      </c>
      <c r="G368" s="22"/>
      <c r="H368" t="s">
        <v>143</v>
      </c>
    </row>
    <row r="369" spans="1:8" x14ac:dyDescent="0.2">
      <c r="A369" t="s">
        <v>257</v>
      </c>
      <c r="B369" t="s">
        <v>258</v>
      </c>
      <c r="C369" s="19"/>
      <c r="D369" s="19"/>
      <c r="E369" s="19">
        <v>0</v>
      </c>
      <c r="F369" s="19">
        <v>0</v>
      </c>
      <c r="G369" s="22"/>
      <c r="H369" t="s">
        <v>143</v>
      </c>
    </row>
    <row r="370" spans="1:8" x14ac:dyDescent="0.2">
      <c r="A370" t="s">
        <v>1519</v>
      </c>
      <c r="B370" t="s">
        <v>1520</v>
      </c>
      <c r="C370" s="19"/>
      <c r="D370" s="19"/>
      <c r="E370" s="19">
        <v>0</v>
      </c>
      <c r="F370" s="19">
        <v>0</v>
      </c>
      <c r="G370" s="22"/>
      <c r="H370" t="s">
        <v>143</v>
      </c>
    </row>
    <row r="371" spans="1:8" x14ac:dyDescent="0.2">
      <c r="A371" t="s">
        <v>3066</v>
      </c>
      <c r="B371" t="s">
        <v>3067</v>
      </c>
      <c r="C371" s="19"/>
      <c r="D371" s="19">
        <v>0</v>
      </c>
      <c r="E371" s="19">
        <v>0</v>
      </c>
      <c r="F371" s="19">
        <v>0</v>
      </c>
      <c r="G371" s="22"/>
      <c r="H371" t="s">
        <v>122</v>
      </c>
    </row>
    <row r="372" spans="1:8" x14ac:dyDescent="0.2">
      <c r="A372" t="s">
        <v>3068</v>
      </c>
      <c r="B372" t="s">
        <v>3069</v>
      </c>
      <c r="C372" s="19"/>
      <c r="D372" s="19"/>
      <c r="E372" s="19">
        <v>0</v>
      </c>
      <c r="F372" s="19">
        <v>0</v>
      </c>
      <c r="G372" s="22"/>
      <c r="H372" t="s">
        <v>143</v>
      </c>
    </row>
    <row r="373" spans="1:8" x14ac:dyDescent="0.2">
      <c r="A373" t="s">
        <v>1543</v>
      </c>
      <c r="B373" t="s">
        <v>1544</v>
      </c>
      <c r="C373" s="19"/>
      <c r="D373" s="19">
        <v>0</v>
      </c>
      <c r="E373" s="19">
        <v>0</v>
      </c>
      <c r="F373" s="19">
        <v>0</v>
      </c>
      <c r="G373" s="22"/>
      <c r="H373" t="s">
        <v>122</v>
      </c>
    </row>
    <row r="374" spans="1:8" x14ac:dyDescent="0.2">
      <c r="A374" t="s">
        <v>249</v>
      </c>
      <c r="B374" t="s">
        <v>250</v>
      </c>
      <c r="C374" s="19"/>
      <c r="D374" s="19"/>
      <c r="E374" s="19">
        <v>0</v>
      </c>
      <c r="F374" s="19">
        <v>0</v>
      </c>
      <c r="G374" s="22"/>
      <c r="H374" t="s">
        <v>143</v>
      </c>
    </row>
    <row r="375" spans="1:8" x14ac:dyDescent="0.2">
      <c r="A375" t="s">
        <v>240</v>
      </c>
      <c r="B375" t="s">
        <v>241</v>
      </c>
      <c r="C375" s="19"/>
      <c r="D375" s="19"/>
      <c r="E375" s="19">
        <v>0</v>
      </c>
      <c r="F375" s="19">
        <v>0</v>
      </c>
      <c r="G375" s="22"/>
      <c r="H375" t="s">
        <v>143</v>
      </c>
    </row>
    <row r="376" spans="1:8" x14ac:dyDescent="0.2">
      <c r="A376" t="s">
        <v>3076</v>
      </c>
      <c r="B376" t="s">
        <v>3077</v>
      </c>
      <c r="C376" s="19"/>
      <c r="D376" s="19">
        <v>0</v>
      </c>
      <c r="E376" s="19">
        <v>0</v>
      </c>
      <c r="F376" s="19">
        <v>0</v>
      </c>
      <c r="G376" s="22"/>
      <c r="H376" t="s">
        <v>122</v>
      </c>
    </row>
    <row r="377" spans="1:8" x14ac:dyDescent="0.2">
      <c r="A377" t="s">
        <v>1536</v>
      </c>
      <c r="B377" t="s">
        <v>1537</v>
      </c>
      <c r="C377" s="19"/>
      <c r="D377" s="19">
        <v>0</v>
      </c>
      <c r="E377" s="19">
        <v>0</v>
      </c>
      <c r="F377" s="19">
        <v>0</v>
      </c>
      <c r="G377" s="22"/>
      <c r="H377" t="s">
        <v>122</v>
      </c>
    </row>
    <row r="378" spans="1:8" x14ac:dyDescent="0.2">
      <c r="A378" t="s">
        <v>230</v>
      </c>
      <c r="B378" t="s">
        <v>231</v>
      </c>
      <c r="C378" s="19"/>
      <c r="D378" s="19"/>
      <c r="E378" s="19">
        <v>0</v>
      </c>
      <c r="F378" s="19">
        <v>0</v>
      </c>
      <c r="G378" s="22"/>
      <c r="H378" t="s">
        <v>143</v>
      </c>
    </row>
    <row r="379" spans="1:8" x14ac:dyDescent="0.2">
      <c r="A379" t="s">
        <v>3085</v>
      </c>
      <c r="B379" t="s">
        <v>3086</v>
      </c>
      <c r="C379" s="19"/>
      <c r="D379" s="19">
        <v>0</v>
      </c>
      <c r="E379" s="19">
        <v>0</v>
      </c>
      <c r="F379" s="19">
        <v>0</v>
      </c>
      <c r="G379" s="22"/>
      <c r="H379" t="s">
        <v>122</v>
      </c>
    </row>
    <row r="380" spans="1:8" x14ac:dyDescent="0.2">
      <c r="A380" t="s">
        <v>3087</v>
      </c>
      <c r="B380" t="s">
        <v>3088</v>
      </c>
      <c r="C380" s="19"/>
      <c r="D380" s="19">
        <v>0</v>
      </c>
      <c r="E380" s="19">
        <v>0</v>
      </c>
      <c r="F380" s="19">
        <v>0</v>
      </c>
      <c r="G380" s="22"/>
      <c r="H380" t="s">
        <v>122</v>
      </c>
    </row>
    <row r="381" spans="1:8" x14ac:dyDescent="0.2">
      <c r="A381" t="s">
        <v>222</v>
      </c>
      <c r="B381" t="s">
        <v>223</v>
      </c>
      <c r="C381" s="19"/>
      <c r="D381" s="19"/>
      <c r="E381" s="19">
        <v>0</v>
      </c>
      <c r="F381" s="19">
        <v>0</v>
      </c>
      <c r="G381" s="22"/>
      <c r="H381" t="s">
        <v>143</v>
      </c>
    </row>
    <row r="382" spans="1:8" x14ac:dyDescent="0.2">
      <c r="A382" t="s">
        <v>202</v>
      </c>
      <c r="B382" t="s">
        <v>203</v>
      </c>
      <c r="C382" s="19"/>
      <c r="D382" s="19"/>
      <c r="E382" s="19">
        <v>0</v>
      </c>
      <c r="F382" s="19">
        <v>0</v>
      </c>
      <c r="G382" s="22"/>
      <c r="H382" t="s">
        <v>143</v>
      </c>
    </row>
    <row r="383" spans="1:8" x14ac:dyDescent="0.2">
      <c r="A383" t="s">
        <v>2677</v>
      </c>
      <c r="B383" t="s">
        <v>2678</v>
      </c>
      <c r="C383" s="19"/>
      <c r="D383" s="19"/>
      <c r="E383" s="19">
        <v>0</v>
      </c>
      <c r="F383" s="19">
        <v>0</v>
      </c>
      <c r="G383" s="22"/>
      <c r="H383" t="s">
        <v>1648</v>
      </c>
    </row>
    <row r="384" spans="1:8" x14ac:dyDescent="0.2">
      <c r="A384" t="s">
        <v>2690</v>
      </c>
      <c r="B384" t="s">
        <v>2691</v>
      </c>
      <c r="C384" s="19"/>
      <c r="D384" s="19"/>
      <c r="E384" s="19">
        <v>0</v>
      </c>
      <c r="F384" s="19">
        <v>0</v>
      </c>
      <c r="G384" s="22"/>
      <c r="H384" t="s">
        <v>143</v>
      </c>
    </row>
    <row r="385" spans="1:8" x14ac:dyDescent="0.2">
      <c r="A385" t="s">
        <v>1185</v>
      </c>
      <c r="B385" t="s">
        <v>1186</v>
      </c>
      <c r="C385" s="19"/>
      <c r="D385" s="19"/>
      <c r="E385" s="19">
        <v>0</v>
      </c>
      <c r="F385" s="19">
        <v>0</v>
      </c>
      <c r="G385" s="22"/>
      <c r="H385" t="s">
        <v>143</v>
      </c>
    </row>
    <row r="386" spans="1:8" x14ac:dyDescent="0.2">
      <c r="A386" t="s">
        <v>1883</v>
      </c>
      <c r="B386" t="s">
        <v>1884</v>
      </c>
      <c r="C386" s="19"/>
      <c r="D386" s="19">
        <v>0</v>
      </c>
      <c r="E386" s="19">
        <v>0</v>
      </c>
      <c r="F386" s="19">
        <v>0</v>
      </c>
      <c r="G386" s="22"/>
      <c r="H386" t="s">
        <v>122</v>
      </c>
    </row>
    <row r="387" spans="1:8" x14ac:dyDescent="0.2">
      <c r="A387" t="s">
        <v>2172</v>
      </c>
      <c r="B387" t="s">
        <v>2173</v>
      </c>
      <c r="C387" s="19"/>
      <c r="D387" s="19">
        <v>0</v>
      </c>
      <c r="E387" s="19">
        <v>0</v>
      </c>
      <c r="F387" s="19">
        <v>0</v>
      </c>
      <c r="G387" s="22"/>
      <c r="H387" t="s">
        <v>122</v>
      </c>
    </row>
    <row r="388" spans="1:8" x14ac:dyDescent="0.2">
      <c r="A388" t="s">
        <v>1895</v>
      </c>
      <c r="B388" t="s">
        <v>1896</v>
      </c>
      <c r="C388" s="19"/>
      <c r="D388" s="19">
        <v>0</v>
      </c>
      <c r="E388" s="19">
        <v>0</v>
      </c>
      <c r="F388" s="19">
        <v>0</v>
      </c>
      <c r="G388" s="22"/>
      <c r="H388" t="s">
        <v>122</v>
      </c>
    </row>
    <row r="389" spans="1:8" x14ac:dyDescent="0.2">
      <c r="A389" t="s">
        <v>2180</v>
      </c>
      <c r="B389" t="s">
        <v>2181</v>
      </c>
      <c r="C389" s="19">
        <v>1150</v>
      </c>
      <c r="D389" s="19">
        <v>1150</v>
      </c>
      <c r="E389" s="19">
        <v>0</v>
      </c>
      <c r="F389" s="19">
        <v>0</v>
      </c>
      <c r="G389">
        <v>0</v>
      </c>
      <c r="H389" t="s">
        <v>122</v>
      </c>
    </row>
    <row r="390" spans="1:8" x14ac:dyDescent="0.2">
      <c r="A390" t="s">
        <v>2190</v>
      </c>
      <c r="B390" t="s">
        <v>2191</v>
      </c>
      <c r="C390" s="19">
        <v>1400</v>
      </c>
      <c r="D390" s="19">
        <v>1400</v>
      </c>
      <c r="E390" s="19">
        <v>0</v>
      </c>
      <c r="F390" s="19">
        <v>0</v>
      </c>
      <c r="G390">
        <v>0</v>
      </c>
      <c r="H390" t="s">
        <v>122</v>
      </c>
    </row>
    <row r="391" spans="1:8" x14ac:dyDescent="0.2">
      <c r="A391" t="s">
        <v>699</v>
      </c>
      <c r="B391" t="s">
        <v>700</v>
      </c>
      <c r="C391" s="19"/>
      <c r="D391" s="19"/>
      <c r="E391" s="19">
        <v>0</v>
      </c>
      <c r="F391" s="19">
        <v>0</v>
      </c>
      <c r="G391" s="22"/>
      <c r="H391" t="s">
        <v>143</v>
      </c>
    </row>
    <row r="392" spans="1:8" x14ac:dyDescent="0.2">
      <c r="A392" t="s">
        <v>2202</v>
      </c>
      <c r="B392" t="s">
        <v>2203</v>
      </c>
      <c r="C392" s="19">
        <v>1825</v>
      </c>
      <c r="D392" s="19">
        <v>1825</v>
      </c>
      <c r="E392" s="19">
        <v>0</v>
      </c>
      <c r="F392" s="19">
        <v>0</v>
      </c>
      <c r="G392">
        <v>0</v>
      </c>
      <c r="H392" t="s">
        <v>122</v>
      </c>
    </row>
    <row r="393" spans="1:8" x14ac:dyDescent="0.2">
      <c r="A393" t="s">
        <v>2211</v>
      </c>
      <c r="B393" t="s">
        <v>2212</v>
      </c>
      <c r="C393" s="19"/>
      <c r="D393" s="19">
        <v>0</v>
      </c>
      <c r="E393" s="19">
        <v>0</v>
      </c>
      <c r="F393" s="19">
        <v>0</v>
      </c>
      <c r="G393" s="22"/>
      <c r="H393" t="s">
        <v>122</v>
      </c>
    </row>
    <row r="394" spans="1:8" x14ac:dyDescent="0.2">
      <c r="A394" t="s">
        <v>693</v>
      </c>
      <c r="B394" t="s">
        <v>694</v>
      </c>
      <c r="C394" s="19"/>
      <c r="D394" s="19"/>
      <c r="E394" s="19">
        <v>0</v>
      </c>
      <c r="F394" s="19">
        <v>0</v>
      </c>
      <c r="G394" s="22"/>
      <c r="H394" t="s">
        <v>143</v>
      </c>
    </row>
    <row r="395" spans="1:8" x14ac:dyDescent="0.2">
      <c r="A395" t="s">
        <v>688</v>
      </c>
      <c r="B395" t="s">
        <v>689</v>
      </c>
      <c r="C395" s="19"/>
      <c r="D395" s="19"/>
      <c r="E395" s="19">
        <v>0</v>
      </c>
      <c r="F395" s="19">
        <v>0</v>
      </c>
      <c r="G395" s="22"/>
      <c r="H395" t="s">
        <v>143</v>
      </c>
    </row>
    <row r="396" spans="1:8" x14ac:dyDescent="0.2">
      <c r="A396" t="s">
        <v>2216</v>
      </c>
      <c r="B396" t="s">
        <v>2217</v>
      </c>
      <c r="C396" s="19">
        <v>1375</v>
      </c>
      <c r="D396" s="19">
        <v>1375</v>
      </c>
      <c r="E396" s="19">
        <v>0</v>
      </c>
      <c r="F396" s="19">
        <v>0</v>
      </c>
      <c r="G396">
        <v>0</v>
      </c>
      <c r="H396" t="s">
        <v>122</v>
      </c>
    </row>
    <row r="397" spans="1:8" x14ac:dyDescent="0.2">
      <c r="A397" t="s">
        <v>2229</v>
      </c>
      <c r="B397" t="s">
        <v>2230</v>
      </c>
      <c r="C397" s="19">
        <v>2625</v>
      </c>
      <c r="D397" s="19">
        <v>2625</v>
      </c>
      <c r="E397" s="19">
        <v>0</v>
      </c>
      <c r="F397" s="19">
        <v>0</v>
      </c>
      <c r="G397">
        <v>0</v>
      </c>
      <c r="H397" t="s">
        <v>122</v>
      </c>
    </row>
    <row r="398" spans="1:8" x14ac:dyDescent="0.2">
      <c r="A398" t="s">
        <v>2235</v>
      </c>
      <c r="B398" t="s">
        <v>2236</v>
      </c>
      <c r="C398" s="19">
        <v>2600</v>
      </c>
      <c r="D398" s="19">
        <v>2600</v>
      </c>
      <c r="E398" s="19">
        <v>0</v>
      </c>
      <c r="F398" s="19">
        <v>0</v>
      </c>
      <c r="G398">
        <v>0</v>
      </c>
      <c r="H398" t="s">
        <v>122</v>
      </c>
    </row>
    <row r="399" spans="1:8" x14ac:dyDescent="0.2">
      <c r="A399" t="s">
        <v>2250</v>
      </c>
      <c r="B399" t="s">
        <v>2251</v>
      </c>
      <c r="C399" s="19">
        <v>1800</v>
      </c>
      <c r="D399" s="19">
        <v>1800</v>
      </c>
      <c r="E399" s="19">
        <v>0</v>
      </c>
      <c r="F399" s="19">
        <v>0</v>
      </c>
      <c r="G399">
        <v>0</v>
      </c>
      <c r="H399" t="s">
        <v>122</v>
      </c>
    </row>
    <row r="400" spans="1:8" x14ac:dyDescent="0.2">
      <c r="A400" t="s">
        <v>1891</v>
      </c>
      <c r="B400" t="s">
        <v>1892</v>
      </c>
      <c r="C400" s="19"/>
      <c r="D400" s="19">
        <v>0</v>
      </c>
      <c r="E400" s="19">
        <v>0</v>
      </c>
      <c r="F400" s="19">
        <v>0</v>
      </c>
      <c r="G400" s="22"/>
      <c r="H400" t="s">
        <v>122</v>
      </c>
    </row>
    <row r="401" spans="1:8" x14ac:dyDescent="0.2">
      <c r="A401" t="s">
        <v>2262</v>
      </c>
      <c r="B401" t="s">
        <v>2263</v>
      </c>
      <c r="C401" s="19">
        <v>2000</v>
      </c>
      <c r="D401" s="19">
        <v>2000</v>
      </c>
      <c r="E401" s="19">
        <v>0</v>
      </c>
      <c r="F401" s="19">
        <v>0</v>
      </c>
      <c r="G401">
        <v>0</v>
      </c>
      <c r="H401" t="s">
        <v>122</v>
      </c>
    </row>
    <row r="402" spans="1:8" x14ac:dyDescent="0.2">
      <c r="A402" t="s">
        <v>2266</v>
      </c>
      <c r="B402" t="s">
        <v>2267</v>
      </c>
      <c r="C402" s="19"/>
      <c r="D402" s="19"/>
      <c r="E402" s="19">
        <v>0</v>
      </c>
      <c r="F402" s="19">
        <v>0</v>
      </c>
      <c r="G402" s="22"/>
      <c r="H402" t="s">
        <v>143</v>
      </c>
    </row>
    <row r="403" spans="1:8" x14ac:dyDescent="0.2">
      <c r="A403" t="s">
        <v>658</v>
      </c>
      <c r="B403" t="s">
        <v>659</v>
      </c>
      <c r="C403" s="19"/>
      <c r="D403" s="19"/>
      <c r="E403" s="19">
        <v>0</v>
      </c>
      <c r="F403" s="19">
        <v>0</v>
      </c>
      <c r="G403" s="22"/>
      <c r="H403" t="s">
        <v>143</v>
      </c>
    </row>
    <row r="404" spans="1:8" x14ac:dyDescent="0.2">
      <c r="A404" t="s">
        <v>649</v>
      </c>
      <c r="B404" t="s">
        <v>650</v>
      </c>
      <c r="C404" s="19"/>
      <c r="D404" s="19"/>
      <c r="E404" s="19">
        <v>0</v>
      </c>
      <c r="F404" s="19">
        <v>0</v>
      </c>
      <c r="G404" s="22"/>
      <c r="H404" t="s">
        <v>143</v>
      </c>
    </row>
    <row r="405" spans="1:8" x14ac:dyDescent="0.2">
      <c r="A405" t="s">
        <v>2277</v>
      </c>
      <c r="B405" t="s">
        <v>2278</v>
      </c>
      <c r="C405" s="19"/>
      <c r="D405" s="19"/>
      <c r="E405" s="19">
        <v>0</v>
      </c>
      <c r="F405" s="19">
        <v>0</v>
      </c>
      <c r="G405" s="22"/>
      <c r="H405" t="s">
        <v>143</v>
      </c>
    </row>
    <row r="406" spans="1:8" x14ac:dyDescent="0.2">
      <c r="A406" t="s">
        <v>2279</v>
      </c>
      <c r="B406" t="s">
        <v>2280</v>
      </c>
      <c r="C406" s="19"/>
      <c r="D406" s="19">
        <v>0</v>
      </c>
      <c r="E406" s="19">
        <v>0</v>
      </c>
      <c r="F406" s="19">
        <v>0</v>
      </c>
      <c r="G406" s="22"/>
      <c r="H406" t="s">
        <v>122</v>
      </c>
    </row>
    <row r="407" spans="1:8" x14ac:dyDescent="0.2">
      <c r="A407" t="s">
        <v>636</v>
      </c>
      <c r="B407" t="s">
        <v>637</v>
      </c>
      <c r="C407" s="19"/>
      <c r="D407" s="19"/>
      <c r="E407" s="19">
        <v>0</v>
      </c>
      <c r="F407" s="19">
        <v>0</v>
      </c>
      <c r="G407" s="22"/>
      <c r="H407" t="s">
        <v>143</v>
      </c>
    </row>
    <row r="408" spans="1:8" x14ac:dyDescent="0.2">
      <c r="A408" t="s">
        <v>615</v>
      </c>
      <c r="B408" t="s">
        <v>616</v>
      </c>
      <c r="C408" s="19"/>
      <c r="D408" s="19"/>
      <c r="E408" s="19">
        <v>0</v>
      </c>
      <c r="F408" s="19">
        <v>0</v>
      </c>
      <c r="G408" s="22"/>
      <c r="H408" t="s">
        <v>143</v>
      </c>
    </row>
    <row r="409" spans="1:8" x14ac:dyDescent="0.2">
      <c r="A409" t="s">
        <v>606</v>
      </c>
      <c r="B409" t="s">
        <v>607</v>
      </c>
      <c r="C409" s="19"/>
      <c r="D409" s="19"/>
      <c r="E409" s="19">
        <v>0</v>
      </c>
      <c r="F409" s="19">
        <v>0</v>
      </c>
      <c r="G409" s="22"/>
      <c r="H409" t="s">
        <v>143</v>
      </c>
    </row>
    <row r="410" spans="1:8" x14ac:dyDescent="0.2">
      <c r="A410" t="s">
        <v>2308</v>
      </c>
      <c r="B410" t="s">
        <v>2309</v>
      </c>
      <c r="C410" s="19"/>
      <c r="D410" s="19"/>
      <c r="E410" s="19">
        <v>0</v>
      </c>
      <c r="F410" s="19">
        <v>0</v>
      </c>
      <c r="G410" s="22"/>
      <c r="H410" t="s">
        <v>143</v>
      </c>
    </row>
    <row r="411" spans="1:8" x14ac:dyDescent="0.2">
      <c r="A411" t="s">
        <v>1886</v>
      </c>
      <c r="B411" t="s">
        <v>1887</v>
      </c>
      <c r="C411" s="19"/>
      <c r="D411" s="19">
        <v>0</v>
      </c>
      <c r="E411" s="19">
        <v>0</v>
      </c>
      <c r="F411" s="19">
        <v>0</v>
      </c>
      <c r="G411" s="22"/>
      <c r="H411" t="s">
        <v>122</v>
      </c>
    </row>
    <row r="412" spans="1:8" x14ac:dyDescent="0.2">
      <c r="A412" t="s">
        <v>2321</v>
      </c>
      <c r="B412" t="s">
        <v>2322</v>
      </c>
      <c r="C412" s="19"/>
      <c r="D412" s="19"/>
      <c r="E412" s="19">
        <v>0</v>
      </c>
      <c r="F412" s="19">
        <v>0</v>
      </c>
      <c r="G412" s="22"/>
      <c r="H412" t="s">
        <v>143</v>
      </c>
    </row>
    <row r="413" spans="1:8" x14ac:dyDescent="0.2">
      <c r="A413" t="s">
        <v>579</v>
      </c>
      <c r="B413" t="s">
        <v>580</v>
      </c>
      <c r="C413" s="19"/>
      <c r="D413" s="19"/>
      <c r="E413" s="19">
        <v>0</v>
      </c>
      <c r="F413" s="19">
        <v>0</v>
      </c>
      <c r="G413" s="22"/>
      <c r="H413" t="s">
        <v>143</v>
      </c>
    </row>
    <row r="414" spans="1:8" x14ac:dyDescent="0.2">
      <c r="A414" t="s">
        <v>1900</v>
      </c>
      <c r="B414" t="s">
        <v>1901</v>
      </c>
      <c r="C414" s="19"/>
      <c r="D414" s="19"/>
      <c r="E414" s="19">
        <v>0</v>
      </c>
      <c r="F414" s="19">
        <v>0</v>
      </c>
      <c r="G414" s="22"/>
      <c r="H414" t="s">
        <v>143</v>
      </c>
    </row>
    <row r="415" spans="1:8" x14ac:dyDescent="0.2">
      <c r="A415" t="s">
        <v>2143</v>
      </c>
      <c r="B415" t="s">
        <v>2144</v>
      </c>
      <c r="C415" s="19"/>
      <c r="D415" s="19"/>
      <c r="E415" s="19">
        <v>0</v>
      </c>
      <c r="F415" s="19">
        <v>0</v>
      </c>
      <c r="G415" s="22"/>
      <c r="H415" t="s">
        <v>143</v>
      </c>
    </row>
    <row r="416" spans="1:8" x14ac:dyDescent="0.2">
      <c r="A416" t="s">
        <v>2131</v>
      </c>
      <c r="B416" t="s">
        <v>2132</v>
      </c>
      <c r="C416" s="19"/>
      <c r="D416" s="19"/>
      <c r="E416" s="19">
        <v>0</v>
      </c>
      <c r="F416" s="19">
        <v>0</v>
      </c>
      <c r="G416" s="22"/>
      <c r="H416" t="s">
        <v>143</v>
      </c>
    </row>
    <row r="417" spans="1:8" x14ac:dyDescent="0.2">
      <c r="A417" t="s">
        <v>844</v>
      </c>
      <c r="B417" t="s">
        <v>845</v>
      </c>
      <c r="C417" s="19"/>
      <c r="D417" s="19"/>
      <c r="E417" s="19">
        <v>0</v>
      </c>
      <c r="F417" s="19">
        <v>0</v>
      </c>
      <c r="G417" s="22"/>
      <c r="H417" t="s">
        <v>143</v>
      </c>
    </row>
    <row r="418" spans="1:8" x14ac:dyDescent="0.2">
      <c r="A418" t="s">
        <v>916</v>
      </c>
      <c r="B418" t="s">
        <v>917</v>
      </c>
      <c r="C418" s="19"/>
      <c r="D418" s="19"/>
      <c r="E418" s="19">
        <v>0</v>
      </c>
      <c r="F418" s="19">
        <v>0</v>
      </c>
      <c r="G418" s="22"/>
      <c r="H418" t="s">
        <v>143</v>
      </c>
    </row>
    <row r="419" spans="1:8" x14ac:dyDescent="0.2">
      <c r="A419" t="s">
        <v>908</v>
      </c>
      <c r="B419" t="s">
        <v>909</v>
      </c>
      <c r="C419" s="19"/>
      <c r="D419" s="19"/>
      <c r="E419" s="19">
        <v>0</v>
      </c>
      <c r="F419" s="19">
        <v>0</v>
      </c>
      <c r="G419" s="22"/>
      <c r="H419" t="s">
        <v>143</v>
      </c>
    </row>
    <row r="420" spans="1:8" x14ac:dyDescent="0.2">
      <c r="A420" t="s">
        <v>1953</v>
      </c>
      <c r="B420" t="s">
        <v>1954</v>
      </c>
      <c r="C420" s="19"/>
      <c r="D420" s="19">
        <v>0</v>
      </c>
      <c r="E420" s="19">
        <v>0</v>
      </c>
      <c r="F420" s="19">
        <v>0</v>
      </c>
      <c r="G420" s="22"/>
      <c r="H420" t="s">
        <v>122</v>
      </c>
    </row>
    <row r="421" spans="1:8" x14ac:dyDescent="0.2">
      <c r="A421" t="s">
        <v>900</v>
      </c>
      <c r="B421" t="s">
        <v>901</v>
      </c>
      <c r="C421" s="19"/>
      <c r="D421" s="19"/>
      <c r="E421" s="19">
        <v>0</v>
      </c>
      <c r="F421" s="19">
        <v>0</v>
      </c>
      <c r="G421" s="22"/>
      <c r="H421" t="s">
        <v>143</v>
      </c>
    </row>
    <row r="422" spans="1:8" x14ac:dyDescent="0.2">
      <c r="A422" t="s">
        <v>1961</v>
      </c>
      <c r="B422" t="s">
        <v>1962</v>
      </c>
      <c r="C422" s="19">
        <v>895</v>
      </c>
      <c r="D422" s="19">
        <v>895</v>
      </c>
      <c r="E422" s="19">
        <v>0</v>
      </c>
      <c r="F422" s="19">
        <v>0</v>
      </c>
      <c r="G422">
        <v>0</v>
      </c>
      <c r="H422" t="s">
        <v>122</v>
      </c>
    </row>
    <row r="423" spans="1:8" x14ac:dyDescent="0.2">
      <c r="A423" t="s">
        <v>878</v>
      </c>
      <c r="B423" t="s">
        <v>879</v>
      </c>
      <c r="C423" s="19"/>
      <c r="D423" s="19"/>
      <c r="E423" s="19">
        <v>0</v>
      </c>
      <c r="F423" s="19">
        <v>0</v>
      </c>
      <c r="G423" s="22"/>
      <c r="H423" t="s">
        <v>143</v>
      </c>
    </row>
    <row r="424" spans="1:8" x14ac:dyDescent="0.2">
      <c r="A424" t="s">
        <v>869</v>
      </c>
      <c r="B424" t="s">
        <v>870</v>
      </c>
      <c r="C424" s="19"/>
      <c r="D424" s="19"/>
      <c r="E424" s="19">
        <v>0</v>
      </c>
      <c r="F424" s="19">
        <v>0</v>
      </c>
      <c r="G424" s="22"/>
      <c r="H424" t="s">
        <v>143</v>
      </c>
    </row>
    <row r="425" spans="1:8" x14ac:dyDescent="0.2">
      <c r="A425" t="s">
        <v>2004</v>
      </c>
      <c r="B425" t="s">
        <v>2005</v>
      </c>
      <c r="C425" s="19"/>
      <c r="D425" s="19">
        <v>0</v>
      </c>
      <c r="E425" s="19">
        <v>0</v>
      </c>
      <c r="F425" s="19">
        <v>0</v>
      </c>
      <c r="G425" s="22"/>
      <c r="H425" t="s">
        <v>122</v>
      </c>
    </row>
    <row r="426" spans="1:8" x14ac:dyDescent="0.2">
      <c r="A426" t="s">
        <v>2008</v>
      </c>
      <c r="B426" t="s">
        <v>2009</v>
      </c>
      <c r="C426" s="19"/>
      <c r="D426" s="19">
        <v>0</v>
      </c>
      <c r="E426" s="19">
        <v>0</v>
      </c>
      <c r="F426" s="19">
        <v>0</v>
      </c>
      <c r="G426" s="22"/>
      <c r="H426" t="s">
        <v>122</v>
      </c>
    </row>
    <row r="427" spans="1:8" x14ac:dyDescent="0.2">
      <c r="A427" t="s">
        <v>852</v>
      </c>
      <c r="B427" t="s">
        <v>853</v>
      </c>
      <c r="C427" s="19"/>
      <c r="D427" s="19"/>
      <c r="E427" s="19">
        <v>0</v>
      </c>
      <c r="F427" s="19">
        <v>0</v>
      </c>
      <c r="G427" s="22"/>
      <c r="H427" t="s">
        <v>143</v>
      </c>
    </row>
    <row r="428" spans="1:8" x14ac:dyDescent="0.2">
      <c r="A428" t="s">
        <v>2015</v>
      </c>
      <c r="B428" t="s">
        <v>2016</v>
      </c>
      <c r="C428" s="19"/>
      <c r="D428" s="19">
        <v>0</v>
      </c>
      <c r="E428" s="19">
        <v>0</v>
      </c>
      <c r="F428" s="19">
        <v>0</v>
      </c>
      <c r="G428" s="22"/>
      <c r="H428" t="s">
        <v>122</v>
      </c>
    </row>
    <row r="429" spans="1:8" x14ac:dyDescent="0.2">
      <c r="A429" t="s">
        <v>2017</v>
      </c>
      <c r="B429" t="s">
        <v>2018</v>
      </c>
      <c r="C429" s="19"/>
      <c r="D429" s="19"/>
      <c r="E429" s="19">
        <v>0</v>
      </c>
      <c r="F429" s="19">
        <v>0</v>
      </c>
      <c r="G429" s="22"/>
      <c r="H429" t="s">
        <v>143</v>
      </c>
    </row>
    <row r="430" spans="1:8" x14ac:dyDescent="0.2">
      <c r="A430" t="s">
        <v>839</v>
      </c>
      <c r="B430" t="s">
        <v>840</v>
      </c>
      <c r="C430" s="19"/>
      <c r="D430" s="19"/>
      <c r="E430" s="19">
        <v>0</v>
      </c>
      <c r="F430" s="19">
        <v>0</v>
      </c>
      <c r="G430" s="22"/>
      <c r="H430" t="s">
        <v>143</v>
      </c>
    </row>
    <row r="431" spans="1:8" x14ac:dyDescent="0.2">
      <c r="A431" t="s">
        <v>2125</v>
      </c>
      <c r="B431" t="s">
        <v>2126</v>
      </c>
      <c r="C431" s="19"/>
      <c r="D431" s="19"/>
      <c r="E431" s="19">
        <v>0</v>
      </c>
      <c r="F431" s="19">
        <v>0</v>
      </c>
      <c r="G431" s="22"/>
      <c r="H431" t="s">
        <v>143</v>
      </c>
    </row>
    <row r="432" spans="1:8" x14ac:dyDescent="0.2">
      <c r="A432" t="s">
        <v>831</v>
      </c>
      <c r="B432" t="s">
        <v>832</v>
      </c>
      <c r="C432" s="19"/>
      <c r="D432" s="19"/>
      <c r="E432" s="19">
        <v>0</v>
      </c>
      <c r="F432" s="19">
        <v>0</v>
      </c>
      <c r="G432" s="22"/>
      <c r="H432" t="s">
        <v>143</v>
      </c>
    </row>
    <row r="433" spans="1:8" x14ac:dyDescent="0.2">
      <c r="A433" t="s">
        <v>2031</v>
      </c>
      <c r="B433" t="s">
        <v>2032</v>
      </c>
      <c r="C433" s="19"/>
      <c r="D433" s="19"/>
      <c r="E433" s="19">
        <v>0</v>
      </c>
      <c r="F433" s="19">
        <v>0</v>
      </c>
      <c r="G433" s="22"/>
      <c r="H433" t="s">
        <v>143</v>
      </c>
    </row>
    <row r="434" spans="1:8" x14ac:dyDescent="0.2">
      <c r="A434" t="s">
        <v>928</v>
      </c>
      <c r="B434" t="s">
        <v>929</v>
      </c>
      <c r="C434" s="19"/>
      <c r="D434" s="19"/>
      <c r="E434" s="19">
        <v>0</v>
      </c>
      <c r="F434" s="19">
        <v>0</v>
      </c>
      <c r="G434" s="22"/>
      <c r="H434" t="s">
        <v>143</v>
      </c>
    </row>
    <row r="435" spans="1:8" x14ac:dyDescent="0.2">
      <c r="A435" t="s">
        <v>789</v>
      </c>
      <c r="B435" t="s">
        <v>790</v>
      </c>
      <c r="C435" s="19"/>
      <c r="D435" s="19"/>
      <c r="E435" s="19">
        <v>0</v>
      </c>
      <c r="F435" s="19">
        <v>0</v>
      </c>
      <c r="G435" s="22"/>
      <c r="H435" t="s">
        <v>143</v>
      </c>
    </row>
    <row r="436" spans="1:8" x14ac:dyDescent="0.2">
      <c r="A436" t="s">
        <v>2047</v>
      </c>
      <c r="B436" t="s">
        <v>2048</v>
      </c>
      <c r="C436" s="19"/>
      <c r="D436" s="19"/>
      <c r="E436" s="19">
        <v>0</v>
      </c>
      <c r="F436" s="19">
        <v>0</v>
      </c>
      <c r="G436" s="22"/>
      <c r="H436" t="s">
        <v>143</v>
      </c>
    </row>
    <row r="437" spans="1:8" x14ac:dyDescent="0.2">
      <c r="A437" t="s">
        <v>753</v>
      </c>
      <c r="B437" t="s">
        <v>754</v>
      </c>
      <c r="C437" s="19"/>
      <c r="D437" s="19"/>
      <c r="E437" s="19">
        <v>0</v>
      </c>
      <c r="F437" s="19">
        <v>0</v>
      </c>
      <c r="G437" s="22"/>
      <c r="H437" t="s">
        <v>143</v>
      </c>
    </row>
    <row r="438" spans="1:8" x14ac:dyDescent="0.2">
      <c r="A438" t="s">
        <v>745</v>
      </c>
      <c r="B438" t="s">
        <v>746</v>
      </c>
      <c r="C438" s="19">
        <v>2509.85</v>
      </c>
      <c r="D438" s="19">
        <v>2509.85</v>
      </c>
      <c r="E438" s="19">
        <v>0</v>
      </c>
      <c r="F438" s="19">
        <v>0</v>
      </c>
      <c r="G438">
        <v>0</v>
      </c>
      <c r="H438" t="s">
        <v>122</v>
      </c>
    </row>
    <row r="439" spans="1:8" x14ac:dyDescent="0.2">
      <c r="A439" t="s">
        <v>736</v>
      </c>
      <c r="B439" t="s">
        <v>737</v>
      </c>
      <c r="C439" s="19"/>
      <c r="D439" s="19"/>
      <c r="E439" s="19">
        <v>0</v>
      </c>
      <c r="F439" s="19">
        <v>0</v>
      </c>
      <c r="G439" s="22"/>
      <c r="H439" t="s">
        <v>143</v>
      </c>
    </row>
    <row r="440" spans="1:8" x14ac:dyDescent="0.2">
      <c r="A440" t="s">
        <v>728</v>
      </c>
      <c r="B440" t="s">
        <v>729</v>
      </c>
      <c r="C440" s="19"/>
      <c r="D440" s="19"/>
      <c r="E440" s="19">
        <v>0</v>
      </c>
      <c r="F440" s="19">
        <v>0</v>
      </c>
      <c r="G440" s="22"/>
      <c r="H440" t="s">
        <v>143</v>
      </c>
    </row>
    <row r="441" spans="1:8" x14ac:dyDescent="0.2">
      <c r="A441" t="s">
        <v>943</v>
      </c>
      <c r="B441" t="s">
        <v>944</v>
      </c>
      <c r="C441" s="19"/>
      <c r="D441" s="19"/>
      <c r="E441" s="19">
        <v>0</v>
      </c>
      <c r="F441" s="19">
        <v>0</v>
      </c>
      <c r="G441" s="22"/>
      <c r="H441" t="s">
        <v>143</v>
      </c>
    </row>
    <row r="442" spans="1:8" x14ac:dyDescent="0.2">
      <c r="A442" t="s">
        <v>2113</v>
      </c>
      <c r="B442" t="s">
        <v>2114</v>
      </c>
      <c r="C442" s="19"/>
      <c r="D442" s="19"/>
      <c r="E442" s="19">
        <v>0</v>
      </c>
      <c r="F442" s="19">
        <v>0</v>
      </c>
      <c r="G442" s="22"/>
      <c r="H442" t="s">
        <v>143</v>
      </c>
    </row>
    <row r="443" spans="1:8" x14ac:dyDescent="0.2">
      <c r="A443" t="s">
        <v>2119</v>
      </c>
      <c r="B443" t="s">
        <v>2120</v>
      </c>
      <c r="C443" s="19"/>
      <c r="D443" s="19"/>
      <c r="E443" s="19">
        <v>0</v>
      </c>
      <c r="F443" s="19">
        <v>0</v>
      </c>
      <c r="G443" s="22"/>
      <c r="H443" t="s">
        <v>143</v>
      </c>
    </row>
    <row r="444" spans="1:8" x14ac:dyDescent="0.2">
      <c r="A444" t="s">
        <v>2328</v>
      </c>
      <c r="B444" t="s">
        <v>2329</v>
      </c>
      <c r="C444" s="19"/>
      <c r="D444" s="19"/>
      <c r="E444" s="19">
        <v>0</v>
      </c>
      <c r="F444" s="19">
        <v>0</v>
      </c>
      <c r="G444" s="22"/>
      <c r="H444" t="s">
        <v>1648</v>
      </c>
    </row>
    <row r="445" spans="1:8" x14ac:dyDescent="0.2">
      <c r="A445" t="s">
        <v>2304</v>
      </c>
      <c r="B445" t="s">
        <v>2305</v>
      </c>
      <c r="C445" s="19"/>
      <c r="D445" s="19"/>
      <c r="E445" s="19">
        <v>0</v>
      </c>
      <c r="F445" s="19">
        <v>0</v>
      </c>
      <c r="G445" s="22"/>
      <c r="H445" t="s">
        <v>143</v>
      </c>
    </row>
    <row r="446" spans="1:8" x14ac:dyDescent="0.2">
      <c r="A446" t="s">
        <v>1083</v>
      </c>
      <c r="B446" t="s">
        <v>1084</v>
      </c>
      <c r="C446" s="19"/>
      <c r="D446" s="19"/>
      <c r="E446" s="19">
        <v>0</v>
      </c>
      <c r="F446" s="19">
        <v>0</v>
      </c>
      <c r="G446" s="22"/>
      <c r="H446" t="s">
        <v>143</v>
      </c>
    </row>
    <row r="447" spans="1:8" x14ac:dyDescent="0.2">
      <c r="A447" t="s">
        <v>543</v>
      </c>
      <c r="B447" t="s">
        <v>544</v>
      </c>
      <c r="C447" s="19"/>
      <c r="D447" s="19"/>
      <c r="E447" s="19">
        <v>0</v>
      </c>
      <c r="F447" s="19">
        <v>0</v>
      </c>
      <c r="G447" s="22"/>
      <c r="H447" t="s">
        <v>143</v>
      </c>
    </row>
    <row r="448" spans="1:8" x14ac:dyDescent="0.2">
      <c r="A448" t="s">
        <v>1786</v>
      </c>
      <c r="B448" t="s">
        <v>1787</v>
      </c>
      <c r="C448" s="19"/>
      <c r="D448" s="19"/>
      <c r="E448" s="19">
        <v>0</v>
      </c>
      <c r="F448" s="19">
        <v>0</v>
      </c>
      <c r="G448" s="22"/>
      <c r="H448" t="s">
        <v>143</v>
      </c>
    </row>
    <row r="449" spans="1:8" x14ac:dyDescent="0.2">
      <c r="A449" t="s">
        <v>565</v>
      </c>
      <c r="B449" t="s">
        <v>566</v>
      </c>
      <c r="C449" s="19"/>
      <c r="D449" s="19"/>
      <c r="E449" s="19">
        <v>0</v>
      </c>
      <c r="F449" s="19">
        <v>0</v>
      </c>
      <c r="G449" s="22"/>
      <c r="H449" t="s">
        <v>143</v>
      </c>
    </row>
    <row r="450" spans="1:8" x14ac:dyDescent="0.2">
      <c r="A450" t="s">
        <v>2490</v>
      </c>
      <c r="B450" t="s">
        <v>2491</v>
      </c>
      <c r="C450" s="19"/>
      <c r="D450" s="19"/>
      <c r="E450" s="19">
        <v>0</v>
      </c>
      <c r="F450" s="19">
        <v>0</v>
      </c>
      <c r="G450" s="22"/>
      <c r="H450" t="s">
        <v>143</v>
      </c>
    </row>
    <row r="451" spans="1:8" x14ac:dyDescent="0.2">
      <c r="A451" t="s">
        <v>1780</v>
      </c>
      <c r="B451" t="s">
        <v>1781</v>
      </c>
      <c r="C451" s="19"/>
      <c r="D451" s="19">
        <v>0</v>
      </c>
      <c r="E451" s="19">
        <v>0</v>
      </c>
      <c r="F451" s="19">
        <v>0</v>
      </c>
      <c r="G451" s="22"/>
      <c r="H451" t="s">
        <v>122</v>
      </c>
    </row>
    <row r="452" spans="1:8" x14ac:dyDescent="0.2">
      <c r="A452" t="s">
        <v>1767</v>
      </c>
      <c r="B452" t="s">
        <v>1768</v>
      </c>
      <c r="C452" s="19"/>
      <c r="D452" s="19">
        <v>0</v>
      </c>
      <c r="E452" s="19">
        <v>0</v>
      </c>
      <c r="F452" s="19">
        <v>0</v>
      </c>
      <c r="G452" s="22"/>
      <c r="H452" t="s">
        <v>122</v>
      </c>
    </row>
    <row r="453" spans="1:8" x14ac:dyDescent="0.2">
      <c r="A453" t="s">
        <v>556</v>
      </c>
      <c r="B453" t="s">
        <v>557</v>
      </c>
      <c r="C453" s="19"/>
      <c r="D453" s="19"/>
      <c r="E453" s="19">
        <v>0</v>
      </c>
      <c r="F453" s="19">
        <v>0</v>
      </c>
      <c r="G453" s="22"/>
      <c r="H453" t="s">
        <v>143</v>
      </c>
    </row>
    <row r="454" spans="1:8" x14ac:dyDescent="0.2">
      <c r="A454" t="s">
        <v>552</v>
      </c>
      <c r="B454" t="s">
        <v>553</v>
      </c>
      <c r="C454" s="19"/>
      <c r="D454" s="19"/>
      <c r="E454" s="19">
        <v>0</v>
      </c>
      <c r="F454" s="19">
        <v>0</v>
      </c>
      <c r="G454" s="22"/>
      <c r="H454" t="s">
        <v>143</v>
      </c>
    </row>
    <row r="455" spans="1:8" x14ac:dyDescent="0.2">
      <c r="A455" t="s">
        <v>2554</v>
      </c>
      <c r="B455" t="s">
        <v>2555</v>
      </c>
      <c r="C455" s="19"/>
      <c r="D455" s="19"/>
      <c r="E455" s="19">
        <v>0</v>
      </c>
      <c r="F455" s="19">
        <v>0</v>
      </c>
      <c r="G455" s="22"/>
      <c r="H455" t="s">
        <v>143</v>
      </c>
    </row>
    <row r="456" spans="1:8" x14ac:dyDescent="0.2">
      <c r="A456" t="s">
        <v>2558</v>
      </c>
      <c r="B456" t="s">
        <v>2559</v>
      </c>
      <c r="C456" s="19">
        <v>1800</v>
      </c>
      <c r="D456" s="19">
        <v>1800</v>
      </c>
      <c r="E456" s="19">
        <v>0</v>
      </c>
      <c r="F456" s="19">
        <v>0</v>
      </c>
      <c r="G456">
        <v>0</v>
      </c>
      <c r="H456" t="s">
        <v>122</v>
      </c>
    </row>
    <row r="457" spans="1:8" x14ac:dyDescent="0.2">
      <c r="A457" t="s">
        <v>1758</v>
      </c>
      <c r="B457" t="s">
        <v>1759</v>
      </c>
      <c r="C457" s="19"/>
      <c r="D457" s="19"/>
      <c r="E457" s="19">
        <v>0</v>
      </c>
      <c r="F457" s="19">
        <v>0</v>
      </c>
      <c r="G457" s="22"/>
      <c r="H457" t="s">
        <v>143</v>
      </c>
    </row>
    <row r="458" spans="1:8" x14ac:dyDescent="0.2">
      <c r="A458" t="s">
        <v>2588</v>
      </c>
      <c r="B458" t="s">
        <v>2589</v>
      </c>
      <c r="C458" s="19"/>
      <c r="D458" s="19"/>
      <c r="E458" s="19">
        <v>0</v>
      </c>
      <c r="F458" s="19">
        <v>0</v>
      </c>
      <c r="G458" s="22"/>
      <c r="H458" t="s">
        <v>143</v>
      </c>
    </row>
    <row r="459" spans="1:8" x14ac:dyDescent="0.2">
      <c r="A459" t="s">
        <v>570</v>
      </c>
      <c r="B459" t="s">
        <v>571</v>
      </c>
      <c r="C459" s="19"/>
      <c r="D459" s="19"/>
      <c r="E459" s="19">
        <v>0</v>
      </c>
      <c r="F459" s="19">
        <v>0</v>
      </c>
      <c r="G459" s="22"/>
      <c r="H459" t="s">
        <v>143</v>
      </c>
    </row>
    <row r="460" spans="1:8" x14ac:dyDescent="0.2">
      <c r="A460" t="s">
        <v>1092</v>
      </c>
      <c r="B460" t="s">
        <v>1093</v>
      </c>
      <c r="C460" s="19"/>
      <c r="D460" s="19"/>
      <c r="E460" s="19">
        <v>0</v>
      </c>
      <c r="F460" s="19">
        <v>0</v>
      </c>
      <c r="G460" s="22"/>
      <c r="H460" t="s">
        <v>143</v>
      </c>
    </row>
    <row r="461" spans="1:8" x14ac:dyDescent="0.2">
      <c r="A461" t="s">
        <v>1748</v>
      </c>
      <c r="B461" t="s">
        <v>1749</v>
      </c>
      <c r="C461" s="19"/>
      <c r="D461" s="19"/>
      <c r="E461" s="19">
        <v>0</v>
      </c>
      <c r="F461" s="19">
        <v>0</v>
      </c>
      <c r="G461" s="22"/>
      <c r="H461" t="s">
        <v>143</v>
      </c>
    </row>
    <row r="462" spans="1:8" x14ac:dyDescent="0.2">
      <c r="A462" t="s">
        <v>2609</v>
      </c>
      <c r="B462" t="s">
        <v>2610</v>
      </c>
      <c r="C462" s="19"/>
      <c r="D462" s="19"/>
      <c r="E462" s="19">
        <v>0</v>
      </c>
      <c r="F462" s="19">
        <v>0</v>
      </c>
      <c r="G462" s="22"/>
      <c r="H462" t="s">
        <v>143</v>
      </c>
    </row>
    <row r="463" spans="1:8" x14ac:dyDescent="0.2">
      <c r="A463" t="s">
        <v>2612</v>
      </c>
      <c r="B463" t="s">
        <v>2613</v>
      </c>
      <c r="C463" s="19"/>
      <c r="D463" s="19"/>
      <c r="E463" s="19">
        <v>0</v>
      </c>
      <c r="F463" s="19">
        <v>0</v>
      </c>
      <c r="G463" s="22"/>
      <c r="H463" t="s">
        <v>143</v>
      </c>
    </row>
    <row r="464" spans="1:8" x14ac:dyDescent="0.2">
      <c r="A464" t="s">
        <v>2615</v>
      </c>
      <c r="B464" t="s">
        <v>2616</v>
      </c>
      <c r="C464" s="19"/>
      <c r="D464" s="19"/>
      <c r="E464" s="19">
        <v>0</v>
      </c>
      <c r="F464" s="19">
        <v>0</v>
      </c>
      <c r="G464" s="22"/>
      <c r="H464" t="s">
        <v>143</v>
      </c>
    </row>
    <row r="465" spans="1:8" x14ac:dyDescent="0.2">
      <c r="A465" t="s">
        <v>2626</v>
      </c>
      <c r="B465" t="s">
        <v>2627</v>
      </c>
      <c r="C465" s="19"/>
      <c r="D465" s="19">
        <v>0</v>
      </c>
      <c r="E465" s="19">
        <v>0</v>
      </c>
      <c r="F465" s="19">
        <v>0</v>
      </c>
      <c r="G465" s="22"/>
      <c r="H465" t="s">
        <v>122</v>
      </c>
    </row>
    <row r="466" spans="1:8" x14ac:dyDescent="0.2">
      <c r="A466" t="s">
        <v>2631</v>
      </c>
      <c r="B466" t="s">
        <v>2632</v>
      </c>
      <c r="C466" s="19"/>
      <c r="D466" s="19">
        <v>0</v>
      </c>
      <c r="E466" s="19">
        <v>0</v>
      </c>
      <c r="F466" s="19">
        <v>0</v>
      </c>
      <c r="G466" s="22"/>
      <c r="H466" t="s">
        <v>1648</v>
      </c>
    </row>
    <row r="467" spans="1:8" x14ac:dyDescent="0.2">
      <c r="A467" t="s">
        <v>1111</v>
      </c>
      <c r="B467" t="s">
        <v>1112</v>
      </c>
      <c r="C467" s="19"/>
      <c r="D467" s="19"/>
      <c r="E467" s="19">
        <v>0</v>
      </c>
      <c r="F467" s="19">
        <v>0</v>
      </c>
      <c r="G467" s="22"/>
      <c r="H467" t="s">
        <v>143</v>
      </c>
    </row>
    <row r="468" spans="1:8" x14ac:dyDescent="0.2">
      <c r="A468" t="s">
        <v>2650</v>
      </c>
      <c r="B468" t="s">
        <v>2651</v>
      </c>
      <c r="C468" s="19"/>
      <c r="D468" s="19">
        <v>0</v>
      </c>
      <c r="E468" s="19">
        <v>0</v>
      </c>
      <c r="F468" s="19">
        <v>0</v>
      </c>
      <c r="G468" s="22"/>
      <c r="H468" t="s">
        <v>122</v>
      </c>
    </row>
    <row r="469" spans="1:8" x14ac:dyDescent="0.2">
      <c r="A469" t="s">
        <v>1120</v>
      </c>
      <c r="B469" t="s">
        <v>1121</v>
      </c>
      <c r="C469" s="19"/>
      <c r="D469" s="19"/>
      <c r="E469" s="19">
        <v>0</v>
      </c>
      <c r="F469" s="19">
        <v>0</v>
      </c>
      <c r="G469" s="22"/>
      <c r="H469" t="s">
        <v>143</v>
      </c>
    </row>
    <row r="470" spans="1:8" x14ac:dyDescent="0.2">
      <c r="A470" t="s">
        <v>1042</v>
      </c>
      <c r="B470" t="s">
        <v>1043</v>
      </c>
      <c r="C470" s="19"/>
      <c r="D470" s="19"/>
      <c r="E470" s="19">
        <v>0</v>
      </c>
      <c r="F470" s="19">
        <v>0</v>
      </c>
      <c r="G470" s="22"/>
      <c r="H470" t="s">
        <v>143</v>
      </c>
    </row>
    <row r="471" spans="1:8" x14ac:dyDescent="0.2">
      <c r="A471" t="s">
        <v>3169</v>
      </c>
      <c r="B471" t="s">
        <v>3170</v>
      </c>
      <c r="C471" s="19"/>
      <c r="D471" s="19"/>
      <c r="E471" s="19">
        <v>0</v>
      </c>
      <c r="F471" s="19">
        <v>0</v>
      </c>
      <c r="G471" s="22"/>
      <c r="H471" t="s">
        <v>143</v>
      </c>
    </row>
    <row r="472" spans="1:8" x14ac:dyDescent="0.2">
      <c r="A472" t="s">
        <v>1362</v>
      </c>
      <c r="B472" t="s">
        <v>1363</v>
      </c>
      <c r="C472" s="19"/>
      <c r="D472" s="19"/>
      <c r="E472" s="19">
        <v>0</v>
      </c>
      <c r="F472" s="19">
        <v>0</v>
      </c>
      <c r="G472" s="22"/>
      <c r="H472" t="s">
        <v>143</v>
      </c>
    </row>
    <row r="473" spans="1:8" x14ac:dyDescent="0.2">
      <c r="A473" t="s">
        <v>982</v>
      </c>
      <c r="B473" t="s">
        <v>983</v>
      </c>
      <c r="C473" s="19"/>
      <c r="D473" s="19"/>
      <c r="E473" s="19">
        <v>0</v>
      </c>
      <c r="F473" s="19">
        <v>0</v>
      </c>
      <c r="G473" s="22"/>
      <c r="H473" t="s">
        <v>143</v>
      </c>
    </row>
    <row r="474" spans="1:8" x14ac:dyDescent="0.2">
      <c r="A474" t="s">
        <v>1027</v>
      </c>
      <c r="B474" t="s">
        <v>1028</v>
      </c>
      <c r="C474" s="19"/>
      <c r="D474" s="19">
        <v>0</v>
      </c>
      <c r="E474" s="19">
        <v>0</v>
      </c>
      <c r="F474" s="19">
        <v>0</v>
      </c>
      <c r="G474" s="22"/>
      <c r="H474" t="s">
        <v>122</v>
      </c>
    </row>
    <row r="475" spans="1:8" x14ac:dyDescent="0.2">
      <c r="A475" t="s">
        <v>990</v>
      </c>
      <c r="B475" t="s">
        <v>991</v>
      </c>
      <c r="C475" s="19"/>
      <c r="D475" s="19"/>
      <c r="E475" s="19">
        <v>0</v>
      </c>
      <c r="F475" s="19">
        <v>0</v>
      </c>
      <c r="G475" s="22"/>
      <c r="H475" t="s">
        <v>143</v>
      </c>
    </row>
    <row r="476" spans="1:8" x14ac:dyDescent="0.2">
      <c r="A476" t="s">
        <v>965</v>
      </c>
      <c r="B476" t="s">
        <v>966</v>
      </c>
      <c r="C476" s="19"/>
      <c r="D476" s="19"/>
      <c r="E476" s="19">
        <v>0</v>
      </c>
      <c r="F476" s="19">
        <v>0</v>
      </c>
      <c r="G476" s="22"/>
      <c r="H476" t="s">
        <v>143</v>
      </c>
    </row>
    <row r="477" spans="1:8" x14ac:dyDescent="0.2">
      <c r="A477" t="s">
        <v>1809</v>
      </c>
      <c r="B477" t="s">
        <v>1810</v>
      </c>
      <c r="C477" s="19"/>
      <c r="D477" s="19">
        <v>0</v>
      </c>
      <c r="E477" s="19">
        <v>0</v>
      </c>
      <c r="F477" s="19">
        <v>0</v>
      </c>
      <c r="G477" s="22"/>
      <c r="H477" t="s">
        <v>122</v>
      </c>
    </row>
    <row r="478" spans="1:8" x14ac:dyDescent="0.2">
      <c r="A478" t="s">
        <v>1866</v>
      </c>
      <c r="B478" t="s">
        <v>1867</v>
      </c>
      <c r="C478" s="19"/>
      <c r="D478" s="19"/>
      <c r="E478" s="19">
        <v>0</v>
      </c>
      <c r="F478" s="19">
        <v>0</v>
      </c>
      <c r="G478" s="22"/>
      <c r="H478" t="s">
        <v>143</v>
      </c>
    </row>
    <row r="479" spans="1:8" x14ac:dyDescent="0.2">
      <c r="A479" t="s">
        <v>2356</v>
      </c>
      <c r="B479" t="s">
        <v>2357</v>
      </c>
      <c r="C479" s="19"/>
      <c r="D479" s="19"/>
      <c r="E479" s="19">
        <v>0</v>
      </c>
      <c r="F479" s="19">
        <v>0</v>
      </c>
      <c r="G479" s="22"/>
      <c r="H479" t="s">
        <v>143</v>
      </c>
    </row>
    <row r="480" spans="1:8" x14ac:dyDescent="0.2">
      <c r="A480" t="s">
        <v>997</v>
      </c>
      <c r="B480" t="s">
        <v>998</v>
      </c>
      <c r="C480" s="19"/>
      <c r="D480" s="19"/>
      <c r="E480" s="19">
        <v>0</v>
      </c>
      <c r="F480" s="19">
        <v>0</v>
      </c>
      <c r="G480" s="22"/>
      <c r="H480" t="s">
        <v>143</v>
      </c>
    </row>
    <row r="481" spans="1:8" x14ac:dyDescent="0.2">
      <c r="A481" t="s">
        <v>958</v>
      </c>
      <c r="B481" t="s">
        <v>959</v>
      </c>
      <c r="C481" s="19"/>
      <c r="D481" s="19"/>
      <c r="E481" s="19">
        <v>0</v>
      </c>
      <c r="F481" s="19">
        <v>0</v>
      </c>
      <c r="G481" s="22"/>
      <c r="H481" t="s">
        <v>143</v>
      </c>
    </row>
    <row r="482" spans="1:8" x14ac:dyDescent="0.2">
      <c r="A482" t="s">
        <v>1820</v>
      </c>
      <c r="B482" t="s">
        <v>1821</v>
      </c>
      <c r="C482" s="19"/>
      <c r="D482" s="19">
        <v>0</v>
      </c>
      <c r="E482" s="19">
        <v>0</v>
      </c>
      <c r="F482" s="19">
        <v>0</v>
      </c>
      <c r="G482" s="22"/>
      <c r="H482" t="s">
        <v>122</v>
      </c>
    </row>
    <row r="483" spans="1:8" x14ac:dyDescent="0.2">
      <c r="A483" t="s">
        <v>2245</v>
      </c>
      <c r="B483" t="s">
        <v>2246</v>
      </c>
      <c r="C483" s="19">
        <v>2170</v>
      </c>
      <c r="D483" s="19">
        <v>2020</v>
      </c>
      <c r="E483" s="23">
        <v>-150</v>
      </c>
      <c r="F483" s="19">
        <v>-1800</v>
      </c>
      <c r="G483" s="22">
        <v>-6.91</v>
      </c>
      <c r="H483" t="s">
        <v>122</v>
      </c>
    </row>
    <row r="484" spans="1:8" x14ac:dyDescent="0.2">
      <c r="A484" t="s">
        <v>2595</v>
      </c>
      <c r="B484" t="s">
        <v>2596</v>
      </c>
      <c r="C484" s="19">
        <v>3600</v>
      </c>
      <c r="D484" s="19">
        <v>2750</v>
      </c>
      <c r="E484" s="23">
        <v>-850</v>
      </c>
      <c r="F484" s="19">
        <v>-10200</v>
      </c>
      <c r="G484" s="22">
        <v>-23.61</v>
      </c>
      <c r="H484" t="s">
        <v>1146</v>
      </c>
    </row>
    <row r="485" spans="1:8" x14ac:dyDescent="0.2">
      <c r="A485" t="s">
        <v>1612</v>
      </c>
      <c r="B485" t="s">
        <v>1613</v>
      </c>
      <c r="C485" s="19">
        <v>1125</v>
      </c>
      <c r="D485" s="19">
        <v>0</v>
      </c>
      <c r="E485" s="23">
        <v>-1125</v>
      </c>
      <c r="F485" s="19">
        <v>-13500</v>
      </c>
      <c r="G485" s="22">
        <v>-100</v>
      </c>
      <c r="H485" t="s">
        <v>122</v>
      </c>
    </row>
    <row r="486" spans="1:8" x14ac:dyDescent="0.2">
      <c r="A486" t="s">
        <v>2440</v>
      </c>
      <c r="B486" t="s">
        <v>2441</v>
      </c>
      <c r="C486" s="19">
        <v>1400</v>
      </c>
      <c r="D486" s="19">
        <v>250</v>
      </c>
      <c r="E486" s="23">
        <v>-1150</v>
      </c>
      <c r="F486" s="19">
        <v>-13800</v>
      </c>
      <c r="G486" s="22">
        <v>-82.14</v>
      </c>
      <c r="H486" t="s">
        <v>1648</v>
      </c>
    </row>
    <row r="487" spans="1:8" x14ac:dyDescent="0.2">
      <c r="A487" t="s">
        <v>1515</v>
      </c>
      <c r="B487" t="s">
        <v>1516</v>
      </c>
      <c r="C487" s="19">
        <v>1300</v>
      </c>
      <c r="D487" s="19">
        <v>0</v>
      </c>
      <c r="E487" s="23">
        <v>-1300</v>
      </c>
      <c r="F487" s="19">
        <v>-15600</v>
      </c>
      <c r="G487" s="22">
        <v>-100</v>
      </c>
      <c r="H487" t="s">
        <v>122</v>
      </c>
    </row>
    <row r="488" spans="1:8" x14ac:dyDescent="0.2">
      <c r="A488" t="s">
        <v>388</v>
      </c>
      <c r="B488" t="s">
        <v>389</v>
      </c>
      <c r="C488" s="19">
        <v>1300</v>
      </c>
      <c r="D488" s="19"/>
      <c r="E488" s="23">
        <v>-1300</v>
      </c>
      <c r="F488" s="19">
        <v>-15600</v>
      </c>
      <c r="G488" s="22">
        <v>-100</v>
      </c>
      <c r="H488" t="s">
        <v>143</v>
      </c>
    </row>
    <row r="489" spans="1:8" x14ac:dyDescent="0.2">
      <c r="A489" t="s">
        <v>383</v>
      </c>
      <c r="B489" t="s">
        <v>384</v>
      </c>
      <c r="C489" s="19">
        <v>1300</v>
      </c>
      <c r="D489" s="19"/>
      <c r="E489" s="23">
        <v>-1300</v>
      </c>
      <c r="F489" s="19">
        <v>-15600</v>
      </c>
      <c r="G489" s="22">
        <v>-100</v>
      </c>
      <c r="H489" t="s">
        <v>143</v>
      </c>
    </row>
    <row r="490" spans="1:8" x14ac:dyDescent="0.2">
      <c r="A490" t="s">
        <v>2790</v>
      </c>
      <c r="B490" t="s">
        <v>2791</v>
      </c>
      <c r="C490" s="19">
        <v>1425</v>
      </c>
      <c r="D490" s="19"/>
      <c r="E490" s="23">
        <v>-1425</v>
      </c>
      <c r="F490" s="19">
        <v>-17100</v>
      </c>
      <c r="G490" s="22">
        <v>-100</v>
      </c>
      <c r="H490" t="s">
        <v>143</v>
      </c>
    </row>
    <row r="491" spans="1:8" x14ac:dyDescent="0.2">
      <c r="A491" t="s">
        <v>1911</v>
      </c>
      <c r="B491" t="s">
        <v>1912</v>
      </c>
      <c r="C491" s="19">
        <v>1456.56</v>
      </c>
      <c r="D491" s="19"/>
      <c r="E491" s="23">
        <v>-1456.56</v>
      </c>
      <c r="F491" s="19">
        <v>-17478.72</v>
      </c>
      <c r="G491" s="22">
        <v>-100</v>
      </c>
      <c r="H491" t="s">
        <v>143</v>
      </c>
    </row>
    <row r="492" spans="1:8" x14ac:dyDescent="0.2">
      <c r="A492" t="s">
        <v>1004</v>
      </c>
      <c r="B492" t="s">
        <v>1005</v>
      </c>
      <c r="C492" s="19">
        <v>1490.07</v>
      </c>
      <c r="D492" s="19"/>
      <c r="E492" s="23">
        <v>-1490.07</v>
      </c>
      <c r="F492" s="19">
        <v>-17880.84</v>
      </c>
      <c r="G492" s="22">
        <v>-100</v>
      </c>
      <c r="H492" t="s">
        <v>143</v>
      </c>
    </row>
    <row r="493" spans="1:8" x14ac:dyDescent="0.2">
      <c r="A493" t="s">
        <v>1124</v>
      </c>
      <c r="B493" t="s">
        <v>1125</v>
      </c>
      <c r="C493" s="19">
        <v>1500</v>
      </c>
      <c r="D493" s="19">
        <v>0</v>
      </c>
      <c r="E493" s="23">
        <v>-1500</v>
      </c>
      <c r="F493" s="19">
        <v>-18000</v>
      </c>
      <c r="G493" s="22">
        <v>-100</v>
      </c>
      <c r="H493" t="s">
        <v>1146</v>
      </c>
    </row>
    <row r="494" spans="1:8" x14ac:dyDescent="0.2">
      <c r="A494" t="s">
        <v>1649</v>
      </c>
      <c r="B494" t="s">
        <v>1650</v>
      </c>
      <c r="C494" s="19">
        <v>1512</v>
      </c>
      <c r="D494" s="19"/>
      <c r="E494" s="23">
        <v>-1512</v>
      </c>
      <c r="F494" s="19">
        <v>-18144</v>
      </c>
      <c r="G494" s="22">
        <v>-100</v>
      </c>
      <c r="H494" t="s">
        <v>1648</v>
      </c>
    </row>
    <row r="495" spans="1:8" x14ac:dyDescent="0.2">
      <c r="A495" t="s">
        <v>1292</v>
      </c>
      <c r="B495" t="s">
        <v>1293</v>
      </c>
      <c r="C495" s="19">
        <v>1561.5</v>
      </c>
      <c r="D495" s="19"/>
      <c r="E495" s="23">
        <v>-1561.5</v>
      </c>
      <c r="F495" s="19">
        <v>-18738</v>
      </c>
      <c r="G495" s="22">
        <v>-100</v>
      </c>
      <c r="H495" t="s">
        <v>143</v>
      </c>
    </row>
    <row r="496" spans="1:8" x14ac:dyDescent="0.2">
      <c r="A496" t="s">
        <v>318</v>
      </c>
      <c r="B496" t="s">
        <v>319</v>
      </c>
      <c r="C496" s="19">
        <v>1600</v>
      </c>
      <c r="D496" s="19"/>
      <c r="E496" s="23">
        <v>-1600</v>
      </c>
      <c r="F496" s="19">
        <v>-19200</v>
      </c>
      <c r="G496" s="22">
        <v>-100</v>
      </c>
      <c r="H496" t="s">
        <v>143</v>
      </c>
    </row>
    <row r="497" spans="1:8" x14ac:dyDescent="0.2">
      <c r="A497" t="s">
        <v>437</v>
      </c>
      <c r="B497" t="s">
        <v>438</v>
      </c>
      <c r="C497" s="19">
        <v>1688</v>
      </c>
      <c r="D497" s="19"/>
      <c r="E497" s="23">
        <v>-1688</v>
      </c>
      <c r="F497" s="19">
        <v>-20256</v>
      </c>
      <c r="G497" s="22">
        <v>-100</v>
      </c>
      <c r="H497" t="s">
        <v>143</v>
      </c>
    </row>
    <row r="498" spans="1:8" x14ac:dyDescent="0.2">
      <c r="A498" t="s">
        <v>1466</v>
      </c>
      <c r="B498" t="s">
        <v>1467</v>
      </c>
      <c r="C498" s="19">
        <v>1700</v>
      </c>
      <c r="D498" s="19"/>
      <c r="E498" s="23">
        <v>-1700</v>
      </c>
      <c r="F498" s="19">
        <v>-20400</v>
      </c>
      <c r="G498" s="22">
        <v>-100</v>
      </c>
      <c r="H498" t="s">
        <v>143</v>
      </c>
    </row>
    <row r="499" spans="1:8" x14ac:dyDescent="0.2">
      <c r="A499" t="s">
        <v>1459</v>
      </c>
      <c r="B499" t="s">
        <v>1460</v>
      </c>
      <c r="C499" s="19">
        <v>1700</v>
      </c>
      <c r="D499" s="19"/>
      <c r="E499" s="23">
        <v>-1700</v>
      </c>
      <c r="F499" s="19">
        <v>-20400</v>
      </c>
      <c r="G499" s="22">
        <v>-100</v>
      </c>
      <c r="H499" t="s">
        <v>143</v>
      </c>
    </row>
    <row r="500" spans="1:8" x14ac:dyDescent="0.2">
      <c r="A500" t="s">
        <v>1430</v>
      </c>
      <c r="B500" t="s">
        <v>1431</v>
      </c>
      <c r="C500" s="19">
        <v>1700</v>
      </c>
      <c r="D500" s="19"/>
      <c r="E500" s="23">
        <v>-1700</v>
      </c>
      <c r="F500" s="19">
        <v>-20400</v>
      </c>
      <c r="G500" s="22">
        <v>-100</v>
      </c>
      <c r="H500" t="s">
        <v>143</v>
      </c>
    </row>
    <row r="501" spans="1:8" x14ac:dyDescent="0.2">
      <c r="A501" t="s">
        <v>973</v>
      </c>
      <c r="B501" t="s">
        <v>974</v>
      </c>
      <c r="C501" s="19">
        <v>1714.92</v>
      </c>
      <c r="D501" s="19"/>
      <c r="E501" s="23">
        <v>-1714.92</v>
      </c>
      <c r="F501" s="19">
        <v>-20579.04</v>
      </c>
      <c r="G501" s="22">
        <v>-100</v>
      </c>
      <c r="H501" t="s">
        <v>143</v>
      </c>
    </row>
    <row r="502" spans="1:8" x14ac:dyDescent="0.2">
      <c r="A502" t="s">
        <v>2534</v>
      </c>
      <c r="B502" t="s">
        <v>2535</v>
      </c>
      <c r="C502" s="19">
        <v>1800</v>
      </c>
      <c r="D502" s="19"/>
      <c r="E502" s="23">
        <v>-1800</v>
      </c>
      <c r="F502" s="19">
        <v>-21600</v>
      </c>
      <c r="G502" s="22">
        <v>-100</v>
      </c>
      <c r="H502" t="s">
        <v>143</v>
      </c>
    </row>
    <row r="503" spans="1:8" x14ac:dyDescent="0.2">
      <c r="A503" t="s">
        <v>1233</v>
      </c>
      <c r="B503" t="s">
        <v>1234</v>
      </c>
      <c r="C503" s="19">
        <v>1825</v>
      </c>
      <c r="D503" s="19"/>
      <c r="E503" s="23">
        <v>-1825</v>
      </c>
      <c r="F503" s="19">
        <v>-21900</v>
      </c>
      <c r="G503" s="22">
        <v>-100</v>
      </c>
      <c r="H503" t="s">
        <v>143</v>
      </c>
    </row>
    <row r="504" spans="1:8" x14ac:dyDescent="0.2">
      <c r="A504" t="s">
        <v>820</v>
      </c>
      <c r="B504" t="s">
        <v>821</v>
      </c>
      <c r="C504" s="19">
        <v>1872</v>
      </c>
      <c r="D504" s="19"/>
      <c r="E504" s="23">
        <v>-1872</v>
      </c>
      <c r="F504" s="19">
        <v>-22464</v>
      </c>
      <c r="G504" s="22">
        <v>-100</v>
      </c>
      <c r="H504" t="s">
        <v>143</v>
      </c>
    </row>
    <row r="505" spans="1:8" x14ac:dyDescent="0.2">
      <c r="A505" t="s">
        <v>2659</v>
      </c>
      <c r="B505" t="s">
        <v>2660</v>
      </c>
      <c r="C505" s="19">
        <v>1917.31</v>
      </c>
      <c r="D505" s="19"/>
      <c r="E505" s="23">
        <v>-1917.31</v>
      </c>
      <c r="F505" s="19">
        <v>-23007.72</v>
      </c>
      <c r="G505" s="22">
        <v>-100</v>
      </c>
      <c r="H505" t="s">
        <v>143</v>
      </c>
    </row>
    <row r="506" spans="1:8" x14ac:dyDescent="0.2">
      <c r="A506" t="s">
        <v>1970</v>
      </c>
      <c r="B506" t="s">
        <v>1971</v>
      </c>
      <c r="C506" s="19">
        <v>2085.9</v>
      </c>
      <c r="D506" s="19">
        <v>0</v>
      </c>
      <c r="E506" s="23">
        <v>-2085.9</v>
      </c>
      <c r="F506" s="19">
        <v>-25030.799999999999</v>
      </c>
      <c r="G506" s="22">
        <v>-100</v>
      </c>
      <c r="H506" t="s">
        <v>122</v>
      </c>
    </row>
    <row r="507" spans="1:8" x14ac:dyDescent="0.2">
      <c r="A507" t="s">
        <v>1683</v>
      </c>
      <c r="B507" t="s">
        <v>1684</v>
      </c>
      <c r="C507" s="19">
        <v>2160</v>
      </c>
      <c r="D507" s="19"/>
      <c r="E507" s="23">
        <v>-2160</v>
      </c>
      <c r="F507" s="19">
        <v>-25920</v>
      </c>
      <c r="G507" s="22">
        <v>-100</v>
      </c>
      <c r="H507" t="s">
        <v>143</v>
      </c>
    </row>
    <row r="508" spans="1:8" x14ac:dyDescent="0.2">
      <c r="A508" t="s">
        <v>2740</v>
      </c>
      <c r="B508" t="s">
        <v>2741</v>
      </c>
      <c r="C508" s="19">
        <v>2200</v>
      </c>
      <c r="D508" s="19"/>
      <c r="E508" s="23">
        <v>-2200</v>
      </c>
      <c r="F508" s="19">
        <v>-26400</v>
      </c>
      <c r="G508" s="22">
        <v>-100</v>
      </c>
      <c r="H508" t="s">
        <v>143</v>
      </c>
    </row>
    <row r="509" spans="1:8" x14ac:dyDescent="0.2">
      <c r="A509" t="s">
        <v>1827</v>
      </c>
      <c r="B509" t="s">
        <v>1828</v>
      </c>
      <c r="C509" s="19">
        <v>2300</v>
      </c>
      <c r="D509" s="19">
        <v>0</v>
      </c>
      <c r="E509" s="23">
        <v>-2300</v>
      </c>
      <c r="F509" s="19">
        <v>-27600</v>
      </c>
      <c r="G509" s="22">
        <v>-100</v>
      </c>
      <c r="H509" t="s">
        <v>122</v>
      </c>
    </row>
    <row r="510" spans="1:8" x14ac:dyDescent="0.2">
      <c r="A510" t="s">
        <v>595</v>
      </c>
      <c r="B510" t="s">
        <v>596</v>
      </c>
      <c r="C510" s="19">
        <v>2407</v>
      </c>
      <c r="D510" s="19"/>
      <c r="E510" s="23">
        <v>-2407</v>
      </c>
      <c r="F510" s="19">
        <v>-28884</v>
      </c>
      <c r="G510" s="22">
        <v>-100</v>
      </c>
      <c r="H510" t="s">
        <v>143</v>
      </c>
    </row>
    <row r="511" spans="1:8" x14ac:dyDescent="0.2">
      <c r="A511" t="s">
        <v>745</v>
      </c>
      <c r="B511" t="s">
        <v>746</v>
      </c>
      <c r="C511" s="19">
        <v>2509.85</v>
      </c>
      <c r="D511" s="19">
        <v>0</v>
      </c>
      <c r="E511" s="23">
        <v>-2509.85</v>
      </c>
      <c r="F511" s="19">
        <v>-30118.2</v>
      </c>
      <c r="G511" s="22">
        <v>-100</v>
      </c>
      <c r="H511" t="s">
        <v>122</v>
      </c>
    </row>
    <row r="512" spans="1:8" x14ac:dyDescent="0.2">
      <c r="A512" t="s">
        <v>1019</v>
      </c>
      <c r="B512" t="s">
        <v>1020</v>
      </c>
      <c r="C512" s="19">
        <v>2548</v>
      </c>
      <c r="D512" s="19"/>
      <c r="E512" s="23">
        <v>-2548</v>
      </c>
      <c r="F512" s="19">
        <v>-30576</v>
      </c>
      <c r="G512" s="22">
        <v>-100</v>
      </c>
      <c r="H512" t="s">
        <v>143</v>
      </c>
    </row>
    <row r="513" spans="1:8" x14ac:dyDescent="0.2">
      <c r="A513" t="s">
        <v>1925</v>
      </c>
      <c r="B513" t="s">
        <v>1926</v>
      </c>
      <c r="C513" s="19">
        <v>2561.5</v>
      </c>
      <c r="D513" s="19">
        <v>0</v>
      </c>
      <c r="E513" s="23">
        <v>-2561.5</v>
      </c>
      <c r="F513" s="19">
        <v>-30738</v>
      </c>
      <c r="G513" s="22">
        <v>-100</v>
      </c>
      <c r="H513" t="s">
        <v>122</v>
      </c>
    </row>
    <row r="514" spans="1:8" x14ac:dyDescent="0.2">
      <c r="A514" t="s">
        <v>1701</v>
      </c>
      <c r="B514" t="s">
        <v>1702</v>
      </c>
      <c r="C514" s="19">
        <v>2584</v>
      </c>
      <c r="D514" s="19">
        <v>0</v>
      </c>
      <c r="E514" s="23">
        <v>-2584</v>
      </c>
      <c r="F514" s="19">
        <v>-31008</v>
      </c>
      <c r="G514" s="22">
        <v>-100</v>
      </c>
      <c r="H514" t="s">
        <v>122</v>
      </c>
    </row>
    <row r="515" spans="1:8" x14ac:dyDescent="0.2">
      <c r="A515" t="s">
        <v>484</v>
      </c>
      <c r="B515" t="s">
        <v>485</v>
      </c>
      <c r="C515" s="19">
        <v>2914.8</v>
      </c>
      <c r="D515" s="19"/>
      <c r="E515" s="23">
        <v>-2914.8</v>
      </c>
      <c r="F515" s="19">
        <v>-34977.600000000013</v>
      </c>
      <c r="G515" s="22">
        <v>-100</v>
      </c>
      <c r="H515" t="s">
        <v>143</v>
      </c>
    </row>
    <row r="516" spans="1:8" x14ac:dyDescent="0.2">
      <c r="A516" t="s">
        <v>2337</v>
      </c>
      <c r="B516" t="s">
        <v>2338</v>
      </c>
      <c r="C516" s="19">
        <v>3293.38</v>
      </c>
      <c r="D516" s="19"/>
      <c r="E516" s="23">
        <v>-3293.38</v>
      </c>
      <c r="F516" s="19">
        <v>-39520.559999999998</v>
      </c>
      <c r="G516" s="22">
        <v>-100</v>
      </c>
      <c r="H516" t="s">
        <v>1648</v>
      </c>
    </row>
    <row r="517" spans="1:8" x14ac:dyDescent="0.2">
      <c r="A517" t="s">
        <v>619</v>
      </c>
      <c r="B517" t="s">
        <v>620</v>
      </c>
      <c r="C517" s="19">
        <v>3393.32</v>
      </c>
      <c r="D517" s="19"/>
      <c r="E517" s="23">
        <v>-3393.32</v>
      </c>
      <c r="F517" s="19">
        <v>-40719.839999999997</v>
      </c>
      <c r="G517" s="22">
        <v>-100</v>
      </c>
      <c r="H517" t="s">
        <v>143</v>
      </c>
    </row>
    <row r="518" spans="1:8" x14ac:dyDescent="0.2">
      <c r="A518" t="s">
        <v>861</v>
      </c>
      <c r="B518" t="s">
        <v>862</v>
      </c>
      <c r="C518" s="19">
        <v>3555.36</v>
      </c>
      <c r="D518" s="19"/>
      <c r="E518" s="23">
        <v>-3555.36</v>
      </c>
      <c r="F518" s="19">
        <v>-42664.32</v>
      </c>
      <c r="G518" s="22">
        <v>-100</v>
      </c>
      <c r="H518" t="s">
        <v>143</v>
      </c>
    </row>
    <row r="519" spans="1:8" x14ac:dyDescent="0.2">
      <c r="A519" t="s">
        <v>2945</v>
      </c>
      <c r="B519" t="s">
        <v>2946</v>
      </c>
      <c r="C519" s="19">
        <v>4160</v>
      </c>
      <c r="D519" s="19"/>
      <c r="E519" s="23">
        <v>-4160</v>
      </c>
      <c r="F519" s="19">
        <v>-49920</v>
      </c>
      <c r="G519" s="22">
        <v>-100</v>
      </c>
      <c r="H519" t="s">
        <v>143</v>
      </c>
    </row>
    <row r="520" spans="1:8" x14ac:dyDescent="0.2">
      <c r="A520" t="s">
        <v>2342</v>
      </c>
      <c r="B520" t="s">
        <v>2343</v>
      </c>
      <c r="C520" s="19">
        <v>4490.05</v>
      </c>
      <c r="D520" s="19"/>
      <c r="E520" s="23">
        <v>-4490.05</v>
      </c>
      <c r="F520" s="19">
        <v>-53880.600000000013</v>
      </c>
      <c r="G520" s="22">
        <v>-100</v>
      </c>
      <c r="H520" t="s">
        <v>1648</v>
      </c>
    </row>
    <row r="521" spans="1:8" x14ac:dyDescent="0.2">
      <c r="A521" t="s">
        <v>2331</v>
      </c>
      <c r="B521" t="s">
        <v>2332</v>
      </c>
      <c r="C521" s="19">
        <v>4490.05</v>
      </c>
      <c r="D521" s="19"/>
      <c r="E521" s="23">
        <v>-4490.05</v>
      </c>
      <c r="F521" s="19">
        <v>-53880.600000000013</v>
      </c>
      <c r="G521" s="22">
        <v>-100</v>
      </c>
      <c r="H521" t="s">
        <v>143</v>
      </c>
    </row>
    <row r="522" spans="1:8" x14ac:dyDescent="0.2">
      <c r="A522" t="s">
        <v>1586</v>
      </c>
      <c r="B522" t="s">
        <v>1587</v>
      </c>
      <c r="C522" s="19">
        <v>4736.55</v>
      </c>
      <c r="D522" s="19"/>
      <c r="E522" s="23">
        <v>-4736.55</v>
      </c>
      <c r="F522" s="19">
        <v>-56838.600000000013</v>
      </c>
      <c r="G522" s="22">
        <v>-100</v>
      </c>
      <c r="H522" t="s">
        <v>143</v>
      </c>
    </row>
    <row r="523" spans="1:8" x14ac:dyDescent="0.2">
      <c r="A523" t="s">
        <v>666</v>
      </c>
      <c r="B523" t="s">
        <v>667</v>
      </c>
      <c r="C523" s="19">
        <v>5779.72</v>
      </c>
      <c r="D523" s="19"/>
      <c r="E523" s="23">
        <v>-5779.72</v>
      </c>
      <c r="F523" s="19">
        <v>-69356.639999999999</v>
      </c>
      <c r="G523" s="22">
        <v>-100</v>
      </c>
      <c r="H523" t="s">
        <v>143</v>
      </c>
    </row>
    <row r="524" spans="1:8" x14ac:dyDescent="0.2">
      <c r="A524" t="s">
        <v>2915</v>
      </c>
      <c r="B524" t="s">
        <v>2916</v>
      </c>
      <c r="C524" s="19">
        <v>6282.85</v>
      </c>
      <c r="D524" s="19"/>
      <c r="E524" s="23">
        <v>-6282.85</v>
      </c>
      <c r="F524" s="19">
        <v>-75394.200000000012</v>
      </c>
      <c r="G524" s="22">
        <v>-100</v>
      </c>
      <c r="H524" t="s">
        <v>143</v>
      </c>
    </row>
  </sheetData>
  <mergeCells count="3">
    <mergeCell ref="A9:H9"/>
    <mergeCell ref="A3:D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CS515"/>
  <sheetViews>
    <sheetView topLeftCell="BI1" workbookViewId="0">
      <pane ySplit="1" topLeftCell="A2" activePane="bottomLeft" state="frozen"/>
      <selection pane="bottomLeft" activeCell="BP18" sqref="BP18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39" customWidth="1"/>
    <col min="4" max="4" width="10" customWidth="1"/>
    <col min="5" max="5" width="28" customWidth="1"/>
    <col min="6" max="6" width="14" customWidth="1"/>
    <col min="7" max="7" width="16" customWidth="1"/>
    <col min="8" max="8" width="20" customWidth="1"/>
    <col min="9" max="9" width="21" customWidth="1"/>
    <col min="10" max="10" width="13" customWidth="1"/>
    <col min="11" max="11" width="17" customWidth="1"/>
    <col min="12" max="13" width="14" customWidth="1"/>
    <col min="14" max="14" width="16" customWidth="1"/>
    <col min="15" max="15" width="18" customWidth="1"/>
    <col min="16" max="19" width="40" customWidth="1"/>
    <col min="20" max="20" width="16" customWidth="1"/>
    <col min="21" max="21" width="25" customWidth="1"/>
    <col min="22" max="22" width="32" customWidth="1"/>
    <col min="23" max="23" width="13" customWidth="1"/>
    <col min="24" max="24" width="40" customWidth="1"/>
    <col min="25" max="25" width="15" customWidth="1"/>
    <col min="26" max="26" width="25" customWidth="1"/>
    <col min="27" max="28" width="40" customWidth="1"/>
    <col min="29" max="29" width="30" customWidth="1"/>
    <col min="30" max="30" width="19" customWidth="1"/>
    <col min="31" max="31" width="20" customWidth="1"/>
    <col min="32" max="32" width="15" customWidth="1"/>
    <col min="33" max="34" width="14" customWidth="1"/>
    <col min="35" max="35" width="25" customWidth="1"/>
    <col min="36" max="36" width="20" customWidth="1"/>
    <col min="37" max="37" width="14" customWidth="1"/>
    <col min="38" max="38" width="13" customWidth="1"/>
    <col min="39" max="40" width="17" customWidth="1"/>
    <col min="41" max="41" width="21" customWidth="1"/>
    <col min="42" max="42" width="17" customWidth="1"/>
    <col min="43" max="43" width="19" customWidth="1"/>
    <col min="44" max="44" width="22" customWidth="1"/>
    <col min="45" max="45" width="17" customWidth="1"/>
    <col min="46" max="46" width="18" customWidth="1"/>
    <col min="47" max="48" width="24" customWidth="1"/>
    <col min="49" max="49" width="23" customWidth="1"/>
    <col min="50" max="50" width="13" customWidth="1"/>
    <col min="51" max="51" width="22" customWidth="1"/>
    <col min="52" max="52" width="19" customWidth="1"/>
    <col min="53" max="53" width="23" customWidth="1"/>
    <col min="54" max="54" width="24" customWidth="1"/>
    <col min="55" max="55" width="12" customWidth="1"/>
    <col min="56" max="56" width="37" customWidth="1"/>
    <col min="57" max="57" width="14" customWidth="1"/>
    <col min="58" max="58" width="24" customWidth="1"/>
    <col min="59" max="59" width="40" customWidth="1"/>
    <col min="60" max="60" width="27" customWidth="1"/>
    <col min="61" max="61" width="40" customWidth="1"/>
    <col min="62" max="62" width="18" customWidth="1"/>
    <col min="63" max="63" width="24" customWidth="1"/>
    <col min="64" max="64" width="14" customWidth="1"/>
    <col min="65" max="65" width="19" customWidth="1"/>
    <col min="66" max="66" width="13" customWidth="1"/>
    <col min="67" max="67" width="35" customWidth="1"/>
    <col min="68" max="68" width="19" customWidth="1"/>
    <col min="69" max="69" width="21" customWidth="1"/>
    <col min="70" max="70" width="15" customWidth="1"/>
    <col min="71" max="71" width="14" customWidth="1"/>
    <col min="72" max="72" width="22" customWidth="1"/>
    <col min="73" max="73" width="23" customWidth="1"/>
    <col min="74" max="74" width="17" customWidth="1"/>
    <col min="75" max="75" width="19" customWidth="1"/>
    <col min="76" max="77" width="25" customWidth="1"/>
    <col min="78" max="78" width="24" customWidth="1"/>
    <col min="79" max="79" width="23" customWidth="1"/>
    <col min="80" max="81" width="24" customWidth="1"/>
    <col min="82" max="82" width="14" customWidth="1"/>
    <col min="83" max="83" width="22" customWidth="1"/>
    <col min="84" max="84" width="17" customWidth="1"/>
    <col min="85" max="85" width="18" customWidth="1"/>
    <col min="86" max="86" width="15" customWidth="1"/>
    <col min="87" max="87" width="26" customWidth="1"/>
    <col min="88" max="88" width="16" customWidth="1"/>
    <col min="89" max="89" width="20" customWidth="1"/>
    <col min="90" max="90" width="21" customWidth="1"/>
    <col min="91" max="91" width="22" customWidth="1"/>
    <col min="92" max="92" width="19" customWidth="1"/>
    <col min="93" max="93" width="22" customWidth="1"/>
    <col min="94" max="94" width="21" customWidth="1"/>
    <col min="95" max="95" width="18" customWidth="1"/>
    <col min="96" max="96" width="24" customWidth="1"/>
    <col min="97" max="97" width="23" customWidth="1"/>
  </cols>
  <sheetData>
    <row r="1" spans="1: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">
      <c r="A2" t="s">
        <v>97</v>
      </c>
      <c r="B2">
        <v>23</v>
      </c>
      <c r="C2" t="s">
        <v>98</v>
      </c>
      <c r="D2" t="s">
        <v>99</v>
      </c>
      <c r="E2" t="s">
        <v>100</v>
      </c>
      <c r="F2" t="s">
        <v>101</v>
      </c>
      <c r="H2">
        <v>3</v>
      </c>
      <c r="I2">
        <v>4</v>
      </c>
      <c r="J2">
        <v>1</v>
      </c>
      <c r="K2" t="s">
        <v>102</v>
      </c>
      <c r="P2" t="s">
        <v>103</v>
      </c>
      <c r="Q2" t="s">
        <v>104</v>
      </c>
      <c r="R2" t="s">
        <v>105</v>
      </c>
      <c r="S2" t="s">
        <v>106</v>
      </c>
      <c r="T2">
        <v>1816.47</v>
      </c>
      <c r="U2">
        <v>300</v>
      </c>
      <c r="V2">
        <v>0</v>
      </c>
      <c r="AM2" t="s">
        <v>107</v>
      </c>
      <c r="BC2">
        <v>17</v>
      </c>
      <c r="BD2" t="s">
        <v>108</v>
      </c>
      <c r="BE2" t="s">
        <v>109</v>
      </c>
      <c r="BG2" t="s">
        <v>110</v>
      </c>
      <c r="BH2" t="s">
        <v>111</v>
      </c>
      <c r="BI2" t="s">
        <v>112</v>
      </c>
      <c r="BJ2" t="s">
        <v>113</v>
      </c>
      <c r="BK2" t="s">
        <v>114</v>
      </c>
      <c r="BL2" t="s">
        <v>115</v>
      </c>
      <c r="BM2" t="s">
        <v>116</v>
      </c>
      <c r="BO2" t="s">
        <v>117</v>
      </c>
      <c r="BQ2">
        <v>443</v>
      </c>
      <c r="BR2" t="s">
        <v>118</v>
      </c>
      <c r="BU2" t="s">
        <v>119</v>
      </c>
      <c r="BV2" t="s">
        <v>120</v>
      </c>
      <c r="BW2">
        <v>1829.53</v>
      </c>
      <c r="BX2">
        <v>1829.53</v>
      </c>
      <c r="BY2">
        <v>1994.19</v>
      </c>
      <c r="BZ2">
        <v>0.09</v>
      </c>
      <c r="CA2">
        <v>0</v>
      </c>
      <c r="CB2">
        <v>22.82</v>
      </c>
      <c r="CC2">
        <v>0</v>
      </c>
      <c r="CD2">
        <v>1816.47</v>
      </c>
      <c r="CE2" t="s">
        <v>121</v>
      </c>
      <c r="CF2">
        <v>1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O2">
        <v>1829.53</v>
      </c>
      <c r="CP2">
        <v>21954.36</v>
      </c>
      <c r="CR2" t="s">
        <v>122</v>
      </c>
      <c r="CS2">
        <v>0</v>
      </c>
    </row>
    <row r="3" spans="1:97" x14ac:dyDescent="0.2">
      <c r="A3" t="s">
        <v>123</v>
      </c>
      <c r="B3">
        <v>24</v>
      </c>
      <c r="C3" t="s">
        <v>124</v>
      </c>
      <c r="D3" t="s">
        <v>125</v>
      </c>
      <c r="E3" t="s">
        <v>100</v>
      </c>
      <c r="F3" t="s">
        <v>126</v>
      </c>
      <c r="H3">
        <v>3</v>
      </c>
      <c r="I3">
        <v>4</v>
      </c>
      <c r="J3">
        <v>1</v>
      </c>
      <c r="K3" t="s">
        <v>127</v>
      </c>
      <c r="P3" t="s">
        <v>128</v>
      </c>
      <c r="Q3" t="s">
        <v>129</v>
      </c>
      <c r="R3" t="s">
        <v>130</v>
      </c>
      <c r="S3" t="s">
        <v>131</v>
      </c>
      <c r="T3">
        <v>1929.41</v>
      </c>
      <c r="U3">
        <v>0</v>
      </c>
      <c r="V3">
        <v>0</v>
      </c>
      <c r="AM3" t="s">
        <v>107</v>
      </c>
      <c r="BC3">
        <v>17</v>
      </c>
      <c r="BD3" t="s">
        <v>108</v>
      </c>
      <c r="BE3" t="s">
        <v>109</v>
      </c>
      <c r="BG3" t="s">
        <v>110</v>
      </c>
      <c r="BH3" t="s">
        <v>111</v>
      </c>
      <c r="BI3" t="s">
        <v>112</v>
      </c>
      <c r="BJ3" t="s">
        <v>113</v>
      </c>
      <c r="BK3" t="s">
        <v>114</v>
      </c>
      <c r="BL3" t="s">
        <v>115</v>
      </c>
      <c r="BM3" t="s">
        <v>116</v>
      </c>
      <c r="BO3" t="s">
        <v>117</v>
      </c>
      <c r="BQ3">
        <v>299</v>
      </c>
      <c r="BR3" t="s">
        <v>118</v>
      </c>
      <c r="BU3" t="s">
        <v>119</v>
      </c>
      <c r="BV3" t="s">
        <v>120</v>
      </c>
      <c r="BW3">
        <v>1829.53</v>
      </c>
      <c r="BX3">
        <v>1829.53</v>
      </c>
      <c r="BY3">
        <v>1994.19</v>
      </c>
      <c r="BZ3">
        <v>0.09</v>
      </c>
      <c r="CA3">
        <v>0</v>
      </c>
      <c r="CB3">
        <v>25.1</v>
      </c>
      <c r="CC3">
        <v>0</v>
      </c>
      <c r="CD3">
        <v>1929.41</v>
      </c>
      <c r="CE3" t="s">
        <v>121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O3">
        <v>1829.53</v>
      </c>
      <c r="CP3">
        <v>21954.36</v>
      </c>
      <c r="CR3" t="s">
        <v>122</v>
      </c>
      <c r="CS3">
        <v>0</v>
      </c>
    </row>
    <row r="4" spans="1:97" x14ac:dyDescent="0.2">
      <c r="A4" t="s">
        <v>132</v>
      </c>
      <c r="B4">
        <v>25</v>
      </c>
      <c r="C4" t="s">
        <v>133</v>
      </c>
      <c r="D4" t="s">
        <v>134</v>
      </c>
      <c r="E4" t="s">
        <v>135</v>
      </c>
      <c r="F4" t="s">
        <v>126</v>
      </c>
      <c r="H4">
        <v>5</v>
      </c>
      <c r="I4">
        <v>5</v>
      </c>
      <c r="J4">
        <v>1</v>
      </c>
      <c r="K4" t="s">
        <v>102</v>
      </c>
      <c r="L4" t="s">
        <v>136</v>
      </c>
      <c r="M4" t="s">
        <v>137</v>
      </c>
      <c r="P4" t="s">
        <v>138</v>
      </c>
      <c r="Q4" t="s">
        <v>139</v>
      </c>
      <c r="R4" t="s">
        <v>140</v>
      </c>
      <c r="S4" t="s">
        <v>141</v>
      </c>
      <c r="T4">
        <v>2022.35</v>
      </c>
      <c r="U4">
        <v>0</v>
      </c>
      <c r="V4">
        <v>0</v>
      </c>
      <c r="AM4" t="s">
        <v>107</v>
      </c>
      <c r="BV4" t="s">
        <v>142</v>
      </c>
      <c r="CD4">
        <v>2022.35</v>
      </c>
      <c r="CO4">
        <v>0</v>
      </c>
      <c r="CP4">
        <v>0</v>
      </c>
      <c r="CR4" t="s">
        <v>143</v>
      </c>
      <c r="CS4">
        <v>0</v>
      </c>
    </row>
    <row r="5" spans="1:97" x14ac:dyDescent="0.2">
      <c r="A5" t="s">
        <v>144</v>
      </c>
      <c r="B5">
        <v>26</v>
      </c>
      <c r="C5" t="s">
        <v>145</v>
      </c>
      <c r="D5" t="s">
        <v>146</v>
      </c>
      <c r="E5" t="s">
        <v>147</v>
      </c>
      <c r="F5" t="s">
        <v>126</v>
      </c>
      <c r="I5">
        <v>4</v>
      </c>
      <c r="J5">
        <v>1</v>
      </c>
      <c r="K5" t="s">
        <v>102</v>
      </c>
      <c r="P5" t="s">
        <v>148</v>
      </c>
      <c r="Q5" t="s">
        <v>149</v>
      </c>
      <c r="R5" t="s">
        <v>150</v>
      </c>
      <c r="S5" t="s">
        <v>151</v>
      </c>
      <c r="T5">
        <v>2111.7600000000002</v>
      </c>
      <c r="U5">
        <v>260.14999999999998</v>
      </c>
      <c r="V5">
        <v>0</v>
      </c>
      <c r="AM5" t="s">
        <v>107</v>
      </c>
      <c r="BV5" t="s">
        <v>142</v>
      </c>
      <c r="CD5">
        <v>2111.7600000000002</v>
      </c>
      <c r="CO5">
        <v>0</v>
      </c>
      <c r="CP5">
        <v>0</v>
      </c>
      <c r="CR5" t="s">
        <v>143</v>
      </c>
      <c r="CS5">
        <v>0</v>
      </c>
    </row>
    <row r="6" spans="1:97" x14ac:dyDescent="0.2">
      <c r="A6" t="s">
        <v>152</v>
      </c>
      <c r="B6">
        <v>27</v>
      </c>
      <c r="C6" t="s">
        <v>153</v>
      </c>
      <c r="D6" t="s">
        <v>154</v>
      </c>
      <c r="E6" t="s">
        <v>155</v>
      </c>
      <c r="F6" t="s">
        <v>126</v>
      </c>
      <c r="H6">
        <v>8</v>
      </c>
      <c r="I6">
        <v>8</v>
      </c>
      <c r="J6">
        <v>1</v>
      </c>
      <c r="K6" t="s">
        <v>102</v>
      </c>
      <c r="L6" t="s">
        <v>156</v>
      </c>
      <c r="P6" t="s">
        <v>157</v>
      </c>
      <c r="Q6" t="s">
        <v>158</v>
      </c>
      <c r="R6" t="s">
        <v>159</v>
      </c>
      <c r="T6">
        <v>2076.4699999999998</v>
      </c>
      <c r="U6">
        <v>500</v>
      </c>
      <c r="V6">
        <v>0</v>
      </c>
      <c r="W6">
        <v>763</v>
      </c>
      <c r="X6" t="s">
        <v>160</v>
      </c>
      <c r="Y6" t="s">
        <v>109</v>
      </c>
      <c r="AJ6">
        <v>724</v>
      </c>
      <c r="AK6" t="s">
        <v>161</v>
      </c>
      <c r="AL6" t="s">
        <v>162</v>
      </c>
      <c r="AM6" t="s">
        <v>163</v>
      </c>
      <c r="AO6">
        <v>1</v>
      </c>
      <c r="AT6">
        <v>4300</v>
      </c>
      <c r="AU6">
        <v>4300</v>
      </c>
      <c r="AV6">
        <v>4687</v>
      </c>
      <c r="AW6">
        <v>0.09</v>
      </c>
      <c r="AX6">
        <v>0</v>
      </c>
      <c r="AY6">
        <v>0</v>
      </c>
      <c r="AZ6">
        <v>0</v>
      </c>
      <c r="BA6">
        <v>0</v>
      </c>
      <c r="BB6">
        <v>0</v>
      </c>
      <c r="BC6">
        <v>237</v>
      </c>
      <c r="BD6" t="s">
        <v>164</v>
      </c>
      <c r="BE6" t="s">
        <v>109</v>
      </c>
      <c r="BG6" t="s">
        <v>165</v>
      </c>
      <c r="BH6" t="s">
        <v>166</v>
      </c>
      <c r="BI6" t="s">
        <v>167</v>
      </c>
      <c r="BK6" t="s">
        <v>155</v>
      </c>
      <c r="BL6" t="s">
        <v>115</v>
      </c>
      <c r="BQ6">
        <v>216</v>
      </c>
      <c r="BR6" t="s">
        <v>161</v>
      </c>
      <c r="BS6" t="s">
        <v>162</v>
      </c>
      <c r="BT6">
        <v>12</v>
      </c>
      <c r="BU6" t="s">
        <v>119</v>
      </c>
      <c r="BV6" t="s">
        <v>163</v>
      </c>
      <c r="BW6">
        <v>5710.93</v>
      </c>
      <c r="BX6">
        <v>6210.93</v>
      </c>
      <c r="BY6">
        <v>6769.91</v>
      </c>
      <c r="BZ6">
        <v>0.09</v>
      </c>
      <c r="CA6">
        <v>500</v>
      </c>
      <c r="CB6">
        <v>0</v>
      </c>
      <c r="CC6">
        <v>0</v>
      </c>
      <c r="CD6">
        <v>2076.4699999999998</v>
      </c>
      <c r="CE6" t="s">
        <v>121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O6">
        <v>1910.93</v>
      </c>
      <c r="CP6">
        <v>22931.16</v>
      </c>
      <c r="CQ6">
        <v>44.44</v>
      </c>
      <c r="CR6" t="s">
        <v>168</v>
      </c>
      <c r="CS6">
        <v>556</v>
      </c>
    </row>
    <row r="7" spans="1:97" x14ac:dyDescent="0.2">
      <c r="A7" t="s">
        <v>169</v>
      </c>
      <c r="B7">
        <v>28</v>
      </c>
      <c r="C7" t="s">
        <v>170</v>
      </c>
      <c r="D7" t="s">
        <v>171</v>
      </c>
      <c r="E7" t="s">
        <v>155</v>
      </c>
      <c r="F7" t="s">
        <v>126</v>
      </c>
      <c r="H7">
        <v>8</v>
      </c>
      <c r="I7">
        <v>8</v>
      </c>
      <c r="J7">
        <v>1</v>
      </c>
      <c r="K7" t="s">
        <v>102</v>
      </c>
      <c r="L7" t="s">
        <v>156</v>
      </c>
      <c r="P7" t="s">
        <v>172</v>
      </c>
      <c r="Q7" t="s">
        <v>173</v>
      </c>
      <c r="R7" t="s">
        <v>174</v>
      </c>
      <c r="T7">
        <v>2192.94</v>
      </c>
      <c r="U7">
        <v>450</v>
      </c>
      <c r="V7">
        <v>0</v>
      </c>
      <c r="W7">
        <v>763</v>
      </c>
      <c r="X7" t="s">
        <v>160</v>
      </c>
      <c r="Y7" t="s">
        <v>109</v>
      </c>
      <c r="AJ7">
        <v>586</v>
      </c>
      <c r="AK7" t="s">
        <v>161</v>
      </c>
      <c r="AL7" t="s">
        <v>162</v>
      </c>
      <c r="AM7" t="s">
        <v>163</v>
      </c>
      <c r="AO7">
        <v>1</v>
      </c>
      <c r="AT7">
        <v>4300</v>
      </c>
      <c r="AU7">
        <v>4300</v>
      </c>
      <c r="AV7">
        <v>4687</v>
      </c>
      <c r="AW7">
        <v>0.09</v>
      </c>
      <c r="AX7">
        <v>0</v>
      </c>
      <c r="AY7">
        <v>0</v>
      </c>
      <c r="AZ7">
        <v>0</v>
      </c>
      <c r="BA7">
        <v>0</v>
      </c>
      <c r="BB7">
        <v>0</v>
      </c>
      <c r="BC7">
        <v>353</v>
      </c>
      <c r="BD7" t="s">
        <v>175</v>
      </c>
      <c r="BE7" t="s">
        <v>109</v>
      </c>
      <c r="BG7" t="s">
        <v>176</v>
      </c>
      <c r="BH7" t="s">
        <v>177</v>
      </c>
      <c r="BI7" t="s">
        <v>178</v>
      </c>
      <c r="BK7" t="s">
        <v>179</v>
      </c>
      <c r="BL7" t="s">
        <v>115</v>
      </c>
      <c r="BM7" t="s">
        <v>180</v>
      </c>
      <c r="BQ7">
        <v>71</v>
      </c>
      <c r="BR7" t="s">
        <v>161</v>
      </c>
      <c r="BS7" t="s">
        <v>162</v>
      </c>
      <c r="BT7">
        <v>12</v>
      </c>
      <c r="BU7" t="s">
        <v>119</v>
      </c>
      <c r="BV7" t="s">
        <v>163</v>
      </c>
      <c r="BW7">
        <v>4575</v>
      </c>
      <c r="BX7">
        <v>4575</v>
      </c>
      <c r="BY7">
        <v>4986.75</v>
      </c>
      <c r="BZ7">
        <v>0.09</v>
      </c>
      <c r="CA7">
        <v>0</v>
      </c>
      <c r="CB7">
        <v>0</v>
      </c>
      <c r="CC7">
        <v>375</v>
      </c>
      <c r="CD7">
        <v>2192.94</v>
      </c>
      <c r="CE7" t="s">
        <v>181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 t="s">
        <v>182</v>
      </c>
      <c r="CO7">
        <v>275</v>
      </c>
      <c r="CP7">
        <v>3300</v>
      </c>
      <c r="CQ7">
        <v>6.4</v>
      </c>
      <c r="CR7" t="s">
        <v>168</v>
      </c>
      <c r="CS7">
        <v>556</v>
      </c>
    </row>
    <row r="8" spans="1:97" x14ac:dyDescent="0.2">
      <c r="A8" t="s">
        <v>183</v>
      </c>
      <c r="B8">
        <v>29</v>
      </c>
      <c r="C8" t="s">
        <v>184</v>
      </c>
      <c r="D8" t="s">
        <v>185</v>
      </c>
      <c r="E8" t="s">
        <v>186</v>
      </c>
      <c r="F8" t="s">
        <v>126</v>
      </c>
      <c r="H8">
        <v>4</v>
      </c>
      <c r="I8">
        <v>4</v>
      </c>
      <c r="J8">
        <v>1</v>
      </c>
      <c r="K8" t="s">
        <v>127</v>
      </c>
      <c r="L8" t="s">
        <v>187</v>
      </c>
      <c r="M8" t="s">
        <v>137</v>
      </c>
      <c r="P8" t="s">
        <v>188</v>
      </c>
      <c r="Q8" t="s">
        <v>189</v>
      </c>
      <c r="R8" t="s">
        <v>190</v>
      </c>
      <c r="S8" t="s">
        <v>191</v>
      </c>
      <c r="T8">
        <v>2594.12</v>
      </c>
      <c r="U8">
        <v>250</v>
      </c>
      <c r="V8">
        <v>0</v>
      </c>
      <c r="AM8" t="s">
        <v>107</v>
      </c>
      <c r="BC8">
        <v>154</v>
      </c>
      <c r="BD8" t="s">
        <v>192</v>
      </c>
      <c r="BE8" t="s">
        <v>109</v>
      </c>
      <c r="BG8" t="s">
        <v>193</v>
      </c>
      <c r="BH8" t="s">
        <v>194</v>
      </c>
      <c r="BI8" t="s">
        <v>195</v>
      </c>
      <c r="BK8" t="s">
        <v>196</v>
      </c>
      <c r="BL8" t="s">
        <v>115</v>
      </c>
      <c r="BM8" t="s">
        <v>197</v>
      </c>
      <c r="BO8" t="s">
        <v>198</v>
      </c>
      <c r="BQ8">
        <v>8</v>
      </c>
      <c r="BR8" t="s">
        <v>199</v>
      </c>
      <c r="BS8" t="s">
        <v>200</v>
      </c>
      <c r="BT8">
        <v>12</v>
      </c>
      <c r="BU8" t="s">
        <v>119</v>
      </c>
      <c r="BV8" t="s">
        <v>163</v>
      </c>
      <c r="BW8">
        <v>2200</v>
      </c>
      <c r="BX8">
        <v>2480</v>
      </c>
      <c r="BY8">
        <v>2703.2</v>
      </c>
      <c r="BZ8">
        <v>0.09</v>
      </c>
      <c r="CA8">
        <v>250</v>
      </c>
      <c r="CB8">
        <v>30</v>
      </c>
      <c r="CC8">
        <v>250</v>
      </c>
      <c r="CD8">
        <v>2594.12</v>
      </c>
      <c r="CE8" t="s">
        <v>121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0</v>
      </c>
      <c r="CN8" t="s">
        <v>201</v>
      </c>
      <c r="CO8">
        <v>2480</v>
      </c>
      <c r="CP8">
        <v>29760</v>
      </c>
      <c r="CR8" t="s">
        <v>168</v>
      </c>
      <c r="CS8">
        <v>85</v>
      </c>
    </row>
    <row r="9" spans="1:97" x14ac:dyDescent="0.2">
      <c r="A9" t="s">
        <v>202</v>
      </c>
      <c r="B9">
        <v>30</v>
      </c>
      <c r="C9" t="s">
        <v>203</v>
      </c>
      <c r="D9" t="s">
        <v>204</v>
      </c>
      <c r="E9" t="s">
        <v>205</v>
      </c>
      <c r="F9" t="s">
        <v>126</v>
      </c>
      <c r="H9">
        <v>3</v>
      </c>
      <c r="I9">
        <v>10000</v>
      </c>
      <c r="J9">
        <v>1</v>
      </c>
      <c r="K9" t="s">
        <v>102</v>
      </c>
      <c r="L9" t="s">
        <v>206</v>
      </c>
      <c r="M9" t="s">
        <v>156</v>
      </c>
      <c r="T9">
        <v>1780</v>
      </c>
      <c r="U9">
        <v>0</v>
      </c>
      <c r="V9">
        <v>0</v>
      </c>
      <c r="AM9" t="s">
        <v>107</v>
      </c>
      <c r="BV9" t="s">
        <v>142</v>
      </c>
      <c r="CD9">
        <v>1780</v>
      </c>
      <c r="CO9">
        <v>0</v>
      </c>
      <c r="CP9">
        <v>0</v>
      </c>
      <c r="CR9" t="s">
        <v>143</v>
      </c>
      <c r="CS9">
        <v>0</v>
      </c>
    </row>
    <row r="10" spans="1:97" x14ac:dyDescent="0.2">
      <c r="A10" t="s">
        <v>207</v>
      </c>
      <c r="B10">
        <v>31</v>
      </c>
      <c r="C10" t="s">
        <v>208</v>
      </c>
      <c r="D10" t="s">
        <v>209</v>
      </c>
      <c r="E10" t="s">
        <v>210</v>
      </c>
      <c r="F10" t="s">
        <v>126</v>
      </c>
      <c r="H10">
        <v>3</v>
      </c>
      <c r="I10">
        <v>6</v>
      </c>
      <c r="J10">
        <v>1</v>
      </c>
      <c r="K10" t="s">
        <v>102</v>
      </c>
      <c r="T10">
        <v>2058.8200000000002</v>
      </c>
      <c r="U10">
        <v>95.2</v>
      </c>
      <c r="V10">
        <v>0</v>
      </c>
      <c r="AM10" t="s">
        <v>107</v>
      </c>
      <c r="BC10">
        <v>17</v>
      </c>
      <c r="BD10" t="s">
        <v>108</v>
      </c>
      <c r="BE10" t="s">
        <v>109</v>
      </c>
      <c r="BG10" t="s">
        <v>110</v>
      </c>
      <c r="BH10" t="s">
        <v>111</v>
      </c>
      <c r="BI10" t="s">
        <v>112</v>
      </c>
      <c r="BJ10" t="s">
        <v>113</v>
      </c>
      <c r="BK10" t="s">
        <v>114</v>
      </c>
      <c r="BL10" t="s">
        <v>115</v>
      </c>
      <c r="BM10" t="s">
        <v>116</v>
      </c>
      <c r="BO10" t="s">
        <v>117</v>
      </c>
      <c r="BQ10">
        <v>300</v>
      </c>
      <c r="BR10" t="s">
        <v>118</v>
      </c>
      <c r="BU10" t="s">
        <v>119</v>
      </c>
      <c r="BV10" t="s">
        <v>120</v>
      </c>
      <c r="BW10">
        <v>0</v>
      </c>
      <c r="BX10">
        <v>3643.5</v>
      </c>
      <c r="BY10">
        <v>3971.42</v>
      </c>
      <c r="BZ10">
        <v>0.09</v>
      </c>
      <c r="CA10">
        <v>773.78</v>
      </c>
      <c r="CB10">
        <v>50.37</v>
      </c>
      <c r="CC10">
        <v>0</v>
      </c>
      <c r="CD10">
        <v>2058.8200000000002</v>
      </c>
      <c r="CE10" t="s">
        <v>121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O10">
        <v>3643.5</v>
      </c>
      <c r="CP10">
        <v>43722</v>
      </c>
      <c r="CR10" t="s">
        <v>122</v>
      </c>
      <c r="CS10">
        <v>0</v>
      </c>
    </row>
    <row r="11" spans="1:97" x14ac:dyDescent="0.2">
      <c r="A11" t="s">
        <v>211</v>
      </c>
      <c r="B11">
        <v>32</v>
      </c>
      <c r="C11" t="s">
        <v>212</v>
      </c>
      <c r="D11" t="s">
        <v>213</v>
      </c>
      <c r="E11" t="s">
        <v>147</v>
      </c>
      <c r="F11" t="s">
        <v>101</v>
      </c>
      <c r="H11">
        <v>3</v>
      </c>
      <c r="I11">
        <v>5</v>
      </c>
      <c r="J11">
        <v>1</v>
      </c>
      <c r="K11" t="s">
        <v>102</v>
      </c>
      <c r="P11" t="s">
        <v>214</v>
      </c>
      <c r="T11">
        <v>2444.71</v>
      </c>
      <c r="U11">
        <v>85.24</v>
      </c>
      <c r="V11">
        <v>0</v>
      </c>
      <c r="AM11" t="s">
        <v>107</v>
      </c>
      <c r="BC11">
        <v>17</v>
      </c>
      <c r="BD11" t="s">
        <v>108</v>
      </c>
      <c r="BE11" t="s">
        <v>109</v>
      </c>
      <c r="BG11" t="s">
        <v>110</v>
      </c>
      <c r="BH11" t="s">
        <v>111</v>
      </c>
      <c r="BI11" t="s">
        <v>112</v>
      </c>
      <c r="BJ11" t="s">
        <v>113</v>
      </c>
      <c r="BK11" t="s">
        <v>114</v>
      </c>
      <c r="BL11" t="s">
        <v>115</v>
      </c>
      <c r="BM11" t="s">
        <v>116</v>
      </c>
      <c r="BO11" t="s">
        <v>117</v>
      </c>
      <c r="BQ11">
        <v>270</v>
      </c>
      <c r="BR11" t="s">
        <v>215</v>
      </c>
      <c r="BU11" t="s">
        <v>216</v>
      </c>
      <c r="BV11" t="s">
        <v>120</v>
      </c>
      <c r="BW11">
        <v>1708.41</v>
      </c>
      <c r="BX11">
        <v>1708.41</v>
      </c>
      <c r="BY11">
        <v>1862.17</v>
      </c>
      <c r="BZ11">
        <v>0.09</v>
      </c>
      <c r="CA11">
        <v>0</v>
      </c>
      <c r="CB11">
        <v>0</v>
      </c>
      <c r="CC11">
        <v>0</v>
      </c>
      <c r="CD11">
        <v>2444.71</v>
      </c>
      <c r="CE11" t="s">
        <v>121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O11">
        <v>1708.41</v>
      </c>
      <c r="CP11">
        <v>20500.919999999998</v>
      </c>
      <c r="CR11" t="s">
        <v>122</v>
      </c>
      <c r="CS11">
        <v>0</v>
      </c>
    </row>
    <row r="12" spans="1:97" x14ac:dyDescent="0.2">
      <c r="A12" t="s">
        <v>217</v>
      </c>
      <c r="B12">
        <v>33</v>
      </c>
      <c r="C12" t="s">
        <v>218</v>
      </c>
      <c r="D12" t="s">
        <v>213</v>
      </c>
      <c r="E12" t="s">
        <v>147</v>
      </c>
      <c r="F12" t="s">
        <v>101</v>
      </c>
      <c r="H12">
        <v>3</v>
      </c>
      <c r="I12">
        <v>3</v>
      </c>
      <c r="J12">
        <v>1</v>
      </c>
      <c r="K12" t="s">
        <v>102</v>
      </c>
      <c r="P12" t="s">
        <v>219</v>
      </c>
      <c r="Q12" t="s">
        <v>220</v>
      </c>
      <c r="R12" t="s">
        <v>221</v>
      </c>
      <c r="T12">
        <v>1769.41</v>
      </c>
      <c r="U12">
        <v>32.11</v>
      </c>
      <c r="V12">
        <v>0</v>
      </c>
      <c r="AM12" t="s">
        <v>107</v>
      </c>
      <c r="BC12">
        <v>17</v>
      </c>
      <c r="BD12" t="s">
        <v>108</v>
      </c>
      <c r="BE12" t="s">
        <v>109</v>
      </c>
      <c r="BG12" t="s">
        <v>110</v>
      </c>
      <c r="BH12" t="s">
        <v>111</v>
      </c>
      <c r="BI12" t="s">
        <v>112</v>
      </c>
      <c r="BJ12" t="s">
        <v>113</v>
      </c>
      <c r="BK12" t="s">
        <v>114</v>
      </c>
      <c r="BL12" t="s">
        <v>115</v>
      </c>
      <c r="BM12" t="s">
        <v>116</v>
      </c>
      <c r="BO12" t="s">
        <v>117</v>
      </c>
      <c r="BQ12">
        <v>271</v>
      </c>
      <c r="BR12" t="s">
        <v>215</v>
      </c>
      <c r="BU12" t="s">
        <v>216</v>
      </c>
      <c r="BV12" t="s">
        <v>120</v>
      </c>
      <c r="BW12">
        <v>1708.41</v>
      </c>
      <c r="BX12">
        <v>1708.41</v>
      </c>
      <c r="BY12">
        <v>1862.17</v>
      </c>
      <c r="BZ12">
        <v>0.09</v>
      </c>
      <c r="CA12">
        <v>0</v>
      </c>
      <c r="CB12">
        <v>0</v>
      </c>
      <c r="CC12">
        <v>0</v>
      </c>
      <c r="CD12">
        <v>1769.41</v>
      </c>
      <c r="CE12" t="s">
        <v>121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O12">
        <v>1708.41</v>
      </c>
      <c r="CP12">
        <v>20500.919999999998</v>
      </c>
      <c r="CR12" t="s">
        <v>122</v>
      </c>
      <c r="CS12">
        <v>0</v>
      </c>
    </row>
    <row r="13" spans="1:97" x14ac:dyDescent="0.2">
      <c r="A13" t="s">
        <v>222</v>
      </c>
      <c r="B13">
        <v>34</v>
      </c>
      <c r="C13" t="s">
        <v>223</v>
      </c>
      <c r="D13" t="s">
        <v>224</v>
      </c>
      <c r="E13" t="s">
        <v>186</v>
      </c>
      <c r="F13" t="s">
        <v>126</v>
      </c>
      <c r="H13">
        <v>4</v>
      </c>
      <c r="I13">
        <v>4</v>
      </c>
      <c r="J13">
        <v>1</v>
      </c>
      <c r="K13" t="s">
        <v>127</v>
      </c>
      <c r="L13" t="s">
        <v>225</v>
      </c>
      <c r="M13" t="s">
        <v>137</v>
      </c>
      <c r="P13" t="s">
        <v>226</v>
      </c>
      <c r="Q13" t="s">
        <v>227</v>
      </c>
      <c r="R13" t="s">
        <v>228</v>
      </c>
      <c r="S13" t="s">
        <v>229</v>
      </c>
      <c r="T13">
        <v>1965.88</v>
      </c>
      <c r="U13">
        <v>240</v>
      </c>
      <c r="V13">
        <v>0</v>
      </c>
      <c r="AM13" t="s">
        <v>107</v>
      </c>
      <c r="BV13" t="s">
        <v>142</v>
      </c>
      <c r="CD13">
        <v>1965.88</v>
      </c>
      <c r="CO13">
        <v>0</v>
      </c>
      <c r="CP13">
        <v>0</v>
      </c>
      <c r="CR13" t="s">
        <v>143</v>
      </c>
      <c r="CS13">
        <v>0</v>
      </c>
    </row>
    <row r="14" spans="1:97" x14ac:dyDescent="0.2">
      <c r="A14" t="s">
        <v>230</v>
      </c>
      <c r="B14">
        <v>35</v>
      </c>
      <c r="C14" t="s">
        <v>231</v>
      </c>
      <c r="D14" t="s">
        <v>232</v>
      </c>
      <c r="E14" t="s">
        <v>233</v>
      </c>
      <c r="F14" t="s">
        <v>126</v>
      </c>
      <c r="H14">
        <v>5</v>
      </c>
      <c r="I14">
        <v>5</v>
      </c>
      <c r="J14">
        <v>1</v>
      </c>
      <c r="K14" t="s">
        <v>127</v>
      </c>
      <c r="L14" t="s">
        <v>234</v>
      </c>
      <c r="M14" t="s">
        <v>235</v>
      </c>
      <c r="P14" t="s">
        <v>236</v>
      </c>
      <c r="Q14" t="s">
        <v>237</v>
      </c>
      <c r="R14" t="s">
        <v>238</v>
      </c>
      <c r="S14" t="s">
        <v>239</v>
      </c>
      <c r="T14">
        <v>1864.71</v>
      </c>
      <c r="U14">
        <v>325</v>
      </c>
      <c r="V14">
        <v>0</v>
      </c>
      <c r="AM14" t="s">
        <v>107</v>
      </c>
      <c r="BV14" t="s">
        <v>142</v>
      </c>
      <c r="CD14">
        <v>1864.71</v>
      </c>
      <c r="CO14">
        <v>0</v>
      </c>
      <c r="CP14">
        <v>0</v>
      </c>
      <c r="CR14" t="s">
        <v>143</v>
      </c>
      <c r="CS14">
        <v>0</v>
      </c>
    </row>
    <row r="15" spans="1:97" x14ac:dyDescent="0.2">
      <c r="A15" t="s">
        <v>240</v>
      </c>
      <c r="B15">
        <v>36</v>
      </c>
      <c r="C15" t="s">
        <v>241</v>
      </c>
      <c r="D15" t="s">
        <v>242</v>
      </c>
      <c r="E15" t="s">
        <v>243</v>
      </c>
      <c r="F15" t="s">
        <v>126</v>
      </c>
      <c r="H15">
        <v>3</v>
      </c>
      <c r="I15">
        <v>6</v>
      </c>
      <c r="J15">
        <v>1</v>
      </c>
      <c r="K15" t="s">
        <v>102</v>
      </c>
      <c r="L15" t="s">
        <v>244</v>
      </c>
      <c r="M15" t="s">
        <v>137</v>
      </c>
      <c r="T15">
        <v>1940</v>
      </c>
      <c r="U15">
        <v>300</v>
      </c>
      <c r="V15">
        <v>0</v>
      </c>
      <c r="AM15" t="s">
        <v>107</v>
      </c>
      <c r="BV15" t="s">
        <v>142</v>
      </c>
      <c r="CD15">
        <v>1940</v>
      </c>
      <c r="CO15">
        <v>0</v>
      </c>
      <c r="CP15">
        <v>0</v>
      </c>
      <c r="CR15" t="s">
        <v>143</v>
      </c>
      <c r="CS15">
        <v>0</v>
      </c>
    </row>
    <row r="16" spans="1:97" x14ac:dyDescent="0.2">
      <c r="A16" t="s">
        <v>245</v>
      </c>
      <c r="B16">
        <v>37</v>
      </c>
      <c r="C16" t="s">
        <v>246</v>
      </c>
      <c r="D16" t="s">
        <v>247</v>
      </c>
      <c r="E16" t="s">
        <v>248</v>
      </c>
      <c r="F16" t="s">
        <v>101</v>
      </c>
      <c r="H16">
        <v>3</v>
      </c>
      <c r="I16">
        <v>4</v>
      </c>
      <c r="J16">
        <v>1</v>
      </c>
      <c r="K16" t="s">
        <v>102</v>
      </c>
      <c r="T16">
        <v>1934.12</v>
      </c>
      <c r="U16">
        <v>2470.8000000000002</v>
      </c>
      <c r="V16">
        <v>0</v>
      </c>
      <c r="AM16" t="s">
        <v>107</v>
      </c>
      <c r="BC16">
        <v>17</v>
      </c>
      <c r="BD16" t="s">
        <v>108</v>
      </c>
      <c r="BE16" t="s">
        <v>109</v>
      </c>
      <c r="BG16" t="s">
        <v>110</v>
      </c>
      <c r="BH16" t="s">
        <v>111</v>
      </c>
      <c r="BI16" t="s">
        <v>112</v>
      </c>
      <c r="BJ16" t="s">
        <v>113</v>
      </c>
      <c r="BK16" t="s">
        <v>114</v>
      </c>
      <c r="BL16" t="s">
        <v>115</v>
      </c>
      <c r="BM16" t="s">
        <v>116</v>
      </c>
      <c r="BO16" t="s">
        <v>117</v>
      </c>
      <c r="BQ16">
        <v>301</v>
      </c>
      <c r="BR16" t="s">
        <v>118</v>
      </c>
      <c r="BU16" t="s">
        <v>119</v>
      </c>
      <c r="BV16" t="s">
        <v>120</v>
      </c>
      <c r="BW16">
        <v>0</v>
      </c>
      <c r="BX16">
        <v>3400</v>
      </c>
      <c r="BY16">
        <v>3706</v>
      </c>
      <c r="BZ16">
        <v>0.09</v>
      </c>
      <c r="CA16">
        <v>2470.8000000000002</v>
      </c>
      <c r="CB16">
        <v>0</v>
      </c>
      <c r="CC16">
        <v>0</v>
      </c>
      <c r="CD16">
        <v>1934.12</v>
      </c>
      <c r="CE16" t="s">
        <v>121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O16">
        <v>3400</v>
      </c>
      <c r="CP16">
        <v>40800</v>
      </c>
      <c r="CR16" t="s">
        <v>122</v>
      </c>
      <c r="CS16">
        <v>0</v>
      </c>
    </row>
    <row r="17" spans="1:97" x14ac:dyDescent="0.2">
      <c r="A17" t="s">
        <v>249</v>
      </c>
      <c r="B17">
        <v>38</v>
      </c>
      <c r="C17" t="s">
        <v>250</v>
      </c>
      <c r="D17" t="s">
        <v>251</v>
      </c>
      <c r="E17" t="s">
        <v>252</v>
      </c>
      <c r="F17" t="s">
        <v>126</v>
      </c>
      <c r="H17">
        <v>3</v>
      </c>
      <c r="I17">
        <v>5</v>
      </c>
      <c r="J17">
        <v>1</v>
      </c>
      <c r="K17" t="s">
        <v>102</v>
      </c>
      <c r="P17" t="s">
        <v>253</v>
      </c>
      <c r="Q17" t="s">
        <v>254</v>
      </c>
      <c r="R17" t="s">
        <v>255</v>
      </c>
      <c r="S17" t="s">
        <v>256</v>
      </c>
      <c r="T17">
        <v>2224.71</v>
      </c>
      <c r="U17">
        <v>218.11</v>
      </c>
      <c r="V17">
        <v>0</v>
      </c>
      <c r="AM17" t="s">
        <v>107</v>
      </c>
      <c r="BV17" t="s">
        <v>142</v>
      </c>
      <c r="CD17">
        <v>2224.71</v>
      </c>
      <c r="CO17">
        <v>0</v>
      </c>
      <c r="CP17">
        <v>0</v>
      </c>
      <c r="CR17" t="s">
        <v>143</v>
      </c>
      <c r="CS17">
        <v>0</v>
      </c>
    </row>
    <row r="18" spans="1:97" x14ac:dyDescent="0.2">
      <c r="A18" t="s">
        <v>257</v>
      </c>
      <c r="B18">
        <v>39</v>
      </c>
      <c r="C18" t="s">
        <v>258</v>
      </c>
      <c r="D18" t="s">
        <v>259</v>
      </c>
      <c r="E18" t="s">
        <v>252</v>
      </c>
      <c r="F18" t="s">
        <v>126</v>
      </c>
      <c r="H18">
        <v>3</v>
      </c>
      <c r="I18">
        <v>4</v>
      </c>
      <c r="J18">
        <v>1</v>
      </c>
      <c r="K18" t="s">
        <v>102</v>
      </c>
      <c r="P18" t="s">
        <v>260</v>
      </c>
      <c r="T18">
        <v>1702.35</v>
      </c>
      <c r="U18">
        <v>208.85</v>
      </c>
      <c r="V18">
        <v>0</v>
      </c>
      <c r="AM18" t="s">
        <v>107</v>
      </c>
      <c r="BV18" t="s">
        <v>142</v>
      </c>
      <c r="CD18">
        <v>1702.35</v>
      </c>
      <c r="CO18">
        <v>0</v>
      </c>
      <c r="CP18">
        <v>0</v>
      </c>
      <c r="CR18" t="s">
        <v>143</v>
      </c>
      <c r="CS18">
        <v>0</v>
      </c>
    </row>
    <row r="19" spans="1:97" x14ac:dyDescent="0.2">
      <c r="A19" t="s">
        <v>261</v>
      </c>
      <c r="B19">
        <v>40</v>
      </c>
      <c r="C19" t="s">
        <v>262</v>
      </c>
      <c r="D19" t="s">
        <v>263</v>
      </c>
      <c r="E19" t="s">
        <v>264</v>
      </c>
      <c r="F19" t="s">
        <v>126</v>
      </c>
      <c r="H19">
        <v>2</v>
      </c>
      <c r="I19">
        <v>3</v>
      </c>
      <c r="J19">
        <v>1</v>
      </c>
      <c r="K19" t="s">
        <v>127</v>
      </c>
      <c r="P19" t="s">
        <v>265</v>
      </c>
      <c r="Q19" t="s">
        <v>266</v>
      </c>
      <c r="R19" t="s">
        <v>267</v>
      </c>
      <c r="S19" t="s">
        <v>268</v>
      </c>
      <c r="T19">
        <v>1861.18</v>
      </c>
      <c r="U19">
        <v>200</v>
      </c>
      <c r="V19">
        <v>0</v>
      </c>
      <c r="AM19" t="s">
        <v>107</v>
      </c>
      <c r="BV19" t="s">
        <v>142</v>
      </c>
      <c r="CD19">
        <v>1861.18</v>
      </c>
      <c r="CO19">
        <v>0</v>
      </c>
      <c r="CP19">
        <v>0</v>
      </c>
      <c r="CR19" t="s">
        <v>143</v>
      </c>
      <c r="CS19">
        <v>0</v>
      </c>
    </row>
    <row r="20" spans="1:97" x14ac:dyDescent="0.2">
      <c r="A20" t="s">
        <v>269</v>
      </c>
      <c r="B20">
        <v>41</v>
      </c>
      <c r="C20" t="s">
        <v>270</v>
      </c>
      <c r="D20" t="s">
        <v>271</v>
      </c>
      <c r="E20" t="s">
        <v>272</v>
      </c>
      <c r="F20" t="s">
        <v>126</v>
      </c>
      <c r="H20">
        <v>8</v>
      </c>
      <c r="I20">
        <v>8</v>
      </c>
      <c r="J20">
        <v>1</v>
      </c>
      <c r="K20" t="s">
        <v>102</v>
      </c>
      <c r="T20">
        <v>2052.94</v>
      </c>
      <c r="U20">
        <v>39.24</v>
      </c>
      <c r="V20">
        <v>0</v>
      </c>
      <c r="AM20" t="s">
        <v>107</v>
      </c>
      <c r="BV20" t="s">
        <v>142</v>
      </c>
      <c r="CD20">
        <v>2052.94</v>
      </c>
      <c r="CO20">
        <v>0</v>
      </c>
      <c r="CP20">
        <v>0</v>
      </c>
      <c r="CR20" t="s">
        <v>143</v>
      </c>
      <c r="CS20">
        <v>0</v>
      </c>
    </row>
    <row r="21" spans="1:97" x14ac:dyDescent="0.2">
      <c r="A21" t="s">
        <v>273</v>
      </c>
      <c r="B21">
        <v>42</v>
      </c>
      <c r="C21" t="s">
        <v>274</v>
      </c>
      <c r="D21" t="s">
        <v>275</v>
      </c>
      <c r="E21" t="s">
        <v>147</v>
      </c>
      <c r="F21" t="s">
        <v>101</v>
      </c>
      <c r="H21">
        <v>2</v>
      </c>
      <c r="I21">
        <v>3</v>
      </c>
      <c r="J21">
        <v>1</v>
      </c>
      <c r="K21" t="s">
        <v>102</v>
      </c>
      <c r="P21" t="s">
        <v>276</v>
      </c>
      <c r="T21">
        <v>1783.53</v>
      </c>
      <c r="U21">
        <v>181.36</v>
      </c>
      <c r="V21">
        <v>0</v>
      </c>
      <c r="AM21" t="s">
        <v>107</v>
      </c>
      <c r="BC21">
        <v>17</v>
      </c>
      <c r="BD21" t="s">
        <v>108</v>
      </c>
      <c r="BE21" t="s">
        <v>109</v>
      </c>
      <c r="BG21" t="s">
        <v>110</v>
      </c>
      <c r="BH21" t="s">
        <v>111</v>
      </c>
      <c r="BI21" t="s">
        <v>112</v>
      </c>
      <c r="BJ21" t="s">
        <v>113</v>
      </c>
      <c r="BK21" t="s">
        <v>114</v>
      </c>
      <c r="BL21" t="s">
        <v>115</v>
      </c>
      <c r="BM21" t="s">
        <v>116</v>
      </c>
      <c r="BO21" t="s">
        <v>117</v>
      </c>
      <c r="BQ21">
        <v>269</v>
      </c>
      <c r="BR21" t="s">
        <v>215</v>
      </c>
      <c r="BU21" t="s">
        <v>216</v>
      </c>
      <c r="BV21" t="s">
        <v>120</v>
      </c>
      <c r="BW21">
        <v>1723.44</v>
      </c>
      <c r="BX21">
        <v>1723.44</v>
      </c>
      <c r="BY21">
        <v>1878.55</v>
      </c>
      <c r="BZ21">
        <v>0.09</v>
      </c>
      <c r="CA21">
        <v>0</v>
      </c>
      <c r="CB21">
        <v>0</v>
      </c>
      <c r="CC21">
        <v>0</v>
      </c>
      <c r="CD21">
        <v>1783.53</v>
      </c>
      <c r="CE21" t="s">
        <v>121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O21">
        <v>1723.44</v>
      </c>
      <c r="CP21">
        <v>20681.28</v>
      </c>
      <c r="CR21" t="s">
        <v>122</v>
      </c>
      <c r="CS21">
        <v>0</v>
      </c>
    </row>
    <row r="22" spans="1:97" x14ac:dyDescent="0.2">
      <c r="A22" t="s">
        <v>277</v>
      </c>
      <c r="B22">
        <v>43</v>
      </c>
      <c r="C22" t="s">
        <v>278</v>
      </c>
      <c r="D22" t="s">
        <v>279</v>
      </c>
      <c r="E22" t="s">
        <v>147</v>
      </c>
      <c r="F22" t="s">
        <v>126</v>
      </c>
      <c r="H22">
        <v>3</v>
      </c>
      <c r="I22">
        <v>5</v>
      </c>
      <c r="J22">
        <v>1</v>
      </c>
      <c r="K22" t="s">
        <v>102</v>
      </c>
      <c r="P22" t="s">
        <v>280</v>
      </c>
      <c r="Q22" t="s">
        <v>281</v>
      </c>
      <c r="R22" t="s">
        <v>282</v>
      </c>
      <c r="S22" t="s">
        <v>283</v>
      </c>
      <c r="T22">
        <v>2016.47</v>
      </c>
      <c r="U22">
        <v>256.89</v>
      </c>
      <c r="V22">
        <v>0</v>
      </c>
      <c r="AM22" t="s">
        <v>107</v>
      </c>
      <c r="BC22">
        <v>17</v>
      </c>
      <c r="BD22" t="s">
        <v>108</v>
      </c>
      <c r="BE22" t="s">
        <v>109</v>
      </c>
      <c r="BG22" t="s">
        <v>110</v>
      </c>
      <c r="BH22" t="s">
        <v>111</v>
      </c>
      <c r="BI22" t="s">
        <v>112</v>
      </c>
      <c r="BJ22" t="s">
        <v>113</v>
      </c>
      <c r="BK22" t="s">
        <v>114</v>
      </c>
      <c r="BL22" t="s">
        <v>115</v>
      </c>
      <c r="BM22" t="s">
        <v>116</v>
      </c>
      <c r="BO22" t="s">
        <v>117</v>
      </c>
      <c r="BQ22">
        <v>267</v>
      </c>
      <c r="BR22" t="s">
        <v>215</v>
      </c>
      <c r="BU22" t="s">
        <v>216</v>
      </c>
      <c r="BV22" t="s">
        <v>120</v>
      </c>
      <c r="BW22">
        <v>1830.43</v>
      </c>
      <c r="BX22">
        <v>1830.43</v>
      </c>
      <c r="BY22">
        <v>1995.17</v>
      </c>
      <c r="BZ22">
        <v>0.09</v>
      </c>
      <c r="CA22">
        <v>0</v>
      </c>
      <c r="CB22">
        <v>0</v>
      </c>
      <c r="CC22">
        <v>0</v>
      </c>
      <c r="CD22">
        <v>2016.47</v>
      </c>
      <c r="CE22" t="s">
        <v>121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O22">
        <v>1830.43</v>
      </c>
      <c r="CP22">
        <v>21965.16</v>
      </c>
      <c r="CR22" t="s">
        <v>122</v>
      </c>
      <c r="CS22">
        <v>0</v>
      </c>
    </row>
    <row r="23" spans="1:97" x14ac:dyDescent="0.2">
      <c r="A23" t="s">
        <v>284</v>
      </c>
      <c r="B23">
        <v>44</v>
      </c>
      <c r="C23" t="s">
        <v>285</v>
      </c>
      <c r="D23" t="s">
        <v>286</v>
      </c>
      <c r="E23" t="s">
        <v>147</v>
      </c>
      <c r="F23" t="s">
        <v>101</v>
      </c>
      <c r="H23">
        <v>4</v>
      </c>
      <c r="I23">
        <v>8</v>
      </c>
      <c r="J23">
        <v>1</v>
      </c>
      <c r="K23" t="s">
        <v>102</v>
      </c>
      <c r="P23" t="s">
        <v>287</v>
      </c>
      <c r="Q23" t="s">
        <v>288</v>
      </c>
      <c r="R23" t="s">
        <v>289</v>
      </c>
      <c r="S23" t="s">
        <v>290</v>
      </c>
      <c r="T23">
        <v>2271.7600000000002</v>
      </c>
      <c r="U23">
        <v>0</v>
      </c>
      <c r="V23">
        <v>0</v>
      </c>
      <c r="AM23" t="s">
        <v>107</v>
      </c>
      <c r="BV23" t="s">
        <v>142</v>
      </c>
      <c r="CD23">
        <v>2271.7600000000002</v>
      </c>
      <c r="CO23">
        <v>0</v>
      </c>
      <c r="CP23">
        <v>0</v>
      </c>
      <c r="CR23" t="s">
        <v>143</v>
      </c>
      <c r="CS23">
        <v>0</v>
      </c>
    </row>
    <row r="24" spans="1:97" x14ac:dyDescent="0.2">
      <c r="A24" t="s">
        <v>291</v>
      </c>
      <c r="B24">
        <v>45</v>
      </c>
      <c r="C24" t="s">
        <v>292</v>
      </c>
      <c r="D24" t="s">
        <v>293</v>
      </c>
      <c r="E24" t="s">
        <v>294</v>
      </c>
      <c r="F24" t="s">
        <v>101</v>
      </c>
      <c r="H24">
        <v>5</v>
      </c>
      <c r="I24">
        <v>8</v>
      </c>
      <c r="J24">
        <v>1</v>
      </c>
      <c r="K24" t="s">
        <v>127</v>
      </c>
      <c r="L24" t="s">
        <v>295</v>
      </c>
      <c r="T24">
        <v>2018.82</v>
      </c>
      <c r="U24">
        <v>0</v>
      </c>
      <c r="V24">
        <v>0</v>
      </c>
      <c r="W24">
        <v>326</v>
      </c>
      <c r="X24" t="s">
        <v>296</v>
      </c>
      <c r="Y24" t="s">
        <v>109</v>
      </c>
      <c r="AA24" t="s">
        <v>297</v>
      </c>
      <c r="AF24" t="s">
        <v>115</v>
      </c>
      <c r="AI24" t="s">
        <v>298</v>
      </c>
      <c r="AJ24">
        <v>574</v>
      </c>
      <c r="AK24" t="s">
        <v>299</v>
      </c>
      <c r="AL24" t="s">
        <v>300</v>
      </c>
      <c r="AM24" t="s">
        <v>163</v>
      </c>
      <c r="AO24">
        <v>1</v>
      </c>
      <c r="AT24">
        <v>3519</v>
      </c>
      <c r="AU24">
        <v>3519</v>
      </c>
      <c r="AV24">
        <v>3835.71</v>
      </c>
      <c r="AW24">
        <v>0.09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236</v>
      </c>
      <c r="BD24" t="s">
        <v>301</v>
      </c>
      <c r="BE24" t="s">
        <v>109</v>
      </c>
      <c r="BG24" t="s">
        <v>302</v>
      </c>
      <c r="BH24" t="s">
        <v>303</v>
      </c>
      <c r="BI24" t="s">
        <v>304</v>
      </c>
      <c r="BK24" t="s">
        <v>305</v>
      </c>
      <c r="BL24" t="s">
        <v>115</v>
      </c>
      <c r="BO24" t="s">
        <v>306</v>
      </c>
      <c r="BQ24">
        <v>60</v>
      </c>
      <c r="BR24" t="s">
        <v>299</v>
      </c>
      <c r="BS24" t="s">
        <v>300</v>
      </c>
      <c r="BT24">
        <v>6</v>
      </c>
      <c r="BU24" t="s">
        <v>119</v>
      </c>
      <c r="BV24" t="s">
        <v>163</v>
      </c>
      <c r="BW24">
        <v>4033.88</v>
      </c>
      <c r="BX24">
        <v>4033.88</v>
      </c>
      <c r="BY24">
        <v>4396.93</v>
      </c>
      <c r="BZ24">
        <v>0.09</v>
      </c>
      <c r="CA24">
        <v>0</v>
      </c>
      <c r="CB24">
        <v>0</v>
      </c>
      <c r="CC24">
        <v>0</v>
      </c>
      <c r="CD24">
        <v>2018.82</v>
      </c>
      <c r="CE24" t="s">
        <v>181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O24">
        <v>514.88000000000011</v>
      </c>
      <c r="CP24">
        <v>6178.5600000000013</v>
      </c>
      <c r="CQ24">
        <v>14.63</v>
      </c>
      <c r="CR24" t="s">
        <v>168</v>
      </c>
      <c r="CS24">
        <v>634</v>
      </c>
    </row>
    <row r="25" spans="1:97" x14ac:dyDescent="0.2">
      <c r="A25" t="s">
        <v>307</v>
      </c>
      <c r="B25">
        <v>46</v>
      </c>
      <c r="C25" t="s">
        <v>308</v>
      </c>
      <c r="D25" t="s">
        <v>293</v>
      </c>
      <c r="E25" t="s">
        <v>294</v>
      </c>
      <c r="F25" t="s">
        <v>101</v>
      </c>
      <c r="H25">
        <v>6</v>
      </c>
      <c r="I25">
        <v>8</v>
      </c>
      <c r="J25">
        <v>1</v>
      </c>
      <c r="K25" t="s">
        <v>127</v>
      </c>
      <c r="L25" t="s">
        <v>295</v>
      </c>
      <c r="T25">
        <v>2510.59</v>
      </c>
      <c r="U25">
        <v>0</v>
      </c>
      <c r="V25">
        <v>0</v>
      </c>
      <c r="W25">
        <v>326</v>
      </c>
      <c r="X25" t="s">
        <v>296</v>
      </c>
      <c r="Y25" t="s">
        <v>109</v>
      </c>
      <c r="AA25" t="s">
        <v>297</v>
      </c>
      <c r="AF25" t="s">
        <v>115</v>
      </c>
      <c r="AI25" t="s">
        <v>298</v>
      </c>
      <c r="AJ25">
        <v>575</v>
      </c>
      <c r="AK25" t="s">
        <v>299</v>
      </c>
      <c r="AL25" t="s">
        <v>300</v>
      </c>
      <c r="AM25" t="s">
        <v>163</v>
      </c>
      <c r="AO25">
        <v>1</v>
      </c>
      <c r="AT25">
        <v>3519</v>
      </c>
      <c r="AU25">
        <v>3519</v>
      </c>
      <c r="AV25">
        <v>3835.71</v>
      </c>
      <c r="AW25">
        <v>0.09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236</v>
      </c>
      <c r="BD25" t="s">
        <v>301</v>
      </c>
      <c r="BE25" t="s">
        <v>109</v>
      </c>
      <c r="BG25" t="s">
        <v>302</v>
      </c>
      <c r="BH25" t="s">
        <v>303</v>
      </c>
      <c r="BI25" t="s">
        <v>304</v>
      </c>
      <c r="BK25" t="s">
        <v>305</v>
      </c>
      <c r="BL25" t="s">
        <v>115</v>
      </c>
      <c r="BO25" t="s">
        <v>306</v>
      </c>
      <c r="BQ25">
        <v>61</v>
      </c>
      <c r="BR25" t="s">
        <v>299</v>
      </c>
      <c r="BS25" t="s">
        <v>300</v>
      </c>
      <c r="BT25">
        <v>6</v>
      </c>
      <c r="BU25" t="s">
        <v>119</v>
      </c>
      <c r="BV25" t="s">
        <v>163</v>
      </c>
      <c r="BW25">
        <v>4033.88</v>
      </c>
      <c r="BX25">
        <v>4033.88</v>
      </c>
      <c r="BY25">
        <v>4396.93</v>
      </c>
      <c r="BZ25">
        <v>0.09</v>
      </c>
      <c r="CA25">
        <v>0</v>
      </c>
      <c r="CB25">
        <v>0</v>
      </c>
      <c r="CC25">
        <v>0</v>
      </c>
      <c r="CD25">
        <v>2510.59</v>
      </c>
      <c r="CE25" t="s">
        <v>181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O25">
        <v>514.88000000000011</v>
      </c>
      <c r="CP25">
        <v>6178.5600000000013</v>
      </c>
      <c r="CQ25">
        <v>14.63</v>
      </c>
      <c r="CR25" t="s">
        <v>168</v>
      </c>
      <c r="CS25">
        <v>634</v>
      </c>
    </row>
    <row r="26" spans="1:97" x14ac:dyDescent="0.2">
      <c r="A26" t="s">
        <v>309</v>
      </c>
      <c r="B26">
        <v>47</v>
      </c>
      <c r="C26" t="s">
        <v>310</v>
      </c>
      <c r="D26" t="s">
        <v>311</v>
      </c>
      <c r="E26" t="s">
        <v>312</v>
      </c>
      <c r="F26" t="s">
        <v>126</v>
      </c>
      <c r="H26">
        <v>3</v>
      </c>
      <c r="I26">
        <v>3</v>
      </c>
      <c r="J26">
        <v>1</v>
      </c>
      <c r="K26" t="s">
        <v>102</v>
      </c>
      <c r="L26" t="s">
        <v>313</v>
      </c>
      <c r="P26" t="s">
        <v>314</v>
      </c>
      <c r="Q26" t="s">
        <v>315</v>
      </c>
      <c r="R26" t="s">
        <v>316</v>
      </c>
      <c r="S26" t="s">
        <v>317</v>
      </c>
      <c r="T26">
        <v>2165.88</v>
      </c>
      <c r="U26">
        <v>190.22</v>
      </c>
      <c r="V26">
        <v>0</v>
      </c>
      <c r="AM26" t="s">
        <v>107</v>
      </c>
      <c r="BC26">
        <v>17</v>
      </c>
      <c r="BD26" t="s">
        <v>108</v>
      </c>
      <c r="BE26" t="s">
        <v>109</v>
      </c>
      <c r="BG26" t="s">
        <v>110</v>
      </c>
      <c r="BH26" t="s">
        <v>111</v>
      </c>
      <c r="BI26" t="s">
        <v>112</v>
      </c>
      <c r="BJ26" t="s">
        <v>113</v>
      </c>
      <c r="BK26" t="s">
        <v>114</v>
      </c>
      <c r="BL26" t="s">
        <v>115</v>
      </c>
      <c r="BM26" t="s">
        <v>116</v>
      </c>
      <c r="BO26" t="s">
        <v>117</v>
      </c>
      <c r="BQ26">
        <v>275</v>
      </c>
      <c r="BR26" t="s">
        <v>215</v>
      </c>
      <c r="BU26" t="s">
        <v>216</v>
      </c>
      <c r="BV26" t="s">
        <v>120</v>
      </c>
      <c r="BW26">
        <v>1430</v>
      </c>
      <c r="BX26">
        <v>1430</v>
      </c>
      <c r="BY26">
        <v>1558.7</v>
      </c>
      <c r="BZ26">
        <v>0.09</v>
      </c>
      <c r="CA26">
        <v>0</v>
      </c>
      <c r="CB26">
        <v>0</v>
      </c>
      <c r="CC26">
        <v>250</v>
      </c>
      <c r="CD26">
        <v>2165.88</v>
      </c>
      <c r="CE26" t="s">
        <v>121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 t="s">
        <v>201</v>
      </c>
      <c r="CO26">
        <v>1430</v>
      </c>
      <c r="CP26">
        <v>17160</v>
      </c>
      <c r="CR26" t="s">
        <v>122</v>
      </c>
      <c r="CS26">
        <v>0</v>
      </c>
    </row>
    <row r="27" spans="1:97" x14ac:dyDescent="0.2">
      <c r="A27" t="s">
        <v>318</v>
      </c>
      <c r="B27">
        <v>48</v>
      </c>
      <c r="C27" t="s">
        <v>319</v>
      </c>
      <c r="D27" t="s">
        <v>320</v>
      </c>
      <c r="E27" t="s">
        <v>147</v>
      </c>
      <c r="F27" t="s">
        <v>101</v>
      </c>
      <c r="H27">
        <v>3</v>
      </c>
      <c r="I27">
        <v>6</v>
      </c>
      <c r="J27">
        <v>1</v>
      </c>
      <c r="K27" t="s">
        <v>102</v>
      </c>
      <c r="P27" t="s">
        <v>321</v>
      </c>
      <c r="Q27" t="s">
        <v>322</v>
      </c>
      <c r="R27" t="s">
        <v>323</v>
      </c>
      <c r="S27" t="s">
        <v>324</v>
      </c>
      <c r="T27">
        <v>1763.53</v>
      </c>
      <c r="U27">
        <v>255.59</v>
      </c>
      <c r="V27">
        <v>0</v>
      </c>
      <c r="W27">
        <v>984</v>
      </c>
      <c r="X27" t="s">
        <v>325</v>
      </c>
      <c r="Y27" t="s">
        <v>326</v>
      </c>
      <c r="AA27" t="s">
        <v>327</v>
      </c>
      <c r="AB27" t="s">
        <v>328</v>
      </c>
      <c r="AC27" t="s">
        <v>329</v>
      </c>
      <c r="AD27" t="s">
        <v>330</v>
      </c>
      <c r="AE27" t="s">
        <v>272</v>
      </c>
      <c r="AG27" t="s">
        <v>331</v>
      </c>
      <c r="AI27" t="s">
        <v>332</v>
      </c>
      <c r="AJ27">
        <v>818</v>
      </c>
      <c r="AK27" t="s">
        <v>333</v>
      </c>
      <c r="AM27" t="s">
        <v>120</v>
      </c>
      <c r="AN27">
        <v>12</v>
      </c>
      <c r="AO27">
        <v>1</v>
      </c>
      <c r="AT27">
        <v>0</v>
      </c>
      <c r="AU27">
        <v>1600</v>
      </c>
      <c r="AV27">
        <v>1744</v>
      </c>
      <c r="AW27">
        <v>0.09</v>
      </c>
      <c r="AY27">
        <v>0</v>
      </c>
      <c r="BA27">
        <v>0</v>
      </c>
      <c r="BB27">
        <v>0</v>
      </c>
      <c r="BV27" t="s">
        <v>142</v>
      </c>
      <c r="CD27">
        <v>1763.53</v>
      </c>
      <c r="CO27">
        <v>-1600</v>
      </c>
      <c r="CP27">
        <v>-19200</v>
      </c>
      <c r="CQ27">
        <v>-100</v>
      </c>
      <c r="CR27" t="s">
        <v>143</v>
      </c>
      <c r="CS27">
        <v>0</v>
      </c>
    </row>
    <row r="28" spans="1:97" x14ac:dyDescent="0.2">
      <c r="A28" t="s">
        <v>334</v>
      </c>
      <c r="B28">
        <v>49</v>
      </c>
      <c r="C28" t="s">
        <v>335</v>
      </c>
      <c r="D28" t="s">
        <v>336</v>
      </c>
      <c r="E28" t="s">
        <v>252</v>
      </c>
      <c r="F28" t="s">
        <v>126</v>
      </c>
      <c r="H28">
        <v>5</v>
      </c>
      <c r="I28">
        <v>5</v>
      </c>
      <c r="J28">
        <v>1</v>
      </c>
      <c r="K28" t="s">
        <v>102</v>
      </c>
      <c r="P28" t="s">
        <v>337</v>
      </c>
      <c r="Q28" t="s">
        <v>338</v>
      </c>
      <c r="R28" t="s">
        <v>339</v>
      </c>
      <c r="S28" t="s">
        <v>340</v>
      </c>
      <c r="T28">
        <v>1442.35</v>
      </c>
      <c r="U28">
        <v>142.75</v>
      </c>
      <c r="V28">
        <v>0</v>
      </c>
      <c r="AM28" t="s">
        <v>107</v>
      </c>
      <c r="BC28">
        <v>17</v>
      </c>
      <c r="BD28" t="s">
        <v>108</v>
      </c>
      <c r="BE28" t="s">
        <v>109</v>
      </c>
      <c r="BG28" t="s">
        <v>110</v>
      </c>
      <c r="BH28" t="s">
        <v>111</v>
      </c>
      <c r="BI28" t="s">
        <v>112</v>
      </c>
      <c r="BJ28" t="s">
        <v>113</v>
      </c>
      <c r="BK28" t="s">
        <v>114</v>
      </c>
      <c r="BL28" t="s">
        <v>115</v>
      </c>
      <c r="BM28" t="s">
        <v>116</v>
      </c>
      <c r="BO28" t="s">
        <v>117</v>
      </c>
      <c r="BQ28">
        <v>276</v>
      </c>
      <c r="BR28" t="s">
        <v>341</v>
      </c>
      <c r="BU28" t="s">
        <v>216</v>
      </c>
      <c r="BV28" t="s">
        <v>120</v>
      </c>
      <c r="BW28">
        <v>1677.89</v>
      </c>
      <c r="BX28">
        <v>1677.89</v>
      </c>
      <c r="BY28">
        <v>1828.9</v>
      </c>
      <c r="BZ28">
        <v>0.09</v>
      </c>
      <c r="CA28">
        <v>0</v>
      </c>
      <c r="CB28">
        <v>0</v>
      </c>
      <c r="CC28">
        <v>0</v>
      </c>
      <c r="CD28">
        <v>0</v>
      </c>
      <c r="CE28" t="s">
        <v>121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O28">
        <v>1677.89</v>
      </c>
      <c r="CP28">
        <v>20134.68</v>
      </c>
      <c r="CR28" t="s">
        <v>122</v>
      </c>
      <c r="CS28">
        <v>0</v>
      </c>
    </row>
    <row r="29" spans="1:97" x14ac:dyDescent="0.2">
      <c r="A29" t="s">
        <v>342</v>
      </c>
      <c r="B29">
        <v>50</v>
      </c>
      <c r="C29" t="s">
        <v>343</v>
      </c>
      <c r="D29" t="s">
        <v>344</v>
      </c>
      <c r="E29" t="s">
        <v>114</v>
      </c>
      <c r="F29" t="s">
        <v>126</v>
      </c>
      <c r="H29">
        <v>4</v>
      </c>
      <c r="I29">
        <v>8</v>
      </c>
      <c r="J29">
        <v>1</v>
      </c>
      <c r="K29" t="s">
        <v>127</v>
      </c>
      <c r="M29" t="s">
        <v>137</v>
      </c>
      <c r="P29" t="s">
        <v>345</v>
      </c>
      <c r="T29">
        <v>1954.12</v>
      </c>
      <c r="U29">
        <v>272.64</v>
      </c>
      <c r="V29">
        <v>0</v>
      </c>
      <c r="AM29" t="s">
        <v>107</v>
      </c>
      <c r="BC29">
        <v>17</v>
      </c>
      <c r="BD29" t="s">
        <v>108</v>
      </c>
      <c r="BE29" t="s">
        <v>109</v>
      </c>
      <c r="BG29" t="s">
        <v>110</v>
      </c>
      <c r="BH29" t="s">
        <v>111</v>
      </c>
      <c r="BI29" t="s">
        <v>112</v>
      </c>
      <c r="BJ29" t="s">
        <v>113</v>
      </c>
      <c r="BK29" t="s">
        <v>114</v>
      </c>
      <c r="BL29" t="s">
        <v>115</v>
      </c>
      <c r="BM29" t="s">
        <v>116</v>
      </c>
      <c r="BO29" t="s">
        <v>117</v>
      </c>
      <c r="BQ29">
        <v>273</v>
      </c>
      <c r="BR29" t="s">
        <v>341</v>
      </c>
      <c r="BU29" t="s">
        <v>216</v>
      </c>
      <c r="BV29" t="s">
        <v>120</v>
      </c>
      <c r="BW29">
        <v>2928.69</v>
      </c>
      <c r="BX29">
        <v>2928.69</v>
      </c>
      <c r="BY29">
        <v>3192.27</v>
      </c>
      <c r="BZ29">
        <v>0.09</v>
      </c>
      <c r="CA29">
        <v>0</v>
      </c>
      <c r="CB29">
        <v>0</v>
      </c>
      <c r="CC29">
        <v>0</v>
      </c>
      <c r="CD29">
        <v>1954.12</v>
      </c>
      <c r="CE29" t="s">
        <v>121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O29">
        <v>2928.69</v>
      </c>
      <c r="CP29">
        <v>35144.28</v>
      </c>
      <c r="CR29" t="s">
        <v>122</v>
      </c>
      <c r="CS29">
        <v>0</v>
      </c>
    </row>
    <row r="30" spans="1:97" x14ac:dyDescent="0.2">
      <c r="A30" t="s">
        <v>346</v>
      </c>
      <c r="B30">
        <v>51</v>
      </c>
      <c r="C30" t="s">
        <v>347</v>
      </c>
      <c r="D30" t="s">
        <v>348</v>
      </c>
      <c r="E30" t="s">
        <v>272</v>
      </c>
      <c r="F30" t="s">
        <v>126</v>
      </c>
      <c r="H30">
        <v>3</v>
      </c>
      <c r="I30">
        <v>3</v>
      </c>
      <c r="J30">
        <v>1</v>
      </c>
      <c r="K30" t="s">
        <v>127</v>
      </c>
      <c r="P30" t="s">
        <v>349</v>
      </c>
      <c r="Q30" t="s">
        <v>350</v>
      </c>
      <c r="R30" t="s">
        <v>351</v>
      </c>
      <c r="S30" t="s">
        <v>352</v>
      </c>
      <c r="T30">
        <v>1877.65</v>
      </c>
      <c r="U30">
        <v>200</v>
      </c>
      <c r="V30">
        <v>0</v>
      </c>
      <c r="W30">
        <v>850</v>
      </c>
      <c r="X30" t="s">
        <v>353</v>
      </c>
      <c r="Y30" t="s">
        <v>109</v>
      </c>
      <c r="AJ30">
        <v>659</v>
      </c>
      <c r="AK30" t="s">
        <v>354</v>
      </c>
      <c r="AL30" t="s">
        <v>355</v>
      </c>
      <c r="AM30" t="s">
        <v>163</v>
      </c>
      <c r="AO30">
        <v>1</v>
      </c>
      <c r="AT30">
        <v>1350</v>
      </c>
      <c r="AU30">
        <v>1350</v>
      </c>
      <c r="AV30">
        <v>1471.5</v>
      </c>
      <c r="AW30">
        <v>0.09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329</v>
      </c>
      <c r="BD30" t="s">
        <v>356</v>
      </c>
      <c r="BE30" t="s">
        <v>109</v>
      </c>
      <c r="BG30" t="s">
        <v>357</v>
      </c>
      <c r="BH30" t="s">
        <v>358</v>
      </c>
      <c r="BI30" t="s">
        <v>359</v>
      </c>
      <c r="BK30" t="s">
        <v>360</v>
      </c>
      <c r="BL30" t="s">
        <v>361</v>
      </c>
      <c r="BM30" t="s">
        <v>362</v>
      </c>
      <c r="BQ30">
        <v>146</v>
      </c>
      <c r="BR30" t="s">
        <v>354</v>
      </c>
      <c r="BS30" t="s">
        <v>355</v>
      </c>
      <c r="BT30">
        <v>12</v>
      </c>
      <c r="BU30" t="s">
        <v>119</v>
      </c>
      <c r="BV30" t="s">
        <v>163</v>
      </c>
      <c r="BW30">
        <v>1977.9</v>
      </c>
      <c r="BX30">
        <v>2212.9</v>
      </c>
      <c r="BY30">
        <v>2412.06</v>
      </c>
      <c r="BZ30">
        <v>0.09</v>
      </c>
      <c r="CA30">
        <v>200</v>
      </c>
      <c r="CB30">
        <v>35</v>
      </c>
      <c r="CC30">
        <v>0</v>
      </c>
      <c r="CD30">
        <v>1877.65</v>
      </c>
      <c r="CE30" t="s">
        <v>121</v>
      </c>
      <c r="CF30">
        <v>1</v>
      </c>
      <c r="CG30">
        <v>1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O30">
        <v>862.90000000000009</v>
      </c>
      <c r="CP30">
        <v>10354.799999999999</v>
      </c>
      <c r="CQ30">
        <v>63.92</v>
      </c>
      <c r="CR30" t="s">
        <v>168</v>
      </c>
      <c r="CS30">
        <v>251</v>
      </c>
    </row>
    <row r="31" spans="1:97" x14ac:dyDescent="0.2">
      <c r="A31" t="s">
        <v>363</v>
      </c>
      <c r="B31">
        <v>52</v>
      </c>
      <c r="C31" t="s">
        <v>364</v>
      </c>
      <c r="D31" t="s">
        <v>365</v>
      </c>
      <c r="E31" t="s">
        <v>147</v>
      </c>
      <c r="F31" t="s">
        <v>101</v>
      </c>
      <c r="H31">
        <v>2</v>
      </c>
      <c r="I31">
        <v>3</v>
      </c>
      <c r="J31">
        <v>1</v>
      </c>
      <c r="K31" t="s">
        <v>102</v>
      </c>
      <c r="P31" t="s">
        <v>366</v>
      </c>
      <c r="T31">
        <v>2054.12</v>
      </c>
      <c r="U31">
        <v>297.55</v>
      </c>
      <c r="V31">
        <v>0</v>
      </c>
      <c r="AM31" t="s">
        <v>107</v>
      </c>
      <c r="BC31">
        <v>17</v>
      </c>
      <c r="BD31" t="s">
        <v>108</v>
      </c>
      <c r="BE31" t="s">
        <v>109</v>
      </c>
      <c r="BG31" t="s">
        <v>110</v>
      </c>
      <c r="BH31" t="s">
        <v>111</v>
      </c>
      <c r="BI31" t="s">
        <v>112</v>
      </c>
      <c r="BJ31" t="s">
        <v>113</v>
      </c>
      <c r="BK31" t="s">
        <v>114</v>
      </c>
      <c r="BL31" t="s">
        <v>115</v>
      </c>
      <c r="BM31" t="s">
        <v>116</v>
      </c>
      <c r="BO31" t="s">
        <v>117</v>
      </c>
      <c r="BQ31">
        <v>302</v>
      </c>
      <c r="BR31" t="s">
        <v>118</v>
      </c>
      <c r="BU31" t="s">
        <v>119</v>
      </c>
      <c r="BV31" t="s">
        <v>120</v>
      </c>
      <c r="BW31">
        <v>0</v>
      </c>
      <c r="BX31">
        <v>895</v>
      </c>
      <c r="BY31">
        <v>975.55</v>
      </c>
      <c r="BZ31">
        <v>0.09</v>
      </c>
      <c r="CA31">
        <v>297.55</v>
      </c>
      <c r="CB31">
        <v>354.76</v>
      </c>
      <c r="CC31">
        <v>0</v>
      </c>
      <c r="CD31">
        <v>2054.12</v>
      </c>
      <c r="CE31" t="s">
        <v>121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O31">
        <v>895</v>
      </c>
      <c r="CP31">
        <v>10740</v>
      </c>
      <c r="CR31" t="s">
        <v>122</v>
      </c>
      <c r="CS31">
        <v>0</v>
      </c>
    </row>
    <row r="32" spans="1:97" x14ac:dyDescent="0.2">
      <c r="A32" t="s">
        <v>367</v>
      </c>
      <c r="B32">
        <v>53</v>
      </c>
      <c r="C32" t="s">
        <v>368</v>
      </c>
      <c r="D32" t="s">
        <v>369</v>
      </c>
      <c r="E32" t="s">
        <v>312</v>
      </c>
      <c r="F32" t="s">
        <v>126</v>
      </c>
      <c r="H32">
        <v>2</v>
      </c>
      <c r="I32">
        <v>3</v>
      </c>
      <c r="J32">
        <v>1</v>
      </c>
      <c r="K32" t="s">
        <v>127</v>
      </c>
      <c r="P32" t="s">
        <v>370</v>
      </c>
      <c r="T32">
        <v>1974.12</v>
      </c>
      <c r="U32">
        <v>195.97</v>
      </c>
      <c r="V32">
        <v>0</v>
      </c>
      <c r="AM32" t="s">
        <v>107</v>
      </c>
      <c r="BV32" t="s">
        <v>142</v>
      </c>
      <c r="CD32">
        <v>1974.12</v>
      </c>
      <c r="CO32">
        <v>0</v>
      </c>
      <c r="CP32">
        <v>0</v>
      </c>
      <c r="CR32" t="s">
        <v>143</v>
      </c>
      <c r="CS32">
        <v>0</v>
      </c>
    </row>
    <row r="33" spans="1:97" x14ac:dyDescent="0.2">
      <c r="A33" t="s">
        <v>371</v>
      </c>
      <c r="B33">
        <v>54</v>
      </c>
      <c r="C33" t="s">
        <v>372</v>
      </c>
      <c r="D33" t="s">
        <v>373</v>
      </c>
      <c r="E33" t="s">
        <v>374</v>
      </c>
      <c r="F33" t="s">
        <v>126</v>
      </c>
      <c r="H33">
        <v>4</v>
      </c>
      <c r="I33">
        <v>4</v>
      </c>
      <c r="J33">
        <v>1</v>
      </c>
      <c r="K33" t="s">
        <v>102</v>
      </c>
      <c r="P33" t="s">
        <v>375</v>
      </c>
      <c r="T33">
        <v>2065.88</v>
      </c>
      <c r="U33">
        <v>200</v>
      </c>
      <c r="V33">
        <v>0</v>
      </c>
      <c r="AM33" t="s">
        <v>107</v>
      </c>
      <c r="BV33" t="s">
        <v>142</v>
      </c>
      <c r="CD33">
        <v>2065.88</v>
      </c>
      <c r="CO33">
        <v>0</v>
      </c>
      <c r="CP33">
        <v>0</v>
      </c>
      <c r="CR33" t="s">
        <v>143</v>
      </c>
      <c r="CS33">
        <v>0</v>
      </c>
    </row>
    <row r="34" spans="1:97" x14ac:dyDescent="0.2">
      <c r="A34" t="s">
        <v>376</v>
      </c>
      <c r="B34">
        <v>55</v>
      </c>
      <c r="C34" t="s">
        <v>377</v>
      </c>
      <c r="D34" t="s">
        <v>378</v>
      </c>
      <c r="E34" t="s">
        <v>147</v>
      </c>
      <c r="F34" t="s">
        <v>101</v>
      </c>
      <c r="H34">
        <v>3</v>
      </c>
      <c r="I34">
        <v>5</v>
      </c>
      <c r="J34">
        <v>1</v>
      </c>
      <c r="K34" t="s">
        <v>102</v>
      </c>
      <c r="P34" t="s">
        <v>379</v>
      </c>
      <c r="T34">
        <v>2444.71</v>
      </c>
      <c r="U34">
        <v>370.02</v>
      </c>
      <c r="V34">
        <v>0</v>
      </c>
      <c r="AM34" t="s">
        <v>107</v>
      </c>
      <c r="BC34">
        <v>17</v>
      </c>
      <c r="BD34" t="s">
        <v>108</v>
      </c>
      <c r="BE34" t="s">
        <v>109</v>
      </c>
      <c r="BG34" t="s">
        <v>110</v>
      </c>
      <c r="BH34" t="s">
        <v>111</v>
      </c>
      <c r="BI34" t="s">
        <v>112</v>
      </c>
      <c r="BJ34" t="s">
        <v>113</v>
      </c>
      <c r="BK34" t="s">
        <v>114</v>
      </c>
      <c r="BL34" t="s">
        <v>115</v>
      </c>
      <c r="BM34" t="s">
        <v>116</v>
      </c>
      <c r="BO34" t="s">
        <v>117</v>
      </c>
      <c r="BQ34">
        <v>268</v>
      </c>
      <c r="BR34" t="s">
        <v>341</v>
      </c>
      <c r="BU34" t="s">
        <v>216</v>
      </c>
      <c r="BV34" t="s">
        <v>120</v>
      </c>
      <c r="BW34">
        <v>2082</v>
      </c>
      <c r="BX34">
        <v>2082</v>
      </c>
      <c r="BY34">
        <v>2269.38</v>
      </c>
      <c r="BZ34">
        <v>0.09</v>
      </c>
      <c r="CA34">
        <v>0</v>
      </c>
      <c r="CB34">
        <v>0</v>
      </c>
      <c r="CC34">
        <v>375</v>
      </c>
      <c r="CD34">
        <v>2000</v>
      </c>
      <c r="CE34" t="s">
        <v>121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 t="s">
        <v>182</v>
      </c>
      <c r="CO34">
        <v>2082</v>
      </c>
      <c r="CP34">
        <v>24984</v>
      </c>
      <c r="CR34" t="s">
        <v>122</v>
      </c>
      <c r="CS34">
        <v>0</v>
      </c>
    </row>
    <row r="35" spans="1:97" x14ac:dyDescent="0.2">
      <c r="A35" t="s">
        <v>380</v>
      </c>
      <c r="B35">
        <v>56</v>
      </c>
      <c r="C35" t="s">
        <v>381</v>
      </c>
      <c r="D35" t="s">
        <v>378</v>
      </c>
      <c r="E35" t="s">
        <v>147</v>
      </c>
      <c r="F35" t="s">
        <v>101</v>
      </c>
      <c r="H35">
        <v>3</v>
      </c>
      <c r="I35">
        <v>5</v>
      </c>
      <c r="J35">
        <v>1</v>
      </c>
      <c r="K35" t="s">
        <v>102</v>
      </c>
      <c r="P35" t="s">
        <v>382</v>
      </c>
      <c r="T35">
        <v>2108.6999999999998</v>
      </c>
      <c r="U35">
        <v>491.73</v>
      </c>
      <c r="V35">
        <v>0</v>
      </c>
      <c r="AM35" t="s">
        <v>107</v>
      </c>
      <c r="BC35">
        <v>17</v>
      </c>
      <c r="BD35" t="s">
        <v>108</v>
      </c>
      <c r="BE35" t="s">
        <v>109</v>
      </c>
      <c r="BG35" t="s">
        <v>110</v>
      </c>
      <c r="BH35" t="s">
        <v>111</v>
      </c>
      <c r="BI35" t="s">
        <v>112</v>
      </c>
      <c r="BJ35" t="s">
        <v>113</v>
      </c>
      <c r="BK35" t="s">
        <v>114</v>
      </c>
      <c r="BL35" t="s">
        <v>115</v>
      </c>
      <c r="BM35" t="s">
        <v>116</v>
      </c>
      <c r="BO35" t="s">
        <v>117</v>
      </c>
      <c r="BQ35">
        <v>274</v>
      </c>
      <c r="BR35" t="s">
        <v>341</v>
      </c>
      <c r="BU35" t="s">
        <v>216</v>
      </c>
      <c r="BV35" t="s">
        <v>120</v>
      </c>
      <c r="BW35">
        <v>2082</v>
      </c>
      <c r="BX35">
        <v>2082</v>
      </c>
      <c r="BY35">
        <v>2269.38</v>
      </c>
      <c r="BZ35">
        <v>0.09</v>
      </c>
      <c r="CA35">
        <v>0</v>
      </c>
      <c r="CB35">
        <v>0</v>
      </c>
      <c r="CC35">
        <v>0</v>
      </c>
      <c r="CD35">
        <v>2000</v>
      </c>
      <c r="CE35" t="s">
        <v>121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O35">
        <v>2082</v>
      </c>
      <c r="CP35">
        <v>24984</v>
      </c>
      <c r="CR35" t="s">
        <v>122</v>
      </c>
      <c r="CS35">
        <v>0</v>
      </c>
    </row>
    <row r="36" spans="1:97" x14ac:dyDescent="0.2">
      <c r="A36" t="s">
        <v>383</v>
      </c>
      <c r="B36">
        <v>57</v>
      </c>
      <c r="C36" t="s">
        <v>384</v>
      </c>
      <c r="D36" t="s">
        <v>385</v>
      </c>
      <c r="E36" t="s">
        <v>147</v>
      </c>
      <c r="F36" t="s">
        <v>101</v>
      </c>
      <c r="H36">
        <v>2</v>
      </c>
      <c r="I36">
        <v>3</v>
      </c>
      <c r="J36">
        <v>1</v>
      </c>
      <c r="K36" t="s">
        <v>102</v>
      </c>
      <c r="P36" t="s">
        <v>386</v>
      </c>
      <c r="T36">
        <v>2160</v>
      </c>
      <c r="U36">
        <v>160.41999999999999</v>
      </c>
      <c r="V36">
        <v>0</v>
      </c>
      <c r="W36">
        <v>984</v>
      </c>
      <c r="X36" t="s">
        <v>325</v>
      </c>
      <c r="Y36" t="s">
        <v>326</v>
      </c>
      <c r="AA36" t="s">
        <v>327</v>
      </c>
      <c r="AB36" t="s">
        <v>328</v>
      </c>
      <c r="AC36" t="s">
        <v>329</v>
      </c>
      <c r="AD36" t="s">
        <v>330</v>
      </c>
      <c r="AE36" t="s">
        <v>272</v>
      </c>
      <c r="AG36" t="s">
        <v>331</v>
      </c>
      <c r="AI36" t="s">
        <v>332</v>
      </c>
      <c r="AJ36">
        <v>814</v>
      </c>
      <c r="AK36" t="s">
        <v>387</v>
      </c>
      <c r="AM36" t="s">
        <v>120</v>
      </c>
      <c r="AN36">
        <v>12</v>
      </c>
      <c r="AO36">
        <v>1</v>
      </c>
      <c r="AT36">
        <v>0</v>
      </c>
      <c r="AU36">
        <v>1300</v>
      </c>
      <c r="AV36">
        <v>1417</v>
      </c>
      <c r="AW36">
        <v>0.09</v>
      </c>
      <c r="AX36">
        <v>1300</v>
      </c>
      <c r="AY36">
        <v>0</v>
      </c>
      <c r="BA36">
        <v>0</v>
      </c>
      <c r="BB36">
        <v>0</v>
      </c>
      <c r="BV36" t="s">
        <v>142</v>
      </c>
      <c r="CD36">
        <v>2160</v>
      </c>
      <c r="CO36">
        <v>-1300</v>
      </c>
      <c r="CP36">
        <v>-15600</v>
      </c>
      <c r="CQ36">
        <v>-100</v>
      </c>
      <c r="CR36" t="s">
        <v>143</v>
      </c>
      <c r="CS36">
        <v>0</v>
      </c>
    </row>
    <row r="37" spans="1:97" x14ac:dyDescent="0.2">
      <c r="A37" t="s">
        <v>388</v>
      </c>
      <c r="B37">
        <v>58</v>
      </c>
      <c r="C37" t="s">
        <v>389</v>
      </c>
      <c r="D37" t="s">
        <v>385</v>
      </c>
      <c r="E37" t="s">
        <v>147</v>
      </c>
      <c r="F37" t="s">
        <v>101</v>
      </c>
      <c r="H37">
        <v>3</v>
      </c>
      <c r="I37">
        <v>5</v>
      </c>
      <c r="J37">
        <v>1</v>
      </c>
      <c r="K37" t="s">
        <v>102</v>
      </c>
      <c r="P37" t="s">
        <v>390</v>
      </c>
      <c r="T37">
        <v>2149.41</v>
      </c>
      <c r="U37">
        <v>332.55</v>
      </c>
      <c r="V37">
        <v>0</v>
      </c>
      <c r="W37">
        <v>984</v>
      </c>
      <c r="X37" t="s">
        <v>325</v>
      </c>
      <c r="Y37" t="s">
        <v>326</v>
      </c>
      <c r="AA37" t="s">
        <v>327</v>
      </c>
      <c r="AB37" t="s">
        <v>328</v>
      </c>
      <c r="AC37" t="s">
        <v>329</v>
      </c>
      <c r="AD37" t="s">
        <v>330</v>
      </c>
      <c r="AE37" t="s">
        <v>272</v>
      </c>
      <c r="AG37" t="s">
        <v>331</v>
      </c>
      <c r="AI37" t="s">
        <v>332</v>
      </c>
      <c r="AJ37">
        <v>805</v>
      </c>
      <c r="AK37" t="s">
        <v>387</v>
      </c>
      <c r="AM37" t="s">
        <v>120</v>
      </c>
      <c r="AN37">
        <v>12</v>
      </c>
      <c r="AO37">
        <v>1</v>
      </c>
      <c r="AT37">
        <v>0</v>
      </c>
      <c r="AU37">
        <v>1300</v>
      </c>
      <c r="AV37">
        <v>1417</v>
      </c>
      <c r="AW37">
        <v>0.09</v>
      </c>
      <c r="AX37">
        <v>1300</v>
      </c>
      <c r="AY37">
        <v>0</v>
      </c>
      <c r="BA37">
        <v>0</v>
      </c>
      <c r="BB37">
        <v>0</v>
      </c>
      <c r="BV37" t="s">
        <v>142</v>
      </c>
      <c r="CD37">
        <v>2149.41</v>
      </c>
      <c r="CO37">
        <v>-1300</v>
      </c>
      <c r="CP37">
        <v>-15600</v>
      </c>
      <c r="CQ37">
        <v>-100</v>
      </c>
      <c r="CR37" t="s">
        <v>143</v>
      </c>
      <c r="CS37">
        <v>0</v>
      </c>
    </row>
    <row r="38" spans="1:97" x14ac:dyDescent="0.2">
      <c r="A38" t="s">
        <v>391</v>
      </c>
      <c r="B38">
        <v>59</v>
      </c>
      <c r="C38" t="s">
        <v>392</v>
      </c>
      <c r="D38" t="s">
        <v>393</v>
      </c>
      <c r="E38" t="s">
        <v>312</v>
      </c>
      <c r="F38" t="s">
        <v>101</v>
      </c>
      <c r="H38">
        <v>3</v>
      </c>
      <c r="I38">
        <v>4</v>
      </c>
      <c r="J38">
        <v>1</v>
      </c>
      <c r="K38" t="s">
        <v>102</v>
      </c>
      <c r="T38">
        <v>1937.65</v>
      </c>
      <c r="U38">
        <v>350</v>
      </c>
      <c r="V38">
        <v>0</v>
      </c>
      <c r="AM38" t="s">
        <v>107</v>
      </c>
      <c r="BC38">
        <v>17</v>
      </c>
      <c r="BD38" t="s">
        <v>108</v>
      </c>
      <c r="BE38" t="s">
        <v>109</v>
      </c>
      <c r="BG38" t="s">
        <v>110</v>
      </c>
      <c r="BH38" t="s">
        <v>111</v>
      </c>
      <c r="BI38" t="s">
        <v>112</v>
      </c>
      <c r="BJ38" t="s">
        <v>113</v>
      </c>
      <c r="BK38" t="s">
        <v>114</v>
      </c>
      <c r="BL38" t="s">
        <v>115</v>
      </c>
      <c r="BM38" t="s">
        <v>116</v>
      </c>
      <c r="BO38" t="s">
        <v>117</v>
      </c>
      <c r="BQ38">
        <v>420</v>
      </c>
      <c r="BR38" t="s">
        <v>118</v>
      </c>
      <c r="BU38" t="s">
        <v>119</v>
      </c>
      <c r="BV38" t="s">
        <v>120</v>
      </c>
      <c r="BW38">
        <v>2196.5100000000002</v>
      </c>
      <c r="BX38">
        <v>2546.5100000000002</v>
      </c>
      <c r="BY38">
        <v>2775.7</v>
      </c>
      <c r="BZ38">
        <v>0.09</v>
      </c>
      <c r="CA38">
        <v>350</v>
      </c>
      <c r="CB38">
        <v>43.49</v>
      </c>
      <c r="CC38">
        <v>0</v>
      </c>
      <c r="CD38">
        <v>1937.65</v>
      </c>
      <c r="CE38" t="s">
        <v>121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O38">
        <v>2546.5100000000002</v>
      </c>
      <c r="CP38">
        <v>30558.12</v>
      </c>
      <c r="CR38" t="s">
        <v>122</v>
      </c>
      <c r="CS38">
        <v>0</v>
      </c>
    </row>
    <row r="39" spans="1:97" x14ac:dyDescent="0.2">
      <c r="A39" t="s">
        <v>394</v>
      </c>
      <c r="B39">
        <v>60</v>
      </c>
      <c r="C39" t="s">
        <v>395</v>
      </c>
      <c r="D39" t="s">
        <v>393</v>
      </c>
      <c r="E39" t="s">
        <v>312</v>
      </c>
      <c r="F39" t="s">
        <v>126</v>
      </c>
      <c r="H39">
        <v>4</v>
      </c>
      <c r="I39">
        <v>4</v>
      </c>
      <c r="J39">
        <v>1</v>
      </c>
      <c r="K39" t="s">
        <v>102</v>
      </c>
      <c r="P39" t="s">
        <v>396</v>
      </c>
      <c r="Q39" t="s">
        <v>397</v>
      </c>
      <c r="R39" t="s">
        <v>398</v>
      </c>
      <c r="S39" t="s">
        <v>399</v>
      </c>
      <c r="T39">
        <v>2202.35</v>
      </c>
      <c r="U39">
        <v>30.28</v>
      </c>
      <c r="V39">
        <v>0</v>
      </c>
      <c r="AM39" t="s">
        <v>107</v>
      </c>
      <c r="BV39" t="s">
        <v>142</v>
      </c>
      <c r="CD39">
        <v>2202.35</v>
      </c>
      <c r="CO39">
        <v>0</v>
      </c>
      <c r="CP39">
        <v>0</v>
      </c>
      <c r="CR39" t="s">
        <v>143</v>
      </c>
      <c r="CS39">
        <v>0</v>
      </c>
    </row>
    <row r="40" spans="1:97" x14ac:dyDescent="0.2">
      <c r="A40" t="s">
        <v>400</v>
      </c>
      <c r="B40">
        <v>61</v>
      </c>
      <c r="C40" t="s">
        <v>401</v>
      </c>
      <c r="D40" t="s">
        <v>402</v>
      </c>
      <c r="E40" t="s">
        <v>403</v>
      </c>
      <c r="F40" t="s">
        <v>126</v>
      </c>
      <c r="H40">
        <v>4</v>
      </c>
      <c r="I40">
        <v>4</v>
      </c>
      <c r="J40">
        <v>1</v>
      </c>
      <c r="K40" t="s">
        <v>127</v>
      </c>
      <c r="L40" t="s">
        <v>404</v>
      </c>
      <c r="M40" t="s">
        <v>137</v>
      </c>
      <c r="P40" t="s">
        <v>405</v>
      </c>
      <c r="Q40" t="s">
        <v>406</v>
      </c>
      <c r="R40" t="s">
        <v>407</v>
      </c>
      <c r="S40" t="s">
        <v>408</v>
      </c>
      <c r="T40">
        <v>2315.29</v>
      </c>
      <c r="U40">
        <v>250</v>
      </c>
      <c r="V40">
        <v>0</v>
      </c>
      <c r="W40">
        <v>644</v>
      </c>
      <c r="X40" t="s">
        <v>409</v>
      </c>
      <c r="Y40" t="s">
        <v>109</v>
      </c>
      <c r="AC40" t="s">
        <v>410</v>
      </c>
      <c r="AE40" t="s">
        <v>411</v>
      </c>
      <c r="AF40" t="s">
        <v>115</v>
      </c>
      <c r="AI40" t="s">
        <v>412</v>
      </c>
      <c r="AJ40">
        <v>608</v>
      </c>
      <c r="AK40" t="s">
        <v>413</v>
      </c>
      <c r="AL40" t="s">
        <v>414</v>
      </c>
      <c r="AM40" t="s">
        <v>163</v>
      </c>
      <c r="AO40">
        <v>1</v>
      </c>
      <c r="AT40">
        <v>1500</v>
      </c>
      <c r="AU40">
        <v>1500</v>
      </c>
      <c r="AV40">
        <v>1635</v>
      </c>
      <c r="AW40">
        <v>0.09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329</v>
      </c>
      <c r="BD40" t="s">
        <v>356</v>
      </c>
      <c r="BE40" t="s">
        <v>109</v>
      </c>
      <c r="BG40" t="s">
        <v>357</v>
      </c>
      <c r="BH40" t="s">
        <v>358</v>
      </c>
      <c r="BI40" t="s">
        <v>359</v>
      </c>
      <c r="BK40" t="s">
        <v>360</v>
      </c>
      <c r="BL40" t="s">
        <v>361</v>
      </c>
      <c r="BM40" t="s">
        <v>362</v>
      </c>
      <c r="BQ40">
        <v>90</v>
      </c>
      <c r="BR40" t="s">
        <v>413</v>
      </c>
      <c r="BS40" t="s">
        <v>414</v>
      </c>
      <c r="BT40">
        <v>6</v>
      </c>
      <c r="BU40" t="s">
        <v>119</v>
      </c>
      <c r="BV40" t="s">
        <v>163</v>
      </c>
      <c r="BW40">
        <v>2375</v>
      </c>
      <c r="BX40">
        <v>2625</v>
      </c>
      <c r="BY40">
        <v>2861.25</v>
      </c>
      <c r="BZ40">
        <v>0.09</v>
      </c>
      <c r="CA40">
        <v>250</v>
      </c>
      <c r="CB40">
        <v>0</v>
      </c>
      <c r="CC40">
        <v>375</v>
      </c>
      <c r="CD40">
        <v>2315.29</v>
      </c>
      <c r="CE40" t="s">
        <v>121</v>
      </c>
      <c r="CF40">
        <v>1</v>
      </c>
      <c r="CG40">
        <v>1</v>
      </c>
      <c r="CH40">
        <v>1</v>
      </c>
      <c r="CI40">
        <v>0</v>
      </c>
      <c r="CJ40">
        <v>0</v>
      </c>
      <c r="CK40">
        <v>0</v>
      </c>
      <c r="CL40">
        <v>1</v>
      </c>
      <c r="CM40">
        <v>0</v>
      </c>
      <c r="CN40" t="s">
        <v>182</v>
      </c>
      <c r="CO40">
        <v>1125</v>
      </c>
      <c r="CP40">
        <v>13500</v>
      </c>
      <c r="CQ40">
        <v>75</v>
      </c>
      <c r="CR40" t="s">
        <v>168</v>
      </c>
      <c r="CS40">
        <v>221</v>
      </c>
    </row>
    <row r="41" spans="1:97" x14ac:dyDescent="0.2">
      <c r="A41" t="s">
        <v>415</v>
      </c>
      <c r="B41">
        <v>62</v>
      </c>
      <c r="C41" t="s">
        <v>416</v>
      </c>
      <c r="D41" t="s">
        <v>417</v>
      </c>
      <c r="E41" t="s">
        <v>243</v>
      </c>
      <c r="F41" t="s">
        <v>126</v>
      </c>
      <c r="H41">
        <v>3</v>
      </c>
      <c r="I41">
        <v>3</v>
      </c>
      <c r="J41">
        <v>1</v>
      </c>
      <c r="K41" t="s">
        <v>127</v>
      </c>
      <c r="L41" t="s">
        <v>418</v>
      </c>
      <c r="M41" t="s">
        <v>137</v>
      </c>
      <c r="P41" t="s">
        <v>419</v>
      </c>
      <c r="Q41" t="s">
        <v>420</v>
      </c>
      <c r="R41" t="s">
        <v>421</v>
      </c>
      <c r="S41" t="s">
        <v>422</v>
      </c>
      <c r="T41">
        <v>2507.06</v>
      </c>
      <c r="U41">
        <v>250</v>
      </c>
      <c r="V41">
        <v>0</v>
      </c>
      <c r="AM41" t="s">
        <v>107</v>
      </c>
      <c r="BC41">
        <v>220</v>
      </c>
      <c r="BD41" t="s">
        <v>423</v>
      </c>
      <c r="BE41" t="s">
        <v>109</v>
      </c>
      <c r="BG41" t="s">
        <v>424</v>
      </c>
      <c r="BH41" t="s">
        <v>425</v>
      </c>
      <c r="BI41" t="s">
        <v>426</v>
      </c>
      <c r="BK41" t="s">
        <v>427</v>
      </c>
      <c r="BL41" t="s">
        <v>115</v>
      </c>
      <c r="BQ41">
        <v>35</v>
      </c>
      <c r="BR41" t="s">
        <v>428</v>
      </c>
      <c r="BS41" t="s">
        <v>429</v>
      </c>
      <c r="BT41">
        <v>12</v>
      </c>
      <c r="BU41" t="s">
        <v>119</v>
      </c>
      <c r="BV41" t="s">
        <v>163</v>
      </c>
      <c r="BW41">
        <v>3050</v>
      </c>
      <c r="BX41">
        <v>3300</v>
      </c>
      <c r="BY41">
        <v>3597</v>
      </c>
      <c r="BZ41">
        <v>0.09</v>
      </c>
      <c r="CA41">
        <v>250</v>
      </c>
      <c r="CB41">
        <v>0</v>
      </c>
      <c r="CC41">
        <v>250</v>
      </c>
      <c r="CD41">
        <v>2507.06</v>
      </c>
      <c r="CE41" t="s">
        <v>121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 t="s">
        <v>201</v>
      </c>
      <c r="CO41">
        <v>3300</v>
      </c>
      <c r="CP41">
        <v>39600</v>
      </c>
      <c r="CR41" t="s">
        <v>168</v>
      </c>
      <c r="CS41">
        <v>260</v>
      </c>
    </row>
    <row r="42" spans="1:97" x14ac:dyDescent="0.2">
      <c r="A42" t="s">
        <v>430</v>
      </c>
      <c r="B42">
        <v>63</v>
      </c>
      <c r="C42" t="s">
        <v>431</v>
      </c>
      <c r="D42" t="s">
        <v>432</v>
      </c>
      <c r="E42" t="s">
        <v>100</v>
      </c>
      <c r="F42" t="s">
        <v>101</v>
      </c>
      <c r="H42">
        <v>5</v>
      </c>
      <c r="I42">
        <v>4</v>
      </c>
      <c r="J42">
        <v>1</v>
      </c>
      <c r="K42" t="s">
        <v>102</v>
      </c>
      <c r="P42" t="s">
        <v>433</v>
      </c>
      <c r="Q42" t="s">
        <v>434</v>
      </c>
      <c r="R42" t="s">
        <v>435</v>
      </c>
      <c r="S42" t="s">
        <v>436</v>
      </c>
      <c r="T42">
        <v>1834.12</v>
      </c>
      <c r="U42">
        <v>0</v>
      </c>
      <c r="V42">
        <v>0</v>
      </c>
      <c r="AM42" t="s">
        <v>107</v>
      </c>
      <c r="BC42">
        <v>17</v>
      </c>
      <c r="BD42" t="s">
        <v>108</v>
      </c>
      <c r="BE42" t="s">
        <v>109</v>
      </c>
      <c r="BG42" t="s">
        <v>110</v>
      </c>
      <c r="BH42" t="s">
        <v>111</v>
      </c>
      <c r="BI42" t="s">
        <v>112</v>
      </c>
      <c r="BJ42" t="s">
        <v>113</v>
      </c>
      <c r="BK42" t="s">
        <v>114</v>
      </c>
      <c r="BL42" t="s">
        <v>115</v>
      </c>
      <c r="BM42" t="s">
        <v>116</v>
      </c>
      <c r="BO42" t="s">
        <v>117</v>
      </c>
      <c r="BQ42">
        <v>444</v>
      </c>
      <c r="BR42" t="s">
        <v>118</v>
      </c>
      <c r="BU42" t="s">
        <v>119</v>
      </c>
      <c r="BV42" t="s">
        <v>120</v>
      </c>
      <c r="BW42">
        <v>0</v>
      </c>
      <c r="BX42">
        <v>0</v>
      </c>
      <c r="BY42">
        <v>0</v>
      </c>
      <c r="BZ42">
        <v>0.09</v>
      </c>
      <c r="CA42">
        <v>0</v>
      </c>
      <c r="CB42">
        <v>22.82</v>
      </c>
      <c r="CC42">
        <v>0</v>
      </c>
      <c r="CD42">
        <v>1834.12</v>
      </c>
      <c r="CE42" t="s">
        <v>121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O42">
        <v>0</v>
      </c>
      <c r="CP42">
        <v>0</v>
      </c>
      <c r="CR42" t="s">
        <v>122</v>
      </c>
      <c r="CS42">
        <v>0</v>
      </c>
    </row>
    <row r="43" spans="1:97" x14ac:dyDescent="0.2">
      <c r="A43" t="s">
        <v>437</v>
      </c>
      <c r="B43">
        <v>64</v>
      </c>
      <c r="C43" t="s">
        <v>438</v>
      </c>
      <c r="D43" t="s">
        <v>439</v>
      </c>
      <c r="E43" t="s">
        <v>147</v>
      </c>
      <c r="F43" t="s">
        <v>101</v>
      </c>
      <c r="H43">
        <v>3</v>
      </c>
      <c r="I43">
        <v>5</v>
      </c>
      <c r="J43">
        <v>1</v>
      </c>
      <c r="K43" t="s">
        <v>102</v>
      </c>
      <c r="P43" t="s">
        <v>440</v>
      </c>
      <c r="Q43" t="s">
        <v>441</v>
      </c>
      <c r="R43" t="s">
        <v>442</v>
      </c>
      <c r="S43" t="s">
        <v>443</v>
      </c>
      <c r="T43">
        <v>2056.4699999999998</v>
      </c>
      <c r="U43">
        <v>0</v>
      </c>
      <c r="V43">
        <v>0</v>
      </c>
      <c r="W43">
        <v>258</v>
      </c>
      <c r="X43" t="s">
        <v>444</v>
      </c>
      <c r="Y43" t="s">
        <v>109</v>
      </c>
      <c r="AA43" t="s">
        <v>327</v>
      </c>
      <c r="AC43" t="s">
        <v>445</v>
      </c>
      <c r="AE43" t="s">
        <v>272</v>
      </c>
      <c r="AF43" t="s">
        <v>115</v>
      </c>
      <c r="AI43" t="s">
        <v>446</v>
      </c>
      <c r="AJ43">
        <v>871</v>
      </c>
      <c r="AM43" t="s">
        <v>120</v>
      </c>
      <c r="AO43">
        <v>1</v>
      </c>
      <c r="AT43">
        <v>1688</v>
      </c>
      <c r="AU43">
        <v>1688</v>
      </c>
      <c r="AV43">
        <v>1839.92</v>
      </c>
      <c r="AW43">
        <v>0.09</v>
      </c>
      <c r="AX43">
        <v>0</v>
      </c>
      <c r="AY43">
        <v>0</v>
      </c>
      <c r="AZ43">
        <v>0</v>
      </c>
      <c r="BA43">
        <v>0</v>
      </c>
      <c r="BB43">
        <v>0</v>
      </c>
      <c r="BV43" t="s">
        <v>142</v>
      </c>
      <c r="CD43">
        <v>2056.4699999999998</v>
      </c>
      <c r="CO43">
        <v>-1688</v>
      </c>
      <c r="CP43">
        <v>-20256</v>
      </c>
      <c r="CQ43">
        <v>-100</v>
      </c>
      <c r="CR43" t="s">
        <v>143</v>
      </c>
      <c r="CS43">
        <v>0</v>
      </c>
    </row>
    <row r="44" spans="1:97" x14ac:dyDescent="0.2">
      <c r="A44" t="s">
        <v>447</v>
      </c>
      <c r="B44">
        <v>65</v>
      </c>
      <c r="C44" t="s">
        <v>448</v>
      </c>
      <c r="D44" t="s">
        <v>449</v>
      </c>
      <c r="E44" t="s">
        <v>450</v>
      </c>
      <c r="F44" t="s">
        <v>126</v>
      </c>
      <c r="H44">
        <v>4</v>
      </c>
      <c r="I44">
        <v>4</v>
      </c>
      <c r="J44">
        <v>1</v>
      </c>
      <c r="K44" t="s">
        <v>127</v>
      </c>
      <c r="L44" t="s">
        <v>451</v>
      </c>
      <c r="M44" t="s">
        <v>137</v>
      </c>
      <c r="T44">
        <v>2275.29</v>
      </c>
      <c r="U44">
        <v>300</v>
      </c>
      <c r="V44">
        <v>0</v>
      </c>
      <c r="AM44" t="s">
        <v>107</v>
      </c>
      <c r="BV44" t="s">
        <v>142</v>
      </c>
      <c r="CD44">
        <v>2275.29</v>
      </c>
      <c r="CO44">
        <v>0</v>
      </c>
      <c r="CP44">
        <v>0</v>
      </c>
      <c r="CR44" t="s">
        <v>143</v>
      </c>
      <c r="CS44">
        <v>0</v>
      </c>
    </row>
    <row r="45" spans="1:97" x14ac:dyDescent="0.2">
      <c r="A45" t="s">
        <v>452</v>
      </c>
      <c r="B45">
        <v>66</v>
      </c>
      <c r="C45" t="s">
        <v>453</v>
      </c>
      <c r="D45" t="s">
        <v>454</v>
      </c>
      <c r="E45" t="s">
        <v>272</v>
      </c>
      <c r="F45" t="s">
        <v>101</v>
      </c>
      <c r="H45">
        <v>2</v>
      </c>
      <c r="I45">
        <v>3</v>
      </c>
      <c r="J45">
        <v>1</v>
      </c>
      <c r="K45" t="s">
        <v>102</v>
      </c>
      <c r="L45" t="s">
        <v>455</v>
      </c>
      <c r="M45" t="s">
        <v>137</v>
      </c>
      <c r="P45" t="s">
        <v>456</v>
      </c>
      <c r="Q45" t="s">
        <v>457</v>
      </c>
      <c r="R45" t="s">
        <v>458</v>
      </c>
      <c r="S45" t="s">
        <v>459</v>
      </c>
      <c r="T45">
        <v>2040</v>
      </c>
      <c r="U45">
        <v>200</v>
      </c>
      <c r="V45">
        <v>0</v>
      </c>
      <c r="AM45" t="s">
        <v>107</v>
      </c>
      <c r="BV45" t="s">
        <v>142</v>
      </c>
      <c r="CD45">
        <v>2040</v>
      </c>
      <c r="CO45">
        <v>0</v>
      </c>
      <c r="CP45">
        <v>0</v>
      </c>
      <c r="CR45" t="s">
        <v>143</v>
      </c>
      <c r="CS45">
        <v>0</v>
      </c>
    </row>
    <row r="46" spans="1:97" x14ac:dyDescent="0.2">
      <c r="A46" t="s">
        <v>460</v>
      </c>
      <c r="B46">
        <v>67</v>
      </c>
      <c r="C46" t="s">
        <v>461</v>
      </c>
      <c r="D46" t="s">
        <v>454</v>
      </c>
      <c r="E46" t="s">
        <v>272</v>
      </c>
      <c r="F46" t="s">
        <v>101</v>
      </c>
      <c r="H46">
        <v>2</v>
      </c>
      <c r="I46">
        <v>3</v>
      </c>
      <c r="J46">
        <v>1</v>
      </c>
      <c r="K46" t="s">
        <v>102</v>
      </c>
      <c r="L46" t="s">
        <v>462</v>
      </c>
      <c r="M46" t="s">
        <v>137</v>
      </c>
      <c r="P46" t="s">
        <v>463</v>
      </c>
      <c r="Q46" t="s">
        <v>464</v>
      </c>
      <c r="R46" t="s">
        <v>465</v>
      </c>
      <c r="S46" t="s">
        <v>466</v>
      </c>
      <c r="T46">
        <v>2175.29</v>
      </c>
      <c r="U46">
        <v>200</v>
      </c>
      <c r="V46">
        <v>0</v>
      </c>
      <c r="AM46" t="s">
        <v>107</v>
      </c>
      <c r="BV46" t="s">
        <v>142</v>
      </c>
      <c r="CD46">
        <v>2175.29</v>
      </c>
      <c r="CO46">
        <v>0</v>
      </c>
      <c r="CP46">
        <v>0</v>
      </c>
      <c r="CR46" t="s">
        <v>143</v>
      </c>
      <c r="CS46">
        <v>0</v>
      </c>
    </row>
    <row r="47" spans="1:97" x14ac:dyDescent="0.2">
      <c r="A47" t="s">
        <v>467</v>
      </c>
      <c r="B47">
        <v>68</v>
      </c>
      <c r="C47" t="s">
        <v>468</v>
      </c>
      <c r="D47" t="s">
        <v>469</v>
      </c>
      <c r="E47" t="s">
        <v>272</v>
      </c>
      <c r="F47" t="s">
        <v>126</v>
      </c>
      <c r="H47">
        <v>3</v>
      </c>
      <c r="J47">
        <v>1</v>
      </c>
      <c r="K47" t="s">
        <v>102</v>
      </c>
      <c r="L47" t="s">
        <v>470</v>
      </c>
      <c r="M47" t="s">
        <v>137</v>
      </c>
      <c r="P47" t="s">
        <v>471</v>
      </c>
      <c r="Q47" t="s">
        <v>472</v>
      </c>
      <c r="R47" t="s">
        <v>473</v>
      </c>
      <c r="S47" t="s">
        <v>474</v>
      </c>
      <c r="T47">
        <v>1957.65</v>
      </c>
      <c r="U47">
        <v>200</v>
      </c>
      <c r="V47">
        <v>0</v>
      </c>
      <c r="AM47" t="s">
        <v>107</v>
      </c>
      <c r="BC47">
        <v>330</v>
      </c>
      <c r="BD47" t="s">
        <v>475</v>
      </c>
      <c r="BE47" t="s">
        <v>109</v>
      </c>
      <c r="BG47" t="s">
        <v>476</v>
      </c>
      <c r="BI47" t="s">
        <v>477</v>
      </c>
      <c r="BK47" t="s">
        <v>478</v>
      </c>
      <c r="BL47" t="s">
        <v>361</v>
      </c>
      <c r="BM47" t="s">
        <v>479</v>
      </c>
      <c r="BO47" t="s">
        <v>480</v>
      </c>
      <c r="BQ47">
        <v>174</v>
      </c>
      <c r="BR47" t="s">
        <v>481</v>
      </c>
      <c r="BS47" t="s">
        <v>482</v>
      </c>
      <c r="BT47">
        <v>12</v>
      </c>
      <c r="BU47" t="s">
        <v>119</v>
      </c>
      <c r="BV47" t="s">
        <v>483</v>
      </c>
      <c r="BW47">
        <v>2186.1</v>
      </c>
      <c r="BX47">
        <v>2386.1</v>
      </c>
      <c r="BY47">
        <v>2600.85</v>
      </c>
      <c r="BZ47">
        <v>0.09</v>
      </c>
      <c r="CA47">
        <v>200</v>
      </c>
      <c r="CB47">
        <v>0</v>
      </c>
      <c r="CC47">
        <v>250</v>
      </c>
      <c r="CD47">
        <v>1957.65</v>
      </c>
      <c r="CE47" t="s">
        <v>121</v>
      </c>
      <c r="CF47">
        <v>1</v>
      </c>
      <c r="CG47">
        <v>1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 t="s">
        <v>201</v>
      </c>
      <c r="CO47">
        <v>2386.1</v>
      </c>
      <c r="CP47">
        <v>28633.200000000001</v>
      </c>
      <c r="CR47" t="s">
        <v>143</v>
      </c>
      <c r="CS47">
        <v>0</v>
      </c>
    </row>
    <row r="48" spans="1:97" x14ac:dyDescent="0.2">
      <c r="A48" t="s">
        <v>484</v>
      </c>
      <c r="B48">
        <v>69</v>
      </c>
      <c r="C48" t="s">
        <v>485</v>
      </c>
      <c r="D48" t="s">
        <v>486</v>
      </c>
      <c r="E48" t="s">
        <v>487</v>
      </c>
      <c r="F48" t="s">
        <v>126</v>
      </c>
      <c r="H48">
        <v>7</v>
      </c>
      <c r="I48">
        <v>6</v>
      </c>
      <c r="J48">
        <v>1</v>
      </c>
      <c r="K48" t="s">
        <v>127</v>
      </c>
      <c r="L48" t="s">
        <v>488</v>
      </c>
      <c r="M48" t="s">
        <v>137</v>
      </c>
      <c r="P48" t="s">
        <v>489</v>
      </c>
      <c r="Q48" t="s">
        <v>490</v>
      </c>
      <c r="R48" t="s">
        <v>491</v>
      </c>
      <c r="S48" t="s">
        <v>492</v>
      </c>
      <c r="T48">
        <v>2295.29</v>
      </c>
      <c r="U48">
        <v>500</v>
      </c>
      <c r="V48">
        <v>0</v>
      </c>
      <c r="W48">
        <v>147</v>
      </c>
      <c r="X48" t="s">
        <v>493</v>
      </c>
      <c r="Y48" t="s">
        <v>109</v>
      </c>
      <c r="AA48" t="s">
        <v>494</v>
      </c>
      <c r="AC48" t="s">
        <v>495</v>
      </c>
      <c r="AE48" t="s">
        <v>496</v>
      </c>
      <c r="AF48" t="s">
        <v>115</v>
      </c>
      <c r="AI48" t="s">
        <v>497</v>
      </c>
      <c r="AJ48">
        <v>554</v>
      </c>
      <c r="AK48" t="s">
        <v>498</v>
      </c>
      <c r="AM48" t="s">
        <v>120</v>
      </c>
      <c r="AO48">
        <v>1</v>
      </c>
      <c r="AT48">
        <v>2914.8</v>
      </c>
      <c r="AU48">
        <v>2914.8</v>
      </c>
      <c r="AV48">
        <v>3177.13</v>
      </c>
      <c r="AW48">
        <v>0.09</v>
      </c>
      <c r="AX48">
        <v>0</v>
      </c>
      <c r="AY48">
        <v>0</v>
      </c>
      <c r="AZ48">
        <v>0</v>
      </c>
      <c r="BA48">
        <v>0</v>
      </c>
      <c r="BB48">
        <v>0</v>
      </c>
      <c r="BV48" t="s">
        <v>142</v>
      </c>
      <c r="CD48">
        <v>2295.29</v>
      </c>
      <c r="CO48">
        <v>-2914.8</v>
      </c>
      <c r="CP48">
        <v>-34977.600000000013</v>
      </c>
      <c r="CQ48">
        <v>-100</v>
      </c>
      <c r="CR48" t="s">
        <v>143</v>
      </c>
      <c r="CS48">
        <v>0</v>
      </c>
    </row>
    <row r="49" spans="1:97" x14ac:dyDescent="0.2">
      <c r="A49" t="s">
        <v>499</v>
      </c>
      <c r="B49">
        <v>70</v>
      </c>
      <c r="C49" t="s">
        <v>500</v>
      </c>
      <c r="D49" t="s">
        <v>501</v>
      </c>
      <c r="E49" t="s">
        <v>135</v>
      </c>
      <c r="F49" t="s">
        <v>126</v>
      </c>
      <c r="H49">
        <v>5</v>
      </c>
      <c r="I49">
        <v>5</v>
      </c>
      <c r="J49">
        <v>1</v>
      </c>
      <c r="K49" t="s">
        <v>127</v>
      </c>
      <c r="L49" t="s">
        <v>502</v>
      </c>
      <c r="P49" t="s">
        <v>503</v>
      </c>
      <c r="Q49" t="s">
        <v>504</v>
      </c>
      <c r="R49" t="s">
        <v>505</v>
      </c>
      <c r="S49" t="s">
        <v>506</v>
      </c>
      <c r="T49">
        <v>2356.4699999999998</v>
      </c>
      <c r="U49">
        <v>400</v>
      </c>
      <c r="V49">
        <v>0</v>
      </c>
      <c r="AM49" t="s">
        <v>107</v>
      </c>
      <c r="BV49" t="s">
        <v>142</v>
      </c>
      <c r="CD49">
        <v>2356.4699999999998</v>
      </c>
      <c r="CO49">
        <v>0</v>
      </c>
      <c r="CP49">
        <v>0</v>
      </c>
      <c r="CR49" t="s">
        <v>143</v>
      </c>
      <c r="CS49">
        <v>0</v>
      </c>
    </row>
    <row r="50" spans="1:97" x14ac:dyDescent="0.2">
      <c r="A50" t="s">
        <v>507</v>
      </c>
      <c r="B50">
        <v>71</v>
      </c>
      <c r="C50" t="s">
        <v>508</v>
      </c>
      <c r="D50" t="s">
        <v>509</v>
      </c>
      <c r="E50" t="s">
        <v>510</v>
      </c>
      <c r="F50" t="s">
        <v>126</v>
      </c>
      <c r="H50">
        <v>4</v>
      </c>
      <c r="I50">
        <v>4</v>
      </c>
      <c r="J50">
        <v>1</v>
      </c>
      <c r="K50" t="s">
        <v>127</v>
      </c>
      <c r="L50" t="s">
        <v>511</v>
      </c>
      <c r="M50" t="s">
        <v>137</v>
      </c>
      <c r="P50" t="s">
        <v>512</v>
      </c>
      <c r="Q50" t="s">
        <v>513</v>
      </c>
      <c r="R50" t="s">
        <v>514</v>
      </c>
      <c r="S50" t="s">
        <v>515</v>
      </c>
      <c r="T50">
        <v>1714.12</v>
      </c>
      <c r="U50">
        <v>250</v>
      </c>
      <c r="V50">
        <v>0</v>
      </c>
      <c r="W50">
        <v>175</v>
      </c>
      <c r="X50" t="s">
        <v>516</v>
      </c>
      <c r="Y50" t="s">
        <v>109</v>
      </c>
      <c r="AA50" t="s">
        <v>517</v>
      </c>
      <c r="AC50" t="s">
        <v>518</v>
      </c>
      <c r="AE50" t="s">
        <v>519</v>
      </c>
      <c r="AF50" t="s">
        <v>115</v>
      </c>
      <c r="AI50" t="s">
        <v>520</v>
      </c>
      <c r="AJ50">
        <v>558</v>
      </c>
      <c r="AK50" t="s">
        <v>521</v>
      </c>
      <c r="AL50" t="s">
        <v>522</v>
      </c>
      <c r="AM50" t="s">
        <v>163</v>
      </c>
      <c r="AO50">
        <v>1</v>
      </c>
      <c r="AT50">
        <v>1972.46</v>
      </c>
      <c r="AU50">
        <v>1972.46</v>
      </c>
      <c r="AV50">
        <v>2149.98</v>
      </c>
      <c r="AW50">
        <v>0.09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286</v>
      </c>
      <c r="BD50" t="s">
        <v>523</v>
      </c>
      <c r="BE50" t="s">
        <v>109</v>
      </c>
      <c r="BG50" t="s">
        <v>524</v>
      </c>
      <c r="BH50" t="s">
        <v>525</v>
      </c>
      <c r="BI50" t="s">
        <v>526</v>
      </c>
      <c r="BK50" t="s">
        <v>527</v>
      </c>
      <c r="BL50" t="s">
        <v>115</v>
      </c>
      <c r="BM50" t="s">
        <v>528</v>
      </c>
      <c r="BQ50">
        <v>43</v>
      </c>
      <c r="BR50" t="s">
        <v>521</v>
      </c>
      <c r="BS50" t="s">
        <v>522</v>
      </c>
      <c r="BT50">
        <v>4</v>
      </c>
      <c r="BU50" t="s">
        <v>119</v>
      </c>
      <c r="BV50" t="s">
        <v>163</v>
      </c>
      <c r="BW50">
        <v>2350</v>
      </c>
      <c r="BX50">
        <v>2600</v>
      </c>
      <c r="BY50">
        <v>2834</v>
      </c>
      <c r="BZ50">
        <v>0.09</v>
      </c>
      <c r="CA50">
        <v>250</v>
      </c>
      <c r="CB50">
        <v>0</v>
      </c>
      <c r="CC50">
        <v>250</v>
      </c>
      <c r="CD50">
        <v>1714.12</v>
      </c>
      <c r="CE50" t="s">
        <v>121</v>
      </c>
      <c r="CF50">
        <v>1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1</v>
      </c>
      <c r="CM50">
        <v>0</v>
      </c>
      <c r="CN50" t="s">
        <v>201</v>
      </c>
      <c r="CO50">
        <v>627.54</v>
      </c>
      <c r="CP50">
        <v>7530.48</v>
      </c>
      <c r="CQ50">
        <v>31.82</v>
      </c>
      <c r="CR50" t="s">
        <v>168</v>
      </c>
      <c r="CS50">
        <v>586</v>
      </c>
    </row>
    <row r="51" spans="1:97" x14ac:dyDescent="0.2">
      <c r="A51" t="s">
        <v>529</v>
      </c>
      <c r="B51">
        <v>72</v>
      </c>
      <c r="C51" t="s">
        <v>530</v>
      </c>
      <c r="D51" t="s">
        <v>531</v>
      </c>
      <c r="E51" t="s">
        <v>155</v>
      </c>
      <c r="F51" t="s">
        <v>126</v>
      </c>
      <c r="H51">
        <v>7</v>
      </c>
      <c r="I51">
        <v>7</v>
      </c>
      <c r="J51">
        <v>1</v>
      </c>
      <c r="K51" t="s">
        <v>102</v>
      </c>
      <c r="M51" t="s">
        <v>156</v>
      </c>
      <c r="P51" t="s">
        <v>532</v>
      </c>
      <c r="Q51" t="s">
        <v>533</v>
      </c>
      <c r="R51" t="s">
        <v>534</v>
      </c>
      <c r="S51" t="s">
        <v>535</v>
      </c>
      <c r="T51">
        <v>1710.59</v>
      </c>
      <c r="U51">
        <v>400</v>
      </c>
      <c r="V51">
        <v>0</v>
      </c>
      <c r="W51">
        <v>763</v>
      </c>
      <c r="X51" t="s">
        <v>160</v>
      </c>
      <c r="Y51" t="s">
        <v>109</v>
      </c>
      <c r="AJ51">
        <v>732</v>
      </c>
      <c r="AK51" t="s">
        <v>536</v>
      </c>
      <c r="AL51" t="s">
        <v>537</v>
      </c>
      <c r="AM51" t="s">
        <v>163</v>
      </c>
      <c r="AO51">
        <v>1</v>
      </c>
      <c r="AT51">
        <v>3710.32</v>
      </c>
      <c r="AU51">
        <v>3742.83</v>
      </c>
      <c r="AV51">
        <v>4079.68</v>
      </c>
      <c r="AW51">
        <v>0.09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312</v>
      </c>
      <c r="BD51" t="s">
        <v>538</v>
      </c>
      <c r="BE51" t="s">
        <v>109</v>
      </c>
      <c r="BG51" t="s">
        <v>539</v>
      </c>
      <c r="BH51" t="s">
        <v>540</v>
      </c>
      <c r="BI51" t="s">
        <v>541</v>
      </c>
      <c r="BK51" t="s">
        <v>542</v>
      </c>
      <c r="BL51" t="s">
        <v>115</v>
      </c>
      <c r="BQ51">
        <v>227</v>
      </c>
      <c r="BR51" t="s">
        <v>536</v>
      </c>
      <c r="BS51" t="s">
        <v>537</v>
      </c>
      <c r="BT51">
        <v>6</v>
      </c>
      <c r="BU51" t="s">
        <v>119</v>
      </c>
      <c r="BV51" t="s">
        <v>163</v>
      </c>
      <c r="BW51">
        <v>4164</v>
      </c>
      <c r="BX51">
        <v>4564</v>
      </c>
      <c r="BY51">
        <v>4974.76</v>
      </c>
      <c r="BZ51">
        <v>0.09</v>
      </c>
      <c r="CA51">
        <v>400</v>
      </c>
      <c r="CB51">
        <v>0</v>
      </c>
      <c r="CC51">
        <v>0</v>
      </c>
      <c r="CD51">
        <v>1710.59</v>
      </c>
      <c r="CE51" t="s">
        <v>121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O51">
        <v>821.17000000000007</v>
      </c>
      <c r="CP51">
        <v>9854.0400000000009</v>
      </c>
      <c r="CQ51">
        <v>21.94</v>
      </c>
      <c r="CR51" t="s">
        <v>168</v>
      </c>
      <c r="CS51">
        <v>192</v>
      </c>
    </row>
    <row r="52" spans="1:97" x14ac:dyDescent="0.2">
      <c r="A52" t="s">
        <v>543</v>
      </c>
      <c r="B52">
        <v>73</v>
      </c>
      <c r="C52" t="s">
        <v>544</v>
      </c>
      <c r="D52" t="s">
        <v>545</v>
      </c>
      <c r="E52" t="s">
        <v>546</v>
      </c>
      <c r="F52" t="s">
        <v>101</v>
      </c>
      <c r="H52">
        <v>3</v>
      </c>
      <c r="I52">
        <v>4</v>
      </c>
      <c r="J52">
        <v>1</v>
      </c>
      <c r="K52" t="s">
        <v>102</v>
      </c>
      <c r="L52" t="s">
        <v>547</v>
      </c>
      <c r="M52" t="s">
        <v>137</v>
      </c>
      <c r="P52" t="s">
        <v>548</v>
      </c>
      <c r="Q52" t="s">
        <v>549</v>
      </c>
      <c r="R52" t="s">
        <v>550</v>
      </c>
      <c r="S52" t="s">
        <v>551</v>
      </c>
      <c r="T52">
        <v>2143.5300000000002</v>
      </c>
      <c r="U52">
        <v>200</v>
      </c>
      <c r="V52">
        <v>0</v>
      </c>
      <c r="AM52" t="s">
        <v>107</v>
      </c>
      <c r="BV52" t="s">
        <v>142</v>
      </c>
      <c r="CD52">
        <v>2143.5300000000002</v>
      </c>
      <c r="CO52">
        <v>0</v>
      </c>
      <c r="CP52">
        <v>0</v>
      </c>
      <c r="CR52" t="s">
        <v>143</v>
      </c>
      <c r="CS52">
        <v>0</v>
      </c>
    </row>
    <row r="53" spans="1:97" x14ac:dyDescent="0.2">
      <c r="A53" t="s">
        <v>552</v>
      </c>
      <c r="B53">
        <v>74</v>
      </c>
      <c r="C53" t="s">
        <v>553</v>
      </c>
      <c r="D53" t="s">
        <v>554</v>
      </c>
      <c r="E53" t="s">
        <v>546</v>
      </c>
      <c r="F53" t="s">
        <v>101</v>
      </c>
      <c r="H53">
        <v>3</v>
      </c>
      <c r="I53">
        <v>4</v>
      </c>
      <c r="J53">
        <v>1</v>
      </c>
      <c r="K53" t="s">
        <v>102</v>
      </c>
      <c r="L53" t="s">
        <v>555</v>
      </c>
      <c r="M53" t="s">
        <v>137</v>
      </c>
      <c r="P53" t="s">
        <v>548</v>
      </c>
      <c r="Q53" t="s">
        <v>549</v>
      </c>
      <c r="R53" t="s">
        <v>550</v>
      </c>
      <c r="S53" t="s">
        <v>551</v>
      </c>
      <c r="T53">
        <v>2509.41</v>
      </c>
      <c r="U53">
        <v>175</v>
      </c>
      <c r="V53">
        <v>0</v>
      </c>
      <c r="AM53" t="s">
        <v>107</v>
      </c>
      <c r="BV53" t="s">
        <v>142</v>
      </c>
      <c r="CD53">
        <v>2509.41</v>
      </c>
      <c r="CO53">
        <v>0</v>
      </c>
      <c r="CP53">
        <v>0</v>
      </c>
      <c r="CR53" t="s">
        <v>143</v>
      </c>
      <c r="CS53">
        <v>0</v>
      </c>
    </row>
    <row r="54" spans="1:97" x14ac:dyDescent="0.2">
      <c r="A54" t="s">
        <v>556</v>
      </c>
      <c r="B54">
        <v>75</v>
      </c>
      <c r="C54" t="s">
        <v>557</v>
      </c>
      <c r="D54" t="s">
        <v>558</v>
      </c>
      <c r="E54" t="s">
        <v>559</v>
      </c>
      <c r="F54" t="s">
        <v>126</v>
      </c>
      <c r="H54">
        <v>4</v>
      </c>
      <c r="I54">
        <v>4</v>
      </c>
      <c r="J54">
        <v>1</v>
      </c>
      <c r="K54" t="s">
        <v>102</v>
      </c>
      <c r="L54" t="s">
        <v>560</v>
      </c>
      <c r="M54" t="s">
        <v>313</v>
      </c>
      <c r="P54" t="s">
        <v>561</v>
      </c>
      <c r="Q54" t="s">
        <v>562</v>
      </c>
      <c r="R54" t="s">
        <v>563</v>
      </c>
      <c r="S54" t="s">
        <v>564</v>
      </c>
      <c r="T54">
        <v>1700</v>
      </c>
      <c r="U54">
        <v>250</v>
      </c>
      <c r="V54">
        <v>0</v>
      </c>
      <c r="AM54" t="s">
        <v>107</v>
      </c>
      <c r="BV54" t="s">
        <v>142</v>
      </c>
      <c r="CD54">
        <v>1700</v>
      </c>
      <c r="CO54">
        <v>0</v>
      </c>
      <c r="CP54">
        <v>0</v>
      </c>
      <c r="CR54" t="s">
        <v>143</v>
      </c>
      <c r="CS54">
        <v>0</v>
      </c>
    </row>
    <row r="55" spans="1:97" x14ac:dyDescent="0.2">
      <c r="A55" t="s">
        <v>565</v>
      </c>
      <c r="B55">
        <v>76</v>
      </c>
      <c r="C55" t="s">
        <v>566</v>
      </c>
      <c r="D55" t="s">
        <v>567</v>
      </c>
      <c r="E55" t="s">
        <v>568</v>
      </c>
      <c r="F55" t="s">
        <v>126</v>
      </c>
      <c r="I55">
        <v>10000</v>
      </c>
      <c r="J55">
        <v>1</v>
      </c>
      <c r="K55" t="s">
        <v>102</v>
      </c>
      <c r="L55" t="s">
        <v>569</v>
      </c>
      <c r="M55" t="s">
        <v>313</v>
      </c>
      <c r="T55">
        <v>1580</v>
      </c>
      <c r="U55">
        <v>260</v>
      </c>
      <c r="V55">
        <v>0</v>
      </c>
      <c r="AM55" t="s">
        <v>107</v>
      </c>
      <c r="BV55" t="s">
        <v>142</v>
      </c>
      <c r="CD55">
        <v>1580</v>
      </c>
      <c r="CO55">
        <v>0</v>
      </c>
      <c r="CP55">
        <v>0</v>
      </c>
      <c r="CR55" t="s">
        <v>143</v>
      </c>
      <c r="CS55">
        <v>0</v>
      </c>
    </row>
    <row r="56" spans="1:97" x14ac:dyDescent="0.2">
      <c r="A56" t="s">
        <v>570</v>
      </c>
      <c r="B56">
        <v>77</v>
      </c>
      <c r="C56" t="s">
        <v>571</v>
      </c>
      <c r="D56" t="s">
        <v>572</v>
      </c>
      <c r="E56" t="s">
        <v>573</v>
      </c>
      <c r="F56" t="s">
        <v>101</v>
      </c>
      <c r="H56">
        <v>4</v>
      </c>
      <c r="I56">
        <v>4</v>
      </c>
      <c r="J56">
        <v>1</v>
      </c>
      <c r="K56" t="s">
        <v>127</v>
      </c>
      <c r="L56" t="s">
        <v>574</v>
      </c>
      <c r="M56" t="s">
        <v>137</v>
      </c>
      <c r="P56" t="s">
        <v>575</v>
      </c>
      <c r="Q56" t="s">
        <v>576</v>
      </c>
      <c r="R56" t="s">
        <v>577</v>
      </c>
      <c r="S56" t="s">
        <v>578</v>
      </c>
      <c r="T56">
        <v>2314.12</v>
      </c>
      <c r="U56">
        <v>250</v>
      </c>
      <c r="V56">
        <v>0</v>
      </c>
      <c r="AM56" t="s">
        <v>107</v>
      </c>
      <c r="BV56" t="s">
        <v>142</v>
      </c>
      <c r="CD56">
        <v>2314.12</v>
      </c>
      <c r="CO56">
        <v>0</v>
      </c>
      <c r="CP56">
        <v>0</v>
      </c>
      <c r="CR56" t="s">
        <v>143</v>
      </c>
      <c r="CS56">
        <v>0</v>
      </c>
    </row>
    <row r="57" spans="1:97" x14ac:dyDescent="0.2">
      <c r="A57" t="s">
        <v>579</v>
      </c>
      <c r="B57">
        <v>78</v>
      </c>
      <c r="C57" t="s">
        <v>580</v>
      </c>
      <c r="D57" t="s">
        <v>581</v>
      </c>
      <c r="E57" t="s">
        <v>582</v>
      </c>
      <c r="F57" t="s">
        <v>126</v>
      </c>
      <c r="H57">
        <v>4</v>
      </c>
      <c r="I57">
        <v>4</v>
      </c>
      <c r="J57">
        <v>1</v>
      </c>
      <c r="K57" t="s">
        <v>127</v>
      </c>
      <c r="L57" t="s">
        <v>583</v>
      </c>
      <c r="M57" t="s">
        <v>137</v>
      </c>
      <c r="P57" t="s">
        <v>584</v>
      </c>
      <c r="Q57" t="s">
        <v>585</v>
      </c>
      <c r="R57" t="s">
        <v>586</v>
      </c>
      <c r="S57" t="s">
        <v>587</v>
      </c>
      <c r="T57">
        <v>1768.24</v>
      </c>
      <c r="U57">
        <v>450</v>
      </c>
      <c r="V57">
        <v>0</v>
      </c>
      <c r="AM57" t="s">
        <v>107</v>
      </c>
      <c r="BV57" t="s">
        <v>142</v>
      </c>
      <c r="CD57">
        <v>1768.24</v>
      </c>
      <c r="CO57">
        <v>0</v>
      </c>
      <c r="CP57">
        <v>0</v>
      </c>
      <c r="CR57" t="s">
        <v>143</v>
      </c>
      <c r="CS57">
        <v>0</v>
      </c>
    </row>
    <row r="58" spans="1:97" x14ac:dyDescent="0.2">
      <c r="A58" t="s">
        <v>588</v>
      </c>
      <c r="B58">
        <v>79</v>
      </c>
      <c r="C58" t="s">
        <v>589</v>
      </c>
      <c r="D58" t="s">
        <v>590</v>
      </c>
      <c r="E58" t="s">
        <v>252</v>
      </c>
      <c r="F58" t="s">
        <v>126</v>
      </c>
      <c r="H58">
        <v>6</v>
      </c>
      <c r="I58">
        <v>8</v>
      </c>
      <c r="J58">
        <v>1</v>
      </c>
      <c r="K58" t="s">
        <v>102</v>
      </c>
      <c r="P58" t="s">
        <v>591</v>
      </c>
      <c r="Q58" t="s">
        <v>592</v>
      </c>
      <c r="R58" t="s">
        <v>593</v>
      </c>
      <c r="S58" t="s">
        <v>594</v>
      </c>
      <c r="T58">
        <v>4033.88</v>
      </c>
      <c r="U58">
        <v>395.02</v>
      </c>
      <c r="V58">
        <v>0</v>
      </c>
      <c r="AM58" t="s">
        <v>107</v>
      </c>
      <c r="BC58">
        <v>17</v>
      </c>
      <c r="BD58" t="s">
        <v>108</v>
      </c>
      <c r="BE58" t="s">
        <v>109</v>
      </c>
      <c r="BG58" t="s">
        <v>110</v>
      </c>
      <c r="BH58" t="s">
        <v>111</v>
      </c>
      <c r="BI58" t="s">
        <v>112</v>
      </c>
      <c r="BJ58" t="s">
        <v>113</v>
      </c>
      <c r="BK58" t="s">
        <v>114</v>
      </c>
      <c r="BL58" t="s">
        <v>115</v>
      </c>
      <c r="BM58" t="s">
        <v>116</v>
      </c>
      <c r="BO58" t="s">
        <v>117</v>
      </c>
      <c r="BQ58">
        <v>303</v>
      </c>
      <c r="BR58" t="s">
        <v>118</v>
      </c>
      <c r="BU58" t="s">
        <v>119</v>
      </c>
      <c r="BV58" t="s">
        <v>120</v>
      </c>
      <c r="BW58">
        <v>0</v>
      </c>
      <c r="BX58">
        <v>1715.6</v>
      </c>
      <c r="BY58">
        <v>1870</v>
      </c>
      <c r="BZ58">
        <v>0.09</v>
      </c>
      <c r="CA58">
        <v>395.02</v>
      </c>
      <c r="CB58">
        <v>43.39</v>
      </c>
      <c r="CC58">
        <v>0</v>
      </c>
      <c r="CD58">
        <v>4033.88</v>
      </c>
      <c r="CE58" t="s">
        <v>121</v>
      </c>
      <c r="CF58">
        <v>1</v>
      </c>
      <c r="CG58">
        <v>1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O58">
        <v>1715.6</v>
      </c>
      <c r="CP58">
        <v>20587.2</v>
      </c>
      <c r="CR58" t="s">
        <v>122</v>
      </c>
      <c r="CS58">
        <v>0</v>
      </c>
    </row>
    <row r="59" spans="1:97" x14ac:dyDescent="0.2">
      <c r="A59" t="s">
        <v>595</v>
      </c>
      <c r="B59">
        <v>80</v>
      </c>
      <c r="C59" t="s">
        <v>596</v>
      </c>
      <c r="D59" t="s">
        <v>597</v>
      </c>
      <c r="E59" t="s">
        <v>598</v>
      </c>
      <c r="F59" t="s">
        <v>126</v>
      </c>
      <c r="H59">
        <v>6</v>
      </c>
      <c r="I59">
        <v>6</v>
      </c>
      <c r="J59">
        <v>1</v>
      </c>
      <c r="K59" t="s">
        <v>127</v>
      </c>
      <c r="L59" t="s">
        <v>599</v>
      </c>
      <c r="M59" t="s">
        <v>137</v>
      </c>
      <c r="T59">
        <v>2750</v>
      </c>
      <c r="U59">
        <v>500</v>
      </c>
      <c r="V59">
        <v>0</v>
      </c>
      <c r="W59">
        <v>206</v>
      </c>
      <c r="X59" t="s">
        <v>600</v>
      </c>
      <c r="Y59" t="s">
        <v>109</v>
      </c>
      <c r="AA59" t="s">
        <v>601</v>
      </c>
      <c r="AB59" t="s">
        <v>602</v>
      </c>
      <c r="AC59" t="s">
        <v>603</v>
      </c>
      <c r="AE59" t="s">
        <v>604</v>
      </c>
      <c r="AF59" t="s">
        <v>115</v>
      </c>
      <c r="AI59" t="s">
        <v>605</v>
      </c>
      <c r="AJ59">
        <v>576</v>
      </c>
      <c r="AM59" t="s">
        <v>120</v>
      </c>
      <c r="AO59">
        <v>1</v>
      </c>
      <c r="AT59">
        <v>2407</v>
      </c>
      <c r="AU59">
        <v>2407</v>
      </c>
      <c r="AV59">
        <v>2623.63</v>
      </c>
      <c r="AW59">
        <v>0.09</v>
      </c>
      <c r="AX59">
        <v>0</v>
      </c>
      <c r="AY59">
        <v>0</v>
      </c>
      <c r="AZ59">
        <v>0</v>
      </c>
      <c r="BA59">
        <v>0</v>
      </c>
      <c r="BB59">
        <v>0</v>
      </c>
      <c r="BV59" t="s">
        <v>142</v>
      </c>
      <c r="CD59">
        <v>2750</v>
      </c>
      <c r="CO59">
        <v>-2407</v>
      </c>
      <c r="CP59">
        <v>-28884</v>
      </c>
      <c r="CQ59">
        <v>-100</v>
      </c>
      <c r="CR59" t="s">
        <v>143</v>
      </c>
      <c r="CS59">
        <v>0</v>
      </c>
    </row>
    <row r="60" spans="1:97" x14ac:dyDescent="0.2">
      <c r="A60" t="s">
        <v>606</v>
      </c>
      <c r="B60">
        <v>81</v>
      </c>
      <c r="C60" t="s">
        <v>607</v>
      </c>
      <c r="D60" t="s">
        <v>608</v>
      </c>
      <c r="E60" t="s">
        <v>609</v>
      </c>
      <c r="F60" t="s">
        <v>126</v>
      </c>
      <c r="H60">
        <v>6</v>
      </c>
      <c r="I60">
        <v>6</v>
      </c>
      <c r="J60">
        <v>1</v>
      </c>
      <c r="K60" t="s">
        <v>127</v>
      </c>
      <c r="L60" t="s">
        <v>610</v>
      </c>
      <c r="M60" t="s">
        <v>137</v>
      </c>
      <c r="P60" t="s">
        <v>611</v>
      </c>
      <c r="Q60" t="s">
        <v>612</v>
      </c>
      <c r="R60" t="s">
        <v>613</v>
      </c>
      <c r="S60" t="s">
        <v>614</v>
      </c>
      <c r="T60">
        <v>3300</v>
      </c>
      <c r="U60">
        <v>400</v>
      </c>
      <c r="V60">
        <v>0</v>
      </c>
      <c r="AM60" t="s">
        <v>107</v>
      </c>
      <c r="BV60" t="s">
        <v>142</v>
      </c>
      <c r="CD60">
        <v>3300</v>
      </c>
      <c r="CO60">
        <v>0</v>
      </c>
      <c r="CP60">
        <v>0</v>
      </c>
      <c r="CR60" t="s">
        <v>143</v>
      </c>
      <c r="CS60">
        <v>0</v>
      </c>
    </row>
    <row r="61" spans="1:97" x14ac:dyDescent="0.2">
      <c r="A61" t="s">
        <v>615</v>
      </c>
      <c r="B61">
        <v>82</v>
      </c>
      <c r="C61" t="s">
        <v>616</v>
      </c>
      <c r="D61" t="s">
        <v>617</v>
      </c>
      <c r="E61" t="s">
        <v>155</v>
      </c>
      <c r="F61" t="s">
        <v>126</v>
      </c>
      <c r="H61">
        <v>8</v>
      </c>
      <c r="I61">
        <v>15</v>
      </c>
      <c r="J61">
        <v>1</v>
      </c>
      <c r="K61" t="s">
        <v>102</v>
      </c>
      <c r="L61" t="s">
        <v>618</v>
      </c>
      <c r="M61" t="s">
        <v>137</v>
      </c>
      <c r="T61">
        <v>3450</v>
      </c>
      <c r="U61">
        <v>0</v>
      </c>
      <c r="V61">
        <v>0</v>
      </c>
      <c r="AM61" t="s">
        <v>107</v>
      </c>
      <c r="BV61" t="s">
        <v>142</v>
      </c>
      <c r="CD61">
        <v>3450</v>
      </c>
      <c r="CO61">
        <v>0</v>
      </c>
      <c r="CP61">
        <v>0</v>
      </c>
      <c r="CR61" t="s">
        <v>143</v>
      </c>
      <c r="CS61">
        <v>0</v>
      </c>
    </row>
    <row r="62" spans="1:97" x14ac:dyDescent="0.2">
      <c r="A62" t="s">
        <v>619</v>
      </c>
      <c r="B62">
        <v>83</v>
      </c>
      <c r="C62" t="s">
        <v>620</v>
      </c>
      <c r="D62" t="s">
        <v>621</v>
      </c>
      <c r="E62" t="s">
        <v>243</v>
      </c>
      <c r="F62" t="s">
        <v>126</v>
      </c>
      <c r="H62">
        <v>5</v>
      </c>
      <c r="I62">
        <v>5</v>
      </c>
      <c r="J62">
        <v>1</v>
      </c>
      <c r="K62" t="s">
        <v>102</v>
      </c>
      <c r="L62" t="s">
        <v>622</v>
      </c>
      <c r="M62" t="s">
        <v>623</v>
      </c>
      <c r="P62" t="s">
        <v>624</v>
      </c>
      <c r="Q62" t="s">
        <v>625</v>
      </c>
      <c r="R62" t="s">
        <v>626</v>
      </c>
      <c r="S62" t="s">
        <v>627</v>
      </c>
      <c r="T62">
        <v>4530</v>
      </c>
      <c r="U62">
        <v>200</v>
      </c>
      <c r="V62">
        <v>0</v>
      </c>
      <c r="W62">
        <v>111</v>
      </c>
      <c r="X62" t="s">
        <v>628</v>
      </c>
      <c r="Y62" t="s">
        <v>109</v>
      </c>
      <c r="AA62" t="s">
        <v>629</v>
      </c>
      <c r="AB62" t="s">
        <v>630</v>
      </c>
      <c r="AC62" t="s">
        <v>631</v>
      </c>
      <c r="AE62" t="s">
        <v>632</v>
      </c>
      <c r="AF62" t="s">
        <v>115</v>
      </c>
      <c r="AG62" t="s">
        <v>633</v>
      </c>
      <c r="AI62" t="s">
        <v>634</v>
      </c>
      <c r="AJ62">
        <v>580</v>
      </c>
      <c r="AM62" t="s">
        <v>120</v>
      </c>
      <c r="AO62">
        <v>1</v>
      </c>
      <c r="AP62" t="s">
        <v>635</v>
      </c>
      <c r="AT62">
        <v>3393.32</v>
      </c>
      <c r="AU62">
        <v>3393.32</v>
      </c>
      <c r="AV62">
        <v>3698.72</v>
      </c>
      <c r="AW62">
        <v>0.09</v>
      </c>
      <c r="AX62">
        <v>0</v>
      </c>
      <c r="AY62">
        <v>0</v>
      </c>
      <c r="AZ62">
        <v>0</v>
      </c>
      <c r="BA62">
        <v>0</v>
      </c>
      <c r="BB62">
        <v>0</v>
      </c>
      <c r="BV62" t="s">
        <v>142</v>
      </c>
      <c r="CD62">
        <v>4530</v>
      </c>
      <c r="CO62">
        <v>-3393.32</v>
      </c>
      <c r="CP62">
        <v>-40719.839999999997</v>
      </c>
      <c r="CQ62">
        <v>-100</v>
      </c>
      <c r="CR62" t="s">
        <v>143</v>
      </c>
      <c r="CS62">
        <v>0</v>
      </c>
    </row>
    <row r="63" spans="1:97" x14ac:dyDescent="0.2">
      <c r="A63" t="s">
        <v>636</v>
      </c>
      <c r="B63">
        <v>84</v>
      </c>
      <c r="C63" t="s">
        <v>637</v>
      </c>
      <c r="D63" t="s">
        <v>638</v>
      </c>
      <c r="E63" t="s">
        <v>639</v>
      </c>
      <c r="F63" t="s">
        <v>126</v>
      </c>
      <c r="H63">
        <v>9</v>
      </c>
      <c r="I63">
        <v>9</v>
      </c>
      <c r="J63">
        <v>1</v>
      </c>
      <c r="K63" t="s">
        <v>102</v>
      </c>
      <c r="L63" t="s">
        <v>640</v>
      </c>
      <c r="M63" t="s">
        <v>137</v>
      </c>
      <c r="T63">
        <v>6140.29</v>
      </c>
      <c r="U63">
        <v>525</v>
      </c>
      <c r="V63">
        <v>0</v>
      </c>
      <c r="AM63" t="s">
        <v>107</v>
      </c>
      <c r="BV63" t="s">
        <v>142</v>
      </c>
      <c r="CD63">
        <v>6140.29</v>
      </c>
      <c r="CO63">
        <v>0</v>
      </c>
      <c r="CP63">
        <v>0</v>
      </c>
      <c r="CR63" t="s">
        <v>143</v>
      </c>
      <c r="CS63">
        <v>0</v>
      </c>
    </row>
    <row r="64" spans="1:97" x14ac:dyDescent="0.2">
      <c r="A64" t="s">
        <v>641</v>
      </c>
      <c r="B64">
        <v>1</v>
      </c>
      <c r="C64" t="s">
        <v>642</v>
      </c>
      <c r="D64" t="s">
        <v>643</v>
      </c>
      <c r="E64" t="s">
        <v>147</v>
      </c>
      <c r="F64" t="s">
        <v>126</v>
      </c>
      <c r="H64">
        <v>3</v>
      </c>
      <c r="I64">
        <v>6</v>
      </c>
      <c r="J64">
        <v>1</v>
      </c>
      <c r="K64" t="s">
        <v>102</v>
      </c>
      <c r="L64" t="s">
        <v>644</v>
      </c>
      <c r="M64" t="s">
        <v>623</v>
      </c>
      <c r="P64" t="s">
        <v>645</v>
      </c>
      <c r="Q64" t="s">
        <v>646</v>
      </c>
      <c r="R64" t="s">
        <v>647</v>
      </c>
      <c r="S64" t="s">
        <v>648</v>
      </c>
      <c r="T64">
        <v>4755.4399999999996</v>
      </c>
      <c r="U64">
        <v>266.49</v>
      </c>
      <c r="V64">
        <v>0</v>
      </c>
      <c r="AM64" t="s">
        <v>107</v>
      </c>
      <c r="BC64">
        <v>17</v>
      </c>
      <c r="BD64" t="s">
        <v>108</v>
      </c>
      <c r="BE64" t="s">
        <v>109</v>
      </c>
      <c r="BG64" t="s">
        <v>110</v>
      </c>
      <c r="BH64" t="s">
        <v>111</v>
      </c>
      <c r="BI64" t="s">
        <v>112</v>
      </c>
      <c r="BJ64" t="s">
        <v>113</v>
      </c>
      <c r="BK64" t="s">
        <v>114</v>
      </c>
      <c r="BL64" t="s">
        <v>115</v>
      </c>
      <c r="BM64" t="s">
        <v>116</v>
      </c>
      <c r="BO64" t="s">
        <v>117</v>
      </c>
      <c r="BQ64">
        <v>421</v>
      </c>
      <c r="BR64" t="s">
        <v>118</v>
      </c>
      <c r="BU64" t="s">
        <v>119</v>
      </c>
      <c r="BV64" t="s">
        <v>120</v>
      </c>
      <c r="BW64">
        <v>2841.93</v>
      </c>
      <c r="BX64">
        <v>2841.93</v>
      </c>
      <c r="BY64">
        <v>3097.7</v>
      </c>
      <c r="BZ64">
        <v>0.09</v>
      </c>
      <c r="CA64">
        <v>266.49</v>
      </c>
      <c r="CB64">
        <v>25.1</v>
      </c>
      <c r="CC64">
        <v>0</v>
      </c>
      <c r="CD64">
        <v>4755.4399999999996</v>
      </c>
      <c r="CE64" t="s">
        <v>121</v>
      </c>
      <c r="CF64">
        <v>1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O64">
        <v>2841.93</v>
      </c>
      <c r="CP64">
        <v>34103.160000000003</v>
      </c>
      <c r="CR64" t="s">
        <v>122</v>
      </c>
      <c r="CS64">
        <v>0</v>
      </c>
    </row>
    <row r="65" spans="1:97" x14ac:dyDescent="0.2">
      <c r="A65" t="s">
        <v>649</v>
      </c>
      <c r="B65">
        <v>85</v>
      </c>
      <c r="C65" t="s">
        <v>650</v>
      </c>
      <c r="D65" t="s">
        <v>651</v>
      </c>
      <c r="E65" t="s">
        <v>652</v>
      </c>
      <c r="F65" t="s">
        <v>126</v>
      </c>
      <c r="H65">
        <v>4</v>
      </c>
      <c r="I65">
        <v>5</v>
      </c>
      <c r="J65">
        <v>1</v>
      </c>
      <c r="K65" t="s">
        <v>127</v>
      </c>
      <c r="L65" t="s">
        <v>653</v>
      </c>
      <c r="M65" t="s">
        <v>313</v>
      </c>
      <c r="P65" t="s">
        <v>654</v>
      </c>
      <c r="Q65" t="s">
        <v>655</v>
      </c>
      <c r="R65" t="s">
        <v>656</v>
      </c>
      <c r="S65" t="s">
        <v>657</v>
      </c>
      <c r="T65">
        <v>2253.77</v>
      </c>
      <c r="U65">
        <v>250</v>
      </c>
      <c r="V65">
        <v>0</v>
      </c>
      <c r="AM65" t="s">
        <v>107</v>
      </c>
      <c r="BV65" t="s">
        <v>142</v>
      </c>
      <c r="CD65">
        <v>2253.77</v>
      </c>
      <c r="CO65">
        <v>0</v>
      </c>
      <c r="CP65">
        <v>0</v>
      </c>
      <c r="CR65" t="s">
        <v>143</v>
      </c>
      <c r="CS65">
        <v>0</v>
      </c>
    </row>
    <row r="66" spans="1:97" x14ac:dyDescent="0.2">
      <c r="A66" t="s">
        <v>658</v>
      </c>
      <c r="B66">
        <v>86</v>
      </c>
      <c r="C66" t="s">
        <v>659</v>
      </c>
      <c r="D66" t="s">
        <v>660</v>
      </c>
      <c r="E66" t="s">
        <v>243</v>
      </c>
      <c r="F66" t="s">
        <v>126</v>
      </c>
      <c r="H66">
        <v>4</v>
      </c>
      <c r="I66">
        <v>6</v>
      </c>
      <c r="J66">
        <v>1</v>
      </c>
      <c r="K66" t="s">
        <v>127</v>
      </c>
      <c r="L66" t="s">
        <v>661</v>
      </c>
      <c r="M66" t="s">
        <v>313</v>
      </c>
      <c r="P66" t="s">
        <v>662</v>
      </c>
      <c r="Q66" t="s">
        <v>663</v>
      </c>
      <c r="R66" t="s">
        <v>664</v>
      </c>
      <c r="S66" t="s">
        <v>665</v>
      </c>
      <c r="T66">
        <v>2446.35</v>
      </c>
      <c r="U66">
        <v>300</v>
      </c>
      <c r="V66">
        <v>0</v>
      </c>
      <c r="AM66" t="s">
        <v>107</v>
      </c>
      <c r="BV66" t="s">
        <v>142</v>
      </c>
      <c r="CD66">
        <v>2446.35</v>
      </c>
      <c r="CO66">
        <v>0</v>
      </c>
      <c r="CP66">
        <v>0</v>
      </c>
      <c r="CR66" t="s">
        <v>143</v>
      </c>
      <c r="CS66">
        <v>0</v>
      </c>
    </row>
    <row r="67" spans="1:97" x14ac:dyDescent="0.2">
      <c r="A67" t="s">
        <v>666</v>
      </c>
      <c r="B67">
        <v>87</v>
      </c>
      <c r="C67" t="s">
        <v>667</v>
      </c>
      <c r="D67" t="s">
        <v>668</v>
      </c>
      <c r="E67" t="s">
        <v>669</v>
      </c>
      <c r="F67" t="s">
        <v>101</v>
      </c>
      <c r="H67">
        <v>9</v>
      </c>
      <c r="I67">
        <v>9</v>
      </c>
      <c r="J67">
        <v>1</v>
      </c>
      <c r="K67" t="s">
        <v>102</v>
      </c>
      <c r="L67" t="s">
        <v>670</v>
      </c>
      <c r="M67" t="s">
        <v>137</v>
      </c>
      <c r="P67" t="s">
        <v>671</v>
      </c>
      <c r="Q67" t="s">
        <v>672</v>
      </c>
      <c r="R67" t="s">
        <v>673</v>
      </c>
      <c r="S67" t="s">
        <v>674</v>
      </c>
      <c r="T67">
        <v>6140.29</v>
      </c>
      <c r="U67">
        <v>400</v>
      </c>
      <c r="V67">
        <v>0</v>
      </c>
      <c r="W67">
        <v>802</v>
      </c>
      <c r="X67" t="s">
        <v>675</v>
      </c>
      <c r="Y67" t="s">
        <v>109</v>
      </c>
      <c r="AJ67">
        <v>579</v>
      </c>
      <c r="AM67" t="s">
        <v>120</v>
      </c>
      <c r="AO67">
        <v>1</v>
      </c>
      <c r="AT67">
        <v>5779.72</v>
      </c>
      <c r="AU67">
        <v>5779.72</v>
      </c>
      <c r="AV67">
        <v>6299.89</v>
      </c>
      <c r="AW67">
        <v>0.09</v>
      </c>
      <c r="AX67">
        <v>0</v>
      </c>
      <c r="AY67">
        <v>0</v>
      </c>
      <c r="AZ67">
        <v>0</v>
      </c>
      <c r="BA67">
        <v>0</v>
      </c>
      <c r="BB67">
        <v>0</v>
      </c>
      <c r="BV67" t="s">
        <v>142</v>
      </c>
      <c r="CD67">
        <v>6140.29</v>
      </c>
      <c r="CO67">
        <v>-5779.72</v>
      </c>
      <c r="CP67">
        <v>-69356.639999999999</v>
      </c>
      <c r="CQ67">
        <v>-100</v>
      </c>
      <c r="CR67" t="s">
        <v>143</v>
      </c>
      <c r="CS67">
        <v>0</v>
      </c>
    </row>
    <row r="68" spans="1:97" x14ac:dyDescent="0.2">
      <c r="A68" t="s">
        <v>676</v>
      </c>
      <c r="B68">
        <v>88</v>
      </c>
      <c r="C68" t="s">
        <v>677</v>
      </c>
      <c r="D68" t="s">
        <v>678</v>
      </c>
      <c r="E68" t="s">
        <v>679</v>
      </c>
      <c r="F68" t="s">
        <v>126</v>
      </c>
      <c r="H68">
        <v>4</v>
      </c>
      <c r="I68">
        <v>7</v>
      </c>
      <c r="J68">
        <v>1</v>
      </c>
      <c r="K68" t="s">
        <v>102</v>
      </c>
      <c r="L68" t="s">
        <v>680</v>
      </c>
      <c r="M68" t="s">
        <v>137</v>
      </c>
      <c r="P68" t="s">
        <v>681</v>
      </c>
      <c r="Q68" t="s">
        <v>682</v>
      </c>
      <c r="R68" t="s">
        <v>683</v>
      </c>
      <c r="S68" t="s">
        <v>684</v>
      </c>
      <c r="T68">
        <v>3643.5</v>
      </c>
      <c r="U68">
        <v>631.65</v>
      </c>
      <c r="V68">
        <v>0</v>
      </c>
      <c r="W68">
        <v>806</v>
      </c>
      <c r="X68" t="s">
        <v>685</v>
      </c>
      <c r="Y68" t="s">
        <v>109</v>
      </c>
      <c r="AJ68">
        <v>589</v>
      </c>
      <c r="AK68" t="s">
        <v>686</v>
      </c>
      <c r="AL68" t="s">
        <v>687</v>
      </c>
      <c r="AM68" t="s">
        <v>163</v>
      </c>
      <c r="AO68">
        <v>1</v>
      </c>
      <c r="AT68">
        <v>1665.6</v>
      </c>
      <c r="AU68">
        <v>1665.6</v>
      </c>
      <c r="AV68">
        <v>1815.5</v>
      </c>
      <c r="AW68">
        <v>0.09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</v>
      </c>
      <c r="BD68" t="s">
        <v>108</v>
      </c>
      <c r="BE68" t="s">
        <v>109</v>
      </c>
      <c r="BG68" t="s">
        <v>110</v>
      </c>
      <c r="BH68" t="s">
        <v>111</v>
      </c>
      <c r="BI68" t="s">
        <v>112</v>
      </c>
      <c r="BJ68" t="s">
        <v>113</v>
      </c>
      <c r="BK68" t="s">
        <v>114</v>
      </c>
      <c r="BL68" t="s">
        <v>115</v>
      </c>
      <c r="BM68" t="s">
        <v>116</v>
      </c>
      <c r="BO68" t="s">
        <v>117</v>
      </c>
      <c r="BQ68">
        <v>74</v>
      </c>
      <c r="BR68" t="s">
        <v>686</v>
      </c>
      <c r="BS68" t="s">
        <v>687</v>
      </c>
      <c r="BT68">
        <v>12</v>
      </c>
      <c r="BU68" t="s">
        <v>119</v>
      </c>
      <c r="BV68" t="s">
        <v>163</v>
      </c>
      <c r="BW68">
        <v>3643.5</v>
      </c>
      <c r="BX68">
        <v>3643.5</v>
      </c>
      <c r="BY68">
        <v>3971.42</v>
      </c>
      <c r="BZ68">
        <v>0.09</v>
      </c>
      <c r="CA68">
        <v>0</v>
      </c>
      <c r="CB68">
        <v>0</v>
      </c>
      <c r="CC68">
        <v>0</v>
      </c>
      <c r="CD68">
        <v>3643.5</v>
      </c>
      <c r="CE68" t="s">
        <v>181</v>
      </c>
      <c r="CF68">
        <v>1</v>
      </c>
      <c r="CG68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O68">
        <v>1977.9</v>
      </c>
      <c r="CP68">
        <v>23734.799999999999</v>
      </c>
      <c r="CQ68">
        <v>118.75</v>
      </c>
      <c r="CR68" t="s">
        <v>168</v>
      </c>
      <c r="CS68">
        <v>363</v>
      </c>
    </row>
    <row r="69" spans="1:97" x14ac:dyDescent="0.2">
      <c r="A69" t="s">
        <v>688</v>
      </c>
      <c r="B69">
        <v>89</v>
      </c>
      <c r="C69" t="s">
        <v>689</v>
      </c>
      <c r="D69" t="s">
        <v>690</v>
      </c>
      <c r="E69" t="s">
        <v>691</v>
      </c>
      <c r="F69" t="s">
        <v>126</v>
      </c>
      <c r="H69">
        <v>4</v>
      </c>
      <c r="I69">
        <v>5</v>
      </c>
      <c r="J69">
        <v>1</v>
      </c>
      <c r="K69" t="s">
        <v>102</v>
      </c>
      <c r="L69" t="s">
        <v>692</v>
      </c>
      <c r="M69" t="s">
        <v>313</v>
      </c>
      <c r="T69">
        <v>2253.77</v>
      </c>
      <c r="U69">
        <v>200</v>
      </c>
      <c r="V69">
        <v>0</v>
      </c>
      <c r="AM69" t="s">
        <v>107</v>
      </c>
      <c r="BV69" t="s">
        <v>142</v>
      </c>
      <c r="CD69">
        <v>2253.77</v>
      </c>
      <c r="CO69">
        <v>0</v>
      </c>
      <c r="CP69">
        <v>0</v>
      </c>
      <c r="CR69" t="s">
        <v>143</v>
      </c>
      <c r="CS69">
        <v>0</v>
      </c>
    </row>
    <row r="70" spans="1:97" x14ac:dyDescent="0.2">
      <c r="A70" t="s">
        <v>693</v>
      </c>
      <c r="B70">
        <v>90</v>
      </c>
      <c r="C70" t="s">
        <v>694</v>
      </c>
      <c r="D70" t="s">
        <v>695</v>
      </c>
      <c r="E70" t="s">
        <v>696</v>
      </c>
      <c r="F70" t="s">
        <v>126</v>
      </c>
      <c r="H70">
        <v>8</v>
      </c>
      <c r="I70">
        <v>8</v>
      </c>
      <c r="J70">
        <v>1</v>
      </c>
      <c r="K70" t="s">
        <v>102</v>
      </c>
      <c r="L70" t="s">
        <v>697</v>
      </c>
      <c r="M70" t="s">
        <v>698</v>
      </c>
      <c r="T70">
        <v>4575</v>
      </c>
      <c r="U70">
        <v>200</v>
      </c>
      <c r="V70">
        <v>0</v>
      </c>
      <c r="AM70" t="s">
        <v>107</v>
      </c>
      <c r="BV70" t="s">
        <v>142</v>
      </c>
      <c r="CD70">
        <v>4575</v>
      </c>
      <c r="CO70">
        <v>0</v>
      </c>
      <c r="CP70">
        <v>0</v>
      </c>
      <c r="CR70" t="s">
        <v>143</v>
      </c>
      <c r="CS70">
        <v>0</v>
      </c>
    </row>
    <row r="71" spans="1:97" x14ac:dyDescent="0.2">
      <c r="A71" t="s">
        <v>699</v>
      </c>
      <c r="B71">
        <v>91</v>
      </c>
      <c r="C71" t="s">
        <v>700</v>
      </c>
      <c r="D71" t="s">
        <v>701</v>
      </c>
      <c r="E71" t="s">
        <v>691</v>
      </c>
      <c r="F71" t="s">
        <v>126</v>
      </c>
      <c r="H71">
        <v>3</v>
      </c>
      <c r="I71">
        <v>3</v>
      </c>
      <c r="J71">
        <v>1</v>
      </c>
      <c r="K71" t="s">
        <v>127</v>
      </c>
      <c r="L71" t="s">
        <v>702</v>
      </c>
      <c r="M71" t="s">
        <v>137</v>
      </c>
      <c r="P71" t="s">
        <v>703</v>
      </c>
      <c r="Q71" t="s">
        <v>704</v>
      </c>
      <c r="R71" t="s">
        <v>705</v>
      </c>
      <c r="S71" t="s">
        <v>706</v>
      </c>
      <c r="T71">
        <v>3239.85</v>
      </c>
      <c r="U71">
        <v>200</v>
      </c>
      <c r="V71">
        <v>0</v>
      </c>
      <c r="AM71" t="s">
        <v>107</v>
      </c>
      <c r="BV71" t="s">
        <v>142</v>
      </c>
      <c r="CD71">
        <v>3239.85</v>
      </c>
      <c r="CO71">
        <v>0</v>
      </c>
      <c r="CP71">
        <v>0</v>
      </c>
      <c r="CR71" t="s">
        <v>143</v>
      </c>
      <c r="CS71">
        <v>0</v>
      </c>
    </row>
    <row r="72" spans="1:97" x14ac:dyDescent="0.2">
      <c r="A72" t="s">
        <v>707</v>
      </c>
      <c r="B72">
        <v>92</v>
      </c>
      <c r="C72" t="s">
        <v>708</v>
      </c>
      <c r="D72" t="s">
        <v>709</v>
      </c>
      <c r="E72" t="s">
        <v>696</v>
      </c>
      <c r="F72" t="s">
        <v>126</v>
      </c>
      <c r="H72">
        <v>4</v>
      </c>
      <c r="I72">
        <v>7</v>
      </c>
      <c r="J72">
        <v>1</v>
      </c>
      <c r="K72" t="s">
        <v>127</v>
      </c>
      <c r="L72" t="s">
        <v>697</v>
      </c>
      <c r="M72" t="s">
        <v>137</v>
      </c>
      <c r="P72" t="s">
        <v>710</v>
      </c>
      <c r="Q72" t="s">
        <v>711</v>
      </c>
      <c r="R72" t="s">
        <v>712</v>
      </c>
      <c r="S72" t="s">
        <v>713</v>
      </c>
      <c r="T72">
        <v>2575</v>
      </c>
      <c r="U72">
        <v>250</v>
      </c>
      <c r="V72">
        <v>0</v>
      </c>
      <c r="W72">
        <v>241</v>
      </c>
      <c r="X72" t="s">
        <v>714</v>
      </c>
      <c r="Y72" t="s">
        <v>109</v>
      </c>
      <c r="AA72" t="s">
        <v>715</v>
      </c>
      <c r="AC72" t="s">
        <v>716</v>
      </c>
      <c r="AE72" t="s">
        <v>717</v>
      </c>
      <c r="AF72" t="s">
        <v>115</v>
      </c>
      <c r="AI72" t="s">
        <v>718</v>
      </c>
      <c r="AJ72">
        <v>594</v>
      </c>
      <c r="AM72" t="s">
        <v>120</v>
      </c>
      <c r="AO72">
        <v>1</v>
      </c>
      <c r="AT72">
        <v>2150</v>
      </c>
      <c r="AU72">
        <v>2150</v>
      </c>
      <c r="AV72">
        <v>2343.5</v>
      </c>
      <c r="AW72">
        <v>0.09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210</v>
      </c>
      <c r="BD72" t="s">
        <v>719</v>
      </c>
      <c r="BE72" t="s">
        <v>109</v>
      </c>
      <c r="BG72" t="s">
        <v>720</v>
      </c>
      <c r="BH72" t="s">
        <v>721</v>
      </c>
      <c r="BI72" t="s">
        <v>722</v>
      </c>
      <c r="BK72" t="s">
        <v>723</v>
      </c>
      <c r="BL72" t="s">
        <v>115</v>
      </c>
      <c r="BM72" t="s">
        <v>724</v>
      </c>
      <c r="BO72" t="s">
        <v>725</v>
      </c>
      <c r="BQ72">
        <v>79</v>
      </c>
      <c r="BR72" t="s">
        <v>726</v>
      </c>
      <c r="BS72" t="s">
        <v>727</v>
      </c>
      <c r="BT72">
        <v>10</v>
      </c>
      <c r="BU72" t="s">
        <v>119</v>
      </c>
      <c r="BV72" t="s">
        <v>163</v>
      </c>
      <c r="BW72">
        <v>2575</v>
      </c>
      <c r="BX72">
        <v>2825</v>
      </c>
      <c r="BY72">
        <v>3079.25</v>
      </c>
      <c r="BZ72">
        <v>0.09</v>
      </c>
      <c r="CA72">
        <v>250</v>
      </c>
      <c r="CB72">
        <v>0</v>
      </c>
      <c r="CC72">
        <v>250</v>
      </c>
      <c r="CD72">
        <v>2575</v>
      </c>
      <c r="CE72" t="s">
        <v>121</v>
      </c>
      <c r="CF72">
        <v>1</v>
      </c>
      <c r="CG72">
        <v>1</v>
      </c>
      <c r="CH72">
        <v>1</v>
      </c>
      <c r="CI72">
        <v>0</v>
      </c>
      <c r="CJ72">
        <v>0</v>
      </c>
      <c r="CK72">
        <v>0</v>
      </c>
      <c r="CL72">
        <v>1</v>
      </c>
      <c r="CM72">
        <v>0</v>
      </c>
      <c r="CN72" t="s">
        <v>201</v>
      </c>
      <c r="CO72">
        <v>675</v>
      </c>
      <c r="CP72">
        <v>8100</v>
      </c>
      <c r="CQ72">
        <v>31.4</v>
      </c>
      <c r="CR72" t="s">
        <v>168</v>
      </c>
      <c r="CS72">
        <v>144</v>
      </c>
    </row>
    <row r="73" spans="1:97" x14ac:dyDescent="0.2">
      <c r="A73" t="s">
        <v>728</v>
      </c>
      <c r="B73">
        <v>93</v>
      </c>
      <c r="C73" t="s">
        <v>729</v>
      </c>
      <c r="D73" t="s">
        <v>730</v>
      </c>
      <c r="E73" t="s">
        <v>731</v>
      </c>
      <c r="F73" t="s">
        <v>126</v>
      </c>
      <c r="H73">
        <v>4</v>
      </c>
      <c r="I73">
        <v>4</v>
      </c>
      <c r="J73">
        <v>1</v>
      </c>
      <c r="K73" t="s">
        <v>127</v>
      </c>
      <c r="L73" t="s">
        <v>697</v>
      </c>
      <c r="M73" t="s">
        <v>137</v>
      </c>
      <c r="P73" t="s">
        <v>732</v>
      </c>
      <c r="Q73" t="s">
        <v>733</v>
      </c>
      <c r="R73" t="s">
        <v>734</v>
      </c>
      <c r="S73" t="s">
        <v>735</v>
      </c>
      <c r="T73">
        <v>2250</v>
      </c>
      <c r="U73">
        <v>250</v>
      </c>
      <c r="V73">
        <v>0</v>
      </c>
      <c r="AM73" t="s">
        <v>107</v>
      </c>
      <c r="BV73" t="s">
        <v>142</v>
      </c>
      <c r="CD73">
        <v>2250</v>
      </c>
      <c r="CO73">
        <v>0</v>
      </c>
      <c r="CP73">
        <v>0</v>
      </c>
      <c r="CR73" t="s">
        <v>143</v>
      </c>
      <c r="CS73">
        <v>0</v>
      </c>
    </row>
    <row r="74" spans="1:97" x14ac:dyDescent="0.2">
      <c r="A74" t="s">
        <v>736</v>
      </c>
      <c r="B74">
        <v>94</v>
      </c>
      <c r="C74" t="s">
        <v>737</v>
      </c>
      <c r="D74" t="s">
        <v>738</v>
      </c>
      <c r="E74" t="s">
        <v>739</v>
      </c>
      <c r="F74" t="s">
        <v>126</v>
      </c>
      <c r="H74">
        <v>5</v>
      </c>
      <c r="I74">
        <v>5</v>
      </c>
      <c r="J74">
        <v>1</v>
      </c>
      <c r="K74" t="s">
        <v>127</v>
      </c>
      <c r="L74" t="s">
        <v>740</v>
      </c>
      <c r="M74" t="s">
        <v>137</v>
      </c>
      <c r="P74" t="s">
        <v>741</v>
      </c>
      <c r="Q74" t="s">
        <v>742</v>
      </c>
      <c r="R74" t="s">
        <v>743</v>
      </c>
      <c r="S74" t="s">
        <v>744</v>
      </c>
      <c r="T74">
        <v>1750</v>
      </c>
      <c r="U74">
        <v>300</v>
      </c>
      <c r="V74">
        <v>0</v>
      </c>
      <c r="AM74" t="s">
        <v>107</v>
      </c>
      <c r="BV74" t="s">
        <v>142</v>
      </c>
      <c r="CD74">
        <v>1750</v>
      </c>
      <c r="CO74">
        <v>0</v>
      </c>
      <c r="CP74">
        <v>0</v>
      </c>
      <c r="CR74" t="s">
        <v>143</v>
      </c>
      <c r="CS74">
        <v>0</v>
      </c>
    </row>
    <row r="75" spans="1:97" x14ac:dyDescent="0.2">
      <c r="A75" t="s">
        <v>745</v>
      </c>
      <c r="B75">
        <v>95</v>
      </c>
      <c r="C75" t="s">
        <v>746</v>
      </c>
      <c r="D75" t="s">
        <v>747</v>
      </c>
      <c r="E75" t="s">
        <v>252</v>
      </c>
      <c r="F75" t="s">
        <v>126</v>
      </c>
      <c r="H75">
        <v>4</v>
      </c>
      <c r="I75">
        <v>4</v>
      </c>
      <c r="J75">
        <v>1</v>
      </c>
      <c r="K75" t="s">
        <v>102</v>
      </c>
      <c r="T75">
        <v>2450</v>
      </c>
      <c r="U75">
        <v>68.19</v>
      </c>
      <c r="V75">
        <v>0</v>
      </c>
      <c r="W75">
        <v>701</v>
      </c>
      <c r="X75" t="s">
        <v>748</v>
      </c>
      <c r="Y75" t="s">
        <v>109</v>
      </c>
      <c r="AA75" t="s">
        <v>749</v>
      </c>
      <c r="AC75" t="s">
        <v>750</v>
      </c>
      <c r="AE75" t="s">
        <v>751</v>
      </c>
      <c r="AF75" t="s">
        <v>115</v>
      </c>
      <c r="AI75" t="s">
        <v>752</v>
      </c>
      <c r="AJ75">
        <v>667</v>
      </c>
      <c r="AM75" t="s">
        <v>120</v>
      </c>
      <c r="AO75">
        <v>1</v>
      </c>
      <c r="AT75">
        <v>2459.85</v>
      </c>
      <c r="AU75">
        <v>2509.85</v>
      </c>
      <c r="AV75">
        <v>2735.74</v>
      </c>
      <c r="AW75">
        <v>0.09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17</v>
      </c>
      <c r="BD75" t="s">
        <v>108</v>
      </c>
      <c r="BE75" t="s">
        <v>109</v>
      </c>
      <c r="BG75" t="s">
        <v>110</v>
      </c>
      <c r="BH75" t="s">
        <v>111</v>
      </c>
      <c r="BI75" t="s">
        <v>112</v>
      </c>
      <c r="BJ75" t="s">
        <v>113</v>
      </c>
      <c r="BK75" t="s">
        <v>114</v>
      </c>
      <c r="BL75" t="s">
        <v>115</v>
      </c>
      <c r="BM75" t="s">
        <v>116</v>
      </c>
      <c r="BO75" t="s">
        <v>117</v>
      </c>
      <c r="BQ75">
        <v>154</v>
      </c>
      <c r="BR75" t="s">
        <v>481</v>
      </c>
      <c r="BU75" t="s">
        <v>216</v>
      </c>
      <c r="BV75" t="s">
        <v>120</v>
      </c>
      <c r="BW75">
        <v>0</v>
      </c>
      <c r="BX75">
        <v>0</v>
      </c>
      <c r="BY75">
        <v>0</v>
      </c>
      <c r="BZ75">
        <v>0.09</v>
      </c>
      <c r="CA75">
        <v>0</v>
      </c>
      <c r="CB75">
        <v>0</v>
      </c>
      <c r="CC75">
        <v>0</v>
      </c>
      <c r="CD75">
        <v>2450</v>
      </c>
      <c r="CE75" t="s">
        <v>181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O75">
        <v>-2509.85</v>
      </c>
      <c r="CP75">
        <v>-30118.2</v>
      </c>
      <c r="CQ75">
        <v>-100</v>
      </c>
      <c r="CR75" t="s">
        <v>122</v>
      </c>
      <c r="CS75">
        <v>0</v>
      </c>
    </row>
    <row r="76" spans="1:97" x14ac:dyDescent="0.2">
      <c r="A76" t="s">
        <v>745</v>
      </c>
      <c r="B76">
        <v>95</v>
      </c>
      <c r="C76" t="s">
        <v>746</v>
      </c>
      <c r="D76" t="s">
        <v>747</v>
      </c>
      <c r="E76" t="s">
        <v>252</v>
      </c>
      <c r="F76" t="s">
        <v>126</v>
      </c>
      <c r="H76">
        <v>4</v>
      </c>
      <c r="I76">
        <v>4</v>
      </c>
      <c r="J76">
        <v>1</v>
      </c>
      <c r="K76" t="s">
        <v>102</v>
      </c>
      <c r="T76">
        <v>2450</v>
      </c>
      <c r="U76">
        <v>68.19</v>
      </c>
      <c r="V76">
        <v>0</v>
      </c>
      <c r="W76">
        <v>701</v>
      </c>
      <c r="X76" t="s">
        <v>748</v>
      </c>
      <c r="Y76" t="s">
        <v>109</v>
      </c>
      <c r="AA76" t="s">
        <v>749</v>
      </c>
      <c r="AC76" t="s">
        <v>750</v>
      </c>
      <c r="AE76" t="s">
        <v>751</v>
      </c>
      <c r="AF76" t="s">
        <v>115</v>
      </c>
      <c r="AI76" t="s">
        <v>752</v>
      </c>
      <c r="AJ76">
        <v>667</v>
      </c>
      <c r="AM76" t="s">
        <v>120</v>
      </c>
      <c r="AO76">
        <v>1</v>
      </c>
      <c r="AT76">
        <v>2459.85</v>
      </c>
      <c r="AU76">
        <v>2509.85</v>
      </c>
      <c r="AV76">
        <v>2735.74</v>
      </c>
      <c r="AW76">
        <v>0.09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17</v>
      </c>
      <c r="BD76" t="s">
        <v>108</v>
      </c>
      <c r="BE76" t="s">
        <v>109</v>
      </c>
      <c r="BG76" t="s">
        <v>110</v>
      </c>
      <c r="BH76" t="s">
        <v>111</v>
      </c>
      <c r="BI76" t="s">
        <v>112</v>
      </c>
      <c r="BJ76" t="s">
        <v>113</v>
      </c>
      <c r="BK76" t="s">
        <v>114</v>
      </c>
      <c r="BL76" t="s">
        <v>115</v>
      </c>
      <c r="BM76" t="s">
        <v>116</v>
      </c>
      <c r="BO76" t="s">
        <v>117</v>
      </c>
      <c r="BQ76">
        <v>413</v>
      </c>
      <c r="BR76" t="s">
        <v>118</v>
      </c>
      <c r="BU76" t="s">
        <v>119</v>
      </c>
      <c r="BV76" t="s">
        <v>120</v>
      </c>
      <c r="BW76">
        <v>0</v>
      </c>
      <c r="BX76">
        <v>2509.85</v>
      </c>
      <c r="BY76">
        <v>2735.74</v>
      </c>
      <c r="BZ76">
        <v>0.09</v>
      </c>
      <c r="CA76">
        <v>267.5</v>
      </c>
      <c r="CB76">
        <v>43.39</v>
      </c>
      <c r="CC76">
        <v>0</v>
      </c>
      <c r="CD76">
        <v>2450</v>
      </c>
      <c r="CE76" t="s">
        <v>121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O76">
        <v>0</v>
      </c>
      <c r="CP76">
        <v>0</v>
      </c>
      <c r="CQ76">
        <v>0</v>
      </c>
      <c r="CR76" t="s">
        <v>122</v>
      </c>
      <c r="CS76">
        <v>0</v>
      </c>
    </row>
    <row r="77" spans="1:97" x14ac:dyDescent="0.2">
      <c r="A77" t="s">
        <v>753</v>
      </c>
      <c r="B77">
        <v>96</v>
      </c>
      <c r="C77" t="s">
        <v>754</v>
      </c>
      <c r="D77" t="s">
        <v>755</v>
      </c>
      <c r="E77" t="s">
        <v>756</v>
      </c>
      <c r="F77" t="s">
        <v>126</v>
      </c>
      <c r="H77">
        <v>4</v>
      </c>
      <c r="I77">
        <v>4</v>
      </c>
      <c r="J77">
        <v>1</v>
      </c>
      <c r="K77" t="s">
        <v>102</v>
      </c>
      <c r="L77" t="s">
        <v>757</v>
      </c>
      <c r="M77" t="s">
        <v>137</v>
      </c>
      <c r="P77" t="s">
        <v>758</v>
      </c>
      <c r="Q77" t="s">
        <v>759</v>
      </c>
      <c r="R77" t="s">
        <v>760</v>
      </c>
      <c r="S77" t="s">
        <v>761</v>
      </c>
      <c r="T77">
        <v>2342.25</v>
      </c>
      <c r="U77">
        <v>150</v>
      </c>
      <c r="V77">
        <v>0</v>
      </c>
      <c r="AM77" t="s">
        <v>107</v>
      </c>
      <c r="BV77" t="s">
        <v>142</v>
      </c>
      <c r="CD77">
        <v>2342.25</v>
      </c>
      <c r="CO77">
        <v>0</v>
      </c>
      <c r="CP77">
        <v>0</v>
      </c>
      <c r="CR77" t="s">
        <v>143</v>
      </c>
      <c r="CS77">
        <v>0</v>
      </c>
    </row>
    <row r="78" spans="1:97" x14ac:dyDescent="0.2">
      <c r="A78" t="s">
        <v>762</v>
      </c>
      <c r="B78">
        <v>97</v>
      </c>
      <c r="C78" t="s">
        <v>763</v>
      </c>
      <c r="D78" t="s">
        <v>764</v>
      </c>
      <c r="E78" t="s">
        <v>765</v>
      </c>
      <c r="F78" t="s">
        <v>126</v>
      </c>
      <c r="H78">
        <v>4</v>
      </c>
      <c r="I78">
        <v>4</v>
      </c>
      <c r="J78">
        <v>1</v>
      </c>
      <c r="K78" t="s">
        <v>102</v>
      </c>
      <c r="L78" t="s">
        <v>766</v>
      </c>
      <c r="M78" t="s">
        <v>137</v>
      </c>
      <c r="P78" t="s">
        <v>767</v>
      </c>
      <c r="Q78" t="s">
        <v>768</v>
      </c>
      <c r="R78" t="s">
        <v>769</v>
      </c>
      <c r="S78" t="s">
        <v>770</v>
      </c>
      <c r="T78">
        <v>3608.79</v>
      </c>
      <c r="U78">
        <v>260</v>
      </c>
      <c r="V78">
        <v>0</v>
      </c>
      <c r="W78">
        <v>630</v>
      </c>
      <c r="X78" t="s">
        <v>771</v>
      </c>
      <c r="Y78" t="s">
        <v>109</v>
      </c>
      <c r="AF78" t="s">
        <v>115</v>
      </c>
      <c r="AI78" t="s">
        <v>772</v>
      </c>
      <c r="AJ78">
        <v>677</v>
      </c>
      <c r="AK78" t="s">
        <v>773</v>
      </c>
      <c r="AL78" t="s">
        <v>774</v>
      </c>
      <c r="AM78" t="s">
        <v>163</v>
      </c>
      <c r="AO78">
        <v>1</v>
      </c>
      <c r="AT78">
        <v>2550.4499999999998</v>
      </c>
      <c r="AU78">
        <v>2622.95</v>
      </c>
      <c r="AV78">
        <v>2859.02</v>
      </c>
      <c r="AW78">
        <v>0.09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324</v>
      </c>
      <c r="BD78" t="s">
        <v>775</v>
      </c>
      <c r="BE78" t="s">
        <v>109</v>
      </c>
      <c r="BG78" t="s">
        <v>776</v>
      </c>
      <c r="BI78" t="s">
        <v>777</v>
      </c>
      <c r="BK78" t="s">
        <v>778</v>
      </c>
      <c r="BL78" t="s">
        <v>779</v>
      </c>
      <c r="BQ78">
        <v>167</v>
      </c>
      <c r="BR78" t="s">
        <v>773</v>
      </c>
      <c r="BS78" t="s">
        <v>774</v>
      </c>
      <c r="BT78">
        <v>12</v>
      </c>
      <c r="BU78" t="s">
        <v>119</v>
      </c>
      <c r="BV78" t="s">
        <v>163</v>
      </c>
      <c r="BW78">
        <v>3608.79</v>
      </c>
      <c r="BX78">
        <v>3868.79</v>
      </c>
      <c r="BY78">
        <v>4216.9799999999996</v>
      </c>
      <c r="BZ78">
        <v>0.09</v>
      </c>
      <c r="CA78">
        <v>260</v>
      </c>
      <c r="CB78">
        <v>0</v>
      </c>
      <c r="CC78">
        <v>0</v>
      </c>
      <c r="CD78">
        <v>3608.79</v>
      </c>
      <c r="CE78" t="s">
        <v>121</v>
      </c>
      <c r="CF78">
        <v>1</v>
      </c>
      <c r="CG78">
        <v>1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O78">
        <v>1245.8399999999999</v>
      </c>
      <c r="CP78">
        <v>14950.08</v>
      </c>
      <c r="CQ78">
        <v>47.5</v>
      </c>
      <c r="CR78" t="s">
        <v>168</v>
      </c>
      <c r="CS78">
        <v>129</v>
      </c>
    </row>
    <row r="79" spans="1:97" x14ac:dyDescent="0.2">
      <c r="A79" t="s">
        <v>780</v>
      </c>
      <c r="B79">
        <v>98</v>
      </c>
      <c r="C79" t="s">
        <v>781</v>
      </c>
      <c r="D79" t="s">
        <v>782</v>
      </c>
      <c r="E79" t="s">
        <v>765</v>
      </c>
      <c r="F79" t="s">
        <v>101</v>
      </c>
      <c r="H79">
        <v>4</v>
      </c>
      <c r="I79">
        <v>4</v>
      </c>
      <c r="J79">
        <v>1</v>
      </c>
      <c r="K79" t="s">
        <v>102</v>
      </c>
      <c r="L79" t="s">
        <v>783</v>
      </c>
      <c r="M79" t="s">
        <v>137</v>
      </c>
      <c r="P79" t="s">
        <v>784</v>
      </c>
      <c r="Q79" t="s">
        <v>785</v>
      </c>
      <c r="R79" t="s">
        <v>786</v>
      </c>
      <c r="S79" t="s">
        <v>787</v>
      </c>
      <c r="T79">
        <v>3608.8</v>
      </c>
      <c r="U79">
        <v>260</v>
      </c>
      <c r="V79">
        <v>0</v>
      </c>
      <c r="W79">
        <v>839</v>
      </c>
      <c r="X79" t="s">
        <v>788</v>
      </c>
      <c r="Y79" t="s">
        <v>109</v>
      </c>
      <c r="AJ79">
        <v>754</v>
      </c>
      <c r="AK79" t="s">
        <v>773</v>
      </c>
      <c r="AL79" t="s">
        <v>774</v>
      </c>
      <c r="AM79" t="s">
        <v>163</v>
      </c>
      <c r="AO79">
        <v>1</v>
      </c>
      <c r="AT79">
        <v>0</v>
      </c>
      <c r="AU79">
        <v>2622.95</v>
      </c>
      <c r="AV79">
        <v>2859.02</v>
      </c>
      <c r="AW79">
        <v>0.09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324</v>
      </c>
      <c r="BD79" t="s">
        <v>775</v>
      </c>
      <c r="BE79" t="s">
        <v>109</v>
      </c>
      <c r="BG79" t="s">
        <v>776</v>
      </c>
      <c r="BI79" t="s">
        <v>777</v>
      </c>
      <c r="BK79" t="s">
        <v>778</v>
      </c>
      <c r="BL79" t="s">
        <v>779</v>
      </c>
      <c r="BQ79">
        <v>250</v>
      </c>
      <c r="BR79" t="s">
        <v>773</v>
      </c>
      <c r="BS79" t="s">
        <v>774</v>
      </c>
      <c r="BT79">
        <v>12</v>
      </c>
      <c r="BU79" t="s">
        <v>119</v>
      </c>
      <c r="BV79" t="s">
        <v>163</v>
      </c>
      <c r="BW79">
        <v>3608.8</v>
      </c>
      <c r="BX79">
        <v>3868.8</v>
      </c>
      <c r="BY79">
        <v>4216.99</v>
      </c>
      <c r="BZ79">
        <v>0.09</v>
      </c>
      <c r="CA79">
        <v>260</v>
      </c>
      <c r="CB79">
        <v>0</v>
      </c>
      <c r="CC79">
        <v>0</v>
      </c>
      <c r="CD79">
        <v>3608.8</v>
      </c>
      <c r="CE79" t="s">
        <v>121</v>
      </c>
      <c r="CF79">
        <v>1</v>
      </c>
      <c r="CG79">
        <v>1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O79">
        <v>1245.8499999999999</v>
      </c>
      <c r="CP79">
        <v>14950.2</v>
      </c>
      <c r="CQ79">
        <v>47.5</v>
      </c>
      <c r="CR79" t="s">
        <v>168</v>
      </c>
      <c r="CS79">
        <v>129</v>
      </c>
    </row>
    <row r="80" spans="1:97" x14ac:dyDescent="0.2">
      <c r="A80" t="s">
        <v>789</v>
      </c>
      <c r="B80">
        <v>99</v>
      </c>
      <c r="C80" t="s">
        <v>790</v>
      </c>
      <c r="D80" t="s">
        <v>791</v>
      </c>
      <c r="E80" t="s">
        <v>792</v>
      </c>
      <c r="F80" t="s">
        <v>126</v>
      </c>
      <c r="H80">
        <v>4</v>
      </c>
      <c r="I80">
        <v>4</v>
      </c>
      <c r="J80">
        <v>1</v>
      </c>
      <c r="K80" t="s">
        <v>127</v>
      </c>
      <c r="L80" t="s">
        <v>793</v>
      </c>
      <c r="M80" t="s">
        <v>137</v>
      </c>
      <c r="P80" t="s">
        <v>794</v>
      </c>
      <c r="Q80" t="s">
        <v>795</v>
      </c>
      <c r="R80" t="s">
        <v>796</v>
      </c>
      <c r="S80" t="s">
        <v>797</v>
      </c>
      <c r="T80">
        <v>2602.5</v>
      </c>
      <c r="U80">
        <v>250</v>
      </c>
      <c r="V80">
        <v>0</v>
      </c>
      <c r="AM80" t="s">
        <v>107</v>
      </c>
      <c r="BV80" t="s">
        <v>142</v>
      </c>
      <c r="CD80">
        <v>2602.5</v>
      </c>
      <c r="CO80">
        <v>0</v>
      </c>
      <c r="CP80">
        <v>0</v>
      </c>
      <c r="CR80" t="s">
        <v>143</v>
      </c>
      <c r="CS80">
        <v>0</v>
      </c>
    </row>
    <row r="81" spans="1:97" x14ac:dyDescent="0.2">
      <c r="A81" t="s">
        <v>798</v>
      </c>
      <c r="B81">
        <v>100</v>
      </c>
      <c r="C81" t="s">
        <v>799</v>
      </c>
      <c r="D81" t="s">
        <v>800</v>
      </c>
      <c r="E81" t="s">
        <v>312</v>
      </c>
      <c r="F81" t="s">
        <v>126</v>
      </c>
      <c r="H81">
        <v>2</v>
      </c>
      <c r="I81">
        <v>4</v>
      </c>
      <c r="J81">
        <v>1</v>
      </c>
      <c r="K81" t="s">
        <v>102</v>
      </c>
      <c r="L81" t="s">
        <v>801</v>
      </c>
      <c r="M81" t="s">
        <v>137</v>
      </c>
      <c r="P81" t="s">
        <v>802</v>
      </c>
      <c r="Q81" t="s">
        <v>803</v>
      </c>
      <c r="R81" t="s">
        <v>804</v>
      </c>
      <c r="S81" t="s">
        <v>805</v>
      </c>
      <c r="T81">
        <v>2166.65</v>
      </c>
      <c r="U81">
        <v>107.58</v>
      </c>
      <c r="V81">
        <v>0</v>
      </c>
      <c r="W81">
        <v>271</v>
      </c>
      <c r="X81" t="s">
        <v>806</v>
      </c>
      <c r="Y81" t="s">
        <v>109</v>
      </c>
      <c r="AA81" t="s">
        <v>807</v>
      </c>
      <c r="AB81" t="s">
        <v>808</v>
      </c>
      <c r="AC81" t="s">
        <v>809</v>
      </c>
      <c r="AE81" t="s">
        <v>252</v>
      </c>
      <c r="AF81" t="s">
        <v>115</v>
      </c>
      <c r="AI81" t="s">
        <v>810</v>
      </c>
      <c r="AJ81">
        <v>713</v>
      </c>
      <c r="AM81" t="s">
        <v>120</v>
      </c>
      <c r="AO81">
        <v>1</v>
      </c>
      <c r="AT81">
        <v>1300</v>
      </c>
      <c r="AU81">
        <v>1300</v>
      </c>
      <c r="AV81">
        <v>1417</v>
      </c>
      <c r="AW81">
        <v>0.09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17</v>
      </c>
      <c r="BD81" t="s">
        <v>108</v>
      </c>
      <c r="BE81" t="s">
        <v>109</v>
      </c>
      <c r="BG81" t="s">
        <v>110</v>
      </c>
      <c r="BH81" t="s">
        <v>111</v>
      </c>
      <c r="BI81" t="s">
        <v>112</v>
      </c>
      <c r="BJ81" t="s">
        <v>113</v>
      </c>
      <c r="BK81" t="s">
        <v>114</v>
      </c>
      <c r="BL81" t="s">
        <v>115</v>
      </c>
      <c r="BM81" t="s">
        <v>116</v>
      </c>
      <c r="BO81" t="s">
        <v>117</v>
      </c>
      <c r="BQ81">
        <v>205</v>
      </c>
      <c r="BR81" t="s">
        <v>773</v>
      </c>
      <c r="BU81" t="s">
        <v>216</v>
      </c>
      <c r="BV81" t="s">
        <v>120</v>
      </c>
      <c r="BW81">
        <v>1734.98</v>
      </c>
      <c r="BX81">
        <v>1734.98</v>
      </c>
      <c r="BY81">
        <v>1891.13</v>
      </c>
      <c r="BZ81">
        <v>0.09</v>
      </c>
      <c r="CA81">
        <v>0</v>
      </c>
      <c r="CB81">
        <v>0</v>
      </c>
      <c r="CC81">
        <v>0</v>
      </c>
      <c r="CD81">
        <v>2166.65</v>
      </c>
      <c r="CE81" t="s">
        <v>181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O81">
        <v>434.98</v>
      </c>
      <c r="CP81">
        <v>5219.76</v>
      </c>
      <c r="CQ81">
        <v>33.46</v>
      </c>
      <c r="CR81" t="s">
        <v>122</v>
      </c>
      <c r="CS81">
        <v>0</v>
      </c>
    </row>
    <row r="82" spans="1:97" x14ac:dyDescent="0.2">
      <c r="A82" t="s">
        <v>811</v>
      </c>
      <c r="B82">
        <v>101</v>
      </c>
      <c r="C82" t="s">
        <v>812</v>
      </c>
      <c r="D82" t="s">
        <v>813</v>
      </c>
      <c r="E82" t="s">
        <v>147</v>
      </c>
      <c r="F82" t="s">
        <v>101</v>
      </c>
      <c r="H82">
        <v>2</v>
      </c>
      <c r="I82">
        <v>4</v>
      </c>
      <c r="J82">
        <v>1</v>
      </c>
      <c r="K82" t="s">
        <v>102</v>
      </c>
      <c r="L82" t="s">
        <v>814</v>
      </c>
      <c r="M82" t="s">
        <v>137</v>
      </c>
      <c r="P82" t="s">
        <v>815</v>
      </c>
      <c r="Q82" t="s">
        <v>816</v>
      </c>
      <c r="R82" t="s">
        <v>817</v>
      </c>
      <c r="S82" t="s">
        <v>818</v>
      </c>
      <c r="T82">
        <v>2170</v>
      </c>
      <c r="U82">
        <v>553.95000000000005</v>
      </c>
      <c r="V82">
        <v>0</v>
      </c>
      <c r="W82">
        <v>271</v>
      </c>
      <c r="X82" t="s">
        <v>806</v>
      </c>
      <c r="Y82" t="s">
        <v>109</v>
      </c>
      <c r="AA82" t="s">
        <v>807</v>
      </c>
      <c r="AB82" t="s">
        <v>808</v>
      </c>
      <c r="AC82" t="s">
        <v>809</v>
      </c>
      <c r="AE82" t="s">
        <v>252</v>
      </c>
      <c r="AF82" t="s">
        <v>115</v>
      </c>
      <c r="AI82" t="s">
        <v>810</v>
      </c>
      <c r="AJ82">
        <v>755</v>
      </c>
      <c r="AM82" t="s">
        <v>120</v>
      </c>
      <c r="AO82">
        <v>1</v>
      </c>
      <c r="AT82">
        <v>0</v>
      </c>
      <c r="AU82">
        <v>1300</v>
      </c>
      <c r="AV82">
        <v>1417</v>
      </c>
      <c r="AW82">
        <v>0.09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17</v>
      </c>
      <c r="BD82" t="s">
        <v>108</v>
      </c>
      <c r="BE82" t="s">
        <v>109</v>
      </c>
      <c r="BG82" t="s">
        <v>110</v>
      </c>
      <c r="BH82" t="s">
        <v>111</v>
      </c>
      <c r="BI82" t="s">
        <v>112</v>
      </c>
      <c r="BJ82" t="s">
        <v>113</v>
      </c>
      <c r="BK82" t="s">
        <v>114</v>
      </c>
      <c r="BL82" t="s">
        <v>115</v>
      </c>
      <c r="BM82" t="s">
        <v>116</v>
      </c>
      <c r="BO82" t="s">
        <v>117</v>
      </c>
      <c r="BQ82">
        <v>251</v>
      </c>
      <c r="BR82" t="s">
        <v>819</v>
      </c>
      <c r="BU82" t="s">
        <v>216</v>
      </c>
      <c r="BV82" t="s">
        <v>120</v>
      </c>
      <c r="BW82">
        <v>2170</v>
      </c>
      <c r="BX82">
        <v>2420</v>
      </c>
      <c r="BY82">
        <v>2637.8</v>
      </c>
      <c r="BZ82">
        <v>0.09</v>
      </c>
      <c r="CA82">
        <v>250</v>
      </c>
      <c r="CB82">
        <v>0</v>
      </c>
      <c r="CC82">
        <v>250</v>
      </c>
      <c r="CD82">
        <v>2170</v>
      </c>
      <c r="CE82" t="s">
        <v>121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 t="s">
        <v>201</v>
      </c>
      <c r="CO82">
        <v>1120</v>
      </c>
      <c r="CP82">
        <v>13440</v>
      </c>
      <c r="CQ82">
        <v>86.15</v>
      </c>
      <c r="CR82" t="s">
        <v>122</v>
      </c>
      <c r="CS82">
        <v>0</v>
      </c>
    </row>
    <row r="83" spans="1:97" x14ac:dyDescent="0.2">
      <c r="A83" t="s">
        <v>820</v>
      </c>
      <c r="B83">
        <v>102</v>
      </c>
      <c r="C83" t="s">
        <v>821</v>
      </c>
      <c r="D83" t="s">
        <v>822</v>
      </c>
      <c r="E83" t="s">
        <v>823</v>
      </c>
      <c r="F83" t="s">
        <v>126</v>
      </c>
      <c r="H83">
        <v>3</v>
      </c>
      <c r="I83">
        <v>4</v>
      </c>
      <c r="J83">
        <v>1</v>
      </c>
      <c r="K83" t="s">
        <v>102</v>
      </c>
      <c r="P83" t="s">
        <v>824</v>
      </c>
      <c r="Q83" t="s">
        <v>825</v>
      </c>
      <c r="R83" t="s">
        <v>826</v>
      </c>
      <c r="S83" t="s">
        <v>827</v>
      </c>
      <c r="T83">
        <v>2394.3000000000002</v>
      </c>
      <c r="U83">
        <v>250</v>
      </c>
      <c r="V83">
        <v>0</v>
      </c>
      <c r="W83">
        <v>314</v>
      </c>
      <c r="X83" t="s">
        <v>828</v>
      </c>
      <c r="Y83" t="s">
        <v>109</v>
      </c>
      <c r="AA83" t="s">
        <v>829</v>
      </c>
      <c r="AB83" t="s">
        <v>830</v>
      </c>
      <c r="AC83" t="s">
        <v>821</v>
      </c>
      <c r="AE83" t="s">
        <v>823</v>
      </c>
      <c r="AF83" t="s">
        <v>115</v>
      </c>
      <c r="AJ83">
        <v>697</v>
      </c>
      <c r="AM83" t="s">
        <v>120</v>
      </c>
      <c r="AO83">
        <v>1</v>
      </c>
      <c r="AT83">
        <v>1872</v>
      </c>
      <c r="AU83">
        <v>1872</v>
      </c>
      <c r="AV83">
        <v>2040.48</v>
      </c>
      <c r="AW83">
        <v>0.09</v>
      </c>
      <c r="AX83">
        <v>0</v>
      </c>
      <c r="AY83">
        <v>0</v>
      </c>
      <c r="AZ83">
        <v>0</v>
      </c>
      <c r="BA83">
        <v>0</v>
      </c>
      <c r="BB83">
        <v>0</v>
      </c>
      <c r="BV83" t="s">
        <v>142</v>
      </c>
      <c r="CD83">
        <v>2394.3000000000002</v>
      </c>
      <c r="CO83">
        <v>-1872</v>
      </c>
      <c r="CP83">
        <v>-22464</v>
      </c>
      <c r="CQ83">
        <v>-100</v>
      </c>
      <c r="CR83" t="s">
        <v>143</v>
      </c>
      <c r="CS83">
        <v>0</v>
      </c>
    </row>
    <row r="84" spans="1:97" x14ac:dyDescent="0.2">
      <c r="A84" t="s">
        <v>831</v>
      </c>
      <c r="B84">
        <v>103</v>
      </c>
      <c r="C84" t="s">
        <v>832</v>
      </c>
      <c r="D84" t="s">
        <v>833</v>
      </c>
      <c r="E84" t="s">
        <v>205</v>
      </c>
      <c r="F84" t="s">
        <v>126</v>
      </c>
      <c r="H84">
        <v>6</v>
      </c>
      <c r="I84">
        <v>6</v>
      </c>
      <c r="J84">
        <v>1</v>
      </c>
      <c r="K84" t="s">
        <v>102</v>
      </c>
      <c r="L84" t="s">
        <v>834</v>
      </c>
      <c r="M84" t="s">
        <v>137</v>
      </c>
      <c r="P84" t="s">
        <v>835</v>
      </c>
      <c r="Q84" t="s">
        <v>836</v>
      </c>
      <c r="R84" t="s">
        <v>837</v>
      </c>
      <c r="S84" t="s">
        <v>838</v>
      </c>
      <c r="T84">
        <v>2575</v>
      </c>
      <c r="U84">
        <v>350</v>
      </c>
      <c r="V84">
        <v>0</v>
      </c>
      <c r="AM84" t="s">
        <v>107</v>
      </c>
      <c r="BV84" t="s">
        <v>142</v>
      </c>
      <c r="CD84">
        <v>2575</v>
      </c>
      <c r="CO84">
        <v>0</v>
      </c>
      <c r="CP84">
        <v>0</v>
      </c>
      <c r="CR84" t="s">
        <v>143</v>
      </c>
      <c r="CS84">
        <v>0</v>
      </c>
    </row>
    <row r="85" spans="1:97" x14ac:dyDescent="0.2">
      <c r="A85" t="s">
        <v>839</v>
      </c>
      <c r="B85">
        <v>104</v>
      </c>
      <c r="C85" t="s">
        <v>840</v>
      </c>
      <c r="D85" t="s">
        <v>841</v>
      </c>
      <c r="E85" t="s">
        <v>842</v>
      </c>
      <c r="F85" t="s">
        <v>126</v>
      </c>
      <c r="H85">
        <v>4</v>
      </c>
      <c r="I85">
        <v>4</v>
      </c>
      <c r="J85">
        <v>1</v>
      </c>
      <c r="K85" t="s">
        <v>102</v>
      </c>
      <c r="L85" t="s">
        <v>843</v>
      </c>
      <c r="M85" t="s">
        <v>313</v>
      </c>
      <c r="T85">
        <v>2250</v>
      </c>
      <c r="U85">
        <v>200</v>
      </c>
      <c r="V85">
        <v>0</v>
      </c>
      <c r="AM85" t="s">
        <v>107</v>
      </c>
      <c r="BV85" t="s">
        <v>142</v>
      </c>
      <c r="CD85">
        <v>2250</v>
      </c>
      <c r="CO85">
        <v>0</v>
      </c>
      <c r="CP85">
        <v>0</v>
      </c>
      <c r="CR85" t="s">
        <v>143</v>
      </c>
      <c r="CS85">
        <v>0</v>
      </c>
    </row>
    <row r="86" spans="1:97" x14ac:dyDescent="0.2">
      <c r="A86" t="s">
        <v>844</v>
      </c>
      <c r="B86">
        <v>105</v>
      </c>
      <c r="C86" t="s">
        <v>845</v>
      </c>
      <c r="D86" t="s">
        <v>846</v>
      </c>
      <c r="E86" t="s">
        <v>847</v>
      </c>
      <c r="F86" t="s">
        <v>126</v>
      </c>
      <c r="H86">
        <v>2</v>
      </c>
      <c r="I86">
        <v>4</v>
      </c>
      <c r="J86">
        <v>1</v>
      </c>
      <c r="K86" t="s">
        <v>102</v>
      </c>
      <c r="M86" t="s">
        <v>137</v>
      </c>
      <c r="P86" t="s">
        <v>848</v>
      </c>
      <c r="Q86" t="s">
        <v>849</v>
      </c>
      <c r="R86" t="s">
        <v>850</v>
      </c>
      <c r="S86" t="s">
        <v>851</v>
      </c>
      <c r="T86">
        <v>2250</v>
      </c>
      <c r="U86">
        <v>250</v>
      </c>
      <c r="V86">
        <v>0</v>
      </c>
      <c r="AM86" t="s">
        <v>107</v>
      </c>
      <c r="BV86" t="s">
        <v>142</v>
      </c>
      <c r="CD86">
        <v>2250</v>
      </c>
      <c r="CO86">
        <v>0</v>
      </c>
      <c r="CP86">
        <v>0</v>
      </c>
      <c r="CR86" t="s">
        <v>143</v>
      </c>
      <c r="CS86">
        <v>0</v>
      </c>
    </row>
    <row r="87" spans="1:97" x14ac:dyDescent="0.2">
      <c r="A87" t="s">
        <v>852</v>
      </c>
      <c r="B87">
        <v>106</v>
      </c>
      <c r="C87" t="s">
        <v>853</v>
      </c>
      <c r="D87" t="s">
        <v>854</v>
      </c>
      <c r="E87" t="s">
        <v>855</v>
      </c>
      <c r="F87" t="s">
        <v>126</v>
      </c>
      <c r="H87">
        <v>3</v>
      </c>
      <c r="I87">
        <v>3</v>
      </c>
      <c r="J87">
        <v>1</v>
      </c>
      <c r="K87" t="s">
        <v>127</v>
      </c>
      <c r="L87" t="s">
        <v>856</v>
      </c>
      <c r="M87" t="s">
        <v>137</v>
      </c>
      <c r="P87" t="s">
        <v>857</v>
      </c>
      <c r="Q87" t="s">
        <v>858</v>
      </c>
      <c r="R87" t="s">
        <v>859</v>
      </c>
      <c r="S87" t="s">
        <v>860</v>
      </c>
      <c r="T87">
        <v>2400</v>
      </c>
      <c r="U87">
        <v>200</v>
      </c>
      <c r="V87">
        <v>0</v>
      </c>
      <c r="AM87" t="s">
        <v>107</v>
      </c>
      <c r="BV87" t="s">
        <v>142</v>
      </c>
      <c r="CD87">
        <v>2400</v>
      </c>
      <c r="CO87">
        <v>0</v>
      </c>
      <c r="CP87">
        <v>0</v>
      </c>
      <c r="CR87" t="s">
        <v>143</v>
      </c>
      <c r="CS87">
        <v>0</v>
      </c>
    </row>
    <row r="88" spans="1:97" x14ac:dyDescent="0.2">
      <c r="A88" t="s">
        <v>861</v>
      </c>
      <c r="B88">
        <v>107</v>
      </c>
      <c r="C88" t="s">
        <v>862</v>
      </c>
      <c r="D88" t="s">
        <v>863</v>
      </c>
      <c r="E88" t="s">
        <v>186</v>
      </c>
      <c r="F88" t="s">
        <v>126</v>
      </c>
      <c r="H88">
        <v>6</v>
      </c>
      <c r="I88">
        <v>7</v>
      </c>
      <c r="J88">
        <v>1</v>
      </c>
      <c r="K88" t="s">
        <v>127</v>
      </c>
      <c r="L88" t="s">
        <v>864</v>
      </c>
      <c r="M88" t="s">
        <v>137</v>
      </c>
      <c r="P88" t="s">
        <v>865</v>
      </c>
      <c r="Q88" t="s">
        <v>866</v>
      </c>
      <c r="R88" t="s">
        <v>867</v>
      </c>
      <c r="S88" t="s">
        <v>868</v>
      </c>
      <c r="T88">
        <v>4000</v>
      </c>
      <c r="U88">
        <v>550</v>
      </c>
      <c r="V88">
        <v>0</v>
      </c>
      <c r="W88">
        <v>175</v>
      </c>
      <c r="X88" t="s">
        <v>516</v>
      </c>
      <c r="Y88" t="s">
        <v>109</v>
      </c>
      <c r="AA88" t="s">
        <v>517</v>
      </c>
      <c r="AC88" t="s">
        <v>518</v>
      </c>
      <c r="AE88" t="s">
        <v>519</v>
      </c>
      <c r="AF88" t="s">
        <v>115</v>
      </c>
      <c r="AI88" t="s">
        <v>520</v>
      </c>
      <c r="AJ88">
        <v>643</v>
      </c>
      <c r="AK88" t="s">
        <v>521</v>
      </c>
      <c r="AL88" t="s">
        <v>522</v>
      </c>
      <c r="AM88" t="s">
        <v>163</v>
      </c>
      <c r="AO88">
        <v>1</v>
      </c>
      <c r="AT88">
        <v>3555.36</v>
      </c>
      <c r="AU88">
        <v>3555.36</v>
      </c>
      <c r="AV88">
        <v>3875.34</v>
      </c>
      <c r="AW88">
        <v>0.09</v>
      </c>
      <c r="AX88">
        <v>0</v>
      </c>
      <c r="AY88">
        <v>0</v>
      </c>
      <c r="AZ88">
        <v>0</v>
      </c>
      <c r="BA88">
        <v>0</v>
      </c>
      <c r="BB88">
        <v>0</v>
      </c>
      <c r="BV88" t="s">
        <v>142</v>
      </c>
      <c r="CD88">
        <v>4000</v>
      </c>
      <c r="CO88">
        <v>-3555.36</v>
      </c>
      <c r="CP88">
        <v>-42664.32</v>
      </c>
      <c r="CQ88">
        <v>-100</v>
      </c>
      <c r="CR88" t="s">
        <v>143</v>
      </c>
      <c r="CS88">
        <v>0</v>
      </c>
    </row>
    <row r="89" spans="1:97" x14ac:dyDescent="0.2">
      <c r="A89" t="s">
        <v>869</v>
      </c>
      <c r="B89">
        <v>108</v>
      </c>
      <c r="C89" t="s">
        <v>870</v>
      </c>
      <c r="D89" t="s">
        <v>871</v>
      </c>
      <c r="E89" t="s">
        <v>872</v>
      </c>
      <c r="F89" t="s">
        <v>126</v>
      </c>
      <c r="H89">
        <v>4</v>
      </c>
      <c r="I89">
        <v>6</v>
      </c>
      <c r="J89">
        <v>1</v>
      </c>
      <c r="K89" t="s">
        <v>102</v>
      </c>
      <c r="L89" t="s">
        <v>873</v>
      </c>
      <c r="M89" t="s">
        <v>137</v>
      </c>
      <c r="P89" t="s">
        <v>874</v>
      </c>
      <c r="Q89" t="s">
        <v>875</v>
      </c>
      <c r="R89" t="s">
        <v>876</v>
      </c>
      <c r="S89" t="s">
        <v>877</v>
      </c>
      <c r="T89">
        <v>3250</v>
      </c>
      <c r="U89">
        <v>350</v>
      </c>
      <c r="V89">
        <v>0</v>
      </c>
      <c r="AM89" t="s">
        <v>107</v>
      </c>
      <c r="BV89" t="s">
        <v>142</v>
      </c>
      <c r="CD89">
        <v>3250</v>
      </c>
      <c r="CO89">
        <v>0</v>
      </c>
      <c r="CP89">
        <v>0</v>
      </c>
      <c r="CR89" t="s">
        <v>143</v>
      </c>
      <c r="CS89">
        <v>0</v>
      </c>
    </row>
    <row r="90" spans="1:97" x14ac:dyDescent="0.2">
      <c r="A90" t="s">
        <v>878</v>
      </c>
      <c r="B90">
        <v>109</v>
      </c>
      <c r="C90" t="s">
        <v>879</v>
      </c>
      <c r="D90" t="s">
        <v>378</v>
      </c>
      <c r="E90" t="s">
        <v>147</v>
      </c>
      <c r="F90" t="s">
        <v>101</v>
      </c>
      <c r="H90">
        <v>3</v>
      </c>
      <c r="I90">
        <v>5</v>
      </c>
      <c r="J90">
        <v>1</v>
      </c>
      <c r="K90" t="s">
        <v>102</v>
      </c>
      <c r="P90" t="s">
        <v>880</v>
      </c>
      <c r="Q90" t="s">
        <v>881</v>
      </c>
      <c r="R90" t="s">
        <v>882</v>
      </c>
      <c r="S90" t="s">
        <v>883</v>
      </c>
      <c r="T90">
        <v>2593.81</v>
      </c>
      <c r="U90">
        <v>151.41</v>
      </c>
      <c r="V90">
        <v>0</v>
      </c>
      <c r="AM90" t="s">
        <v>107</v>
      </c>
      <c r="BV90" t="s">
        <v>142</v>
      </c>
      <c r="CD90">
        <v>2593.81</v>
      </c>
      <c r="CO90">
        <v>0</v>
      </c>
      <c r="CP90">
        <v>0</v>
      </c>
      <c r="CR90" t="s">
        <v>143</v>
      </c>
      <c r="CS90">
        <v>0</v>
      </c>
    </row>
    <row r="91" spans="1:97" x14ac:dyDescent="0.2">
      <c r="A91" t="s">
        <v>884</v>
      </c>
      <c r="B91">
        <v>110</v>
      </c>
      <c r="C91" t="s">
        <v>885</v>
      </c>
      <c r="D91" t="s">
        <v>886</v>
      </c>
      <c r="E91" t="s">
        <v>272</v>
      </c>
      <c r="F91" t="s">
        <v>126</v>
      </c>
      <c r="H91">
        <v>2</v>
      </c>
      <c r="I91">
        <v>2</v>
      </c>
      <c r="J91">
        <v>1</v>
      </c>
      <c r="K91" t="s">
        <v>102</v>
      </c>
      <c r="P91" t="s">
        <v>887</v>
      </c>
      <c r="Q91" t="s">
        <v>888</v>
      </c>
      <c r="R91" t="s">
        <v>889</v>
      </c>
      <c r="S91" t="s">
        <v>890</v>
      </c>
      <c r="T91">
        <v>1650</v>
      </c>
      <c r="U91">
        <v>120</v>
      </c>
      <c r="V91">
        <v>0</v>
      </c>
      <c r="W91">
        <v>795</v>
      </c>
      <c r="X91" t="s">
        <v>891</v>
      </c>
      <c r="Y91" t="s">
        <v>109</v>
      </c>
      <c r="AA91" t="s">
        <v>892</v>
      </c>
      <c r="AB91" t="s">
        <v>893</v>
      </c>
      <c r="AJ91">
        <v>744</v>
      </c>
      <c r="AK91" t="s">
        <v>773</v>
      </c>
      <c r="AL91" t="s">
        <v>774</v>
      </c>
      <c r="AM91" t="s">
        <v>163</v>
      </c>
      <c r="AO91">
        <v>1</v>
      </c>
      <c r="AT91">
        <v>0</v>
      </c>
      <c r="AW91">
        <v>0.09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290</v>
      </c>
      <c r="BD91" t="s">
        <v>894</v>
      </c>
      <c r="BE91" t="s">
        <v>109</v>
      </c>
      <c r="BG91" t="s">
        <v>895</v>
      </c>
      <c r="BH91" t="s">
        <v>896</v>
      </c>
      <c r="BI91" t="s">
        <v>897</v>
      </c>
      <c r="BK91" t="s">
        <v>898</v>
      </c>
      <c r="BL91" t="s">
        <v>115</v>
      </c>
      <c r="BM91" t="s">
        <v>899</v>
      </c>
      <c r="BQ91">
        <v>240</v>
      </c>
      <c r="BR91" t="s">
        <v>773</v>
      </c>
      <c r="BS91" t="s">
        <v>774</v>
      </c>
      <c r="BT91">
        <v>3</v>
      </c>
      <c r="BU91" t="s">
        <v>119</v>
      </c>
      <c r="BV91" t="s">
        <v>163</v>
      </c>
      <c r="BW91">
        <v>0</v>
      </c>
      <c r="BX91">
        <v>120</v>
      </c>
      <c r="BY91">
        <v>130.80000000000001</v>
      </c>
      <c r="BZ91">
        <v>0.09</v>
      </c>
      <c r="CA91">
        <v>120</v>
      </c>
      <c r="CB91">
        <v>0</v>
      </c>
      <c r="CC91">
        <v>250</v>
      </c>
      <c r="CD91">
        <v>1650</v>
      </c>
      <c r="CE91" t="s">
        <v>121</v>
      </c>
      <c r="CF91">
        <v>1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0</v>
      </c>
      <c r="CN91" t="s">
        <v>201</v>
      </c>
      <c r="CO91">
        <v>120</v>
      </c>
      <c r="CP91">
        <v>1440</v>
      </c>
      <c r="CR91" t="s">
        <v>168</v>
      </c>
      <c r="CS91">
        <v>129</v>
      </c>
    </row>
    <row r="92" spans="1:97" x14ac:dyDescent="0.2">
      <c r="A92" t="s">
        <v>900</v>
      </c>
      <c r="B92">
        <v>111</v>
      </c>
      <c r="C92" t="s">
        <v>901</v>
      </c>
      <c r="D92" t="s">
        <v>902</v>
      </c>
      <c r="E92" t="s">
        <v>903</v>
      </c>
      <c r="F92" t="s">
        <v>101</v>
      </c>
      <c r="H92">
        <v>3</v>
      </c>
      <c r="I92">
        <v>4</v>
      </c>
      <c r="J92">
        <v>1</v>
      </c>
      <c r="K92" t="s">
        <v>127</v>
      </c>
      <c r="P92" t="s">
        <v>904</v>
      </c>
      <c r="Q92" t="s">
        <v>905</v>
      </c>
      <c r="R92" t="s">
        <v>906</v>
      </c>
      <c r="S92" t="s">
        <v>907</v>
      </c>
      <c r="T92">
        <v>2855.46</v>
      </c>
      <c r="U92">
        <v>200</v>
      </c>
      <c r="V92">
        <v>0</v>
      </c>
      <c r="AM92" t="s">
        <v>107</v>
      </c>
      <c r="BV92" t="s">
        <v>142</v>
      </c>
      <c r="CD92">
        <v>2855.46</v>
      </c>
      <c r="CO92">
        <v>0</v>
      </c>
      <c r="CP92">
        <v>0</v>
      </c>
      <c r="CR92" t="s">
        <v>143</v>
      </c>
      <c r="CS92">
        <v>0</v>
      </c>
    </row>
    <row r="93" spans="1:97" x14ac:dyDescent="0.2">
      <c r="A93" t="s">
        <v>908</v>
      </c>
      <c r="B93">
        <v>112</v>
      </c>
      <c r="C93" t="s">
        <v>909</v>
      </c>
      <c r="D93" t="s">
        <v>910</v>
      </c>
      <c r="E93" t="s">
        <v>186</v>
      </c>
      <c r="F93" t="s">
        <v>126</v>
      </c>
      <c r="H93">
        <v>5</v>
      </c>
      <c r="I93">
        <v>5</v>
      </c>
      <c r="J93">
        <v>1</v>
      </c>
      <c r="K93" t="s">
        <v>127</v>
      </c>
      <c r="L93" t="s">
        <v>911</v>
      </c>
      <c r="M93" t="s">
        <v>137</v>
      </c>
      <c r="P93" t="s">
        <v>912</v>
      </c>
      <c r="Q93" t="s">
        <v>913</v>
      </c>
      <c r="R93" t="s">
        <v>914</v>
      </c>
      <c r="S93" t="s">
        <v>915</v>
      </c>
      <c r="T93">
        <v>2914.8</v>
      </c>
      <c r="U93">
        <v>300</v>
      </c>
      <c r="V93">
        <v>0</v>
      </c>
      <c r="AM93" t="s">
        <v>107</v>
      </c>
      <c r="BV93" t="s">
        <v>142</v>
      </c>
      <c r="CD93">
        <v>2914.8</v>
      </c>
      <c r="CO93">
        <v>0</v>
      </c>
      <c r="CP93">
        <v>0</v>
      </c>
      <c r="CR93" t="s">
        <v>143</v>
      </c>
      <c r="CS93">
        <v>0</v>
      </c>
    </row>
    <row r="94" spans="1:97" x14ac:dyDescent="0.2">
      <c r="A94" t="s">
        <v>916</v>
      </c>
      <c r="B94">
        <v>113</v>
      </c>
      <c r="C94" t="s">
        <v>917</v>
      </c>
      <c r="D94" t="s">
        <v>918</v>
      </c>
      <c r="E94" t="s">
        <v>919</v>
      </c>
      <c r="F94" t="s">
        <v>126</v>
      </c>
      <c r="H94">
        <v>5</v>
      </c>
      <c r="I94">
        <v>8</v>
      </c>
      <c r="J94">
        <v>1</v>
      </c>
      <c r="K94" t="s">
        <v>102</v>
      </c>
      <c r="L94" t="s">
        <v>920</v>
      </c>
      <c r="M94" t="s">
        <v>137</v>
      </c>
      <c r="P94" t="s">
        <v>921</v>
      </c>
      <c r="Q94" t="s">
        <v>922</v>
      </c>
      <c r="R94" t="s">
        <v>923</v>
      </c>
      <c r="T94">
        <v>3643.5</v>
      </c>
      <c r="U94">
        <v>433.33</v>
      </c>
      <c r="V94">
        <v>0</v>
      </c>
      <c r="AM94" t="s">
        <v>107</v>
      </c>
      <c r="BV94" t="s">
        <v>142</v>
      </c>
      <c r="CD94">
        <v>3643.5</v>
      </c>
      <c r="CO94">
        <v>0</v>
      </c>
      <c r="CP94">
        <v>0</v>
      </c>
      <c r="CR94" t="s">
        <v>143</v>
      </c>
      <c r="CS94">
        <v>0</v>
      </c>
    </row>
    <row r="95" spans="1:97" x14ac:dyDescent="0.2">
      <c r="A95" t="s">
        <v>924</v>
      </c>
      <c r="B95">
        <v>114</v>
      </c>
      <c r="C95" t="s">
        <v>925</v>
      </c>
      <c r="D95" t="s">
        <v>926</v>
      </c>
      <c r="E95" t="s">
        <v>312</v>
      </c>
      <c r="F95" t="s">
        <v>101</v>
      </c>
      <c r="H95">
        <v>4</v>
      </c>
      <c r="I95">
        <v>4</v>
      </c>
      <c r="J95">
        <v>1</v>
      </c>
      <c r="K95" t="s">
        <v>102</v>
      </c>
      <c r="L95" t="s">
        <v>927</v>
      </c>
      <c r="M95" t="s">
        <v>137</v>
      </c>
      <c r="T95">
        <v>2602.5</v>
      </c>
      <c r="U95">
        <v>100</v>
      </c>
      <c r="V95">
        <v>0</v>
      </c>
      <c r="AM95" t="s">
        <v>107</v>
      </c>
      <c r="BV95" t="s">
        <v>142</v>
      </c>
      <c r="CD95">
        <v>2602.5</v>
      </c>
      <c r="CO95">
        <v>0</v>
      </c>
      <c r="CP95">
        <v>0</v>
      </c>
      <c r="CR95" t="s">
        <v>143</v>
      </c>
      <c r="CS95">
        <v>0</v>
      </c>
    </row>
    <row r="96" spans="1:97" x14ac:dyDescent="0.2">
      <c r="A96" t="s">
        <v>928</v>
      </c>
      <c r="B96">
        <v>115</v>
      </c>
      <c r="C96" t="s">
        <v>929</v>
      </c>
      <c r="D96" t="s">
        <v>926</v>
      </c>
      <c r="E96" t="s">
        <v>312</v>
      </c>
      <c r="F96" t="s">
        <v>101</v>
      </c>
      <c r="H96">
        <v>4</v>
      </c>
      <c r="I96">
        <v>6</v>
      </c>
      <c r="J96">
        <v>1</v>
      </c>
      <c r="K96" t="s">
        <v>102</v>
      </c>
      <c r="L96" t="s">
        <v>930</v>
      </c>
      <c r="M96" t="s">
        <v>137</v>
      </c>
      <c r="T96">
        <v>3426.56</v>
      </c>
      <c r="U96">
        <v>0</v>
      </c>
      <c r="V96">
        <v>0</v>
      </c>
      <c r="AM96" t="s">
        <v>107</v>
      </c>
      <c r="BV96" t="s">
        <v>142</v>
      </c>
      <c r="CD96">
        <v>3426.56</v>
      </c>
      <c r="CO96">
        <v>0</v>
      </c>
      <c r="CP96">
        <v>0</v>
      </c>
      <c r="CR96" t="s">
        <v>143</v>
      </c>
      <c r="CS96">
        <v>0</v>
      </c>
    </row>
    <row r="97" spans="1:97" x14ac:dyDescent="0.2">
      <c r="A97" t="s">
        <v>931</v>
      </c>
      <c r="B97">
        <v>116</v>
      </c>
      <c r="C97" t="s">
        <v>932</v>
      </c>
      <c r="D97" t="s">
        <v>933</v>
      </c>
      <c r="E97" t="s">
        <v>272</v>
      </c>
      <c r="F97" t="s">
        <v>101</v>
      </c>
      <c r="H97">
        <v>2</v>
      </c>
      <c r="I97">
        <v>3</v>
      </c>
      <c r="J97">
        <v>1</v>
      </c>
      <c r="K97" t="s">
        <v>102</v>
      </c>
      <c r="P97" t="s">
        <v>934</v>
      </c>
      <c r="Q97" t="s">
        <v>935</v>
      </c>
      <c r="R97" t="s">
        <v>936</v>
      </c>
      <c r="S97" t="s">
        <v>937</v>
      </c>
      <c r="T97">
        <v>1993.32</v>
      </c>
      <c r="U97">
        <v>58.43</v>
      </c>
      <c r="V97">
        <v>0</v>
      </c>
      <c r="W97">
        <v>295</v>
      </c>
      <c r="X97" t="s">
        <v>938</v>
      </c>
      <c r="Y97" t="s">
        <v>109</v>
      </c>
      <c r="AA97" t="s">
        <v>939</v>
      </c>
      <c r="AB97" t="s">
        <v>940</v>
      </c>
      <c r="AC97" t="s">
        <v>941</v>
      </c>
      <c r="AE97" t="s">
        <v>942</v>
      </c>
      <c r="AF97" t="s">
        <v>115</v>
      </c>
      <c r="AJ97">
        <v>584</v>
      </c>
      <c r="AM97" t="s">
        <v>120</v>
      </c>
      <c r="AO97">
        <v>1</v>
      </c>
      <c r="AT97">
        <v>0</v>
      </c>
      <c r="AU97">
        <v>894</v>
      </c>
      <c r="AV97">
        <v>974.46</v>
      </c>
      <c r="AW97">
        <v>0.09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17</v>
      </c>
      <c r="BD97" t="s">
        <v>108</v>
      </c>
      <c r="BE97" t="s">
        <v>109</v>
      </c>
      <c r="BG97" t="s">
        <v>110</v>
      </c>
      <c r="BH97" t="s">
        <v>111</v>
      </c>
      <c r="BI97" t="s">
        <v>112</v>
      </c>
      <c r="BJ97" t="s">
        <v>113</v>
      </c>
      <c r="BK97" t="s">
        <v>114</v>
      </c>
      <c r="BL97" t="s">
        <v>115</v>
      </c>
      <c r="BM97" t="s">
        <v>116</v>
      </c>
      <c r="BO97" t="s">
        <v>117</v>
      </c>
      <c r="BQ97">
        <v>69</v>
      </c>
      <c r="BR97" t="s">
        <v>481</v>
      </c>
      <c r="BU97" t="s">
        <v>216</v>
      </c>
      <c r="BV97" t="s">
        <v>120</v>
      </c>
      <c r="BW97">
        <v>1993.32</v>
      </c>
      <c r="BX97">
        <v>1993.32</v>
      </c>
      <c r="BY97">
        <v>2172.7199999999998</v>
      </c>
      <c r="BZ97">
        <v>0.09</v>
      </c>
      <c r="CA97">
        <v>58.43</v>
      </c>
      <c r="CB97">
        <v>25.1</v>
      </c>
      <c r="CC97">
        <v>250</v>
      </c>
      <c r="CD97">
        <v>1993.32</v>
      </c>
      <c r="CE97" t="s">
        <v>181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 t="s">
        <v>201</v>
      </c>
      <c r="CO97">
        <v>1099.32</v>
      </c>
      <c r="CP97">
        <v>13191.84</v>
      </c>
      <c r="CQ97">
        <v>122.97</v>
      </c>
      <c r="CR97" t="s">
        <v>122</v>
      </c>
      <c r="CS97">
        <v>0</v>
      </c>
    </row>
    <row r="98" spans="1:97" x14ac:dyDescent="0.2">
      <c r="A98" t="s">
        <v>943</v>
      </c>
      <c r="B98">
        <v>117</v>
      </c>
      <c r="C98" t="s">
        <v>944</v>
      </c>
      <c r="D98" t="s">
        <v>945</v>
      </c>
      <c r="E98" t="s">
        <v>946</v>
      </c>
      <c r="F98" t="s">
        <v>126</v>
      </c>
      <c r="H98">
        <v>4</v>
      </c>
      <c r="J98">
        <v>1</v>
      </c>
      <c r="K98" t="s">
        <v>102</v>
      </c>
      <c r="L98" t="s">
        <v>947</v>
      </c>
      <c r="M98" t="s">
        <v>313</v>
      </c>
      <c r="T98">
        <v>2375</v>
      </c>
      <c r="U98">
        <v>250</v>
      </c>
      <c r="V98">
        <v>0</v>
      </c>
      <c r="AM98" t="s">
        <v>107</v>
      </c>
      <c r="BV98" t="s">
        <v>142</v>
      </c>
      <c r="CD98">
        <v>2375</v>
      </c>
      <c r="CO98">
        <v>0</v>
      </c>
      <c r="CP98">
        <v>0</v>
      </c>
      <c r="CR98" t="s">
        <v>143</v>
      </c>
      <c r="CS98">
        <v>0</v>
      </c>
    </row>
    <row r="99" spans="1:97" x14ac:dyDescent="0.2">
      <c r="A99" t="s">
        <v>948</v>
      </c>
      <c r="B99">
        <v>118</v>
      </c>
      <c r="C99" t="s">
        <v>949</v>
      </c>
      <c r="D99" t="s">
        <v>950</v>
      </c>
      <c r="E99" t="s">
        <v>951</v>
      </c>
      <c r="F99" t="s">
        <v>126</v>
      </c>
      <c r="H99">
        <v>7</v>
      </c>
      <c r="I99">
        <v>7</v>
      </c>
      <c r="J99">
        <v>1</v>
      </c>
      <c r="K99" t="s">
        <v>127</v>
      </c>
      <c r="L99" t="s">
        <v>952</v>
      </c>
      <c r="M99" t="s">
        <v>137</v>
      </c>
      <c r="T99">
        <v>3850</v>
      </c>
      <c r="U99">
        <v>450</v>
      </c>
      <c r="V99">
        <v>0</v>
      </c>
      <c r="W99">
        <v>302</v>
      </c>
      <c r="X99" t="s">
        <v>953</v>
      </c>
      <c r="Y99" t="s">
        <v>109</v>
      </c>
      <c r="AA99" t="s">
        <v>954</v>
      </c>
      <c r="AF99" t="s">
        <v>115</v>
      </c>
      <c r="AI99" t="s">
        <v>955</v>
      </c>
      <c r="AJ99">
        <v>563</v>
      </c>
      <c r="AK99" t="s">
        <v>956</v>
      </c>
      <c r="AL99" t="s">
        <v>957</v>
      </c>
      <c r="AM99" t="s">
        <v>163</v>
      </c>
      <c r="AO99">
        <v>1</v>
      </c>
      <c r="AT99">
        <v>2582.5</v>
      </c>
      <c r="AU99">
        <v>2607.5</v>
      </c>
      <c r="AV99">
        <v>2842.18</v>
      </c>
      <c r="AW99">
        <v>0.09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17</v>
      </c>
      <c r="BD99" t="s">
        <v>108</v>
      </c>
      <c r="BE99" t="s">
        <v>109</v>
      </c>
      <c r="BG99" t="s">
        <v>110</v>
      </c>
      <c r="BH99" t="s">
        <v>111</v>
      </c>
      <c r="BI99" t="s">
        <v>112</v>
      </c>
      <c r="BJ99" t="s">
        <v>113</v>
      </c>
      <c r="BK99" t="s">
        <v>114</v>
      </c>
      <c r="BL99" t="s">
        <v>115</v>
      </c>
      <c r="BM99" t="s">
        <v>116</v>
      </c>
      <c r="BO99" t="s">
        <v>117</v>
      </c>
      <c r="BQ99">
        <v>46</v>
      </c>
      <c r="BR99" t="s">
        <v>956</v>
      </c>
      <c r="BS99" t="s">
        <v>957</v>
      </c>
      <c r="BU99" t="s">
        <v>216</v>
      </c>
      <c r="BV99" t="s">
        <v>163</v>
      </c>
      <c r="BW99">
        <v>3550</v>
      </c>
      <c r="BX99">
        <v>4000</v>
      </c>
      <c r="BY99">
        <v>4360</v>
      </c>
      <c r="BZ99">
        <v>0.09</v>
      </c>
      <c r="CA99">
        <v>450</v>
      </c>
      <c r="CB99">
        <v>0</v>
      </c>
      <c r="CC99">
        <v>375</v>
      </c>
      <c r="CD99">
        <v>3850</v>
      </c>
      <c r="CE99" t="s">
        <v>121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 t="s">
        <v>182</v>
      </c>
      <c r="CO99">
        <v>1392.5</v>
      </c>
      <c r="CP99">
        <v>16710</v>
      </c>
      <c r="CQ99">
        <v>53.4</v>
      </c>
      <c r="CR99" t="s">
        <v>168</v>
      </c>
      <c r="CS99">
        <v>98</v>
      </c>
    </row>
    <row r="100" spans="1:97" x14ac:dyDescent="0.2">
      <c r="A100" t="s">
        <v>958</v>
      </c>
      <c r="B100">
        <v>119</v>
      </c>
      <c r="C100" t="s">
        <v>959</v>
      </c>
      <c r="D100" t="s">
        <v>960</v>
      </c>
      <c r="E100" t="s">
        <v>100</v>
      </c>
      <c r="F100" t="s">
        <v>126</v>
      </c>
      <c r="H100">
        <v>4</v>
      </c>
      <c r="I100">
        <v>4</v>
      </c>
      <c r="J100">
        <v>1</v>
      </c>
      <c r="K100" t="s">
        <v>127</v>
      </c>
      <c r="P100" t="s">
        <v>961</v>
      </c>
      <c r="Q100" t="s">
        <v>962</v>
      </c>
      <c r="R100" t="s">
        <v>963</v>
      </c>
      <c r="S100" t="s">
        <v>964</v>
      </c>
      <c r="T100">
        <v>3250</v>
      </c>
      <c r="U100">
        <v>200</v>
      </c>
      <c r="V100">
        <v>0</v>
      </c>
      <c r="AM100" t="s">
        <v>107</v>
      </c>
      <c r="BV100" t="s">
        <v>142</v>
      </c>
      <c r="CD100">
        <v>3250</v>
      </c>
      <c r="CO100">
        <v>0</v>
      </c>
      <c r="CP100">
        <v>0</v>
      </c>
      <c r="CR100" t="s">
        <v>143</v>
      </c>
      <c r="CS100">
        <v>0</v>
      </c>
    </row>
    <row r="101" spans="1:97" x14ac:dyDescent="0.2">
      <c r="A101" t="s">
        <v>965</v>
      </c>
      <c r="B101">
        <v>120</v>
      </c>
      <c r="C101" t="s">
        <v>966</v>
      </c>
      <c r="D101" t="s">
        <v>967</v>
      </c>
      <c r="E101" t="s">
        <v>252</v>
      </c>
      <c r="F101" t="s">
        <v>126</v>
      </c>
      <c r="H101">
        <v>3</v>
      </c>
      <c r="I101">
        <v>6</v>
      </c>
      <c r="J101">
        <v>1</v>
      </c>
      <c r="K101" t="s">
        <v>102</v>
      </c>
      <c r="L101" t="s">
        <v>968</v>
      </c>
      <c r="M101" t="s">
        <v>137</v>
      </c>
      <c r="P101" t="s">
        <v>969</v>
      </c>
      <c r="Q101" t="s">
        <v>970</v>
      </c>
      <c r="R101" t="s">
        <v>971</v>
      </c>
      <c r="S101" t="s">
        <v>972</v>
      </c>
      <c r="T101">
        <v>3383.25</v>
      </c>
      <c r="U101">
        <v>503.72</v>
      </c>
      <c r="V101">
        <v>0</v>
      </c>
      <c r="AM101" t="s">
        <v>107</v>
      </c>
      <c r="BV101" t="s">
        <v>142</v>
      </c>
      <c r="CD101">
        <v>3383.25</v>
      </c>
      <c r="CO101">
        <v>0</v>
      </c>
      <c r="CP101">
        <v>0</v>
      </c>
      <c r="CR101" t="s">
        <v>143</v>
      </c>
      <c r="CS101">
        <v>0</v>
      </c>
    </row>
    <row r="102" spans="1:97" x14ac:dyDescent="0.2">
      <c r="A102" t="s">
        <v>973</v>
      </c>
      <c r="B102">
        <v>121</v>
      </c>
      <c r="C102" t="s">
        <v>974</v>
      </c>
      <c r="D102" t="s">
        <v>975</v>
      </c>
      <c r="E102" t="s">
        <v>243</v>
      </c>
      <c r="F102" t="s">
        <v>101</v>
      </c>
      <c r="H102">
        <v>3</v>
      </c>
      <c r="I102">
        <v>5</v>
      </c>
      <c r="J102">
        <v>1</v>
      </c>
      <c r="K102" t="s">
        <v>102</v>
      </c>
      <c r="L102" t="s">
        <v>976</v>
      </c>
      <c r="M102" t="s">
        <v>137</v>
      </c>
      <c r="P102" t="s">
        <v>977</v>
      </c>
      <c r="Q102" t="s">
        <v>978</v>
      </c>
      <c r="R102" t="s">
        <v>979</v>
      </c>
      <c r="S102" t="s">
        <v>980</v>
      </c>
      <c r="T102">
        <v>2932.13</v>
      </c>
      <c r="U102">
        <v>300</v>
      </c>
      <c r="V102">
        <v>0</v>
      </c>
      <c r="W102">
        <v>823</v>
      </c>
      <c r="X102" t="s">
        <v>981</v>
      </c>
      <c r="Y102" t="s">
        <v>109</v>
      </c>
      <c r="AJ102">
        <v>678</v>
      </c>
      <c r="AM102" t="s">
        <v>120</v>
      </c>
      <c r="AO102">
        <v>1</v>
      </c>
      <c r="AT102">
        <v>1714.92</v>
      </c>
      <c r="AU102">
        <v>1714.92</v>
      </c>
      <c r="AV102">
        <v>1869.26</v>
      </c>
      <c r="AW102">
        <v>0.09</v>
      </c>
      <c r="AX102">
        <v>0</v>
      </c>
      <c r="AY102">
        <v>0</v>
      </c>
      <c r="AZ102">
        <v>0</v>
      </c>
      <c r="BA102">
        <v>0</v>
      </c>
      <c r="BB102">
        <v>0</v>
      </c>
      <c r="BV102" t="s">
        <v>142</v>
      </c>
      <c r="CD102">
        <v>2932.13</v>
      </c>
      <c r="CO102">
        <v>-1714.92</v>
      </c>
      <c r="CP102">
        <v>-20579.04</v>
      </c>
      <c r="CQ102">
        <v>-100</v>
      </c>
      <c r="CR102" t="s">
        <v>143</v>
      </c>
      <c r="CS102">
        <v>0</v>
      </c>
    </row>
    <row r="103" spans="1:97" x14ac:dyDescent="0.2">
      <c r="A103" t="s">
        <v>982</v>
      </c>
      <c r="B103">
        <v>122</v>
      </c>
      <c r="C103" t="s">
        <v>983</v>
      </c>
      <c r="D103" t="s">
        <v>984</v>
      </c>
      <c r="E103" t="s">
        <v>942</v>
      </c>
      <c r="F103" t="s">
        <v>126</v>
      </c>
      <c r="H103">
        <v>4</v>
      </c>
      <c r="I103">
        <v>4</v>
      </c>
      <c r="J103">
        <v>1</v>
      </c>
      <c r="K103" t="s">
        <v>102</v>
      </c>
      <c r="L103" t="s">
        <v>985</v>
      </c>
      <c r="M103" t="s">
        <v>313</v>
      </c>
      <c r="P103" t="s">
        <v>986</v>
      </c>
      <c r="Q103" t="s">
        <v>987</v>
      </c>
      <c r="R103" t="s">
        <v>988</v>
      </c>
      <c r="S103" t="s">
        <v>989</v>
      </c>
      <c r="T103">
        <v>2800</v>
      </c>
      <c r="U103">
        <v>250</v>
      </c>
      <c r="V103">
        <v>0</v>
      </c>
      <c r="AM103" t="s">
        <v>107</v>
      </c>
      <c r="BV103" t="s">
        <v>142</v>
      </c>
      <c r="CD103">
        <v>2800</v>
      </c>
      <c r="CO103">
        <v>0</v>
      </c>
      <c r="CP103">
        <v>0</v>
      </c>
      <c r="CR103" t="s">
        <v>143</v>
      </c>
      <c r="CS103">
        <v>0</v>
      </c>
    </row>
    <row r="104" spans="1:97" x14ac:dyDescent="0.2">
      <c r="A104" t="s">
        <v>990</v>
      </c>
      <c r="B104">
        <v>123</v>
      </c>
      <c r="C104" t="s">
        <v>991</v>
      </c>
      <c r="D104" t="s">
        <v>992</v>
      </c>
      <c r="E104" t="s">
        <v>243</v>
      </c>
      <c r="F104" t="s">
        <v>101</v>
      </c>
      <c r="H104">
        <v>2</v>
      </c>
      <c r="I104">
        <v>3</v>
      </c>
      <c r="J104">
        <v>1</v>
      </c>
      <c r="K104" t="s">
        <v>102</v>
      </c>
      <c r="P104" t="s">
        <v>993</v>
      </c>
      <c r="Q104" t="s">
        <v>994</v>
      </c>
      <c r="R104" t="s">
        <v>995</v>
      </c>
      <c r="S104" t="s">
        <v>996</v>
      </c>
      <c r="T104">
        <v>2250</v>
      </c>
      <c r="U104">
        <v>300</v>
      </c>
      <c r="V104">
        <v>0</v>
      </c>
      <c r="AM104" t="s">
        <v>107</v>
      </c>
      <c r="BV104" t="s">
        <v>142</v>
      </c>
      <c r="CD104">
        <v>2250</v>
      </c>
      <c r="CO104">
        <v>0</v>
      </c>
      <c r="CP104">
        <v>0</v>
      </c>
      <c r="CR104" t="s">
        <v>143</v>
      </c>
      <c r="CS104">
        <v>0</v>
      </c>
    </row>
    <row r="105" spans="1:97" x14ac:dyDescent="0.2">
      <c r="A105" t="s">
        <v>997</v>
      </c>
      <c r="B105">
        <v>124</v>
      </c>
      <c r="C105" t="s">
        <v>998</v>
      </c>
      <c r="D105" t="s">
        <v>999</v>
      </c>
      <c r="E105" t="s">
        <v>243</v>
      </c>
      <c r="F105" t="s">
        <v>101</v>
      </c>
      <c r="H105">
        <v>2</v>
      </c>
      <c r="I105">
        <v>3</v>
      </c>
      <c r="J105">
        <v>1</v>
      </c>
      <c r="K105" t="s">
        <v>102</v>
      </c>
      <c r="P105" t="s">
        <v>1000</v>
      </c>
      <c r="Q105" t="s">
        <v>1001</v>
      </c>
      <c r="R105" t="s">
        <v>1002</v>
      </c>
      <c r="S105" t="s">
        <v>1003</v>
      </c>
      <c r="T105">
        <v>1700</v>
      </c>
      <c r="U105">
        <v>250</v>
      </c>
      <c r="V105">
        <v>0</v>
      </c>
      <c r="AM105" t="s">
        <v>107</v>
      </c>
      <c r="BV105" t="s">
        <v>142</v>
      </c>
      <c r="CD105">
        <v>1700</v>
      </c>
      <c r="CO105">
        <v>0</v>
      </c>
      <c r="CP105">
        <v>0</v>
      </c>
      <c r="CR105" t="s">
        <v>143</v>
      </c>
      <c r="CS105">
        <v>0</v>
      </c>
    </row>
    <row r="106" spans="1:97" x14ac:dyDescent="0.2">
      <c r="A106" t="s">
        <v>1004</v>
      </c>
      <c r="B106">
        <v>125</v>
      </c>
      <c r="C106" t="s">
        <v>1005</v>
      </c>
      <c r="D106" t="s">
        <v>992</v>
      </c>
      <c r="E106" t="s">
        <v>243</v>
      </c>
      <c r="F106" t="s">
        <v>101</v>
      </c>
      <c r="H106">
        <v>3</v>
      </c>
      <c r="I106">
        <v>3</v>
      </c>
      <c r="J106">
        <v>1</v>
      </c>
      <c r="K106" t="s">
        <v>127</v>
      </c>
      <c r="L106" t="s">
        <v>1006</v>
      </c>
      <c r="P106" t="s">
        <v>1007</v>
      </c>
      <c r="Q106" t="s">
        <v>1008</v>
      </c>
      <c r="R106" t="s">
        <v>1009</v>
      </c>
      <c r="S106" t="s">
        <v>1010</v>
      </c>
      <c r="T106">
        <v>1850</v>
      </c>
      <c r="U106">
        <v>375</v>
      </c>
      <c r="V106">
        <v>0</v>
      </c>
      <c r="W106">
        <v>60</v>
      </c>
      <c r="X106" t="s">
        <v>1011</v>
      </c>
      <c r="Y106" t="s">
        <v>1012</v>
      </c>
      <c r="AA106" t="s">
        <v>1013</v>
      </c>
      <c r="AB106" t="s">
        <v>1014</v>
      </c>
      <c r="AC106" t="s">
        <v>1015</v>
      </c>
      <c r="AE106" t="s">
        <v>1016</v>
      </c>
      <c r="AF106" t="s">
        <v>115</v>
      </c>
      <c r="AI106" t="s">
        <v>1017</v>
      </c>
      <c r="AJ106">
        <v>682</v>
      </c>
      <c r="AK106" t="s">
        <v>1018</v>
      </c>
      <c r="AM106" t="s">
        <v>120</v>
      </c>
      <c r="AO106">
        <v>1</v>
      </c>
      <c r="AP106" t="s">
        <v>635</v>
      </c>
      <c r="AT106">
        <v>1490.07</v>
      </c>
      <c r="AU106">
        <v>1490.07</v>
      </c>
      <c r="AV106">
        <v>1624.18</v>
      </c>
      <c r="AW106">
        <v>0.09</v>
      </c>
      <c r="AX106">
        <v>0</v>
      </c>
      <c r="AY106">
        <v>0</v>
      </c>
      <c r="AZ106">
        <v>0</v>
      </c>
      <c r="BA106">
        <v>0</v>
      </c>
      <c r="BB106">
        <v>0</v>
      </c>
      <c r="BV106" t="s">
        <v>142</v>
      </c>
      <c r="CD106">
        <v>1850</v>
      </c>
      <c r="CO106">
        <v>-1490.07</v>
      </c>
      <c r="CP106">
        <v>-17880.84</v>
      </c>
      <c r="CQ106">
        <v>-100</v>
      </c>
      <c r="CR106" t="s">
        <v>143</v>
      </c>
      <c r="CS106">
        <v>0</v>
      </c>
    </row>
    <row r="107" spans="1:97" x14ac:dyDescent="0.2">
      <c r="A107" t="s">
        <v>1019</v>
      </c>
      <c r="B107">
        <v>126</v>
      </c>
      <c r="C107" t="s">
        <v>1020</v>
      </c>
      <c r="D107" t="s">
        <v>1021</v>
      </c>
      <c r="E107" t="s">
        <v>205</v>
      </c>
      <c r="F107" t="s">
        <v>126</v>
      </c>
      <c r="H107">
        <v>4</v>
      </c>
      <c r="I107">
        <v>5</v>
      </c>
      <c r="J107">
        <v>1</v>
      </c>
      <c r="K107" t="s">
        <v>102</v>
      </c>
      <c r="P107" t="s">
        <v>1022</v>
      </c>
      <c r="Q107" t="s">
        <v>1023</v>
      </c>
      <c r="R107" t="s">
        <v>1024</v>
      </c>
      <c r="S107" t="s">
        <v>1025</v>
      </c>
      <c r="T107">
        <v>2888.78</v>
      </c>
      <c r="U107">
        <v>150</v>
      </c>
      <c r="V107">
        <v>0</v>
      </c>
      <c r="W107">
        <v>824</v>
      </c>
      <c r="X107" t="s">
        <v>1026</v>
      </c>
      <c r="Y107" t="s">
        <v>109</v>
      </c>
      <c r="AJ107">
        <v>760</v>
      </c>
      <c r="AM107" t="s">
        <v>120</v>
      </c>
      <c r="AO107">
        <v>1</v>
      </c>
      <c r="AT107">
        <v>0</v>
      </c>
      <c r="AU107">
        <v>2548</v>
      </c>
      <c r="AV107">
        <v>2777.32</v>
      </c>
      <c r="AW107">
        <v>0.09</v>
      </c>
      <c r="AX107">
        <v>0</v>
      </c>
      <c r="AY107">
        <v>0</v>
      </c>
      <c r="AZ107">
        <v>0</v>
      </c>
      <c r="BA107">
        <v>0</v>
      </c>
      <c r="BB107">
        <v>0</v>
      </c>
      <c r="BV107" t="s">
        <v>142</v>
      </c>
      <c r="CD107">
        <v>2888.78</v>
      </c>
      <c r="CO107">
        <v>-2548</v>
      </c>
      <c r="CP107">
        <v>-30576</v>
      </c>
      <c r="CQ107">
        <v>-100</v>
      </c>
      <c r="CR107" t="s">
        <v>143</v>
      </c>
      <c r="CS107">
        <v>0</v>
      </c>
    </row>
    <row r="108" spans="1:97" x14ac:dyDescent="0.2">
      <c r="A108" t="s">
        <v>1027</v>
      </c>
      <c r="B108">
        <v>127</v>
      </c>
      <c r="C108" t="s">
        <v>1028</v>
      </c>
      <c r="D108" t="s">
        <v>1029</v>
      </c>
      <c r="E108" t="s">
        <v>1030</v>
      </c>
      <c r="F108" t="s">
        <v>126</v>
      </c>
      <c r="H108">
        <v>2</v>
      </c>
      <c r="I108">
        <v>4</v>
      </c>
      <c r="J108">
        <v>1</v>
      </c>
      <c r="K108" t="s">
        <v>102</v>
      </c>
      <c r="L108" t="s">
        <v>1031</v>
      </c>
      <c r="M108" t="s">
        <v>313</v>
      </c>
      <c r="T108">
        <v>2275</v>
      </c>
      <c r="U108">
        <v>300.05</v>
      </c>
      <c r="V108">
        <v>0</v>
      </c>
      <c r="AM108" t="s">
        <v>107</v>
      </c>
      <c r="BC108">
        <v>17</v>
      </c>
      <c r="BD108" t="s">
        <v>108</v>
      </c>
      <c r="BE108" t="s">
        <v>109</v>
      </c>
      <c r="BG108" t="s">
        <v>110</v>
      </c>
      <c r="BH108" t="s">
        <v>111</v>
      </c>
      <c r="BI108" t="s">
        <v>112</v>
      </c>
      <c r="BJ108" t="s">
        <v>113</v>
      </c>
      <c r="BK108" t="s">
        <v>114</v>
      </c>
      <c r="BL108" t="s">
        <v>115</v>
      </c>
      <c r="BM108" t="s">
        <v>116</v>
      </c>
      <c r="BO108" t="s">
        <v>117</v>
      </c>
      <c r="BQ108">
        <v>304</v>
      </c>
      <c r="BR108" t="s">
        <v>118</v>
      </c>
      <c r="BU108" t="s">
        <v>119</v>
      </c>
      <c r="BV108" t="s">
        <v>120</v>
      </c>
      <c r="BW108">
        <v>0</v>
      </c>
      <c r="BX108">
        <v>0</v>
      </c>
      <c r="BY108">
        <v>0</v>
      </c>
      <c r="BZ108">
        <v>0.09</v>
      </c>
      <c r="CA108">
        <v>300.05</v>
      </c>
      <c r="CB108">
        <v>0</v>
      </c>
      <c r="CC108">
        <v>0</v>
      </c>
      <c r="CD108">
        <v>2275</v>
      </c>
      <c r="CE108" t="s">
        <v>121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O108">
        <v>0</v>
      </c>
      <c r="CP108">
        <v>0</v>
      </c>
      <c r="CR108" t="s">
        <v>122</v>
      </c>
      <c r="CS108">
        <v>0</v>
      </c>
    </row>
    <row r="109" spans="1:97" x14ac:dyDescent="0.2">
      <c r="A109" t="s">
        <v>295</v>
      </c>
      <c r="B109">
        <v>128</v>
      </c>
      <c r="C109" t="s">
        <v>1032</v>
      </c>
      <c r="D109" t="s">
        <v>1033</v>
      </c>
      <c r="E109" t="s">
        <v>1034</v>
      </c>
      <c r="F109" t="s">
        <v>126</v>
      </c>
      <c r="H109">
        <v>5</v>
      </c>
      <c r="I109">
        <v>5</v>
      </c>
      <c r="J109">
        <v>1</v>
      </c>
      <c r="K109" t="s">
        <v>127</v>
      </c>
      <c r="L109" t="s">
        <v>697</v>
      </c>
      <c r="M109" t="s">
        <v>137</v>
      </c>
      <c r="P109" t="s">
        <v>1035</v>
      </c>
      <c r="Q109" t="s">
        <v>1036</v>
      </c>
      <c r="R109" t="s">
        <v>1037</v>
      </c>
      <c r="S109" t="s">
        <v>1038</v>
      </c>
      <c r="T109">
        <v>2446.35</v>
      </c>
      <c r="U109">
        <v>250</v>
      </c>
      <c r="V109">
        <v>0</v>
      </c>
      <c r="W109">
        <v>792</v>
      </c>
      <c r="X109" t="s">
        <v>1039</v>
      </c>
      <c r="Y109" t="s">
        <v>109</v>
      </c>
      <c r="AJ109">
        <v>601</v>
      </c>
      <c r="AK109" t="s">
        <v>1040</v>
      </c>
      <c r="AL109" t="s">
        <v>1041</v>
      </c>
      <c r="AM109" t="s">
        <v>163</v>
      </c>
      <c r="AO109">
        <v>1</v>
      </c>
      <c r="AT109">
        <v>2134.0500000000002</v>
      </c>
      <c r="AU109">
        <v>2134.0500000000002</v>
      </c>
      <c r="AV109">
        <v>2326.11</v>
      </c>
      <c r="AW109">
        <v>0.09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210</v>
      </c>
      <c r="BD109" t="s">
        <v>719</v>
      </c>
      <c r="BE109" t="s">
        <v>109</v>
      </c>
      <c r="BG109" t="s">
        <v>720</v>
      </c>
      <c r="BH109" t="s">
        <v>721</v>
      </c>
      <c r="BI109" t="s">
        <v>722</v>
      </c>
      <c r="BK109" t="s">
        <v>723</v>
      </c>
      <c r="BL109" t="s">
        <v>115</v>
      </c>
      <c r="BM109" t="s">
        <v>724</v>
      </c>
      <c r="BO109" t="s">
        <v>725</v>
      </c>
      <c r="BQ109">
        <v>85</v>
      </c>
      <c r="BR109" t="s">
        <v>1040</v>
      </c>
      <c r="BS109" t="s">
        <v>1041</v>
      </c>
      <c r="BT109">
        <v>3</v>
      </c>
      <c r="BU109" t="s">
        <v>119</v>
      </c>
      <c r="BV109" t="s">
        <v>163</v>
      </c>
      <c r="BW109">
        <v>2446.35</v>
      </c>
      <c r="BX109">
        <v>2696.35</v>
      </c>
      <c r="BY109">
        <v>2939.02</v>
      </c>
      <c r="BZ109">
        <v>0.09</v>
      </c>
      <c r="CA109">
        <v>250</v>
      </c>
      <c r="CB109">
        <v>0</v>
      </c>
      <c r="CC109">
        <v>0</v>
      </c>
      <c r="CD109">
        <v>2446.35</v>
      </c>
      <c r="CE109" t="s">
        <v>121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O109">
        <v>562.29999999999973</v>
      </c>
      <c r="CP109">
        <v>6747.5999999999967</v>
      </c>
      <c r="CQ109">
        <v>26.35</v>
      </c>
      <c r="CR109" t="s">
        <v>168</v>
      </c>
      <c r="CS109">
        <v>433</v>
      </c>
    </row>
    <row r="110" spans="1:97" x14ac:dyDescent="0.2">
      <c r="A110" t="s">
        <v>1042</v>
      </c>
      <c r="B110">
        <v>129</v>
      </c>
      <c r="C110" t="s">
        <v>1043</v>
      </c>
      <c r="D110" t="s">
        <v>1044</v>
      </c>
      <c r="E110" t="s">
        <v>135</v>
      </c>
      <c r="F110" t="s">
        <v>126</v>
      </c>
      <c r="H110">
        <v>3</v>
      </c>
      <c r="I110">
        <v>6</v>
      </c>
      <c r="J110">
        <v>1</v>
      </c>
      <c r="K110" t="s">
        <v>102</v>
      </c>
      <c r="L110" t="s">
        <v>1045</v>
      </c>
      <c r="T110">
        <v>3275</v>
      </c>
      <c r="U110">
        <v>400</v>
      </c>
      <c r="V110">
        <v>0</v>
      </c>
      <c r="AM110" t="s">
        <v>107</v>
      </c>
      <c r="BV110" t="s">
        <v>142</v>
      </c>
      <c r="CD110">
        <v>3275</v>
      </c>
      <c r="CO110">
        <v>0</v>
      </c>
      <c r="CP110">
        <v>0</v>
      </c>
      <c r="CR110" t="s">
        <v>143</v>
      </c>
      <c r="CS110">
        <v>0</v>
      </c>
    </row>
    <row r="111" spans="1:97" x14ac:dyDescent="0.2">
      <c r="A111" t="s">
        <v>1046</v>
      </c>
      <c r="B111">
        <v>130</v>
      </c>
      <c r="C111" t="s">
        <v>1047</v>
      </c>
      <c r="D111" t="s">
        <v>1048</v>
      </c>
      <c r="E111" t="s">
        <v>1049</v>
      </c>
      <c r="F111" t="s">
        <v>126</v>
      </c>
      <c r="H111">
        <v>7</v>
      </c>
      <c r="I111">
        <v>7</v>
      </c>
      <c r="J111">
        <v>1</v>
      </c>
      <c r="K111" t="s">
        <v>127</v>
      </c>
      <c r="L111" t="s">
        <v>698</v>
      </c>
      <c r="M111" t="s">
        <v>137</v>
      </c>
      <c r="P111" t="s">
        <v>1050</v>
      </c>
      <c r="Q111" t="s">
        <v>1051</v>
      </c>
      <c r="R111" t="s">
        <v>1052</v>
      </c>
      <c r="S111" t="s">
        <v>1053</v>
      </c>
      <c r="T111">
        <v>4372.2</v>
      </c>
      <c r="U111">
        <v>500</v>
      </c>
      <c r="V111">
        <v>0</v>
      </c>
      <c r="W111">
        <v>783</v>
      </c>
      <c r="X111" t="s">
        <v>1054</v>
      </c>
      <c r="Y111" t="s">
        <v>109</v>
      </c>
      <c r="AJ111">
        <v>591</v>
      </c>
      <c r="AK111" t="s">
        <v>1040</v>
      </c>
      <c r="AL111" t="s">
        <v>1055</v>
      </c>
      <c r="AM111" t="s">
        <v>163</v>
      </c>
      <c r="AO111">
        <v>1</v>
      </c>
      <c r="AT111">
        <v>3500</v>
      </c>
      <c r="AU111">
        <v>3500</v>
      </c>
      <c r="AV111">
        <v>3815</v>
      </c>
      <c r="AW111">
        <v>0.09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26</v>
      </c>
      <c r="BD111" t="s">
        <v>1056</v>
      </c>
      <c r="BE111" t="s">
        <v>109</v>
      </c>
      <c r="BG111" t="s">
        <v>1057</v>
      </c>
      <c r="BH111" t="s">
        <v>1058</v>
      </c>
      <c r="BI111" t="s">
        <v>1059</v>
      </c>
      <c r="BK111" t="s">
        <v>205</v>
      </c>
      <c r="BL111" t="s">
        <v>115</v>
      </c>
      <c r="BM111" t="s">
        <v>1060</v>
      </c>
      <c r="BO111" t="s">
        <v>1061</v>
      </c>
      <c r="BQ111">
        <v>76</v>
      </c>
      <c r="BR111" t="s">
        <v>1040</v>
      </c>
      <c r="BS111" t="s">
        <v>1055</v>
      </c>
      <c r="BT111">
        <v>12</v>
      </c>
      <c r="BU111" t="s">
        <v>119</v>
      </c>
      <c r="BV111" t="s">
        <v>163</v>
      </c>
      <c r="BW111">
        <v>4372.2</v>
      </c>
      <c r="BX111">
        <v>4872.2</v>
      </c>
      <c r="BY111">
        <v>5310.7</v>
      </c>
      <c r="BZ111">
        <v>0.09</v>
      </c>
      <c r="CA111">
        <v>500</v>
      </c>
      <c r="CB111">
        <v>0</v>
      </c>
      <c r="CC111">
        <v>0</v>
      </c>
      <c r="CD111">
        <v>4372.2</v>
      </c>
      <c r="CE111" t="s">
        <v>121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O111">
        <v>1372.2</v>
      </c>
      <c r="CP111">
        <v>16466.400000000001</v>
      </c>
      <c r="CQ111">
        <v>39.21</v>
      </c>
      <c r="CR111" t="s">
        <v>168</v>
      </c>
      <c r="CS111">
        <v>68</v>
      </c>
    </row>
    <row r="112" spans="1:97" x14ac:dyDescent="0.2">
      <c r="A112" t="s">
        <v>1062</v>
      </c>
      <c r="B112">
        <v>131</v>
      </c>
      <c r="C112" t="s">
        <v>1063</v>
      </c>
      <c r="D112" t="s">
        <v>1064</v>
      </c>
      <c r="E112" t="s">
        <v>1065</v>
      </c>
      <c r="F112" t="s">
        <v>126</v>
      </c>
      <c r="H112">
        <v>4</v>
      </c>
      <c r="I112">
        <v>4</v>
      </c>
      <c r="J112">
        <v>1</v>
      </c>
      <c r="K112" t="s">
        <v>102</v>
      </c>
      <c r="L112" t="s">
        <v>1066</v>
      </c>
      <c r="M112" t="s">
        <v>137</v>
      </c>
      <c r="P112" t="s">
        <v>1067</v>
      </c>
      <c r="Q112" t="s">
        <v>1068</v>
      </c>
      <c r="R112" t="s">
        <v>1069</v>
      </c>
      <c r="S112" t="s">
        <v>1070</v>
      </c>
      <c r="T112">
        <v>3250</v>
      </c>
      <c r="U112">
        <v>300</v>
      </c>
      <c r="V112">
        <v>0</v>
      </c>
      <c r="AM112" t="s">
        <v>107</v>
      </c>
      <c r="BC112">
        <v>6</v>
      </c>
      <c r="BD112" t="s">
        <v>1071</v>
      </c>
      <c r="BE112" t="s">
        <v>1072</v>
      </c>
      <c r="BG112" t="s">
        <v>1073</v>
      </c>
      <c r="BI112" t="s">
        <v>1074</v>
      </c>
      <c r="BK112" t="s">
        <v>946</v>
      </c>
      <c r="BL112" t="s">
        <v>115</v>
      </c>
      <c r="BM112" t="s">
        <v>1075</v>
      </c>
      <c r="BO112" t="s">
        <v>1076</v>
      </c>
      <c r="BQ112">
        <v>181</v>
      </c>
      <c r="BR112" t="s">
        <v>1077</v>
      </c>
      <c r="BS112" t="s">
        <v>1078</v>
      </c>
      <c r="BT112">
        <v>-6</v>
      </c>
      <c r="BU112" t="s">
        <v>119</v>
      </c>
      <c r="BV112" t="s">
        <v>483</v>
      </c>
      <c r="BW112">
        <v>0</v>
      </c>
      <c r="BX112">
        <v>300</v>
      </c>
      <c r="BY112">
        <v>327</v>
      </c>
      <c r="BZ112">
        <v>0.09</v>
      </c>
      <c r="CA112">
        <v>300</v>
      </c>
      <c r="CB112">
        <v>0</v>
      </c>
      <c r="CC112">
        <v>250</v>
      </c>
      <c r="CD112">
        <v>3250</v>
      </c>
      <c r="CE112" t="s">
        <v>121</v>
      </c>
      <c r="CF112">
        <v>1</v>
      </c>
      <c r="CG112">
        <v>1</v>
      </c>
      <c r="CH112">
        <v>1</v>
      </c>
      <c r="CI112">
        <v>0</v>
      </c>
      <c r="CJ112">
        <v>1</v>
      </c>
      <c r="CK112">
        <v>0</v>
      </c>
      <c r="CL112">
        <v>1</v>
      </c>
      <c r="CM112">
        <v>0</v>
      </c>
      <c r="CN112" t="s">
        <v>201</v>
      </c>
      <c r="CO112">
        <v>300</v>
      </c>
      <c r="CP112">
        <v>3600</v>
      </c>
      <c r="CR112" t="s">
        <v>143</v>
      </c>
      <c r="CS112">
        <v>0</v>
      </c>
    </row>
    <row r="113" spans="1:97" x14ac:dyDescent="0.2">
      <c r="A113" t="s">
        <v>1079</v>
      </c>
      <c r="B113">
        <v>132</v>
      </c>
      <c r="C113" t="s">
        <v>1080</v>
      </c>
      <c r="D113" t="s">
        <v>1081</v>
      </c>
      <c r="E113" t="s">
        <v>147</v>
      </c>
      <c r="F113" t="s">
        <v>126</v>
      </c>
      <c r="H113">
        <v>3</v>
      </c>
      <c r="I113">
        <v>3</v>
      </c>
      <c r="J113">
        <v>1</v>
      </c>
      <c r="K113" t="s">
        <v>102</v>
      </c>
      <c r="L113" t="s">
        <v>1082</v>
      </c>
      <c r="M113" t="s">
        <v>313</v>
      </c>
      <c r="T113">
        <v>3275</v>
      </c>
      <c r="U113">
        <v>315.48</v>
      </c>
      <c r="V113">
        <v>0</v>
      </c>
      <c r="AM113" t="s">
        <v>107</v>
      </c>
      <c r="BC113">
        <v>17</v>
      </c>
      <c r="BD113" t="s">
        <v>108</v>
      </c>
      <c r="BE113" t="s">
        <v>109</v>
      </c>
      <c r="BG113" t="s">
        <v>110</v>
      </c>
      <c r="BH113" t="s">
        <v>111</v>
      </c>
      <c r="BI113" t="s">
        <v>112</v>
      </c>
      <c r="BJ113" t="s">
        <v>113</v>
      </c>
      <c r="BK113" t="s">
        <v>114</v>
      </c>
      <c r="BL113" t="s">
        <v>115</v>
      </c>
      <c r="BM113" t="s">
        <v>116</v>
      </c>
      <c r="BO113" t="s">
        <v>117</v>
      </c>
      <c r="BQ113">
        <v>419</v>
      </c>
      <c r="BR113" t="s">
        <v>118</v>
      </c>
      <c r="BU113" t="s">
        <v>119</v>
      </c>
      <c r="BV113" t="s">
        <v>120</v>
      </c>
      <c r="BW113">
        <v>0</v>
      </c>
      <c r="BX113">
        <v>1569.3</v>
      </c>
      <c r="BY113">
        <v>1710.54</v>
      </c>
      <c r="BZ113">
        <v>0.09</v>
      </c>
      <c r="CA113">
        <v>315.48</v>
      </c>
      <c r="CB113">
        <v>0</v>
      </c>
      <c r="CC113">
        <v>0</v>
      </c>
      <c r="CD113">
        <v>3275</v>
      </c>
      <c r="CE113" t="s">
        <v>121</v>
      </c>
      <c r="CF113">
        <v>1</v>
      </c>
      <c r="CG113">
        <v>1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O113">
        <v>1569.3</v>
      </c>
      <c r="CP113">
        <v>18831.599999999999</v>
      </c>
      <c r="CR113" t="s">
        <v>122</v>
      </c>
      <c r="CS113">
        <v>0</v>
      </c>
    </row>
    <row r="114" spans="1:97" x14ac:dyDescent="0.2">
      <c r="A114" t="s">
        <v>1083</v>
      </c>
      <c r="B114">
        <v>133</v>
      </c>
      <c r="C114" t="s">
        <v>1084</v>
      </c>
      <c r="D114" t="s">
        <v>1085</v>
      </c>
      <c r="E114" t="s">
        <v>1086</v>
      </c>
      <c r="F114" t="s">
        <v>126</v>
      </c>
      <c r="H114">
        <v>4</v>
      </c>
      <c r="I114">
        <v>4</v>
      </c>
      <c r="J114">
        <v>1</v>
      </c>
      <c r="K114" t="s">
        <v>127</v>
      </c>
      <c r="L114" t="s">
        <v>1087</v>
      </c>
      <c r="M114" t="s">
        <v>137</v>
      </c>
      <c r="P114" t="s">
        <v>1088</v>
      </c>
      <c r="Q114" t="s">
        <v>1089</v>
      </c>
      <c r="R114" t="s">
        <v>1090</v>
      </c>
      <c r="S114" t="s">
        <v>1091</v>
      </c>
      <c r="T114">
        <v>2082</v>
      </c>
      <c r="U114">
        <v>250</v>
      </c>
      <c r="V114">
        <v>0</v>
      </c>
      <c r="AM114" t="s">
        <v>107</v>
      </c>
      <c r="BV114" t="s">
        <v>142</v>
      </c>
      <c r="CD114">
        <v>2082</v>
      </c>
      <c r="CO114">
        <v>0</v>
      </c>
      <c r="CP114">
        <v>0</v>
      </c>
      <c r="CR114" t="s">
        <v>143</v>
      </c>
      <c r="CS114">
        <v>0</v>
      </c>
    </row>
    <row r="115" spans="1:97" x14ac:dyDescent="0.2">
      <c r="A115" t="s">
        <v>1092</v>
      </c>
      <c r="B115">
        <v>134</v>
      </c>
      <c r="C115" t="s">
        <v>1093</v>
      </c>
      <c r="D115" t="s">
        <v>1094</v>
      </c>
      <c r="E115" t="s">
        <v>1095</v>
      </c>
      <c r="F115" t="s">
        <v>126</v>
      </c>
      <c r="H115">
        <v>4</v>
      </c>
      <c r="I115">
        <v>4</v>
      </c>
      <c r="J115">
        <v>1</v>
      </c>
      <c r="K115" t="s">
        <v>127</v>
      </c>
      <c r="L115" t="s">
        <v>1096</v>
      </c>
      <c r="M115" t="s">
        <v>313</v>
      </c>
      <c r="T115">
        <v>3275</v>
      </c>
      <c r="U115">
        <v>475</v>
      </c>
      <c r="V115">
        <v>0</v>
      </c>
      <c r="AM115" t="s">
        <v>107</v>
      </c>
      <c r="BV115" t="s">
        <v>142</v>
      </c>
      <c r="CD115">
        <v>3275</v>
      </c>
      <c r="CO115">
        <v>0</v>
      </c>
      <c r="CP115">
        <v>0</v>
      </c>
      <c r="CR115" t="s">
        <v>143</v>
      </c>
      <c r="CS115">
        <v>0</v>
      </c>
    </row>
    <row r="116" spans="1:97" x14ac:dyDescent="0.2">
      <c r="A116" t="s">
        <v>1097</v>
      </c>
      <c r="B116">
        <v>135</v>
      </c>
      <c r="C116" t="s">
        <v>1098</v>
      </c>
      <c r="D116" t="s">
        <v>1099</v>
      </c>
      <c r="E116" t="s">
        <v>312</v>
      </c>
      <c r="F116" t="s">
        <v>126</v>
      </c>
      <c r="H116">
        <v>3</v>
      </c>
      <c r="J116">
        <v>1</v>
      </c>
      <c r="K116" t="s">
        <v>127</v>
      </c>
      <c r="P116" t="s">
        <v>1100</v>
      </c>
      <c r="Q116" t="s">
        <v>1101</v>
      </c>
      <c r="R116" t="s">
        <v>1102</v>
      </c>
      <c r="S116" t="s">
        <v>1103</v>
      </c>
      <c r="T116">
        <v>3500</v>
      </c>
      <c r="U116">
        <v>200</v>
      </c>
      <c r="V116">
        <v>0</v>
      </c>
      <c r="W116">
        <v>7</v>
      </c>
      <c r="X116" t="s">
        <v>1104</v>
      </c>
      <c r="Y116" t="s">
        <v>1072</v>
      </c>
      <c r="AA116" t="s">
        <v>1105</v>
      </c>
      <c r="AC116" t="s">
        <v>1106</v>
      </c>
      <c r="AE116" t="s">
        <v>1107</v>
      </c>
      <c r="AF116" t="s">
        <v>115</v>
      </c>
      <c r="AI116" t="s">
        <v>1108</v>
      </c>
      <c r="AJ116">
        <v>709</v>
      </c>
      <c r="AK116" t="s">
        <v>1109</v>
      </c>
      <c r="AM116" t="s">
        <v>120</v>
      </c>
      <c r="AO116">
        <v>1</v>
      </c>
      <c r="AP116" t="s">
        <v>635</v>
      </c>
      <c r="AT116">
        <v>1191.08</v>
      </c>
      <c r="AU116">
        <v>1191.08</v>
      </c>
      <c r="AV116">
        <v>1298.28</v>
      </c>
      <c r="AW116">
        <v>0.09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220</v>
      </c>
      <c r="BD116" t="s">
        <v>423</v>
      </c>
      <c r="BE116" t="s">
        <v>109</v>
      </c>
      <c r="BG116" t="s">
        <v>424</v>
      </c>
      <c r="BH116" t="s">
        <v>425</v>
      </c>
      <c r="BI116" t="s">
        <v>426</v>
      </c>
      <c r="BK116" t="s">
        <v>427</v>
      </c>
      <c r="BL116" t="s">
        <v>115</v>
      </c>
      <c r="BQ116">
        <v>201</v>
      </c>
      <c r="BR116" t="s">
        <v>1109</v>
      </c>
      <c r="BS116" t="s">
        <v>1110</v>
      </c>
      <c r="BT116">
        <v>12</v>
      </c>
      <c r="BU116" t="s">
        <v>119</v>
      </c>
      <c r="BV116" t="s">
        <v>163</v>
      </c>
      <c r="BW116">
        <v>2450</v>
      </c>
      <c r="BX116">
        <v>2650</v>
      </c>
      <c r="BY116">
        <v>2888.5</v>
      </c>
      <c r="BZ116">
        <v>0.09</v>
      </c>
      <c r="CA116">
        <v>200</v>
      </c>
      <c r="CB116">
        <v>0</v>
      </c>
      <c r="CC116">
        <v>250</v>
      </c>
      <c r="CD116">
        <v>3500</v>
      </c>
      <c r="CE116" t="s">
        <v>121</v>
      </c>
      <c r="CF116">
        <v>1</v>
      </c>
      <c r="CG116">
        <v>1</v>
      </c>
      <c r="CH116">
        <v>1</v>
      </c>
      <c r="CI116">
        <v>0</v>
      </c>
      <c r="CJ116">
        <v>0</v>
      </c>
      <c r="CK116">
        <v>0</v>
      </c>
      <c r="CL116">
        <v>1</v>
      </c>
      <c r="CM116">
        <v>0</v>
      </c>
      <c r="CN116" t="s">
        <v>201</v>
      </c>
      <c r="CO116">
        <v>1458.92</v>
      </c>
      <c r="CP116">
        <v>17507.04</v>
      </c>
      <c r="CQ116">
        <v>122.49</v>
      </c>
      <c r="CR116" t="s">
        <v>168</v>
      </c>
      <c r="CS116">
        <v>330</v>
      </c>
    </row>
    <row r="117" spans="1:97" x14ac:dyDescent="0.2">
      <c r="A117" t="s">
        <v>1111</v>
      </c>
      <c r="B117">
        <v>136</v>
      </c>
      <c r="C117" t="s">
        <v>1112</v>
      </c>
      <c r="D117" t="s">
        <v>1113</v>
      </c>
      <c r="E117" t="s">
        <v>1114</v>
      </c>
      <c r="F117" t="s">
        <v>126</v>
      </c>
      <c r="H117">
        <v>4</v>
      </c>
      <c r="I117">
        <v>6</v>
      </c>
      <c r="J117">
        <v>1</v>
      </c>
      <c r="K117" t="s">
        <v>102</v>
      </c>
      <c r="L117" t="s">
        <v>1115</v>
      </c>
      <c r="M117" t="s">
        <v>623</v>
      </c>
      <c r="P117" t="s">
        <v>1116</v>
      </c>
      <c r="Q117" t="s">
        <v>1117</v>
      </c>
      <c r="R117" t="s">
        <v>1118</v>
      </c>
      <c r="S117" t="s">
        <v>1119</v>
      </c>
      <c r="T117">
        <v>3275</v>
      </c>
      <c r="U117">
        <v>250</v>
      </c>
      <c r="V117">
        <v>0</v>
      </c>
      <c r="AM117" t="s">
        <v>107</v>
      </c>
      <c r="BV117" t="s">
        <v>142</v>
      </c>
      <c r="CD117">
        <v>3275</v>
      </c>
      <c r="CO117">
        <v>0</v>
      </c>
      <c r="CP117">
        <v>0</v>
      </c>
      <c r="CR117" t="s">
        <v>143</v>
      </c>
      <c r="CS117">
        <v>0</v>
      </c>
    </row>
    <row r="118" spans="1:97" x14ac:dyDescent="0.2">
      <c r="A118" t="s">
        <v>1120</v>
      </c>
      <c r="B118">
        <v>137</v>
      </c>
      <c r="C118" t="s">
        <v>1121</v>
      </c>
      <c r="D118" t="s">
        <v>1122</v>
      </c>
      <c r="E118" t="s">
        <v>1123</v>
      </c>
      <c r="F118" t="s">
        <v>126</v>
      </c>
      <c r="H118">
        <v>3</v>
      </c>
      <c r="I118">
        <v>6</v>
      </c>
      <c r="J118">
        <v>1</v>
      </c>
      <c r="K118" t="s">
        <v>102</v>
      </c>
      <c r="L118" t="s">
        <v>313</v>
      </c>
      <c r="T118">
        <v>3250</v>
      </c>
      <c r="U118">
        <v>0</v>
      </c>
      <c r="V118">
        <v>0</v>
      </c>
      <c r="AM118" t="s">
        <v>107</v>
      </c>
      <c r="BV118" t="s">
        <v>142</v>
      </c>
      <c r="CD118">
        <v>3250</v>
      </c>
      <c r="CO118">
        <v>0</v>
      </c>
      <c r="CP118">
        <v>0</v>
      </c>
      <c r="CR118" t="s">
        <v>143</v>
      </c>
      <c r="CS118">
        <v>0</v>
      </c>
    </row>
    <row r="119" spans="1:97" x14ac:dyDescent="0.2">
      <c r="A119" t="s">
        <v>1124</v>
      </c>
      <c r="B119">
        <v>138</v>
      </c>
      <c r="C119" t="s">
        <v>1125</v>
      </c>
      <c r="D119" t="s">
        <v>1126</v>
      </c>
      <c r="E119" t="s">
        <v>1127</v>
      </c>
      <c r="F119" t="s">
        <v>126</v>
      </c>
      <c r="H119">
        <v>4</v>
      </c>
      <c r="I119">
        <v>4</v>
      </c>
      <c r="J119">
        <v>1</v>
      </c>
      <c r="K119" t="s">
        <v>127</v>
      </c>
      <c r="L119" t="s">
        <v>1128</v>
      </c>
      <c r="M119" t="s">
        <v>137</v>
      </c>
      <c r="P119" t="s">
        <v>1129</v>
      </c>
      <c r="Q119" t="s">
        <v>1130</v>
      </c>
      <c r="R119" t="s">
        <v>1131</v>
      </c>
      <c r="S119" t="s">
        <v>1132</v>
      </c>
      <c r="T119">
        <v>2300</v>
      </c>
      <c r="U119">
        <v>250</v>
      </c>
      <c r="V119">
        <v>0</v>
      </c>
      <c r="W119">
        <v>115</v>
      </c>
      <c r="X119" t="s">
        <v>1133</v>
      </c>
      <c r="Y119" t="s">
        <v>109</v>
      </c>
      <c r="AC119" t="s">
        <v>1134</v>
      </c>
      <c r="AE119" t="s">
        <v>496</v>
      </c>
      <c r="AF119" t="s">
        <v>115</v>
      </c>
      <c r="AI119" t="s">
        <v>1135</v>
      </c>
      <c r="AJ119">
        <v>721</v>
      </c>
      <c r="AK119" t="s">
        <v>1136</v>
      </c>
      <c r="AL119" t="s">
        <v>1137</v>
      </c>
      <c r="AM119" t="s">
        <v>163</v>
      </c>
      <c r="AO119">
        <v>1</v>
      </c>
      <c r="AP119" t="s">
        <v>1138</v>
      </c>
      <c r="AT119">
        <v>1500</v>
      </c>
      <c r="AU119">
        <v>1500</v>
      </c>
      <c r="AV119">
        <v>1635</v>
      </c>
      <c r="AW119">
        <v>0.09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363</v>
      </c>
      <c r="BD119" t="s">
        <v>1139</v>
      </c>
      <c r="BE119" t="s">
        <v>109</v>
      </c>
      <c r="BG119" t="s">
        <v>1140</v>
      </c>
      <c r="BH119" t="s">
        <v>1141</v>
      </c>
      <c r="BI119" t="s">
        <v>1142</v>
      </c>
      <c r="BK119" t="s">
        <v>1143</v>
      </c>
      <c r="BL119" t="s">
        <v>115</v>
      </c>
      <c r="BM119" t="s">
        <v>1144</v>
      </c>
      <c r="BO119" t="s">
        <v>1145</v>
      </c>
      <c r="BQ119">
        <v>213</v>
      </c>
      <c r="BR119" t="s">
        <v>1136</v>
      </c>
      <c r="BS119" t="s">
        <v>1137</v>
      </c>
      <c r="BT119">
        <v>2</v>
      </c>
      <c r="BU119" t="s">
        <v>119</v>
      </c>
      <c r="BV119" t="s">
        <v>163</v>
      </c>
      <c r="BW119">
        <v>0</v>
      </c>
      <c r="BX119">
        <v>0</v>
      </c>
      <c r="BY119">
        <v>0</v>
      </c>
      <c r="BZ119">
        <v>0.09</v>
      </c>
      <c r="CA119">
        <v>250</v>
      </c>
      <c r="CB119">
        <v>0</v>
      </c>
      <c r="CC119">
        <v>250</v>
      </c>
      <c r="CD119">
        <v>2300</v>
      </c>
      <c r="CE119" t="s">
        <v>121</v>
      </c>
      <c r="CF119">
        <v>1</v>
      </c>
      <c r="CG119">
        <v>1</v>
      </c>
      <c r="CH119">
        <v>1</v>
      </c>
      <c r="CI119">
        <v>0</v>
      </c>
      <c r="CJ119">
        <v>0</v>
      </c>
      <c r="CK119">
        <v>0</v>
      </c>
      <c r="CL119">
        <v>1</v>
      </c>
      <c r="CM119">
        <v>0</v>
      </c>
      <c r="CN119" t="s">
        <v>201</v>
      </c>
      <c r="CO119">
        <v>-1500</v>
      </c>
      <c r="CP119">
        <v>-18000</v>
      </c>
      <c r="CQ119">
        <v>-100</v>
      </c>
      <c r="CR119" t="s">
        <v>1146</v>
      </c>
      <c r="CS119">
        <v>37</v>
      </c>
    </row>
    <row r="120" spans="1:97" x14ac:dyDescent="0.2">
      <c r="A120" t="s">
        <v>1147</v>
      </c>
      <c r="B120">
        <v>139</v>
      </c>
      <c r="C120" t="s">
        <v>1148</v>
      </c>
      <c r="D120" t="s">
        <v>1149</v>
      </c>
      <c r="E120" t="s">
        <v>1150</v>
      </c>
      <c r="F120" t="s">
        <v>126</v>
      </c>
      <c r="H120">
        <v>5</v>
      </c>
      <c r="I120">
        <v>5</v>
      </c>
      <c r="J120">
        <v>1</v>
      </c>
      <c r="K120" t="s">
        <v>127</v>
      </c>
      <c r="L120" t="s">
        <v>1151</v>
      </c>
      <c r="M120" t="s">
        <v>137</v>
      </c>
      <c r="P120" t="s">
        <v>1152</v>
      </c>
      <c r="Q120" t="s">
        <v>1153</v>
      </c>
      <c r="R120" t="s">
        <v>1154</v>
      </c>
      <c r="S120" t="s">
        <v>1155</v>
      </c>
      <c r="T120">
        <v>3300</v>
      </c>
      <c r="U120">
        <v>300</v>
      </c>
      <c r="V120">
        <v>0</v>
      </c>
      <c r="W120">
        <v>783</v>
      </c>
      <c r="X120" t="s">
        <v>1054</v>
      </c>
      <c r="Y120" t="s">
        <v>109</v>
      </c>
      <c r="AJ120">
        <v>660</v>
      </c>
      <c r="AK120" t="s">
        <v>1040</v>
      </c>
      <c r="AL120" t="s">
        <v>1055</v>
      </c>
      <c r="AM120" t="s">
        <v>163</v>
      </c>
      <c r="AO120">
        <v>1</v>
      </c>
      <c r="AT120">
        <v>2500</v>
      </c>
      <c r="AU120">
        <v>2500</v>
      </c>
      <c r="AV120">
        <v>2725</v>
      </c>
      <c r="AW120">
        <v>0.09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342</v>
      </c>
      <c r="BD120" t="s">
        <v>1156</v>
      </c>
      <c r="BE120" t="s">
        <v>109</v>
      </c>
      <c r="BG120" t="s">
        <v>1157</v>
      </c>
      <c r="BH120" t="s">
        <v>1158</v>
      </c>
      <c r="BI120" t="s">
        <v>1159</v>
      </c>
      <c r="BK120" t="s">
        <v>272</v>
      </c>
      <c r="BL120" t="s">
        <v>115</v>
      </c>
      <c r="BM120" t="s">
        <v>1160</v>
      </c>
      <c r="BO120" t="s">
        <v>1161</v>
      </c>
      <c r="BQ120">
        <v>147</v>
      </c>
      <c r="BR120" t="s">
        <v>1040</v>
      </c>
      <c r="BS120" t="s">
        <v>1055</v>
      </c>
      <c r="BT120">
        <v>12</v>
      </c>
      <c r="BU120" t="s">
        <v>119</v>
      </c>
      <c r="BV120" t="s">
        <v>163</v>
      </c>
      <c r="BW120">
        <v>3300</v>
      </c>
      <c r="BX120">
        <v>3600</v>
      </c>
      <c r="BY120">
        <v>3924</v>
      </c>
      <c r="BZ120">
        <v>0.09</v>
      </c>
      <c r="CA120">
        <v>300</v>
      </c>
      <c r="CB120">
        <v>0</v>
      </c>
      <c r="CC120">
        <v>375</v>
      </c>
      <c r="CD120">
        <v>3300</v>
      </c>
      <c r="CE120" t="s">
        <v>121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 t="s">
        <v>182</v>
      </c>
      <c r="CO120">
        <v>1100</v>
      </c>
      <c r="CP120">
        <v>13200</v>
      </c>
      <c r="CQ120">
        <v>44</v>
      </c>
      <c r="CR120" t="s">
        <v>168</v>
      </c>
      <c r="CS120">
        <v>68</v>
      </c>
    </row>
    <row r="121" spans="1:97" x14ac:dyDescent="0.2">
      <c r="A121" t="s">
        <v>1162</v>
      </c>
      <c r="B121">
        <v>140</v>
      </c>
      <c r="C121" t="s">
        <v>1163</v>
      </c>
      <c r="D121" t="s">
        <v>1164</v>
      </c>
      <c r="E121" t="s">
        <v>1165</v>
      </c>
      <c r="F121" t="s">
        <v>126</v>
      </c>
      <c r="H121">
        <v>5</v>
      </c>
      <c r="I121">
        <v>5</v>
      </c>
      <c r="J121">
        <v>1</v>
      </c>
      <c r="K121" t="s">
        <v>127</v>
      </c>
      <c r="L121" t="s">
        <v>1166</v>
      </c>
      <c r="M121" t="s">
        <v>313</v>
      </c>
      <c r="T121">
        <v>3775</v>
      </c>
      <c r="U121">
        <v>300</v>
      </c>
      <c r="V121">
        <v>0</v>
      </c>
      <c r="W121">
        <v>783</v>
      </c>
      <c r="X121" t="s">
        <v>1054</v>
      </c>
      <c r="Y121" t="s">
        <v>109</v>
      </c>
      <c r="AJ121">
        <v>644</v>
      </c>
      <c r="AK121" t="s">
        <v>1040</v>
      </c>
      <c r="AL121" t="s">
        <v>1055</v>
      </c>
      <c r="AM121" t="s">
        <v>163</v>
      </c>
      <c r="AO121">
        <v>1</v>
      </c>
      <c r="AT121">
        <v>2500</v>
      </c>
      <c r="AU121">
        <v>2500</v>
      </c>
      <c r="AV121">
        <v>2725</v>
      </c>
      <c r="AW121">
        <v>0.09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210</v>
      </c>
      <c r="BD121" t="s">
        <v>719</v>
      </c>
      <c r="BE121" t="s">
        <v>109</v>
      </c>
      <c r="BG121" t="s">
        <v>720</v>
      </c>
      <c r="BH121" t="s">
        <v>721</v>
      </c>
      <c r="BI121" t="s">
        <v>722</v>
      </c>
      <c r="BK121" t="s">
        <v>723</v>
      </c>
      <c r="BL121" t="s">
        <v>115</v>
      </c>
      <c r="BM121" t="s">
        <v>724</v>
      </c>
      <c r="BO121" t="s">
        <v>725</v>
      </c>
      <c r="BQ121">
        <v>129</v>
      </c>
      <c r="BR121" t="s">
        <v>1040</v>
      </c>
      <c r="BS121" t="s">
        <v>1055</v>
      </c>
      <c r="BT121">
        <v>12</v>
      </c>
      <c r="BU121" t="s">
        <v>119</v>
      </c>
      <c r="BV121" t="s">
        <v>163</v>
      </c>
      <c r="BW121">
        <v>3409.28</v>
      </c>
      <c r="BX121">
        <v>3709.28</v>
      </c>
      <c r="BY121">
        <v>4043.12</v>
      </c>
      <c r="BZ121">
        <v>0.09</v>
      </c>
      <c r="CA121">
        <v>300</v>
      </c>
      <c r="CB121">
        <v>0</v>
      </c>
      <c r="CC121">
        <v>0</v>
      </c>
      <c r="CD121">
        <v>3775</v>
      </c>
      <c r="CE121" t="s">
        <v>121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O121">
        <v>1209.28</v>
      </c>
      <c r="CP121">
        <v>14511.36</v>
      </c>
      <c r="CQ121">
        <v>48.37</v>
      </c>
      <c r="CR121" t="s">
        <v>168</v>
      </c>
      <c r="CS121">
        <v>68</v>
      </c>
    </row>
    <row r="122" spans="1:97" x14ac:dyDescent="0.2">
      <c r="A122" t="s">
        <v>1167</v>
      </c>
      <c r="B122">
        <v>141</v>
      </c>
      <c r="C122" t="s">
        <v>1168</v>
      </c>
      <c r="D122" t="s">
        <v>1169</v>
      </c>
      <c r="E122" t="s">
        <v>1170</v>
      </c>
      <c r="H122">
        <v>4</v>
      </c>
      <c r="I122">
        <v>4</v>
      </c>
      <c r="J122">
        <v>1</v>
      </c>
      <c r="K122" t="s">
        <v>127</v>
      </c>
      <c r="L122" t="s">
        <v>1171</v>
      </c>
      <c r="M122" t="s">
        <v>1172</v>
      </c>
      <c r="P122" t="s">
        <v>1173</v>
      </c>
      <c r="Q122" t="s">
        <v>1174</v>
      </c>
      <c r="R122" t="s">
        <v>1175</v>
      </c>
      <c r="S122" t="s">
        <v>1176</v>
      </c>
      <c r="T122">
        <v>2850</v>
      </c>
      <c r="U122">
        <v>250</v>
      </c>
      <c r="V122">
        <v>0</v>
      </c>
      <c r="W122">
        <v>291</v>
      </c>
      <c r="X122" t="s">
        <v>1177</v>
      </c>
      <c r="Y122" t="s">
        <v>109</v>
      </c>
      <c r="AA122" t="s">
        <v>1178</v>
      </c>
      <c r="AF122" t="s">
        <v>115</v>
      </c>
      <c r="AI122" t="s">
        <v>1179</v>
      </c>
      <c r="AJ122">
        <v>710</v>
      </c>
      <c r="AK122" t="s">
        <v>1040</v>
      </c>
      <c r="AL122" t="s">
        <v>1055</v>
      </c>
      <c r="AM122" t="s">
        <v>163</v>
      </c>
      <c r="AO122">
        <v>1</v>
      </c>
      <c r="AT122">
        <v>2000</v>
      </c>
      <c r="AU122">
        <v>2000</v>
      </c>
      <c r="AV122">
        <v>2180</v>
      </c>
      <c r="AW122">
        <v>0.09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17</v>
      </c>
      <c r="BD122" t="s">
        <v>108</v>
      </c>
      <c r="BE122" t="s">
        <v>109</v>
      </c>
      <c r="BG122" t="s">
        <v>110</v>
      </c>
      <c r="BH122" t="s">
        <v>111</v>
      </c>
      <c r="BI122" t="s">
        <v>112</v>
      </c>
      <c r="BJ122" t="s">
        <v>113</v>
      </c>
      <c r="BK122" t="s">
        <v>114</v>
      </c>
      <c r="BL122" t="s">
        <v>115</v>
      </c>
      <c r="BM122" t="s">
        <v>116</v>
      </c>
      <c r="BO122" t="s">
        <v>117</v>
      </c>
      <c r="BQ122">
        <v>305</v>
      </c>
      <c r="BR122" t="s">
        <v>118</v>
      </c>
      <c r="BU122" t="s">
        <v>119</v>
      </c>
      <c r="BV122" t="s">
        <v>120</v>
      </c>
      <c r="BW122">
        <v>2850</v>
      </c>
      <c r="BX122">
        <v>3100</v>
      </c>
      <c r="BY122">
        <v>3379</v>
      </c>
      <c r="BZ122">
        <v>0.09</v>
      </c>
      <c r="CA122">
        <v>250</v>
      </c>
      <c r="CB122">
        <v>0</v>
      </c>
      <c r="CC122">
        <v>250</v>
      </c>
      <c r="CD122">
        <v>2850</v>
      </c>
      <c r="CE122" t="s">
        <v>121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 t="s">
        <v>201</v>
      </c>
      <c r="CO122">
        <v>1100</v>
      </c>
      <c r="CP122">
        <v>13200</v>
      </c>
      <c r="CQ122">
        <v>55</v>
      </c>
      <c r="CR122" t="s">
        <v>122</v>
      </c>
      <c r="CS122">
        <v>0</v>
      </c>
    </row>
    <row r="123" spans="1:97" x14ac:dyDescent="0.2">
      <c r="A123" t="s">
        <v>1167</v>
      </c>
      <c r="B123">
        <v>141</v>
      </c>
      <c r="C123" t="s">
        <v>1168</v>
      </c>
      <c r="D123" t="s">
        <v>1169</v>
      </c>
      <c r="E123" t="s">
        <v>1170</v>
      </c>
      <c r="H123">
        <v>4</v>
      </c>
      <c r="I123">
        <v>4</v>
      </c>
      <c r="J123">
        <v>1</v>
      </c>
      <c r="K123" t="s">
        <v>127</v>
      </c>
      <c r="L123" t="s">
        <v>1171</v>
      </c>
      <c r="M123" t="s">
        <v>1172</v>
      </c>
      <c r="P123" t="s">
        <v>1173</v>
      </c>
      <c r="Q123" t="s">
        <v>1174</v>
      </c>
      <c r="R123" t="s">
        <v>1175</v>
      </c>
      <c r="S123" t="s">
        <v>1176</v>
      </c>
      <c r="T123">
        <v>2850</v>
      </c>
      <c r="U123">
        <v>250</v>
      </c>
      <c r="V123">
        <v>0</v>
      </c>
      <c r="W123">
        <v>291</v>
      </c>
      <c r="X123" t="s">
        <v>1177</v>
      </c>
      <c r="Y123" t="s">
        <v>109</v>
      </c>
      <c r="AA123" t="s">
        <v>1178</v>
      </c>
      <c r="AF123" t="s">
        <v>115</v>
      </c>
      <c r="AI123" t="s">
        <v>1179</v>
      </c>
      <c r="AJ123">
        <v>710</v>
      </c>
      <c r="AK123" t="s">
        <v>1040</v>
      </c>
      <c r="AL123" t="s">
        <v>1055</v>
      </c>
      <c r="AM123" t="s">
        <v>163</v>
      </c>
      <c r="AO123">
        <v>1</v>
      </c>
      <c r="AT123">
        <v>2000</v>
      </c>
      <c r="AU123">
        <v>2000</v>
      </c>
      <c r="AV123">
        <v>2180</v>
      </c>
      <c r="AW123">
        <v>0.09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320</v>
      </c>
      <c r="BD123" t="s">
        <v>1180</v>
      </c>
      <c r="BE123" t="s">
        <v>109</v>
      </c>
      <c r="BG123" t="s">
        <v>1181</v>
      </c>
      <c r="BH123" t="s">
        <v>1182</v>
      </c>
      <c r="BI123" t="s">
        <v>1183</v>
      </c>
      <c r="BK123" t="s">
        <v>427</v>
      </c>
      <c r="BL123" t="s">
        <v>115</v>
      </c>
      <c r="BM123" t="s">
        <v>1184</v>
      </c>
      <c r="BQ123">
        <v>202</v>
      </c>
      <c r="BR123" t="s">
        <v>1040</v>
      </c>
      <c r="BS123" t="s">
        <v>1055</v>
      </c>
      <c r="BT123">
        <v>12</v>
      </c>
      <c r="BU123" t="s">
        <v>119</v>
      </c>
      <c r="BV123" t="s">
        <v>163</v>
      </c>
      <c r="BW123">
        <v>2850</v>
      </c>
      <c r="BX123">
        <v>3100</v>
      </c>
      <c r="BY123">
        <v>3379</v>
      </c>
      <c r="BZ123">
        <v>0.09</v>
      </c>
      <c r="CA123">
        <v>250</v>
      </c>
      <c r="CB123">
        <v>0</v>
      </c>
      <c r="CC123">
        <v>250</v>
      </c>
      <c r="CD123">
        <v>2850</v>
      </c>
      <c r="CE123" t="s">
        <v>121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 t="s">
        <v>201</v>
      </c>
      <c r="CO123">
        <v>1100</v>
      </c>
      <c r="CP123">
        <v>13200</v>
      </c>
      <c r="CQ123">
        <v>55</v>
      </c>
      <c r="CR123" t="s">
        <v>168</v>
      </c>
      <c r="CS123">
        <v>68</v>
      </c>
    </row>
    <row r="124" spans="1:97" x14ac:dyDescent="0.2">
      <c r="A124" t="s">
        <v>1185</v>
      </c>
      <c r="B124">
        <v>389</v>
      </c>
      <c r="C124" t="s">
        <v>1186</v>
      </c>
      <c r="D124" t="s">
        <v>1187</v>
      </c>
      <c r="E124" t="s">
        <v>1188</v>
      </c>
      <c r="F124" t="s">
        <v>101</v>
      </c>
      <c r="H124">
        <v>8</v>
      </c>
      <c r="I124">
        <v>9</v>
      </c>
      <c r="J124">
        <v>1</v>
      </c>
      <c r="K124" t="s">
        <v>102</v>
      </c>
      <c r="L124" t="s">
        <v>1189</v>
      </c>
      <c r="M124" t="s">
        <v>313</v>
      </c>
      <c r="P124" t="s">
        <v>1190</v>
      </c>
      <c r="Q124" t="s">
        <v>1191</v>
      </c>
      <c r="R124" t="s">
        <v>1192</v>
      </c>
      <c r="S124" t="s">
        <v>1193</v>
      </c>
      <c r="T124">
        <v>1830</v>
      </c>
      <c r="U124">
        <v>0</v>
      </c>
      <c r="V124">
        <v>0</v>
      </c>
      <c r="AM124" t="s">
        <v>107</v>
      </c>
      <c r="BV124" t="s">
        <v>142</v>
      </c>
      <c r="CD124">
        <v>1830</v>
      </c>
      <c r="CO124">
        <v>0</v>
      </c>
      <c r="CP124">
        <v>0</v>
      </c>
      <c r="CR124" t="s">
        <v>143</v>
      </c>
      <c r="CS124">
        <v>0</v>
      </c>
    </row>
    <row r="125" spans="1:97" x14ac:dyDescent="0.2">
      <c r="A125" t="s">
        <v>1194</v>
      </c>
      <c r="B125">
        <v>142</v>
      </c>
      <c r="C125" t="s">
        <v>1195</v>
      </c>
      <c r="D125" t="s">
        <v>378</v>
      </c>
      <c r="E125" t="s">
        <v>147</v>
      </c>
      <c r="F125" t="s">
        <v>101</v>
      </c>
      <c r="H125">
        <v>3</v>
      </c>
      <c r="I125">
        <v>5</v>
      </c>
      <c r="J125">
        <v>1</v>
      </c>
      <c r="K125" t="s">
        <v>102</v>
      </c>
      <c r="P125" t="s">
        <v>1196</v>
      </c>
      <c r="Q125" t="s">
        <v>1197</v>
      </c>
      <c r="R125" t="s">
        <v>1198</v>
      </c>
      <c r="S125" t="s">
        <v>1199</v>
      </c>
      <c r="T125">
        <v>2593.81</v>
      </c>
      <c r="U125">
        <v>329.99</v>
      </c>
      <c r="V125">
        <v>0</v>
      </c>
      <c r="AM125" t="s">
        <v>107</v>
      </c>
      <c r="BV125" t="s">
        <v>142</v>
      </c>
      <c r="CD125">
        <v>2593.81</v>
      </c>
      <c r="CO125">
        <v>0</v>
      </c>
      <c r="CP125">
        <v>0</v>
      </c>
      <c r="CR125" t="s">
        <v>143</v>
      </c>
      <c r="CS125">
        <v>0</v>
      </c>
    </row>
    <row r="126" spans="1:97" x14ac:dyDescent="0.2">
      <c r="A126" t="s">
        <v>1200</v>
      </c>
      <c r="B126">
        <v>143</v>
      </c>
      <c r="C126" t="s">
        <v>1201</v>
      </c>
      <c r="D126" t="s">
        <v>1202</v>
      </c>
      <c r="E126" t="s">
        <v>1203</v>
      </c>
      <c r="F126" t="s">
        <v>126</v>
      </c>
      <c r="H126">
        <v>5</v>
      </c>
      <c r="I126">
        <v>5</v>
      </c>
      <c r="J126">
        <v>1</v>
      </c>
      <c r="K126" t="s">
        <v>127</v>
      </c>
      <c r="L126" t="s">
        <v>1204</v>
      </c>
      <c r="M126" t="s">
        <v>137</v>
      </c>
      <c r="P126" t="s">
        <v>1205</v>
      </c>
      <c r="Q126" t="s">
        <v>1206</v>
      </c>
      <c r="R126" t="s">
        <v>1207</v>
      </c>
      <c r="S126" t="s">
        <v>1208</v>
      </c>
      <c r="T126">
        <v>2650</v>
      </c>
      <c r="U126">
        <v>300</v>
      </c>
      <c r="V126">
        <v>0</v>
      </c>
      <c r="W126">
        <v>175</v>
      </c>
      <c r="X126" t="s">
        <v>516</v>
      </c>
      <c r="Y126" t="s">
        <v>109</v>
      </c>
      <c r="AA126" t="s">
        <v>517</v>
      </c>
      <c r="AC126" t="s">
        <v>518</v>
      </c>
      <c r="AE126" t="s">
        <v>519</v>
      </c>
      <c r="AF126" t="s">
        <v>115</v>
      </c>
      <c r="AI126" t="s">
        <v>520</v>
      </c>
      <c r="AJ126">
        <v>733</v>
      </c>
      <c r="AK126" t="s">
        <v>521</v>
      </c>
      <c r="AL126" t="s">
        <v>522</v>
      </c>
      <c r="AM126" t="s">
        <v>163</v>
      </c>
      <c r="AO126">
        <v>1</v>
      </c>
      <c r="AT126">
        <v>2257.37</v>
      </c>
      <c r="AU126">
        <v>2257.37</v>
      </c>
      <c r="AV126">
        <v>2460.5300000000002</v>
      </c>
      <c r="AW126">
        <v>0.09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286</v>
      </c>
      <c r="BD126" t="s">
        <v>523</v>
      </c>
      <c r="BE126" t="s">
        <v>109</v>
      </c>
      <c r="BG126" t="s">
        <v>524</v>
      </c>
      <c r="BH126" t="s">
        <v>525</v>
      </c>
      <c r="BI126" t="s">
        <v>526</v>
      </c>
      <c r="BK126" t="s">
        <v>527</v>
      </c>
      <c r="BL126" t="s">
        <v>115</v>
      </c>
      <c r="BM126" t="s">
        <v>528</v>
      </c>
      <c r="BQ126">
        <v>229</v>
      </c>
      <c r="BR126" t="s">
        <v>521</v>
      </c>
      <c r="BS126" t="s">
        <v>522</v>
      </c>
      <c r="BT126">
        <v>5</v>
      </c>
      <c r="BU126" t="s">
        <v>119</v>
      </c>
      <c r="BV126" t="s">
        <v>163</v>
      </c>
      <c r="BW126">
        <v>2650</v>
      </c>
      <c r="BX126">
        <v>2950</v>
      </c>
      <c r="BY126">
        <v>3215.5</v>
      </c>
      <c r="BZ126">
        <v>0.09</v>
      </c>
      <c r="CA126">
        <v>300</v>
      </c>
      <c r="CB126">
        <v>0</v>
      </c>
      <c r="CC126">
        <v>375</v>
      </c>
      <c r="CD126">
        <v>2650</v>
      </c>
      <c r="CE126" t="s">
        <v>121</v>
      </c>
      <c r="CF126">
        <v>1</v>
      </c>
      <c r="CG126">
        <v>1</v>
      </c>
      <c r="CH126">
        <v>1</v>
      </c>
      <c r="CI126">
        <v>0</v>
      </c>
      <c r="CJ126">
        <v>1</v>
      </c>
      <c r="CK126">
        <v>0</v>
      </c>
      <c r="CL126">
        <v>1</v>
      </c>
      <c r="CM126">
        <v>0</v>
      </c>
      <c r="CN126" t="s">
        <v>182</v>
      </c>
      <c r="CO126">
        <v>692.63000000000011</v>
      </c>
      <c r="CP126">
        <v>8311.5600000000013</v>
      </c>
      <c r="CQ126">
        <v>30.68</v>
      </c>
      <c r="CR126" t="s">
        <v>168</v>
      </c>
      <c r="CS126">
        <v>586</v>
      </c>
    </row>
    <row r="127" spans="1:97" x14ac:dyDescent="0.2">
      <c r="A127" t="s">
        <v>1209</v>
      </c>
      <c r="B127">
        <v>144</v>
      </c>
      <c r="C127" t="s">
        <v>1210</v>
      </c>
      <c r="D127" t="s">
        <v>1211</v>
      </c>
      <c r="E127" t="s">
        <v>233</v>
      </c>
      <c r="F127" t="s">
        <v>126</v>
      </c>
      <c r="H127">
        <v>4</v>
      </c>
      <c r="I127">
        <v>4</v>
      </c>
      <c r="J127">
        <v>1</v>
      </c>
      <c r="K127" t="s">
        <v>127</v>
      </c>
      <c r="L127" t="s">
        <v>1212</v>
      </c>
      <c r="P127" t="s">
        <v>1213</v>
      </c>
      <c r="Q127" t="s">
        <v>1214</v>
      </c>
      <c r="R127" t="s">
        <v>1215</v>
      </c>
      <c r="S127" t="s">
        <v>1216</v>
      </c>
      <c r="T127">
        <v>2593.81</v>
      </c>
      <c r="U127">
        <v>250</v>
      </c>
      <c r="V127">
        <v>0</v>
      </c>
      <c r="AM127" t="s">
        <v>107</v>
      </c>
      <c r="BV127" t="s">
        <v>142</v>
      </c>
      <c r="CD127">
        <v>2593.81</v>
      </c>
      <c r="CO127">
        <v>0</v>
      </c>
      <c r="CP127">
        <v>0</v>
      </c>
      <c r="CR127" t="s">
        <v>143</v>
      </c>
      <c r="CS127">
        <v>0</v>
      </c>
    </row>
    <row r="128" spans="1:97" x14ac:dyDescent="0.2">
      <c r="A128" t="s">
        <v>1217</v>
      </c>
      <c r="B128">
        <v>145</v>
      </c>
      <c r="C128" t="s">
        <v>1218</v>
      </c>
      <c r="D128" t="s">
        <v>1219</v>
      </c>
      <c r="E128" t="s">
        <v>312</v>
      </c>
      <c r="F128" t="s">
        <v>101</v>
      </c>
      <c r="H128">
        <v>3</v>
      </c>
      <c r="I128">
        <v>2</v>
      </c>
      <c r="J128">
        <v>1</v>
      </c>
      <c r="K128" t="s">
        <v>102</v>
      </c>
      <c r="P128" t="s">
        <v>1220</v>
      </c>
      <c r="Q128" t="s">
        <v>1221</v>
      </c>
      <c r="R128" t="s">
        <v>1222</v>
      </c>
      <c r="S128" t="s">
        <v>1223</v>
      </c>
      <c r="T128">
        <v>1610.06</v>
      </c>
      <c r="U128">
        <v>100</v>
      </c>
      <c r="V128">
        <v>0</v>
      </c>
      <c r="AM128" t="s">
        <v>107</v>
      </c>
      <c r="BV128" t="s">
        <v>142</v>
      </c>
      <c r="CD128">
        <v>1610.06</v>
      </c>
      <c r="CO128">
        <v>0</v>
      </c>
      <c r="CP128">
        <v>0</v>
      </c>
      <c r="CR128" t="s">
        <v>143</v>
      </c>
      <c r="CS128">
        <v>0</v>
      </c>
    </row>
    <row r="129" spans="1:97" x14ac:dyDescent="0.2">
      <c r="A129" t="s">
        <v>1224</v>
      </c>
      <c r="B129">
        <v>146</v>
      </c>
      <c r="C129" t="s">
        <v>1225</v>
      </c>
      <c r="D129" t="s">
        <v>1219</v>
      </c>
      <c r="E129" t="s">
        <v>312</v>
      </c>
      <c r="F129" t="s">
        <v>101</v>
      </c>
      <c r="H129">
        <v>3</v>
      </c>
      <c r="I129">
        <v>3</v>
      </c>
      <c r="J129">
        <v>1</v>
      </c>
      <c r="K129" t="s">
        <v>102</v>
      </c>
      <c r="P129" t="s">
        <v>1220</v>
      </c>
      <c r="Q129" t="s">
        <v>1221</v>
      </c>
      <c r="R129" t="s">
        <v>1222</v>
      </c>
      <c r="S129" t="s">
        <v>1223</v>
      </c>
      <c r="T129">
        <v>2363.0700000000002</v>
      </c>
      <c r="U129">
        <v>150</v>
      </c>
      <c r="V129">
        <v>0</v>
      </c>
      <c r="AM129" t="s">
        <v>107</v>
      </c>
      <c r="BV129" t="s">
        <v>142</v>
      </c>
      <c r="CD129">
        <v>2363.0700000000002</v>
      </c>
      <c r="CO129">
        <v>0</v>
      </c>
      <c r="CP129">
        <v>0</v>
      </c>
      <c r="CR129" t="s">
        <v>143</v>
      </c>
      <c r="CS129">
        <v>0</v>
      </c>
    </row>
    <row r="130" spans="1:97" x14ac:dyDescent="0.2">
      <c r="A130" t="s">
        <v>1226</v>
      </c>
      <c r="B130">
        <v>147</v>
      </c>
      <c r="C130" t="s">
        <v>1227</v>
      </c>
      <c r="D130" t="s">
        <v>1228</v>
      </c>
      <c r="E130" t="s">
        <v>272</v>
      </c>
      <c r="F130" t="s">
        <v>126</v>
      </c>
      <c r="H130">
        <v>3</v>
      </c>
      <c r="I130">
        <v>5</v>
      </c>
      <c r="J130">
        <v>1</v>
      </c>
      <c r="K130" t="s">
        <v>102</v>
      </c>
      <c r="M130" t="s">
        <v>137</v>
      </c>
      <c r="P130" t="s">
        <v>1229</v>
      </c>
      <c r="Q130" t="s">
        <v>1230</v>
      </c>
      <c r="R130" t="s">
        <v>1231</v>
      </c>
      <c r="S130" t="s">
        <v>1232</v>
      </c>
      <c r="T130">
        <v>2491.65</v>
      </c>
      <c r="U130">
        <v>375</v>
      </c>
      <c r="V130">
        <v>0</v>
      </c>
      <c r="AM130" t="s">
        <v>107</v>
      </c>
      <c r="BV130" t="s">
        <v>142</v>
      </c>
      <c r="CD130">
        <v>2491.65</v>
      </c>
      <c r="CO130">
        <v>0</v>
      </c>
      <c r="CP130">
        <v>0</v>
      </c>
      <c r="CR130" t="s">
        <v>143</v>
      </c>
      <c r="CS130">
        <v>0</v>
      </c>
    </row>
    <row r="131" spans="1:97" x14ac:dyDescent="0.2">
      <c r="A131" t="s">
        <v>1233</v>
      </c>
      <c r="B131">
        <v>148</v>
      </c>
      <c r="C131" t="s">
        <v>1234</v>
      </c>
      <c r="D131" t="s">
        <v>1235</v>
      </c>
      <c r="E131" t="s">
        <v>942</v>
      </c>
      <c r="F131" t="s">
        <v>126</v>
      </c>
      <c r="H131">
        <v>4</v>
      </c>
      <c r="I131">
        <v>4</v>
      </c>
      <c r="J131">
        <v>1</v>
      </c>
      <c r="K131" t="s">
        <v>127</v>
      </c>
      <c r="L131" t="s">
        <v>1236</v>
      </c>
      <c r="M131" t="s">
        <v>137</v>
      </c>
      <c r="P131" t="s">
        <v>1237</v>
      </c>
      <c r="Q131" t="s">
        <v>1238</v>
      </c>
      <c r="R131" t="s">
        <v>1239</v>
      </c>
      <c r="S131" t="s">
        <v>1240</v>
      </c>
      <c r="T131">
        <v>2316.23</v>
      </c>
      <c r="U131">
        <v>250</v>
      </c>
      <c r="V131">
        <v>0</v>
      </c>
      <c r="W131">
        <v>836</v>
      </c>
      <c r="X131" t="s">
        <v>1241</v>
      </c>
      <c r="Y131" t="s">
        <v>109</v>
      </c>
      <c r="AJ131">
        <v>738</v>
      </c>
      <c r="AK131" t="s">
        <v>1242</v>
      </c>
      <c r="AM131" t="s">
        <v>120</v>
      </c>
      <c r="AO131">
        <v>1</v>
      </c>
      <c r="AP131" t="s">
        <v>635</v>
      </c>
      <c r="AT131">
        <v>1825</v>
      </c>
      <c r="AU131">
        <v>1825</v>
      </c>
      <c r="AV131">
        <v>1989.25</v>
      </c>
      <c r="AW131">
        <v>0.09</v>
      </c>
      <c r="AX131">
        <v>0</v>
      </c>
      <c r="AY131">
        <v>0</v>
      </c>
      <c r="AZ131">
        <v>0</v>
      </c>
      <c r="BA131">
        <v>0</v>
      </c>
      <c r="BB131">
        <v>0</v>
      </c>
      <c r="BV131" t="s">
        <v>142</v>
      </c>
      <c r="CD131">
        <v>2316.23</v>
      </c>
      <c r="CO131">
        <v>-1825</v>
      </c>
      <c r="CP131">
        <v>-21900</v>
      </c>
      <c r="CQ131">
        <v>-100</v>
      </c>
      <c r="CR131" t="s">
        <v>143</v>
      </c>
      <c r="CS131">
        <v>0</v>
      </c>
    </row>
    <row r="132" spans="1:97" x14ac:dyDescent="0.2">
      <c r="A132" t="s">
        <v>1243</v>
      </c>
      <c r="B132">
        <v>149</v>
      </c>
      <c r="C132" t="s">
        <v>1244</v>
      </c>
      <c r="D132" t="s">
        <v>1245</v>
      </c>
      <c r="E132" t="s">
        <v>1246</v>
      </c>
      <c r="F132" t="s">
        <v>126</v>
      </c>
      <c r="H132">
        <v>5</v>
      </c>
      <c r="I132">
        <v>6</v>
      </c>
      <c r="J132">
        <v>1</v>
      </c>
      <c r="K132" t="s">
        <v>127</v>
      </c>
      <c r="L132" t="s">
        <v>1247</v>
      </c>
      <c r="M132" t="s">
        <v>137</v>
      </c>
      <c r="P132" t="s">
        <v>1248</v>
      </c>
      <c r="Q132" t="s">
        <v>1249</v>
      </c>
      <c r="R132" t="s">
        <v>1250</v>
      </c>
      <c r="S132" t="s">
        <v>1251</v>
      </c>
      <c r="T132">
        <v>2400</v>
      </c>
      <c r="U132">
        <v>350</v>
      </c>
      <c r="V132">
        <v>0</v>
      </c>
      <c r="AM132" t="s">
        <v>107</v>
      </c>
      <c r="BV132" t="s">
        <v>142</v>
      </c>
      <c r="CD132">
        <v>2400</v>
      </c>
      <c r="CO132">
        <v>0</v>
      </c>
      <c r="CP132">
        <v>0</v>
      </c>
      <c r="CR132" t="s">
        <v>143</v>
      </c>
      <c r="CS132">
        <v>0</v>
      </c>
    </row>
    <row r="133" spans="1:97" x14ac:dyDescent="0.2">
      <c r="A133" t="s">
        <v>1252</v>
      </c>
      <c r="B133">
        <v>150</v>
      </c>
      <c r="C133" t="s">
        <v>1253</v>
      </c>
      <c r="D133" t="s">
        <v>1254</v>
      </c>
      <c r="E133" t="s">
        <v>272</v>
      </c>
      <c r="F133" t="s">
        <v>126</v>
      </c>
      <c r="H133">
        <v>3</v>
      </c>
      <c r="I133">
        <v>4</v>
      </c>
      <c r="J133">
        <v>1</v>
      </c>
      <c r="K133" t="s">
        <v>102</v>
      </c>
      <c r="T133">
        <v>2650</v>
      </c>
      <c r="U133">
        <v>200</v>
      </c>
      <c r="V133">
        <v>0</v>
      </c>
      <c r="AM133" t="s">
        <v>107</v>
      </c>
      <c r="BV133" t="s">
        <v>142</v>
      </c>
      <c r="CD133">
        <v>2650</v>
      </c>
      <c r="CO133">
        <v>0</v>
      </c>
      <c r="CP133">
        <v>0</v>
      </c>
      <c r="CR133" t="s">
        <v>143</v>
      </c>
      <c r="CS133">
        <v>0</v>
      </c>
    </row>
    <row r="134" spans="1:97" x14ac:dyDescent="0.2">
      <c r="A134" t="s">
        <v>1255</v>
      </c>
      <c r="B134">
        <v>151</v>
      </c>
      <c r="C134" t="s">
        <v>1256</v>
      </c>
      <c r="D134" t="s">
        <v>1257</v>
      </c>
      <c r="E134" t="s">
        <v>147</v>
      </c>
      <c r="F134" t="s">
        <v>101</v>
      </c>
      <c r="H134">
        <v>3</v>
      </c>
      <c r="I134">
        <v>4</v>
      </c>
      <c r="J134">
        <v>1</v>
      </c>
      <c r="K134" t="s">
        <v>102</v>
      </c>
      <c r="P134" t="s">
        <v>1258</v>
      </c>
      <c r="Q134" t="s">
        <v>1259</v>
      </c>
      <c r="R134" t="s">
        <v>1260</v>
      </c>
      <c r="S134" t="s">
        <v>1261</v>
      </c>
      <c r="T134">
        <v>2165.2600000000002</v>
      </c>
      <c r="U134">
        <v>146.31</v>
      </c>
      <c r="V134">
        <v>0</v>
      </c>
      <c r="AM134" t="s">
        <v>107</v>
      </c>
      <c r="BV134" t="s">
        <v>142</v>
      </c>
      <c r="CD134">
        <v>2165.2600000000002</v>
      </c>
      <c r="CO134">
        <v>0</v>
      </c>
      <c r="CP134">
        <v>0</v>
      </c>
      <c r="CR134" t="s">
        <v>143</v>
      </c>
      <c r="CS134">
        <v>0</v>
      </c>
    </row>
    <row r="135" spans="1:97" x14ac:dyDescent="0.2">
      <c r="A135" t="s">
        <v>1262</v>
      </c>
      <c r="B135">
        <v>152</v>
      </c>
      <c r="C135" t="s">
        <v>1263</v>
      </c>
      <c r="D135" t="s">
        <v>1264</v>
      </c>
      <c r="E135" t="s">
        <v>1265</v>
      </c>
      <c r="F135" t="s">
        <v>126</v>
      </c>
      <c r="H135">
        <v>6</v>
      </c>
      <c r="I135">
        <v>7</v>
      </c>
      <c r="J135">
        <v>1</v>
      </c>
      <c r="K135" t="s">
        <v>102</v>
      </c>
      <c r="L135" t="s">
        <v>1266</v>
      </c>
      <c r="M135" t="s">
        <v>313</v>
      </c>
      <c r="T135">
        <v>4000</v>
      </c>
      <c r="U135">
        <v>0</v>
      </c>
      <c r="V135">
        <v>0</v>
      </c>
      <c r="AM135" t="s">
        <v>107</v>
      </c>
      <c r="BV135" t="s">
        <v>142</v>
      </c>
      <c r="CD135">
        <v>4000</v>
      </c>
      <c r="CO135">
        <v>0</v>
      </c>
      <c r="CP135">
        <v>0</v>
      </c>
      <c r="CR135" t="s">
        <v>143</v>
      </c>
      <c r="CS135">
        <v>0</v>
      </c>
    </row>
    <row r="136" spans="1:97" x14ac:dyDescent="0.2">
      <c r="A136" t="s">
        <v>1267</v>
      </c>
      <c r="B136">
        <v>153</v>
      </c>
      <c r="C136" t="s">
        <v>1268</v>
      </c>
      <c r="D136" t="s">
        <v>1269</v>
      </c>
      <c r="E136" t="s">
        <v>312</v>
      </c>
      <c r="F136" t="s">
        <v>101</v>
      </c>
      <c r="H136">
        <v>2</v>
      </c>
      <c r="I136">
        <v>2</v>
      </c>
      <c r="J136">
        <v>1</v>
      </c>
      <c r="K136" t="s">
        <v>102</v>
      </c>
      <c r="P136" t="s">
        <v>1270</v>
      </c>
      <c r="Q136" t="s">
        <v>1271</v>
      </c>
      <c r="R136" t="s">
        <v>1272</v>
      </c>
      <c r="S136" t="s">
        <v>1273</v>
      </c>
      <c r="T136">
        <v>3409.28</v>
      </c>
      <c r="U136">
        <v>234.76</v>
      </c>
      <c r="V136">
        <v>0</v>
      </c>
      <c r="W136">
        <v>602</v>
      </c>
      <c r="X136" t="s">
        <v>1274</v>
      </c>
      <c r="Y136" t="s">
        <v>109</v>
      </c>
      <c r="AA136" t="s">
        <v>1275</v>
      </c>
      <c r="AB136" t="s">
        <v>1276</v>
      </c>
      <c r="AF136" t="s">
        <v>115</v>
      </c>
      <c r="AI136" t="s">
        <v>1277</v>
      </c>
      <c r="AJ136">
        <v>600</v>
      </c>
      <c r="AM136" t="s">
        <v>120</v>
      </c>
      <c r="AO136">
        <v>1</v>
      </c>
      <c r="AT136">
        <v>1575</v>
      </c>
      <c r="AU136">
        <v>1575</v>
      </c>
      <c r="AV136">
        <v>1716.75</v>
      </c>
      <c r="AW136">
        <v>0.09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23</v>
      </c>
      <c r="BD136" t="s">
        <v>1278</v>
      </c>
      <c r="BE136" t="s">
        <v>109</v>
      </c>
      <c r="BI136" t="s">
        <v>1279</v>
      </c>
      <c r="BK136" t="s">
        <v>1280</v>
      </c>
      <c r="BL136" t="s">
        <v>115</v>
      </c>
      <c r="BO136" t="s">
        <v>1281</v>
      </c>
      <c r="BQ136">
        <v>453</v>
      </c>
      <c r="BR136" t="s">
        <v>1282</v>
      </c>
      <c r="BU136" t="s">
        <v>119</v>
      </c>
      <c r="BV136" t="s">
        <v>120</v>
      </c>
      <c r="BW136">
        <v>0</v>
      </c>
      <c r="BX136">
        <v>1800</v>
      </c>
      <c r="BY136">
        <v>1962</v>
      </c>
      <c r="BZ136">
        <v>0.09</v>
      </c>
      <c r="CA136">
        <v>100</v>
      </c>
      <c r="CB136">
        <v>0</v>
      </c>
      <c r="CC136">
        <v>0</v>
      </c>
      <c r="CD136">
        <v>3409.28</v>
      </c>
      <c r="CE136" t="s">
        <v>121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O136">
        <v>225</v>
      </c>
      <c r="CP136">
        <v>2700</v>
      </c>
      <c r="CQ136">
        <v>14.29</v>
      </c>
      <c r="CR136" t="s">
        <v>122</v>
      </c>
      <c r="CS136">
        <v>0</v>
      </c>
    </row>
    <row r="137" spans="1:97" x14ac:dyDescent="0.2">
      <c r="A137" t="s">
        <v>1267</v>
      </c>
      <c r="B137">
        <v>153</v>
      </c>
      <c r="C137" t="s">
        <v>1268</v>
      </c>
      <c r="D137" t="s">
        <v>1269</v>
      </c>
      <c r="E137" t="s">
        <v>312</v>
      </c>
      <c r="F137" t="s">
        <v>101</v>
      </c>
      <c r="H137">
        <v>2</v>
      </c>
      <c r="I137">
        <v>2</v>
      </c>
      <c r="J137">
        <v>1</v>
      </c>
      <c r="K137" t="s">
        <v>102</v>
      </c>
      <c r="P137" t="s">
        <v>1270</v>
      </c>
      <c r="Q137" t="s">
        <v>1271</v>
      </c>
      <c r="R137" t="s">
        <v>1272</v>
      </c>
      <c r="S137" t="s">
        <v>1273</v>
      </c>
      <c r="T137">
        <v>3409.28</v>
      </c>
      <c r="U137">
        <v>234.76</v>
      </c>
      <c r="V137">
        <v>0</v>
      </c>
      <c r="W137">
        <v>602</v>
      </c>
      <c r="X137" t="s">
        <v>1274</v>
      </c>
      <c r="Y137" t="s">
        <v>109</v>
      </c>
      <c r="AA137" t="s">
        <v>1275</v>
      </c>
      <c r="AB137" t="s">
        <v>1276</v>
      </c>
      <c r="AF137" t="s">
        <v>115</v>
      </c>
      <c r="AI137" t="s">
        <v>1277</v>
      </c>
      <c r="AJ137">
        <v>600</v>
      </c>
      <c r="AM137" t="s">
        <v>120</v>
      </c>
      <c r="AO137">
        <v>1</v>
      </c>
      <c r="AT137">
        <v>1575</v>
      </c>
      <c r="AU137">
        <v>1575</v>
      </c>
      <c r="AV137">
        <v>1716.75</v>
      </c>
      <c r="AW137">
        <v>0.09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298</v>
      </c>
      <c r="BD137" t="s">
        <v>1283</v>
      </c>
      <c r="BE137" t="s">
        <v>109</v>
      </c>
      <c r="BG137" t="s">
        <v>1284</v>
      </c>
      <c r="BH137" t="s">
        <v>1285</v>
      </c>
      <c r="BI137" t="s">
        <v>1286</v>
      </c>
      <c r="BK137" t="s">
        <v>568</v>
      </c>
      <c r="BL137" t="s">
        <v>115</v>
      </c>
      <c r="BQ137">
        <v>306</v>
      </c>
      <c r="BR137" t="s">
        <v>1287</v>
      </c>
      <c r="BU137" t="s">
        <v>119</v>
      </c>
      <c r="BV137" t="s">
        <v>120</v>
      </c>
      <c r="BW137">
        <v>1700</v>
      </c>
      <c r="BX137">
        <v>1700</v>
      </c>
      <c r="BY137">
        <v>2057</v>
      </c>
      <c r="BZ137">
        <v>0.21</v>
      </c>
      <c r="CA137">
        <v>100</v>
      </c>
      <c r="CB137">
        <v>0</v>
      </c>
      <c r="CC137">
        <v>250</v>
      </c>
      <c r="CD137">
        <v>1700</v>
      </c>
      <c r="CE137" t="s">
        <v>121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 t="s">
        <v>201</v>
      </c>
      <c r="CO137">
        <v>125</v>
      </c>
      <c r="CP137">
        <v>1500</v>
      </c>
      <c r="CQ137">
        <v>7.94</v>
      </c>
      <c r="CR137" t="s">
        <v>122</v>
      </c>
      <c r="CS137">
        <v>0</v>
      </c>
    </row>
    <row r="138" spans="1:97" x14ac:dyDescent="0.2">
      <c r="A138" t="s">
        <v>1267</v>
      </c>
      <c r="B138">
        <v>153</v>
      </c>
      <c r="C138" t="s">
        <v>1268</v>
      </c>
      <c r="D138" t="s">
        <v>1269</v>
      </c>
      <c r="E138" t="s">
        <v>312</v>
      </c>
      <c r="F138" t="s">
        <v>101</v>
      </c>
      <c r="H138">
        <v>2</v>
      </c>
      <c r="I138">
        <v>2</v>
      </c>
      <c r="J138">
        <v>1</v>
      </c>
      <c r="K138" t="s">
        <v>102</v>
      </c>
      <c r="P138" t="s">
        <v>1270</v>
      </c>
      <c r="Q138" t="s">
        <v>1271</v>
      </c>
      <c r="R138" t="s">
        <v>1272</v>
      </c>
      <c r="S138" t="s">
        <v>1273</v>
      </c>
      <c r="T138">
        <v>3409.28</v>
      </c>
      <c r="U138">
        <v>234.76</v>
      </c>
      <c r="V138">
        <v>0</v>
      </c>
      <c r="W138">
        <v>602</v>
      </c>
      <c r="X138" t="s">
        <v>1274</v>
      </c>
      <c r="Y138" t="s">
        <v>109</v>
      </c>
      <c r="AA138" t="s">
        <v>1275</v>
      </c>
      <c r="AB138" t="s">
        <v>1276</v>
      </c>
      <c r="AF138" t="s">
        <v>115</v>
      </c>
      <c r="AI138" t="s">
        <v>1277</v>
      </c>
      <c r="AJ138">
        <v>600</v>
      </c>
      <c r="AM138" t="s">
        <v>120</v>
      </c>
      <c r="AO138">
        <v>1</v>
      </c>
      <c r="AT138">
        <v>1575</v>
      </c>
      <c r="AU138">
        <v>1575</v>
      </c>
      <c r="AV138">
        <v>1716.75</v>
      </c>
      <c r="AW138">
        <v>0.09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298</v>
      </c>
      <c r="BD138" t="s">
        <v>1283</v>
      </c>
      <c r="BE138" t="s">
        <v>109</v>
      </c>
      <c r="BG138" t="s">
        <v>1284</v>
      </c>
      <c r="BH138" t="s">
        <v>1285</v>
      </c>
      <c r="BI138" t="s">
        <v>1286</v>
      </c>
      <c r="BK138" t="s">
        <v>568</v>
      </c>
      <c r="BL138" t="s">
        <v>115</v>
      </c>
      <c r="BQ138">
        <v>84</v>
      </c>
      <c r="BR138" t="s">
        <v>1287</v>
      </c>
      <c r="BS138" t="s">
        <v>1288</v>
      </c>
      <c r="BT138">
        <v>12</v>
      </c>
      <c r="BU138" t="s">
        <v>119</v>
      </c>
      <c r="BV138" t="s">
        <v>163</v>
      </c>
      <c r="BW138">
        <v>1700</v>
      </c>
      <c r="BX138">
        <v>1700</v>
      </c>
      <c r="BY138">
        <v>2057</v>
      </c>
      <c r="BZ138">
        <v>0.21</v>
      </c>
      <c r="CA138">
        <v>100</v>
      </c>
      <c r="CB138">
        <v>0</v>
      </c>
      <c r="CC138">
        <v>250</v>
      </c>
      <c r="CD138">
        <v>1700</v>
      </c>
      <c r="CE138" t="s">
        <v>121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 t="s">
        <v>201</v>
      </c>
      <c r="CO138">
        <v>125</v>
      </c>
      <c r="CP138">
        <v>1500</v>
      </c>
      <c r="CQ138">
        <v>7.94</v>
      </c>
      <c r="CR138" t="s">
        <v>168</v>
      </c>
      <c r="CS138">
        <v>351</v>
      </c>
    </row>
    <row r="139" spans="1:97" x14ac:dyDescent="0.2">
      <c r="A139" t="s">
        <v>1289</v>
      </c>
      <c r="B139">
        <v>154</v>
      </c>
      <c r="C139" t="s">
        <v>1290</v>
      </c>
      <c r="D139" t="s">
        <v>1291</v>
      </c>
      <c r="E139" t="s">
        <v>312</v>
      </c>
      <c r="F139" t="s">
        <v>101</v>
      </c>
      <c r="H139">
        <v>3</v>
      </c>
      <c r="I139">
        <v>3</v>
      </c>
      <c r="J139">
        <v>1</v>
      </c>
      <c r="K139" t="s">
        <v>102</v>
      </c>
      <c r="P139" t="s">
        <v>1270</v>
      </c>
      <c r="Q139" t="s">
        <v>1271</v>
      </c>
      <c r="R139" t="s">
        <v>1272</v>
      </c>
      <c r="S139" t="s">
        <v>1273</v>
      </c>
      <c r="T139">
        <v>2363.0700000000002</v>
      </c>
      <c r="U139">
        <v>100</v>
      </c>
      <c r="V139">
        <v>0</v>
      </c>
      <c r="AM139" t="s">
        <v>107</v>
      </c>
      <c r="BC139">
        <v>17</v>
      </c>
      <c r="BD139" t="s">
        <v>108</v>
      </c>
      <c r="BE139" t="s">
        <v>109</v>
      </c>
      <c r="BG139" t="s">
        <v>110</v>
      </c>
      <c r="BH139" t="s">
        <v>111</v>
      </c>
      <c r="BI139" t="s">
        <v>112</v>
      </c>
      <c r="BJ139" t="s">
        <v>113</v>
      </c>
      <c r="BK139" t="s">
        <v>114</v>
      </c>
      <c r="BL139" t="s">
        <v>115</v>
      </c>
      <c r="BM139" t="s">
        <v>116</v>
      </c>
      <c r="BO139" t="s">
        <v>117</v>
      </c>
      <c r="BQ139">
        <v>307</v>
      </c>
      <c r="BR139" t="s">
        <v>118</v>
      </c>
      <c r="BU139" t="s">
        <v>119</v>
      </c>
      <c r="BV139" t="s">
        <v>120</v>
      </c>
      <c r="BW139">
        <v>0</v>
      </c>
      <c r="BX139">
        <v>992.34</v>
      </c>
      <c r="BY139">
        <v>1081.6500000000001</v>
      </c>
      <c r="BZ139">
        <v>0.09</v>
      </c>
      <c r="CA139">
        <v>0</v>
      </c>
      <c r="CB139">
        <v>0</v>
      </c>
      <c r="CC139">
        <v>250</v>
      </c>
      <c r="CD139">
        <v>2363.0700000000002</v>
      </c>
      <c r="CE139" t="s">
        <v>121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 t="s">
        <v>201</v>
      </c>
      <c r="CO139">
        <v>992.34</v>
      </c>
      <c r="CP139">
        <v>11908.08</v>
      </c>
      <c r="CR139" t="s">
        <v>122</v>
      </c>
      <c r="CS139">
        <v>0</v>
      </c>
    </row>
    <row r="140" spans="1:97" x14ac:dyDescent="0.2">
      <c r="A140" t="s">
        <v>1292</v>
      </c>
      <c r="B140">
        <v>155</v>
      </c>
      <c r="C140" t="s">
        <v>1293</v>
      </c>
      <c r="D140" t="s">
        <v>1294</v>
      </c>
      <c r="E140" t="s">
        <v>312</v>
      </c>
      <c r="F140" t="s">
        <v>126</v>
      </c>
      <c r="H140">
        <v>2</v>
      </c>
      <c r="I140">
        <v>3</v>
      </c>
      <c r="J140">
        <v>1</v>
      </c>
      <c r="K140" t="s">
        <v>102</v>
      </c>
      <c r="L140" t="s">
        <v>1295</v>
      </c>
      <c r="M140" t="s">
        <v>137</v>
      </c>
      <c r="P140" t="s">
        <v>1296</v>
      </c>
      <c r="Q140" t="s">
        <v>1297</v>
      </c>
      <c r="R140" t="s">
        <v>1298</v>
      </c>
      <c r="S140" t="s">
        <v>1299</v>
      </c>
      <c r="T140">
        <v>1691.63</v>
      </c>
      <c r="U140">
        <v>331.67</v>
      </c>
      <c r="V140">
        <v>0</v>
      </c>
      <c r="W140">
        <v>258</v>
      </c>
      <c r="X140" t="s">
        <v>444</v>
      </c>
      <c r="Y140" t="s">
        <v>109</v>
      </c>
      <c r="AA140" t="s">
        <v>327</v>
      </c>
      <c r="AC140" t="s">
        <v>445</v>
      </c>
      <c r="AE140" t="s">
        <v>272</v>
      </c>
      <c r="AF140" t="s">
        <v>115</v>
      </c>
      <c r="AI140" t="s">
        <v>446</v>
      </c>
      <c r="AJ140">
        <v>545</v>
      </c>
      <c r="AM140" t="s">
        <v>120</v>
      </c>
      <c r="AO140">
        <v>1</v>
      </c>
      <c r="AT140">
        <v>1561.5</v>
      </c>
      <c r="AU140">
        <v>1561.5</v>
      </c>
      <c r="AV140">
        <v>1702.04</v>
      </c>
      <c r="AW140">
        <v>0.09</v>
      </c>
      <c r="AX140">
        <v>0</v>
      </c>
      <c r="AY140">
        <v>0</v>
      </c>
      <c r="AZ140">
        <v>0</v>
      </c>
      <c r="BA140">
        <v>0</v>
      </c>
      <c r="BB140">
        <v>0</v>
      </c>
      <c r="BV140" t="s">
        <v>142</v>
      </c>
      <c r="CD140">
        <v>1691.63</v>
      </c>
      <c r="CO140">
        <v>-1561.5</v>
      </c>
      <c r="CP140">
        <v>-18738</v>
      </c>
      <c r="CQ140">
        <v>-100</v>
      </c>
      <c r="CR140" t="s">
        <v>143</v>
      </c>
      <c r="CS140">
        <v>0</v>
      </c>
    </row>
    <row r="141" spans="1:97" x14ac:dyDescent="0.2">
      <c r="A141" t="s">
        <v>1300</v>
      </c>
      <c r="B141">
        <v>156</v>
      </c>
      <c r="C141" t="s">
        <v>1301</v>
      </c>
      <c r="D141" t="s">
        <v>1302</v>
      </c>
      <c r="E141" t="s">
        <v>942</v>
      </c>
      <c r="F141" t="s">
        <v>126</v>
      </c>
      <c r="H141">
        <v>4</v>
      </c>
      <c r="I141">
        <v>4</v>
      </c>
      <c r="J141">
        <v>1</v>
      </c>
      <c r="K141" t="s">
        <v>127</v>
      </c>
      <c r="L141" t="s">
        <v>1303</v>
      </c>
      <c r="M141" t="s">
        <v>137</v>
      </c>
      <c r="P141" t="s">
        <v>1304</v>
      </c>
      <c r="Q141" t="s">
        <v>1305</v>
      </c>
      <c r="R141" t="s">
        <v>1306</v>
      </c>
      <c r="S141" t="s">
        <v>1307</v>
      </c>
      <c r="T141">
        <v>2446.35</v>
      </c>
      <c r="U141">
        <v>0</v>
      </c>
      <c r="V141">
        <v>0</v>
      </c>
      <c r="W141">
        <v>803</v>
      </c>
      <c r="X141" t="s">
        <v>1308</v>
      </c>
      <c r="Y141" t="s">
        <v>109</v>
      </c>
      <c r="AJ141">
        <v>581</v>
      </c>
      <c r="AK141" t="s">
        <v>1309</v>
      </c>
      <c r="AL141" t="s">
        <v>1137</v>
      </c>
      <c r="AM141" t="s">
        <v>163</v>
      </c>
      <c r="AO141">
        <v>1</v>
      </c>
      <c r="AT141">
        <v>2130.7800000000002</v>
      </c>
      <c r="AU141">
        <v>2130.7800000000002</v>
      </c>
      <c r="AV141">
        <v>2322.5500000000002</v>
      </c>
      <c r="AW141">
        <v>0.09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276</v>
      </c>
      <c r="BD141" t="s">
        <v>1310</v>
      </c>
      <c r="BE141" t="s">
        <v>109</v>
      </c>
      <c r="BG141" t="s">
        <v>1311</v>
      </c>
      <c r="BH141" t="s">
        <v>1312</v>
      </c>
      <c r="BI141" t="s">
        <v>1313</v>
      </c>
      <c r="BK141" t="s">
        <v>1314</v>
      </c>
      <c r="BL141" t="s">
        <v>115</v>
      </c>
      <c r="BM141" t="s">
        <v>1315</v>
      </c>
      <c r="BO141" t="s">
        <v>1316</v>
      </c>
      <c r="BQ141">
        <v>67</v>
      </c>
      <c r="BR141" t="s">
        <v>1309</v>
      </c>
      <c r="BS141" t="s">
        <v>1137</v>
      </c>
      <c r="BT141">
        <v>12</v>
      </c>
      <c r="BU141" t="s">
        <v>119</v>
      </c>
      <c r="BV141" t="s">
        <v>163</v>
      </c>
      <c r="BW141">
        <v>2446.35</v>
      </c>
      <c r="BX141">
        <v>2446.35</v>
      </c>
      <c r="BY141">
        <v>2666.52</v>
      </c>
      <c r="BZ141">
        <v>0.09</v>
      </c>
      <c r="CA141">
        <v>0</v>
      </c>
      <c r="CB141">
        <v>0</v>
      </c>
      <c r="CC141">
        <v>0</v>
      </c>
      <c r="CD141">
        <v>2446.35</v>
      </c>
      <c r="CE141" t="s">
        <v>181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O141">
        <v>315.56999999999971</v>
      </c>
      <c r="CP141">
        <v>3786.839999999997</v>
      </c>
      <c r="CQ141">
        <v>14.81</v>
      </c>
      <c r="CR141" t="s">
        <v>1146</v>
      </c>
      <c r="CS141">
        <v>37</v>
      </c>
    </row>
    <row r="142" spans="1:97" x14ac:dyDescent="0.2">
      <c r="A142" t="s">
        <v>1317</v>
      </c>
      <c r="B142">
        <v>157</v>
      </c>
      <c r="C142" t="s">
        <v>1318</v>
      </c>
      <c r="E142" t="s">
        <v>1319</v>
      </c>
      <c r="F142" t="s">
        <v>126</v>
      </c>
      <c r="H142">
        <v>2</v>
      </c>
      <c r="I142">
        <v>4</v>
      </c>
      <c r="J142">
        <v>1</v>
      </c>
      <c r="K142" t="s">
        <v>102</v>
      </c>
      <c r="T142">
        <v>2500</v>
      </c>
      <c r="U142">
        <v>200</v>
      </c>
      <c r="V142">
        <v>0</v>
      </c>
      <c r="AM142" t="s">
        <v>107</v>
      </c>
      <c r="BV142" t="s">
        <v>142</v>
      </c>
      <c r="CD142">
        <v>2500</v>
      </c>
      <c r="CO142">
        <v>0</v>
      </c>
      <c r="CP142">
        <v>0</v>
      </c>
      <c r="CR142" t="s">
        <v>143</v>
      </c>
      <c r="CS142">
        <v>0</v>
      </c>
    </row>
    <row r="143" spans="1:97" x14ac:dyDescent="0.2">
      <c r="A143" t="s">
        <v>1320</v>
      </c>
      <c r="B143">
        <v>158</v>
      </c>
      <c r="C143" t="s">
        <v>1321</v>
      </c>
      <c r="D143" t="s">
        <v>1322</v>
      </c>
      <c r="E143" t="s">
        <v>609</v>
      </c>
      <c r="F143" t="s">
        <v>126</v>
      </c>
      <c r="H143">
        <v>6</v>
      </c>
      <c r="I143">
        <v>6</v>
      </c>
      <c r="J143">
        <v>1</v>
      </c>
      <c r="K143" t="s">
        <v>127</v>
      </c>
      <c r="L143" t="s">
        <v>1323</v>
      </c>
      <c r="M143" t="s">
        <v>313</v>
      </c>
      <c r="T143">
        <v>4750</v>
      </c>
      <c r="U143">
        <v>350</v>
      </c>
      <c r="V143">
        <v>0</v>
      </c>
      <c r="W143">
        <v>164</v>
      </c>
      <c r="X143" t="s">
        <v>1324</v>
      </c>
      <c r="Y143" t="s">
        <v>109</v>
      </c>
      <c r="AA143" t="s">
        <v>1325</v>
      </c>
      <c r="AB143" t="s">
        <v>1326</v>
      </c>
      <c r="AC143" t="s">
        <v>1327</v>
      </c>
      <c r="AE143" t="s">
        <v>1328</v>
      </c>
      <c r="AF143" t="s">
        <v>115</v>
      </c>
      <c r="AI143" t="s">
        <v>1329</v>
      </c>
      <c r="AJ143">
        <v>757</v>
      </c>
      <c r="AM143" t="s">
        <v>120</v>
      </c>
      <c r="AO143">
        <v>1</v>
      </c>
      <c r="AT143">
        <v>0</v>
      </c>
      <c r="AU143">
        <v>2705</v>
      </c>
      <c r="AV143">
        <v>2948.45</v>
      </c>
      <c r="AW143">
        <v>0.09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89</v>
      </c>
      <c r="BD143" t="s">
        <v>1330</v>
      </c>
      <c r="BE143" t="s">
        <v>1072</v>
      </c>
      <c r="BQ143">
        <v>253</v>
      </c>
      <c r="BR143" t="s">
        <v>1331</v>
      </c>
      <c r="BS143" t="s">
        <v>429</v>
      </c>
      <c r="BT143">
        <v>12</v>
      </c>
      <c r="BU143" t="s">
        <v>119</v>
      </c>
      <c r="BV143" t="s">
        <v>163</v>
      </c>
      <c r="BW143">
        <v>3325</v>
      </c>
      <c r="BX143">
        <v>3675</v>
      </c>
      <c r="BY143">
        <v>4005.75</v>
      </c>
      <c r="BZ143">
        <v>0.09</v>
      </c>
      <c r="CA143">
        <v>350</v>
      </c>
      <c r="CB143">
        <v>0</v>
      </c>
      <c r="CC143">
        <v>375</v>
      </c>
      <c r="CD143">
        <v>4750</v>
      </c>
      <c r="CE143" t="s">
        <v>121</v>
      </c>
      <c r="CF143">
        <v>1</v>
      </c>
      <c r="CG143">
        <v>1</v>
      </c>
      <c r="CH143">
        <v>1</v>
      </c>
      <c r="CI143">
        <v>0</v>
      </c>
      <c r="CJ143">
        <v>0</v>
      </c>
      <c r="CK143">
        <v>0</v>
      </c>
      <c r="CL143">
        <v>1</v>
      </c>
      <c r="CM143">
        <v>0</v>
      </c>
      <c r="CN143" t="s">
        <v>182</v>
      </c>
      <c r="CO143">
        <v>970</v>
      </c>
      <c r="CP143">
        <v>11640</v>
      </c>
      <c r="CQ143">
        <v>35.86</v>
      </c>
      <c r="CR143" t="s">
        <v>168</v>
      </c>
      <c r="CS143">
        <v>260</v>
      </c>
    </row>
    <row r="144" spans="1:97" x14ac:dyDescent="0.2">
      <c r="A144" t="s">
        <v>1332</v>
      </c>
      <c r="B144">
        <v>159</v>
      </c>
      <c r="C144" t="s">
        <v>1333</v>
      </c>
      <c r="D144" t="s">
        <v>1334</v>
      </c>
      <c r="E144" t="s">
        <v>243</v>
      </c>
      <c r="F144" t="s">
        <v>126</v>
      </c>
      <c r="H144">
        <v>3</v>
      </c>
      <c r="I144">
        <v>5</v>
      </c>
      <c r="J144">
        <v>1</v>
      </c>
      <c r="K144" t="s">
        <v>127</v>
      </c>
      <c r="P144" t="s">
        <v>1335</v>
      </c>
      <c r="Q144" t="s">
        <v>1336</v>
      </c>
      <c r="R144" t="s">
        <v>1337</v>
      </c>
      <c r="S144" t="s">
        <v>1338</v>
      </c>
      <c r="T144">
        <v>3033.31</v>
      </c>
      <c r="U144">
        <v>275.99</v>
      </c>
      <c r="V144">
        <v>0</v>
      </c>
      <c r="AM144" t="s">
        <v>107</v>
      </c>
      <c r="BC144">
        <v>17</v>
      </c>
      <c r="BD144" t="s">
        <v>108</v>
      </c>
      <c r="BE144" t="s">
        <v>109</v>
      </c>
      <c r="BG144" t="s">
        <v>110</v>
      </c>
      <c r="BH144" t="s">
        <v>111</v>
      </c>
      <c r="BI144" t="s">
        <v>112</v>
      </c>
      <c r="BJ144" t="s">
        <v>113</v>
      </c>
      <c r="BK144" t="s">
        <v>114</v>
      </c>
      <c r="BL144" t="s">
        <v>115</v>
      </c>
      <c r="BM144" t="s">
        <v>116</v>
      </c>
      <c r="BO144" t="s">
        <v>117</v>
      </c>
      <c r="BQ144">
        <v>422</v>
      </c>
      <c r="BR144" t="s">
        <v>118</v>
      </c>
      <c r="BU144" t="s">
        <v>119</v>
      </c>
      <c r="BV144" t="s">
        <v>120</v>
      </c>
      <c r="BW144">
        <v>3157.68</v>
      </c>
      <c r="BX144">
        <v>3457.68</v>
      </c>
      <c r="BY144">
        <v>3768.87</v>
      </c>
      <c r="BZ144">
        <v>0.09</v>
      </c>
      <c r="CA144">
        <v>300</v>
      </c>
      <c r="CB144">
        <v>0</v>
      </c>
      <c r="CC144">
        <v>0</v>
      </c>
      <c r="CD144">
        <v>3033.31</v>
      </c>
      <c r="CE144" t="s">
        <v>121</v>
      </c>
      <c r="CF144">
        <v>1</v>
      </c>
      <c r="CG144">
        <v>1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O144">
        <v>3457.68</v>
      </c>
      <c r="CP144">
        <v>41492.160000000003</v>
      </c>
      <c r="CR144" t="s">
        <v>122</v>
      </c>
      <c r="CS144">
        <v>0</v>
      </c>
    </row>
    <row r="145" spans="1:97" x14ac:dyDescent="0.2">
      <c r="A145" t="s">
        <v>1339</v>
      </c>
      <c r="B145">
        <v>160</v>
      </c>
      <c r="C145" t="s">
        <v>1340</v>
      </c>
      <c r="D145" t="s">
        <v>1341</v>
      </c>
      <c r="E145" t="s">
        <v>155</v>
      </c>
      <c r="F145" t="s">
        <v>126</v>
      </c>
      <c r="H145">
        <v>5</v>
      </c>
      <c r="I145">
        <v>5</v>
      </c>
      <c r="J145">
        <v>1</v>
      </c>
      <c r="K145" t="s">
        <v>127</v>
      </c>
      <c r="L145" t="s">
        <v>1342</v>
      </c>
      <c r="M145" t="s">
        <v>137</v>
      </c>
      <c r="P145" t="s">
        <v>1343</v>
      </c>
      <c r="Q145" t="s">
        <v>1344</v>
      </c>
      <c r="R145" t="s">
        <v>1345</v>
      </c>
      <c r="S145" t="s">
        <v>1346</v>
      </c>
      <c r="T145">
        <v>3955.8</v>
      </c>
      <c r="U145">
        <v>300</v>
      </c>
      <c r="V145">
        <v>0</v>
      </c>
      <c r="AM145" t="s">
        <v>107</v>
      </c>
      <c r="BV145" t="s">
        <v>142</v>
      </c>
      <c r="CD145">
        <v>3955.8</v>
      </c>
      <c r="CO145">
        <v>0</v>
      </c>
      <c r="CP145">
        <v>0</v>
      </c>
      <c r="CR145" t="s">
        <v>143</v>
      </c>
      <c r="CS145">
        <v>0</v>
      </c>
    </row>
    <row r="146" spans="1:97" x14ac:dyDescent="0.2">
      <c r="A146" t="s">
        <v>1347</v>
      </c>
      <c r="B146">
        <v>161</v>
      </c>
      <c r="C146" t="s">
        <v>1348</v>
      </c>
      <c r="D146" t="s">
        <v>1349</v>
      </c>
      <c r="E146" t="s">
        <v>1350</v>
      </c>
      <c r="F146" t="s">
        <v>126</v>
      </c>
      <c r="H146">
        <v>4</v>
      </c>
      <c r="I146">
        <v>4</v>
      </c>
      <c r="J146">
        <v>1</v>
      </c>
      <c r="K146" t="s">
        <v>127</v>
      </c>
      <c r="L146" t="s">
        <v>1351</v>
      </c>
      <c r="M146" t="s">
        <v>137</v>
      </c>
      <c r="P146" t="s">
        <v>1352</v>
      </c>
      <c r="Q146" t="s">
        <v>1353</v>
      </c>
      <c r="R146" t="s">
        <v>1354</v>
      </c>
      <c r="S146" t="s">
        <v>1355</v>
      </c>
      <c r="T146">
        <v>2700</v>
      </c>
      <c r="U146">
        <v>300</v>
      </c>
      <c r="V146">
        <v>0</v>
      </c>
      <c r="AM146" t="s">
        <v>107</v>
      </c>
      <c r="BC146">
        <v>346</v>
      </c>
      <c r="BD146" t="s">
        <v>1356</v>
      </c>
      <c r="BE146" t="s">
        <v>109</v>
      </c>
      <c r="BG146" t="s">
        <v>1357</v>
      </c>
      <c r="BH146" t="s">
        <v>1358</v>
      </c>
      <c r="BI146" t="s">
        <v>1359</v>
      </c>
      <c r="BK146" t="s">
        <v>1360</v>
      </c>
      <c r="BL146" t="s">
        <v>115</v>
      </c>
      <c r="BM146" t="s">
        <v>1361</v>
      </c>
      <c r="BQ146">
        <v>261</v>
      </c>
      <c r="BR146" t="s">
        <v>521</v>
      </c>
      <c r="BS146" t="s">
        <v>1078</v>
      </c>
      <c r="BT146">
        <v>2</v>
      </c>
      <c r="BU146" t="s">
        <v>119</v>
      </c>
      <c r="BV146" t="s">
        <v>483</v>
      </c>
      <c r="BW146">
        <v>0</v>
      </c>
      <c r="BX146">
        <v>300</v>
      </c>
      <c r="BY146">
        <v>327</v>
      </c>
      <c r="BZ146">
        <v>0.09</v>
      </c>
      <c r="CA146">
        <v>300</v>
      </c>
      <c r="CB146">
        <v>0</v>
      </c>
      <c r="CC146">
        <v>375</v>
      </c>
      <c r="CD146">
        <v>2700</v>
      </c>
      <c r="CE146" t="s">
        <v>121</v>
      </c>
      <c r="CF146">
        <v>1</v>
      </c>
      <c r="CG146">
        <v>1</v>
      </c>
      <c r="CH146">
        <v>1</v>
      </c>
      <c r="CI146">
        <v>0</v>
      </c>
      <c r="CJ146">
        <v>0</v>
      </c>
      <c r="CK146">
        <v>0</v>
      </c>
      <c r="CL146">
        <v>1</v>
      </c>
      <c r="CM146">
        <v>0</v>
      </c>
      <c r="CN146" t="s">
        <v>182</v>
      </c>
      <c r="CO146">
        <v>300</v>
      </c>
      <c r="CP146">
        <v>3600</v>
      </c>
      <c r="CR146" t="s">
        <v>143</v>
      </c>
      <c r="CS146">
        <v>0</v>
      </c>
    </row>
    <row r="147" spans="1:97" x14ac:dyDescent="0.2">
      <c r="A147" t="s">
        <v>1362</v>
      </c>
      <c r="B147">
        <v>162</v>
      </c>
      <c r="C147" t="s">
        <v>1363</v>
      </c>
      <c r="D147" t="s">
        <v>1364</v>
      </c>
      <c r="E147" t="s">
        <v>1365</v>
      </c>
      <c r="F147" t="s">
        <v>126</v>
      </c>
      <c r="H147">
        <v>4</v>
      </c>
      <c r="I147">
        <v>4</v>
      </c>
      <c r="J147">
        <v>1</v>
      </c>
      <c r="K147" t="s">
        <v>127</v>
      </c>
      <c r="L147" t="s">
        <v>1366</v>
      </c>
      <c r="M147" t="s">
        <v>137</v>
      </c>
      <c r="T147">
        <v>2394.3000000000002</v>
      </c>
      <c r="U147">
        <v>350</v>
      </c>
      <c r="V147">
        <v>0</v>
      </c>
      <c r="AM147" t="s">
        <v>107</v>
      </c>
      <c r="BV147" t="s">
        <v>142</v>
      </c>
      <c r="CD147">
        <v>2394.3000000000002</v>
      </c>
      <c r="CO147">
        <v>0</v>
      </c>
      <c r="CP147">
        <v>0</v>
      </c>
      <c r="CR147" t="s">
        <v>143</v>
      </c>
      <c r="CS147">
        <v>0</v>
      </c>
    </row>
    <row r="148" spans="1:97" x14ac:dyDescent="0.2">
      <c r="A148" t="s">
        <v>1367</v>
      </c>
      <c r="B148">
        <v>163</v>
      </c>
      <c r="C148" t="s">
        <v>1368</v>
      </c>
      <c r="D148" t="s">
        <v>1369</v>
      </c>
      <c r="E148" t="s">
        <v>696</v>
      </c>
      <c r="F148" t="s">
        <v>126</v>
      </c>
      <c r="H148">
        <v>3</v>
      </c>
      <c r="I148">
        <v>3</v>
      </c>
      <c r="J148">
        <v>1</v>
      </c>
      <c r="K148" t="s">
        <v>127</v>
      </c>
      <c r="L148" t="s">
        <v>1370</v>
      </c>
      <c r="M148" t="s">
        <v>137</v>
      </c>
      <c r="P148" t="s">
        <v>1371</v>
      </c>
      <c r="Q148" t="s">
        <v>1372</v>
      </c>
      <c r="R148" t="s">
        <v>1373</v>
      </c>
      <c r="S148" t="s">
        <v>1374</v>
      </c>
      <c r="T148">
        <v>2000</v>
      </c>
      <c r="U148">
        <v>200</v>
      </c>
      <c r="V148">
        <v>0</v>
      </c>
      <c r="AM148" t="s">
        <v>107</v>
      </c>
      <c r="BV148" t="s">
        <v>142</v>
      </c>
      <c r="CD148">
        <v>2000</v>
      </c>
      <c r="CO148">
        <v>0</v>
      </c>
      <c r="CP148">
        <v>0</v>
      </c>
      <c r="CR148" t="s">
        <v>143</v>
      </c>
      <c r="CS148">
        <v>0</v>
      </c>
    </row>
    <row r="149" spans="1:97" x14ac:dyDescent="0.2">
      <c r="A149" t="s">
        <v>1375</v>
      </c>
      <c r="B149">
        <v>164</v>
      </c>
      <c r="C149" t="s">
        <v>1376</v>
      </c>
      <c r="D149" t="s">
        <v>1377</v>
      </c>
      <c r="E149" t="s">
        <v>1378</v>
      </c>
      <c r="F149" t="s">
        <v>101</v>
      </c>
      <c r="H149">
        <v>6</v>
      </c>
      <c r="I149">
        <v>6</v>
      </c>
      <c r="J149">
        <v>1</v>
      </c>
      <c r="K149" t="s">
        <v>127</v>
      </c>
      <c r="L149" t="s">
        <v>1379</v>
      </c>
      <c r="M149" t="s">
        <v>137</v>
      </c>
      <c r="P149" t="s">
        <v>1380</v>
      </c>
      <c r="Q149" t="s">
        <v>1381</v>
      </c>
      <c r="R149" t="s">
        <v>1382</v>
      </c>
      <c r="S149" t="s">
        <v>1383</v>
      </c>
      <c r="T149">
        <v>3800</v>
      </c>
      <c r="U149">
        <v>400</v>
      </c>
      <c r="V149">
        <v>0</v>
      </c>
      <c r="W149">
        <v>135</v>
      </c>
      <c r="X149" t="s">
        <v>1384</v>
      </c>
      <c r="Y149" t="s">
        <v>109</v>
      </c>
      <c r="AA149" t="s">
        <v>1385</v>
      </c>
      <c r="AC149" t="s">
        <v>1386</v>
      </c>
      <c r="AE149" t="s">
        <v>1387</v>
      </c>
      <c r="AF149" t="s">
        <v>115</v>
      </c>
      <c r="AI149" t="s">
        <v>1388</v>
      </c>
      <c r="AJ149">
        <v>730</v>
      </c>
      <c r="AK149" t="s">
        <v>1389</v>
      </c>
      <c r="AM149" t="s">
        <v>120</v>
      </c>
      <c r="AO149">
        <v>1</v>
      </c>
      <c r="AT149">
        <v>3000</v>
      </c>
      <c r="AU149">
        <v>3000</v>
      </c>
      <c r="AV149">
        <v>3270</v>
      </c>
      <c r="AW149">
        <v>0.09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320</v>
      </c>
      <c r="BD149" t="s">
        <v>1180</v>
      </c>
      <c r="BE149" t="s">
        <v>109</v>
      </c>
      <c r="BG149" t="s">
        <v>1181</v>
      </c>
      <c r="BH149" t="s">
        <v>1182</v>
      </c>
      <c r="BI149" t="s">
        <v>1183</v>
      </c>
      <c r="BK149" t="s">
        <v>427</v>
      </c>
      <c r="BL149" t="s">
        <v>115</v>
      </c>
      <c r="BM149" t="s">
        <v>1184</v>
      </c>
      <c r="BQ149">
        <v>223</v>
      </c>
      <c r="BR149" t="s">
        <v>1389</v>
      </c>
      <c r="BS149" t="s">
        <v>1390</v>
      </c>
      <c r="BT149">
        <v>12</v>
      </c>
      <c r="BU149" t="s">
        <v>119</v>
      </c>
      <c r="BV149" t="s">
        <v>163</v>
      </c>
      <c r="BW149">
        <v>3800</v>
      </c>
      <c r="BX149">
        <v>4200</v>
      </c>
      <c r="BY149">
        <v>4578</v>
      </c>
      <c r="BZ149">
        <v>0.09</v>
      </c>
      <c r="CA149">
        <v>400</v>
      </c>
      <c r="CB149">
        <v>0</v>
      </c>
      <c r="CC149">
        <v>375</v>
      </c>
      <c r="CD149">
        <v>3800</v>
      </c>
      <c r="CE149" t="s">
        <v>121</v>
      </c>
      <c r="CF149">
        <v>1</v>
      </c>
      <c r="CG149">
        <v>1</v>
      </c>
      <c r="CH149">
        <v>1</v>
      </c>
      <c r="CI149">
        <v>0</v>
      </c>
      <c r="CJ149">
        <v>0</v>
      </c>
      <c r="CK149">
        <v>0</v>
      </c>
      <c r="CL149">
        <v>1</v>
      </c>
      <c r="CM149">
        <v>0</v>
      </c>
      <c r="CN149" t="s">
        <v>182</v>
      </c>
      <c r="CO149">
        <v>1200</v>
      </c>
      <c r="CP149">
        <v>14400</v>
      </c>
      <c r="CQ149">
        <v>40</v>
      </c>
      <c r="CR149" t="s">
        <v>1146</v>
      </c>
      <c r="CS149">
        <v>59</v>
      </c>
    </row>
    <row r="150" spans="1:97" x14ac:dyDescent="0.2">
      <c r="A150" t="s">
        <v>1391</v>
      </c>
      <c r="B150">
        <v>165</v>
      </c>
      <c r="C150" t="s">
        <v>1392</v>
      </c>
      <c r="D150" t="s">
        <v>1393</v>
      </c>
      <c r="E150" t="s">
        <v>942</v>
      </c>
      <c r="F150" t="s">
        <v>126</v>
      </c>
      <c r="H150">
        <v>4</v>
      </c>
      <c r="I150">
        <v>5</v>
      </c>
      <c r="J150">
        <v>1</v>
      </c>
      <c r="K150" t="s">
        <v>127</v>
      </c>
      <c r="L150" t="s">
        <v>1394</v>
      </c>
      <c r="P150" t="s">
        <v>1395</v>
      </c>
      <c r="Q150" t="s">
        <v>1396</v>
      </c>
      <c r="R150" t="s">
        <v>1397</v>
      </c>
      <c r="S150" t="s">
        <v>1398</v>
      </c>
      <c r="T150">
        <v>2928.69</v>
      </c>
      <c r="U150">
        <v>250</v>
      </c>
      <c r="V150">
        <v>0</v>
      </c>
      <c r="AM150" t="s">
        <v>107</v>
      </c>
      <c r="BV150" t="s">
        <v>142</v>
      </c>
      <c r="CD150">
        <v>2928.69</v>
      </c>
      <c r="CO150">
        <v>0</v>
      </c>
      <c r="CP150">
        <v>0</v>
      </c>
      <c r="CR150" t="s">
        <v>143</v>
      </c>
      <c r="CS150">
        <v>0</v>
      </c>
    </row>
    <row r="151" spans="1:97" x14ac:dyDescent="0.2">
      <c r="A151" t="s">
        <v>1399</v>
      </c>
      <c r="B151">
        <v>166</v>
      </c>
      <c r="C151" t="s">
        <v>1400</v>
      </c>
      <c r="D151" t="s">
        <v>1401</v>
      </c>
      <c r="E151" t="s">
        <v>1203</v>
      </c>
      <c r="F151" t="s">
        <v>126</v>
      </c>
      <c r="H151">
        <v>5</v>
      </c>
      <c r="I151">
        <v>5</v>
      </c>
      <c r="J151">
        <v>1</v>
      </c>
      <c r="K151" t="s">
        <v>127</v>
      </c>
      <c r="L151" t="s">
        <v>1402</v>
      </c>
      <c r="M151" t="s">
        <v>137</v>
      </c>
      <c r="T151">
        <v>2875</v>
      </c>
      <c r="U151">
        <v>300</v>
      </c>
      <c r="V151">
        <v>0</v>
      </c>
      <c r="W151">
        <v>848</v>
      </c>
      <c r="X151" t="s">
        <v>1403</v>
      </c>
      <c r="Y151" t="s">
        <v>109</v>
      </c>
      <c r="AA151" t="s">
        <v>1404</v>
      </c>
      <c r="AB151" t="s">
        <v>1405</v>
      </c>
      <c r="AJ151">
        <v>610</v>
      </c>
      <c r="AK151" t="s">
        <v>1406</v>
      </c>
      <c r="AL151" t="s">
        <v>1407</v>
      </c>
      <c r="AM151" t="s">
        <v>163</v>
      </c>
      <c r="AO151">
        <v>1</v>
      </c>
      <c r="AT151">
        <v>2472.38</v>
      </c>
      <c r="AU151">
        <v>2472.38</v>
      </c>
      <c r="AV151">
        <v>2694.89</v>
      </c>
      <c r="AW151">
        <v>0.09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30</v>
      </c>
      <c r="BD151" t="s">
        <v>1408</v>
      </c>
      <c r="BE151" t="s">
        <v>109</v>
      </c>
      <c r="BG151" t="s">
        <v>1409</v>
      </c>
      <c r="BH151" t="s">
        <v>1410</v>
      </c>
      <c r="BI151" t="s">
        <v>1411</v>
      </c>
      <c r="BK151" t="s">
        <v>233</v>
      </c>
      <c r="BL151" t="s">
        <v>115</v>
      </c>
      <c r="BM151" t="s">
        <v>1412</v>
      </c>
      <c r="BO151" t="s">
        <v>1413</v>
      </c>
      <c r="BQ151">
        <v>94</v>
      </c>
      <c r="BR151" t="s">
        <v>1406</v>
      </c>
      <c r="BS151" t="s">
        <v>1407</v>
      </c>
      <c r="BT151">
        <v>6</v>
      </c>
      <c r="BU151" t="s">
        <v>119</v>
      </c>
      <c r="BV151" t="s">
        <v>163</v>
      </c>
      <c r="BW151">
        <v>2875</v>
      </c>
      <c r="BX151">
        <v>3175</v>
      </c>
      <c r="BY151">
        <v>3460.75</v>
      </c>
      <c r="BZ151">
        <v>0.09</v>
      </c>
      <c r="CA151">
        <v>300</v>
      </c>
      <c r="CB151">
        <v>0</v>
      </c>
      <c r="CC151">
        <v>375</v>
      </c>
      <c r="CD151">
        <v>2875</v>
      </c>
      <c r="CE151" t="s">
        <v>121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 t="s">
        <v>182</v>
      </c>
      <c r="CO151">
        <v>702.61999999999989</v>
      </c>
      <c r="CP151">
        <v>8431.4399999999987</v>
      </c>
      <c r="CQ151">
        <v>28.42</v>
      </c>
      <c r="CR151" t="s">
        <v>168</v>
      </c>
      <c r="CS151">
        <v>343</v>
      </c>
    </row>
    <row r="152" spans="1:97" x14ac:dyDescent="0.2">
      <c r="A152" t="s">
        <v>1414</v>
      </c>
      <c r="B152">
        <v>167</v>
      </c>
      <c r="C152" t="s">
        <v>1415</v>
      </c>
      <c r="D152" t="s">
        <v>1416</v>
      </c>
      <c r="E152" t="s">
        <v>100</v>
      </c>
      <c r="F152" t="s">
        <v>126</v>
      </c>
      <c r="H152">
        <v>4</v>
      </c>
      <c r="I152">
        <v>6</v>
      </c>
      <c r="J152">
        <v>1</v>
      </c>
      <c r="K152" t="s">
        <v>102</v>
      </c>
      <c r="L152" t="s">
        <v>1417</v>
      </c>
      <c r="P152" t="s">
        <v>1418</v>
      </c>
      <c r="Q152" t="s">
        <v>1419</v>
      </c>
      <c r="R152" t="s">
        <v>1420</v>
      </c>
      <c r="S152" t="s">
        <v>1421</v>
      </c>
      <c r="T152">
        <v>1977.9</v>
      </c>
      <c r="U152">
        <v>350</v>
      </c>
      <c r="V152">
        <v>0</v>
      </c>
      <c r="AM152" t="s">
        <v>107</v>
      </c>
      <c r="BV152" t="s">
        <v>142</v>
      </c>
      <c r="CD152">
        <v>1977.9</v>
      </c>
      <c r="CO152">
        <v>0</v>
      </c>
      <c r="CP152">
        <v>0</v>
      </c>
      <c r="CR152" t="s">
        <v>143</v>
      </c>
      <c r="CS152">
        <v>0</v>
      </c>
    </row>
    <row r="153" spans="1:97" x14ac:dyDescent="0.2">
      <c r="A153" t="s">
        <v>1422</v>
      </c>
      <c r="B153">
        <v>168</v>
      </c>
      <c r="C153" t="s">
        <v>1423</v>
      </c>
      <c r="D153" t="s">
        <v>1424</v>
      </c>
      <c r="E153" t="s">
        <v>147</v>
      </c>
      <c r="F153" t="s">
        <v>101</v>
      </c>
      <c r="I153">
        <v>4</v>
      </c>
      <c r="J153">
        <v>1</v>
      </c>
      <c r="K153" t="s">
        <v>127</v>
      </c>
      <c r="P153" t="s">
        <v>1425</v>
      </c>
      <c r="T153">
        <v>0</v>
      </c>
      <c r="U153">
        <v>69.48</v>
      </c>
      <c r="V153">
        <v>0</v>
      </c>
      <c r="AM153" t="s">
        <v>107</v>
      </c>
      <c r="BC153">
        <v>17</v>
      </c>
      <c r="BD153" t="s">
        <v>108</v>
      </c>
      <c r="BE153" t="s">
        <v>109</v>
      </c>
      <c r="BG153" t="s">
        <v>110</v>
      </c>
      <c r="BH153" t="s">
        <v>111</v>
      </c>
      <c r="BI153" t="s">
        <v>112</v>
      </c>
      <c r="BJ153" t="s">
        <v>113</v>
      </c>
      <c r="BK153" t="s">
        <v>114</v>
      </c>
      <c r="BL153" t="s">
        <v>115</v>
      </c>
      <c r="BM153" t="s">
        <v>116</v>
      </c>
      <c r="BO153" t="s">
        <v>117</v>
      </c>
      <c r="BQ153">
        <v>3</v>
      </c>
      <c r="BR153" t="s">
        <v>481</v>
      </c>
      <c r="BU153" t="s">
        <v>216</v>
      </c>
      <c r="BV153" t="s">
        <v>120</v>
      </c>
      <c r="BW153">
        <v>0</v>
      </c>
      <c r="BX153">
        <v>0</v>
      </c>
      <c r="BY153">
        <v>0</v>
      </c>
      <c r="BZ153">
        <v>0.09</v>
      </c>
      <c r="CA153">
        <v>179.57</v>
      </c>
      <c r="CB153">
        <v>67.349999999999994</v>
      </c>
      <c r="CC153">
        <v>0</v>
      </c>
      <c r="CD153">
        <v>0</v>
      </c>
      <c r="CE153" t="s">
        <v>181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O153">
        <v>0</v>
      </c>
      <c r="CP153">
        <v>0</v>
      </c>
      <c r="CR153" t="s">
        <v>122</v>
      </c>
      <c r="CS153">
        <v>0</v>
      </c>
    </row>
    <row r="154" spans="1:97" x14ac:dyDescent="0.2">
      <c r="A154" t="s">
        <v>1426</v>
      </c>
      <c r="B154">
        <v>169</v>
      </c>
      <c r="C154" t="s">
        <v>1427</v>
      </c>
      <c r="D154" t="s">
        <v>1424</v>
      </c>
      <c r="E154" t="s">
        <v>147</v>
      </c>
      <c r="F154" t="s">
        <v>101</v>
      </c>
      <c r="H154">
        <v>5</v>
      </c>
      <c r="I154">
        <v>4</v>
      </c>
      <c r="J154">
        <v>1</v>
      </c>
      <c r="K154" t="s">
        <v>127</v>
      </c>
      <c r="P154" t="s">
        <v>1425</v>
      </c>
      <c r="T154">
        <v>3300</v>
      </c>
      <c r="U154">
        <v>52.12</v>
      </c>
      <c r="V154">
        <v>0</v>
      </c>
      <c r="AM154" t="s">
        <v>107</v>
      </c>
      <c r="BC154">
        <v>17</v>
      </c>
      <c r="BD154" t="s">
        <v>108</v>
      </c>
      <c r="BE154" t="s">
        <v>109</v>
      </c>
      <c r="BG154" t="s">
        <v>110</v>
      </c>
      <c r="BH154" t="s">
        <v>111</v>
      </c>
      <c r="BI154" t="s">
        <v>112</v>
      </c>
      <c r="BJ154" t="s">
        <v>113</v>
      </c>
      <c r="BK154" t="s">
        <v>114</v>
      </c>
      <c r="BL154" t="s">
        <v>115</v>
      </c>
      <c r="BM154" t="s">
        <v>116</v>
      </c>
      <c r="BO154" t="s">
        <v>117</v>
      </c>
      <c r="BQ154">
        <v>4</v>
      </c>
      <c r="BR154" t="s">
        <v>481</v>
      </c>
      <c r="BU154" t="s">
        <v>216</v>
      </c>
      <c r="BV154" t="s">
        <v>120</v>
      </c>
      <c r="BW154">
        <v>0</v>
      </c>
      <c r="BX154">
        <v>0</v>
      </c>
      <c r="BY154">
        <v>0</v>
      </c>
      <c r="BZ154">
        <v>0.09</v>
      </c>
      <c r="CA154">
        <v>168.87</v>
      </c>
      <c r="CB154">
        <v>69.569999999999993</v>
      </c>
      <c r="CC154">
        <v>0</v>
      </c>
      <c r="CD154">
        <v>3300</v>
      </c>
      <c r="CE154" t="s">
        <v>181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O154">
        <v>0</v>
      </c>
      <c r="CP154">
        <v>0</v>
      </c>
      <c r="CR154" t="s">
        <v>122</v>
      </c>
      <c r="CS154">
        <v>0</v>
      </c>
    </row>
    <row r="155" spans="1:97" x14ac:dyDescent="0.2">
      <c r="A155" t="s">
        <v>1428</v>
      </c>
      <c r="B155">
        <v>170</v>
      </c>
      <c r="C155" t="s">
        <v>1429</v>
      </c>
      <c r="D155" t="s">
        <v>1424</v>
      </c>
      <c r="E155" t="s">
        <v>147</v>
      </c>
      <c r="F155" t="s">
        <v>101</v>
      </c>
      <c r="H155">
        <v>5</v>
      </c>
      <c r="I155">
        <v>4</v>
      </c>
      <c r="J155">
        <v>1</v>
      </c>
      <c r="K155" t="s">
        <v>127</v>
      </c>
      <c r="P155" t="s">
        <v>1425</v>
      </c>
      <c r="T155">
        <v>2550</v>
      </c>
      <c r="U155">
        <v>44.04</v>
      </c>
      <c r="V155">
        <v>0</v>
      </c>
      <c r="AM155" t="s">
        <v>107</v>
      </c>
      <c r="BC155">
        <v>17</v>
      </c>
      <c r="BD155" t="s">
        <v>108</v>
      </c>
      <c r="BE155" t="s">
        <v>109</v>
      </c>
      <c r="BG155" t="s">
        <v>110</v>
      </c>
      <c r="BH155" t="s">
        <v>111</v>
      </c>
      <c r="BI155" t="s">
        <v>112</v>
      </c>
      <c r="BJ155" t="s">
        <v>113</v>
      </c>
      <c r="BK155" t="s">
        <v>114</v>
      </c>
      <c r="BL155" t="s">
        <v>115</v>
      </c>
      <c r="BM155" t="s">
        <v>116</v>
      </c>
      <c r="BO155" t="s">
        <v>117</v>
      </c>
      <c r="BQ155">
        <v>5</v>
      </c>
      <c r="BR155" t="s">
        <v>481</v>
      </c>
      <c r="BU155" t="s">
        <v>216</v>
      </c>
      <c r="BV155" t="s">
        <v>120</v>
      </c>
      <c r="BW155">
        <v>0</v>
      </c>
      <c r="BX155">
        <v>0</v>
      </c>
      <c r="BY155">
        <v>0</v>
      </c>
      <c r="BZ155">
        <v>0.09</v>
      </c>
      <c r="CA155">
        <v>106.43</v>
      </c>
      <c r="CB155">
        <v>69.56</v>
      </c>
      <c r="CC155">
        <v>0</v>
      </c>
      <c r="CD155">
        <v>2550</v>
      </c>
      <c r="CE155" t="s">
        <v>181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O155">
        <v>0</v>
      </c>
      <c r="CP155">
        <v>0</v>
      </c>
      <c r="CR155" t="s">
        <v>122</v>
      </c>
      <c r="CS155">
        <v>0</v>
      </c>
    </row>
    <row r="156" spans="1:97" x14ac:dyDescent="0.2">
      <c r="A156" t="s">
        <v>1430</v>
      </c>
      <c r="B156">
        <v>171</v>
      </c>
      <c r="C156" t="s">
        <v>1431</v>
      </c>
      <c r="D156" t="s">
        <v>1432</v>
      </c>
      <c r="E156" t="s">
        <v>147</v>
      </c>
      <c r="F156" t="s">
        <v>126</v>
      </c>
      <c r="H156">
        <v>3</v>
      </c>
      <c r="I156">
        <v>3</v>
      </c>
      <c r="J156">
        <v>1</v>
      </c>
      <c r="K156" t="s">
        <v>102</v>
      </c>
      <c r="P156" t="s">
        <v>1433</v>
      </c>
      <c r="Q156" t="s">
        <v>1434</v>
      </c>
      <c r="R156" t="s">
        <v>1435</v>
      </c>
      <c r="S156" t="s">
        <v>1436</v>
      </c>
      <c r="T156">
        <v>2841.93</v>
      </c>
      <c r="U156">
        <v>0</v>
      </c>
      <c r="V156">
        <v>0</v>
      </c>
      <c r="W156">
        <v>271</v>
      </c>
      <c r="X156" t="s">
        <v>806</v>
      </c>
      <c r="Y156" t="s">
        <v>109</v>
      </c>
      <c r="AA156" t="s">
        <v>807</v>
      </c>
      <c r="AB156" t="s">
        <v>808</v>
      </c>
      <c r="AC156" t="s">
        <v>809</v>
      </c>
      <c r="AE156" t="s">
        <v>252</v>
      </c>
      <c r="AF156" t="s">
        <v>115</v>
      </c>
      <c r="AI156" t="s">
        <v>810</v>
      </c>
      <c r="AJ156">
        <v>570</v>
      </c>
      <c r="AM156" t="s">
        <v>120</v>
      </c>
      <c r="AO156">
        <v>1</v>
      </c>
      <c r="AT156">
        <v>1700</v>
      </c>
      <c r="AU156">
        <v>1700</v>
      </c>
      <c r="AV156">
        <v>1853</v>
      </c>
      <c r="AW156">
        <v>0.09</v>
      </c>
      <c r="AX156">
        <v>0</v>
      </c>
      <c r="AY156">
        <v>0</v>
      </c>
      <c r="AZ156">
        <v>0</v>
      </c>
      <c r="BA156">
        <v>0</v>
      </c>
      <c r="BB156">
        <v>0</v>
      </c>
      <c r="BV156" t="s">
        <v>142</v>
      </c>
      <c r="CD156">
        <v>2841.93</v>
      </c>
      <c r="CO156">
        <v>-1700</v>
      </c>
      <c r="CP156">
        <v>-20400</v>
      </c>
      <c r="CQ156">
        <v>-100</v>
      </c>
      <c r="CR156" t="s">
        <v>143</v>
      </c>
      <c r="CS156">
        <v>0</v>
      </c>
    </row>
    <row r="157" spans="1:97" x14ac:dyDescent="0.2">
      <c r="A157" t="s">
        <v>1437</v>
      </c>
      <c r="B157">
        <v>172</v>
      </c>
      <c r="C157" t="s">
        <v>1438</v>
      </c>
      <c r="D157" t="s">
        <v>1439</v>
      </c>
      <c r="E157" t="s">
        <v>1440</v>
      </c>
      <c r="F157" t="s">
        <v>126</v>
      </c>
      <c r="H157">
        <v>4</v>
      </c>
      <c r="I157">
        <v>8</v>
      </c>
      <c r="J157">
        <v>1</v>
      </c>
      <c r="K157" t="s">
        <v>102</v>
      </c>
      <c r="L157" t="s">
        <v>1441</v>
      </c>
      <c r="M157" t="s">
        <v>137</v>
      </c>
      <c r="P157" t="s">
        <v>1442</v>
      </c>
      <c r="Q157" t="s">
        <v>1443</v>
      </c>
      <c r="R157" t="s">
        <v>1444</v>
      </c>
      <c r="S157" t="s">
        <v>1445</v>
      </c>
      <c r="T157">
        <v>4600</v>
      </c>
      <c r="U157">
        <v>158.71</v>
      </c>
      <c r="V157">
        <v>0</v>
      </c>
      <c r="W157">
        <v>211</v>
      </c>
      <c r="X157" t="s">
        <v>1446</v>
      </c>
      <c r="Y157" t="s">
        <v>109</v>
      </c>
      <c r="AA157" t="s">
        <v>1447</v>
      </c>
      <c r="AC157" t="s">
        <v>1448</v>
      </c>
      <c r="AE157" t="s">
        <v>1449</v>
      </c>
      <c r="AF157" t="s">
        <v>115</v>
      </c>
      <c r="AG157" t="s">
        <v>1450</v>
      </c>
      <c r="AI157" t="s">
        <v>1451</v>
      </c>
      <c r="AJ157">
        <v>551</v>
      </c>
      <c r="AM157" t="s">
        <v>120</v>
      </c>
      <c r="AO157">
        <v>1</v>
      </c>
      <c r="AT157">
        <v>4206</v>
      </c>
      <c r="AU157">
        <v>4206</v>
      </c>
      <c r="AV157">
        <v>4584.54</v>
      </c>
      <c r="AW157">
        <v>0.09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17</v>
      </c>
      <c r="BD157" t="s">
        <v>108</v>
      </c>
      <c r="BE157" t="s">
        <v>109</v>
      </c>
      <c r="BG157" t="s">
        <v>110</v>
      </c>
      <c r="BH157" t="s">
        <v>111</v>
      </c>
      <c r="BI157" t="s">
        <v>112</v>
      </c>
      <c r="BJ157" t="s">
        <v>113</v>
      </c>
      <c r="BK157" t="s">
        <v>114</v>
      </c>
      <c r="BL157" t="s">
        <v>115</v>
      </c>
      <c r="BM157" t="s">
        <v>116</v>
      </c>
      <c r="BO157" t="s">
        <v>117</v>
      </c>
      <c r="BQ157">
        <v>423</v>
      </c>
      <c r="BR157" t="s">
        <v>118</v>
      </c>
      <c r="BU157" t="s">
        <v>119</v>
      </c>
      <c r="BV157" t="s">
        <v>120</v>
      </c>
      <c r="BW157">
        <v>4600</v>
      </c>
      <c r="BX157">
        <v>5050</v>
      </c>
      <c r="BY157">
        <v>5504.5</v>
      </c>
      <c r="BZ157">
        <v>0.09</v>
      </c>
      <c r="CA157">
        <v>450</v>
      </c>
      <c r="CB157">
        <v>25.1</v>
      </c>
      <c r="CC157">
        <v>375</v>
      </c>
      <c r="CD157">
        <v>4600</v>
      </c>
      <c r="CE157" t="s">
        <v>121</v>
      </c>
      <c r="CF157">
        <v>1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 t="s">
        <v>182</v>
      </c>
      <c r="CO157">
        <v>844</v>
      </c>
      <c r="CP157">
        <v>10128</v>
      </c>
      <c r="CQ157">
        <v>20.07</v>
      </c>
      <c r="CR157" t="s">
        <v>122</v>
      </c>
      <c r="CS157">
        <v>0</v>
      </c>
    </row>
    <row r="158" spans="1:97" x14ac:dyDescent="0.2">
      <c r="A158" t="s">
        <v>1437</v>
      </c>
      <c r="B158">
        <v>172</v>
      </c>
      <c r="C158" t="s">
        <v>1438</v>
      </c>
      <c r="D158" t="s">
        <v>1439</v>
      </c>
      <c r="E158" t="s">
        <v>1440</v>
      </c>
      <c r="F158" t="s">
        <v>126</v>
      </c>
      <c r="H158">
        <v>4</v>
      </c>
      <c r="I158">
        <v>8</v>
      </c>
      <c r="J158">
        <v>1</v>
      </c>
      <c r="K158" t="s">
        <v>102</v>
      </c>
      <c r="L158" t="s">
        <v>1441</v>
      </c>
      <c r="M158" t="s">
        <v>137</v>
      </c>
      <c r="P158" t="s">
        <v>1442</v>
      </c>
      <c r="Q158" t="s">
        <v>1443</v>
      </c>
      <c r="R158" t="s">
        <v>1444</v>
      </c>
      <c r="S158" t="s">
        <v>1445</v>
      </c>
      <c r="T158">
        <v>4600</v>
      </c>
      <c r="U158">
        <v>158.71</v>
      </c>
      <c r="V158">
        <v>0</v>
      </c>
      <c r="W158">
        <v>211</v>
      </c>
      <c r="X158" t="s">
        <v>1446</v>
      </c>
      <c r="Y158" t="s">
        <v>109</v>
      </c>
      <c r="AA158" t="s">
        <v>1447</v>
      </c>
      <c r="AC158" t="s">
        <v>1448</v>
      </c>
      <c r="AE158" t="s">
        <v>1449</v>
      </c>
      <c r="AF158" t="s">
        <v>115</v>
      </c>
      <c r="AG158" t="s">
        <v>1450</v>
      </c>
      <c r="AI158" t="s">
        <v>1451</v>
      </c>
      <c r="AJ158">
        <v>551</v>
      </c>
      <c r="AM158" t="s">
        <v>120</v>
      </c>
      <c r="AO158">
        <v>1</v>
      </c>
      <c r="AT158">
        <v>4206</v>
      </c>
      <c r="AU158">
        <v>4206</v>
      </c>
      <c r="AV158">
        <v>4584.54</v>
      </c>
      <c r="AW158">
        <v>0.09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360</v>
      </c>
      <c r="BD158" t="s">
        <v>1452</v>
      </c>
      <c r="BE158" t="s">
        <v>109</v>
      </c>
      <c r="BG158" t="s">
        <v>1453</v>
      </c>
      <c r="BH158" t="s">
        <v>1454</v>
      </c>
      <c r="BI158" t="s">
        <v>1455</v>
      </c>
      <c r="BK158" t="s">
        <v>114</v>
      </c>
      <c r="BL158" t="s">
        <v>115</v>
      </c>
      <c r="BM158" t="s">
        <v>1456</v>
      </c>
      <c r="BQ158">
        <v>36</v>
      </c>
      <c r="BR158" t="s">
        <v>1457</v>
      </c>
      <c r="BS158" t="s">
        <v>1458</v>
      </c>
      <c r="BT158">
        <v>12</v>
      </c>
      <c r="BU158" t="s">
        <v>119</v>
      </c>
      <c r="BV158" t="s">
        <v>163</v>
      </c>
      <c r="BW158">
        <v>4600</v>
      </c>
      <c r="BX158">
        <v>5050</v>
      </c>
      <c r="BY158">
        <v>5504.5</v>
      </c>
      <c r="BZ158">
        <v>0.09</v>
      </c>
      <c r="CA158">
        <v>450</v>
      </c>
      <c r="CB158">
        <v>0</v>
      </c>
      <c r="CC158">
        <v>375</v>
      </c>
      <c r="CD158">
        <v>4600</v>
      </c>
      <c r="CE158" t="s">
        <v>121</v>
      </c>
      <c r="CF158">
        <v>1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 t="s">
        <v>182</v>
      </c>
      <c r="CO158">
        <v>844</v>
      </c>
      <c r="CP158">
        <v>10128</v>
      </c>
      <c r="CQ158">
        <v>20.07</v>
      </c>
      <c r="CR158" t="s">
        <v>168</v>
      </c>
      <c r="CS158">
        <v>218</v>
      </c>
    </row>
    <row r="159" spans="1:97" x14ac:dyDescent="0.2">
      <c r="A159" t="s">
        <v>1459</v>
      </c>
      <c r="B159">
        <v>173</v>
      </c>
      <c r="C159" t="s">
        <v>1460</v>
      </c>
      <c r="D159" t="s">
        <v>1461</v>
      </c>
      <c r="E159" t="s">
        <v>272</v>
      </c>
      <c r="F159" t="s">
        <v>126</v>
      </c>
      <c r="H159">
        <v>4</v>
      </c>
      <c r="J159">
        <v>1</v>
      </c>
      <c r="K159" t="s">
        <v>102</v>
      </c>
      <c r="P159" t="s">
        <v>1462</v>
      </c>
      <c r="Q159" t="s">
        <v>1463</v>
      </c>
      <c r="R159" t="s">
        <v>1464</v>
      </c>
      <c r="S159" t="s">
        <v>1465</v>
      </c>
      <c r="T159">
        <v>3789.24</v>
      </c>
      <c r="U159">
        <v>0</v>
      </c>
      <c r="V159">
        <v>0</v>
      </c>
      <c r="W159">
        <v>271</v>
      </c>
      <c r="X159" t="s">
        <v>806</v>
      </c>
      <c r="Y159" t="s">
        <v>109</v>
      </c>
      <c r="AA159" t="s">
        <v>807</v>
      </c>
      <c r="AB159" t="s">
        <v>808</v>
      </c>
      <c r="AC159" t="s">
        <v>809</v>
      </c>
      <c r="AE159" t="s">
        <v>252</v>
      </c>
      <c r="AF159" t="s">
        <v>115</v>
      </c>
      <c r="AI159" t="s">
        <v>810</v>
      </c>
      <c r="AJ159">
        <v>573</v>
      </c>
      <c r="AM159" t="s">
        <v>120</v>
      </c>
      <c r="AO159">
        <v>1</v>
      </c>
      <c r="AT159">
        <v>1700</v>
      </c>
      <c r="AU159">
        <v>1700</v>
      </c>
      <c r="AV159">
        <v>1853</v>
      </c>
      <c r="AW159">
        <v>0.09</v>
      </c>
      <c r="AX159">
        <v>0</v>
      </c>
      <c r="AY159">
        <v>0</v>
      </c>
      <c r="AZ159">
        <v>0</v>
      </c>
      <c r="BA159">
        <v>0</v>
      </c>
      <c r="BB159">
        <v>0</v>
      </c>
      <c r="BV159" t="s">
        <v>142</v>
      </c>
      <c r="CD159">
        <v>3789.24</v>
      </c>
      <c r="CO159">
        <v>-1700</v>
      </c>
      <c r="CP159">
        <v>-20400</v>
      </c>
      <c r="CQ159">
        <v>-100</v>
      </c>
      <c r="CR159" t="s">
        <v>143</v>
      </c>
      <c r="CS159">
        <v>0</v>
      </c>
    </row>
    <row r="160" spans="1:97" x14ac:dyDescent="0.2">
      <c r="A160" t="s">
        <v>1466</v>
      </c>
      <c r="B160">
        <v>174</v>
      </c>
      <c r="C160" t="s">
        <v>1467</v>
      </c>
      <c r="D160" t="s">
        <v>1468</v>
      </c>
      <c r="E160" t="s">
        <v>312</v>
      </c>
      <c r="F160" t="s">
        <v>101</v>
      </c>
      <c r="H160">
        <v>3</v>
      </c>
      <c r="I160">
        <v>4</v>
      </c>
      <c r="J160">
        <v>1</v>
      </c>
      <c r="K160" t="s">
        <v>102</v>
      </c>
      <c r="T160">
        <v>1784.67</v>
      </c>
      <c r="U160">
        <v>200</v>
      </c>
      <c r="V160">
        <v>0</v>
      </c>
      <c r="W160">
        <v>271</v>
      </c>
      <c r="X160" t="s">
        <v>806</v>
      </c>
      <c r="Y160" t="s">
        <v>109</v>
      </c>
      <c r="AA160" t="s">
        <v>807</v>
      </c>
      <c r="AB160" t="s">
        <v>808</v>
      </c>
      <c r="AC160" t="s">
        <v>809</v>
      </c>
      <c r="AE160" t="s">
        <v>252</v>
      </c>
      <c r="AF160" t="s">
        <v>115</v>
      </c>
      <c r="AI160" t="s">
        <v>810</v>
      </c>
      <c r="AJ160">
        <v>728</v>
      </c>
      <c r="AM160" t="s">
        <v>120</v>
      </c>
      <c r="AO160">
        <v>1</v>
      </c>
      <c r="AT160">
        <v>1700</v>
      </c>
      <c r="AU160">
        <v>1700</v>
      </c>
      <c r="AV160">
        <v>1853</v>
      </c>
      <c r="AW160">
        <v>0.09</v>
      </c>
      <c r="AX160">
        <v>0</v>
      </c>
      <c r="AY160">
        <v>0</v>
      </c>
      <c r="AZ160">
        <v>0</v>
      </c>
      <c r="BA160">
        <v>0</v>
      </c>
      <c r="BB160">
        <v>0</v>
      </c>
      <c r="BV160" t="s">
        <v>142</v>
      </c>
      <c r="CD160">
        <v>1784.67</v>
      </c>
      <c r="CO160">
        <v>-1700</v>
      </c>
      <c r="CP160">
        <v>-20400</v>
      </c>
      <c r="CQ160">
        <v>-100</v>
      </c>
      <c r="CR160" t="s">
        <v>143</v>
      </c>
      <c r="CS160">
        <v>0</v>
      </c>
    </row>
    <row r="161" spans="1:97" x14ac:dyDescent="0.2">
      <c r="A161" t="s">
        <v>1469</v>
      </c>
      <c r="B161">
        <v>175</v>
      </c>
      <c r="C161" t="s">
        <v>1470</v>
      </c>
      <c r="D161" t="s">
        <v>1471</v>
      </c>
      <c r="E161" t="s">
        <v>1472</v>
      </c>
      <c r="F161" t="s">
        <v>126</v>
      </c>
      <c r="H161">
        <v>3</v>
      </c>
      <c r="I161">
        <v>3</v>
      </c>
      <c r="J161">
        <v>1</v>
      </c>
      <c r="K161" t="s">
        <v>102</v>
      </c>
      <c r="T161">
        <v>2810.7</v>
      </c>
      <c r="U161">
        <v>0</v>
      </c>
      <c r="V161">
        <v>0</v>
      </c>
      <c r="AM161" t="s">
        <v>107</v>
      </c>
      <c r="BV161" t="s">
        <v>142</v>
      </c>
      <c r="CD161">
        <v>2810.7</v>
      </c>
      <c r="CO161">
        <v>0</v>
      </c>
      <c r="CP161">
        <v>0</v>
      </c>
      <c r="CR161" t="s">
        <v>143</v>
      </c>
      <c r="CS161">
        <v>0</v>
      </c>
    </row>
    <row r="162" spans="1:97" x14ac:dyDescent="0.2">
      <c r="A162" t="s">
        <v>1473</v>
      </c>
      <c r="B162">
        <v>176</v>
      </c>
      <c r="C162" t="s">
        <v>1474</v>
      </c>
      <c r="D162" t="s">
        <v>1475</v>
      </c>
      <c r="E162" t="s">
        <v>1472</v>
      </c>
      <c r="F162" t="s">
        <v>126</v>
      </c>
      <c r="H162">
        <v>3</v>
      </c>
      <c r="I162">
        <v>3</v>
      </c>
      <c r="J162">
        <v>1</v>
      </c>
      <c r="K162" t="s">
        <v>102</v>
      </c>
      <c r="L162" t="s">
        <v>1476</v>
      </c>
      <c r="P162" t="s">
        <v>1477</v>
      </c>
      <c r="T162">
        <v>2498.54</v>
      </c>
      <c r="U162">
        <v>91.65</v>
      </c>
      <c r="V162">
        <v>0</v>
      </c>
      <c r="AM162" t="s">
        <v>107</v>
      </c>
      <c r="BC162">
        <v>17</v>
      </c>
      <c r="BD162" t="s">
        <v>108</v>
      </c>
      <c r="BE162" t="s">
        <v>109</v>
      </c>
      <c r="BG162" t="s">
        <v>110</v>
      </c>
      <c r="BH162" t="s">
        <v>111</v>
      </c>
      <c r="BI162" t="s">
        <v>112</v>
      </c>
      <c r="BJ162" t="s">
        <v>113</v>
      </c>
      <c r="BK162" t="s">
        <v>114</v>
      </c>
      <c r="BL162" t="s">
        <v>115</v>
      </c>
      <c r="BM162" t="s">
        <v>116</v>
      </c>
      <c r="BO162" t="s">
        <v>117</v>
      </c>
      <c r="BQ162">
        <v>308</v>
      </c>
      <c r="BR162" t="s">
        <v>118</v>
      </c>
      <c r="BU162" t="s">
        <v>119</v>
      </c>
      <c r="BV162" t="s">
        <v>120</v>
      </c>
      <c r="BW162">
        <v>0</v>
      </c>
      <c r="BX162">
        <v>2051.5100000000002</v>
      </c>
      <c r="BY162">
        <v>2236.15</v>
      </c>
      <c r="BZ162">
        <v>0.09</v>
      </c>
      <c r="CA162">
        <v>165.62</v>
      </c>
      <c r="CB162">
        <v>69.56</v>
      </c>
      <c r="CC162">
        <v>0</v>
      </c>
      <c r="CD162">
        <v>2498.54</v>
      </c>
      <c r="CE162" t="s">
        <v>121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O162">
        <v>2051.5100000000002</v>
      </c>
      <c r="CP162">
        <v>24618.12</v>
      </c>
      <c r="CR162" t="s">
        <v>122</v>
      </c>
      <c r="CS162">
        <v>0</v>
      </c>
    </row>
    <row r="163" spans="1:97" x14ac:dyDescent="0.2">
      <c r="A163" t="s">
        <v>1478</v>
      </c>
      <c r="B163">
        <v>177</v>
      </c>
      <c r="C163" t="s">
        <v>1479</v>
      </c>
      <c r="D163" t="s">
        <v>1480</v>
      </c>
      <c r="E163" t="s">
        <v>559</v>
      </c>
      <c r="F163" t="s">
        <v>126</v>
      </c>
      <c r="H163">
        <v>3</v>
      </c>
      <c r="I163">
        <v>3</v>
      </c>
      <c r="J163">
        <v>1</v>
      </c>
      <c r="K163" t="s">
        <v>102</v>
      </c>
      <c r="L163" t="s">
        <v>1481</v>
      </c>
      <c r="M163" t="s">
        <v>137</v>
      </c>
      <c r="T163">
        <v>2737.83</v>
      </c>
      <c r="U163">
        <v>0</v>
      </c>
      <c r="V163">
        <v>0</v>
      </c>
      <c r="AM163" t="s">
        <v>107</v>
      </c>
      <c r="BV163" t="s">
        <v>142</v>
      </c>
      <c r="CD163">
        <v>2737.83</v>
      </c>
      <c r="CO163">
        <v>0</v>
      </c>
      <c r="CP163">
        <v>0</v>
      </c>
      <c r="CR163" t="s">
        <v>143</v>
      </c>
      <c r="CS163">
        <v>0</v>
      </c>
    </row>
    <row r="164" spans="1:97" x14ac:dyDescent="0.2">
      <c r="A164" t="s">
        <v>1482</v>
      </c>
      <c r="B164">
        <v>178</v>
      </c>
      <c r="C164" t="s">
        <v>1483</v>
      </c>
      <c r="D164" t="s">
        <v>1484</v>
      </c>
      <c r="E164" t="s">
        <v>1485</v>
      </c>
      <c r="F164" t="s">
        <v>126</v>
      </c>
      <c r="H164">
        <v>4</v>
      </c>
      <c r="I164">
        <v>4</v>
      </c>
      <c r="J164">
        <v>1</v>
      </c>
      <c r="K164" t="s">
        <v>127</v>
      </c>
      <c r="L164" t="s">
        <v>1486</v>
      </c>
      <c r="M164" t="s">
        <v>137</v>
      </c>
      <c r="P164" t="s">
        <v>1487</v>
      </c>
      <c r="Q164" t="s">
        <v>1488</v>
      </c>
      <c r="R164" t="s">
        <v>1489</v>
      </c>
      <c r="S164" t="s">
        <v>1490</v>
      </c>
      <c r="T164">
        <v>2737.83</v>
      </c>
      <c r="U164">
        <v>200</v>
      </c>
      <c r="V164">
        <v>0</v>
      </c>
      <c r="AM164" t="s">
        <v>107</v>
      </c>
      <c r="BC164">
        <v>190</v>
      </c>
      <c r="BD164" t="s">
        <v>1491</v>
      </c>
      <c r="BE164" t="s">
        <v>109</v>
      </c>
      <c r="BG164" t="s">
        <v>1492</v>
      </c>
      <c r="BI164" t="s">
        <v>1493</v>
      </c>
      <c r="BK164" t="s">
        <v>233</v>
      </c>
      <c r="BL164" t="s">
        <v>115</v>
      </c>
      <c r="BM164" t="s">
        <v>1494</v>
      </c>
      <c r="BQ164">
        <v>248</v>
      </c>
      <c r="BR164" t="s">
        <v>1495</v>
      </c>
      <c r="BS164" t="s">
        <v>1496</v>
      </c>
      <c r="BT164">
        <v>6</v>
      </c>
      <c r="BU164" t="s">
        <v>119</v>
      </c>
      <c r="BV164" t="s">
        <v>163</v>
      </c>
      <c r="BW164">
        <v>2449.11</v>
      </c>
      <c r="BX164">
        <v>2649.11</v>
      </c>
      <c r="BY164">
        <v>2887.53</v>
      </c>
      <c r="BZ164">
        <v>0.09</v>
      </c>
      <c r="CA164">
        <v>200</v>
      </c>
      <c r="CB164">
        <v>0</v>
      </c>
      <c r="CC164">
        <v>0</v>
      </c>
      <c r="CD164">
        <v>2737.83</v>
      </c>
      <c r="CE164" t="s">
        <v>121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O164">
        <v>2649.11</v>
      </c>
      <c r="CP164">
        <v>31789.32</v>
      </c>
      <c r="CR164" t="s">
        <v>168</v>
      </c>
    </row>
    <row r="165" spans="1:97" x14ac:dyDescent="0.2">
      <c r="A165" t="s">
        <v>1497</v>
      </c>
      <c r="B165">
        <v>179</v>
      </c>
      <c r="C165" t="s">
        <v>1498</v>
      </c>
      <c r="D165" t="s">
        <v>1499</v>
      </c>
      <c r="E165" t="s">
        <v>1500</v>
      </c>
      <c r="F165" t="s">
        <v>126</v>
      </c>
      <c r="H165">
        <v>3</v>
      </c>
      <c r="I165">
        <v>4</v>
      </c>
      <c r="J165">
        <v>1</v>
      </c>
      <c r="K165" t="s">
        <v>102</v>
      </c>
      <c r="L165" t="s">
        <v>1501</v>
      </c>
      <c r="M165" t="s">
        <v>137</v>
      </c>
      <c r="P165" t="s">
        <v>1502</v>
      </c>
      <c r="Q165" t="s">
        <v>1503</v>
      </c>
      <c r="R165" t="s">
        <v>1504</v>
      </c>
      <c r="S165" t="s">
        <v>1505</v>
      </c>
      <c r="T165">
        <v>2500</v>
      </c>
      <c r="U165">
        <v>250</v>
      </c>
      <c r="V165">
        <v>0</v>
      </c>
      <c r="W165">
        <v>542</v>
      </c>
      <c r="X165" t="s">
        <v>1506</v>
      </c>
      <c r="Y165" t="s">
        <v>109</v>
      </c>
      <c r="AF165" t="s">
        <v>115</v>
      </c>
      <c r="AI165" t="s">
        <v>1507</v>
      </c>
      <c r="AJ165">
        <v>613</v>
      </c>
      <c r="AM165" t="s">
        <v>120</v>
      </c>
      <c r="AO165">
        <v>1</v>
      </c>
      <c r="AT165">
        <v>1946.81</v>
      </c>
      <c r="AU165">
        <v>2231.81</v>
      </c>
      <c r="AV165">
        <v>2432.67</v>
      </c>
      <c r="AW165">
        <v>0.09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336</v>
      </c>
      <c r="BD165" t="s">
        <v>1508</v>
      </c>
      <c r="BE165" t="s">
        <v>109</v>
      </c>
      <c r="BG165" t="s">
        <v>1509</v>
      </c>
      <c r="BI165" t="s">
        <v>1510</v>
      </c>
      <c r="BK165" t="s">
        <v>1511</v>
      </c>
      <c r="BL165" t="s">
        <v>1512</v>
      </c>
      <c r="BQ165">
        <v>97</v>
      </c>
      <c r="BR165" t="s">
        <v>1513</v>
      </c>
      <c r="BS165" t="s">
        <v>1514</v>
      </c>
      <c r="BT165">
        <v>10</v>
      </c>
      <c r="BU165" t="s">
        <v>119</v>
      </c>
      <c r="BV165" t="s">
        <v>163</v>
      </c>
      <c r="BW165">
        <v>2500</v>
      </c>
      <c r="BX165">
        <v>2750</v>
      </c>
      <c r="BY165">
        <v>2997.5</v>
      </c>
      <c r="BZ165">
        <v>0.09</v>
      </c>
      <c r="CA165">
        <v>250</v>
      </c>
      <c r="CB165">
        <v>0</v>
      </c>
      <c r="CC165">
        <v>250</v>
      </c>
      <c r="CD165">
        <v>2500</v>
      </c>
      <c r="CE165" t="s">
        <v>121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 t="s">
        <v>201</v>
      </c>
      <c r="CO165">
        <v>518.19000000000005</v>
      </c>
      <c r="CP165">
        <v>6218.2800000000007</v>
      </c>
      <c r="CQ165">
        <v>23.22</v>
      </c>
      <c r="CR165" t="s">
        <v>1146</v>
      </c>
      <c r="CS165">
        <v>57</v>
      </c>
    </row>
    <row r="166" spans="1:97" x14ac:dyDescent="0.2">
      <c r="A166" t="s">
        <v>1515</v>
      </c>
      <c r="B166">
        <v>180</v>
      </c>
      <c r="C166" t="s">
        <v>1516</v>
      </c>
      <c r="D166" t="s">
        <v>1517</v>
      </c>
      <c r="E166" t="s">
        <v>147</v>
      </c>
      <c r="F166" t="s">
        <v>101</v>
      </c>
      <c r="H166">
        <v>3</v>
      </c>
      <c r="I166">
        <v>4</v>
      </c>
      <c r="J166">
        <v>1</v>
      </c>
      <c r="K166" t="s">
        <v>102</v>
      </c>
      <c r="P166" t="s">
        <v>1518</v>
      </c>
      <c r="T166">
        <v>2909.6</v>
      </c>
      <c r="U166">
        <v>230.16</v>
      </c>
      <c r="V166">
        <v>0</v>
      </c>
      <c r="W166">
        <v>295</v>
      </c>
      <c r="X166" t="s">
        <v>938</v>
      </c>
      <c r="Y166" t="s">
        <v>109</v>
      </c>
      <c r="AA166" t="s">
        <v>939</v>
      </c>
      <c r="AB166" t="s">
        <v>940</v>
      </c>
      <c r="AC166" t="s">
        <v>941</v>
      </c>
      <c r="AE166" t="s">
        <v>942</v>
      </c>
      <c r="AF166" t="s">
        <v>115</v>
      </c>
      <c r="AJ166">
        <v>564</v>
      </c>
      <c r="AM166" t="s">
        <v>120</v>
      </c>
      <c r="AO166">
        <v>1</v>
      </c>
      <c r="AT166">
        <v>1300</v>
      </c>
      <c r="AU166">
        <v>1300</v>
      </c>
      <c r="AV166">
        <v>1417</v>
      </c>
      <c r="AW166">
        <v>0.09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17</v>
      </c>
      <c r="BD166" t="s">
        <v>108</v>
      </c>
      <c r="BE166" t="s">
        <v>109</v>
      </c>
      <c r="BG166" t="s">
        <v>110</v>
      </c>
      <c r="BH166" t="s">
        <v>111</v>
      </c>
      <c r="BI166" t="s">
        <v>112</v>
      </c>
      <c r="BJ166" t="s">
        <v>113</v>
      </c>
      <c r="BK166" t="s">
        <v>114</v>
      </c>
      <c r="BL166" t="s">
        <v>115</v>
      </c>
      <c r="BM166" t="s">
        <v>116</v>
      </c>
      <c r="BO166" t="s">
        <v>117</v>
      </c>
      <c r="BQ166">
        <v>47</v>
      </c>
      <c r="BR166" t="s">
        <v>481</v>
      </c>
      <c r="BU166" t="s">
        <v>216</v>
      </c>
      <c r="BV166" t="s">
        <v>120</v>
      </c>
      <c r="BW166">
        <v>0</v>
      </c>
      <c r="BX166">
        <v>0</v>
      </c>
      <c r="BY166">
        <v>0</v>
      </c>
      <c r="BZ166">
        <v>0.09</v>
      </c>
      <c r="CA166">
        <v>230.16</v>
      </c>
      <c r="CB166">
        <v>25.1</v>
      </c>
      <c r="CC166">
        <v>0</v>
      </c>
      <c r="CD166">
        <v>2909.6</v>
      </c>
      <c r="CE166" t="s">
        <v>181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O166">
        <v>-1300</v>
      </c>
      <c r="CP166">
        <v>-15600</v>
      </c>
      <c r="CQ166">
        <v>-100</v>
      </c>
      <c r="CR166" t="s">
        <v>122</v>
      </c>
      <c r="CS166">
        <v>0</v>
      </c>
    </row>
    <row r="167" spans="1:97" x14ac:dyDescent="0.2">
      <c r="A167" t="s">
        <v>1519</v>
      </c>
      <c r="B167">
        <v>181</v>
      </c>
      <c r="C167" t="s">
        <v>1520</v>
      </c>
      <c r="D167" t="s">
        <v>1521</v>
      </c>
      <c r="E167" t="s">
        <v>1522</v>
      </c>
      <c r="F167" t="s">
        <v>126</v>
      </c>
      <c r="H167">
        <v>3</v>
      </c>
      <c r="I167">
        <v>3</v>
      </c>
      <c r="J167">
        <v>1</v>
      </c>
      <c r="K167" t="s">
        <v>102</v>
      </c>
      <c r="P167" t="s">
        <v>1371</v>
      </c>
      <c r="Q167" t="s">
        <v>1372</v>
      </c>
      <c r="R167" t="s">
        <v>1373</v>
      </c>
      <c r="S167" t="s">
        <v>1374</v>
      </c>
      <c r="T167">
        <v>2909.6</v>
      </c>
      <c r="U167">
        <v>350</v>
      </c>
      <c r="V167">
        <v>0</v>
      </c>
      <c r="AM167" t="s">
        <v>107</v>
      </c>
      <c r="BV167" t="s">
        <v>142</v>
      </c>
      <c r="CD167">
        <v>2909.6</v>
      </c>
      <c r="CO167">
        <v>0</v>
      </c>
      <c r="CP167">
        <v>0</v>
      </c>
      <c r="CR167" t="s">
        <v>143</v>
      </c>
      <c r="CS167">
        <v>0</v>
      </c>
    </row>
    <row r="168" spans="1:97" x14ac:dyDescent="0.2">
      <c r="A168" t="s">
        <v>1523</v>
      </c>
      <c r="B168">
        <v>182</v>
      </c>
      <c r="C168" t="s">
        <v>1524</v>
      </c>
      <c r="D168" t="s">
        <v>1525</v>
      </c>
      <c r="E168" t="s">
        <v>1526</v>
      </c>
      <c r="F168" t="s">
        <v>126</v>
      </c>
      <c r="H168">
        <v>2</v>
      </c>
      <c r="I168">
        <v>4</v>
      </c>
      <c r="J168">
        <v>1</v>
      </c>
      <c r="K168" t="s">
        <v>102</v>
      </c>
      <c r="T168">
        <v>1552.29</v>
      </c>
      <c r="U168">
        <v>223.96</v>
      </c>
      <c r="V168">
        <v>0</v>
      </c>
      <c r="W168">
        <v>989</v>
      </c>
      <c r="X168" t="s">
        <v>1527</v>
      </c>
      <c r="Y168" t="s">
        <v>326</v>
      </c>
      <c r="AB168" t="s">
        <v>1528</v>
      </c>
      <c r="AG168" t="s">
        <v>1529</v>
      </c>
      <c r="AI168" t="s">
        <v>1530</v>
      </c>
      <c r="AJ168">
        <v>823</v>
      </c>
      <c r="AK168" t="s">
        <v>1531</v>
      </c>
      <c r="AM168" t="s">
        <v>120</v>
      </c>
      <c r="AN168">
        <v>12</v>
      </c>
      <c r="AO168">
        <v>1</v>
      </c>
      <c r="AT168">
        <v>0</v>
      </c>
      <c r="AU168">
        <v>844.55</v>
      </c>
      <c r="AV168">
        <v>920.56</v>
      </c>
      <c r="AW168">
        <v>0.09</v>
      </c>
      <c r="AX168">
        <v>0</v>
      </c>
      <c r="AY168">
        <v>0</v>
      </c>
      <c r="AZ168">
        <v>170.45</v>
      </c>
      <c r="BA168">
        <v>0</v>
      </c>
      <c r="BB168">
        <v>0</v>
      </c>
      <c r="BC168">
        <v>17</v>
      </c>
      <c r="BD168" t="s">
        <v>108</v>
      </c>
      <c r="BE168" t="s">
        <v>109</v>
      </c>
      <c r="BG168" t="s">
        <v>110</v>
      </c>
      <c r="BH168" t="s">
        <v>111</v>
      </c>
      <c r="BI168" t="s">
        <v>112</v>
      </c>
      <c r="BJ168" t="s">
        <v>113</v>
      </c>
      <c r="BK168" t="s">
        <v>114</v>
      </c>
      <c r="BL168" t="s">
        <v>115</v>
      </c>
      <c r="BM168" t="s">
        <v>116</v>
      </c>
      <c r="BO168" t="s">
        <v>117</v>
      </c>
      <c r="BQ168">
        <v>309</v>
      </c>
      <c r="BR168" t="s">
        <v>118</v>
      </c>
      <c r="BU168" t="s">
        <v>119</v>
      </c>
      <c r="BV168" t="s">
        <v>120</v>
      </c>
      <c r="BW168">
        <v>0</v>
      </c>
      <c r="BX168">
        <v>1557.73</v>
      </c>
      <c r="BY168">
        <v>1697.93</v>
      </c>
      <c r="BZ168">
        <v>0.09</v>
      </c>
      <c r="CA168">
        <v>223.96</v>
      </c>
      <c r="CB168">
        <v>25.1</v>
      </c>
      <c r="CC168">
        <v>0</v>
      </c>
      <c r="CD168">
        <v>1552.29</v>
      </c>
      <c r="CE168" t="s">
        <v>121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O168">
        <v>713.18000000000006</v>
      </c>
      <c r="CP168">
        <v>8558.16</v>
      </c>
      <c r="CQ168">
        <v>84.44</v>
      </c>
      <c r="CR168" t="s">
        <v>122</v>
      </c>
      <c r="CS168">
        <v>0</v>
      </c>
    </row>
    <row r="169" spans="1:97" x14ac:dyDescent="0.2">
      <c r="A169" t="s">
        <v>1532</v>
      </c>
      <c r="B169">
        <v>183</v>
      </c>
      <c r="C169" t="s">
        <v>1533</v>
      </c>
      <c r="D169" t="s">
        <v>1534</v>
      </c>
      <c r="E169" t="s">
        <v>1526</v>
      </c>
      <c r="F169" t="s">
        <v>101</v>
      </c>
      <c r="H169">
        <v>3</v>
      </c>
      <c r="I169">
        <v>7</v>
      </c>
      <c r="J169">
        <v>1</v>
      </c>
      <c r="K169" t="s">
        <v>102</v>
      </c>
      <c r="P169" t="s">
        <v>1535</v>
      </c>
      <c r="T169">
        <v>2498.54</v>
      </c>
      <c r="U169">
        <v>406.25</v>
      </c>
      <c r="V169">
        <v>0</v>
      </c>
      <c r="AM169" t="s">
        <v>107</v>
      </c>
      <c r="BC169">
        <v>17</v>
      </c>
      <c r="BD169" t="s">
        <v>108</v>
      </c>
      <c r="BE169" t="s">
        <v>109</v>
      </c>
      <c r="BG169" t="s">
        <v>110</v>
      </c>
      <c r="BH169" t="s">
        <v>111</v>
      </c>
      <c r="BI169" t="s">
        <v>112</v>
      </c>
      <c r="BJ169" t="s">
        <v>113</v>
      </c>
      <c r="BK169" t="s">
        <v>114</v>
      </c>
      <c r="BL169" t="s">
        <v>115</v>
      </c>
      <c r="BM169" t="s">
        <v>116</v>
      </c>
      <c r="BO169" t="s">
        <v>117</v>
      </c>
      <c r="BQ169">
        <v>310</v>
      </c>
      <c r="BR169" t="s">
        <v>118</v>
      </c>
      <c r="BU169" t="s">
        <v>119</v>
      </c>
      <c r="BV169" t="s">
        <v>120</v>
      </c>
      <c r="BW169">
        <v>0</v>
      </c>
      <c r="BX169">
        <v>3269</v>
      </c>
      <c r="BY169">
        <v>3563.21</v>
      </c>
      <c r="BZ169">
        <v>0.09</v>
      </c>
      <c r="CA169">
        <v>406.25</v>
      </c>
      <c r="CB169">
        <v>43.9</v>
      </c>
      <c r="CC169">
        <v>0</v>
      </c>
      <c r="CD169">
        <v>2498.54</v>
      </c>
      <c r="CE169" t="s">
        <v>121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O169">
        <v>3269</v>
      </c>
      <c r="CP169">
        <v>39228</v>
      </c>
      <c r="CR169" t="s">
        <v>122</v>
      </c>
      <c r="CS169">
        <v>0</v>
      </c>
    </row>
    <row r="170" spans="1:97" x14ac:dyDescent="0.2">
      <c r="A170" t="s">
        <v>1536</v>
      </c>
      <c r="B170">
        <v>184</v>
      </c>
      <c r="C170" t="s">
        <v>1537</v>
      </c>
      <c r="D170" t="s">
        <v>1538</v>
      </c>
      <c r="E170" t="s">
        <v>272</v>
      </c>
      <c r="F170" t="s">
        <v>126</v>
      </c>
      <c r="H170">
        <v>3</v>
      </c>
      <c r="I170">
        <v>4</v>
      </c>
      <c r="J170">
        <v>1</v>
      </c>
      <c r="K170" t="s">
        <v>102</v>
      </c>
      <c r="P170" t="s">
        <v>1539</v>
      </c>
      <c r="Q170" t="s">
        <v>1540</v>
      </c>
      <c r="R170" t="s">
        <v>1541</v>
      </c>
      <c r="S170" t="s">
        <v>1542</v>
      </c>
      <c r="T170">
        <v>2498.54</v>
      </c>
      <c r="U170">
        <v>33.03</v>
      </c>
      <c r="V170">
        <v>0</v>
      </c>
      <c r="AM170" t="s">
        <v>107</v>
      </c>
      <c r="BC170">
        <v>17</v>
      </c>
      <c r="BD170" t="s">
        <v>108</v>
      </c>
      <c r="BE170" t="s">
        <v>109</v>
      </c>
      <c r="BG170" t="s">
        <v>110</v>
      </c>
      <c r="BH170" t="s">
        <v>111</v>
      </c>
      <c r="BI170" t="s">
        <v>112</v>
      </c>
      <c r="BJ170" t="s">
        <v>113</v>
      </c>
      <c r="BK170" t="s">
        <v>114</v>
      </c>
      <c r="BL170" t="s">
        <v>115</v>
      </c>
      <c r="BM170" t="s">
        <v>116</v>
      </c>
      <c r="BO170" t="s">
        <v>117</v>
      </c>
      <c r="BQ170">
        <v>226</v>
      </c>
      <c r="BR170" t="s">
        <v>481</v>
      </c>
      <c r="BU170" t="s">
        <v>216</v>
      </c>
      <c r="BV170" t="s">
        <v>120</v>
      </c>
      <c r="BW170">
        <v>0</v>
      </c>
      <c r="BX170">
        <v>0</v>
      </c>
      <c r="BY170">
        <v>0</v>
      </c>
      <c r="BZ170">
        <v>0.09</v>
      </c>
      <c r="CA170">
        <v>0</v>
      </c>
      <c r="CB170">
        <v>0</v>
      </c>
      <c r="CC170">
        <v>250</v>
      </c>
      <c r="CD170">
        <v>2498.54</v>
      </c>
      <c r="CE170" t="s">
        <v>181</v>
      </c>
      <c r="CF170">
        <v>1</v>
      </c>
      <c r="CG170">
        <v>1</v>
      </c>
      <c r="CH170">
        <v>1</v>
      </c>
      <c r="CI170">
        <v>0</v>
      </c>
      <c r="CJ170">
        <v>0</v>
      </c>
      <c r="CK170">
        <v>0</v>
      </c>
      <c r="CL170">
        <v>1</v>
      </c>
      <c r="CM170">
        <v>0</v>
      </c>
      <c r="CN170" t="s">
        <v>201</v>
      </c>
      <c r="CO170">
        <v>0</v>
      </c>
      <c r="CP170">
        <v>0</v>
      </c>
      <c r="CR170" t="s">
        <v>122</v>
      </c>
      <c r="CS170">
        <v>0</v>
      </c>
    </row>
    <row r="171" spans="1:97" x14ac:dyDescent="0.2">
      <c r="A171" t="s">
        <v>1543</v>
      </c>
      <c r="B171">
        <v>185</v>
      </c>
      <c r="C171" t="s">
        <v>1544</v>
      </c>
      <c r="D171" t="s">
        <v>1545</v>
      </c>
      <c r="E171" t="s">
        <v>1546</v>
      </c>
      <c r="F171" t="s">
        <v>126</v>
      </c>
      <c r="H171">
        <v>4</v>
      </c>
      <c r="I171">
        <v>12</v>
      </c>
      <c r="J171">
        <v>1</v>
      </c>
      <c r="K171" t="s">
        <v>102</v>
      </c>
      <c r="M171" t="s">
        <v>137</v>
      </c>
      <c r="P171" t="s">
        <v>1547</v>
      </c>
      <c r="T171">
        <v>3608.79</v>
      </c>
      <c r="U171">
        <v>902.75</v>
      </c>
      <c r="V171">
        <v>0</v>
      </c>
      <c r="AM171" t="s">
        <v>107</v>
      </c>
      <c r="BC171">
        <v>17</v>
      </c>
      <c r="BD171" t="s">
        <v>108</v>
      </c>
      <c r="BE171" t="s">
        <v>109</v>
      </c>
      <c r="BG171" t="s">
        <v>110</v>
      </c>
      <c r="BH171" t="s">
        <v>111</v>
      </c>
      <c r="BI171" t="s">
        <v>112</v>
      </c>
      <c r="BJ171" t="s">
        <v>113</v>
      </c>
      <c r="BK171" t="s">
        <v>114</v>
      </c>
      <c r="BL171" t="s">
        <v>115</v>
      </c>
      <c r="BM171" t="s">
        <v>116</v>
      </c>
      <c r="BO171" t="s">
        <v>117</v>
      </c>
      <c r="BQ171">
        <v>56</v>
      </c>
      <c r="BR171" t="s">
        <v>481</v>
      </c>
      <c r="BU171" t="s">
        <v>216</v>
      </c>
      <c r="BV171" t="s">
        <v>120</v>
      </c>
      <c r="BW171">
        <v>0</v>
      </c>
      <c r="BX171">
        <v>0</v>
      </c>
      <c r="BY171">
        <v>0</v>
      </c>
      <c r="BZ171">
        <v>0.09</v>
      </c>
      <c r="CA171">
        <v>902.75</v>
      </c>
      <c r="CB171">
        <v>50.37</v>
      </c>
      <c r="CC171">
        <v>0</v>
      </c>
      <c r="CD171">
        <v>3608.79</v>
      </c>
      <c r="CE171" t="s">
        <v>181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O171">
        <v>0</v>
      </c>
      <c r="CP171">
        <v>0</v>
      </c>
      <c r="CR171" t="s">
        <v>122</v>
      </c>
      <c r="CS171">
        <v>0</v>
      </c>
    </row>
    <row r="172" spans="1:97" x14ac:dyDescent="0.2">
      <c r="A172" t="s">
        <v>1548</v>
      </c>
      <c r="B172">
        <v>186</v>
      </c>
      <c r="C172" t="s">
        <v>1549</v>
      </c>
      <c r="D172" t="s">
        <v>1550</v>
      </c>
      <c r="E172" t="s">
        <v>196</v>
      </c>
      <c r="F172" t="s">
        <v>126</v>
      </c>
      <c r="H172">
        <v>3</v>
      </c>
      <c r="I172">
        <v>4</v>
      </c>
      <c r="J172">
        <v>1</v>
      </c>
      <c r="K172" t="s">
        <v>127</v>
      </c>
      <c r="M172" t="s">
        <v>137</v>
      </c>
      <c r="P172" t="s">
        <v>1551</v>
      </c>
      <c r="Q172" t="s">
        <v>1552</v>
      </c>
      <c r="R172" t="s">
        <v>1553</v>
      </c>
      <c r="S172" t="s">
        <v>1554</v>
      </c>
      <c r="T172">
        <v>2169.06</v>
      </c>
      <c r="U172">
        <v>300</v>
      </c>
      <c r="V172">
        <v>0</v>
      </c>
      <c r="AM172" t="s">
        <v>107</v>
      </c>
      <c r="BV172" t="s">
        <v>142</v>
      </c>
      <c r="CD172">
        <v>2169.06</v>
      </c>
      <c r="CO172">
        <v>0</v>
      </c>
      <c r="CP172">
        <v>0</v>
      </c>
      <c r="CR172" t="s">
        <v>143</v>
      </c>
      <c r="CS172">
        <v>0</v>
      </c>
    </row>
    <row r="173" spans="1:97" x14ac:dyDescent="0.2">
      <c r="A173" t="s">
        <v>1555</v>
      </c>
      <c r="B173">
        <v>187</v>
      </c>
      <c r="C173" t="s">
        <v>1556</v>
      </c>
      <c r="D173" t="s">
        <v>1557</v>
      </c>
      <c r="E173" t="s">
        <v>1558</v>
      </c>
      <c r="F173" t="s">
        <v>126</v>
      </c>
      <c r="H173">
        <v>4</v>
      </c>
      <c r="I173">
        <v>4</v>
      </c>
      <c r="J173">
        <v>1</v>
      </c>
      <c r="K173" t="s">
        <v>127</v>
      </c>
      <c r="L173" t="s">
        <v>1559</v>
      </c>
      <c r="M173" t="s">
        <v>137</v>
      </c>
      <c r="P173" t="s">
        <v>1560</v>
      </c>
      <c r="Q173" t="s">
        <v>1561</v>
      </c>
      <c r="R173" t="s">
        <v>1562</v>
      </c>
      <c r="S173" t="s">
        <v>1563</v>
      </c>
      <c r="T173">
        <v>2449.11</v>
      </c>
      <c r="U173">
        <v>200</v>
      </c>
      <c r="V173">
        <v>0</v>
      </c>
      <c r="W173">
        <v>838</v>
      </c>
      <c r="X173" t="s">
        <v>1564</v>
      </c>
      <c r="Y173" t="s">
        <v>109</v>
      </c>
      <c r="AJ173">
        <v>753</v>
      </c>
      <c r="AK173" t="s">
        <v>1406</v>
      </c>
      <c r="AL173" t="s">
        <v>1565</v>
      </c>
      <c r="AM173" t="s">
        <v>163</v>
      </c>
      <c r="AO173">
        <v>1</v>
      </c>
      <c r="AT173">
        <v>1873</v>
      </c>
      <c r="AU173">
        <v>1873</v>
      </c>
      <c r="AV173">
        <v>2041.57</v>
      </c>
      <c r="AW173">
        <v>0.09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190</v>
      </c>
      <c r="BD173" t="s">
        <v>1491</v>
      </c>
      <c r="BE173" t="s">
        <v>109</v>
      </c>
      <c r="BG173" t="s">
        <v>1492</v>
      </c>
      <c r="BI173" t="s">
        <v>1493</v>
      </c>
      <c r="BK173" t="s">
        <v>233</v>
      </c>
      <c r="BL173" t="s">
        <v>115</v>
      </c>
      <c r="BM173" t="s">
        <v>1494</v>
      </c>
      <c r="BQ173">
        <v>249</v>
      </c>
      <c r="BR173" t="s">
        <v>1566</v>
      </c>
      <c r="BS173" t="s">
        <v>1567</v>
      </c>
      <c r="BT173">
        <v>6</v>
      </c>
      <c r="BU173" t="s">
        <v>119</v>
      </c>
      <c r="BV173" t="s">
        <v>163</v>
      </c>
      <c r="BW173">
        <v>2449.11</v>
      </c>
      <c r="BX173">
        <v>2649.11</v>
      </c>
      <c r="BY173">
        <v>2887.53</v>
      </c>
      <c r="BZ173">
        <v>0.09</v>
      </c>
      <c r="CA173">
        <v>200</v>
      </c>
      <c r="CB173">
        <v>0</v>
      </c>
      <c r="CC173">
        <v>0</v>
      </c>
      <c r="CD173">
        <v>2449.11</v>
      </c>
      <c r="CE173" t="s">
        <v>121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O173">
        <v>776.11000000000013</v>
      </c>
      <c r="CP173">
        <v>9313.3200000000015</v>
      </c>
      <c r="CQ173">
        <v>41.44</v>
      </c>
      <c r="CR173" t="s">
        <v>168</v>
      </c>
    </row>
    <row r="174" spans="1:97" x14ac:dyDescent="0.2">
      <c r="A174" t="s">
        <v>1568</v>
      </c>
      <c r="B174">
        <v>188</v>
      </c>
      <c r="C174" t="s">
        <v>1569</v>
      </c>
      <c r="D174" t="s">
        <v>933</v>
      </c>
      <c r="E174" t="s">
        <v>1570</v>
      </c>
      <c r="F174" t="s">
        <v>101</v>
      </c>
      <c r="H174">
        <v>2</v>
      </c>
      <c r="I174">
        <v>3</v>
      </c>
      <c r="J174">
        <v>1</v>
      </c>
      <c r="K174" t="s">
        <v>102</v>
      </c>
      <c r="P174" t="s">
        <v>1571</v>
      </c>
      <c r="T174">
        <v>1723.44</v>
      </c>
      <c r="U174">
        <v>22.94</v>
      </c>
      <c r="V174">
        <v>0</v>
      </c>
      <c r="AM174" t="s">
        <v>107</v>
      </c>
      <c r="BV174" t="s">
        <v>142</v>
      </c>
      <c r="CD174">
        <v>1723.44</v>
      </c>
      <c r="CO174">
        <v>0</v>
      </c>
      <c r="CP174">
        <v>0</v>
      </c>
      <c r="CR174" t="s">
        <v>143</v>
      </c>
      <c r="CS174">
        <v>0</v>
      </c>
    </row>
    <row r="175" spans="1:97" x14ac:dyDescent="0.2">
      <c r="A175" t="s">
        <v>1572</v>
      </c>
      <c r="B175">
        <v>189</v>
      </c>
      <c r="C175" t="s">
        <v>1573</v>
      </c>
      <c r="D175" t="s">
        <v>1574</v>
      </c>
      <c r="E175" t="s">
        <v>1575</v>
      </c>
      <c r="F175" t="s">
        <v>126</v>
      </c>
      <c r="H175">
        <v>2</v>
      </c>
      <c r="I175">
        <v>8</v>
      </c>
      <c r="J175">
        <v>1</v>
      </c>
      <c r="K175" t="s">
        <v>102</v>
      </c>
      <c r="T175">
        <v>1700</v>
      </c>
      <c r="U175">
        <v>0</v>
      </c>
      <c r="V175">
        <v>0</v>
      </c>
      <c r="AM175" t="s">
        <v>107</v>
      </c>
      <c r="BV175" t="s">
        <v>142</v>
      </c>
      <c r="CD175">
        <v>1700</v>
      </c>
      <c r="CO175">
        <v>0</v>
      </c>
      <c r="CP175">
        <v>0</v>
      </c>
      <c r="CR175" t="s">
        <v>143</v>
      </c>
      <c r="CS175">
        <v>0</v>
      </c>
    </row>
    <row r="176" spans="1:97" x14ac:dyDescent="0.2">
      <c r="A176" t="s">
        <v>1576</v>
      </c>
      <c r="B176">
        <v>190</v>
      </c>
      <c r="C176" t="s">
        <v>1577</v>
      </c>
      <c r="D176" t="s">
        <v>1578</v>
      </c>
      <c r="E176" t="s">
        <v>272</v>
      </c>
      <c r="F176" t="s">
        <v>126</v>
      </c>
      <c r="H176">
        <v>3</v>
      </c>
      <c r="I176">
        <v>4</v>
      </c>
      <c r="J176">
        <v>1</v>
      </c>
      <c r="K176" t="s">
        <v>102</v>
      </c>
      <c r="T176">
        <v>2100</v>
      </c>
      <c r="U176">
        <v>2374.4899999999998</v>
      </c>
      <c r="V176">
        <v>0</v>
      </c>
      <c r="AM176" t="s">
        <v>107</v>
      </c>
      <c r="BC176">
        <v>17</v>
      </c>
      <c r="BD176" t="s">
        <v>108</v>
      </c>
      <c r="BE176" t="s">
        <v>109</v>
      </c>
      <c r="BG176" t="s">
        <v>110</v>
      </c>
      <c r="BH176" t="s">
        <v>111</v>
      </c>
      <c r="BI176" t="s">
        <v>112</v>
      </c>
      <c r="BJ176" t="s">
        <v>113</v>
      </c>
      <c r="BK176" t="s">
        <v>114</v>
      </c>
      <c r="BL176" t="s">
        <v>115</v>
      </c>
      <c r="BM176" t="s">
        <v>116</v>
      </c>
      <c r="BO176" t="s">
        <v>117</v>
      </c>
      <c r="BQ176">
        <v>311</v>
      </c>
      <c r="BR176" t="s">
        <v>118</v>
      </c>
      <c r="BU176" t="s">
        <v>119</v>
      </c>
      <c r="BV176" t="s">
        <v>120</v>
      </c>
      <c r="BW176">
        <v>2100</v>
      </c>
      <c r="BX176">
        <v>2350</v>
      </c>
      <c r="BY176">
        <v>2561.5</v>
      </c>
      <c r="BZ176">
        <v>0.09</v>
      </c>
      <c r="CA176">
        <v>250</v>
      </c>
      <c r="CB176">
        <v>25.1</v>
      </c>
      <c r="CC176">
        <v>250</v>
      </c>
      <c r="CD176">
        <v>2100</v>
      </c>
      <c r="CE176" t="s">
        <v>121</v>
      </c>
      <c r="CF176">
        <v>1</v>
      </c>
      <c r="CG176">
        <v>1</v>
      </c>
      <c r="CH176">
        <v>1</v>
      </c>
      <c r="CI176">
        <v>0</v>
      </c>
      <c r="CJ176">
        <v>0</v>
      </c>
      <c r="CK176">
        <v>0</v>
      </c>
      <c r="CL176">
        <v>1</v>
      </c>
      <c r="CM176">
        <v>0</v>
      </c>
      <c r="CN176" t="s">
        <v>201</v>
      </c>
      <c r="CO176">
        <v>2350</v>
      </c>
      <c r="CP176">
        <v>28200</v>
      </c>
      <c r="CR176" t="s">
        <v>122</v>
      </c>
      <c r="CS176">
        <v>0</v>
      </c>
    </row>
    <row r="177" spans="1:97" x14ac:dyDescent="0.2">
      <c r="A177" t="s">
        <v>1576</v>
      </c>
      <c r="B177">
        <v>190</v>
      </c>
      <c r="C177" t="s">
        <v>1577</v>
      </c>
      <c r="D177" t="s">
        <v>1578</v>
      </c>
      <c r="E177" t="s">
        <v>272</v>
      </c>
      <c r="F177" t="s">
        <v>126</v>
      </c>
      <c r="H177">
        <v>3</v>
      </c>
      <c r="I177">
        <v>4</v>
      </c>
      <c r="J177">
        <v>1</v>
      </c>
      <c r="K177" t="s">
        <v>102</v>
      </c>
      <c r="T177">
        <v>2100</v>
      </c>
      <c r="U177">
        <v>2374.4899999999998</v>
      </c>
      <c r="V177">
        <v>0</v>
      </c>
      <c r="AM177" t="s">
        <v>107</v>
      </c>
      <c r="BC177">
        <v>355</v>
      </c>
      <c r="BD177" t="s">
        <v>1579</v>
      </c>
      <c r="BE177" t="s">
        <v>109</v>
      </c>
      <c r="BG177" t="s">
        <v>1580</v>
      </c>
      <c r="BI177" t="s">
        <v>1581</v>
      </c>
      <c r="BK177" t="s">
        <v>1582</v>
      </c>
      <c r="BL177" t="s">
        <v>115</v>
      </c>
      <c r="BO177" t="s">
        <v>1583</v>
      </c>
      <c r="BQ177">
        <v>77</v>
      </c>
      <c r="BR177" t="s">
        <v>1584</v>
      </c>
      <c r="BS177" t="s">
        <v>1585</v>
      </c>
      <c r="BT177">
        <v>12</v>
      </c>
      <c r="BU177" t="s">
        <v>119</v>
      </c>
      <c r="BV177" t="s">
        <v>163</v>
      </c>
      <c r="BW177">
        <v>2100</v>
      </c>
      <c r="BX177">
        <v>2350</v>
      </c>
      <c r="BY177">
        <v>2561.5</v>
      </c>
      <c r="BZ177">
        <v>0.09</v>
      </c>
      <c r="CA177">
        <v>250</v>
      </c>
      <c r="CB177">
        <v>0</v>
      </c>
      <c r="CC177">
        <v>250</v>
      </c>
      <c r="CD177">
        <v>2100</v>
      </c>
      <c r="CE177" t="s">
        <v>121</v>
      </c>
      <c r="CF177">
        <v>1</v>
      </c>
      <c r="CG177">
        <v>1</v>
      </c>
      <c r="CH177">
        <v>1</v>
      </c>
      <c r="CI177">
        <v>0</v>
      </c>
      <c r="CJ177">
        <v>0</v>
      </c>
      <c r="CK177">
        <v>0</v>
      </c>
      <c r="CL177">
        <v>1</v>
      </c>
      <c r="CM177">
        <v>0</v>
      </c>
      <c r="CN177" t="s">
        <v>201</v>
      </c>
      <c r="CO177">
        <v>2350</v>
      </c>
      <c r="CP177">
        <v>28200</v>
      </c>
      <c r="CR177" t="s">
        <v>168</v>
      </c>
      <c r="CS177">
        <v>231</v>
      </c>
    </row>
    <row r="178" spans="1:97" x14ac:dyDescent="0.2">
      <c r="A178" t="s">
        <v>1586</v>
      </c>
      <c r="B178">
        <v>191</v>
      </c>
      <c r="C178" t="s">
        <v>1587</v>
      </c>
      <c r="D178" t="s">
        <v>1588</v>
      </c>
      <c r="E178" t="s">
        <v>1246</v>
      </c>
      <c r="F178" t="s">
        <v>126</v>
      </c>
      <c r="H178">
        <v>5</v>
      </c>
      <c r="I178">
        <v>10</v>
      </c>
      <c r="J178">
        <v>1</v>
      </c>
      <c r="K178" t="s">
        <v>102</v>
      </c>
      <c r="L178" t="s">
        <v>1589</v>
      </c>
      <c r="M178" t="s">
        <v>137</v>
      </c>
      <c r="P178" t="s">
        <v>1590</v>
      </c>
      <c r="Q178" t="s">
        <v>1591</v>
      </c>
      <c r="R178" t="s">
        <v>1592</v>
      </c>
      <c r="S178" t="s">
        <v>1593</v>
      </c>
      <c r="T178">
        <v>5361.15</v>
      </c>
      <c r="U178">
        <v>500</v>
      </c>
      <c r="V178">
        <v>0</v>
      </c>
      <c r="W178">
        <v>840</v>
      </c>
      <c r="X178" t="s">
        <v>1594</v>
      </c>
      <c r="Y178" t="s">
        <v>109</v>
      </c>
      <c r="AJ178">
        <v>761</v>
      </c>
      <c r="AM178" t="s">
        <v>120</v>
      </c>
      <c r="AO178">
        <v>1</v>
      </c>
      <c r="AT178">
        <v>0</v>
      </c>
      <c r="AU178">
        <v>4736.55</v>
      </c>
      <c r="AV178">
        <v>5162.84</v>
      </c>
      <c r="AW178">
        <v>0.09</v>
      </c>
      <c r="AX178">
        <v>0</v>
      </c>
      <c r="AY178">
        <v>0</v>
      </c>
      <c r="AZ178">
        <v>0</v>
      </c>
      <c r="BA178">
        <v>0</v>
      </c>
      <c r="BB178">
        <v>0</v>
      </c>
      <c r="BV178" t="s">
        <v>142</v>
      </c>
      <c r="CD178">
        <v>5361.15</v>
      </c>
      <c r="CO178">
        <v>-4736.55</v>
      </c>
      <c r="CP178">
        <v>-56838.600000000013</v>
      </c>
      <c r="CQ178">
        <v>-100</v>
      </c>
      <c r="CR178" t="s">
        <v>143</v>
      </c>
      <c r="CS178">
        <v>0</v>
      </c>
    </row>
    <row r="179" spans="1:97" x14ac:dyDescent="0.2">
      <c r="A179" t="s">
        <v>1595</v>
      </c>
      <c r="B179">
        <v>192</v>
      </c>
      <c r="C179" t="s">
        <v>1596</v>
      </c>
      <c r="D179" t="s">
        <v>1597</v>
      </c>
      <c r="E179" t="s">
        <v>1598</v>
      </c>
      <c r="F179" t="s">
        <v>101</v>
      </c>
      <c r="H179">
        <v>3</v>
      </c>
      <c r="I179">
        <v>6</v>
      </c>
      <c r="J179">
        <v>1</v>
      </c>
      <c r="K179" t="s">
        <v>102</v>
      </c>
      <c r="M179" t="s">
        <v>313</v>
      </c>
      <c r="T179">
        <v>2186.1</v>
      </c>
      <c r="U179">
        <v>711.47</v>
      </c>
      <c r="V179">
        <v>0</v>
      </c>
      <c r="AM179" t="s">
        <v>107</v>
      </c>
      <c r="BC179">
        <v>17</v>
      </c>
      <c r="BD179" t="s">
        <v>108</v>
      </c>
      <c r="BE179" t="s">
        <v>109</v>
      </c>
      <c r="BG179" t="s">
        <v>110</v>
      </c>
      <c r="BH179" t="s">
        <v>111</v>
      </c>
      <c r="BI179" t="s">
        <v>112</v>
      </c>
      <c r="BJ179" t="s">
        <v>113</v>
      </c>
      <c r="BK179" t="s">
        <v>114</v>
      </c>
      <c r="BL179" t="s">
        <v>115</v>
      </c>
      <c r="BM179" t="s">
        <v>116</v>
      </c>
      <c r="BO179" t="s">
        <v>117</v>
      </c>
      <c r="BQ179">
        <v>312</v>
      </c>
      <c r="BR179" t="s">
        <v>118</v>
      </c>
      <c r="BU179" t="s">
        <v>119</v>
      </c>
      <c r="BV179" t="s">
        <v>120</v>
      </c>
      <c r="BW179">
        <v>0</v>
      </c>
      <c r="BX179">
        <v>2650</v>
      </c>
      <c r="BY179">
        <v>2888.5</v>
      </c>
      <c r="BZ179">
        <v>0.09</v>
      </c>
      <c r="CA179">
        <v>711.47</v>
      </c>
      <c r="CB179">
        <v>0</v>
      </c>
      <c r="CC179">
        <v>0</v>
      </c>
      <c r="CD179">
        <v>2186.1</v>
      </c>
      <c r="CE179" t="s">
        <v>121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O179">
        <v>2650</v>
      </c>
      <c r="CP179">
        <v>31800</v>
      </c>
      <c r="CR179" t="s">
        <v>122</v>
      </c>
      <c r="CS179">
        <v>0</v>
      </c>
    </row>
    <row r="180" spans="1:97" x14ac:dyDescent="0.2">
      <c r="A180" t="s">
        <v>1599</v>
      </c>
      <c r="B180">
        <v>193</v>
      </c>
      <c r="C180" t="s">
        <v>1600</v>
      </c>
      <c r="D180" t="s">
        <v>1601</v>
      </c>
      <c r="E180" t="s">
        <v>1602</v>
      </c>
      <c r="F180" t="s">
        <v>101</v>
      </c>
      <c r="H180">
        <v>3</v>
      </c>
      <c r="I180">
        <v>5</v>
      </c>
      <c r="J180">
        <v>1</v>
      </c>
      <c r="K180" t="s">
        <v>102</v>
      </c>
      <c r="M180" t="s">
        <v>137</v>
      </c>
      <c r="T180">
        <v>2169.06</v>
      </c>
      <c r="U180">
        <v>424.43</v>
      </c>
      <c r="V180">
        <v>0</v>
      </c>
      <c r="W180">
        <v>997</v>
      </c>
      <c r="X180" t="s">
        <v>1603</v>
      </c>
      <c r="Y180" t="s">
        <v>326</v>
      </c>
      <c r="AJ180">
        <v>852</v>
      </c>
      <c r="AM180" t="s">
        <v>120</v>
      </c>
      <c r="AO180">
        <v>1</v>
      </c>
      <c r="AT180">
        <v>0</v>
      </c>
      <c r="AW180">
        <v>0.09</v>
      </c>
      <c r="BA180">
        <v>0</v>
      </c>
      <c r="BB180">
        <v>0</v>
      </c>
      <c r="BC180">
        <v>17</v>
      </c>
      <c r="BD180" t="s">
        <v>108</v>
      </c>
      <c r="BE180" t="s">
        <v>109</v>
      </c>
      <c r="BG180" t="s">
        <v>110</v>
      </c>
      <c r="BH180" t="s">
        <v>111</v>
      </c>
      <c r="BI180" t="s">
        <v>112</v>
      </c>
      <c r="BJ180" t="s">
        <v>113</v>
      </c>
      <c r="BK180" t="s">
        <v>114</v>
      </c>
      <c r="BL180" t="s">
        <v>115</v>
      </c>
      <c r="BM180" t="s">
        <v>116</v>
      </c>
      <c r="BO180" t="s">
        <v>117</v>
      </c>
      <c r="BQ180">
        <v>313</v>
      </c>
      <c r="BR180" t="s">
        <v>118</v>
      </c>
      <c r="BU180" t="s">
        <v>119</v>
      </c>
      <c r="BV180" t="s">
        <v>120</v>
      </c>
      <c r="BW180">
        <v>0</v>
      </c>
      <c r="BX180">
        <v>1850</v>
      </c>
      <c r="BY180">
        <v>2016.5</v>
      </c>
      <c r="BZ180">
        <v>0.09</v>
      </c>
      <c r="CA180">
        <v>424.43</v>
      </c>
      <c r="CB180">
        <v>50.37</v>
      </c>
      <c r="CC180">
        <v>0</v>
      </c>
      <c r="CD180">
        <v>2169.06</v>
      </c>
      <c r="CE180" t="s">
        <v>121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O180">
        <v>1850</v>
      </c>
      <c r="CP180">
        <v>22200</v>
      </c>
      <c r="CR180" t="s">
        <v>122</v>
      </c>
      <c r="CS180">
        <v>0</v>
      </c>
    </row>
    <row r="181" spans="1:97" x14ac:dyDescent="0.2">
      <c r="A181" t="s">
        <v>1604</v>
      </c>
      <c r="B181">
        <v>194</v>
      </c>
      <c r="C181" t="s">
        <v>1605</v>
      </c>
      <c r="D181" t="s">
        <v>1606</v>
      </c>
      <c r="E181" t="s">
        <v>1598</v>
      </c>
      <c r="F181" t="s">
        <v>101</v>
      </c>
      <c r="H181">
        <v>2</v>
      </c>
      <c r="I181">
        <v>5</v>
      </c>
      <c r="J181">
        <v>1</v>
      </c>
      <c r="K181" t="s">
        <v>102</v>
      </c>
      <c r="M181" t="s">
        <v>137</v>
      </c>
      <c r="P181" t="s">
        <v>1607</v>
      </c>
      <c r="T181">
        <v>1750</v>
      </c>
      <c r="U181">
        <v>200</v>
      </c>
      <c r="V181">
        <v>0</v>
      </c>
      <c r="AM181" t="s">
        <v>107</v>
      </c>
      <c r="BC181">
        <v>17</v>
      </c>
      <c r="BD181" t="s">
        <v>108</v>
      </c>
      <c r="BE181" t="s">
        <v>109</v>
      </c>
      <c r="BG181" t="s">
        <v>110</v>
      </c>
      <c r="BH181" t="s">
        <v>111</v>
      </c>
      <c r="BI181" t="s">
        <v>112</v>
      </c>
      <c r="BJ181" t="s">
        <v>113</v>
      </c>
      <c r="BK181" t="s">
        <v>114</v>
      </c>
      <c r="BL181" t="s">
        <v>115</v>
      </c>
      <c r="BM181" t="s">
        <v>116</v>
      </c>
      <c r="BO181" t="s">
        <v>117</v>
      </c>
      <c r="BQ181">
        <v>314</v>
      </c>
      <c r="BR181" t="s">
        <v>118</v>
      </c>
      <c r="BU181" t="s">
        <v>119</v>
      </c>
      <c r="BV181" t="s">
        <v>120</v>
      </c>
      <c r="BW181">
        <v>0</v>
      </c>
      <c r="BX181">
        <v>1916</v>
      </c>
      <c r="BY181">
        <v>2088.44</v>
      </c>
      <c r="BZ181">
        <v>0.09</v>
      </c>
      <c r="CA181">
        <v>200</v>
      </c>
      <c r="CB181">
        <v>50.37</v>
      </c>
      <c r="CC181">
        <v>0</v>
      </c>
      <c r="CD181">
        <v>1750</v>
      </c>
      <c r="CE181" t="s">
        <v>121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O181">
        <v>1916</v>
      </c>
      <c r="CP181">
        <v>22992</v>
      </c>
      <c r="CR181" t="s">
        <v>122</v>
      </c>
      <c r="CS181">
        <v>0</v>
      </c>
    </row>
    <row r="182" spans="1:97" x14ac:dyDescent="0.2">
      <c r="A182" t="s">
        <v>1608</v>
      </c>
      <c r="B182">
        <v>195</v>
      </c>
      <c r="C182" t="s">
        <v>1609</v>
      </c>
      <c r="D182" t="s">
        <v>1610</v>
      </c>
      <c r="E182" t="s">
        <v>312</v>
      </c>
      <c r="F182" t="s">
        <v>126</v>
      </c>
      <c r="H182">
        <v>2</v>
      </c>
      <c r="I182">
        <v>3</v>
      </c>
      <c r="J182">
        <v>1</v>
      </c>
      <c r="K182" t="s">
        <v>102</v>
      </c>
      <c r="P182" t="s">
        <v>1611</v>
      </c>
      <c r="T182">
        <v>1750</v>
      </c>
      <c r="U182">
        <v>208.34</v>
      </c>
      <c r="V182">
        <v>0</v>
      </c>
      <c r="AM182" t="s">
        <v>107</v>
      </c>
      <c r="BC182">
        <v>17</v>
      </c>
      <c r="BD182" t="s">
        <v>108</v>
      </c>
      <c r="BE182" t="s">
        <v>109</v>
      </c>
      <c r="BG182" t="s">
        <v>110</v>
      </c>
      <c r="BH182" t="s">
        <v>111</v>
      </c>
      <c r="BI182" t="s">
        <v>112</v>
      </c>
      <c r="BJ182" t="s">
        <v>113</v>
      </c>
      <c r="BK182" t="s">
        <v>114</v>
      </c>
      <c r="BL182" t="s">
        <v>115</v>
      </c>
      <c r="BM182" t="s">
        <v>116</v>
      </c>
      <c r="BO182" t="s">
        <v>117</v>
      </c>
      <c r="BQ182">
        <v>315</v>
      </c>
      <c r="BR182" t="s">
        <v>118</v>
      </c>
      <c r="BU182" t="s">
        <v>119</v>
      </c>
      <c r="BV182" t="s">
        <v>120</v>
      </c>
      <c r="BW182">
        <v>0</v>
      </c>
      <c r="BX182">
        <v>1451.23</v>
      </c>
      <c r="BY182">
        <v>1581.84</v>
      </c>
      <c r="BZ182">
        <v>0.09</v>
      </c>
      <c r="CA182">
        <v>208.34</v>
      </c>
      <c r="CB182">
        <v>69.56</v>
      </c>
      <c r="CC182">
        <v>0</v>
      </c>
      <c r="CD182">
        <v>1750</v>
      </c>
      <c r="CE182" t="s">
        <v>121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O182">
        <v>1451.23</v>
      </c>
      <c r="CP182">
        <v>17414.759999999998</v>
      </c>
      <c r="CR182" t="s">
        <v>122</v>
      </c>
      <c r="CS182">
        <v>0</v>
      </c>
    </row>
    <row r="183" spans="1:97" x14ac:dyDescent="0.2">
      <c r="A183" t="s">
        <v>1612</v>
      </c>
      <c r="B183">
        <v>196</v>
      </c>
      <c r="C183" t="s">
        <v>1613</v>
      </c>
      <c r="D183" t="s">
        <v>1614</v>
      </c>
      <c r="E183" t="s">
        <v>312</v>
      </c>
      <c r="F183" t="s">
        <v>126</v>
      </c>
      <c r="H183">
        <v>2</v>
      </c>
      <c r="I183">
        <v>3</v>
      </c>
      <c r="J183">
        <v>1</v>
      </c>
      <c r="K183" t="s">
        <v>102</v>
      </c>
      <c r="T183">
        <v>1750</v>
      </c>
      <c r="U183">
        <v>116.38</v>
      </c>
      <c r="V183">
        <v>0</v>
      </c>
      <c r="W183">
        <v>295</v>
      </c>
      <c r="X183" t="s">
        <v>938</v>
      </c>
      <c r="Y183" t="s">
        <v>109</v>
      </c>
      <c r="AA183" t="s">
        <v>939</v>
      </c>
      <c r="AB183" t="s">
        <v>940</v>
      </c>
      <c r="AC183" t="s">
        <v>941</v>
      </c>
      <c r="AE183" t="s">
        <v>942</v>
      </c>
      <c r="AF183" t="s">
        <v>115</v>
      </c>
      <c r="AJ183">
        <v>599</v>
      </c>
      <c r="AM183" t="s">
        <v>120</v>
      </c>
      <c r="AO183">
        <v>1</v>
      </c>
      <c r="AT183">
        <v>1125</v>
      </c>
      <c r="AU183">
        <v>1125</v>
      </c>
      <c r="AV183">
        <v>1226.25</v>
      </c>
      <c r="AW183">
        <v>0.09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17</v>
      </c>
      <c r="BD183" t="s">
        <v>108</v>
      </c>
      <c r="BE183" t="s">
        <v>109</v>
      </c>
      <c r="BG183" t="s">
        <v>110</v>
      </c>
      <c r="BH183" t="s">
        <v>111</v>
      </c>
      <c r="BI183" t="s">
        <v>112</v>
      </c>
      <c r="BJ183" t="s">
        <v>113</v>
      </c>
      <c r="BK183" t="s">
        <v>114</v>
      </c>
      <c r="BL183" t="s">
        <v>115</v>
      </c>
      <c r="BM183" t="s">
        <v>116</v>
      </c>
      <c r="BO183" t="s">
        <v>117</v>
      </c>
      <c r="BQ183">
        <v>83</v>
      </c>
      <c r="BR183" t="s">
        <v>481</v>
      </c>
      <c r="BU183" t="s">
        <v>216</v>
      </c>
      <c r="BV183" t="s">
        <v>120</v>
      </c>
      <c r="BW183">
        <v>0</v>
      </c>
      <c r="BX183">
        <v>0</v>
      </c>
      <c r="BY183">
        <v>0</v>
      </c>
      <c r="BZ183">
        <v>0.09</v>
      </c>
      <c r="CA183">
        <v>116.38</v>
      </c>
      <c r="CB183">
        <v>67.349999999999994</v>
      </c>
      <c r="CC183">
        <v>0</v>
      </c>
      <c r="CD183">
        <v>1750</v>
      </c>
      <c r="CE183" t="s">
        <v>181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O183">
        <v>-1125</v>
      </c>
      <c r="CP183">
        <v>-13500</v>
      </c>
      <c r="CQ183">
        <v>-100</v>
      </c>
      <c r="CR183" t="s">
        <v>122</v>
      </c>
      <c r="CS183">
        <v>0</v>
      </c>
    </row>
    <row r="184" spans="1:97" x14ac:dyDescent="0.2">
      <c r="A184" t="s">
        <v>1615</v>
      </c>
      <c r="B184">
        <v>197</v>
      </c>
      <c r="C184" t="s">
        <v>1616</v>
      </c>
      <c r="D184" t="s">
        <v>1617</v>
      </c>
      <c r="E184" t="s">
        <v>1618</v>
      </c>
      <c r="F184" t="s">
        <v>101</v>
      </c>
      <c r="H184">
        <v>3</v>
      </c>
      <c r="I184">
        <v>7</v>
      </c>
      <c r="J184">
        <v>1</v>
      </c>
      <c r="K184" t="s">
        <v>102</v>
      </c>
      <c r="M184" t="s">
        <v>137</v>
      </c>
      <c r="P184" t="s">
        <v>1619</v>
      </c>
      <c r="Q184" t="s">
        <v>1620</v>
      </c>
      <c r="R184" t="s">
        <v>1621</v>
      </c>
      <c r="S184" t="s">
        <v>1622</v>
      </c>
      <c r="T184">
        <v>1829.53</v>
      </c>
      <c r="U184">
        <v>1144</v>
      </c>
      <c r="V184">
        <v>0</v>
      </c>
      <c r="AM184" t="s">
        <v>107</v>
      </c>
      <c r="BC184">
        <v>17</v>
      </c>
      <c r="BD184" t="s">
        <v>108</v>
      </c>
      <c r="BE184" t="s">
        <v>109</v>
      </c>
      <c r="BG184" t="s">
        <v>110</v>
      </c>
      <c r="BH184" t="s">
        <v>111</v>
      </c>
      <c r="BI184" t="s">
        <v>112</v>
      </c>
      <c r="BJ184" t="s">
        <v>113</v>
      </c>
      <c r="BK184" t="s">
        <v>114</v>
      </c>
      <c r="BL184" t="s">
        <v>115</v>
      </c>
      <c r="BM184" t="s">
        <v>116</v>
      </c>
      <c r="BO184" t="s">
        <v>117</v>
      </c>
      <c r="BQ184">
        <v>316</v>
      </c>
      <c r="BR184" t="s">
        <v>118</v>
      </c>
      <c r="BU184" t="s">
        <v>119</v>
      </c>
      <c r="BV184" t="s">
        <v>120</v>
      </c>
      <c r="BW184">
        <v>0</v>
      </c>
      <c r="BX184">
        <v>2700</v>
      </c>
      <c r="BY184">
        <v>2943</v>
      </c>
      <c r="BZ184">
        <v>0.09</v>
      </c>
      <c r="CA184">
        <v>1144</v>
      </c>
      <c r="CB184">
        <v>53.72</v>
      </c>
      <c r="CC184">
        <v>0</v>
      </c>
      <c r="CD184">
        <v>1829.53</v>
      </c>
      <c r="CE184" t="s">
        <v>121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O184">
        <v>2700</v>
      </c>
      <c r="CP184">
        <v>32400</v>
      </c>
      <c r="CR184" t="s">
        <v>122</v>
      </c>
      <c r="CS184">
        <v>0</v>
      </c>
    </row>
    <row r="185" spans="1:97" x14ac:dyDescent="0.2">
      <c r="A185" t="s">
        <v>1623</v>
      </c>
      <c r="B185">
        <v>198</v>
      </c>
      <c r="C185" t="s">
        <v>1624</v>
      </c>
      <c r="D185" t="s">
        <v>1617</v>
      </c>
      <c r="E185" t="s">
        <v>1618</v>
      </c>
      <c r="F185" t="s">
        <v>101</v>
      </c>
      <c r="H185">
        <v>3</v>
      </c>
      <c r="I185">
        <v>8</v>
      </c>
      <c r="J185">
        <v>1</v>
      </c>
      <c r="K185" t="s">
        <v>102</v>
      </c>
      <c r="M185" t="s">
        <v>137</v>
      </c>
      <c r="P185" t="s">
        <v>1619</v>
      </c>
      <c r="Q185" t="s">
        <v>1620</v>
      </c>
      <c r="R185" t="s">
        <v>1621</v>
      </c>
      <c r="S185" t="s">
        <v>1622</v>
      </c>
      <c r="T185">
        <v>0</v>
      </c>
      <c r="U185">
        <v>11040.15</v>
      </c>
      <c r="V185">
        <v>0</v>
      </c>
      <c r="AM185" t="s">
        <v>107</v>
      </c>
      <c r="BC185">
        <v>17</v>
      </c>
      <c r="BD185" t="s">
        <v>108</v>
      </c>
      <c r="BE185" t="s">
        <v>109</v>
      </c>
      <c r="BG185" t="s">
        <v>110</v>
      </c>
      <c r="BH185" t="s">
        <v>111</v>
      </c>
      <c r="BI185" t="s">
        <v>112</v>
      </c>
      <c r="BJ185" t="s">
        <v>113</v>
      </c>
      <c r="BK185" t="s">
        <v>114</v>
      </c>
      <c r="BL185" t="s">
        <v>115</v>
      </c>
      <c r="BM185" t="s">
        <v>116</v>
      </c>
      <c r="BO185" t="s">
        <v>117</v>
      </c>
      <c r="BQ185">
        <v>317</v>
      </c>
      <c r="BR185" t="s">
        <v>118</v>
      </c>
      <c r="BU185" t="s">
        <v>119</v>
      </c>
      <c r="BV185" t="s">
        <v>120</v>
      </c>
      <c r="BW185">
        <v>0</v>
      </c>
      <c r="BX185">
        <v>2800</v>
      </c>
      <c r="BY185">
        <v>3052</v>
      </c>
      <c r="BZ185">
        <v>0.09</v>
      </c>
      <c r="CA185">
        <v>11040.15</v>
      </c>
      <c r="CB185">
        <v>53.72</v>
      </c>
      <c r="CC185">
        <v>0</v>
      </c>
      <c r="CD185">
        <v>0</v>
      </c>
      <c r="CE185" t="s">
        <v>121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O185">
        <v>2800</v>
      </c>
      <c r="CP185">
        <v>33600</v>
      </c>
      <c r="CR185" t="s">
        <v>122</v>
      </c>
      <c r="CS185">
        <v>0</v>
      </c>
    </row>
    <row r="186" spans="1:97" x14ac:dyDescent="0.2">
      <c r="A186" t="s">
        <v>1625</v>
      </c>
      <c r="B186">
        <v>199</v>
      </c>
      <c r="C186" t="s">
        <v>1626</v>
      </c>
      <c r="D186" t="s">
        <v>1627</v>
      </c>
      <c r="E186" t="s">
        <v>1500</v>
      </c>
      <c r="F186" t="s">
        <v>126</v>
      </c>
      <c r="H186">
        <v>4</v>
      </c>
      <c r="I186">
        <v>6</v>
      </c>
      <c r="J186">
        <v>1</v>
      </c>
      <c r="K186" t="s">
        <v>102</v>
      </c>
      <c r="L186" t="s">
        <v>1628</v>
      </c>
      <c r="M186" t="s">
        <v>313</v>
      </c>
      <c r="P186" t="s">
        <v>1629</v>
      </c>
      <c r="Q186" t="s">
        <v>1630</v>
      </c>
      <c r="R186" t="s">
        <v>1631</v>
      </c>
      <c r="S186" t="s">
        <v>1632</v>
      </c>
      <c r="T186">
        <v>3100</v>
      </c>
      <c r="U186">
        <v>300</v>
      </c>
      <c r="V186">
        <v>0</v>
      </c>
      <c r="W186">
        <v>590</v>
      </c>
      <c r="X186" t="s">
        <v>1633</v>
      </c>
      <c r="Y186" t="s">
        <v>109</v>
      </c>
      <c r="AA186" t="s">
        <v>1634</v>
      </c>
      <c r="AB186" t="s">
        <v>1635</v>
      </c>
      <c r="AF186" t="s">
        <v>115</v>
      </c>
      <c r="AI186" t="s">
        <v>1636</v>
      </c>
      <c r="AJ186">
        <v>727</v>
      </c>
      <c r="AM186" t="s">
        <v>120</v>
      </c>
      <c r="AO186">
        <v>1</v>
      </c>
      <c r="AT186">
        <v>2790.5</v>
      </c>
      <c r="AU186">
        <v>2790.5</v>
      </c>
      <c r="AV186">
        <v>3041.65</v>
      </c>
      <c r="AW186">
        <v>0.09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372</v>
      </c>
      <c r="BD186" t="s">
        <v>1637</v>
      </c>
      <c r="BE186" t="s">
        <v>109</v>
      </c>
      <c r="BG186" t="s">
        <v>1638</v>
      </c>
      <c r="BH186" t="s">
        <v>1639</v>
      </c>
      <c r="BI186" t="s">
        <v>1640</v>
      </c>
      <c r="BK186" t="s">
        <v>1641</v>
      </c>
      <c r="BL186" t="s">
        <v>115</v>
      </c>
      <c r="BM186" t="s">
        <v>1642</v>
      </c>
      <c r="BQ186">
        <v>219</v>
      </c>
      <c r="BR186" t="s">
        <v>1643</v>
      </c>
      <c r="BS186" t="s">
        <v>1644</v>
      </c>
      <c r="BT186">
        <v>6</v>
      </c>
      <c r="BU186" t="s">
        <v>119</v>
      </c>
      <c r="BV186" t="s">
        <v>163</v>
      </c>
      <c r="BW186">
        <v>3500</v>
      </c>
      <c r="BX186">
        <v>3800</v>
      </c>
      <c r="BY186">
        <v>4142</v>
      </c>
      <c r="BZ186">
        <v>0.09</v>
      </c>
      <c r="CA186">
        <v>300</v>
      </c>
      <c r="CB186">
        <v>0</v>
      </c>
      <c r="CC186">
        <v>375</v>
      </c>
      <c r="CD186">
        <v>3100</v>
      </c>
      <c r="CE186" t="s">
        <v>121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 t="s">
        <v>182</v>
      </c>
      <c r="CO186">
        <v>1009.5</v>
      </c>
      <c r="CP186">
        <v>12114</v>
      </c>
      <c r="CQ186">
        <v>36.18</v>
      </c>
      <c r="CR186" t="s">
        <v>168</v>
      </c>
      <c r="CS186">
        <v>104</v>
      </c>
    </row>
    <row r="187" spans="1:97" x14ac:dyDescent="0.2">
      <c r="A187" t="s">
        <v>1645</v>
      </c>
      <c r="B187">
        <v>200</v>
      </c>
      <c r="C187" t="s">
        <v>1646</v>
      </c>
      <c r="D187" t="s">
        <v>1647</v>
      </c>
      <c r="E187" t="s">
        <v>1526</v>
      </c>
      <c r="F187" t="s">
        <v>126</v>
      </c>
      <c r="I187">
        <v>4</v>
      </c>
      <c r="J187">
        <v>0</v>
      </c>
      <c r="K187" t="s">
        <v>102</v>
      </c>
      <c r="T187">
        <v>0</v>
      </c>
      <c r="U187">
        <v>336.51</v>
      </c>
      <c r="V187">
        <v>0</v>
      </c>
      <c r="AM187" t="s">
        <v>107</v>
      </c>
      <c r="BC187">
        <v>17</v>
      </c>
      <c r="BD187" t="s">
        <v>108</v>
      </c>
      <c r="BE187" t="s">
        <v>109</v>
      </c>
      <c r="BG187" t="s">
        <v>110</v>
      </c>
      <c r="BH187" t="s">
        <v>111</v>
      </c>
      <c r="BI187" t="s">
        <v>112</v>
      </c>
      <c r="BJ187" t="s">
        <v>113</v>
      </c>
      <c r="BK187" t="s">
        <v>114</v>
      </c>
      <c r="BL187" t="s">
        <v>115</v>
      </c>
      <c r="BM187" t="s">
        <v>116</v>
      </c>
      <c r="BO187" t="s">
        <v>117</v>
      </c>
      <c r="BQ187">
        <v>318</v>
      </c>
      <c r="BR187" t="s">
        <v>118</v>
      </c>
      <c r="BU187" t="s">
        <v>119</v>
      </c>
      <c r="BV187" t="s">
        <v>120</v>
      </c>
      <c r="BW187">
        <v>0</v>
      </c>
      <c r="BX187">
        <v>1270.97</v>
      </c>
      <c r="BY187">
        <v>1385.36</v>
      </c>
      <c r="BZ187">
        <v>0.09</v>
      </c>
      <c r="CA187">
        <v>336.51</v>
      </c>
      <c r="CB187">
        <v>24.3</v>
      </c>
      <c r="CC187">
        <v>0</v>
      </c>
      <c r="CD187">
        <v>0</v>
      </c>
      <c r="CE187" t="s">
        <v>121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O187">
        <v>1270.97</v>
      </c>
      <c r="CP187">
        <v>15251.64</v>
      </c>
      <c r="CR187" t="s">
        <v>1648</v>
      </c>
      <c r="CS187">
        <v>0</v>
      </c>
    </row>
    <row r="188" spans="1:97" x14ac:dyDescent="0.2">
      <c r="A188" t="s">
        <v>1649</v>
      </c>
      <c r="B188">
        <v>201</v>
      </c>
      <c r="C188" t="s">
        <v>1650</v>
      </c>
      <c r="D188" t="s">
        <v>1651</v>
      </c>
      <c r="E188" t="s">
        <v>272</v>
      </c>
      <c r="F188" t="s">
        <v>126</v>
      </c>
      <c r="H188">
        <v>2</v>
      </c>
      <c r="I188">
        <v>4</v>
      </c>
      <c r="J188">
        <v>0</v>
      </c>
      <c r="K188" t="s">
        <v>102</v>
      </c>
      <c r="T188">
        <v>2240.44</v>
      </c>
      <c r="U188">
        <v>250</v>
      </c>
      <c r="V188">
        <v>0</v>
      </c>
      <c r="W188">
        <v>17</v>
      </c>
      <c r="X188" t="s">
        <v>108</v>
      </c>
      <c r="Y188" t="s">
        <v>109</v>
      </c>
      <c r="AA188" t="s">
        <v>110</v>
      </c>
      <c r="AB188" t="s">
        <v>111</v>
      </c>
      <c r="AC188" t="s">
        <v>112</v>
      </c>
      <c r="AD188" t="s">
        <v>113</v>
      </c>
      <c r="AE188" t="s">
        <v>114</v>
      </c>
      <c r="AF188" t="s">
        <v>115</v>
      </c>
      <c r="AG188" t="s">
        <v>116</v>
      </c>
      <c r="AI188" t="s">
        <v>117</v>
      </c>
      <c r="AJ188">
        <v>603</v>
      </c>
      <c r="AM188" t="s">
        <v>120</v>
      </c>
      <c r="AO188">
        <v>1</v>
      </c>
      <c r="AT188">
        <v>1512</v>
      </c>
      <c r="AU188">
        <v>1512</v>
      </c>
      <c r="AV188">
        <v>1648.08</v>
      </c>
      <c r="AW188">
        <v>0.09</v>
      </c>
      <c r="AX188">
        <v>0</v>
      </c>
      <c r="AY188">
        <v>0</v>
      </c>
      <c r="AZ188">
        <v>0</v>
      </c>
      <c r="BA188">
        <v>0</v>
      </c>
      <c r="BB188">
        <v>0</v>
      </c>
      <c r="BV188" t="s">
        <v>142</v>
      </c>
      <c r="CD188">
        <v>2240.44</v>
      </c>
      <c r="CO188">
        <v>-1512</v>
      </c>
      <c r="CP188">
        <v>-18144</v>
      </c>
      <c r="CQ188">
        <v>-100</v>
      </c>
      <c r="CR188" t="s">
        <v>1648</v>
      </c>
      <c r="CS188">
        <v>0</v>
      </c>
    </row>
    <row r="189" spans="1:97" x14ac:dyDescent="0.2">
      <c r="A189" t="s">
        <v>1652</v>
      </c>
      <c r="B189">
        <v>202</v>
      </c>
      <c r="C189" t="s">
        <v>1653</v>
      </c>
      <c r="D189" t="s">
        <v>1654</v>
      </c>
      <c r="E189" t="s">
        <v>1655</v>
      </c>
      <c r="F189" t="s">
        <v>126</v>
      </c>
      <c r="H189">
        <v>4</v>
      </c>
      <c r="I189">
        <v>4</v>
      </c>
      <c r="J189">
        <v>1</v>
      </c>
      <c r="K189" t="s">
        <v>102</v>
      </c>
      <c r="L189" t="s">
        <v>1656</v>
      </c>
      <c r="M189" t="s">
        <v>313</v>
      </c>
      <c r="T189">
        <v>2082</v>
      </c>
      <c r="U189">
        <v>350</v>
      </c>
      <c r="V189">
        <v>0</v>
      </c>
      <c r="AM189" t="s">
        <v>107</v>
      </c>
      <c r="BV189" t="s">
        <v>142</v>
      </c>
      <c r="CD189">
        <v>2082</v>
      </c>
      <c r="CO189">
        <v>0</v>
      </c>
      <c r="CP189">
        <v>0</v>
      </c>
      <c r="CR189" t="s">
        <v>143</v>
      </c>
      <c r="CS189">
        <v>0</v>
      </c>
    </row>
    <row r="190" spans="1:97" x14ac:dyDescent="0.2">
      <c r="A190" t="s">
        <v>1657</v>
      </c>
      <c r="B190">
        <v>203</v>
      </c>
      <c r="C190" t="s">
        <v>1658</v>
      </c>
      <c r="D190" t="s">
        <v>1659</v>
      </c>
      <c r="E190" t="s">
        <v>1526</v>
      </c>
      <c r="F190" t="s">
        <v>126</v>
      </c>
      <c r="H190">
        <v>3</v>
      </c>
      <c r="I190">
        <v>4</v>
      </c>
      <c r="J190">
        <v>1</v>
      </c>
      <c r="K190" t="s">
        <v>102</v>
      </c>
      <c r="P190" t="s">
        <v>1418</v>
      </c>
      <c r="Q190" t="s">
        <v>1419</v>
      </c>
      <c r="R190" t="s">
        <v>1420</v>
      </c>
      <c r="S190" t="s">
        <v>1421</v>
      </c>
      <c r="T190">
        <v>2082</v>
      </c>
      <c r="U190">
        <v>189.37</v>
      </c>
      <c r="V190">
        <v>0</v>
      </c>
      <c r="AM190" t="s">
        <v>107</v>
      </c>
      <c r="BC190">
        <v>17</v>
      </c>
      <c r="BD190" t="s">
        <v>108</v>
      </c>
      <c r="BE190" t="s">
        <v>109</v>
      </c>
      <c r="BG190" t="s">
        <v>110</v>
      </c>
      <c r="BH190" t="s">
        <v>111</v>
      </c>
      <c r="BI190" t="s">
        <v>112</v>
      </c>
      <c r="BJ190" t="s">
        <v>113</v>
      </c>
      <c r="BK190" t="s">
        <v>114</v>
      </c>
      <c r="BL190" t="s">
        <v>115</v>
      </c>
      <c r="BM190" t="s">
        <v>116</v>
      </c>
      <c r="BO190" t="s">
        <v>117</v>
      </c>
      <c r="BQ190">
        <v>319</v>
      </c>
      <c r="BR190" t="s">
        <v>118</v>
      </c>
      <c r="BU190" t="s">
        <v>119</v>
      </c>
      <c r="BV190" t="s">
        <v>120</v>
      </c>
      <c r="BW190">
        <v>0</v>
      </c>
      <c r="BX190">
        <v>895</v>
      </c>
      <c r="BY190">
        <v>975.55</v>
      </c>
      <c r="BZ190">
        <v>0.09</v>
      </c>
      <c r="CA190">
        <v>189.37</v>
      </c>
      <c r="CB190">
        <v>325.10000000000002</v>
      </c>
      <c r="CC190">
        <v>250</v>
      </c>
      <c r="CD190">
        <v>2082</v>
      </c>
      <c r="CE190" t="s">
        <v>121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 t="s">
        <v>201</v>
      </c>
      <c r="CO190">
        <v>895</v>
      </c>
      <c r="CP190">
        <v>10740</v>
      </c>
      <c r="CR190" t="s">
        <v>122</v>
      </c>
      <c r="CS190">
        <v>0</v>
      </c>
    </row>
    <row r="191" spans="1:97" x14ac:dyDescent="0.2">
      <c r="A191" t="s">
        <v>1660</v>
      </c>
      <c r="B191">
        <v>204</v>
      </c>
      <c r="C191" t="s">
        <v>1661</v>
      </c>
      <c r="D191" t="s">
        <v>1662</v>
      </c>
      <c r="E191" t="s">
        <v>272</v>
      </c>
      <c r="F191" t="s">
        <v>126</v>
      </c>
      <c r="H191">
        <v>3</v>
      </c>
      <c r="I191">
        <v>4</v>
      </c>
      <c r="J191">
        <v>1</v>
      </c>
      <c r="K191" t="s">
        <v>127</v>
      </c>
      <c r="P191" t="s">
        <v>1663</v>
      </c>
      <c r="Q191" t="s">
        <v>1664</v>
      </c>
      <c r="R191" t="s">
        <v>1665</v>
      </c>
      <c r="S191" t="s">
        <v>1666</v>
      </c>
      <c r="T191">
        <v>3600</v>
      </c>
      <c r="U191">
        <v>200</v>
      </c>
      <c r="V191">
        <v>0</v>
      </c>
      <c r="W191">
        <v>17</v>
      </c>
      <c r="X191" t="s">
        <v>108</v>
      </c>
      <c r="Y191" t="s">
        <v>109</v>
      </c>
      <c r="AA191" t="s">
        <v>110</v>
      </c>
      <c r="AB191" t="s">
        <v>111</v>
      </c>
      <c r="AC191" t="s">
        <v>112</v>
      </c>
      <c r="AD191" t="s">
        <v>113</v>
      </c>
      <c r="AE191" t="s">
        <v>114</v>
      </c>
      <c r="AF191" t="s">
        <v>115</v>
      </c>
      <c r="AG191" t="s">
        <v>116</v>
      </c>
      <c r="AI191" t="s">
        <v>117</v>
      </c>
      <c r="AJ191">
        <v>662</v>
      </c>
      <c r="AM191" t="s">
        <v>120</v>
      </c>
      <c r="AO191">
        <v>1</v>
      </c>
      <c r="AT191">
        <v>1520.73</v>
      </c>
      <c r="AU191">
        <v>1545.73</v>
      </c>
      <c r="AV191">
        <v>1684.85</v>
      </c>
      <c r="AW191">
        <v>0.09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17</v>
      </c>
      <c r="BD191" t="s">
        <v>108</v>
      </c>
      <c r="BE191" t="s">
        <v>109</v>
      </c>
      <c r="BG191" t="s">
        <v>110</v>
      </c>
      <c r="BH191" t="s">
        <v>111</v>
      </c>
      <c r="BI191" t="s">
        <v>112</v>
      </c>
      <c r="BJ191" t="s">
        <v>113</v>
      </c>
      <c r="BK191" t="s">
        <v>114</v>
      </c>
      <c r="BL191" t="s">
        <v>115</v>
      </c>
      <c r="BM191" t="s">
        <v>116</v>
      </c>
      <c r="BO191" t="s">
        <v>117</v>
      </c>
      <c r="BQ191">
        <v>320</v>
      </c>
      <c r="BR191" t="s">
        <v>118</v>
      </c>
      <c r="BU191" t="s">
        <v>119</v>
      </c>
      <c r="BV191" t="s">
        <v>120</v>
      </c>
      <c r="BW191">
        <v>2732.63</v>
      </c>
      <c r="BX191">
        <v>2932.63</v>
      </c>
      <c r="BY191">
        <v>3196.57</v>
      </c>
      <c r="BZ191">
        <v>0.09</v>
      </c>
      <c r="CA191">
        <v>200</v>
      </c>
      <c r="CB191">
        <v>0</v>
      </c>
      <c r="CC191">
        <v>0</v>
      </c>
      <c r="CD191">
        <v>3600</v>
      </c>
      <c r="CE191" t="s">
        <v>121</v>
      </c>
      <c r="CF191">
        <v>1</v>
      </c>
      <c r="CG191">
        <v>1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O191">
        <v>1386.9</v>
      </c>
      <c r="CP191">
        <v>16642.8</v>
      </c>
      <c r="CQ191">
        <v>89.72</v>
      </c>
      <c r="CR191" t="s">
        <v>122</v>
      </c>
      <c r="CS191">
        <v>0</v>
      </c>
    </row>
    <row r="192" spans="1:97" x14ac:dyDescent="0.2">
      <c r="A192" t="s">
        <v>1667</v>
      </c>
      <c r="B192">
        <v>205</v>
      </c>
      <c r="C192" t="s">
        <v>1668</v>
      </c>
      <c r="D192" t="s">
        <v>1669</v>
      </c>
      <c r="E192" t="s">
        <v>903</v>
      </c>
      <c r="F192" t="s">
        <v>101</v>
      </c>
      <c r="H192">
        <v>3</v>
      </c>
      <c r="I192">
        <v>4</v>
      </c>
      <c r="J192">
        <v>1</v>
      </c>
      <c r="K192" t="s">
        <v>127</v>
      </c>
      <c r="P192" t="s">
        <v>904</v>
      </c>
      <c r="Q192" t="s">
        <v>905</v>
      </c>
      <c r="R192" t="s">
        <v>906</v>
      </c>
      <c r="S192" t="s">
        <v>907</v>
      </c>
      <c r="T192">
        <v>2853.27</v>
      </c>
      <c r="U192">
        <v>200</v>
      </c>
      <c r="V192">
        <v>0</v>
      </c>
      <c r="AM192" t="s">
        <v>107</v>
      </c>
      <c r="BV192" t="s">
        <v>142</v>
      </c>
      <c r="CD192">
        <v>2853.27</v>
      </c>
      <c r="CO192">
        <v>0</v>
      </c>
      <c r="CP192">
        <v>0</v>
      </c>
      <c r="CR192" t="s">
        <v>143</v>
      </c>
      <c r="CS192">
        <v>0</v>
      </c>
    </row>
    <row r="193" spans="1:97" x14ac:dyDescent="0.2">
      <c r="A193" t="s">
        <v>1670</v>
      </c>
      <c r="B193">
        <v>206</v>
      </c>
      <c r="C193" t="s">
        <v>1671</v>
      </c>
      <c r="D193" t="s">
        <v>1672</v>
      </c>
      <c r="E193" t="s">
        <v>1673</v>
      </c>
      <c r="F193" t="s">
        <v>126</v>
      </c>
      <c r="H193">
        <v>3</v>
      </c>
      <c r="I193">
        <v>8</v>
      </c>
      <c r="J193">
        <v>1</v>
      </c>
      <c r="K193" t="s">
        <v>102</v>
      </c>
      <c r="M193" t="s">
        <v>137</v>
      </c>
      <c r="P193" t="s">
        <v>1674</v>
      </c>
      <c r="Q193" t="s">
        <v>1675</v>
      </c>
      <c r="R193" t="s">
        <v>1676</v>
      </c>
      <c r="S193" t="s">
        <v>1677</v>
      </c>
      <c r="T193">
        <v>2394.3000000000002</v>
      </c>
      <c r="U193">
        <v>1888.57</v>
      </c>
      <c r="V193">
        <v>0</v>
      </c>
      <c r="AM193" t="s">
        <v>107</v>
      </c>
      <c r="BC193">
        <v>17</v>
      </c>
      <c r="BD193" t="s">
        <v>108</v>
      </c>
      <c r="BE193" t="s">
        <v>109</v>
      </c>
      <c r="BG193" t="s">
        <v>110</v>
      </c>
      <c r="BH193" t="s">
        <v>111</v>
      </c>
      <c r="BI193" t="s">
        <v>112</v>
      </c>
      <c r="BJ193" t="s">
        <v>113</v>
      </c>
      <c r="BK193" t="s">
        <v>114</v>
      </c>
      <c r="BL193" t="s">
        <v>115</v>
      </c>
      <c r="BM193" t="s">
        <v>116</v>
      </c>
      <c r="BO193" t="s">
        <v>117</v>
      </c>
      <c r="BQ193">
        <v>263</v>
      </c>
      <c r="BR193" t="s">
        <v>481</v>
      </c>
      <c r="BU193" t="s">
        <v>216</v>
      </c>
      <c r="BV193" t="s">
        <v>120</v>
      </c>
      <c r="BW193">
        <v>0</v>
      </c>
      <c r="BX193">
        <v>0</v>
      </c>
      <c r="BY193">
        <v>0</v>
      </c>
      <c r="BZ193">
        <v>0.09</v>
      </c>
      <c r="CA193">
        <v>1888.57</v>
      </c>
      <c r="CB193">
        <v>27.44</v>
      </c>
      <c r="CC193">
        <v>0</v>
      </c>
      <c r="CD193">
        <v>2394.3000000000002</v>
      </c>
      <c r="CE193" t="s">
        <v>181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O193">
        <v>0</v>
      </c>
      <c r="CP193">
        <v>0</v>
      </c>
      <c r="CR193" t="s">
        <v>122</v>
      </c>
      <c r="CS193">
        <v>0</v>
      </c>
    </row>
    <row r="194" spans="1:97" x14ac:dyDescent="0.2">
      <c r="A194" t="s">
        <v>1678</v>
      </c>
      <c r="B194">
        <v>207</v>
      </c>
      <c r="C194" t="s">
        <v>1679</v>
      </c>
      <c r="D194" t="s">
        <v>1680</v>
      </c>
      <c r="E194" t="s">
        <v>1472</v>
      </c>
      <c r="F194" t="s">
        <v>101</v>
      </c>
      <c r="H194">
        <v>2</v>
      </c>
      <c r="I194">
        <v>2</v>
      </c>
      <c r="J194">
        <v>1</v>
      </c>
      <c r="K194" t="s">
        <v>102</v>
      </c>
      <c r="P194" t="s">
        <v>375</v>
      </c>
      <c r="T194">
        <v>1503.32</v>
      </c>
      <c r="U194">
        <v>59.36</v>
      </c>
      <c r="V194">
        <v>0</v>
      </c>
      <c r="AM194" t="s">
        <v>107</v>
      </c>
      <c r="BC194">
        <v>17</v>
      </c>
      <c r="BD194" t="s">
        <v>108</v>
      </c>
      <c r="BE194" t="s">
        <v>109</v>
      </c>
      <c r="BG194" t="s">
        <v>110</v>
      </c>
      <c r="BH194" t="s">
        <v>111</v>
      </c>
      <c r="BI194" t="s">
        <v>112</v>
      </c>
      <c r="BJ194" t="s">
        <v>113</v>
      </c>
      <c r="BK194" t="s">
        <v>114</v>
      </c>
      <c r="BL194" t="s">
        <v>115</v>
      </c>
      <c r="BM194" t="s">
        <v>116</v>
      </c>
      <c r="BO194" t="s">
        <v>117</v>
      </c>
      <c r="BQ194">
        <v>91</v>
      </c>
      <c r="BR194" t="s">
        <v>481</v>
      </c>
      <c r="BU194" t="s">
        <v>216</v>
      </c>
      <c r="BV194" t="s">
        <v>120</v>
      </c>
      <c r="BW194">
        <v>0</v>
      </c>
      <c r="BX194">
        <v>0</v>
      </c>
      <c r="BY194">
        <v>0</v>
      </c>
      <c r="BZ194">
        <v>0.09</v>
      </c>
      <c r="CA194">
        <v>0</v>
      </c>
      <c r="CB194">
        <v>0</v>
      </c>
      <c r="CC194">
        <v>0</v>
      </c>
      <c r="CD194">
        <v>1503.32</v>
      </c>
      <c r="CE194" t="s">
        <v>181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O194">
        <v>0</v>
      </c>
      <c r="CP194">
        <v>0</v>
      </c>
      <c r="CR194" t="s">
        <v>122</v>
      </c>
      <c r="CS194">
        <v>0</v>
      </c>
    </row>
    <row r="195" spans="1:97" x14ac:dyDescent="0.2">
      <c r="A195" t="s">
        <v>1681</v>
      </c>
      <c r="B195">
        <v>208</v>
      </c>
      <c r="C195" t="s">
        <v>1682</v>
      </c>
      <c r="D195" t="s">
        <v>1680</v>
      </c>
      <c r="E195" t="s">
        <v>1472</v>
      </c>
      <c r="F195" t="s">
        <v>101</v>
      </c>
      <c r="H195">
        <v>2</v>
      </c>
      <c r="I195">
        <v>2</v>
      </c>
      <c r="J195">
        <v>1</v>
      </c>
      <c r="K195" t="s">
        <v>102</v>
      </c>
      <c r="P195" t="s">
        <v>375</v>
      </c>
      <c r="T195">
        <v>1503.32</v>
      </c>
      <c r="U195">
        <v>22.02</v>
      </c>
      <c r="V195">
        <v>0</v>
      </c>
      <c r="AM195" t="s">
        <v>107</v>
      </c>
      <c r="BC195">
        <v>17</v>
      </c>
      <c r="BD195" t="s">
        <v>108</v>
      </c>
      <c r="BE195" t="s">
        <v>109</v>
      </c>
      <c r="BG195" t="s">
        <v>110</v>
      </c>
      <c r="BH195" t="s">
        <v>111</v>
      </c>
      <c r="BI195" t="s">
        <v>112</v>
      </c>
      <c r="BJ195" t="s">
        <v>113</v>
      </c>
      <c r="BK195" t="s">
        <v>114</v>
      </c>
      <c r="BL195" t="s">
        <v>115</v>
      </c>
      <c r="BM195" t="s">
        <v>116</v>
      </c>
      <c r="BO195" t="s">
        <v>117</v>
      </c>
      <c r="BQ195">
        <v>92</v>
      </c>
      <c r="BR195" t="s">
        <v>481</v>
      </c>
      <c r="BU195" t="s">
        <v>216</v>
      </c>
      <c r="BV195" t="s">
        <v>120</v>
      </c>
      <c r="BW195">
        <v>0</v>
      </c>
      <c r="BX195">
        <v>0</v>
      </c>
      <c r="BY195">
        <v>0</v>
      </c>
      <c r="BZ195">
        <v>0.09</v>
      </c>
      <c r="CA195">
        <v>0</v>
      </c>
      <c r="CB195">
        <v>0</v>
      </c>
      <c r="CC195">
        <v>0</v>
      </c>
      <c r="CD195">
        <v>1503.32</v>
      </c>
      <c r="CE195" t="s">
        <v>181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O195">
        <v>0</v>
      </c>
      <c r="CP195">
        <v>0</v>
      </c>
      <c r="CR195" t="s">
        <v>122</v>
      </c>
      <c r="CS195">
        <v>0</v>
      </c>
    </row>
    <row r="196" spans="1:97" x14ac:dyDescent="0.2">
      <c r="A196" t="s">
        <v>1683</v>
      </c>
      <c r="B196">
        <v>209</v>
      </c>
      <c r="C196" t="s">
        <v>1684</v>
      </c>
      <c r="D196" t="s">
        <v>1685</v>
      </c>
      <c r="E196" t="s">
        <v>1472</v>
      </c>
      <c r="F196" t="s">
        <v>101</v>
      </c>
      <c r="H196">
        <v>2</v>
      </c>
      <c r="I196">
        <v>8</v>
      </c>
      <c r="J196">
        <v>1</v>
      </c>
      <c r="K196" t="s">
        <v>102</v>
      </c>
      <c r="P196" t="s">
        <v>375</v>
      </c>
      <c r="T196">
        <v>1503.32</v>
      </c>
      <c r="U196">
        <v>47.42</v>
      </c>
      <c r="V196">
        <v>0</v>
      </c>
      <c r="W196">
        <v>970</v>
      </c>
      <c r="X196" t="s">
        <v>1686</v>
      </c>
      <c r="Y196" t="s">
        <v>326</v>
      </c>
      <c r="AA196" t="s">
        <v>1687</v>
      </c>
      <c r="AB196" t="s">
        <v>1688</v>
      </c>
      <c r="AC196" t="s">
        <v>1689</v>
      </c>
      <c r="AD196" t="s">
        <v>1690</v>
      </c>
      <c r="AE196" t="s">
        <v>100</v>
      </c>
      <c r="AG196" t="s">
        <v>1529</v>
      </c>
      <c r="AI196" t="s">
        <v>1691</v>
      </c>
      <c r="AJ196">
        <v>781</v>
      </c>
      <c r="AK196" t="s">
        <v>1077</v>
      </c>
      <c r="AM196" t="s">
        <v>120</v>
      </c>
      <c r="AN196">
        <v>12</v>
      </c>
      <c r="AO196">
        <v>0</v>
      </c>
      <c r="AT196">
        <v>0</v>
      </c>
      <c r="AU196">
        <v>2160</v>
      </c>
      <c r="AV196">
        <v>2354.4</v>
      </c>
      <c r="AW196">
        <v>0.09</v>
      </c>
      <c r="AX196">
        <v>2150</v>
      </c>
      <c r="AY196">
        <v>0</v>
      </c>
      <c r="AZ196">
        <v>0</v>
      </c>
      <c r="BA196">
        <v>0</v>
      </c>
      <c r="BB196">
        <v>0</v>
      </c>
      <c r="BV196" t="s">
        <v>142</v>
      </c>
      <c r="CD196">
        <v>1503.32</v>
      </c>
      <c r="CO196">
        <v>-2160</v>
      </c>
      <c r="CP196">
        <v>-25920</v>
      </c>
      <c r="CQ196">
        <v>-100</v>
      </c>
      <c r="CR196" t="s">
        <v>143</v>
      </c>
      <c r="CS196">
        <v>0</v>
      </c>
    </row>
    <row r="197" spans="1:97" x14ac:dyDescent="0.2">
      <c r="A197" t="s">
        <v>1692</v>
      </c>
      <c r="B197">
        <v>210</v>
      </c>
      <c r="C197" t="s">
        <v>1693</v>
      </c>
      <c r="D197" t="s">
        <v>1694</v>
      </c>
      <c r="E197" t="s">
        <v>1695</v>
      </c>
      <c r="F197" t="s">
        <v>126</v>
      </c>
      <c r="H197">
        <v>4</v>
      </c>
      <c r="I197">
        <v>7</v>
      </c>
      <c r="J197">
        <v>1</v>
      </c>
      <c r="K197" t="s">
        <v>102</v>
      </c>
      <c r="L197" t="s">
        <v>1696</v>
      </c>
      <c r="M197" t="s">
        <v>137</v>
      </c>
      <c r="T197">
        <v>2255</v>
      </c>
      <c r="U197">
        <v>500</v>
      </c>
      <c r="V197">
        <v>0</v>
      </c>
      <c r="AM197" t="s">
        <v>107</v>
      </c>
      <c r="BV197" t="s">
        <v>142</v>
      </c>
      <c r="CD197">
        <v>2255</v>
      </c>
      <c r="CO197">
        <v>0</v>
      </c>
      <c r="CP197">
        <v>0</v>
      </c>
      <c r="CR197" t="s">
        <v>143</v>
      </c>
      <c r="CS197">
        <v>0</v>
      </c>
    </row>
    <row r="198" spans="1:97" x14ac:dyDescent="0.2">
      <c r="A198" t="s">
        <v>1697</v>
      </c>
      <c r="B198">
        <v>211</v>
      </c>
      <c r="C198" t="s">
        <v>1698</v>
      </c>
      <c r="D198" t="s">
        <v>1699</v>
      </c>
      <c r="E198" t="s">
        <v>1526</v>
      </c>
      <c r="F198" t="s">
        <v>126</v>
      </c>
      <c r="H198">
        <v>3</v>
      </c>
      <c r="I198">
        <v>3</v>
      </c>
      <c r="J198">
        <v>1</v>
      </c>
      <c r="K198" t="s">
        <v>102</v>
      </c>
      <c r="P198" t="s">
        <v>1700</v>
      </c>
      <c r="T198">
        <v>2255</v>
      </c>
      <c r="U198">
        <v>203.11</v>
      </c>
      <c r="V198">
        <v>0</v>
      </c>
      <c r="AM198" t="s">
        <v>107</v>
      </c>
      <c r="BC198">
        <v>17</v>
      </c>
      <c r="BD198" t="s">
        <v>108</v>
      </c>
      <c r="BE198" t="s">
        <v>109</v>
      </c>
      <c r="BG198" t="s">
        <v>110</v>
      </c>
      <c r="BH198" t="s">
        <v>111</v>
      </c>
      <c r="BI198" t="s">
        <v>112</v>
      </c>
      <c r="BJ198" t="s">
        <v>113</v>
      </c>
      <c r="BK198" t="s">
        <v>114</v>
      </c>
      <c r="BL198" t="s">
        <v>115</v>
      </c>
      <c r="BM198" t="s">
        <v>116</v>
      </c>
      <c r="BO198" t="s">
        <v>117</v>
      </c>
      <c r="BQ198">
        <v>321</v>
      </c>
      <c r="BR198" t="s">
        <v>118</v>
      </c>
      <c r="BU198" t="s">
        <v>119</v>
      </c>
      <c r="BV198" t="s">
        <v>120</v>
      </c>
      <c r="BW198">
        <v>0</v>
      </c>
      <c r="BX198">
        <v>895</v>
      </c>
      <c r="BY198">
        <v>975.55</v>
      </c>
      <c r="BZ198">
        <v>0.09</v>
      </c>
      <c r="CA198">
        <v>203.11</v>
      </c>
      <c r="CB198">
        <v>210.1</v>
      </c>
      <c r="CC198">
        <v>0</v>
      </c>
      <c r="CD198">
        <v>2255</v>
      </c>
      <c r="CE198" t="s">
        <v>121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O198">
        <v>895</v>
      </c>
      <c r="CP198">
        <v>10740</v>
      </c>
      <c r="CR198" t="s">
        <v>122</v>
      </c>
      <c r="CS198">
        <v>0</v>
      </c>
    </row>
    <row r="199" spans="1:97" x14ac:dyDescent="0.2">
      <c r="A199" t="s">
        <v>1701</v>
      </c>
      <c r="B199">
        <v>212</v>
      </c>
      <c r="C199" t="s">
        <v>1702</v>
      </c>
      <c r="D199" t="s">
        <v>1703</v>
      </c>
      <c r="E199" t="s">
        <v>305</v>
      </c>
      <c r="F199" t="s">
        <v>126</v>
      </c>
      <c r="H199">
        <v>3</v>
      </c>
      <c r="I199">
        <v>7</v>
      </c>
      <c r="J199">
        <v>1</v>
      </c>
      <c r="K199" t="s">
        <v>102</v>
      </c>
      <c r="M199" t="s">
        <v>137</v>
      </c>
      <c r="P199" t="s">
        <v>1704</v>
      </c>
      <c r="T199">
        <v>2255</v>
      </c>
      <c r="U199">
        <v>927</v>
      </c>
      <c r="V199">
        <v>0</v>
      </c>
      <c r="W199">
        <v>983</v>
      </c>
      <c r="X199" t="s">
        <v>1705</v>
      </c>
      <c r="Y199" t="s">
        <v>326</v>
      </c>
      <c r="AC199" t="s">
        <v>1706</v>
      </c>
      <c r="AD199" t="s">
        <v>1707</v>
      </c>
      <c r="AE199" t="s">
        <v>114</v>
      </c>
      <c r="AG199" t="s">
        <v>1708</v>
      </c>
      <c r="AI199" t="s">
        <v>1709</v>
      </c>
      <c r="AJ199">
        <v>804</v>
      </c>
      <c r="AK199" t="s">
        <v>341</v>
      </c>
      <c r="AM199" t="s">
        <v>120</v>
      </c>
      <c r="AO199">
        <v>1</v>
      </c>
      <c r="AT199">
        <v>0</v>
      </c>
      <c r="AU199">
        <v>2584</v>
      </c>
      <c r="AV199">
        <v>2816.56</v>
      </c>
      <c r="AW199">
        <v>0.09</v>
      </c>
      <c r="AY199">
        <v>0</v>
      </c>
      <c r="BA199">
        <v>0</v>
      </c>
      <c r="BB199">
        <v>0</v>
      </c>
      <c r="BC199">
        <v>17</v>
      </c>
      <c r="BD199" t="s">
        <v>108</v>
      </c>
      <c r="BE199" t="s">
        <v>109</v>
      </c>
      <c r="BG199" t="s">
        <v>110</v>
      </c>
      <c r="BH199" t="s">
        <v>111</v>
      </c>
      <c r="BI199" t="s">
        <v>112</v>
      </c>
      <c r="BJ199" t="s">
        <v>113</v>
      </c>
      <c r="BK199" t="s">
        <v>114</v>
      </c>
      <c r="BL199" t="s">
        <v>115</v>
      </c>
      <c r="BM199" t="s">
        <v>116</v>
      </c>
      <c r="BO199" t="s">
        <v>117</v>
      </c>
      <c r="BQ199">
        <v>322</v>
      </c>
      <c r="BR199" t="s">
        <v>118</v>
      </c>
      <c r="BU199" t="s">
        <v>119</v>
      </c>
      <c r="BV199" t="s">
        <v>120</v>
      </c>
      <c r="BW199">
        <v>0</v>
      </c>
      <c r="BX199">
        <v>0</v>
      </c>
      <c r="BY199">
        <v>0</v>
      </c>
      <c r="BZ199">
        <v>0.09</v>
      </c>
      <c r="CA199">
        <v>927</v>
      </c>
      <c r="CB199">
        <v>53.72</v>
      </c>
      <c r="CC199">
        <v>0</v>
      </c>
      <c r="CD199">
        <v>2255</v>
      </c>
      <c r="CE199" t="s">
        <v>121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O199">
        <v>-2584</v>
      </c>
      <c r="CP199">
        <v>-31008</v>
      </c>
      <c r="CQ199">
        <v>-100</v>
      </c>
      <c r="CR199" t="s">
        <v>122</v>
      </c>
      <c r="CS199">
        <v>0</v>
      </c>
    </row>
    <row r="200" spans="1:97" x14ac:dyDescent="0.2">
      <c r="A200" t="s">
        <v>1710</v>
      </c>
      <c r="B200">
        <v>213</v>
      </c>
      <c r="C200" t="s">
        <v>1711</v>
      </c>
      <c r="D200" t="s">
        <v>1712</v>
      </c>
      <c r="E200" t="s">
        <v>272</v>
      </c>
      <c r="F200" t="s">
        <v>126</v>
      </c>
      <c r="H200">
        <v>2</v>
      </c>
      <c r="I200">
        <v>4</v>
      </c>
      <c r="J200">
        <v>1</v>
      </c>
      <c r="K200" t="s">
        <v>102</v>
      </c>
      <c r="P200" t="s">
        <v>1713</v>
      </c>
      <c r="Q200" t="s">
        <v>1714</v>
      </c>
      <c r="R200" t="s">
        <v>1715</v>
      </c>
      <c r="S200" t="s">
        <v>1716</v>
      </c>
      <c r="T200">
        <v>2255</v>
      </c>
      <c r="U200">
        <v>190.11</v>
      </c>
      <c r="V200">
        <v>0</v>
      </c>
      <c r="AM200" t="s">
        <v>107</v>
      </c>
      <c r="BC200">
        <v>17</v>
      </c>
      <c r="BD200" t="s">
        <v>108</v>
      </c>
      <c r="BE200" t="s">
        <v>109</v>
      </c>
      <c r="BG200" t="s">
        <v>110</v>
      </c>
      <c r="BH200" t="s">
        <v>111</v>
      </c>
      <c r="BI200" t="s">
        <v>112</v>
      </c>
      <c r="BJ200" t="s">
        <v>113</v>
      </c>
      <c r="BK200" t="s">
        <v>114</v>
      </c>
      <c r="BL200" t="s">
        <v>115</v>
      </c>
      <c r="BM200" t="s">
        <v>116</v>
      </c>
      <c r="BO200" t="s">
        <v>117</v>
      </c>
      <c r="BQ200">
        <v>323</v>
      </c>
      <c r="BR200" t="s">
        <v>118</v>
      </c>
      <c r="BU200" t="s">
        <v>119</v>
      </c>
      <c r="BV200" t="s">
        <v>120</v>
      </c>
      <c r="BW200">
        <v>2350</v>
      </c>
      <c r="BX200">
        <v>2600</v>
      </c>
      <c r="BY200">
        <v>2834</v>
      </c>
      <c r="BZ200">
        <v>0.09</v>
      </c>
      <c r="CA200">
        <v>250</v>
      </c>
      <c r="CB200">
        <v>25.1</v>
      </c>
      <c r="CC200">
        <v>250</v>
      </c>
      <c r="CD200">
        <v>2255</v>
      </c>
      <c r="CE200" t="s">
        <v>121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 t="s">
        <v>201</v>
      </c>
      <c r="CO200">
        <v>2600</v>
      </c>
      <c r="CP200">
        <v>31200</v>
      </c>
      <c r="CR200" t="s">
        <v>122</v>
      </c>
      <c r="CS200">
        <v>0</v>
      </c>
    </row>
    <row r="201" spans="1:97" x14ac:dyDescent="0.2">
      <c r="A201" t="s">
        <v>1710</v>
      </c>
      <c r="B201">
        <v>213</v>
      </c>
      <c r="C201" t="s">
        <v>1711</v>
      </c>
      <c r="D201" t="s">
        <v>1712</v>
      </c>
      <c r="E201" t="s">
        <v>272</v>
      </c>
      <c r="F201" t="s">
        <v>126</v>
      </c>
      <c r="H201">
        <v>2</v>
      </c>
      <c r="I201">
        <v>4</v>
      </c>
      <c r="J201">
        <v>1</v>
      </c>
      <c r="K201" t="s">
        <v>102</v>
      </c>
      <c r="P201" t="s">
        <v>1713</v>
      </c>
      <c r="Q201" t="s">
        <v>1714</v>
      </c>
      <c r="R201" t="s">
        <v>1715</v>
      </c>
      <c r="S201" t="s">
        <v>1716</v>
      </c>
      <c r="T201">
        <v>2255</v>
      </c>
      <c r="U201">
        <v>190.11</v>
      </c>
      <c r="V201">
        <v>0</v>
      </c>
      <c r="AM201" t="s">
        <v>107</v>
      </c>
      <c r="BC201">
        <v>234</v>
      </c>
      <c r="BD201" t="s">
        <v>1717</v>
      </c>
      <c r="BE201" t="s">
        <v>109</v>
      </c>
      <c r="BG201" t="s">
        <v>1718</v>
      </c>
      <c r="BH201" t="s">
        <v>1719</v>
      </c>
      <c r="BI201" t="s">
        <v>1720</v>
      </c>
      <c r="BK201" t="s">
        <v>1721</v>
      </c>
      <c r="BL201" t="s">
        <v>115</v>
      </c>
      <c r="BM201" t="s">
        <v>1722</v>
      </c>
      <c r="BO201" t="s">
        <v>1723</v>
      </c>
      <c r="BQ201">
        <v>96</v>
      </c>
      <c r="BR201" t="s">
        <v>1724</v>
      </c>
      <c r="BS201" t="s">
        <v>1725</v>
      </c>
      <c r="BT201">
        <v>12</v>
      </c>
      <c r="BU201" t="s">
        <v>119</v>
      </c>
      <c r="BV201" t="s">
        <v>163</v>
      </c>
      <c r="BW201">
        <v>2350</v>
      </c>
      <c r="BX201">
        <v>2600</v>
      </c>
      <c r="BY201">
        <v>2834</v>
      </c>
      <c r="BZ201">
        <v>0.09</v>
      </c>
      <c r="CA201">
        <v>250</v>
      </c>
      <c r="CB201">
        <v>0</v>
      </c>
      <c r="CC201">
        <v>250</v>
      </c>
      <c r="CD201">
        <v>2255</v>
      </c>
      <c r="CE201" t="s">
        <v>121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 t="s">
        <v>201</v>
      </c>
      <c r="CO201">
        <v>2600</v>
      </c>
      <c r="CP201">
        <v>31200</v>
      </c>
      <c r="CR201" t="s">
        <v>168</v>
      </c>
      <c r="CS201">
        <v>323</v>
      </c>
    </row>
    <row r="202" spans="1:97" x14ac:dyDescent="0.2">
      <c r="A202" t="s">
        <v>1726</v>
      </c>
      <c r="B202">
        <v>214</v>
      </c>
      <c r="C202" t="s">
        <v>1727</v>
      </c>
      <c r="D202" t="s">
        <v>1728</v>
      </c>
      <c r="E202" t="s">
        <v>1526</v>
      </c>
      <c r="F202" t="s">
        <v>101</v>
      </c>
      <c r="H202">
        <v>2</v>
      </c>
      <c r="I202">
        <v>5</v>
      </c>
      <c r="J202">
        <v>1</v>
      </c>
      <c r="K202" t="s">
        <v>102</v>
      </c>
      <c r="P202" t="s">
        <v>1729</v>
      </c>
      <c r="T202">
        <v>1503.32</v>
      </c>
      <c r="U202">
        <v>971.97</v>
      </c>
      <c r="V202">
        <v>0</v>
      </c>
      <c r="AM202" t="s">
        <v>107</v>
      </c>
      <c r="BC202">
        <v>17</v>
      </c>
      <c r="BD202" t="s">
        <v>108</v>
      </c>
      <c r="BE202" t="s">
        <v>109</v>
      </c>
      <c r="BG202" t="s">
        <v>110</v>
      </c>
      <c r="BH202" t="s">
        <v>111</v>
      </c>
      <c r="BI202" t="s">
        <v>112</v>
      </c>
      <c r="BJ202" t="s">
        <v>113</v>
      </c>
      <c r="BK202" t="s">
        <v>114</v>
      </c>
      <c r="BL202" t="s">
        <v>115</v>
      </c>
      <c r="BM202" t="s">
        <v>116</v>
      </c>
      <c r="BO202" t="s">
        <v>117</v>
      </c>
      <c r="BQ202">
        <v>324</v>
      </c>
      <c r="BR202" t="s">
        <v>118</v>
      </c>
      <c r="BU202" t="s">
        <v>119</v>
      </c>
      <c r="BV202" t="s">
        <v>120</v>
      </c>
      <c r="BW202">
        <v>0</v>
      </c>
      <c r="BX202">
        <v>2336</v>
      </c>
      <c r="BY202">
        <v>2546.2399999999998</v>
      </c>
      <c r="BZ202">
        <v>0.09</v>
      </c>
      <c r="CA202">
        <v>971.97</v>
      </c>
      <c r="CB202">
        <v>43.11</v>
      </c>
      <c r="CC202">
        <v>0</v>
      </c>
      <c r="CD202">
        <v>1503.32</v>
      </c>
      <c r="CE202" t="s">
        <v>121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O202">
        <v>2336</v>
      </c>
      <c r="CP202">
        <v>28032</v>
      </c>
      <c r="CR202" t="s">
        <v>122</v>
      </c>
      <c r="CS202">
        <v>0</v>
      </c>
    </row>
    <row r="203" spans="1:97" x14ac:dyDescent="0.2">
      <c r="A203" t="s">
        <v>1730</v>
      </c>
      <c r="B203">
        <v>215</v>
      </c>
      <c r="C203" t="s">
        <v>1731</v>
      </c>
      <c r="D203" t="s">
        <v>1728</v>
      </c>
      <c r="E203" t="s">
        <v>1526</v>
      </c>
      <c r="F203" t="s">
        <v>101</v>
      </c>
      <c r="H203">
        <v>3</v>
      </c>
      <c r="I203">
        <v>4</v>
      </c>
      <c r="J203">
        <v>1</v>
      </c>
      <c r="K203" t="s">
        <v>102</v>
      </c>
      <c r="P203" t="s">
        <v>1732</v>
      </c>
      <c r="T203">
        <v>2300</v>
      </c>
      <c r="U203">
        <v>236.33</v>
      </c>
      <c r="V203">
        <v>0</v>
      </c>
      <c r="AM203" t="s">
        <v>107</v>
      </c>
      <c r="BC203">
        <v>17</v>
      </c>
      <c r="BD203" t="s">
        <v>108</v>
      </c>
      <c r="BE203" t="s">
        <v>109</v>
      </c>
      <c r="BG203" t="s">
        <v>110</v>
      </c>
      <c r="BH203" t="s">
        <v>111</v>
      </c>
      <c r="BI203" t="s">
        <v>112</v>
      </c>
      <c r="BJ203" t="s">
        <v>113</v>
      </c>
      <c r="BK203" t="s">
        <v>114</v>
      </c>
      <c r="BL203" t="s">
        <v>115</v>
      </c>
      <c r="BM203" t="s">
        <v>116</v>
      </c>
      <c r="BO203" t="s">
        <v>117</v>
      </c>
      <c r="BQ203">
        <v>325</v>
      </c>
      <c r="BR203" t="s">
        <v>118</v>
      </c>
      <c r="BU203" t="s">
        <v>119</v>
      </c>
      <c r="BV203" t="s">
        <v>120</v>
      </c>
      <c r="BW203">
        <v>0</v>
      </c>
      <c r="BX203">
        <v>895</v>
      </c>
      <c r="BY203">
        <v>975.55</v>
      </c>
      <c r="BZ203">
        <v>0.09</v>
      </c>
      <c r="CA203">
        <v>236.33</v>
      </c>
      <c r="CB203">
        <v>230.45</v>
      </c>
      <c r="CC203">
        <v>0</v>
      </c>
      <c r="CD203">
        <v>2300</v>
      </c>
      <c r="CE203" t="s">
        <v>121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O203">
        <v>895</v>
      </c>
      <c r="CP203">
        <v>10740</v>
      </c>
      <c r="CR203" t="s">
        <v>122</v>
      </c>
      <c r="CS203">
        <v>0</v>
      </c>
    </row>
    <row r="204" spans="1:97" x14ac:dyDescent="0.2">
      <c r="A204" t="s">
        <v>1733</v>
      </c>
      <c r="B204">
        <v>216</v>
      </c>
      <c r="C204" t="s">
        <v>1734</v>
      </c>
      <c r="D204" t="s">
        <v>1728</v>
      </c>
      <c r="E204" t="s">
        <v>1526</v>
      </c>
      <c r="F204" t="s">
        <v>101</v>
      </c>
      <c r="H204">
        <v>3</v>
      </c>
      <c r="I204">
        <v>4</v>
      </c>
      <c r="J204">
        <v>1</v>
      </c>
      <c r="K204" t="s">
        <v>102</v>
      </c>
      <c r="P204" t="s">
        <v>1735</v>
      </c>
      <c r="T204">
        <v>2255</v>
      </c>
      <c r="U204">
        <v>276.32</v>
      </c>
      <c r="V204">
        <v>0</v>
      </c>
      <c r="AM204" t="s">
        <v>107</v>
      </c>
      <c r="BC204">
        <v>17</v>
      </c>
      <c r="BD204" t="s">
        <v>108</v>
      </c>
      <c r="BE204" t="s">
        <v>109</v>
      </c>
      <c r="BG204" t="s">
        <v>110</v>
      </c>
      <c r="BH204" t="s">
        <v>111</v>
      </c>
      <c r="BI204" t="s">
        <v>112</v>
      </c>
      <c r="BJ204" t="s">
        <v>113</v>
      </c>
      <c r="BK204" t="s">
        <v>114</v>
      </c>
      <c r="BL204" t="s">
        <v>115</v>
      </c>
      <c r="BM204" t="s">
        <v>116</v>
      </c>
      <c r="BO204" t="s">
        <v>117</v>
      </c>
      <c r="BQ204">
        <v>326</v>
      </c>
      <c r="BR204" t="s">
        <v>118</v>
      </c>
      <c r="BU204" t="s">
        <v>119</v>
      </c>
      <c r="BV204" t="s">
        <v>120</v>
      </c>
      <c r="BW204">
        <v>0</v>
      </c>
      <c r="BX204">
        <v>1405</v>
      </c>
      <c r="BY204">
        <v>1531.45</v>
      </c>
      <c r="BZ204">
        <v>0.09</v>
      </c>
      <c r="CA204">
        <v>276.32</v>
      </c>
      <c r="CB204">
        <v>25.1</v>
      </c>
      <c r="CC204">
        <v>0</v>
      </c>
      <c r="CD204">
        <v>2255</v>
      </c>
      <c r="CE204" t="s">
        <v>121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O204">
        <v>1405</v>
      </c>
      <c r="CP204">
        <v>16860</v>
      </c>
      <c r="CR204" t="s">
        <v>122</v>
      </c>
      <c r="CS204">
        <v>0</v>
      </c>
    </row>
    <row r="205" spans="1:97" x14ac:dyDescent="0.2">
      <c r="A205" t="s">
        <v>1736</v>
      </c>
      <c r="B205">
        <v>217</v>
      </c>
      <c r="C205" t="s">
        <v>1737</v>
      </c>
      <c r="D205" t="s">
        <v>1377</v>
      </c>
      <c r="E205" t="s">
        <v>1378</v>
      </c>
      <c r="F205" t="s">
        <v>101</v>
      </c>
      <c r="H205">
        <v>4</v>
      </c>
      <c r="I205">
        <v>4</v>
      </c>
      <c r="J205">
        <v>1</v>
      </c>
      <c r="K205" t="s">
        <v>127</v>
      </c>
      <c r="L205" t="s">
        <v>1738</v>
      </c>
      <c r="M205" t="s">
        <v>313</v>
      </c>
      <c r="P205" t="s">
        <v>1739</v>
      </c>
      <c r="Q205" t="s">
        <v>1740</v>
      </c>
      <c r="R205" t="s">
        <v>1741</v>
      </c>
      <c r="S205" t="s">
        <v>1742</v>
      </c>
      <c r="T205">
        <v>2498.4</v>
      </c>
      <c r="U205">
        <v>250</v>
      </c>
      <c r="V205">
        <v>0</v>
      </c>
      <c r="AM205" t="s">
        <v>107</v>
      </c>
      <c r="BC205">
        <v>266</v>
      </c>
      <c r="BD205" t="s">
        <v>1743</v>
      </c>
      <c r="BE205" t="s">
        <v>109</v>
      </c>
      <c r="BG205" t="s">
        <v>1744</v>
      </c>
      <c r="BI205" t="s">
        <v>1745</v>
      </c>
      <c r="BK205" t="s">
        <v>1746</v>
      </c>
      <c r="BL205" t="s">
        <v>115</v>
      </c>
      <c r="BQ205">
        <v>224</v>
      </c>
      <c r="BR205" t="s">
        <v>1747</v>
      </c>
      <c r="BS205" t="s">
        <v>1078</v>
      </c>
      <c r="BT205">
        <v>6</v>
      </c>
      <c r="BU205" t="s">
        <v>119</v>
      </c>
      <c r="BV205" t="s">
        <v>483</v>
      </c>
      <c r="BW205">
        <v>0</v>
      </c>
      <c r="BX205">
        <v>250</v>
      </c>
      <c r="BY205">
        <v>272.5</v>
      </c>
      <c r="BZ205">
        <v>0.09</v>
      </c>
      <c r="CA205">
        <v>250</v>
      </c>
      <c r="CB205">
        <v>0</v>
      </c>
      <c r="CC205">
        <v>0</v>
      </c>
      <c r="CD205">
        <v>2498.4</v>
      </c>
      <c r="CE205" t="s">
        <v>121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O205">
        <v>250</v>
      </c>
      <c r="CP205">
        <v>3000</v>
      </c>
      <c r="CR205" t="s">
        <v>143</v>
      </c>
      <c r="CS205">
        <v>0</v>
      </c>
    </row>
    <row r="206" spans="1:97" x14ac:dyDescent="0.2">
      <c r="A206" t="s">
        <v>1748</v>
      </c>
      <c r="B206">
        <v>218</v>
      </c>
      <c r="C206" t="s">
        <v>1749</v>
      </c>
      <c r="D206" t="s">
        <v>1750</v>
      </c>
      <c r="E206" t="s">
        <v>272</v>
      </c>
      <c r="F206" t="s">
        <v>126</v>
      </c>
      <c r="H206">
        <v>3</v>
      </c>
      <c r="I206">
        <v>4</v>
      </c>
      <c r="J206">
        <v>1</v>
      </c>
      <c r="K206" t="s">
        <v>102</v>
      </c>
      <c r="T206">
        <v>1867.66</v>
      </c>
      <c r="U206">
        <v>200</v>
      </c>
      <c r="V206">
        <v>0</v>
      </c>
      <c r="AM206" t="s">
        <v>107</v>
      </c>
      <c r="BV206" t="s">
        <v>142</v>
      </c>
      <c r="CD206">
        <v>1867.66</v>
      </c>
      <c r="CO206">
        <v>0</v>
      </c>
      <c r="CP206">
        <v>0</v>
      </c>
      <c r="CR206" t="s">
        <v>143</v>
      </c>
      <c r="CS206">
        <v>0</v>
      </c>
    </row>
    <row r="207" spans="1:97" x14ac:dyDescent="0.2">
      <c r="A207" t="s">
        <v>1751</v>
      </c>
      <c r="B207">
        <v>219</v>
      </c>
      <c r="C207" t="s">
        <v>1752</v>
      </c>
      <c r="D207" t="s">
        <v>1753</v>
      </c>
      <c r="E207" t="s">
        <v>272</v>
      </c>
      <c r="F207" t="s">
        <v>126</v>
      </c>
      <c r="H207">
        <v>3</v>
      </c>
      <c r="I207">
        <v>5</v>
      </c>
      <c r="J207">
        <v>1</v>
      </c>
      <c r="K207" t="s">
        <v>102</v>
      </c>
      <c r="P207" t="s">
        <v>1754</v>
      </c>
      <c r="Q207" t="s">
        <v>1755</v>
      </c>
      <c r="R207" t="s">
        <v>1756</v>
      </c>
      <c r="S207" t="s">
        <v>1757</v>
      </c>
      <c r="T207">
        <v>2841.93</v>
      </c>
      <c r="U207">
        <v>519.95000000000005</v>
      </c>
      <c r="V207">
        <v>0</v>
      </c>
      <c r="W207">
        <v>17</v>
      </c>
      <c r="X207" t="s">
        <v>108</v>
      </c>
      <c r="Y207" t="s">
        <v>109</v>
      </c>
      <c r="AA207" t="s">
        <v>110</v>
      </c>
      <c r="AB207" t="s">
        <v>111</v>
      </c>
      <c r="AC207" t="s">
        <v>112</v>
      </c>
      <c r="AD207" t="s">
        <v>113</v>
      </c>
      <c r="AE207" t="s">
        <v>114</v>
      </c>
      <c r="AF207" t="s">
        <v>115</v>
      </c>
      <c r="AG207" t="s">
        <v>116</v>
      </c>
      <c r="AI207" t="s">
        <v>117</v>
      </c>
      <c r="AJ207">
        <v>633</v>
      </c>
      <c r="AM207" t="s">
        <v>120</v>
      </c>
      <c r="AO207">
        <v>1</v>
      </c>
      <c r="AT207">
        <v>1200</v>
      </c>
      <c r="AU207">
        <v>1200</v>
      </c>
      <c r="AV207">
        <v>1308</v>
      </c>
      <c r="AW207">
        <v>0.09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17</v>
      </c>
      <c r="BD207" t="s">
        <v>108</v>
      </c>
      <c r="BE207" t="s">
        <v>109</v>
      </c>
      <c r="BG207" t="s">
        <v>110</v>
      </c>
      <c r="BH207" t="s">
        <v>111</v>
      </c>
      <c r="BI207" t="s">
        <v>112</v>
      </c>
      <c r="BJ207" t="s">
        <v>113</v>
      </c>
      <c r="BK207" t="s">
        <v>114</v>
      </c>
      <c r="BL207" t="s">
        <v>115</v>
      </c>
      <c r="BM207" t="s">
        <v>116</v>
      </c>
      <c r="BO207" t="s">
        <v>117</v>
      </c>
      <c r="BQ207">
        <v>327</v>
      </c>
      <c r="BR207" t="s">
        <v>118</v>
      </c>
      <c r="BU207" t="s">
        <v>119</v>
      </c>
      <c r="BV207" t="s">
        <v>120</v>
      </c>
      <c r="BW207">
        <v>2841.93</v>
      </c>
      <c r="BX207">
        <v>2841.93</v>
      </c>
      <c r="BY207">
        <v>3097.7</v>
      </c>
      <c r="BZ207">
        <v>0.09</v>
      </c>
      <c r="CA207">
        <v>519.95000000000005</v>
      </c>
      <c r="CB207">
        <v>25.1</v>
      </c>
      <c r="CC207">
        <v>0</v>
      </c>
      <c r="CD207">
        <v>2841.93</v>
      </c>
      <c r="CE207" t="s">
        <v>121</v>
      </c>
      <c r="CF207">
        <v>1</v>
      </c>
      <c r="CG207">
        <v>1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O207">
        <v>1641.93</v>
      </c>
      <c r="CP207">
        <v>19703.16</v>
      </c>
      <c r="CQ207">
        <v>136.83000000000001</v>
      </c>
      <c r="CR207" t="s">
        <v>122</v>
      </c>
      <c r="CS207">
        <v>0</v>
      </c>
    </row>
    <row r="208" spans="1:97" x14ac:dyDescent="0.2">
      <c r="A208" t="s">
        <v>1758</v>
      </c>
      <c r="B208">
        <v>220</v>
      </c>
      <c r="C208" t="s">
        <v>1759</v>
      </c>
      <c r="D208" t="s">
        <v>1760</v>
      </c>
      <c r="E208" t="s">
        <v>1761</v>
      </c>
      <c r="F208" t="s">
        <v>126</v>
      </c>
      <c r="H208">
        <v>4</v>
      </c>
      <c r="I208">
        <v>4</v>
      </c>
      <c r="J208">
        <v>1</v>
      </c>
      <c r="K208" t="s">
        <v>127</v>
      </c>
      <c r="L208" t="s">
        <v>1762</v>
      </c>
      <c r="M208" t="s">
        <v>137</v>
      </c>
      <c r="P208" t="s">
        <v>1763</v>
      </c>
      <c r="Q208" t="s">
        <v>1764</v>
      </c>
      <c r="R208" t="s">
        <v>1765</v>
      </c>
      <c r="S208" t="s">
        <v>1766</v>
      </c>
      <c r="T208">
        <v>2663.43</v>
      </c>
      <c r="U208">
        <v>260</v>
      </c>
      <c r="V208">
        <v>0</v>
      </c>
      <c r="AM208" t="s">
        <v>107</v>
      </c>
      <c r="BV208" t="s">
        <v>142</v>
      </c>
      <c r="CD208">
        <v>2663.43</v>
      </c>
      <c r="CO208">
        <v>0</v>
      </c>
      <c r="CP208">
        <v>0</v>
      </c>
      <c r="CR208" t="s">
        <v>143</v>
      </c>
      <c r="CS208">
        <v>0</v>
      </c>
    </row>
    <row r="209" spans="1:97" x14ac:dyDescent="0.2">
      <c r="A209" t="s">
        <v>1767</v>
      </c>
      <c r="B209">
        <v>221</v>
      </c>
      <c r="C209" t="s">
        <v>1768</v>
      </c>
      <c r="D209" t="s">
        <v>1769</v>
      </c>
      <c r="E209" t="s">
        <v>942</v>
      </c>
      <c r="F209" t="s">
        <v>126</v>
      </c>
      <c r="H209">
        <v>2</v>
      </c>
      <c r="I209">
        <v>3</v>
      </c>
      <c r="J209">
        <v>1</v>
      </c>
      <c r="K209" t="s">
        <v>102</v>
      </c>
      <c r="L209" t="s">
        <v>1770</v>
      </c>
      <c r="M209" t="s">
        <v>313</v>
      </c>
      <c r="T209">
        <v>1821.75</v>
      </c>
      <c r="U209">
        <v>300</v>
      </c>
      <c r="V209">
        <v>0</v>
      </c>
      <c r="AM209" t="s">
        <v>107</v>
      </c>
      <c r="BC209">
        <v>17</v>
      </c>
      <c r="BD209" t="s">
        <v>108</v>
      </c>
      <c r="BE209" t="s">
        <v>109</v>
      </c>
      <c r="BG209" t="s">
        <v>110</v>
      </c>
      <c r="BH209" t="s">
        <v>111</v>
      </c>
      <c r="BI209" t="s">
        <v>112</v>
      </c>
      <c r="BJ209" t="s">
        <v>113</v>
      </c>
      <c r="BK209" t="s">
        <v>114</v>
      </c>
      <c r="BL209" t="s">
        <v>115</v>
      </c>
      <c r="BM209" t="s">
        <v>116</v>
      </c>
      <c r="BO209" t="s">
        <v>117</v>
      </c>
      <c r="BQ209">
        <v>445</v>
      </c>
      <c r="BR209" t="s">
        <v>118</v>
      </c>
      <c r="BU209" t="s">
        <v>119</v>
      </c>
      <c r="BV209" t="s">
        <v>120</v>
      </c>
      <c r="BW209">
        <v>0</v>
      </c>
      <c r="BX209">
        <v>0</v>
      </c>
      <c r="BY209">
        <v>0</v>
      </c>
      <c r="BZ209">
        <v>0.09</v>
      </c>
      <c r="CA209">
        <v>0</v>
      </c>
      <c r="CB209">
        <v>25.1</v>
      </c>
      <c r="CC209">
        <v>375</v>
      </c>
      <c r="CD209">
        <v>1821.75</v>
      </c>
      <c r="CE209" t="s">
        <v>121</v>
      </c>
      <c r="CF209">
        <v>1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 t="s">
        <v>182</v>
      </c>
      <c r="CO209">
        <v>0</v>
      </c>
      <c r="CP209">
        <v>0</v>
      </c>
      <c r="CR209" t="s">
        <v>122</v>
      </c>
      <c r="CS209">
        <v>0</v>
      </c>
    </row>
    <row r="210" spans="1:97" x14ac:dyDescent="0.2">
      <c r="A210" t="s">
        <v>1771</v>
      </c>
      <c r="B210">
        <v>222</v>
      </c>
      <c r="C210" t="s">
        <v>1772</v>
      </c>
      <c r="D210" t="s">
        <v>1773</v>
      </c>
      <c r="E210" t="s">
        <v>272</v>
      </c>
      <c r="F210" t="s">
        <v>101</v>
      </c>
      <c r="H210">
        <v>3</v>
      </c>
      <c r="I210">
        <v>5</v>
      </c>
      <c r="J210">
        <v>1</v>
      </c>
      <c r="K210" t="s">
        <v>127</v>
      </c>
      <c r="P210" t="s">
        <v>1774</v>
      </c>
      <c r="Q210" t="s">
        <v>1775</v>
      </c>
      <c r="R210" t="s">
        <v>1776</v>
      </c>
      <c r="S210" t="s">
        <v>1777</v>
      </c>
      <c r="T210">
        <v>2650</v>
      </c>
      <c r="U210">
        <v>210.1</v>
      </c>
      <c r="V210">
        <v>0</v>
      </c>
      <c r="AM210" t="s">
        <v>107</v>
      </c>
      <c r="BC210">
        <v>17</v>
      </c>
      <c r="BD210" t="s">
        <v>108</v>
      </c>
      <c r="BE210" t="s">
        <v>109</v>
      </c>
      <c r="BG210" t="s">
        <v>110</v>
      </c>
      <c r="BH210" t="s">
        <v>111</v>
      </c>
      <c r="BI210" t="s">
        <v>112</v>
      </c>
      <c r="BJ210" t="s">
        <v>113</v>
      </c>
      <c r="BK210" t="s">
        <v>114</v>
      </c>
      <c r="BL210" t="s">
        <v>115</v>
      </c>
      <c r="BM210" t="s">
        <v>116</v>
      </c>
      <c r="BO210" t="s">
        <v>117</v>
      </c>
      <c r="BQ210">
        <v>328</v>
      </c>
      <c r="BR210" t="s">
        <v>118</v>
      </c>
      <c r="BU210" t="s">
        <v>119</v>
      </c>
      <c r="BV210" t="s">
        <v>120</v>
      </c>
      <c r="BW210">
        <v>2650</v>
      </c>
      <c r="BX210">
        <v>2950</v>
      </c>
      <c r="BY210">
        <v>3215.5</v>
      </c>
      <c r="BZ210">
        <v>0.09</v>
      </c>
      <c r="CA210">
        <v>300</v>
      </c>
      <c r="CB210">
        <v>25.1</v>
      </c>
      <c r="CC210">
        <v>250</v>
      </c>
      <c r="CD210">
        <v>2650</v>
      </c>
      <c r="CE210" t="s">
        <v>121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 t="s">
        <v>201</v>
      </c>
      <c r="CO210">
        <v>2950</v>
      </c>
      <c r="CP210">
        <v>35400</v>
      </c>
      <c r="CR210" t="s">
        <v>122</v>
      </c>
      <c r="CS210">
        <v>0</v>
      </c>
    </row>
    <row r="211" spans="1:97" x14ac:dyDescent="0.2">
      <c r="A211" t="s">
        <v>1771</v>
      </c>
      <c r="B211">
        <v>222</v>
      </c>
      <c r="C211" t="s">
        <v>1772</v>
      </c>
      <c r="D211" t="s">
        <v>1773</v>
      </c>
      <c r="E211" t="s">
        <v>272</v>
      </c>
      <c r="F211" t="s">
        <v>101</v>
      </c>
      <c r="H211">
        <v>3</v>
      </c>
      <c r="I211">
        <v>5</v>
      </c>
      <c r="J211">
        <v>1</v>
      </c>
      <c r="K211" t="s">
        <v>127</v>
      </c>
      <c r="P211" t="s">
        <v>1774</v>
      </c>
      <c r="Q211" t="s">
        <v>1775</v>
      </c>
      <c r="R211" t="s">
        <v>1776</v>
      </c>
      <c r="S211" t="s">
        <v>1777</v>
      </c>
      <c r="T211">
        <v>2650</v>
      </c>
      <c r="U211">
        <v>210.1</v>
      </c>
      <c r="V211">
        <v>0</v>
      </c>
      <c r="AM211" t="s">
        <v>107</v>
      </c>
      <c r="BC211">
        <v>355</v>
      </c>
      <c r="BD211" t="s">
        <v>1579</v>
      </c>
      <c r="BE211" t="s">
        <v>109</v>
      </c>
      <c r="BG211" t="s">
        <v>1580</v>
      </c>
      <c r="BI211" t="s">
        <v>1581</v>
      </c>
      <c r="BK211" t="s">
        <v>1582</v>
      </c>
      <c r="BL211" t="s">
        <v>115</v>
      </c>
      <c r="BO211" t="s">
        <v>1583</v>
      </c>
      <c r="BQ211">
        <v>126</v>
      </c>
      <c r="BR211" t="s">
        <v>1778</v>
      </c>
      <c r="BS211" t="s">
        <v>1779</v>
      </c>
      <c r="BT211">
        <v>15</v>
      </c>
      <c r="BU211" t="s">
        <v>119</v>
      </c>
      <c r="BV211" t="s">
        <v>163</v>
      </c>
      <c r="BW211">
        <v>2650</v>
      </c>
      <c r="BX211">
        <v>2950</v>
      </c>
      <c r="BY211">
        <v>3215.5</v>
      </c>
      <c r="BZ211">
        <v>0.09</v>
      </c>
      <c r="CA211">
        <v>300</v>
      </c>
      <c r="CB211">
        <v>0</v>
      </c>
      <c r="CC211">
        <v>250</v>
      </c>
      <c r="CD211">
        <v>2650</v>
      </c>
      <c r="CE211" t="s">
        <v>121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 t="s">
        <v>201</v>
      </c>
      <c r="CO211">
        <v>2950</v>
      </c>
      <c r="CP211">
        <v>35400</v>
      </c>
      <c r="CR211" t="s">
        <v>168</v>
      </c>
      <c r="CS211">
        <v>162</v>
      </c>
    </row>
    <row r="212" spans="1:97" x14ac:dyDescent="0.2">
      <c r="A212" t="s">
        <v>1780</v>
      </c>
      <c r="B212">
        <v>223</v>
      </c>
      <c r="C212" t="s">
        <v>1781</v>
      </c>
      <c r="D212" t="s">
        <v>1782</v>
      </c>
      <c r="E212" t="s">
        <v>1783</v>
      </c>
      <c r="F212" t="s">
        <v>126</v>
      </c>
      <c r="H212">
        <v>2</v>
      </c>
      <c r="I212">
        <v>4</v>
      </c>
      <c r="J212">
        <v>1</v>
      </c>
      <c r="K212" t="s">
        <v>102</v>
      </c>
      <c r="L212" t="s">
        <v>1784</v>
      </c>
      <c r="M212" t="s">
        <v>313</v>
      </c>
      <c r="T212">
        <v>1734.98</v>
      </c>
      <c r="U212">
        <v>180.1</v>
      </c>
      <c r="V212">
        <v>0</v>
      </c>
      <c r="AM212" t="s">
        <v>107</v>
      </c>
      <c r="BC212">
        <v>17</v>
      </c>
      <c r="BD212" t="s">
        <v>108</v>
      </c>
      <c r="BE212" t="s">
        <v>109</v>
      </c>
      <c r="BG212" t="s">
        <v>110</v>
      </c>
      <c r="BH212" t="s">
        <v>111</v>
      </c>
      <c r="BI212" t="s">
        <v>112</v>
      </c>
      <c r="BJ212" t="s">
        <v>113</v>
      </c>
      <c r="BK212" t="s">
        <v>114</v>
      </c>
      <c r="BL212" t="s">
        <v>115</v>
      </c>
      <c r="BM212" t="s">
        <v>116</v>
      </c>
      <c r="BO212" t="s">
        <v>117</v>
      </c>
      <c r="BQ212">
        <v>329</v>
      </c>
      <c r="BR212" t="s">
        <v>118</v>
      </c>
      <c r="BU212" t="s">
        <v>119</v>
      </c>
      <c r="BV212" t="s">
        <v>120</v>
      </c>
      <c r="BW212">
        <v>0</v>
      </c>
      <c r="BX212">
        <v>0</v>
      </c>
      <c r="BY212">
        <v>0</v>
      </c>
      <c r="BZ212">
        <v>0.09</v>
      </c>
      <c r="CA212">
        <v>180.1</v>
      </c>
      <c r="CB212">
        <v>0</v>
      </c>
      <c r="CC212">
        <v>500</v>
      </c>
      <c r="CD212">
        <v>1734.98</v>
      </c>
      <c r="CE212" t="s">
        <v>121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 t="s">
        <v>1785</v>
      </c>
      <c r="CO212">
        <v>0</v>
      </c>
      <c r="CP212">
        <v>0</v>
      </c>
      <c r="CR212" t="s">
        <v>122</v>
      </c>
      <c r="CS212">
        <v>0</v>
      </c>
    </row>
    <row r="213" spans="1:97" x14ac:dyDescent="0.2">
      <c r="A213" t="s">
        <v>1786</v>
      </c>
      <c r="B213">
        <v>224</v>
      </c>
      <c r="C213" t="s">
        <v>1787</v>
      </c>
      <c r="D213" t="s">
        <v>1788</v>
      </c>
      <c r="E213" t="s">
        <v>1655</v>
      </c>
      <c r="F213" t="s">
        <v>126</v>
      </c>
      <c r="H213">
        <v>4</v>
      </c>
      <c r="I213">
        <v>5</v>
      </c>
      <c r="J213">
        <v>1</v>
      </c>
      <c r="K213" t="s">
        <v>102</v>
      </c>
      <c r="L213" t="s">
        <v>1789</v>
      </c>
      <c r="M213" t="s">
        <v>137</v>
      </c>
      <c r="P213" t="s">
        <v>1790</v>
      </c>
      <c r="Q213" t="s">
        <v>1791</v>
      </c>
      <c r="R213" t="s">
        <v>1792</v>
      </c>
      <c r="S213" t="s">
        <v>1793</v>
      </c>
      <c r="T213">
        <v>2855.46</v>
      </c>
      <c r="U213">
        <v>300</v>
      </c>
      <c r="V213">
        <v>0</v>
      </c>
      <c r="AM213" t="s">
        <v>107</v>
      </c>
      <c r="BV213" t="s">
        <v>142</v>
      </c>
      <c r="CD213">
        <v>2855.46</v>
      </c>
      <c r="CO213">
        <v>0</v>
      </c>
      <c r="CP213">
        <v>0</v>
      </c>
      <c r="CR213" t="s">
        <v>143</v>
      </c>
      <c r="CS213">
        <v>0</v>
      </c>
    </row>
    <row r="214" spans="1:97" x14ac:dyDescent="0.2">
      <c r="A214" t="s">
        <v>1794</v>
      </c>
      <c r="B214">
        <v>225</v>
      </c>
      <c r="C214" t="s">
        <v>1795</v>
      </c>
      <c r="D214" t="s">
        <v>1796</v>
      </c>
      <c r="E214" t="s">
        <v>1797</v>
      </c>
      <c r="F214" t="s">
        <v>126</v>
      </c>
      <c r="I214">
        <v>14</v>
      </c>
      <c r="J214">
        <v>1</v>
      </c>
      <c r="K214" t="s">
        <v>102</v>
      </c>
      <c r="M214" t="s">
        <v>137</v>
      </c>
      <c r="P214" t="s">
        <v>1798</v>
      </c>
      <c r="T214">
        <v>0</v>
      </c>
      <c r="U214">
        <v>475</v>
      </c>
      <c r="V214">
        <v>0</v>
      </c>
      <c r="AM214" t="s">
        <v>107</v>
      </c>
      <c r="BC214">
        <v>17</v>
      </c>
      <c r="BD214" t="s">
        <v>108</v>
      </c>
      <c r="BE214" t="s">
        <v>109</v>
      </c>
      <c r="BG214" t="s">
        <v>110</v>
      </c>
      <c r="BH214" t="s">
        <v>111</v>
      </c>
      <c r="BI214" t="s">
        <v>112</v>
      </c>
      <c r="BJ214" t="s">
        <v>113</v>
      </c>
      <c r="BK214" t="s">
        <v>114</v>
      </c>
      <c r="BL214" t="s">
        <v>115</v>
      </c>
      <c r="BM214" t="s">
        <v>116</v>
      </c>
      <c r="BO214" t="s">
        <v>117</v>
      </c>
      <c r="BQ214">
        <v>330</v>
      </c>
      <c r="BR214" t="s">
        <v>118</v>
      </c>
      <c r="BU214" t="s">
        <v>119</v>
      </c>
      <c r="BV214" t="s">
        <v>120</v>
      </c>
      <c r="BW214">
        <v>0</v>
      </c>
      <c r="BX214">
        <v>4800</v>
      </c>
      <c r="BY214">
        <v>5232</v>
      </c>
      <c r="BZ214">
        <v>0.09</v>
      </c>
      <c r="CA214">
        <v>475</v>
      </c>
      <c r="CB214">
        <v>0</v>
      </c>
      <c r="CC214">
        <v>0</v>
      </c>
      <c r="CD214">
        <v>0</v>
      </c>
      <c r="CE214" t="s">
        <v>121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O214">
        <v>4800</v>
      </c>
      <c r="CP214">
        <v>57600</v>
      </c>
      <c r="CR214" t="s">
        <v>122</v>
      </c>
      <c r="CS214">
        <v>0</v>
      </c>
    </row>
    <row r="215" spans="1:97" x14ac:dyDescent="0.2">
      <c r="A215" t="s">
        <v>1799</v>
      </c>
      <c r="B215">
        <v>226</v>
      </c>
      <c r="C215" t="s">
        <v>1800</v>
      </c>
      <c r="D215" t="s">
        <v>1801</v>
      </c>
      <c r="E215" t="s">
        <v>272</v>
      </c>
      <c r="F215" t="s">
        <v>101</v>
      </c>
      <c r="H215">
        <v>2</v>
      </c>
      <c r="I215">
        <v>4</v>
      </c>
      <c r="J215">
        <v>1</v>
      </c>
      <c r="K215" t="s">
        <v>102</v>
      </c>
      <c r="P215" t="s">
        <v>1802</v>
      </c>
      <c r="Q215" t="s">
        <v>1803</v>
      </c>
      <c r="R215" t="s">
        <v>1804</v>
      </c>
      <c r="S215" t="s">
        <v>1805</v>
      </c>
      <c r="T215">
        <v>2400</v>
      </c>
      <c r="U215">
        <v>240.59</v>
      </c>
      <c r="V215">
        <v>0</v>
      </c>
      <c r="AM215" t="s">
        <v>107</v>
      </c>
      <c r="BC215">
        <v>17</v>
      </c>
      <c r="BD215" t="s">
        <v>108</v>
      </c>
      <c r="BE215" t="s">
        <v>109</v>
      </c>
      <c r="BG215" t="s">
        <v>110</v>
      </c>
      <c r="BH215" t="s">
        <v>111</v>
      </c>
      <c r="BI215" t="s">
        <v>112</v>
      </c>
      <c r="BJ215" t="s">
        <v>113</v>
      </c>
      <c r="BK215" t="s">
        <v>114</v>
      </c>
      <c r="BL215" t="s">
        <v>115</v>
      </c>
      <c r="BM215" t="s">
        <v>116</v>
      </c>
      <c r="BO215" t="s">
        <v>117</v>
      </c>
      <c r="BQ215">
        <v>331</v>
      </c>
      <c r="BR215" t="s">
        <v>118</v>
      </c>
      <c r="BU215" t="s">
        <v>119</v>
      </c>
      <c r="BV215" t="s">
        <v>120</v>
      </c>
      <c r="BW215">
        <v>2400</v>
      </c>
      <c r="BX215">
        <v>2650</v>
      </c>
      <c r="BY215">
        <v>2888.5</v>
      </c>
      <c r="BZ215">
        <v>0.09</v>
      </c>
      <c r="CA215">
        <v>250</v>
      </c>
      <c r="CB215">
        <v>25.1</v>
      </c>
      <c r="CC215">
        <v>250</v>
      </c>
      <c r="CD215">
        <v>2400</v>
      </c>
      <c r="CE215" t="s">
        <v>121</v>
      </c>
      <c r="CF215">
        <v>1</v>
      </c>
      <c r="CG215">
        <v>1</v>
      </c>
      <c r="CH215">
        <v>1</v>
      </c>
      <c r="CI215">
        <v>0</v>
      </c>
      <c r="CJ215">
        <v>0</v>
      </c>
      <c r="CK215">
        <v>0</v>
      </c>
      <c r="CL215">
        <v>1</v>
      </c>
      <c r="CM215">
        <v>0</v>
      </c>
      <c r="CN215" t="s">
        <v>201</v>
      </c>
      <c r="CO215">
        <v>2650</v>
      </c>
      <c r="CP215">
        <v>31800</v>
      </c>
      <c r="CR215" t="s">
        <v>122</v>
      </c>
      <c r="CS215">
        <v>0</v>
      </c>
    </row>
    <row r="216" spans="1:97" x14ac:dyDescent="0.2">
      <c r="A216" t="s">
        <v>1799</v>
      </c>
      <c r="B216">
        <v>226</v>
      </c>
      <c r="C216" t="s">
        <v>1800</v>
      </c>
      <c r="D216" t="s">
        <v>1801</v>
      </c>
      <c r="E216" t="s">
        <v>272</v>
      </c>
      <c r="F216" t="s">
        <v>101</v>
      </c>
      <c r="H216">
        <v>2</v>
      </c>
      <c r="I216">
        <v>4</v>
      </c>
      <c r="J216">
        <v>1</v>
      </c>
      <c r="K216" t="s">
        <v>102</v>
      </c>
      <c r="P216" t="s">
        <v>1802</v>
      </c>
      <c r="Q216" t="s">
        <v>1803</v>
      </c>
      <c r="R216" t="s">
        <v>1804</v>
      </c>
      <c r="S216" t="s">
        <v>1805</v>
      </c>
      <c r="T216">
        <v>2400</v>
      </c>
      <c r="U216">
        <v>240.59</v>
      </c>
      <c r="V216">
        <v>0</v>
      </c>
      <c r="AM216" t="s">
        <v>107</v>
      </c>
      <c r="BC216">
        <v>48</v>
      </c>
      <c r="BD216" t="s">
        <v>1806</v>
      </c>
      <c r="BE216" t="s">
        <v>109</v>
      </c>
      <c r="BQ216">
        <v>133</v>
      </c>
      <c r="BR216" t="s">
        <v>1807</v>
      </c>
      <c r="BS216" t="s">
        <v>1808</v>
      </c>
      <c r="BT216">
        <v>12</v>
      </c>
      <c r="BU216" t="s">
        <v>119</v>
      </c>
      <c r="BV216" t="s">
        <v>163</v>
      </c>
      <c r="BW216">
        <v>2400</v>
      </c>
      <c r="BX216">
        <v>2650</v>
      </c>
      <c r="BY216">
        <v>2888.5</v>
      </c>
      <c r="BZ216">
        <v>0.09</v>
      </c>
      <c r="CA216">
        <v>250</v>
      </c>
      <c r="CB216">
        <v>0</v>
      </c>
      <c r="CC216">
        <v>250</v>
      </c>
      <c r="CD216">
        <v>2400</v>
      </c>
      <c r="CE216" t="s">
        <v>121</v>
      </c>
      <c r="CF216">
        <v>1</v>
      </c>
      <c r="CG216">
        <v>1</v>
      </c>
      <c r="CH216">
        <v>1</v>
      </c>
      <c r="CI216">
        <v>0</v>
      </c>
      <c r="CJ216">
        <v>0</v>
      </c>
      <c r="CK216">
        <v>0</v>
      </c>
      <c r="CL216">
        <v>1</v>
      </c>
      <c r="CM216">
        <v>0</v>
      </c>
      <c r="CN216" t="s">
        <v>201</v>
      </c>
      <c r="CO216">
        <v>2650</v>
      </c>
      <c r="CP216">
        <v>31800</v>
      </c>
      <c r="CR216" t="s">
        <v>168</v>
      </c>
      <c r="CS216">
        <v>282</v>
      </c>
    </row>
    <row r="217" spans="1:97" x14ac:dyDescent="0.2">
      <c r="A217" t="s">
        <v>1809</v>
      </c>
      <c r="B217">
        <v>227</v>
      </c>
      <c r="C217" t="s">
        <v>1810</v>
      </c>
      <c r="D217" t="s">
        <v>1811</v>
      </c>
      <c r="E217" t="s">
        <v>147</v>
      </c>
      <c r="F217" t="s">
        <v>126</v>
      </c>
      <c r="H217">
        <v>2</v>
      </c>
      <c r="I217">
        <v>5</v>
      </c>
      <c r="J217">
        <v>1</v>
      </c>
      <c r="K217" t="s">
        <v>127</v>
      </c>
      <c r="P217" t="s">
        <v>1812</v>
      </c>
      <c r="T217">
        <v>1436.58</v>
      </c>
      <c r="U217">
        <v>350.03</v>
      </c>
      <c r="V217">
        <v>0</v>
      </c>
      <c r="AM217" t="s">
        <v>107</v>
      </c>
      <c r="BC217">
        <v>17</v>
      </c>
      <c r="BD217" t="s">
        <v>108</v>
      </c>
      <c r="BE217" t="s">
        <v>109</v>
      </c>
      <c r="BG217" t="s">
        <v>110</v>
      </c>
      <c r="BH217" t="s">
        <v>111</v>
      </c>
      <c r="BI217" t="s">
        <v>112</v>
      </c>
      <c r="BJ217" t="s">
        <v>113</v>
      </c>
      <c r="BK217" t="s">
        <v>114</v>
      </c>
      <c r="BL217" t="s">
        <v>115</v>
      </c>
      <c r="BM217" t="s">
        <v>116</v>
      </c>
      <c r="BO217" t="s">
        <v>117</v>
      </c>
      <c r="BQ217">
        <v>137</v>
      </c>
      <c r="BR217" t="s">
        <v>481</v>
      </c>
      <c r="BU217" t="s">
        <v>216</v>
      </c>
      <c r="BV217" t="s">
        <v>120</v>
      </c>
      <c r="BW217">
        <v>0</v>
      </c>
      <c r="BX217">
        <v>0</v>
      </c>
      <c r="BY217">
        <v>0</v>
      </c>
      <c r="BZ217">
        <v>0.09</v>
      </c>
      <c r="CA217">
        <v>350.03</v>
      </c>
      <c r="CB217">
        <v>30</v>
      </c>
      <c r="CC217">
        <v>0</v>
      </c>
      <c r="CD217">
        <v>1436.58</v>
      </c>
      <c r="CE217" t="s">
        <v>181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O217">
        <v>0</v>
      </c>
      <c r="CP217">
        <v>0</v>
      </c>
      <c r="CR217" t="s">
        <v>122</v>
      </c>
      <c r="CS217">
        <v>0</v>
      </c>
    </row>
    <row r="218" spans="1:97" x14ac:dyDescent="0.2">
      <c r="A218" t="s">
        <v>1813</v>
      </c>
      <c r="B218">
        <v>228</v>
      </c>
      <c r="C218" t="s">
        <v>1814</v>
      </c>
      <c r="D218" t="s">
        <v>1815</v>
      </c>
      <c r="E218" t="s">
        <v>1526</v>
      </c>
      <c r="F218" t="s">
        <v>126</v>
      </c>
      <c r="H218">
        <v>2</v>
      </c>
      <c r="I218">
        <v>4</v>
      </c>
      <c r="J218">
        <v>1</v>
      </c>
      <c r="K218" t="s">
        <v>102</v>
      </c>
      <c r="P218" t="s">
        <v>1816</v>
      </c>
      <c r="Q218" t="s">
        <v>1817</v>
      </c>
      <c r="R218" t="s">
        <v>1818</v>
      </c>
      <c r="S218" t="s">
        <v>1819</v>
      </c>
      <c r="T218">
        <v>1436.58</v>
      </c>
      <c r="U218">
        <v>189.37</v>
      </c>
      <c r="V218">
        <v>0</v>
      </c>
      <c r="AM218" t="s">
        <v>107</v>
      </c>
      <c r="BC218">
        <v>17</v>
      </c>
      <c r="BD218" t="s">
        <v>108</v>
      </c>
      <c r="BE218" t="s">
        <v>109</v>
      </c>
      <c r="BG218" t="s">
        <v>110</v>
      </c>
      <c r="BH218" t="s">
        <v>111</v>
      </c>
      <c r="BI218" t="s">
        <v>112</v>
      </c>
      <c r="BJ218" t="s">
        <v>113</v>
      </c>
      <c r="BK218" t="s">
        <v>114</v>
      </c>
      <c r="BL218" t="s">
        <v>115</v>
      </c>
      <c r="BM218" t="s">
        <v>116</v>
      </c>
      <c r="BO218" t="s">
        <v>117</v>
      </c>
      <c r="BQ218">
        <v>332</v>
      </c>
      <c r="BR218" t="s">
        <v>118</v>
      </c>
      <c r="BU218" t="s">
        <v>119</v>
      </c>
      <c r="BV218" t="s">
        <v>120</v>
      </c>
      <c r="BW218">
        <v>0</v>
      </c>
      <c r="BX218">
        <v>895</v>
      </c>
      <c r="BY218">
        <v>975.55</v>
      </c>
      <c r="BZ218">
        <v>0.09</v>
      </c>
      <c r="CA218">
        <v>189.37</v>
      </c>
      <c r="CB218">
        <v>211.44</v>
      </c>
      <c r="CC218">
        <v>0</v>
      </c>
      <c r="CD218">
        <v>1436.58</v>
      </c>
      <c r="CE218" t="s">
        <v>121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O218">
        <v>895</v>
      </c>
      <c r="CP218">
        <v>10740</v>
      </c>
      <c r="CR218" t="s">
        <v>122</v>
      </c>
      <c r="CS218">
        <v>0</v>
      </c>
    </row>
    <row r="219" spans="1:97" x14ac:dyDescent="0.2">
      <c r="A219" t="s">
        <v>1820</v>
      </c>
      <c r="B219">
        <v>229</v>
      </c>
      <c r="C219" t="s">
        <v>1821</v>
      </c>
      <c r="D219" t="s">
        <v>1822</v>
      </c>
      <c r="E219" t="s">
        <v>1797</v>
      </c>
      <c r="F219" t="s">
        <v>126</v>
      </c>
      <c r="H219">
        <v>2</v>
      </c>
      <c r="I219">
        <v>8</v>
      </c>
      <c r="J219">
        <v>1</v>
      </c>
      <c r="K219" t="s">
        <v>102</v>
      </c>
      <c r="M219" t="s">
        <v>313</v>
      </c>
      <c r="P219" t="s">
        <v>904</v>
      </c>
      <c r="Q219" t="s">
        <v>905</v>
      </c>
      <c r="R219" t="s">
        <v>906</v>
      </c>
      <c r="S219" t="s">
        <v>907</v>
      </c>
      <c r="T219">
        <v>1436.58</v>
      </c>
      <c r="U219">
        <v>692.92</v>
      </c>
      <c r="V219">
        <v>0</v>
      </c>
      <c r="AM219" t="s">
        <v>107</v>
      </c>
      <c r="BC219">
        <v>17</v>
      </c>
      <c r="BD219" t="s">
        <v>108</v>
      </c>
      <c r="BE219" t="s">
        <v>109</v>
      </c>
      <c r="BG219" t="s">
        <v>110</v>
      </c>
      <c r="BH219" t="s">
        <v>111</v>
      </c>
      <c r="BI219" t="s">
        <v>112</v>
      </c>
      <c r="BJ219" t="s">
        <v>113</v>
      </c>
      <c r="BK219" t="s">
        <v>114</v>
      </c>
      <c r="BL219" t="s">
        <v>115</v>
      </c>
      <c r="BM219" t="s">
        <v>116</v>
      </c>
      <c r="BO219" t="s">
        <v>117</v>
      </c>
      <c r="BQ219">
        <v>424</v>
      </c>
      <c r="BR219" t="s">
        <v>118</v>
      </c>
      <c r="BU219" t="s">
        <v>119</v>
      </c>
      <c r="BV219" t="s">
        <v>120</v>
      </c>
      <c r="BW219">
        <v>0</v>
      </c>
      <c r="BX219">
        <v>0</v>
      </c>
      <c r="BY219">
        <v>0</v>
      </c>
      <c r="BZ219">
        <v>0.09</v>
      </c>
      <c r="CA219">
        <v>692.92</v>
      </c>
      <c r="CB219">
        <v>0</v>
      </c>
      <c r="CC219">
        <v>0</v>
      </c>
      <c r="CD219">
        <v>1436.58</v>
      </c>
      <c r="CE219" t="s">
        <v>121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O219">
        <v>0</v>
      </c>
      <c r="CP219">
        <v>0</v>
      </c>
      <c r="CR219" t="s">
        <v>122</v>
      </c>
      <c r="CS219">
        <v>0</v>
      </c>
    </row>
    <row r="220" spans="1:97" x14ac:dyDescent="0.2">
      <c r="A220" t="s">
        <v>1823</v>
      </c>
      <c r="B220">
        <v>230</v>
      </c>
      <c r="C220" t="s">
        <v>1824</v>
      </c>
      <c r="D220" t="s">
        <v>1825</v>
      </c>
      <c r="E220" t="s">
        <v>312</v>
      </c>
      <c r="F220" t="s">
        <v>126</v>
      </c>
      <c r="H220">
        <v>3</v>
      </c>
      <c r="I220">
        <v>5</v>
      </c>
      <c r="J220">
        <v>1</v>
      </c>
      <c r="K220" t="s">
        <v>127</v>
      </c>
      <c r="P220" t="s">
        <v>1826</v>
      </c>
      <c r="T220">
        <v>2750</v>
      </c>
      <c r="U220">
        <v>345.28</v>
      </c>
      <c r="V220">
        <v>0</v>
      </c>
      <c r="AM220" t="s">
        <v>107</v>
      </c>
      <c r="BC220">
        <v>17</v>
      </c>
      <c r="BD220" t="s">
        <v>108</v>
      </c>
      <c r="BE220" t="s">
        <v>109</v>
      </c>
      <c r="BG220" t="s">
        <v>110</v>
      </c>
      <c r="BH220" t="s">
        <v>111</v>
      </c>
      <c r="BI220" t="s">
        <v>112</v>
      </c>
      <c r="BJ220" t="s">
        <v>113</v>
      </c>
      <c r="BK220" t="s">
        <v>114</v>
      </c>
      <c r="BL220" t="s">
        <v>115</v>
      </c>
      <c r="BM220" t="s">
        <v>116</v>
      </c>
      <c r="BO220" t="s">
        <v>117</v>
      </c>
      <c r="BQ220">
        <v>333</v>
      </c>
      <c r="BR220" t="s">
        <v>118</v>
      </c>
      <c r="BU220" t="s">
        <v>119</v>
      </c>
      <c r="BV220" t="s">
        <v>120</v>
      </c>
      <c r="BW220">
        <v>0</v>
      </c>
      <c r="BX220">
        <v>1865.5</v>
      </c>
      <c r="BY220">
        <v>2033.4</v>
      </c>
      <c r="BZ220">
        <v>0.09</v>
      </c>
      <c r="CA220">
        <v>345.28</v>
      </c>
      <c r="CB220">
        <v>25.2</v>
      </c>
      <c r="CC220">
        <v>0</v>
      </c>
      <c r="CD220">
        <v>2750</v>
      </c>
      <c r="CE220" t="s">
        <v>121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O220">
        <v>1865.5</v>
      </c>
      <c r="CP220">
        <v>22386</v>
      </c>
      <c r="CR220" t="s">
        <v>122</v>
      </c>
      <c r="CS220">
        <v>0</v>
      </c>
    </row>
    <row r="221" spans="1:97" x14ac:dyDescent="0.2">
      <c r="A221" t="s">
        <v>1827</v>
      </c>
      <c r="B221">
        <v>231</v>
      </c>
      <c r="C221" t="s">
        <v>1828</v>
      </c>
      <c r="D221" t="s">
        <v>247</v>
      </c>
      <c r="E221" t="s">
        <v>1602</v>
      </c>
      <c r="F221" t="s">
        <v>101</v>
      </c>
      <c r="H221">
        <v>4</v>
      </c>
      <c r="I221">
        <v>5</v>
      </c>
      <c r="J221">
        <v>1</v>
      </c>
      <c r="K221" t="s">
        <v>102</v>
      </c>
      <c r="M221" t="s">
        <v>137</v>
      </c>
      <c r="P221" t="s">
        <v>1829</v>
      </c>
      <c r="T221">
        <v>2300</v>
      </c>
      <c r="U221">
        <v>602.66999999999996</v>
      </c>
      <c r="V221">
        <v>0</v>
      </c>
      <c r="W221">
        <v>979</v>
      </c>
      <c r="X221" t="s">
        <v>1830</v>
      </c>
      <c r="Y221" t="s">
        <v>326</v>
      </c>
      <c r="AC221" t="s">
        <v>1831</v>
      </c>
      <c r="AE221" t="s">
        <v>1832</v>
      </c>
      <c r="AI221" t="s">
        <v>1833</v>
      </c>
      <c r="AJ221">
        <v>798</v>
      </c>
      <c r="AK221" t="s">
        <v>1834</v>
      </c>
      <c r="AM221" t="s">
        <v>120</v>
      </c>
      <c r="AO221">
        <v>2</v>
      </c>
      <c r="AT221">
        <v>0</v>
      </c>
      <c r="AU221">
        <v>2300</v>
      </c>
      <c r="AV221">
        <v>2507</v>
      </c>
      <c r="AW221">
        <v>0.09</v>
      </c>
      <c r="AY221">
        <v>0</v>
      </c>
      <c r="BA221">
        <v>0</v>
      </c>
      <c r="BB221">
        <v>0</v>
      </c>
      <c r="BC221">
        <v>17</v>
      </c>
      <c r="BD221" t="s">
        <v>108</v>
      </c>
      <c r="BE221" t="s">
        <v>109</v>
      </c>
      <c r="BG221" t="s">
        <v>110</v>
      </c>
      <c r="BH221" t="s">
        <v>111</v>
      </c>
      <c r="BI221" t="s">
        <v>112</v>
      </c>
      <c r="BJ221" t="s">
        <v>113</v>
      </c>
      <c r="BK221" t="s">
        <v>114</v>
      </c>
      <c r="BL221" t="s">
        <v>115</v>
      </c>
      <c r="BM221" t="s">
        <v>116</v>
      </c>
      <c r="BO221" t="s">
        <v>117</v>
      </c>
      <c r="BQ221">
        <v>145</v>
      </c>
      <c r="BR221" t="s">
        <v>481</v>
      </c>
      <c r="BU221" t="s">
        <v>216</v>
      </c>
      <c r="BV221" t="s">
        <v>120</v>
      </c>
      <c r="BW221">
        <v>0</v>
      </c>
      <c r="BX221">
        <v>0</v>
      </c>
      <c r="BY221">
        <v>0</v>
      </c>
      <c r="BZ221">
        <v>0.09</v>
      </c>
      <c r="CA221">
        <v>602.66999999999996</v>
      </c>
      <c r="CB221">
        <v>53.72</v>
      </c>
      <c r="CC221">
        <v>0</v>
      </c>
      <c r="CD221">
        <v>2300</v>
      </c>
      <c r="CE221" t="s">
        <v>181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O221">
        <v>-2300</v>
      </c>
      <c r="CP221">
        <v>-27600</v>
      </c>
      <c r="CQ221">
        <v>-100</v>
      </c>
      <c r="CR221" t="s">
        <v>122</v>
      </c>
      <c r="CS221">
        <v>0</v>
      </c>
    </row>
    <row r="222" spans="1:97" x14ac:dyDescent="0.2">
      <c r="A222" t="s">
        <v>1835</v>
      </c>
      <c r="B222">
        <v>232</v>
      </c>
      <c r="C222" t="s">
        <v>1836</v>
      </c>
      <c r="D222" t="s">
        <v>1837</v>
      </c>
      <c r="E222" t="s">
        <v>1655</v>
      </c>
      <c r="F222" t="s">
        <v>126</v>
      </c>
      <c r="H222">
        <v>4</v>
      </c>
      <c r="I222">
        <v>4</v>
      </c>
      <c r="J222">
        <v>1</v>
      </c>
      <c r="K222" t="s">
        <v>102</v>
      </c>
      <c r="L222" t="s">
        <v>1838</v>
      </c>
      <c r="M222" t="s">
        <v>313</v>
      </c>
      <c r="P222" t="s">
        <v>1839</v>
      </c>
      <c r="Q222" t="s">
        <v>1840</v>
      </c>
      <c r="R222" t="s">
        <v>1841</v>
      </c>
      <c r="S222" t="s">
        <v>1842</v>
      </c>
      <c r="T222">
        <v>2750</v>
      </c>
      <c r="U222">
        <v>250</v>
      </c>
      <c r="V222">
        <v>0</v>
      </c>
      <c r="W222">
        <v>823</v>
      </c>
      <c r="X222" t="s">
        <v>981</v>
      </c>
      <c r="Y222" t="s">
        <v>109</v>
      </c>
      <c r="AJ222">
        <v>762</v>
      </c>
      <c r="AM222" t="s">
        <v>120</v>
      </c>
      <c r="AO222">
        <v>1</v>
      </c>
      <c r="AT222">
        <v>0</v>
      </c>
      <c r="AU222">
        <v>2416.16</v>
      </c>
      <c r="AV222">
        <v>2633.61</v>
      </c>
      <c r="AW222">
        <v>0.09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210</v>
      </c>
      <c r="BD222" t="s">
        <v>719</v>
      </c>
      <c r="BE222" t="s">
        <v>109</v>
      </c>
      <c r="BG222" t="s">
        <v>720</v>
      </c>
      <c r="BH222" t="s">
        <v>721</v>
      </c>
      <c r="BI222" t="s">
        <v>722</v>
      </c>
      <c r="BK222" t="s">
        <v>723</v>
      </c>
      <c r="BL222" t="s">
        <v>115</v>
      </c>
      <c r="BM222" t="s">
        <v>724</v>
      </c>
      <c r="BO222" t="s">
        <v>725</v>
      </c>
      <c r="BQ222">
        <v>258</v>
      </c>
      <c r="BR222" t="s">
        <v>1843</v>
      </c>
      <c r="BS222" t="s">
        <v>1844</v>
      </c>
      <c r="BT222">
        <v>10</v>
      </c>
      <c r="BU222" t="s">
        <v>119</v>
      </c>
      <c r="BV222" t="s">
        <v>163</v>
      </c>
      <c r="BW222">
        <v>2775</v>
      </c>
      <c r="BX222">
        <v>3025</v>
      </c>
      <c r="BY222">
        <v>3297.25</v>
      </c>
      <c r="BZ222">
        <v>0.09</v>
      </c>
      <c r="CA222">
        <v>250</v>
      </c>
      <c r="CB222">
        <v>0</v>
      </c>
      <c r="CC222">
        <v>250</v>
      </c>
      <c r="CD222">
        <v>2750</v>
      </c>
      <c r="CE222" t="s">
        <v>121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 t="s">
        <v>201</v>
      </c>
      <c r="CO222">
        <v>608.84000000000015</v>
      </c>
      <c r="CP222">
        <v>7306.0800000000017</v>
      </c>
      <c r="CQ222">
        <v>25.2</v>
      </c>
      <c r="CR222" t="s">
        <v>168</v>
      </c>
      <c r="CS222">
        <v>297</v>
      </c>
    </row>
    <row r="223" spans="1:97" x14ac:dyDescent="0.2">
      <c r="A223" t="s">
        <v>1845</v>
      </c>
      <c r="B223">
        <v>233</v>
      </c>
      <c r="C223" t="s">
        <v>1846</v>
      </c>
      <c r="D223" t="s">
        <v>1847</v>
      </c>
      <c r="E223" t="s">
        <v>1526</v>
      </c>
      <c r="F223" t="s">
        <v>101</v>
      </c>
      <c r="H223">
        <v>2</v>
      </c>
      <c r="I223">
        <v>5</v>
      </c>
      <c r="J223">
        <v>1</v>
      </c>
      <c r="K223" t="s">
        <v>102</v>
      </c>
      <c r="P223" t="s">
        <v>276</v>
      </c>
      <c r="T223">
        <v>0</v>
      </c>
      <c r="U223">
        <v>283.56</v>
      </c>
      <c r="V223">
        <v>0</v>
      </c>
      <c r="AM223" t="s">
        <v>107</v>
      </c>
      <c r="BC223">
        <v>17</v>
      </c>
      <c r="BD223" t="s">
        <v>108</v>
      </c>
      <c r="BE223" t="s">
        <v>109</v>
      </c>
      <c r="BG223" t="s">
        <v>110</v>
      </c>
      <c r="BH223" t="s">
        <v>111</v>
      </c>
      <c r="BI223" t="s">
        <v>112</v>
      </c>
      <c r="BJ223" t="s">
        <v>113</v>
      </c>
      <c r="BK223" t="s">
        <v>114</v>
      </c>
      <c r="BL223" t="s">
        <v>115</v>
      </c>
      <c r="BM223" t="s">
        <v>116</v>
      </c>
      <c r="BO223" t="s">
        <v>117</v>
      </c>
      <c r="BQ223">
        <v>334</v>
      </c>
      <c r="BR223" t="s">
        <v>118</v>
      </c>
      <c r="BU223" t="s">
        <v>119</v>
      </c>
      <c r="BV223" t="s">
        <v>120</v>
      </c>
      <c r="BW223">
        <v>0</v>
      </c>
      <c r="BX223">
        <v>895</v>
      </c>
      <c r="BY223">
        <v>975.55</v>
      </c>
      <c r="BZ223">
        <v>0.09</v>
      </c>
      <c r="CA223">
        <v>283.56</v>
      </c>
      <c r="CB223">
        <v>175.1</v>
      </c>
      <c r="CC223">
        <v>0</v>
      </c>
      <c r="CD223">
        <v>0</v>
      </c>
      <c r="CE223" t="s">
        <v>121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O223">
        <v>895</v>
      </c>
      <c r="CP223">
        <v>10740</v>
      </c>
      <c r="CR223" t="s">
        <v>122</v>
      </c>
      <c r="CS223">
        <v>0</v>
      </c>
    </row>
    <row r="224" spans="1:97" x14ac:dyDescent="0.2">
      <c r="A224" t="s">
        <v>1848</v>
      </c>
      <c r="B224">
        <v>234</v>
      </c>
      <c r="C224" t="s">
        <v>1849</v>
      </c>
      <c r="D224" t="s">
        <v>1850</v>
      </c>
      <c r="E224" t="s">
        <v>1526</v>
      </c>
      <c r="F224" t="s">
        <v>101</v>
      </c>
      <c r="H224">
        <v>4</v>
      </c>
      <c r="I224">
        <v>6</v>
      </c>
      <c r="J224">
        <v>1</v>
      </c>
      <c r="K224" t="s">
        <v>102</v>
      </c>
      <c r="P224" t="s">
        <v>1851</v>
      </c>
      <c r="T224">
        <v>2350</v>
      </c>
      <c r="U224">
        <v>96.38</v>
      </c>
      <c r="V224">
        <v>0</v>
      </c>
      <c r="AM224" t="s">
        <v>107</v>
      </c>
      <c r="BC224">
        <v>17</v>
      </c>
      <c r="BD224" t="s">
        <v>108</v>
      </c>
      <c r="BE224" t="s">
        <v>109</v>
      </c>
      <c r="BG224" t="s">
        <v>110</v>
      </c>
      <c r="BH224" t="s">
        <v>111</v>
      </c>
      <c r="BI224" t="s">
        <v>112</v>
      </c>
      <c r="BJ224" t="s">
        <v>113</v>
      </c>
      <c r="BK224" t="s">
        <v>114</v>
      </c>
      <c r="BL224" t="s">
        <v>115</v>
      </c>
      <c r="BM224" t="s">
        <v>116</v>
      </c>
      <c r="BO224" t="s">
        <v>117</v>
      </c>
      <c r="BQ224">
        <v>335</v>
      </c>
      <c r="BR224" t="s">
        <v>118</v>
      </c>
      <c r="BU224" t="s">
        <v>119</v>
      </c>
      <c r="BV224" t="s">
        <v>120</v>
      </c>
      <c r="BW224">
        <v>0</v>
      </c>
      <c r="BX224">
        <v>2801</v>
      </c>
      <c r="BY224">
        <v>3053.09</v>
      </c>
      <c r="BZ224">
        <v>0.09</v>
      </c>
      <c r="CA224">
        <v>96.38</v>
      </c>
      <c r="CB224">
        <v>43.9</v>
      </c>
      <c r="CC224">
        <v>0</v>
      </c>
      <c r="CD224">
        <v>2350</v>
      </c>
      <c r="CE224" t="s">
        <v>121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O224">
        <v>2801</v>
      </c>
      <c r="CP224">
        <v>33612</v>
      </c>
      <c r="CR224" t="s">
        <v>122</v>
      </c>
      <c r="CS224">
        <v>0</v>
      </c>
    </row>
    <row r="225" spans="1:97" x14ac:dyDescent="0.2">
      <c r="A225" t="s">
        <v>1852</v>
      </c>
      <c r="B225">
        <v>235</v>
      </c>
      <c r="C225" t="s">
        <v>1853</v>
      </c>
      <c r="D225" t="s">
        <v>1850</v>
      </c>
      <c r="E225" t="s">
        <v>1526</v>
      </c>
      <c r="F225" t="s">
        <v>101</v>
      </c>
      <c r="H225">
        <v>8</v>
      </c>
      <c r="I225">
        <v>5</v>
      </c>
      <c r="J225">
        <v>1</v>
      </c>
      <c r="K225" t="s">
        <v>102</v>
      </c>
      <c r="P225" t="s">
        <v>1854</v>
      </c>
      <c r="T225">
        <v>5710.93</v>
      </c>
      <c r="U225">
        <v>75.67</v>
      </c>
      <c r="V225">
        <v>0</v>
      </c>
      <c r="AM225" t="s">
        <v>107</v>
      </c>
      <c r="BC225">
        <v>17</v>
      </c>
      <c r="BD225" t="s">
        <v>108</v>
      </c>
      <c r="BE225" t="s">
        <v>109</v>
      </c>
      <c r="BG225" t="s">
        <v>110</v>
      </c>
      <c r="BH225" t="s">
        <v>111</v>
      </c>
      <c r="BI225" t="s">
        <v>112</v>
      </c>
      <c r="BJ225" t="s">
        <v>113</v>
      </c>
      <c r="BK225" t="s">
        <v>114</v>
      </c>
      <c r="BL225" t="s">
        <v>115</v>
      </c>
      <c r="BM225" t="s">
        <v>116</v>
      </c>
      <c r="BO225" t="s">
        <v>117</v>
      </c>
      <c r="BQ225">
        <v>336</v>
      </c>
      <c r="BR225" t="s">
        <v>118</v>
      </c>
      <c r="BU225" t="s">
        <v>119</v>
      </c>
      <c r="BV225" t="s">
        <v>120</v>
      </c>
      <c r="BW225">
        <v>0</v>
      </c>
      <c r="BX225">
        <v>2801</v>
      </c>
      <c r="BY225">
        <v>3053.09</v>
      </c>
      <c r="BZ225">
        <v>0.09</v>
      </c>
      <c r="CA225">
        <v>75.67</v>
      </c>
      <c r="CB225">
        <v>43.9</v>
      </c>
      <c r="CC225">
        <v>0</v>
      </c>
      <c r="CD225">
        <v>5710.93</v>
      </c>
      <c r="CE225" t="s">
        <v>121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O225">
        <v>2801</v>
      </c>
      <c r="CP225">
        <v>33612</v>
      </c>
      <c r="CR225" t="s">
        <v>122</v>
      </c>
      <c r="CS225">
        <v>0</v>
      </c>
    </row>
    <row r="226" spans="1:97" x14ac:dyDescent="0.2">
      <c r="A226" t="s">
        <v>1855</v>
      </c>
      <c r="B226">
        <v>236</v>
      </c>
      <c r="C226" t="s">
        <v>1856</v>
      </c>
      <c r="D226" t="s">
        <v>1857</v>
      </c>
      <c r="E226" t="s">
        <v>1526</v>
      </c>
      <c r="F226" t="s">
        <v>101</v>
      </c>
      <c r="H226">
        <v>3</v>
      </c>
      <c r="I226">
        <v>4</v>
      </c>
      <c r="J226">
        <v>1</v>
      </c>
      <c r="K226" t="s">
        <v>102</v>
      </c>
      <c r="P226" t="s">
        <v>1858</v>
      </c>
      <c r="T226">
        <v>2053.7399999999998</v>
      </c>
      <c r="U226">
        <v>569.98</v>
      </c>
      <c r="V226">
        <v>0</v>
      </c>
      <c r="AM226" t="s">
        <v>107</v>
      </c>
      <c r="BC226">
        <v>17</v>
      </c>
      <c r="BD226" t="s">
        <v>108</v>
      </c>
      <c r="BE226" t="s">
        <v>109</v>
      </c>
      <c r="BG226" t="s">
        <v>110</v>
      </c>
      <c r="BH226" t="s">
        <v>111</v>
      </c>
      <c r="BI226" t="s">
        <v>112</v>
      </c>
      <c r="BJ226" t="s">
        <v>113</v>
      </c>
      <c r="BK226" t="s">
        <v>114</v>
      </c>
      <c r="BL226" t="s">
        <v>115</v>
      </c>
      <c r="BM226" t="s">
        <v>116</v>
      </c>
      <c r="BO226" t="s">
        <v>117</v>
      </c>
      <c r="BQ226">
        <v>337</v>
      </c>
      <c r="BR226" t="s">
        <v>118</v>
      </c>
      <c r="BU226" t="s">
        <v>119</v>
      </c>
      <c r="BV226" t="s">
        <v>120</v>
      </c>
      <c r="BW226">
        <v>0</v>
      </c>
      <c r="BX226">
        <v>1561.5</v>
      </c>
      <c r="BY226">
        <v>1702.04</v>
      </c>
      <c r="BZ226">
        <v>0.09</v>
      </c>
      <c r="CA226">
        <v>569.98</v>
      </c>
      <c r="CB226">
        <v>35</v>
      </c>
      <c r="CC226">
        <v>0</v>
      </c>
      <c r="CD226">
        <v>2053.7399999999998</v>
      </c>
      <c r="CE226" t="s">
        <v>121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O226">
        <v>1561.5</v>
      </c>
      <c r="CP226">
        <v>18738</v>
      </c>
      <c r="CR226" t="s">
        <v>122</v>
      </c>
      <c r="CS226">
        <v>0</v>
      </c>
    </row>
    <row r="227" spans="1:97" x14ac:dyDescent="0.2">
      <c r="A227" t="s">
        <v>1859</v>
      </c>
      <c r="B227">
        <v>237</v>
      </c>
      <c r="C227" t="s">
        <v>1860</v>
      </c>
      <c r="D227" t="s">
        <v>1861</v>
      </c>
      <c r="E227" t="s">
        <v>272</v>
      </c>
      <c r="F227" t="s">
        <v>126</v>
      </c>
      <c r="H227">
        <v>3</v>
      </c>
      <c r="I227">
        <v>4</v>
      </c>
      <c r="J227">
        <v>1</v>
      </c>
      <c r="K227" t="s">
        <v>102</v>
      </c>
      <c r="P227" t="s">
        <v>1862</v>
      </c>
      <c r="Q227" t="s">
        <v>1863</v>
      </c>
      <c r="R227" t="s">
        <v>1864</v>
      </c>
      <c r="S227" t="s">
        <v>1865</v>
      </c>
      <c r="T227">
        <v>2250</v>
      </c>
      <c r="U227">
        <v>91.33</v>
      </c>
      <c r="V227">
        <v>0</v>
      </c>
      <c r="AM227" t="s">
        <v>107</v>
      </c>
      <c r="BC227">
        <v>17</v>
      </c>
      <c r="BD227" t="s">
        <v>108</v>
      </c>
      <c r="BE227" t="s">
        <v>109</v>
      </c>
      <c r="BG227" t="s">
        <v>110</v>
      </c>
      <c r="BH227" t="s">
        <v>111</v>
      </c>
      <c r="BI227" t="s">
        <v>112</v>
      </c>
      <c r="BJ227" t="s">
        <v>113</v>
      </c>
      <c r="BK227" t="s">
        <v>114</v>
      </c>
      <c r="BL227" t="s">
        <v>115</v>
      </c>
      <c r="BM227" t="s">
        <v>116</v>
      </c>
      <c r="BO227" t="s">
        <v>117</v>
      </c>
      <c r="BQ227">
        <v>338</v>
      </c>
      <c r="BR227" t="s">
        <v>118</v>
      </c>
      <c r="BU227" t="s">
        <v>119</v>
      </c>
      <c r="BV227" t="s">
        <v>120</v>
      </c>
      <c r="BW227">
        <v>2250</v>
      </c>
      <c r="BX227">
        <v>2500</v>
      </c>
      <c r="BY227">
        <v>2725</v>
      </c>
      <c r="BZ227">
        <v>0.09</v>
      </c>
      <c r="CA227">
        <v>250</v>
      </c>
      <c r="CB227">
        <v>25.1</v>
      </c>
      <c r="CC227">
        <v>250</v>
      </c>
      <c r="CD227">
        <v>2250</v>
      </c>
      <c r="CE227" t="s">
        <v>121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 t="s">
        <v>201</v>
      </c>
      <c r="CO227">
        <v>2500</v>
      </c>
      <c r="CP227">
        <v>30000</v>
      </c>
      <c r="CR227" t="s">
        <v>122</v>
      </c>
      <c r="CS227">
        <v>0</v>
      </c>
    </row>
    <row r="228" spans="1:97" x14ac:dyDescent="0.2">
      <c r="A228" t="s">
        <v>1859</v>
      </c>
      <c r="B228">
        <v>237</v>
      </c>
      <c r="C228" t="s">
        <v>1860</v>
      </c>
      <c r="D228" t="s">
        <v>1861</v>
      </c>
      <c r="E228" t="s">
        <v>272</v>
      </c>
      <c r="F228" t="s">
        <v>126</v>
      </c>
      <c r="H228">
        <v>3</v>
      </c>
      <c r="I228">
        <v>4</v>
      </c>
      <c r="J228">
        <v>1</v>
      </c>
      <c r="K228" t="s">
        <v>102</v>
      </c>
      <c r="P228" t="s">
        <v>1862</v>
      </c>
      <c r="Q228" t="s">
        <v>1863</v>
      </c>
      <c r="R228" t="s">
        <v>1864</v>
      </c>
      <c r="S228" t="s">
        <v>1865</v>
      </c>
      <c r="T228">
        <v>2250</v>
      </c>
      <c r="U228">
        <v>91.33</v>
      </c>
      <c r="V228">
        <v>0</v>
      </c>
      <c r="AM228" t="s">
        <v>107</v>
      </c>
      <c r="BC228">
        <v>23</v>
      </c>
      <c r="BD228" t="s">
        <v>1278</v>
      </c>
      <c r="BE228" t="s">
        <v>109</v>
      </c>
      <c r="BI228" t="s">
        <v>1279</v>
      </c>
      <c r="BK228" t="s">
        <v>1280</v>
      </c>
      <c r="BL228" t="s">
        <v>115</v>
      </c>
      <c r="BO228" t="s">
        <v>1281</v>
      </c>
      <c r="BQ228">
        <v>163</v>
      </c>
      <c r="BR228" t="s">
        <v>1643</v>
      </c>
      <c r="BS228" t="s">
        <v>1644</v>
      </c>
      <c r="BT228">
        <v>6</v>
      </c>
      <c r="BU228" t="s">
        <v>119</v>
      </c>
      <c r="BV228" t="s">
        <v>163</v>
      </c>
      <c r="BW228">
        <v>2250</v>
      </c>
      <c r="BX228">
        <v>2500</v>
      </c>
      <c r="BY228">
        <v>2725</v>
      </c>
      <c r="BZ228">
        <v>0.09</v>
      </c>
      <c r="CA228">
        <v>250</v>
      </c>
      <c r="CB228">
        <v>0</v>
      </c>
      <c r="CC228">
        <v>250</v>
      </c>
      <c r="CD228">
        <v>2250</v>
      </c>
      <c r="CE228" t="s">
        <v>121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 t="s">
        <v>201</v>
      </c>
      <c r="CO228">
        <v>2500</v>
      </c>
      <c r="CP228">
        <v>30000</v>
      </c>
      <c r="CR228" t="s">
        <v>168</v>
      </c>
      <c r="CS228">
        <v>104</v>
      </c>
    </row>
    <row r="229" spans="1:97" x14ac:dyDescent="0.2">
      <c r="A229" t="s">
        <v>1866</v>
      </c>
      <c r="B229">
        <v>238</v>
      </c>
      <c r="C229" t="s">
        <v>1867</v>
      </c>
      <c r="D229" t="s">
        <v>1868</v>
      </c>
      <c r="E229" t="s">
        <v>696</v>
      </c>
      <c r="F229" t="s">
        <v>126</v>
      </c>
      <c r="H229">
        <v>4</v>
      </c>
      <c r="I229">
        <v>6</v>
      </c>
      <c r="J229">
        <v>1</v>
      </c>
      <c r="K229" t="s">
        <v>102</v>
      </c>
      <c r="L229" t="s">
        <v>697</v>
      </c>
      <c r="T229">
        <v>3500</v>
      </c>
      <c r="U229">
        <v>322</v>
      </c>
      <c r="V229">
        <v>0</v>
      </c>
      <c r="AM229" t="s">
        <v>107</v>
      </c>
      <c r="BV229" t="s">
        <v>142</v>
      </c>
      <c r="CD229">
        <v>3500</v>
      </c>
      <c r="CO229">
        <v>0</v>
      </c>
      <c r="CP229">
        <v>0</v>
      </c>
      <c r="CR229" t="s">
        <v>143</v>
      </c>
      <c r="CS229">
        <v>0</v>
      </c>
    </row>
    <row r="230" spans="1:97" x14ac:dyDescent="0.2">
      <c r="A230" t="s">
        <v>1869</v>
      </c>
      <c r="B230">
        <v>239</v>
      </c>
      <c r="C230" t="s">
        <v>1870</v>
      </c>
      <c r="D230" t="s">
        <v>1871</v>
      </c>
      <c r="E230" t="s">
        <v>272</v>
      </c>
      <c r="F230" t="s">
        <v>101</v>
      </c>
      <c r="H230">
        <v>2</v>
      </c>
      <c r="I230">
        <v>3</v>
      </c>
      <c r="J230">
        <v>1</v>
      </c>
      <c r="K230" t="s">
        <v>102</v>
      </c>
      <c r="P230" t="s">
        <v>1872</v>
      </c>
      <c r="Q230" t="s">
        <v>1873</v>
      </c>
      <c r="R230" t="s">
        <v>1874</v>
      </c>
      <c r="S230" t="s">
        <v>1875</v>
      </c>
      <c r="T230">
        <v>1450</v>
      </c>
      <c r="U230">
        <v>88.84</v>
      </c>
      <c r="V230">
        <v>0</v>
      </c>
      <c r="W230">
        <v>969</v>
      </c>
      <c r="X230" t="s">
        <v>1876</v>
      </c>
      <c r="Y230" t="s">
        <v>326</v>
      </c>
      <c r="AA230" t="s">
        <v>1877</v>
      </c>
      <c r="AB230" t="s">
        <v>1878</v>
      </c>
      <c r="AC230" t="s">
        <v>1879</v>
      </c>
      <c r="AD230" t="s">
        <v>1880</v>
      </c>
      <c r="AE230" t="s">
        <v>1881</v>
      </c>
      <c r="AG230" t="s">
        <v>1529</v>
      </c>
      <c r="AJ230">
        <v>816</v>
      </c>
      <c r="AK230" t="s">
        <v>1882</v>
      </c>
      <c r="AM230" t="s">
        <v>120</v>
      </c>
      <c r="AN230">
        <v>24</v>
      </c>
      <c r="AT230">
        <v>0</v>
      </c>
      <c r="AU230">
        <v>1175</v>
      </c>
      <c r="AV230">
        <v>1280.75</v>
      </c>
      <c r="AW230">
        <v>0.09</v>
      </c>
      <c r="AX230">
        <v>1175</v>
      </c>
      <c r="AY230">
        <v>0</v>
      </c>
      <c r="AZ230">
        <v>0</v>
      </c>
      <c r="BA230">
        <v>0</v>
      </c>
      <c r="BB230">
        <v>0</v>
      </c>
      <c r="BC230">
        <v>17</v>
      </c>
      <c r="BD230" t="s">
        <v>108</v>
      </c>
      <c r="BE230" t="s">
        <v>109</v>
      </c>
      <c r="BG230" t="s">
        <v>110</v>
      </c>
      <c r="BH230" t="s">
        <v>111</v>
      </c>
      <c r="BI230" t="s">
        <v>112</v>
      </c>
      <c r="BJ230" t="s">
        <v>113</v>
      </c>
      <c r="BK230" t="s">
        <v>114</v>
      </c>
      <c r="BL230" t="s">
        <v>115</v>
      </c>
      <c r="BM230" t="s">
        <v>116</v>
      </c>
      <c r="BO230" t="s">
        <v>117</v>
      </c>
      <c r="BQ230">
        <v>339</v>
      </c>
      <c r="BR230" t="s">
        <v>118</v>
      </c>
      <c r="BU230" t="s">
        <v>119</v>
      </c>
      <c r="BV230" t="s">
        <v>120</v>
      </c>
      <c r="BW230">
        <v>1450</v>
      </c>
      <c r="BX230">
        <v>1600</v>
      </c>
      <c r="BY230">
        <v>1744</v>
      </c>
      <c r="BZ230">
        <v>0.09</v>
      </c>
      <c r="CA230">
        <v>150</v>
      </c>
      <c r="CB230">
        <v>25.1</v>
      </c>
      <c r="CC230">
        <v>250</v>
      </c>
      <c r="CD230">
        <v>1450</v>
      </c>
      <c r="CE230" t="s">
        <v>121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 t="s">
        <v>201</v>
      </c>
      <c r="CO230">
        <v>425</v>
      </c>
      <c r="CP230">
        <v>5100</v>
      </c>
      <c r="CQ230">
        <v>36.17</v>
      </c>
      <c r="CR230" t="s">
        <v>122</v>
      </c>
      <c r="CS230">
        <v>0</v>
      </c>
    </row>
    <row r="231" spans="1:97" x14ac:dyDescent="0.2">
      <c r="A231" t="s">
        <v>1869</v>
      </c>
      <c r="B231">
        <v>239</v>
      </c>
      <c r="C231" t="s">
        <v>1870</v>
      </c>
      <c r="D231" t="s">
        <v>1871</v>
      </c>
      <c r="E231" t="s">
        <v>272</v>
      </c>
      <c r="F231" t="s">
        <v>101</v>
      </c>
      <c r="H231">
        <v>2</v>
      </c>
      <c r="I231">
        <v>3</v>
      </c>
      <c r="J231">
        <v>1</v>
      </c>
      <c r="K231" t="s">
        <v>102</v>
      </c>
      <c r="P231" t="s">
        <v>1872</v>
      </c>
      <c r="Q231" t="s">
        <v>1873</v>
      </c>
      <c r="R231" t="s">
        <v>1874</v>
      </c>
      <c r="S231" t="s">
        <v>1875</v>
      </c>
      <c r="T231">
        <v>1450</v>
      </c>
      <c r="U231">
        <v>88.84</v>
      </c>
      <c r="V231">
        <v>0</v>
      </c>
      <c r="W231">
        <v>969</v>
      </c>
      <c r="X231" t="s">
        <v>1876</v>
      </c>
      <c r="Y231" t="s">
        <v>326</v>
      </c>
      <c r="AA231" t="s">
        <v>1877</v>
      </c>
      <c r="AB231" t="s">
        <v>1878</v>
      </c>
      <c r="AC231" t="s">
        <v>1879</v>
      </c>
      <c r="AD231" t="s">
        <v>1880</v>
      </c>
      <c r="AE231" t="s">
        <v>1881</v>
      </c>
      <c r="AG231" t="s">
        <v>1529</v>
      </c>
      <c r="AJ231">
        <v>816</v>
      </c>
      <c r="AK231" t="s">
        <v>1882</v>
      </c>
      <c r="AM231" t="s">
        <v>120</v>
      </c>
      <c r="AN231">
        <v>24</v>
      </c>
      <c r="AT231">
        <v>0</v>
      </c>
      <c r="AU231">
        <v>1175</v>
      </c>
      <c r="AV231">
        <v>1280.75</v>
      </c>
      <c r="AW231">
        <v>0.09</v>
      </c>
      <c r="AX231">
        <v>1175</v>
      </c>
      <c r="AY231">
        <v>0</v>
      </c>
      <c r="AZ231">
        <v>0</v>
      </c>
      <c r="BA231">
        <v>0</v>
      </c>
      <c r="BB231">
        <v>0</v>
      </c>
      <c r="BC231">
        <v>23</v>
      </c>
      <c r="BD231" t="s">
        <v>1278</v>
      </c>
      <c r="BE231" t="s">
        <v>109</v>
      </c>
      <c r="BI231" t="s">
        <v>1279</v>
      </c>
      <c r="BK231" t="s">
        <v>1280</v>
      </c>
      <c r="BL231" t="s">
        <v>115</v>
      </c>
      <c r="BO231" t="s">
        <v>1281</v>
      </c>
      <c r="BQ231">
        <v>164</v>
      </c>
      <c r="BR231" t="s">
        <v>1807</v>
      </c>
      <c r="BS231" t="s">
        <v>957</v>
      </c>
      <c r="BT231">
        <v>6</v>
      </c>
      <c r="BU231" t="s">
        <v>119</v>
      </c>
      <c r="BV231" t="s">
        <v>163</v>
      </c>
      <c r="BW231">
        <v>1450</v>
      </c>
      <c r="BX231">
        <v>1600</v>
      </c>
      <c r="BY231">
        <v>1744</v>
      </c>
      <c r="BZ231">
        <v>0.09</v>
      </c>
      <c r="CA231">
        <v>150</v>
      </c>
      <c r="CB231">
        <v>0</v>
      </c>
      <c r="CC231">
        <v>250</v>
      </c>
      <c r="CD231">
        <v>1450</v>
      </c>
      <c r="CE231" t="s">
        <v>121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 t="s">
        <v>201</v>
      </c>
      <c r="CO231">
        <v>425</v>
      </c>
      <c r="CP231">
        <v>5100</v>
      </c>
      <c r="CQ231">
        <v>36.17</v>
      </c>
      <c r="CR231" t="s">
        <v>168</v>
      </c>
      <c r="CS231">
        <v>98</v>
      </c>
    </row>
    <row r="232" spans="1:97" x14ac:dyDescent="0.2">
      <c r="A232" t="s">
        <v>1883</v>
      </c>
      <c r="B232">
        <v>240</v>
      </c>
      <c r="C232" t="s">
        <v>1884</v>
      </c>
      <c r="D232" t="s">
        <v>1885</v>
      </c>
      <c r="E232" t="s">
        <v>1570</v>
      </c>
      <c r="F232" t="s">
        <v>101</v>
      </c>
      <c r="H232">
        <v>2</v>
      </c>
      <c r="I232">
        <v>3</v>
      </c>
      <c r="J232">
        <v>1</v>
      </c>
      <c r="K232" t="s">
        <v>102</v>
      </c>
      <c r="T232">
        <v>2500</v>
      </c>
      <c r="U232">
        <v>25.69</v>
      </c>
      <c r="V232">
        <v>0</v>
      </c>
      <c r="AM232" t="s">
        <v>107</v>
      </c>
      <c r="BC232">
        <v>17</v>
      </c>
      <c r="BD232" t="s">
        <v>108</v>
      </c>
      <c r="BE232" t="s">
        <v>109</v>
      </c>
      <c r="BG232" t="s">
        <v>110</v>
      </c>
      <c r="BH232" t="s">
        <v>111</v>
      </c>
      <c r="BI232" t="s">
        <v>112</v>
      </c>
      <c r="BJ232" t="s">
        <v>113</v>
      </c>
      <c r="BK232" t="s">
        <v>114</v>
      </c>
      <c r="BL232" t="s">
        <v>115</v>
      </c>
      <c r="BM232" t="s">
        <v>116</v>
      </c>
      <c r="BO232" t="s">
        <v>117</v>
      </c>
      <c r="BQ232">
        <v>425</v>
      </c>
      <c r="BR232" t="s">
        <v>118</v>
      </c>
      <c r="BU232" t="s">
        <v>119</v>
      </c>
      <c r="BV232" t="s">
        <v>120</v>
      </c>
      <c r="BW232">
        <v>0</v>
      </c>
      <c r="BX232">
        <v>0</v>
      </c>
      <c r="BY232">
        <v>0</v>
      </c>
      <c r="BZ232">
        <v>0.09</v>
      </c>
      <c r="CA232">
        <v>25.69</v>
      </c>
      <c r="CB232">
        <v>0</v>
      </c>
      <c r="CC232">
        <v>0</v>
      </c>
      <c r="CD232">
        <v>2500</v>
      </c>
      <c r="CE232" t="s">
        <v>121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O232">
        <v>0</v>
      </c>
      <c r="CP232">
        <v>0</v>
      </c>
      <c r="CR232" t="s">
        <v>122</v>
      </c>
      <c r="CS232">
        <v>0</v>
      </c>
    </row>
    <row r="233" spans="1:97" x14ac:dyDescent="0.2">
      <c r="A233" t="s">
        <v>1886</v>
      </c>
      <c r="B233">
        <v>241</v>
      </c>
      <c r="C233" t="s">
        <v>1887</v>
      </c>
      <c r="D233" t="s">
        <v>1888</v>
      </c>
      <c r="E233" t="s">
        <v>1889</v>
      </c>
      <c r="F233" t="s">
        <v>101</v>
      </c>
      <c r="H233">
        <v>6</v>
      </c>
      <c r="I233">
        <v>5</v>
      </c>
      <c r="J233">
        <v>1</v>
      </c>
      <c r="K233" t="s">
        <v>127</v>
      </c>
      <c r="P233" t="s">
        <v>1890</v>
      </c>
      <c r="T233">
        <v>3800</v>
      </c>
      <c r="U233">
        <v>1600</v>
      </c>
      <c r="V233">
        <v>0</v>
      </c>
      <c r="AM233" t="s">
        <v>107</v>
      </c>
      <c r="BC233">
        <v>17</v>
      </c>
      <c r="BD233" t="s">
        <v>108</v>
      </c>
      <c r="BE233" t="s">
        <v>109</v>
      </c>
      <c r="BG233" t="s">
        <v>110</v>
      </c>
      <c r="BH233" t="s">
        <v>111</v>
      </c>
      <c r="BI233" t="s">
        <v>112</v>
      </c>
      <c r="BJ233" t="s">
        <v>113</v>
      </c>
      <c r="BK233" t="s">
        <v>114</v>
      </c>
      <c r="BL233" t="s">
        <v>115</v>
      </c>
      <c r="BM233" t="s">
        <v>116</v>
      </c>
      <c r="BO233" t="s">
        <v>117</v>
      </c>
      <c r="BQ233">
        <v>165</v>
      </c>
      <c r="BR233" t="s">
        <v>481</v>
      </c>
      <c r="BU233" t="s">
        <v>216</v>
      </c>
      <c r="BV233" t="s">
        <v>120</v>
      </c>
      <c r="BW233">
        <v>0</v>
      </c>
      <c r="BX233">
        <v>0</v>
      </c>
      <c r="BY233">
        <v>0</v>
      </c>
      <c r="BZ233">
        <v>0.09</v>
      </c>
      <c r="CA233">
        <v>1600</v>
      </c>
      <c r="CB233">
        <v>72.569999999999993</v>
      </c>
      <c r="CC233">
        <v>0</v>
      </c>
      <c r="CD233">
        <v>3800</v>
      </c>
      <c r="CE233" t="s">
        <v>181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O233">
        <v>0</v>
      </c>
      <c r="CP233">
        <v>0</v>
      </c>
      <c r="CR233" t="s">
        <v>122</v>
      </c>
      <c r="CS233">
        <v>0</v>
      </c>
    </row>
    <row r="234" spans="1:97" x14ac:dyDescent="0.2">
      <c r="A234" t="s">
        <v>1891</v>
      </c>
      <c r="B234">
        <v>242</v>
      </c>
      <c r="C234" t="s">
        <v>1892</v>
      </c>
      <c r="D234" t="s">
        <v>1893</v>
      </c>
      <c r="E234" t="s">
        <v>1889</v>
      </c>
      <c r="F234" t="s">
        <v>101</v>
      </c>
      <c r="H234">
        <v>4</v>
      </c>
      <c r="I234">
        <v>4</v>
      </c>
      <c r="J234">
        <v>1</v>
      </c>
      <c r="K234" t="s">
        <v>127</v>
      </c>
      <c r="P234" t="s">
        <v>1894</v>
      </c>
      <c r="T234">
        <v>2498.4</v>
      </c>
      <c r="U234">
        <v>477.68</v>
      </c>
      <c r="V234">
        <v>0</v>
      </c>
      <c r="AM234" t="s">
        <v>107</v>
      </c>
      <c r="BC234">
        <v>17</v>
      </c>
      <c r="BD234" t="s">
        <v>108</v>
      </c>
      <c r="BE234" t="s">
        <v>109</v>
      </c>
      <c r="BG234" t="s">
        <v>110</v>
      </c>
      <c r="BH234" t="s">
        <v>111</v>
      </c>
      <c r="BI234" t="s">
        <v>112</v>
      </c>
      <c r="BJ234" t="s">
        <v>113</v>
      </c>
      <c r="BK234" t="s">
        <v>114</v>
      </c>
      <c r="BL234" t="s">
        <v>115</v>
      </c>
      <c r="BM234" t="s">
        <v>116</v>
      </c>
      <c r="BO234" t="s">
        <v>117</v>
      </c>
      <c r="BQ234">
        <v>166</v>
      </c>
      <c r="BR234" t="s">
        <v>481</v>
      </c>
      <c r="BU234" t="s">
        <v>216</v>
      </c>
      <c r="BV234" t="s">
        <v>120</v>
      </c>
      <c r="BW234">
        <v>0</v>
      </c>
      <c r="BX234">
        <v>0</v>
      </c>
      <c r="BY234">
        <v>0</v>
      </c>
      <c r="BZ234">
        <v>0.09</v>
      </c>
      <c r="CA234">
        <v>477.68</v>
      </c>
      <c r="CB234">
        <v>43.39</v>
      </c>
      <c r="CC234">
        <v>0</v>
      </c>
      <c r="CD234">
        <v>2498.4</v>
      </c>
      <c r="CE234" t="s">
        <v>181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O234">
        <v>0</v>
      </c>
      <c r="CP234">
        <v>0</v>
      </c>
      <c r="CR234" t="s">
        <v>122</v>
      </c>
      <c r="CS234">
        <v>0</v>
      </c>
    </row>
    <row r="235" spans="1:97" x14ac:dyDescent="0.2">
      <c r="A235" t="s">
        <v>1895</v>
      </c>
      <c r="B235">
        <v>243</v>
      </c>
      <c r="C235" t="s">
        <v>1896</v>
      </c>
      <c r="D235" t="s">
        <v>1897</v>
      </c>
      <c r="E235" t="s">
        <v>1898</v>
      </c>
      <c r="F235" t="s">
        <v>126</v>
      </c>
      <c r="H235">
        <v>2</v>
      </c>
      <c r="I235">
        <v>7</v>
      </c>
      <c r="J235">
        <v>1</v>
      </c>
      <c r="K235" t="s">
        <v>102</v>
      </c>
      <c r="L235" t="s">
        <v>1899</v>
      </c>
      <c r="M235" t="s">
        <v>313</v>
      </c>
      <c r="T235">
        <v>2300</v>
      </c>
      <c r="U235">
        <v>112.25</v>
      </c>
      <c r="V235">
        <v>0</v>
      </c>
      <c r="AM235" t="s">
        <v>107</v>
      </c>
      <c r="BC235">
        <v>17</v>
      </c>
      <c r="BD235" t="s">
        <v>108</v>
      </c>
      <c r="BE235" t="s">
        <v>109</v>
      </c>
      <c r="BG235" t="s">
        <v>110</v>
      </c>
      <c r="BH235" t="s">
        <v>111</v>
      </c>
      <c r="BI235" t="s">
        <v>112</v>
      </c>
      <c r="BJ235" t="s">
        <v>113</v>
      </c>
      <c r="BK235" t="s">
        <v>114</v>
      </c>
      <c r="BL235" t="s">
        <v>115</v>
      </c>
      <c r="BM235" t="s">
        <v>116</v>
      </c>
      <c r="BO235" t="s">
        <v>117</v>
      </c>
      <c r="BQ235">
        <v>340</v>
      </c>
      <c r="BR235" t="s">
        <v>118</v>
      </c>
      <c r="BU235" t="s">
        <v>119</v>
      </c>
      <c r="BV235" t="s">
        <v>120</v>
      </c>
      <c r="BW235">
        <v>0</v>
      </c>
      <c r="BX235">
        <v>0</v>
      </c>
      <c r="BY235">
        <v>0</v>
      </c>
      <c r="BZ235">
        <v>0.09</v>
      </c>
      <c r="CA235">
        <v>112.25</v>
      </c>
      <c r="CB235">
        <v>0</v>
      </c>
      <c r="CC235">
        <v>375</v>
      </c>
      <c r="CD235">
        <v>2300</v>
      </c>
      <c r="CE235" t="s">
        <v>121</v>
      </c>
      <c r="CF235">
        <v>1</v>
      </c>
      <c r="CG235">
        <v>1</v>
      </c>
      <c r="CH235">
        <v>1</v>
      </c>
      <c r="CI235">
        <v>0</v>
      </c>
      <c r="CJ235">
        <v>1</v>
      </c>
      <c r="CK235">
        <v>0</v>
      </c>
      <c r="CL235">
        <v>1</v>
      </c>
      <c r="CM235">
        <v>0</v>
      </c>
      <c r="CN235" t="s">
        <v>182</v>
      </c>
      <c r="CO235">
        <v>0</v>
      </c>
      <c r="CP235">
        <v>0</v>
      </c>
      <c r="CR235" t="s">
        <v>122</v>
      </c>
      <c r="CS235">
        <v>0</v>
      </c>
    </row>
    <row r="236" spans="1:97" x14ac:dyDescent="0.2">
      <c r="A236" t="s">
        <v>1900</v>
      </c>
      <c r="B236">
        <v>244</v>
      </c>
      <c r="C236" t="s">
        <v>1901</v>
      </c>
      <c r="D236" t="s">
        <v>1902</v>
      </c>
      <c r="E236" t="s">
        <v>1526</v>
      </c>
      <c r="F236" t="s">
        <v>126</v>
      </c>
      <c r="I236">
        <v>4</v>
      </c>
      <c r="J236">
        <v>1</v>
      </c>
      <c r="K236" t="s">
        <v>102</v>
      </c>
      <c r="P236" t="s">
        <v>1903</v>
      </c>
      <c r="T236">
        <v>0</v>
      </c>
      <c r="U236">
        <v>39.31</v>
      </c>
      <c r="V236">
        <v>0</v>
      </c>
      <c r="AM236" t="s">
        <v>107</v>
      </c>
      <c r="BV236" t="s">
        <v>142</v>
      </c>
      <c r="CD236">
        <v>0</v>
      </c>
      <c r="CO236">
        <v>0</v>
      </c>
      <c r="CP236">
        <v>0</v>
      </c>
      <c r="CR236" t="s">
        <v>143</v>
      </c>
      <c r="CS236">
        <v>0</v>
      </c>
    </row>
    <row r="237" spans="1:97" x14ac:dyDescent="0.2">
      <c r="A237" t="s">
        <v>1904</v>
      </c>
      <c r="B237">
        <v>245</v>
      </c>
      <c r="C237" t="s">
        <v>1905</v>
      </c>
      <c r="D237" t="s">
        <v>1906</v>
      </c>
      <c r="E237" t="s">
        <v>272</v>
      </c>
      <c r="F237" t="s">
        <v>126</v>
      </c>
      <c r="H237">
        <v>2</v>
      </c>
      <c r="I237">
        <v>3</v>
      </c>
      <c r="J237">
        <v>1</v>
      </c>
      <c r="K237" t="s">
        <v>102</v>
      </c>
      <c r="P237" t="s">
        <v>1907</v>
      </c>
      <c r="Q237" t="s">
        <v>1908</v>
      </c>
      <c r="R237" t="s">
        <v>1909</v>
      </c>
      <c r="S237" t="s">
        <v>1910</v>
      </c>
      <c r="T237">
        <v>4164</v>
      </c>
      <c r="U237">
        <v>70.040000000000006</v>
      </c>
      <c r="V237">
        <v>0</v>
      </c>
      <c r="W237">
        <v>295</v>
      </c>
      <c r="X237" t="s">
        <v>938</v>
      </c>
      <c r="Y237" t="s">
        <v>109</v>
      </c>
      <c r="AA237" t="s">
        <v>939</v>
      </c>
      <c r="AB237" t="s">
        <v>940</v>
      </c>
      <c r="AC237" t="s">
        <v>941</v>
      </c>
      <c r="AE237" t="s">
        <v>942</v>
      </c>
      <c r="AF237" t="s">
        <v>115</v>
      </c>
      <c r="AJ237">
        <v>632</v>
      </c>
      <c r="AM237" t="s">
        <v>120</v>
      </c>
      <c r="AO237">
        <v>1</v>
      </c>
      <c r="AT237">
        <v>1100</v>
      </c>
      <c r="AU237">
        <v>1100</v>
      </c>
      <c r="AV237">
        <v>1199</v>
      </c>
      <c r="AW237">
        <v>0.09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17</v>
      </c>
      <c r="BD237" t="s">
        <v>108</v>
      </c>
      <c r="BE237" t="s">
        <v>109</v>
      </c>
      <c r="BG237" t="s">
        <v>110</v>
      </c>
      <c r="BH237" t="s">
        <v>111</v>
      </c>
      <c r="BI237" t="s">
        <v>112</v>
      </c>
      <c r="BJ237" t="s">
        <v>113</v>
      </c>
      <c r="BK237" t="s">
        <v>114</v>
      </c>
      <c r="BL237" t="s">
        <v>115</v>
      </c>
      <c r="BM237" t="s">
        <v>116</v>
      </c>
      <c r="BO237" t="s">
        <v>117</v>
      </c>
      <c r="BQ237">
        <v>341</v>
      </c>
      <c r="BR237" t="s">
        <v>118</v>
      </c>
      <c r="BU237" t="s">
        <v>119</v>
      </c>
      <c r="BV237" t="s">
        <v>120</v>
      </c>
      <c r="BW237">
        <v>1600</v>
      </c>
      <c r="BX237">
        <v>1800</v>
      </c>
      <c r="BY237">
        <v>1962</v>
      </c>
      <c r="BZ237">
        <v>0.09</v>
      </c>
      <c r="CA237">
        <v>200</v>
      </c>
      <c r="CB237">
        <v>25.1</v>
      </c>
      <c r="CC237">
        <v>0</v>
      </c>
      <c r="CD237">
        <v>4164</v>
      </c>
      <c r="CE237" t="s">
        <v>121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O237">
        <v>700</v>
      </c>
      <c r="CP237">
        <v>8400</v>
      </c>
      <c r="CQ237">
        <v>63.64</v>
      </c>
      <c r="CR237" t="s">
        <v>122</v>
      </c>
      <c r="CS237">
        <v>0</v>
      </c>
    </row>
    <row r="238" spans="1:97" x14ac:dyDescent="0.2">
      <c r="A238" t="s">
        <v>1911</v>
      </c>
      <c r="B238">
        <v>246</v>
      </c>
      <c r="C238" t="s">
        <v>1912</v>
      </c>
      <c r="D238" t="s">
        <v>1187</v>
      </c>
      <c r="E238" t="s">
        <v>1188</v>
      </c>
      <c r="F238" t="s">
        <v>101</v>
      </c>
      <c r="H238">
        <v>3</v>
      </c>
      <c r="I238">
        <v>4</v>
      </c>
      <c r="J238">
        <v>1</v>
      </c>
      <c r="K238" t="s">
        <v>102</v>
      </c>
      <c r="L238" t="s">
        <v>1913</v>
      </c>
      <c r="M238" t="s">
        <v>137</v>
      </c>
      <c r="P238" t="s">
        <v>1914</v>
      </c>
      <c r="Q238" t="s">
        <v>1915</v>
      </c>
      <c r="R238" t="s">
        <v>1916</v>
      </c>
      <c r="S238" t="s">
        <v>1917</v>
      </c>
      <c r="T238">
        <v>2053.7399999999998</v>
      </c>
      <c r="U238">
        <v>0</v>
      </c>
      <c r="V238">
        <v>0</v>
      </c>
      <c r="W238">
        <v>53</v>
      </c>
      <c r="X238" t="s">
        <v>1918</v>
      </c>
      <c r="Y238" t="s">
        <v>109</v>
      </c>
      <c r="AA238" t="s">
        <v>1919</v>
      </c>
      <c r="AC238" t="s">
        <v>1920</v>
      </c>
      <c r="AE238" t="s">
        <v>1921</v>
      </c>
      <c r="AF238" t="s">
        <v>115</v>
      </c>
      <c r="AG238" t="s">
        <v>1922</v>
      </c>
      <c r="AI238" t="s">
        <v>1923</v>
      </c>
      <c r="AJ238">
        <v>725</v>
      </c>
      <c r="AK238" t="s">
        <v>1924</v>
      </c>
      <c r="AM238" t="s">
        <v>120</v>
      </c>
      <c r="AO238">
        <v>1</v>
      </c>
      <c r="AT238">
        <v>1456.56</v>
      </c>
      <c r="AU238">
        <v>1456.56</v>
      </c>
      <c r="AV238">
        <v>1587.65</v>
      </c>
      <c r="AW238">
        <v>0.09</v>
      </c>
      <c r="AX238">
        <v>0</v>
      </c>
      <c r="AY238">
        <v>0</v>
      </c>
      <c r="AZ238">
        <v>0</v>
      </c>
      <c r="BA238">
        <v>0</v>
      </c>
      <c r="BB238">
        <v>0</v>
      </c>
      <c r="BV238" t="s">
        <v>142</v>
      </c>
      <c r="CD238">
        <v>2053.7399999999998</v>
      </c>
      <c r="CO238">
        <v>-1456.56</v>
      </c>
      <c r="CP238">
        <v>-17478.72</v>
      </c>
      <c r="CQ238">
        <v>-100</v>
      </c>
      <c r="CR238" t="s">
        <v>143</v>
      </c>
      <c r="CS238">
        <v>0</v>
      </c>
    </row>
    <row r="239" spans="1:97" x14ac:dyDescent="0.2">
      <c r="A239" t="s">
        <v>1925</v>
      </c>
      <c r="B239">
        <v>247</v>
      </c>
      <c r="C239" t="s">
        <v>1926</v>
      </c>
      <c r="D239" t="s">
        <v>1927</v>
      </c>
      <c r="E239" t="s">
        <v>1797</v>
      </c>
      <c r="F239" t="s">
        <v>126</v>
      </c>
      <c r="H239">
        <v>4</v>
      </c>
      <c r="I239">
        <v>5</v>
      </c>
      <c r="J239">
        <v>1</v>
      </c>
      <c r="K239" t="s">
        <v>102</v>
      </c>
      <c r="M239" t="s">
        <v>137</v>
      </c>
      <c r="T239">
        <v>2663.43</v>
      </c>
      <c r="U239">
        <v>463.53</v>
      </c>
      <c r="V239">
        <v>0</v>
      </c>
      <c r="W239">
        <v>656</v>
      </c>
      <c r="X239" t="s">
        <v>1928</v>
      </c>
      <c r="Y239" t="s">
        <v>109</v>
      </c>
      <c r="AF239" t="s">
        <v>115</v>
      </c>
      <c r="AI239" t="s">
        <v>1929</v>
      </c>
      <c r="AJ239">
        <v>868</v>
      </c>
      <c r="AM239" t="s">
        <v>120</v>
      </c>
      <c r="AO239">
        <v>1</v>
      </c>
      <c r="AT239">
        <v>0</v>
      </c>
      <c r="AU239">
        <v>2561.5</v>
      </c>
      <c r="AV239">
        <v>2792.04</v>
      </c>
      <c r="AW239">
        <v>0.09</v>
      </c>
      <c r="BA239">
        <v>0</v>
      </c>
      <c r="BB239">
        <v>0</v>
      </c>
      <c r="BC239">
        <v>17</v>
      </c>
      <c r="BD239" t="s">
        <v>108</v>
      </c>
      <c r="BE239" t="s">
        <v>109</v>
      </c>
      <c r="BG239" t="s">
        <v>110</v>
      </c>
      <c r="BH239" t="s">
        <v>111</v>
      </c>
      <c r="BI239" t="s">
        <v>112</v>
      </c>
      <c r="BJ239" t="s">
        <v>113</v>
      </c>
      <c r="BK239" t="s">
        <v>114</v>
      </c>
      <c r="BL239" t="s">
        <v>115</v>
      </c>
      <c r="BM239" t="s">
        <v>116</v>
      </c>
      <c r="BO239" t="s">
        <v>117</v>
      </c>
      <c r="BQ239">
        <v>180</v>
      </c>
      <c r="BR239" t="s">
        <v>481</v>
      </c>
      <c r="BU239" t="s">
        <v>216</v>
      </c>
      <c r="BV239" t="s">
        <v>120</v>
      </c>
      <c r="BW239">
        <v>0</v>
      </c>
      <c r="BX239">
        <v>0</v>
      </c>
      <c r="BY239">
        <v>0</v>
      </c>
      <c r="BZ239">
        <v>0.09</v>
      </c>
      <c r="CA239">
        <v>463.53</v>
      </c>
      <c r="CB239">
        <v>0</v>
      </c>
      <c r="CC239">
        <v>0</v>
      </c>
      <c r="CD239">
        <v>2663.43</v>
      </c>
      <c r="CE239" t="s">
        <v>181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O239">
        <v>-2561.5</v>
      </c>
      <c r="CP239">
        <v>-30738</v>
      </c>
      <c r="CQ239">
        <v>-100</v>
      </c>
      <c r="CR239" t="s">
        <v>122</v>
      </c>
      <c r="CS239">
        <v>0</v>
      </c>
    </row>
    <row r="240" spans="1:97" x14ac:dyDescent="0.2">
      <c r="A240" t="s">
        <v>1930</v>
      </c>
      <c r="B240">
        <v>248</v>
      </c>
      <c r="C240" t="s">
        <v>1931</v>
      </c>
      <c r="D240" t="s">
        <v>1932</v>
      </c>
      <c r="E240" t="s">
        <v>1526</v>
      </c>
      <c r="F240" t="s">
        <v>101</v>
      </c>
      <c r="I240">
        <v>5</v>
      </c>
      <c r="J240">
        <v>1</v>
      </c>
      <c r="K240" t="s">
        <v>102</v>
      </c>
      <c r="T240">
        <v>0</v>
      </c>
      <c r="U240">
        <v>381.26</v>
      </c>
      <c r="V240">
        <v>0</v>
      </c>
      <c r="AM240" t="s">
        <v>107</v>
      </c>
      <c r="BC240">
        <v>17</v>
      </c>
      <c r="BD240" t="s">
        <v>108</v>
      </c>
      <c r="BE240" t="s">
        <v>109</v>
      </c>
      <c r="BG240" t="s">
        <v>110</v>
      </c>
      <c r="BH240" t="s">
        <v>111</v>
      </c>
      <c r="BI240" t="s">
        <v>112</v>
      </c>
      <c r="BJ240" t="s">
        <v>113</v>
      </c>
      <c r="BK240" t="s">
        <v>114</v>
      </c>
      <c r="BL240" t="s">
        <v>115</v>
      </c>
      <c r="BM240" t="s">
        <v>116</v>
      </c>
      <c r="BO240" t="s">
        <v>117</v>
      </c>
      <c r="BQ240">
        <v>342</v>
      </c>
      <c r="BR240" t="s">
        <v>118</v>
      </c>
      <c r="BU240" t="s">
        <v>119</v>
      </c>
      <c r="BV240" t="s">
        <v>120</v>
      </c>
      <c r="BW240">
        <v>0</v>
      </c>
      <c r="BX240">
        <v>895</v>
      </c>
      <c r="BY240">
        <v>975.55</v>
      </c>
      <c r="BZ240">
        <v>0.09</v>
      </c>
      <c r="CA240">
        <v>381.26</v>
      </c>
      <c r="CB240">
        <v>135.1</v>
      </c>
      <c r="CC240">
        <v>250</v>
      </c>
      <c r="CD240">
        <v>0</v>
      </c>
      <c r="CE240" t="s">
        <v>121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 t="s">
        <v>201</v>
      </c>
      <c r="CO240">
        <v>895</v>
      </c>
      <c r="CP240">
        <v>10740</v>
      </c>
      <c r="CR240" t="s">
        <v>122</v>
      </c>
      <c r="CS240">
        <v>0</v>
      </c>
    </row>
    <row r="241" spans="1:97" x14ac:dyDescent="0.2">
      <c r="A241" t="s">
        <v>1933</v>
      </c>
      <c r="B241">
        <v>249</v>
      </c>
      <c r="C241" t="s">
        <v>1934</v>
      </c>
      <c r="D241" t="s">
        <v>1935</v>
      </c>
      <c r="E241" t="s">
        <v>1526</v>
      </c>
      <c r="F241" t="s">
        <v>101</v>
      </c>
      <c r="H241">
        <v>4</v>
      </c>
      <c r="I241">
        <v>4</v>
      </c>
      <c r="J241">
        <v>1</v>
      </c>
      <c r="K241" t="s">
        <v>102</v>
      </c>
      <c r="P241" t="s">
        <v>1936</v>
      </c>
      <c r="T241">
        <v>2663.43</v>
      </c>
      <c r="U241">
        <v>167.62</v>
      </c>
      <c r="V241">
        <v>0</v>
      </c>
      <c r="AM241" t="s">
        <v>107</v>
      </c>
      <c r="BC241">
        <v>17</v>
      </c>
      <c r="BD241" t="s">
        <v>108</v>
      </c>
      <c r="BE241" t="s">
        <v>109</v>
      </c>
      <c r="BG241" t="s">
        <v>110</v>
      </c>
      <c r="BH241" t="s">
        <v>111</v>
      </c>
      <c r="BI241" t="s">
        <v>112</v>
      </c>
      <c r="BJ241" t="s">
        <v>113</v>
      </c>
      <c r="BK241" t="s">
        <v>114</v>
      </c>
      <c r="BL241" t="s">
        <v>115</v>
      </c>
      <c r="BM241" t="s">
        <v>116</v>
      </c>
      <c r="BO241" t="s">
        <v>117</v>
      </c>
      <c r="BQ241">
        <v>343</v>
      </c>
      <c r="BR241" t="s">
        <v>118</v>
      </c>
      <c r="BU241" t="s">
        <v>119</v>
      </c>
      <c r="BV241" t="s">
        <v>120</v>
      </c>
      <c r="BW241">
        <v>0</v>
      </c>
      <c r="BX241">
        <v>1397</v>
      </c>
      <c r="BY241">
        <v>1522.73</v>
      </c>
      <c r="BZ241">
        <v>0.09</v>
      </c>
      <c r="CA241">
        <v>167.62</v>
      </c>
      <c r="CB241">
        <v>25.1</v>
      </c>
      <c r="CC241">
        <v>0</v>
      </c>
      <c r="CD241">
        <v>2663.43</v>
      </c>
      <c r="CE241" t="s">
        <v>121</v>
      </c>
      <c r="CF241">
        <v>1</v>
      </c>
      <c r="CG241">
        <v>1</v>
      </c>
      <c r="CH241">
        <v>1</v>
      </c>
      <c r="CI241">
        <v>0</v>
      </c>
      <c r="CJ241">
        <v>0</v>
      </c>
      <c r="CK241">
        <v>0</v>
      </c>
      <c r="CL241">
        <v>0</v>
      </c>
      <c r="CM241">
        <v>0</v>
      </c>
      <c r="CO241">
        <v>1397</v>
      </c>
      <c r="CP241">
        <v>16764</v>
      </c>
      <c r="CR241" t="s">
        <v>122</v>
      </c>
      <c r="CS241">
        <v>0</v>
      </c>
    </row>
    <row r="242" spans="1:97" x14ac:dyDescent="0.2">
      <c r="A242" t="s">
        <v>1937</v>
      </c>
      <c r="B242">
        <v>250</v>
      </c>
      <c r="C242" t="s">
        <v>1938</v>
      </c>
      <c r="D242" t="s">
        <v>1939</v>
      </c>
      <c r="E242" t="s">
        <v>272</v>
      </c>
      <c r="F242" t="s">
        <v>126</v>
      </c>
      <c r="H242">
        <v>3</v>
      </c>
      <c r="I242">
        <v>3</v>
      </c>
      <c r="J242">
        <v>1</v>
      </c>
      <c r="K242" t="s">
        <v>102</v>
      </c>
      <c r="P242" t="s">
        <v>1940</v>
      </c>
      <c r="T242">
        <v>3383.25</v>
      </c>
      <c r="U242">
        <v>450</v>
      </c>
      <c r="V242">
        <v>0</v>
      </c>
      <c r="AM242" t="s">
        <v>107</v>
      </c>
      <c r="BC242">
        <v>17</v>
      </c>
      <c r="BD242" t="s">
        <v>108</v>
      </c>
      <c r="BE242" t="s">
        <v>109</v>
      </c>
      <c r="BG242" t="s">
        <v>110</v>
      </c>
      <c r="BH242" t="s">
        <v>111</v>
      </c>
      <c r="BI242" t="s">
        <v>112</v>
      </c>
      <c r="BJ242" t="s">
        <v>113</v>
      </c>
      <c r="BK242" t="s">
        <v>114</v>
      </c>
      <c r="BL242" t="s">
        <v>115</v>
      </c>
      <c r="BM242" t="s">
        <v>116</v>
      </c>
      <c r="BO242" t="s">
        <v>117</v>
      </c>
      <c r="BQ242">
        <v>187</v>
      </c>
      <c r="BR242" t="s">
        <v>481</v>
      </c>
      <c r="BU242" t="s">
        <v>216</v>
      </c>
      <c r="BV242" t="s">
        <v>120</v>
      </c>
      <c r="BW242">
        <v>0</v>
      </c>
      <c r="BX242">
        <v>0</v>
      </c>
      <c r="BY242">
        <v>0</v>
      </c>
      <c r="BZ242">
        <v>0.09</v>
      </c>
      <c r="CA242">
        <v>450</v>
      </c>
      <c r="CB242">
        <v>25.1</v>
      </c>
      <c r="CC242">
        <v>0</v>
      </c>
      <c r="CD242">
        <v>3383.25</v>
      </c>
      <c r="CE242" t="s">
        <v>181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O242">
        <v>0</v>
      </c>
      <c r="CP242">
        <v>0</v>
      </c>
      <c r="CR242" t="s">
        <v>122</v>
      </c>
      <c r="CS242">
        <v>0</v>
      </c>
    </row>
    <row r="243" spans="1:97" x14ac:dyDescent="0.2">
      <c r="A243" t="s">
        <v>1941</v>
      </c>
      <c r="B243">
        <v>251</v>
      </c>
      <c r="C243" t="s">
        <v>1942</v>
      </c>
      <c r="D243" t="s">
        <v>1943</v>
      </c>
      <c r="E243" t="s">
        <v>272</v>
      </c>
      <c r="F243" t="s">
        <v>126</v>
      </c>
      <c r="H243">
        <v>2</v>
      </c>
      <c r="I243">
        <v>4</v>
      </c>
      <c r="J243">
        <v>1</v>
      </c>
      <c r="K243" t="s">
        <v>102</v>
      </c>
      <c r="T243">
        <v>2516.83</v>
      </c>
      <c r="U243">
        <v>266.32</v>
      </c>
      <c r="V243">
        <v>0</v>
      </c>
      <c r="AM243" t="s">
        <v>107</v>
      </c>
      <c r="BC243">
        <v>17</v>
      </c>
      <c r="BD243" t="s">
        <v>108</v>
      </c>
      <c r="BE243" t="s">
        <v>109</v>
      </c>
      <c r="BG243" t="s">
        <v>110</v>
      </c>
      <c r="BH243" t="s">
        <v>111</v>
      </c>
      <c r="BI243" t="s">
        <v>112</v>
      </c>
      <c r="BJ243" t="s">
        <v>113</v>
      </c>
      <c r="BK243" t="s">
        <v>114</v>
      </c>
      <c r="BL243" t="s">
        <v>115</v>
      </c>
      <c r="BM243" t="s">
        <v>116</v>
      </c>
      <c r="BO243" t="s">
        <v>117</v>
      </c>
      <c r="BQ243">
        <v>344</v>
      </c>
      <c r="BR243" t="s">
        <v>118</v>
      </c>
      <c r="BU243" t="s">
        <v>119</v>
      </c>
      <c r="BV243" t="s">
        <v>120</v>
      </c>
      <c r="BW243">
        <v>0</v>
      </c>
      <c r="BX243">
        <v>1200</v>
      </c>
      <c r="BY243">
        <v>1308</v>
      </c>
      <c r="BZ243">
        <v>0.09</v>
      </c>
      <c r="CA243">
        <v>266.32</v>
      </c>
      <c r="CB243">
        <v>25.1</v>
      </c>
      <c r="CC243">
        <v>0</v>
      </c>
      <c r="CD243">
        <v>2516.83</v>
      </c>
      <c r="CE243" t="s">
        <v>121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O243">
        <v>1200</v>
      </c>
      <c r="CP243">
        <v>14400</v>
      </c>
      <c r="CR243" t="s">
        <v>122</v>
      </c>
      <c r="CS243">
        <v>0</v>
      </c>
    </row>
    <row r="244" spans="1:97" x14ac:dyDescent="0.2">
      <c r="A244" t="s">
        <v>1944</v>
      </c>
      <c r="B244">
        <v>252</v>
      </c>
      <c r="C244" t="s">
        <v>1945</v>
      </c>
      <c r="D244" t="s">
        <v>1946</v>
      </c>
      <c r="E244" t="s">
        <v>272</v>
      </c>
      <c r="F244" t="s">
        <v>126</v>
      </c>
      <c r="H244">
        <v>2</v>
      </c>
      <c r="I244">
        <v>4</v>
      </c>
      <c r="J244">
        <v>1</v>
      </c>
      <c r="K244" t="s">
        <v>102</v>
      </c>
      <c r="P244" t="s">
        <v>1947</v>
      </c>
      <c r="Q244" t="s">
        <v>1948</v>
      </c>
      <c r="R244" t="s">
        <v>1949</v>
      </c>
      <c r="S244" t="s">
        <v>1950</v>
      </c>
      <c r="T244">
        <v>2316.23</v>
      </c>
      <c r="U244">
        <v>95.6</v>
      </c>
      <c r="V244">
        <v>0</v>
      </c>
      <c r="W244">
        <v>17</v>
      </c>
      <c r="X244" t="s">
        <v>108</v>
      </c>
      <c r="Y244" t="s">
        <v>109</v>
      </c>
      <c r="AA244" t="s">
        <v>110</v>
      </c>
      <c r="AB244" t="s">
        <v>111</v>
      </c>
      <c r="AC244" t="s">
        <v>112</v>
      </c>
      <c r="AD244" t="s">
        <v>113</v>
      </c>
      <c r="AE244" t="s">
        <v>114</v>
      </c>
      <c r="AF244" t="s">
        <v>115</v>
      </c>
      <c r="AG244" t="s">
        <v>116</v>
      </c>
      <c r="AI244" t="s">
        <v>117</v>
      </c>
      <c r="AJ244">
        <v>770</v>
      </c>
      <c r="AM244" t="s">
        <v>120</v>
      </c>
      <c r="AO244">
        <v>1</v>
      </c>
      <c r="AT244">
        <v>0</v>
      </c>
      <c r="AU244">
        <v>1673</v>
      </c>
      <c r="AV244">
        <v>1823.57</v>
      </c>
      <c r="AW244">
        <v>0.09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17</v>
      </c>
      <c r="BD244" t="s">
        <v>108</v>
      </c>
      <c r="BE244" t="s">
        <v>109</v>
      </c>
      <c r="BG244" t="s">
        <v>110</v>
      </c>
      <c r="BH244" t="s">
        <v>111</v>
      </c>
      <c r="BI244" t="s">
        <v>112</v>
      </c>
      <c r="BJ244" t="s">
        <v>113</v>
      </c>
      <c r="BK244" t="s">
        <v>114</v>
      </c>
      <c r="BL244" t="s">
        <v>115</v>
      </c>
      <c r="BM244" t="s">
        <v>116</v>
      </c>
      <c r="BO244" t="s">
        <v>117</v>
      </c>
      <c r="BQ244">
        <v>345</v>
      </c>
      <c r="BR244" t="s">
        <v>118</v>
      </c>
      <c r="BU244" t="s">
        <v>119</v>
      </c>
      <c r="BV244" t="s">
        <v>120</v>
      </c>
      <c r="BW244">
        <v>2400</v>
      </c>
      <c r="BX244">
        <v>2650</v>
      </c>
      <c r="BY244">
        <v>2888.5</v>
      </c>
      <c r="BZ244">
        <v>0.09</v>
      </c>
      <c r="CA244">
        <v>250</v>
      </c>
      <c r="CB244">
        <v>25.1</v>
      </c>
      <c r="CC244">
        <v>250</v>
      </c>
      <c r="CD244">
        <v>2316.23</v>
      </c>
      <c r="CE244" t="s">
        <v>121</v>
      </c>
      <c r="CF244">
        <v>1</v>
      </c>
      <c r="CG244">
        <v>1</v>
      </c>
      <c r="CH244">
        <v>1</v>
      </c>
      <c r="CI244">
        <v>0</v>
      </c>
      <c r="CJ244">
        <v>0</v>
      </c>
      <c r="CK244">
        <v>0</v>
      </c>
      <c r="CL244">
        <v>1</v>
      </c>
      <c r="CM244">
        <v>0</v>
      </c>
      <c r="CN244" t="s">
        <v>201</v>
      </c>
      <c r="CO244">
        <v>977</v>
      </c>
      <c r="CP244">
        <v>11724</v>
      </c>
      <c r="CQ244">
        <v>58.4</v>
      </c>
      <c r="CR244" t="s">
        <v>122</v>
      </c>
      <c r="CS244">
        <v>0</v>
      </c>
    </row>
    <row r="245" spans="1:97" x14ac:dyDescent="0.2">
      <c r="A245" t="s">
        <v>1944</v>
      </c>
      <c r="B245">
        <v>252</v>
      </c>
      <c r="C245" t="s">
        <v>1945</v>
      </c>
      <c r="D245" t="s">
        <v>1946</v>
      </c>
      <c r="E245" t="s">
        <v>272</v>
      </c>
      <c r="F245" t="s">
        <v>126</v>
      </c>
      <c r="H245">
        <v>2</v>
      </c>
      <c r="I245">
        <v>4</v>
      </c>
      <c r="J245">
        <v>1</v>
      </c>
      <c r="K245" t="s">
        <v>102</v>
      </c>
      <c r="P245" t="s">
        <v>1947</v>
      </c>
      <c r="Q245" t="s">
        <v>1948</v>
      </c>
      <c r="R245" t="s">
        <v>1949</v>
      </c>
      <c r="S245" t="s">
        <v>1950</v>
      </c>
      <c r="T245">
        <v>2316.23</v>
      </c>
      <c r="U245">
        <v>95.6</v>
      </c>
      <c r="V245">
        <v>0</v>
      </c>
      <c r="W245">
        <v>17</v>
      </c>
      <c r="X245" t="s">
        <v>108</v>
      </c>
      <c r="Y245" t="s">
        <v>109</v>
      </c>
      <c r="AA245" t="s">
        <v>110</v>
      </c>
      <c r="AB245" t="s">
        <v>111</v>
      </c>
      <c r="AC245" t="s">
        <v>112</v>
      </c>
      <c r="AD245" t="s">
        <v>113</v>
      </c>
      <c r="AE245" t="s">
        <v>114</v>
      </c>
      <c r="AF245" t="s">
        <v>115</v>
      </c>
      <c r="AG245" t="s">
        <v>116</v>
      </c>
      <c r="AI245" t="s">
        <v>117</v>
      </c>
      <c r="AJ245">
        <v>770</v>
      </c>
      <c r="AM245" t="s">
        <v>120</v>
      </c>
      <c r="AO245">
        <v>1</v>
      </c>
      <c r="AT245">
        <v>0</v>
      </c>
      <c r="AU245">
        <v>1673</v>
      </c>
      <c r="AV245">
        <v>1823.57</v>
      </c>
      <c r="AW245">
        <v>0.09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234</v>
      </c>
      <c r="BD245" t="s">
        <v>1717</v>
      </c>
      <c r="BE245" t="s">
        <v>109</v>
      </c>
      <c r="BG245" t="s">
        <v>1718</v>
      </c>
      <c r="BH245" t="s">
        <v>1719</v>
      </c>
      <c r="BI245" t="s">
        <v>1720</v>
      </c>
      <c r="BK245" t="s">
        <v>1721</v>
      </c>
      <c r="BL245" t="s">
        <v>115</v>
      </c>
      <c r="BM245" t="s">
        <v>1722</v>
      </c>
      <c r="BO245" t="s">
        <v>1723</v>
      </c>
      <c r="BQ245">
        <v>265</v>
      </c>
      <c r="BR245" t="s">
        <v>1951</v>
      </c>
      <c r="BS245" t="s">
        <v>1952</v>
      </c>
      <c r="BT245">
        <v>12</v>
      </c>
      <c r="BU245" t="s">
        <v>119</v>
      </c>
      <c r="BV245" t="s">
        <v>163</v>
      </c>
      <c r="BW245">
        <v>2400</v>
      </c>
      <c r="BX245">
        <v>2650</v>
      </c>
      <c r="BY245">
        <v>2888.5</v>
      </c>
      <c r="BZ245">
        <v>0.09</v>
      </c>
      <c r="CA245">
        <v>250</v>
      </c>
      <c r="CB245">
        <v>0</v>
      </c>
      <c r="CC245">
        <v>250</v>
      </c>
      <c r="CD245">
        <v>2316.23</v>
      </c>
      <c r="CE245" t="s">
        <v>121</v>
      </c>
      <c r="CF245">
        <v>1</v>
      </c>
      <c r="CG245">
        <v>1</v>
      </c>
      <c r="CH245">
        <v>1</v>
      </c>
      <c r="CI245">
        <v>0</v>
      </c>
      <c r="CJ245">
        <v>0</v>
      </c>
      <c r="CK245">
        <v>0</v>
      </c>
      <c r="CL245">
        <v>1</v>
      </c>
      <c r="CM245">
        <v>0</v>
      </c>
      <c r="CN245" t="s">
        <v>201</v>
      </c>
      <c r="CO245">
        <v>977</v>
      </c>
      <c r="CP245">
        <v>11724</v>
      </c>
      <c r="CQ245">
        <v>58.4</v>
      </c>
      <c r="CR245" t="s">
        <v>168</v>
      </c>
      <c r="CS245">
        <v>316</v>
      </c>
    </row>
    <row r="246" spans="1:97" x14ac:dyDescent="0.2">
      <c r="A246" t="s">
        <v>1953</v>
      </c>
      <c r="B246">
        <v>253</v>
      </c>
      <c r="C246" t="s">
        <v>1954</v>
      </c>
      <c r="D246" t="s">
        <v>1955</v>
      </c>
      <c r="E246" t="s">
        <v>1889</v>
      </c>
      <c r="F246" t="s">
        <v>126</v>
      </c>
      <c r="H246">
        <v>2</v>
      </c>
      <c r="I246">
        <v>4</v>
      </c>
      <c r="J246">
        <v>1</v>
      </c>
      <c r="K246" t="s">
        <v>127</v>
      </c>
      <c r="P246" t="s">
        <v>1956</v>
      </c>
      <c r="T246">
        <v>2150</v>
      </c>
      <c r="U246">
        <v>2877.7</v>
      </c>
      <c r="V246">
        <v>0</v>
      </c>
      <c r="AM246" t="s">
        <v>107</v>
      </c>
      <c r="BC246">
        <v>17</v>
      </c>
      <c r="BD246" t="s">
        <v>108</v>
      </c>
      <c r="BE246" t="s">
        <v>109</v>
      </c>
      <c r="BG246" t="s">
        <v>110</v>
      </c>
      <c r="BH246" t="s">
        <v>111</v>
      </c>
      <c r="BI246" t="s">
        <v>112</v>
      </c>
      <c r="BJ246" t="s">
        <v>113</v>
      </c>
      <c r="BK246" t="s">
        <v>114</v>
      </c>
      <c r="BL246" t="s">
        <v>115</v>
      </c>
      <c r="BM246" t="s">
        <v>116</v>
      </c>
      <c r="BO246" t="s">
        <v>117</v>
      </c>
      <c r="BQ246">
        <v>215</v>
      </c>
      <c r="BR246" t="s">
        <v>481</v>
      </c>
      <c r="BU246" t="s">
        <v>216</v>
      </c>
      <c r="BV246" t="s">
        <v>120</v>
      </c>
      <c r="BW246">
        <v>0</v>
      </c>
      <c r="BX246">
        <v>0</v>
      </c>
      <c r="BY246">
        <v>0</v>
      </c>
      <c r="BZ246">
        <v>0.09</v>
      </c>
      <c r="CA246">
        <v>2877.7</v>
      </c>
      <c r="CB246">
        <v>43.39</v>
      </c>
      <c r="CC246">
        <v>0</v>
      </c>
      <c r="CD246">
        <v>2150</v>
      </c>
      <c r="CE246" t="s">
        <v>181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O246">
        <v>0</v>
      </c>
      <c r="CP246">
        <v>0</v>
      </c>
      <c r="CR246" t="s">
        <v>122</v>
      </c>
      <c r="CS246">
        <v>0</v>
      </c>
    </row>
    <row r="247" spans="1:97" x14ac:dyDescent="0.2">
      <c r="A247" t="s">
        <v>1957</v>
      </c>
      <c r="B247">
        <v>254</v>
      </c>
      <c r="C247" t="s">
        <v>1958</v>
      </c>
      <c r="D247" t="s">
        <v>1959</v>
      </c>
      <c r="E247" t="s">
        <v>1472</v>
      </c>
      <c r="F247" t="s">
        <v>126</v>
      </c>
      <c r="G247">
        <v>76</v>
      </c>
      <c r="H247">
        <v>5</v>
      </c>
      <c r="I247">
        <v>3</v>
      </c>
      <c r="J247">
        <v>1</v>
      </c>
      <c r="K247" t="s">
        <v>102</v>
      </c>
      <c r="P247" t="s">
        <v>1960</v>
      </c>
      <c r="T247">
        <v>3123</v>
      </c>
      <c r="U247">
        <v>718.97</v>
      </c>
      <c r="V247">
        <v>0</v>
      </c>
      <c r="AM247" t="s">
        <v>107</v>
      </c>
      <c r="BC247">
        <v>17</v>
      </c>
      <c r="BD247" t="s">
        <v>108</v>
      </c>
      <c r="BE247" t="s">
        <v>109</v>
      </c>
      <c r="BG247" t="s">
        <v>110</v>
      </c>
      <c r="BH247" t="s">
        <v>111</v>
      </c>
      <c r="BI247" t="s">
        <v>112</v>
      </c>
      <c r="BJ247" t="s">
        <v>113</v>
      </c>
      <c r="BK247" t="s">
        <v>114</v>
      </c>
      <c r="BL247" t="s">
        <v>115</v>
      </c>
      <c r="BM247" t="s">
        <v>116</v>
      </c>
      <c r="BO247" t="s">
        <v>117</v>
      </c>
      <c r="BQ247">
        <v>346</v>
      </c>
      <c r="BR247" t="s">
        <v>118</v>
      </c>
      <c r="BU247" t="s">
        <v>119</v>
      </c>
      <c r="BV247" t="s">
        <v>120</v>
      </c>
      <c r="BW247">
        <v>0</v>
      </c>
      <c r="BX247">
        <v>895</v>
      </c>
      <c r="BY247">
        <v>975.55</v>
      </c>
      <c r="BZ247">
        <v>0.09</v>
      </c>
      <c r="CA247">
        <v>452.17</v>
      </c>
      <c r="CB247">
        <v>119.57</v>
      </c>
      <c r="CC247">
        <v>0</v>
      </c>
      <c r="CD247">
        <v>3123</v>
      </c>
      <c r="CE247" t="s">
        <v>121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O247">
        <v>895</v>
      </c>
      <c r="CP247">
        <v>10740</v>
      </c>
      <c r="CR247" t="s">
        <v>122</v>
      </c>
      <c r="CS247">
        <v>0</v>
      </c>
    </row>
    <row r="248" spans="1:97" x14ac:dyDescent="0.2">
      <c r="A248" t="s">
        <v>1961</v>
      </c>
      <c r="B248">
        <v>255</v>
      </c>
      <c r="C248" t="s">
        <v>1962</v>
      </c>
      <c r="D248" t="s">
        <v>1468</v>
      </c>
      <c r="E248" t="s">
        <v>1472</v>
      </c>
      <c r="F248" t="s">
        <v>101</v>
      </c>
      <c r="H248">
        <v>3</v>
      </c>
      <c r="I248">
        <v>3</v>
      </c>
      <c r="J248">
        <v>1</v>
      </c>
      <c r="K248" t="s">
        <v>102</v>
      </c>
      <c r="P248" t="s">
        <v>1963</v>
      </c>
      <c r="T248">
        <v>1830.43</v>
      </c>
      <c r="U248">
        <v>27.52</v>
      </c>
      <c r="V248">
        <v>0</v>
      </c>
      <c r="W248">
        <v>993</v>
      </c>
      <c r="X248" t="s">
        <v>1964</v>
      </c>
      <c r="Y248" t="s">
        <v>326</v>
      </c>
      <c r="AC248" t="s">
        <v>1965</v>
      </c>
      <c r="AD248" t="s">
        <v>1966</v>
      </c>
      <c r="AE248" t="s">
        <v>147</v>
      </c>
      <c r="AG248" t="s">
        <v>1967</v>
      </c>
      <c r="AI248" t="s">
        <v>1968</v>
      </c>
      <c r="AJ248">
        <v>865</v>
      </c>
      <c r="AK248" t="s">
        <v>1969</v>
      </c>
      <c r="AM248" t="s">
        <v>120</v>
      </c>
      <c r="AO248">
        <v>1</v>
      </c>
      <c r="AT248">
        <v>0</v>
      </c>
      <c r="AU248">
        <v>895</v>
      </c>
      <c r="AV248">
        <v>975.55</v>
      </c>
      <c r="AW248">
        <v>0.09</v>
      </c>
      <c r="AX248">
        <v>0</v>
      </c>
      <c r="BA248">
        <v>0</v>
      </c>
      <c r="BB248">
        <v>0</v>
      </c>
      <c r="BC248">
        <v>17</v>
      </c>
      <c r="BD248" t="s">
        <v>108</v>
      </c>
      <c r="BE248" t="s">
        <v>109</v>
      </c>
      <c r="BG248" t="s">
        <v>110</v>
      </c>
      <c r="BH248" t="s">
        <v>111</v>
      </c>
      <c r="BI248" t="s">
        <v>112</v>
      </c>
      <c r="BJ248" t="s">
        <v>113</v>
      </c>
      <c r="BK248" t="s">
        <v>114</v>
      </c>
      <c r="BL248" t="s">
        <v>115</v>
      </c>
      <c r="BM248" t="s">
        <v>116</v>
      </c>
      <c r="BO248" t="s">
        <v>117</v>
      </c>
      <c r="BQ248">
        <v>347</v>
      </c>
      <c r="BR248" t="s">
        <v>118</v>
      </c>
      <c r="BU248" t="s">
        <v>119</v>
      </c>
      <c r="BV248" t="s">
        <v>120</v>
      </c>
      <c r="BW248">
        <v>0</v>
      </c>
      <c r="BX248">
        <v>895</v>
      </c>
      <c r="BY248">
        <v>975.55</v>
      </c>
      <c r="BZ248">
        <v>0.09</v>
      </c>
      <c r="CA248">
        <v>117.03</v>
      </c>
      <c r="CB248">
        <v>69.56</v>
      </c>
      <c r="CC248">
        <v>0</v>
      </c>
      <c r="CD248">
        <v>1830.43</v>
      </c>
      <c r="CE248" t="s">
        <v>121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O248">
        <v>0</v>
      </c>
      <c r="CP248">
        <v>0</v>
      </c>
      <c r="CQ248">
        <v>0</v>
      </c>
      <c r="CR248" t="s">
        <v>122</v>
      </c>
      <c r="CS248">
        <v>0</v>
      </c>
    </row>
    <row r="249" spans="1:97" x14ac:dyDescent="0.2">
      <c r="A249" t="s">
        <v>1970</v>
      </c>
      <c r="B249">
        <v>256</v>
      </c>
      <c r="C249" t="s">
        <v>1971</v>
      </c>
      <c r="D249" t="s">
        <v>1972</v>
      </c>
      <c r="E249" t="s">
        <v>272</v>
      </c>
      <c r="F249" t="s">
        <v>126</v>
      </c>
      <c r="I249">
        <v>4</v>
      </c>
      <c r="J249">
        <v>1</v>
      </c>
      <c r="K249" t="s">
        <v>102</v>
      </c>
      <c r="T249">
        <v>0</v>
      </c>
      <c r="U249">
        <v>462</v>
      </c>
      <c r="V249">
        <v>0</v>
      </c>
      <c r="W249">
        <v>982</v>
      </c>
      <c r="X249" t="s">
        <v>1973</v>
      </c>
      <c r="Y249" t="s">
        <v>109</v>
      </c>
      <c r="AC249" t="s">
        <v>1974</v>
      </c>
      <c r="AD249" t="s">
        <v>1975</v>
      </c>
      <c r="AE249" t="s">
        <v>272</v>
      </c>
      <c r="AI249" t="s">
        <v>1976</v>
      </c>
      <c r="AJ249">
        <v>803</v>
      </c>
      <c r="AK249" t="s">
        <v>1977</v>
      </c>
      <c r="AM249" t="s">
        <v>120</v>
      </c>
      <c r="AN249">
        <v>12</v>
      </c>
      <c r="AO249">
        <v>0</v>
      </c>
      <c r="AT249">
        <v>0</v>
      </c>
      <c r="AU249">
        <v>2085.9</v>
      </c>
      <c r="AV249">
        <v>2273.63</v>
      </c>
      <c r="AW249">
        <v>0.09</v>
      </c>
      <c r="AX249">
        <v>800</v>
      </c>
      <c r="AY249">
        <v>59.55</v>
      </c>
      <c r="BA249">
        <v>0</v>
      </c>
      <c r="BB249">
        <v>0</v>
      </c>
      <c r="BC249">
        <v>17</v>
      </c>
      <c r="BD249" t="s">
        <v>108</v>
      </c>
      <c r="BE249" t="s">
        <v>109</v>
      </c>
      <c r="BG249" t="s">
        <v>110</v>
      </c>
      <c r="BH249" t="s">
        <v>111</v>
      </c>
      <c r="BI249" t="s">
        <v>112</v>
      </c>
      <c r="BJ249" t="s">
        <v>113</v>
      </c>
      <c r="BK249" t="s">
        <v>114</v>
      </c>
      <c r="BL249" t="s">
        <v>115</v>
      </c>
      <c r="BM249" t="s">
        <v>116</v>
      </c>
      <c r="BO249" t="s">
        <v>117</v>
      </c>
      <c r="BQ249">
        <v>222</v>
      </c>
      <c r="BR249" t="s">
        <v>481</v>
      </c>
      <c r="BU249" t="s">
        <v>216</v>
      </c>
      <c r="BV249" t="s">
        <v>120</v>
      </c>
      <c r="BW249">
        <v>0</v>
      </c>
      <c r="BX249">
        <v>0</v>
      </c>
      <c r="BY249">
        <v>0</v>
      </c>
      <c r="BZ249">
        <v>0.09</v>
      </c>
      <c r="CA249">
        <v>462</v>
      </c>
      <c r="CB249">
        <v>165.21</v>
      </c>
      <c r="CC249">
        <v>0</v>
      </c>
      <c r="CD249">
        <v>0</v>
      </c>
      <c r="CE249" t="s">
        <v>181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O249">
        <v>-2085.9</v>
      </c>
      <c r="CP249">
        <v>-25030.799999999999</v>
      </c>
      <c r="CQ249">
        <v>-100</v>
      </c>
      <c r="CR249" t="s">
        <v>122</v>
      </c>
      <c r="CS249">
        <v>0</v>
      </c>
    </row>
    <row r="250" spans="1:97" x14ac:dyDescent="0.2">
      <c r="A250" t="s">
        <v>1978</v>
      </c>
      <c r="B250">
        <v>257</v>
      </c>
      <c r="C250" t="s">
        <v>1979</v>
      </c>
      <c r="D250" t="s">
        <v>1980</v>
      </c>
      <c r="E250" t="s">
        <v>1570</v>
      </c>
      <c r="F250" t="s">
        <v>126</v>
      </c>
      <c r="H250">
        <v>3</v>
      </c>
      <c r="I250">
        <v>4</v>
      </c>
      <c r="J250">
        <v>1</v>
      </c>
      <c r="K250" t="s">
        <v>102</v>
      </c>
      <c r="T250">
        <v>2234.29</v>
      </c>
      <c r="U250">
        <v>43.23</v>
      </c>
      <c r="V250">
        <v>0</v>
      </c>
      <c r="AM250" t="s">
        <v>107</v>
      </c>
      <c r="BC250">
        <v>17</v>
      </c>
      <c r="BD250" t="s">
        <v>108</v>
      </c>
      <c r="BE250" t="s">
        <v>109</v>
      </c>
      <c r="BG250" t="s">
        <v>110</v>
      </c>
      <c r="BH250" t="s">
        <v>111</v>
      </c>
      <c r="BI250" t="s">
        <v>112</v>
      </c>
      <c r="BJ250" t="s">
        <v>113</v>
      </c>
      <c r="BK250" t="s">
        <v>114</v>
      </c>
      <c r="BL250" t="s">
        <v>115</v>
      </c>
      <c r="BM250" t="s">
        <v>116</v>
      </c>
      <c r="BO250" t="s">
        <v>117</v>
      </c>
      <c r="BQ250">
        <v>348</v>
      </c>
      <c r="BR250" t="s">
        <v>118</v>
      </c>
      <c r="BU250" t="s">
        <v>119</v>
      </c>
      <c r="BV250" t="s">
        <v>120</v>
      </c>
      <c r="BW250">
        <v>0</v>
      </c>
      <c r="BX250">
        <v>1345.37</v>
      </c>
      <c r="BY250">
        <v>1466.45</v>
      </c>
      <c r="BZ250">
        <v>0.09</v>
      </c>
      <c r="CA250">
        <v>43.23</v>
      </c>
      <c r="CB250">
        <v>24.3</v>
      </c>
      <c r="CC250">
        <v>0</v>
      </c>
      <c r="CD250">
        <v>2234.29</v>
      </c>
      <c r="CE250" t="s">
        <v>121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O250">
        <v>1345.37</v>
      </c>
      <c r="CP250">
        <v>16144.44</v>
      </c>
      <c r="CR250" t="s">
        <v>122</v>
      </c>
      <c r="CS250">
        <v>0</v>
      </c>
    </row>
    <row r="251" spans="1:97" x14ac:dyDescent="0.2">
      <c r="A251" t="s">
        <v>1981</v>
      </c>
      <c r="B251">
        <v>258</v>
      </c>
      <c r="C251" t="s">
        <v>1982</v>
      </c>
      <c r="D251" t="s">
        <v>1983</v>
      </c>
      <c r="E251" t="s">
        <v>1526</v>
      </c>
      <c r="F251" t="s">
        <v>126</v>
      </c>
      <c r="H251">
        <v>2</v>
      </c>
      <c r="I251">
        <v>3</v>
      </c>
      <c r="J251">
        <v>1</v>
      </c>
      <c r="K251" t="s">
        <v>102</v>
      </c>
      <c r="P251" t="s">
        <v>1984</v>
      </c>
      <c r="Q251" t="s">
        <v>1985</v>
      </c>
      <c r="R251" t="s">
        <v>1986</v>
      </c>
      <c r="S251" t="s">
        <v>1987</v>
      </c>
      <c r="T251">
        <v>1650</v>
      </c>
      <c r="U251">
        <v>231.94</v>
      </c>
      <c r="V251">
        <v>0</v>
      </c>
      <c r="AM251" t="s">
        <v>107</v>
      </c>
      <c r="BC251">
        <v>17</v>
      </c>
      <c r="BD251" t="s">
        <v>108</v>
      </c>
      <c r="BE251" t="s">
        <v>109</v>
      </c>
      <c r="BG251" t="s">
        <v>110</v>
      </c>
      <c r="BH251" t="s">
        <v>111</v>
      </c>
      <c r="BI251" t="s">
        <v>112</v>
      </c>
      <c r="BJ251" t="s">
        <v>113</v>
      </c>
      <c r="BK251" t="s">
        <v>114</v>
      </c>
      <c r="BL251" t="s">
        <v>115</v>
      </c>
      <c r="BM251" t="s">
        <v>116</v>
      </c>
      <c r="BO251" t="s">
        <v>117</v>
      </c>
      <c r="BQ251">
        <v>349</v>
      </c>
      <c r="BR251" t="s">
        <v>118</v>
      </c>
      <c r="BU251" t="s">
        <v>119</v>
      </c>
      <c r="BV251" t="s">
        <v>120</v>
      </c>
      <c r="BW251">
        <v>0</v>
      </c>
      <c r="BX251">
        <v>895</v>
      </c>
      <c r="BY251">
        <v>975.55</v>
      </c>
      <c r="BZ251">
        <v>0.09</v>
      </c>
      <c r="CA251">
        <v>231.94</v>
      </c>
      <c r="CB251">
        <v>751.36</v>
      </c>
      <c r="CC251">
        <v>0</v>
      </c>
      <c r="CD251">
        <v>1650</v>
      </c>
      <c r="CE251" t="s">
        <v>121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O251">
        <v>895</v>
      </c>
      <c r="CP251">
        <v>10740</v>
      </c>
      <c r="CR251" t="s">
        <v>122</v>
      </c>
      <c r="CS251">
        <v>0</v>
      </c>
    </row>
    <row r="252" spans="1:97" x14ac:dyDescent="0.2">
      <c r="A252" t="s">
        <v>1988</v>
      </c>
      <c r="B252">
        <v>259</v>
      </c>
      <c r="C252" t="s">
        <v>1989</v>
      </c>
      <c r="D252" t="s">
        <v>1990</v>
      </c>
      <c r="E252" t="s">
        <v>272</v>
      </c>
      <c r="F252" t="s">
        <v>101</v>
      </c>
      <c r="H252">
        <v>2</v>
      </c>
      <c r="I252">
        <v>4</v>
      </c>
      <c r="J252">
        <v>1</v>
      </c>
      <c r="K252" t="s">
        <v>102</v>
      </c>
      <c r="P252" t="s">
        <v>1991</v>
      </c>
      <c r="Q252" t="s">
        <v>1992</v>
      </c>
      <c r="R252" t="s">
        <v>1993</v>
      </c>
      <c r="S252" t="s">
        <v>1994</v>
      </c>
      <c r="T252">
        <v>2300</v>
      </c>
      <c r="U252">
        <v>5320.3</v>
      </c>
      <c r="V252">
        <v>0</v>
      </c>
      <c r="AM252" t="s">
        <v>107</v>
      </c>
      <c r="BC252">
        <v>17</v>
      </c>
      <c r="BD252" t="s">
        <v>108</v>
      </c>
      <c r="BE252" t="s">
        <v>109</v>
      </c>
      <c r="BG252" t="s">
        <v>110</v>
      </c>
      <c r="BH252" t="s">
        <v>111</v>
      </c>
      <c r="BI252" t="s">
        <v>112</v>
      </c>
      <c r="BJ252" t="s">
        <v>113</v>
      </c>
      <c r="BK252" t="s">
        <v>114</v>
      </c>
      <c r="BL252" t="s">
        <v>115</v>
      </c>
      <c r="BM252" t="s">
        <v>116</v>
      </c>
      <c r="BO252" t="s">
        <v>117</v>
      </c>
      <c r="BQ252">
        <v>350</v>
      </c>
      <c r="BR252" t="s">
        <v>118</v>
      </c>
      <c r="BU252" t="s">
        <v>119</v>
      </c>
      <c r="BV252" t="s">
        <v>120</v>
      </c>
      <c r="BW252">
        <v>2300</v>
      </c>
      <c r="BX252">
        <v>2550</v>
      </c>
      <c r="BY252">
        <v>2779.5</v>
      </c>
      <c r="BZ252">
        <v>0.09</v>
      </c>
      <c r="CA252">
        <v>250</v>
      </c>
      <c r="CB252">
        <v>25.1</v>
      </c>
      <c r="CC252">
        <v>250</v>
      </c>
      <c r="CD252">
        <v>2300</v>
      </c>
      <c r="CE252" t="s">
        <v>121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 t="s">
        <v>201</v>
      </c>
      <c r="CO252">
        <v>2550</v>
      </c>
      <c r="CP252">
        <v>30600</v>
      </c>
      <c r="CR252" t="s">
        <v>122</v>
      </c>
      <c r="CS252">
        <v>0</v>
      </c>
    </row>
    <row r="253" spans="1:97" x14ac:dyDescent="0.2">
      <c r="A253" t="s">
        <v>1988</v>
      </c>
      <c r="B253">
        <v>259</v>
      </c>
      <c r="C253" t="s">
        <v>1989</v>
      </c>
      <c r="D253" t="s">
        <v>1990</v>
      </c>
      <c r="E253" t="s">
        <v>272</v>
      </c>
      <c r="F253" t="s">
        <v>101</v>
      </c>
      <c r="H253">
        <v>2</v>
      </c>
      <c r="I253">
        <v>4</v>
      </c>
      <c r="J253">
        <v>1</v>
      </c>
      <c r="K253" t="s">
        <v>102</v>
      </c>
      <c r="P253" t="s">
        <v>1991</v>
      </c>
      <c r="Q253" t="s">
        <v>1992</v>
      </c>
      <c r="R253" t="s">
        <v>1993</v>
      </c>
      <c r="S253" t="s">
        <v>1994</v>
      </c>
      <c r="T253">
        <v>2300</v>
      </c>
      <c r="U253">
        <v>5320.3</v>
      </c>
      <c r="V253">
        <v>0</v>
      </c>
      <c r="AM253" t="s">
        <v>107</v>
      </c>
      <c r="BC253">
        <v>126</v>
      </c>
      <c r="BD253" t="s">
        <v>1995</v>
      </c>
      <c r="BE253" t="s">
        <v>109</v>
      </c>
      <c r="BG253" t="s">
        <v>1996</v>
      </c>
      <c r="BH253" t="s">
        <v>1997</v>
      </c>
      <c r="BI253" t="s">
        <v>1998</v>
      </c>
      <c r="BK253" t="s">
        <v>1999</v>
      </c>
      <c r="BL253" t="s">
        <v>115</v>
      </c>
      <c r="BM253" t="s">
        <v>2000</v>
      </c>
      <c r="BO253" t="s">
        <v>2001</v>
      </c>
      <c r="BQ253">
        <v>225</v>
      </c>
      <c r="BR253" t="s">
        <v>2002</v>
      </c>
      <c r="BS253" t="s">
        <v>2003</v>
      </c>
      <c r="BT253">
        <v>12</v>
      </c>
      <c r="BU253" t="s">
        <v>119</v>
      </c>
      <c r="BV253" t="s">
        <v>163</v>
      </c>
      <c r="BW253">
        <v>2300</v>
      </c>
      <c r="BX253">
        <v>2550</v>
      </c>
      <c r="BY253">
        <v>2779.5</v>
      </c>
      <c r="BZ253">
        <v>0.09</v>
      </c>
      <c r="CA253">
        <v>250</v>
      </c>
      <c r="CB253">
        <v>0</v>
      </c>
      <c r="CC253">
        <v>250</v>
      </c>
      <c r="CD253">
        <v>2300</v>
      </c>
      <c r="CE253" t="s">
        <v>121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 t="s">
        <v>201</v>
      </c>
      <c r="CO253">
        <v>2550</v>
      </c>
      <c r="CP253">
        <v>30600</v>
      </c>
      <c r="CR253" t="s">
        <v>168</v>
      </c>
      <c r="CS253">
        <v>139</v>
      </c>
    </row>
    <row r="254" spans="1:97" x14ac:dyDescent="0.2">
      <c r="A254" t="s">
        <v>2004</v>
      </c>
      <c r="B254">
        <v>260</v>
      </c>
      <c r="C254" t="s">
        <v>2005</v>
      </c>
      <c r="D254" t="s">
        <v>2006</v>
      </c>
      <c r="E254" t="s">
        <v>1570</v>
      </c>
      <c r="F254" t="s">
        <v>101</v>
      </c>
      <c r="H254">
        <v>2</v>
      </c>
      <c r="I254">
        <v>5</v>
      </c>
      <c r="J254">
        <v>1</v>
      </c>
      <c r="K254" t="s">
        <v>102</v>
      </c>
      <c r="P254" t="s">
        <v>2007</v>
      </c>
      <c r="T254">
        <v>1560</v>
      </c>
      <c r="U254">
        <v>2198.9899999999998</v>
      </c>
      <c r="V254">
        <v>0</v>
      </c>
      <c r="AM254" t="s">
        <v>107</v>
      </c>
      <c r="BC254">
        <v>17</v>
      </c>
      <c r="BD254" t="s">
        <v>108</v>
      </c>
      <c r="BE254" t="s">
        <v>109</v>
      </c>
      <c r="BG254" t="s">
        <v>110</v>
      </c>
      <c r="BH254" t="s">
        <v>111</v>
      </c>
      <c r="BI254" t="s">
        <v>112</v>
      </c>
      <c r="BJ254" t="s">
        <v>113</v>
      </c>
      <c r="BK254" t="s">
        <v>114</v>
      </c>
      <c r="BL254" t="s">
        <v>115</v>
      </c>
      <c r="BM254" t="s">
        <v>116</v>
      </c>
      <c r="BO254" t="s">
        <v>117</v>
      </c>
      <c r="BQ254">
        <v>351</v>
      </c>
      <c r="BR254" t="s">
        <v>118</v>
      </c>
      <c r="BU254" t="s">
        <v>119</v>
      </c>
      <c r="BV254" t="s">
        <v>120</v>
      </c>
      <c r="BW254">
        <v>0</v>
      </c>
      <c r="BX254">
        <v>0</v>
      </c>
      <c r="BY254">
        <v>0</v>
      </c>
      <c r="BZ254">
        <v>0.09</v>
      </c>
      <c r="CA254">
        <v>2198.9899999999998</v>
      </c>
      <c r="CB254">
        <v>75</v>
      </c>
      <c r="CC254">
        <v>375</v>
      </c>
      <c r="CD254">
        <v>1560</v>
      </c>
      <c r="CE254" t="s">
        <v>121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 t="s">
        <v>182</v>
      </c>
      <c r="CO254">
        <v>0</v>
      </c>
      <c r="CP254">
        <v>0</v>
      </c>
      <c r="CR254" t="s">
        <v>122</v>
      </c>
      <c r="CS254">
        <v>0</v>
      </c>
    </row>
    <row r="255" spans="1:97" x14ac:dyDescent="0.2">
      <c r="A255" t="s">
        <v>2008</v>
      </c>
      <c r="B255">
        <v>261</v>
      </c>
      <c r="C255" t="s">
        <v>2009</v>
      </c>
      <c r="D255" t="s">
        <v>2010</v>
      </c>
      <c r="E255" t="s">
        <v>1526</v>
      </c>
      <c r="F255" t="s">
        <v>101</v>
      </c>
      <c r="H255">
        <v>2</v>
      </c>
      <c r="I255">
        <v>4</v>
      </c>
      <c r="J255">
        <v>1</v>
      </c>
      <c r="K255" t="s">
        <v>102</v>
      </c>
      <c r="P255" t="s">
        <v>1984</v>
      </c>
      <c r="Q255" t="s">
        <v>1985</v>
      </c>
      <c r="R255" t="s">
        <v>1986</v>
      </c>
      <c r="S255" t="s">
        <v>1987</v>
      </c>
      <c r="T255">
        <v>1560</v>
      </c>
      <c r="U255">
        <v>35.880000000000003</v>
      </c>
      <c r="V255">
        <v>0</v>
      </c>
      <c r="AM255" t="s">
        <v>107</v>
      </c>
      <c r="BC255">
        <v>17</v>
      </c>
      <c r="BD255" t="s">
        <v>108</v>
      </c>
      <c r="BE255" t="s">
        <v>109</v>
      </c>
      <c r="BG255" t="s">
        <v>110</v>
      </c>
      <c r="BH255" t="s">
        <v>111</v>
      </c>
      <c r="BI255" t="s">
        <v>112</v>
      </c>
      <c r="BJ255" t="s">
        <v>113</v>
      </c>
      <c r="BK255" t="s">
        <v>114</v>
      </c>
      <c r="BL255" t="s">
        <v>115</v>
      </c>
      <c r="BM255" t="s">
        <v>116</v>
      </c>
      <c r="BO255" t="s">
        <v>117</v>
      </c>
      <c r="BQ255">
        <v>238</v>
      </c>
      <c r="BR255" t="s">
        <v>481</v>
      </c>
      <c r="BU255" t="s">
        <v>216</v>
      </c>
      <c r="BV255" t="s">
        <v>120</v>
      </c>
      <c r="BW255">
        <v>0</v>
      </c>
      <c r="BX255">
        <v>0</v>
      </c>
      <c r="BY255">
        <v>0</v>
      </c>
      <c r="BZ255">
        <v>0.09</v>
      </c>
      <c r="CA255">
        <v>35.880000000000003</v>
      </c>
      <c r="CB255">
        <v>25.1</v>
      </c>
      <c r="CC255">
        <v>0</v>
      </c>
      <c r="CD255">
        <v>1560</v>
      </c>
      <c r="CE255" t="s">
        <v>181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O255">
        <v>0</v>
      </c>
      <c r="CP255">
        <v>0</v>
      </c>
      <c r="CR255" t="s">
        <v>122</v>
      </c>
      <c r="CS255">
        <v>0</v>
      </c>
    </row>
    <row r="256" spans="1:97" x14ac:dyDescent="0.2">
      <c r="A256" t="s">
        <v>2011</v>
      </c>
      <c r="B256">
        <v>262</v>
      </c>
      <c r="C256" t="s">
        <v>2012</v>
      </c>
      <c r="D256" t="s">
        <v>2013</v>
      </c>
      <c r="E256" t="s">
        <v>1472</v>
      </c>
      <c r="F256" t="s">
        <v>101</v>
      </c>
      <c r="H256">
        <v>3</v>
      </c>
      <c r="I256">
        <v>3</v>
      </c>
      <c r="J256">
        <v>1</v>
      </c>
      <c r="K256" t="s">
        <v>102</v>
      </c>
      <c r="P256" t="s">
        <v>2014</v>
      </c>
      <c r="T256">
        <v>2364.3000000000002</v>
      </c>
      <c r="U256">
        <v>55.44</v>
      </c>
      <c r="V256">
        <v>0</v>
      </c>
      <c r="AM256" t="s">
        <v>107</v>
      </c>
      <c r="BC256">
        <v>17</v>
      </c>
      <c r="BD256" t="s">
        <v>108</v>
      </c>
      <c r="BE256" t="s">
        <v>109</v>
      </c>
      <c r="BG256" t="s">
        <v>110</v>
      </c>
      <c r="BH256" t="s">
        <v>111</v>
      </c>
      <c r="BI256" t="s">
        <v>112</v>
      </c>
      <c r="BJ256" t="s">
        <v>113</v>
      </c>
      <c r="BK256" t="s">
        <v>114</v>
      </c>
      <c r="BL256" t="s">
        <v>115</v>
      </c>
      <c r="BM256" t="s">
        <v>116</v>
      </c>
      <c r="BO256" t="s">
        <v>117</v>
      </c>
      <c r="BQ256">
        <v>352</v>
      </c>
      <c r="BR256" t="s">
        <v>118</v>
      </c>
      <c r="BU256" t="s">
        <v>119</v>
      </c>
      <c r="BV256" t="s">
        <v>120</v>
      </c>
      <c r="BW256">
        <v>0</v>
      </c>
      <c r="BX256">
        <v>900</v>
      </c>
      <c r="BY256">
        <v>981</v>
      </c>
      <c r="BZ256">
        <v>0.09</v>
      </c>
      <c r="CA256">
        <v>332.77</v>
      </c>
      <c r="CB256">
        <v>69.56</v>
      </c>
      <c r="CC256">
        <v>0</v>
      </c>
      <c r="CD256">
        <v>2364.3000000000002</v>
      </c>
      <c r="CE256" t="s">
        <v>121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O256">
        <v>900</v>
      </c>
      <c r="CP256">
        <v>10800</v>
      </c>
      <c r="CR256" t="s">
        <v>122</v>
      </c>
      <c r="CS256">
        <v>0</v>
      </c>
    </row>
    <row r="257" spans="1:97" x14ac:dyDescent="0.2">
      <c r="A257" t="s">
        <v>2015</v>
      </c>
      <c r="B257">
        <v>263</v>
      </c>
      <c r="C257" t="s">
        <v>2016</v>
      </c>
      <c r="D257" t="s">
        <v>2013</v>
      </c>
      <c r="E257" t="s">
        <v>1472</v>
      </c>
      <c r="F257" t="s">
        <v>101</v>
      </c>
      <c r="H257">
        <v>4</v>
      </c>
      <c r="I257">
        <v>8</v>
      </c>
      <c r="J257">
        <v>1</v>
      </c>
      <c r="K257" t="s">
        <v>102</v>
      </c>
      <c r="P257" t="s">
        <v>2014</v>
      </c>
      <c r="T257">
        <v>2100</v>
      </c>
      <c r="U257">
        <v>31.19</v>
      </c>
      <c r="V257">
        <v>0</v>
      </c>
      <c r="AM257" t="s">
        <v>107</v>
      </c>
      <c r="BC257">
        <v>17</v>
      </c>
      <c r="BD257" t="s">
        <v>108</v>
      </c>
      <c r="BE257" t="s">
        <v>109</v>
      </c>
      <c r="BG257" t="s">
        <v>110</v>
      </c>
      <c r="BH257" t="s">
        <v>111</v>
      </c>
      <c r="BI257" t="s">
        <v>112</v>
      </c>
      <c r="BJ257" t="s">
        <v>113</v>
      </c>
      <c r="BK257" t="s">
        <v>114</v>
      </c>
      <c r="BL257" t="s">
        <v>115</v>
      </c>
      <c r="BM257" t="s">
        <v>116</v>
      </c>
      <c r="BO257" t="s">
        <v>117</v>
      </c>
      <c r="BQ257">
        <v>228</v>
      </c>
      <c r="BR257" t="s">
        <v>481</v>
      </c>
      <c r="BU257" t="s">
        <v>216</v>
      </c>
      <c r="BV257" t="s">
        <v>120</v>
      </c>
      <c r="BW257">
        <v>0</v>
      </c>
      <c r="BX257">
        <v>0</v>
      </c>
      <c r="BY257">
        <v>0</v>
      </c>
      <c r="BZ257">
        <v>0.09</v>
      </c>
      <c r="CA257">
        <v>334.43</v>
      </c>
      <c r="CB257">
        <v>69.569999999999993</v>
      </c>
      <c r="CC257">
        <v>0</v>
      </c>
      <c r="CD257">
        <v>2100</v>
      </c>
      <c r="CE257" t="s">
        <v>181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O257">
        <v>0</v>
      </c>
      <c r="CP257">
        <v>0</v>
      </c>
      <c r="CR257" t="s">
        <v>122</v>
      </c>
      <c r="CS257">
        <v>0</v>
      </c>
    </row>
    <row r="258" spans="1:97" x14ac:dyDescent="0.2">
      <c r="A258" t="s">
        <v>2017</v>
      </c>
      <c r="B258">
        <v>264</v>
      </c>
      <c r="C258" t="s">
        <v>2018</v>
      </c>
      <c r="D258" t="s">
        <v>2013</v>
      </c>
      <c r="E258" t="s">
        <v>1472</v>
      </c>
      <c r="F258" t="s">
        <v>101</v>
      </c>
      <c r="H258">
        <v>4</v>
      </c>
      <c r="I258">
        <v>3</v>
      </c>
      <c r="J258">
        <v>1</v>
      </c>
      <c r="K258" t="s">
        <v>102</v>
      </c>
      <c r="P258" t="s">
        <v>2014</v>
      </c>
      <c r="T258">
        <v>2449.11</v>
      </c>
      <c r="U258">
        <v>0</v>
      </c>
      <c r="V258">
        <v>0</v>
      </c>
      <c r="AM258" t="s">
        <v>107</v>
      </c>
      <c r="BV258" t="s">
        <v>142</v>
      </c>
      <c r="CD258">
        <v>2449.11</v>
      </c>
      <c r="CO258">
        <v>0</v>
      </c>
      <c r="CP258">
        <v>0</v>
      </c>
      <c r="CR258" t="s">
        <v>143</v>
      </c>
      <c r="CS258">
        <v>0</v>
      </c>
    </row>
    <row r="259" spans="1:97" x14ac:dyDescent="0.2">
      <c r="A259" t="s">
        <v>2019</v>
      </c>
      <c r="B259">
        <v>265</v>
      </c>
      <c r="C259" t="s">
        <v>2020</v>
      </c>
      <c r="D259" t="s">
        <v>2021</v>
      </c>
      <c r="E259" t="s">
        <v>1526</v>
      </c>
      <c r="F259" t="s">
        <v>101</v>
      </c>
      <c r="I259">
        <v>4</v>
      </c>
      <c r="J259">
        <v>1</v>
      </c>
      <c r="K259" t="s">
        <v>102</v>
      </c>
      <c r="P259" t="s">
        <v>1984</v>
      </c>
      <c r="Q259" t="s">
        <v>1985</v>
      </c>
      <c r="R259" t="s">
        <v>1986</v>
      </c>
      <c r="S259" t="s">
        <v>1987</v>
      </c>
      <c r="T259">
        <v>0</v>
      </c>
      <c r="U259">
        <v>186.36</v>
      </c>
      <c r="V259">
        <v>0</v>
      </c>
      <c r="AM259" t="s">
        <v>107</v>
      </c>
      <c r="BC259">
        <v>17</v>
      </c>
      <c r="BD259" t="s">
        <v>108</v>
      </c>
      <c r="BE259" t="s">
        <v>109</v>
      </c>
      <c r="BG259" t="s">
        <v>110</v>
      </c>
      <c r="BH259" t="s">
        <v>111</v>
      </c>
      <c r="BI259" t="s">
        <v>112</v>
      </c>
      <c r="BJ259" t="s">
        <v>113</v>
      </c>
      <c r="BK259" t="s">
        <v>114</v>
      </c>
      <c r="BL259" t="s">
        <v>115</v>
      </c>
      <c r="BM259" t="s">
        <v>116</v>
      </c>
      <c r="BO259" t="s">
        <v>117</v>
      </c>
      <c r="BQ259">
        <v>353</v>
      </c>
      <c r="BR259" t="s">
        <v>118</v>
      </c>
      <c r="BU259" t="s">
        <v>119</v>
      </c>
      <c r="BV259" t="s">
        <v>120</v>
      </c>
      <c r="BW259">
        <v>0</v>
      </c>
      <c r="BX259">
        <v>895</v>
      </c>
      <c r="BY259">
        <v>975.55</v>
      </c>
      <c r="BZ259">
        <v>0.09</v>
      </c>
      <c r="CA259">
        <v>186.36</v>
      </c>
      <c r="CB259">
        <v>211</v>
      </c>
      <c r="CC259">
        <v>0</v>
      </c>
      <c r="CD259">
        <v>0</v>
      </c>
      <c r="CE259" t="s">
        <v>121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O259">
        <v>895</v>
      </c>
      <c r="CP259">
        <v>10740</v>
      </c>
      <c r="CR259" t="s">
        <v>122</v>
      </c>
      <c r="CS259">
        <v>0</v>
      </c>
    </row>
    <row r="260" spans="1:97" x14ac:dyDescent="0.2">
      <c r="A260" t="s">
        <v>488</v>
      </c>
      <c r="B260">
        <v>266</v>
      </c>
      <c r="C260" t="s">
        <v>2022</v>
      </c>
      <c r="D260" t="s">
        <v>2023</v>
      </c>
      <c r="E260" t="s">
        <v>1570</v>
      </c>
      <c r="F260" t="s">
        <v>126</v>
      </c>
      <c r="H260">
        <v>4</v>
      </c>
      <c r="I260">
        <v>4</v>
      </c>
      <c r="J260">
        <v>1</v>
      </c>
      <c r="K260" t="s">
        <v>102</v>
      </c>
      <c r="T260">
        <v>2449.11</v>
      </c>
      <c r="U260">
        <v>265.08</v>
      </c>
      <c r="V260">
        <v>0</v>
      </c>
      <c r="AM260" t="s">
        <v>107</v>
      </c>
      <c r="BC260">
        <v>17</v>
      </c>
      <c r="BD260" t="s">
        <v>108</v>
      </c>
      <c r="BE260" t="s">
        <v>109</v>
      </c>
      <c r="BG260" t="s">
        <v>110</v>
      </c>
      <c r="BH260" t="s">
        <v>111</v>
      </c>
      <c r="BI260" t="s">
        <v>112</v>
      </c>
      <c r="BJ260" t="s">
        <v>113</v>
      </c>
      <c r="BK260" t="s">
        <v>114</v>
      </c>
      <c r="BL260" t="s">
        <v>115</v>
      </c>
      <c r="BM260" t="s">
        <v>116</v>
      </c>
      <c r="BO260" t="s">
        <v>117</v>
      </c>
      <c r="BQ260">
        <v>354</v>
      </c>
      <c r="BR260" t="s">
        <v>118</v>
      </c>
      <c r="BU260" t="s">
        <v>119</v>
      </c>
      <c r="BV260" t="s">
        <v>120</v>
      </c>
      <c r="BW260">
        <v>0</v>
      </c>
      <c r="BX260">
        <v>1200</v>
      </c>
      <c r="BY260">
        <v>1308</v>
      </c>
      <c r="BZ260">
        <v>0.09</v>
      </c>
      <c r="CA260">
        <v>265.08</v>
      </c>
      <c r="CB260">
        <v>25.1</v>
      </c>
      <c r="CC260">
        <v>0</v>
      </c>
      <c r="CD260">
        <v>2449.11</v>
      </c>
      <c r="CE260" t="s">
        <v>121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O260">
        <v>1200</v>
      </c>
      <c r="CP260">
        <v>14400</v>
      </c>
      <c r="CR260" t="s">
        <v>122</v>
      </c>
      <c r="CS260">
        <v>0</v>
      </c>
    </row>
    <row r="261" spans="1:97" x14ac:dyDescent="0.2">
      <c r="A261" t="s">
        <v>2024</v>
      </c>
      <c r="B261">
        <v>267</v>
      </c>
      <c r="C261" t="s">
        <v>2025</v>
      </c>
      <c r="D261" t="s">
        <v>2026</v>
      </c>
      <c r="E261" t="s">
        <v>1526</v>
      </c>
      <c r="F261" t="s">
        <v>126</v>
      </c>
      <c r="H261">
        <v>4</v>
      </c>
      <c r="I261">
        <v>4</v>
      </c>
      <c r="J261">
        <v>1</v>
      </c>
      <c r="K261" t="s">
        <v>102</v>
      </c>
      <c r="P261" t="s">
        <v>2027</v>
      </c>
      <c r="Q261" t="s">
        <v>2028</v>
      </c>
      <c r="R261" t="s">
        <v>2029</v>
      </c>
      <c r="S261" t="s">
        <v>2030</v>
      </c>
      <c r="T261">
        <v>3608.8</v>
      </c>
      <c r="U261">
        <v>0</v>
      </c>
      <c r="V261">
        <v>0</v>
      </c>
      <c r="AM261" t="s">
        <v>107</v>
      </c>
      <c r="BC261">
        <v>17</v>
      </c>
      <c r="BD261" t="s">
        <v>108</v>
      </c>
      <c r="BE261" t="s">
        <v>109</v>
      </c>
      <c r="BG261" t="s">
        <v>110</v>
      </c>
      <c r="BH261" t="s">
        <v>111</v>
      </c>
      <c r="BI261" t="s">
        <v>112</v>
      </c>
      <c r="BJ261" t="s">
        <v>113</v>
      </c>
      <c r="BK261" t="s">
        <v>114</v>
      </c>
      <c r="BL261" t="s">
        <v>115</v>
      </c>
      <c r="BM261" t="s">
        <v>116</v>
      </c>
      <c r="BO261" t="s">
        <v>117</v>
      </c>
      <c r="BQ261">
        <v>355</v>
      </c>
      <c r="BR261" t="s">
        <v>118</v>
      </c>
      <c r="BU261" t="s">
        <v>119</v>
      </c>
      <c r="BV261" t="s">
        <v>120</v>
      </c>
      <c r="BW261">
        <v>0</v>
      </c>
      <c r="BX261">
        <v>2129.12</v>
      </c>
      <c r="BY261">
        <v>2320.7399999999998</v>
      </c>
      <c r="BZ261">
        <v>0.09</v>
      </c>
      <c r="CA261">
        <v>0</v>
      </c>
      <c r="CB261">
        <v>25.1</v>
      </c>
      <c r="CC261">
        <v>0</v>
      </c>
      <c r="CD261">
        <v>3608.8</v>
      </c>
      <c r="CE261" t="s">
        <v>121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O261">
        <v>2129.12</v>
      </c>
      <c r="CP261">
        <v>25549.439999999999</v>
      </c>
      <c r="CR261" t="s">
        <v>122</v>
      </c>
      <c r="CS261">
        <v>0</v>
      </c>
    </row>
    <row r="262" spans="1:97" x14ac:dyDescent="0.2">
      <c r="A262" t="s">
        <v>2031</v>
      </c>
      <c r="B262">
        <v>268</v>
      </c>
      <c r="C262" t="s">
        <v>2032</v>
      </c>
      <c r="D262" t="s">
        <v>813</v>
      </c>
      <c r="E262" t="s">
        <v>147</v>
      </c>
      <c r="H262">
        <v>2</v>
      </c>
      <c r="I262">
        <v>4</v>
      </c>
      <c r="J262">
        <v>1</v>
      </c>
      <c r="K262" t="s">
        <v>102</v>
      </c>
      <c r="P262" t="s">
        <v>1984</v>
      </c>
      <c r="Q262" t="s">
        <v>1985</v>
      </c>
      <c r="R262" t="s">
        <v>1986</v>
      </c>
      <c r="S262" t="s">
        <v>1987</v>
      </c>
      <c r="T262">
        <v>2170</v>
      </c>
      <c r="U262">
        <v>70.760000000000005</v>
      </c>
      <c r="V262">
        <v>0</v>
      </c>
      <c r="AM262" t="s">
        <v>107</v>
      </c>
      <c r="BV262" t="s">
        <v>142</v>
      </c>
      <c r="CD262">
        <v>2170</v>
      </c>
      <c r="CO262">
        <v>0</v>
      </c>
      <c r="CP262">
        <v>0</v>
      </c>
      <c r="CR262" t="s">
        <v>143</v>
      </c>
      <c r="CS262">
        <v>0</v>
      </c>
    </row>
    <row r="263" spans="1:97" x14ac:dyDescent="0.2">
      <c r="A263" t="s">
        <v>2033</v>
      </c>
      <c r="B263">
        <v>269</v>
      </c>
      <c r="C263" t="s">
        <v>2034</v>
      </c>
      <c r="D263" t="s">
        <v>2035</v>
      </c>
      <c r="E263" t="s">
        <v>272</v>
      </c>
      <c r="F263" t="s">
        <v>126</v>
      </c>
      <c r="H263">
        <v>2</v>
      </c>
      <c r="I263">
        <v>3</v>
      </c>
      <c r="J263">
        <v>1</v>
      </c>
      <c r="K263" t="s">
        <v>102</v>
      </c>
      <c r="P263" t="s">
        <v>2036</v>
      </c>
      <c r="Q263" t="s">
        <v>2037</v>
      </c>
      <c r="R263" t="s">
        <v>2038</v>
      </c>
      <c r="S263" t="s">
        <v>2039</v>
      </c>
      <c r="T263">
        <v>2150</v>
      </c>
      <c r="U263">
        <v>260.58999999999997</v>
      </c>
      <c r="V263">
        <v>0</v>
      </c>
      <c r="W263">
        <v>300</v>
      </c>
      <c r="X263" t="s">
        <v>2040</v>
      </c>
      <c r="Y263" t="s">
        <v>109</v>
      </c>
      <c r="AA263" t="s">
        <v>2041</v>
      </c>
      <c r="AB263" t="s">
        <v>2042</v>
      </c>
      <c r="AF263" t="s">
        <v>115</v>
      </c>
      <c r="AI263" t="s">
        <v>2043</v>
      </c>
      <c r="AJ263">
        <v>739</v>
      </c>
      <c r="AK263" t="s">
        <v>1882</v>
      </c>
      <c r="AM263" t="s">
        <v>120</v>
      </c>
      <c r="AO263">
        <v>1</v>
      </c>
      <c r="AT263">
        <v>1400.53</v>
      </c>
      <c r="AU263">
        <v>1400.53</v>
      </c>
      <c r="AV263">
        <v>1526.58</v>
      </c>
      <c r="AW263">
        <v>0.09</v>
      </c>
      <c r="AX263">
        <v>1075</v>
      </c>
      <c r="AY263">
        <v>0</v>
      </c>
      <c r="AZ263">
        <v>0</v>
      </c>
      <c r="BA263">
        <v>0</v>
      </c>
      <c r="BB263">
        <v>0</v>
      </c>
      <c r="BC263">
        <v>17</v>
      </c>
      <c r="BD263" t="s">
        <v>108</v>
      </c>
      <c r="BE263" t="s">
        <v>109</v>
      </c>
      <c r="BG263" t="s">
        <v>110</v>
      </c>
      <c r="BH263" t="s">
        <v>111</v>
      </c>
      <c r="BI263" t="s">
        <v>112</v>
      </c>
      <c r="BJ263" t="s">
        <v>113</v>
      </c>
      <c r="BK263" t="s">
        <v>114</v>
      </c>
      <c r="BL263" t="s">
        <v>115</v>
      </c>
      <c r="BM263" t="s">
        <v>116</v>
      </c>
      <c r="BO263" t="s">
        <v>117</v>
      </c>
      <c r="BQ263">
        <v>356</v>
      </c>
      <c r="BR263" t="s">
        <v>118</v>
      </c>
      <c r="BU263" t="s">
        <v>119</v>
      </c>
      <c r="BV263" t="s">
        <v>120</v>
      </c>
      <c r="BW263">
        <v>2150</v>
      </c>
      <c r="BX263">
        <v>2350</v>
      </c>
      <c r="BY263">
        <v>2561.5</v>
      </c>
      <c r="BZ263">
        <v>0.09</v>
      </c>
      <c r="CA263">
        <v>200</v>
      </c>
      <c r="CB263">
        <v>25.1</v>
      </c>
      <c r="CC263">
        <v>250</v>
      </c>
      <c r="CD263">
        <v>2150</v>
      </c>
      <c r="CE263" t="s">
        <v>121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</v>
      </c>
      <c r="CM263">
        <v>0</v>
      </c>
      <c r="CN263" t="s">
        <v>201</v>
      </c>
      <c r="CO263">
        <v>949.47</v>
      </c>
      <c r="CP263">
        <v>11393.64</v>
      </c>
      <c r="CQ263">
        <v>67.790000000000006</v>
      </c>
      <c r="CR263" t="s">
        <v>122</v>
      </c>
      <c r="CS263">
        <v>0</v>
      </c>
    </row>
    <row r="264" spans="1:97" x14ac:dyDescent="0.2">
      <c r="A264" t="s">
        <v>2033</v>
      </c>
      <c r="B264">
        <v>269</v>
      </c>
      <c r="C264" t="s">
        <v>2034</v>
      </c>
      <c r="D264" t="s">
        <v>2035</v>
      </c>
      <c r="E264" t="s">
        <v>272</v>
      </c>
      <c r="F264" t="s">
        <v>126</v>
      </c>
      <c r="H264">
        <v>2</v>
      </c>
      <c r="I264">
        <v>3</v>
      </c>
      <c r="J264">
        <v>1</v>
      </c>
      <c r="K264" t="s">
        <v>102</v>
      </c>
      <c r="P264" t="s">
        <v>2036</v>
      </c>
      <c r="Q264" t="s">
        <v>2037</v>
      </c>
      <c r="R264" t="s">
        <v>2038</v>
      </c>
      <c r="S264" t="s">
        <v>2039</v>
      </c>
      <c r="T264">
        <v>2150</v>
      </c>
      <c r="U264">
        <v>260.58999999999997</v>
      </c>
      <c r="V264">
        <v>0</v>
      </c>
      <c r="W264">
        <v>969</v>
      </c>
      <c r="X264" t="s">
        <v>1876</v>
      </c>
      <c r="Y264" t="s">
        <v>326</v>
      </c>
      <c r="AA264" t="s">
        <v>1877</v>
      </c>
      <c r="AB264" t="s">
        <v>1878</v>
      </c>
      <c r="AC264" t="s">
        <v>1879</v>
      </c>
      <c r="AD264" t="s">
        <v>1880</v>
      </c>
      <c r="AE264" t="s">
        <v>1881</v>
      </c>
      <c r="AG264" t="s">
        <v>1529</v>
      </c>
      <c r="AJ264">
        <v>788</v>
      </c>
      <c r="AK264" t="s">
        <v>1882</v>
      </c>
      <c r="AM264" t="s">
        <v>120</v>
      </c>
      <c r="AN264">
        <v>24</v>
      </c>
      <c r="AT264">
        <v>0</v>
      </c>
      <c r="AU264">
        <v>1175</v>
      </c>
      <c r="AV264">
        <v>1280.75</v>
      </c>
      <c r="AW264">
        <v>0.09</v>
      </c>
      <c r="AX264">
        <v>1075</v>
      </c>
      <c r="AY264">
        <v>0</v>
      </c>
      <c r="AZ264">
        <v>0</v>
      </c>
      <c r="BA264">
        <v>0</v>
      </c>
      <c r="BB264">
        <v>0</v>
      </c>
      <c r="BC264">
        <v>17</v>
      </c>
      <c r="BD264" t="s">
        <v>108</v>
      </c>
      <c r="BE264" t="s">
        <v>109</v>
      </c>
      <c r="BG264" t="s">
        <v>110</v>
      </c>
      <c r="BH264" t="s">
        <v>111</v>
      </c>
      <c r="BI264" t="s">
        <v>112</v>
      </c>
      <c r="BJ264" t="s">
        <v>113</v>
      </c>
      <c r="BK264" t="s">
        <v>114</v>
      </c>
      <c r="BL264" t="s">
        <v>115</v>
      </c>
      <c r="BM264" t="s">
        <v>116</v>
      </c>
      <c r="BO264" t="s">
        <v>117</v>
      </c>
      <c r="BQ264">
        <v>356</v>
      </c>
      <c r="BR264" t="s">
        <v>118</v>
      </c>
      <c r="BU264" t="s">
        <v>119</v>
      </c>
      <c r="BV264" t="s">
        <v>120</v>
      </c>
      <c r="BW264">
        <v>2150</v>
      </c>
      <c r="BX264">
        <v>2350</v>
      </c>
      <c r="BY264">
        <v>2561.5</v>
      </c>
      <c r="BZ264">
        <v>0.09</v>
      </c>
      <c r="CA264">
        <v>200</v>
      </c>
      <c r="CB264">
        <v>25.1</v>
      </c>
      <c r="CC264">
        <v>250</v>
      </c>
      <c r="CD264">
        <v>2150</v>
      </c>
      <c r="CE264" t="s">
        <v>121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0</v>
      </c>
      <c r="CN264" t="s">
        <v>201</v>
      </c>
      <c r="CO264">
        <v>1175</v>
      </c>
      <c r="CP264">
        <v>14100</v>
      </c>
      <c r="CQ264">
        <v>100</v>
      </c>
      <c r="CR264" t="s">
        <v>122</v>
      </c>
      <c r="CS264">
        <v>0</v>
      </c>
    </row>
    <row r="265" spans="1:97" x14ac:dyDescent="0.2">
      <c r="A265" t="s">
        <v>2044</v>
      </c>
      <c r="B265">
        <v>270</v>
      </c>
      <c r="C265" t="s">
        <v>2045</v>
      </c>
      <c r="D265" t="s">
        <v>2046</v>
      </c>
      <c r="E265" t="s">
        <v>1526</v>
      </c>
      <c r="F265" t="s">
        <v>101</v>
      </c>
      <c r="H265">
        <v>4</v>
      </c>
      <c r="I265">
        <v>3</v>
      </c>
      <c r="J265">
        <v>1</v>
      </c>
      <c r="K265" t="s">
        <v>102</v>
      </c>
      <c r="P265" t="s">
        <v>1984</v>
      </c>
      <c r="Q265" t="s">
        <v>1985</v>
      </c>
      <c r="R265" t="s">
        <v>1986</v>
      </c>
      <c r="S265" t="s">
        <v>1987</v>
      </c>
      <c r="T265">
        <v>0</v>
      </c>
      <c r="U265">
        <v>411.41</v>
      </c>
      <c r="V265">
        <v>0</v>
      </c>
      <c r="AM265" t="s">
        <v>107</v>
      </c>
      <c r="BC265">
        <v>17</v>
      </c>
      <c r="BD265" t="s">
        <v>108</v>
      </c>
      <c r="BE265" t="s">
        <v>109</v>
      </c>
      <c r="BG265" t="s">
        <v>110</v>
      </c>
      <c r="BH265" t="s">
        <v>111</v>
      </c>
      <c r="BI265" t="s">
        <v>112</v>
      </c>
      <c r="BJ265" t="s">
        <v>113</v>
      </c>
      <c r="BK265" t="s">
        <v>114</v>
      </c>
      <c r="BL265" t="s">
        <v>115</v>
      </c>
      <c r="BM265" t="s">
        <v>116</v>
      </c>
      <c r="BO265" t="s">
        <v>117</v>
      </c>
      <c r="BQ265">
        <v>357</v>
      </c>
      <c r="BR265" t="s">
        <v>118</v>
      </c>
      <c r="BU265" t="s">
        <v>119</v>
      </c>
      <c r="BV265" t="s">
        <v>120</v>
      </c>
      <c r="BW265">
        <v>0</v>
      </c>
      <c r="BX265">
        <v>895</v>
      </c>
      <c r="BY265">
        <v>975.55</v>
      </c>
      <c r="BZ265">
        <v>0.09</v>
      </c>
      <c r="CA265">
        <v>411.41</v>
      </c>
      <c r="CB265">
        <v>182.1</v>
      </c>
      <c r="CC265">
        <v>0</v>
      </c>
      <c r="CD265">
        <v>0</v>
      </c>
      <c r="CE265" t="s">
        <v>121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O265">
        <v>895</v>
      </c>
      <c r="CP265">
        <v>10740</v>
      </c>
      <c r="CR265" t="s">
        <v>122</v>
      </c>
      <c r="CS265">
        <v>0</v>
      </c>
    </row>
    <row r="266" spans="1:97" x14ac:dyDescent="0.2">
      <c r="A266" t="s">
        <v>2047</v>
      </c>
      <c r="B266">
        <v>271</v>
      </c>
      <c r="C266" t="s">
        <v>2048</v>
      </c>
      <c r="D266" t="s">
        <v>2049</v>
      </c>
      <c r="E266" t="s">
        <v>559</v>
      </c>
      <c r="F266" t="s">
        <v>101</v>
      </c>
      <c r="H266">
        <v>6</v>
      </c>
      <c r="I266">
        <v>6</v>
      </c>
      <c r="J266">
        <v>1</v>
      </c>
      <c r="K266" t="s">
        <v>102</v>
      </c>
      <c r="P266" t="s">
        <v>2050</v>
      </c>
      <c r="Q266" t="s">
        <v>2051</v>
      </c>
      <c r="R266" t="s">
        <v>2052</v>
      </c>
      <c r="S266" t="s">
        <v>2053</v>
      </c>
      <c r="T266">
        <v>3325</v>
      </c>
      <c r="U266">
        <v>250</v>
      </c>
      <c r="V266">
        <v>0</v>
      </c>
      <c r="AM266" t="s">
        <v>107</v>
      </c>
      <c r="BV266" t="s">
        <v>142</v>
      </c>
      <c r="CD266">
        <v>3325</v>
      </c>
      <c r="CO266">
        <v>0</v>
      </c>
      <c r="CP266">
        <v>0</v>
      </c>
      <c r="CR266" t="s">
        <v>143</v>
      </c>
      <c r="CS266">
        <v>0</v>
      </c>
    </row>
    <row r="267" spans="1:97" x14ac:dyDescent="0.2">
      <c r="A267" t="s">
        <v>2054</v>
      </c>
      <c r="B267">
        <v>272</v>
      </c>
      <c r="C267" t="s">
        <v>2055</v>
      </c>
      <c r="D267" t="s">
        <v>2056</v>
      </c>
      <c r="E267" t="s">
        <v>559</v>
      </c>
      <c r="F267" t="s">
        <v>101</v>
      </c>
      <c r="H267">
        <v>3</v>
      </c>
      <c r="I267">
        <v>3</v>
      </c>
      <c r="J267">
        <v>1</v>
      </c>
      <c r="K267" t="s">
        <v>102</v>
      </c>
      <c r="P267" t="s">
        <v>2050</v>
      </c>
      <c r="Q267" t="s">
        <v>2051</v>
      </c>
      <c r="R267" t="s">
        <v>2052</v>
      </c>
      <c r="S267" t="s">
        <v>2053</v>
      </c>
      <c r="T267">
        <v>2196.5100000000002</v>
      </c>
      <c r="U267">
        <v>100</v>
      </c>
      <c r="V267">
        <v>0</v>
      </c>
      <c r="W267">
        <v>211</v>
      </c>
      <c r="X267" t="s">
        <v>1446</v>
      </c>
      <c r="Y267" t="s">
        <v>109</v>
      </c>
      <c r="AA267" t="s">
        <v>1447</v>
      </c>
      <c r="AC267" t="s">
        <v>1448</v>
      </c>
      <c r="AE267" t="s">
        <v>1449</v>
      </c>
      <c r="AF267" t="s">
        <v>115</v>
      </c>
      <c r="AG267" t="s">
        <v>1450</v>
      </c>
      <c r="AI267" t="s">
        <v>1451</v>
      </c>
      <c r="AJ267">
        <v>668</v>
      </c>
      <c r="AK267" t="s">
        <v>2057</v>
      </c>
      <c r="AL267" t="s">
        <v>2058</v>
      </c>
      <c r="AM267" t="s">
        <v>163</v>
      </c>
      <c r="AO267">
        <v>1</v>
      </c>
      <c r="AT267">
        <v>1927.43</v>
      </c>
      <c r="AU267">
        <v>1927.44</v>
      </c>
      <c r="AV267">
        <v>2100.91</v>
      </c>
      <c r="AW267">
        <v>0.09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374</v>
      </c>
      <c r="BD267" t="s">
        <v>2059</v>
      </c>
      <c r="BE267" t="s">
        <v>109</v>
      </c>
      <c r="BG267" t="s">
        <v>2060</v>
      </c>
      <c r="BH267" t="s">
        <v>2061</v>
      </c>
      <c r="BI267" t="s">
        <v>2062</v>
      </c>
      <c r="BK267" t="s">
        <v>2063</v>
      </c>
      <c r="BL267" t="s">
        <v>2064</v>
      </c>
      <c r="BO267" t="s">
        <v>2065</v>
      </c>
      <c r="BQ267">
        <v>155</v>
      </c>
      <c r="BR267" t="s">
        <v>2057</v>
      </c>
      <c r="BS267" t="s">
        <v>2058</v>
      </c>
      <c r="BT267">
        <v>12</v>
      </c>
      <c r="BU267" t="s">
        <v>119</v>
      </c>
      <c r="BV267" t="s">
        <v>163</v>
      </c>
      <c r="BW267">
        <v>2737.83</v>
      </c>
      <c r="BX267">
        <v>2837.83</v>
      </c>
      <c r="BY267">
        <v>3093.23</v>
      </c>
      <c r="BZ267">
        <v>0.09</v>
      </c>
      <c r="CA267">
        <v>100</v>
      </c>
      <c r="CB267">
        <v>0</v>
      </c>
      <c r="CC267">
        <v>0</v>
      </c>
      <c r="CD267">
        <v>2196.5100000000002</v>
      </c>
      <c r="CE267" t="s">
        <v>121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O267">
        <v>910.38999999999987</v>
      </c>
      <c r="CP267">
        <v>10924.68</v>
      </c>
      <c r="CQ267">
        <v>47.23</v>
      </c>
      <c r="CR267" t="s">
        <v>168</v>
      </c>
      <c r="CS267">
        <v>829</v>
      </c>
    </row>
    <row r="268" spans="1:97" x14ac:dyDescent="0.2">
      <c r="A268" t="s">
        <v>2066</v>
      </c>
      <c r="B268">
        <v>273</v>
      </c>
      <c r="C268" t="s">
        <v>2067</v>
      </c>
      <c r="D268" t="s">
        <v>2056</v>
      </c>
      <c r="E268" t="s">
        <v>559</v>
      </c>
      <c r="F268" t="s">
        <v>101</v>
      </c>
      <c r="H268">
        <v>3</v>
      </c>
      <c r="I268">
        <v>3</v>
      </c>
      <c r="J268">
        <v>1</v>
      </c>
      <c r="K268" t="s">
        <v>102</v>
      </c>
      <c r="P268" t="s">
        <v>2050</v>
      </c>
      <c r="Q268" t="s">
        <v>2051</v>
      </c>
      <c r="R268" t="s">
        <v>2052</v>
      </c>
      <c r="S268" t="s">
        <v>2053</v>
      </c>
      <c r="T268">
        <v>2737.83</v>
      </c>
      <c r="U268">
        <v>100</v>
      </c>
      <c r="V268">
        <v>0</v>
      </c>
      <c r="W268">
        <v>211</v>
      </c>
      <c r="X268" t="s">
        <v>1446</v>
      </c>
      <c r="Y268" t="s">
        <v>109</v>
      </c>
      <c r="AA268" t="s">
        <v>1447</v>
      </c>
      <c r="AC268" t="s">
        <v>1448</v>
      </c>
      <c r="AE268" t="s">
        <v>1449</v>
      </c>
      <c r="AF268" t="s">
        <v>115</v>
      </c>
      <c r="AG268" t="s">
        <v>1450</v>
      </c>
      <c r="AI268" t="s">
        <v>1451</v>
      </c>
      <c r="AJ268">
        <v>669</v>
      </c>
      <c r="AK268" t="s">
        <v>2057</v>
      </c>
      <c r="AL268" t="s">
        <v>2058</v>
      </c>
      <c r="AM268" t="s">
        <v>163</v>
      </c>
      <c r="AO268">
        <v>1</v>
      </c>
      <c r="AT268">
        <v>1927.43</v>
      </c>
      <c r="AU268">
        <v>1927.44</v>
      </c>
      <c r="AV268">
        <v>2100.91</v>
      </c>
      <c r="AW268">
        <v>0.09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374</v>
      </c>
      <c r="BD268" t="s">
        <v>2059</v>
      </c>
      <c r="BE268" t="s">
        <v>109</v>
      </c>
      <c r="BG268" t="s">
        <v>2060</v>
      </c>
      <c r="BH268" t="s">
        <v>2061</v>
      </c>
      <c r="BI268" t="s">
        <v>2062</v>
      </c>
      <c r="BK268" t="s">
        <v>2063</v>
      </c>
      <c r="BL268" t="s">
        <v>2064</v>
      </c>
      <c r="BO268" t="s">
        <v>2065</v>
      </c>
      <c r="BQ268">
        <v>156</v>
      </c>
      <c r="BR268" t="s">
        <v>2057</v>
      </c>
      <c r="BS268" t="s">
        <v>2058</v>
      </c>
      <c r="BT268">
        <v>12</v>
      </c>
      <c r="BU268" t="s">
        <v>119</v>
      </c>
      <c r="BV268" t="s">
        <v>163</v>
      </c>
      <c r="BW268">
        <v>2737.83</v>
      </c>
      <c r="BX268">
        <v>2837.83</v>
      </c>
      <c r="BY268">
        <v>3093.23</v>
      </c>
      <c r="BZ268">
        <v>0.09</v>
      </c>
      <c r="CA268">
        <v>100</v>
      </c>
      <c r="CB268">
        <v>0</v>
      </c>
      <c r="CC268">
        <v>0</v>
      </c>
      <c r="CD268">
        <v>2737.83</v>
      </c>
      <c r="CE268" t="s">
        <v>121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O268">
        <v>910.38999999999987</v>
      </c>
      <c r="CP268">
        <v>10924.68</v>
      </c>
      <c r="CQ268">
        <v>47.23</v>
      </c>
      <c r="CR268" t="s">
        <v>168</v>
      </c>
      <c r="CS268">
        <v>829</v>
      </c>
    </row>
    <row r="269" spans="1:97" x14ac:dyDescent="0.2">
      <c r="A269" t="s">
        <v>2068</v>
      </c>
      <c r="B269">
        <v>2</v>
      </c>
      <c r="C269" t="s">
        <v>2069</v>
      </c>
      <c r="D269" t="s">
        <v>2056</v>
      </c>
      <c r="E269" t="s">
        <v>559</v>
      </c>
      <c r="F269" t="s">
        <v>101</v>
      </c>
      <c r="H269">
        <v>3</v>
      </c>
      <c r="I269">
        <v>3</v>
      </c>
      <c r="J269">
        <v>1</v>
      </c>
      <c r="K269" t="s">
        <v>102</v>
      </c>
      <c r="P269" t="s">
        <v>2050</v>
      </c>
      <c r="Q269" t="s">
        <v>2051</v>
      </c>
      <c r="R269" t="s">
        <v>2052</v>
      </c>
      <c r="S269" t="s">
        <v>2053</v>
      </c>
      <c r="T269">
        <v>2351.7600000000002</v>
      </c>
      <c r="U269">
        <v>250</v>
      </c>
      <c r="V269">
        <v>0</v>
      </c>
      <c r="W269">
        <v>211</v>
      </c>
      <c r="X269" t="s">
        <v>1446</v>
      </c>
      <c r="Y269" t="s">
        <v>109</v>
      </c>
      <c r="AA269" t="s">
        <v>1447</v>
      </c>
      <c r="AC269" t="s">
        <v>1448</v>
      </c>
      <c r="AE269" t="s">
        <v>1449</v>
      </c>
      <c r="AF269" t="s">
        <v>115</v>
      </c>
      <c r="AG269" t="s">
        <v>1450</v>
      </c>
      <c r="AI269" t="s">
        <v>1451</v>
      </c>
      <c r="AJ269">
        <v>670</v>
      </c>
      <c r="AK269" t="s">
        <v>2057</v>
      </c>
      <c r="AL269" t="s">
        <v>2058</v>
      </c>
      <c r="AM269" t="s">
        <v>163</v>
      </c>
      <c r="AO269">
        <v>1</v>
      </c>
      <c r="AT269">
        <v>1927.43</v>
      </c>
      <c r="AU269">
        <v>1927.44</v>
      </c>
      <c r="AV269">
        <v>2100.91</v>
      </c>
      <c r="AW269">
        <v>0.09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190</v>
      </c>
      <c r="BD269" t="s">
        <v>1491</v>
      </c>
      <c r="BE269" t="s">
        <v>109</v>
      </c>
      <c r="BG269" t="s">
        <v>1492</v>
      </c>
      <c r="BI269" t="s">
        <v>1493</v>
      </c>
      <c r="BK269" t="s">
        <v>233</v>
      </c>
      <c r="BL269" t="s">
        <v>115</v>
      </c>
      <c r="BM269" t="s">
        <v>1494</v>
      </c>
      <c r="BQ269">
        <v>157</v>
      </c>
      <c r="BR269" t="s">
        <v>2057</v>
      </c>
      <c r="BS269" t="s">
        <v>2058</v>
      </c>
      <c r="BT269">
        <v>12</v>
      </c>
      <c r="BU269" t="s">
        <v>119</v>
      </c>
      <c r="BV269" t="s">
        <v>163</v>
      </c>
      <c r="BW269">
        <v>2909.6</v>
      </c>
      <c r="BX269">
        <v>3159.6</v>
      </c>
      <c r="BY269">
        <v>3443.96</v>
      </c>
      <c r="BZ269">
        <v>0.09</v>
      </c>
      <c r="CA269">
        <v>250</v>
      </c>
      <c r="CB269">
        <v>0</v>
      </c>
      <c r="CC269">
        <v>0</v>
      </c>
      <c r="CD269">
        <v>2351.7600000000002</v>
      </c>
      <c r="CE269" t="s">
        <v>121</v>
      </c>
      <c r="CF269">
        <v>1</v>
      </c>
      <c r="CG269">
        <v>1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O269">
        <v>1232.1600000000001</v>
      </c>
      <c r="CP269">
        <v>14785.92</v>
      </c>
      <c r="CQ269">
        <v>63.93</v>
      </c>
      <c r="CR269" t="s">
        <v>168</v>
      </c>
      <c r="CS269">
        <v>829</v>
      </c>
    </row>
    <row r="270" spans="1:97" x14ac:dyDescent="0.2">
      <c r="A270" t="s">
        <v>2070</v>
      </c>
      <c r="B270">
        <v>274</v>
      </c>
      <c r="C270" t="s">
        <v>2071</v>
      </c>
      <c r="D270" t="s">
        <v>2056</v>
      </c>
      <c r="E270" t="s">
        <v>559</v>
      </c>
      <c r="F270" t="s">
        <v>101</v>
      </c>
      <c r="H270">
        <v>3</v>
      </c>
      <c r="I270">
        <v>3</v>
      </c>
      <c r="J270">
        <v>1</v>
      </c>
      <c r="K270" t="s">
        <v>102</v>
      </c>
      <c r="P270" t="s">
        <v>2050</v>
      </c>
      <c r="Q270" t="s">
        <v>2051</v>
      </c>
      <c r="R270" t="s">
        <v>2052</v>
      </c>
      <c r="S270" t="s">
        <v>2053</v>
      </c>
      <c r="T270">
        <v>2909.6</v>
      </c>
      <c r="U270">
        <v>250</v>
      </c>
      <c r="V270">
        <v>0</v>
      </c>
      <c r="W270">
        <v>211</v>
      </c>
      <c r="X270" t="s">
        <v>1446</v>
      </c>
      <c r="Y270" t="s">
        <v>109</v>
      </c>
      <c r="AA270" t="s">
        <v>1447</v>
      </c>
      <c r="AC270" t="s">
        <v>1448</v>
      </c>
      <c r="AE270" t="s">
        <v>1449</v>
      </c>
      <c r="AF270" t="s">
        <v>115</v>
      </c>
      <c r="AG270" t="s">
        <v>1450</v>
      </c>
      <c r="AI270" t="s">
        <v>1451</v>
      </c>
      <c r="AJ270">
        <v>671</v>
      </c>
      <c r="AK270" t="s">
        <v>2057</v>
      </c>
      <c r="AL270" t="s">
        <v>2058</v>
      </c>
      <c r="AM270" t="s">
        <v>163</v>
      </c>
      <c r="AO270">
        <v>1</v>
      </c>
      <c r="AT270">
        <v>1927.43</v>
      </c>
      <c r="AU270">
        <v>1927.44</v>
      </c>
      <c r="AV270">
        <v>2100.91</v>
      </c>
      <c r="AW270">
        <v>0.09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190</v>
      </c>
      <c r="BD270" t="s">
        <v>1491</v>
      </c>
      <c r="BE270" t="s">
        <v>109</v>
      </c>
      <c r="BG270" t="s">
        <v>1492</v>
      </c>
      <c r="BI270" t="s">
        <v>1493</v>
      </c>
      <c r="BK270" t="s">
        <v>233</v>
      </c>
      <c r="BL270" t="s">
        <v>115</v>
      </c>
      <c r="BM270" t="s">
        <v>1494</v>
      </c>
      <c r="BQ270">
        <v>158</v>
      </c>
      <c r="BR270" t="s">
        <v>2057</v>
      </c>
      <c r="BS270" t="s">
        <v>2058</v>
      </c>
      <c r="BT270">
        <v>12</v>
      </c>
      <c r="BU270" t="s">
        <v>119</v>
      </c>
      <c r="BV270" t="s">
        <v>163</v>
      </c>
      <c r="BW270">
        <v>2909.6</v>
      </c>
      <c r="BX270">
        <v>3159.6</v>
      </c>
      <c r="BY270">
        <v>3443.96</v>
      </c>
      <c r="BZ270">
        <v>0.09</v>
      </c>
      <c r="CA270">
        <v>250</v>
      </c>
      <c r="CB270">
        <v>0</v>
      </c>
      <c r="CC270">
        <v>0</v>
      </c>
      <c r="CD270">
        <v>2909.6</v>
      </c>
      <c r="CE270" t="s">
        <v>121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O270">
        <v>1232.1600000000001</v>
      </c>
      <c r="CP270">
        <v>14785.92</v>
      </c>
      <c r="CQ270">
        <v>63.93</v>
      </c>
      <c r="CR270" t="s">
        <v>168</v>
      </c>
      <c r="CS270">
        <v>829</v>
      </c>
    </row>
    <row r="271" spans="1:97" x14ac:dyDescent="0.2">
      <c r="A271" t="s">
        <v>2072</v>
      </c>
      <c r="B271">
        <v>275</v>
      </c>
      <c r="C271" t="s">
        <v>2073</v>
      </c>
      <c r="D271" t="s">
        <v>2056</v>
      </c>
      <c r="E271" t="s">
        <v>559</v>
      </c>
      <c r="F271" t="s">
        <v>101</v>
      </c>
      <c r="H271">
        <v>3</v>
      </c>
      <c r="I271">
        <v>3</v>
      </c>
      <c r="J271">
        <v>1</v>
      </c>
      <c r="K271" t="s">
        <v>102</v>
      </c>
      <c r="P271" t="s">
        <v>2050</v>
      </c>
      <c r="Q271" t="s">
        <v>2051</v>
      </c>
      <c r="R271" t="s">
        <v>2052</v>
      </c>
      <c r="S271" t="s">
        <v>2053</v>
      </c>
      <c r="T271">
        <v>2909.6</v>
      </c>
      <c r="U271">
        <v>250</v>
      </c>
      <c r="V271">
        <v>0</v>
      </c>
      <c r="W271">
        <v>211</v>
      </c>
      <c r="X271" t="s">
        <v>1446</v>
      </c>
      <c r="Y271" t="s">
        <v>109</v>
      </c>
      <c r="AA271" t="s">
        <v>1447</v>
      </c>
      <c r="AC271" t="s">
        <v>1448</v>
      </c>
      <c r="AE271" t="s">
        <v>1449</v>
      </c>
      <c r="AF271" t="s">
        <v>115</v>
      </c>
      <c r="AG271" t="s">
        <v>1450</v>
      </c>
      <c r="AI271" t="s">
        <v>1451</v>
      </c>
      <c r="AJ271">
        <v>672</v>
      </c>
      <c r="AK271" t="s">
        <v>2057</v>
      </c>
      <c r="AL271" t="s">
        <v>2058</v>
      </c>
      <c r="AM271" t="s">
        <v>163</v>
      </c>
      <c r="AO271">
        <v>1</v>
      </c>
      <c r="AT271">
        <v>1927.43</v>
      </c>
      <c r="AU271">
        <v>1927.44</v>
      </c>
      <c r="AV271">
        <v>2100.91</v>
      </c>
      <c r="AW271">
        <v>0.09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190</v>
      </c>
      <c r="BD271" t="s">
        <v>1491</v>
      </c>
      <c r="BE271" t="s">
        <v>109</v>
      </c>
      <c r="BG271" t="s">
        <v>1492</v>
      </c>
      <c r="BI271" t="s">
        <v>1493</v>
      </c>
      <c r="BK271" t="s">
        <v>233</v>
      </c>
      <c r="BL271" t="s">
        <v>115</v>
      </c>
      <c r="BM271" t="s">
        <v>1494</v>
      </c>
      <c r="BQ271">
        <v>159</v>
      </c>
      <c r="BR271" t="s">
        <v>2057</v>
      </c>
      <c r="BS271" t="s">
        <v>2058</v>
      </c>
      <c r="BT271">
        <v>12</v>
      </c>
      <c r="BU271" t="s">
        <v>119</v>
      </c>
      <c r="BV271" t="s">
        <v>163</v>
      </c>
      <c r="BW271">
        <v>2909.6</v>
      </c>
      <c r="BX271">
        <v>3159.6</v>
      </c>
      <c r="BY271">
        <v>3443.96</v>
      </c>
      <c r="BZ271">
        <v>0.09</v>
      </c>
      <c r="CA271">
        <v>250</v>
      </c>
      <c r="CB271">
        <v>0</v>
      </c>
      <c r="CC271">
        <v>0</v>
      </c>
      <c r="CD271">
        <v>2909.6</v>
      </c>
      <c r="CE271" t="s">
        <v>121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O271">
        <v>1232.1600000000001</v>
      </c>
      <c r="CP271">
        <v>14785.92</v>
      </c>
      <c r="CQ271">
        <v>63.93</v>
      </c>
      <c r="CR271" t="s">
        <v>168</v>
      </c>
      <c r="CS271">
        <v>829</v>
      </c>
    </row>
    <row r="272" spans="1:97" x14ac:dyDescent="0.2">
      <c r="A272" t="s">
        <v>2074</v>
      </c>
      <c r="B272">
        <v>276</v>
      </c>
      <c r="C272" t="s">
        <v>2075</v>
      </c>
      <c r="D272" t="s">
        <v>2056</v>
      </c>
      <c r="E272" t="s">
        <v>559</v>
      </c>
      <c r="F272" t="s">
        <v>101</v>
      </c>
      <c r="H272">
        <v>2</v>
      </c>
      <c r="I272">
        <v>2</v>
      </c>
      <c r="J272">
        <v>1</v>
      </c>
      <c r="K272" t="s">
        <v>102</v>
      </c>
      <c r="P272" t="s">
        <v>2050</v>
      </c>
      <c r="Q272" t="s">
        <v>2051</v>
      </c>
      <c r="R272" t="s">
        <v>2052</v>
      </c>
      <c r="S272" t="s">
        <v>2053</v>
      </c>
      <c r="T272">
        <v>3157.68</v>
      </c>
      <c r="U272">
        <v>200</v>
      </c>
      <c r="V272">
        <v>0</v>
      </c>
      <c r="W272">
        <v>211</v>
      </c>
      <c r="X272" t="s">
        <v>1446</v>
      </c>
      <c r="Y272" t="s">
        <v>109</v>
      </c>
      <c r="AA272" t="s">
        <v>1447</v>
      </c>
      <c r="AC272" t="s">
        <v>1448</v>
      </c>
      <c r="AE272" t="s">
        <v>1449</v>
      </c>
      <c r="AF272" t="s">
        <v>115</v>
      </c>
      <c r="AG272" t="s">
        <v>1450</v>
      </c>
      <c r="AI272" t="s">
        <v>1451</v>
      </c>
      <c r="AJ272">
        <v>673</v>
      </c>
      <c r="AK272" t="s">
        <v>2057</v>
      </c>
      <c r="AL272" t="s">
        <v>2058</v>
      </c>
      <c r="AM272" t="s">
        <v>163</v>
      </c>
      <c r="AO272">
        <v>1</v>
      </c>
      <c r="AT272">
        <v>1284.95</v>
      </c>
      <c r="AU272">
        <v>1284.94</v>
      </c>
      <c r="AV272">
        <v>1400.58</v>
      </c>
      <c r="AW272">
        <v>0.09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217</v>
      </c>
      <c r="BD272" t="s">
        <v>2076</v>
      </c>
      <c r="BE272" t="s">
        <v>109</v>
      </c>
      <c r="BG272" t="s">
        <v>2077</v>
      </c>
      <c r="BI272" t="s">
        <v>2078</v>
      </c>
      <c r="BK272" t="s">
        <v>2079</v>
      </c>
      <c r="BL272" t="s">
        <v>115</v>
      </c>
      <c r="BM272" t="s">
        <v>2080</v>
      </c>
      <c r="BQ272">
        <v>160</v>
      </c>
      <c r="BR272" t="s">
        <v>2057</v>
      </c>
      <c r="BS272" t="s">
        <v>2058</v>
      </c>
      <c r="BT272">
        <v>12</v>
      </c>
      <c r="BU272" t="s">
        <v>119</v>
      </c>
      <c r="BV272" t="s">
        <v>163</v>
      </c>
      <c r="BW272">
        <v>1552.29</v>
      </c>
      <c r="BX272">
        <v>1752.29</v>
      </c>
      <c r="BY272">
        <v>1910</v>
      </c>
      <c r="BZ272">
        <v>0.09</v>
      </c>
      <c r="CA272">
        <v>200</v>
      </c>
      <c r="CB272">
        <v>0</v>
      </c>
      <c r="CC272">
        <v>0</v>
      </c>
      <c r="CD272">
        <v>3157.68</v>
      </c>
      <c r="CE272" t="s">
        <v>121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O272">
        <v>467.34999999999991</v>
      </c>
      <c r="CP272">
        <v>5608.1999999999989</v>
      </c>
      <c r="CQ272">
        <v>36.369999999999997</v>
      </c>
      <c r="CR272" t="s">
        <v>168</v>
      </c>
      <c r="CS272">
        <v>829</v>
      </c>
    </row>
    <row r="273" spans="1:97" x14ac:dyDescent="0.2">
      <c r="A273" t="s">
        <v>2081</v>
      </c>
      <c r="B273">
        <v>277</v>
      </c>
      <c r="C273" t="s">
        <v>2082</v>
      </c>
      <c r="D273" t="s">
        <v>2056</v>
      </c>
      <c r="E273" t="s">
        <v>559</v>
      </c>
      <c r="F273" t="s">
        <v>101</v>
      </c>
      <c r="H273">
        <v>3</v>
      </c>
      <c r="I273">
        <v>3</v>
      </c>
      <c r="J273">
        <v>1</v>
      </c>
      <c r="K273" t="s">
        <v>102</v>
      </c>
      <c r="P273" t="s">
        <v>2050</v>
      </c>
      <c r="Q273" t="s">
        <v>2051</v>
      </c>
      <c r="R273" t="s">
        <v>2052</v>
      </c>
      <c r="S273" t="s">
        <v>2053</v>
      </c>
      <c r="T273">
        <v>2498.54</v>
      </c>
      <c r="U273">
        <v>250</v>
      </c>
      <c r="V273">
        <v>0</v>
      </c>
      <c r="W273">
        <v>211</v>
      </c>
      <c r="X273" t="s">
        <v>1446</v>
      </c>
      <c r="Y273" t="s">
        <v>109</v>
      </c>
      <c r="AA273" t="s">
        <v>1447</v>
      </c>
      <c r="AC273" t="s">
        <v>1448</v>
      </c>
      <c r="AE273" t="s">
        <v>1449</v>
      </c>
      <c r="AF273" t="s">
        <v>115</v>
      </c>
      <c r="AG273" t="s">
        <v>1450</v>
      </c>
      <c r="AI273" t="s">
        <v>1451</v>
      </c>
      <c r="AJ273">
        <v>674</v>
      </c>
      <c r="AK273" t="s">
        <v>2057</v>
      </c>
      <c r="AL273" t="s">
        <v>2058</v>
      </c>
      <c r="AM273" t="s">
        <v>163</v>
      </c>
      <c r="AO273">
        <v>1</v>
      </c>
      <c r="AT273">
        <v>1927.43</v>
      </c>
      <c r="AU273">
        <v>1927.44</v>
      </c>
      <c r="AV273">
        <v>2100.91</v>
      </c>
      <c r="AW273">
        <v>0.09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190</v>
      </c>
      <c r="BD273" t="s">
        <v>1491</v>
      </c>
      <c r="BE273" t="s">
        <v>109</v>
      </c>
      <c r="BG273" t="s">
        <v>1492</v>
      </c>
      <c r="BI273" t="s">
        <v>1493</v>
      </c>
      <c r="BK273" t="s">
        <v>233</v>
      </c>
      <c r="BL273" t="s">
        <v>115</v>
      </c>
      <c r="BM273" t="s">
        <v>1494</v>
      </c>
      <c r="BQ273">
        <v>161</v>
      </c>
      <c r="BR273" t="s">
        <v>2057</v>
      </c>
      <c r="BS273" t="s">
        <v>2058</v>
      </c>
      <c r="BT273">
        <v>6</v>
      </c>
      <c r="BU273" t="s">
        <v>119</v>
      </c>
      <c r="BV273" t="s">
        <v>163</v>
      </c>
      <c r="BW273">
        <v>2498.54</v>
      </c>
      <c r="BX273">
        <v>2748.54</v>
      </c>
      <c r="BY273">
        <v>2995.91</v>
      </c>
      <c r="BZ273">
        <v>0.09</v>
      </c>
      <c r="CA273">
        <v>250</v>
      </c>
      <c r="CB273">
        <v>0</v>
      </c>
      <c r="CC273">
        <v>0</v>
      </c>
      <c r="CD273">
        <v>2498.54</v>
      </c>
      <c r="CE273" t="s">
        <v>121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O273">
        <v>821.09999999999991</v>
      </c>
      <c r="CP273">
        <v>9853.1999999999989</v>
      </c>
      <c r="CQ273">
        <v>42.6</v>
      </c>
      <c r="CR273" t="s">
        <v>168</v>
      </c>
      <c r="CS273">
        <v>829</v>
      </c>
    </row>
    <row r="274" spans="1:97" x14ac:dyDescent="0.2">
      <c r="A274" t="s">
        <v>2083</v>
      </c>
      <c r="B274">
        <v>278</v>
      </c>
      <c r="C274" t="s">
        <v>2084</v>
      </c>
      <c r="D274" t="s">
        <v>2056</v>
      </c>
      <c r="E274" t="s">
        <v>559</v>
      </c>
      <c r="F274" t="s">
        <v>101</v>
      </c>
      <c r="H274">
        <v>3</v>
      </c>
      <c r="I274">
        <v>3</v>
      </c>
      <c r="J274">
        <v>1</v>
      </c>
      <c r="K274" t="s">
        <v>102</v>
      </c>
      <c r="P274" t="s">
        <v>2050</v>
      </c>
      <c r="Q274" t="s">
        <v>2051</v>
      </c>
      <c r="R274" t="s">
        <v>2052</v>
      </c>
      <c r="S274" t="s">
        <v>2053</v>
      </c>
      <c r="T274">
        <v>2394.3000000000002</v>
      </c>
      <c r="U274">
        <v>250</v>
      </c>
      <c r="V274">
        <v>0</v>
      </c>
      <c r="W274">
        <v>211</v>
      </c>
      <c r="X274" t="s">
        <v>1446</v>
      </c>
      <c r="Y274" t="s">
        <v>109</v>
      </c>
      <c r="AA274" t="s">
        <v>1447</v>
      </c>
      <c r="AC274" t="s">
        <v>1448</v>
      </c>
      <c r="AE274" t="s">
        <v>1449</v>
      </c>
      <c r="AF274" t="s">
        <v>115</v>
      </c>
      <c r="AG274" t="s">
        <v>1450</v>
      </c>
      <c r="AI274" t="s">
        <v>1451</v>
      </c>
      <c r="AJ274">
        <v>675</v>
      </c>
      <c r="AK274" t="s">
        <v>2057</v>
      </c>
      <c r="AL274" t="s">
        <v>2058</v>
      </c>
      <c r="AM274" t="s">
        <v>163</v>
      </c>
      <c r="AO274">
        <v>1</v>
      </c>
      <c r="AT274">
        <v>1927.43</v>
      </c>
      <c r="AU274">
        <v>1927.44</v>
      </c>
      <c r="AV274">
        <v>2100.91</v>
      </c>
      <c r="AW274">
        <v>0.09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190</v>
      </c>
      <c r="BD274" t="s">
        <v>1491</v>
      </c>
      <c r="BE274" t="s">
        <v>109</v>
      </c>
      <c r="BG274" t="s">
        <v>1492</v>
      </c>
      <c r="BI274" t="s">
        <v>1493</v>
      </c>
      <c r="BK274" t="s">
        <v>233</v>
      </c>
      <c r="BL274" t="s">
        <v>115</v>
      </c>
      <c r="BM274" t="s">
        <v>1494</v>
      </c>
      <c r="BQ274">
        <v>162</v>
      </c>
      <c r="BR274" t="s">
        <v>2057</v>
      </c>
      <c r="BS274" t="s">
        <v>2058</v>
      </c>
      <c r="BT274">
        <v>6</v>
      </c>
      <c r="BU274" t="s">
        <v>119</v>
      </c>
      <c r="BV274" t="s">
        <v>163</v>
      </c>
      <c r="BW274">
        <v>2498.54</v>
      </c>
      <c r="BX274">
        <v>2748.54</v>
      </c>
      <c r="BY274">
        <v>2995.91</v>
      </c>
      <c r="BZ274">
        <v>0.09</v>
      </c>
      <c r="CA274">
        <v>250</v>
      </c>
      <c r="CB274">
        <v>0</v>
      </c>
      <c r="CC274">
        <v>0</v>
      </c>
      <c r="CD274">
        <v>2394.3000000000002</v>
      </c>
      <c r="CE274" t="s">
        <v>121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O274">
        <v>821.09999999999991</v>
      </c>
      <c r="CP274">
        <v>9853.1999999999989</v>
      </c>
      <c r="CQ274">
        <v>42.6</v>
      </c>
      <c r="CR274" t="s">
        <v>168</v>
      </c>
      <c r="CS274">
        <v>829</v>
      </c>
    </row>
    <row r="275" spans="1:97" x14ac:dyDescent="0.2">
      <c r="A275" t="s">
        <v>2085</v>
      </c>
      <c r="B275">
        <v>279</v>
      </c>
      <c r="C275" t="s">
        <v>2086</v>
      </c>
      <c r="D275" t="s">
        <v>2087</v>
      </c>
      <c r="E275" t="s">
        <v>272</v>
      </c>
      <c r="F275" t="s">
        <v>101</v>
      </c>
      <c r="H275">
        <v>2</v>
      </c>
      <c r="I275">
        <v>2</v>
      </c>
      <c r="J275">
        <v>1</v>
      </c>
      <c r="K275" t="s">
        <v>102</v>
      </c>
      <c r="P275" t="s">
        <v>2088</v>
      </c>
      <c r="Q275" t="s">
        <v>2089</v>
      </c>
      <c r="R275" t="s">
        <v>2090</v>
      </c>
      <c r="S275" t="s">
        <v>2091</v>
      </c>
      <c r="T275">
        <v>1503.32</v>
      </c>
      <c r="U275">
        <v>100</v>
      </c>
      <c r="V275">
        <v>0</v>
      </c>
      <c r="AJ275">
        <v>698</v>
      </c>
      <c r="AM275" t="s">
        <v>120</v>
      </c>
      <c r="AO275">
        <v>1</v>
      </c>
      <c r="AT275">
        <v>1426.43</v>
      </c>
      <c r="AU275">
        <v>1526.43</v>
      </c>
      <c r="AV275">
        <v>1663.81</v>
      </c>
      <c r="AW275">
        <v>0.09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172</v>
      </c>
      <c r="BD275" t="s">
        <v>2092</v>
      </c>
      <c r="BE275" t="s">
        <v>109</v>
      </c>
      <c r="BG275" t="s">
        <v>2093</v>
      </c>
      <c r="BH275" t="s">
        <v>2094</v>
      </c>
      <c r="BI275" t="s">
        <v>2095</v>
      </c>
      <c r="BK275" t="s">
        <v>2096</v>
      </c>
      <c r="BL275" t="s">
        <v>115</v>
      </c>
      <c r="BM275" t="s">
        <v>2097</v>
      </c>
      <c r="BO275" t="s">
        <v>2098</v>
      </c>
      <c r="BQ275">
        <v>190</v>
      </c>
      <c r="BR275" t="s">
        <v>2099</v>
      </c>
      <c r="BS275" t="s">
        <v>2100</v>
      </c>
      <c r="BT275">
        <v>12</v>
      </c>
      <c r="BU275" t="s">
        <v>119</v>
      </c>
      <c r="BV275" t="s">
        <v>163</v>
      </c>
      <c r="BW275">
        <v>1503.32</v>
      </c>
      <c r="BX275">
        <v>1603.32</v>
      </c>
      <c r="BY275">
        <v>1747.62</v>
      </c>
      <c r="BZ275">
        <v>0.09</v>
      </c>
      <c r="CA275">
        <v>100</v>
      </c>
      <c r="CB275">
        <v>0</v>
      </c>
      <c r="CC275">
        <v>250</v>
      </c>
      <c r="CD275">
        <v>1503.32</v>
      </c>
      <c r="CE275" t="s">
        <v>121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 t="s">
        <v>201</v>
      </c>
      <c r="CO275">
        <v>76.889999999999873</v>
      </c>
      <c r="CP275">
        <v>922.67999999999847</v>
      </c>
      <c r="CQ275">
        <v>5.04</v>
      </c>
      <c r="CR275" t="s">
        <v>168</v>
      </c>
      <c r="CS275">
        <v>69</v>
      </c>
    </row>
    <row r="276" spans="1:97" x14ac:dyDescent="0.2">
      <c r="A276" t="s">
        <v>2101</v>
      </c>
      <c r="B276">
        <v>280</v>
      </c>
      <c r="C276" t="s">
        <v>2102</v>
      </c>
      <c r="D276" t="s">
        <v>2087</v>
      </c>
      <c r="E276" t="s">
        <v>272</v>
      </c>
      <c r="F276" t="s">
        <v>101</v>
      </c>
      <c r="H276">
        <v>2</v>
      </c>
      <c r="I276">
        <v>2</v>
      </c>
      <c r="J276">
        <v>1</v>
      </c>
      <c r="K276" t="s">
        <v>102</v>
      </c>
      <c r="P276" t="s">
        <v>2103</v>
      </c>
      <c r="Q276" t="s">
        <v>2104</v>
      </c>
      <c r="R276" t="s">
        <v>2105</v>
      </c>
      <c r="S276" t="s">
        <v>2106</v>
      </c>
      <c r="T276">
        <v>1503.32</v>
      </c>
      <c r="U276">
        <v>100</v>
      </c>
      <c r="V276">
        <v>0</v>
      </c>
      <c r="AJ276">
        <v>699</v>
      </c>
      <c r="AM276" t="s">
        <v>120</v>
      </c>
      <c r="AO276">
        <v>1</v>
      </c>
      <c r="AT276">
        <v>1426.43</v>
      </c>
      <c r="AU276">
        <v>1526.43</v>
      </c>
      <c r="AV276">
        <v>1663.81</v>
      </c>
      <c r="AW276">
        <v>0.09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172</v>
      </c>
      <c r="BD276" t="s">
        <v>2092</v>
      </c>
      <c r="BE276" t="s">
        <v>109</v>
      </c>
      <c r="BG276" t="s">
        <v>2093</v>
      </c>
      <c r="BH276" t="s">
        <v>2094</v>
      </c>
      <c r="BI276" t="s">
        <v>2095</v>
      </c>
      <c r="BK276" t="s">
        <v>2096</v>
      </c>
      <c r="BL276" t="s">
        <v>115</v>
      </c>
      <c r="BM276" t="s">
        <v>2097</v>
      </c>
      <c r="BO276" t="s">
        <v>2098</v>
      </c>
      <c r="BQ276">
        <v>191</v>
      </c>
      <c r="BR276" t="s">
        <v>2099</v>
      </c>
      <c r="BS276" t="s">
        <v>2100</v>
      </c>
      <c r="BT276">
        <v>12</v>
      </c>
      <c r="BU276" t="s">
        <v>119</v>
      </c>
      <c r="BV276" t="s">
        <v>163</v>
      </c>
      <c r="BW276">
        <v>1503.32</v>
      </c>
      <c r="BX276">
        <v>1603.32</v>
      </c>
      <c r="BY276">
        <v>1747.62</v>
      </c>
      <c r="BZ276">
        <v>0.09</v>
      </c>
      <c r="CA276">
        <v>100</v>
      </c>
      <c r="CB276">
        <v>0</v>
      </c>
      <c r="CC276">
        <v>0</v>
      </c>
      <c r="CD276">
        <v>1503.32</v>
      </c>
      <c r="CE276" t="s">
        <v>121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O276">
        <v>76.889999999999873</v>
      </c>
      <c r="CP276">
        <v>922.67999999999847</v>
      </c>
      <c r="CQ276">
        <v>5.04</v>
      </c>
      <c r="CR276" t="s">
        <v>168</v>
      </c>
      <c r="CS276">
        <v>69</v>
      </c>
    </row>
    <row r="277" spans="1:97" x14ac:dyDescent="0.2">
      <c r="A277" t="s">
        <v>2107</v>
      </c>
      <c r="B277">
        <v>281</v>
      </c>
      <c r="C277" t="s">
        <v>2108</v>
      </c>
      <c r="D277" t="s">
        <v>2087</v>
      </c>
      <c r="E277" t="s">
        <v>272</v>
      </c>
      <c r="F277" t="s">
        <v>101</v>
      </c>
      <c r="H277">
        <v>2</v>
      </c>
      <c r="I277">
        <v>2</v>
      </c>
      <c r="J277">
        <v>1</v>
      </c>
      <c r="K277" t="s">
        <v>102</v>
      </c>
      <c r="P277" t="s">
        <v>2109</v>
      </c>
      <c r="Q277" t="s">
        <v>2110</v>
      </c>
      <c r="R277" t="s">
        <v>2111</v>
      </c>
      <c r="S277" t="s">
        <v>2112</v>
      </c>
      <c r="T277">
        <v>1503.32</v>
      </c>
      <c r="U277">
        <v>100</v>
      </c>
      <c r="V277">
        <v>0</v>
      </c>
      <c r="AJ277">
        <v>700</v>
      </c>
      <c r="AM277" t="s">
        <v>120</v>
      </c>
      <c r="AO277">
        <v>1</v>
      </c>
      <c r="AT277">
        <v>1426.43</v>
      </c>
      <c r="AU277">
        <v>1526.43</v>
      </c>
      <c r="AV277">
        <v>1663.81</v>
      </c>
      <c r="AW277">
        <v>0.09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172</v>
      </c>
      <c r="BD277" t="s">
        <v>2092</v>
      </c>
      <c r="BE277" t="s">
        <v>109</v>
      </c>
      <c r="BG277" t="s">
        <v>2093</v>
      </c>
      <c r="BH277" t="s">
        <v>2094</v>
      </c>
      <c r="BI277" t="s">
        <v>2095</v>
      </c>
      <c r="BK277" t="s">
        <v>2096</v>
      </c>
      <c r="BL277" t="s">
        <v>115</v>
      </c>
      <c r="BM277" t="s">
        <v>2097</v>
      </c>
      <c r="BO277" t="s">
        <v>2098</v>
      </c>
      <c r="BQ277">
        <v>192</v>
      </c>
      <c r="BR277" t="s">
        <v>2099</v>
      </c>
      <c r="BS277" t="s">
        <v>2100</v>
      </c>
      <c r="BT277">
        <v>12</v>
      </c>
      <c r="BU277" t="s">
        <v>119</v>
      </c>
      <c r="BV277" t="s">
        <v>163</v>
      </c>
      <c r="BW277">
        <v>1503.32</v>
      </c>
      <c r="BX277">
        <v>1603.32</v>
      </c>
      <c r="BY277">
        <v>1747.62</v>
      </c>
      <c r="BZ277">
        <v>0.09</v>
      </c>
      <c r="CA277">
        <v>100</v>
      </c>
      <c r="CB277">
        <v>0</v>
      </c>
      <c r="CC277">
        <v>0</v>
      </c>
      <c r="CD277">
        <v>1503.32</v>
      </c>
      <c r="CE277" t="s">
        <v>121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O277">
        <v>76.889999999999873</v>
      </c>
      <c r="CP277">
        <v>922.67999999999847</v>
      </c>
      <c r="CQ277">
        <v>5.04</v>
      </c>
      <c r="CR277" t="s">
        <v>168</v>
      </c>
      <c r="CS277">
        <v>69</v>
      </c>
    </row>
    <row r="278" spans="1:97" x14ac:dyDescent="0.2">
      <c r="A278" t="s">
        <v>2113</v>
      </c>
      <c r="B278">
        <v>282</v>
      </c>
      <c r="C278" t="s">
        <v>2114</v>
      </c>
      <c r="D278" t="s">
        <v>2087</v>
      </c>
      <c r="E278" t="s">
        <v>272</v>
      </c>
      <c r="F278" t="s">
        <v>101</v>
      </c>
      <c r="H278">
        <v>3</v>
      </c>
      <c r="I278">
        <v>3</v>
      </c>
      <c r="J278">
        <v>1</v>
      </c>
      <c r="K278" t="s">
        <v>102</v>
      </c>
      <c r="P278" t="s">
        <v>2115</v>
      </c>
      <c r="Q278" t="s">
        <v>2116</v>
      </c>
      <c r="R278" t="s">
        <v>2117</v>
      </c>
      <c r="S278" t="s">
        <v>2118</v>
      </c>
      <c r="T278">
        <v>2255</v>
      </c>
      <c r="U278">
        <v>150</v>
      </c>
      <c r="V278">
        <v>0</v>
      </c>
      <c r="AM278" t="s">
        <v>107</v>
      </c>
      <c r="BV278" t="s">
        <v>142</v>
      </c>
      <c r="CD278">
        <v>2255</v>
      </c>
      <c r="CO278">
        <v>0</v>
      </c>
      <c r="CP278">
        <v>0</v>
      </c>
      <c r="CR278" t="s">
        <v>143</v>
      </c>
      <c r="CS278">
        <v>0</v>
      </c>
    </row>
    <row r="279" spans="1:97" x14ac:dyDescent="0.2">
      <c r="A279" t="s">
        <v>2119</v>
      </c>
      <c r="B279">
        <v>283</v>
      </c>
      <c r="C279" t="s">
        <v>2120</v>
      </c>
      <c r="D279" t="s">
        <v>2087</v>
      </c>
      <c r="E279" t="s">
        <v>272</v>
      </c>
      <c r="F279" t="s">
        <v>101</v>
      </c>
      <c r="H279">
        <v>3</v>
      </c>
      <c r="I279">
        <v>3</v>
      </c>
      <c r="J279">
        <v>1</v>
      </c>
      <c r="K279" t="s">
        <v>102</v>
      </c>
      <c r="P279" t="s">
        <v>2121</v>
      </c>
      <c r="Q279" t="s">
        <v>2122</v>
      </c>
      <c r="R279" t="s">
        <v>2123</v>
      </c>
      <c r="S279" t="s">
        <v>2124</v>
      </c>
      <c r="T279">
        <v>2255</v>
      </c>
      <c r="U279">
        <v>150</v>
      </c>
      <c r="V279">
        <v>0</v>
      </c>
      <c r="AM279" t="s">
        <v>107</v>
      </c>
      <c r="BV279" t="s">
        <v>142</v>
      </c>
      <c r="CD279">
        <v>2255</v>
      </c>
      <c r="CO279">
        <v>0</v>
      </c>
      <c r="CP279">
        <v>0</v>
      </c>
      <c r="CR279" t="s">
        <v>143</v>
      </c>
      <c r="CS279">
        <v>0</v>
      </c>
    </row>
    <row r="280" spans="1:97" x14ac:dyDescent="0.2">
      <c r="A280" t="s">
        <v>2125</v>
      </c>
      <c r="B280">
        <v>284</v>
      </c>
      <c r="C280" t="s">
        <v>2126</v>
      </c>
      <c r="D280" t="s">
        <v>2087</v>
      </c>
      <c r="E280" t="s">
        <v>272</v>
      </c>
      <c r="F280" t="s">
        <v>101</v>
      </c>
      <c r="H280">
        <v>3</v>
      </c>
      <c r="I280">
        <v>3</v>
      </c>
      <c r="J280">
        <v>1</v>
      </c>
      <c r="K280" t="s">
        <v>102</v>
      </c>
      <c r="P280" t="s">
        <v>2127</v>
      </c>
      <c r="Q280" t="s">
        <v>2128</v>
      </c>
      <c r="R280" t="s">
        <v>2129</v>
      </c>
      <c r="S280" t="s">
        <v>2130</v>
      </c>
      <c r="T280">
        <v>2255</v>
      </c>
      <c r="U280">
        <v>150</v>
      </c>
      <c r="V280">
        <v>0</v>
      </c>
      <c r="AM280" t="s">
        <v>107</v>
      </c>
      <c r="BV280" t="s">
        <v>142</v>
      </c>
      <c r="CD280">
        <v>2255</v>
      </c>
      <c r="CO280">
        <v>0</v>
      </c>
      <c r="CP280">
        <v>0</v>
      </c>
      <c r="CR280" t="s">
        <v>143</v>
      </c>
      <c r="CS280">
        <v>0</v>
      </c>
    </row>
    <row r="281" spans="1:97" x14ac:dyDescent="0.2">
      <c r="A281" t="s">
        <v>2131</v>
      </c>
      <c r="B281">
        <v>285</v>
      </c>
      <c r="C281" t="s">
        <v>2132</v>
      </c>
      <c r="D281" t="s">
        <v>2087</v>
      </c>
      <c r="E281" t="s">
        <v>272</v>
      </c>
      <c r="F281" t="s">
        <v>101</v>
      </c>
      <c r="H281">
        <v>3</v>
      </c>
      <c r="I281">
        <v>3</v>
      </c>
      <c r="J281">
        <v>1</v>
      </c>
      <c r="K281" t="s">
        <v>102</v>
      </c>
      <c r="P281" t="s">
        <v>2133</v>
      </c>
      <c r="Q281" t="s">
        <v>2134</v>
      </c>
      <c r="R281" t="s">
        <v>2135</v>
      </c>
      <c r="S281" t="s">
        <v>2136</v>
      </c>
      <c r="T281">
        <v>2255</v>
      </c>
      <c r="U281">
        <v>150</v>
      </c>
      <c r="V281">
        <v>0</v>
      </c>
      <c r="AM281" t="s">
        <v>107</v>
      </c>
      <c r="BV281" t="s">
        <v>142</v>
      </c>
      <c r="CD281">
        <v>2255</v>
      </c>
      <c r="CO281">
        <v>0</v>
      </c>
      <c r="CP281">
        <v>0</v>
      </c>
      <c r="CR281" t="s">
        <v>143</v>
      </c>
      <c r="CS281">
        <v>0</v>
      </c>
    </row>
    <row r="282" spans="1:97" x14ac:dyDescent="0.2">
      <c r="A282" t="s">
        <v>2137</v>
      </c>
      <c r="B282">
        <v>286</v>
      </c>
      <c r="C282" t="s">
        <v>2138</v>
      </c>
      <c r="D282" t="s">
        <v>2087</v>
      </c>
      <c r="E282" t="s">
        <v>272</v>
      </c>
      <c r="F282" t="s">
        <v>101</v>
      </c>
      <c r="H282">
        <v>2</v>
      </c>
      <c r="I282">
        <v>2</v>
      </c>
      <c r="J282">
        <v>1</v>
      </c>
      <c r="K282" t="s">
        <v>102</v>
      </c>
      <c r="P282" t="s">
        <v>2139</v>
      </c>
      <c r="Q282" t="s">
        <v>2140</v>
      </c>
      <c r="R282" t="s">
        <v>2141</v>
      </c>
      <c r="S282" t="s">
        <v>2142</v>
      </c>
      <c r="T282">
        <v>1503.32</v>
      </c>
      <c r="U282">
        <v>100</v>
      </c>
      <c r="V282">
        <v>0</v>
      </c>
      <c r="AJ282">
        <v>705</v>
      </c>
      <c r="AM282" t="s">
        <v>120</v>
      </c>
      <c r="AO282">
        <v>1</v>
      </c>
      <c r="AT282">
        <v>1426.43</v>
      </c>
      <c r="AU282">
        <v>1526.43</v>
      </c>
      <c r="AV282">
        <v>1663.81</v>
      </c>
      <c r="AW282">
        <v>0.09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172</v>
      </c>
      <c r="BD282" t="s">
        <v>2092</v>
      </c>
      <c r="BE282" t="s">
        <v>109</v>
      </c>
      <c r="BG282" t="s">
        <v>2093</v>
      </c>
      <c r="BH282" t="s">
        <v>2094</v>
      </c>
      <c r="BI282" t="s">
        <v>2095</v>
      </c>
      <c r="BK282" t="s">
        <v>2096</v>
      </c>
      <c r="BL282" t="s">
        <v>115</v>
      </c>
      <c r="BM282" t="s">
        <v>2097</v>
      </c>
      <c r="BO282" t="s">
        <v>2098</v>
      </c>
      <c r="BQ282">
        <v>197</v>
      </c>
      <c r="BR282" t="s">
        <v>2099</v>
      </c>
      <c r="BS282" t="s">
        <v>2100</v>
      </c>
      <c r="BT282">
        <v>12</v>
      </c>
      <c r="BU282" t="s">
        <v>119</v>
      </c>
      <c r="BV282" t="s">
        <v>163</v>
      </c>
      <c r="BW282">
        <v>1503.32</v>
      </c>
      <c r="BX282">
        <v>1603.32</v>
      </c>
      <c r="BY282">
        <v>1747.62</v>
      </c>
      <c r="BZ282">
        <v>0.09</v>
      </c>
      <c r="CA282">
        <v>100</v>
      </c>
      <c r="CB282">
        <v>0</v>
      </c>
      <c r="CC282">
        <v>0</v>
      </c>
      <c r="CD282">
        <v>1503.32</v>
      </c>
      <c r="CE282" t="s">
        <v>121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O282">
        <v>76.889999999999873</v>
      </c>
      <c r="CP282">
        <v>922.67999999999847</v>
      </c>
      <c r="CQ282">
        <v>5.04</v>
      </c>
      <c r="CR282" t="s">
        <v>168</v>
      </c>
      <c r="CS282">
        <v>69</v>
      </c>
    </row>
    <row r="283" spans="1:97" x14ac:dyDescent="0.2">
      <c r="A283" t="s">
        <v>2143</v>
      </c>
      <c r="B283">
        <v>287</v>
      </c>
      <c r="C283" t="s">
        <v>2144</v>
      </c>
      <c r="D283" t="s">
        <v>2087</v>
      </c>
      <c r="E283" t="s">
        <v>272</v>
      </c>
      <c r="F283" t="s">
        <v>101</v>
      </c>
      <c r="H283">
        <v>3</v>
      </c>
      <c r="I283">
        <v>3</v>
      </c>
      <c r="J283">
        <v>1</v>
      </c>
      <c r="K283" t="s">
        <v>102</v>
      </c>
      <c r="P283" t="s">
        <v>2145</v>
      </c>
      <c r="Q283" t="s">
        <v>2146</v>
      </c>
      <c r="R283" t="s">
        <v>2147</v>
      </c>
      <c r="S283" t="s">
        <v>2148</v>
      </c>
      <c r="T283">
        <v>2255</v>
      </c>
      <c r="U283">
        <v>150</v>
      </c>
      <c r="V283">
        <v>0</v>
      </c>
      <c r="AM283" t="s">
        <v>107</v>
      </c>
      <c r="BV283" t="s">
        <v>142</v>
      </c>
      <c r="CD283">
        <v>2255</v>
      </c>
      <c r="CO283">
        <v>0</v>
      </c>
      <c r="CP283">
        <v>0</v>
      </c>
      <c r="CR283" t="s">
        <v>143</v>
      </c>
      <c r="CS283">
        <v>0</v>
      </c>
    </row>
    <row r="284" spans="1:97" x14ac:dyDescent="0.2">
      <c r="A284" t="s">
        <v>2149</v>
      </c>
      <c r="B284">
        <v>288</v>
      </c>
      <c r="C284" t="s">
        <v>2150</v>
      </c>
      <c r="D284" t="s">
        <v>2151</v>
      </c>
      <c r="E284" t="s">
        <v>312</v>
      </c>
      <c r="F284" t="s">
        <v>101</v>
      </c>
      <c r="H284">
        <v>2</v>
      </c>
      <c r="I284">
        <v>4</v>
      </c>
      <c r="J284">
        <v>1</v>
      </c>
      <c r="K284" t="s">
        <v>127</v>
      </c>
      <c r="M284" t="s">
        <v>137</v>
      </c>
      <c r="P284" t="s">
        <v>2152</v>
      </c>
      <c r="Q284" t="s">
        <v>2153</v>
      </c>
      <c r="R284" t="s">
        <v>2154</v>
      </c>
      <c r="S284" t="s">
        <v>2155</v>
      </c>
      <c r="T284">
        <v>1760</v>
      </c>
      <c r="U284">
        <v>150</v>
      </c>
      <c r="V284">
        <v>0</v>
      </c>
      <c r="W284">
        <v>311</v>
      </c>
      <c r="X284" t="s">
        <v>2156</v>
      </c>
      <c r="Y284" t="s">
        <v>109</v>
      </c>
      <c r="AA284" t="s">
        <v>2157</v>
      </c>
      <c r="AC284" t="s">
        <v>2158</v>
      </c>
      <c r="AE284" t="s">
        <v>2159</v>
      </c>
      <c r="AF284" t="s">
        <v>115</v>
      </c>
      <c r="AI284" t="s">
        <v>2160</v>
      </c>
      <c r="AJ284">
        <v>716</v>
      </c>
      <c r="AK284" t="s">
        <v>536</v>
      </c>
      <c r="AL284" t="s">
        <v>537</v>
      </c>
      <c r="AM284" t="s">
        <v>163</v>
      </c>
      <c r="AO284">
        <v>1</v>
      </c>
      <c r="AT284">
        <v>1728.45</v>
      </c>
      <c r="AU284">
        <v>1728.45</v>
      </c>
      <c r="AV284">
        <v>1884.01</v>
      </c>
      <c r="AW284">
        <v>0.09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88</v>
      </c>
      <c r="BD284" t="s">
        <v>2161</v>
      </c>
      <c r="BE284" t="s">
        <v>1072</v>
      </c>
      <c r="BG284" t="s">
        <v>1996</v>
      </c>
      <c r="BH284" t="s">
        <v>2162</v>
      </c>
      <c r="BM284" t="s">
        <v>2163</v>
      </c>
      <c r="BQ284">
        <v>208</v>
      </c>
      <c r="BR284" t="s">
        <v>536</v>
      </c>
      <c r="BS284" t="s">
        <v>537</v>
      </c>
      <c r="BT284">
        <v>12</v>
      </c>
      <c r="BU284" t="s">
        <v>119</v>
      </c>
      <c r="BV284" t="s">
        <v>163</v>
      </c>
      <c r="BW284">
        <v>1936.26</v>
      </c>
      <c r="BX284">
        <v>2086.2600000000002</v>
      </c>
      <c r="BY284">
        <v>2274.02</v>
      </c>
      <c r="BZ284">
        <v>0.09</v>
      </c>
      <c r="CA284">
        <v>150</v>
      </c>
      <c r="CB284">
        <v>0</v>
      </c>
      <c r="CC284">
        <v>0</v>
      </c>
      <c r="CD284">
        <v>1760</v>
      </c>
      <c r="CE284" t="s">
        <v>121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O284">
        <v>357.81000000000017</v>
      </c>
      <c r="CP284">
        <v>4293.7200000000021</v>
      </c>
      <c r="CQ284">
        <v>20.7</v>
      </c>
      <c r="CR284" t="s">
        <v>168</v>
      </c>
      <c r="CS284">
        <v>192</v>
      </c>
    </row>
    <row r="285" spans="1:97" x14ac:dyDescent="0.2">
      <c r="A285" t="s">
        <v>2164</v>
      </c>
      <c r="B285">
        <v>289</v>
      </c>
      <c r="C285" t="s">
        <v>2165</v>
      </c>
      <c r="D285" t="s">
        <v>2151</v>
      </c>
      <c r="E285" t="s">
        <v>312</v>
      </c>
      <c r="F285" t="s">
        <v>101</v>
      </c>
      <c r="H285">
        <v>2</v>
      </c>
      <c r="I285">
        <v>3</v>
      </c>
      <c r="J285">
        <v>1</v>
      </c>
      <c r="K285" t="s">
        <v>127</v>
      </c>
      <c r="M285" t="s">
        <v>137</v>
      </c>
      <c r="P285" t="s">
        <v>2152</v>
      </c>
      <c r="Q285" t="s">
        <v>2153</v>
      </c>
      <c r="R285" t="s">
        <v>2154</v>
      </c>
      <c r="S285" t="s">
        <v>2155</v>
      </c>
      <c r="T285">
        <v>1234.6199999999999</v>
      </c>
      <c r="U285">
        <v>150</v>
      </c>
      <c r="V285">
        <v>0</v>
      </c>
      <c r="W285">
        <v>311</v>
      </c>
      <c r="X285" t="s">
        <v>2156</v>
      </c>
      <c r="Y285" t="s">
        <v>109</v>
      </c>
      <c r="AA285" t="s">
        <v>2157</v>
      </c>
      <c r="AC285" t="s">
        <v>2158</v>
      </c>
      <c r="AE285" t="s">
        <v>2159</v>
      </c>
      <c r="AF285" t="s">
        <v>115</v>
      </c>
      <c r="AI285" t="s">
        <v>2160</v>
      </c>
      <c r="AJ285">
        <v>717</v>
      </c>
      <c r="AK285" t="s">
        <v>2166</v>
      </c>
      <c r="AL285" t="s">
        <v>2167</v>
      </c>
      <c r="AM285" t="s">
        <v>163</v>
      </c>
      <c r="AO285">
        <v>1</v>
      </c>
      <c r="AT285">
        <v>1296.3499999999999</v>
      </c>
      <c r="AU285">
        <v>1296.3499999999999</v>
      </c>
      <c r="AV285">
        <v>1413.02</v>
      </c>
      <c r="AW285">
        <v>0.09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88</v>
      </c>
      <c r="BD285" t="s">
        <v>2161</v>
      </c>
      <c r="BE285" t="s">
        <v>1072</v>
      </c>
      <c r="BG285" t="s">
        <v>1996</v>
      </c>
      <c r="BH285" t="s">
        <v>2162</v>
      </c>
      <c r="BM285" t="s">
        <v>2163</v>
      </c>
      <c r="BQ285">
        <v>209</v>
      </c>
      <c r="BR285" t="s">
        <v>2166</v>
      </c>
      <c r="BS285" t="s">
        <v>2167</v>
      </c>
      <c r="BT285">
        <v>12</v>
      </c>
      <c r="BU285" t="s">
        <v>119</v>
      </c>
      <c r="BV285" t="s">
        <v>163</v>
      </c>
      <c r="BW285">
        <v>1436.58</v>
      </c>
      <c r="BX285">
        <v>1586.58</v>
      </c>
      <c r="BY285">
        <v>1729.37</v>
      </c>
      <c r="BZ285">
        <v>0.09</v>
      </c>
      <c r="CA285">
        <v>150</v>
      </c>
      <c r="CB285">
        <v>0</v>
      </c>
      <c r="CC285">
        <v>0</v>
      </c>
      <c r="CD285">
        <v>1234.6199999999999</v>
      </c>
      <c r="CE285" t="s">
        <v>121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O285">
        <v>290.23</v>
      </c>
      <c r="CP285">
        <v>3482.76</v>
      </c>
      <c r="CQ285">
        <v>22.39</v>
      </c>
      <c r="CR285" t="s">
        <v>168</v>
      </c>
      <c r="CS285">
        <v>185</v>
      </c>
    </row>
    <row r="286" spans="1:97" x14ac:dyDescent="0.2">
      <c r="A286" t="s">
        <v>2168</v>
      </c>
      <c r="B286">
        <v>290</v>
      </c>
      <c r="C286" t="s">
        <v>2169</v>
      </c>
      <c r="D286" t="s">
        <v>2151</v>
      </c>
      <c r="E286" t="s">
        <v>312</v>
      </c>
      <c r="F286" t="s">
        <v>101</v>
      </c>
      <c r="H286">
        <v>2</v>
      </c>
      <c r="I286">
        <v>3</v>
      </c>
      <c r="J286">
        <v>1</v>
      </c>
      <c r="K286" t="s">
        <v>127</v>
      </c>
      <c r="M286" t="s">
        <v>137</v>
      </c>
      <c r="P286" t="s">
        <v>2152</v>
      </c>
      <c r="Q286" t="s">
        <v>2153</v>
      </c>
      <c r="R286" t="s">
        <v>2154</v>
      </c>
      <c r="S286" t="s">
        <v>2155</v>
      </c>
      <c r="T286">
        <v>1660</v>
      </c>
      <c r="U286">
        <v>150</v>
      </c>
      <c r="V286">
        <v>0</v>
      </c>
      <c r="W286">
        <v>311</v>
      </c>
      <c r="X286" t="s">
        <v>2156</v>
      </c>
      <c r="Y286" t="s">
        <v>109</v>
      </c>
      <c r="AA286" t="s">
        <v>2157</v>
      </c>
      <c r="AC286" t="s">
        <v>2158</v>
      </c>
      <c r="AE286" t="s">
        <v>2159</v>
      </c>
      <c r="AF286" t="s">
        <v>115</v>
      </c>
      <c r="AI286" t="s">
        <v>2160</v>
      </c>
      <c r="AJ286">
        <v>718</v>
      </c>
      <c r="AK286" t="s">
        <v>2166</v>
      </c>
      <c r="AL286" t="s">
        <v>2167</v>
      </c>
      <c r="AM286" t="s">
        <v>163</v>
      </c>
      <c r="AO286">
        <v>1</v>
      </c>
      <c r="AT286">
        <v>1296.3499999999999</v>
      </c>
      <c r="AU286">
        <v>1296.3499999999999</v>
      </c>
      <c r="AV286">
        <v>1413.02</v>
      </c>
      <c r="AW286">
        <v>0.09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88</v>
      </c>
      <c r="BD286" t="s">
        <v>2161</v>
      </c>
      <c r="BE286" t="s">
        <v>1072</v>
      </c>
      <c r="BG286" t="s">
        <v>1996</v>
      </c>
      <c r="BH286" t="s">
        <v>2162</v>
      </c>
      <c r="BM286" t="s">
        <v>2163</v>
      </c>
      <c r="BQ286">
        <v>210</v>
      </c>
      <c r="BR286" t="s">
        <v>2166</v>
      </c>
      <c r="BS286" t="s">
        <v>2167</v>
      </c>
      <c r="BT286">
        <v>12</v>
      </c>
      <c r="BU286" t="s">
        <v>119</v>
      </c>
      <c r="BV286" t="s">
        <v>163</v>
      </c>
      <c r="BW286">
        <v>1436.58</v>
      </c>
      <c r="BX286">
        <v>1586.58</v>
      </c>
      <c r="BY286">
        <v>1729.37</v>
      </c>
      <c r="BZ286">
        <v>0.09</v>
      </c>
      <c r="CA286">
        <v>150</v>
      </c>
      <c r="CB286">
        <v>0</v>
      </c>
      <c r="CC286">
        <v>0</v>
      </c>
      <c r="CD286">
        <v>1660</v>
      </c>
      <c r="CE286" t="s">
        <v>121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O286">
        <v>290.23</v>
      </c>
      <c r="CP286">
        <v>3482.76</v>
      </c>
      <c r="CQ286">
        <v>22.39</v>
      </c>
      <c r="CR286" t="s">
        <v>168</v>
      </c>
      <c r="CS286">
        <v>185</v>
      </c>
    </row>
    <row r="287" spans="1:97" x14ac:dyDescent="0.2">
      <c r="A287" t="s">
        <v>2170</v>
      </c>
      <c r="B287">
        <v>291</v>
      </c>
      <c r="C287" t="s">
        <v>2171</v>
      </c>
      <c r="D287" t="s">
        <v>2151</v>
      </c>
      <c r="E287" t="s">
        <v>312</v>
      </c>
      <c r="F287" t="s">
        <v>101</v>
      </c>
      <c r="H287">
        <v>2</v>
      </c>
      <c r="I287">
        <v>3</v>
      </c>
      <c r="J287">
        <v>1</v>
      </c>
      <c r="K287" t="s">
        <v>127</v>
      </c>
      <c r="M287" t="s">
        <v>137</v>
      </c>
      <c r="P287" t="s">
        <v>2152</v>
      </c>
      <c r="Q287" t="s">
        <v>2153</v>
      </c>
      <c r="R287" t="s">
        <v>2154</v>
      </c>
      <c r="S287" t="s">
        <v>2155</v>
      </c>
      <c r="T287">
        <v>1234.6199999999999</v>
      </c>
      <c r="U287">
        <v>150</v>
      </c>
      <c r="V287">
        <v>0</v>
      </c>
      <c r="W287">
        <v>311</v>
      </c>
      <c r="X287" t="s">
        <v>2156</v>
      </c>
      <c r="Y287" t="s">
        <v>109</v>
      </c>
      <c r="AA287" t="s">
        <v>2157</v>
      </c>
      <c r="AC287" t="s">
        <v>2158</v>
      </c>
      <c r="AE287" t="s">
        <v>2159</v>
      </c>
      <c r="AF287" t="s">
        <v>115</v>
      </c>
      <c r="AI287" t="s">
        <v>2160</v>
      </c>
      <c r="AJ287">
        <v>719</v>
      </c>
      <c r="AK287" t="s">
        <v>536</v>
      </c>
      <c r="AL287" t="s">
        <v>537</v>
      </c>
      <c r="AM287" t="s">
        <v>163</v>
      </c>
      <c r="AO287">
        <v>1</v>
      </c>
      <c r="AT287">
        <v>1296.3499999999999</v>
      </c>
      <c r="AU287">
        <v>1296.3499999999999</v>
      </c>
      <c r="AV287">
        <v>1413.02</v>
      </c>
      <c r="AW287">
        <v>0.09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88</v>
      </c>
      <c r="BD287" t="s">
        <v>2161</v>
      </c>
      <c r="BE287" t="s">
        <v>1072</v>
      </c>
      <c r="BG287" t="s">
        <v>1996</v>
      </c>
      <c r="BH287" t="s">
        <v>2162</v>
      </c>
      <c r="BM287" t="s">
        <v>2163</v>
      </c>
      <c r="BQ287">
        <v>211</v>
      </c>
      <c r="BR287" t="s">
        <v>536</v>
      </c>
      <c r="BS287" t="s">
        <v>537</v>
      </c>
      <c r="BT287">
        <v>12</v>
      </c>
      <c r="BU287" t="s">
        <v>119</v>
      </c>
      <c r="BV287" t="s">
        <v>163</v>
      </c>
      <c r="BW287">
        <v>1436.58</v>
      </c>
      <c r="BX287">
        <v>1586.58</v>
      </c>
      <c r="BY287">
        <v>1729.37</v>
      </c>
      <c r="BZ287">
        <v>0.09</v>
      </c>
      <c r="CA287">
        <v>150</v>
      </c>
      <c r="CB287">
        <v>0</v>
      </c>
      <c r="CC287">
        <v>0</v>
      </c>
      <c r="CD287">
        <v>1234.6199999999999</v>
      </c>
      <c r="CE287" t="s">
        <v>121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O287">
        <v>290.23</v>
      </c>
      <c r="CP287">
        <v>3482.76</v>
      </c>
      <c r="CQ287">
        <v>22.39</v>
      </c>
      <c r="CR287" t="s">
        <v>168</v>
      </c>
      <c r="CS287">
        <v>192</v>
      </c>
    </row>
    <row r="288" spans="1:97" x14ac:dyDescent="0.2">
      <c r="A288" t="s">
        <v>2172</v>
      </c>
      <c r="B288">
        <v>292</v>
      </c>
      <c r="C288" t="s">
        <v>2173</v>
      </c>
      <c r="D288" t="s">
        <v>2174</v>
      </c>
      <c r="E288" t="s">
        <v>252</v>
      </c>
      <c r="F288" t="s">
        <v>126</v>
      </c>
      <c r="H288">
        <v>4</v>
      </c>
      <c r="I288">
        <v>8</v>
      </c>
      <c r="J288">
        <v>1</v>
      </c>
      <c r="K288" t="s">
        <v>102</v>
      </c>
      <c r="N288" t="s">
        <v>2175</v>
      </c>
      <c r="O288" t="s">
        <v>2175</v>
      </c>
      <c r="T288">
        <v>2150</v>
      </c>
      <c r="U288">
        <v>388.9</v>
      </c>
      <c r="V288">
        <v>0</v>
      </c>
      <c r="AM288" t="s">
        <v>107</v>
      </c>
      <c r="BC288">
        <v>17</v>
      </c>
      <c r="BD288" t="s">
        <v>108</v>
      </c>
      <c r="BE288" t="s">
        <v>109</v>
      </c>
      <c r="BG288" t="s">
        <v>110</v>
      </c>
      <c r="BH288" t="s">
        <v>111</v>
      </c>
      <c r="BI288" t="s">
        <v>112</v>
      </c>
      <c r="BJ288" t="s">
        <v>113</v>
      </c>
      <c r="BK288" t="s">
        <v>114</v>
      </c>
      <c r="BL288" t="s">
        <v>115</v>
      </c>
      <c r="BM288" t="s">
        <v>116</v>
      </c>
      <c r="BO288" t="s">
        <v>117</v>
      </c>
      <c r="BQ288">
        <v>358</v>
      </c>
      <c r="BR288" t="s">
        <v>118</v>
      </c>
      <c r="BU288" t="s">
        <v>119</v>
      </c>
      <c r="BV288" t="s">
        <v>120</v>
      </c>
      <c r="BW288">
        <v>0</v>
      </c>
      <c r="BX288">
        <v>0</v>
      </c>
      <c r="BY288">
        <v>0</v>
      </c>
      <c r="BZ288">
        <v>0.09</v>
      </c>
      <c r="CA288">
        <v>0</v>
      </c>
      <c r="CB288">
        <v>0</v>
      </c>
      <c r="CC288">
        <v>0</v>
      </c>
      <c r="CD288">
        <v>2150</v>
      </c>
      <c r="CE288" t="s">
        <v>121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O288">
        <v>0</v>
      </c>
      <c r="CP288">
        <v>0</v>
      </c>
      <c r="CR288" t="s">
        <v>122</v>
      </c>
      <c r="CS288">
        <v>0</v>
      </c>
    </row>
    <row r="289" spans="1:97" x14ac:dyDescent="0.2">
      <c r="A289" t="s">
        <v>2172</v>
      </c>
      <c r="B289">
        <v>292</v>
      </c>
      <c r="C289" t="s">
        <v>2173</v>
      </c>
      <c r="D289" t="s">
        <v>2174</v>
      </c>
      <c r="E289" t="s">
        <v>252</v>
      </c>
      <c r="F289" t="s">
        <v>126</v>
      </c>
      <c r="H289">
        <v>4</v>
      </c>
      <c r="I289">
        <v>8</v>
      </c>
      <c r="J289">
        <v>1</v>
      </c>
      <c r="K289" t="s">
        <v>102</v>
      </c>
      <c r="N289" t="s">
        <v>2175</v>
      </c>
      <c r="O289" t="s">
        <v>2175</v>
      </c>
      <c r="T289">
        <v>2150</v>
      </c>
      <c r="U289">
        <v>388.9</v>
      </c>
      <c r="V289">
        <v>0</v>
      </c>
      <c r="AM289" t="s">
        <v>107</v>
      </c>
      <c r="BC289">
        <v>284</v>
      </c>
      <c r="BD289" t="s">
        <v>2176</v>
      </c>
      <c r="BE289" t="s">
        <v>109</v>
      </c>
      <c r="BG289" t="s">
        <v>2177</v>
      </c>
      <c r="BI289" t="s">
        <v>112</v>
      </c>
      <c r="BK289" t="s">
        <v>114</v>
      </c>
      <c r="BL289" t="s">
        <v>115</v>
      </c>
      <c r="BO289" t="s">
        <v>2178</v>
      </c>
      <c r="BQ289">
        <v>281</v>
      </c>
      <c r="BR289" t="s">
        <v>2179</v>
      </c>
      <c r="BU289" t="s">
        <v>119</v>
      </c>
      <c r="BV289" t="s">
        <v>120</v>
      </c>
      <c r="BW289">
        <v>0</v>
      </c>
      <c r="BX289">
        <v>2227</v>
      </c>
      <c r="BY289">
        <v>2427.4299999999998</v>
      </c>
      <c r="BZ289">
        <v>0.09</v>
      </c>
      <c r="CA289">
        <v>388.9</v>
      </c>
      <c r="CB289">
        <v>79</v>
      </c>
      <c r="CC289">
        <v>0</v>
      </c>
      <c r="CD289">
        <v>2150</v>
      </c>
      <c r="CE289" t="s">
        <v>121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O289">
        <v>2227</v>
      </c>
      <c r="CP289">
        <v>26724</v>
      </c>
      <c r="CR289" t="s">
        <v>122</v>
      </c>
      <c r="CS289">
        <v>0</v>
      </c>
    </row>
    <row r="290" spans="1:97" x14ac:dyDescent="0.2">
      <c r="A290" t="s">
        <v>2180</v>
      </c>
      <c r="B290">
        <v>293</v>
      </c>
      <c r="C290" t="s">
        <v>2181</v>
      </c>
      <c r="D290" t="s">
        <v>2182</v>
      </c>
      <c r="E290" t="s">
        <v>1797</v>
      </c>
      <c r="F290" t="s">
        <v>126</v>
      </c>
      <c r="H290">
        <v>2</v>
      </c>
      <c r="I290">
        <v>4</v>
      </c>
      <c r="J290">
        <v>1</v>
      </c>
      <c r="K290" t="s">
        <v>102</v>
      </c>
      <c r="N290" t="s">
        <v>2183</v>
      </c>
      <c r="O290" t="s">
        <v>2183</v>
      </c>
      <c r="T290">
        <v>1000</v>
      </c>
      <c r="U290">
        <v>0</v>
      </c>
      <c r="V290">
        <v>0</v>
      </c>
      <c r="W290">
        <v>954</v>
      </c>
      <c r="X290" t="s">
        <v>2184</v>
      </c>
      <c r="Y290" t="s">
        <v>109</v>
      </c>
      <c r="Z290" t="s">
        <v>2185</v>
      </c>
      <c r="AA290" t="s">
        <v>2186</v>
      </c>
      <c r="AB290" t="s">
        <v>2187</v>
      </c>
      <c r="AI290" t="s">
        <v>2188</v>
      </c>
      <c r="AJ290">
        <v>833</v>
      </c>
      <c r="AK290" t="s">
        <v>2189</v>
      </c>
      <c r="AM290" t="s">
        <v>120</v>
      </c>
      <c r="AO290">
        <v>1</v>
      </c>
      <c r="AT290">
        <v>0</v>
      </c>
      <c r="AU290">
        <v>1150</v>
      </c>
      <c r="AV290">
        <v>1253.5</v>
      </c>
      <c r="AW290">
        <v>0.09</v>
      </c>
      <c r="AX290">
        <v>1000</v>
      </c>
      <c r="AY290">
        <v>0</v>
      </c>
      <c r="AZ290">
        <v>0</v>
      </c>
      <c r="BA290">
        <v>0</v>
      </c>
      <c r="BB290">
        <v>0</v>
      </c>
      <c r="BC290">
        <v>284</v>
      </c>
      <c r="BD290" t="s">
        <v>2176</v>
      </c>
      <c r="BE290" t="s">
        <v>109</v>
      </c>
      <c r="BG290" t="s">
        <v>2177</v>
      </c>
      <c r="BI290" t="s">
        <v>112</v>
      </c>
      <c r="BK290" t="s">
        <v>114</v>
      </c>
      <c r="BL290" t="s">
        <v>115</v>
      </c>
      <c r="BO290" t="s">
        <v>2178</v>
      </c>
      <c r="BQ290">
        <v>283</v>
      </c>
      <c r="BR290" t="s">
        <v>2189</v>
      </c>
      <c r="BU290" t="s">
        <v>119</v>
      </c>
      <c r="BV290" t="s">
        <v>120</v>
      </c>
      <c r="BW290">
        <v>0</v>
      </c>
      <c r="BX290">
        <v>1150</v>
      </c>
      <c r="BY290">
        <v>1253.5</v>
      </c>
      <c r="BZ290">
        <v>0.09</v>
      </c>
      <c r="CA290">
        <v>0</v>
      </c>
      <c r="CB290">
        <v>0</v>
      </c>
      <c r="CC290">
        <v>0</v>
      </c>
      <c r="CD290">
        <v>1000</v>
      </c>
      <c r="CE290" t="s">
        <v>121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O290">
        <v>0</v>
      </c>
      <c r="CP290">
        <v>0</v>
      </c>
      <c r="CQ290">
        <v>0</v>
      </c>
      <c r="CR290" t="s">
        <v>122</v>
      </c>
      <c r="CS290">
        <v>0</v>
      </c>
    </row>
    <row r="291" spans="1:97" x14ac:dyDescent="0.2">
      <c r="A291" t="s">
        <v>2190</v>
      </c>
      <c r="B291">
        <v>294</v>
      </c>
      <c r="C291" t="s">
        <v>2191</v>
      </c>
      <c r="D291" t="s">
        <v>2192</v>
      </c>
      <c r="E291" t="s">
        <v>1797</v>
      </c>
      <c r="F291" t="s">
        <v>126</v>
      </c>
      <c r="H291">
        <v>4</v>
      </c>
      <c r="I291">
        <v>8</v>
      </c>
      <c r="J291">
        <v>1</v>
      </c>
      <c r="K291" t="s">
        <v>102</v>
      </c>
      <c r="N291" t="s">
        <v>2175</v>
      </c>
      <c r="O291" t="s">
        <v>2175</v>
      </c>
      <c r="T291">
        <v>2300</v>
      </c>
      <c r="U291">
        <v>902.34</v>
      </c>
      <c r="V291">
        <v>0</v>
      </c>
      <c r="W291">
        <v>771</v>
      </c>
      <c r="X291" t="s">
        <v>2193</v>
      </c>
      <c r="Y291" t="s">
        <v>109</v>
      </c>
      <c r="AJ291">
        <v>830</v>
      </c>
      <c r="AK291" t="s">
        <v>2194</v>
      </c>
      <c r="AM291" t="s">
        <v>120</v>
      </c>
      <c r="AO291">
        <v>1</v>
      </c>
      <c r="AT291">
        <v>0</v>
      </c>
      <c r="AU291">
        <v>1400</v>
      </c>
      <c r="AV291">
        <v>1526</v>
      </c>
      <c r="AW291">
        <v>0.09</v>
      </c>
      <c r="AX291">
        <v>2300</v>
      </c>
      <c r="AY291">
        <v>902.34</v>
      </c>
      <c r="AZ291">
        <v>0</v>
      </c>
      <c r="BA291">
        <v>0</v>
      </c>
      <c r="BB291">
        <v>0</v>
      </c>
      <c r="BC291">
        <v>284</v>
      </c>
      <c r="BD291" t="s">
        <v>2176</v>
      </c>
      <c r="BE291" t="s">
        <v>109</v>
      </c>
      <c r="BG291" t="s">
        <v>2177</v>
      </c>
      <c r="BI291" t="s">
        <v>112</v>
      </c>
      <c r="BK291" t="s">
        <v>114</v>
      </c>
      <c r="BL291" t="s">
        <v>115</v>
      </c>
      <c r="BO291" t="s">
        <v>2178</v>
      </c>
      <c r="BQ291">
        <v>280</v>
      </c>
      <c r="BR291" t="s">
        <v>2194</v>
      </c>
      <c r="BU291" t="s">
        <v>119</v>
      </c>
      <c r="BV291" t="s">
        <v>120</v>
      </c>
      <c r="BW291">
        <v>0</v>
      </c>
      <c r="BX291">
        <v>1400</v>
      </c>
      <c r="BY291">
        <v>1526</v>
      </c>
      <c r="BZ291">
        <v>0.09</v>
      </c>
      <c r="CA291">
        <v>902.34</v>
      </c>
      <c r="CB291">
        <v>0</v>
      </c>
      <c r="CC291">
        <v>0</v>
      </c>
      <c r="CD291">
        <v>2300</v>
      </c>
      <c r="CE291" t="s">
        <v>121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O291">
        <v>0</v>
      </c>
      <c r="CP291">
        <v>0</v>
      </c>
      <c r="CQ291">
        <v>0</v>
      </c>
      <c r="CR291" t="s">
        <v>122</v>
      </c>
      <c r="CS291">
        <v>0</v>
      </c>
    </row>
    <row r="292" spans="1:97" x14ac:dyDescent="0.2">
      <c r="A292" t="s">
        <v>2195</v>
      </c>
      <c r="B292">
        <v>295</v>
      </c>
      <c r="C292" t="s">
        <v>2196</v>
      </c>
      <c r="D292" t="s">
        <v>2197</v>
      </c>
      <c r="E292" t="s">
        <v>1797</v>
      </c>
      <c r="F292" t="s">
        <v>126</v>
      </c>
      <c r="H292">
        <v>4</v>
      </c>
      <c r="I292">
        <v>6</v>
      </c>
      <c r="J292">
        <v>1</v>
      </c>
      <c r="K292" t="s">
        <v>102</v>
      </c>
      <c r="N292" t="s">
        <v>2175</v>
      </c>
      <c r="O292" t="s">
        <v>2175</v>
      </c>
      <c r="T292">
        <v>1200</v>
      </c>
      <c r="U292">
        <v>589.59</v>
      </c>
      <c r="V292">
        <v>0</v>
      </c>
      <c r="AM292" t="s">
        <v>107</v>
      </c>
      <c r="BC292">
        <v>284</v>
      </c>
      <c r="BD292" t="s">
        <v>2176</v>
      </c>
      <c r="BE292" t="s">
        <v>109</v>
      </c>
      <c r="BG292" t="s">
        <v>2177</v>
      </c>
      <c r="BI292" t="s">
        <v>112</v>
      </c>
      <c r="BK292" t="s">
        <v>114</v>
      </c>
      <c r="BL292" t="s">
        <v>115</v>
      </c>
      <c r="BO292" t="s">
        <v>2178</v>
      </c>
      <c r="BQ292">
        <v>279</v>
      </c>
      <c r="BR292" t="s">
        <v>2198</v>
      </c>
      <c r="BU292" t="s">
        <v>119</v>
      </c>
      <c r="BV292" t="s">
        <v>120</v>
      </c>
      <c r="BW292">
        <v>0</v>
      </c>
      <c r="BX292">
        <v>1450</v>
      </c>
      <c r="BY292">
        <v>1580.5</v>
      </c>
      <c r="BZ292">
        <v>0.09</v>
      </c>
      <c r="CA292">
        <v>589.59</v>
      </c>
      <c r="CB292">
        <v>79</v>
      </c>
      <c r="CC292">
        <v>0</v>
      </c>
      <c r="CD292">
        <v>1200</v>
      </c>
      <c r="CE292" t="s">
        <v>121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O292">
        <v>1450</v>
      </c>
      <c r="CP292">
        <v>17400</v>
      </c>
      <c r="CR292" t="s">
        <v>122</v>
      </c>
      <c r="CS292">
        <v>0</v>
      </c>
    </row>
    <row r="293" spans="1:97" x14ac:dyDescent="0.2">
      <c r="A293" t="s">
        <v>2199</v>
      </c>
      <c r="B293">
        <v>296</v>
      </c>
      <c r="C293" t="s">
        <v>2200</v>
      </c>
      <c r="D293" t="s">
        <v>2201</v>
      </c>
      <c r="E293" t="s">
        <v>1889</v>
      </c>
      <c r="F293" t="s">
        <v>126</v>
      </c>
      <c r="J293">
        <v>1</v>
      </c>
      <c r="K293" t="s">
        <v>102</v>
      </c>
      <c r="T293">
        <v>0</v>
      </c>
      <c r="U293">
        <v>0</v>
      </c>
      <c r="V293">
        <v>0</v>
      </c>
      <c r="AM293" t="s">
        <v>107</v>
      </c>
      <c r="BC293">
        <v>17</v>
      </c>
      <c r="BD293" t="s">
        <v>108</v>
      </c>
      <c r="BE293" t="s">
        <v>109</v>
      </c>
      <c r="BG293" t="s">
        <v>110</v>
      </c>
      <c r="BH293" t="s">
        <v>111</v>
      </c>
      <c r="BI293" t="s">
        <v>112</v>
      </c>
      <c r="BJ293" t="s">
        <v>113</v>
      </c>
      <c r="BK293" t="s">
        <v>114</v>
      </c>
      <c r="BL293" t="s">
        <v>115</v>
      </c>
      <c r="BM293" t="s">
        <v>116</v>
      </c>
      <c r="BO293" t="s">
        <v>117</v>
      </c>
      <c r="BQ293">
        <v>359</v>
      </c>
      <c r="BR293" t="s">
        <v>118</v>
      </c>
      <c r="BU293" t="s">
        <v>119</v>
      </c>
      <c r="BV293" t="s">
        <v>120</v>
      </c>
      <c r="BW293">
        <v>0</v>
      </c>
      <c r="BX293">
        <v>111.47</v>
      </c>
      <c r="BY293">
        <v>121.5</v>
      </c>
      <c r="BZ293">
        <v>0.09</v>
      </c>
      <c r="CA293">
        <v>0</v>
      </c>
      <c r="CB293">
        <v>0</v>
      </c>
      <c r="CC293">
        <v>0</v>
      </c>
      <c r="CD293">
        <v>0</v>
      </c>
      <c r="CE293" t="s">
        <v>121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O293">
        <v>111.47</v>
      </c>
      <c r="CP293">
        <v>1337.64</v>
      </c>
      <c r="CR293" t="s">
        <v>122</v>
      </c>
      <c r="CS293">
        <v>0</v>
      </c>
    </row>
    <row r="294" spans="1:97" x14ac:dyDescent="0.2">
      <c r="A294" t="s">
        <v>2202</v>
      </c>
      <c r="B294">
        <v>297</v>
      </c>
      <c r="C294" t="s">
        <v>2203</v>
      </c>
      <c r="D294" t="s">
        <v>2204</v>
      </c>
      <c r="E294" t="s">
        <v>1889</v>
      </c>
      <c r="F294" t="s">
        <v>126</v>
      </c>
      <c r="H294">
        <v>5</v>
      </c>
      <c r="I294">
        <v>8</v>
      </c>
      <c r="J294">
        <v>1</v>
      </c>
      <c r="K294" t="s">
        <v>102</v>
      </c>
      <c r="N294" t="s">
        <v>2183</v>
      </c>
      <c r="O294" t="s">
        <v>2183</v>
      </c>
      <c r="T294">
        <v>1750</v>
      </c>
      <c r="U294">
        <v>0</v>
      </c>
      <c r="V294">
        <v>0</v>
      </c>
      <c r="W294">
        <v>955</v>
      </c>
      <c r="X294" t="s">
        <v>2205</v>
      </c>
      <c r="Y294" t="s">
        <v>109</v>
      </c>
      <c r="Z294" t="s">
        <v>2206</v>
      </c>
      <c r="AA294" t="s">
        <v>2207</v>
      </c>
      <c r="AB294" t="s">
        <v>2208</v>
      </c>
      <c r="AI294" t="s">
        <v>2209</v>
      </c>
      <c r="AJ294">
        <v>836</v>
      </c>
      <c r="AK294" t="s">
        <v>2210</v>
      </c>
      <c r="AM294" t="s">
        <v>120</v>
      </c>
      <c r="AO294">
        <v>1</v>
      </c>
      <c r="AT294">
        <v>0</v>
      </c>
      <c r="AU294">
        <v>1825</v>
      </c>
      <c r="AV294">
        <v>1989.25</v>
      </c>
      <c r="AW294">
        <v>0.09</v>
      </c>
      <c r="AX294">
        <v>1750</v>
      </c>
      <c r="AY294">
        <v>0</v>
      </c>
      <c r="AZ294">
        <v>0</v>
      </c>
      <c r="BA294">
        <v>0</v>
      </c>
      <c r="BB294">
        <v>79</v>
      </c>
      <c r="BC294">
        <v>284</v>
      </c>
      <c r="BD294" t="s">
        <v>2176</v>
      </c>
      <c r="BE294" t="s">
        <v>109</v>
      </c>
      <c r="BG294" t="s">
        <v>2177</v>
      </c>
      <c r="BI294" t="s">
        <v>112</v>
      </c>
      <c r="BK294" t="s">
        <v>114</v>
      </c>
      <c r="BL294" t="s">
        <v>115</v>
      </c>
      <c r="BO294" t="s">
        <v>2178</v>
      </c>
      <c r="BQ294">
        <v>286</v>
      </c>
      <c r="BR294" t="s">
        <v>2210</v>
      </c>
      <c r="BU294" t="s">
        <v>119</v>
      </c>
      <c r="BV294" t="s">
        <v>120</v>
      </c>
      <c r="BW294">
        <v>0</v>
      </c>
      <c r="BX294">
        <v>1825</v>
      </c>
      <c r="BY294">
        <v>1989.25</v>
      </c>
      <c r="BZ294">
        <v>0.09</v>
      </c>
      <c r="CA294">
        <v>0</v>
      </c>
      <c r="CB294">
        <v>79</v>
      </c>
      <c r="CC294">
        <v>0</v>
      </c>
      <c r="CD294">
        <v>1750</v>
      </c>
      <c r="CE294" t="s">
        <v>121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O294">
        <v>0</v>
      </c>
      <c r="CP294">
        <v>0</v>
      </c>
      <c r="CQ294">
        <v>0</v>
      </c>
      <c r="CR294" t="s">
        <v>122</v>
      </c>
      <c r="CS294">
        <v>0</v>
      </c>
    </row>
    <row r="295" spans="1:97" x14ac:dyDescent="0.2">
      <c r="A295" t="s">
        <v>2211</v>
      </c>
      <c r="B295">
        <v>298</v>
      </c>
      <c r="C295" t="s">
        <v>2212</v>
      </c>
      <c r="D295" t="s">
        <v>2213</v>
      </c>
      <c r="E295" t="s">
        <v>2214</v>
      </c>
      <c r="F295" t="s">
        <v>126</v>
      </c>
      <c r="H295">
        <v>3</v>
      </c>
      <c r="I295">
        <v>6</v>
      </c>
      <c r="J295">
        <v>1</v>
      </c>
      <c r="K295" t="s">
        <v>102</v>
      </c>
      <c r="N295" t="s">
        <v>2175</v>
      </c>
      <c r="O295" t="s">
        <v>2215</v>
      </c>
      <c r="T295">
        <v>0</v>
      </c>
      <c r="U295">
        <v>429.36</v>
      </c>
      <c r="V295">
        <v>0</v>
      </c>
      <c r="AM295" t="s">
        <v>107</v>
      </c>
      <c r="BC295">
        <v>17</v>
      </c>
      <c r="BD295" t="s">
        <v>108</v>
      </c>
      <c r="BE295" t="s">
        <v>109</v>
      </c>
      <c r="BG295" t="s">
        <v>110</v>
      </c>
      <c r="BH295" t="s">
        <v>111</v>
      </c>
      <c r="BI295" t="s">
        <v>112</v>
      </c>
      <c r="BJ295" t="s">
        <v>113</v>
      </c>
      <c r="BK295" t="s">
        <v>114</v>
      </c>
      <c r="BL295" t="s">
        <v>115</v>
      </c>
      <c r="BM295" t="s">
        <v>116</v>
      </c>
      <c r="BO295" t="s">
        <v>117</v>
      </c>
      <c r="BQ295">
        <v>360</v>
      </c>
      <c r="BR295" t="s">
        <v>118</v>
      </c>
      <c r="BU295" t="s">
        <v>119</v>
      </c>
      <c r="BV295" t="s">
        <v>120</v>
      </c>
      <c r="BW295">
        <v>0</v>
      </c>
      <c r="BX295">
        <v>0</v>
      </c>
      <c r="BY295">
        <v>0</v>
      </c>
      <c r="BZ295">
        <v>0.09</v>
      </c>
      <c r="CA295">
        <v>0</v>
      </c>
      <c r="CB295">
        <v>0</v>
      </c>
      <c r="CC295">
        <v>0</v>
      </c>
      <c r="CD295">
        <v>0</v>
      </c>
      <c r="CE295" t="s">
        <v>121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O295">
        <v>0</v>
      </c>
      <c r="CP295">
        <v>0</v>
      </c>
      <c r="CR295" t="s">
        <v>122</v>
      </c>
      <c r="CS295">
        <v>0</v>
      </c>
    </row>
    <row r="296" spans="1:97" x14ac:dyDescent="0.2">
      <c r="A296" t="s">
        <v>2211</v>
      </c>
      <c r="B296">
        <v>298</v>
      </c>
      <c r="C296" t="s">
        <v>2212</v>
      </c>
      <c r="D296" t="s">
        <v>2213</v>
      </c>
      <c r="E296" t="s">
        <v>2214</v>
      </c>
      <c r="F296" t="s">
        <v>126</v>
      </c>
      <c r="H296">
        <v>3</v>
      </c>
      <c r="I296">
        <v>6</v>
      </c>
      <c r="J296">
        <v>1</v>
      </c>
      <c r="K296" t="s">
        <v>102</v>
      </c>
      <c r="N296" t="s">
        <v>2175</v>
      </c>
      <c r="O296" t="s">
        <v>2215</v>
      </c>
      <c r="T296">
        <v>0</v>
      </c>
      <c r="U296">
        <v>429.36</v>
      </c>
      <c r="V296">
        <v>0</v>
      </c>
      <c r="AM296" t="s">
        <v>107</v>
      </c>
      <c r="BC296">
        <v>284</v>
      </c>
      <c r="BD296" t="s">
        <v>2176</v>
      </c>
      <c r="BE296" t="s">
        <v>109</v>
      </c>
      <c r="BG296" t="s">
        <v>2177</v>
      </c>
      <c r="BI296" t="s">
        <v>112</v>
      </c>
      <c r="BK296" t="s">
        <v>114</v>
      </c>
      <c r="BL296" t="s">
        <v>115</v>
      </c>
      <c r="BO296" t="s">
        <v>2178</v>
      </c>
      <c r="BQ296">
        <v>282</v>
      </c>
      <c r="BR296" t="s">
        <v>2194</v>
      </c>
      <c r="BU296" t="s">
        <v>119</v>
      </c>
      <c r="BV296" t="s">
        <v>120</v>
      </c>
      <c r="BW296">
        <v>0</v>
      </c>
      <c r="BX296">
        <v>1950</v>
      </c>
      <c r="BY296">
        <v>2125.5</v>
      </c>
      <c r="BZ296">
        <v>0.09</v>
      </c>
      <c r="CA296">
        <v>429.36</v>
      </c>
      <c r="CB296">
        <v>0</v>
      </c>
      <c r="CC296">
        <v>0</v>
      </c>
      <c r="CD296">
        <v>0</v>
      </c>
      <c r="CE296" t="s">
        <v>121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O296">
        <v>1950</v>
      </c>
      <c r="CP296">
        <v>23400</v>
      </c>
      <c r="CR296" t="s">
        <v>122</v>
      </c>
      <c r="CS296">
        <v>0</v>
      </c>
    </row>
    <row r="297" spans="1:97" x14ac:dyDescent="0.2">
      <c r="A297" t="s">
        <v>2216</v>
      </c>
      <c r="B297">
        <v>299</v>
      </c>
      <c r="C297" t="s">
        <v>2217</v>
      </c>
      <c r="D297" t="s">
        <v>2218</v>
      </c>
      <c r="E297" t="s">
        <v>2219</v>
      </c>
      <c r="F297" t="s">
        <v>101</v>
      </c>
      <c r="H297">
        <v>3</v>
      </c>
      <c r="I297">
        <v>5</v>
      </c>
      <c r="J297">
        <v>1</v>
      </c>
      <c r="K297" t="s">
        <v>127</v>
      </c>
      <c r="N297" t="s">
        <v>2175</v>
      </c>
      <c r="O297" t="s">
        <v>2175</v>
      </c>
      <c r="P297" t="s">
        <v>2220</v>
      </c>
      <c r="Q297" t="s">
        <v>2221</v>
      </c>
      <c r="R297" t="s">
        <v>2222</v>
      </c>
      <c r="S297" t="s">
        <v>2223</v>
      </c>
      <c r="T297">
        <v>0</v>
      </c>
      <c r="U297">
        <v>122.42</v>
      </c>
      <c r="V297">
        <v>0</v>
      </c>
      <c r="W297">
        <v>952</v>
      </c>
      <c r="X297" t="s">
        <v>2224</v>
      </c>
      <c r="Y297" t="s">
        <v>109</v>
      </c>
      <c r="Z297" t="s">
        <v>2224</v>
      </c>
      <c r="AA297" t="s">
        <v>2225</v>
      </c>
      <c r="AB297" t="s">
        <v>2226</v>
      </c>
      <c r="AI297" t="s">
        <v>2227</v>
      </c>
      <c r="AJ297">
        <v>559</v>
      </c>
      <c r="AM297" t="s">
        <v>120</v>
      </c>
      <c r="AO297">
        <v>1</v>
      </c>
      <c r="AT297">
        <v>0</v>
      </c>
      <c r="AW297">
        <v>0.09</v>
      </c>
      <c r="AX297">
        <v>0</v>
      </c>
      <c r="AY297">
        <v>122.42</v>
      </c>
      <c r="AZ297">
        <v>0</v>
      </c>
      <c r="BA297">
        <v>0</v>
      </c>
      <c r="BB297">
        <v>79</v>
      </c>
      <c r="BC297">
        <v>284</v>
      </c>
      <c r="BD297" t="s">
        <v>2176</v>
      </c>
      <c r="BE297" t="s">
        <v>109</v>
      </c>
      <c r="BG297" t="s">
        <v>2177</v>
      </c>
      <c r="BI297" t="s">
        <v>112</v>
      </c>
      <c r="BK297" t="s">
        <v>114</v>
      </c>
      <c r="BL297" t="s">
        <v>115</v>
      </c>
      <c r="BO297" t="s">
        <v>2178</v>
      </c>
      <c r="BQ297">
        <v>277</v>
      </c>
      <c r="BR297" t="s">
        <v>2228</v>
      </c>
      <c r="BU297" t="s">
        <v>119</v>
      </c>
      <c r="BV297" t="s">
        <v>120</v>
      </c>
      <c r="BW297">
        <v>0</v>
      </c>
      <c r="BX297">
        <v>1375</v>
      </c>
      <c r="BY297">
        <v>1498.75</v>
      </c>
      <c r="BZ297">
        <v>0.09</v>
      </c>
      <c r="CA297">
        <v>122.42</v>
      </c>
      <c r="CB297">
        <v>79</v>
      </c>
      <c r="CC297">
        <v>0</v>
      </c>
      <c r="CD297">
        <v>0</v>
      </c>
      <c r="CE297" t="s">
        <v>121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O297">
        <v>1375</v>
      </c>
      <c r="CP297">
        <v>16500</v>
      </c>
      <c r="CR297" t="s">
        <v>122</v>
      </c>
      <c r="CS297">
        <v>0</v>
      </c>
    </row>
    <row r="298" spans="1:97" x14ac:dyDescent="0.2">
      <c r="A298" t="s">
        <v>2216</v>
      </c>
      <c r="B298">
        <v>299</v>
      </c>
      <c r="C298" t="s">
        <v>2217</v>
      </c>
      <c r="D298" t="s">
        <v>2218</v>
      </c>
      <c r="E298" t="s">
        <v>2219</v>
      </c>
      <c r="F298" t="s">
        <v>101</v>
      </c>
      <c r="H298">
        <v>3</v>
      </c>
      <c r="I298">
        <v>5</v>
      </c>
      <c r="J298">
        <v>1</v>
      </c>
      <c r="K298" t="s">
        <v>127</v>
      </c>
      <c r="N298" t="s">
        <v>2175</v>
      </c>
      <c r="O298" t="s">
        <v>2175</v>
      </c>
      <c r="P298" t="s">
        <v>2220</v>
      </c>
      <c r="Q298" t="s">
        <v>2221</v>
      </c>
      <c r="R298" t="s">
        <v>2222</v>
      </c>
      <c r="S298" t="s">
        <v>2223</v>
      </c>
      <c r="T298">
        <v>0</v>
      </c>
      <c r="U298">
        <v>122.42</v>
      </c>
      <c r="V298">
        <v>0</v>
      </c>
      <c r="W298">
        <v>952</v>
      </c>
      <c r="X298" t="s">
        <v>2224</v>
      </c>
      <c r="Y298" t="s">
        <v>109</v>
      </c>
      <c r="Z298" t="s">
        <v>2224</v>
      </c>
      <c r="AA298" t="s">
        <v>2225</v>
      </c>
      <c r="AB298" t="s">
        <v>2226</v>
      </c>
      <c r="AI298" t="s">
        <v>2227</v>
      </c>
      <c r="AJ298">
        <v>827</v>
      </c>
      <c r="AK298" t="s">
        <v>2228</v>
      </c>
      <c r="AM298" t="s">
        <v>120</v>
      </c>
      <c r="AO298">
        <v>1</v>
      </c>
      <c r="AT298">
        <v>0</v>
      </c>
      <c r="AU298">
        <v>1375</v>
      </c>
      <c r="AV298">
        <v>1498.75</v>
      </c>
      <c r="AW298">
        <v>0.09</v>
      </c>
      <c r="AY298">
        <v>0</v>
      </c>
      <c r="AZ298">
        <v>0</v>
      </c>
      <c r="BA298">
        <v>0</v>
      </c>
      <c r="BB298">
        <v>0</v>
      </c>
      <c r="BC298">
        <v>284</v>
      </c>
      <c r="BD298" t="s">
        <v>2176</v>
      </c>
      <c r="BE298" t="s">
        <v>109</v>
      </c>
      <c r="BG298" t="s">
        <v>2177</v>
      </c>
      <c r="BI298" t="s">
        <v>112</v>
      </c>
      <c r="BK298" t="s">
        <v>114</v>
      </c>
      <c r="BL298" t="s">
        <v>115</v>
      </c>
      <c r="BO298" t="s">
        <v>2178</v>
      </c>
      <c r="BQ298">
        <v>277</v>
      </c>
      <c r="BR298" t="s">
        <v>2228</v>
      </c>
      <c r="BU298" t="s">
        <v>119</v>
      </c>
      <c r="BV298" t="s">
        <v>120</v>
      </c>
      <c r="BW298">
        <v>0</v>
      </c>
      <c r="BX298">
        <v>1375</v>
      </c>
      <c r="BY298">
        <v>1498.75</v>
      </c>
      <c r="BZ298">
        <v>0.09</v>
      </c>
      <c r="CA298">
        <v>122.42</v>
      </c>
      <c r="CB298">
        <v>79</v>
      </c>
      <c r="CC298">
        <v>0</v>
      </c>
      <c r="CD298">
        <v>0</v>
      </c>
      <c r="CE298" t="s">
        <v>121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O298">
        <v>0</v>
      </c>
      <c r="CP298">
        <v>0</v>
      </c>
      <c r="CQ298">
        <v>0</v>
      </c>
      <c r="CR298" t="s">
        <v>122</v>
      </c>
      <c r="CS298">
        <v>0</v>
      </c>
    </row>
    <row r="299" spans="1:97" x14ac:dyDescent="0.2">
      <c r="A299" t="s">
        <v>2229</v>
      </c>
      <c r="B299">
        <v>300</v>
      </c>
      <c r="C299" t="s">
        <v>2230</v>
      </c>
      <c r="D299" t="s">
        <v>2218</v>
      </c>
      <c r="E299" t="s">
        <v>2219</v>
      </c>
      <c r="F299" t="s">
        <v>101</v>
      </c>
      <c r="H299">
        <v>5</v>
      </c>
      <c r="I299">
        <v>8</v>
      </c>
      <c r="J299">
        <v>1</v>
      </c>
      <c r="K299" t="s">
        <v>127</v>
      </c>
      <c r="N299" t="s">
        <v>2175</v>
      </c>
      <c r="O299" t="s">
        <v>2175</v>
      </c>
      <c r="P299" t="s">
        <v>2231</v>
      </c>
      <c r="Q299" t="s">
        <v>2232</v>
      </c>
      <c r="R299" t="s">
        <v>2233</v>
      </c>
      <c r="S299" t="s">
        <v>2234</v>
      </c>
      <c r="T299">
        <v>0</v>
      </c>
      <c r="U299">
        <v>261.87</v>
      </c>
      <c r="V299">
        <v>0</v>
      </c>
      <c r="W299">
        <v>952</v>
      </c>
      <c r="X299" t="s">
        <v>2224</v>
      </c>
      <c r="Y299" t="s">
        <v>109</v>
      </c>
      <c r="Z299" t="s">
        <v>2224</v>
      </c>
      <c r="AA299" t="s">
        <v>2225</v>
      </c>
      <c r="AB299" t="s">
        <v>2226</v>
      </c>
      <c r="AI299" t="s">
        <v>2227</v>
      </c>
      <c r="AJ299">
        <v>560</v>
      </c>
      <c r="AM299" t="s">
        <v>120</v>
      </c>
      <c r="AO299">
        <v>1</v>
      </c>
      <c r="AT299">
        <v>0</v>
      </c>
      <c r="AW299">
        <v>0.09</v>
      </c>
      <c r="AX299">
        <v>0</v>
      </c>
      <c r="AY299">
        <v>261.87</v>
      </c>
      <c r="AZ299">
        <v>0</v>
      </c>
      <c r="BA299">
        <v>0</v>
      </c>
      <c r="BB299">
        <v>79</v>
      </c>
      <c r="BC299">
        <v>284</v>
      </c>
      <c r="BD299" t="s">
        <v>2176</v>
      </c>
      <c r="BE299" t="s">
        <v>109</v>
      </c>
      <c r="BG299" t="s">
        <v>2177</v>
      </c>
      <c r="BI299" t="s">
        <v>112</v>
      </c>
      <c r="BK299" t="s">
        <v>114</v>
      </c>
      <c r="BL299" t="s">
        <v>115</v>
      </c>
      <c r="BO299" t="s">
        <v>2178</v>
      </c>
      <c r="BQ299">
        <v>278</v>
      </c>
      <c r="BR299" t="s">
        <v>2228</v>
      </c>
      <c r="BU299" t="s">
        <v>119</v>
      </c>
      <c r="BV299" t="s">
        <v>120</v>
      </c>
      <c r="BW299">
        <v>0</v>
      </c>
      <c r="BX299">
        <v>2625</v>
      </c>
      <c r="BY299">
        <v>2861.25</v>
      </c>
      <c r="BZ299">
        <v>0.09</v>
      </c>
      <c r="CA299">
        <v>261.87</v>
      </c>
      <c r="CB299">
        <v>79</v>
      </c>
      <c r="CC299">
        <v>0</v>
      </c>
      <c r="CD299">
        <v>0</v>
      </c>
      <c r="CE299" t="s">
        <v>121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O299">
        <v>2625</v>
      </c>
      <c r="CP299">
        <v>31500</v>
      </c>
      <c r="CR299" t="s">
        <v>122</v>
      </c>
      <c r="CS299">
        <v>0</v>
      </c>
    </row>
    <row r="300" spans="1:97" x14ac:dyDescent="0.2">
      <c r="A300" t="s">
        <v>2229</v>
      </c>
      <c r="B300">
        <v>300</v>
      </c>
      <c r="C300" t="s">
        <v>2230</v>
      </c>
      <c r="D300" t="s">
        <v>2218</v>
      </c>
      <c r="E300" t="s">
        <v>2219</v>
      </c>
      <c r="F300" t="s">
        <v>101</v>
      </c>
      <c r="H300">
        <v>5</v>
      </c>
      <c r="I300">
        <v>8</v>
      </c>
      <c r="J300">
        <v>1</v>
      </c>
      <c r="K300" t="s">
        <v>127</v>
      </c>
      <c r="N300" t="s">
        <v>2175</v>
      </c>
      <c r="O300" t="s">
        <v>2175</v>
      </c>
      <c r="P300" t="s">
        <v>2231</v>
      </c>
      <c r="Q300" t="s">
        <v>2232</v>
      </c>
      <c r="R300" t="s">
        <v>2233</v>
      </c>
      <c r="S300" t="s">
        <v>2234</v>
      </c>
      <c r="T300">
        <v>0</v>
      </c>
      <c r="U300">
        <v>261.87</v>
      </c>
      <c r="V300">
        <v>0</v>
      </c>
      <c r="W300">
        <v>952</v>
      </c>
      <c r="X300" t="s">
        <v>2224</v>
      </c>
      <c r="Y300" t="s">
        <v>109</v>
      </c>
      <c r="Z300" t="s">
        <v>2224</v>
      </c>
      <c r="AA300" t="s">
        <v>2225</v>
      </c>
      <c r="AB300" t="s">
        <v>2226</v>
      </c>
      <c r="AI300" t="s">
        <v>2227</v>
      </c>
      <c r="AJ300">
        <v>828</v>
      </c>
      <c r="AK300" t="s">
        <v>2228</v>
      </c>
      <c r="AM300" t="s">
        <v>120</v>
      </c>
      <c r="AO300">
        <v>1</v>
      </c>
      <c r="AT300">
        <v>0</v>
      </c>
      <c r="AU300">
        <v>2625</v>
      </c>
      <c r="AV300">
        <v>2861.25</v>
      </c>
      <c r="AW300">
        <v>0.09</v>
      </c>
      <c r="AY300">
        <v>0</v>
      </c>
      <c r="AZ300">
        <v>0</v>
      </c>
      <c r="BA300">
        <v>0</v>
      </c>
      <c r="BB300">
        <v>0</v>
      </c>
      <c r="BC300">
        <v>284</v>
      </c>
      <c r="BD300" t="s">
        <v>2176</v>
      </c>
      <c r="BE300" t="s">
        <v>109</v>
      </c>
      <c r="BG300" t="s">
        <v>2177</v>
      </c>
      <c r="BI300" t="s">
        <v>112</v>
      </c>
      <c r="BK300" t="s">
        <v>114</v>
      </c>
      <c r="BL300" t="s">
        <v>115</v>
      </c>
      <c r="BO300" t="s">
        <v>2178</v>
      </c>
      <c r="BQ300">
        <v>278</v>
      </c>
      <c r="BR300" t="s">
        <v>2228</v>
      </c>
      <c r="BU300" t="s">
        <v>119</v>
      </c>
      <c r="BV300" t="s">
        <v>120</v>
      </c>
      <c r="BW300">
        <v>0</v>
      </c>
      <c r="BX300">
        <v>2625</v>
      </c>
      <c r="BY300">
        <v>2861.25</v>
      </c>
      <c r="BZ300">
        <v>0.09</v>
      </c>
      <c r="CA300">
        <v>261.87</v>
      </c>
      <c r="CB300">
        <v>79</v>
      </c>
      <c r="CC300">
        <v>0</v>
      </c>
      <c r="CD300">
        <v>0</v>
      </c>
      <c r="CE300" t="s">
        <v>121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O300">
        <v>0</v>
      </c>
      <c r="CP300">
        <v>0</v>
      </c>
      <c r="CQ300">
        <v>0</v>
      </c>
      <c r="CR300" t="s">
        <v>122</v>
      </c>
      <c r="CS300">
        <v>0</v>
      </c>
    </row>
    <row r="301" spans="1:97" x14ac:dyDescent="0.2">
      <c r="A301" t="s">
        <v>2235</v>
      </c>
      <c r="B301">
        <v>301</v>
      </c>
      <c r="C301" t="s">
        <v>2236</v>
      </c>
      <c r="D301" t="s">
        <v>2237</v>
      </c>
      <c r="E301" t="s">
        <v>2238</v>
      </c>
      <c r="F301" t="s">
        <v>101</v>
      </c>
      <c r="H301">
        <v>4</v>
      </c>
      <c r="I301">
        <v>8</v>
      </c>
      <c r="J301">
        <v>1</v>
      </c>
      <c r="K301" t="s">
        <v>102</v>
      </c>
      <c r="N301" t="s">
        <v>2183</v>
      </c>
      <c r="O301" t="s">
        <v>2183</v>
      </c>
      <c r="T301">
        <v>0</v>
      </c>
      <c r="U301">
        <v>0</v>
      </c>
      <c r="V301">
        <v>0</v>
      </c>
      <c r="W301">
        <v>957</v>
      </c>
      <c r="X301" t="s">
        <v>2239</v>
      </c>
      <c r="Y301" t="s">
        <v>109</v>
      </c>
      <c r="Z301" t="s">
        <v>2240</v>
      </c>
      <c r="AA301" t="s">
        <v>2241</v>
      </c>
      <c r="AB301" t="s">
        <v>2242</v>
      </c>
      <c r="AI301" t="s">
        <v>2243</v>
      </c>
      <c r="AJ301">
        <v>839</v>
      </c>
      <c r="AK301" t="s">
        <v>2244</v>
      </c>
      <c r="AM301" t="s">
        <v>120</v>
      </c>
      <c r="AO301">
        <v>1</v>
      </c>
      <c r="AT301">
        <v>0</v>
      </c>
      <c r="AU301">
        <v>2600</v>
      </c>
      <c r="AV301">
        <v>2834</v>
      </c>
      <c r="AW301">
        <v>0.09</v>
      </c>
      <c r="AY301">
        <v>0</v>
      </c>
      <c r="AZ301">
        <v>0</v>
      </c>
      <c r="BA301">
        <v>0</v>
      </c>
      <c r="BB301">
        <v>79</v>
      </c>
      <c r="BC301">
        <v>284</v>
      </c>
      <c r="BD301" t="s">
        <v>2176</v>
      </c>
      <c r="BE301" t="s">
        <v>109</v>
      </c>
      <c r="BG301" t="s">
        <v>2177</v>
      </c>
      <c r="BI301" t="s">
        <v>112</v>
      </c>
      <c r="BK301" t="s">
        <v>114</v>
      </c>
      <c r="BL301" t="s">
        <v>115</v>
      </c>
      <c r="BO301" t="s">
        <v>2178</v>
      </c>
      <c r="BQ301">
        <v>289</v>
      </c>
      <c r="BR301" t="s">
        <v>2244</v>
      </c>
      <c r="BU301" t="s">
        <v>119</v>
      </c>
      <c r="BV301" t="s">
        <v>120</v>
      </c>
      <c r="BW301">
        <v>0</v>
      </c>
      <c r="BX301">
        <v>2600</v>
      </c>
      <c r="BY301">
        <v>2834</v>
      </c>
      <c r="BZ301">
        <v>0.09</v>
      </c>
      <c r="CA301">
        <v>0</v>
      </c>
      <c r="CB301">
        <v>79</v>
      </c>
      <c r="CC301">
        <v>0</v>
      </c>
      <c r="CD301">
        <v>0</v>
      </c>
      <c r="CE301" t="s">
        <v>121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O301">
        <v>0</v>
      </c>
      <c r="CP301">
        <v>0</v>
      </c>
      <c r="CQ301">
        <v>0</v>
      </c>
      <c r="CR301" t="s">
        <v>122</v>
      </c>
      <c r="CS301">
        <v>0</v>
      </c>
    </row>
    <row r="302" spans="1:97" x14ac:dyDescent="0.2">
      <c r="A302" t="s">
        <v>2245</v>
      </c>
      <c r="B302">
        <v>302</v>
      </c>
      <c r="C302" t="s">
        <v>2246</v>
      </c>
      <c r="D302" t="s">
        <v>2247</v>
      </c>
      <c r="E302" t="s">
        <v>2238</v>
      </c>
      <c r="F302" t="s">
        <v>101</v>
      </c>
      <c r="H302">
        <v>4</v>
      </c>
      <c r="I302">
        <v>7</v>
      </c>
      <c r="J302">
        <v>1</v>
      </c>
      <c r="K302" t="s">
        <v>102</v>
      </c>
      <c r="N302" t="s">
        <v>2175</v>
      </c>
      <c r="O302" t="s">
        <v>2175</v>
      </c>
      <c r="T302">
        <v>0</v>
      </c>
      <c r="U302">
        <v>632.87</v>
      </c>
      <c r="V302">
        <v>0</v>
      </c>
      <c r="W302">
        <v>759</v>
      </c>
      <c r="X302" t="s">
        <v>2248</v>
      </c>
      <c r="Y302" t="s">
        <v>109</v>
      </c>
      <c r="AJ302">
        <v>840</v>
      </c>
      <c r="AK302" t="s">
        <v>2249</v>
      </c>
      <c r="AM302" t="s">
        <v>120</v>
      </c>
      <c r="AO302">
        <v>1</v>
      </c>
      <c r="AT302">
        <v>2170</v>
      </c>
      <c r="AU302">
        <v>2170</v>
      </c>
      <c r="AV302">
        <v>2365.3000000000002</v>
      </c>
      <c r="AW302">
        <v>0.09</v>
      </c>
      <c r="AY302">
        <v>632.87</v>
      </c>
      <c r="AZ302">
        <v>0</v>
      </c>
      <c r="BA302">
        <v>0</v>
      </c>
      <c r="BB302">
        <v>79</v>
      </c>
      <c r="BC302">
        <v>284</v>
      </c>
      <c r="BD302" t="s">
        <v>2176</v>
      </c>
      <c r="BE302" t="s">
        <v>109</v>
      </c>
      <c r="BG302" t="s">
        <v>2177</v>
      </c>
      <c r="BI302" t="s">
        <v>112</v>
      </c>
      <c r="BK302" t="s">
        <v>114</v>
      </c>
      <c r="BL302" t="s">
        <v>115</v>
      </c>
      <c r="BO302" t="s">
        <v>2178</v>
      </c>
      <c r="BQ302">
        <v>290</v>
      </c>
      <c r="BR302" t="s">
        <v>2249</v>
      </c>
      <c r="BU302" t="s">
        <v>119</v>
      </c>
      <c r="BV302" t="s">
        <v>120</v>
      </c>
      <c r="BW302">
        <v>0</v>
      </c>
      <c r="BX302">
        <v>2020</v>
      </c>
      <c r="BY302">
        <v>2201.8000000000002</v>
      </c>
      <c r="BZ302">
        <v>0.09</v>
      </c>
      <c r="CA302">
        <v>632.87</v>
      </c>
      <c r="CB302">
        <v>79</v>
      </c>
      <c r="CC302">
        <v>0</v>
      </c>
      <c r="CD302">
        <v>0</v>
      </c>
      <c r="CE302" t="s">
        <v>121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O302">
        <v>-150</v>
      </c>
      <c r="CP302">
        <v>-1800</v>
      </c>
      <c r="CQ302">
        <v>-6.91</v>
      </c>
      <c r="CR302" t="s">
        <v>122</v>
      </c>
      <c r="CS302">
        <v>0</v>
      </c>
    </row>
    <row r="303" spans="1:97" x14ac:dyDescent="0.2">
      <c r="A303" t="s">
        <v>2250</v>
      </c>
      <c r="B303">
        <v>303</v>
      </c>
      <c r="C303" t="s">
        <v>2251</v>
      </c>
      <c r="D303" t="s">
        <v>2252</v>
      </c>
      <c r="E303" t="s">
        <v>2238</v>
      </c>
      <c r="F303" t="s">
        <v>101</v>
      </c>
      <c r="H303">
        <v>4</v>
      </c>
      <c r="I303">
        <v>7</v>
      </c>
      <c r="J303">
        <v>1</v>
      </c>
      <c r="K303" t="s">
        <v>102</v>
      </c>
      <c r="N303" t="s">
        <v>2175</v>
      </c>
      <c r="O303" t="s">
        <v>2175</v>
      </c>
      <c r="T303">
        <v>0</v>
      </c>
      <c r="U303">
        <v>609.66999999999996</v>
      </c>
      <c r="V303">
        <v>0</v>
      </c>
      <c r="W303">
        <v>956</v>
      </c>
      <c r="X303" t="s">
        <v>2253</v>
      </c>
      <c r="Y303" t="s">
        <v>109</v>
      </c>
      <c r="Z303" t="s">
        <v>2254</v>
      </c>
      <c r="AA303" t="s">
        <v>2255</v>
      </c>
      <c r="AB303" t="s">
        <v>2256</v>
      </c>
      <c r="AI303" t="s">
        <v>2257</v>
      </c>
      <c r="AJ303">
        <v>837</v>
      </c>
      <c r="AK303" t="s">
        <v>2194</v>
      </c>
      <c r="AM303" t="s">
        <v>120</v>
      </c>
      <c r="AO303">
        <v>1</v>
      </c>
      <c r="AT303">
        <v>0</v>
      </c>
      <c r="AU303">
        <v>1800</v>
      </c>
      <c r="AV303">
        <v>1962</v>
      </c>
      <c r="AW303">
        <v>0.09</v>
      </c>
      <c r="AY303">
        <v>609.66999999999996</v>
      </c>
      <c r="AZ303">
        <v>0</v>
      </c>
      <c r="BA303">
        <v>0</v>
      </c>
      <c r="BB303">
        <v>79</v>
      </c>
      <c r="BC303">
        <v>284</v>
      </c>
      <c r="BD303" t="s">
        <v>2176</v>
      </c>
      <c r="BE303" t="s">
        <v>109</v>
      </c>
      <c r="BG303" t="s">
        <v>2177</v>
      </c>
      <c r="BI303" t="s">
        <v>112</v>
      </c>
      <c r="BK303" t="s">
        <v>114</v>
      </c>
      <c r="BL303" t="s">
        <v>115</v>
      </c>
      <c r="BO303" t="s">
        <v>2178</v>
      </c>
      <c r="BQ303">
        <v>287</v>
      </c>
      <c r="BR303" t="s">
        <v>2194</v>
      </c>
      <c r="BU303" t="s">
        <v>119</v>
      </c>
      <c r="BV303" t="s">
        <v>120</v>
      </c>
      <c r="BW303">
        <v>0</v>
      </c>
      <c r="BX303">
        <v>1800</v>
      </c>
      <c r="BY303">
        <v>1962</v>
      </c>
      <c r="BZ303">
        <v>0.09</v>
      </c>
      <c r="CA303">
        <v>609.66999999999996</v>
      </c>
      <c r="CB303">
        <v>79</v>
      </c>
      <c r="CC303">
        <v>0</v>
      </c>
      <c r="CD303">
        <v>0</v>
      </c>
      <c r="CE303" t="s">
        <v>121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O303">
        <v>0</v>
      </c>
      <c r="CP303">
        <v>0</v>
      </c>
      <c r="CQ303">
        <v>0</v>
      </c>
      <c r="CR303" t="s">
        <v>122</v>
      </c>
      <c r="CS303">
        <v>0</v>
      </c>
    </row>
    <row r="304" spans="1:97" x14ac:dyDescent="0.2">
      <c r="A304" t="s">
        <v>2258</v>
      </c>
      <c r="B304">
        <v>304</v>
      </c>
      <c r="C304" t="s">
        <v>2259</v>
      </c>
      <c r="D304" t="s">
        <v>2260</v>
      </c>
      <c r="E304" t="s">
        <v>2238</v>
      </c>
      <c r="F304" t="s">
        <v>101</v>
      </c>
      <c r="J304">
        <v>1</v>
      </c>
      <c r="K304" t="s">
        <v>102</v>
      </c>
      <c r="T304">
        <v>0</v>
      </c>
      <c r="U304">
        <v>0</v>
      </c>
      <c r="V304">
        <v>0</v>
      </c>
      <c r="AM304" t="s">
        <v>107</v>
      </c>
      <c r="BC304">
        <v>284</v>
      </c>
      <c r="BD304" t="s">
        <v>2176</v>
      </c>
      <c r="BE304" t="s">
        <v>109</v>
      </c>
      <c r="BG304" t="s">
        <v>2177</v>
      </c>
      <c r="BI304" t="s">
        <v>112</v>
      </c>
      <c r="BK304" t="s">
        <v>114</v>
      </c>
      <c r="BL304" t="s">
        <v>115</v>
      </c>
      <c r="BO304" t="s">
        <v>2178</v>
      </c>
      <c r="BQ304">
        <v>291</v>
      </c>
      <c r="BR304" t="s">
        <v>2261</v>
      </c>
      <c r="BU304" t="s">
        <v>119</v>
      </c>
      <c r="BV304" t="s">
        <v>120</v>
      </c>
      <c r="BW304">
        <v>0</v>
      </c>
      <c r="BX304">
        <v>850</v>
      </c>
      <c r="BY304">
        <v>926.5</v>
      </c>
      <c r="BZ304">
        <v>0.09</v>
      </c>
      <c r="CA304">
        <v>0</v>
      </c>
      <c r="CB304">
        <v>0</v>
      </c>
      <c r="CC304">
        <v>0</v>
      </c>
      <c r="CD304">
        <v>0</v>
      </c>
      <c r="CE304" t="s">
        <v>121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O304">
        <v>850</v>
      </c>
      <c r="CP304">
        <v>10200</v>
      </c>
      <c r="CR304" t="s">
        <v>122</v>
      </c>
      <c r="CS304">
        <v>0</v>
      </c>
    </row>
    <row r="305" spans="1:97" x14ac:dyDescent="0.2">
      <c r="A305" t="s">
        <v>2262</v>
      </c>
      <c r="B305">
        <v>305</v>
      </c>
      <c r="C305" t="s">
        <v>2263</v>
      </c>
      <c r="D305" t="s">
        <v>2264</v>
      </c>
      <c r="E305" t="s">
        <v>2238</v>
      </c>
      <c r="F305" t="s">
        <v>126</v>
      </c>
      <c r="H305">
        <v>4</v>
      </c>
      <c r="I305">
        <v>7</v>
      </c>
      <c r="J305">
        <v>1</v>
      </c>
      <c r="K305" t="s">
        <v>102</v>
      </c>
      <c r="N305" t="s">
        <v>2175</v>
      </c>
      <c r="O305" t="s">
        <v>2175</v>
      </c>
      <c r="T305">
        <v>1400</v>
      </c>
      <c r="U305">
        <v>633.76</v>
      </c>
      <c r="V305">
        <v>0</v>
      </c>
      <c r="W305">
        <v>786</v>
      </c>
      <c r="X305" t="s">
        <v>2265</v>
      </c>
      <c r="Y305" t="s">
        <v>109</v>
      </c>
      <c r="AJ305">
        <v>846</v>
      </c>
      <c r="AK305" t="s">
        <v>2194</v>
      </c>
      <c r="AM305" t="s">
        <v>120</v>
      </c>
      <c r="AO305">
        <v>1</v>
      </c>
      <c r="AT305">
        <v>0</v>
      </c>
      <c r="AU305">
        <v>2000</v>
      </c>
      <c r="AV305">
        <v>2180</v>
      </c>
      <c r="AW305">
        <v>0.09</v>
      </c>
      <c r="AX305">
        <v>1400</v>
      </c>
      <c r="AY305">
        <v>633.76</v>
      </c>
      <c r="AZ305">
        <v>0</v>
      </c>
      <c r="BA305">
        <v>0</v>
      </c>
      <c r="BB305">
        <v>79</v>
      </c>
      <c r="BC305">
        <v>284</v>
      </c>
      <c r="BD305" t="s">
        <v>2176</v>
      </c>
      <c r="BE305" t="s">
        <v>109</v>
      </c>
      <c r="BG305" t="s">
        <v>2177</v>
      </c>
      <c r="BI305" t="s">
        <v>112</v>
      </c>
      <c r="BK305" t="s">
        <v>114</v>
      </c>
      <c r="BL305" t="s">
        <v>115</v>
      </c>
      <c r="BO305" t="s">
        <v>2178</v>
      </c>
      <c r="BQ305">
        <v>296</v>
      </c>
      <c r="BR305" t="s">
        <v>2194</v>
      </c>
      <c r="BU305" t="s">
        <v>119</v>
      </c>
      <c r="BV305" t="s">
        <v>120</v>
      </c>
      <c r="BW305">
        <v>0</v>
      </c>
      <c r="BX305">
        <v>2000</v>
      </c>
      <c r="BY305">
        <v>2180</v>
      </c>
      <c r="BZ305">
        <v>0.09</v>
      </c>
      <c r="CA305">
        <v>633.76</v>
      </c>
      <c r="CB305">
        <v>79</v>
      </c>
      <c r="CC305">
        <v>0</v>
      </c>
      <c r="CD305">
        <v>1400</v>
      </c>
      <c r="CE305" t="s">
        <v>121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O305">
        <v>0</v>
      </c>
      <c r="CP305">
        <v>0</v>
      </c>
      <c r="CQ305">
        <v>0</v>
      </c>
      <c r="CR305" t="s">
        <v>122</v>
      </c>
      <c r="CS305">
        <v>0</v>
      </c>
    </row>
    <row r="306" spans="1:97" x14ac:dyDescent="0.2">
      <c r="A306" t="s">
        <v>2266</v>
      </c>
      <c r="B306">
        <v>306</v>
      </c>
      <c r="C306" t="s">
        <v>2267</v>
      </c>
      <c r="D306" t="s">
        <v>2268</v>
      </c>
      <c r="E306" t="s">
        <v>2269</v>
      </c>
      <c r="F306" t="s">
        <v>126</v>
      </c>
      <c r="J306">
        <v>1</v>
      </c>
      <c r="K306" t="s">
        <v>102</v>
      </c>
      <c r="T306">
        <v>0</v>
      </c>
      <c r="U306">
        <v>0</v>
      </c>
      <c r="V306">
        <v>0</v>
      </c>
      <c r="AM306" t="s">
        <v>107</v>
      </c>
      <c r="BV306" t="s">
        <v>142</v>
      </c>
      <c r="CD306">
        <v>0</v>
      </c>
      <c r="CO306">
        <v>0</v>
      </c>
      <c r="CP306">
        <v>0</v>
      </c>
      <c r="CR306" t="s">
        <v>143</v>
      </c>
      <c r="CS306">
        <v>0</v>
      </c>
    </row>
    <row r="307" spans="1:97" x14ac:dyDescent="0.2">
      <c r="A307" t="s">
        <v>2270</v>
      </c>
      <c r="B307">
        <v>3</v>
      </c>
      <c r="C307" t="s">
        <v>2271</v>
      </c>
      <c r="D307" t="s">
        <v>2272</v>
      </c>
      <c r="E307" t="s">
        <v>2269</v>
      </c>
      <c r="F307" t="s">
        <v>101</v>
      </c>
      <c r="H307">
        <v>4</v>
      </c>
      <c r="I307">
        <v>7</v>
      </c>
      <c r="J307">
        <v>1</v>
      </c>
      <c r="K307" t="s">
        <v>102</v>
      </c>
      <c r="L307" t="s">
        <v>2273</v>
      </c>
      <c r="N307" t="s">
        <v>2183</v>
      </c>
      <c r="O307" t="s">
        <v>2183</v>
      </c>
      <c r="T307">
        <v>1648.24</v>
      </c>
      <c r="U307">
        <v>48.21</v>
      </c>
      <c r="V307">
        <v>0</v>
      </c>
      <c r="AM307" t="s">
        <v>107</v>
      </c>
      <c r="BC307">
        <v>284</v>
      </c>
      <c r="BD307" t="s">
        <v>2176</v>
      </c>
      <c r="BE307" t="s">
        <v>109</v>
      </c>
      <c r="BG307" t="s">
        <v>2177</v>
      </c>
      <c r="BI307" t="s">
        <v>112</v>
      </c>
      <c r="BK307" t="s">
        <v>114</v>
      </c>
      <c r="BL307" t="s">
        <v>115</v>
      </c>
      <c r="BO307" t="s">
        <v>2178</v>
      </c>
      <c r="BQ307">
        <v>297</v>
      </c>
      <c r="BR307" t="s">
        <v>2274</v>
      </c>
      <c r="BU307" t="s">
        <v>119</v>
      </c>
      <c r="BV307" t="s">
        <v>120</v>
      </c>
      <c r="BW307">
        <v>0</v>
      </c>
      <c r="BX307">
        <v>2500</v>
      </c>
      <c r="BY307">
        <v>2725</v>
      </c>
      <c r="BZ307">
        <v>0.09</v>
      </c>
      <c r="CA307">
        <v>48.21</v>
      </c>
      <c r="CB307">
        <v>0</v>
      </c>
      <c r="CC307">
        <v>0</v>
      </c>
      <c r="CD307">
        <v>1648.24</v>
      </c>
      <c r="CE307" t="s">
        <v>121</v>
      </c>
      <c r="CF307">
        <v>1</v>
      </c>
      <c r="CG307">
        <v>1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0</v>
      </c>
      <c r="CO307">
        <v>2500</v>
      </c>
      <c r="CP307">
        <v>30000</v>
      </c>
      <c r="CR307" t="s">
        <v>122</v>
      </c>
      <c r="CS307">
        <v>0</v>
      </c>
    </row>
    <row r="308" spans="1:97" x14ac:dyDescent="0.2">
      <c r="A308" t="s">
        <v>2275</v>
      </c>
      <c r="B308">
        <v>4</v>
      </c>
      <c r="C308" t="s">
        <v>2276</v>
      </c>
      <c r="D308" t="s">
        <v>2272</v>
      </c>
      <c r="E308" t="s">
        <v>2269</v>
      </c>
      <c r="F308" t="s">
        <v>101</v>
      </c>
      <c r="H308">
        <v>4</v>
      </c>
      <c r="I308">
        <v>8</v>
      </c>
      <c r="J308">
        <v>1</v>
      </c>
      <c r="K308" t="s">
        <v>102</v>
      </c>
      <c r="N308" t="s">
        <v>2183</v>
      </c>
      <c r="O308" t="s">
        <v>2183</v>
      </c>
      <c r="T308">
        <v>2157.65</v>
      </c>
      <c r="U308">
        <v>0</v>
      </c>
      <c r="V308">
        <v>0</v>
      </c>
      <c r="AM308" t="s">
        <v>107</v>
      </c>
      <c r="BC308">
        <v>284</v>
      </c>
      <c r="BD308" t="s">
        <v>2176</v>
      </c>
      <c r="BE308" t="s">
        <v>109</v>
      </c>
      <c r="BG308" t="s">
        <v>2177</v>
      </c>
      <c r="BI308" t="s">
        <v>112</v>
      </c>
      <c r="BK308" t="s">
        <v>114</v>
      </c>
      <c r="BL308" t="s">
        <v>115</v>
      </c>
      <c r="BO308" t="s">
        <v>2178</v>
      </c>
      <c r="BQ308">
        <v>298</v>
      </c>
      <c r="BR308" t="s">
        <v>2274</v>
      </c>
      <c r="BU308" t="s">
        <v>119</v>
      </c>
      <c r="BV308" t="s">
        <v>120</v>
      </c>
      <c r="BW308">
        <v>0</v>
      </c>
      <c r="BX308">
        <v>2500</v>
      </c>
      <c r="BY308">
        <v>2725</v>
      </c>
      <c r="BZ308">
        <v>0.09</v>
      </c>
      <c r="CA308">
        <v>0</v>
      </c>
      <c r="CB308">
        <v>0</v>
      </c>
      <c r="CC308">
        <v>0</v>
      </c>
      <c r="CD308">
        <v>2157.65</v>
      </c>
      <c r="CE308" t="s">
        <v>121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O308">
        <v>2500</v>
      </c>
      <c r="CP308">
        <v>30000</v>
      </c>
      <c r="CR308" t="s">
        <v>122</v>
      </c>
      <c r="CS308">
        <v>0</v>
      </c>
    </row>
    <row r="309" spans="1:97" x14ac:dyDescent="0.2">
      <c r="A309" t="s">
        <v>2277</v>
      </c>
      <c r="B309">
        <v>307</v>
      </c>
      <c r="C309" t="s">
        <v>2278</v>
      </c>
      <c r="D309" t="s">
        <v>2272</v>
      </c>
      <c r="E309" t="s">
        <v>2269</v>
      </c>
      <c r="F309" t="s">
        <v>101</v>
      </c>
      <c r="J309">
        <v>1</v>
      </c>
      <c r="K309" t="s">
        <v>102</v>
      </c>
      <c r="T309">
        <v>0</v>
      </c>
      <c r="U309">
        <v>0</v>
      </c>
      <c r="V309">
        <v>0</v>
      </c>
      <c r="AM309" t="s">
        <v>107</v>
      </c>
      <c r="BV309" t="s">
        <v>142</v>
      </c>
      <c r="CD309">
        <v>0</v>
      </c>
      <c r="CO309">
        <v>0</v>
      </c>
      <c r="CP309">
        <v>0</v>
      </c>
      <c r="CR309" t="s">
        <v>143</v>
      </c>
      <c r="CS309">
        <v>0</v>
      </c>
    </row>
    <row r="310" spans="1:97" x14ac:dyDescent="0.2">
      <c r="A310" t="s">
        <v>2279</v>
      </c>
      <c r="B310">
        <v>308</v>
      </c>
      <c r="C310" t="s">
        <v>2280</v>
      </c>
      <c r="D310" t="s">
        <v>2281</v>
      </c>
      <c r="E310" t="s">
        <v>100</v>
      </c>
      <c r="F310" t="s">
        <v>126</v>
      </c>
      <c r="H310">
        <v>86</v>
      </c>
      <c r="I310">
        <v>150</v>
      </c>
      <c r="J310">
        <v>1</v>
      </c>
      <c r="K310" t="s">
        <v>102</v>
      </c>
      <c r="N310" t="s">
        <v>2175</v>
      </c>
      <c r="O310" t="s">
        <v>2175</v>
      </c>
      <c r="T310">
        <v>0</v>
      </c>
      <c r="U310">
        <v>0</v>
      </c>
      <c r="V310">
        <v>0</v>
      </c>
      <c r="AM310" t="s">
        <v>107</v>
      </c>
      <c r="BC310">
        <v>17</v>
      </c>
      <c r="BD310" t="s">
        <v>108</v>
      </c>
      <c r="BE310" t="s">
        <v>109</v>
      </c>
      <c r="BG310" t="s">
        <v>110</v>
      </c>
      <c r="BH310" t="s">
        <v>111</v>
      </c>
      <c r="BI310" t="s">
        <v>112</v>
      </c>
      <c r="BJ310" t="s">
        <v>113</v>
      </c>
      <c r="BK310" t="s">
        <v>114</v>
      </c>
      <c r="BL310" t="s">
        <v>115</v>
      </c>
      <c r="BM310" t="s">
        <v>116</v>
      </c>
      <c r="BO310" t="s">
        <v>117</v>
      </c>
      <c r="BQ310">
        <v>361</v>
      </c>
      <c r="BR310" t="s">
        <v>118</v>
      </c>
      <c r="BU310" t="s">
        <v>119</v>
      </c>
      <c r="BV310" t="s">
        <v>120</v>
      </c>
      <c r="BW310">
        <v>0</v>
      </c>
      <c r="BX310">
        <v>0</v>
      </c>
      <c r="BY310">
        <v>0</v>
      </c>
      <c r="BZ310">
        <v>0.09</v>
      </c>
      <c r="CA310">
        <v>0</v>
      </c>
      <c r="CB310">
        <v>0</v>
      </c>
      <c r="CC310">
        <v>0</v>
      </c>
      <c r="CD310">
        <v>0</v>
      </c>
      <c r="CE310" t="s">
        <v>121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O310">
        <v>0</v>
      </c>
      <c r="CP310">
        <v>0</v>
      </c>
      <c r="CR310" t="s">
        <v>122</v>
      </c>
      <c r="CS310">
        <v>0</v>
      </c>
    </row>
    <row r="311" spans="1:97" x14ac:dyDescent="0.2">
      <c r="A311" t="s">
        <v>2279</v>
      </c>
      <c r="B311">
        <v>308</v>
      </c>
      <c r="C311" t="s">
        <v>2280</v>
      </c>
      <c r="D311" t="s">
        <v>2281</v>
      </c>
      <c r="E311" t="s">
        <v>100</v>
      </c>
      <c r="F311" t="s">
        <v>126</v>
      </c>
      <c r="H311">
        <v>86</v>
      </c>
      <c r="I311">
        <v>150</v>
      </c>
      <c r="J311">
        <v>1</v>
      </c>
      <c r="K311" t="s">
        <v>102</v>
      </c>
      <c r="N311" t="s">
        <v>2175</v>
      </c>
      <c r="O311" t="s">
        <v>2175</v>
      </c>
      <c r="T311">
        <v>0</v>
      </c>
      <c r="U311">
        <v>0</v>
      </c>
      <c r="V311">
        <v>0</v>
      </c>
      <c r="AM311" t="s">
        <v>107</v>
      </c>
      <c r="BC311">
        <v>284</v>
      </c>
      <c r="BD311" t="s">
        <v>2176</v>
      </c>
      <c r="BE311" t="s">
        <v>109</v>
      </c>
      <c r="BG311" t="s">
        <v>2177</v>
      </c>
      <c r="BI311" t="s">
        <v>112</v>
      </c>
      <c r="BK311" t="s">
        <v>114</v>
      </c>
      <c r="BL311" t="s">
        <v>115</v>
      </c>
      <c r="BO311" t="s">
        <v>2178</v>
      </c>
      <c r="BQ311">
        <v>284</v>
      </c>
      <c r="BR311" t="s">
        <v>2282</v>
      </c>
      <c r="BU311" t="s">
        <v>119</v>
      </c>
      <c r="BV311" t="s">
        <v>120</v>
      </c>
      <c r="BW311">
        <v>0</v>
      </c>
      <c r="BX311">
        <v>41710</v>
      </c>
      <c r="BY311">
        <v>45463.9</v>
      </c>
      <c r="BZ311">
        <v>0.09</v>
      </c>
      <c r="CA311">
        <v>0</v>
      </c>
      <c r="CB311">
        <v>395</v>
      </c>
      <c r="CC311">
        <v>0</v>
      </c>
      <c r="CD311">
        <v>0</v>
      </c>
      <c r="CE311" t="s">
        <v>121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O311">
        <v>41710</v>
      </c>
      <c r="CP311">
        <v>500520</v>
      </c>
      <c r="CR311" t="s">
        <v>122</v>
      </c>
      <c r="CS311">
        <v>0</v>
      </c>
    </row>
    <row r="312" spans="1:97" x14ac:dyDescent="0.2">
      <c r="A312" t="s">
        <v>2279</v>
      </c>
      <c r="B312">
        <v>308</v>
      </c>
      <c r="C312" t="s">
        <v>2280</v>
      </c>
      <c r="D312" t="s">
        <v>2281</v>
      </c>
      <c r="E312" t="s">
        <v>100</v>
      </c>
      <c r="F312" t="s">
        <v>126</v>
      </c>
      <c r="H312">
        <v>86</v>
      </c>
      <c r="I312">
        <v>150</v>
      </c>
      <c r="J312">
        <v>1</v>
      </c>
      <c r="K312" t="s">
        <v>102</v>
      </c>
      <c r="N312" t="s">
        <v>2175</v>
      </c>
      <c r="O312" t="s">
        <v>2175</v>
      </c>
      <c r="T312">
        <v>0</v>
      </c>
      <c r="U312">
        <v>0</v>
      </c>
      <c r="V312">
        <v>0</v>
      </c>
      <c r="AM312" t="s">
        <v>107</v>
      </c>
      <c r="BC312">
        <v>284</v>
      </c>
      <c r="BD312" t="s">
        <v>2176</v>
      </c>
      <c r="BE312" t="s">
        <v>109</v>
      </c>
      <c r="BG312" t="s">
        <v>2177</v>
      </c>
      <c r="BI312" t="s">
        <v>112</v>
      </c>
      <c r="BK312" t="s">
        <v>114</v>
      </c>
      <c r="BL312" t="s">
        <v>115</v>
      </c>
      <c r="BO312" t="s">
        <v>2178</v>
      </c>
      <c r="BQ312">
        <v>285</v>
      </c>
      <c r="BR312" t="s">
        <v>2283</v>
      </c>
      <c r="BU312" t="s">
        <v>119</v>
      </c>
      <c r="BV312" t="s">
        <v>120</v>
      </c>
      <c r="BW312">
        <v>0</v>
      </c>
      <c r="BX312">
        <v>1500</v>
      </c>
      <c r="BY312">
        <v>1635</v>
      </c>
      <c r="BZ312">
        <v>0.09</v>
      </c>
      <c r="CA312">
        <v>0</v>
      </c>
      <c r="CB312">
        <v>395</v>
      </c>
      <c r="CC312">
        <v>0</v>
      </c>
      <c r="CD312">
        <v>0</v>
      </c>
      <c r="CE312" t="s">
        <v>121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O312">
        <v>1500</v>
      </c>
      <c r="CP312">
        <v>18000</v>
      </c>
      <c r="CR312" t="s">
        <v>122</v>
      </c>
      <c r="CS312">
        <v>0</v>
      </c>
    </row>
    <row r="313" spans="1:97" x14ac:dyDescent="0.2">
      <c r="A313" t="s">
        <v>2284</v>
      </c>
      <c r="B313">
        <v>309</v>
      </c>
      <c r="C313" t="s">
        <v>2285</v>
      </c>
      <c r="D313" t="s">
        <v>2286</v>
      </c>
      <c r="E313" t="s">
        <v>312</v>
      </c>
      <c r="F313" t="s">
        <v>126</v>
      </c>
      <c r="I313">
        <v>2</v>
      </c>
      <c r="J313">
        <v>1</v>
      </c>
      <c r="K313" t="s">
        <v>102</v>
      </c>
      <c r="T313">
        <v>0</v>
      </c>
      <c r="U313">
        <v>47.03</v>
      </c>
      <c r="V313">
        <v>0</v>
      </c>
      <c r="AM313" t="s">
        <v>107</v>
      </c>
      <c r="BC313">
        <v>17</v>
      </c>
      <c r="BD313" t="s">
        <v>108</v>
      </c>
      <c r="BE313" t="s">
        <v>109</v>
      </c>
      <c r="BG313" t="s">
        <v>110</v>
      </c>
      <c r="BH313" t="s">
        <v>111</v>
      </c>
      <c r="BI313" t="s">
        <v>112</v>
      </c>
      <c r="BJ313" t="s">
        <v>113</v>
      </c>
      <c r="BK313" t="s">
        <v>114</v>
      </c>
      <c r="BL313" t="s">
        <v>115</v>
      </c>
      <c r="BM313" t="s">
        <v>116</v>
      </c>
      <c r="BO313" t="s">
        <v>117</v>
      </c>
      <c r="BQ313">
        <v>362</v>
      </c>
      <c r="BR313" t="s">
        <v>118</v>
      </c>
      <c r="BU313" t="s">
        <v>119</v>
      </c>
      <c r="BV313" t="s">
        <v>120</v>
      </c>
      <c r="BW313">
        <v>0</v>
      </c>
      <c r="BX313">
        <v>1019</v>
      </c>
      <c r="BY313">
        <v>1110.71</v>
      </c>
      <c r="BZ313">
        <v>0.09</v>
      </c>
      <c r="CA313">
        <v>47.03</v>
      </c>
      <c r="CB313">
        <v>0</v>
      </c>
      <c r="CC313">
        <v>0</v>
      </c>
      <c r="CD313">
        <v>0</v>
      </c>
      <c r="CE313" t="s">
        <v>121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O313">
        <v>1019</v>
      </c>
      <c r="CP313">
        <v>12228</v>
      </c>
      <c r="CR313" t="s">
        <v>122</v>
      </c>
      <c r="CS313">
        <v>0</v>
      </c>
    </row>
    <row r="314" spans="1:97" x14ac:dyDescent="0.2">
      <c r="A314" t="s">
        <v>2287</v>
      </c>
      <c r="B314">
        <v>310</v>
      </c>
      <c r="C314" t="s">
        <v>2288</v>
      </c>
      <c r="D314" t="s">
        <v>2289</v>
      </c>
      <c r="E314" t="s">
        <v>2290</v>
      </c>
      <c r="F314" t="s">
        <v>101</v>
      </c>
      <c r="H314">
        <v>3</v>
      </c>
      <c r="I314">
        <v>6</v>
      </c>
      <c r="J314">
        <v>0</v>
      </c>
      <c r="K314" t="s">
        <v>102</v>
      </c>
      <c r="L314" t="s">
        <v>2291</v>
      </c>
      <c r="P314" t="s">
        <v>2292</v>
      </c>
      <c r="Q314" t="s">
        <v>2293</v>
      </c>
      <c r="R314" t="s">
        <v>2294</v>
      </c>
      <c r="S314" t="s">
        <v>2295</v>
      </c>
      <c r="T314">
        <v>3200</v>
      </c>
      <c r="U314">
        <v>400</v>
      </c>
      <c r="V314">
        <v>0</v>
      </c>
      <c r="AM314" t="s">
        <v>107</v>
      </c>
      <c r="BC314">
        <v>346</v>
      </c>
      <c r="BD314" t="s">
        <v>1356</v>
      </c>
      <c r="BE314" t="s">
        <v>109</v>
      </c>
      <c r="BG314" t="s">
        <v>1357</v>
      </c>
      <c r="BH314" t="s">
        <v>1358</v>
      </c>
      <c r="BI314" t="s">
        <v>1359</v>
      </c>
      <c r="BK314" t="s">
        <v>1360</v>
      </c>
      <c r="BL314" t="s">
        <v>115</v>
      </c>
      <c r="BM314" t="s">
        <v>1361</v>
      </c>
      <c r="BQ314">
        <v>11</v>
      </c>
      <c r="BR314" t="s">
        <v>2296</v>
      </c>
      <c r="BS314" t="s">
        <v>1078</v>
      </c>
      <c r="BT314">
        <v>4</v>
      </c>
      <c r="BU314" t="s">
        <v>119</v>
      </c>
      <c r="BV314" t="s">
        <v>483</v>
      </c>
      <c r="BW314">
        <v>3485</v>
      </c>
      <c r="BX314">
        <v>3885</v>
      </c>
      <c r="BY314">
        <v>4234.6499999999996</v>
      </c>
      <c r="BZ314">
        <v>0.09</v>
      </c>
      <c r="CA314">
        <v>400</v>
      </c>
      <c r="CB314">
        <v>0</v>
      </c>
      <c r="CC314">
        <v>0</v>
      </c>
      <c r="CD314">
        <v>3200</v>
      </c>
      <c r="CE314" t="s">
        <v>121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O314">
        <v>3885</v>
      </c>
      <c r="CP314">
        <v>46620</v>
      </c>
      <c r="CR314" t="s">
        <v>1648</v>
      </c>
      <c r="CS314">
        <v>0</v>
      </c>
    </row>
    <row r="315" spans="1:97" x14ac:dyDescent="0.2">
      <c r="A315" t="s">
        <v>2297</v>
      </c>
      <c r="B315">
        <v>311</v>
      </c>
      <c r="C315" t="s">
        <v>2298</v>
      </c>
      <c r="D315" t="s">
        <v>2289</v>
      </c>
      <c r="E315" t="s">
        <v>2290</v>
      </c>
      <c r="F315" t="s">
        <v>101</v>
      </c>
      <c r="H315">
        <v>4</v>
      </c>
      <c r="I315">
        <v>6</v>
      </c>
      <c r="J315">
        <v>1</v>
      </c>
      <c r="K315" t="s">
        <v>102</v>
      </c>
      <c r="L315" t="s">
        <v>2299</v>
      </c>
      <c r="P315" t="s">
        <v>2292</v>
      </c>
      <c r="Q315" t="s">
        <v>2293</v>
      </c>
      <c r="R315" t="s">
        <v>2294</v>
      </c>
      <c r="S315" t="s">
        <v>2295</v>
      </c>
      <c r="T315">
        <v>0</v>
      </c>
      <c r="U315">
        <v>300</v>
      </c>
      <c r="V315">
        <v>0</v>
      </c>
      <c r="W315">
        <v>766</v>
      </c>
      <c r="X315" t="s">
        <v>2300</v>
      </c>
      <c r="Y315" t="s">
        <v>109</v>
      </c>
      <c r="AA315" t="s">
        <v>2301</v>
      </c>
      <c r="AB315" t="s">
        <v>2302</v>
      </c>
      <c r="AJ315">
        <v>528</v>
      </c>
      <c r="AK315" t="s">
        <v>2303</v>
      </c>
      <c r="AL315" t="s">
        <v>2058</v>
      </c>
      <c r="AM315" t="s">
        <v>163</v>
      </c>
      <c r="AO315">
        <v>1</v>
      </c>
      <c r="AT315">
        <v>2394.13</v>
      </c>
      <c r="AU315">
        <v>2903.38</v>
      </c>
      <c r="AV315">
        <v>3164.68</v>
      </c>
      <c r="AW315">
        <v>0.09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236</v>
      </c>
      <c r="BD315" t="s">
        <v>301</v>
      </c>
      <c r="BE315" t="s">
        <v>109</v>
      </c>
      <c r="BG315" t="s">
        <v>302</v>
      </c>
      <c r="BH315" t="s">
        <v>303</v>
      </c>
      <c r="BI315" t="s">
        <v>304</v>
      </c>
      <c r="BK315" t="s">
        <v>305</v>
      </c>
      <c r="BL315" t="s">
        <v>115</v>
      </c>
      <c r="BO315" t="s">
        <v>306</v>
      </c>
      <c r="BQ315">
        <v>12</v>
      </c>
      <c r="BR315" t="s">
        <v>2303</v>
      </c>
      <c r="BS315" t="s">
        <v>2058</v>
      </c>
      <c r="BT315">
        <v>12</v>
      </c>
      <c r="BU315" t="s">
        <v>119</v>
      </c>
      <c r="BV315" t="s">
        <v>163</v>
      </c>
      <c r="BW315">
        <v>3607.77</v>
      </c>
      <c r="BX315">
        <v>3907.77</v>
      </c>
      <c r="BY315">
        <v>4259.47</v>
      </c>
      <c r="BZ315">
        <v>0.09</v>
      </c>
      <c r="CA315">
        <v>300</v>
      </c>
      <c r="CB315">
        <v>0</v>
      </c>
      <c r="CC315">
        <v>0</v>
      </c>
      <c r="CD315">
        <v>0</v>
      </c>
      <c r="CE315" t="s">
        <v>121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O315">
        <v>1004.39</v>
      </c>
      <c r="CP315">
        <v>12052.68</v>
      </c>
      <c r="CQ315">
        <v>34.590000000000003</v>
      </c>
      <c r="CR315" t="s">
        <v>168</v>
      </c>
      <c r="CS315">
        <v>829</v>
      </c>
    </row>
    <row r="316" spans="1:97" x14ac:dyDescent="0.2">
      <c r="A316" t="s">
        <v>2304</v>
      </c>
      <c r="B316">
        <v>312</v>
      </c>
      <c r="C316" t="s">
        <v>2305</v>
      </c>
      <c r="D316" t="s">
        <v>2289</v>
      </c>
      <c r="E316" t="s">
        <v>2306</v>
      </c>
      <c r="F316" t="s">
        <v>101</v>
      </c>
      <c r="J316">
        <v>1</v>
      </c>
      <c r="K316" t="s">
        <v>102</v>
      </c>
      <c r="L316" t="s">
        <v>2307</v>
      </c>
      <c r="P316" t="s">
        <v>2292</v>
      </c>
      <c r="Q316" t="s">
        <v>2293</v>
      </c>
      <c r="R316" t="s">
        <v>2294</v>
      </c>
      <c r="S316" t="s">
        <v>2295</v>
      </c>
      <c r="T316">
        <v>3200</v>
      </c>
      <c r="U316">
        <v>400</v>
      </c>
      <c r="V316">
        <v>0</v>
      </c>
      <c r="AM316" t="s">
        <v>107</v>
      </c>
      <c r="BV316" t="s">
        <v>142</v>
      </c>
      <c r="CD316">
        <v>3200</v>
      </c>
      <c r="CO316">
        <v>0</v>
      </c>
      <c r="CP316">
        <v>0</v>
      </c>
      <c r="CR316" t="s">
        <v>143</v>
      </c>
      <c r="CS316">
        <v>0</v>
      </c>
    </row>
    <row r="317" spans="1:97" x14ac:dyDescent="0.2">
      <c r="A317" t="s">
        <v>2308</v>
      </c>
      <c r="B317">
        <v>313</v>
      </c>
      <c r="C317" t="s">
        <v>2309</v>
      </c>
      <c r="D317" t="s">
        <v>2289</v>
      </c>
      <c r="E317" t="s">
        <v>2306</v>
      </c>
      <c r="F317" t="s">
        <v>101</v>
      </c>
      <c r="J317">
        <v>1</v>
      </c>
      <c r="K317" t="s">
        <v>102</v>
      </c>
      <c r="L317" t="s">
        <v>2310</v>
      </c>
      <c r="P317" t="s">
        <v>2292</v>
      </c>
      <c r="Q317" t="s">
        <v>2293</v>
      </c>
      <c r="R317" t="s">
        <v>2294</v>
      </c>
      <c r="S317" t="s">
        <v>2295</v>
      </c>
      <c r="T317">
        <v>0</v>
      </c>
      <c r="U317">
        <v>0</v>
      </c>
      <c r="V317">
        <v>0</v>
      </c>
      <c r="AM317" t="s">
        <v>107</v>
      </c>
      <c r="BV317" t="s">
        <v>142</v>
      </c>
      <c r="CD317">
        <v>0</v>
      </c>
      <c r="CO317">
        <v>0</v>
      </c>
      <c r="CP317">
        <v>0</v>
      </c>
      <c r="CR317" t="s">
        <v>143</v>
      </c>
      <c r="CS317">
        <v>0</v>
      </c>
    </row>
    <row r="318" spans="1:97" x14ac:dyDescent="0.2">
      <c r="A318" t="s">
        <v>2311</v>
      </c>
      <c r="B318">
        <v>314</v>
      </c>
      <c r="C318" t="s">
        <v>2312</v>
      </c>
      <c r="D318" t="s">
        <v>2289</v>
      </c>
      <c r="E318" t="s">
        <v>2290</v>
      </c>
      <c r="F318" t="s">
        <v>101</v>
      </c>
      <c r="H318">
        <v>3</v>
      </c>
      <c r="I318">
        <v>3</v>
      </c>
      <c r="J318">
        <v>0</v>
      </c>
      <c r="K318" t="s">
        <v>102</v>
      </c>
      <c r="L318" t="s">
        <v>2313</v>
      </c>
      <c r="P318" t="s">
        <v>2292</v>
      </c>
      <c r="Q318" t="s">
        <v>2293</v>
      </c>
      <c r="R318" t="s">
        <v>2294</v>
      </c>
      <c r="S318" t="s">
        <v>2295</v>
      </c>
      <c r="T318">
        <v>0</v>
      </c>
      <c r="U318">
        <v>200</v>
      </c>
      <c r="V318">
        <v>0</v>
      </c>
      <c r="W318">
        <v>726</v>
      </c>
      <c r="X318" t="s">
        <v>2314</v>
      </c>
      <c r="Y318" t="s">
        <v>109</v>
      </c>
      <c r="AJ318">
        <v>531</v>
      </c>
      <c r="AM318" t="s">
        <v>120</v>
      </c>
      <c r="AO318">
        <v>1</v>
      </c>
      <c r="AT318">
        <v>1560</v>
      </c>
      <c r="AU318">
        <v>1660</v>
      </c>
      <c r="AV318">
        <v>1809.4</v>
      </c>
      <c r="AW318">
        <v>0.09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304</v>
      </c>
      <c r="BD318" t="s">
        <v>2315</v>
      </c>
      <c r="BE318" t="s">
        <v>109</v>
      </c>
      <c r="BG318" t="s">
        <v>2316</v>
      </c>
      <c r="BH318" t="s">
        <v>2317</v>
      </c>
      <c r="BI318" t="s">
        <v>2318</v>
      </c>
      <c r="BK318" t="s">
        <v>2319</v>
      </c>
      <c r="BL318" t="s">
        <v>115</v>
      </c>
      <c r="BQ318">
        <v>15</v>
      </c>
      <c r="BR318" t="s">
        <v>2320</v>
      </c>
      <c r="BS318" t="s">
        <v>1078</v>
      </c>
      <c r="BT318">
        <v>3</v>
      </c>
      <c r="BU318" t="s">
        <v>119</v>
      </c>
      <c r="BV318" t="s">
        <v>483</v>
      </c>
      <c r="BW318">
        <v>2000</v>
      </c>
      <c r="BX318">
        <v>2300</v>
      </c>
      <c r="BY318">
        <v>2507</v>
      </c>
      <c r="BZ318">
        <v>0.09</v>
      </c>
      <c r="CA318">
        <v>200</v>
      </c>
      <c r="CB318">
        <v>100</v>
      </c>
      <c r="CC318">
        <v>0</v>
      </c>
      <c r="CD318">
        <v>0</v>
      </c>
      <c r="CE318" t="s">
        <v>121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O318">
        <v>640</v>
      </c>
      <c r="CP318">
        <v>7680</v>
      </c>
      <c r="CQ318">
        <v>38.549999999999997</v>
      </c>
      <c r="CR318" t="s">
        <v>1648</v>
      </c>
      <c r="CS318">
        <v>0</v>
      </c>
    </row>
    <row r="319" spans="1:97" x14ac:dyDescent="0.2">
      <c r="A319" t="s">
        <v>2321</v>
      </c>
      <c r="B319">
        <v>315</v>
      </c>
      <c r="C319" t="s">
        <v>2322</v>
      </c>
      <c r="D319" t="s">
        <v>2289</v>
      </c>
      <c r="E319" t="s">
        <v>2306</v>
      </c>
      <c r="F319" t="s">
        <v>101</v>
      </c>
      <c r="J319">
        <v>1</v>
      </c>
      <c r="K319" t="s">
        <v>102</v>
      </c>
      <c r="L319" t="s">
        <v>2323</v>
      </c>
      <c r="P319" t="s">
        <v>2292</v>
      </c>
      <c r="Q319" t="s">
        <v>2293</v>
      </c>
      <c r="R319" t="s">
        <v>2294</v>
      </c>
      <c r="S319" t="s">
        <v>2295</v>
      </c>
      <c r="T319">
        <v>0</v>
      </c>
      <c r="U319">
        <v>0</v>
      </c>
      <c r="V319">
        <v>0</v>
      </c>
      <c r="AM319" t="s">
        <v>107</v>
      </c>
      <c r="BV319" t="s">
        <v>142</v>
      </c>
      <c r="CD319">
        <v>0</v>
      </c>
      <c r="CO319">
        <v>0</v>
      </c>
      <c r="CP319">
        <v>0</v>
      </c>
      <c r="CR319" t="s">
        <v>143</v>
      </c>
      <c r="CS319">
        <v>0</v>
      </c>
    </row>
    <row r="320" spans="1:97" x14ac:dyDescent="0.2">
      <c r="A320" t="s">
        <v>2324</v>
      </c>
      <c r="B320">
        <v>316</v>
      </c>
      <c r="C320" t="s">
        <v>2325</v>
      </c>
      <c r="D320" t="s">
        <v>2289</v>
      </c>
      <c r="E320" t="s">
        <v>2326</v>
      </c>
      <c r="F320" t="s">
        <v>101</v>
      </c>
      <c r="H320">
        <v>4</v>
      </c>
      <c r="I320">
        <v>8</v>
      </c>
      <c r="J320">
        <v>1</v>
      </c>
      <c r="K320" t="s">
        <v>102</v>
      </c>
      <c r="L320" t="s">
        <v>2327</v>
      </c>
      <c r="P320" t="s">
        <v>2292</v>
      </c>
      <c r="Q320" t="s">
        <v>2293</v>
      </c>
      <c r="R320" t="s">
        <v>2294</v>
      </c>
      <c r="S320" t="s">
        <v>2295</v>
      </c>
      <c r="T320">
        <v>0</v>
      </c>
      <c r="U320">
        <v>300</v>
      </c>
      <c r="V320">
        <v>0</v>
      </c>
      <c r="W320">
        <v>766</v>
      </c>
      <c r="X320" t="s">
        <v>2300</v>
      </c>
      <c r="Y320" t="s">
        <v>109</v>
      </c>
      <c r="AA320" t="s">
        <v>2301</v>
      </c>
      <c r="AB320" t="s">
        <v>2302</v>
      </c>
      <c r="AJ320">
        <v>534</v>
      </c>
      <c r="AK320" t="s">
        <v>2303</v>
      </c>
      <c r="AL320" t="s">
        <v>2058</v>
      </c>
      <c r="AM320" t="s">
        <v>163</v>
      </c>
      <c r="AO320">
        <v>1</v>
      </c>
      <c r="AT320">
        <v>3260.8</v>
      </c>
      <c r="AU320">
        <v>3770.05</v>
      </c>
      <c r="AV320">
        <v>4109.3500000000004</v>
      </c>
      <c r="AW320">
        <v>0.09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236</v>
      </c>
      <c r="BD320" t="s">
        <v>301</v>
      </c>
      <c r="BE320" t="s">
        <v>109</v>
      </c>
      <c r="BG320" t="s">
        <v>302</v>
      </c>
      <c r="BH320" t="s">
        <v>303</v>
      </c>
      <c r="BI320" t="s">
        <v>304</v>
      </c>
      <c r="BK320" t="s">
        <v>305</v>
      </c>
      <c r="BL320" t="s">
        <v>115</v>
      </c>
      <c r="BO320" t="s">
        <v>306</v>
      </c>
      <c r="BQ320">
        <v>18</v>
      </c>
      <c r="BR320" t="s">
        <v>2303</v>
      </c>
      <c r="BS320" t="s">
        <v>2058</v>
      </c>
      <c r="BT320">
        <v>12</v>
      </c>
      <c r="BU320" t="s">
        <v>119</v>
      </c>
      <c r="BV320" t="s">
        <v>163</v>
      </c>
      <c r="BW320">
        <v>4810.3599999999997</v>
      </c>
      <c r="BX320">
        <v>5110.3599999999997</v>
      </c>
      <c r="BY320">
        <v>5570.29</v>
      </c>
      <c r="BZ320">
        <v>0.09</v>
      </c>
      <c r="CA320">
        <v>300</v>
      </c>
      <c r="CB320">
        <v>0</v>
      </c>
      <c r="CC320">
        <v>0</v>
      </c>
      <c r="CD320">
        <v>0</v>
      </c>
      <c r="CE320" t="s">
        <v>121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O320">
        <v>1340.309999999999</v>
      </c>
      <c r="CP320">
        <v>16083.71999999999</v>
      </c>
      <c r="CQ320">
        <v>35.549999999999997</v>
      </c>
      <c r="CR320" t="s">
        <v>168</v>
      </c>
      <c r="CS320">
        <v>829</v>
      </c>
    </row>
    <row r="321" spans="1:97" x14ac:dyDescent="0.2">
      <c r="A321" t="s">
        <v>2328</v>
      </c>
      <c r="B321">
        <v>317</v>
      </c>
      <c r="C321" t="s">
        <v>2329</v>
      </c>
      <c r="D321" t="s">
        <v>2289</v>
      </c>
      <c r="E321" t="s">
        <v>2326</v>
      </c>
      <c r="F321" t="s">
        <v>101</v>
      </c>
      <c r="H321">
        <v>8</v>
      </c>
      <c r="I321">
        <v>8</v>
      </c>
      <c r="J321">
        <v>0</v>
      </c>
      <c r="K321" t="s">
        <v>102</v>
      </c>
      <c r="L321" t="s">
        <v>2330</v>
      </c>
      <c r="P321" t="s">
        <v>2292</v>
      </c>
      <c r="Q321" t="s">
        <v>2293</v>
      </c>
      <c r="R321" t="s">
        <v>2294</v>
      </c>
      <c r="S321" t="s">
        <v>2295</v>
      </c>
      <c r="T321">
        <v>0</v>
      </c>
      <c r="U321">
        <v>600</v>
      </c>
      <c r="V321">
        <v>0</v>
      </c>
      <c r="AM321" t="s">
        <v>107</v>
      </c>
      <c r="BV321" t="s">
        <v>142</v>
      </c>
      <c r="CD321">
        <v>0</v>
      </c>
      <c r="CO321">
        <v>0</v>
      </c>
      <c r="CP321">
        <v>0</v>
      </c>
      <c r="CR321" t="s">
        <v>1648</v>
      </c>
      <c r="CS321">
        <v>0</v>
      </c>
    </row>
    <row r="322" spans="1:97" x14ac:dyDescent="0.2">
      <c r="A322" t="s">
        <v>2331</v>
      </c>
      <c r="B322">
        <v>318</v>
      </c>
      <c r="C322" t="s">
        <v>2332</v>
      </c>
      <c r="D322" t="s">
        <v>2289</v>
      </c>
      <c r="E322" t="s">
        <v>2326</v>
      </c>
      <c r="F322" t="s">
        <v>101</v>
      </c>
      <c r="H322">
        <v>8</v>
      </c>
      <c r="I322">
        <v>8</v>
      </c>
      <c r="J322">
        <v>1</v>
      </c>
      <c r="K322" t="s">
        <v>102</v>
      </c>
      <c r="L322" t="s">
        <v>2333</v>
      </c>
      <c r="M322" t="s">
        <v>313</v>
      </c>
      <c r="P322" t="s">
        <v>2292</v>
      </c>
      <c r="Q322" t="s">
        <v>2293</v>
      </c>
      <c r="R322" t="s">
        <v>2294</v>
      </c>
      <c r="S322" t="s">
        <v>2295</v>
      </c>
      <c r="T322">
        <v>0</v>
      </c>
      <c r="U322">
        <v>600</v>
      </c>
      <c r="V322">
        <v>0</v>
      </c>
      <c r="W322">
        <v>766</v>
      </c>
      <c r="X322" t="s">
        <v>2300</v>
      </c>
      <c r="Y322" t="s">
        <v>109</v>
      </c>
      <c r="AA322" t="s">
        <v>2301</v>
      </c>
      <c r="AB322" t="s">
        <v>2302</v>
      </c>
      <c r="AJ322">
        <v>536</v>
      </c>
      <c r="AM322" t="s">
        <v>120</v>
      </c>
      <c r="AO322">
        <v>1</v>
      </c>
      <c r="AT322">
        <v>3780.8</v>
      </c>
      <c r="AU322">
        <v>4490.05</v>
      </c>
      <c r="AV322">
        <v>4894.1499999999996</v>
      </c>
      <c r="AW322">
        <v>0.09</v>
      </c>
      <c r="AX322">
        <v>0</v>
      </c>
      <c r="AY322">
        <v>0</v>
      </c>
      <c r="AZ322">
        <v>0</v>
      </c>
      <c r="BA322">
        <v>0</v>
      </c>
      <c r="BB322">
        <v>0</v>
      </c>
      <c r="BV322" t="s">
        <v>142</v>
      </c>
      <c r="CD322">
        <v>0</v>
      </c>
      <c r="CO322">
        <v>-4490.05</v>
      </c>
      <c r="CP322">
        <v>-53880.600000000013</v>
      </c>
      <c r="CQ322">
        <v>-100</v>
      </c>
      <c r="CR322" t="s">
        <v>143</v>
      </c>
      <c r="CS322">
        <v>0</v>
      </c>
    </row>
    <row r="323" spans="1:97" x14ac:dyDescent="0.2">
      <c r="A323" t="s">
        <v>2334</v>
      </c>
      <c r="B323">
        <v>319</v>
      </c>
      <c r="C323" t="s">
        <v>2335</v>
      </c>
      <c r="D323" t="s">
        <v>2289</v>
      </c>
      <c r="E323" t="s">
        <v>2326</v>
      </c>
      <c r="F323" t="s">
        <v>101</v>
      </c>
      <c r="H323">
        <v>8</v>
      </c>
      <c r="I323">
        <v>8</v>
      </c>
      <c r="J323">
        <v>0</v>
      </c>
      <c r="K323" t="s">
        <v>102</v>
      </c>
      <c r="L323" t="s">
        <v>2336</v>
      </c>
      <c r="M323" t="s">
        <v>313</v>
      </c>
      <c r="P323" t="s">
        <v>2292</v>
      </c>
      <c r="Q323" t="s">
        <v>2293</v>
      </c>
      <c r="R323" t="s">
        <v>2294</v>
      </c>
      <c r="S323" t="s">
        <v>2295</v>
      </c>
      <c r="T323">
        <v>4266.45</v>
      </c>
      <c r="U323">
        <v>450</v>
      </c>
      <c r="V323">
        <v>0</v>
      </c>
      <c r="W323">
        <v>766</v>
      </c>
      <c r="X323" t="s">
        <v>2300</v>
      </c>
      <c r="Y323" t="s">
        <v>109</v>
      </c>
      <c r="AA323" t="s">
        <v>2301</v>
      </c>
      <c r="AB323" t="s">
        <v>2302</v>
      </c>
      <c r="AJ323">
        <v>537</v>
      </c>
      <c r="AM323" t="s">
        <v>120</v>
      </c>
      <c r="AO323">
        <v>1</v>
      </c>
      <c r="AT323">
        <v>3780.8</v>
      </c>
      <c r="AU323">
        <v>4490.05</v>
      </c>
      <c r="AV323">
        <v>4894.1499999999996</v>
      </c>
      <c r="AW323">
        <v>0.09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346</v>
      </c>
      <c r="BD323" t="s">
        <v>1356</v>
      </c>
      <c r="BE323" t="s">
        <v>109</v>
      </c>
      <c r="BG323" t="s">
        <v>1357</v>
      </c>
      <c r="BH323" t="s">
        <v>1358</v>
      </c>
      <c r="BI323" t="s">
        <v>1359</v>
      </c>
      <c r="BK323" t="s">
        <v>1360</v>
      </c>
      <c r="BL323" t="s">
        <v>115</v>
      </c>
      <c r="BM323" t="s">
        <v>1361</v>
      </c>
      <c r="BQ323">
        <v>21</v>
      </c>
      <c r="BR323" t="s">
        <v>2296</v>
      </c>
      <c r="BS323" t="s">
        <v>1078</v>
      </c>
      <c r="BT323">
        <v>4</v>
      </c>
      <c r="BU323" t="s">
        <v>119</v>
      </c>
      <c r="BV323" t="s">
        <v>483</v>
      </c>
      <c r="BW323">
        <v>4650</v>
      </c>
      <c r="BX323">
        <v>5100</v>
      </c>
      <c r="BY323">
        <v>5559</v>
      </c>
      <c r="BZ323">
        <v>0.09</v>
      </c>
      <c r="CA323">
        <v>450</v>
      </c>
      <c r="CB323">
        <v>0</v>
      </c>
      <c r="CC323">
        <v>0</v>
      </c>
      <c r="CD323">
        <v>4266.45</v>
      </c>
      <c r="CE323" t="s">
        <v>121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O323">
        <v>609.94999999999982</v>
      </c>
      <c r="CP323">
        <v>7319.3999999999978</v>
      </c>
      <c r="CQ323">
        <v>13.58</v>
      </c>
      <c r="CR323" t="s">
        <v>1648</v>
      </c>
      <c r="CS323">
        <v>0</v>
      </c>
    </row>
    <row r="324" spans="1:97" x14ac:dyDescent="0.2">
      <c r="A324" t="s">
        <v>2337</v>
      </c>
      <c r="B324">
        <v>320</v>
      </c>
      <c r="C324" t="s">
        <v>2338</v>
      </c>
      <c r="D324" t="s">
        <v>2289</v>
      </c>
      <c r="E324" t="s">
        <v>2326</v>
      </c>
      <c r="F324" t="s">
        <v>101</v>
      </c>
      <c r="H324">
        <v>6</v>
      </c>
      <c r="I324">
        <v>6</v>
      </c>
      <c r="J324">
        <v>0</v>
      </c>
      <c r="K324" t="s">
        <v>102</v>
      </c>
      <c r="L324" t="s">
        <v>2339</v>
      </c>
      <c r="P324" t="s">
        <v>2292</v>
      </c>
      <c r="Q324" t="s">
        <v>2293</v>
      </c>
      <c r="R324" t="s">
        <v>2294</v>
      </c>
      <c r="S324" t="s">
        <v>2295</v>
      </c>
      <c r="T324">
        <v>0</v>
      </c>
      <c r="U324">
        <v>0</v>
      </c>
      <c r="V324">
        <v>0</v>
      </c>
      <c r="W324">
        <v>766</v>
      </c>
      <c r="X324" t="s">
        <v>2300</v>
      </c>
      <c r="Y324" t="s">
        <v>109</v>
      </c>
      <c r="AA324" t="s">
        <v>2301</v>
      </c>
      <c r="AB324" t="s">
        <v>2302</v>
      </c>
      <c r="AJ324">
        <v>538</v>
      </c>
      <c r="AK324" t="s">
        <v>2340</v>
      </c>
      <c r="AL324" t="s">
        <v>2341</v>
      </c>
      <c r="AM324" t="s">
        <v>163</v>
      </c>
      <c r="AO324">
        <v>1</v>
      </c>
      <c r="AT324">
        <v>2784.13</v>
      </c>
      <c r="AU324">
        <v>3293.38</v>
      </c>
      <c r="AV324">
        <v>3589.78</v>
      </c>
      <c r="AW324">
        <v>0.09</v>
      </c>
      <c r="AX324">
        <v>0</v>
      </c>
      <c r="AY324">
        <v>0</v>
      </c>
      <c r="AZ324">
        <v>0</v>
      </c>
      <c r="BA324">
        <v>0</v>
      </c>
      <c r="BB324">
        <v>0</v>
      </c>
      <c r="BV324" t="s">
        <v>142</v>
      </c>
      <c r="CD324">
        <v>0</v>
      </c>
      <c r="CO324">
        <v>-3293.38</v>
      </c>
      <c r="CP324">
        <v>-39520.559999999998</v>
      </c>
      <c r="CQ324">
        <v>-100</v>
      </c>
      <c r="CR324" t="s">
        <v>1648</v>
      </c>
      <c r="CS324">
        <v>0</v>
      </c>
    </row>
    <row r="325" spans="1:97" x14ac:dyDescent="0.2">
      <c r="A325" t="s">
        <v>2342</v>
      </c>
      <c r="B325">
        <v>321</v>
      </c>
      <c r="C325" t="s">
        <v>2343</v>
      </c>
      <c r="D325" t="s">
        <v>2289</v>
      </c>
      <c r="E325" t="s">
        <v>2326</v>
      </c>
      <c r="F325" t="s">
        <v>101</v>
      </c>
      <c r="H325">
        <v>8</v>
      </c>
      <c r="I325">
        <v>8</v>
      </c>
      <c r="J325">
        <v>0</v>
      </c>
      <c r="K325" t="s">
        <v>102</v>
      </c>
      <c r="L325" t="s">
        <v>2344</v>
      </c>
      <c r="P325" t="s">
        <v>2292</v>
      </c>
      <c r="Q325" t="s">
        <v>2293</v>
      </c>
      <c r="R325" t="s">
        <v>2294</v>
      </c>
      <c r="S325" t="s">
        <v>2295</v>
      </c>
      <c r="T325">
        <v>0</v>
      </c>
      <c r="U325">
        <v>0</v>
      </c>
      <c r="V325">
        <v>0</v>
      </c>
      <c r="W325">
        <v>766</v>
      </c>
      <c r="X325" t="s">
        <v>2300</v>
      </c>
      <c r="Y325" t="s">
        <v>109</v>
      </c>
      <c r="AA325" t="s">
        <v>2301</v>
      </c>
      <c r="AB325" t="s">
        <v>2302</v>
      </c>
      <c r="AJ325">
        <v>539</v>
      </c>
      <c r="AK325" t="s">
        <v>2340</v>
      </c>
      <c r="AL325" t="s">
        <v>2341</v>
      </c>
      <c r="AM325" t="s">
        <v>163</v>
      </c>
      <c r="AO325">
        <v>1</v>
      </c>
      <c r="AT325">
        <v>3780.8</v>
      </c>
      <c r="AU325">
        <v>4490.05</v>
      </c>
      <c r="AV325">
        <v>4894.1499999999996</v>
      </c>
      <c r="AW325">
        <v>0.09</v>
      </c>
      <c r="AX325">
        <v>0</v>
      </c>
      <c r="AY325">
        <v>0</v>
      </c>
      <c r="AZ325">
        <v>0</v>
      </c>
      <c r="BA325">
        <v>0</v>
      </c>
      <c r="BB325">
        <v>0</v>
      </c>
      <c r="BV325" t="s">
        <v>142</v>
      </c>
      <c r="CD325">
        <v>0</v>
      </c>
      <c r="CO325">
        <v>-4490.05</v>
      </c>
      <c r="CP325">
        <v>-53880.600000000013</v>
      </c>
      <c r="CQ325">
        <v>-100</v>
      </c>
      <c r="CR325" t="s">
        <v>1648</v>
      </c>
      <c r="CS325">
        <v>0</v>
      </c>
    </row>
    <row r="326" spans="1:97" x14ac:dyDescent="0.2">
      <c r="A326" t="s">
        <v>2345</v>
      </c>
      <c r="B326">
        <v>322</v>
      </c>
      <c r="C326" t="s">
        <v>2346</v>
      </c>
      <c r="D326" t="s">
        <v>2289</v>
      </c>
      <c r="E326" t="s">
        <v>2326</v>
      </c>
      <c r="F326" t="s">
        <v>101</v>
      </c>
      <c r="H326">
        <v>3</v>
      </c>
      <c r="I326">
        <v>4</v>
      </c>
      <c r="J326">
        <v>1</v>
      </c>
      <c r="K326" t="s">
        <v>102</v>
      </c>
      <c r="L326" t="s">
        <v>2347</v>
      </c>
      <c r="P326" t="s">
        <v>2292</v>
      </c>
      <c r="Q326" t="s">
        <v>2293</v>
      </c>
      <c r="R326" t="s">
        <v>2294</v>
      </c>
      <c r="S326" t="s">
        <v>2295</v>
      </c>
      <c r="T326">
        <v>0</v>
      </c>
      <c r="U326">
        <v>250</v>
      </c>
      <c r="V326">
        <v>0</v>
      </c>
      <c r="W326">
        <v>726</v>
      </c>
      <c r="X326" t="s">
        <v>2314</v>
      </c>
      <c r="Y326" t="s">
        <v>109</v>
      </c>
      <c r="AJ326">
        <v>540</v>
      </c>
      <c r="AK326" t="s">
        <v>2348</v>
      </c>
      <c r="AL326" t="s">
        <v>2349</v>
      </c>
      <c r="AM326" t="s">
        <v>163</v>
      </c>
      <c r="AO326">
        <v>1</v>
      </c>
      <c r="AT326">
        <v>1618.35</v>
      </c>
      <c r="AU326">
        <v>2226.37</v>
      </c>
      <c r="AV326">
        <v>2426.7399999999998</v>
      </c>
      <c r="AW326">
        <v>0.09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348</v>
      </c>
      <c r="BD326" t="s">
        <v>2350</v>
      </c>
      <c r="BE326" t="s">
        <v>109</v>
      </c>
      <c r="BG326" t="s">
        <v>2351</v>
      </c>
      <c r="BH326" t="s">
        <v>2352</v>
      </c>
      <c r="BI326" t="s">
        <v>2353</v>
      </c>
      <c r="BK326" t="s">
        <v>427</v>
      </c>
      <c r="BL326" t="s">
        <v>115</v>
      </c>
      <c r="BM326" t="s">
        <v>2354</v>
      </c>
      <c r="BO326" t="s">
        <v>2355</v>
      </c>
      <c r="BQ326">
        <v>24</v>
      </c>
      <c r="BR326" t="s">
        <v>2348</v>
      </c>
      <c r="BS326" t="s">
        <v>2349</v>
      </c>
      <c r="BT326">
        <v>5</v>
      </c>
      <c r="BU326" t="s">
        <v>119</v>
      </c>
      <c r="BV326" t="s">
        <v>163</v>
      </c>
      <c r="BW326">
        <v>2150</v>
      </c>
      <c r="BX326">
        <v>2400</v>
      </c>
      <c r="BY326">
        <v>2616</v>
      </c>
      <c r="BZ326">
        <v>0.09</v>
      </c>
      <c r="CA326">
        <v>250</v>
      </c>
      <c r="CB326">
        <v>0</v>
      </c>
      <c r="CC326">
        <v>0</v>
      </c>
      <c r="CD326">
        <v>0</v>
      </c>
      <c r="CE326" t="s">
        <v>121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O326">
        <v>173.63000000000011</v>
      </c>
      <c r="CP326">
        <v>2083.5600000000009</v>
      </c>
      <c r="CQ326">
        <v>7.8</v>
      </c>
      <c r="CR326" t="s">
        <v>168</v>
      </c>
      <c r="CS326">
        <v>457</v>
      </c>
    </row>
    <row r="327" spans="1:97" x14ac:dyDescent="0.2">
      <c r="A327" t="s">
        <v>2356</v>
      </c>
      <c r="B327">
        <v>323</v>
      </c>
      <c r="C327" t="s">
        <v>2357</v>
      </c>
      <c r="D327" t="s">
        <v>2289</v>
      </c>
      <c r="E327" t="s">
        <v>2306</v>
      </c>
      <c r="F327" t="s">
        <v>101</v>
      </c>
      <c r="J327">
        <v>1</v>
      </c>
      <c r="K327" t="s">
        <v>102</v>
      </c>
      <c r="L327" t="s">
        <v>2358</v>
      </c>
      <c r="P327" t="s">
        <v>2292</v>
      </c>
      <c r="Q327" t="s">
        <v>2293</v>
      </c>
      <c r="R327" t="s">
        <v>2294</v>
      </c>
      <c r="S327" t="s">
        <v>2295</v>
      </c>
      <c r="T327">
        <v>0</v>
      </c>
      <c r="U327">
        <v>0</v>
      </c>
      <c r="V327">
        <v>0</v>
      </c>
      <c r="AM327" t="s">
        <v>107</v>
      </c>
      <c r="BV327" t="s">
        <v>142</v>
      </c>
      <c r="CD327">
        <v>0</v>
      </c>
      <c r="CO327">
        <v>0</v>
      </c>
      <c r="CP327">
        <v>0</v>
      </c>
      <c r="CR327" t="s">
        <v>143</v>
      </c>
      <c r="CS327">
        <v>0</v>
      </c>
    </row>
    <row r="328" spans="1:97" x14ac:dyDescent="0.2">
      <c r="A328" t="s">
        <v>2359</v>
      </c>
      <c r="B328">
        <v>324</v>
      </c>
      <c r="C328" t="s">
        <v>2360</v>
      </c>
      <c r="D328" t="s">
        <v>2289</v>
      </c>
      <c r="E328" t="s">
        <v>2290</v>
      </c>
      <c r="F328" t="s">
        <v>101</v>
      </c>
      <c r="H328">
        <v>4</v>
      </c>
      <c r="I328">
        <v>3</v>
      </c>
      <c r="J328">
        <v>1</v>
      </c>
      <c r="K328" t="s">
        <v>102</v>
      </c>
      <c r="L328" t="s">
        <v>2361</v>
      </c>
      <c r="P328" t="s">
        <v>2292</v>
      </c>
      <c r="Q328" t="s">
        <v>2293</v>
      </c>
      <c r="R328" t="s">
        <v>2294</v>
      </c>
      <c r="S328" t="s">
        <v>2295</v>
      </c>
      <c r="T328">
        <v>0</v>
      </c>
      <c r="U328">
        <v>300</v>
      </c>
      <c r="V328">
        <v>0</v>
      </c>
      <c r="W328">
        <v>726</v>
      </c>
      <c r="X328" t="s">
        <v>2314</v>
      </c>
      <c r="Y328" t="s">
        <v>109</v>
      </c>
      <c r="AJ328">
        <v>543</v>
      </c>
      <c r="AK328" t="s">
        <v>1807</v>
      </c>
      <c r="AM328" t="s">
        <v>120</v>
      </c>
      <c r="AO328">
        <v>1</v>
      </c>
      <c r="AT328">
        <v>1707.66</v>
      </c>
      <c r="AU328">
        <v>2421.88</v>
      </c>
      <c r="AV328">
        <v>2639.85</v>
      </c>
      <c r="AW328">
        <v>0.09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347</v>
      </c>
      <c r="BD328" t="s">
        <v>2362</v>
      </c>
      <c r="BE328" t="s">
        <v>109</v>
      </c>
      <c r="BG328" t="s">
        <v>2363</v>
      </c>
      <c r="BH328" t="s">
        <v>2364</v>
      </c>
      <c r="BI328" t="s">
        <v>2365</v>
      </c>
      <c r="BK328" t="s">
        <v>2366</v>
      </c>
      <c r="BL328" t="s">
        <v>115</v>
      </c>
      <c r="BM328" t="s">
        <v>2367</v>
      </c>
      <c r="BQ328">
        <v>27</v>
      </c>
      <c r="BR328" t="s">
        <v>1807</v>
      </c>
      <c r="BU328" t="s">
        <v>216</v>
      </c>
      <c r="BV328" t="s">
        <v>120</v>
      </c>
      <c r="BW328">
        <v>2600</v>
      </c>
      <c r="BX328">
        <v>2900</v>
      </c>
      <c r="BY328">
        <v>3161</v>
      </c>
      <c r="BZ328">
        <v>0.09</v>
      </c>
      <c r="CA328">
        <v>300</v>
      </c>
      <c r="CB328">
        <v>0</v>
      </c>
      <c r="CC328">
        <v>0</v>
      </c>
      <c r="CD328">
        <v>0</v>
      </c>
      <c r="CE328" t="s">
        <v>121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O328">
        <v>478.11999999999989</v>
      </c>
      <c r="CP328">
        <v>5737.4399999999987</v>
      </c>
      <c r="CQ328">
        <v>19.739999999999998</v>
      </c>
      <c r="CR328" t="s">
        <v>122</v>
      </c>
      <c r="CS328">
        <v>0</v>
      </c>
    </row>
    <row r="329" spans="1:97" x14ac:dyDescent="0.2">
      <c r="A329" t="s">
        <v>2368</v>
      </c>
      <c r="B329">
        <v>5</v>
      </c>
      <c r="C329" t="s">
        <v>2369</v>
      </c>
      <c r="D329" t="s">
        <v>2370</v>
      </c>
      <c r="E329" t="s">
        <v>2371</v>
      </c>
      <c r="F329" t="s">
        <v>101</v>
      </c>
      <c r="H329">
        <v>3</v>
      </c>
      <c r="I329">
        <v>3</v>
      </c>
      <c r="J329">
        <v>1</v>
      </c>
      <c r="K329" t="s">
        <v>102</v>
      </c>
      <c r="L329" t="s">
        <v>2372</v>
      </c>
      <c r="M329" t="s">
        <v>313</v>
      </c>
      <c r="P329" t="s">
        <v>2373</v>
      </c>
      <c r="Q329" t="s">
        <v>2374</v>
      </c>
      <c r="R329" t="s">
        <v>2375</v>
      </c>
      <c r="S329" t="s">
        <v>2376</v>
      </c>
      <c r="T329">
        <v>1642.35</v>
      </c>
      <c r="U329">
        <v>200</v>
      </c>
      <c r="V329">
        <v>0</v>
      </c>
      <c r="W329">
        <v>849</v>
      </c>
      <c r="X329" t="s">
        <v>2377</v>
      </c>
      <c r="Y329" t="s">
        <v>109</v>
      </c>
      <c r="AJ329">
        <v>615</v>
      </c>
      <c r="AK329" t="s">
        <v>299</v>
      </c>
      <c r="AM329" t="s">
        <v>120</v>
      </c>
      <c r="AO329">
        <v>1</v>
      </c>
      <c r="AT329">
        <v>1495</v>
      </c>
      <c r="AU329">
        <v>1745</v>
      </c>
      <c r="AV329">
        <v>1902.05</v>
      </c>
      <c r="AW329">
        <v>0.09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149</v>
      </c>
      <c r="BD329" t="s">
        <v>2378</v>
      </c>
      <c r="BE329" t="s">
        <v>109</v>
      </c>
      <c r="BG329" t="s">
        <v>2379</v>
      </c>
      <c r="BH329" t="s">
        <v>2380</v>
      </c>
      <c r="BI329" t="s">
        <v>2381</v>
      </c>
      <c r="BK329" t="s">
        <v>2382</v>
      </c>
      <c r="BL329" t="s">
        <v>115</v>
      </c>
      <c r="BM329" t="s">
        <v>2383</v>
      </c>
      <c r="BQ329">
        <v>99</v>
      </c>
      <c r="BR329" t="s">
        <v>299</v>
      </c>
      <c r="BS329" t="s">
        <v>2384</v>
      </c>
      <c r="BT329">
        <v>12</v>
      </c>
      <c r="BU329" t="s">
        <v>119</v>
      </c>
      <c r="BV329" t="s">
        <v>163</v>
      </c>
      <c r="BW329">
        <v>1900</v>
      </c>
      <c r="BX329">
        <v>2100</v>
      </c>
      <c r="BY329">
        <v>2289</v>
      </c>
      <c r="BZ329">
        <v>0.09</v>
      </c>
      <c r="CA329">
        <v>200</v>
      </c>
      <c r="CB329">
        <v>0</v>
      </c>
      <c r="CC329">
        <v>250</v>
      </c>
      <c r="CD329">
        <v>1642.35</v>
      </c>
      <c r="CE329" t="s">
        <v>121</v>
      </c>
      <c r="CF329">
        <v>1</v>
      </c>
      <c r="CG329">
        <v>1</v>
      </c>
      <c r="CH329">
        <v>1</v>
      </c>
      <c r="CI329">
        <v>0</v>
      </c>
      <c r="CJ329">
        <v>1</v>
      </c>
      <c r="CK329">
        <v>0</v>
      </c>
      <c r="CL329">
        <v>1</v>
      </c>
      <c r="CM329">
        <v>0</v>
      </c>
      <c r="CN329" t="s">
        <v>201</v>
      </c>
      <c r="CO329">
        <v>355</v>
      </c>
      <c r="CP329">
        <v>4260</v>
      </c>
      <c r="CQ329">
        <v>20.34</v>
      </c>
      <c r="CR329" t="s">
        <v>168</v>
      </c>
      <c r="CS329">
        <v>141</v>
      </c>
    </row>
    <row r="330" spans="1:97" x14ac:dyDescent="0.2">
      <c r="A330" t="s">
        <v>2385</v>
      </c>
      <c r="B330">
        <v>6</v>
      </c>
      <c r="C330" t="s">
        <v>2386</v>
      </c>
      <c r="D330" t="s">
        <v>2370</v>
      </c>
      <c r="E330" t="s">
        <v>2371</v>
      </c>
      <c r="F330" t="s">
        <v>101</v>
      </c>
      <c r="H330">
        <v>3</v>
      </c>
      <c r="I330">
        <v>3</v>
      </c>
      <c r="J330">
        <v>1</v>
      </c>
      <c r="K330" t="s">
        <v>102</v>
      </c>
      <c r="L330" t="s">
        <v>2387</v>
      </c>
      <c r="M330" t="s">
        <v>313</v>
      </c>
      <c r="P330" t="s">
        <v>2373</v>
      </c>
      <c r="Q330" t="s">
        <v>2374</v>
      </c>
      <c r="R330" t="s">
        <v>2375</v>
      </c>
      <c r="S330" t="s">
        <v>2376</v>
      </c>
      <c r="T330">
        <v>1978.82</v>
      </c>
      <c r="U330">
        <v>200</v>
      </c>
      <c r="V330">
        <v>0</v>
      </c>
      <c r="W330">
        <v>849</v>
      </c>
      <c r="X330" t="s">
        <v>2377</v>
      </c>
      <c r="Y330" t="s">
        <v>109</v>
      </c>
      <c r="AJ330">
        <v>616</v>
      </c>
      <c r="AK330" t="s">
        <v>413</v>
      </c>
      <c r="AL330" t="s">
        <v>414</v>
      </c>
      <c r="AM330" t="s">
        <v>163</v>
      </c>
      <c r="AO330">
        <v>1</v>
      </c>
      <c r="AT330">
        <v>1495</v>
      </c>
      <c r="AU330">
        <v>1745</v>
      </c>
      <c r="AV330">
        <v>1902.05</v>
      </c>
      <c r="AW330">
        <v>0.09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83</v>
      </c>
      <c r="BD330" t="s">
        <v>2388</v>
      </c>
      <c r="BE330" t="s">
        <v>1072</v>
      </c>
      <c r="BG330" t="s">
        <v>2389</v>
      </c>
      <c r="BH330" t="s">
        <v>2390</v>
      </c>
      <c r="BI330" t="s">
        <v>2391</v>
      </c>
      <c r="BK330" t="s">
        <v>2392</v>
      </c>
      <c r="BQ330">
        <v>100</v>
      </c>
      <c r="BR330" t="s">
        <v>413</v>
      </c>
      <c r="BS330" t="s">
        <v>414</v>
      </c>
      <c r="BT330">
        <v>4</v>
      </c>
      <c r="BU330" t="s">
        <v>119</v>
      </c>
      <c r="BV330" t="s">
        <v>163</v>
      </c>
      <c r="BW330">
        <v>1850</v>
      </c>
      <c r="BX330">
        <v>2050</v>
      </c>
      <c r="BY330">
        <v>2234.5</v>
      </c>
      <c r="BZ330">
        <v>0.09</v>
      </c>
      <c r="CA330">
        <v>200</v>
      </c>
      <c r="CB330">
        <v>0</v>
      </c>
      <c r="CC330">
        <v>0</v>
      </c>
      <c r="CD330">
        <v>1978.82</v>
      </c>
      <c r="CE330" t="s">
        <v>121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O330">
        <v>305</v>
      </c>
      <c r="CP330">
        <v>3660</v>
      </c>
      <c r="CQ330">
        <v>17.48</v>
      </c>
      <c r="CR330" t="s">
        <v>168</v>
      </c>
      <c r="CS330">
        <v>221</v>
      </c>
    </row>
    <row r="331" spans="1:97" x14ac:dyDescent="0.2">
      <c r="A331" t="s">
        <v>2393</v>
      </c>
      <c r="B331">
        <v>7</v>
      </c>
      <c r="C331" t="s">
        <v>2394</v>
      </c>
      <c r="D331" t="s">
        <v>2370</v>
      </c>
      <c r="E331" t="s">
        <v>2371</v>
      </c>
      <c r="F331" t="s">
        <v>101</v>
      </c>
      <c r="H331">
        <v>4</v>
      </c>
      <c r="I331">
        <v>4</v>
      </c>
      <c r="J331">
        <v>1</v>
      </c>
      <c r="K331" t="s">
        <v>102</v>
      </c>
      <c r="L331" t="s">
        <v>2395</v>
      </c>
      <c r="M331" t="s">
        <v>313</v>
      </c>
      <c r="P331" t="s">
        <v>2373</v>
      </c>
      <c r="Q331" t="s">
        <v>2374</v>
      </c>
      <c r="R331" t="s">
        <v>2375</v>
      </c>
      <c r="S331" t="s">
        <v>2376</v>
      </c>
      <c r="T331">
        <v>1772.94</v>
      </c>
      <c r="U331">
        <v>250</v>
      </c>
      <c r="V331">
        <v>0</v>
      </c>
      <c r="W331">
        <v>849</v>
      </c>
      <c r="X331" t="s">
        <v>2377</v>
      </c>
      <c r="Y331" t="s">
        <v>109</v>
      </c>
      <c r="AJ331">
        <v>617</v>
      </c>
      <c r="AK331" t="s">
        <v>2396</v>
      </c>
      <c r="AL331" t="s">
        <v>2397</v>
      </c>
      <c r="AM331" t="s">
        <v>163</v>
      </c>
      <c r="AO331">
        <v>1</v>
      </c>
      <c r="AT331">
        <v>1992.4</v>
      </c>
      <c r="AU331">
        <v>2325.4299999999998</v>
      </c>
      <c r="AV331">
        <v>2534.7199999999998</v>
      </c>
      <c r="AW331">
        <v>0.09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234</v>
      </c>
      <c r="BD331" t="s">
        <v>1717</v>
      </c>
      <c r="BE331" t="s">
        <v>109</v>
      </c>
      <c r="BG331" t="s">
        <v>1718</v>
      </c>
      <c r="BH331" t="s">
        <v>1719</v>
      </c>
      <c r="BI331" t="s">
        <v>1720</v>
      </c>
      <c r="BK331" t="s">
        <v>1721</v>
      </c>
      <c r="BL331" t="s">
        <v>115</v>
      </c>
      <c r="BM331" t="s">
        <v>1722</v>
      </c>
      <c r="BO331" t="s">
        <v>1723</v>
      </c>
      <c r="BQ331">
        <v>101</v>
      </c>
      <c r="BR331" t="s">
        <v>2396</v>
      </c>
      <c r="BS331" t="s">
        <v>2397</v>
      </c>
      <c r="BT331">
        <v>12</v>
      </c>
      <c r="BU331" t="s">
        <v>119</v>
      </c>
      <c r="BV331" t="s">
        <v>163</v>
      </c>
      <c r="BW331">
        <v>2550</v>
      </c>
      <c r="BX331">
        <v>2800</v>
      </c>
      <c r="BY331">
        <v>3052</v>
      </c>
      <c r="BZ331">
        <v>0.09</v>
      </c>
      <c r="CA331">
        <v>250</v>
      </c>
      <c r="CB331">
        <v>0</v>
      </c>
      <c r="CC331">
        <v>0</v>
      </c>
      <c r="CD331">
        <v>1772.94</v>
      </c>
      <c r="CE331" t="s">
        <v>121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O331">
        <v>474.57000000000022</v>
      </c>
      <c r="CP331">
        <v>5694.840000000002</v>
      </c>
      <c r="CQ331">
        <v>20.41</v>
      </c>
      <c r="CR331" t="s">
        <v>168</v>
      </c>
      <c r="CS331">
        <v>205</v>
      </c>
    </row>
    <row r="332" spans="1:97" x14ac:dyDescent="0.2">
      <c r="A332" t="s">
        <v>2398</v>
      </c>
      <c r="B332">
        <v>8</v>
      </c>
      <c r="C332" t="s">
        <v>2399</v>
      </c>
      <c r="D332" t="s">
        <v>2370</v>
      </c>
      <c r="E332" t="s">
        <v>2371</v>
      </c>
      <c r="F332" t="s">
        <v>101</v>
      </c>
      <c r="H332">
        <v>2</v>
      </c>
      <c r="I332">
        <v>4</v>
      </c>
      <c r="J332">
        <v>1</v>
      </c>
      <c r="K332" t="s">
        <v>102</v>
      </c>
      <c r="L332" t="s">
        <v>2400</v>
      </c>
      <c r="M332" t="s">
        <v>313</v>
      </c>
      <c r="P332" t="s">
        <v>2373</v>
      </c>
      <c r="Q332" t="s">
        <v>2374</v>
      </c>
      <c r="R332" t="s">
        <v>2375</v>
      </c>
      <c r="S332" t="s">
        <v>2376</v>
      </c>
      <c r="T332">
        <v>1795.29</v>
      </c>
      <c r="U332">
        <v>250</v>
      </c>
      <c r="V332">
        <v>0</v>
      </c>
      <c r="W332">
        <v>766</v>
      </c>
      <c r="X332" t="s">
        <v>2300</v>
      </c>
      <c r="Y332" t="s">
        <v>109</v>
      </c>
      <c r="AA332" t="s">
        <v>2301</v>
      </c>
      <c r="AB332" t="s">
        <v>2302</v>
      </c>
      <c r="AJ332">
        <v>618</v>
      </c>
      <c r="AK332" t="s">
        <v>2303</v>
      </c>
      <c r="AL332" t="s">
        <v>2058</v>
      </c>
      <c r="AM332" t="s">
        <v>163</v>
      </c>
      <c r="AO332">
        <v>1</v>
      </c>
      <c r="AT332">
        <v>1698.9</v>
      </c>
      <c r="AU332">
        <v>1948.9</v>
      </c>
      <c r="AV332">
        <v>2124.3000000000002</v>
      </c>
      <c r="AW332">
        <v>0.09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83</v>
      </c>
      <c r="BD332" t="s">
        <v>2388</v>
      </c>
      <c r="BE332" t="s">
        <v>1072</v>
      </c>
      <c r="BG332" t="s">
        <v>2389</v>
      </c>
      <c r="BH332" t="s">
        <v>2390</v>
      </c>
      <c r="BI332" t="s">
        <v>2391</v>
      </c>
      <c r="BK332" t="s">
        <v>2392</v>
      </c>
      <c r="BQ332">
        <v>102</v>
      </c>
      <c r="BR332" t="s">
        <v>2303</v>
      </c>
      <c r="BS332" t="s">
        <v>2058</v>
      </c>
      <c r="BT332">
        <v>4</v>
      </c>
      <c r="BU332" t="s">
        <v>119</v>
      </c>
      <c r="BV332" t="s">
        <v>163</v>
      </c>
      <c r="BW332">
        <v>2275</v>
      </c>
      <c r="BX332">
        <v>2525</v>
      </c>
      <c r="BY332">
        <v>2752.25</v>
      </c>
      <c r="BZ332">
        <v>0.09</v>
      </c>
      <c r="CA332">
        <v>250</v>
      </c>
      <c r="CB332">
        <v>0</v>
      </c>
      <c r="CC332">
        <v>0</v>
      </c>
      <c r="CD332">
        <v>1795.29</v>
      </c>
      <c r="CE332" t="s">
        <v>121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O332">
        <v>576.09999999999991</v>
      </c>
      <c r="CP332">
        <v>6913.1999999999989</v>
      </c>
      <c r="CQ332">
        <v>29.56</v>
      </c>
      <c r="CR332" t="s">
        <v>168</v>
      </c>
      <c r="CS332">
        <v>829</v>
      </c>
    </row>
    <row r="333" spans="1:97" x14ac:dyDescent="0.2">
      <c r="A333" t="s">
        <v>547</v>
      </c>
      <c r="B333">
        <v>9</v>
      </c>
      <c r="C333" t="s">
        <v>2401</v>
      </c>
      <c r="D333" t="s">
        <v>2370</v>
      </c>
      <c r="E333" t="s">
        <v>2371</v>
      </c>
      <c r="F333" t="s">
        <v>101</v>
      </c>
      <c r="H333">
        <v>3</v>
      </c>
      <c r="I333">
        <v>6</v>
      </c>
      <c r="J333">
        <v>1</v>
      </c>
      <c r="K333" t="s">
        <v>102</v>
      </c>
      <c r="L333" t="s">
        <v>2402</v>
      </c>
      <c r="M333" t="s">
        <v>313</v>
      </c>
      <c r="P333" t="s">
        <v>2373</v>
      </c>
      <c r="Q333" t="s">
        <v>2374</v>
      </c>
      <c r="R333" t="s">
        <v>2375</v>
      </c>
      <c r="S333" t="s">
        <v>2376</v>
      </c>
      <c r="T333">
        <v>1683.53</v>
      </c>
      <c r="U333">
        <v>300</v>
      </c>
      <c r="V333">
        <v>0</v>
      </c>
      <c r="W333">
        <v>849</v>
      </c>
      <c r="X333" t="s">
        <v>2377</v>
      </c>
      <c r="Y333" t="s">
        <v>109</v>
      </c>
      <c r="AJ333">
        <v>619</v>
      </c>
      <c r="AK333" t="s">
        <v>2403</v>
      </c>
      <c r="AL333" t="s">
        <v>2404</v>
      </c>
      <c r="AM333" t="s">
        <v>163</v>
      </c>
      <c r="AO333">
        <v>1</v>
      </c>
      <c r="AP333" t="s">
        <v>2405</v>
      </c>
      <c r="AT333">
        <v>2469.81</v>
      </c>
      <c r="AU333">
        <v>2769.81</v>
      </c>
      <c r="AV333">
        <v>3019.09</v>
      </c>
      <c r="AW333">
        <v>0.09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234</v>
      </c>
      <c r="BD333" t="s">
        <v>1717</v>
      </c>
      <c r="BE333" t="s">
        <v>109</v>
      </c>
      <c r="BG333" t="s">
        <v>1718</v>
      </c>
      <c r="BH333" t="s">
        <v>1719</v>
      </c>
      <c r="BI333" t="s">
        <v>1720</v>
      </c>
      <c r="BK333" t="s">
        <v>1721</v>
      </c>
      <c r="BL333" t="s">
        <v>115</v>
      </c>
      <c r="BM333" t="s">
        <v>1722</v>
      </c>
      <c r="BO333" t="s">
        <v>1723</v>
      </c>
      <c r="BQ333">
        <v>103</v>
      </c>
      <c r="BR333" t="s">
        <v>2403</v>
      </c>
      <c r="BS333" t="s">
        <v>2404</v>
      </c>
      <c r="BT333">
        <v>12</v>
      </c>
      <c r="BU333" t="s">
        <v>119</v>
      </c>
      <c r="BV333" t="s">
        <v>163</v>
      </c>
      <c r="BW333">
        <v>3275</v>
      </c>
      <c r="BX333">
        <v>3575</v>
      </c>
      <c r="BY333">
        <v>3896.75</v>
      </c>
      <c r="BZ333">
        <v>0.09</v>
      </c>
      <c r="CA333">
        <v>300</v>
      </c>
      <c r="CB333">
        <v>0</v>
      </c>
      <c r="CC333">
        <v>0</v>
      </c>
      <c r="CD333">
        <v>1683.53</v>
      </c>
      <c r="CE333" t="s">
        <v>121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O333">
        <v>805.19</v>
      </c>
      <c r="CP333">
        <v>9662.2800000000007</v>
      </c>
      <c r="CQ333">
        <v>29.07</v>
      </c>
      <c r="CR333" t="s">
        <v>168</v>
      </c>
      <c r="CS333">
        <v>234</v>
      </c>
    </row>
    <row r="334" spans="1:97" x14ac:dyDescent="0.2">
      <c r="A334" t="s">
        <v>2406</v>
      </c>
      <c r="B334">
        <v>10</v>
      </c>
      <c r="C334" t="s">
        <v>2407</v>
      </c>
      <c r="D334" t="s">
        <v>2370</v>
      </c>
      <c r="E334" t="s">
        <v>2371</v>
      </c>
      <c r="F334" t="s">
        <v>101</v>
      </c>
      <c r="H334">
        <v>3</v>
      </c>
      <c r="I334">
        <v>6</v>
      </c>
      <c r="J334">
        <v>1</v>
      </c>
      <c r="K334" t="s">
        <v>102</v>
      </c>
      <c r="L334" t="s">
        <v>1656</v>
      </c>
      <c r="M334" t="s">
        <v>313</v>
      </c>
      <c r="P334" t="s">
        <v>2373</v>
      </c>
      <c r="Q334" t="s">
        <v>2374</v>
      </c>
      <c r="R334" t="s">
        <v>2375</v>
      </c>
      <c r="S334" t="s">
        <v>2376</v>
      </c>
      <c r="T334">
        <v>2422.35</v>
      </c>
      <c r="U334">
        <v>300</v>
      </c>
      <c r="V334">
        <v>0</v>
      </c>
      <c r="W334">
        <v>849</v>
      </c>
      <c r="X334" t="s">
        <v>2377</v>
      </c>
      <c r="Y334" t="s">
        <v>109</v>
      </c>
      <c r="AJ334">
        <v>620</v>
      </c>
      <c r="AK334" t="s">
        <v>2403</v>
      </c>
      <c r="AL334" t="s">
        <v>2404</v>
      </c>
      <c r="AM334" t="s">
        <v>163</v>
      </c>
      <c r="AO334">
        <v>1</v>
      </c>
      <c r="AP334" t="s">
        <v>2405</v>
      </c>
      <c r="AT334">
        <v>2469.81</v>
      </c>
      <c r="AU334">
        <v>2769.81</v>
      </c>
      <c r="AV334">
        <v>3019.09</v>
      </c>
      <c r="AW334">
        <v>0.09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234</v>
      </c>
      <c r="BD334" t="s">
        <v>1717</v>
      </c>
      <c r="BE334" t="s">
        <v>109</v>
      </c>
      <c r="BG334" t="s">
        <v>1718</v>
      </c>
      <c r="BH334" t="s">
        <v>1719</v>
      </c>
      <c r="BI334" t="s">
        <v>1720</v>
      </c>
      <c r="BK334" t="s">
        <v>1721</v>
      </c>
      <c r="BL334" t="s">
        <v>115</v>
      </c>
      <c r="BM334" t="s">
        <v>1722</v>
      </c>
      <c r="BO334" t="s">
        <v>1723</v>
      </c>
      <c r="BQ334">
        <v>104</v>
      </c>
      <c r="BR334" t="s">
        <v>2403</v>
      </c>
      <c r="BS334" t="s">
        <v>2404</v>
      </c>
      <c r="BT334">
        <v>12</v>
      </c>
      <c r="BU334" t="s">
        <v>119</v>
      </c>
      <c r="BV334" t="s">
        <v>163</v>
      </c>
      <c r="BW334">
        <v>3275</v>
      </c>
      <c r="BX334">
        <v>3575</v>
      </c>
      <c r="BY334">
        <v>3896.75</v>
      </c>
      <c r="BZ334">
        <v>0.09</v>
      </c>
      <c r="CA334">
        <v>300</v>
      </c>
      <c r="CB334">
        <v>0</v>
      </c>
      <c r="CC334">
        <v>0</v>
      </c>
      <c r="CD334">
        <v>2422.35</v>
      </c>
      <c r="CE334" t="s">
        <v>121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O334">
        <v>805.19</v>
      </c>
      <c r="CP334">
        <v>9662.2800000000007</v>
      </c>
      <c r="CQ334">
        <v>29.07</v>
      </c>
      <c r="CR334" t="s">
        <v>168</v>
      </c>
      <c r="CS334">
        <v>234</v>
      </c>
    </row>
    <row r="335" spans="1:97" x14ac:dyDescent="0.2">
      <c r="A335" t="s">
        <v>2408</v>
      </c>
      <c r="B335">
        <v>11</v>
      </c>
      <c r="C335" t="s">
        <v>2409</v>
      </c>
      <c r="D335" t="s">
        <v>2370</v>
      </c>
      <c r="E335" t="s">
        <v>2371</v>
      </c>
      <c r="F335" t="s">
        <v>101</v>
      </c>
      <c r="H335">
        <v>3</v>
      </c>
      <c r="I335">
        <v>6</v>
      </c>
      <c r="J335">
        <v>1</v>
      </c>
      <c r="K335" t="s">
        <v>102</v>
      </c>
      <c r="L335" t="s">
        <v>2410</v>
      </c>
      <c r="M335" t="s">
        <v>313</v>
      </c>
      <c r="P335" t="s">
        <v>2373</v>
      </c>
      <c r="Q335" t="s">
        <v>2374</v>
      </c>
      <c r="R335" t="s">
        <v>2375</v>
      </c>
      <c r="S335" t="s">
        <v>2376</v>
      </c>
      <c r="T335">
        <v>2284.71</v>
      </c>
      <c r="U335">
        <v>300</v>
      </c>
      <c r="V335">
        <v>0</v>
      </c>
      <c r="W335">
        <v>849</v>
      </c>
      <c r="X335" t="s">
        <v>2377</v>
      </c>
      <c r="Y335" t="s">
        <v>109</v>
      </c>
      <c r="AJ335">
        <v>621</v>
      </c>
      <c r="AK335" t="s">
        <v>2403</v>
      </c>
      <c r="AL335" t="s">
        <v>2404</v>
      </c>
      <c r="AM335" t="s">
        <v>163</v>
      </c>
      <c r="AO335">
        <v>1</v>
      </c>
      <c r="AT335">
        <v>2469.81</v>
      </c>
      <c r="AU335">
        <v>2769.81</v>
      </c>
      <c r="AV335">
        <v>3019.09</v>
      </c>
      <c r="AW335">
        <v>0.09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234</v>
      </c>
      <c r="BD335" t="s">
        <v>1717</v>
      </c>
      <c r="BE335" t="s">
        <v>109</v>
      </c>
      <c r="BG335" t="s">
        <v>1718</v>
      </c>
      <c r="BH335" t="s">
        <v>1719</v>
      </c>
      <c r="BI335" t="s">
        <v>1720</v>
      </c>
      <c r="BK335" t="s">
        <v>1721</v>
      </c>
      <c r="BL335" t="s">
        <v>115</v>
      </c>
      <c r="BM335" t="s">
        <v>1722</v>
      </c>
      <c r="BO335" t="s">
        <v>1723</v>
      </c>
      <c r="BQ335">
        <v>105</v>
      </c>
      <c r="BR335" t="s">
        <v>2403</v>
      </c>
      <c r="BS335" t="s">
        <v>2404</v>
      </c>
      <c r="BT335">
        <v>12</v>
      </c>
      <c r="BU335" t="s">
        <v>119</v>
      </c>
      <c r="BV335" t="s">
        <v>163</v>
      </c>
      <c r="BW335">
        <v>3275</v>
      </c>
      <c r="BX335">
        <v>3575</v>
      </c>
      <c r="BY335">
        <v>3896.75</v>
      </c>
      <c r="BZ335">
        <v>0.09</v>
      </c>
      <c r="CA335">
        <v>300</v>
      </c>
      <c r="CB335">
        <v>0</v>
      </c>
      <c r="CC335">
        <v>0</v>
      </c>
      <c r="CD335">
        <v>2284.71</v>
      </c>
      <c r="CE335" t="s">
        <v>121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O335">
        <v>805.19</v>
      </c>
      <c r="CP335">
        <v>9662.2800000000007</v>
      </c>
      <c r="CQ335">
        <v>29.07</v>
      </c>
      <c r="CR335" t="s">
        <v>168</v>
      </c>
      <c r="CS335">
        <v>234</v>
      </c>
    </row>
    <row r="336" spans="1:97" x14ac:dyDescent="0.2">
      <c r="A336" t="s">
        <v>2411</v>
      </c>
      <c r="B336">
        <v>12</v>
      </c>
      <c r="C336" t="s">
        <v>2412</v>
      </c>
      <c r="D336" t="s">
        <v>2370</v>
      </c>
      <c r="E336" t="s">
        <v>2371</v>
      </c>
      <c r="F336" t="s">
        <v>101</v>
      </c>
      <c r="H336">
        <v>3</v>
      </c>
      <c r="I336">
        <v>6</v>
      </c>
      <c r="J336">
        <v>1</v>
      </c>
      <c r="K336" t="s">
        <v>102</v>
      </c>
      <c r="L336" t="s">
        <v>2413</v>
      </c>
      <c r="M336" t="s">
        <v>313</v>
      </c>
      <c r="P336" t="s">
        <v>2373</v>
      </c>
      <c r="Q336" t="s">
        <v>2374</v>
      </c>
      <c r="R336" t="s">
        <v>2375</v>
      </c>
      <c r="S336" t="s">
        <v>2376</v>
      </c>
      <c r="T336">
        <v>1884.71</v>
      </c>
      <c r="U336">
        <v>350</v>
      </c>
      <c r="V336">
        <v>0</v>
      </c>
      <c r="W336">
        <v>849</v>
      </c>
      <c r="X336" t="s">
        <v>2377</v>
      </c>
      <c r="Y336" t="s">
        <v>109</v>
      </c>
      <c r="AJ336">
        <v>623</v>
      </c>
      <c r="AK336" t="s">
        <v>2414</v>
      </c>
      <c r="AL336" t="s">
        <v>2415</v>
      </c>
      <c r="AM336" t="s">
        <v>163</v>
      </c>
      <c r="AO336">
        <v>1</v>
      </c>
      <c r="AT336">
        <v>2469.81</v>
      </c>
      <c r="AU336">
        <v>2819.81</v>
      </c>
      <c r="AV336">
        <v>3073.59</v>
      </c>
      <c r="AW336">
        <v>0.09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329</v>
      </c>
      <c r="BD336" t="s">
        <v>356</v>
      </c>
      <c r="BE336" t="s">
        <v>109</v>
      </c>
      <c r="BG336" t="s">
        <v>357</v>
      </c>
      <c r="BH336" t="s">
        <v>358</v>
      </c>
      <c r="BI336" t="s">
        <v>359</v>
      </c>
      <c r="BK336" t="s">
        <v>360</v>
      </c>
      <c r="BL336" t="s">
        <v>361</v>
      </c>
      <c r="BM336" t="s">
        <v>362</v>
      </c>
      <c r="BQ336">
        <v>107</v>
      </c>
      <c r="BR336" t="s">
        <v>2414</v>
      </c>
      <c r="BS336" t="s">
        <v>2415</v>
      </c>
      <c r="BT336">
        <v>3</v>
      </c>
      <c r="BU336" t="s">
        <v>119</v>
      </c>
      <c r="BV336" t="s">
        <v>163</v>
      </c>
      <c r="BW336">
        <v>3275</v>
      </c>
      <c r="BX336">
        <v>3625</v>
      </c>
      <c r="BY336">
        <v>3951.25</v>
      </c>
      <c r="BZ336">
        <v>0.09</v>
      </c>
      <c r="CA336">
        <v>350</v>
      </c>
      <c r="CB336">
        <v>0</v>
      </c>
      <c r="CC336">
        <v>0</v>
      </c>
      <c r="CD336">
        <v>1884.71</v>
      </c>
      <c r="CE336" t="s">
        <v>121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O336">
        <v>805.19</v>
      </c>
      <c r="CP336">
        <v>9662.2800000000007</v>
      </c>
      <c r="CQ336">
        <v>28.55</v>
      </c>
      <c r="CR336" t="s">
        <v>168</v>
      </c>
      <c r="CS336">
        <v>290</v>
      </c>
    </row>
    <row r="337" spans="1:97" x14ac:dyDescent="0.2">
      <c r="A337" t="s">
        <v>2416</v>
      </c>
      <c r="B337">
        <v>13</v>
      </c>
      <c r="C337" t="s">
        <v>2417</v>
      </c>
      <c r="D337" t="s">
        <v>2370</v>
      </c>
      <c r="E337" t="s">
        <v>2371</v>
      </c>
      <c r="F337" t="s">
        <v>101</v>
      </c>
      <c r="H337">
        <v>3</v>
      </c>
      <c r="I337">
        <v>6</v>
      </c>
      <c r="J337">
        <v>1</v>
      </c>
      <c r="K337" t="s">
        <v>102</v>
      </c>
      <c r="L337" t="s">
        <v>2418</v>
      </c>
      <c r="M337" t="s">
        <v>313</v>
      </c>
      <c r="P337" t="s">
        <v>2373</v>
      </c>
      <c r="Q337" t="s">
        <v>2374</v>
      </c>
      <c r="R337" t="s">
        <v>2375</v>
      </c>
      <c r="S337" t="s">
        <v>2376</v>
      </c>
      <c r="T337">
        <v>2196.4699999999998</v>
      </c>
      <c r="U337">
        <v>300</v>
      </c>
      <c r="V337">
        <v>0</v>
      </c>
      <c r="W337">
        <v>849</v>
      </c>
      <c r="X337" t="s">
        <v>2377</v>
      </c>
      <c r="Y337" t="s">
        <v>109</v>
      </c>
      <c r="AJ337">
        <v>624</v>
      </c>
      <c r="AK337" t="s">
        <v>2419</v>
      </c>
      <c r="AL337" t="s">
        <v>2420</v>
      </c>
      <c r="AM337" t="s">
        <v>163</v>
      </c>
      <c r="AO337">
        <v>1</v>
      </c>
      <c r="AT337">
        <v>2468.1</v>
      </c>
      <c r="AU337">
        <v>2803.1</v>
      </c>
      <c r="AV337">
        <v>3055.38</v>
      </c>
      <c r="AW337">
        <v>0.09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234</v>
      </c>
      <c r="BD337" t="s">
        <v>1717</v>
      </c>
      <c r="BE337" t="s">
        <v>109</v>
      </c>
      <c r="BG337" t="s">
        <v>1718</v>
      </c>
      <c r="BH337" t="s">
        <v>1719</v>
      </c>
      <c r="BI337" t="s">
        <v>1720</v>
      </c>
      <c r="BK337" t="s">
        <v>1721</v>
      </c>
      <c r="BL337" t="s">
        <v>115</v>
      </c>
      <c r="BM337" t="s">
        <v>1722</v>
      </c>
      <c r="BO337" t="s">
        <v>1723</v>
      </c>
      <c r="BQ337">
        <v>108</v>
      </c>
      <c r="BR337" t="s">
        <v>2419</v>
      </c>
      <c r="BS337" t="s">
        <v>2420</v>
      </c>
      <c r="BT337">
        <v>12</v>
      </c>
      <c r="BU337" t="s">
        <v>119</v>
      </c>
      <c r="BV337" t="s">
        <v>163</v>
      </c>
      <c r="BW337">
        <v>3250</v>
      </c>
      <c r="BX337">
        <v>3550</v>
      </c>
      <c r="BY337">
        <v>3869.5</v>
      </c>
      <c r="BZ337">
        <v>0.09</v>
      </c>
      <c r="CA337">
        <v>300</v>
      </c>
      <c r="CB337">
        <v>0</v>
      </c>
      <c r="CC337">
        <v>0</v>
      </c>
      <c r="CD337">
        <v>2196.4699999999998</v>
      </c>
      <c r="CE337" t="s">
        <v>121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O337">
        <v>746.90000000000009</v>
      </c>
      <c r="CP337">
        <v>8962.8000000000011</v>
      </c>
      <c r="CQ337">
        <v>26.65</v>
      </c>
      <c r="CR337" t="s">
        <v>168</v>
      </c>
      <c r="CS337">
        <v>149</v>
      </c>
    </row>
    <row r="338" spans="1:97" x14ac:dyDescent="0.2">
      <c r="A338" t="s">
        <v>2421</v>
      </c>
      <c r="B338">
        <v>14</v>
      </c>
      <c r="C338" t="s">
        <v>2422</v>
      </c>
      <c r="D338" t="s">
        <v>2370</v>
      </c>
      <c r="E338" t="s">
        <v>2371</v>
      </c>
      <c r="F338" t="s">
        <v>101</v>
      </c>
      <c r="H338">
        <v>3</v>
      </c>
      <c r="I338">
        <v>6</v>
      </c>
      <c r="J338">
        <v>1</v>
      </c>
      <c r="K338" t="s">
        <v>102</v>
      </c>
      <c r="L338" t="s">
        <v>2423</v>
      </c>
      <c r="M338" t="s">
        <v>313</v>
      </c>
      <c r="P338" t="s">
        <v>2373</v>
      </c>
      <c r="Q338" t="s">
        <v>2374</v>
      </c>
      <c r="R338" t="s">
        <v>2375</v>
      </c>
      <c r="S338" t="s">
        <v>2376</v>
      </c>
      <c r="T338">
        <v>1855.29</v>
      </c>
      <c r="U338">
        <v>300</v>
      </c>
      <c r="V338">
        <v>0</v>
      </c>
      <c r="W338">
        <v>849</v>
      </c>
      <c r="X338" t="s">
        <v>2377</v>
      </c>
      <c r="Y338" t="s">
        <v>109</v>
      </c>
      <c r="AJ338">
        <v>625</v>
      </c>
      <c r="AK338" t="s">
        <v>2403</v>
      </c>
      <c r="AL338" t="s">
        <v>2404</v>
      </c>
      <c r="AM338" t="s">
        <v>163</v>
      </c>
      <c r="AO338">
        <v>1</v>
      </c>
      <c r="AT338">
        <v>2469.81</v>
      </c>
      <c r="AU338">
        <v>2769.81</v>
      </c>
      <c r="AV338">
        <v>3019.09</v>
      </c>
      <c r="AW338">
        <v>0.09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234</v>
      </c>
      <c r="BD338" t="s">
        <v>1717</v>
      </c>
      <c r="BE338" t="s">
        <v>109</v>
      </c>
      <c r="BG338" t="s">
        <v>1718</v>
      </c>
      <c r="BH338" t="s">
        <v>1719</v>
      </c>
      <c r="BI338" t="s">
        <v>1720</v>
      </c>
      <c r="BK338" t="s">
        <v>1721</v>
      </c>
      <c r="BL338" t="s">
        <v>115</v>
      </c>
      <c r="BM338" t="s">
        <v>1722</v>
      </c>
      <c r="BO338" t="s">
        <v>1723</v>
      </c>
      <c r="BQ338">
        <v>109</v>
      </c>
      <c r="BR338" t="s">
        <v>2403</v>
      </c>
      <c r="BS338" t="s">
        <v>2404</v>
      </c>
      <c r="BT338">
        <v>12</v>
      </c>
      <c r="BU338" t="s">
        <v>119</v>
      </c>
      <c r="BV338" t="s">
        <v>163</v>
      </c>
      <c r="BW338">
        <v>3275</v>
      </c>
      <c r="BX338">
        <v>3575</v>
      </c>
      <c r="BY338">
        <v>3896.75</v>
      </c>
      <c r="BZ338">
        <v>0.09</v>
      </c>
      <c r="CA338">
        <v>300</v>
      </c>
      <c r="CB338">
        <v>0</v>
      </c>
      <c r="CC338">
        <v>0</v>
      </c>
      <c r="CD338">
        <v>1855.29</v>
      </c>
      <c r="CE338" t="s">
        <v>121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O338">
        <v>805.19</v>
      </c>
      <c r="CP338">
        <v>9662.2800000000007</v>
      </c>
      <c r="CQ338">
        <v>29.07</v>
      </c>
      <c r="CR338" t="s">
        <v>168</v>
      </c>
      <c r="CS338">
        <v>234</v>
      </c>
    </row>
    <row r="339" spans="1:97" x14ac:dyDescent="0.2">
      <c r="A339" t="s">
        <v>2424</v>
      </c>
      <c r="B339">
        <v>15</v>
      </c>
      <c r="C339" t="s">
        <v>2425</v>
      </c>
      <c r="D339" t="s">
        <v>2370</v>
      </c>
      <c r="E339" t="s">
        <v>2371</v>
      </c>
      <c r="F339" t="s">
        <v>101</v>
      </c>
      <c r="H339">
        <v>3</v>
      </c>
      <c r="I339">
        <v>6</v>
      </c>
      <c r="J339">
        <v>1</v>
      </c>
      <c r="K339" t="s">
        <v>102</v>
      </c>
      <c r="L339" t="s">
        <v>2426</v>
      </c>
      <c r="M339" t="s">
        <v>313</v>
      </c>
      <c r="P339" t="s">
        <v>2373</v>
      </c>
      <c r="Q339" t="s">
        <v>2374</v>
      </c>
      <c r="R339" t="s">
        <v>2375</v>
      </c>
      <c r="S339" t="s">
        <v>2376</v>
      </c>
      <c r="T339">
        <v>2028.24</v>
      </c>
      <c r="U339">
        <v>400</v>
      </c>
      <c r="V339">
        <v>0</v>
      </c>
      <c r="W339">
        <v>766</v>
      </c>
      <c r="X339" t="s">
        <v>2300</v>
      </c>
      <c r="Y339" t="s">
        <v>109</v>
      </c>
      <c r="AA339" t="s">
        <v>2301</v>
      </c>
      <c r="AB339" t="s">
        <v>2302</v>
      </c>
      <c r="AJ339">
        <v>627</v>
      </c>
      <c r="AK339" t="s">
        <v>2427</v>
      </c>
      <c r="AM339" t="s">
        <v>120</v>
      </c>
      <c r="AO339">
        <v>1</v>
      </c>
      <c r="AT339">
        <v>2608.9</v>
      </c>
      <c r="AU339">
        <v>2858.9</v>
      </c>
      <c r="AV339">
        <v>3116.2</v>
      </c>
      <c r="AW339">
        <v>0.09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149</v>
      </c>
      <c r="BD339" t="s">
        <v>2378</v>
      </c>
      <c r="BE339" t="s">
        <v>109</v>
      </c>
      <c r="BG339" t="s">
        <v>2379</v>
      </c>
      <c r="BH339" t="s">
        <v>2380</v>
      </c>
      <c r="BI339" t="s">
        <v>2381</v>
      </c>
      <c r="BK339" t="s">
        <v>2382</v>
      </c>
      <c r="BL339" t="s">
        <v>115</v>
      </c>
      <c r="BM339" t="s">
        <v>2383</v>
      </c>
      <c r="BQ339">
        <v>111</v>
      </c>
      <c r="BR339" t="s">
        <v>2427</v>
      </c>
      <c r="BS339" t="s">
        <v>2428</v>
      </c>
      <c r="BT339">
        <v>12</v>
      </c>
      <c r="BU339" t="s">
        <v>119</v>
      </c>
      <c r="BV339" t="s">
        <v>163</v>
      </c>
      <c r="BW339">
        <v>3275</v>
      </c>
      <c r="BX339">
        <v>3675</v>
      </c>
      <c r="BY339">
        <v>4005.75</v>
      </c>
      <c r="BZ339">
        <v>0.09</v>
      </c>
      <c r="CA339">
        <v>400</v>
      </c>
      <c r="CB339">
        <v>0</v>
      </c>
      <c r="CC339">
        <v>0</v>
      </c>
      <c r="CD339">
        <v>2028.24</v>
      </c>
      <c r="CE339" t="s">
        <v>121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O339">
        <v>816.09999999999991</v>
      </c>
      <c r="CP339">
        <v>9793.1999999999989</v>
      </c>
      <c r="CQ339">
        <v>28.55</v>
      </c>
      <c r="CR339" t="s">
        <v>168</v>
      </c>
      <c r="CS339">
        <v>222</v>
      </c>
    </row>
    <row r="340" spans="1:97" x14ac:dyDescent="0.2">
      <c r="A340" t="s">
        <v>2429</v>
      </c>
      <c r="B340">
        <v>16</v>
      </c>
      <c r="C340" t="s">
        <v>2430</v>
      </c>
      <c r="D340" t="s">
        <v>2370</v>
      </c>
      <c r="E340" t="s">
        <v>2371</v>
      </c>
      <c r="F340" t="s">
        <v>101</v>
      </c>
      <c r="H340">
        <v>3</v>
      </c>
      <c r="I340">
        <v>6</v>
      </c>
      <c r="J340">
        <v>1</v>
      </c>
      <c r="K340" t="s">
        <v>102</v>
      </c>
      <c r="L340" t="s">
        <v>2431</v>
      </c>
      <c r="M340" t="s">
        <v>313</v>
      </c>
      <c r="P340" t="s">
        <v>2373</v>
      </c>
      <c r="Q340" t="s">
        <v>2374</v>
      </c>
      <c r="R340" t="s">
        <v>2375</v>
      </c>
      <c r="S340" t="s">
        <v>2376</v>
      </c>
      <c r="T340">
        <v>2361.1799999999998</v>
      </c>
      <c r="U340">
        <v>300</v>
      </c>
      <c r="V340">
        <v>0</v>
      </c>
      <c r="W340">
        <v>849</v>
      </c>
      <c r="X340" t="s">
        <v>2377</v>
      </c>
      <c r="Y340" t="s">
        <v>109</v>
      </c>
      <c r="AJ340">
        <v>628</v>
      </c>
      <c r="AK340" t="s">
        <v>2419</v>
      </c>
      <c r="AL340" t="s">
        <v>2420</v>
      </c>
      <c r="AM340" t="s">
        <v>163</v>
      </c>
      <c r="AO340">
        <v>1</v>
      </c>
      <c r="AT340">
        <v>2468.1</v>
      </c>
      <c r="AU340">
        <v>2803.1</v>
      </c>
      <c r="AV340">
        <v>3055.38</v>
      </c>
      <c r="AW340">
        <v>0.09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149</v>
      </c>
      <c r="BD340" t="s">
        <v>2378</v>
      </c>
      <c r="BE340" t="s">
        <v>109</v>
      </c>
      <c r="BG340" t="s">
        <v>2379</v>
      </c>
      <c r="BH340" t="s">
        <v>2380</v>
      </c>
      <c r="BI340" t="s">
        <v>2381</v>
      </c>
      <c r="BK340" t="s">
        <v>2382</v>
      </c>
      <c r="BL340" t="s">
        <v>115</v>
      </c>
      <c r="BM340" t="s">
        <v>2383</v>
      </c>
      <c r="BQ340">
        <v>112</v>
      </c>
      <c r="BR340" t="s">
        <v>2419</v>
      </c>
      <c r="BS340" t="s">
        <v>2420</v>
      </c>
      <c r="BT340">
        <v>2</v>
      </c>
      <c r="BU340" t="s">
        <v>119</v>
      </c>
      <c r="BV340" t="s">
        <v>163</v>
      </c>
      <c r="BW340">
        <v>3250</v>
      </c>
      <c r="BX340">
        <v>3650</v>
      </c>
      <c r="BY340">
        <v>3978.5</v>
      </c>
      <c r="BZ340">
        <v>0.09</v>
      </c>
      <c r="CA340">
        <v>300</v>
      </c>
      <c r="CB340">
        <v>100</v>
      </c>
      <c r="CC340">
        <v>0</v>
      </c>
      <c r="CD340">
        <v>2361.1799999999998</v>
      </c>
      <c r="CE340" t="s">
        <v>121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O340">
        <v>846.90000000000009</v>
      </c>
      <c r="CP340">
        <v>10162.799999999999</v>
      </c>
      <c r="CQ340">
        <v>30.21</v>
      </c>
      <c r="CR340" t="s">
        <v>168</v>
      </c>
      <c r="CS340">
        <v>149</v>
      </c>
    </row>
    <row r="341" spans="1:97" x14ac:dyDescent="0.2">
      <c r="A341" t="s">
        <v>2432</v>
      </c>
      <c r="B341">
        <v>17</v>
      </c>
      <c r="C341" t="s">
        <v>2433</v>
      </c>
      <c r="D341" t="s">
        <v>2370</v>
      </c>
      <c r="E341" t="s">
        <v>2371</v>
      </c>
      <c r="F341" t="s">
        <v>101</v>
      </c>
      <c r="H341">
        <v>3</v>
      </c>
      <c r="I341">
        <v>6</v>
      </c>
      <c r="J341">
        <v>1</v>
      </c>
      <c r="K341" t="s">
        <v>102</v>
      </c>
      <c r="L341" t="s">
        <v>2434</v>
      </c>
      <c r="M341" t="s">
        <v>313</v>
      </c>
      <c r="P341" t="s">
        <v>2373</v>
      </c>
      <c r="Q341" t="s">
        <v>2374</v>
      </c>
      <c r="R341" t="s">
        <v>2375</v>
      </c>
      <c r="S341" t="s">
        <v>2376</v>
      </c>
      <c r="T341">
        <v>1902.35</v>
      </c>
      <c r="U341">
        <v>300</v>
      </c>
      <c r="V341">
        <v>0</v>
      </c>
      <c r="W341">
        <v>849</v>
      </c>
      <c r="X341" t="s">
        <v>2377</v>
      </c>
      <c r="Y341" t="s">
        <v>109</v>
      </c>
      <c r="AJ341">
        <v>630</v>
      </c>
      <c r="AK341" t="s">
        <v>2419</v>
      </c>
      <c r="AL341" t="s">
        <v>2420</v>
      </c>
      <c r="AM341" t="s">
        <v>163</v>
      </c>
      <c r="AO341">
        <v>1</v>
      </c>
      <c r="AT341">
        <v>2468.1</v>
      </c>
      <c r="AU341">
        <v>2718.1</v>
      </c>
      <c r="AV341">
        <v>2962.73</v>
      </c>
      <c r="AW341">
        <v>0.09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234</v>
      </c>
      <c r="BD341" t="s">
        <v>1717</v>
      </c>
      <c r="BE341" t="s">
        <v>109</v>
      </c>
      <c r="BG341" t="s">
        <v>1718</v>
      </c>
      <c r="BH341" t="s">
        <v>1719</v>
      </c>
      <c r="BI341" t="s">
        <v>1720</v>
      </c>
      <c r="BK341" t="s">
        <v>1721</v>
      </c>
      <c r="BL341" t="s">
        <v>115</v>
      </c>
      <c r="BM341" t="s">
        <v>1722</v>
      </c>
      <c r="BO341" t="s">
        <v>1723</v>
      </c>
      <c r="BQ341">
        <v>114</v>
      </c>
      <c r="BR341" t="s">
        <v>2419</v>
      </c>
      <c r="BS341" t="s">
        <v>2420</v>
      </c>
      <c r="BT341">
        <v>12</v>
      </c>
      <c r="BU341" t="s">
        <v>119</v>
      </c>
      <c r="BV341" t="s">
        <v>163</v>
      </c>
      <c r="BW341">
        <v>3275</v>
      </c>
      <c r="BX341">
        <v>3575</v>
      </c>
      <c r="BY341">
        <v>3896.75</v>
      </c>
      <c r="BZ341">
        <v>0.09</v>
      </c>
      <c r="CA341">
        <v>300</v>
      </c>
      <c r="CB341">
        <v>0</v>
      </c>
      <c r="CC341">
        <v>0</v>
      </c>
      <c r="CD341">
        <v>1902.35</v>
      </c>
      <c r="CE341" t="s">
        <v>121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O341">
        <v>856.90000000000009</v>
      </c>
      <c r="CP341">
        <v>10282.799999999999</v>
      </c>
      <c r="CQ341">
        <v>31.53</v>
      </c>
      <c r="CR341" t="s">
        <v>168</v>
      </c>
      <c r="CS341">
        <v>149</v>
      </c>
    </row>
    <row r="342" spans="1:97" x14ac:dyDescent="0.2">
      <c r="A342" t="s">
        <v>2435</v>
      </c>
      <c r="B342">
        <v>18</v>
      </c>
      <c r="C342" t="s">
        <v>2436</v>
      </c>
      <c r="D342" t="s">
        <v>2370</v>
      </c>
      <c r="E342" t="s">
        <v>2371</v>
      </c>
      <c r="F342" t="s">
        <v>101</v>
      </c>
      <c r="H342">
        <v>5</v>
      </c>
      <c r="I342">
        <v>7</v>
      </c>
      <c r="J342">
        <v>1</v>
      </c>
      <c r="K342" t="s">
        <v>102</v>
      </c>
      <c r="L342" t="s">
        <v>2437</v>
      </c>
      <c r="M342" t="s">
        <v>313</v>
      </c>
      <c r="P342" t="s">
        <v>2373</v>
      </c>
      <c r="Q342" t="s">
        <v>2374</v>
      </c>
      <c r="R342" t="s">
        <v>2375</v>
      </c>
      <c r="S342" t="s">
        <v>2376</v>
      </c>
      <c r="T342">
        <v>2516.4699999999998</v>
      </c>
      <c r="U342">
        <v>400</v>
      </c>
      <c r="V342">
        <v>0</v>
      </c>
      <c r="W342">
        <v>849</v>
      </c>
      <c r="X342" t="s">
        <v>2377</v>
      </c>
      <c r="Y342" t="s">
        <v>109</v>
      </c>
      <c r="AJ342">
        <v>631</v>
      </c>
      <c r="AK342" t="s">
        <v>2438</v>
      </c>
      <c r="AL342" t="s">
        <v>2439</v>
      </c>
      <c r="AM342" t="s">
        <v>163</v>
      </c>
      <c r="AO342">
        <v>1</v>
      </c>
      <c r="AT342">
        <v>2881.45</v>
      </c>
      <c r="AU342">
        <v>3181.45</v>
      </c>
      <c r="AV342">
        <v>3467.78</v>
      </c>
      <c r="AW342">
        <v>0.09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234</v>
      </c>
      <c r="BD342" t="s">
        <v>1717</v>
      </c>
      <c r="BE342" t="s">
        <v>109</v>
      </c>
      <c r="BG342" t="s">
        <v>1718</v>
      </c>
      <c r="BH342" t="s">
        <v>1719</v>
      </c>
      <c r="BI342" t="s">
        <v>1720</v>
      </c>
      <c r="BK342" t="s">
        <v>1721</v>
      </c>
      <c r="BL342" t="s">
        <v>115</v>
      </c>
      <c r="BM342" t="s">
        <v>1722</v>
      </c>
      <c r="BO342" t="s">
        <v>1723</v>
      </c>
      <c r="BQ342">
        <v>115</v>
      </c>
      <c r="BR342" t="s">
        <v>2438</v>
      </c>
      <c r="BS342" t="s">
        <v>2439</v>
      </c>
      <c r="BT342">
        <v>12</v>
      </c>
      <c r="BU342" t="s">
        <v>119</v>
      </c>
      <c r="BV342" t="s">
        <v>163</v>
      </c>
      <c r="BW342">
        <v>3775</v>
      </c>
      <c r="BX342">
        <v>4175</v>
      </c>
      <c r="BY342">
        <v>4550.75</v>
      </c>
      <c r="BZ342">
        <v>0.09</v>
      </c>
      <c r="CA342">
        <v>400</v>
      </c>
      <c r="CB342">
        <v>0</v>
      </c>
      <c r="CC342">
        <v>0</v>
      </c>
      <c r="CD342">
        <v>2516.4699999999998</v>
      </c>
      <c r="CE342" t="s">
        <v>121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O342">
        <v>993.55000000000018</v>
      </c>
      <c r="CP342">
        <v>11922.6</v>
      </c>
      <c r="CQ342">
        <v>31.23</v>
      </c>
      <c r="CR342" t="s">
        <v>168</v>
      </c>
      <c r="CS342">
        <v>241</v>
      </c>
    </row>
    <row r="343" spans="1:97" x14ac:dyDescent="0.2">
      <c r="A343" t="s">
        <v>2440</v>
      </c>
      <c r="B343">
        <v>325</v>
      </c>
      <c r="C343" t="s">
        <v>2441</v>
      </c>
      <c r="D343" t="s">
        <v>2442</v>
      </c>
      <c r="E343" t="s">
        <v>2443</v>
      </c>
      <c r="F343" t="s">
        <v>126</v>
      </c>
      <c r="H343">
        <v>4</v>
      </c>
      <c r="I343">
        <v>4</v>
      </c>
      <c r="J343">
        <v>0</v>
      </c>
      <c r="K343" t="s">
        <v>102</v>
      </c>
      <c r="L343" t="s">
        <v>2444</v>
      </c>
      <c r="M343" t="s">
        <v>137</v>
      </c>
      <c r="P343" t="s">
        <v>2445</v>
      </c>
      <c r="Q343" t="s">
        <v>2446</v>
      </c>
      <c r="R343" t="s">
        <v>2447</v>
      </c>
      <c r="S343" t="s">
        <v>2448</v>
      </c>
      <c r="T343">
        <v>1900</v>
      </c>
      <c r="U343">
        <v>250</v>
      </c>
      <c r="V343">
        <v>0</v>
      </c>
      <c r="W343">
        <v>795</v>
      </c>
      <c r="X343" t="s">
        <v>891</v>
      </c>
      <c r="Y343" t="s">
        <v>109</v>
      </c>
      <c r="AA343" t="s">
        <v>892</v>
      </c>
      <c r="AB343" t="s">
        <v>893</v>
      </c>
      <c r="AJ343">
        <v>552</v>
      </c>
      <c r="AK343" t="s">
        <v>2449</v>
      </c>
      <c r="AL343" t="s">
        <v>2450</v>
      </c>
      <c r="AM343" t="s">
        <v>163</v>
      </c>
      <c r="AO343">
        <v>1</v>
      </c>
      <c r="AT343">
        <v>1400</v>
      </c>
      <c r="AU343">
        <v>1400</v>
      </c>
      <c r="AV343">
        <v>1526</v>
      </c>
      <c r="AW343">
        <v>0.09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352</v>
      </c>
      <c r="BD343" t="s">
        <v>2451</v>
      </c>
      <c r="BE343" t="s">
        <v>109</v>
      </c>
      <c r="BG343" t="s">
        <v>2452</v>
      </c>
      <c r="BH343" t="s">
        <v>2453</v>
      </c>
      <c r="BI343" t="s">
        <v>2454</v>
      </c>
      <c r="BK343" t="s">
        <v>2455</v>
      </c>
      <c r="BL343" t="s">
        <v>361</v>
      </c>
      <c r="BQ343">
        <v>37</v>
      </c>
      <c r="BR343" t="s">
        <v>2449</v>
      </c>
      <c r="BS343" t="s">
        <v>2456</v>
      </c>
      <c r="BT343">
        <v>4</v>
      </c>
      <c r="BU343" t="s">
        <v>119</v>
      </c>
      <c r="BV343" t="s">
        <v>483</v>
      </c>
      <c r="BW343">
        <v>0</v>
      </c>
      <c r="BX343">
        <v>250</v>
      </c>
      <c r="BY343">
        <v>272.5</v>
      </c>
      <c r="BZ343">
        <v>0.09</v>
      </c>
      <c r="CA343">
        <v>250</v>
      </c>
      <c r="CB343">
        <v>0</v>
      </c>
      <c r="CC343">
        <v>250</v>
      </c>
      <c r="CD343">
        <v>1900</v>
      </c>
      <c r="CE343" t="s">
        <v>121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 t="s">
        <v>201</v>
      </c>
      <c r="CO343">
        <v>-1150</v>
      </c>
      <c r="CP343">
        <v>-13800</v>
      </c>
      <c r="CQ343">
        <v>-82.14</v>
      </c>
      <c r="CR343" t="s">
        <v>1648</v>
      </c>
      <c r="CS343">
        <v>0</v>
      </c>
    </row>
    <row r="344" spans="1:97" x14ac:dyDescent="0.2">
      <c r="A344" t="s">
        <v>2457</v>
      </c>
      <c r="B344">
        <v>326</v>
      </c>
      <c r="C344" t="s">
        <v>2458</v>
      </c>
      <c r="D344" t="s">
        <v>2459</v>
      </c>
      <c r="E344" t="s">
        <v>2460</v>
      </c>
      <c r="F344" t="s">
        <v>126</v>
      </c>
      <c r="H344">
        <v>5</v>
      </c>
      <c r="I344">
        <v>5</v>
      </c>
      <c r="J344">
        <v>1</v>
      </c>
      <c r="K344" t="s">
        <v>127</v>
      </c>
      <c r="L344" t="s">
        <v>2461</v>
      </c>
      <c r="M344" t="s">
        <v>137</v>
      </c>
      <c r="P344" t="s">
        <v>2462</v>
      </c>
      <c r="Q344" t="s">
        <v>2463</v>
      </c>
      <c r="R344" t="s">
        <v>2464</v>
      </c>
      <c r="S344" t="s">
        <v>2465</v>
      </c>
      <c r="T344">
        <v>2550</v>
      </c>
      <c r="U344">
        <v>300</v>
      </c>
      <c r="V344">
        <v>0</v>
      </c>
      <c r="W344">
        <v>821</v>
      </c>
      <c r="X344" t="s">
        <v>2466</v>
      </c>
      <c r="Y344" t="s">
        <v>109</v>
      </c>
      <c r="AJ344">
        <v>661</v>
      </c>
      <c r="AK344" t="s">
        <v>2449</v>
      </c>
      <c r="AL344" t="s">
        <v>2450</v>
      </c>
      <c r="AM344" t="s">
        <v>163</v>
      </c>
      <c r="AO344">
        <v>1</v>
      </c>
      <c r="AT344">
        <v>2056.75</v>
      </c>
      <c r="AU344">
        <v>2056.75</v>
      </c>
      <c r="AV344">
        <v>2241.86</v>
      </c>
      <c r="AW344">
        <v>0.09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172</v>
      </c>
      <c r="BD344" t="s">
        <v>2092</v>
      </c>
      <c r="BE344" t="s">
        <v>109</v>
      </c>
      <c r="BG344" t="s">
        <v>2093</v>
      </c>
      <c r="BH344" t="s">
        <v>2094</v>
      </c>
      <c r="BI344" t="s">
        <v>2095</v>
      </c>
      <c r="BK344" t="s">
        <v>2096</v>
      </c>
      <c r="BL344" t="s">
        <v>115</v>
      </c>
      <c r="BM344" t="s">
        <v>2097</v>
      </c>
      <c r="BO344" t="s">
        <v>2098</v>
      </c>
      <c r="BQ344">
        <v>148</v>
      </c>
      <c r="BR344" t="s">
        <v>2449</v>
      </c>
      <c r="BS344" t="s">
        <v>2450</v>
      </c>
      <c r="BT344">
        <v>10</v>
      </c>
      <c r="BU344" t="s">
        <v>119</v>
      </c>
      <c r="BV344" t="s">
        <v>163</v>
      </c>
      <c r="BW344">
        <v>2550</v>
      </c>
      <c r="BX344">
        <v>2850</v>
      </c>
      <c r="BY344">
        <v>3106.5</v>
      </c>
      <c r="BZ344">
        <v>0.09</v>
      </c>
      <c r="CA344">
        <v>300</v>
      </c>
      <c r="CB344">
        <v>0</v>
      </c>
      <c r="CC344">
        <v>375</v>
      </c>
      <c r="CD344">
        <v>2550</v>
      </c>
      <c r="CE344" t="s">
        <v>121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 t="s">
        <v>182</v>
      </c>
      <c r="CO344">
        <v>793.25</v>
      </c>
      <c r="CP344">
        <v>9519</v>
      </c>
      <c r="CQ344">
        <v>38.57</v>
      </c>
      <c r="CR344" t="s">
        <v>1146</v>
      </c>
      <c r="CS344">
        <v>10</v>
      </c>
    </row>
    <row r="345" spans="1:97" x14ac:dyDescent="0.2">
      <c r="A345" t="s">
        <v>2467</v>
      </c>
      <c r="B345">
        <v>327</v>
      </c>
      <c r="C345" t="s">
        <v>2468</v>
      </c>
      <c r="D345" t="s">
        <v>2469</v>
      </c>
      <c r="E345" t="s">
        <v>1365</v>
      </c>
      <c r="F345" t="s">
        <v>126</v>
      </c>
      <c r="H345">
        <v>4</v>
      </c>
      <c r="I345">
        <v>4</v>
      </c>
      <c r="J345">
        <v>1</v>
      </c>
      <c r="K345" t="s">
        <v>127</v>
      </c>
      <c r="L345" t="s">
        <v>2470</v>
      </c>
      <c r="M345" t="s">
        <v>137</v>
      </c>
      <c r="P345" t="s">
        <v>1984</v>
      </c>
      <c r="Q345" t="s">
        <v>1985</v>
      </c>
      <c r="R345" t="s">
        <v>1986</v>
      </c>
      <c r="S345" t="s">
        <v>1987</v>
      </c>
      <c r="T345">
        <v>2100</v>
      </c>
      <c r="U345">
        <v>250</v>
      </c>
      <c r="V345">
        <v>0</v>
      </c>
      <c r="W345">
        <v>837</v>
      </c>
      <c r="X345" t="s">
        <v>2471</v>
      </c>
      <c r="Y345" t="s">
        <v>109</v>
      </c>
      <c r="AA345" t="s">
        <v>2472</v>
      </c>
      <c r="AB345" t="s">
        <v>2473</v>
      </c>
      <c r="AJ345">
        <v>749</v>
      </c>
      <c r="AM345" t="s">
        <v>120</v>
      </c>
      <c r="AO345">
        <v>1</v>
      </c>
      <c r="AT345">
        <v>1800</v>
      </c>
      <c r="AU345">
        <v>1800</v>
      </c>
      <c r="AV345">
        <v>1962</v>
      </c>
      <c r="AW345">
        <v>0.09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172</v>
      </c>
      <c r="BD345" t="s">
        <v>2092</v>
      </c>
      <c r="BE345" t="s">
        <v>109</v>
      </c>
      <c r="BG345" t="s">
        <v>2093</v>
      </c>
      <c r="BH345" t="s">
        <v>2094</v>
      </c>
      <c r="BI345" t="s">
        <v>2095</v>
      </c>
      <c r="BK345" t="s">
        <v>2096</v>
      </c>
      <c r="BL345" t="s">
        <v>115</v>
      </c>
      <c r="BM345" t="s">
        <v>2097</v>
      </c>
      <c r="BO345" t="s">
        <v>2098</v>
      </c>
      <c r="BQ345">
        <v>245</v>
      </c>
      <c r="BR345" t="s">
        <v>2474</v>
      </c>
      <c r="BS345" t="s">
        <v>1137</v>
      </c>
      <c r="BT345">
        <v>12</v>
      </c>
      <c r="BU345" t="s">
        <v>119</v>
      </c>
      <c r="BV345" t="s">
        <v>163</v>
      </c>
      <c r="BW345">
        <v>2100</v>
      </c>
      <c r="BX345">
        <v>2350</v>
      </c>
      <c r="BY345">
        <v>2561.5</v>
      </c>
      <c r="BZ345">
        <v>0.09</v>
      </c>
      <c r="CA345">
        <v>250</v>
      </c>
      <c r="CB345">
        <v>0</v>
      </c>
      <c r="CC345">
        <v>250</v>
      </c>
      <c r="CD345">
        <v>2100</v>
      </c>
      <c r="CE345" t="s">
        <v>121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 t="s">
        <v>201</v>
      </c>
      <c r="CO345">
        <v>550</v>
      </c>
      <c r="CP345">
        <v>6600</v>
      </c>
      <c r="CQ345">
        <v>30.56</v>
      </c>
      <c r="CR345" t="s">
        <v>1146</v>
      </c>
      <c r="CS345">
        <v>37</v>
      </c>
    </row>
    <row r="346" spans="1:97" x14ac:dyDescent="0.2">
      <c r="A346" t="s">
        <v>2475</v>
      </c>
      <c r="B346">
        <v>328</v>
      </c>
      <c r="C346" t="s">
        <v>2476</v>
      </c>
      <c r="D346" t="s">
        <v>2477</v>
      </c>
      <c r="E346" t="s">
        <v>2478</v>
      </c>
      <c r="F346" t="s">
        <v>126</v>
      </c>
      <c r="H346">
        <v>6</v>
      </c>
      <c r="I346">
        <v>10</v>
      </c>
      <c r="J346">
        <v>1</v>
      </c>
      <c r="K346" t="s">
        <v>102</v>
      </c>
      <c r="L346" t="s">
        <v>2479</v>
      </c>
      <c r="M346" t="s">
        <v>313</v>
      </c>
      <c r="P346" t="s">
        <v>2480</v>
      </c>
      <c r="Q346" t="s">
        <v>2481</v>
      </c>
      <c r="R346" t="s">
        <v>2482</v>
      </c>
      <c r="S346" t="s">
        <v>2483</v>
      </c>
      <c r="T346">
        <v>5500</v>
      </c>
      <c r="U346">
        <v>450</v>
      </c>
      <c r="V346">
        <v>0</v>
      </c>
      <c r="AM346" t="s">
        <v>107</v>
      </c>
      <c r="BC346">
        <v>305</v>
      </c>
      <c r="BD346" t="s">
        <v>2484</v>
      </c>
      <c r="BE346" t="s">
        <v>109</v>
      </c>
      <c r="BG346" t="s">
        <v>2485</v>
      </c>
      <c r="BI346" t="s">
        <v>2486</v>
      </c>
      <c r="BK346" t="s">
        <v>2487</v>
      </c>
      <c r="BL346" t="s">
        <v>115</v>
      </c>
      <c r="BQ346">
        <v>82</v>
      </c>
      <c r="BR346" t="s">
        <v>2488</v>
      </c>
      <c r="BS346" t="s">
        <v>2489</v>
      </c>
      <c r="BT346">
        <v>12</v>
      </c>
      <c r="BU346" t="s">
        <v>119</v>
      </c>
      <c r="BV346" t="s">
        <v>483</v>
      </c>
      <c r="BW346">
        <v>5500</v>
      </c>
      <c r="BX346">
        <v>6030</v>
      </c>
      <c r="BY346">
        <v>6572.7</v>
      </c>
      <c r="BZ346">
        <v>0.09</v>
      </c>
      <c r="CA346">
        <v>450</v>
      </c>
      <c r="CB346">
        <v>80</v>
      </c>
      <c r="CC346">
        <v>375</v>
      </c>
      <c r="CD346">
        <v>5500</v>
      </c>
      <c r="CE346" t="s">
        <v>121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 t="s">
        <v>182</v>
      </c>
      <c r="CO346">
        <v>6030</v>
      </c>
      <c r="CP346">
        <v>72360</v>
      </c>
      <c r="CR346" t="s">
        <v>143</v>
      </c>
      <c r="CS346">
        <v>0</v>
      </c>
    </row>
    <row r="347" spans="1:97" x14ac:dyDescent="0.2">
      <c r="A347" t="s">
        <v>2490</v>
      </c>
      <c r="B347">
        <v>329</v>
      </c>
      <c r="C347" t="s">
        <v>2491</v>
      </c>
      <c r="D347" t="s">
        <v>2289</v>
      </c>
      <c r="E347" t="s">
        <v>2306</v>
      </c>
      <c r="F347" t="s">
        <v>101</v>
      </c>
      <c r="J347">
        <v>1</v>
      </c>
      <c r="K347" t="s">
        <v>102</v>
      </c>
      <c r="P347" t="s">
        <v>2292</v>
      </c>
      <c r="Q347" t="s">
        <v>2293</v>
      </c>
      <c r="R347" t="s">
        <v>2294</v>
      </c>
      <c r="S347" t="s">
        <v>2295</v>
      </c>
      <c r="T347">
        <v>0</v>
      </c>
      <c r="U347">
        <v>0</v>
      </c>
      <c r="V347">
        <v>0</v>
      </c>
      <c r="AM347" t="s">
        <v>107</v>
      </c>
      <c r="BV347" t="s">
        <v>142</v>
      </c>
      <c r="CD347">
        <v>0</v>
      </c>
      <c r="CO347">
        <v>0</v>
      </c>
      <c r="CP347">
        <v>0</v>
      </c>
      <c r="CR347" t="s">
        <v>143</v>
      </c>
      <c r="CS347">
        <v>0</v>
      </c>
    </row>
    <row r="348" spans="1:97" x14ac:dyDescent="0.2">
      <c r="A348" t="s">
        <v>2492</v>
      </c>
      <c r="B348">
        <v>330</v>
      </c>
      <c r="C348" t="s">
        <v>2493</v>
      </c>
      <c r="D348" t="s">
        <v>2494</v>
      </c>
      <c r="E348" t="s">
        <v>2495</v>
      </c>
      <c r="F348" t="s">
        <v>126</v>
      </c>
      <c r="H348">
        <v>4</v>
      </c>
      <c r="I348">
        <v>4</v>
      </c>
      <c r="J348">
        <v>1</v>
      </c>
      <c r="K348" t="s">
        <v>102</v>
      </c>
      <c r="P348" t="s">
        <v>2496</v>
      </c>
      <c r="Q348" t="s">
        <v>2497</v>
      </c>
      <c r="R348" t="s">
        <v>2498</v>
      </c>
      <c r="S348" t="s">
        <v>2499</v>
      </c>
      <c r="T348">
        <v>2350</v>
      </c>
      <c r="U348">
        <v>250</v>
      </c>
      <c r="V348">
        <v>0</v>
      </c>
      <c r="W348">
        <v>85</v>
      </c>
      <c r="X348" t="s">
        <v>2500</v>
      </c>
      <c r="Y348" t="s">
        <v>1072</v>
      </c>
      <c r="AA348" t="s">
        <v>2501</v>
      </c>
      <c r="AB348" t="s">
        <v>2502</v>
      </c>
      <c r="AC348" t="s">
        <v>2503</v>
      </c>
      <c r="AE348" t="s">
        <v>2504</v>
      </c>
      <c r="AG348" t="s">
        <v>2505</v>
      </c>
      <c r="AI348" t="s">
        <v>2506</v>
      </c>
      <c r="AJ348">
        <v>542</v>
      </c>
      <c r="AK348" t="s">
        <v>2507</v>
      </c>
      <c r="AL348" t="s">
        <v>414</v>
      </c>
      <c r="AM348" t="s">
        <v>163</v>
      </c>
      <c r="AO348">
        <v>1</v>
      </c>
      <c r="AT348">
        <v>1850</v>
      </c>
      <c r="AU348">
        <v>1850</v>
      </c>
      <c r="AV348">
        <v>2016.5</v>
      </c>
      <c r="AW348">
        <v>0.09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358</v>
      </c>
      <c r="BD348" t="s">
        <v>2508</v>
      </c>
      <c r="BE348" t="s">
        <v>109</v>
      </c>
      <c r="BG348" t="s">
        <v>2509</v>
      </c>
      <c r="BI348" t="s">
        <v>2510</v>
      </c>
      <c r="BK348" t="s">
        <v>2511</v>
      </c>
      <c r="BL348" t="s">
        <v>115</v>
      </c>
      <c r="BM348" t="s">
        <v>2512</v>
      </c>
      <c r="BO348" t="s">
        <v>2513</v>
      </c>
      <c r="BQ348">
        <v>454</v>
      </c>
      <c r="BR348" t="s">
        <v>2507</v>
      </c>
      <c r="BS348" t="s">
        <v>414</v>
      </c>
      <c r="BU348" t="s">
        <v>119</v>
      </c>
      <c r="BV348" t="s">
        <v>163</v>
      </c>
      <c r="BW348">
        <v>0</v>
      </c>
      <c r="BX348">
        <v>2600</v>
      </c>
      <c r="BY348">
        <v>2834</v>
      </c>
      <c r="BZ348">
        <v>0.09</v>
      </c>
      <c r="CA348">
        <v>250</v>
      </c>
      <c r="CB348">
        <v>0</v>
      </c>
      <c r="CC348">
        <v>0</v>
      </c>
      <c r="CD348">
        <v>2350</v>
      </c>
      <c r="CE348" t="s">
        <v>121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O348">
        <v>750</v>
      </c>
      <c r="CP348">
        <v>9000</v>
      </c>
      <c r="CQ348">
        <v>40.54</v>
      </c>
      <c r="CR348" t="s">
        <v>168</v>
      </c>
      <c r="CS348">
        <v>221</v>
      </c>
    </row>
    <row r="349" spans="1:97" x14ac:dyDescent="0.2">
      <c r="A349" t="s">
        <v>2514</v>
      </c>
      <c r="B349">
        <v>331</v>
      </c>
      <c r="C349" t="s">
        <v>2515</v>
      </c>
      <c r="D349" t="s">
        <v>2516</v>
      </c>
      <c r="E349" t="s">
        <v>312</v>
      </c>
      <c r="F349" t="s">
        <v>101</v>
      </c>
      <c r="H349">
        <v>2</v>
      </c>
      <c r="I349">
        <v>2</v>
      </c>
      <c r="J349">
        <v>1</v>
      </c>
      <c r="K349" t="s">
        <v>102</v>
      </c>
      <c r="L349" t="s">
        <v>2517</v>
      </c>
      <c r="P349" t="s">
        <v>2518</v>
      </c>
      <c r="Q349" t="s">
        <v>2519</v>
      </c>
      <c r="R349" t="s">
        <v>2520</v>
      </c>
      <c r="S349" t="s">
        <v>2521</v>
      </c>
      <c r="T349">
        <v>1750</v>
      </c>
      <c r="U349">
        <v>200</v>
      </c>
      <c r="V349">
        <v>0</v>
      </c>
      <c r="W349">
        <v>258</v>
      </c>
      <c r="X349" t="s">
        <v>444</v>
      </c>
      <c r="Y349" t="s">
        <v>109</v>
      </c>
      <c r="AA349" t="s">
        <v>327</v>
      </c>
      <c r="AC349" t="s">
        <v>445</v>
      </c>
      <c r="AE349" t="s">
        <v>272</v>
      </c>
      <c r="AF349" t="s">
        <v>115</v>
      </c>
      <c r="AI349" t="s">
        <v>446</v>
      </c>
      <c r="AJ349">
        <v>686</v>
      </c>
      <c r="AK349" t="s">
        <v>2449</v>
      </c>
      <c r="AL349" t="s">
        <v>2450</v>
      </c>
      <c r="AM349" t="s">
        <v>163</v>
      </c>
      <c r="AO349">
        <v>1</v>
      </c>
      <c r="AT349">
        <v>1500</v>
      </c>
      <c r="AU349">
        <v>1500</v>
      </c>
      <c r="AV349">
        <v>1635</v>
      </c>
      <c r="AW349">
        <v>0.09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190</v>
      </c>
      <c r="BD349" t="s">
        <v>1491</v>
      </c>
      <c r="BE349" t="s">
        <v>109</v>
      </c>
      <c r="BG349" t="s">
        <v>1492</v>
      </c>
      <c r="BI349" t="s">
        <v>1493</v>
      </c>
      <c r="BK349" t="s">
        <v>233</v>
      </c>
      <c r="BL349" t="s">
        <v>115</v>
      </c>
      <c r="BM349" t="s">
        <v>1494</v>
      </c>
      <c r="BQ349">
        <v>176</v>
      </c>
      <c r="BR349" t="s">
        <v>2449</v>
      </c>
      <c r="BS349" t="s">
        <v>2450</v>
      </c>
      <c r="BT349">
        <v>6</v>
      </c>
      <c r="BU349" t="s">
        <v>119</v>
      </c>
      <c r="BV349" t="s">
        <v>163</v>
      </c>
      <c r="BW349">
        <v>1750</v>
      </c>
      <c r="BX349">
        <v>1950</v>
      </c>
      <c r="BY349">
        <v>2125.5</v>
      </c>
      <c r="BZ349">
        <v>0.09</v>
      </c>
      <c r="CA349">
        <v>200</v>
      </c>
      <c r="CB349">
        <v>0</v>
      </c>
      <c r="CC349">
        <v>250</v>
      </c>
      <c r="CD349">
        <v>1750</v>
      </c>
      <c r="CE349" t="s">
        <v>121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 t="s">
        <v>201</v>
      </c>
      <c r="CO349">
        <v>450</v>
      </c>
      <c r="CP349">
        <v>5400</v>
      </c>
      <c r="CQ349">
        <v>30</v>
      </c>
      <c r="CR349" t="s">
        <v>1146</v>
      </c>
      <c r="CS349">
        <v>10</v>
      </c>
    </row>
    <row r="350" spans="1:97" x14ac:dyDescent="0.2">
      <c r="A350" t="s">
        <v>2522</v>
      </c>
      <c r="B350">
        <v>332</v>
      </c>
      <c r="C350" t="s">
        <v>2523</v>
      </c>
      <c r="D350" t="s">
        <v>2516</v>
      </c>
      <c r="E350" t="s">
        <v>312</v>
      </c>
      <c r="F350" t="s">
        <v>101</v>
      </c>
      <c r="H350">
        <v>2</v>
      </c>
      <c r="I350">
        <v>2</v>
      </c>
      <c r="J350">
        <v>1</v>
      </c>
      <c r="K350" t="s">
        <v>102</v>
      </c>
      <c r="P350" t="s">
        <v>2524</v>
      </c>
      <c r="Q350" t="s">
        <v>2525</v>
      </c>
      <c r="R350" t="s">
        <v>2526</v>
      </c>
      <c r="S350" t="s">
        <v>2527</v>
      </c>
      <c r="T350">
        <v>1750</v>
      </c>
      <c r="U350">
        <v>200</v>
      </c>
      <c r="V350">
        <v>0</v>
      </c>
      <c r="W350">
        <v>258</v>
      </c>
      <c r="X350" t="s">
        <v>444</v>
      </c>
      <c r="Y350" t="s">
        <v>109</v>
      </c>
      <c r="AA350" t="s">
        <v>327</v>
      </c>
      <c r="AC350" t="s">
        <v>445</v>
      </c>
      <c r="AE350" t="s">
        <v>272</v>
      </c>
      <c r="AF350" t="s">
        <v>115</v>
      </c>
      <c r="AI350" t="s">
        <v>446</v>
      </c>
      <c r="AJ350">
        <v>687</v>
      </c>
      <c r="AK350" t="s">
        <v>2449</v>
      </c>
      <c r="AL350" t="s">
        <v>2450</v>
      </c>
      <c r="AM350" t="s">
        <v>163</v>
      </c>
      <c r="AO350">
        <v>1</v>
      </c>
      <c r="AT350">
        <v>1500</v>
      </c>
      <c r="AU350">
        <v>1500</v>
      </c>
      <c r="AV350">
        <v>1635</v>
      </c>
      <c r="AW350">
        <v>0.09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190</v>
      </c>
      <c r="BD350" t="s">
        <v>1491</v>
      </c>
      <c r="BE350" t="s">
        <v>109</v>
      </c>
      <c r="BG350" t="s">
        <v>1492</v>
      </c>
      <c r="BI350" t="s">
        <v>1493</v>
      </c>
      <c r="BK350" t="s">
        <v>233</v>
      </c>
      <c r="BL350" t="s">
        <v>115</v>
      </c>
      <c r="BM350" t="s">
        <v>1494</v>
      </c>
      <c r="BQ350">
        <v>177</v>
      </c>
      <c r="BR350" t="s">
        <v>2449</v>
      </c>
      <c r="BS350" t="s">
        <v>2450</v>
      </c>
      <c r="BT350">
        <v>6</v>
      </c>
      <c r="BU350" t="s">
        <v>119</v>
      </c>
      <c r="BV350" t="s">
        <v>163</v>
      </c>
      <c r="BW350">
        <v>1750</v>
      </c>
      <c r="BX350">
        <v>1950</v>
      </c>
      <c r="BY350">
        <v>2125.5</v>
      </c>
      <c r="BZ350">
        <v>0.09</v>
      </c>
      <c r="CA350">
        <v>200</v>
      </c>
      <c r="CB350">
        <v>0</v>
      </c>
      <c r="CC350">
        <v>0</v>
      </c>
      <c r="CD350">
        <v>1750</v>
      </c>
      <c r="CE350" t="s">
        <v>121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O350">
        <v>450</v>
      </c>
      <c r="CP350">
        <v>5400</v>
      </c>
      <c r="CQ350">
        <v>30</v>
      </c>
      <c r="CR350" t="s">
        <v>1146</v>
      </c>
      <c r="CS350">
        <v>10</v>
      </c>
    </row>
    <row r="351" spans="1:97" x14ac:dyDescent="0.2">
      <c r="A351" t="s">
        <v>2528</v>
      </c>
      <c r="B351">
        <v>333</v>
      </c>
      <c r="C351" t="s">
        <v>2529</v>
      </c>
      <c r="D351" t="s">
        <v>2516</v>
      </c>
      <c r="E351" t="s">
        <v>312</v>
      </c>
      <c r="F351" t="s">
        <v>101</v>
      </c>
      <c r="H351">
        <v>2</v>
      </c>
      <c r="I351">
        <v>2</v>
      </c>
      <c r="J351">
        <v>1</v>
      </c>
      <c r="K351" t="s">
        <v>102</v>
      </c>
      <c r="P351" t="s">
        <v>2530</v>
      </c>
      <c r="Q351" t="s">
        <v>2531</v>
      </c>
      <c r="R351" t="s">
        <v>2532</v>
      </c>
      <c r="S351" t="s">
        <v>2533</v>
      </c>
      <c r="T351">
        <v>1500</v>
      </c>
      <c r="U351">
        <v>200</v>
      </c>
      <c r="V351">
        <v>0</v>
      </c>
      <c r="W351">
        <v>258</v>
      </c>
      <c r="X351" t="s">
        <v>444</v>
      </c>
      <c r="Y351" t="s">
        <v>109</v>
      </c>
      <c r="AA351" t="s">
        <v>327</v>
      </c>
      <c r="AC351" t="s">
        <v>445</v>
      </c>
      <c r="AE351" t="s">
        <v>272</v>
      </c>
      <c r="AF351" t="s">
        <v>115</v>
      </c>
      <c r="AI351" t="s">
        <v>446</v>
      </c>
      <c r="AJ351">
        <v>688</v>
      </c>
      <c r="AK351" t="s">
        <v>2449</v>
      </c>
      <c r="AL351" t="s">
        <v>2450</v>
      </c>
      <c r="AM351" t="s">
        <v>163</v>
      </c>
      <c r="AO351">
        <v>1</v>
      </c>
      <c r="AT351">
        <v>1500</v>
      </c>
      <c r="AU351">
        <v>1500</v>
      </c>
      <c r="AV351">
        <v>1635</v>
      </c>
      <c r="AW351">
        <v>0.09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190</v>
      </c>
      <c r="BD351" t="s">
        <v>1491</v>
      </c>
      <c r="BE351" t="s">
        <v>109</v>
      </c>
      <c r="BG351" t="s">
        <v>1492</v>
      </c>
      <c r="BI351" t="s">
        <v>1493</v>
      </c>
      <c r="BK351" t="s">
        <v>233</v>
      </c>
      <c r="BL351" t="s">
        <v>115</v>
      </c>
      <c r="BM351" t="s">
        <v>1494</v>
      </c>
      <c r="BQ351">
        <v>178</v>
      </c>
      <c r="BR351" t="s">
        <v>2449</v>
      </c>
      <c r="BS351" t="s">
        <v>2450</v>
      </c>
      <c r="BT351">
        <v>6</v>
      </c>
      <c r="BU351" t="s">
        <v>119</v>
      </c>
      <c r="BV351" t="s">
        <v>163</v>
      </c>
      <c r="BW351">
        <v>1750</v>
      </c>
      <c r="BX351">
        <v>1950</v>
      </c>
      <c r="BY351">
        <v>2125.5</v>
      </c>
      <c r="BZ351">
        <v>0.09</v>
      </c>
      <c r="CA351">
        <v>200</v>
      </c>
      <c r="CB351">
        <v>0</v>
      </c>
      <c r="CC351">
        <v>0</v>
      </c>
      <c r="CD351">
        <v>1500</v>
      </c>
      <c r="CE351" t="s">
        <v>121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O351">
        <v>450</v>
      </c>
      <c r="CP351">
        <v>5400</v>
      </c>
      <c r="CQ351">
        <v>30</v>
      </c>
      <c r="CR351" t="s">
        <v>1146</v>
      </c>
      <c r="CS351">
        <v>10</v>
      </c>
    </row>
    <row r="352" spans="1:97" x14ac:dyDescent="0.2">
      <c r="A352" t="s">
        <v>2534</v>
      </c>
      <c r="B352">
        <v>334</v>
      </c>
      <c r="C352" t="s">
        <v>2535</v>
      </c>
      <c r="D352" t="s">
        <v>2536</v>
      </c>
      <c r="E352" t="s">
        <v>403</v>
      </c>
      <c r="F352" t="s">
        <v>126</v>
      </c>
      <c r="H352">
        <v>4</v>
      </c>
      <c r="I352">
        <v>4</v>
      </c>
      <c r="J352">
        <v>1</v>
      </c>
      <c r="K352" t="s">
        <v>127</v>
      </c>
      <c r="L352" t="s">
        <v>2537</v>
      </c>
      <c r="M352" t="s">
        <v>137</v>
      </c>
      <c r="P352" t="s">
        <v>2538</v>
      </c>
      <c r="Q352" t="s">
        <v>2539</v>
      </c>
      <c r="R352" t="s">
        <v>2540</v>
      </c>
      <c r="S352" t="s">
        <v>2541</v>
      </c>
      <c r="T352">
        <v>2450</v>
      </c>
      <c r="U352">
        <v>300</v>
      </c>
      <c r="V352">
        <v>0</v>
      </c>
      <c r="W352">
        <v>805</v>
      </c>
      <c r="X352" t="s">
        <v>2542</v>
      </c>
      <c r="Y352" t="s">
        <v>109</v>
      </c>
      <c r="AJ352">
        <v>588</v>
      </c>
      <c r="AM352" t="s">
        <v>120</v>
      </c>
      <c r="AO352">
        <v>1</v>
      </c>
      <c r="AT352">
        <v>1800</v>
      </c>
      <c r="AU352">
        <v>1800</v>
      </c>
      <c r="AV352">
        <v>1962</v>
      </c>
      <c r="AW352">
        <v>0.09</v>
      </c>
      <c r="AX352">
        <v>0</v>
      </c>
      <c r="AY352">
        <v>0</v>
      </c>
      <c r="AZ352">
        <v>0</v>
      </c>
      <c r="BA352">
        <v>0</v>
      </c>
      <c r="BB352">
        <v>0</v>
      </c>
      <c r="BV352" t="s">
        <v>142</v>
      </c>
      <c r="CD352">
        <v>2450</v>
      </c>
      <c r="CO352">
        <v>-1800</v>
      </c>
      <c r="CP352">
        <v>-21600</v>
      </c>
      <c r="CQ352">
        <v>-100</v>
      </c>
      <c r="CR352" t="s">
        <v>143</v>
      </c>
      <c r="CS352">
        <v>0</v>
      </c>
    </row>
    <row r="353" spans="1:97" x14ac:dyDescent="0.2">
      <c r="A353" t="s">
        <v>2543</v>
      </c>
      <c r="B353">
        <v>19</v>
      </c>
      <c r="C353" t="s">
        <v>2544</v>
      </c>
      <c r="D353" t="s">
        <v>2370</v>
      </c>
      <c r="E353" t="s">
        <v>2371</v>
      </c>
      <c r="F353" t="s">
        <v>101</v>
      </c>
      <c r="H353">
        <v>3</v>
      </c>
      <c r="I353">
        <v>6</v>
      </c>
      <c r="J353">
        <v>1</v>
      </c>
      <c r="K353" t="s">
        <v>102</v>
      </c>
      <c r="P353" t="s">
        <v>2373</v>
      </c>
      <c r="Q353" t="s">
        <v>2374</v>
      </c>
      <c r="R353" t="s">
        <v>2375</v>
      </c>
      <c r="S353" t="s">
        <v>2376</v>
      </c>
      <c r="T353">
        <v>1735.29</v>
      </c>
      <c r="U353">
        <v>350</v>
      </c>
      <c r="V353">
        <v>0</v>
      </c>
      <c r="W353">
        <v>849</v>
      </c>
      <c r="X353" t="s">
        <v>2377</v>
      </c>
      <c r="Y353" t="s">
        <v>109</v>
      </c>
      <c r="AJ353">
        <v>622</v>
      </c>
      <c r="AK353" t="s">
        <v>2545</v>
      </c>
      <c r="AL353" t="s">
        <v>2546</v>
      </c>
      <c r="AM353" t="s">
        <v>163</v>
      </c>
      <c r="AO353">
        <v>1</v>
      </c>
      <c r="AT353">
        <v>2469.81</v>
      </c>
      <c r="AU353">
        <v>2769.81</v>
      </c>
      <c r="AV353">
        <v>3019.09</v>
      </c>
      <c r="AW353">
        <v>0.09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84</v>
      </c>
      <c r="BD353" t="s">
        <v>2547</v>
      </c>
      <c r="BE353" t="s">
        <v>1072</v>
      </c>
      <c r="BQ353">
        <v>106</v>
      </c>
      <c r="BR353" t="s">
        <v>2545</v>
      </c>
      <c r="BS353" t="s">
        <v>2546</v>
      </c>
      <c r="BT353">
        <v>12</v>
      </c>
      <c r="BU353" t="s">
        <v>119</v>
      </c>
      <c r="BV353" t="s">
        <v>163</v>
      </c>
      <c r="BW353">
        <v>3250</v>
      </c>
      <c r="BX353">
        <v>3685</v>
      </c>
      <c r="BY353">
        <v>4016.65</v>
      </c>
      <c r="BZ353">
        <v>0.09</v>
      </c>
      <c r="CA353">
        <v>350</v>
      </c>
      <c r="CB353">
        <v>85</v>
      </c>
      <c r="CC353">
        <v>0</v>
      </c>
      <c r="CD353">
        <v>1735.29</v>
      </c>
      <c r="CE353" t="s">
        <v>121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O353">
        <v>915.19</v>
      </c>
      <c r="CP353">
        <v>10982.28</v>
      </c>
      <c r="CQ353">
        <v>33.04</v>
      </c>
      <c r="CR353" t="s">
        <v>1146</v>
      </c>
      <c r="CS353">
        <v>2</v>
      </c>
    </row>
    <row r="354" spans="1:97" x14ac:dyDescent="0.2">
      <c r="A354" t="s">
        <v>2548</v>
      </c>
      <c r="B354">
        <v>335</v>
      </c>
      <c r="C354" t="s">
        <v>2549</v>
      </c>
      <c r="D354" t="s">
        <v>378</v>
      </c>
      <c r="E354" t="s">
        <v>147</v>
      </c>
      <c r="F354" t="s">
        <v>101</v>
      </c>
      <c r="H354">
        <v>3</v>
      </c>
      <c r="I354">
        <v>5</v>
      </c>
      <c r="J354">
        <v>1</v>
      </c>
      <c r="K354" t="s">
        <v>102</v>
      </c>
      <c r="P354" t="s">
        <v>2550</v>
      </c>
      <c r="Q354" t="s">
        <v>2551</v>
      </c>
      <c r="R354" t="s">
        <v>2552</v>
      </c>
      <c r="S354" t="s">
        <v>2553</v>
      </c>
      <c r="T354">
        <v>1600</v>
      </c>
      <c r="U354">
        <v>0</v>
      </c>
      <c r="V354">
        <v>0</v>
      </c>
      <c r="W354">
        <v>258</v>
      </c>
      <c r="X354" t="s">
        <v>444</v>
      </c>
      <c r="Y354" t="s">
        <v>109</v>
      </c>
      <c r="AA354" t="s">
        <v>327</v>
      </c>
      <c r="AC354" t="s">
        <v>445</v>
      </c>
      <c r="AE354" t="s">
        <v>272</v>
      </c>
      <c r="AF354" t="s">
        <v>115</v>
      </c>
      <c r="AI354" t="s">
        <v>446</v>
      </c>
      <c r="AJ354">
        <v>639</v>
      </c>
      <c r="AK354" t="s">
        <v>2449</v>
      </c>
      <c r="AL354" t="s">
        <v>2450</v>
      </c>
      <c r="AM354" t="s">
        <v>163</v>
      </c>
      <c r="AO354">
        <v>1</v>
      </c>
      <c r="AT354">
        <v>1000</v>
      </c>
      <c r="AU354">
        <v>1000</v>
      </c>
      <c r="AV354">
        <v>1090</v>
      </c>
      <c r="AW354">
        <v>0.09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17</v>
      </c>
      <c r="BD354" t="s">
        <v>108</v>
      </c>
      <c r="BE354" t="s">
        <v>109</v>
      </c>
      <c r="BG354" t="s">
        <v>110</v>
      </c>
      <c r="BH354" t="s">
        <v>111</v>
      </c>
      <c r="BI354" t="s">
        <v>112</v>
      </c>
      <c r="BJ354" t="s">
        <v>113</v>
      </c>
      <c r="BK354" t="s">
        <v>114</v>
      </c>
      <c r="BL354" t="s">
        <v>115</v>
      </c>
      <c r="BM354" t="s">
        <v>116</v>
      </c>
      <c r="BO354" t="s">
        <v>117</v>
      </c>
      <c r="BQ354">
        <v>123</v>
      </c>
      <c r="BR354" t="s">
        <v>2449</v>
      </c>
      <c r="BS354" t="s">
        <v>2450</v>
      </c>
      <c r="BT354">
        <v>12</v>
      </c>
      <c r="BU354" t="s">
        <v>119</v>
      </c>
      <c r="BV354" t="s">
        <v>163</v>
      </c>
      <c r="BW354">
        <v>2491.65</v>
      </c>
      <c r="BX354">
        <v>2491.65</v>
      </c>
      <c r="BY354">
        <v>2715.9</v>
      </c>
      <c r="BZ354">
        <v>0.09</v>
      </c>
      <c r="CA354">
        <v>0</v>
      </c>
      <c r="CB354">
        <v>0</v>
      </c>
      <c r="CC354">
        <v>0</v>
      </c>
      <c r="CD354">
        <v>1600</v>
      </c>
      <c r="CE354" t="s">
        <v>181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O354">
        <v>1491.65</v>
      </c>
      <c r="CP354">
        <v>17899.8</v>
      </c>
      <c r="CQ354">
        <v>149.16999999999999</v>
      </c>
      <c r="CR354" t="s">
        <v>1146</v>
      </c>
      <c r="CS354">
        <v>10</v>
      </c>
    </row>
    <row r="355" spans="1:97" x14ac:dyDescent="0.2">
      <c r="A355" t="s">
        <v>2554</v>
      </c>
      <c r="B355">
        <v>336</v>
      </c>
      <c r="C355" t="s">
        <v>2555</v>
      </c>
      <c r="D355" t="s">
        <v>2556</v>
      </c>
      <c r="E355" t="s">
        <v>2557</v>
      </c>
      <c r="F355" t="s">
        <v>126</v>
      </c>
      <c r="J355">
        <v>1</v>
      </c>
      <c r="K355" t="s">
        <v>102</v>
      </c>
      <c r="T355">
        <v>3350</v>
      </c>
      <c r="U355">
        <v>400</v>
      </c>
      <c r="V355">
        <v>0</v>
      </c>
      <c r="AM355" t="s">
        <v>107</v>
      </c>
      <c r="BV355" t="s">
        <v>142</v>
      </c>
      <c r="CD355">
        <v>3350</v>
      </c>
      <c r="CO355">
        <v>0</v>
      </c>
      <c r="CP355">
        <v>0</v>
      </c>
      <c r="CR355" t="s">
        <v>143</v>
      </c>
      <c r="CS355">
        <v>0</v>
      </c>
    </row>
    <row r="356" spans="1:97" x14ac:dyDescent="0.2">
      <c r="A356" t="s">
        <v>2558</v>
      </c>
      <c r="B356">
        <v>337</v>
      </c>
      <c r="C356" t="s">
        <v>2559</v>
      </c>
      <c r="D356" t="s">
        <v>2252</v>
      </c>
      <c r="E356" t="s">
        <v>2238</v>
      </c>
      <c r="F356" t="s">
        <v>101</v>
      </c>
      <c r="H356">
        <v>3</v>
      </c>
      <c r="I356">
        <v>5</v>
      </c>
      <c r="J356">
        <v>1</v>
      </c>
      <c r="K356" t="s">
        <v>102</v>
      </c>
      <c r="O356" t="s">
        <v>2215</v>
      </c>
      <c r="T356">
        <v>3600</v>
      </c>
      <c r="U356">
        <v>200</v>
      </c>
      <c r="V356">
        <v>0</v>
      </c>
      <c r="W356">
        <v>956</v>
      </c>
      <c r="X356" t="s">
        <v>2253</v>
      </c>
      <c r="Y356" t="s">
        <v>109</v>
      </c>
      <c r="Z356" t="s">
        <v>2254</v>
      </c>
      <c r="AA356" t="s">
        <v>2255</v>
      </c>
      <c r="AB356" t="s">
        <v>2256</v>
      </c>
      <c r="AI356" t="s">
        <v>2257</v>
      </c>
      <c r="AJ356">
        <v>838</v>
      </c>
      <c r="AK356" t="s">
        <v>2560</v>
      </c>
      <c r="AM356" t="s">
        <v>120</v>
      </c>
      <c r="AO356">
        <v>1</v>
      </c>
      <c r="AT356">
        <v>0</v>
      </c>
      <c r="AU356">
        <v>1800</v>
      </c>
      <c r="AV356">
        <v>1962</v>
      </c>
      <c r="AW356">
        <v>0.09</v>
      </c>
      <c r="AX356">
        <v>3600</v>
      </c>
      <c r="AY356">
        <v>200</v>
      </c>
      <c r="AZ356">
        <v>0</v>
      </c>
      <c r="BA356">
        <v>0</v>
      </c>
      <c r="BB356">
        <v>79</v>
      </c>
      <c r="BC356">
        <v>284</v>
      </c>
      <c r="BD356" t="s">
        <v>2176</v>
      </c>
      <c r="BE356" t="s">
        <v>109</v>
      </c>
      <c r="BG356" t="s">
        <v>2177</v>
      </c>
      <c r="BI356" t="s">
        <v>112</v>
      </c>
      <c r="BK356" t="s">
        <v>114</v>
      </c>
      <c r="BL356" t="s">
        <v>115</v>
      </c>
      <c r="BO356" t="s">
        <v>2178</v>
      </c>
      <c r="BQ356">
        <v>288</v>
      </c>
      <c r="BR356" t="s">
        <v>2560</v>
      </c>
      <c r="BU356" t="s">
        <v>119</v>
      </c>
      <c r="BV356" t="s">
        <v>120</v>
      </c>
      <c r="BW356">
        <v>0</v>
      </c>
      <c r="BX356">
        <v>1800</v>
      </c>
      <c r="BY356">
        <v>1962</v>
      </c>
      <c r="BZ356">
        <v>0.09</v>
      </c>
      <c r="CA356">
        <v>200</v>
      </c>
      <c r="CB356">
        <v>79</v>
      </c>
      <c r="CC356">
        <v>0</v>
      </c>
      <c r="CD356">
        <v>3600</v>
      </c>
      <c r="CE356" t="s">
        <v>121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O356">
        <v>0</v>
      </c>
      <c r="CP356">
        <v>0</v>
      </c>
      <c r="CQ356">
        <v>0</v>
      </c>
      <c r="CR356" t="s">
        <v>122</v>
      </c>
      <c r="CS356">
        <v>0</v>
      </c>
    </row>
    <row r="357" spans="1:97" x14ac:dyDescent="0.2">
      <c r="A357" t="s">
        <v>2561</v>
      </c>
      <c r="B357">
        <v>338</v>
      </c>
      <c r="C357" t="s">
        <v>2562</v>
      </c>
      <c r="D357" t="s">
        <v>2563</v>
      </c>
      <c r="E357" t="s">
        <v>2564</v>
      </c>
      <c r="F357" t="s">
        <v>126</v>
      </c>
      <c r="H357">
        <v>3</v>
      </c>
      <c r="I357">
        <v>6</v>
      </c>
      <c r="J357">
        <v>1</v>
      </c>
      <c r="K357" t="s">
        <v>102</v>
      </c>
      <c r="L357" t="s">
        <v>2565</v>
      </c>
      <c r="P357" t="s">
        <v>2566</v>
      </c>
      <c r="Q357" t="s">
        <v>2567</v>
      </c>
      <c r="R357" t="s">
        <v>2568</v>
      </c>
      <c r="S357" t="s">
        <v>2569</v>
      </c>
      <c r="T357">
        <v>2900</v>
      </c>
      <c r="U357">
        <v>350</v>
      </c>
      <c r="V357">
        <v>0</v>
      </c>
      <c r="W357">
        <v>253</v>
      </c>
      <c r="X357" t="s">
        <v>2570</v>
      </c>
      <c r="Y357" t="s">
        <v>109</v>
      </c>
      <c r="AA357" t="s">
        <v>2571</v>
      </c>
      <c r="AB357" t="s">
        <v>2572</v>
      </c>
      <c r="AC357" t="s">
        <v>2573</v>
      </c>
      <c r="AE357" t="s">
        <v>2574</v>
      </c>
      <c r="AF357" t="s">
        <v>115</v>
      </c>
      <c r="AI357" t="s">
        <v>2575</v>
      </c>
      <c r="AJ357">
        <v>690</v>
      </c>
      <c r="AK357" t="s">
        <v>2576</v>
      </c>
      <c r="AL357" t="s">
        <v>2577</v>
      </c>
      <c r="AM357" t="s">
        <v>163</v>
      </c>
      <c r="AO357">
        <v>1</v>
      </c>
      <c r="AT357">
        <v>2400</v>
      </c>
      <c r="AU357">
        <v>2400</v>
      </c>
      <c r="AV357">
        <v>2616</v>
      </c>
      <c r="AW357">
        <v>0.09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17</v>
      </c>
      <c r="BD357" t="s">
        <v>108</v>
      </c>
      <c r="BE357" t="s">
        <v>109</v>
      </c>
      <c r="BG357" t="s">
        <v>110</v>
      </c>
      <c r="BH357" t="s">
        <v>111</v>
      </c>
      <c r="BI357" t="s">
        <v>112</v>
      </c>
      <c r="BJ357" t="s">
        <v>113</v>
      </c>
      <c r="BK357" t="s">
        <v>114</v>
      </c>
      <c r="BL357" t="s">
        <v>115</v>
      </c>
      <c r="BM357" t="s">
        <v>116</v>
      </c>
      <c r="BO357" t="s">
        <v>117</v>
      </c>
      <c r="BQ357">
        <v>363</v>
      </c>
      <c r="BR357" t="s">
        <v>118</v>
      </c>
      <c r="BU357" t="s">
        <v>119</v>
      </c>
      <c r="BV357" t="s">
        <v>120</v>
      </c>
      <c r="BW357">
        <v>2900</v>
      </c>
      <c r="BX357">
        <v>3250</v>
      </c>
      <c r="BY357">
        <v>3542.5</v>
      </c>
      <c r="BZ357">
        <v>0.09</v>
      </c>
      <c r="CA357">
        <v>350</v>
      </c>
      <c r="CB357">
        <v>0</v>
      </c>
      <c r="CC357">
        <v>375</v>
      </c>
      <c r="CD357">
        <v>2900</v>
      </c>
      <c r="CE357" t="s">
        <v>121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 t="s">
        <v>182</v>
      </c>
      <c r="CO357">
        <v>850</v>
      </c>
      <c r="CP357">
        <v>10200</v>
      </c>
      <c r="CQ357">
        <v>35.42</v>
      </c>
      <c r="CR357" t="s">
        <v>122</v>
      </c>
      <c r="CS357">
        <v>0</v>
      </c>
    </row>
    <row r="358" spans="1:97" x14ac:dyDescent="0.2">
      <c r="A358" t="s">
        <v>2578</v>
      </c>
      <c r="B358">
        <v>339</v>
      </c>
      <c r="C358" t="s">
        <v>2579</v>
      </c>
      <c r="D358" t="s">
        <v>2580</v>
      </c>
      <c r="E358" t="s">
        <v>2564</v>
      </c>
      <c r="F358" t="s">
        <v>126</v>
      </c>
      <c r="H358">
        <v>6</v>
      </c>
      <c r="I358">
        <v>10</v>
      </c>
      <c r="J358">
        <v>1</v>
      </c>
      <c r="K358" t="s">
        <v>102</v>
      </c>
      <c r="L358" t="s">
        <v>2581</v>
      </c>
      <c r="P358" t="s">
        <v>2582</v>
      </c>
      <c r="Q358" t="s">
        <v>2583</v>
      </c>
      <c r="R358" t="s">
        <v>2584</v>
      </c>
      <c r="S358" t="s">
        <v>2585</v>
      </c>
      <c r="T358">
        <v>4750</v>
      </c>
      <c r="U358">
        <v>600</v>
      </c>
      <c r="V358">
        <v>0</v>
      </c>
      <c r="W358">
        <v>253</v>
      </c>
      <c r="X358" t="s">
        <v>2570</v>
      </c>
      <c r="Y358" t="s">
        <v>109</v>
      </c>
      <c r="AA358" t="s">
        <v>2571</v>
      </c>
      <c r="AB358" t="s">
        <v>2572</v>
      </c>
      <c r="AC358" t="s">
        <v>2573</v>
      </c>
      <c r="AE358" t="s">
        <v>2574</v>
      </c>
      <c r="AF358" t="s">
        <v>115</v>
      </c>
      <c r="AI358" t="s">
        <v>2575</v>
      </c>
      <c r="AJ358">
        <v>649</v>
      </c>
      <c r="AK358" t="s">
        <v>2586</v>
      </c>
      <c r="AL358" t="s">
        <v>2587</v>
      </c>
      <c r="AM358" t="s">
        <v>163</v>
      </c>
      <c r="AO358">
        <v>1</v>
      </c>
      <c r="AT358">
        <v>4330</v>
      </c>
      <c r="AU358">
        <v>4330</v>
      </c>
      <c r="AV358">
        <v>4719.7</v>
      </c>
      <c r="AW358">
        <v>0.09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17</v>
      </c>
      <c r="BD358" t="s">
        <v>108</v>
      </c>
      <c r="BE358" t="s">
        <v>109</v>
      </c>
      <c r="BG358" t="s">
        <v>110</v>
      </c>
      <c r="BH358" t="s">
        <v>111</v>
      </c>
      <c r="BI358" t="s">
        <v>112</v>
      </c>
      <c r="BJ358" t="s">
        <v>113</v>
      </c>
      <c r="BK358" t="s">
        <v>114</v>
      </c>
      <c r="BL358" t="s">
        <v>115</v>
      </c>
      <c r="BM358" t="s">
        <v>116</v>
      </c>
      <c r="BO358" t="s">
        <v>117</v>
      </c>
      <c r="BQ358">
        <v>135</v>
      </c>
      <c r="BR358" t="s">
        <v>2586</v>
      </c>
      <c r="BS358" t="s">
        <v>2587</v>
      </c>
      <c r="BU358" t="s">
        <v>216</v>
      </c>
      <c r="BV358" t="s">
        <v>163</v>
      </c>
      <c r="BW358">
        <v>4750</v>
      </c>
      <c r="BX358">
        <v>5350</v>
      </c>
      <c r="BY358">
        <v>5831.5</v>
      </c>
      <c r="BZ358">
        <v>0.09</v>
      </c>
      <c r="CA358">
        <v>600</v>
      </c>
      <c r="CB358">
        <v>0</v>
      </c>
      <c r="CC358">
        <v>0</v>
      </c>
      <c r="CD358">
        <v>4750</v>
      </c>
      <c r="CE358" t="s">
        <v>121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O358">
        <v>1020</v>
      </c>
      <c r="CP358">
        <v>12240</v>
      </c>
      <c r="CQ358">
        <v>23.56</v>
      </c>
      <c r="CR358" t="s">
        <v>1146</v>
      </c>
      <c r="CS358">
        <v>34</v>
      </c>
    </row>
    <row r="359" spans="1:97" x14ac:dyDescent="0.2">
      <c r="A359" t="s">
        <v>2588</v>
      </c>
      <c r="B359">
        <v>20</v>
      </c>
      <c r="C359" t="s">
        <v>2589</v>
      </c>
      <c r="D359" t="s">
        <v>2370</v>
      </c>
      <c r="E359" t="s">
        <v>2371</v>
      </c>
      <c r="F359" t="s">
        <v>101</v>
      </c>
      <c r="H359">
        <v>3</v>
      </c>
      <c r="I359">
        <v>6</v>
      </c>
      <c r="J359">
        <v>1</v>
      </c>
      <c r="K359" t="s">
        <v>102</v>
      </c>
      <c r="P359" t="s">
        <v>2373</v>
      </c>
      <c r="Q359" t="s">
        <v>2374</v>
      </c>
      <c r="R359" t="s">
        <v>2375</v>
      </c>
      <c r="S359" t="s">
        <v>2376</v>
      </c>
      <c r="T359">
        <v>2283.5300000000002</v>
      </c>
      <c r="U359">
        <v>400</v>
      </c>
      <c r="V359">
        <v>0</v>
      </c>
      <c r="AM359" t="s">
        <v>107</v>
      </c>
      <c r="BV359" t="s">
        <v>142</v>
      </c>
      <c r="CD359">
        <v>2283.5300000000002</v>
      </c>
      <c r="CO359">
        <v>0</v>
      </c>
      <c r="CP359">
        <v>0</v>
      </c>
      <c r="CR359" t="s">
        <v>143</v>
      </c>
      <c r="CS359">
        <v>0</v>
      </c>
    </row>
    <row r="360" spans="1:97" x14ac:dyDescent="0.2">
      <c r="A360" t="s">
        <v>2590</v>
      </c>
      <c r="B360">
        <v>21</v>
      </c>
      <c r="C360" t="s">
        <v>2591</v>
      </c>
      <c r="D360" t="s">
        <v>2370</v>
      </c>
      <c r="E360" t="s">
        <v>2371</v>
      </c>
      <c r="F360" t="s">
        <v>101</v>
      </c>
      <c r="H360">
        <v>3</v>
      </c>
      <c r="I360">
        <v>3</v>
      </c>
      <c r="J360">
        <v>1</v>
      </c>
      <c r="K360" t="s">
        <v>102</v>
      </c>
      <c r="P360" t="s">
        <v>2373</v>
      </c>
      <c r="Q360" t="s">
        <v>2374</v>
      </c>
      <c r="R360" t="s">
        <v>2375</v>
      </c>
      <c r="S360" t="s">
        <v>2376</v>
      </c>
      <c r="T360">
        <v>1818.82</v>
      </c>
      <c r="U360">
        <v>200</v>
      </c>
      <c r="V360">
        <v>0</v>
      </c>
      <c r="W360">
        <v>849</v>
      </c>
      <c r="X360" t="s">
        <v>2377</v>
      </c>
      <c r="Y360" t="s">
        <v>109</v>
      </c>
      <c r="AJ360">
        <v>629</v>
      </c>
      <c r="AK360" t="s">
        <v>2592</v>
      </c>
      <c r="AL360" t="s">
        <v>2593</v>
      </c>
      <c r="AM360" t="s">
        <v>163</v>
      </c>
      <c r="AO360">
        <v>1</v>
      </c>
      <c r="AT360">
        <v>2469.81</v>
      </c>
      <c r="AU360">
        <v>2854.81</v>
      </c>
      <c r="AV360">
        <v>3111.74</v>
      </c>
      <c r="AW360">
        <v>0.09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86</v>
      </c>
      <c r="BD360" t="s">
        <v>2594</v>
      </c>
      <c r="BE360" t="s">
        <v>1072</v>
      </c>
      <c r="BQ360">
        <v>113</v>
      </c>
      <c r="BR360" t="s">
        <v>2592</v>
      </c>
      <c r="BS360" t="s">
        <v>2593</v>
      </c>
      <c r="BT360">
        <v>6</v>
      </c>
      <c r="BU360" t="s">
        <v>119</v>
      </c>
      <c r="BV360" t="s">
        <v>163</v>
      </c>
      <c r="BW360">
        <v>3000</v>
      </c>
      <c r="BX360">
        <v>3200</v>
      </c>
      <c r="BY360">
        <v>3488</v>
      </c>
      <c r="BZ360">
        <v>0.09</v>
      </c>
      <c r="CA360">
        <v>200</v>
      </c>
      <c r="CB360">
        <v>0</v>
      </c>
      <c r="CC360">
        <v>0</v>
      </c>
      <c r="CD360">
        <v>1818.82</v>
      </c>
      <c r="CE360" t="s">
        <v>121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O360">
        <v>345.19000000000011</v>
      </c>
      <c r="CP360">
        <v>4142.2800000000007</v>
      </c>
      <c r="CQ360">
        <v>12.09</v>
      </c>
      <c r="CR360" t="s">
        <v>168</v>
      </c>
      <c r="CS360">
        <v>409</v>
      </c>
    </row>
    <row r="361" spans="1:97" x14ac:dyDescent="0.2">
      <c r="A361" t="s">
        <v>2595</v>
      </c>
      <c r="B361">
        <v>340</v>
      </c>
      <c r="C361" t="s">
        <v>2596</v>
      </c>
      <c r="D361" t="s">
        <v>2597</v>
      </c>
      <c r="E361" t="s">
        <v>272</v>
      </c>
      <c r="F361" t="s">
        <v>126</v>
      </c>
      <c r="H361">
        <v>3</v>
      </c>
      <c r="I361">
        <v>4</v>
      </c>
      <c r="J361">
        <v>1</v>
      </c>
      <c r="K361" t="s">
        <v>102</v>
      </c>
      <c r="L361" t="s">
        <v>2598</v>
      </c>
      <c r="M361" t="s">
        <v>137</v>
      </c>
      <c r="P361" t="s">
        <v>2599</v>
      </c>
      <c r="Q361" t="s">
        <v>2600</v>
      </c>
      <c r="R361" t="s">
        <v>2601</v>
      </c>
      <c r="S361" t="s">
        <v>2602</v>
      </c>
      <c r="T361">
        <v>2750</v>
      </c>
      <c r="U361">
        <v>224.26</v>
      </c>
      <c r="V361">
        <v>0</v>
      </c>
      <c r="W361">
        <v>854</v>
      </c>
      <c r="X361" t="s">
        <v>2603</v>
      </c>
      <c r="Y361" t="s">
        <v>109</v>
      </c>
      <c r="AJ361">
        <v>720</v>
      </c>
      <c r="AK361" t="s">
        <v>2604</v>
      </c>
      <c r="AL361" t="s">
        <v>2605</v>
      </c>
      <c r="AM361" t="s">
        <v>163</v>
      </c>
      <c r="AO361">
        <v>1</v>
      </c>
      <c r="AT361">
        <v>1950</v>
      </c>
      <c r="AU361">
        <v>1950</v>
      </c>
      <c r="AV361">
        <v>2125.5</v>
      </c>
      <c r="AW361">
        <v>0.09</v>
      </c>
      <c r="AX361">
        <v>1200</v>
      </c>
      <c r="AY361">
        <v>200</v>
      </c>
      <c r="AZ361">
        <v>0</v>
      </c>
      <c r="BA361">
        <v>0</v>
      </c>
      <c r="BB361">
        <v>0</v>
      </c>
      <c r="BC361">
        <v>17</v>
      </c>
      <c r="BD361" t="s">
        <v>108</v>
      </c>
      <c r="BE361" t="s">
        <v>109</v>
      </c>
      <c r="BG361" t="s">
        <v>110</v>
      </c>
      <c r="BH361" t="s">
        <v>111</v>
      </c>
      <c r="BI361" t="s">
        <v>112</v>
      </c>
      <c r="BJ361" t="s">
        <v>113</v>
      </c>
      <c r="BK361" t="s">
        <v>114</v>
      </c>
      <c r="BL361" t="s">
        <v>115</v>
      </c>
      <c r="BM361" t="s">
        <v>116</v>
      </c>
      <c r="BO361" t="s">
        <v>117</v>
      </c>
      <c r="BQ361">
        <v>212</v>
      </c>
      <c r="BR361" t="s">
        <v>2604</v>
      </c>
      <c r="BS361" t="s">
        <v>2605</v>
      </c>
      <c r="BT361">
        <v>12</v>
      </c>
      <c r="BU361" t="s">
        <v>119</v>
      </c>
      <c r="BV361" t="s">
        <v>163</v>
      </c>
      <c r="BW361">
        <v>2750</v>
      </c>
      <c r="BX361">
        <v>2750</v>
      </c>
      <c r="BY361">
        <v>2997.5</v>
      </c>
      <c r="BZ361">
        <v>0.09</v>
      </c>
      <c r="CA361">
        <v>0</v>
      </c>
      <c r="CB361">
        <v>0</v>
      </c>
      <c r="CC361">
        <v>375</v>
      </c>
      <c r="CD361">
        <v>2750</v>
      </c>
      <c r="CE361" t="s">
        <v>181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 t="s">
        <v>182</v>
      </c>
      <c r="CO361">
        <v>800</v>
      </c>
      <c r="CP361">
        <v>9600</v>
      </c>
      <c r="CQ361">
        <v>41.03</v>
      </c>
      <c r="CR361" t="s">
        <v>1146</v>
      </c>
      <c r="CS361">
        <v>24</v>
      </c>
    </row>
    <row r="362" spans="1:97" x14ac:dyDescent="0.2">
      <c r="A362" t="s">
        <v>2595</v>
      </c>
      <c r="B362">
        <v>340</v>
      </c>
      <c r="C362" t="s">
        <v>2596</v>
      </c>
      <c r="D362" t="s">
        <v>2597</v>
      </c>
      <c r="E362" t="s">
        <v>272</v>
      </c>
      <c r="F362" t="s">
        <v>126</v>
      </c>
      <c r="H362">
        <v>3</v>
      </c>
      <c r="I362">
        <v>4</v>
      </c>
      <c r="J362">
        <v>1</v>
      </c>
      <c r="K362" t="s">
        <v>102</v>
      </c>
      <c r="L362" t="s">
        <v>2598</v>
      </c>
      <c r="M362" t="s">
        <v>137</v>
      </c>
      <c r="P362" t="s">
        <v>2599</v>
      </c>
      <c r="Q362" t="s">
        <v>2600</v>
      </c>
      <c r="R362" t="s">
        <v>2601</v>
      </c>
      <c r="S362" t="s">
        <v>2602</v>
      </c>
      <c r="T362">
        <v>2750</v>
      </c>
      <c r="U362">
        <v>224.26</v>
      </c>
      <c r="V362">
        <v>0</v>
      </c>
      <c r="W362">
        <v>990</v>
      </c>
      <c r="X362" t="s">
        <v>2606</v>
      </c>
      <c r="Y362" t="s">
        <v>109</v>
      </c>
      <c r="AI362" t="s">
        <v>2607</v>
      </c>
      <c r="AJ362">
        <v>824</v>
      </c>
      <c r="AK362" t="s">
        <v>2608</v>
      </c>
      <c r="AM362" t="s">
        <v>120</v>
      </c>
      <c r="AN362">
        <v>12</v>
      </c>
      <c r="AO362">
        <v>1</v>
      </c>
      <c r="AT362">
        <v>0</v>
      </c>
      <c r="AU362">
        <v>3600</v>
      </c>
      <c r="AV362">
        <v>3924</v>
      </c>
      <c r="AW362">
        <v>0.09</v>
      </c>
      <c r="AX362">
        <v>1200</v>
      </c>
      <c r="AY362">
        <v>0</v>
      </c>
      <c r="AZ362">
        <v>0</v>
      </c>
      <c r="BA362">
        <v>0</v>
      </c>
      <c r="BB362">
        <v>0</v>
      </c>
      <c r="BC362">
        <v>17</v>
      </c>
      <c r="BD362" t="s">
        <v>108</v>
      </c>
      <c r="BE362" t="s">
        <v>109</v>
      </c>
      <c r="BG362" t="s">
        <v>110</v>
      </c>
      <c r="BH362" t="s">
        <v>111</v>
      </c>
      <c r="BI362" t="s">
        <v>112</v>
      </c>
      <c r="BJ362" t="s">
        <v>113</v>
      </c>
      <c r="BK362" t="s">
        <v>114</v>
      </c>
      <c r="BL362" t="s">
        <v>115</v>
      </c>
      <c r="BM362" t="s">
        <v>116</v>
      </c>
      <c r="BO362" t="s">
        <v>117</v>
      </c>
      <c r="BQ362">
        <v>212</v>
      </c>
      <c r="BR362" t="s">
        <v>2604</v>
      </c>
      <c r="BS362" t="s">
        <v>2605</v>
      </c>
      <c r="BT362">
        <v>12</v>
      </c>
      <c r="BU362" t="s">
        <v>119</v>
      </c>
      <c r="BV362" t="s">
        <v>163</v>
      </c>
      <c r="BW362">
        <v>2750</v>
      </c>
      <c r="BX362">
        <v>2750</v>
      </c>
      <c r="BY362">
        <v>2997.5</v>
      </c>
      <c r="BZ362">
        <v>0.09</v>
      </c>
      <c r="CA362">
        <v>0</v>
      </c>
      <c r="CB362">
        <v>0</v>
      </c>
      <c r="CC362">
        <v>375</v>
      </c>
      <c r="CD362">
        <v>2750</v>
      </c>
      <c r="CE362" t="s">
        <v>181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 t="s">
        <v>182</v>
      </c>
      <c r="CO362">
        <v>-850</v>
      </c>
      <c r="CP362">
        <v>-10200</v>
      </c>
      <c r="CQ362">
        <v>-23.61</v>
      </c>
      <c r="CR362" t="s">
        <v>1146</v>
      </c>
      <c r="CS362">
        <v>24</v>
      </c>
    </row>
    <row r="363" spans="1:97" x14ac:dyDescent="0.2">
      <c r="A363" t="s">
        <v>2609</v>
      </c>
      <c r="B363">
        <v>341</v>
      </c>
      <c r="C363" t="s">
        <v>2610</v>
      </c>
      <c r="D363" t="s">
        <v>2289</v>
      </c>
      <c r="E363" t="s">
        <v>2290</v>
      </c>
      <c r="F363" t="s">
        <v>101</v>
      </c>
      <c r="H363">
        <v>3</v>
      </c>
      <c r="I363">
        <v>6</v>
      </c>
      <c r="J363">
        <v>1</v>
      </c>
      <c r="K363" t="s">
        <v>102</v>
      </c>
      <c r="L363" t="s">
        <v>2611</v>
      </c>
      <c r="P363" t="s">
        <v>2292</v>
      </c>
      <c r="Q363" t="s">
        <v>2293</v>
      </c>
      <c r="R363" t="s">
        <v>2294</v>
      </c>
      <c r="S363" t="s">
        <v>2295</v>
      </c>
      <c r="T363">
        <v>0</v>
      </c>
      <c r="U363">
        <v>0</v>
      </c>
      <c r="V363">
        <v>0</v>
      </c>
      <c r="AM363" t="s">
        <v>107</v>
      </c>
      <c r="BV363" t="s">
        <v>142</v>
      </c>
      <c r="CD363">
        <v>0</v>
      </c>
      <c r="CO363">
        <v>0</v>
      </c>
      <c r="CP363">
        <v>0</v>
      </c>
      <c r="CR363" t="s">
        <v>143</v>
      </c>
      <c r="CS363">
        <v>0</v>
      </c>
    </row>
    <row r="364" spans="1:97" x14ac:dyDescent="0.2">
      <c r="A364" t="s">
        <v>2612</v>
      </c>
      <c r="B364">
        <v>342</v>
      </c>
      <c r="C364" t="s">
        <v>2613</v>
      </c>
      <c r="D364" t="s">
        <v>2289</v>
      </c>
      <c r="E364" t="s">
        <v>2306</v>
      </c>
      <c r="F364" t="s">
        <v>101</v>
      </c>
      <c r="J364">
        <v>1</v>
      </c>
      <c r="K364" t="s">
        <v>102</v>
      </c>
      <c r="L364" t="s">
        <v>2614</v>
      </c>
      <c r="P364" t="s">
        <v>2292</v>
      </c>
      <c r="Q364" t="s">
        <v>2293</v>
      </c>
      <c r="R364" t="s">
        <v>2294</v>
      </c>
      <c r="S364" t="s">
        <v>2295</v>
      </c>
      <c r="T364">
        <v>0</v>
      </c>
      <c r="U364">
        <v>0</v>
      </c>
      <c r="V364">
        <v>0</v>
      </c>
      <c r="AM364" t="s">
        <v>107</v>
      </c>
      <c r="BV364" t="s">
        <v>142</v>
      </c>
      <c r="CD364">
        <v>0</v>
      </c>
      <c r="CO364">
        <v>0</v>
      </c>
      <c r="CP364">
        <v>0</v>
      </c>
      <c r="CR364" t="s">
        <v>143</v>
      </c>
      <c r="CS364">
        <v>0</v>
      </c>
    </row>
    <row r="365" spans="1:97" x14ac:dyDescent="0.2">
      <c r="A365" t="s">
        <v>2615</v>
      </c>
      <c r="B365">
        <v>343</v>
      </c>
      <c r="C365" t="s">
        <v>2616</v>
      </c>
      <c r="D365" t="s">
        <v>2289</v>
      </c>
      <c r="E365" t="s">
        <v>2306</v>
      </c>
      <c r="F365" t="s">
        <v>101</v>
      </c>
      <c r="J365">
        <v>1</v>
      </c>
      <c r="K365" t="s">
        <v>102</v>
      </c>
      <c r="L365" t="s">
        <v>2617</v>
      </c>
      <c r="P365" t="s">
        <v>2292</v>
      </c>
      <c r="Q365" t="s">
        <v>2293</v>
      </c>
      <c r="R365" t="s">
        <v>2294</v>
      </c>
      <c r="S365" t="s">
        <v>2295</v>
      </c>
      <c r="T365">
        <v>0</v>
      </c>
      <c r="U365">
        <v>0</v>
      </c>
      <c r="V365">
        <v>0</v>
      </c>
      <c r="AM365" t="s">
        <v>107</v>
      </c>
      <c r="BV365" t="s">
        <v>142</v>
      </c>
      <c r="CD365">
        <v>0</v>
      </c>
      <c r="CO365">
        <v>0</v>
      </c>
      <c r="CP365">
        <v>0</v>
      </c>
      <c r="CR365" t="s">
        <v>143</v>
      </c>
      <c r="CS365">
        <v>0</v>
      </c>
    </row>
    <row r="366" spans="1:97" x14ac:dyDescent="0.2">
      <c r="A366" t="s">
        <v>2618</v>
      </c>
      <c r="B366">
        <v>344</v>
      </c>
      <c r="C366" t="s">
        <v>2619</v>
      </c>
      <c r="D366" t="s">
        <v>2620</v>
      </c>
      <c r="E366" t="s">
        <v>2621</v>
      </c>
      <c r="F366" t="s">
        <v>126</v>
      </c>
      <c r="H366">
        <v>6</v>
      </c>
      <c r="I366">
        <v>6</v>
      </c>
      <c r="J366">
        <v>1</v>
      </c>
      <c r="K366" t="s">
        <v>127</v>
      </c>
      <c r="L366" t="s">
        <v>2622</v>
      </c>
      <c r="M366" t="s">
        <v>137</v>
      </c>
      <c r="T366">
        <v>3600</v>
      </c>
      <c r="U366">
        <v>400</v>
      </c>
      <c r="V366">
        <v>0</v>
      </c>
      <c r="W366">
        <v>681</v>
      </c>
      <c r="X366" t="s">
        <v>2623</v>
      </c>
      <c r="Y366" t="s">
        <v>109</v>
      </c>
      <c r="AF366" t="s">
        <v>115</v>
      </c>
      <c r="AI366" t="s">
        <v>2624</v>
      </c>
      <c r="AJ366">
        <v>696</v>
      </c>
      <c r="AK366" t="s">
        <v>2474</v>
      </c>
      <c r="AL366" t="s">
        <v>2625</v>
      </c>
      <c r="AM366" t="s">
        <v>163</v>
      </c>
      <c r="AO366">
        <v>1</v>
      </c>
      <c r="AT366">
        <v>3000</v>
      </c>
      <c r="AU366">
        <v>3000</v>
      </c>
      <c r="AV366">
        <v>3270</v>
      </c>
      <c r="AW366">
        <v>0.09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88</v>
      </c>
      <c r="BD366" t="s">
        <v>2161</v>
      </c>
      <c r="BE366" t="s">
        <v>1072</v>
      </c>
      <c r="BG366" t="s">
        <v>1996</v>
      </c>
      <c r="BH366" t="s">
        <v>2162</v>
      </c>
      <c r="BM366" t="s">
        <v>2163</v>
      </c>
      <c r="BQ366">
        <v>188</v>
      </c>
      <c r="BR366" t="s">
        <v>2474</v>
      </c>
      <c r="BS366" t="s">
        <v>2625</v>
      </c>
      <c r="BT366">
        <v>12</v>
      </c>
      <c r="BU366" t="s">
        <v>119</v>
      </c>
      <c r="BV366" t="s">
        <v>163</v>
      </c>
      <c r="BW366">
        <v>3600</v>
      </c>
      <c r="BX366">
        <v>4000</v>
      </c>
      <c r="BY366">
        <v>4360</v>
      </c>
      <c r="BZ366">
        <v>0.09</v>
      </c>
      <c r="CA366">
        <v>400</v>
      </c>
      <c r="CB366">
        <v>0</v>
      </c>
      <c r="CC366">
        <v>375</v>
      </c>
      <c r="CD366">
        <v>3600</v>
      </c>
      <c r="CE366" t="s">
        <v>121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0</v>
      </c>
      <c r="CN366" t="s">
        <v>182</v>
      </c>
      <c r="CO366">
        <v>1000</v>
      </c>
      <c r="CP366">
        <v>12000</v>
      </c>
      <c r="CQ366">
        <v>33.33</v>
      </c>
      <c r="CR366" t="s">
        <v>1146</v>
      </c>
      <c r="CS366">
        <v>38</v>
      </c>
    </row>
    <row r="367" spans="1:97" x14ac:dyDescent="0.2">
      <c r="A367" t="s">
        <v>2626</v>
      </c>
      <c r="B367">
        <v>345</v>
      </c>
      <c r="C367" t="s">
        <v>2627</v>
      </c>
      <c r="D367" t="s">
        <v>2628</v>
      </c>
      <c r="E367" t="s">
        <v>2629</v>
      </c>
      <c r="F367" t="s">
        <v>126</v>
      </c>
      <c r="J367">
        <v>1</v>
      </c>
      <c r="K367" t="s">
        <v>102</v>
      </c>
      <c r="L367" t="s">
        <v>2630</v>
      </c>
      <c r="M367" t="s">
        <v>137</v>
      </c>
      <c r="T367">
        <v>6500</v>
      </c>
      <c r="U367">
        <v>650</v>
      </c>
      <c r="V367">
        <v>0</v>
      </c>
      <c r="AM367" t="s">
        <v>107</v>
      </c>
      <c r="BC367">
        <v>17</v>
      </c>
      <c r="BD367" t="s">
        <v>108</v>
      </c>
      <c r="BE367" t="s">
        <v>109</v>
      </c>
      <c r="BG367" t="s">
        <v>110</v>
      </c>
      <c r="BH367" t="s">
        <v>111</v>
      </c>
      <c r="BI367" t="s">
        <v>112</v>
      </c>
      <c r="BJ367" t="s">
        <v>113</v>
      </c>
      <c r="BK367" t="s">
        <v>114</v>
      </c>
      <c r="BL367" t="s">
        <v>115</v>
      </c>
      <c r="BM367" t="s">
        <v>116</v>
      </c>
      <c r="BO367" t="s">
        <v>117</v>
      </c>
      <c r="BQ367">
        <v>364</v>
      </c>
      <c r="BR367" t="s">
        <v>118</v>
      </c>
      <c r="BU367" t="s">
        <v>119</v>
      </c>
      <c r="BV367" t="s">
        <v>120</v>
      </c>
      <c r="BW367">
        <v>0</v>
      </c>
      <c r="BX367">
        <v>0</v>
      </c>
      <c r="BY367">
        <v>0</v>
      </c>
      <c r="BZ367">
        <v>0.09</v>
      </c>
      <c r="CA367">
        <v>650</v>
      </c>
      <c r="CB367">
        <v>0</v>
      </c>
      <c r="CC367">
        <v>375</v>
      </c>
      <c r="CD367">
        <v>6500</v>
      </c>
      <c r="CE367" t="s">
        <v>121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0</v>
      </c>
      <c r="CN367" t="s">
        <v>182</v>
      </c>
      <c r="CO367">
        <v>0</v>
      </c>
      <c r="CP367">
        <v>0</v>
      </c>
      <c r="CR367" t="s">
        <v>122</v>
      </c>
      <c r="CS367">
        <v>0</v>
      </c>
    </row>
    <row r="368" spans="1:97" x14ac:dyDescent="0.2">
      <c r="A368" t="s">
        <v>2631</v>
      </c>
      <c r="B368">
        <v>346</v>
      </c>
      <c r="C368" t="s">
        <v>2632</v>
      </c>
      <c r="D368" t="s">
        <v>2633</v>
      </c>
      <c r="E368" t="s">
        <v>243</v>
      </c>
      <c r="F368" t="s">
        <v>126</v>
      </c>
      <c r="H368">
        <v>3</v>
      </c>
      <c r="I368">
        <v>6</v>
      </c>
      <c r="J368">
        <v>0</v>
      </c>
      <c r="K368" t="s">
        <v>102</v>
      </c>
      <c r="L368" t="s">
        <v>2634</v>
      </c>
      <c r="M368" t="s">
        <v>137</v>
      </c>
      <c r="P368" t="s">
        <v>2635</v>
      </c>
      <c r="Q368" t="s">
        <v>2636</v>
      </c>
      <c r="R368" t="s">
        <v>2637</v>
      </c>
      <c r="S368" t="s">
        <v>2638</v>
      </c>
      <c r="T368">
        <v>3860</v>
      </c>
      <c r="U368">
        <v>300</v>
      </c>
      <c r="V368">
        <v>0</v>
      </c>
      <c r="AJ368">
        <v>553</v>
      </c>
      <c r="AM368" t="s">
        <v>120</v>
      </c>
      <c r="AO368">
        <v>1</v>
      </c>
      <c r="AT368">
        <v>0</v>
      </c>
      <c r="AW368">
        <v>0.09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277</v>
      </c>
      <c r="BD368" t="s">
        <v>2639</v>
      </c>
      <c r="BE368" t="s">
        <v>109</v>
      </c>
      <c r="BG368" t="s">
        <v>2640</v>
      </c>
      <c r="BI368" t="s">
        <v>2641</v>
      </c>
      <c r="BK368" t="s">
        <v>2642</v>
      </c>
      <c r="BL368" t="s">
        <v>2643</v>
      </c>
      <c r="BQ368">
        <v>38</v>
      </c>
      <c r="BR368" t="s">
        <v>2474</v>
      </c>
      <c r="BS368" t="s">
        <v>1078</v>
      </c>
      <c r="BU368" t="s">
        <v>216</v>
      </c>
      <c r="BV368" t="s">
        <v>483</v>
      </c>
      <c r="BW368">
        <v>0</v>
      </c>
      <c r="BX368">
        <v>0</v>
      </c>
      <c r="BY368">
        <v>0</v>
      </c>
      <c r="BZ368">
        <v>0.09</v>
      </c>
      <c r="CA368">
        <v>0</v>
      </c>
      <c r="CB368">
        <v>0</v>
      </c>
      <c r="CC368">
        <v>0</v>
      </c>
      <c r="CD368">
        <v>3860</v>
      </c>
      <c r="CE368" t="s">
        <v>181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O368">
        <v>0</v>
      </c>
      <c r="CP368">
        <v>0</v>
      </c>
      <c r="CR368" t="s">
        <v>1648</v>
      </c>
      <c r="CS368">
        <v>0</v>
      </c>
    </row>
    <row r="369" spans="1:97" x14ac:dyDescent="0.2">
      <c r="A369" t="s">
        <v>2644</v>
      </c>
      <c r="B369">
        <v>347</v>
      </c>
      <c r="C369" t="s">
        <v>2645</v>
      </c>
      <c r="D369" t="s">
        <v>2646</v>
      </c>
      <c r="E369" t="s">
        <v>312</v>
      </c>
      <c r="F369" t="s">
        <v>101</v>
      </c>
      <c r="H369">
        <v>2</v>
      </c>
      <c r="I369">
        <v>3</v>
      </c>
      <c r="J369">
        <v>1</v>
      </c>
      <c r="K369" t="s">
        <v>102</v>
      </c>
      <c r="P369" t="s">
        <v>2647</v>
      </c>
      <c r="Q369" t="s">
        <v>2648</v>
      </c>
      <c r="R369" t="s">
        <v>2649</v>
      </c>
      <c r="S369" t="s">
        <v>907</v>
      </c>
      <c r="T369">
        <v>1560</v>
      </c>
      <c r="U369">
        <v>95.67</v>
      </c>
      <c r="V369">
        <v>0</v>
      </c>
      <c r="W369">
        <v>271</v>
      </c>
      <c r="X369" t="s">
        <v>806</v>
      </c>
      <c r="Y369" t="s">
        <v>109</v>
      </c>
      <c r="AA369" t="s">
        <v>807</v>
      </c>
      <c r="AB369" t="s">
        <v>808</v>
      </c>
      <c r="AC369" t="s">
        <v>809</v>
      </c>
      <c r="AE369" t="s">
        <v>252</v>
      </c>
      <c r="AF369" t="s">
        <v>115</v>
      </c>
      <c r="AI369" t="s">
        <v>810</v>
      </c>
      <c r="AJ369">
        <v>745</v>
      </c>
      <c r="AK369" t="s">
        <v>2474</v>
      </c>
      <c r="AM369" t="s">
        <v>120</v>
      </c>
      <c r="AO369">
        <v>1</v>
      </c>
      <c r="AT369">
        <v>1250</v>
      </c>
      <c r="AU369">
        <v>1250</v>
      </c>
      <c r="AV369">
        <v>1362.5</v>
      </c>
      <c r="AW369">
        <v>0.09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17</v>
      </c>
      <c r="BD369" t="s">
        <v>108</v>
      </c>
      <c r="BE369" t="s">
        <v>109</v>
      </c>
      <c r="BG369" t="s">
        <v>110</v>
      </c>
      <c r="BH369" t="s">
        <v>111</v>
      </c>
      <c r="BI369" t="s">
        <v>112</v>
      </c>
      <c r="BJ369" t="s">
        <v>113</v>
      </c>
      <c r="BK369" t="s">
        <v>114</v>
      </c>
      <c r="BL369" t="s">
        <v>115</v>
      </c>
      <c r="BM369" t="s">
        <v>116</v>
      </c>
      <c r="BO369" t="s">
        <v>117</v>
      </c>
      <c r="BQ369">
        <v>241</v>
      </c>
      <c r="BR369" t="s">
        <v>2474</v>
      </c>
      <c r="BU369" t="s">
        <v>216</v>
      </c>
      <c r="BV369" t="s">
        <v>120</v>
      </c>
      <c r="BW369">
        <v>1560</v>
      </c>
      <c r="BX369">
        <v>1560</v>
      </c>
      <c r="BY369">
        <v>1700.4</v>
      </c>
      <c r="BZ369">
        <v>0.09</v>
      </c>
      <c r="CA369">
        <v>0</v>
      </c>
      <c r="CB369">
        <v>0</v>
      </c>
      <c r="CC369">
        <v>375</v>
      </c>
      <c r="CD369">
        <v>1560</v>
      </c>
      <c r="CE369" t="s">
        <v>181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 t="s">
        <v>182</v>
      </c>
      <c r="CO369">
        <v>310</v>
      </c>
      <c r="CP369">
        <v>3720</v>
      </c>
      <c r="CQ369">
        <v>24.8</v>
      </c>
      <c r="CR369" t="s">
        <v>122</v>
      </c>
      <c r="CS369">
        <v>0</v>
      </c>
    </row>
    <row r="370" spans="1:97" x14ac:dyDescent="0.2">
      <c r="A370" t="s">
        <v>2650</v>
      </c>
      <c r="B370">
        <v>348</v>
      </c>
      <c r="C370" t="s">
        <v>2651</v>
      </c>
      <c r="D370" t="s">
        <v>2652</v>
      </c>
      <c r="E370" t="s">
        <v>2653</v>
      </c>
      <c r="F370" t="s">
        <v>126</v>
      </c>
      <c r="J370">
        <v>1</v>
      </c>
      <c r="K370" t="s">
        <v>102</v>
      </c>
      <c r="L370" t="s">
        <v>2654</v>
      </c>
      <c r="M370" t="s">
        <v>313</v>
      </c>
      <c r="P370" t="s">
        <v>2655</v>
      </c>
      <c r="Q370" t="s">
        <v>2656</v>
      </c>
      <c r="R370" t="s">
        <v>2657</v>
      </c>
      <c r="S370" t="s">
        <v>2658</v>
      </c>
      <c r="T370">
        <v>7570</v>
      </c>
      <c r="U370">
        <v>750</v>
      </c>
      <c r="V370">
        <v>0</v>
      </c>
      <c r="AM370" t="s">
        <v>107</v>
      </c>
      <c r="BC370">
        <v>17</v>
      </c>
      <c r="BD370" t="s">
        <v>108</v>
      </c>
      <c r="BE370" t="s">
        <v>109</v>
      </c>
      <c r="BG370" t="s">
        <v>110</v>
      </c>
      <c r="BH370" t="s">
        <v>111</v>
      </c>
      <c r="BI370" t="s">
        <v>112</v>
      </c>
      <c r="BJ370" t="s">
        <v>113</v>
      </c>
      <c r="BK370" t="s">
        <v>114</v>
      </c>
      <c r="BL370" t="s">
        <v>115</v>
      </c>
      <c r="BM370" t="s">
        <v>116</v>
      </c>
      <c r="BO370" t="s">
        <v>117</v>
      </c>
      <c r="BQ370">
        <v>365</v>
      </c>
      <c r="BR370" t="s">
        <v>118</v>
      </c>
      <c r="BU370" t="s">
        <v>119</v>
      </c>
      <c r="BV370" t="s">
        <v>120</v>
      </c>
      <c r="BW370">
        <v>0</v>
      </c>
      <c r="BX370">
        <v>0</v>
      </c>
      <c r="BY370">
        <v>0</v>
      </c>
      <c r="BZ370">
        <v>0.09</v>
      </c>
      <c r="CA370">
        <v>750</v>
      </c>
      <c r="CB370">
        <v>0</v>
      </c>
      <c r="CC370">
        <v>500</v>
      </c>
      <c r="CD370">
        <v>7570</v>
      </c>
      <c r="CE370" t="s">
        <v>121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 t="s">
        <v>1785</v>
      </c>
      <c r="CO370">
        <v>0</v>
      </c>
      <c r="CP370">
        <v>0</v>
      </c>
      <c r="CR370" t="s">
        <v>122</v>
      </c>
      <c r="CS370">
        <v>0</v>
      </c>
    </row>
    <row r="371" spans="1:97" x14ac:dyDescent="0.2">
      <c r="A371" t="s">
        <v>2659</v>
      </c>
      <c r="B371">
        <v>349</v>
      </c>
      <c r="C371" t="s">
        <v>2660</v>
      </c>
      <c r="D371" t="s">
        <v>2087</v>
      </c>
      <c r="E371" t="s">
        <v>272</v>
      </c>
      <c r="F371" t="s">
        <v>101</v>
      </c>
      <c r="H371">
        <v>3</v>
      </c>
      <c r="I371">
        <v>3</v>
      </c>
      <c r="J371">
        <v>1</v>
      </c>
      <c r="K371" t="s">
        <v>102</v>
      </c>
      <c r="P371" t="s">
        <v>2661</v>
      </c>
      <c r="Q371" t="s">
        <v>2662</v>
      </c>
      <c r="R371" t="s">
        <v>2663</v>
      </c>
      <c r="S371" t="s">
        <v>2664</v>
      </c>
      <c r="T371">
        <v>2300</v>
      </c>
      <c r="U371">
        <v>150</v>
      </c>
      <c r="V371">
        <v>0</v>
      </c>
      <c r="AJ371">
        <v>706</v>
      </c>
      <c r="AK371" t="s">
        <v>2665</v>
      </c>
      <c r="AL371" t="s">
        <v>2666</v>
      </c>
      <c r="AM371" t="s">
        <v>163</v>
      </c>
      <c r="AO371">
        <v>1</v>
      </c>
      <c r="AT371">
        <v>1793.34</v>
      </c>
      <c r="AU371">
        <v>1917.31</v>
      </c>
      <c r="AV371">
        <v>2089.87</v>
      </c>
      <c r="AW371">
        <v>0.09</v>
      </c>
      <c r="AX371">
        <v>0</v>
      </c>
      <c r="AY371">
        <v>0</v>
      </c>
      <c r="AZ371">
        <v>0</v>
      </c>
      <c r="BA371">
        <v>0</v>
      </c>
      <c r="BB371">
        <v>0</v>
      </c>
      <c r="BV371" t="s">
        <v>142</v>
      </c>
      <c r="CD371">
        <v>2300</v>
      </c>
      <c r="CO371">
        <v>-1917.31</v>
      </c>
      <c r="CP371">
        <v>-23007.72</v>
      </c>
      <c r="CQ371">
        <v>-100</v>
      </c>
      <c r="CR371" t="s">
        <v>143</v>
      </c>
      <c r="CS371">
        <v>0</v>
      </c>
    </row>
    <row r="372" spans="1:97" x14ac:dyDescent="0.2">
      <c r="A372" t="s">
        <v>2667</v>
      </c>
      <c r="B372">
        <v>350</v>
      </c>
      <c r="C372" t="s">
        <v>2668</v>
      </c>
      <c r="D372" t="s">
        <v>2289</v>
      </c>
      <c r="E372" t="s">
        <v>2290</v>
      </c>
      <c r="F372" t="s">
        <v>101</v>
      </c>
      <c r="H372">
        <v>3</v>
      </c>
      <c r="I372">
        <v>4</v>
      </c>
      <c r="J372">
        <v>1</v>
      </c>
      <c r="K372" t="s">
        <v>102</v>
      </c>
      <c r="P372" t="s">
        <v>2292</v>
      </c>
      <c r="Q372" t="s">
        <v>2293</v>
      </c>
      <c r="R372" t="s">
        <v>2294</v>
      </c>
      <c r="S372" t="s">
        <v>2295</v>
      </c>
      <c r="T372">
        <v>0</v>
      </c>
      <c r="U372">
        <v>250</v>
      </c>
      <c r="V372">
        <v>0</v>
      </c>
      <c r="W372">
        <v>726</v>
      </c>
      <c r="X372" t="s">
        <v>2314</v>
      </c>
      <c r="Y372" t="s">
        <v>109</v>
      </c>
      <c r="AJ372">
        <v>532</v>
      </c>
      <c r="AK372" t="s">
        <v>199</v>
      </c>
      <c r="AL372" t="s">
        <v>2669</v>
      </c>
      <c r="AM372" t="s">
        <v>163</v>
      </c>
      <c r="AO372">
        <v>1</v>
      </c>
      <c r="AT372">
        <v>1362.66</v>
      </c>
      <c r="AU372">
        <v>1976.88</v>
      </c>
      <c r="AV372">
        <v>2154.8000000000002</v>
      </c>
      <c r="AW372">
        <v>0.09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348</v>
      </c>
      <c r="BD372" t="s">
        <v>2350</v>
      </c>
      <c r="BE372" t="s">
        <v>109</v>
      </c>
      <c r="BG372" t="s">
        <v>2351</v>
      </c>
      <c r="BH372" t="s">
        <v>2352</v>
      </c>
      <c r="BI372" t="s">
        <v>2353</v>
      </c>
      <c r="BK372" t="s">
        <v>427</v>
      </c>
      <c r="BL372" t="s">
        <v>115</v>
      </c>
      <c r="BM372" t="s">
        <v>2354</v>
      </c>
      <c r="BO372" t="s">
        <v>2355</v>
      </c>
      <c r="BQ372">
        <v>16</v>
      </c>
      <c r="BR372" t="s">
        <v>199</v>
      </c>
      <c r="BS372" t="s">
        <v>2669</v>
      </c>
      <c r="BT372">
        <v>5</v>
      </c>
      <c r="BU372" t="s">
        <v>119</v>
      </c>
      <c r="BV372" t="s">
        <v>163</v>
      </c>
      <c r="BW372">
        <v>2150</v>
      </c>
      <c r="BX372">
        <v>2400</v>
      </c>
      <c r="BY372">
        <v>2616</v>
      </c>
      <c r="BZ372">
        <v>0.09</v>
      </c>
      <c r="CA372">
        <v>250</v>
      </c>
      <c r="CB372">
        <v>0</v>
      </c>
      <c r="CC372">
        <v>0</v>
      </c>
      <c r="CD372">
        <v>0</v>
      </c>
      <c r="CE372" t="s">
        <v>121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O372">
        <v>423.11999999999989</v>
      </c>
      <c r="CP372">
        <v>5077.4399999999987</v>
      </c>
      <c r="CQ372">
        <v>21.4</v>
      </c>
      <c r="CR372" t="s">
        <v>168</v>
      </c>
      <c r="CS372">
        <v>450</v>
      </c>
    </row>
    <row r="373" spans="1:97" x14ac:dyDescent="0.2">
      <c r="A373" t="s">
        <v>2670</v>
      </c>
      <c r="B373">
        <v>351</v>
      </c>
      <c r="C373" t="s">
        <v>2671</v>
      </c>
      <c r="D373" t="s">
        <v>2646</v>
      </c>
      <c r="E373" t="s">
        <v>312</v>
      </c>
      <c r="F373" t="s">
        <v>101</v>
      </c>
      <c r="H373">
        <v>2</v>
      </c>
      <c r="I373">
        <v>3</v>
      </c>
      <c r="J373">
        <v>1</v>
      </c>
      <c r="K373" t="s">
        <v>102</v>
      </c>
      <c r="P373" t="s">
        <v>2647</v>
      </c>
      <c r="Q373" t="s">
        <v>2648</v>
      </c>
      <c r="R373" t="s">
        <v>2649</v>
      </c>
      <c r="S373" t="s">
        <v>907</v>
      </c>
      <c r="T373">
        <v>1100</v>
      </c>
      <c r="U373">
        <v>134.4</v>
      </c>
      <c r="V373">
        <v>0</v>
      </c>
      <c r="W373">
        <v>271</v>
      </c>
      <c r="X373" t="s">
        <v>806</v>
      </c>
      <c r="Y373" t="s">
        <v>109</v>
      </c>
      <c r="AA373" t="s">
        <v>807</v>
      </c>
      <c r="AB373" t="s">
        <v>808</v>
      </c>
      <c r="AC373" t="s">
        <v>809</v>
      </c>
      <c r="AE373" t="s">
        <v>252</v>
      </c>
      <c r="AF373" t="s">
        <v>115</v>
      </c>
      <c r="AI373" t="s">
        <v>810</v>
      </c>
      <c r="AJ373">
        <v>746</v>
      </c>
      <c r="AK373" t="s">
        <v>2099</v>
      </c>
      <c r="AM373" t="s">
        <v>120</v>
      </c>
      <c r="AO373">
        <v>1</v>
      </c>
      <c r="AT373">
        <v>1250</v>
      </c>
      <c r="AU373">
        <v>1250</v>
      </c>
      <c r="AV373">
        <v>1362.5</v>
      </c>
      <c r="AW373">
        <v>0.09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17</v>
      </c>
      <c r="BD373" t="s">
        <v>108</v>
      </c>
      <c r="BE373" t="s">
        <v>109</v>
      </c>
      <c r="BG373" t="s">
        <v>110</v>
      </c>
      <c r="BH373" t="s">
        <v>111</v>
      </c>
      <c r="BI373" t="s">
        <v>112</v>
      </c>
      <c r="BJ373" t="s">
        <v>113</v>
      </c>
      <c r="BK373" t="s">
        <v>114</v>
      </c>
      <c r="BL373" t="s">
        <v>115</v>
      </c>
      <c r="BM373" t="s">
        <v>116</v>
      </c>
      <c r="BO373" t="s">
        <v>117</v>
      </c>
      <c r="BQ373">
        <v>242</v>
      </c>
      <c r="BR373" t="s">
        <v>2099</v>
      </c>
      <c r="BU373" t="s">
        <v>216</v>
      </c>
      <c r="BV373" t="s">
        <v>120</v>
      </c>
      <c r="BW373">
        <v>1560</v>
      </c>
      <c r="BX373">
        <v>1560</v>
      </c>
      <c r="BY373">
        <v>1700.4</v>
      </c>
      <c r="BZ373">
        <v>0.09</v>
      </c>
      <c r="CA373">
        <v>0</v>
      </c>
      <c r="CB373">
        <v>0</v>
      </c>
      <c r="CC373">
        <v>0</v>
      </c>
      <c r="CD373">
        <v>1100</v>
      </c>
      <c r="CE373" t="s">
        <v>181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O373">
        <v>310</v>
      </c>
      <c r="CP373">
        <v>3720</v>
      </c>
      <c r="CQ373">
        <v>24.8</v>
      </c>
      <c r="CR373" t="s">
        <v>122</v>
      </c>
      <c r="CS373">
        <v>0</v>
      </c>
    </row>
    <row r="374" spans="1:97" x14ac:dyDescent="0.2">
      <c r="A374" t="s">
        <v>2672</v>
      </c>
      <c r="B374">
        <v>352</v>
      </c>
      <c r="C374" t="s">
        <v>2673</v>
      </c>
      <c r="D374" t="s">
        <v>2646</v>
      </c>
      <c r="E374" t="s">
        <v>312</v>
      </c>
      <c r="F374" t="s">
        <v>101</v>
      </c>
      <c r="H374">
        <v>2</v>
      </c>
      <c r="I374">
        <v>3</v>
      </c>
      <c r="J374">
        <v>1</v>
      </c>
      <c r="K374" t="s">
        <v>102</v>
      </c>
      <c r="P374" t="s">
        <v>2647</v>
      </c>
      <c r="Q374" t="s">
        <v>2648</v>
      </c>
      <c r="R374" t="s">
        <v>2649</v>
      </c>
      <c r="S374" t="s">
        <v>907</v>
      </c>
      <c r="T374">
        <v>1100</v>
      </c>
      <c r="U374">
        <v>153.15</v>
      </c>
      <c r="V374">
        <v>0</v>
      </c>
      <c r="W374">
        <v>271</v>
      </c>
      <c r="X374" t="s">
        <v>806</v>
      </c>
      <c r="Y374" t="s">
        <v>109</v>
      </c>
      <c r="AA374" t="s">
        <v>807</v>
      </c>
      <c r="AB374" t="s">
        <v>808</v>
      </c>
      <c r="AC374" t="s">
        <v>809</v>
      </c>
      <c r="AE374" t="s">
        <v>252</v>
      </c>
      <c r="AF374" t="s">
        <v>115</v>
      </c>
      <c r="AI374" t="s">
        <v>810</v>
      </c>
      <c r="AJ374">
        <v>747</v>
      </c>
      <c r="AK374" t="s">
        <v>2665</v>
      </c>
      <c r="AM374" t="s">
        <v>120</v>
      </c>
      <c r="AO374">
        <v>1</v>
      </c>
      <c r="AT374">
        <v>1250</v>
      </c>
      <c r="AU374">
        <v>1250</v>
      </c>
      <c r="AV374">
        <v>1362.5</v>
      </c>
      <c r="AW374">
        <v>0.09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17</v>
      </c>
      <c r="BD374" t="s">
        <v>108</v>
      </c>
      <c r="BE374" t="s">
        <v>109</v>
      </c>
      <c r="BG374" t="s">
        <v>110</v>
      </c>
      <c r="BH374" t="s">
        <v>111</v>
      </c>
      <c r="BI374" t="s">
        <v>112</v>
      </c>
      <c r="BJ374" t="s">
        <v>113</v>
      </c>
      <c r="BK374" t="s">
        <v>114</v>
      </c>
      <c r="BL374" t="s">
        <v>115</v>
      </c>
      <c r="BM374" t="s">
        <v>116</v>
      </c>
      <c r="BO374" t="s">
        <v>117</v>
      </c>
      <c r="BQ374">
        <v>243</v>
      </c>
      <c r="BR374" t="s">
        <v>2665</v>
      </c>
      <c r="BU374" t="s">
        <v>216</v>
      </c>
      <c r="BV374" t="s">
        <v>120</v>
      </c>
      <c r="BW374">
        <v>1560</v>
      </c>
      <c r="BX374">
        <v>1560</v>
      </c>
      <c r="BY374">
        <v>1700.4</v>
      </c>
      <c r="BZ374">
        <v>0.09</v>
      </c>
      <c r="CA374">
        <v>0</v>
      </c>
      <c r="CB374">
        <v>0</v>
      </c>
      <c r="CC374">
        <v>0</v>
      </c>
      <c r="CD374">
        <v>1100</v>
      </c>
      <c r="CE374" t="s">
        <v>181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O374">
        <v>310</v>
      </c>
      <c r="CP374">
        <v>3720</v>
      </c>
      <c r="CQ374">
        <v>24.8</v>
      </c>
      <c r="CR374" t="s">
        <v>122</v>
      </c>
      <c r="CS374">
        <v>0</v>
      </c>
    </row>
    <row r="375" spans="1:97" x14ac:dyDescent="0.2">
      <c r="A375" t="s">
        <v>2674</v>
      </c>
      <c r="B375">
        <v>353</v>
      </c>
      <c r="C375" t="s">
        <v>2675</v>
      </c>
      <c r="D375" t="s">
        <v>2676</v>
      </c>
      <c r="E375" t="s">
        <v>312</v>
      </c>
      <c r="F375" t="s">
        <v>126</v>
      </c>
      <c r="H375">
        <v>2</v>
      </c>
      <c r="I375">
        <v>4</v>
      </c>
      <c r="J375">
        <v>1</v>
      </c>
      <c r="K375" t="s">
        <v>102</v>
      </c>
      <c r="T375">
        <v>1623.96</v>
      </c>
      <c r="U375">
        <v>174.24</v>
      </c>
      <c r="V375">
        <v>0</v>
      </c>
      <c r="W375">
        <v>271</v>
      </c>
      <c r="X375" t="s">
        <v>806</v>
      </c>
      <c r="Y375" t="s">
        <v>109</v>
      </c>
      <c r="AA375" t="s">
        <v>807</v>
      </c>
      <c r="AB375" t="s">
        <v>808</v>
      </c>
      <c r="AC375" t="s">
        <v>809</v>
      </c>
      <c r="AE375" t="s">
        <v>252</v>
      </c>
      <c r="AF375" t="s">
        <v>115</v>
      </c>
      <c r="AI375" t="s">
        <v>810</v>
      </c>
      <c r="AJ375">
        <v>546</v>
      </c>
      <c r="AK375" t="s">
        <v>2099</v>
      </c>
      <c r="AM375" t="s">
        <v>120</v>
      </c>
      <c r="AO375">
        <v>1</v>
      </c>
      <c r="AT375">
        <v>1250</v>
      </c>
      <c r="AU375">
        <v>1250</v>
      </c>
      <c r="AV375">
        <v>1362.5</v>
      </c>
      <c r="AW375">
        <v>0.09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17</v>
      </c>
      <c r="BD375" t="s">
        <v>108</v>
      </c>
      <c r="BE375" t="s">
        <v>109</v>
      </c>
      <c r="BG375" t="s">
        <v>110</v>
      </c>
      <c r="BH375" t="s">
        <v>111</v>
      </c>
      <c r="BI375" t="s">
        <v>112</v>
      </c>
      <c r="BJ375" t="s">
        <v>113</v>
      </c>
      <c r="BK375" t="s">
        <v>114</v>
      </c>
      <c r="BL375" t="s">
        <v>115</v>
      </c>
      <c r="BM375" t="s">
        <v>116</v>
      </c>
      <c r="BO375" t="s">
        <v>117</v>
      </c>
      <c r="BQ375">
        <v>31</v>
      </c>
      <c r="BR375" t="s">
        <v>2099</v>
      </c>
      <c r="BU375" t="s">
        <v>216</v>
      </c>
      <c r="BV375" t="s">
        <v>120</v>
      </c>
      <c r="BW375">
        <v>1623.96</v>
      </c>
      <c r="BX375">
        <v>1623.96</v>
      </c>
      <c r="BY375">
        <v>1770.12</v>
      </c>
      <c r="BZ375">
        <v>0.09</v>
      </c>
      <c r="CA375">
        <v>0</v>
      </c>
      <c r="CB375">
        <v>0</v>
      </c>
      <c r="CC375">
        <v>375</v>
      </c>
      <c r="CD375">
        <v>1623.96</v>
      </c>
      <c r="CE375" t="s">
        <v>181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 t="s">
        <v>182</v>
      </c>
      <c r="CO375">
        <v>373.96</v>
      </c>
      <c r="CP375">
        <v>4487.5200000000004</v>
      </c>
      <c r="CQ375">
        <v>29.92</v>
      </c>
      <c r="CR375" t="s">
        <v>122</v>
      </c>
      <c r="CS375">
        <v>0</v>
      </c>
    </row>
    <row r="376" spans="1:97" x14ac:dyDescent="0.2">
      <c r="A376" t="s">
        <v>2677</v>
      </c>
      <c r="B376">
        <v>354</v>
      </c>
      <c r="C376" t="s">
        <v>2678</v>
      </c>
      <c r="D376" t="s">
        <v>2679</v>
      </c>
      <c r="E376" t="s">
        <v>2680</v>
      </c>
      <c r="F376" t="s">
        <v>101</v>
      </c>
      <c r="H376">
        <v>8</v>
      </c>
      <c r="I376">
        <v>15</v>
      </c>
      <c r="J376">
        <v>0</v>
      </c>
      <c r="K376" t="s">
        <v>102</v>
      </c>
      <c r="L376" t="s">
        <v>2681</v>
      </c>
      <c r="T376">
        <v>8300</v>
      </c>
      <c r="U376">
        <v>118.94</v>
      </c>
      <c r="V376">
        <v>0</v>
      </c>
      <c r="AM376" t="s">
        <v>107</v>
      </c>
      <c r="BV376" t="s">
        <v>142</v>
      </c>
      <c r="CD376">
        <v>8300</v>
      </c>
      <c r="CO376">
        <v>0</v>
      </c>
      <c r="CP376">
        <v>0</v>
      </c>
      <c r="CR376" t="s">
        <v>1648</v>
      </c>
      <c r="CS376">
        <v>0</v>
      </c>
    </row>
    <row r="377" spans="1:97" x14ac:dyDescent="0.2">
      <c r="A377" t="s">
        <v>2682</v>
      </c>
      <c r="B377">
        <v>355</v>
      </c>
      <c r="C377" t="s">
        <v>2683</v>
      </c>
      <c r="D377" t="s">
        <v>2684</v>
      </c>
      <c r="E377" t="s">
        <v>2685</v>
      </c>
      <c r="F377" t="s">
        <v>126</v>
      </c>
      <c r="J377">
        <v>1</v>
      </c>
      <c r="K377" t="s">
        <v>102</v>
      </c>
      <c r="T377">
        <v>3575</v>
      </c>
      <c r="U377">
        <v>0</v>
      </c>
      <c r="V377">
        <v>0</v>
      </c>
      <c r="AM377" t="s">
        <v>107</v>
      </c>
      <c r="BV377" t="s">
        <v>142</v>
      </c>
      <c r="CD377">
        <v>3575</v>
      </c>
      <c r="CO377">
        <v>0</v>
      </c>
      <c r="CP377">
        <v>0</v>
      </c>
      <c r="CR377" t="s">
        <v>143</v>
      </c>
      <c r="CS377">
        <v>0</v>
      </c>
    </row>
    <row r="378" spans="1:97" x14ac:dyDescent="0.2">
      <c r="A378" t="s">
        <v>2686</v>
      </c>
      <c r="B378">
        <v>356</v>
      </c>
      <c r="C378" t="s">
        <v>2687</v>
      </c>
      <c r="D378" t="s">
        <v>2289</v>
      </c>
      <c r="E378" t="s">
        <v>2290</v>
      </c>
      <c r="F378" t="s">
        <v>101</v>
      </c>
      <c r="H378">
        <v>3</v>
      </c>
      <c r="I378">
        <v>3</v>
      </c>
      <c r="J378">
        <v>1</v>
      </c>
      <c r="K378" t="s">
        <v>102</v>
      </c>
      <c r="P378" t="s">
        <v>2292</v>
      </c>
      <c r="Q378" t="s">
        <v>2293</v>
      </c>
      <c r="R378" t="s">
        <v>2294</v>
      </c>
      <c r="S378" t="s">
        <v>2295</v>
      </c>
      <c r="T378">
        <v>1900</v>
      </c>
      <c r="U378">
        <v>250</v>
      </c>
      <c r="V378">
        <v>0</v>
      </c>
      <c r="W378">
        <v>726</v>
      </c>
      <c r="X378" t="s">
        <v>2314</v>
      </c>
      <c r="Y378" t="s">
        <v>109</v>
      </c>
      <c r="AJ378">
        <v>533</v>
      </c>
      <c r="AK378" t="s">
        <v>2688</v>
      </c>
      <c r="AL378" t="s">
        <v>2689</v>
      </c>
      <c r="AM378" t="s">
        <v>163</v>
      </c>
      <c r="AO378">
        <v>1</v>
      </c>
      <c r="AT378">
        <v>1251.74</v>
      </c>
      <c r="AU378">
        <v>1817.91</v>
      </c>
      <c r="AV378">
        <v>1981.52</v>
      </c>
      <c r="AW378">
        <v>0.09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348</v>
      </c>
      <c r="BD378" t="s">
        <v>2350</v>
      </c>
      <c r="BE378" t="s">
        <v>109</v>
      </c>
      <c r="BG378" t="s">
        <v>2351</v>
      </c>
      <c r="BH378" t="s">
        <v>2352</v>
      </c>
      <c r="BI378" t="s">
        <v>2353</v>
      </c>
      <c r="BK378" t="s">
        <v>427</v>
      </c>
      <c r="BL378" t="s">
        <v>115</v>
      </c>
      <c r="BM378" t="s">
        <v>2354</v>
      </c>
      <c r="BO378" t="s">
        <v>2355</v>
      </c>
      <c r="BQ378">
        <v>17</v>
      </c>
      <c r="BR378" t="s">
        <v>2688</v>
      </c>
      <c r="BS378" t="s">
        <v>2689</v>
      </c>
      <c r="BT378">
        <v>24</v>
      </c>
      <c r="BU378" t="s">
        <v>119</v>
      </c>
      <c r="BV378" t="s">
        <v>163</v>
      </c>
      <c r="BW378">
        <v>2150</v>
      </c>
      <c r="BX378">
        <v>2400</v>
      </c>
      <c r="BY378">
        <v>2616</v>
      </c>
      <c r="BZ378">
        <v>0.09</v>
      </c>
      <c r="CA378">
        <v>250</v>
      </c>
      <c r="CB378">
        <v>0</v>
      </c>
      <c r="CC378">
        <v>0</v>
      </c>
      <c r="CD378">
        <v>1900</v>
      </c>
      <c r="CE378" t="s">
        <v>121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O378">
        <v>582.08999999999992</v>
      </c>
      <c r="CP378">
        <v>6985.079999999999</v>
      </c>
      <c r="CQ378">
        <v>32.020000000000003</v>
      </c>
      <c r="CR378" t="s">
        <v>168</v>
      </c>
      <c r="CS378">
        <v>447</v>
      </c>
    </row>
    <row r="379" spans="1:97" x14ac:dyDescent="0.2">
      <c r="A379" t="s">
        <v>2690</v>
      </c>
      <c r="B379">
        <v>357</v>
      </c>
      <c r="C379" t="s">
        <v>2691</v>
      </c>
      <c r="D379" t="s">
        <v>2289</v>
      </c>
      <c r="E379" t="s">
        <v>2306</v>
      </c>
      <c r="F379" t="s">
        <v>101</v>
      </c>
      <c r="J379">
        <v>1</v>
      </c>
      <c r="K379" t="s">
        <v>102</v>
      </c>
      <c r="P379" t="s">
        <v>2292</v>
      </c>
      <c r="Q379" t="s">
        <v>2293</v>
      </c>
      <c r="R379" t="s">
        <v>2294</v>
      </c>
      <c r="S379" t="s">
        <v>2295</v>
      </c>
      <c r="T379">
        <v>2600</v>
      </c>
      <c r="U379">
        <v>0</v>
      </c>
      <c r="V379">
        <v>0</v>
      </c>
      <c r="AM379" t="s">
        <v>107</v>
      </c>
      <c r="BV379" t="s">
        <v>142</v>
      </c>
      <c r="CD379">
        <v>2600</v>
      </c>
      <c r="CO379">
        <v>0</v>
      </c>
      <c r="CP379">
        <v>0</v>
      </c>
      <c r="CR379" t="s">
        <v>143</v>
      </c>
      <c r="CS379">
        <v>0</v>
      </c>
    </row>
    <row r="380" spans="1:97" x14ac:dyDescent="0.2">
      <c r="A380" t="s">
        <v>2692</v>
      </c>
      <c r="B380">
        <v>358</v>
      </c>
      <c r="C380" t="s">
        <v>2693</v>
      </c>
      <c r="D380" t="s">
        <v>2694</v>
      </c>
      <c r="E380" t="s">
        <v>1602</v>
      </c>
      <c r="F380" t="s">
        <v>126</v>
      </c>
      <c r="J380">
        <v>1</v>
      </c>
      <c r="K380" t="s">
        <v>102</v>
      </c>
      <c r="T380">
        <v>0</v>
      </c>
      <c r="U380">
        <v>0</v>
      </c>
      <c r="V380">
        <v>0</v>
      </c>
      <c r="AM380" t="s">
        <v>107</v>
      </c>
      <c r="BC380">
        <v>17</v>
      </c>
      <c r="BD380" t="s">
        <v>108</v>
      </c>
      <c r="BE380" t="s">
        <v>109</v>
      </c>
      <c r="BG380" t="s">
        <v>110</v>
      </c>
      <c r="BH380" t="s">
        <v>111</v>
      </c>
      <c r="BI380" t="s">
        <v>112</v>
      </c>
      <c r="BJ380" t="s">
        <v>113</v>
      </c>
      <c r="BK380" t="s">
        <v>114</v>
      </c>
      <c r="BL380" t="s">
        <v>115</v>
      </c>
      <c r="BM380" t="s">
        <v>116</v>
      </c>
      <c r="BO380" t="s">
        <v>117</v>
      </c>
      <c r="BQ380">
        <v>366</v>
      </c>
      <c r="BR380" t="s">
        <v>118</v>
      </c>
      <c r="BU380" t="s">
        <v>119</v>
      </c>
      <c r="BV380" t="s">
        <v>120</v>
      </c>
      <c r="BW380">
        <v>0</v>
      </c>
      <c r="BX380">
        <v>0</v>
      </c>
      <c r="BY380">
        <v>0</v>
      </c>
      <c r="BZ380">
        <v>0.09</v>
      </c>
      <c r="CA380">
        <v>0</v>
      </c>
      <c r="CB380">
        <v>0</v>
      </c>
      <c r="CC380">
        <v>0</v>
      </c>
      <c r="CD380">
        <v>0</v>
      </c>
      <c r="CE380" t="s">
        <v>121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O380">
        <v>0</v>
      </c>
      <c r="CP380">
        <v>0</v>
      </c>
      <c r="CR380" t="s">
        <v>122</v>
      </c>
      <c r="CS380">
        <v>0</v>
      </c>
    </row>
    <row r="381" spans="1:97" x14ac:dyDescent="0.2">
      <c r="A381" t="s">
        <v>2695</v>
      </c>
      <c r="B381">
        <v>359</v>
      </c>
      <c r="C381" t="s">
        <v>2696</v>
      </c>
      <c r="D381" t="s">
        <v>1773</v>
      </c>
      <c r="E381" t="s">
        <v>272</v>
      </c>
      <c r="F381" t="s">
        <v>101</v>
      </c>
      <c r="H381">
        <v>2</v>
      </c>
      <c r="I381">
        <v>4</v>
      </c>
      <c r="J381">
        <v>1</v>
      </c>
      <c r="K381" t="s">
        <v>102</v>
      </c>
      <c r="P381" t="s">
        <v>2697</v>
      </c>
      <c r="Q381" t="s">
        <v>2698</v>
      </c>
      <c r="R381" t="s">
        <v>2699</v>
      </c>
      <c r="S381" t="s">
        <v>2700</v>
      </c>
      <c r="T381">
        <v>2250</v>
      </c>
      <c r="U381">
        <v>27.03</v>
      </c>
      <c r="V381">
        <v>0</v>
      </c>
      <c r="W381">
        <v>816</v>
      </c>
      <c r="X381" t="s">
        <v>2701</v>
      </c>
      <c r="Y381" t="s">
        <v>109</v>
      </c>
      <c r="AJ381">
        <v>642</v>
      </c>
      <c r="AK381" t="s">
        <v>2348</v>
      </c>
      <c r="AL381" t="s">
        <v>2702</v>
      </c>
      <c r="AM381" t="s">
        <v>163</v>
      </c>
      <c r="AO381">
        <v>1</v>
      </c>
      <c r="AT381">
        <v>1906.66</v>
      </c>
      <c r="AU381">
        <v>1906.66</v>
      </c>
      <c r="AV381">
        <v>2078.2600000000002</v>
      </c>
      <c r="AW381">
        <v>0.09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17</v>
      </c>
      <c r="BD381" t="s">
        <v>108</v>
      </c>
      <c r="BE381" t="s">
        <v>109</v>
      </c>
      <c r="BG381" t="s">
        <v>110</v>
      </c>
      <c r="BH381" t="s">
        <v>111</v>
      </c>
      <c r="BI381" t="s">
        <v>112</v>
      </c>
      <c r="BJ381" t="s">
        <v>113</v>
      </c>
      <c r="BK381" t="s">
        <v>114</v>
      </c>
      <c r="BL381" t="s">
        <v>115</v>
      </c>
      <c r="BM381" t="s">
        <v>116</v>
      </c>
      <c r="BO381" t="s">
        <v>117</v>
      </c>
      <c r="BQ381">
        <v>367</v>
      </c>
      <c r="BR381" t="s">
        <v>118</v>
      </c>
      <c r="BU381" t="s">
        <v>119</v>
      </c>
      <c r="BV381" t="s">
        <v>120</v>
      </c>
      <c r="BW381">
        <v>2250</v>
      </c>
      <c r="BX381">
        <v>2500</v>
      </c>
      <c r="BY381">
        <v>2725</v>
      </c>
      <c r="BZ381">
        <v>0.09</v>
      </c>
      <c r="CA381">
        <v>250</v>
      </c>
      <c r="CB381">
        <v>0</v>
      </c>
      <c r="CC381">
        <v>0</v>
      </c>
      <c r="CD381">
        <v>2250</v>
      </c>
      <c r="CE381" t="s">
        <v>121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O381">
        <v>593.33999999999992</v>
      </c>
      <c r="CP381">
        <v>7120.079999999999</v>
      </c>
      <c r="CQ381">
        <v>31.12</v>
      </c>
      <c r="CR381" t="s">
        <v>122</v>
      </c>
      <c r="CS381">
        <v>0</v>
      </c>
    </row>
    <row r="382" spans="1:97" x14ac:dyDescent="0.2">
      <c r="A382" t="s">
        <v>2695</v>
      </c>
      <c r="B382">
        <v>359</v>
      </c>
      <c r="C382" t="s">
        <v>2696</v>
      </c>
      <c r="D382" t="s">
        <v>1773</v>
      </c>
      <c r="E382" t="s">
        <v>272</v>
      </c>
      <c r="F382" t="s">
        <v>101</v>
      </c>
      <c r="H382">
        <v>2</v>
      </c>
      <c r="I382">
        <v>4</v>
      </c>
      <c r="J382">
        <v>1</v>
      </c>
      <c r="K382" t="s">
        <v>102</v>
      </c>
      <c r="P382" t="s">
        <v>2697</v>
      </c>
      <c r="Q382" t="s">
        <v>2698</v>
      </c>
      <c r="R382" t="s">
        <v>2699</v>
      </c>
      <c r="S382" t="s">
        <v>2700</v>
      </c>
      <c r="T382">
        <v>2250</v>
      </c>
      <c r="U382">
        <v>27.03</v>
      </c>
      <c r="V382">
        <v>0</v>
      </c>
      <c r="W382">
        <v>816</v>
      </c>
      <c r="X382" t="s">
        <v>2701</v>
      </c>
      <c r="Y382" t="s">
        <v>109</v>
      </c>
      <c r="AJ382">
        <v>642</v>
      </c>
      <c r="AK382" t="s">
        <v>2348</v>
      </c>
      <c r="AL382" t="s">
        <v>2702</v>
      </c>
      <c r="AM382" t="s">
        <v>163</v>
      </c>
      <c r="AO382">
        <v>1</v>
      </c>
      <c r="AT382">
        <v>1906.66</v>
      </c>
      <c r="AU382">
        <v>1906.66</v>
      </c>
      <c r="AV382">
        <v>2078.2600000000002</v>
      </c>
      <c r="AW382">
        <v>0.09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355</v>
      </c>
      <c r="BD382" t="s">
        <v>1579</v>
      </c>
      <c r="BE382" t="s">
        <v>109</v>
      </c>
      <c r="BG382" t="s">
        <v>1580</v>
      </c>
      <c r="BI382" t="s">
        <v>1581</v>
      </c>
      <c r="BK382" t="s">
        <v>1582</v>
      </c>
      <c r="BL382" t="s">
        <v>115</v>
      </c>
      <c r="BO382" t="s">
        <v>1583</v>
      </c>
      <c r="BQ382">
        <v>127</v>
      </c>
      <c r="BR382" t="s">
        <v>2348</v>
      </c>
      <c r="BS382" t="s">
        <v>2702</v>
      </c>
      <c r="BT382">
        <v>15</v>
      </c>
      <c r="BU382" t="s">
        <v>119</v>
      </c>
      <c r="BV382" t="s">
        <v>163</v>
      </c>
      <c r="BW382">
        <v>2250</v>
      </c>
      <c r="BX382">
        <v>2500</v>
      </c>
      <c r="BY382">
        <v>2725</v>
      </c>
      <c r="BZ382">
        <v>0.09</v>
      </c>
      <c r="CA382">
        <v>250</v>
      </c>
      <c r="CB382">
        <v>0</v>
      </c>
      <c r="CC382">
        <v>0</v>
      </c>
      <c r="CD382">
        <v>2250</v>
      </c>
      <c r="CE382" t="s">
        <v>121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O382">
        <v>593.33999999999992</v>
      </c>
      <c r="CP382">
        <v>7120.079999999999</v>
      </c>
      <c r="CQ382">
        <v>31.12</v>
      </c>
      <c r="CR382" t="s">
        <v>168</v>
      </c>
      <c r="CS382">
        <v>92</v>
      </c>
    </row>
    <row r="383" spans="1:97" x14ac:dyDescent="0.2">
      <c r="A383" t="s">
        <v>2703</v>
      </c>
      <c r="B383">
        <v>360</v>
      </c>
      <c r="C383" t="s">
        <v>2704</v>
      </c>
      <c r="D383" t="s">
        <v>2705</v>
      </c>
      <c r="E383" t="s">
        <v>272</v>
      </c>
      <c r="F383" t="s">
        <v>101</v>
      </c>
      <c r="H383">
        <v>2</v>
      </c>
      <c r="I383">
        <v>4</v>
      </c>
      <c r="J383">
        <v>1</v>
      </c>
      <c r="K383" t="s">
        <v>102</v>
      </c>
      <c r="P383" t="s">
        <v>2706</v>
      </c>
      <c r="Q383" t="s">
        <v>2707</v>
      </c>
      <c r="R383" t="s">
        <v>2708</v>
      </c>
      <c r="S383" t="s">
        <v>2709</v>
      </c>
      <c r="T383">
        <v>2500</v>
      </c>
      <c r="U383">
        <v>19.39</v>
      </c>
      <c r="V383">
        <v>0</v>
      </c>
      <c r="W383">
        <v>816</v>
      </c>
      <c r="X383" t="s">
        <v>2701</v>
      </c>
      <c r="Y383" t="s">
        <v>109</v>
      </c>
      <c r="AJ383">
        <v>648</v>
      </c>
      <c r="AK383" t="s">
        <v>2348</v>
      </c>
      <c r="AL383" t="s">
        <v>2710</v>
      </c>
      <c r="AM383" t="s">
        <v>163</v>
      </c>
      <c r="AO383">
        <v>1</v>
      </c>
      <c r="AT383">
        <v>1906.66</v>
      </c>
      <c r="AU383">
        <v>1906.66</v>
      </c>
      <c r="AV383">
        <v>2078.2600000000002</v>
      </c>
      <c r="AW383">
        <v>0.09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17</v>
      </c>
      <c r="BD383" t="s">
        <v>108</v>
      </c>
      <c r="BE383" t="s">
        <v>109</v>
      </c>
      <c r="BG383" t="s">
        <v>110</v>
      </c>
      <c r="BH383" t="s">
        <v>111</v>
      </c>
      <c r="BI383" t="s">
        <v>112</v>
      </c>
      <c r="BJ383" t="s">
        <v>113</v>
      </c>
      <c r="BK383" t="s">
        <v>114</v>
      </c>
      <c r="BL383" t="s">
        <v>115</v>
      </c>
      <c r="BM383" t="s">
        <v>116</v>
      </c>
      <c r="BO383" t="s">
        <v>117</v>
      </c>
      <c r="BQ383">
        <v>426</v>
      </c>
      <c r="BR383" t="s">
        <v>118</v>
      </c>
      <c r="BU383" t="s">
        <v>119</v>
      </c>
      <c r="BV383" t="s">
        <v>120</v>
      </c>
      <c r="BW383">
        <v>2500</v>
      </c>
      <c r="BX383">
        <v>2750</v>
      </c>
      <c r="BY383">
        <v>2997.5</v>
      </c>
      <c r="BZ383">
        <v>0.09</v>
      </c>
      <c r="CA383">
        <v>250</v>
      </c>
      <c r="CB383">
        <v>25.1</v>
      </c>
      <c r="CC383">
        <v>250</v>
      </c>
      <c r="CD383">
        <v>2500</v>
      </c>
      <c r="CE383" t="s">
        <v>121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 t="s">
        <v>201</v>
      </c>
      <c r="CO383">
        <v>843.33999999999992</v>
      </c>
      <c r="CP383">
        <v>10120.08</v>
      </c>
      <c r="CQ383">
        <v>44.23</v>
      </c>
      <c r="CR383" t="s">
        <v>122</v>
      </c>
      <c r="CS383">
        <v>0</v>
      </c>
    </row>
    <row r="384" spans="1:97" x14ac:dyDescent="0.2">
      <c r="A384" t="s">
        <v>2703</v>
      </c>
      <c r="B384">
        <v>360</v>
      </c>
      <c r="C384" t="s">
        <v>2704</v>
      </c>
      <c r="D384" t="s">
        <v>2705</v>
      </c>
      <c r="E384" t="s">
        <v>272</v>
      </c>
      <c r="F384" t="s">
        <v>101</v>
      </c>
      <c r="H384">
        <v>2</v>
      </c>
      <c r="I384">
        <v>4</v>
      </c>
      <c r="J384">
        <v>1</v>
      </c>
      <c r="K384" t="s">
        <v>102</v>
      </c>
      <c r="P384" t="s">
        <v>2706</v>
      </c>
      <c r="Q384" t="s">
        <v>2707</v>
      </c>
      <c r="R384" t="s">
        <v>2708</v>
      </c>
      <c r="S384" t="s">
        <v>2709</v>
      </c>
      <c r="T384">
        <v>2500</v>
      </c>
      <c r="U384">
        <v>19.39</v>
      </c>
      <c r="V384">
        <v>0</v>
      </c>
      <c r="W384">
        <v>816</v>
      </c>
      <c r="X384" t="s">
        <v>2701</v>
      </c>
      <c r="Y384" t="s">
        <v>109</v>
      </c>
      <c r="AJ384">
        <v>648</v>
      </c>
      <c r="AK384" t="s">
        <v>2348</v>
      </c>
      <c r="AL384" t="s">
        <v>2710</v>
      </c>
      <c r="AM384" t="s">
        <v>163</v>
      </c>
      <c r="AO384">
        <v>1</v>
      </c>
      <c r="AT384">
        <v>1906.66</v>
      </c>
      <c r="AU384">
        <v>1906.66</v>
      </c>
      <c r="AV384">
        <v>2078.2600000000002</v>
      </c>
      <c r="AW384">
        <v>0.09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126</v>
      </c>
      <c r="BD384" t="s">
        <v>1995</v>
      </c>
      <c r="BE384" t="s">
        <v>109</v>
      </c>
      <c r="BG384" t="s">
        <v>1996</v>
      </c>
      <c r="BH384" t="s">
        <v>1997</v>
      </c>
      <c r="BI384" t="s">
        <v>1998</v>
      </c>
      <c r="BK384" t="s">
        <v>1999</v>
      </c>
      <c r="BL384" t="s">
        <v>115</v>
      </c>
      <c r="BM384" t="s">
        <v>2000</v>
      </c>
      <c r="BO384" t="s">
        <v>2001</v>
      </c>
      <c r="BQ384">
        <v>134</v>
      </c>
      <c r="BR384" t="s">
        <v>2348</v>
      </c>
      <c r="BS384" t="s">
        <v>2710</v>
      </c>
      <c r="BT384">
        <v>11</v>
      </c>
      <c r="BU384" t="s">
        <v>119</v>
      </c>
      <c r="BV384" t="s">
        <v>163</v>
      </c>
      <c r="BW384">
        <v>2500</v>
      </c>
      <c r="BX384">
        <v>2750</v>
      </c>
      <c r="BY384">
        <v>2997.5</v>
      </c>
      <c r="BZ384">
        <v>0.09</v>
      </c>
      <c r="CA384">
        <v>250</v>
      </c>
      <c r="CB384">
        <v>0</v>
      </c>
      <c r="CC384">
        <v>250</v>
      </c>
      <c r="CD384">
        <v>2500</v>
      </c>
      <c r="CE384" t="s">
        <v>121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0</v>
      </c>
      <c r="CN384" t="s">
        <v>201</v>
      </c>
      <c r="CO384">
        <v>843.33999999999992</v>
      </c>
      <c r="CP384">
        <v>10120.08</v>
      </c>
      <c r="CQ384">
        <v>44.23</v>
      </c>
      <c r="CR384" t="s">
        <v>168</v>
      </c>
      <c r="CS384">
        <v>93</v>
      </c>
    </row>
    <row r="385" spans="1:97" x14ac:dyDescent="0.2">
      <c r="A385" t="s">
        <v>2711</v>
      </c>
      <c r="B385">
        <v>361</v>
      </c>
      <c r="C385" t="s">
        <v>2712</v>
      </c>
      <c r="D385" t="s">
        <v>2713</v>
      </c>
      <c r="E385" t="s">
        <v>272</v>
      </c>
      <c r="F385" t="s">
        <v>126</v>
      </c>
      <c r="J385">
        <v>1</v>
      </c>
      <c r="K385" t="s">
        <v>102</v>
      </c>
      <c r="T385">
        <v>1430</v>
      </c>
      <c r="U385">
        <v>112.58</v>
      </c>
      <c r="V385">
        <v>0</v>
      </c>
      <c r="AM385" t="s">
        <v>107</v>
      </c>
      <c r="BC385">
        <v>17</v>
      </c>
      <c r="BD385" t="s">
        <v>108</v>
      </c>
      <c r="BE385" t="s">
        <v>109</v>
      </c>
      <c r="BG385" t="s">
        <v>110</v>
      </c>
      <c r="BH385" t="s">
        <v>111</v>
      </c>
      <c r="BI385" t="s">
        <v>112</v>
      </c>
      <c r="BJ385" t="s">
        <v>113</v>
      </c>
      <c r="BK385" t="s">
        <v>114</v>
      </c>
      <c r="BL385" t="s">
        <v>115</v>
      </c>
      <c r="BM385" t="s">
        <v>116</v>
      </c>
      <c r="BO385" t="s">
        <v>117</v>
      </c>
      <c r="BQ385">
        <v>368</v>
      </c>
      <c r="BR385" t="s">
        <v>118</v>
      </c>
      <c r="BU385" t="s">
        <v>119</v>
      </c>
      <c r="BV385" t="s">
        <v>120</v>
      </c>
      <c r="BW385">
        <v>0</v>
      </c>
      <c r="BX385">
        <v>1494.99</v>
      </c>
      <c r="BY385">
        <v>1629.54</v>
      </c>
      <c r="BZ385">
        <v>0.09</v>
      </c>
      <c r="CA385">
        <v>112.58</v>
      </c>
      <c r="CB385">
        <v>0</v>
      </c>
      <c r="CC385">
        <v>250</v>
      </c>
      <c r="CD385">
        <v>1430</v>
      </c>
      <c r="CE385" t="s">
        <v>121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 t="s">
        <v>201</v>
      </c>
      <c r="CO385">
        <v>1494.99</v>
      </c>
      <c r="CP385">
        <v>17939.88</v>
      </c>
      <c r="CR385" t="s">
        <v>122</v>
      </c>
      <c r="CS385">
        <v>0</v>
      </c>
    </row>
    <row r="386" spans="1:97" x14ac:dyDescent="0.2">
      <c r="A386" t="s">
        <v>2714</v>
      </c>
      <c r="B386">
        <v>362</v>
      </c>
      <c r="C386" t="s">
        <v>2715</v>
      </c>
      <c r="D386" t="s">
        <v>2716</v>
      </c>
      <c r="E386" t="s">
        <v>272</v>
      </c>
      <c r="F386" t="s">
        <v>126</v>
      </c>
      <c r="H386">
        <v>2</v>
      </c>
      <c r="I386">
        <v>4</v>
      </c>
      <c r="J386">
        <v>1</v>
      </c>
      <c r="K386" t="s">
        <v>102</v>
      </c>
      <c r="P386" t="s">
        <v>2717</v>
      </c>
      <c r="Q386" t="s">
        <v>2718</v>
      </c>
      <c r="R386" t="s">
        <v>2719</v>
      </c>
      <c r="S386" t="s">
        <v>2720</v>
      </c>
      <c r="T386">
        <v>2500</v>
      </c>
      <c r="U386">
        <v>15.65</v>
      </c>
      <c r="V386">
        <v>0</v>
      </c>
      <c r="W386">
        <v>816</v>
      </c>
      <c r="X386" t="s">
        <v>2701</v>
      </c>
      <c r="Y386" t="s">
        <v>109</v>
      </c>
      <c r="AJ386">
        <v>729</v>
      </c>
      <c r="AK386" t="s">
        <v>2348</v>
      </c>
      <c r="AL386" t="s">
        <v>2710</v>
      </c>
      <c r="AM386" t="s">
        <v>163</v>
      </c>
      <c r="AO386">
        <v>1</v>
      </c>
      <c r="AT386">
        <v>1906.66</v>
      </c>
      <c r="AU386">
        <v>1906.66</v>
      </c>
      <c r="AV386">
        <v>2078.2600000000002</v>
      </c>
      <c r="AW386">
        <v>0.09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17</v>
      </c>
      <c r="BD386" t="s">
        <v>108</v>
      </c>
      <c r="BE386" t="s">
        <v>109</v>
      </c>
      <c r="BG386" t="s">
        <v>110</v>
      </c>
      <c r="BH386" t="s">
        <v>111</v>
      </c>
      <c r="BI386" t="s">
        <v>112</v>
      </c>
      <c r="BJ386" t="s">
        <v>113</v>
      </c>
      <c r="BK386" t="s">
        <v>114</v>
      </c>
      <c r="BL386" t="s">
        <v>115</v>
      </c>
      <c r="BM386" t="s">
        <v>116</v>
      </c>
      <c r="BO386" t="s">
        <v>117</v>
      </c>
      <c r="BQ386">
        <v>427</v>
      </c>
      <c r="BR386" t="s">
        <v>118</v>
      </c>
      <c r="BU386" t="s">
        <v>119</v>
      </c>
      <c r="BV386" t="s">
        <v>120</v>
      </c>
      <c r="BW386">
        <v>2500</v>
      </c>
      <c r="BX386">
        <v>2750</v>
      </c>
      <c r="BY386">
        <v>2997.5</v>
      </c>
      <c r="BZ386">
        <v>0.09</v>
      </c>
      <c r="CA386">
        <v>250</v>
      </c>
      <c r="CB386">
        <v>0</v>
      </c>
      <c r="CC386">
        <v>250</v>
      </c>
      <c r="CD386">
        <v>2500</v>
      </c>
      <c r="CE386" t="s">
        <v>121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 t="s">
        <v>201</v>
      </c>
      <c r="CO386">
        <v>843.33999999999992</v>
      </c>
      <c r="CP386">
        <v>10120.08</v>
      </c>
      <c r="CQ386">
        <v>44.23</v>
      </c>
      <c r="CR386" t="s">
        <v>122</v>
      </c>
      <c r="CS386">
        <v>0</v>
      </c>
    </row>
    <row r="387" spans="1:97" x14ac:dyDescent="0.2">
      <c r="A387" t="s">
        <v>2714</v>
      </c>
      <c r="B387">
        <v>362</v>
      </c>
      <c r="C387" t="s">
        <v>2715</v>
      </c>
      <c r="D387" t="s">
        <v>2716</v>
      </c>
      <c r="E387" t="s">
        <v>272</v>
      </c>
      <c r="F387" t="s">
        <v>126</v>
      </c>
      <c r="H387">
        <v>2</v>
      </c>
      <c r="I387">
        <v>4</v>
      </c>
      <c r="J387">
        <v>1</v>
      </c>
      <c r="K387" t="s">
        <v>102</v>
      </c>
      <c r="P387" t="s">
        <v>2717</v>
      </c>
      <c r="Q387" t="s">
        <v>2718</v>
      </c>
      <c r="R387" t="s">
        <v>2719</v>
      </c>
      <c r="S387" t="s">
        <v>2720</v>
      </c>
      <c r="T387">
        <v>2500</v>
      </c>
      <c r="U387">
        <v>15.65</v>
      </c>
      <c r="V387">
        <v>0</v>
      </c>
      <c r="W387">
        <v>816</v>
      </c>
      <c r="X387" t="s">
        <v>2701</v>
      </c>
      <c r="Y387" t="s">
        <v>109</v>
      </c>
      <c r="AJ387">
        <v>729</v>
      </c>
      <c r="AK387" t="s">
        <v>2348</v>
      </c>
      <c r="AL387" t="s">
        <v>2710</v>
      </c>
      <c r="AM387" t="s">
        <v>163</v>
      </c>
      <c r="AO387">
        <v>1</v>
      </c>
      <c r="AT387">
        <v>1906.66</v>
      </c>
      <c r="AU387">
        <v>1906.66</v>
      </c>
      <c r="AV387">
        <v>2078.2600000000002</v>
      </c>
      <c r="AW387">
        <v>0.09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126</v>
      </c>
      <c r="BD387" t="s">
        <v>1995</v>
      </c>
      <c r="BE387" t="s">
        <v>109</v>
      </c>
      <c r="BG387" t="s">
        <v>1996</v>
      </c>
      <c r="BH387" t="s">
        <v>1997</v>
      </c>
      <c r="BI387" t="s">
        <v>1998</v>
      </c>
      <c r="BK387" t="s">
        <v>1999</v>
      </c>
      <c r="BL387" t="s">
        <v>115</v>
      </c>
      <c r="BM387" t="s">
        <v>2000</v>
      </c>
      <c r="BO387" t="s">
        <v>2001</v>
      </c>
      <c r="BQ387">
        <v>221</v>
      </c>
      <c r="BR387" t="s">
        <v>2348</v>
      </c>
      <c r="BS387" t="s">
        <v>2710</v>
      </c>
      <c r="BT387">
        <v>10</v>
      </c>
      <c r="BU387" t="s">
        <v>119</v>
      </c>
      <c r="BV387" t="s">
        <v>163</v>
      </c>
      <c r="BW387">
        <v>2500</v>
      </c>
      <c r="BX387">
        <v>2750</v>
      </c>
      <c r="BY387">
        <v>2997.5</v>
      </c>
      <c r="BZ387">
        <v>0.09</v>
      </c>
      <c r="CA387">
        <v>250</v>
      </c>
      <c r="CB387">
        <v>0</v>
      </c>
      <c r="CC387">
        <v>250</v>
      </c>
      <c r="CD387">
        <v>2500</v>
      </c>
      <c r="CE387" t="s">
        <v>121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</v>
      </c>
      <c r="CM387">
        <v>0</v>
      </c>
      <c r="CN387" t="s">
        <v>201</v>
      </c>
      <c r="CO387">
        <v>843.33999999999992</v>
      </c>
      <c r="CP387">
        <v>10120.08</v>
      </c>
      <c r="CQ387">
        <v>44.23</v>
      </c>
      <c r="CR387" t="s">
        <v>168</v>
      </c>
      <c r="CS387">
        <v>93</v>
      </c>
    </row>
    <row r="388" spans="1:97" x14ac:dyDescent="0.2">
      <c r="A388" t="s">
        <v>2721</v>
      </c>
      <c r="B388">
        <v>363</v>
      </c>
      <c r="C388" t="s">
        <v>2722</v>
      </c>
      <c r="D388" t="s">
        <v>2723</v>
      </c>
      <c r="E388" t="s">
        <v>2269</v>
      </c>
      <c r="F388" t="s">
        <v>101</v>
      </c>
      <c r="H388">
        <v>2</v>
      </c>
      <c r="I388">
        <v>4</v>
      </c>
      <c r="J388">
        <v>1</v>
      </c>
      <c r="K388" t="s">
        <v>102</v>
      </c>
      <c r="N388" t="s">
        <v>2175</v>
      </c>
      <c r="O388" t="s">
        <v>2175</v>
      </c>
      <c r="T388">
        <v>1300</v>
      </c>
      <c r="U388">
        <v>6.7</v>
      </c>
      <c r="V388">
        <v>0</v>
      </c>
      <c r="AM388" t="s">
        <v>107</v>
      </c>
      <c r="BC388">
        <v>284</v>
      </c>
      <c r="BD388" t="s">
        <v>2176</v>
      </c>
      <c r="BE388" t="s">
        <v>109</v>
      </c>
      <c r="BG388" t="s">
        <v>2177</v>
      </c>
      <c r="BI388" t="s">
        <v>112</v>
      </c>
      <c r="BK388" t="s">
        <v>114</v>
      </c>
      <c r="BL388" t="s">
        <v>115</v>
      </c>
      <c r="BO388" t="s">
        <v>2178</v>
      </c>
      <c r="BQ388">
        <v>293</v>
      </c>
      <c r="BR388" t="s">
        <v>2274</v>
      </c>
      <c r="BU388" t="s">
        <v>119</v>
      </c>
      <c r="BV388" t="s">
        <v>120</v>
      </c>
      <c r="BW388">
        <v>0</v>
      </c>
      <c r="BX388">
        <v>1300</v>
      </c>
      <c r="BY388">
        <v>1417</v>
      </c>
      <c r="BZ388">
        <v>0.09</v>
      </c>
      <c r="CA388">
        <v>6.7</v>
      </c>
      <c r="CB388">
        <v>0</v>
      </c>
      <c r="CC388">
        <v>0</v>
      </c>
      <c r="CD388">
        <v>1300</v>
      </c>
      <c r="CE388" t="s">
        <v>121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O388">
        <v>1300</v>
      </c>
      <c r="CP388">
        <v>15600</v>
      </c>
      <c r="CR388" t="s">
        <v>122</v>
      </c>
      <c r="CS388">
        <v>0</v>
      </c>
    </row>
    <row r="389" spans="1:97" x14ac:dyDescent="0.2">
      <c r="A389" t="s">
        <v>2724</v>
      </c>
      <c r="B389">
        <v>364</v>
      </c>
      <c r="C389" t="s">
        <v>2725</v>
      </c>
      <c r="D389" t="s">
        <v>2723</v>
      </c>
      <c r="E389" t="s">
        <v>2269</v>
      </c>
      <c r="F389" t="s">
        <v>101</v>
      </c>
      <c r="H389">
        <v>3</v>
      </c>
      <c r="I389">
        <v>6</v>
      </c>
      <c r="J389">
        <v>1</v>
      </c>
      <c r="K389" t="s">
        <v>102</v>
      </c>
      <c r="N389" t="s">
        <v>2175</v>
      </c>
      <c r="O389" t="s">
        <v>2175</v>
      </c>
      <c r="T389">
        <v>1950</v>
      </c>
      <c r="U389">
        <v>6.7</v>
      </c>
      <c r="V389">
        <v>0</v>
      </c>
      <c r="AM389" t="s">
        <v>107</v>
      </c>
      <c r="BC389">
        <v>284</v>
      </c>
      <c r="BD389" t="s">
        <v>2176</v>
      </c>
      <c r="BE389" t="s">
        <v>109</v>
      </c>
      <c r="BG389" t="s">
        <v>2177</v>
      </c>
      <c r="BI389" t="s">
        <v>112</v>
      </c>
      <c r="BK389" t="s">
        <v>114</v>
      </c>
      <c r="BL389" t="s">
        <v>115</v>
      </c>
      <c r="BO389" t="s">
        <v>2178</v>
      </c>
      <c r="BQ389">
        <v>294</v>
      </c>
      <c r="BR389" t="s">
        <v>2274</v>
      </c>
      <c r="BU389" t="s">
        <v>119</v>
      </c>
      <c r="BV389" t="s">
        <v>120</v>
      </c>
      <c r="BW389">
        <v>0</v>
      </c>
      <c r="BX389">
        <v>1950</v>
      </c>
      <c r="BY389">
        <v>2125.5</v>
      </c>
      <c r="BZ389">
        <v>0.09</v>
      </c>
      <c r="CA389">
        <v>6.7</v>
      </c>
      <c r="CB389">
        <v>0</v>
      </c>
      <c r="CC389">
        <v>0</v>
      </c>
      <c r="CD389">
        <v>1950</v>
      </c>
      <c r="CE389" t="s">
        <v>121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O389">
        <v>1950</v>
      </c>
      <c r="CP389">
        <v>23400</v>
      </c>
      <c r="CR389" t="s">
        <v>122</v>
      </c>
      <c r="CS389">
        <v>0</v>
      </c>
    </row>
    <row r="390" spans="1:97" x14ac:dyDescent="0.2">
      <c r="A390" t="s">
        <v>2726</v>
      </c>
      <c r="B390">
        <v>365</v>
      </c>
      <c r="C390" t="s">
        <v>2727</v>
      </c>
      <c r="D390" t="s">
        <v>2728</v>
      </c>
      <c r="E390" t="s">
        <v>272</v>
      </c>
      <c r="F390" t="s">
        <v>126</v>
      </c>
      <c r="H390">
        <v>3</v>
      </c>
      <c r="I390">
        <v>4</v>
      </c>
      <c r="J390">
        <v>1</v>
      </c>
      <c r="K390" t="s">
        <v>102</v>
      </c>
      <c r="P390" t="s">
        <v>2729</v>
      </c>
      <c r="Q390" t="s">
        <v>2730</v>
      </c>
      <c r="R390" t="s">
        <v>2731</v>
      </c>
      <c r="S390" t="s">
        <v>1632</v>
      </c>
      <c r="T390">
        <v>2650</v>
      </c>
      <c r="U390">
        <v>250</v>
      </c>
      <c r="V390">
        <v>0</v>
      </c>
      <c r="AM390" t="s">
        <v>107</v>
      </c>
      <c r="BV390" t="s">
        <v>142</v>
      </c>
      <c r="CD390">
        <v>2650</v>
      </c>
      <c r="CO390">
        <v>0</v>
      </c>
      <c r="CP390">
        <v>0</v>
      </c>
      <c r="CR390" t="s">
        <v>143</v>
      </c>
      <c r="CS390">
        <v>0</v>
      </c>
    </row>
    <row r="391" spans="1:97" x14ac:dyDescent="0.2">
      <c r="A391" t="s">
        <v>2732</v>
      </c>
      <c r="B391">
        <v>366</v>
      </c>
      <c r="C391" t="s">
        <v>2733</v>
      </c>
      <c r="D391" t="s">
        <v>2734</v>
      </c>
      <c r="E391" t="s">
        <v>2735</v>
      </c>
      <c r="F391" t="s">
        <v>126</v>
      </c>
      <c r="H391">
        <v>6</v>
      </c>
      <c r="I391">
        <v>12</v>
      </c>
      <c r="J391">
        <v>1</v>
      </c>
      <c r="K391" t="s">
        <v>102</v>
      </c>
      <c r="M391" t="s">
        <v>137</v>
      </c>
      <c r="T391">
        <v>6000</v>
      </c>
      <c r="U391">
        <v>0</v>
      </c>
      <c r="V391">
        <v>0</v>
      </c>
      <c r="AM391" t="s">
        <v>107</v>
      </c>
      <c r="BC391">
        <v>17</v>
      </c>
      <c r="BD391" t="s">
        <v>108</v>
      </c>
      <c r="BE391" t="s">
        <v>109</v>
      </c>
      <c r="BG391" t="s">
        <v>110</v>
      </c>
      <c r="BH391" t="s">
        <v>111</v>
      </c>
      <c r="BI391" t="s">
        <v>112</v>
      </c>
      <c r="BJ391" t="s">
        <v>113</v>
      </c>
      <c r="BK391" t="s">
        <v>114</v>
      </c>
      <c r="BL391" t="s">
        <v>115</v>
      </c>
      <c r="BM391" t="s">
        <v>116</v>
      </c>
      <c r="BO391" t="s">
        <v>117</v>
      </c>
      <c r="BQ391">
        <v>369</v>
      </c>
      <c r="BR391" t="s">
        <v>118</v>
      </c>
      <c r="BU391" t="s">
        <v>119</v>
      </c>
      <c r="BV391" t="s">
        <v>120</v>
      </c>
      <c r="BW391">
        <v>0</v>
      </c>
      <c r="BX391">
        <v>0</v>
      </c>
      <c r="BY391">
        <v>0</v>
      </c>
      <c r="BZ391">
        <v>0.09</v>
      </c>
      <c r="CA391">
        <v>0</v>
      </c>
      <c r="CB391">
        <v>0</v>
      </c>
      <c r="CC391">
        <v>500</v>
      </c>
      <c r="CD391">
        <v>6000</v>
      </c>
      <c r="CE391" t="s">
        <v>121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 t="s">
        <v>1785</v>
      </c>
      <c r="CO391">
        <v>0</v>
      </c>
      <c r="CP391">
        <v>0</v>
      </c>
      <c r="CR391" t="s">
        <v>122</v>
      </c>
      <c r="CS391">
        <v>0</v>
      </c>
    </row>
    <row r="392" spans="1:97" x14ac:dyDescent="0.2">
      <c r="A392" t="s">
        <v>2736</v>
      </c>
      <c r="B392">
        <v>367</v>
      </c>
      <c r="C392" t="s">
        <v>2737</v>
      </c>
      <c r="D392" t="s">
        <v>2738</v>
      </c>
      <c r="E392" t="s">
        <v>573</v>
      </c>
      <c r="F392" t="s">
        <v>101</v>
      </c>
      <c r="J392">
        <v>1</v>
      </c>
      <c r="K392" t="s">
        <v>102</v>
      </c>
      <c r="L392" t="s">
        <v>2739</v>
      </c>
      <c r="M392" t="s">
        <v>137</v>
      </c>
      <c r="T392">
        <v>1800</v>
      </c>
      <c r="U392">
        <v>0</v>
      </c>
      <c r="V392">
        <v>0</v>
      </c>
      <c r="AM392" t="s">
        <v>107</v>
      </c>
      <c r="BV392" t="s">
        <v>142</v>
      </c>
      <c r="CD392">
        <v>1800</v>
      </c>
      <c r="CO392">
        <v>0</v>
      </c>
      <c r="CP392">
        <v>0</v>
      </c>
      <c r="CR392" t="s">
        <v>143</v>
      </c>
      <c r="CS392">
        <v>0</v>
      </c>
    </row>
    <row r="393" spans="1:97" x14ac:dyDescent="0.2">
      <c r="A393" t="s">
        <v>2740</v>
      </c>
      <c r="B393">
        <v>368</v>
      </c>
      <c r="C393" t="s">
        <v>2741</v>
      </c>
      <c r="D393" t="s">
        <v>2742</v>
      </c>
      <c r="E393" t="s">
        <v>2743</v>
      </c>
      <c r="F393" t="s">
        <v>126</v>
      </c>
      <c r="H393">
        <v>4</v>
      </c>
      <c r="I393">
        <v>4</v>
      </c>
      <c r="J393">
        <v>1</v>
      </c>
      <c r="K393" t="s">
        <v>102</v>
      </c>
      <c r="L393" t="s">
        <v>2744</v>
      </c>
      <c r="M393" t="s">
        <v>137</v>
      </c>
      <c r="T393">
        <v>2450</v>
      </c>
      <c r="U393">
        <v>250</v>
      </c>
      <c r="V393">
        <v>0</v>
      </c>
      <c r="W393">
        <v>121</v>
      </c>
      <c r="X393" t="s">
        <v>2745</v>
      </c>
      <c r="Y393" t="s">
        <v>109</v>
      </c>
      <c r="AA393" t="s">
        <v>2746</v>
      </c>
      <c r="AC393" t="s">
        <v>2747</v>
      </c>
      <c r="AE393" t="s">
        <v>2748</v>
      </c>
      <c r="AF393" t="s">
        <v>115</v>
      </c>
      <c r="AG393" t="s">
        <v>2749</v>
      </c>
      <c r="AI393" t="s">
        <v>2750</v>
      </c>
      <c r="AJ393">
        <v>756</v>
      </c>
      <c r="AK393" t="s">
        <v>2751</v>
      </c>
      <c r="AM393" t="s">
        <v>120</v>
      </c>
      <c r="AO393">
        <v>1</v>
      </c>
      <c r="AT393">
        <v>0</v>
      </c>
      <c r="AU393">
        <v>2200</v>
      </c>
      <c r="AV393">
        <v>2398</v>
      </c>
      <c r="AW393">
        <v>0.09</v>
      </c>
      <c r="AX393">
        <v>0</v>
      </c>
      <c r="AY393">
        <v>0</v>
      </c>
      <c r="AZ393">
        <v>0</v>
      </c>
      <c r="BA393">
        <v>0</v>
      </c>
      <c r="BB393">
        <v>0</v>
      </c>
      <c r="BV393" t="s">
        <v>142</v>
      </c>
      <c r="CD393">
        <v>2450</v>
      </c>
      <c r="CO393">
        <v>-2200</v>
      </c>
      <c r="CP393">
        <v>-26400</v>
      </c>
      <c r="CQ393">
        <v>-100</v>
      </c>
      <c r="CR393" t="s">
        <v>143</v>
      </c>
      <c r="CS393">
        <v>0</v>
      </c>
    </row>
    <row r="394" spans="1:97" x14ac:dyDescent="0.2">
      <c r="A394" t="s">
        <v>2752</v>
      </c>
      <c r="B394">
        <v>369</v>
      </c>
      <c r="C394" t="s">
        <v>2753</v>
      </c>
      <c r="D394" t="s">
        <v>2754</v>
      </c>
      <c r="E394" t="s">
        <v>312</v>
      </c>
      <c r="F394" t="s">
        <v>126</v>
      </c>
      <c r="H394">
        <v>2</v>
      </c>
      <c r="I394">
        <v>2</v>
      </c>
      <c r="J394">
        <v>1</v>
      </c>
      <c r="K394" t="s">
        <v>127</v>
      </c>
      <c r="P394" t="s">
        <v>2755</v>
      </c>
      <c r="Q394" t="s">
        <v>2756</v>
      </c>
      <c r="R394" t="s">
        <v>2757</v>
      </c>
      <c r="S394" t="s">
        <v>2758</v>
      </c>
      <c r="T394">
        <v>1600</v>
      </c>
      <c r="U394">
        <v>150</v>
      </c>
      <c r="V394">
        <v>0</v>
      </c>
      <c r="W394">
        <v>359</v>
      </c>
      <c r="X394" t="s">
        <v>2759</v>
      </c>
      <c r="Y394" t="s">
        <v>109</v>
      </c>
      <c r="AA394" t="s">
        <v>2760</v>
      </c>
      <c r="AC394" t="s">
        <v>2761</v>
      </c>
      <c r="AE394" t="s">
        <v>2762</v>
      </c>
      <c r="AF394" t="s">
        <v>115</v>
      </c>
      <c r="AJ394">
        <v>692</v>
      </c>
      <c r="AK394" t="s">
        <v>161</v>
      </c>
      <c r="AL394" t="s">
        <v>2763</v>
      </c>
      <c r="AM394" t="s">
        <v>163</v>
      </c>
      <c r="AO394">
        <v>1</v>
      </c>
      <c r="AT394">
        <v>1175</v>
      </c>
      <c r="AU394">
        <v>1175</v>
      </c>
      <c r="AV394">
        <v>1280.75</v>
      </c>
      <c r="AW394">
        <v>0.09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136</v>
      </c>
      <c r="BD394" t="s">
        <v>2764</v>
      </c>
      <c r="BE394" t="s">
        <v>109</v>
      </c>
      <c r="BG394" t="s">
        <v>2765</v>
      </c>
      <c r="BH394" t="s">
        <v>2766</v>
      </c>
      <c r="BI394" t="s">
        <v>2767</v>
      </c>
      <c r="BK394" t="s">
        <v>2768</v>
      </c>
      <c r="BL394" t="s">
        <v>115</v>
      </c>
      <c r="BM394" t="s">
        <v>2769</v>
      </c>
      <c r="BO394" t="s">
        <v>2770</v>
      </c>
      <c r="BQ394">
        <v>182</v>
      </c>
      <c r="BR394" t="s">
        <v>161</v>
      </c>
      <c r="BS394" t="s">
        <v>2763</v>
      </c>
      <c r="BT394">
        <v>12</v>
      </c>
      <c r="BU394" t="s">
        <v>119</v>
      </c>
      <c r="BV394" t="s">
        <v>163</v>
      </c>
      <c r="BW394">
        <v>1600</v>
      </c>
      <c r="BX394">
        <v>1750</v>
      </c>
      <c r="BY394">
        <v>1907.5</v>
      </c>
      <c r="BZ394">
        <v>0.09</v>
      </c>
      <c r="CA394">
        <v>150</v>
      </c>
      <c r="CB394">
        <v>0</v>
      </c>
      <c r="CC394">
        <v>250</v>
      </c>
      <c r="CD394">
        <v>1600</v>
      </c>
      <c r="CE394" t="s">
        <v>121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1</v>
      </c>
      <c r="CM394">
        <v>0</v>
      </c>
      <c r="CN394" t="s">
        <v>201</v>
      </c>
      <c r="CO394">
        <v>575</v>
      </c>
      <c r="CP394">
        <v>6900</v>
      </c>
      <c r="CQ394">
        <v>48.94</v>
      </c>
      <c r="CR394" t="s">
        <v>168</v>
      </c>
      <c r="CS394">
        <v>555</v>
      </c>
    </row>
    <row r="395" spans="1:97" x14ac:dyDescent="0.2">
      <c r="A395" t="s">
        <v>2771</v>
      </c>
      <c r="B395">
        <v>370</v>
      </c>
      <c r="C395" t="s">
        <v>2772</v>
      </c>
      <c r="D395" t="s">
        <v>2773</v>
      </c>
      <c r="E395" t="s">
        <v>2774</v>
      </c>
      <c r="F395" t="s">
        <v>126</v>
      </c>
      <c r="H395">
        <v>4</v>
      </c>
      <c r="I395">
        <v>5</v>
      </c>
      <c r="J395">
        <v>0</v>
      </c>
      <c r="K395" t="s">
        <v>102</v>
      </c>
      <c r="L395" t="s">
        <v>2775</v>
      </c>
      <c r="T395">
        <v>2850</v>
      </c>
      <c r="U395">
        <v>48.82</v>
      </c>
      <c r="V395">
        <v>0</v>
      </c>
      <c r="W395">
        <v>85</v>
      </c>
      <c r="X395" t="s">
        <v>2500</v>
      </c>
      <c r="Y395" t="s">
        <v>1072</v>
      </c>
      <c r="AA395" t="s">
        <v>2501</v>
      </c>
      <c r="AB395" t="s">
        <v>2502</v>
      </c>
      <c r="AC395" t="s">
        <v>2503</v>
      </c>
      <c r="AE395" t="s">
        <v>2504</v>
      </c>
      <c r="AG395" t="s">
        <v>2505</v>
      </c>
      <c r="AI395" t="s">
        <v>2506</v>
      </c>
      <c r="AJ395">
        <v>567</v>
      </c>
      <c r="AM395" t="s">
        <v>120</v>
      </c>
      <c r="AO395">
        <v>1</v>
      </c>
      <c r="AT395">
        <v>0</v>
      </c>
      <c r="AW395">
        <v>0.09</v>
      </c>
      <c r="AX395">
        <v>0</v>
      </c>
      <c r="AY395">
        <v>0</v>
      </c>
      <c r="AZ395">
        <v>0</v>
      </c>
      <c r="BA395">
        <v>0</v>
      </c>
      <c r="BB395">
        <v>0</v>
      </c>
      <c r="BV395" t="s">
        <v>142</v>
      </c>
      <c r="CD395">
        <v>2850</v>
      </c>
      <c r="CO395">
        <v>0</v>
      </c>
      <c r="CP395">
        <v>0</v>
      </c>
      <c r="CR395" t="s">
        <v>1648</v>
      </c>
      <c r="CS395">
        <v>0</v>
      </c>
    </row>
    <row r="396" spans="1:97" x14ac:dyDescent="0.2">
      <c r="A396" t="s">
        <v>2776</v>
      </c>
      <c r="B396">
        <v>371</v>
      </c>
      <c r="C396" t="s">
        <v>2777</v>
      </c>
      <c r="D396" t="s">
        <v>2778</v>
      </c>
      <c r="E396" t="s">
        <v>2779</v>
      </c>
      <c r="F396" t="s">
        <v>126</v>
      </c>
      <c r="I396">
        <v>28</v>
      </c>
      <c r="J396">
        <v>1</v>
      </c>
      <c r="K396" t="s">
        <v>102</v>
      </c>
      <c r="P396" t="s">
        <v>2780</v>
      </c>
      <c r="Q396" t="s">
        <v>2781</v>
      </c>
      <c r="R396" t="s">
        <v>2782</v>
      </c>
      <c r="S396" t="s">
        <v>2783</v>
      </c>
      <c r="T396">
        <v>375</v>
      </c>
      <c r="U396">
        <v>0</v>
      </c>
      <c r="V396">
        <v>0</v>
      </c>
      <c r="W396">
        <v>683</v>
      </c>
      <c r="X396" t="s">
        <v>2784</v>
      </c>
      <c r="Y396" t="s">
        <v>109</v>
      </c>
      <c r="AF396" t="s">
        <v>115</v>
      </c>
      <c r="AI396" t="s">
        <v>2785</v>
      </c>
      <c r="AJ396">
        <v>572</v>
      </c>
      <c r="AK396" t="s">
        <v>2751</v>
      </c>
      <c r="AL396" t="s">
        <v>2058</v>
      </c>
      <c r="AM396" t="s">
        <v>163</v>
      </c>
      <c r="AO396">
        <v>1</v>
      </c>
      <c r="AT396">
        <v>11526.66</v>
      </c>
      <c r="AU396">
        <v>11526.66</v>
      </c>
      <c r="AV396">
        <v>12564.06</v>
      </c>
      <c r="AW396">
        <v>0.09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17</v>
      </c>
      <c r="BD396" t="s">
        <v>108</v>
      </c>
      <c r="BE396" t="s">
        <v>109</v>
      </c>
      <c r="BG396" t="s">
        <v>110</v>
      </c>
      <c r="BH396" t="s">
        <v>111</v>
      </c>
      <c r="BI396" t="s">
        <v>112</v>
      </c>
      <c r="BJ396" t="s">
        <v>113</v>
      </c>
      <c r="BK396" t="s">
        <v>114</v>
      </c>
      <c r="BL396" t="s">
        <v>115</v>
      </c>
      <c r="BM396" t="s">
        <v>116</v>
      </c>
      <c r="BO396" t="s">
        <v>117</v>
      </c>
      <c r="BQ396">
        <v>58</v>
      </c>
      <c r="BR396" t="s">
        <v>2751</v>
      </c>
      <c r="BS396" t="s">
        <v>2058</v>
      </c>
      <c r="BU396" t="s">
        <v>216</v>
      </c>
      <c r="BV396" t="s">
        <v>163</v>
      </c>
      <c r="BW396">
        <v>13043.23</v>
      </c>
      <c r="BX396">
        <v>13043.23</v>
      </c>
      <c r="BY396">
        <v>14217.12</v>
      </c>
      <c r="BZ396">
        <v>0.09</v>
      </c>
      <c r="CA396">
        <v>0</v>
      </c>
      <c r="CB396">
        <v>153.76</v>
      </c>
      <c r="CC396">
        <v>375</v>
      </c>
      <c r="CD396">
        <v>375</v>
      </c>
      <c r="CE396" t="s">
        <v>181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 t="s">
        <v>182</v>
      </c>
      <c r="CO396">
        <v>1516.57</v>
      </c>
      <c r="CP396">
        <v>18198.84</v>
      </c>
      <c r="CQ396">
        <v>13.16</v>
      </c>
      <c r="CR396" t="s">
        <v>168</v>
      </c>
      <c r="CS396">
        <v>829</v>
      </c>
    </row>
    <row r="397" spans="1:97" x14ac:dyDescent="0.2">
      <c r="A397" t="s">
        <v>2786</v>
      </c>
      <c r="B397">
        <v>372</v>
      </c>
      <c r="C397" t="s">
        <v>2787</v>
      </c>
      <c r="D397" t="s">
        <v>2289</v>
      </c>
      <c r="E397" t="s">
        <v>2290</v>
      </c>
      <c r="F397" t="s">
        <v>101</v>
      </c>
      <c r="H397">
        <v>3</v>
      </c>
      <c r="I397">
        <v>6</v>
      </c>
      <c r="J397">
        <v>1</v>
      </c>
      <c r="K397" t="s">
        <v>102</v>
      </c>
      <c r="P397" t="s">
        <v>2292</v>
      </c>
      <c r="Q397" t="s">
        <v>2293</v>
      </c>
      <c r="R397" t="s">
        <v>2294</v>
      </c>
      <c r="S397" t="s">
        <v>2295</v>
      </c>
      <c r="T397">
        <v>0</v>
      </c>
      <c r="U397">
        <v>350</v>
      </c>
      <c r="V397">
        <v>0</v>
      </c>
      <c r="W397">
        <v>726</v>
      </c>
      <c r="X397" t="s">
        <v>2314</v>
      </c>
      <c r="Y397" t="s">
        <v>109</v>
      </c>
      <c r="AJ397">
        <v>526</v>
      </c>
      <c r="AK397" t="s">
        <v>199</v>
      </c>
      <c r="AL397" t="s">
        <v>2669</v>
      </c>
      <c r="AM397" t="s">
        <v>163</v>
      </c>
      <c r="AO397">
        <v>1</v>
      </c>
      <c r="AT397">
        <v>2094.5</v>
      </c>
      <c r="AU397">
        <v>2804.82</v>
      </c>
      <c r="AV397">
        <v>3057.25</v>
      </c>
      <c r="AW397">
        <v>0.09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348</v>
      </c>
      <c r="BD397" t="s">
        <v>2350</v>
      </c>
      <c r="BE397" t="s">
        <v>109</v>
      </c>
      <c r="BG397" t="s">
        <v>2351</v>
      </c>
      <c r="BH397" t="s">
        <v>2352</v>
      </c>
      <c r="BI397" t="s">
        <v>2353</v>
      </c>
      <c r="BK397" t="s">
        <v>427</v>
      </c>
      <c r="BL397" t="s">
        <v>115</v>
      </c>
      <c r="BM397" t="s">
        <v>2354</v>
      </c>
      <c r="BO397" t="s">
        <v>2355</v>
      </c>
      <c r="BQ397">
        <v>10</v>
      </c>
      <c r="BR397" t="s">
        <v>199</v>
      </c>
      <c r="BS397" t="s">
        <v>2669</v>
      </c>
      <c r="BT397">
        <v>5</v>
      </c>
      <c r="BU397" t="s">
        <v>119</v>
      </c>
      <c r="BV397" t="s">
        <v>163</v>
      </c>
      <c r="BW397">
        <v>3200</v>
      </c>
      <c r="BX397">
        <v>3550</v>
      </c>
      <c r="BY397">
        <v>3869.5</v>
      </c>
      <c r="BZ397">
        <v>0.09</v>
      </c>
      <c r="CA397">
        <v>350</v>
      </c>
      <c r="CB397">
        <v>0</v>
      </c>
      <c r="CC397">
        <v>0</v>
      </c>
      <c r="CD397">
        <v>0</v>
      </c>
      <c r="CE397" t="s">
        <v>121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O397">
        <v>745.17999999999984</v>
      </c>
      <c r="CP397">
        <v>8942.159999999998</v>
      </c>
      <c r="CQ397">
        <v>26.57</v>
      </c>
      <c r="CR397" t="s">
        <v>168</v>
      </c>
      <c r="CS397">
        <v>450</v>
      </c>
    </row>
    <row r="398" spans="1:97" x14ac:dyDescent="0.2">
      <c r="A398" t="s">
        <v>2788</v>
      </c>
      <c r="B398">
        <v>373</v>
      </c>
      <c r="C398" t="s">
        <v>2789</v>
      </c>
      <c r="D398" t="s">
        <v>2289</v>
      </c>
      <c r="E398" t="s">
        <v>2290</v>
      </c>
      <c r="F398" t="s">
        <v>101</v>
      </c>
      <c r="H398">
        <v>4</v>
      </c>
      <c r="I398">
        <v>6</v>
      </c>
      <c r="J398">
        <v>1</v>
      </c>
      <c r="K398" t="s">
        <v>102</v>
      </c>
      <c r="P398" t="s">
        <v>2292</v>
      </c>
      <c r="Q398" t="s">
        <v>2293</v>
      </c>
      <c r="R398" t="s">
        <v>2294</v>
      </c>
      <c r="S398" t="s">
        <v>2295</v>
      </c>
      <c r="T398">
        <v>0</v>
      </c>
      <c r="U398">
        <v>300</v>
      </c>
      <c r="V398">
        <v>0</v>
      </c>
      <c r="W398">
        <v>726</v>
      </c>
      <c r="X398" t="s">
        <v>2314</v>
      </c>
      <c r="Y398" t="s">
        <v>109</v>
      </c>
      <c r="AJ398">
        <v>529</v>
      </c>
      <c r="AK398" t="s">
        <v>199</v>
      </c>
      <c r="AL398" t="s">
        <v>2669</v>
      </c>
      <c r="AM398" t="s">
        <v>163</v>
      </c>
      <c r="AO398">
        <v>1</v>
      </c>
      <c r="AT398">
        <v>2094.5</v>
      </c>
      <c r="AU398">
        <v>2904.8</v>
      </c>
      <c r="AV398">
        <v>3166.23</v>
      </c>
      <c r="AW398">
        <v>0.09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348</v>
      </c>
      <c r="BD398" t="s">
        <v>2350</v>
      </c>
      <c r="BE398" t="s">
        <v>109</v>
      </c>
      <c r="BG398" t="s">
        <v>2351</v>
      </c>
      <c r="BH398" t="s">
        <v>2352</v>
      </c>
      <c r="BI398" t="s">
        <v>2353</v>
      </c>
      <c r="BK398" t="s">
        <v>427</v>
      </c>
      <c r="BL398" t="s">
        <v>115</v>
      </c>
      <c r="BM398" t="s">
        <v>2354</v>
      </c>
      <c r="BO398" t="s">
        <v>2355</v>
      </c>
      <c r="BQ398">
        <v>13</v>
      </c>
      <c r="BR398" t="s">
        <v>199</v>
      </c>
      <c r="BS398" t="s">
        <v>2669</v>
      </c>
      <c r="BT398">
        <v>5</v>
      </c>
      <c r="BU398" t="s">
        <v>119</v>
      </c>
      <c r="BV398" t="s">
        <v>163</v>
      </c>
      <c r="BW398">
        <v>3200</v>
      </c>
      <c r="BX398">
        <v>3500</v>
      </c>
      <c r="BY398">
        <v>3815</v>
      </c>
      <c r="BZ398">
        <v>0.09</v>
      </c>
      <c r="CA398">
        <v>300</v>
      </c>
      <c r="CB398">
        <v>0</v>
      </c>
      <c r="CC398">
        <v>0</v>
      </c>
      <c r="CD398">
        <v>0</v>
      </c>
      <c r="CE398" t="s">
        <v>121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O398">
        <v>595.19999999999982</v>
      </c>
      <c r="CP398">
        <v>7142.3999999999978</v>
      </c>
      <c r="CQ398">
        <v>20.49</v>
      </c>
      <c r="CR398" t="s">
        <v>168</v>
      </c>
      <c r="CS398">
        <v>450</v>
      </c>
    </row>
    <row r="399" spans="1:97" x14ac:dyDescent="0.2">
      <c r="A399" t="s">
        <v>2790</v>
      </c>
      <c r="B399">
        <v>374</v>
      </c>
      <c r="C399" t="s">
        <v>2791</v>
      </c>
      <c r="D399" t="s">
        <v>2792</v>
      </c>
      <c r="E399" t="s">
        <v>272</v>
      </c>
      <c r="F399" t="s">
        <v>126</v>
      </c>
      <c r="H399">
        <v>3</v>
      </c>
      <c r="I399">
        <v>3</v>
      </c>
      <c r="J399">
        <v>1</v>
      </c>
      <c r="K399" t="s">
        <v>102</v>
      </c>
      <c r="P399" t="s">
        <v>2793</v>
      </c>
      <c r="Q399" t="s">
        <v>2794</v>
      </c>
      <c r="R399" t="s">
        <v>2795</v>
      </c>
      <c r="S399" t="s">
        <v>2796</v>
      </c>
      <c r="T399">
        <v>2000</v>
      </c>
      <c r="U399">
        <v>200</v>
      </c>
      <c r="V399">
        <v>0</v>
      </c>
      <c r="W399">
        <v>271</v>
      </c>
      <c r="X399" t="s">
        <v>806</v>
      </c>
      <c r="Y399" t="s">
        <v>109</v>
      </c>
      <c r="AA399" t="s">
        <v>807</v>
      </c>
      <c r="AB399" t="s">
        <v>808</v>
      </c>
      <c r="AC399" t="s">
        <v>809</v>
      </c>
      <c r="AE399" t="s">
        <v>252</v>
      </c>
      <c r="AF399" t="s">
        <v>115</v>
      </c>
      <c r="AI399" t="s">
        <v>810</v>
      </c>
      <c r="AJ399">
        <v>751</v>
      </c>
      <c r="AK399" t="s">
        <v>2797</v>
      </c>
      <c r="AL399" t="s">
        <v>355</v>
      </c>
      <c r="AM399" t="s">
        <v>163</v>
      </c>
      <c r="AO399">
        <v>1</v>
      </c>
      <c r="AT399">
        <v>1425</v>
      </c>
      <c r="AU399">
        <v>1425</v>
      </c>
      <c r="AV399">
        <v>1553.25</v>
      </c>
      <c r="AW399">
        <v>0.09</v>
      </c>
      <c r="AX399">
        <v>0</v>
      </c>
      <c r="AY399">
        <v>0</v>
      </c>
      <c r="AZ399">
        <v>0</v>
      </c>
      <c r="BA399">
        <v>0</v>
      </c>
      <c r="BB399">
        <v>0</v>
      </c>
      <c r="BV399" t="s">
        <v>142</v>
      </c>
      <c r="CD399">
        <v>2000</v>
      </c>
      <c r="CO399">
        <v>-1425</v>
      </c>
      <c r="CP399">
        <v>-17100</v>
      </c>
      <c r="CQ399">
        <v>-100</v>
      </c>
      <c r="CR399" t="s">
        <v>143</v>
      </c>
      <c r="CS399">
        <v>0</v>
      </c>
    </row>
    <row r="400" spans="1:97" x14ac:dyDescent="0.2">
      <c r="A400" t="s">
        <v>2798</v>
      </c>
      <c r="B400">
        <v>375</v>
      </c>
      <c r="C400" t="s">
        <v>2799</v>
      </c>
      <c r="D400" t="s">
        <v>2800</v>
      </c>
      <c r="E400" t="s">
        <v>2801</v>
      </c>
      <c r="F400" t="s">
        <v>126</v>
      </c>
      <c r="H400">
        <v>5</v>
      </c>
      <c r="I400">
        <v>8</v>
      </c>
      <c r="J400">
        <v>1</v>
      </c>
      <c r="K400" t="s">
        <v>102</v>
      </c>
      <c r="L400" t="s">
        <v>2802</v>
      </c>
      <c r="M400" t="s">
        <v>137</v>
      </c>
      <c r="P400" t="s">
        <v>2803</v>
      </c>
      <c r="Q400" t="s">
        <v>2804</v>
      </c>
      <c r="R400" t="s">
        <v>2805</v>
      </c>
      <c r="S400" t="s">
        <v>2806</v>
      </c>
      <c r="T400">
        <v>4850</v>
      </c>
      <c r="U400">
        <v>450</v>
      </c>
      <c r="V400">
        <v>0</v>
      </c>
      <c r="W400">
        <v>799</v>
      </c>
      <c r="X400" t="s">
        <v>2807</v>
      </c>
      <c r="Y400" t="s">
        <v>109</v>
      </c>
      <c r="AA400" t="s">
        <v>2808</v>
      </c>
      <c r="AB400" t="s">
        <v>2809</v>
      </c>
      <c r="AJ400">
        <v>568</v>
      </c>
      <c r="AK400" t="s">
        <v>2688</v>
      </c>
      <c r="AL400" t="s">
        <v>414</v>
      </c>
      <c r="AM400" t="s">
        <v>163</v>
      </c>
      <c r="AO400">
        <v>1</v>
      </c>
      <c r="AT400">
        <v>3600</v>
      </c>
      <c r="AU400">
        <v>3600</v>
      </c>
      <c r="AV400">
        <v>3924</v>
      </c>
      <c r="AW400">
        <v>0.09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17</v>
      </c>
      <c r="BD400" t="s">
        <v>108</v>
      </c>
      <c r="BE400" t="s">
        <v>109</v>
      </c>
      <c r="BG400" t="s">
        <v>110</v>
      </c>
      <c r="BH400" t="s">
        <v>111</v>
      </c>
      <c r="BI400" t="s">
        <v>112</v>
      </c>
      <c r="BJ400" t="s">
        <v>113</v>
      </c>
      <c r="BK400" t="s">
        <v>114</v>
      </c>
      <c r="BL400" t="s">
        <v>115</v>
      </c>
      <c r="BM400" t="s">
        <v>116</v>
      </c>
      <c r="BO400" t="s">
        <v>117</v>
      </c>
      <c r="BQ400">
        <v>53</v>
      </c>
      <c r="BR400" t="s">
        <v>2688</v>
      </c>
      <c r="BS400" t="s">
        <v>414</v>
      </c>
      <c r="BU400" t="s">
        <v>216</v>
      </c>
      <c r="BV400" t="s">
        <v>163</v>
      </c>
      <c r="BW400">
        <v>4850</v>
      </c>
      <c r="BX400">
        <v>5300</v>
      </c>
      <c r="BY400">
        <v>5777</v>
      </c>
      <c r="BZ400">
        <v>0.09</v>
      </c>
      <c r="CA400">
        <v>450</v>
      </c>
      <c r="CB400">
        <v>0</v>
      </c>
      <c r="CC400">
        <v>375</v>
      </c>
      <c r="CD400">
        <v>4850</v>
      </c>
      <c r="CE400" t="s">
        <v>121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</v>
      </c>
      <c r="CM400">
        <v>0</v>
      </c>
      <c r="CN400" t="s">
        <v>182</v>
      </c>
      <c r="CO400">
        <v>1700</v>
      </c>
      <c r="CP400">
        <v>20400</v>
      </c>
      <c r="CQ400">
        <v>47.22</v>
      </c>
      <c r="CR400" t="s">
        <v>168</v>
      </c>
      <c r="CS400">
        <v>221</v>
      </c>
    </row>
    <row r="401" spans="1:97" x14ac:dyDescent="0.2">
      <c r="A401" t="s">
        <v>2810</v>
      </c>
      <c r="B401">
        <v>376</v>
      </c>
      <c r="C401" t="s">
        <v>2811</v>
      </c>
      <c r="D401" t="s">
        <v>2812</v>
      </c>
      <c r="E401" t="s">
        <v>2813</v>
      </c>
      <c r="F401" t="s">
        <v>126</v>
      </c>
      <c r="H401">
        <v>3</v>
      </c>
      <c r="I401">
        <v>6</v>
      </c>
      <c r="J401">
        <v>1</v>
      </c>
      <c r="K401" t="s">
        <v>102</v>
      </c>
      <c r="L401" t="s">
        <v>2814</v>
      </c>
      <c r="M401" t="s">
        <v>137</v>
      </c>
      <c r="P401" t="s">
        <v>2815</v>
      </c>
      <c r="Q401" t="s">
        <v>2816</v>
      </c>
      <c r="R401" t="s">
        <v>2817</v>
      </c>
      <c r="S401" t="s">
        <v>2818</v>
      </c>
      <c r="T401">
        <v>375</v>
      </c>
      <c r="U401">
        <v>390</v>
      </c>
      <c r="V401">
        <v>0</v>
      </c>
      <c r="W401">
        <v>701</v>
      </c>
      <c r="X401" t="s">
        <v>748</v>
      </c>
      <c r="Y401" t="s">
        <v>109</v>
      </c>
      <c r="AA401" t="s">
        <v>749</v>
      </c>
      <c r="AC401" t="s">
        <v>750</v>
      </c>
      <c r="AE401" t="s">
        <v>751</v>
      </c>
      <c r="AF401" t="s">
        <v>115</v>
      </c>
      <c r="AI401" t="s">
        <v>752</v>
      </c>
      <c r="AJ401">
        <v>771</v>
      </c>
      <c r="AK401" t="s">
        <v>2819</v>
      </c>
      <c r="AL401" t="s">
        <v>2820</v>
      </c>
      <c r="AM401" t="s">
        <v>163</v>
      </c>
      <c r="AO401">
        <v>1</v>
      </c>
      <c r="AT401">
        <v>0</v>
      </c>
      <c r="AU401">
        <v>2600</v>
      </c>
      <c r="AV401">
        <v>2834</v>
      </c>
      <c r="AW401">
        <v>0.09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17</v>
      </c>
      <c r="BD401" t="s">
        <v>108</v>
      </c>
      <c r="BE401" t="s">
        <v>109</v>
      </c>
      <c r="BG401" t="s">
        <v>110</v>
      </c>
      <c r="BH401" t="s">
        <v>111</v>
      </c>
      <c r="BI401" t="s">
        <v>112</v>
      </c>
      <c r="BJ401" t="s">
        <v>113</v>
      </c>
      <c r="BK401" t="s">
        <v>114</v>
      </c>
      <c r="BL401" t="s">
        <v>115</v>
      </c>
      <c r="BM401" t="s">
        <v>116</v>
      </c>
      <c r="BO401" t="s">
        <v>117</v>
      </c>
      <c r="BQ401">
        <v>266</v>
      </c>
      <c r="BR401" t="s">
        <v>2819</v>
      </c>
      <c r="BS401" t="s">
        <v>2820</v>
      </c>
      <c r="BU401" t="s">
        <v>216</v>
      </c>
      <c r="BV401" t="s">
        <v>163</v>
      </c>
      <c r="BW401">
        <v>3500</v>
      </c>
      <c r="BX401">
        <v>3890</v>
      </c>
      <c r="BY401">
        <v>4240.1000000000004</v>
      </c>
      <c r="BZ401">
        <v>0.09</v>
      </c>
      <c r="CA401">
        <v>390</v>
      </c>
      <c r="CB401">
        <v>0</v>
      </c>
      <c r="CC401">
        <v>375</v>
      </c>
      <c r="CD401">
        <v>375</v>
      </c>
      <c r="CE401" t="s">
        <v>121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0</v>
      </c>
      <c r="CN401" t="s">
        <v>182</v>
      </c>
      <c r="CO401">
        <v>1290</v>
      </c>
      <c r="CP401">
        <v>15480</v>
      </c>
      <c r="CQ401">
        <v>49.62</v>
      </c>
      <c r="CR401" t="s">
        <v>168</v>
      </c>
      <c r="CS401">
        <v>200</v>
      </c>
    </row>
    <row r="402" spans="1:97" x14ac:dyDescent="0.2">
      <c r="A402" t="s">
        <v>2821</v>
      </c>
      <c r="B402">
        <v>377</v>
      </c>
      <c r="C402" t="s">
        <v>2822</v>
      </c>
      <c r="D402" t="s">
        <v>2823</v>
      </c>
      <c r="E402" t="s">
        <v>2269</v>
      </c>
      <c r="F402" t="s">
        <v>126</v>
      </c>
      <c r="H402">
        <v>2</v>
      </c>
      <c r="I402">
        <v>4</v>
      </c>
      <c r="J402">
        <v>1</v>
      </c>
      <c r="K402" t="s">
        <v>102</v>
      </c>
      <c r="L402" t="s">
        <v>2824</v>
      </c>
      <c r="N402" t="s">
        <v>2825</v>
      </c>
      <c r="O402" t="s">
        <v>2825</v>
      </c>
      <c r="T402">
        <v>0</v>
      </c>
      <c r="U402">
        <v>0</v>
      </c>
      <c r="V402">
        <v>0</v>
      </c>
      <c r="AM402" t="s">
        <v>107</v>
      </c>
      <c r="BC402">
        <v>284</v>
      </c>
      <c r="BD402" t="s">
        <v>2176</v>
      </c>
      <c r="BE402" t="s">
        <v>109</v>
      </c>
      <c r="BG402" t="s">
        <v>2177</v>
      </c>
      <c r="BI402" t="s">
        <v>112</v>
      </c>
      <c r="BK402" t="s">
        <v>114</v>
      </c>
      <c r="BL402" t="s">
        <v>115</v>
      </c>
      <c r="BO402" t="s">
        <v>2178</v>
      </c>
      <c r="BQ402">
        <v>295</v>
      </c>
      <c r="BR402" t="s">
        <v>2826</v>
      </c>
      <c r="BU402" t="s">
        <v>119</v>
      </c>
      <c r="BV402" t="s">
        <v>120</v>
      </c>
      <c r="BW402">
        <v>0</v>
      </c>
      <c r="BX402">
        <v>1733.33</v>
      </c>
      <c r="BY402">
        <v>1889.33</v>
      </c>
      <c r="BZ402">
        <v>0.09</v>
      </c>
      <c r="CA402">
        <v>0</v>
      </c>
      <c r="CB402">
        <v>0</v>
      </c>
      <c r="CC402">
        <v>0</v>
      </c>
      <c r="CD402">
        <v>0</v>
      </c>
      <c r="CE402" t="s">
        <v>121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O402">
        <v>1733.33</v>
      </c>
      <c r="CP402">
        <v>20799.96</v>
      </c>
      <c r="CR402" t="s">
        <v>122</v>
      </c>
      <c r="CS402">
        <v>0</v>
      </c>
    </row>
    <row r="403" spans="1:97" x14ac:dyDescent="0.2">
      <c r="A403" t="s">
        <v>2827</v>
      </c>
      <c r="B403">
        <v>378</v>
      </c>
      <c r="C403" t="s">
        <v>2828</v>
      </c>
      <c r="D403" t="s">
        <v>2260</v>
      </c>
      <c r="E403" t="s">
        <v>2238</v>
      </c>
      <c r="F403" t="s">
        <v>101</v>
      </c>
      <c r="J403">
        <v>1</v>
      </c>
      <c r="K403" t="s">
        <v>102</v>
      </c>
      <c r="T403">
        <v>0</v>
      </c>
      <c r="U403">
        <v>0</v>
      </c>
      <c r="V403">
        <v>0</v>
      </c>
      <c r="W403">
        <v>958</v>
      </c>
      <c r="X403" t="s">
        <v>2829</v>
      </c>
      <c r="Y403" t="s">
        <v>109</v>
      </c>
      <c r="Z403" t="s">
        <v>2830</v>
      </c>
      <c r="AA403" t="s">
        <v>2831</v>
      </c>
      <c r="AB403" t="s">
        <v>2832</v>
      </c>
      <c r="AI403" t="s">
        <v>2833</v>
      </c>
      <c r="AJ403">
        <v>842</v>
      </c>
      <c r="AK403" t="s">
        <v>1924</v>
      </c>
      <c r="AL403" t="s">
        <v>2834</v>
      </c>
      <c r="AM403" t="s">
        <v>163</v>
      </c>
      <c r="AO403">
        <v>1</v>
      </c>
      <c r="AT403">
        <v>0</v>
      </c>
      <c r="AU403">
        <v>1500</v>
      </c>
      <c r="AV403">
        <v>1635</v>
      </c>
      <c r="AW403">
        <v>0.09</v>
      </c>
      <c r="AY403">
        <v>0</v>
      </c>
      <c r="AZ403">
        <v>0</v>
      </c>
      <c r="BA403">
        <v>0</v>
      </c>
      <c r="BC403">
        <v>284</v>
      </c>
      <c r="BD403" t="s">
        <v>2176</v>
      </c>
      <c r="BE403" t="s">
        <v>109</v>
      </c>
      <c r="BG403" t="s">
        <v>2177</v>
      </c>
      <c r="BI403" t="s">
        <v>112</v>
      </c>
      <c r="BK403" t="s">
        <v>114</v>
      </c>
      <c r="BL403" t="s">
        <v>115</v>
      </c>
      <c r="BO403" t="s">
        <v>2178</v>
      </c>
      <c r="BQ403">
        <v>292</v>
      </c>
      <c r="BR403" t="s">
        <v>1924</v>
      </c>
      <c r="BU403" t="s">
        <v>119</v>
      </c>
      <c r="BV403" t="s">
        <v>120</v>
      </c>
      <c r="BW403">
        <v>0</v>
      </c>
      <c r="BX403">
        <v>1500</v>
      </c>
      <c r="BY403">
        <v>1635</v>
      </c>
      <c r="BZ403">
        <v>0.09</v>
      </c>
      <c r="CA403">
        <v>0</v>
      </c>
      <c r="CB403">
        <v>0</v>
      </c>
      <c r="CC403">
        <v>0</v>
      </c>
      <c r="CD403">
        <v>0</v>
      </c>
      <c r="CE403" t="s">
        <v>121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O403">
        <v>0</v>
      </c>
      <c r="CP403">
        <v>0</v>
      </c>
      <c r="CQ403">
        <v>0</v>
      </c>
      <c r="CR403" t="s">
        <v>122</v>
      </c>
      <c r="CS403">
        <v>0</v>
      </c>
    </row>
    <row r="404" spans="1:97" x14ac:dyDescent="0.2">
      <c r="A404" t="s">
        <v>2835</v>
      </c>
      <c r="B404">
        <v>379</v>
      </c>
      <c r="C404" t="s">
        <v>2836</v>
      </c>
      <c r="D404" t="s">
        <v>2837</v>
      </c>
      <c r="E404" t="s">
        <v>2290</v>
      </c>
      <c r="F404" t="s">
        <v>101</v>
      </c>
      <c r="J404">
        <v>1</v>
      </c>
      <c r="K404" t="s">
        <v>102</v>
      </c>
      <c r="P404" t="s">
        <v>2292</v>
      </c>
      <c r="Q404" t="s">
        <v>2293</v>
      </c>
      <c r="R404" t="s">
        <v>2294</v>
      </c>
      <c r="S404" t="s">
        <v>2295</v>
      </c>
      <c r="T404">
        <v>0</v>
      </c>
      <c r="U404">
        <v>0</v>
      </c>
      <c r="V404">
        <v>0</v>
      </c>
      <c r="AM404" t="s">
        <v>107</v>
      </c>
      <c r="BV404" t="s">
        <v>142</v>
      </c>
      <c r="CD404">
        <v>0</v>
      </c>
      <c r="CO404">
        <v>0</v>
      </c>
      <c r="CP404">
        <v>0</v>
      </c>
      <c r="CR404" t="s">
        <v>143</v>
      </c>
      <c r="CS404">
        <v>0</v>
      </c>
    </row>
    <row r="405" spans="1:97" x14ac:dyDescent="0.2">
      <c r="A405" t="s">
        <v>2838</v>
      </c>
      <c r="B405">
        <v>380</v>
      </c>
      <c r="C405" t="s">
        <v>2839</v>
      </c>
      <c r="D405" t="s">
        <v>1932</v>
      </c>
      <c r="E405" t="s">
        <v>147</v>
      </c>
      <c r="F405" t="s">
        <v>101</v>
      </c>
      <c r="H405">
        <v>3</v>
      </c>
      <c r="I405">
        <v>4</v>
      </c>
      <c r="J405">
        <v>1</v>
      </c>
      <c r="K405" t="s">
        <v>102</v>
      </c>
      <c r="P405" t="s">
        <v>2840</v>
      </c>
      <c r="Q405" t="s">
        <v>2841</v>
      </c>
      <c r="R405" t="s">
        <v>2842</v>
      </c>
      <c r="S405" t="s">
        <v>2843</v>
      </c>
      <c r="T405">
        <v>1650</v>
      </c>
      <c r="U405">
        <v>250</v>
      </c>
      <c r="V405">
        <v>0</v>
      </c>
      <c r="W405">
        <v>795</v>
      </c>
      <c r="X405" t="s">
        <v>891</v>
      </c>
      <c r="Y405" t="s">
        <v>109</v>
      </c>
      <c r="AA405" t="s">
        <v>892</v>
      </c>
      <c r="AB405" t="s">
        <v>893</v>
      </c>
      <c r="AJ405">
        <v>694</v>
      </c>
      <c r="AK405" t="s">
        <v>2844</v>
      </c>
      <c r="AL405" t="s">
        <v>2845</v>
      </c>
      <c r="AM405" t="s">
        <v>163</v>
      </c>
      <c r="AO405">
        <v>1</v>
      </c>
      <c r="AT405">
        <v>1650</v>
      </c>
      <c r="AU405">
        <v>1650</v>
      </c>
      <c r="AV405">
        <v>1798.5</v>
      </c>
      <c r="AW405">
        <v>0.09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17</v>
      </c>
      <c r="BD405" t="s">
        <v>108</v>
      </c>
      <c r="BE405" t="s">
        <v>109</v>
      </c>
      <c r="BG405" t="s">
        <v>110</v>
      </c>
      <c r="BH405" t="s">
        <v>111</v>
      </c>
      <c r="BI405" t="s">
        <v>112</v>
      </c>
      <c r="BJ405" t="s">
        <v>113</v>
      </c>
      <c r="BK405" t="s">
        <v>114</v>
      </c>
      <c r="BL405" t="s">
        <v>115</v>
      </c>
      <c r="BM405" t="s">
        <v>116</v>
      </c>
      <c r="BO405" t="s">
        <v>117</v>
      </c>
      <c r="BQ405">
        <v>185</v>
      </c>
      <c r="BR405" t="s">
        <v>2844</v>
      </c>
      <c r="BS405" t="s">
        <v>2845</v>
      </c>
      <c r="BU405" t="s">
        <v>216</v>
      </c>
      <c r="BV405" t="s">
        <v>163</v>
      </c>
      <c r="BW405">
        <v>2100</v>
      </c>
      <c r="BX405">
        <v>2350</v>
      </c>
      <c r="BY405">
        <v>2561.5</v>
      </c>
      <c r="BZ405">
        <v>0.09</v>
      </c>
      <c r="CA405">
        <v>250</v>
      </c>
      <c r="CB405">
        <v>110</v>
      </c>
      <c r="CC405">
        <v>0</v>
      </c>
      <c r="CD405">
        <v>1650</v>
      </c>
      <c r="CE405" t="s">
        <v>121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O405">
        <v>700</v>
      </c>
      <c r="CP405">
        <v>8400</v>
      </c>
      <c r="CQ405">
        <v>42.42</v>
      </c>
      <c r="CR405" t="s">
        <v>168</v>
      </c>
      <c r="CS405">
        <v>616</v>
      </c>
    </row>
    <row r="406" spans="1:97" x14ac:dyDescent="0.2">
      <c r="A406" t="s">
        <v>2846</v>
      </c>
      <c r="B406">
        <v>381</v>
      </c>
      <c r="C406" t="s">
        <v>2847</v>
      </c>
      <c r="D406" t="s">
        <v>1932</v>
      </c>
      <c r="E406" t="s">
        <v>147</v>
      </c>
      <c r="F406" t="s">
        <v>101</v>
      </c>
      <c r="H406">
        <v>3</v>
      </c>
      <c r="I406">
        <v>4</v>
      </c>
      <c r="J406">
        <v>1</v>
      </c>
      <c r="K406" t="s">
        <v>102</v>
      </c>
      <c r="P406" t="s">
        <v>2848</v>
      </c>
      <c r="Q406" t="s">
        <v>2849</v>
      </c>
      <c r="R406" t="s">
        <v>2850</v>
      </c>
      <c r="S406" t="s">
        <v>2851</v>
      </c>
      <c r="T406">
        <v>1650</v>
      </c>
      <c r="U406">
        <v>250</v>
      </c>
      <c r="V406">
        <v>0</v>
      </c>
      <c r="W406">
        <v>795</v>
      </c>
      <c r="X406" t="s">
        <v>891</v>
      </c>
      <c r="Y406" t="s">
        <v>109</v>
      </c>
      <c r="AA406" t="s">
        <v>892</v>
      </c>
      <c r="AB406" t="s">
        <v>893</v>
      </c>
      <c r="AJ406">
        <v>695</v>
      </c>
      <c r="AK406" t="s">
        <v>2844</v>
      </c>
      <c r="AL406" t="s">
        <v>2845</v>
      </c>
      <c r="AM406" t="s">
        <v>163</v>
      </c>
      <c r="AO406">
        <v>1</v>
      </c>
      <c r="AT406">
        <v>1650</v>
      </c>
      <c r="AU406">
        <v>1650</v>
      </c>
      <c r="AV406">
        <v>1798.5</v>
      </c>
      <c r="AW406">
        <v>0.09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17</v>
      </c>
      <c r="BD406" t="s">
        <v>108</v>
      </c>
      <c r="BE406" t="s">
        <v>109</v>
      </c>
      <c r="BG406" t="s">
        <v>110</v>
      </c>
      <c r="BH406" t="s">
        <v>111</v>
      </c>
      <c r="BI406" t="s">
        <v>112</v>
      </c>
      <c r="BJ406" t="s">
        <v>113</v>
      </c>
      <c r="BK406" t="s">
        <v>114</v>
      </c>
      <c r="BL406" t="s">
        <v>115</v>
      </c>
      <c r="BM406" t="s">
        <v>116</v>
      </c>
      <c r="BO406" t="s">
        <v>117</v>
      </c>
      <c r="BQ406">
        <v>186</v>
      </c>
      <c r="BR406" t="s">
        <v>2844</v>
      </c>
      <c r="BS406" t="s">
        <v>2845</v>
      </c>
      <c r="BU406" t="s">
        <v>216</v>
      </c>
      <c r="BV406" t="s">
        <v>163</v>
      </c>
      <c r="BW406">
        <v>2100</v>
      </c>
      <c r="BX406">
        <v>2350</v>
      </c>
      <c r="BY406">
        <v>2561.5</v>
      </c>
      <c r="BZ406">
        <v>0.09</v>
      </c>
      <c r="CA406">
        <v>250</v>
      </c>
      <c r="CB406">
        <v>0</v>
      </c>
      <c r="CC406">
        <v>0</v>
      </c>
      <c r="CD406">
        <v>1650</v>
      </c>
      <c r="CE406" t="s">
        <v>121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O406">
        <v>700</v>
      </c>
      <c r="CP406">
        <v>8400</v>
      </c>
      <c r="CQ406">
        <v>42.42</v>
      </c>
      <c r="CR406" t="s">
        <v>168</v>
      </c>
      <c r="CS406">
        <v>616</v>
      </c>
    </row>
    <row r="407" spans="1:97" x14ac:dyDescent="0.2">
      <c r="A407" t="s">
        <v>2852</v>
      </c>
      <c r="B407">
        <v>382</v>
      </c>
      <c r="C407" t="s">
        <v>2853</v>
      </c>
      <c r="D407" t="s">
        <v>2854</v>
      </c>
      <c r="E407" t="s">
        <v>2855</v>
      </c>
      <c r="F407" t="s">
        <v>126</v>
      </c>
      <c r="H407">
        <v>7</v>
      </c>
      <c r="I407">
        <v>10</v>
      </c>
      <c r="J407">
        <v>1</v>
      </c>
      <c r="K407" t="s">
        <v>102</v>
      </c>
      <c r="M407" t="s">
        <v>137</v>
      </c>
      <c r="P407" t="s">
        <v>2856</v>
      </c>
      <c r="Q407" t="s">
        <v>2857</v>
      </c>
      <c r="R407" t="s">
        <v>2858</v>
      </c>
      <c r="S407" t="s">
        <v>2859</v>
      </c>
      <c r="T407">
        <v>4506</v>
      </c>
      <c r="U407">
        <v>450</v>
      </c>
      <c r="V407">
        <v>0</v>
      </c>
      <c r="W407">
        <v>799</v>
      </c>
      <c r="X407" t="s">
        <v>2807</v>
      </c>
      <c r="Y407" t="s">
        <v>109</v>
      </c>
      <c r="AA407" t="s">
        <v>2808</v>
      </c>
      <c r="AB407" t="s">
        <v>2809</v>
      </c>
      <c r="AJ407">
        <v>650</v>
      </c>
      <c r="AM407" t="s">
        <v>120</v>
      </c>
      <c r="AO407">
        <v>1</v>
      </c>
      <c r="AT407">
        <v>4506</v>
      </c>
      <c r="AU407">
        <v>4506</v>
      </c>
      <c r="AV407">
        <v>4911.54</v>
      </c>
      <c r="AW407">
        <v>0.09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17</v>
      </c>
      <c r="BD407" t="s">
        <v>108</v>
      </c>
      <c r="BE407" t="s">
        <v>109</v>
      </c>
      <c r="BG407" t="s">
        <v>110</v>
      </c>
      <c r="BH407" t="s">
        <v>111</v>
      </c>
      <c r="BI407" t="s">
        <v>112</v>
      </c>
      <c r="BJ407" t="s">
        <v>113</v>
      </c>
      <c r="BK407" t="s">
        <v>114</v>
      </c>
      <c r="BL407" t="s">
        <v>115</v>
      </c>
      <c r="BM407" t="s">
        <v>116</v>
      </c>
      <c r="BO407" t="s">
        <v>117</v>
      </c>
      <c r="BQ407">
        <v>136</v>
      </c>
      <c r="BR407" t="s">
        <v>2860</v>
      </c>
      <c r="BU407" t="s">
        <v>216</v>
      </c>
      <c r="BV407" t="s">
        <v>120</v>
      </c>
      <c r="BW407">
        <v>4506.32</v>
      </c>
      <c r="BX407">
        <v>4956.32</v>
      </c>
      <c r="BY407">
        <v>5402.39</v>
      </c>
      <c r="BZ407">
        <v>0.09</v>
      </c>
      <c r="CA407">
        <v>450</v>
      </c>
      <c r="CB407">
        <v>0</v>
      </c>
      <c r="CC407">
        <v>0</v>
      </c>
      <c r="CD407">
        <v>4506</v>
      </c>
      <c r="CE407" t="s">
        <v>121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O407">
        <v>450.31999999999971</v>
      </c>
      <c r="CP407">
        <v>5403.8399999999974</v>
      </c>
      <c r="CQ407">
        <v>9.99</v>
      </c>
      <c r="CR407" t="s">
        <v>122</v>
      </c>
      <c r="CS407">
        <v>0</v>
      </c>
    </row>
    <row r="408" spans="1:97" x14ac:dyDescent="0.2">
      <c r="A408" t="s">
        <v>2861</v>
      </c>
      <c r="B408">
        <v>22</v>
      </c>
      <c r="C408" t="s">
        <v>2862</v>
      </c>
      <c r="D408" t="s">
        <v>2289</v>
      </c>
      <c r="E408" t="s">
        <v>2290</v>
      </c>
      <c r="F408" t="s">
        <v>101</v>
      </c>
      <c r="H408">
        <v>4</v>
      </c>
      <c r="I408">
        <v>7</v>
      </c>
      <c r="J408">
        <v>0</v>
      </c>
      <c r="K408" t="s">
        <v>102</v>
      </c>
      <c r="P408" t="s">
        <v>2292</v>
      </c>
      <c r="Q408" t="s">
        <v>2293</v>
      </c>
      <c r="R408" t="s">
        <v>2294</v>
      </c>
      <c r="S408" t="s">
        <v>2295</v>
      </c>
      <c r="T408">
        <v>2176.4699999999998</v>
      </c>
      <c r="U408">
        <v>450</v>
      </c>
      <c r="V408">
        <v>0</v>
      </c>
      <c r="AM408" t="s">
        <v>107</v>
      </c>
      <c r="BC408">
        <v>346</v>
      </c>
      <c r="BD408" t="s">
        <v>1356</v>
      </c>
      <c r="BE408" t="s">
        <v>109</v>
      </c>
      <c r="BG408" t="s">
        <v>1357</v>
      </c>
      <c r="BH408" t="s">
        <v>1358</v>
      </c>
      <c r="BI408" t="s">
        <v>1359</v>
      </c>
      <c r="BK408" t="s">
        <v>1360</v>
      </c>
      <c r="BL408" t="s">
        <v>115</v>
      </c>
      <c r="BM408" t="s">
        <v>1361</v>
      </c>
      <c r="BQ408">
        <v>14</v>
      </c>
      <c r="BR408" t="s">
        <v>2844</v>
      </c>
      <c r="BS408" t="s">
        <v>1078</v>
      </c>
      <c r="BT408">
        <v>4</v>
      </c>
      <c r="BU408" t="s">
        <v>119</v>
      </c>
      <c r="BV408" t="s">
        <v>483</v>
      </c>
      <c r="BW408">
        <v>4065</v>
      </c>
      <c r="BX408">
        <v>4515</v>
      </c>
      <c r="BY408">
        <v>4921.3500000000004</v>
      </c>
      <c r="BZ408">
        <v>0.09</v>
      </c>
      <c r="CA408">
        <v>450</v>
      </c>
      <c r="CB408">
        <v>0</v>
      </c>
      <c r="CC408">
        <v>375</v>
      </c>
      <c r="CD408">
        <v>2176.4699999999998</v>
      </c>
      <c r="CE408" t="s">
        <v>121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1</v>
      </c>
      <c r="CM408">
        <v>0</v>
      </c>
      <c r="CN408" t="s">
        <v>182</v>
      </c>
      <c r="CO408">
        <v>4515</v>
      </c>
      <c r="CP408">
        <v>54180</v>
      </c>
      <c r="CR408" t="s">
        <v>1648</v>
      </c>
      <c r="CS408">
        <v>0</v>
      </c>
    </row>
    <row r="409" spans="1:97" x14ac:dyDescent="0.2">
      <c r="A409" t="s">
        <v>2863</v>
      </c>
      <c r="B409">
        <v>383</v>
      </c>
      <c r="C409" t="s">
        <v>2864</v>
      </c>
      <c r="D409" t="s">
        <v>2289</v>
      </c>
      <c r="E409" t="s">
        <v>2326</v>
      </c>
      <c r="F409" t="s">
        <v>101</v>
      </c>
      <c r="H409">
        <v>3</v>
      </c>
      <c r="I409">
        <v>3</v>
      </c>
      <c r="J409">
        <v>0</v>
      </c>
      <c r="K409" t="s">
        <v>102</v>
      </c>
      <c r="P409" t="s">
        <v>2292</v>
      </c>
      <c r="Q409" t="s">
        <v>2293</v>
      </c>
      <c r="R409" t="s">
        <v>2294</v>
      </c>
      <c r="S409" t="s">
        <v>2295</v>
      </c>
      <c r="T409">
        <v>0</v>
      </c>
      <c r="U409">
        <v>0</v>
      </c>
      <c r="V409">
        <v>0</v>
      </c>
      <c r="AM409" t="s">
        <v>107</v>
      </c>
      <c r="BV409" t="s">
        <v>142</v>
      </c>
      <c r="CD409">
        <v>0</v>
      </c>
      <c r="CO409">
        <v>0</v>
      </c>
      <c r="CP409">
        <v>0</v>
      </c>
      <c r="CR409" t="s">
        <v>1648</v>
      </c>
      <c r="CS409">
        <v>0</v>
      </c>
    </row>
    <row r="410" spans="1:97" x14ac:dyDescent="0.2">
      <c r="A410" t="s">
        <v>2865</v>
      </c>
      <c r="B410">
        <v>390</v>
      </c>
      <c r="C410" t="s">
        <v>2866</v>
      </c>
      <c r="D410" t="s">
        <v>2854</v>
      </c>
      <c r="E410" t="s">
        <v>1602</v>
      </c>
      <c r="F410" t="s">
        <v>126</v>
      </c>
      <c r="H410">
        <v>4</v>
      </c>
      <c r="I410">
        <v>6</v>
      </c>
      <c r="J410">
        <v>1</v>
      </c>
      <c r="K410" t="s">
        <v>102</v>
      </c>
      <c r="L410" t="s">
        <v>2867</v>
      </c>
      <c r="M410" t="s">
        <v>137</v>
      </c>
      <c r="P410" t="s">
        <v>2868</v>
      </c>
      <c r="Q410" t="s">
        <v>2869</v>
      </c>
      <c r="R410" t="s">
        <v>2870</v>
      </c>
      <c r="S410" t="s">
        <v>2871</v>
      </c>
      <c r="T410">
        <v>4568</v>
      </c>
      <c r="U410">
        <v>200</v>
      </c>
      <c r="V410">
        <v>0</v>
      </c>
      <c r="W410">
        <v>172</v>
      </c>
      <c r="X410" t="s">
        <v>2092</v>
      </c>
      <c r="Y410" t="s">
        <v>109</v>
      </c>
      <c r="AA410" t="s">
        <v>2093</v>
      </c>
      <c r="AB410" t="s">
        <v>2094</v>
      </c>
      <c r="AC410" t="s">
        <v>2095</v>
      </c>
      <c r="AE410" t="s">
        <v>2096</v>
      </c>
      <c r="AF410" t="s">
        <v>115</v>
      </c>
      <c r="AG410" t="s">
        <v>2097</v>
      </c>
      <c r="AI410" t="s">
        <v>2098</v>
      </c>
      <c r="AJ410">
        <v>657</v>
      </c>
      <c r="AK410" t="s">
        <v>1331</v>
      </c>
      <c r="AM410" t="s">
        <v>120</v>
      </c>
      <c r="AO410">
        <v>1</v>
      </c>
      <c r="AT410">
        <v>3700</v>
      </c>
      <c r="AU410">
        <v>4200</v>
      </c>
      <c r="AV410">
        <v>4578</v>
      </c>
      <c r="AW410">
        <v>0.09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123</v>
      </c>
      <c r="BD410" t="s">
        <v>2872</v>
      </c>
      <c r="BE410" t="s">
        <v>109</v>
      </c>
      <c r="BG410" t="s">
        <v>2873</v>
      </c>
      <c r="BH410" t="s">
        <v>2874</v>
      </c>
      <c r="BI410" t="s">
        <v>2875</v>
      </c>
      <c r="BK410" t="s">
        <v>272</v>
      </c>
      <c r="BL410" t="s">
        <v>115</v>
      </c>
      <c r="BM410" t="s">
        <v>2876</v>
      </c>
      <c r="BO410" t="s">
        <v>2877</v>
      </c>
      <c r="BQ410">
        <v>144</v>
      </c>
      <c r="BR410" t="s">
        <v>1331</v>
      </c>
      <c r="BU410" t="s">
        <v>216</v>
      </c>
      <c r="BV410" t="s">
        <v>120</v>
      </c>
      <c r="BW410">
        <v>4568</v>
      </c>
      <c r="BX410">
        <v>4568</v>
      </c>
      <c r="BY410">
        <v>4979.12</v>
      </c>
      <c r="BZ410">
        <v>0.09</v>
      </c>
      <c r="CA410">
        <v>0</v>
      </c>
      <c r="CB410">
        <v>0</v>
      </c>
      <c r="CC410">
        <v>375</v>
      </c>
      <c r="CD410">
        <v>4568</v>
      </c>
      <c r="CE410" t="s">
        <v>181</v>
      </c>
      <c r="CF410">
        <v>1</v>
      </c>
      <c r="CG410">
        <v>1</v>
      </c>
      <c r="CH410">
        <v>1</v>
      </c>
      <c r="CI410">
        <v>0</v>
      </c>
      <c r="CJ410">
        <v>0</v>
      </c>
      <c r="CK410">
        <v>0</v>
      </c>
      <c r="CL410">
        <v>1</v>
      </c>
      <c r="CM410">
        <v>0</v>
      </c>
      <c r="CN410" t="s">
        <v>182</v>
      </c>
      <c r="CO410">
        <v>368</v>
      </c>
      <c r="CP410">
        <v>4416</v>
      </c>
      <c r="CQ410">
        <v>8.76</v>
      </c>
      <c r="CR410" t="s">
        <v>122</v>
      </c>
      <c r="CS410">
        <v>0</v>
      </c>
    </row>
    <row r="411" spans="1:97" x14ac:dyDescent="0.2">
      <c r="A411" t="s">
        <v>2878</v>
      </c>
      <c r="B411">
        <v>384</v>
      </c>
      <c r="C411" t="s">
        <v>2879</v>
      </c>
      <c r="D411" t="s">
        <v>2880</v>
      </c>
      <c r="E411" t="s">
        <v>272</v>
      </c>
      <c r="F411" t="s">
        <v>126</v>
      </c>
      <c r="H411">
        <v>3</v>
      </c>
      <c r="I411">
        <v>5</v>
      </c>
      <c r="J411">
        <v>1</v>
      </c>
      <c r="K411" t="s">
        <v>127</v>
      </c>
      <c r="P411" t="s">
        <v>2881</v>
      </c>
      <c r="Q411" t="s">
        <v>2882</v>
      </c>
      <c r="R411" t="s">
        <v>2883</v>
      </c>
      <c r="S411" t="s">
        <v>2884</v>
      </c>
      <c r="T411">
        <v>2950</v>
      </c>
      <c r="U411">
        <v>300</v>
      </c>
      <c r="V411">
        <v>0</v>
      </c>
      <c r="W411">
        <v>832</v>
      </c>
      <c r="X411" t="s">
        <v>2885</v>
      </c>
      <c r="Y411" t="s">
        <v>109</v>
      </c>
      <c r="AJ411">
        <v>714</v>
      </c>
      <c r="AK411" t="s">
        <v>1807</v>
      </c>
      <c r="AL411" t="s">
        <v>1808</v>
      </c>
      <c r="AM411" t="s">
        <v>163</v>
      </c>
      <c r="AO411">
        <v>1</v>
      </c>
      <c r="AT411">
        <v>2060</v>
      </c>
      <c r="AU411">
        <v>2060</v>
      </c>
      <c r="AV411">
        <v>2245.4</v>
      </c>
      <c r="AW411">
        <v>0.09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48</v>
      </c>
      <c r="BD411" t="s">
        <v>1806</v>
      </c>
      <c r="BE411" t="s">
        <v>109</v>
      </c>
      <c r="BQ411">
        <v>206</v>
      </c>
      <c r="BR411" t="s">
        <v>1807</v>
      </c>
      <c r="BS411" t="s">
        <v>1808</v>
      </c>
      <c r="BT411">
        <v>12</v>
      </c>
      <c r="BU411" t="s">
        <v>119</v>
      </c>
      <c r="BV411" t="s">
        <v>163</v>
      </c>
      <c r="BW411">
        <v>2950</v>
      </c>
      <c r="BX411">
        <v>3250</v>
      </c>
      <c r="BY411">
        <v>3542.5</v>
      </c>
      <c r="BZ411">
        <v>0.09</v>
      </c>
      <c r="CA411">
        <v>300</v>
      </c>
      <c r="CB411">
        <v>0</v>
      </c>
      <c r="CC411">
        <v>375</v>
      </c>
      <c r="CD411">
        <v>2950</v>
      </c>
      <c r="CE411" t="s">
        <v>121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 t="s">
        <v>182</v>
      </c>
      <c r="CO411">
        <v>1190</v>
      </c>
      <c r="CP411">
        <v>14280</v>
      </c>
      <c r="CQ411">
        <v>57.77</v>
      </c>
      <c r="CR411" t="s">
        <v>168</v>
      </c>
      <c r="CS411">
        <v>282</v>
      </c>
    </row>
    <row r="412" spans="1:97" x14ac:dyDescent="0.2">
      <c r="A412" t="s">
        <v>2886</v>
      </c>
      <c r="B412">
        <v>385</v>
      </c>
      <c r="C412" t="s">
        <v>2887</v>
      </c>
      <c r="D412" t="s">
        <v>2888</v>
      </c>
      <c r="E412" t="s">
        <v>243</v>
      </c>
      <c r="F412" t="s">
        <v>126</v>
      </c>
      <c r="H412">
        <v>4</v>
      </c>
      <c r="I412">
        <v>6</v>
      </c>
      <c r="J412">
        <v>1</v>
      </c>
      <c r="K412" t="s">
        <v>102</v>
      </c>
      <c r="P412" t="s">
        <v>2889</v>
      </c>
      <c r="Q412" t="s">
        <v>2890</v>
      </c>
      <c r="R412" t="s">
        <v>2891</v>
      </c>
      <c r="S412" t="s">
        <v>2892</v>
      </c>
      <c r="T412">
        <v>4000</v>
      </c>
      <c r="U412">
        <v>350</v>
      </c>
      <c r="V412">
        <v>0</v>
      </c>
      <c r="W412">
        <v>84</v>
      </c>
      <c r="X412" t="s">
        <v>2547</v>
      </c>
      <c r="Y412" t="s">
        <v>1072</v>
      </c>
      <c r="AJ412">
        <v>750</v>
      </c>
      <c r="AK412" t="s">
        <v>2893</v>
      </c>
      <c r="AL412" t="s">
        <v>1055</v>
      </c>
      <c r="AM412" t="s">
        <v>163</v>
      </c>
      <c r="AO412">
        <v>1</v>
      </c>
      <c r="AT412">
        <v>2470</v>
      </c>
      <c r="AU412">
        <v>2470</v>
      </c>
      <c r="AV412">
        <v>2692.3</v>
      </c>
      <c r="AW412">
        <v>0.09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329</v>
      </c>
      <c r="BD412" t="s">
        <v>356</v>
      </c>
      <c r="BE412" t="s">
        <v>109</v>
      </c>
      <c r="BG412" t="s">
        <v>357</v>
      </c>
      <c r="BH412" t="s">
        <v>358</v>
      </c>
      <c r="BI412" t="s">
        <v>359</v>
      </c>
      <c r="BK412" t="s">
        <v>360</v>
      </c>
      <c r="BL412" t="s">
        <v>361</v>
      </c>
      <c r="BM412" t="s">
        <v>362</v>
      </c>
      <c r="BQ412">
        <v>246</v>
      </c>
      <c r="BR412" t="s">
        <v>2893</v>
      </c>
      <c r="BS412" t="s">
        <v>1055</v>
      </c>
      <c r="BT412">
        <v>5</v>
      </c>
      <c r="BU412" t="s">
        <v>119</v>
      </c>
      <c r="BV412" t="s">
        <v>163</v>
      </c>
      <c r="BW412">
        <v>4000</v>
      </c>
      <c r="BX412">
        <v>4350</v>
      </c>
      <c r="BY412">
        <v>4741.5</v>
      </c>
      <c r="BZ412">
        <v>0.09</v>
      </c>
      <c r="CA412">
        <v>350</v>
      </c>
      <c r="CB412">
        <v>0</v>
      </c>
      <c r="CC412">
        <v>375</v>
      </c>
      <c r="CD412">
        <v>4000</v>
      </c>
      <c r="CE412" t="s">
        <v>121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 t="s">
        <v>182</v>
      </c>
      <c r="CO412">
        <v>1880</v>
      </c>
      <c r="CP412">
        <v>22560</v>
      </c>
      <c r="CQ412">
        <v>76.11</v>
      </c>
      <c r="CR412" t="s">
        <v>168</v>
      </c>
      <c r="CS412">
        <v>68</v>
      </c>
    </row>
    <row r="413" spans="1:97" x14ac:dyDescent="0.2">
      <c r="A413" t="s">
        <v>2894</v>
      </c>
      <c r="B413">
        <v>386</v>
      </c>
      <c r="C413" t="s">
        <v>2895</v>
      </c>
      <c r="D413" t="s">
        <v>2896</v>
      </c>
      <c r="E413" t="s">
        <v>272</v>
      </c>
      <c r="F413" t="s">
        <v>101</v>
      </c>
      <c r="H413">
        <v>2</v>
      </c>
      <c r="I413">
        <v>2</v>
      </c>
      <c r="J413">
        <v>1</v>
      </c>
      <c r="K413" t="s">
        <v>102</v>
      </c>
      <c r="P413" t="s">
        <v>2897</v>
      </c>
      <c r="Q413" t="s">
        <v>2898</v>
      </c>
      <c r="R413" t="s">
        <v>2899</v>
      </c>
      <c r="S413" t="s">
        <v>2900</v>
      </c>
      <c r="T413">
        <v>1600</v>
      </c>
      <c r="U413">
        <v>200</v>
      </c>
      <c r="V413">
        <v>0</v>
      </c>
      <c r="W413">
        <v>751</v>
      </c>
      <c r="X413" t="s">
        <v>2901</v>
      </c>
      <c r="Y413" t="s">
        <v>109</v>
      </c>
      <c r="AJ413">
        <v>517</v>
      </c>
      <c r="AK413" t="s">
        <v>2902</v>
      </c>
      <c r="AL413" t="s">
        <v>1055</v>
      </c>
      <c r="AM413" t="s">
        <v>163</v>
      </c>
      <c r="AO413">
        <v>1</v>
      </c>
      <c r="AT413">
        <v>1100</v>
      </c>
      <c r="AU413">
        <v>1100</v>
      </c>
      <c r="AV413">
        <v>1199</v>
      </c>
      <c r="AW413">
        <v>0.09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23</v>
      </c>
      <c r="BD413" t="s">
        <v>1278</v>
      </c>
      <c r="BE413" t="s">
        <v>109</v>
      </c>
      <c r="BI413" t="s">
        <v>1279</v>
      </c>
      <c r="BK413" t="s">
        <v>1280</v>
      </c>
      <c r="BL413" t="s">
        <v>115</v>
      </c>
      <c r="BO413" t="s">
        <v>1281</v>
      </c>
      <c r="BQ413">
        <v>1</v>
      </c>
      <c r="BR413" t="s">
        <v>2902</v>
      </c>
      <c r="BS413" t="s">
        <v>1055</v>
      </c>
      <c r="BT413">
        <v>5</v>
      </c>
      <c r="BU413" t="s">
        <v>119</v>
      </c>
      <c r="BV413" t="s">
        <v>163</v>
      </c>
      <c r="BW413">
        <v>1600</v>
      </c>
      <c r="BX413">
        <v>1800</v>
      </c>
      <c r="BY413">
        <v>1962</v>
      </c>
      <c r="BZ413">
        <v>0.09</v>
      </c>
      <c r="CA413">
        <v>200</v>
      </c>
      <c r="CB413">
        <v>0</v>
      </c>
      <c r="CC413">
        <v>250</v>
      </c>
      <c r="CD413">
        <v>1600</v>
      </c>
      <c r="CE413" t="s">
        <v>121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0</v>
      </c>
      <c r="CN413" t="s">
        <v>201</v>
      </c>
      <c r="CO413">
        <v>700</v>
      </c>
      <c r="CP413">
        <v>8400</v>
      </c>
      <c r="CQ413">
        <v>63.64</v>
      </c>
      <c r="CR413" t="s">
        <v>168</v>
      </c>
      <c r="CS413">
        <v>68</v>
      </c>
    </row>
    <row r="414" spans="1:97" x14ac:dyDescent="0.2">
      <c r="A414" t="s">
        <v>2903</v>
      </c>
      <c r="B414">
        <v>387</v>
      </c>
      <c r="C414" t="s">
        <v>2904</v>
      </c>
      <c r="D414" t="s">
        <v>2905</v>
      </c>
      <c r="E414" t="s">
        <v>272</v>
      </c>
      <c r="F414" t="s">
        <v>126</v>
      </c>
      <c r="H414">
        <v>3</v>
      </c>
      <c r="I414">
        <v>3</v>
      </c>
      <c r="J414">
        <v>1</v>
      </c>
      <c r="K414" t="s">
        <v>102</v>
      </c>
      <c r="P414" t="s">
        <v>2906</v>
      </c>
      <c r="Q414" t="s">
        <v>2907</v>
      </c>
      <c r="R414" t="s">
        <v>2908</v>
      </c>
      <c r="S414" t="s">
        <v>2909</v>
      </c>
      <c r="T414">
        <v>2350</v>
      </c>
      <c r="U414">
        <v>200</v>
      </c>
      <c r="V414">
        <v>0</v>
      </c>
      <c r="W414">
        <v>751</v>
      </c>
      <c r="X414" t="s">
        <v>2901</v>
      </c>
      <c r="Y414" t="s">
        <v>109</v>
      </c>
      <c r="AJ414">
        <v>647</v>
      </c>
      <c r="AK414" t="s">
        <v>2910</v>
      </c>
      <c r="AL414" t="s">
        <v>1055</v>
      </c>
      <c r="AM414" t="s">
        <v>163</v>
      </c>
      <c r="AO414">
        <v>1</v>
      </c>
      <c r="AT414">
        <v>1365</v>
      </c>
      <c r="AU414">
        <v>1365</v>
      </c>
      <c r="AV414">
        <v>1487.85</v>
      </c>
      <c r="AW414">
        <v>0.09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23</v>
      </c>
      <c r="BD414" t="s">
        <v>1278</v>
      </c>
      <c r="BE414" t="s">
        <v>109</v>
      </c>
      <c r="BI414" t="s">
        <v>1279</v>
      </c>
      <c r="BK414" t="s">
        <v>1280</v>
      </c>
      <c r="BL414" t="s">
        <v>115</v>
      </c>
      <c r="BO414" t="s">
        <v>1281</v>
      </c>
      <c r="BQ414">
        <v>132</v>
      </c>
      <c r="BR414" t="s">
        <v>2910</v>
      </c>
      <c r="BS414" t="s">
        <v>1055</v>
      </c>
      <c r="BT414">
        <v>5</v>
      </c>
      <c r="BU414" t="s">
        <v>119</v>
      </c>
      <c r="BV414" t="s">
        <v>163</v>
      </c>
      <c r="BW414">
        <v>2350</v>
      </c>
      <c r="BX414">
        <v>2550</v>
      </c>
      <c r="BY414">
        <v>2779.5</v>
      </c>
      <c r="BZ414">
        <v>0.09</v>
      </c>
      <c r="CA414">
        <v>200</v>
      </c>
      <c r="CB414">
        <v>0</v>
      </c>
      <c r="CC414">
        <v>250</v>
      </c>
      <c r="CD414">
        <v>2350</v>
      </c>
      <c r="CE414" t="s">
        <v>121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 t="s">
        <v>201</v>
      </c>
      <c r="CO414">
        <v>1185</v>
      </c>
      <c r="CP414">
        <v>14220</v>
      </c>
      <c r="CQ414">
        <v>86.81</v>
      </c>
      <c r="CR414" t="s">
        <v>168</v>
      </c>
      <c r="CS414">
        <v>68</v>
      </c>
    </row>
    <row r="415" spans="1:97" x14ac:dyDescent="0.2">
      <c r="A415" t="s">
        <v>2911</v>
      </c>
      <c r="B415">
        <v>388</v>
      </c>
      <c r="C415" t="s">
        <v>2912</v>
      </c>
      <c r="D415" t="s">
        <v>2913</v>
      </c>
      <c r="E415" t="s">
        <v>2914</v>
      </c>
      <c r="F415" t="s">
        <v>126</v>
      </c>
      <c r="H415">
        <v>5</v>
      </c>
      <c r="I415">
        <v>10</v>
      </c>
      <c r="J415">
        <v>1</v>
      </c>
      <c r="K415" t="s">
        <v>102</v>
      </c>
      <c r="T415">
        <v>6282.85</v>
      </c>
      <c r="U415">
        <v>0</v>
      </c>
      <c r="V415">
        <v>0</v>
      </c>
      <c r="AM415" t="s">
        <v>107</v>
      </c>
      <c r="BC415">
        <v>17</v>
      </c>
      <c r="BD415" t="s">
        <v>108</v>
      </c>
      <c r="BE415" t="s">
        <v>109</v>
      </c>
      <c r="BG415" t="s">
        <v>110</v>
      </c>
      <c r="BH415" t="s">
        <v>111</v>
      </c>
      <c r="BI415" t="s">
        <v>112</v>
      </c>
      <c r="BJ415" t="s">
        <v>113</v>
      </c>
      <c r="BK415" t="s">
        <v>114</v>
      </c>
      <c r="BL415" t="s">
        <v>115</v>
      </c>
      <c r="BM415" t="s">
        <v>116</v>
      </c>
      <c r="BO415" t="s">
        <v>117</v>
      </c>
      <c r="BQ415">
        <v>370</v>
      </c>
      <c r="BR415" t="s">
        <v>118</v>
      </c>
      <c r="BU415" t="s">
        <v>119</v>
      </c>
      <c r="BV415" t="s">
        <v>120</v>
      </c>
      <c r="BW415">
        <v>0</v>
      </c>
      <c r="BX415">
        <v>3200</v>
      </c>
      <c r="BY415">
        <v>3488</v>
      </c>
      <c r="BZ415">
        <v>0.09</v>
      </c>
      <c r="CA415">
        <v>0</v>
      </c>
      <c r="CB415">
        <v>0</v>
      </c>
      <c r="CC415">
        <v>0</v>
      </c>
      <c r="CD415">
        <v>6282.85</v>
      </c>
      <c r="CE415" t="s">
        <v>121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O415">
        <v>3200</v>
      </c>
      <c r="CP415">
        <v>38400</v>
      </c>
      <c r="CR415" t="s">
        <v>122</v>
      </c>
      <c r="CS415">
        <v>0</v>
      </c>
    </row>
    <row r="416" spans="1:97" x14ac:dyDescent="0.2">
      <c r="A416" t="s">
        <v>2915</v>
      </c>
      <c r="B416">
        <v>391</v>
      </c>
      <c r="C416" t="s">
        <v>2916</v>
      </c>
      <c r="D416" t="s">
        <v>2917</v>
      </c>
      <c r="E416" t="s">
        <v>2918</v>
      </c>
      <c r="F416" t="s">
        <v>126</v>
      </c>
      <c r="H416">
        <v>5</v>
      </c>
      <c r="I416">
        <v>10</v>
      </c>
      <c r="J416">
        <v>1</v>
      </c>
      <c r="K416" t="s">
        <v>102</v>
      </c>
      <c r="P416" t="s">
        <v>2919</v>
      </c>
      <c r="Q416" t="s">
        <v>2920</v>
      </c>
      <c r="R416" t="s">
        <v>2921</v>
      </c>
      <c r="S416" t="s">
        <v>2922</v>
      </c>
      <c r="T416">
        <v>0</v>
      </c>
      <c r="U416">
        <v>0</v>
      </c>
      <c r="V416">
        <v>0</v>
      </c>
      <c r="W416">
        <v>375</v>
      </c>
      <c r="X416" t="s">
        <v>2923</v>
      </c>
      <c r="Y416" t="s">
        <v>109</v>
      </c>
      <c r="AA416" t="s">
        <v>2924</v>
      </c>
      <c r="AC416" t="s">
        <v>2925</v>
      </c>
      <c r="AE416" t="s">
        <v>2926</v>
      </c>
      <c r="AF416" t="s">
        <v>115</v>
      </c>
      <c r="AI416" t="s">
        <v>2927</v>
      </c>
      <c r="AJ416">
        <v>607</v>
      </c>
      <c r="AK416" t="s">
        <v>482</v>
      </c>
      <c r="AL416" t="s">
        <v>1407</v>
      </c>
      <c r="AM416" t="s">
        <v>163</v>
      </c>
      <c r="AO416">
        <v>1</v>
      </c>
      <c r="AT416">
        <v>6282.85</v>
      </c>
      <c r="AU416">
        <v>6282.85</v>
      </c>
      <c r="AV416">
        <v>6848.31</v>
      </c>
      <c r="AW416">
        <v>0.09</v>
      </c>
      <c r="AX416">
        <v>0</v>
      </c>
      <c r="AY416">
        <v>0</v>
      </c>
      <c r="AZ416">
        <v>0</v>
      </c>
      <c r="BA416">
        <v>0</v>
      </c>
      <c r="BB416">
        <v>0</v>
      </c>
      <c r="BV416" t="s">
        <v>142</v>
      </c>
      <c r="CD416">
        <v>0</v>
      </c>
      <c r="CO416">
        <v>-6282.85</v>
      </c>
      <c r="CP416">
        <v>-75394.200000000012</v>
      </c>
      <c r="CQ416">
        <v>-100</v>
      </c>
      <c r="CR416" t="s">
        <v>143</v>
      </c>
      <c r="CS416">
        <v>0</v>
      </c>
    </row>
    <row r="417" spans="1:97" x14ac:dyDescent="0.2">
      <c r="A417" t="s">
        <v>2928</v>
      </c>
      <c r="B417">
        <v>392</v>
      </c>
      <c r="C417" t="s">
        <v>2929</v>
      </c>
      <c r="D417" t="s">
        <v>2930</v>
      </c>
      <c r="E417" t="s">
        <v>272</v>
      </c>
      <c r="F417" t="s">
        <v>126</v>
      </c>
      <c r="G417">
        <v>81</v>
      </c>
      <c r="H417">
        <v>2</v>
      </c>
      <c r="I417">
        <v>2</v>
      </c>
      <c r="J417">
        <v>1</v>
      </c>
      <c r="K417" t="s">
        <v>102</v>
      </c>
      <c r="T417">
        <v>0</v>
      </c>
      <c r="U417">
        <v>130</v>
      </c>
      <c r="V417">
        <v>0</v>
      </c>
      <c r="AM417" t="s">
        <v>107</v>
      </c>
      <c r="BV417" t="s">
        <v>142</v>
      </c>
      <c r="CD417">
        <v>0</v>
      </c>
      <c r="CO417">
        <v>0</v>
      </c>
      <c r="CP417">
        <v>0</v>
      </c>
      <c r="CR417" t="s">
        <v>143</v>
      </c>
      <c r="CS417">
        <v>0</v>
      </c>
    </row>
    <row r="418" spans="1:97" x14ac:dyDescent="0.2">
      <c r="A418" t="s">
        <v>2931</v>
      </c>
      <c r="B418">
        <v>425</v>
      </c>
      <c r="C418" t="s">
        <v>2932</v>
      </c>
      <c r="D418" t="s">
        <v>2933</v>
      </c>
      <c r="E418" t="s">
        <v>679</v>
      </c>
      <c r="J418">
        <v>1</v>
      </c>
      <c r="K418" t="s">
        <v>102</v>
      </c>
      <c r="P418" t="s">
        <v>2934</v>
      </c>
      <c r="Q418" t="s">
        <v>2935</v>
      </c>
      <c r="R418" t="s">
        <v>2936</v>
      </c>
      <c r="S418" t="s">
        <v>2937</v>
      </c>
      <c r="T418">
        <v>0</v>
      </c>
      <c r="U418">
        <v>0</v>
      </c>
      <c r="V418">
        <v>0</v>
      </c>
      <c r="AM418" t="s">
        <v>107</v>
      </c>
      <c r="BV418" t="s">
        <v>142</v>
      </c>
      <c r="CD418">
        <v>0</v>
      </c>
      <c r="CO418">
        <v>0</v>
      </c>
      <c r="CP418">
        <v>0</v>
      </c>
      <c r="CR418" t="s">
        <v>143</v>
      </c>
      <c r="CS418">
        <v>0</v>
      </c>
    </row>
    <row r="419" spans="1:97" x14ac:dyDescent="0.2">
      <c r="A419" t="s">
        <v>2938</v>
      </c>
      <c r="B419">
        <v>426</v>
      </c>
      <c r="C419" t="s">
        <v>2939</v>
      </c>
      <c r="D419" t="s">
        <v>2940</v>
      </c>
      <c r="E419" t="s">
        <v>2941</v>
      </c>
      <c r="J419">
        <v>1</v>
      </c>
      <c r="K419" t="s">
        <v>102</v>
      </c>
      <c r="T419">
        <v>2516.8000000000002</v>
      </c>
      <c r="U419">
        <v>0</v>
      </c>
      <c r="V419">
        <v>0</v>
      </c>
      <c r="AM419" t="s">
        <v>107</v>
      </c>
      <c r="BV419" t="s">
        <v>142</v>
      </c>
      <c r="CD419">
        <v>2516.8000000000002</v>
      </c>
      <c r="CO419">
        <v>0</v>
      </c>
      <c r="CP419">
        <v>0</v>
      </c>
      <c r="CR419" t="s">
        <v>143</v>
      </c>
      <c r="CS419">
        <v>0</v>
      </c>
    </row>
    <row r="420" spans="1:97" x14ac:dyDescent="0.2">
      <c r="A420" t="s">
        <v>2942</v>
      </c>
      <c r="B420">
        <v>427</v>
      </c>
      <c r="C420" t="s">
        <v>2943</v>
      </c>
      <c r="D420" t="s">
        <v>2944</v>
      </c>
      <c r="E420" t="s">
        <v>842</v>
      </c>
      <c r="J420">
        <v>1</v>
      </c>
      <c r="K420" t="s">
        <v>102</v>
      </c>
      <c r="T420">
        <v>0</v>
      </c>
      <c r="U420">
        <v>0</v>
      </c>
      <c r="V420">
        <v>0</v>
      </c>
      <c r="AM420" t="s">
        <v>107</v>
      </c>
      <c r="BV420" t="s">
        <v>142</v>
      </c>
      <c r="CD420">
        <v>0</v>
      </c>
      <c r="CO420">
        <v>0</v>
      </c>
      <c r="CP420">
        <v>0</v>
      </c>
      <c r="CR420" t="s">
        <v>143</v>
      </c>
      <c r="CS420">
        <v>0</v>
      </c>
    </row>
    <row r="421" spans="1:97" x14ac:dyDescent="0.2">
      <c r="A421" t="s">
        <v>2945</v>
      </c>
      <c r="B421">
        <v>428</v>
      </c>
      <c r="C421" t="s">
        <v>2946</v>
      </c>
      <c r="D421" t="s">
        <v>2947</v>
      </c>
      <c r="E421" t="s">
        <v>252</v>
      </c>
      <c r="H421">
        <v>6</v>
      </c>
      <c r="I421">
        <v>6</v>
      </c>
      <c r="J421">
        <v>1</v>
      </c>
      <c r="K421" t="s">
        <v>102</v>
      </c>
      <c r="P421" t="s">
        <v>2948</v>
      </c>
      <c r="Q421" t="s">
        <v>2949</v>
      </c>
      <c r="R421" t="s">
        <v>2950</v>
      </c>
      <c r="S421" t="s">
        <v>2951</v>
      </c>
      <c r="T421">
        <v>2516.8000000000002</v>
      </c>
      <c r="U421">
        <v>0</v>
      </c>
      <c r="V421">
        <v>0</v>
      </c>
      <c r="W421">
        <v>145</v>
      </c>
      <c r="X421" t="s">
        <v>2952</v>
      </c>
      <c r="Y421" t="s">
        <v>109</v>
      </c>
      <c r="AA421" t="s">
        <v>2953</v>
      </c>
      <c r="AC421" t="s">
        <v>2954</v>
      </c>
      <c r="AE421" t="s">
        <v>272</v>
      </c>
      <c r="AF421" t="s">
        <v>115</v>
      </c>
      <c r="AG421" t="s">
        <v>2955</v>
      </c>
      <c r="AI421" t="s">
        <v>2956</v>
      </c>
      <c r="AJ421">
        <v>595</v>
      </c>
      <c r="AK421" t="s">
        <v>482</v>
      </c>
      <c r="AL421" t="s">
        <v>1407</v>
      </c>
      <c r="AM421" t="s">
        <v>163</v>
      </c>
      <c r="AO421">
        <v>1</v>
      </c>
      <c r="AT421">
        <v>4100</v>
      </c>
      <c r="AU421">
        <v>4160</v>
      </c>
      <c r="AV421">
        <v>4534.3999999999996</v>
      </c>
      <c r="AW421">
        <v>0.09</v>
      </c>
      <c r="AX421">
        <v>0</v>
      </c>
      <c r="AY421">
        <v>0</v>
      </c>
      <c r="AZ421">
        <v>0</v>
      </c>
      <c r="BA421">
        <v>0</v>
      </c>
      <c r="BB421">
        <v>0</v>
      </c>
      <c r="BV421" t="s">
        <v>142</v>
      </c>
      <c r="CD421">
        <v>2516.8000000000002</v>
      </c>
      <c r="CO421">
        <v>-4160</v>
      </c>
      <c r="CP421">
        <v>-49920</v>
      </c>
      <c r="CQ421">
        <v>-100</v>
      </c>
      <c r="CR421" t="s">
        <v>143</v>
      </c>
      <c r="CS421">
        <v>0</v>
      </c>
    </row>
    <row r="422" spans="1:97" x14ac:dyDescent="0.2">
      <c r="A422" t="s">
        <v>2957</v>
      </c>
      <c r="B422">
        <v>429</v>
      </c>
      <c r="C422" t="s">
        <v>2958</v>
      </c>
      <c r="D422" t="s">
        <v>2959</v>
      </c>
      <c r="E422" t="s">
        <v>252</v>
      </c>
      <c r="H422">
        <v>3</v>
      </c>
      <c r="I422">
        <v>3</v>
      </c>
      <c r="J422">
        <v>1</v>
      </c>
      <c r="K422" t="s">
        <v>102</v>
      </c>
      <c r="P422" t="s">
        <v>2960</v>
      </c>
      <c r="Q422" t="s">
        <v>2961</v>
      </c>
      <c r="R422" t="s">
        <v>2962</v>
      </c>
      <c r="S422" t="s">
        <v>2963</v>
      </c>
      <c r="T422">
        <v>2665</v>
      </c>
      <c r="U422">
        <v>150</v>
      </c>
      <c r="V422">
        <v>0</v>
      </c>
      <c r="W422">
        <v>145</v>
      </c>
      <c r="X422" t="s">
        <v>2952</v>
      </c>
      <c r="Y422" t="s">
        <v>109</v>
      </c>
      <c r="AA422" t="s">
        <v>2953</v>
      </c>
      <c r="AC422" t="s">
        <v>2954</v>
      </c>
      <c r="AE422" t="s">
        <v>272</v>
      </c>
      <c r="AF422" t="s">
        <v>115</v>
      </c>
      <c r="AG422" t="s">
        <v>2955</v>
      </c>
      <c r="AI422" t="s">
        <v>2956</v>
      </c>
      <c r="AJ422">
        <v>556</v>
      </c>
      <c r="AK422" t="s">
        <v>482</v>
      </c>
      <c r="AL422" t="s">
        <v>1407</v>
      </c>
      <c r="AM422" t="s">
        <v>163</v>
      </c>
      <c r="AO422">
        <v>1</v>
      </c>
      <c r="AT422">
        <v>2020</v>
      </c>
      <c r="AU422">
        <v>2080</v>
      </c>
      <c r="AV422">
        <v>2267.1999999999998</v>
      </c>
      <c r="AW422">
        <v>0.09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23</v>
      </c>
      <c r="BD422" t="s">
        <v>1278</v>
      </c>
      <c r="BE422" t="s">
        <v>109</v>
      </c>
      <c r="BI422" t="s">
        <v>1279</v>
      </c>
      <c r="BK422" t="s">
        <v>1280</v>
      </c>
      <c r="BL422" t="s">
        <v>115</v>
      </c>
      <c r="BO422" t="s">
        <v>1281</v>
      </c>
      <c r="BQ422">
        <v>41</v>
      </c>
      <c r="BR422" t="s">
        <v>482</v>
      </c>
      <c r="BS422" t="s">
        <v>1407</v>
      </c>
      <c r="BT422">
        <v>12</v>
      </c>
      <c r="BU422" t="s">
        <v>119</v>
      </c>
      <c r="BV422" t="s">
        <v>163</v>
      </c>
      <c r="BW422">
        <v>2665</v>
      </c>
      <c r="BX422">
        <v>2815</v>
      </c>
      <c r="BY422">
        <v>3068.35</v>
      </c>
      <c r="BZ422">
        <v>0.09</v>
      </c>
      <c r="CA422">
        <v>150</v>
      </c>
      <c r="CB422">
        <v>0</v>
      </c>
      <c r="CC422">
        <v>250</v>
      </c>
      <c r="CD422">
        <v>2665</v>
      </c>
      <c r="CE422" t="s">
        <v>121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 t="s">
        <v>201</v>
      </c>
      <c r="CO422">
        <v>735</v>
      </c>
      <c r="CP422">
        <v>8820</v>
      </c>
      <c r="CQ422">
        <v>35.340000000000003</v>
      </c>
      <c r="CR422" t="s">
        <v>168</v>
      </c>
      <c r="CS422">
        <v>343</v>
      </c>
    </row>
    <row r="423" spans="1:97" x14ac:dyDescent="0.2">
      <c r="A423" t="s">
        <v>2964</v>
      </c>
      <c r="B423">
        <v>430</v>
      </c>
      <c r="C423" t="s">
        <v>2965</v>
      </c>
      <c r="D423" t="s">
        <v>2959</v>
      </c>
      <c r="E423" t="s">
        <v>252</v>
      </c>
      <c r="H423">
        <v>3</v>
      </c>
      <c r="I423">
        <v>3</v>
      </c>
      <c r="J423">
        <v>1</v>
      </c>
      <c r="K423" t="s">
        <v>102</v>
      </c>
      <c r="P423" t="s">
        <v>2966</v>
      </c>
      <c r="Q423" t="s">
        <v>2967</v>
      </c>
      <c r="R423" t="s">
        <v>2968</v>
      </c>
      <c r="S423" t="s">
        <v>2969</v>
      </c>
      <c r="T423">
        <v>0</v>
      </c>
      <c r="U423">
        <v>0</v>
      </c>
      <c r="V423">
        <v>0</v>
      </c>
      <c r="W423">
        <v>145</v>
      </c>
      <c r="X423" t="s">
        <v>2952</v>
      </c>
      <c r="Y423" t="s">
        <v>109</v>
      </c>
      <c r="AA423" t="s">
        <v>2953</v>
      </c>
      <c r="AC423" t="s">
        <v>2954</v>
      </c>
      <c r="AE423" t="s">
        <v>272</v>
      </c>
      <c r="AF423" t="s">
        <v>115</v>
      </c>
      <c r="AG423" t="s">
        <v>2955</v>
      </c>
      <c r="AI423" t="s">
        <v>2956</v>
      </c>
      <c r="AJ423">
        <v>557</v>
      </c>
      <c r="AK423" t="s">
        <v>482</v>
      </c>
      <c r="AL423" t="s">
        <v>1407</v>
      </c>
      <c r="AM423" t="s">
        <v>163</v>
      </c>
      <c r="AO423">
        <v>1</v>
      </c>
      <c r="AT423">
        <v>2020</v>
      </c>
      <c r="AU423">
        <v>2080</v>
      </c>
      <c r="AV423">
        <v>2267.1999999999998</v>
      </c>
      <c r="AW423">
        <v>0.09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23</v>
      </c>
      <c r="BD423" t="s">
        <v>1278</v>
      </c>
      <c r="BE423" t="s">
        <v>109</v>
      </c>
      <c r="BI423" t="s">
        <v>1279</v>
      </c>
      <c r="BK423" t="s">
        <v>1280</v>
      </c>
      <c r="BL423" t="s">
        <v>115</v>
      </c>
      <c r="BO423" t="s">
        <v>1281</v>
      </c>
      <c r="BQ423">
        <v>42</v>
      </c>
      <c r="BR423" t="s">
        <v>482</v>
      </c>
      <c r="BS423" t="s">
        <v>1407</v>
      </c>
      <c r="BT423">
        <v>12</v>
      </c>
      <c r="BU423" t="s">
        <v>119</v>
      </c>
      <c r="BV423" t="s">
        <v>163</v>
      </c>
      <c r="BW423">
        <v>2665</v>
      </c>
      <c r="BX423">
        <v>2815</v>
      </c>
      <c r="BY423">
        <v>3068.35</v>
      </c>
      <c r="BZ423">
        <v>0.09</v>
      </c>
      <c r="CA423">
        <v>150</v>
      </c>
      <c r="CB423">
        <v>0</v>
      </c>
      <c r="CC423">
        <v>0</v>
      </c>
      <c r="CD423">
        <v>0</v>
      </c>
      <c r="CE423" t="s">
        <v>121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O423">
        <v>735</v>
      </c>
      <c r="CP423">
        <v>8820</v>
      </c>
      <c r="CQ423">
        <v>35.340000000000003</v>
      </c>
      <c r="CR423" t="s">
        <v>168</v>
      </c>
      <c r="CS423">
        <v>343</v>
      </c>
    </row>
    <row r="424" spans="1:97" x14ac:dyDescent="0.2">
      <c r="A424" t="s">
        <v>2970</v>
      </c>
      <c r="B424">
        <v>393</v>
      </c>
      <c r="C424" t="s">
        <v>2971</v>
      </c>
      <c r="E424" t="s">
        <v>1832</v>
      </c>
      <c r="J424">
        <v>1</v>
      </c>
      <c r="K424" t="s">
        <v>102</v>
      </c>
      <c r="T424">
        <v>0</v>
      </c>
      <c r="U424">
        <v>193.05</v>
      </c>
      <c r="V424">
        <v>0</v>
      </c>
      <c r="AM424" t="s">
        <v>107</v>
      </c>
      <c r="BC424">
        <v>17</v>
      </c>
      <c r="BD424" t="s">
        <v>108</v>
      </c>
      <c r="BE424" t="s">
        <v>109</v>
      </c>
      <c r="BG424" t="s">
        <v>110</v>
      </c>
      <c r="BH424" t="s">
        <v>111</v>
      </c>
      <c r="BI424" t="s">
        <v>112</v>
      </c>
      <c r="BJ424" t="s">
        <v>113</v>
      </c>
      <c r="BK424" t="s">
        <v>114</v>
      </c>
      <c r="BL424" t="s">
        <v>115</v>
      </c>
      <c r="BM424" t="s">
        <v>116</v>
      </c>
      <c r="BO424" t="s">
        <v>117</v>
      </c>
      <c r="BQ424">
        <v>428</v>
      </c>
      <c r="BR424" t="s">
        <v>118</v>
      </c>
      <c r="BU424" t="s">
        <v>119</v>
      </c>
      <c r="BV424" t="s">
        <v>120</v>
      </c>
      <c r="BW424">
        <v>0</v>
      </c>
      <c r="BX424">
        <v>0</v>
      </c>
      <c r="BY424">
        <v>0</v>
      </c>
      <c r="BZ424">
        <v>0.09</v>
      </c>
      <c r="CA424">
        <v>193.05</v>
      </c>
      <c r="CB424">
        <v>0</v>
      </c>
      <c r="CC424">
        <v>0</v>
      </c>
      <c r="CD424">
        <v>0</v>
      </c>
      <c r="CE424" t="s">
        <v>121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O424">
        <v>0</v>
      </c>
      <c r="CP424">
        <v>0</v>
      </c>
      <c r="CR424" t="s">
        <v>122</v>
      </c>
      <c r="CS424">
        <v>0</v>
      </c>
    </row>
    <row r="425" spans="1:97" x14ac:dyDescent="0.2">
      <c r="A425" t="s">
        <v>2972</v>
      </c>
      <c r="B425">
        <v>394</v>
      </c>
      <c r="C425" t="s">
        <v>2973</v>
      </c>
      <c r="E425" t="s">
        <v>312</v>
      </c>
      <c r="J425">
        <v>1</v>
      </c>
      <c r="K425" t="s">
        <v>102</v>
      </c>
      <c r="T425">
        <v>0</v>
      </c>
      <c r="U425">
        <v>159.38999999999999</v>
      </c>
      <c r="V425">
        <v>0</v>
      </c>
      <c r="AM425" t="s">
        <v>107</v>
      </c>
      <c r="BC425">
        <v>17</v>
      </c>
      <c r="BD425" t="s">
        <v>108</v>
      </c>
      <c r="BE425" t="s">
        <v>109</v>
      </c>
      <c r="BG425" t="s">
        <v>110</v>
      </c>
      <c r="BH425" t="s">
        <v>111</v>
      </c>
      <c r="BI425" t="s">
        <v>112</v>
      </c>
      <c r="BJ425" t="s">
        <v>113</v>
      </c>
      <c r="BK425" t="s">
        <v>114</v>
      </c>
      <c r="BL425" t="s">
        <v>115</v>
      </c>
      <c r="BM425" t="s">
        <v>116</v>
      </c>
      <c r="BO425" t="s">
        <v>117</v>
      </c>
      <c r="BQ425">
        <v>429</v>
      </c>
      <c r="BR425" t="s">
        <v>118</v>
      </c>
      <c r="BU425" t="s">
        <v>119</v>
      </c>
      <c r="BV425" t="s">
        <v>120</v>
      </c>
      <c r="BW425">
        <v>0</v>
      </c>
      <c r="BX425">
        <v>0</v>
      </c>
      <c r="BY425">
        <v>0</v>
      </c>
      <c r="BZ425">
        <v>0.09</v>
      </c>
      <c r="CA425">
        <v>159.38999999999999</v>
      </c>
      <c r="CB425">
        <v>0</v>
      </c>
      <c r="CC425">
        <v>0</v>
      </c>
      <c r="CD425">
        <v>0</v>
      </c>
      <c r="CE425" t="s">
        <v>121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O425">
        <v>0</v>
      </c>
      <c r="CP425">
        <v>0</v>
      </c>
      <c r="CR425" t="s">
        <v>122</v>
      </c>
      <c r="CS425">
        <v>0</v>
      </c>
    </row>
    <row r="426" spans="1:97" x14ac:dyDescent="0.2">
      <c r="A426" t="s">
        <v>2974</v>
      </c>
      <c r="B426">
        <v>395</v>
      </c>
      <c r="C426" t="s">
        <v>2975</v>
      </c>
      <c r="E426" t="s">
        <v>1889</v>
      </c>
      <c r="J426">
        <v>1</v>
      </c>
      <c r="K426" t="s">
        <v>102</v>
      </c>
      <c r="P426" t="s">
        <v>1619</v>
      </c>
      <c r="Q426" t="s">
        <v>1620</v>
      </c>
      <c r="R426" t="s">
        <v>1621</v>
      </c>
      <c r="S426" t="s">
        <v>1622</v>
      </c>
      <c r="T426">
        <v>0</v>
      </c>
      <c r="U426">
        <v>665.09</v>
      </c>
      <c r="V426">
        <v>0</v>
      </c>
      <c r="AM426" t="s">
        <v>107</v>
      </c>
      <c r="BC426">
        <v>17</v>
      </c>
      <c r="BD426" t="s">
        <v>108</v>
      </c>
      <c r="BE426" t="s">
        <v>109</v>
      </c>
      <c r="BG426" t="s">
        <v>110</v>
      </c>
      <c r="BH426" t="s">
        <v>111</v>
      </c>
      <c r="BI426" t="s">
        <v>112</v>
      </c>
      <c r="BJ426" t="s">
        <v>113</v>
      </c>
      <c r="BK426" t="s">
        <v>114</v>
      </c>
      <c r="BL426" t="s">
        <v>115</v>
      </c>
      <c r="BM426" t="s">
        <v>116</v>
      </c>
      <c r="BO426" t="s">
        <v>117</v>
      </c>
      <c r="BQ426">
        <v>430</v>
      </c>
      <c r="BR426" t="s">
        <v>118</v>
      </c>
      <c r="BU426" t="s">
        <v>119</v>
      </c>
      <c r="BV426" t="s">
        <v>120</v>
      </c>
      <c r="BW426">
        <v>0</v>
      </c>
      <c r="BX426">
        <v>0</v>
      </c>
      <c r="BY426">
        <v>0</v>
      </c>
      <c r="BZ426">
        <v>0.09</v>
      </c>
      <c r="CA426">
        <v>665.09</v>
      </c>
      <c r="CB426">
        <v>0</v>
      </c>
      <c r="CC426">
        <v>0</v>
      </c>
      <c r="CD426">
        <v>0</v>
      </c>
      <c r="CE426" t="s">
        <v>121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O426">
        <v>0</v>
      </c>
      <c r="CP426">
        <v>0</v>
      </c>
      <c r="CR426" t="s">
        <v>122</v>
      </c>
      <c r="CS426">
        <v>0</v>
      </c>
    </row>
    <row r="427" spans="1:97" x14ac:dyDescent="0.2">
      <c r="A427" t="s">
        <v>2976</v>
      </c>
      <c r="B427">
        <v>396</v>
      </c>
      <c r="C427" t="s">
        <v>2977</v>
      </c>
      <c r="E427" t="s">
        <v>312</v>
      </c>
      <c r="J427">
        <v>1</v>
      </c>
      <c r="K427" t="s">
        <v>102</v>
      </c>
      <c r="T427">
        <v>0</v>
      </c>
      <c r="U427">
        <v>50.28</v>
      </c>
      <c r="V427">
        <v>0</v>
      </c>
      <c r="AM427" t="s">
        <v>107</v>
      </c>
      <c r="BC427">
        <v>17</v>
      </c>
      <c r="BD427" t="s">
        <v>108</v>
      </c>
      <c r="BE427" t="s">
        <v>109</v>
      </c>
      <c r="BG427" t="s">
        <v>110</v>
      </c>
      <c r="BH427" t="s">
        <v>111</v>
      </c>
      <c r="BI427" t="s">
        <v>112</v>
      </c>
      <c r="BJ427" t="s">
        <v>113</v>
      </c>
      <c r="BK427" t="s">
        <v>114</v>
      </c>
      <c r="BL427" t="s">
        <v>115</v>
      </c>
      <c r="BM427" t="s">
        <v>116</v>
      </c>
      <c r="BO427" t="s">
        <v>117</v>
      </c>
      <c r="BQ427">
        <v>371</v>
      </c>
      <c r="BR427" t="s">
        <v>118</v>
      </c>
      <c r="BU427" t="s">
        <v>119</v>
      </c>
      <c r="BV427" t="s">
        <v>120</v>
      </c>
      <c r="BW427">
        <v>0</v>
      </c>
      <c r="BX427">
        <v>990.46</v>
      </c>
      <c r="BY427">
        <v>1079.5999999999999</v>
      </c>
      <c r="BZ427">
        <v>0.09</v>
      </c>
      <c r="CA427">
        <v>50.28</v>
      </c>
      <c r="CB427">
        <v>0</v>
      </c>
      <c r="CC427">
        <v>0</v>
      </c>
      <c r="CD427">
        <v>0</v>
      </c>
      <c r="CE427" t="s">
        <v>121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O427">
        <v>990.46</v>
      </c>
      <c r="CP427">
        <v>11885.52</v>
      </c>
      <c r="CR427" t="s">
        <v>122</v>
      </c>
      <c r="CS427">
        <v>0</v>
      </c>
    </row>
    <row r="428" spans="1:97" x14ac:dyDescent="0.2">
      <c r="A428" t="s">
        <v>2978</v>
      </c>
      <c r="B428">
        <v>397</v>
      </c>
      <c r="C428" t="s">
        <v>2979</v>
      </c>
      <c r="E428" t="s">
        <v>272</v>
      </c>
      <c r="J428">
        <v>1</v>
      </c>
      <c r="K428" t="s">
        <v>102</v>
      </c>
      <c r="T428">
        <v>0</v>
      </c>
      <c r="U428">
        <v>385.02</v>
      </c>
      <c r="V428">
        <v>0</v>
      </c>
      <c r="AM428" t="s">
        <v>107</v>
      </c>
      <c r="BC428">
        <v>17</v>
      </c>
      <c r="BD428" t="s">
        <v>108</v>
      </c>
      <c r="BE428" t="s">
        <v>109</v>
      </c>
      <c r="BG428" t="s">
        <v>110</v>
      </c>
      <c r="BH428" t="s">
        <v>111</v>
      </c>
      <c r="BI428" t="s">
        <v>112</v>
      </c>
      <c r="BJ428" t="s">
        <v>113</v>
      </c>
      <c r="BK428" t="s">
        <v>114</v>
      </c>
      <c r="BL428" t="s">
        <v>115</v>
      </c>
      <c r="BM428" t="s">
        <v>116</v>
      </c>
      <c r="BO428" t="s">
        <v>117</v>
      </c>
      <c r="BQ428">
        <v>372</v>
      </c>
      <c r="BR428" t="s">
        <v>118</v>
      </c>
      <c r="BU428" t="s">
        <v>119</v>
      </c>
      <c r="BV428" t="s">
        <v>120</v>
      </c>
      <c r="BW428">
        <v>0</v>
      </c>
      <c r="BX428">
        <v>1574</v>
      </c>
      <c r="BY428">
        <v>1715.66</v>
      </c>
      <c r="BZ428">
        <v>0.09</v>
      </c>
      <c r="CA428">
        <v>385.02</v>
      </c>
      <c r="CB428">
        <v>25.1</v>
      </c>
      <c r="CC428">
        <v>0</v>
      </c>
      <c r="CD428">
        <v>0</v>
      </c>
      <c r="CE428" t="s">
        <v>121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O428">
        <v>1574</v>
      </c>
      <c r="CP428">
        <v>18888</v>
      </c>
      <c r="CR428" t="s">
        <v>122</v>
      </c>
      <c r="CS428">
        <v>0</v>
      </c>
    </row>
    <row r="429" spans="1:97" x14ac:dyDescent="0.2">
      <c r="A429" t="s">
        <v>2980</v>
      </c>
      <c r="B429">
        <v>398</v>
      </c>
      <c r="C429" t="s">
        <v>2981</v>
      </c>
      <c r="E429" t="s">
        <v>403</v>
      </c>
      <c r="J429">
        <v>1</v>
      </c>
      <c r="K429" t="s">
        <v>102</v>
      </c>
      <c r="T429">
        <v>0</v>
      </c>
      <c r="U429">
        <v>61.87</v>
      </c>
      <c r="V429">
        <v>0</v>
      </c>
      <c r="AM429" t="s">
        <v>107</v>
      </c>
      <c r="BC429">
        <v>17</v>
      </c>
      <c r="BD429" t="s">
        <v>108</v>
      </c>
      <c r="BE429" t="s">
        <v>109</v>
      </c>
      <c r="BG429" t="s">
        <v>110</v>
      </c>
      <c r="BH429" t="s">
        <v>111</v>
      </c>
      <c r="BI429" t="s">
        <v>112</v>
      </c>
      <c r="BJ429" t="s">
        <v>113</v>
      </c>
      <c r="BK429" t="s">
        <v>114</v>
      </c>
      <c r="BL429" t="s">
        <v>115</v>
      </c>
      <c r="BM429" t="s">
        <v>116</v>
      </c>
      <c r="BO429" t="s">
        <v>117</v>
      </c>
      <c r="BQ429">
        <v>373</v>
      </c>
      <c r="BR429" t="s">
        <v>118</v>
      </c>
      <c r="BU429" t="s">
        <v>119</v>
      </c>
      <c r="BV429" t="s">
        <v>120</v>
      </c>
      <c r="BW429">
        <v>3615.03</v>
      </c>
      <c r="BX429">
        <v>3615.03</v>
      </c>
      <c r="BY429">
        <v>3940.38</v>
      </c>
      <c r="BZ429">
        <v>0.09</v>
      </c>
      <c r="CA429">
        <v>517.88</v>
      </c>
      <c r="CB429">
        <v>85.25</v>
      </c>
      <c r="CC429">
        <v>0</v>
      </c>
      <c r="CD429">
        <v>0</v>
      </c>
      <c r="CE429" t="s">
        <v>121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O429">
        <v>3615.03</v>
      </c>
      <c r="CP429">
        <v>43380.36</v>
      </c>
      <c r="CR429" t="s">
        <v>122</v>
      </c>
      <c r="CS429">
        <v>0</v>
      </c>
    </row>
    <row r="430" spans="1:97" x14ac:dyDescent="0.2">
      <c r="A430" t="s">
        <v>2982</v>
      </c>
      <c r="B430">
        <v>399</v>
      </c>
      <c r="C430" t="s">
        <v>2983</v>
      </c>
      <c r="J430">
        <v>1</v>
      </c>
      <c r="K430" t="s">
        <v>102</v>
      </c>
      <c r="T430">
        <v>0</v>
      </c>
      <c r="U430">
        <v>807.23</v>
      </c>
      <c r="V430">
        <v>0</v>
      </c>
      <c r="AM430" t="s">
        <v>107</v>
      </c>
      <c r="BC430">
        <v>17</v>
      </c>
      <c r="BD430" t="s">
        <v>108</v>
      </c>
      <c r="BE430" t="s">
        <v>109</v>
      </c>
      <c r="BG430" t="s">
        <v>110</v>
      </c>
      <c r="BH430" t="s">
        <v>111</v>
      </c>
      <c r="BI430" t="s">
        <v>112</v>
      </c>
      <c r="BJ430" t="s">
        <v>113</v>
      </c>
      <c r="BK430" t="s">
        <v>114</v>
      </c>
      <c r="BL430" t="s">
        <v>115</v>
      </c>
      <c r="BM430" t="s">
        <v>116</v>
      </c>
      <c r="BO430" t="s">
        <v>117</v>
      </c>
      <c r="BQ430">
        <v>431</v>
      </c>
      <c r="BR430" t="s">
        <v>118</v>
      </c>
      <c r="BU430" t="s">
        <v>119</v>
      </c>
      <c r="BV430" t="s">
        <v>120</v>
      </c>
      <c r="BW430">
        <v>0</v>
      </c>
      <c r="BX430">
        <v>0</v>
      </c>
      <c r="BY430">
        <v>0</v>
      </c>
      <c r="BZ430">
        <v>0.09</v>
      </c>
      <c r="CA430">
        <v>807.23</v>
      </c>
      <c r="CB430">
        <v>0</v>
      </c>
      <c r="CC430">
        <v>0</v>
      </c>
      <c r="CD430">
        <v>0</v>
      </c>
      <c r="CE430" t="s">
        <v>121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O430">
        <v>0</v>
      </c>
      <c r="CP430">
        <v>0</v>
      </c>
      <c r="CR430" t="s">
        <v>122</v>
      </c>
      <c r="CS430">
        <v>0</v>
      </c>
    </row>
    <row r="431" spans="1:97" x14ac:dyDescent="0.2">
      <c r="A431" t="s">
        <v>2984</v>
      </c>
      <c r="B431">
        <v>400</v>
      </c>
      <c r="C431" t="s">
        <v>2985</v>
      </c>
      <c r="E431" t="s">
        <v>1889</v>
      </c>
      <c r="J431">
        <v>1</v>
      </c>
      <c r="K431" t="s">
        <v>102</v>
      </c>
      <c r="P431" t="s">
        <v>1619</v>
      </c>
      <c r="Q431" t="s">
        <v>1620</v>
      </c>
      <c r="R431" t="s">
        <v>1621</v>
      </c>
      <c r="S431" t="s">
        <v>1622</v>
      </c>
      <c r="T431">
        <v>0</v>
      </c>
      <c r="U431">
        <v>430</v>
      </c>
      <c r="V431">
        <v>0</v>
      </c>
      <c r="AM431" t="s">
        <v>107</v>
      </c>
      <c r="BC431">
        <v>17</v>
      </c>
      <c r="BD431" t="s">
        <v>108</v>
      </c>
      <c r="BE431" t="s">
        <v>109</v>
      </c>
      <c r="BG431" t="s">
        <v>110</v>
      </c>
      <c r="BH431" t="s">
        <v>111</v>
      </c>
      <c r="BI431" t="s">
        <v>112</v>
      </c>
      <c r="BJ431" t="s">
        <v>113</v>
      </c>
      <c r="BK431" t="s">
        <v>114</v>
      </c>
      <c r="BL431" t="s">
        <v>115</v>
      </c>
      <c r="BM431" t="s">
        <v>116</v>
      </c>
      <c r="BO431" t="s">
        <v>117</v>
      </c>
      <c r="BQ431">
        <v>432</v>
      </c>
      <c r="BR431" t="s">
        <v>118</v>
      </c>
      <c r="BU431" t="s">
        <v>119</v>
      </c>
      <c r="BV431" t="s">
        <v>120</v>
      </c>
      <c r="BW431">
        <v>0</v>
      </c>
      <c r="BX431">
        <v>0</v>
      </c>
      <c r="BY431">
        <v>0</v>
      </c>
      <c r="BZ431">
        <v>0.09</v>
      </c>
      <c r="CA431">
        <v>430</v>
      </c>
      <c r="CB431">
        <v>0</v>
      </c>
      <c r="CC431">
        <v>0</v>
      </c>
      <c r="CD431">
        <v>0</v>
      </c>
      <c r="CE431" t="s">
        <v>121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O431">
        <v>0</v>
      </c>
      <c r="CP431">
        <v>0</v>
      </c>
      <c r="CR431" t="s">
        <v>122</v>
      </c>
      <c r="CS431">
        <v>0</v>
      </c>
    </row>
    <row r="432" spans="1:97" x14ac:dyDescent="0.2">
      <c r="A432" t="s">
        <v>2986</v>
      </c>
      <c r="B432">
        <v>401</v>
      </c>
      <c r="C432" t="s">
        <v>2987</v>
      </c>
      <c r="E432" t="s">
        <v>312</v>
      </c>
      <c r="J432">
        <v>1</v>
      </c>
      <c r="K432" t="s">
        <v>102</v>
      </c>
      <c r="P432" t="s">
        <v>2152</v>
      </c>
      <c r="Q432" t="s">
        <v>2153</v>
      </c>
      <c r="R432" t="s">
        <v>2154</v>
      </c>
      <c r="S432" t="s">
        <v>2155</v>
      </c>
      <c r="T432">
        <v>0</v>
      </c>
      <c r="U432">
        <v>26.62</v>
      </c>
      <c r="V432">
        <v>0</v>
      </c>
      <c r="AM432" t="s">
        <v>107</v>
      </c>
      <c r="BC432">
        <v>17</v>
      </c>
      <c r="BD432" t="s">
        <v>108</v>
      </c>
      <c r="BE432" t="s">
        <v>109</v>
      </c>
      <c r="BG432" t="s">
        <v>110</v>
      </c>
      <c r="BH432" t="s">
        <v>111</v>
      </c>
      <c r="BI432" t="s">
        <v>112</v>
      </c>
      <c r="BJ432" t="s">
        <v>113</v>
      </c>
      <c r="BK432" t="s">
        <v>114</v>
      </c>
      <c r="BL432" t="s">
        <v>115</v>
      </c>
      <c r="BM432" t="s">
        <v>116</v>
      </c>
      <c r="BO432" t="s">
        <v>117</v>
      </c>
      <c r="BQ432">
        <v>433</v>
      </c>
      <c r="BR432" t="s">
        <v>118</v>
      </c>
      <c r="BU432" t="s">
        <v>119</v>
      </c>
      <c r="BV432" t="s">
        <v>120</v>
      </c>
      <c r="BW432">
        <v>0</v>
      </c>
      <c r="BX432">
        <v>0</v>
      </c>
      <c r="BY432">
        <v>0</v>
      </c>
      <c r="BZ432">
        <v>0.09</v>
      </c>
      <c r="CA432">
        <v>26.62</v>
      </c>
      <c r="CB432">
        <v>0</v>
      </c>
      <c r="CC432">
        <v>0</v>
      </c>
      <c r="CD432">
        <v>0</v>
      </c>
      <c r="CE432" t="s">
        <v>121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O432">
        <v>0</v>
      </c>
      <c r="CP432">
        <v>0</v>
      </c>
      <c r="CR432" t="s">
        <v>122</v>
      </c>
      <c r="CS432">
        <v>0</v>
      </c>
    </row>
    <row r="433" spans="1:97" x14ac:dyDescent="0.2">
      <c r="A433" t="s">
        <v>2988</v>
      </c>
      <c r="B433">
        <v>402</v>
      </c>
      <c r="C433" t="s">
        <v>2989</v>
      </c>
      <c r="E433" t="s">
        <v>1582</v>
      </c>
      <c r="J433">
        <v>1</v>
      </c>
      <c r="K433" t="s">
        <v>102</v>
      </c>
      <c r="T433">
        <v>0</v>
      </c>
      <c r="U433">
        <v>394</v>
      </c>
      <c r="V433">
        <v>0</v>
      </c>
      <c r="AM433" t="s">
        <v>107</v>
      </c>
      <c r="BC433">
        <v>17</v>
      </c>
      <c r="BD433" t="s">
        <v>108</v>
      </c>
      <c r="BE433" t="s">
        <v>109</v>
      </c>
      <c r="BG433" t="s">
        <v>110</v>
      </c>
      <c r="BH433" t="s">
        <v>111</v>
      </c>
      <c r="BI433" t="s">
        <v>112</v>
      </c>
      <c r="BJ433" t="s">
        <v>113</v>
      </c>
      <c r="BK433" t="s">
        <v>114</v>
      </c>
      <c r="BL433" t="s">
        <v>115</v>
      </c>
      <c r="BM433" t="s">
        <v>116</v>
      </c>
      <c r="BO433" t="s">
        <v>117</v>
      </c>
      <c r="BQ433">
        <v>374</v>
      </c>
      <c r="BR433" t="s">
        <v>118</v>
      </c>
      <c r="BU433" t="s">
        <v>119</v>
      </c>
      <c r="BV433" t="s">
        <v>120</v>
      </c>
      <c r="BW433">
        <v>0</v>
      </c>
      <c r="BX433">
        <v>2550</v>
      </c>
      <c r="BY433">
        <v>2779.5</v>
      </c>
      <c r="BZ433">
        <v>0.09</v>
      </c>
      <c r="CA433">
        <v>394</v>
      </c>
      <c r="CB433">
        <v>59</v>
      </c>
      <c r="CC433">
        <v>0</v>
      </c>
      <c r="CD433">
        <v>0</v>
      </c>
      <c r="CE433" t="s">
        <v>121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O433">
        <v>2550</v>
      </c>
      <c r="CP433">
        <v>30600</v>
      </c>
      <c r="CR433" t="s">
        <v>122</v>
      </c>
      <c r="CS433">
        <v>0</v>
      </c>
    </row>
    <row r="434" spans="1:97" x14ac:dyDescent="0.2">
      <c r="A434" t="s">
        <v>2990</v>
      </c>
      <c r="B434">
        <v>403</v>
      </c>
      <c r="C434" t="s">
        <v>2991</v>
      </c>
      <c r="E434" t="s">
        <v>2992</v>
      </c>
      <c r="J434">
        <v>1</v>
      </c>
      <c r="K434" t="s">
        <v>102</v>
      </c>
      <c r="T434">
        <v>0</v>
      </c>
      <c r="U434">
        <v>20</v>
      </c>
      <c r="V434">
        <v>0</v>
      </c>
      <c r="AM434" t="s">
        <v>107</v>
      </c>
      <c r="BC434">
        <v>17</v>
      </c>
      <c r="BD434" t="s">
        <v>108</v>
      </c>
      <c r="BE434" t="s">
        <v>109</v>
      </c>
      <c r="BG434" t="s">
        <v>110</v>
      </c>
      <c r="BH434" t="s">
        <v>111</v>
      </c>
      <c r="BI434" t="s">
        <v>112</v>
      </c>
      <c r="BJ434" t="s">
        <v>113</v>
      </c>
      <c r="BK434" t="s">
        <v>114</v>
      </c>
      <c r="BL434" t="s">
        <v>115</v>
      </c>
      <c r="BM434" t="s">
        <v>116</v>
      </c>
      <c r="BO434" t="s">
        <v>117</v>
      </c>
      <c r="BQ434">
        <v>375</v>
      </c>
      <c r="BR434" t="s">
        <v>118</v>
      </c>
      <c r="BU434" t="s">
        <v>119</v>
      </c>
      <c r="BV434" t="s">
        <v>120</v>
      </c>
      <c r="BW434">
        <v>5883.03</v>
      </c>
      <c r="BX434">
        <v>5883.03</v>
      </c>
      <c r="BY434">
        <v>6412.5</v>
      </c>
      <c r="BZ434">
        <v>0.09</v>
      </c>
      <c r="CA434">
        <v>740</v>
      </c>
      <c r="CB434">
        <v>85.25</v>
      </c>
      <c r="CC434">
        <v>0</v>
      </c>
      <c r="CD434">
        <v>0</v>
      </c>
      <c r="CE434" t="s">
        <v>121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O434">
        <v>5883.03</v>
      </c>
      <c r="CP434">
        <v>70596.36</v>
      </c>
      <c r="CR434" t="s">
        <v>122</v>
      </c>
      <c r="CS434">
        <v>0</v>
      </c>
    </row>
    <row r="435" spans="1:97" x14ac:dyDescent="0.2">
      <c r="A435" t="s">
        <v>2993</v>
      </c>
      <c r="B435">
        <v>404</v>
      </c>
      <c r="C435" t="s">
        <v>2994</v>
      </c>
      <c r="E435" t="s">
        <v>2680</v>
      </c>
      <c r="J435">
        <v>1</v>
      </c>
      <c r="K435" t="s">
        <v>102</v>
      </c>
      <c r="T435">
        <v>0</v>
      </c>
      <c r="U435">
        <v>161.51</v>
      </c>
      <c r="V435">
        <v>0</v>
      </c>
      <c r="AM435" t="s">
        <v>107</v>
      </c>
      <c r="BC435">
        <v>17</v>
      </c>
      <c r="BD435" t="s">
        <v>108</v>
      </c>
      <c r="BE435" t="s">
        <v>109</v>
      </c>
      <c r="BG435" t="s">
        <v>110</v>
      </c>
      <c r="BH435" t="s">
        <v>111</v>
      </c>
      <c r="BI435" t="s">
        <v>112</v>
      </c>
      <c r="BJ435" t="s">
        <v>113</v>
      </c>
      <c r="BK435" t="s">
        <v>114</v>
      </c>
      <c r="BL435" t="s">
        <v>115</v>
      </c>
      <c r="BM435" t="s">
        <v>116</v>
      </c>
      <c r="BO435" t="s">
        <v>117</v>
      </c>
      <c r="BQ435">
        <v>434</v>
      </c>
      <c r="BR435" t="s">
        <v>118</v>
      </c>
      <c r="BU435" t="s">
        <v>119</v>
      </c>
      <c r="BV435" t="s">
        <v>120</v>
      </c>
      <c r="BW435">
        <v>0</v>
      </c>
      <c r="BX435">
        <v>0</v>
      </c>
      <c r="BY435">
        <v>0</v>
      </c>
      <c r="BZ435">
        <v>0.09</v>
      </c>
      <c r="CA435">
        <v>236.42</v>
      </c>
      <c r="CB435">
        <v>0</v>
      </c>
      <c r="CC435">
        <v>0</v>
      </c>
      <c r="CD435">
        <v>0</v>
      </c>
      <c r="CE435" t="s">
        <v>121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O435">
        <v>0</v>
      </c>
      <c r="CP435">
        <v>0</v>
      </c>
      <c r="CR435" t="s">
        <v>122</v>
      </c>
      <c r="CS435">
        <v>0</v>
      </c>
    </row>
    <row r="436" spans="1:97" x14ac:dyDescent="0.2">
      <c r="A436" t="s">
        <v>2995</v>
      </c>
      <c r="B436">
        <v>405</v>
      </c>
      <c r="C436" t="s">
        <v>2996</v>
      </c>
      <c r="E436" t="s">
        <v>2214</v>
      </c>
      <c r="J436">
        <v>1</v>
      </c>
      <c r="K436" t="s">
        <v>102</v>
      </c>
      <c r="T436">
        <v>0</v>
      </c>
      <c r="U436">
        <v>0</v>
      </c>
      <c r="V436">
        <v>0</v>
      </c>
      <c r="AM436" t="s">
        <v>107</v>
      </c>
      <c r="BC436">
        <v>17</v>
      </c>
      <c r="BD436" t="s">
        <v>108</v>
      </c>
      <c r="BE436" t="s">
        <v>109</v>
      </c>
      <c r="BG436" t="s">
        <v>110</v>
      </c>
      <c r="BH436" t="s">
        <v>111</v>
      </c>
      <c r="BI436" t="s">
        <v>112</v>
      </c>
      <c r="BJ436" t="s">
        <v>113</v>
      </c>
      <c r="BK436" t="s">
        <v>114</v>
      </c>
      <c r="BL436" t="s">
        <v>115</v>
      </c>
      <c r="BM436" t="s">
        <v>116</v>
      </c>
      <c r="BO436" t="s">
        <v>117</v>
      </c>
      <c r="BQ436">
        <v>376</v>
      </c>
      <c r="BR436" t="s">
        <v>118</v>
      </c>
      <c r="BU436" t="s">
        <v>119</v>
      </c>
      <c r="BV436" t="s">
        <v>120</v>
      </c>
      <c r="BW436">
        <v>0</v>
      </c>
      <c r="BX436">
        <v>600</v>
      </c>
      <c r="BY436">
        <v>654</v>
      </c>
      <c r="BZ436">
        <v>0.09</v>
      </c>
      <c r="CA436">
        <v>0</v>
      </c>
      <c r="CB436">
        <v>0</v>
      </c>
      <c r="CC436">
        <v>0</v>
      </c>
      <c r="CD436">
        <v>0</v>
      </c>
      <c r="CE436" t="s">
        <v>121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O436">
        <v>600</v>
      </c>
      <c r="CP436">
        <v>7200</v>
      </c>
      <c r="CR436" t="s">
        <v>122</v>
      </c>
      <c r="CS436">
        <v>0</v>
      </c>
    </row>
    <row r="437" spans="1:97" x14ac:dyDescent="0.2">
      <c r="A437" t="s">
        <v>2997</v>
      </c>
      <c r="B437">
        <v>406</v>
      </c>
      <c r="C437" t="s">
        <v>2998</v>
      </c>
      <c r="E437" t="s">
        <v>272</v>
      </c>
      <c r="J437">
        <v>1</v>
      </c>
      <c r="K437" t="s">
        <v>102</v>
      </c>
      <c r="T437">
        <v>0</v>
      </c>
      <c r="U437">
        <v>380</v>
      </c>
      <c r="V437">
        <v>0</v>
      </c>
      <c r="AM437" t="s">
        <v>107</v>
      </c>
      <c r="BC437">
        <v>17</v>
      </c>
      <c r="BD437" t="s">
        <v>108</v>
      </c>
      <c r="BE437" t="s">
        <v>109</v>
      </c>
      <c r="BG437" t="s">
        <v>110</v>
      </c>
      <c r="BH437" t="s">
        <v>111</v>
      </c>
      <c r="BI437" t="s">
        <v>112</v>
      </c>
      <c r="BJ437" t="s">
        <v>113</v>
      </c>
      <c r="BK437" t="s">
        <v>114</v>
      </c>
      <c r="BL437" t="s">
        <v>115</v>
      </c>
      <c r="BM437" t="s">
        <v>116</v>
      </c>
      <c r="BO437" t="s">
        <v>117</v>
      </c>
      <c r="BQ437">
        <v>377</v>
      </c>
      <c r="BR437" t="s">
        <v>118</v>
      </c>
      <c r="BU437" t="s">
        <v>119</v>
      </c>
      <c r="BV437" t="s">
        <v>120</v>
      </c>
      <c r="BW437">
        <v>0</v>
      </c>
      <c r="BX437">
        <v>3347.25</v>
      </c>
      <c r="BY437">
        <v>3648.5</v>
      </c>
      <c r="BZ437">
        <v>0.09</v>
      </c>
      <c r="CA437">
        <v>380</v>
      </c>
      <c r="CB437">
        <v>85.25</v>
      </c>
      <c r="CC437">
        <v>0</v>
      </c>
      <c r="CD437">
        <v>0</v>
      </c>
      <c r="CE437" t="s">
        <v>121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O437">
        <v>3347.25</v>
      </c>
      <c r="CP437">
        <v>40167</v>
      </c>
      <c r="CR437" t="s">
        <v>122</v>
      </c>
      <c r="CS437">
        <v>0</v>
      </c>
    </row>
    <row r="438" spans="1:97" x14ac:dyDescent="0.2">
      <c r="A438" t="s">
        <v>2999</v>
      </c>
      <c r="B438">
        <v>407</v>
      </c>
      <c r="C438" t="s">
        <v>3000</v>
      </c>
      <c r="E438" t="s">
        <v>312</v>
      </c>
      <c r="J438">
        <v>1</v>
      </c>
      <c r="K438" t="s">
        <v>102</v>
      </c>
      <c r="T438">
        <v>0</v>
      </c>
      <c r="U438">
        <v>34.119999999999997</v>
      </c>
      <c r="V438">
        <v>0</v>
      </c>
      <c r="AM438" t="s">
        <v>107</v>
      </c>
      <c r="BC438">
        <v>17</v>
      </c>
      <c r="BD438" t="s">
        <v>108</v>
      </c>
      <c r="BE438" t="s">
        <v>109</v>
      </c>
      <c r="BG438" t="s">
        <v>110</v>
      </c>
      <c r="BH438" t="s">
        <v>111</v>
      </c>
      <c r="BI438" t="s">
        <v>112</v>
      </c>
      <c r="BJ438" t="s">
        <v>113</v>
      </c>
      <c r="BK438" t="s">
        <v>114</v>
      </c>
      <c r="BL438" t="s">
        <v>115</v>
      </c>
      <c r="BM438" t="s">
        <v>116</v>
      </c>
      <c r="BO438" t="s">
        <v>117</v>
      </c>
      <c r="BQ438">
        <v>435</v>
      </c>
      <c r="BR438" t="s">
        <v>118</v>
      </c>
      <c r="BU438" t="s">
        <v>119</v>
      </c>
      <c r="BV438" t="s">
        <v>120</v>
      </c>
      <c r="BW438">
        <v>0</v>
      </c>
      <c r="BX438">
        <v>0</v>
      </c>
      <c r="BY438">
        <v>0</v>
      </c>
      <c r="BZ438">
        <v>0.09</v>
      </c>
      <c r="CA438">
        <v>34.119999999999997</v>
      </c>
      <c r="CB438">
        <v>0</v>
      </c>
      <c r="CC438">
        <v>0</v>
      </c>
      <c r="CD438">
        <v>0</v>
      </c>
      <c r="CE438" t="s">
        <v>121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O438">
        <v>0</v>
      </c>
      <c r="CP438">
        <v>0</v>
      </c>
      <c r="CR438" t="s">
        <v>122</v>
      </c>
      <c r="CS438">
        <v>0</v>
      </c>
    </row>
    <row r="439" spans="1:97" x14ac:dyDescent="0.2">
      <c r="A439" t="s">
        <v>3001</v>
      </c>
      <c r="B439">
        <v>408</v>
      </c>
      <c r="C439" t="s">
        <v>3002</v>
      </c>
      <c r="E439" t="s">
        <v>272</v>
      </c>
      <c r="J439">
        <v>1</v>
      </c>
      <c r="K439" t="s">
        <v>102</v>
      </c>
      <c r="T439">
        <v>0</v>
      </c>
      <c r="U439">
        <v>4.67</v>
      </c>
      <c r="V439">
        <v>0</v>
      </c>
      <c r="W439">
        <v>971</v>
      </c>
      <c r="X439" t="s">
        <v>3003</v>
      </c>
      <c r="Y439" t="s">
        <v>326</v>
      </c>
      <c r="AC439" t="s">
        <v>3004</v>
      </c>
      <c r="AD439" t="s">
        <v>3005</v>
      </c>
      <c r="AE439" t="s">
        <v>1582</v>
      </c>
      <c r="AI439" t="s">
        <v>3006</v>
      </c>
      <c r="AJ439">
        <v>813</v>
      </c>
      <c r="AK439" t="s">
        <v>3007</v>
      </c>
      <c r="AM439" t="s">
        <v>120</v>
      </c>
      <c r="AN439">
        <v>32</v>
      </c>
      <c r="AO439">
        <v>3</v>
      </c>
      <c r="AT439">
        <v>0</v>
      </c>
      <c r="AU439">
        <v>1000</v>
      </c>
      <c r="AV439">
        <v>1090</v>
      </c>
      <c r="AW439">
        <v>0.09</v>
      </c>
      <c r="AX439">
        <v>3000</v>
      </c>
      <c r="AY439">
        <v>0</v>
      </c>
      <c r="BA439">
        <v>0</v>
      </c>
      <c r="BB439">
        <v>0</v>
      </c>
      <c r="BC439">
        <v>17</v>
      </c>
      <c r="BD439" t="s">
        <v>108</v>
      </c>
      <c r="BE439" t="s">
        <v>109</v>
      </c>
      <c r="BG439" t="s">
        <v>110</v>
      </c>
      <c r="BH439" t="s">
        <v>111</v>
      </c>
      <c r="BI439" t="s">
        <v>112</v>
      </c>
      <c r="BJ439" t="s">
        <v>113</v>
      </c>
      <c r="BK439" t="s">
        <v>114</v>
      </c>
      <c r="BL439" t="s">
        <v>115</v>
      </c>
      <c r="BM439" t="s">
        <v>116</v>
      </c>
      <c r="BO439" t="s">
        <v>117</v>
      </c>
      <c r="BQ439">
        <v>436</v>
      </c>
      <c r="BR439" t="s">
        <v>118</v>
      </c>
      <c r="BU439" t="s">
        <v>119</v>
      </c>
      <c r="BV439" t="s">
        <v>120</v>
      </c>
      <c r="BW439">
        <v>1080</v>
      </c>
      <c r="BX439">
        <v>1080</v>
      </c>
      <c r="BY439">
        <v>1177.2</v>
      </c>
      <c r="BZ439">
        <v>0.09</v>
      </c>
      <c r="CA439">
        <v>4.67</v>
      </c>
      <c r="CB439">
        <v>0</v>
      </c>
      <c r="CC439">
        <v>0</v>
      </c>
      <c r="CD439">
        <v>0</v>
      </c>
      <c r="CE439" t="s">
        <v>121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O439">
        <v>80</v>
      </c>
      <c r="CP439">
        <v>960</v>
      </c>
      <c r="CQ439">
        <v>8</v>
      </c>
      <c r="CR439" t="s">
        <v>122</v>
      </c>
      <c r="CS439">
        <v>0</v>
      </c>
    </row>
    <row r="440" spans="1:97" x14ac:dyDescent="0.2">
      <c r="A440" t="s">
        <v>3008</v>
      </c>
      <c r="B440">
        <v>409</v>
      </c>
      <c r="C440" t="s">
        <v>3009</v>
      </c>
      <c r="E440" t="s">
        <v>147</v>
      </c>
      <c r="J440">
        <v>1</v>
      </c>
      <c r="K440" t="s">
        <v>102</v>
      </c>
      <c r="T440">
        <v>0</v>
      </c>
      <c r="U440">
        <v>452.17</v>
      </c>
      <c r="V440">
        <v>0</v>
      </c>
      <c r="AM440" t="s">
        <v>107</v>
      </c>
      <c r="BC440">
        <v>17</v>
      </c>
      <c r="BD440" t="s">
        <v>108</v>
      </c>
      <c r="BE440" t="s">
        <v>109</v>
      </c>
      <c r="BG440" t="s">
        <v>110</v>
      </c>
      <c r="BH440" t="s">
        <v>111</v>
      </c>
      <c r="BI440" t="s">
        <v>112</v>
      </c>
      <c r="BJ440" t="s">
        <v>113</v>
      </c>
      <c r="BK440" t="s">
        <v>114</v>
      </c>
      <c r="BL440" t="s">
        <v>115</v>
      </c>
      <c r="BM440" t="s">
        <v>116</v>
      </c>
      <c r="BO440" t="s">
        <v>117</v>
      </c>
      <c r="BQ440">
        <v>437</v>
      </c>
      <c r="BR440" t="s">
        <v>118</v>
      </c>
      <c r="BU440" t="s">
        <v>119</v>
      </c>
      <c r="BV440" t="s">
        <v>120</v>
      </c>
      <c r="BW440">
        <v>0</v>
      </c>
      <c r="BX440">
        <v>0</v>
      </c>
      <c r="BY440">
        <v>0</v>
      </c>
      <c r="BZ440">
        <v>0.09</v>
      </c>
      <c r="CA440">
        <v>452.17</v>
      </c>
      <c r="CB440">
        <v>0</v>
      </c>
      <c r="CC440">
        <v>0</v>
      </c>
      <c r="CD440">
        <v>0</v>
      </c>
      <c r="CE440" t="s">
        <v>121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O440">
        <v>0</v>
      </c>
      <c r="CP440">
        <v>0</v>
      </c>
      <c r="CR440" t="s">
        <v>122</v>
      </c>
      <c r="CS440">
        <v>0</v>
      </c>
    </row>
    <row r="441" spans="1:97" x14ac:dyDescent="0.2">
      <c r="A441" t="s">
        <v>3010</v>
      </c>
      <c r="B441">
        <v>410</v>
      </c>
      <c r="C441" t="s">
        <v>3011</v>
      </c>
      <c r="E441" t="s">
        <v>942</v>
      </c>
      <c r="I441">
        <v>6</v>
      </c>
      <c r="J441">
        <v>1</v>
      </c>
      <c r="K441" t="s">
        <v>102</v>
      </c>
      <c r="P441" t="s">
        <v>375</v>
      </c>
      <c r="T441">
        <v>0</v>
      </c>
      <c r="U441">
        <v>24.77</v>
      </c>
      <c r="V441">
        <v>0</v>
      </c>
      <c r="AM441" t="s">
        <v>107</v>
      </c>
      <c r="BC441">
        <v>17</v>
      </c>
      <c r="BD441" t="s">
        <v>108</v>
      </c>
      <c r="BE441" t="s">
        <v>109</v>
      </c>
      <c r="BG441" t="s">
        <v>110</v>
      </c>
      <c r="BH441" t="s">
        <v>111</v>
      </c>
      <c r="BI441" t="s">
        <v>112</v>
      </c>
      <c r="BJ441" t="s">
        <v>113</v>
      </c>
      <c r="BK441" t="s">
        <v>114</v>
      </c>
      <c r="BL441" t="s">
        <v>115</v>
      </c>
      <c r="BM441" t="s">
        <v>116</v>
      </c>
      <c r="BO441" t="s">
        <v>117</v>
      </c>
      <c r="BQ441">
        <v>378</v>
      </c>
      <c r="BR441" t="s">
        <v>118</v>
      </c>
      <c r="BU441" t="s">
        <v>119</v>
      </c>
      <c r="BV441" t="s">
        <v>120</v>
      </c>
      <c r="BW441">
        <v>0</v>
      </c>
      <c r="BX441">
        <v>1560</v>
      </c>
      <c r="BY441">
        <v>1700.4</v>
      </c>
      <c r="BZ441">
        <v>0.09</v>
      </c>
      <c r="CA441">
        <v>69.73</v>
      </c>
      <c r="CB441">
        <v>67.349999999999994</v>
      </c>
      <c r="CC441">
        <v>0</v>
      </c>
      <c r="CD441">
        <v>0</v>
      </c>
      <c r="CE441" t="s">
        <v>121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O441">
        <v>1560</v>
      </c>
      <c r="CP441">
        <v>18720</v>
      </c>
      <c r="CR441" t="s">
        <v>122</v>
      </c>
      <c r="CS441">
        <v>0</v>
      </c>
    </row>
    <row r="442" spans="1:97" x14ac:dyDescent="0.2">
      <c r="A442" t="s">
        <v>3012</v>
      </c>
      <c r="B442">
        <v>411</v>
      </c>
      <c r="C442" t="s">
        <v>3013</v>
      </c>
      <c r="E442" t="s">
        <v>272</v>
      </c>
      <c r="I442">
        <v>4</v>
      </c>
      <c r="J442">
        <v>1</v>
      </c>
      <c r="K442" t="s">
        <v>102</v>
      </c>
      <c r="T442">
        <v>0</v>
      </c>
      <c r="U442">
        <v>0</v>
      </c>
      <c r="V442">
        <v>0</v>
      </c>
      <c r="AM442" t="s">
        <v>107</v>
      </c>
      <c r="BC442">
        <v>17</v>
      </c>
      <c r="BD442" t="s">
        <v>108</v>
      </c>
      <c r="BE442" t="s">
        <v>109</v>
      </c>
      <c r="BG442" t="s">
        <v>110</v>
      </c>
      <c r="BH442" t="s">
        <v>111</v>
      </c>
      <c r="BI442" t="s">
        <v>112</v>
      </c>
      <c r="BJ442" t="s">
        <v>113</v>
      </c>
      <c r="BK442" t="s">
        <v>114</v>
      </c>
      <c r="BL442" t="s">
        <v>115</v>
      </c>
      <c r="BM442" t="s">
        <v>116</v>
      </c>
      <c r="BO442" t="s">
        <v>117</v>
      </c>
      <c r="BQ442">
        <v>446</v>
      </c>
      <c r="BR442" t="s">
        <v>118</v>
      </c>
      <c r="BU442" t="s">
        <v>119</v>
      </c>
      <c r="BV442" t="s">
        <v>120</v>
      </c>
      <c r="BW442">
        <v>0</v>
      </c>
      <c r="BX442">
        <v>0</v>
      </c>
      <c r="BY442">
        <v>0</v>
      </c>
      <c r="BZ442">
        <v>0.09</v>
      </c>
      <c r="CA442">
        <v>0</v>
      </c>
      <c r="CB442">
        <v>67.36</v>
      </c>
      <c r="CC442">
        <v>0</v>
      </c>
      <c r="CD442">
        <v>0</v>
      </c>
      <c r="CE442" t="s">
        <v>121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O442">
        <v>0</v>
      </c>
      <c r="CP442">
        <v>0</v>
      </c>
      <c r="CR442" t="s">
        <v>122</v>
      </c>
      <c r="CS442">
        <v>0</v>
      </c>
    </row>
    <row r="443" spans="1:97" x14ac:dyDescent="0.2">
      <c r="A443" t="s">
        <v>3014</v>
      </c>
      <c r="B443">
        <v>412</v>
      </c>
      <c r="C443" t="s">
        <v>3015</v>
      </c>
      <c r="E443" t="s">
        <v>312</v>
      </c>
      <c r="J443">
        <v>1</v>
      </c>
      <c r="K443" t="s">
        <v>102</v>
      </c>
      <c r="T443">
        <v>0</v>
      </c>
      <c r="U443">
        <v>0</v>
      </c>
      <c r="V443">
        <v>0</v>
      </c>
      <c r="AM443" t="s">
        <v>107</v>
      </c>
      <c r="BC443">
        <v>17</v>
      </c>
      <c r="BD443" t="s">
        <v>108</v>
      </c>
      <c r="BE443" t="s">
        <v>109</v>
      </c>
      <c r="BG443" t="s">
        <v>110</v>
      </c>
      <c r="BH443" t="s">
        <v>111</v>
      </c>
      <c r="BI443" t="s">
        <v>112</v>
      </c>
      <c r="BJ443" t="s">
        <v>113</v>
      </c>
      <c r="BK443" t="s">
        <v>114</v>
      </c>
      <c r="BL443" t="s">
        <v>115</v>
      </c>
      <c r="BM443" t="s">
        <v>116</v>
      </c>
      <c r="BO443" t="s">
        <v>117</v>
      </c>
      <c r="BQ443">
        <v>447</v>
      </c>
      <c r="BR443" t="s">
        <v>118</v>
      </c>
      <c r="BU443" t="s">
        <v>119</v>
      </c>
      <c r="BV443" t="s">
        <v>120</v>
      </c>
      <c r="BW443">
        <v>0</v>
      </c>
      <c r="BX443">
        <v>0</v>
      </c>
      <c r="BY443">
        <v>0</v>
      </c>
      <c r="BZ443">
        <v>0.09</v>
      </c>
      <c r="CA443">
        <v>0</v>
      </c>
      <c r="CB443">
        <v>67.349999999999994</v>
      </c>
      <c r="CC443">
        <v>0</v>
      </c>
      <c r="CD443">
        <v>0</v>
      </c>
      <c r="CE443" t="s">
        <v>121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O443">
        <v>0</v>
      </c>
      <c r="CP443">
        <v>0</v>
      </c>
      <c r="CR443" t="s">
        <v>122</v>
      </c>
      <c r="CS443">
        <v>0</v>
      </c>
    </row>
    <row r="444" spans="1:97" x14ac:dyDescent="0.2">
      <c r="A444" t="s">
        <v>3016</v>
      </c>
      <c r="B444">
        <v>413</v>
      </c>
      <c r="C444" t="s">
        <v>3017</v>
      </c>
      <c r="E444" t="s">
        <v>312</v>
      </c>
      <c r="I444">
        <v>4</v>
      </c>
      <c r="J444">
        <v>1</v>
      </c>
      <c r="K444" t="s">
        <v>102</v>
      </c>
      <c r="P444" t="s">
        <v>3018</v>
      </c>
      <c r="Q444" t="s">
        <v>3019</v>
      </c>
      <c r="R444" t="s">
        <v>3020</v>
      </c>
      <c r="S444" t="s">
        <v>3021</v>
      </c>
      <c r="T444">
        <v>1600</v>
      </c>
      <c r="U444">
        <v>0</v>
      </c>
      <c r="V444">
        <v>0</v>
      </c>
      <c r="AM444" t="s">
        <v>107</v>
      </c>
      <c r="BC444">
        <v>17</v>
      </c>
      <c r="BD444" t="s">
        <v>108</v>
      </c>
      <c r="BE444" t="s">
        <v>109</v>
      </c>
      <c r="BG444" t="s">
        <v>110</v>
      </c>
      <c r="BH444" t="s">
        <v>111</v>
      </c>
      <c r="BI444" t="s">
        <v>112</v>
      </c>
      <c r="BJ444" t="s">
        <v>113</v>
      </c>
      <c r="BK444" t="s">
        <v>114</v>
      </c>
      <c r="BL444" t="s">
        <v>115</v>
      </c>
      <c r="BM444" t="s">
        <v>116</v>
      </c>
      <c r="BO444" t="s">
        <v>117</v>
      </c>
      <c r="BQ444">
        <v>448</v>
      </c>
      <c r="BR444" t="s">
        <v>118</v>
      </c>
      <c r="BU444" t="s">
        <v>119</v>
      </c>
      <c r="BV444" t="s">
        <v>120</v>
      </c>
      <c r="BW444">
        <v>0</v>
      </c>
      <c r="BX444">
        <v>0</v>
      </c>
      <c r="BY444">
        <v>0</v>
      </c>
      <c r="BZ444">
        <v>0.09</v>
      </c>
      <c r="CA444">
        <v>0</v>
      </c>
      <c r="CB444">
        <v>67.349999999999994</v>
      </c>
      <c r="CC444">
        <v>0</v>
      </c>
      <c r="CD444">
        <v>1600</v>
      </c>
      <c r="CE444" t="s">
        <v>121</v>
      </c>
      <c r="CF444">
        <v>1</v>
      </c>
      <c r="CG444">
        <v>1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O444">
        <v>0</v>
      </c>
      <c r="CP444">
        <v>0</v>
      </c>
      <c r="CR444" t="s">
        <v>122</v>
      </c>
      <c r="CS444">
        <v>0</v>
      </c>
    </row>
    <row r="445" spans="1:97" x14ac:dyDescent="0.2">
      <c r="A445" t="s">
        <v>3022</v>
      </c>
      <c r="B445">
        <v>414</v>
      </c>
      <c r="C445" t="s">
        <v>3023</v>
      </c>
      <c r="E445" t="s">
        <v>147</v>
      </c>
      <c r="J445">
        <v>1</v>
      </c>
      <c r="K445" t="s">
        <v>102</v>
      </c>
      <c r="T445">
        <v>0</v>
      </c>
      <c r="U445">
        <v>49.54</v>
      </c>
      <c r="V445">
        <v>0</v>
      </c>
      <c r="AM445" t="s">
        <v>107</v>
      </c>
      <c r="BC445">
        <v>17</v>
      </c>
      <c r="BD445" t="s">
        <v>108</v>
      </c>
      <c r="BE445" t="s">
        <v>109</v>
      </c>
      <c r="BG445" t="s">
        <v>110</v>
      </c>
      <c r="BH445" t="s">
        <v>111</v>
      </c>
      <c r="BI445" t="s">
        <v>112</v>
      </c>
      <c r="BJ445" t="s">
        <v>113</v>
      </c>
      <c r="BK445" t="s">
        <v>114</v>
      </c>
      <c r="BL445" t="s">
        <v>115</v>
      </c>
      <c r="BM445" t="s">
        <v>116</v>
      </c>
      <c r="BO445" t="s">
        <v>117</v>
      </c>
      <c r="BQ445">
        <v>438</v>
      </c>
      <c r="BR445" t="s">
        <v>118</v>
      </c>
      <c r="BU445" t="s">
        <v>119</v>
      </c>
      <c r="BV445" t="s">
        <v>120</v>
      </c>
      <c r="BW445">
        <v>0</v>
      </c>
      <c r="BX445">
        <v>0</v>
      </c>
      <c r="BY445">
        <v>0</v>
      </c>
      <c r="BZ445">
        <v>0.09</v>
      </c>
      <c r="CA445">
        <v>49.54</v>
      </c>
      <c r="CB445">
        <v>0</v>
      </c>
      <c r="CC445">
        <v>0</v>
      </c>
      <c r="CD445">
        <v>0</v>
      </c>
      <c r="CE445" t="s">
        <v>121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O445">
        <v>0</v>
      </c>
      <c r="CP445">
        <v>0</v>
      </c>
      <c r="CR445" t="s">
        <v>122</v>
      </c>
      <c r="CS445">
        <v>0</v>
      </c>
    </row>
    <row r="446" spans="1:97" x14ac:dyDescent="0.2">
      <c r="A446" t="s">
        <v>3024</v>
      </c>
      <c r="B446">
        <v>415</v>
      </c>
      <c r="C446" t="s">
        <v>3025</v>
      </c>
      <c r="E446" t="s">
        <v>3026</v>
      </c>
      <c r="I446">
        <v>5</v>
      </c>
      <c r="J446">
        <v>1</v>
      </c>
      <c r="K446" t="s">
        <v>102</v>
      </c>
      <c r="T446">
        <v>0</v>
      </c>
      <c r="U446">
        <v>558.91</v>
      </c>
      <c r="V446">
        <v>0</v>
      </c>
      <c r="AM446" t="s">
        <v>107</v>
      </c>
      <c r="BC446">
        <v>17</v>
      </c>
      <c r="BD446" t="s">
        <v>108</v>
      </c>
      <c r="BE446" t="s">
        <v>109</v>
      </c>
      <c r="BG446" t="s">
        <v>110</v>
      </c>
      <c r="BH446" t="s">
        <v>111</v>
      </c>
      <c r="BI446" t="s">
        <v>112</v>
      </c>
      <c r="BJ446" t="s">
        <v>113</v>
      </c>
      <c r="BK446" t="s">
        <v>114</v>
      </c>
      <c r="BL446" t="s">
        <v>115</v>
      </c>
      <c r="BM446" t="s">
        <v>116</v>
      </c>
      <c r="BO446" t="s">
        <v>117</v>
      </c>
      <c r="BQ446">
        <v>439</v>
      </c>
      <c r="BR446" t="s">
        <v>118</v>
      </c>
      <c r="BU446" t="s">
        <v>119</v>
      </c>
      <c r="BV446" t="s">
        <v>120</v>
      </c>
      <c r="BW446">
        <v>0</v>
      </c>
      <c r="BX446">
        <v>0</v>
      </c>
      <c r="BY446">
        <v>0</v>
      </c>
      <c r="BZ446">
        <v>0.09</v>
      </c>
      <c r="CA446">
        <v>558.91</v>
      </c>
      <c r="CB446">
        <v>0</v>
      </c>
      <c r="CC446">
        <v>0</v>
      </c>
      <c r="CD446">
        <v>0</v>
      </c>
      <c r="CE446" t="s">
        <v>121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O446">
        <v>0</v>
      </c>
      <c r="CP446">
        <v>0</v>
      </c>
      <c r="CR446" t="s">
        <v>122</v>
      </c>
      <c r="CS446">
        <v>0</v>
      </c>
    </row>
    <row r="447" spans="1:97" x14ac:dyDescent="0.2">
      <c r="A447" t="s">
        <v>3027</v>
      </c>
      <c r="B447">
        <v>416</v>
      </c>
      <c r="C447" t="s">
        <v>3028</v>
      </c>
      <c r="E447" t="s">
        <v>272</v>
      </c>
      <c r="J447">
        <v>1</v>
      </c>
      <c r="K447" t="s">
        <v>102</v>
      </c>
      <c r="T447">
        <v>0</v>
      </c>
      <c r="U447">
        <v>40.369999999999997</v>
      </c>
      <c r="V447">
        <v>0</v>
      </c>
      <c r="AM447" t="s">
        <v>107</v>
      </c>
      <c r="BC447">
        <v>17</v>
      </c>
      <c r="BD447" t="s">
        <v>108</v>
      </c>
      <c r="BE447" t="s">
        <v>109</v>
      </c>
      <c r="BG447" t="s">
        <v>110</v>
      </c>
      <c r="BH447" t="s">
        <v>111</v>
      </c>
      <c r="BI447" t="s">
        <v>112</v>
      </c>
      <c r="BJ447" t="s">
        <v>113</v>
      </c>
      <c r="BK447" t="s">
        <v>114</v>
      </c>
      <c r="BL447" t="s">
        <v>115</v>
      </c>
      <c r="BM447" t="s">
        <v>116</v>
      </c>
      <c r="BO447" t="s">
        <v>117</v>
      </c>
      <c r="BQ447">
        <v>440</v>
      </c>
      <c r="BR447" t="s">
        <v>118</v>
      </c>
      <c r="BU447" t="s">
        <v>119</v>
      </c>
      <c r="BV447" t="s">
        <v>120</v>
      </c>
      <c r="BW447">
        <v>0</v>
      </c>
      <c r="BX447">
        <v>0</v>
      </c>
      <c r="BY447">
        <v>0</v>
      </c>
      <c r="BZ447">
        <v>0.09</v>
      </c>
      <c r="CA447">
        <v>40.369999999999997</v>
      </c>
      <c r="CB447">
        <v>0</v>
      </c>
      <c r="CC447">
        <v>0</v>
      </c>
      <c r="CD447">
        <v>0</v>
      </c>
      <c r="CE447" t="s">
        <v>121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O447">
        <v>0</v>
      </c>
      <c r="CP447">
        <v>0</v>
      </c>
      <c r="CR447" t="s">
        <v>122</v>
      </c>
      <c r="CS447">
        <v>0</v>
      </c>
    </row>
    <row r="448" spans="1:97" x14ac:dyDescent="0.2">
      <c r="A448" t="s">
        <v>3029</v>
      </c>
      <c r="B448">
        <v>417</v>
      </c>
      <c r="C448" t="s">
        <v>3030</v>
      </c>
      <c r="E448" t="s">
        <v>272</v>
      </c>
      <c r="J448">
        <v>1</v>
      </c>
      <c r="K448" t="s">
        <v>102</v>
      </c>
      <c r="T448">
        <v>0</v>
      </c>
      <c r="U448">
        <v>0</v>
      </c>
      <c r="V448">
        <v>0</v>
      </c>
      <c r="AM448" t="s">
        <v>107</v>
      </c>
      <c r="BC448">
        <v>17</v>
      </c>
      <c r="BD448" t="s">
        <v>108</v>
      </c>
      <c r="BE448" t="s">
        <v>109</v>
      </c>
      <c r="BG448" t="s">
        <v>110</v>
      </c>
      <c r="BH448" t="s">
        <v>111</v>
      </c>
      <c r="BI448" t="s">
        <v>112</v>
      </c>
      <c r="BJ448" t="s">
        <v>113</v>
      </c>
      <c r="BK448" t="s">
        <v>114</v>
      </c>
      <c r="BL448" t="s">
        <v>115</v>
      </c>
      <c r="BM448" t="s">
        <v>116</v>
      </c>
      <c r="BO448" t="s">
        <v>117</v>
      </c>
      <c r="BQ448">
        <v>449</v>
      </c>
      <c r="BR448" t="s">
        <v>118</v>
      </c>
      <c r="BU448" t="s">
        <v>119</v>
      </c>
      <c r="BV448" t="s">
        <v>120</v>
      </c>
      <c r="BW448">
        <v>0</v>
      </c>
      <c r="BX448">
        <v>0</v>
      </c>
      <c r="BY448">
        <v>0</v>
      </c>
      <c r="BZ448">
        <v>0.09</v>
      </c>
      <c r="CA448">
        <v>0</v>
      </c>
      <c r="CB448">
        <v>23.41</v>
      </c>
      <c r="CC448">
        <v>0</v>
      </c>
      <c r="CD448">
        <v>0</v>
      </c>
      <c r="CE448" t="s">
        <v>121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O448">
        <v>0</v>
      </c>
      <c r="CP448">
        <v>0</v>
      </c>
      <c r="CR448" t="s">
        <v>122</v>
      </c>
      <c r="CS448">
        <v>0</v>
      </c>
    </row>
    <row r="449" spans="1:97" x14ac:dyDescent="0.2">
      <c r="A449" t="s">
        <v>3031</v>
      </c>
      <c r="B449">
        <v>418</v>
      </c>
      <c r="C449" t="s">
        <v>3032</v>
      </c>
      <c r="E449" t="s">
        <v>3033</v>
      </c>
      <c r="J449">
        <v>1</v>
      </c>
      <c r="K449" t="s">
        <v>102</v>
      </c>
      <c r="T449">
        <v>0</v>
      </c>
      <c r="U449">
        <v>-607.33000000000004</v>
      </c>
      <c r="V449">
        <v>0</v>
      </c>
      <c r="AM449" t="s">
        <v>107</v>
      </c>
      <c r="BV449" t="s">
        <v>142</v>
      </c>
      <c r="CD449">
        <v>0</v>
      </c>
      <c r="CO449">
        <v>0</v>
      </c>
      <c r="CP449">
        <v>0</v>
      </c>
      <c r="CR449" t="s">
        <v>143</v>
      </c>
      <c r="CS449">
        <v>0</v>
      </c>
    </row>
    <row r="450" spans="1:97" x14ac:dyDescent="0.2">
      <c r="A450" t="s">
        <v>3034</v>
      </c>
      <c r="B450">
        <v>419</v>
      </c>
      <c r="C450" t="s">
        <v>3035</v>
      </c>
      <c r="E450" t="s">
        <v>1889</v>
      </c>
      <c r="J450">
        <v>1</v>
      </c>
      <c r="K450" t="s">
        <v>102</v>
      </c>
      <c r="T450">
        <v>0</v>
      </c>
      <c r="U450">
        <v>56.08</v>
      </c>
      <c r="V450">
        <v>0</v>
      </c>
      <c r="AM450" t="s">
        <v>107</v>
      </c>
      <c r="BV450" t="s">
        <v>142</v>
      </c>
      <c r="CD450">
        <v>0</v>
      </c>
      <c r="CO450">
        <v>0</v>
      </c>
      <c r="CP450">
        <v>0</v>
      </c>
      <c r="CR450" t="s">
        <v>143</v>
      </c>
      <c r="CS450">
        <v>0</v>
      </c>
    </row>
    <row r="451" spans="1:97" x14ac:dyDescent="0.2">
      <c r="A451" t="s">
        <v>3036</v>
      </c>
      <c r="B451">
        <v>420</v>
      </c>
      <c r="C451" t="s">
        <v>3037</v>
      </c>
      <c r="E451" t="s">
        <v>2269</v>
      </c>
      <c r="I451">
        <v>4</v>
      </c>
      <c r="J451">
        <v>1</v>
      </c>
      <c r="K451" t="s">
        <v>102</v>
      </c>
      <c r="T451">
        <v>0</v>
      </c>
      <c r="U451">
        <v>0</v>
      </c>
      <c r="V451">
        <v>0</v>
      </c>
      <c r="AM451" t="s">
        <v>107</v>
      </c>
      <c r="BV451" t="s">
        <v>142</v>
      </c>
      <c r="CD451">
        <v>0</v>
      </c>
      <c r="CO451">
        <v>0</v>
      </c>
      <c r="CP451">
        <v>0</v>
      </c>
      <c r="CR451" t="s">
        <v>143</v>
      </c>
      <c r="CS451">
        <v>0</v>
      </c>
    </row>
    <row r="452" spans="1:97" x14ac:dyDescent="0.2">
      <c r="A452" t="s">
        <v>3038</v>
      </c>
      <c r="B452">
        <v>421</v>
      </c>
      <c r="C452" t="s">
        <v>3039</v>
      </c>
      <c r="I452">
        <v>4</v>
      </c>
      <c r="J452">
        <v>1</v>
      </c>
      <c r="K452" t="s">
        <v>102</v>
      </c>
      <c r="T452">
        <v>0</v>
      </c>
      <c r="U452">
        <v>0</v>
      </c>
      <c r="V452">
        <v>0</v>
      </c>
      <c r="AM452" t="s">
        <v>107</v>
      </c>
      <c r="BV452" t="s">
        <v>142</v>
      </c>
      <c r="CD452">
        <v>0</v>
      </c>
      <c r="CO452">
        <v>0</v>
      </c>
      <c r="CP452">
        <v>0</v>
      </c>
      <c r="CR452" t="s">
        <v>143</v>
      </c>
      <c r="CS452">
        <v>0</v>
      </c>
    </row>
    <row r="453" spans="1:97" x14ac:dyDescent="0.2">
      <c r="A453" t="s">
        <v>3040</v>
      </c>
      <c r="B453">
        <v>422</v>
      </c>
      <c r="C453" t="s">
        <v>3041</v>
      </c>
      <c r="E453" t="s">
        <v>147</v>
      </c>
      <c r="I453">
        <v>4</v>
      </c>
      <c r="J453">
        <v>1</v>
      </c>
      <c r="K453" t="s">
        <v>102</v>
      </c>
      <c r="T453">
        <v>1300</v>
      </c>
      <c r="U453">
        <v>0</v>
      </c>
      <c r="V453">
        <v>0</v>
      </c>
      <c r="AM453" t="s">
        <v>107</v>
      </c>
      <c r="BV453" t="s">
        <v>142</v>
      </c>
      <c r="CD453">
        <v>1300</v>
      </c>
      <c r="CO453">
        <v>0</v>
      </c>
      <c r="CP453">
        <v>0</v>
      </c>
      <c r="CR453" t="s">
        <v>143</v>
      </c>
      <c r="CS453">
        <v>0</v>
      </c>
    </row>
    <row r="454" spans="1:97" x14ac:dyDescent="0.2">
      <c r="A454" t="s">
        <v>3042</v>
      </c>
      <c r="B454">
        <v>423</v>
      </c>
      <c r="C454" t="s">
        <v>3043</v>
      </c>
      <c r="E454" t="s">
        <v>147</v>
      </c>
      <c r="J454">
        <v>1</v>
      </c>
      <c r="K454" t="s">
        <v>102</v>
      </c>
      <c r="T454">
        <v>0</v>
      </c>
      <c r="U454">
        <v>0</v>
      </c>
      <c r="V454">
        <v>0</v>
      </c>
      <c r="AM454" t="s">
        <v>107</v>
      </c>
      <c r="BV454" t="s">
        <v>142</v>
      </c>
      <c r="CD454">
        <v>0</v>
      </c>
      <c r="CO454">
        <v>0</v>
      </c>
      <c r="CP454">
        <v>0</v>
      </c>
      <c r="CR454" t="s">
        <v>143</v>
      </c>
      <c r="CS454">
        <v>0</v>
      </c>
    </row>
    <row r="455" spans="1:97" x14ac:dyDescent="0.2">
      <c r="A455" t="s">
        <v>3044</v>
      </c>
      <c r="B455">
        <v>424</v>
      </c>
      <c r="C455" t="s">
        <v>3045</v>
      </c>
      <c r="E455" t="s">
        <v>272</v>
      </c>
      <c r="I455">
        <v>4</v>
      </c>
      <c r="J455">
        <v>1</v>
      </c>
      <c r="K455" t="s">
        <v>102</v>
      </c>
      <c r="T455">
        <v>0</v>
      </c>
      <c r="U455">
        <v>0</v>
      </c>
      <c r="V455">
        <v>0</v>
      </c>
      <c r="AM455" t="s">
        <v>107</v>
      </c>
      <c r="BV455" t="s">
        <v>142</v>
      </c>
      <c r="CD455">
        <v>0</v>
      </c>
      <c r="CO455">
        <v>0</v>
      </c>
      <c r="CP455">
        <v>0</v>
      </c>
      <c r="CR455" t="s">
        <v>143</v>
      </c>
      <c r="CS455">
        <v>0</v>
      </c>
    </row>
    <row r="456" spans="1:97" x14ac:dyDescent="0.2">
      <c r="A456" t="s">
        <v>3046</v>
      </c>
      <c r="B456">
        <v>431</v>
      </c>
      <c r="C456" t="s">
        <v>3047</v>
      </c>
      <c r="E456" t="s">
        <v>3048</v>
      </c>
      <c r="J456">
        <v>1</v>
      </c>
      <c r="K456" t="s">
        <v>102</v>
      </c>
      <c r="T456">
        <v>0</v>
      </c>
      <c r="U456">
        <v>0</v>
      </c>
      <c r="V456">
        <v>0</v>
      </c>
      <c r="AM456" t="s">
        <v>107</v>
      </c>
      <c r="BC456">
        <v>17</v>
      </c>
      <c r="BD456" t="s">
        <v>108</v>
      </c>
      <c r="BE456" t="s">
        <v>109</v>
      </c>
      <c r="BG456" t="s">
        <v>110</v>
      </c>
      <c r="BH456" t="s">
        <v>111</v>
      </c>
      <c r="BI456" t="s">
        <v>112</v>
      </c>
      <c r="BJ456" t="s">
        <v>113</v>
      </c>
      <c r="BK456" t="s">
        <v>114</v>
      </c>
      <c r="BL456" t="s">
        <v>115</v>
      </c>
      <c r="BM456" t="s">
        <v>116</v>
      </c>
      <c r="BO456" t="s">
        <v>117</v>
      </c>
      <c r="BQ456">
        <v>379</v>
      </c>
      <c r="BR456" t="s">
        <v>118</v>
      </c>
      <c r="BU456" t="s">
        <v>119</v>
      </c>
      <c r="BV456" t="s">
        <v>120</v>
      </c>
      <c r="BW456">
        <v>0</v>
      </c>
      <c r="BX456">
        <v>475</v>
      </c>
      <c r="BY456">
        <v>517.75</v>
      </c>
      <c r="BZ456">
        <v>0.09</v>
      </c>
      <c r="CA456">
        <v>0</v>
      </c>
      <c r="CB456">
        <v>0</v>
      </c>
      <c r="CC456">
        <v>0</v>
      </c>
      <c r="CD456">
        <v>0</v>
      </c>
      <c r="CE456" t="s">
        <v>121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O456">
        <v>475</v>
      </c>
      <c r="CP456">
        <v>5700</v>
      </c>
      <c r="CR456" t="s">
        <v>122</v>
      </c>
      <c r="CS456">
        <v>0</v>
      </c>
    </row>
    <row r="457" spans="1:97" x14ac:dyDescent="0.2">
      <c r="A457" t="s">
        <v>3049</v>
      </c>
      <c r="B457">
        <v>432</v>
      </c>
      <c r="C457" t="s">
        <v>3050</v>
      </c>
      <c r="E457" t="s">
        <v>3048</v>
      </c>
      <c r="J457">
        <v>1</v>
      </c>
      <c r="K457" t="s">
        <v>102</v>
      </c>
      <c r="T457">
        <v>0</v>
      </c>
      <c r="U457">
        <v>0</v>
      </c>
      <c r="V457">
        <v>0</v>
      </c>
      <c r="AM457" t="s">
        <v>107</v>
      </c>
      <c r="BC457">
        <v>17</v>
      </c>
      <c r="BD457" t="s">
        <v>108</v>
      </c>
      <c r="BE457" t="s">
        <v>109</v>
      </c>
      <c r="BG457" t="s">
        <v>110</v>
      </c>
      <c r="BH457" t="s">
        <v>111</v>
      </c>
      <c r="BI457" t="s">
        <v>112</v>
      </c>
      <c r="BJ457" t="s">
        <v>113</v>
      </c>
      <c r="BK457" t="s">
        <v>114</v>
      </c>
      <c r="BL457" t="s">
        <v>115</v>
      </c>
      <c r="BM457" t="s">
        <v>116</v>
      </c>
      <c r="BO457" t="s">
        <v>117</v>
      </c>
      <c r="BQ457">
        <v>418</v>
      </c>
      <c r="BR457" t="s">
        <v>118</v>
      </c>
      <c r="BU457" t="s">
        <v>119</v>
      </c>
      <c r="BV457" t="s">
        <v>120</v>
      </c>
      <c r="BW457">
        <v>0</v>
      </c>
      <c r="BX457">
        <v>475</v>
      </c>
      <c r="BY457">
        <v>517.75</v>
      </c>
      <c r="BZ457">
        <v>0.09</v>
      </c>
      <c r="CA457">
        <v>0</v>
      </c>
      <c r="CB457">
        <v>0</v>
      </c>
      <c r="CC457">
        <v>0</v>
      </c>
      <c r="CD457">
        <v>0</v>
      </c>
      <c r="CE457" t="s">
        <v>121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O457">
        <v>475</v>
      </c>
      <c r="CP457">
        <v>5700</v>
      </c>
      <c r="CR457" t="s">
        <v>122</v>
      </c>
      <c r="CS457">
        <v>0</v>
      </c>
    </row>
    <row r="458" spans="1:97" x14ac:dyDescent="0.2">
      <c r="A458" t="s">
        <v>3051</v>
      </c>
      <c r="B458">
        <v>433</v>
      </c>
      <c r="C458" t="s">
        <v>3052</v>
      </c>
      <c r="E458" t="s">
        <v>3048</v>
      </c>
      <c r="J458">
        <v>1</v>
      </c>
      <c r="K458" t="s">
        <v>102</v>
      </c>
      <c r="T458">
        <v>0</v>
      </c>
      <c r="U458">
        <v>0</v>
      </c>
      <c r="V458">
        <v>0</v>
      </c>
      <c r="AM458" t="s">
        <v>107</v>
      </c>
      <c r="BC458">
        <v>17</v>
      </c>
      <c r="BD458" t="s">
        <v>108</v>
      </c>
      <c r="BE458" t="s">
        <v>109</v>
      </c>
      <c r="BG458" t="s">
        <v>110</v>
      </c>
      <c r="BH458" t="s">
        <v>111</v>
      </c>
      <c r="BI458" t="s">
        <v>112</v>
      </c>
      <c r="BJ458" t="s">
        <v>113</v>
      </c>
      <c r="BK458" t="s">
        <v>114</v>
      </c>
      <c r="BL458" t="s">
        <v>115</v>
      </c>
      <c r="BM458" t="s">
        <v>116</v>
      </c>
      <c r="BO458" t="s">
        <v>117</v>
      </c>
      <c r="BQ458">
        <v>380</v>
      </c>
      <c r="BR458" t="s">
        <v>118</v>
      </c>
      <c r="BU458" t="s">
        <v>119</v>
      </c>
      <c r="BV458" t="s">
        <v>120</v>
      </c>
      <c r="BW458">
        <v>0</v>
      </c>
      <c r="BX458">
        <v>475</v>
      </c>
      <c r="BY458">
        <v>517.75</v>
      </c>
      <c r="BZ458">
        <v>0.09</v>
      </c>
      <c r="CA458">
        <v>0</v>
      </c>
      <c r="CB458">
        <v>0</v>
      </c>
      <c r="CC458">
        <v>0</v>
      </c>
      <c r="CD458">
        <v>0</v>
      </c>
      <c r="CE458" t="s">
        <v>121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O458">
        <v>475</v>
      </c>
      <c r="CP458">
        <v>5700</v>
      </c>
      <c r="CR458" t="s">
        <v>122</v>
      </c>
      <c r="CS458">
        <v>0</v>
      </c>
    </row>
    <row r="459" spans="1:97" x14ac:dyDescent="0.2">
      <c r="A459" t="s">
        <v>3053</v>
      </c>
      <c r="B459">
        <v>435</v>
      </c>
      <c r="C459" t="s">
        <v>3054</v>
      </c>
      <c r="E459" t="s">
        <v>312</v>
      </c>
      <c r="J459">
        <v>1</v>
      </c>
      <c r="K459" t="s">
        <v>102</v>
      </c>
      <c r="P459" t="s">
        <v>1477</v>
      </c>
      <c r="T459">
        <v>0</v>
      </c>
      <c r="U459">
        <v>165.62</v>
      </c>
      <c r="V459">
        <v>0</v>
      </c>
      <c r="AM459" t="s">
        <v>107</v>
      </c>
      <c r="BV459" t="s">
        <v>142</v>
      </c>
      <c r="CD459">
        <v>0</v>
      </c>
      <c r="CO459">
        <v>0</v>
      </c>
      <c r="CP459">
        <v>0</v>
      </c>
      <c r="CR459" t="s">
        <v>143</v>
      </c>
      <c r="CS459">
        <v>0</v>
      </c>
    </row>
    <row r="460" spans="1:97" x14ac:dyDescent="0.2">
      <c r="A460" t="s">
        <v>3055</v>
      </c>
      <c r="B460">
        <v>436</v>
      </c>
      <c r="C460" t="s">
        <v>3056</v>
      </c>
      <c r="E460" t="s">
        <v>3057</v>
      </c>
      <c r="J460">
        <v>1</v>
      </c>
      <c r="K460" t="s">
        <v>102</v>
      </c>
      <c r="T460">
        <v>0</v>
      </c>
      <c r="U460">
        <v>0</v>
      </c>
      <c r="V460">
        <v>0</v>
      </c>
      <c r="AM460" t="s">
        <v>107</v>
      </c>
      <c r="BC460">
        <v>17</v>
      </c>
      <c r="BD460" t="s">
        <v>108</v>
      </c>
      <c r="BE460" t="s">
        <v>109</v>
      </c>
      <c r="BG460" t="s">
        <v>110</v>
      </c>
      <c r="BH460" t="s">
        <v>111</v>
      </c>
      <c r="BI460" t="s">
        <v>112</v>
      </c>
      <c r="BJ460" t="s">
        <v>113</v>
      </c>
      <c r="BK460" t="s">
        <v>114</v>
      </c>
      <c r="BL460" t="s">
        <v>115</v>
      </c>
      <c r="BM460" t="s">
        <v>116</v>
      </c>
      <c r="BO460" t="s">
        <v>117</v>
      </c>
      <c r="BQ460">
        <v>381</v>
      </c>
      <c r="BR460" t="s">
        <v>118</v>
      </c>
      <c r="BU460" t="s">
        <v>119</v>
      </c>
      <c r="BV460" t="s">
        <v>120</v>
      </c>
      <c r="BW460">
        <v>0</v>
      </c>
      <c r="BX460">
        <v>59.85</v>
      </c>
      <c r="BY460">
        <v>65.239999999999995</v>
      </c>
      <c r="BZ460">
        <v>0.09</v>
      </c>
      <c r="CA460">
        <v>0</v>
      </c>
      <c r="CB460">
        <v>0</v>
      </c>
      <c r="CC460">
        <v>0</v>
      </c>
      <c r="CD460">
        <v>0</v>
      </c>
      <c r="CE460" t="s">
        <v>121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O460">
        <v>59.85</v>
      </c>
      <c r="CP460">
        <v>718.2</v>
      </c>
      <c r="CR460" t="s">
        <v>122</v>
      </c>
      <c r="CS460">
        <v>0</v>
      </c>
    </row>
    <row r="461" spans="1:97" x14ac:dyDescent="0.2">
      <c r="A461" t="s">
        <v>3058</v>
      </c>
      <c r="B461">
        <v>437</v>
      </c>
      <c r="C461" t="s">
        <v>3059</v>
      </c>
      <c r="E461" t="s">
        <v>669</v>
      </c>
      <c r="I461">
        <v>10</v>
      </c>
      <c r="J461">
        <v>1</v>
      </c>
      <c r="K461" t="s">
        <v>102</v>
      </c>
      <c r="T461">
        <v>0</v>
      </c>
      <c r="U461">
        <v>0</v>
      </c>
      <c r="V461">
        <v>0</v>
      </c>
      <c r="AM461" t="s">
        <v>107</v>
      </c>
      <c r="BC461">
        <v>17</v>
      </c>
      <c r="BD461" t="s">
        <v>108</v>
      </c>
      <c r="BE461" t="s">
        <v>109</v>
      </c>
      <c r="BG461" t="s">
        <v>110</v>
      </c>
      <c r="BH461" t="s">
        <v>111</v>
      </c>
      <c r="BI461" t="s">
        <v>112</v>
      </c>
      <c r="BJ461" t="s">
        <v>113</v>
      </c>
      <c r="BK461" t="s">
        <v>114</v>
      </c>
      <c r="BL461" t="s">
        <v>115</v>
      </c>
      <c r="BM461" t="s">
        <v>116</v>
      </c>
      <c r="BO461" t="s">
        <v>117</v>
      </c>
      <c r="BQ461">
        <v>382</v>
      </c>
      <c r="BR461" t="s">
        <v>118</v>
      </c>
      <c r="BU461" t="s">
        <v>119</v>
      </c>
      <c r="BV461" t="s">
        <v>120</v>
      </c>
      <c r="BW461">
        <v>0</v>
      </c>
      <c r="BX461">
        <v>1409.4</v>
      </c>
      <c r="BY461">
        <v>1536.25</v>
      </c>
      <c r="BZ461">
        <v>0.09</v>
      </c>
      <c r="CA461">
        <v>0</v>
      </c>
      <c r="CB461">
        <v>0</v>
      </c>
      <c r="CC461">
        <v>0</v>
      </c>
      <c r="CD461">
        <v>0</v>
      </c>
      <c r="CE461" t="s">
        <v>121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O461">
        <v>1409.4</v>
      </c>
      <c r="CP461">
        <v>16912.8</v>
      </c>
      <c r="CR461" t="s">
        <v>122</v>
      </c>
      <c r="CS461">
        <v>0</v>
      </c>
    </row>
    <row r="462" spans="1:97" x14ac:dyDescent="0.2">
      <c r="A462" t="s">
        <v>3060</v>
      </c>
      <c r="B462">
        <v>438</v>
      </c>
      <c r="C462" t="s">
        <v>3061</v>
      </c>
      <c r="I462">
        <v>4</v>
      </c>
      <c r="J462">
        <v>1</v>
      </c>
      <c r="K462" t="s">
        <v>102</v>
      </c>
      <c r="T462">
        <v>0</v>
      </c>
      <c r="U462">
        <v>272.56</v>
      </c>
      <c r="V462">
        <v>0</v>
      </c>
      <c r="AM462" t="s">
        <v>107</v>
      </c>
      <c r="BC462">
        <v>17</v>
      </c>
      <c r="BD462" t="s">
        <v>108</v>
      </c>
      <c r="BE462" t="s">
        <v>109</v>
      </c>
      <c r="BG462" t="s">
        <v>110</v>
      </c>
      <c r="BH462" t="s">
        <v>111</v>
      </c>
      <c r="BI462" t="s">
        <v>112</v>
      </c>
      <c r="BJ462" t="s">
        <v>113</v>
      </c>
      <c r="BK462" t="s">
        <v>114</v>
      </c>
      <c r="BL462" t="s">
        <v>115</v>
      </c>
      <c r="BM462" t="s">
        <v>116</v>
      </c>
      <c r="BO462" t="s">
        <v>117</v>
      </c>
      <c r="BQ462">
        <v>383</v>
      </c>
      <c r="BR462" t="s">
        <v>118</v>
      </c>
      <c r="BU462" t="s">
        <v>119</v>
      </c>
      <c r="BV462" t="s">
        <v>120</v>
      </c>
      <c r="BW462">
        <v>0</v>
      </c>
      <c r="BX462">
        <v>1641.12</v>
      </c>
      <c r="BY462">
        <v>1788.82</v>
      </c>
      <c r="BZ462">
        <v>0.09</v>
      </c>
      <c r="CA462">
        <v>272.56</v>
      </c>
      <c r="CB462">
        <v>25.1</v>
      </c>
      <c r="CC462">
        <v>0</v>
      </c>
      <c r="CD462">
        <v>0</v>
      </c>
      <c r="CE462" t="s">
        <v>121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O462">
        <v>1641.12</v>
      </c>
      <c r="CP462">
        <v>19693.439999999999</v>
      </c>
      <c r="CR462" t="s">
        <v>122</v>
      </c>
      <c r="CS462">
        <v>0</v>
      </c>
    </row>
    <row r="463" spans="1:97" x14ac:dyDescent="0.2">
      <c r="A463" t="s">
        <v>3062</v>
      </c>
      <c r="B463">
        <v>439</v>
      </c>
      <c r="C463" t="s">
        <v>3063</v>
      </c>
      <c r="E463" t="s">
        <v>1832</v>
      </c>
      <c r="J463">
        <v>1</v>
      </c>
      <c r="K463" t="s">
        <v>102</v>
      </c>
      <c r="T463">
        <v>0</v>
      </c>
      <c r="U463">
        <v>0</v>
      </c>
      <c r="V463">
        <v>0</v>
      </c>
      <c r="AM463" t="s">
        <v>107</v>
      </c>
      <c r="BV463" t="s">
        <v>142</v>
      </c>
      <c r="CD463">
        <v>0</v>
      </c>
      <c r="CO463">
        <v>0</v>
      </c>
      <c r="CP463">
        <v>0</v>
      </c>
      <c r="CR463" t="s">
        <v>143</v>
      </c>
      <c r="CS463">
        <v>0</v>
      </c>
    </row>
    <row r="464" spans="1:97" x14ac:dyDescent="0.2">
      <c r="A464" t="s">
        <v>3064</v>
      </c>
      <c r="B464">
        <v>440</v>
      </c>
      <c r="C464" t="s">
        <v>3065</v>
      </c>
      <c r="E464" t="s">
        <v>679</v>
      </c>
      <c r="J464">
        <v>1</v>
      </c>
      <c r="K464" t="s">
        <v>102</v>
      </c>
      <c r="T464">
        <v>0</v>
      </c>
      <c r="U464">
        <v>0</v>
      </c>
      <c r="V464">
        <v>0</v>
      </c>
      <c r="AM464" t="s">
        <v>107</v>
      </c>
      <c r="BC464">
        <v>17</v>
      </c>
      <c r="BD464" t="s">
        <v>108</v>
      </c>
      <c r="BE464" t="s">
        <v>109</v>
      </c>
      <c r="BG464" t="s">
        <v>110</v>
      </c>
      <c r="BH464" t="s">
        <v>111</v>
      </c>
      <c r="BI464" t="s">
        <v>112</v>
      </c>
      <c r="BJ464" t="s">
        <v>113</v>
      </c>
      <c r="BK464" t="s">
        <v>114</v>
      </c>
      <c r="BL464" t="s">
        <v>115</v>
      </c>
      <c r="BM464" t="s">
        <v>116</v>
      </c>
      <c r="BO464" t="s">
        <v>117</v>
      </c>
      <c r="BQ464">
        <v>384</v>
      </c>
      <c r="BR464" t="s">
        <v>118</v>
      </c>
      <c r="BU464" t="s">
        <v>119</v>
      </c>
      <c r="BV464" t="s">
        <v>120</v>
      </c>
      <c r="BW464">
        <v>0</v>
      </c>
      <c r="BX464">
        <v>2602.5</v>
      </c>
      <c r="BY464">
        <v>2836.73</v>
      </c>
      <c r="BZ464">
        <v>0.09</v>
      </c>
      <c r="CA464">
        <v>0</v>
      </c>
      <c r="CB464">
        <v>0</v>
      </c>
      <c r="CC464">
        <v>0</v>
      </c>
      <c r="CD464">
        <v>0</v>
      </c>
      <c r="CE464" t="s">
        <v>121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O464">
        <v>2602.5</v>
      </c>
      <c r="CP464">
        <v>31230</v>
      </c>
      <c r="CR464" t="s">
        <v>122</v>
      </c>
      <c r="CS464">
        <v>0</v>
      </c>
    </row>
    <row r="465" spans="1:97" x14ac:dyDescent="0.2">
      <c r="A465" t="s">
        <v>3066</v>
      </c>
      <c r="B465">
        <v>441</v>
      </c>
      <c r="C465" t="s">
        <v>3067</v>
      </c>
      <c r="I465">
        <v>6</v>
      </c>
      <c r="J465">
        <v>1</v>
      </c>
      <c r="K465" t="s">
        <v>102</v>
      </c>
      <c r="T465">
        <v>0</v>
      </c>
      <c r="U465">
        <v>0</v>
      </c>
      <c r="V465">
        <v>0</v>
      </c>
      <c r="AM465" t="s">
        <v>107</v>
      </c>
      <c r="BC465">
        <v>17</v>
      </c>
      <c r="BD465" t="s">
        <v>108</v>
      </c>
      <c r="BE465" t="s">
        <v>109</v>
      </c>
      <c r="BG465" t="s">
        <v>110</v>
      </c>
      <c r="BH465" t="s">
        <v>111</v>
      </c>
      <c r="BI465" t="s">
        <v>112</v>
      </c>
      <c r="BJ465" t="s">
        <v>113</v>
      </c>
      <c r="BK465" t="s">
        <v>114</v>
      </c>
      <c r="BL465" t="s">
        <v>115</v>
      </c>
      <c r="BM465" t="s">
        <v>116</v>
      </c>
      <c r="BO465" t="s">
        <v>117</v>
      </c>
      <c r="BQ465">
        <v>385</v>
      </c>
      <c r="BR465" t="s">
        <v>118</v>
      </c>
      <c r="BU465" t="s">
        <v>119</v>
      </c>
      <c r="BV465" t="s">
        <v>120</v>
      </c>
      <c r="BW465">
        <v>0</v>
      </c>
      <c r="BX465">
        <v>0</v>
      </c>
      <c r="BY465">
        <v>0</v>
      </c>
      <c r="BZ465">
        <v>0.09</v>
      </c>
      <c r="CA465">
        <v>0</v>
      </c>
      <c r="CB465">
        <v>0</v>
      </c>
      <c r="CC465">
        <v>0</v>
      </c>
      <c r="CD465">
        <v>0</v>
      </c>
      <c r="CE465" t="s">
        <v>121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O465">
        <v>0</v>
      </c>
      <c r="CP465">
        <v>0</v>
      </c>
      <c r="CR465" t="s">
        <v>122</v>
      </c>
      <c r="CS465">
        <v>0</v>
      </c>
    </row>
    <row r="466" spans="1:97" x14ac:dyDescent="0.2">
      <c r="A466" t="s">
        <v>3068</v>
      </c>
      <c r="B466">
        <v>442</v>
      </c>
      <c r="C466" t="s">
        <v>3069</v>
      </c>
      <c r="E466" t="s">
        <v>312</v>
      </c>
      <c r="J466">
        <v>1</v>
      </c>
      <c r="K466" t="s">
        <v>102</v>
      </c>
      <c r="T466">
        <v>0</v>
      </c>
      <c r="U466">
        <v>0</v>
      </c>
      <c r="V466">
        <v>0</v>
      </c>
      <c r="AM466" t="s">
        <v>107</v>
      </c>
      <c r="BV466" t="s">
        <v>142</v>
      </c>
      <c r="CD466">
        <v>0</v>
      </c>
      <c r="CO466">
        <v>0</v>
      </c>
      <c r="CP466">
        <v>0</v>
      </c>
      <c r="CR466" t="s">
        <v>143</v>
      </c>
      <c r="CS466">
        <v>0</v>
      </c>
    </row>
    <row r="467" spans="1:97" x14ac:dyDescent="0.2">
      <c r="A467" t="s">
        <v>3070</v>
      </c>
      <c r="B467">
        <v>443</v>
      </c>
      <c r="C467" t="s">
        <v>3071</v>
      </c>
      <c r="E467" t="s">
        <v>233</v>
      </c>
      <c r="I467">
        <v>6</v>
      </c>
      <c r="J467">
        <v>1</v>
      </c>
      <c r="K467" t="s">
        <v>102</v>
      </c>
      <c r="T467">
        <v>0</v>
      </c>
      <c r="U467">
        <v>0</v>
      </c>
      <c r="V467">
        <v>0</v>
      </c>
      <c r="AM467" t="s">
        <v>107</v>
      </c>
      <c r="BC467">
        <v>17</v>
      </c>
      <c r="BD467" t="s">
        <v>108</v>
      </c>
      <c r="BE467" t="s">
        <v>109</v>
      </c>
      <c r="BG467" t="s">
        <v>110</v>
      </c>
      <c r="BH467" t="s">
        <v>111</v>
      </c>
      <c r="BI467" t="s">
        <v>112</v>
      </c>
      <c r="BJ467" t="s">
        <v>113</v>
      </c>
      <c r="BK467" t="s">
        <v>114</v>
      </c>
      <c r="BL467" t="s">
        <v>115</v>
      </c>
      <c r="BM467" t="s">
        <v>116</v>
      </c>
      <c r="BO467" t="s">
        <v>117</v>
      </c>
      <c r="BQ467">
        <v>386</v>
      </c>
      <c r="BR467" t="s">
        <v>118</v>
      </c>
      <c r="BU467" t="s">
        <v>119</v>
      </c>
      <c r="BV467" t="s">
        <v>120</v>
      </c>
      <c r="BW467">
        <v>0</v>
      </c>
      <c r="BX467">
        <v>757.44</v>
      </c>
      <c r="BY467">
        <v>825.61</v>
      </c>
      <c r="BZ467">
        <v>0.09</v>
      </c>
      <c r="CA467">
        <v>0</v>
      </c>
      <c r="CB467">
        <v>0</v>
      </c>
      <c r="CC467">
        <v>0</v>
      </c>
      <c r="CD467">
        <v>0</v>
      </c>
      <c r="CE467" t="s">
        <v>121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O467">
        <v>757.44</v>
      </c>
      <c r="CP467">
        <v>9089.2800000000007</v>
      </c>
      <c r="CR467" t="s">
        <v>122</v>
      </c>
      <c r="CS467">
        <v>0</v>
      </c>
    </row>
    <row r="468" spans="1:97" x14ac:dyDescent="0.2">
      <c r="A468" t="s">
        <v>3072</v>
      </c>
      <c r="B468">
        <v>444</v>
      </c>
      <c r="C468" t="s">
        <v>3073</v>
      </c>
      <c r="E468" t="s">
        <v>312</v>
      </c>
      <c r="J468">
        <v>1</v>
      </c>
      <c r="K468" t="s">
        <v>102</v>
      </c>
      <c r="T468">
        <v>0</v>
      </c>
      <c r="U468">
        <v>273.62</v>
      </c>
      <c r="V468">
        <v>0</v>
      </c>
      <c r="AM468" t="s">
        <v>107</v>
      </c>
      <c r="BC468">
        <v>17</v>
      </c>
      <c r="BD468" t="s">
        <v>108</v>
      </c>
      <c r="BE468" t="s">
        <v>109</v>
      </c>
      <c r="BG468" t="s">
        <v>110</v>
      </c>
      <c r="BH468" t="s">
        <v>111</v>
      </c>
      <c r="BI468" t="s">
        <v>112</v>
      </c>
      <c r="BJ468" t="s">
        <v>113</v>
      </c>
      <c r="BK468" t="s">
        <v>114</v>
      </c>
      <c r="BL468" t="s">
        <v>115</v>
      </c>
      <c r="BM468" t="s">
        <v>116</v>
      </c>
      <c r="BO468" t="s">
        <v>117</v>
      </c>
      <c r="BQ468">
        <v>387</v>
      </c>
      <c r="BR468" t="s">
        <v>118</v>
      </c>
      <c r="BU468" t="s">
        <v>119</v>
      </c>
      <c r="BV468" t="s">
        <v>120</v>
      </c>
      <c r="BW468">
        <v>0</v>
      </c>
      <c r="BX468">
        <v>989.88</v>
      </c>
      <c r="BY468">
        <v>1078.97</v>
      </c>
      <c r="BZ468">
        <v>0.09</v>
      </c>
      <c r="CA468">
        <v>273.62</v>
      </c>
      <c r="CB468">
        <v>67.36</v>
      </c>
      <c r="CC468">
        <v>0</v>
      </c>
      <c r="CD468">
        <v>0</v>
      </c>
      <c r="CE468" t="s">
        <v>121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O468">
        <v>989.88</v>
      </c>
      <c r="CP468">
        <v>11878.56</v>
      </c>
      <c r="CR468" t="s">
        <v>122</v>
      </c>
      <c r="CS468">
        <v>0</v>
      </c>
    </row>
    <row r="469" spans="1:97" x14ac:dyDescent="0.2">
      <c r="A469" t="s">
        <v>3074</v>
      </c>
      <c r="B469">
        <v>445</v>
      </c>
      <c r="C469" t="s">
        <v>3075</v>
      </c>
      <c r="E469" t="s">
        <v>312</v>
      </c>
      <c r="J469">
        <v>1</v>
      </c>
      <c r="K469" t="s">
        <v>102</v>
      </c>
      <c r="T469">
        <v>0</v>
      </c>
      <c r="U469">
        <v>482.46</v>
      </c>
      <c r="V469">
        <v>0</v>
      </c>
      <c r="AM469" t="s">
        <v>107</v>
      </c>
      <c r="BC469">
        <v>17</v>
      </c>
      <c r="BD469" t="s">
        <v>108</v>
      </c>
      <c r="BE469" t="s">
        <v>109</v>
      </c>
      <c r="BG469" t="s">
        <v>110</v>
      </c>
      <c r="BH469" t="s">
        <v>111</v>
      </c>
      <c r="BI469" t="s">
        <v>112</v>
      </c>
      <c r="BJ469" t="s">
        <v>113</v>
      </c>
      <c r="BK469" t="s">
        <v>114</v>
      </c>
      <c r="BL469" t="s">
        <v>115</v>
      </c>
      <c r="BM469" t="s">
        <v>116</v>
      </c>
      <c r="BO469" t="s">
        <v>117</v>
      </c>
      <c r="BQ469">
        <v>388</v>
      </c>
      <c r="BR469" t="s">
        <v>118</v>
      </c>
      <c r="BU469" t="s">
        <v>119</v>
      </c>
      <c r="BV469" t="s">
        <v>120</v>
      </c>
      <c r="BW469">
        <v>0</v>
      </c>
      <c r="BX469">
        <v>989.88</v>
      </c>
      <c r="BY469">
        <v>1078.97</v>
      </c>
      <c r="BZ469">
        <v>0.09</v>
      </c>
      <c r="CA469">
        <v>482.46</v>
      </c>
      <c r="CB469">
        <v>67.349999999999994</v>
      </c>
      <c r="CC469">
        <v>0</v>
      </c>
      <c r="CD469">
        <v>0</v>
      </c>
      <c r="CE469" t="s">
        <v>121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O469">
        <v>989.88</v>
      </c>
      <c r="CP469">
        <v>11878.56</v>
      </c>
      <c r="CR469" t="s">
        <v>122</v>
      </c>
      <c r="CS469">
        <v>0</v>
      </c>
    </row>
    <row r="470" spans="1:97" x14ac:dyDescent="0.2">
      <c r="A470" t="s">
        <v>3076</v>
      </c>
      <c r="B470">
        <v>446</v>
      </c>
      <c r="C470" t="s">
        <v>3077</v>
      </c>
      <c r="E470" t="s">
        <v>312</v>
      </c>
      <c r="J470">
        <v>1</v>
      </c>
      <c r="K470" t="s">
        <v>102</v>
      </c>
      <c r="T470">
        <v>0</v>
      </c>
      <c r="U470">
        <v>2472.37</v>
      </c>
      <c r="V470">
        <v>0</v>
      </c>
      <c r="AM470" t="s">
        <v>107</v>
      </c>
      <c r="BC470">
        <v>17</v>
      </c>
      <c r="BD470" t="s">
        <v>108</v>
      </c>
      <c r="BE470" t="s">
        <v>109</v>
      </c>
      <c r="BG470" t="s">
        <v>110</v>
      </c>
      <c r="BH470" t="s">
        <v>111</v>
      </c>
      <c r="BI470" t="s">
        <v>112</v>
      </c>
      <c r="BJ470" t="s">
        <v>113</v>
      </c>
      <c r="BK470" t="s">
        <v>114</v>
      </c>
      <c r="BL470" t="s">
        <v>115</v>
      </c>
      <c r="BM470" t="s">
        <v>116</v>
      </c>
      <c r="BO470" t="s">
        <v>117</v>
      </c>
      <c r="BQ470">
        <v>389</v>
      </c>
      <c r="BR470" t="s">
        <v>118</v>
      </c>
      <c r="BU470" t="s">
        <v>119</v>
      </c>
      <c r="BV470" t="s">
        <v>120</v>
      </c>
      <c r="BW470">
        <v>0</v>
      </c>
      <c r="BX470">
        <v>0</v>
      </c>
      <c r="BY470">
        <v>0</v>
      </c>
      <c r="BZ470">
        <v>0.09</v>
      </c>
      <c r="CA470">
        <v>2472.37</v>
      </c>
      <c r="CB470">
        <v>67.349999999999994</v>
      </c>
      <c r="CC470">
        <v>0</v>
      </c>
      <c r="CD470">
        <v>0</v>
      </c>
      <c r="CE470" t="s">
        <v>121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O470">
        <v>0</v>
      </c>
      <c r="CP470">
        <v>0</v>
      </c>
      <c r="CR470" t="s">
        <v>122</v>
      </c>
      <c r="CS470">
        <v>0</v>
      </c>
    </row>
    <row r="471" spans="1:97" x14ac:dyDescent="0.2">
      <c r="A471" t="s">
        <v>3078</v>
      </c>
      <c r="B471">
        <v>447</v>
      </c>
      <c r="C471" t="s">
        <v>3079</v>
      </c>
      <c r="E471" t="s">
        <v>3080</v>
      </c>
      <c r="I471">
        <v>5</v>
      </c>
      <c r="J471">
        <v>1</v>
      </c>
      <c r="K471" t="s">
        <v>102</v>
      </c>
      <c r="T471">
        <v>0</v>
      </c>
      <c r="U471">
        <v>0</v>
      </c>
      <c r="V471">
        <v>0</v>
      </c>
      <c r="AM471" t="s">
        <v>107</v>
      </c>
      <c r="BC471">
        <v>17</v>
      </c>
      <c r="BD471" t="s">
        <v>108</v>
      </c>
      <c r="BE471" t="s">
        <v>109</v>
      </c>
      <c r="BG471" t="s">
        <v>110</v>
      </c>
      <c r="BH471" t="s">
        <v>111</v>
      </c>
      <c r="BI471" t="s">
        <v>112</v>
      </c>
      <c r="BJ471" t="s">
        <v>113</v>
      </c>
      <c r="BK471" t="s">
        <v>114</v>
      </c>
      <c r="BL471" t="s">
        <v>115</v>
      </c>
      <c r="BM471" t="s">
        <v>116</v>
      </c>
      <c r="BO471" t="s">
        <v>117</v>
      </c>
      <c r="BQ471">
        <v>390</v>
      </c>
      <c r="BR471" t="s">
        <v>118</v>
      </c>
      <c r="BU471" t="s">
        <v>119</v>
      </c>
      <c r="BV471" t="s">
        <v>120</v>
      </c>
      <c r="BW471">
        <v>0</v>
      </c>
      <c r="BX471">
        <v>647.1</v>
      </c>
      <c r="BY471">
        <v>705.34</v>
      </c>
      <c r="BZ471">
        <v>0.09</v>
      </c>
      <c r="CA471">
        <v>0</v>
      </c>
      <c r="CB471">
        <v>0</v>
      </c>
      <c r="CC471">
        <v>0</v>
      </c>
      <c r="CD471">
        <v>0</v>
      </c>
      <c r="CE471" t="s">
        <v>121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O471">
        <v>647.1</v>
      </c>
      <c r="CP471">
        <v>7765.2000000000007</v>
      </c>
      <c r="CR471" t="s">
        <v>122</v>
      </c>
      <c r="CS471">
        <v>0</v>
      </c>
    </row>
    <row r="472" spans="1:97" x14ac:dyDescent="0.2">
      <c r="A472" t="s">
        <v>3081</v>
      </c>
      <c r="B472">
        <v>448</v>
      </c>
      <c r="C472" t="s">
        <v>3082</v>
      </c>
      <c r="E472" t="s">
        <v>3080</v>
      </c>
      <c r="I472">
        <v>5</v>
      </c>
      <c r="J472">
        <v>1</v>
      </c>
      <c r="K472" t="s">
        <v>102</v>
      </c>
      <c r="T472">
        <v>0</v>
      </c>
      <c r="U472">
        <v>0</v>
      </c>
      <c r="V472">
        <v>0</v>
      </c>
      <c r="AM472" t="s">
        <v>107</v>
      </c>
      <c r="BC472">
        <v>17</v>
      </c>
      <c r="BD472" t="s">
        <v>108</v>
      </c>
      <c r="BE472" t="s">
        <v>109</v>
      </c>
      <c r="BG472" t="s">
        <v>110</v>
      </c>
      <c r="BH472" t="s">
        <v>111</v>
      </c>
      <c r="BI472" t="s">
        <v>112</v>
      </c>
      <c r="BJ472" t="s">
        <v>113</v>
      </c>
      <c r="BK472" t="s">
        <v>114</v>
      </c>
      <c r="BL472" t="s">
        <v>115</v>
      </c>
      <c r="BM472" t="s">
        <v>116</v>
      </c>
      <c r="BO472" t="s">
        <v>117</v>
      </c>
      <c r="BQ472">
        <v>391</v>
      </c>
      <c r="BR472" t="s">
        <v>118</v>
      </c>
      <c r="BU472" t="s">
        <v>119</v>
      </c>
      <c r="BV472" t="s">
        <v>120</v>
      </c>
      <c r="BW472">
        <v>0</v>
      </c>
      <c r="BX472">
        <v>764.26</v>
      </c>
      <c r="BY472">
        <v>833.04</v>
      </c>
      <c r="BZ472">
        <v>0.09</v>
      </c>
      <c r="CA472">
        <v>0</v>
      </c>
      <c r="CB472">
        <v>0</v>
      </c>
      <c r="CC472">
        <v>0</v>
      </c>
      <c r="CD472">
        <v>0</v>
      </c>
      <c r="CE472" t="s">
        <v>121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O472">
        <v>764.26</v>
      </c>
      <c r="CP472">
        <v>9171.119999999999</v>
      </c>
      <c r="CR472" t="s">
        <v>122</v>
      </c>
      <c r="CS472">
        <v>0</v>
      </c>
    </row>
    <row r="473" spans="1:97" x14ac:dyDescent="0.2">
      <c r="A473" t="s">
        <v>3083</v>
      </c>
      <c r="B473">
        <v>449</v>
      </c>
      <c r="C473" t="s">
        <v>3084</v>
      </c>
      <c r="E473" t="s">
        <v>272</v>
      </c>
      <c r="J473">
        <v>0</v>
      </c>
      <c r="K473" t="s">
        <v>102</v>
      </c>
      <c r="T473">
        <v>0</v>
      </c>
      <c r="U473">
        <v>0</v>
      </c>
      <c r="V473">
        <v>0</v>
      </c>
      <c r="AM473" t="s">
        <v>107</v>
      </c>
      <c r="BC473">
        <v>17</v>
      </c>
      <c r="BD473" t="s">
        <v>108</v>
      </c>
      <c r="BE473" t="s">
        <v>109</v>
      </c>
      <c r="BG473" t="s">
        <v>110</v>
      </c>
      <c r="BH473" t="s">
        <v>111</v>
      </c>
      <c r="BI473" t="s">
        <v>112</v>
      </c>
      <c r="BJ473" t="s">
        <v>113</v>
      </c>
      <c r="BK473" t="s">
        <v>114</v>
      </c>
      <c r="BL473" t="s">
        <v>115</v>
      </c>
      <c r="BM473" t="s">
        <v>116</v>
      </c>
      <c r="BO473" t="s">
        <v>117</v>
      </c>
      <c r="BQ473">
        <v>392</v>
      </c>
      <c r="BR473" t="s">
        <v>118</v>
      </c>
      <c r="BU473" t="s">
        <v>119</v>
      </c>
      <c r="BV473" t="s">
        <v>120</v>
      </c>
      <c r="BW473">
        <v>0</v>
      </c>
      <c r="BX473">
        <v>914.99</v>
      </c>
      <c r="BY473">
        <v>997.34</v>
      </c>
      <c r="BZ473">
        <v>0.09</v>
      </c>
      <c r="CA473">
        <v>0</v>
      </c>
      <c r="CB473">
        <v>0</v>
      </c>
      <c r="CC473">
        <v>0</v>
      </c>
      <c r="CD473">
        <v>0</v>
      </c>
      <c r="CE473" t="s">
        <v>121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O473">
        <v>914.99</v>
      </c>
      <c r="CP473">
        <v>10979.88</v>
      </c>
      <c r="CR473" t="s">
        <v>1648</v>
      </c>
      <c r="CS473">
        <v>0</v>
      </c>
    </row>
    <row r="474" spans="1:97" x14ac:dyDescent="0.2">
      <c r="A474" t="s">
        <v>3085</v>
      </c>
      <c r="B474">
        <v>450</v>
      </c>
      <c r="C474" t="s">
        <v>3086</v>
      </c>
      <c r="J474">
        <v>1</v>
      </c>
      <c r="K474" t="s">
        <v>102</v>
      </c>
      <c r="P474" t="s">
        <v>904</v>
      </c>
      <c r="Q474" t="s">
        <v>905</v>
      </c>
      <c r="R474" t="s">
        <v>906</v>
      </c>
      <c r="S474" t="s">
        <v>907</v>
      </c>
      <c r="T474">
        <v>0</v>
      </c>
      <c r="U474">
        <v>159</v>
      </c>
      <c r="V474">
        <v>0</v>
      </c>
      <c r="AM474" t="s">
        <v>107</v>
      </c>
      <c r="BC474">
        <v>17</v>
      </c>
      <c r="BD474" t="s">
        <v>108</v>
      </c>
      <c r="BE474" t="s">
        <v>109</v>
      </c>
      <c r="BG474" t="s">
        <v>110</v>
      </c>
      <c r="BH474" t="s">
        <v>111</v>
      </c>
      <c r="BI474" t="s">
        <v>112</v>
      </c>
      <c r="BJ474" t="s">
        <v>113</v>
      </c>
      <c r="BK474" t="s">
        <v>114</v>
      </c>
      <c r="BL474" t="s">
        <v>115</v>
      </c>
      <c r="BM474" t="s">
        <v>116</v>
      </c>
      <c r="BO474" t="s">
        <v>117</v>
      </c>
      <c r="BQ474">
        <v>393</v>
      </c>
      <c r="BR474" t="s">
        <v>118</v>
      </c>
      <c r="BU474" t="s">
        <v>119</v>
      </c>
      <c r="BV474" t="s">
        <v>120</v>
      </c>
      <c r="BW474">
        <v>0</v>
      </c>
      <c r="BX474">
        <v>0</v>
      </c>
      <c r="BY474">
        <v>0</v>
      </c>
      <c r="BZ474">
        <v>0.09</v>
      </c>
      <c r="CA474">
        <v>159</v>
      </c>
      <c r="CB474">
        <v>0</v>
      </c>
      <c r="CC474">
        <v>0</v>
      </c>
      <c r="CD474">
        <v>0</v>
      </c>
      <c r="CE474" t="s">
        <v>121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O474">
        <v>0</v>
      </c>
      <c r="CP474">
        <v>0</v>
      </c>
      <c r="CR474" t="s">
        <v>122</v>
      </c>
      <c r="CS474">
        <v>0</v>
      </c>
    </row>
    <row r="475" spans="1:97" x14ac:dyDescent="0.2">
      <c r="A475" t="s">
        <v>3087</v>
      </c>
      <c r="B475">
        <v>451</v>
      </c>
      <c r="C475" t="s">
        <v>3088</v>
      </c>
      <c r="E475" t="s">
        <v>1558</v>
      </c>
      <c r="J475">
        <v>1</v>
      </c>
      <c r="K475" t="s">
        <v>102</v>
      </c>
      <c r="T475">
        <v>0</v>
      </c>
      <c r="U475">
        <v>0</v>
      </c>
      <c r="V475">
        <v>0</v>
      </c>
      <c r="AM475" t="s">
        <v>107</v>
      </c>
      <c r="BC475">
        <v>17</v>
      </c>
      <c r="BD475" t="s">
        <v>108</v>
      </c>
      <c r="BE475" t="s">
        <v>109</v>
      </c>
      <c r="BG475" t="s">
        <v>110</v>
      </c>
      <c r="BH475" t="s">
        <v>111</v>
      </c>
      <c r="BI475" t="s">
        <v>112</v>
      </c>
      <c r="BJ475" t="s">
        <v>113</v>
      </c>
      <c r="BK475" t="s">
        <v>114</v>
      </c>
      <c r="BL475" t="s">
        <v>115</v>
      </c>
      <c r="BM475" t="s">
        <v>116</v>
      </c>
      <c r="BO475" t="s">
        <v>117</v>
      </c>
      <c r="BQ475">
        <v>394</v>
      </c>
      <c r="BR475" t="s">
        <v>118</v>
      </c>
      <c r="BU475" t="s">
        <v>119</v>
      </c>
      <c r="BV475" t="s">
        <v>120</v>
      </c>
      <c r="BW475">
        <v>0</v>
      </c>
      <c r="BX475">
        <v>0</v>
      </c>
      <c r="BY475">
        <v>0</v>
      </c>
      <c r="BZ475">
        <v>0.09</v>
      </c>
      <c r="CA475">
        <v>0</v>
      </c>
      <c r="CB475">
        <v>0</v>
      </c>
      <c r="CC475">
        <v>0</v>
      </c>
      <c r="CD475">
        <v>0</v>
      </c>
      <c r="CE475" t="s">
        <v>121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O475">
        <v>0</v>
      </c>
      <c r="CP475">
        <v>0</v>
      </c>
      <c r="CR475" t="s">
        <v>122</v>
      </c>
      <c r="CS475">
        <v>0</v>
      </c>
    </row>
    <row r="476" spans="1:97" x14ac:dyDescent="0.2">
      <c r="A476" t="s">
        <v>3089</v>
      </c>
      <c r="B476">
        <v>452</v>
      </c>
      <c r="C476" t="s">
        <v>3090</v>
      </c>
      <c r="E476" t="s">
        <v>147</v>
      </c>
      <c r="J476">
        <v>1</v>
      </c>
      <c r="K476" t="s">
        <v>102</v>
      </c>
      <c r="T476">
        <v>0</v>
      </c>
      <c r="U476">
        <v>202.99</v>
      </c>
      <c r="V476">
        <v>0</v>
      </c>
      <c r="AM476" t="s">
        <v>107</v>
      </c>
      <c r="BC476">
        <v>17</v>
      </c>
      <c r="BD476" t="s">
        <v>108</v>
      </c>
      <c r="BE476" t="s">
        <v>109</v>
      </c>
      <c r="BG476" t="s">
        <v>110</v>
      </c>
      <c r="BH476" t="s">
        <v>111</v>
      </c>
      <c r="BI476" t="s">
        <v>112</v>
      </c>
      <c r="BJ476" t="s">
        <v>113</v>
      </c>
      <c r="BK476" t="s">
        <v>114</v>
      </c>
      <c r="BL476" t="s">
        <v>115</v>
      </c>
      <c r="BM476" t="s">
        <v>116</v>
      </c>
      <c r="BO476" t="s">
        <v>117</v>
      </c>
      <c r="BQ476">
        <v>395</v>
      </c>
      <c r="BR476" t="s">
        <v>118</v>
      </c>
      <c r="BU476" t="s">
        <v>119</v>
      </c>
      <c r="BV476" t="s">
        <v>120</v>
      </c>
      <c r="BW476">
        <v>0</v>
      </c>
      <c r="BX476">
        <v>895</v>
      </c>
      <c r="BY476">
        <v>975.55</v>
      </c>
      <c r="BZ476">
        <v>0.09</v>
      </c>
      <c r="CA476">
        <v>202.99</v>
      </c>
      <c r="CB476">
        <v>140.1</v>
      </c>
      <c r="CC476">
        <v>0</v>
      </c>
      <c r="CD476">
        <v>0</v>
      </c>
      <c r="CE476" t="s">
        <v>121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O476">
        <v>895</v>
      </c>
      <c r="CP476">
        <v>10740</v>
      </c>
      <c r="CR476" t="s">
        <v>122</v>
      </c>
      <c r="CS476">
        <v>0</v>
      </c>
    </row>
    <row r="477" spans="1:97" x14ac:dyDescent="0.2">
      <c r="A477" t="s">
        <v>3091</v>
      </c>
      <c r="B477">
        <v>453</v>
      </c>
      <c r="C477" t="s">
        <v>3092</v>
      </c>
      <c r="E477" t="s">
        <v>147</v>
      </c>
      <c r="J477">
        <v>1</v>
      </c>
      <c r="K477" t="s">
        <v>102</v>
      </c>
      <c r="T477">
        <v>0</v>
      </c>
      <c r="U477">
        <v>0</v>
      </c>
      <c r="V477">
        <v>0</v>
      </c>
      <c r="AM477" t="s">
        <v>107</v>
      </c>
      <c r="BC477">
        <v>17</v>
      </c>
      <c r="BD477" t="s">
        <v>108</v>
      </c>
      <c r="BE477" t="s">
        <v>109</v>
      </c>
      <c r="BG477" t="s">
        <v>110</v>
      </c>
      <c r="BH477" t="s">
        <v>111</v>
      </c>
      <c r="BI477" t="s">
        <v>112</v>
      </c>
      <c r="BJ477" t="s">
        <v>113</v>
      </c>
      <c r="BK477" t="s">
        <v>114</v>
      </c>
      <c r="BL477" t="s">
        <v>115</v>
      </c>
      <c r="BM477" t="s">
        <v>116</v>
      </c>
      <c r="BO477" t="s">
        <v>117</v>
      </c>
      <c r="BQ477">
        <v>396</v>
      </c>
      <c r="BR477" t="s">
        <v>118</v>
      </c>
      <c r="BU477" t="s">
        <v>119</v>
      </c>
      <c r="BV477" t="s">
        <v>120</v>
      </c>
      <c r="BW477">
        <v>0</v>
      </c>
      <c r="BX477">
        <v>59.85</v>
      </c>
      <c r="BY477">
        <v>65.239999999999995</v>
      </c>
      <c r="BZ477">
        <v>0.09</v>
      </c>
      <c r="CA477">
        <v>0</v>
      </c>
      <c r="CB477">
        <v>0</v>
      </c>
      <c r="CC477">
        <v>0</v>
      </c>
      <c r="CD477">
        <v>0</v>
      </c>
      <c r="CE477" t="s">
        <v>121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O477">
        <v>59.85</v>
      </c>
      <c r="CP477">
        <v>718.2</v>
      </c>
      <c r="CR477" t="s">
        <v>122</v>
      </c>
      <c r="CS477">
        <v>0</v>
      </c>
    </row>
    <row r="478" spans="1:97" x14ac:dyDescent="0.2">
      <c r="A478" t="s">
        <v>3093</v>
      </c>
      <c r="B478">
        <v>454</v>
      </c>
      <c r="C478" t="s">
        <v>3094</v>
      </c>
      <c r="I478">
        <v>5</v>
      </c>
      <c r="J478">
        <v>1</v>
      </c>
      <c r="K478" t="s">
        <v>102</v>
      </c>
      <c r="T478">
        <v>0</v>
      </c>
      <c r="U478">
        <v>0</v>
      </c>
      <c r="V478">
        <v>0</v>
      </c>
      <c r="AM478" t="s">
        <v>107</v>
      </c>
      <c r="BC478">
        <v>17</v>
      </c>
      <c r="BD478" t="s">
        <v>108</v>
      </c>
      <c r="BE478" t="s">
        <v>109</v>
      </c>
      <c r="BG478" t="s">
        <v>110</v>
      </c>
      <c r="BH478" t="s">
        <v>111</v>
      </c>
      <c r="BI478" t="s">
        <v>112</v>
      </c>
      <c r="BJ478" t="s">
        <v>113</v>
      </c>
      <c r="BK478" t="s">
        <v>114</v>
      </c>
      <c r="BL478" t="s">
        <v>115</v>
      </c>
      <c r="BM478" t="s">
        <v>116</v>
      </c>
      <c r="BO478" t="s">
        <v>117</v>
      </c>
      <c r="BQ478">
        <v>397</v>
      </c>
      <c r="BR478" t="s">
        <v>118</v>
      </c>
      <c r="BU478" t="s">
        <v>119</v>
      </c>
      <c r="BV478" t="s">
        <v>120</v>
      </c>
      <c r="BW478">
        <v>0</v>
      </c>
      <c r="BX478">
        <v>972</v>
      </c>
      <c r="BY478">
        <v>1059.48</v>
      </c>
      <c r="BZ478">
        <v>0.09</v>
      </c>
      <c r="CA478">
        <v>0</v>
      </c>
      <c r="CB478">
        <v>0</v>
      </c>
      <c r="CC478">
        <v>0</v>
      </c>
      <c r="CD478">
        <v>0</v>
      </c>
      <c r="CE478" t="s">
        <v>121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O478">
        <v>972</v>
      </c>
      <c r="CP478">
        <v>11664</v>
      </c>
      <c r="CR478" t="s">
        <v>122</v>
      </c>
      <c r="CS478">
        <v>0</v>
      </c>
    </row>
    <row r="479" spans="1:97" x14ac:dyDescent="0.2">
      <c r="A479" t="s">
        <v>3095</v>
      </c>
      <c r="B479">
        <v>455</v>
      </c>
      <c r="C479" t="s">
        <v>3096</v>
      </c>
      <c r="E479" t="s">
        <v>3026</v>
      </c>
      <c r="J479">
        <v>1</v>
      </c>
      <c r="K479" t="s">
        <v>102</v>
      </c>
      <c r="T479">
        <v>0</v>
      </c>
      <c r="U479">
        <v>0</v>
      </c>
      <c r="V479">
        <v>0</v>
      </c>
      <c r="AM479" t="s">
        <v>107</v>
      </c>
      <c r="BC479">
        <v>17</v>
      </c>
      <c r="BD479" t="s">
        <v>108</v>
      </c>
      <c r="BE479" t="s">
        <v>109</v>
      </c>
      <c r="BG479" t="s">
        <v>110</v>
      </c>
      <c r="BH479" t="s">
        <v>111</v>
      </c>
      <c r="BI479" t="s">
        <v>112</v>
      </c>
      <c r="BJ479" t="s">
        <v>113</v>
      </c>
      <c r="BK479" t="s">
        <v>114</v>
      </c>
      <c r="BL479" t="s">
        <v>115</v>
      </c>
      <c r="BM479" t="s">
        <v>116</v>
      </c>
      <c r="BO479" t="s">
        <v>117</v>
      </c>
      <c r="BQ479">
        <v>398</v>
      </c>
      <c r="BR479" t="s">
        <v>118</v>
      </c>
      <c r="BU479" t="s">
        <v>119</v>
      </c>
      <c r="BV479" t="s">
        <v>120</v>
      </c>
      <c r="BW479">
        <v>0</v>
      </c>
      <c r="BX479">
        <v>435</v>
      </c>
      <c r="BY479">
        <v>474.15</v>
      </c>
      <c r="BZ479">
        <v>0.09</v>
      </c>
      <c r="CA479">
        <v>0</v>
      </c>
      <c r="CB479">
        <v>0</v>
      </c>
      <c r="CC479">
        <v>0</v>
      </c>
      <c r="CD479">
        <v>0</v>
      </c>
      <c r="CE479" t="s">
        <v>121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O479">
        <v>435</v>
      </c>
      <c r="CP479">
        <v>5220</v>
      </c>
      <c r="CR479" t="s">
        <v>122</v>
      </c>
      <c r="CS479">
        <v>0</v>
      </c>
    </row>
    <row r="480" spans="1:97" x14ac:dyDescent="0.2">
      <c r="A480" t="s">
        <v>3097</v>
      </c>
      <c r="B480">
        <v>456</v>
      </c>
      <c r="C480" t="s">
        <v>3098</v>
      </c>
      <c r="E480" t="s">
        <v>3026</v>
      </c>
      <c r="J480">
        <v>1</v>
      </c>
      <c r="K480" t="s">
        <v>102</v>
      </c>
      <c r="T480">
        <v>0</v>
      </c>
      <c r="U480">
        <v>0</v>
      </c>
      <c r="V480">
        <v>0</v>
      </c>
      <c r="AM480" t="s">
        <v>107</v>
      </c>
      <c r="BC480">
        <v>17</v>
      </c>
      <c r="BD480" t="s">
        <v>108</v>
      </c>
      <c r="BE480" t="s">
        <v>109</v>
      </c>
      <c r="BG480" t="s">
        <v>110</v>
      </c>
      <c r="BH480" t="s">
        <v>111</v>
      </c>
      <c r="BI480" t="s">
        <v>112</v>
      </c>
      <c r="BJ480" t="s">
        <v>113</v>
      </c>
      <c r="BK480" t="s">
        <v>114</v>
      </c>
      <c r="BL480" t="s">
        <v>115</v>
      </c>
      <c r="BM480" t="s">
        <v>116</v>
      </c>
      <c r="BO480" t="s">
        <v>117</v>
      </c>
      <c r="BQ480">
        <v>399</v>
      </c>
      <c r="BR480" t="s">
        <v>118</v>
      </c>
      <c r="BU480" t="s">
        <v>119</v>
      </c>
      <c r="BV480" t="s">
        <v>120</v>
      </c>
      <c r="BW480">
        <v>0</v>
      </c>
      <c r="BX480">
        <v>435</v>
      </c>
      <c r="BY480">
        <v>474.15</v>
      </c>
      <c r="BZ480">
        <v>0.09</v>
      </c>
      <c r="CA480">
        <v>0</v>
      </c>
      <c r="CB480">
        <v>0</v>
      </c>
      <c r="CC480">
        <v>0</v>
      </c>
      <c r="CD480">
        <v>0</v>
      </c>
      <c r="CE480" t="s">
        <v>121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O480">
        <v>435</v>
      </c>
      <c r="CP480">
        <v>5220</v>
      </c>
      <c r="CR480" t="s">
        <v>122</v>
      </c>
      <c r="CS480">
        <v>0</v>
      </c>
    </row>
    <row r="481" spans="1:97" x14ac:dyDescent="0.2">
      <c r="A481" t="s">
        <v>3099</v>
      </c>
      <c r="B481">
        <v>457</v>
      </c>
      <c r="C481" t="s">
        <v>3100</v>
      </c>
      <c r="E481" t="s">
        <v>3026</v>
      </c>
      <c r="J481">
        <v>1</v>
      </c>
      <c r="K481" t="s">
        <v>102</v>
      </c>
      <c r="T481">
        <v>0</v>
      </c>
      <c r="U481">
        <v>0</v>
      </c>
      <c r="V481">
        <v>0</v>
      </c>
      <c r="AM481" t="s">
        <v>107</v>
      </c>
      <c r="BC481">
        <v>17</v>
      </c>
      <c r="BD481" t="s">
        <v>108</v>
      </c>
      <c r="BE481" t="s">
        <v>109</v>
      </c>
      <c r="BG481" t="s">
        <v>110</v>
      </c>
      <c r="BH481" t="s">
        <v>111</v>
      </c>
      <c r="BI481" t="s">
        <v>112</v>
      </c>
      <c r="BJ481" t="s">
        <v>113</v>
      </c>
      <c r="BK481" t="s">
        <v>114</v>
      </c>
      <c r="BL481" t="s">
        <v>115</v>
      </c>
      <c r="BM481" t="s">
        <v>116</v>
      </c>
      <c r="BO481" t="s">
        <v>117</v>
      </c>
      <c r="BQ481">
        <v>400</v>
      </c>
      <c r="BR481" t="s">
        <v>118</v>
      </c>
      <c r="BU481" t="s">
        <v>119</v>
      </c>
      <c r="BV481" t="s">
        <v>120</v>
      </c>
      <c r="BW481">
        <v>0</v>
      </c>
      <c r="BX481">
        <v>435</v>
      </c>
      <c r="BY481">
        <v>474.15</v>
      </c>
      <c r="BZ481">
        <v>0.09</v>
      </c>
      <c r="CA481">
        <v>0</v>
      </c>
      <c r="CB481">
        <v>0</v>
      </c>
      <c r="CC481">
        <v>0</v>
      </c>
      <c r="CD481">
        <v>0</v>
      </c>
      <c r="CE481" t="s">
        <v>121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O481">
        <v>435</v>
      </c>
      <c r="CP481">
        <v>5220</v>
      </c>
      <c r="CR481" t="s">
        <v>122</v>
      </c>
      <c r="CS481">
        <v>0</v>
      </c>
    </row>
    <row r="482" spans="1:97" x14ac:dyDescent="0.2">
      <c r="A482" t="s">
        <v>3101</v>
      </c>
      <c r="B482">
        <v>458</v>
      </c>
      <c r="C482" t="s">
        <v>3102</v>
      </c>
      <c r="E482" t="s">
        <v>3026</v>
      </c>
      <c r="J482">
        <v>1</v>
      </c>
      <c r="K482" t="s">
        <v>102</v>
      </c>
      <c r="T482">
        <v>0</v>
      </c>
      <c r="U482">
        <v>0</v>
      </c>
      <c r="V482">
        <v>0</v>
      </c>
      <c r="AM482" t="s">
        <v>107</v>
      </c>
      <c r="BC482">
        <v>17</v>
      </c>
      <c r="BD482" t="s">
        <v>108</v>
      </c>
      <c r="BE482" t="s">
        <v>109</v>
      </c>
      <c r="BG482" t="s">
        <v>110</v>
      </c>
      <c r="BH482" t="s">
        <v>111</v>
      </c>
      <c r="BI482" t="s">
        <v>112</v>
      </c>
      <c r="BJ482" t="s">
        <v>113</v>
      </c>
      <c r="BK482" t="s">
        <v>114</v>
      </c>
      <c r="BL482" t="s">
        <v>115</v>
      </c>
      <c r="BM482" t="s">
        <v>116</v>
      </c>
      <c r="BO482" t="s">
        <v>117</v>
      </c>
      <c r="BQ482">
        <v>401</v>
      </c>
      <c r="BR482" t="s">
        <v>118</v>
      </c>
      <c r="BU482" t="s">
        <v>119</v>
      </c>
      <c r="BV482" t="s">
        <v>120</v>
      </c>
      <c r="BW482">
        <v>0</v>
      </c>
      <c r="BX482">
        <v>435</v>
      </c>
      <c r="BY482">
        <v>474.15</v>
      </c>
      <c r="BZ482">
        <v>0.09</v>
      </c>
      <c r="CA482">
        <v>0</v>
      </c>
      <c r="CB482">
        <v>0</v>
      </c>
      <c r="CC482">
        <v>0</v>
      </c>
      <c r="CD482">
        <v>0</v>
      </c>
      <c r="CE482" t="s">
        <v>121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O482">
        <v>435</v>
      </c>
      <c r="CP482">
        <v>5220</v>
      </c>
      <c r="CR482" t="s">
        <v>122</v>
      </c>
      <c r="CS482">
        <v>0</v>
      </c>
    </row>
    <row r="483" spans="1:97" x14ac:dyDescent="0.2">
      <c r="A483" t="s">
        <v>3103</v>
      </c>
      <c r="B483">
        <v>459</v>
      </c>
      <c r="C483" t="s">
        <v>3104</v>
      </c>
      <c r="E483" t="s">
        <v>3026</v>
      </c>
      <c r="J483">
        <v>1</v>
      </c>
      <c r="K483" t="s">
        <v>102</v>
      </c>
      <c r="T483">
        <v>0</v>
      </c>
      <c r="U483">
        <v>0</v>
      </c>
      <c r="V483">
        <v>0</v>
      </c>
      <c r="AM483" t="s">
        <v>107</v>
      </c>
      <c r="BC483">
        <v>17</v>
      </c>
      <c r="BD483" t="s">
        <v>108</v>
      </c>
      <c r="BE483" t="s">
        <v>109</v>
      </c>
      <c r="BG483" t="s">
        <v>110</v>
      </c>
      <c r="BH483" t="s">
        <v>111</v>
      </c>
      <c r="BI483" t="s">
        <v>112</v>
      </c>
      <c r="BJ483" t="s">
        <v>113</v>
      </c>
      <c r="BK483" t="s">
        <v>114</v>
      </c>
      <c r="BL483" t="s">
        <v>115</v>
      </c>
      <c r="BM483" t="s">
        <v>116</v>
      </c>
      <c r="BO483" t="s">
        <v>117</v>
      </c>
      <c r="BQ483">
        <v>402</v>
      </c>
      <c r="BR483" t="s">
        <v>118</v>
      </c>
      <c r="BU483" t="s">
        <v>119</v>
      </c>
      <c r="BV483" t="s">
        <v>120</v>
      </c>
      <c r="BW483">
        <v>0</v>
      </c>
      <c r="BX483">
        <v>435</v>
      </c>
      <c r="BY483">
        <v>474.15</v>
      </c>
      <c r="BZ483">
        <v>0.09</v>
      </c>
      <c r="CA483">
        <v>0</v>
      </c>
      <c r="CB483">
        <v>0</v>
      </c>
      <c r="CC483">
        <v>0</v>
      </c>
      <c r="CD483">
        <v>0</v>
      </c>
      <c r="CE483" t="s">
        <v>121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O483">
        <v>435</v>
      </c>
      <c r="CP483">
        <v>5220</v>
      </c>
      <c r="CR483" t="s">
        <v>122</v>
      </c>
      <c r="CS483">
        <v>0</v>
      </c>
    </row>
    <row r="484" spans="1:97" x14ac:dyDescent="0.2">
      <c r="A484" t="s">
        <v>3105</v>
      </c>
      <c r="B484">
        <v>460</v>
      </c>
      <c r="C484" t="s">
        <v>3106</v>
      </c>
      <c r="E484" t="s">
        <v>3026</v>
      </c>
      <c r="J484">
        <v>1</v>
      </c>
      <c r="K484" t="s">
        <v>102</v>
      </c>
      <c r="T484">
        <v>0</v>
      </c>
      <c r="U484">
        <v>0</v>
      </c>
      <c r="V484">
        <v>0</v>
      </c>
      <c r="AM484" t="s">
        <v>107</v>
      </c>
      <c r="BC484">
        <v>17</v>
      </c>
      <c r="BD484" t="s">
        <v>108</v>
      </c>
      <c r="BE484" t="s">
        <v>109</v>
      </c>
      <c r="BG484" t="s">
        <v>110</v>
      </c>
      <c r="BH484" t="s">
        <v>111</v>
      </c>
      <c r="BI484" t="s">
        <v>112</v>
      </c>
      <c r="BJ484" t="s">
        <v>113</v>
      </c>
      <c r="BK484" t="s">
        <v>114</v>
      </c>
      <c r="BL484" t="s">
        <v>115</v>
      </c>
      <c r="BM484" t="s">
        <v>116</v>
      </c>
      <c r="BO484" t="s">
        <v>117</v>
      </c>
      <c r="BQ484">
        <v>403</v>
      </c>
      <c r="BR484" t="s">
        <v>118</v>
      </c>
      <c r="BU484" t="s">
        <v>119</v>
      </c>
      <c r="BV484" t="s">
        <v>120</v>
      </c>
      <c r="BW484">
        <v>0</v>
      </c>
      <c r="BX484">
        <v>435</v>
      </c>
      <c r="BY484">
        <v>474.15</v>
      </c>
      <c r="BZ484">
        <v>0.09</v>
      </c>
      <c r="CA484">
        <v>0</v>
      </c>
      <c r="CB484">
        <v>0</v>
      </c>
      <c r="CC484">
        <v>0</v>
      </c>
      <c r="CD484">
        <v>0</v>
      </c>
      <c r="CE484" t="s">
        <v>121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O484">
        <v>435</v>
      </c>
      <c r="CP484">
        <v>5220</v>
      </c>
      <c r="CR484" t="s">
        <v>122</v>
      </c>
      <c r="CS484">
        <v>0</v>
      </c>
    </row>
    <row r="485" spans="1:97" x14ac:dyDescent="0.2">
      <c r="A485" t="s">
        <v>3107</v>
      </c>
      <c r="B485">
        <v>461</v>
      </c>
      <c r="C485" t="s">
        <v>3108</v>
      </c>
      <c r="E485" t="s">
        <v>3026</v>
      </c>
      <c r="J485">
        <v>1</v>
      </c>
      <c r="K485" t="s">
        <v>102</v>
      </c>
      <c r="T485">
        <v>0</v>
      </c>
      <c r="U485">
        <v>0</v>
      </c>
      <c r="V485">
        <v>0</v>
      </c>
      <c r="AM485" t="s">
        <v>107</v>
      </c>
      <c r="BC485">
        <v>17</v>
      </c>
      <c r="BD485" t="s">
        <v>108</v>
      </c>
      <c r="BE485" t="s">
        <v>109</v>
      </c>
      <c r="BG485" t="s">
        <v>110</v>
      </c>
      <c r="BH485" t="s">
        <v>111</v>
      </c>
      <c r="BI485" t="s">
        <v>112</v>
      </c>
      <c r="BJ485" t="s">
        <v>113</v>
      </c>
      <c r="BK485" t="s">
        <v>114</v>
      </c>
      <c r="BL485" t="s">
        <v>115</v>
      </c>
      <c r="BM485" t="s">
        <v>116</v>
      </c>
      <c r="BO485" t="s">
        <v>117</v>
      </c>
      <c r="BQ485">
        <v>404</v>
      </c>
      <c r="BR485" t="s">
        <v>118</v>
      </c>
      <c r="BU485" t="s">
        <v>119</v>
      </c>
      <c r="BV485" t="s">
        <v>120</v>
      </c>
      <c r="BW485">
        <v>0</v>
      </c>
      <c r="BX485">
        <v>435</v>
      </c>
      <c r="BY485">
        <v>474.15</v>
      </c>
      <c r="BZ485">
        <v>0.09</v>
      </c>
      <c r="CA485">
        <v>0</v>
      </c>
      <c r="CB485">
        <v>0</v>
      </c>
      <c r="CC485">
        <v>0</v>
      </c>
      <c r="CD485">
        <v>0</v>
      </c>
      <c r="CE485" t="s">
        <v>121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O485">
        <v>435</v>
      </c>
      <c r="CP485">
        <v>5220</v>
      </c>
      <c r="CR485" t="s">
        <v>122</v>
      </c>
      <c r="CS485">
        <v>0</v>
      </c>
    </row>
    <row r="486" spans="1:97" x14ac:dyDescent="0.2">
      <c r="A486" t="s">
        <v>3109</v>
      </c>
      <c r="B486">
        <v>462</v>
      </c>
      <c r="C486" t="s">
        <v>3110</v>
      </c>
      <c r="E486" t="s">
        <v>3026</v>
      </c>
      <c r="J486">
        <v>1</v>
      </c>
      <c r="K486" t="s">
        <v>102</v>
      </c>
      <c r="T486">
        <v>0</v>
      </c>
      <c r="U486">
        <v>0</v>
      </c>
      <c r="V486">
        <v>0</v>
      </c>
      <c r="AM486" t="s">
        <v>107</v>
      </c>
      <c r="BC486">
        <v>17</v>
      </c>
      <c r="BD486" t="s">
        <v>108</v>
      </c>
      <c r="BE486" t="s">
        <v>109</v>
      </c>
      <c r="BG486" t="s">
        <v>110</v>
      </c>
      <c r="BH486" t="s">
        <v>111</v>
      </c>
      <c r="BI486" t="s">
        <v>112</v>
      </c>
      <c r="BJ486" t="s">
        <v>113</v>
      </c>
      <c r="BK486" t="s">
        <v>114</v>
      </c>
      <c r="BL486" t="s">
        <v>115</v>
      </c>
      <c r="BM486" t="s">
        <v>116</v>
      </c>
      <c r="BO486" t="s">
        <v>117</v>
      </c>
      <c r="BQ486">
        <v>405</v>
      </c>
      <c r="BR486" t="s">
        <v>118</v>
      </c>
      <c r="BU486" t="s">
        <v>119</v>
      </c>
      <c r="BV486" t="s">
        <v>120</v>
      </c>
      <c r="BW486">
        <v>0</v>
      </c>
      <c r="BX486">
        <v>435</v>
      </c>
      <c r="BY486">
        <v>474.15</v>
      </c>
      <c r="BZ486">
        <v>0.09</v>
      </c>
      <c r="CA486">
        <v>0</v>
      </c>
      <c r="CB486">
        <v>0</v>
      </c>
      <c r="CC486">
        <v>0</v>
      </c>
      <c r="CD486">
        <v>0</v>
      </c>
      <c r="CE486" t="s">
        <v>121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O486">
        <v>435</v>
      </c>
      <c r="CP486">
        <v>5220</v>
      </c>
      <c r="CR486" t="s">
        <v>122</v>
      </c>
      <c r="CS486">
        <v>0</v>
      </c>
    </row>
    <row r="487" spans="1:97" x14ac:dyDescent="0.2">
      <c r="A487" t="s">
        <v>3111</v>
      </c>
      <c r="B487">
        <v>463</v>
      </c>
      <c r="C487" t="s">
        <v>3112</v>
      </c>
      <c r="E487" t="s">
        <v>3026</v>
      </c>
      <c r="J487">
        <v>1</v>
      </c>
      <c r="K487" t="s">
        <v>102</v>
      </c>
      <c r="T487">
        <v>0</v>
      </c>
      <c r="U487">
        <v>0</v>
      </c>
      <c r="V487">
        <v>0</v>
      </c>
      <c r="AM487" t="s">
        <v>107</v>
      </c>
      <c r="BC487">
        <v>17</v>
      </c>
      <c r="BD487" t="s">
        <v>108</v>
      </c>
      <c r="BE487" t="s">
        <v>109</v>
      </c>
      <c r="BG487" t="s">
        <v>110</v>
      </c>
      <c r="BH487" t="s">
        <v>111</v>
      </c>
      <c r="BI487" t="s">
        <v>112</v>
      </c>
      <c r="BJ487" t="s">
        <v>113</v>
      </c>
      <c r="BK487" t="s">
        <v>114</v>
      </c>
      <c r="BL487" t="s">
        <v>115</v>
      </c>
      <c r="BM487" t="s">
        <v>116</v>
      </c>
      <c r="BO487" t="s">
        <v>117</v>
      </c>
      <c r="BQ487">
        <v>406</v>
      </c>
      <c r="BR487" t="s">
        <v>118</v>
      </c>
      <c r="BU487" t="s">
        <v>119</v>
      </c>
      <c r="BV487" t="s">
        <v>120</v>
      </c>
      <c r="BW487">
        <v>0</v>
      </c>
      <c r="BX487">
        <v>435</v>
      </c>
      <c r="BY487">
        <v>474.15</v>
      </c>
      <c r="BZ487">
        <v>0.09</v>
      </c>
      <c r="CA487">
        <v>0</v>
      </c>
      <c r="CB487">
        <v>0</v>
      </c>
      <c r="CC487">
        <v>0</v>
      </c>
      <c r="CD487">
        <v>0</v>
      </c>
      <c r="CE487" t="s">
        <v>121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O487">
        <v>435</v>
      </c>
      <c r="CP487">
        <v>5220</v>
      </c>
      <c r="CR487" t="s">
        <v>122</v>
      </c>
      <c r="CS487">
        <v>0</v>
      </c>
    </row>
    <row r="488" spans="1:97" x14ac:dyDescent="0.2">
      <c r="A488" t="s">
        <v>3113</v>
      </c>
      <c r="B488">
        <v>464</v>
      </c>
      <c r="C488" t="s">
        <v>3114</v>
      </c>
      <c r="E488" t="s">
        <v>3026</v>
      </c>
      <c r="J488">
        <v>1</v>
      </c>
      <c r="K488" t="s">
        <v>102</v>
      </c>
      <c r="T488">
        <v>0</v>
      </c>
      <c r="U488">
        <v>0</v>
      </c>
      <c r="V488">
        <v>0</v>
      </c>
      <c r="AM488" t="s">
        <v>107</v>
      </c>
      <c r="BC488">
        <v>17</v>
      </c>
      <c r="BD488" t="s">
        <v>108</v>
      </c>
      <c r="BE488" t="s">
        <v>109</v>
      </c>
      <c r="BG488" t="s">
        <v>110</v>
      </c>
      <c r="BH488" t="s">
        <v>111</v>
      </c>
      <c r="BI488" t="s">
        <v>112</v>
      </c>
      <c r="BJ488" t="s">
        <v>113</v>
      </c>
      <c r="BK488" t="s">
        <v>114</v>
      </c>
      <c r="BL488" t="s">
        <v>115</v>
      </c>
      <c r="BM488" t="s">
        <v>116</v>
      </c>
      <c r="BO488" t="s">
        <v>117</v>
      </c>
      <c r="BQ488">
        <v>407</v>
      </c>
      <c r="BR488" t="s">
        <v>118</v>
      </c>
      <c r="BU488" t="s">
        <v>119</v>
      </c>
      <c r="BV488" t="s">
        <v>120</v>
      </c>
      <c r="BW488">
        <v>0</v>
      </c>
      <c r="BX488">
        <v>560</v>
      </c>
      <c r="BY488">
        <v>610.4</v>
      </c>
      <c r="BZ488">
        <v>0.09</v>
      </c>
      <c r="CA488">
        <v>0</v>
      </c>
      <c r="CB488">
        <v>0</v>
      </c>
      <c r="CC488">
        <v>0</v>
      </c>
      <c r="CD488">
        <v>0</v>
      </c>
      <c r="CE488" t="s">
        <v>121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O488">
        <v>560</v>
      </c>
      <c r="CP488">
        <v>6720</v>
      </c>
      <c r="CR488" t="s">
        <v>122</v>
      </c>
      <c r="CS488">
        <v>0</v>
      </c>
    </row>
    <row r="489" spans="1:97" x14ac:dyDescent="0.2">
      <c r="A489" t="s">
        <v>3115</v>
      </c>
      <c r="B489">
        <v>465</v>
      </c>
      <c r="C489" t="s">
        <v>3116</v>
      </c>
      <c r="E489" t="s">
        <v>312</v>
      </c>
      <c r="J489">
        <v>1</v>
      </c>
      <c r="K489" t="s">
        <v>102</v>
      </c>
      <c r="P489" t="s">
        <v>1963</v>
      </c>
      <c r="T489">
        <v>0</v>
      </c>
      <c r="U489">
        <v>117.03</v>
      </c>
      <c r="V489">
        <v>0</v>
      </c>
      <c r="AM489" t="s">
        <v>107</v>
      </c>
      <c r="BV489" t="s">
        <v>142</v>
      </c>
      <c r="CD489">
        <v>0</v>
      </c>
      <c r="CO489">
        <v>0</v>
      </c>
      <c r="CP489">
        <v>0</v>
      </c>
      <c r="CR489" t="s">
        <v>143</v>
      </c>
      <c r="CS489">
        <v>0</v>
      </c>
    </row>
    <row r="490" spans="1:97" x14ac:dyDescent="0.2">
      <c r="A490" t="s">
        <v>3117</v>
      </c>
      <c r="B490">
        <v>466</v>
      </c>
      <c r="C490" t="s">
        <v>3118</v>
      </c>
      <c r="E490" t="s">
        <v>847</v>
      </c>
      <c r="J490">
        <v>1</v>
      </c>
      <c r="K490" t="s">
        <v>102</v>
      </c>
      <c r="T490">
        <v>0</v>
      </c>
      <c r="U490">
        <v>0</v>
      </c>
      <c r="V490">
        <v>0</v>
      </c>
      <c r="AM490" t="s">
        <v>107</v>
      </c>
      <c r="BC490">
        <v>17</v>
      </c>
      <c r="BD490" t="s">
        <v>108</v>
      </c>
      <c r="BE490" t="s">
        <v>109</v>
      </c>
      <c r="BG490" t="s">
        <v>110</v>
      </c>
      <c r="BH490" t="s">
        <v>111</v>
      </c>
      <c r="BI490" t="s">
        <v>112</v>
      </c>
      <c r="BJ490" t="s">
        <v>113</v>
      </c>
      <c r="BK490" t="s">
        <v>114</v>
      </c>
      <c r="BL490" t="s">
        <v>115</v>
      </c>
      <c r="BM490" t="s">
        <v>116</v>
      </c>
      <c r="BO490" t="s">
        <v>117</v>
      </c>
      <c r="BQ490">
        <v>408</v>
      </c>
      <c r="BR490" t="s">
        <v>118</v>
      </c>
      <c r="BU490" t="s">
        <v>119</v>
      </c>
      <c r="BV490" t="s">
        <v>120</v>
      </c>
      <c r="BW490">
        <v>0</v>
      </c>
      <c r="BX490">
        <v>614.82000000000005</v>
      </c>
      <c r="BY490">
        <v>670.15</v>
      </c>
      <c r="BZ490">
        <v>0.09</v>
      </c>
      <c r="CA490">
        <v>0</v>
      </c>
      <c r="CB490">
        <v>0</v>
      </c>
      <c r="CC490">
        <v>0</v>
      </c>
      <c r="CD490">
        <v>0</v>
      </c>
      <c r="CE490" t="s">
        <v>121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O490">
        <v>614.82000000000005</v>
      </c>
      <c r="CP490">
        <v>7377.84</v>
      </c>
      <c r="CR490" t="s">
        <v>122</v>
      </c>
      <c r="CS490">
        <v>0</v>
      </c>
    </row>
    <row r="491" spans="1:97" x14ac:dyDescent="0.2">
      <c r="A491" t="s">
        <v>3119</v>
      </c>
      <c r="B491">
        <v>467</v>
      </c>
      <c r="C491" t="s">
        <v>3120</v>
      </c>
      <c r="E491" t="s">
        <v>272</v>
      </c>
      <c r="J491">
        <v>1</v>
      </c>
      <c r="K491" t="s">
        <v>102</v>
      </c>
      <c r="T491">
        <v>0</v>
      </c>
      <c r="U491">
        <v>273.81</v>
      </c>
      <c r="V491">
        <v>0</v>
      </c>
      <c r="AM491" t="s">
        <v>107</v>
      </c>
      <c r="BC491">
        <v>17</v>
      </c>
      <c r="BD491" t="s">
        <v>108</v>
      </c>
      <c r="BE491" t="s">
        <v>109</v>
      </c>
      <c r="BG491" t="s">
        <v>110</v>
      </c>
      <c r="BH491" t="s">
        <v>111</v>
      </c>
      <c r="BI491" t="s">
        <v>112</v>
      </c>
      <c r="BJ491" t="s">
        <v>113</v>
      </c>
      <c r="BK491" t="s">
        <v>114</v>
      </c>
      <c r="BL491" t="s">
        <v>115</v>
      </c>
      <c r="BM491" t="s">
        <v>116</v>
      </c>
      <c r="BO491" t="s">
        <v>117</v>
      </c>
      <c r="BQ491">
        <v>409</v>
      </c>
      <c r="BR491" t="s">
        <v>118</v>
      </c>
      <c r="BU491" t="s">
        <v>119</v>
      </c>
      <c r="BV491" t="s">
        <v>120</v>
      </c>
      <c r="BW491">
        <v>0</v>
      </c>
      <c r="BX491">
        <v>1415</v>
      </c>
      <c r="BY491">
        <v>1542.35</v>
      </c>
      <c r="BZ491">
        <v>0.09</v>
      </c>
      <c r="CA491">
        <v>273.81</v>
      </c>
      <c r="CB491">
        <v>25.1</v>
      </c>
      <c r="CC491">
        <v>0</v>
      </c>
      <c r="CD491">
        <v>0</v>
      </c>
      <c r="CE491" t="s">
        <v>121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O491">
        <v>1415</v>
      </c>
      <c r="CP491">
        <v>16980</v>
      </c>
      <c r="CR491" t="s">
        <v>122</v>
      </c>
      <c r="CS491">
        <v>0</v>
      </c>
    </row>
    <row r="492" spans="1:97" x14ac:dyDescent="0.2">
      <c r="A492" t="s">
        <v>3121</v>
      </c>
      <c r="B492">
        <v>468</v>
      </c>
      <c r="C492" t="s">
        <v>3122</v>
      </c>
      <c r="E492" t="s">
        <v>147</v>
      </c>
      <c r="I492">
        <v>6</v>
      </c>
      <c r="J492">
        <v>1</v>
      </c>
      <c r="K492" t="s">
        <v>102</v>
      </c>
      <c r="T492">
        <v>0</v>
      </c>
      <c r="U492">
        <v>0</v>
      </c>
      <c r="V492">
        <v>0</v>
      </c>
      <c r="AM492" t="s">
        <v>107</v>
      </c>
      <c r="BC492">
        <v>17</v>
      </c>
      <c r="BD492" t="s">
        <v>108</v>
      </c>
      <c r="BE492" t="s">
        <v>109</v>
      </c>
      <c r="BG492" t="s">
        <v>110</v>
      </c>
      <c r="BH492" t="s">
        <v>111</v>
      </c>
      <c r="BI492" t="s">
        <v>112</v>
      </c>
      <c r="BJ492" t="s">
        <v>113</v>
      </c>
      <c r="BK492" t="s">
        <v>114</v>
      </c>
      <c r="BL492" t="s">
        <v>115</v>
      </c>
      <c r="BM492" t="s">
        <v>116</v>
      </c>
      <c r="BO492" t="s">
        <v>117</v>
      </c>
      <c r="BQ492">
        <v>410</v>
      </c>
      <c r="BR492" t="s">
        <v>118</v>
      </c>
      <c r="BU492" t="s">
        <v>119</v>
      </c>
      <c r="BV492" t="s">
        <v>120</v>
      </c>
      <c r="BW492">
        <v>0</v>
      </c>
      <c r="BX492">
        <v>730.44</v>
      </c>
      <c r="BY492">
        <v>796.18</v>
      </c>
      <c r="BZ492">
        <v>0.09</v>
      </c>
      <c r="CA492">
        <v>0</v>
      </c>
      <c r="CB492">
        <v>0</v>
      </c>
      <c r="CC492">
        <v>0</v>
      </c>
      <c r="CD492">
        <v>0</v>
      </c>
      <c r="CE492" t="s">
        <v>121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O492">
        <v>730.44</v>
      </c>
      <c r="CP492">
        <v>8765.2800000000007</v>
      </c>
      <c r="CR492" t="s">
        <v>122</v>
      </c>
      <c r="CS492">
        <v>0</v>
      </c>
    </row>
    <row r="493" spans="1:97" x14ac:dyDescent="0.2">
      <c r="A493" t="s">
        <v>3123</v>
      </c>
      <c r="B493">
        <v>469</v>
      </c>
      <c r="C493" t="s">
        <v>3124</v>
      </c>
      <c r="E493" t="s">
        <v>243</v>
      </c>
      <c r="I493">
        <v>3</v>
      </c>
      <c r="J493">
        <v>1</v>
      </c>
      <c r="K493" t="s">
        <v>102</v>
      </c>
      <c r="T493">
        <v>0</v>
      </c>
      <c r="U493">
        <v>0</v>
      </c>
      <c r="V493">
        <v>0</v>
      </c>
      <c r="AM493" t="s">
        <v>107</v>
      </c>
      <c r="BC493">
        <v>17</v>
      </c>
      <c r="BD493" t="s">
        <v>108</v>
      </c>
      <c r="BE493" t="s">
        <v>109</v>
      </c>
      <c r="BG493" t="s">
        <v>110</v>
      </c>
      <c r="BH493" t="s">
        <v>111</v>
      </c>
      <c r="BI493" t="s">
        <v>112</v>
      </c>
      <c r="BJ493" t="s">
        <v>113</v>
      </c>
      <c r="BK493" t="s">
        <v>114</v>
      </c>
      <c r="BL493" t="s">
        <v>115</v>
      </c>
      <c r="BM493" t="s">
        <v>116</v>
      </c>
      <c r="BO493" t="s">
        <v>117</v>
      </c>
      <c r="BQ493">
        <v>411</v>
      </c>
      <c r="BR493" t="s">
        <v>118</v>
      </c>
      <c r="BU493" t="s">
        <v>119</v>
      </c>
      <c r="BV493" t="s">
        <v>120</v>
      </c>
      <c r="BW493">
        <v>0</v>
      </c>
      <c r="BX493">
        <v>441</v>
      </c>
      <c r="BY493">
        <v>480.69</v>
      </c>
      <c r="BZ493">
        <v>0.09</v>
      </c>
      <c r="CA493">
        <v>0</v>
      </c>
      <c r="CB493">
        <v>0</v>
      </c>
      <c r="CC493">
        <v>0</v>
      </c>
      <c r="CD493">
        <v>0</v>
      </c>
      <c r="CE493" t="s">
        <v>121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O493">
        <v>441</v>
      </c>
      <c r="CP493">
        <v>5292</v>
      </c>
      <c r="CR493" t="s">
        <v>122</v>
      </c>
      <c r="CS493">
        <v>0</v>
      </c>
    </row>
    <row r="494" spans="1:97" x14ac:dyDescent="0.2">
      <c r="A494" t="s">
        <v>3125</v>
      </c>
      <c r="B494">
        <v>470</v>
      </c>
      <c r="C494" t="s">
        <v>3126</v>
      </c>
      <c r="E494" t="s">
        <v>147</v>
      </c>
      <c r="J494">
        <v>1</v>
      </c>
      <c r="K494" t="s">
        <v>102</v>
      </c>
      <c r="T494">
        <v>0</v>
      </c>
      <c r="U494">
        <v>411.41</v>
      </c>
      <c r="V494">
        <v>0</v>
      </c>
      <c r="AM494" t="s">
        <v>107</v>
      </c>
      <c r="BC494">
        <v>17</v>
      </c>
      <c r="BD494" t="s">
        <v>108</v>
      </c>
      <c r="BE494" t="s">
        <v>109</v>
      </c>
      <c r="BG494" t="s">
        <v>110</v>
      </c>
      <c r="BH494" t="s">
        <v>111</v>
      </c>
      <c r="BI494" t="s">
        <v>112</v>
      </c>
      <c r="BJ494" t="s">
        <v>113</v>
      </c>
      <c r="BK494" t="s">
        <v>114</v>
      </c>
      <c r="BL494" t="s">
        <v>115</v>
      </c>
      <c r="BM494" t="s">
        <v>116</v>
      </c>
      <c r="BO494" t="s">
        <v>117</v>
      </c>
      <c r="BQ494">
        <v>412</v>
      </c>
      <c r="BR494" t="s">
        <v>118</v>
      </c>
      <c r="BU494" t="s">
        <v>119</v>
      </c>
      <c r="BV494" t="s">
        <v>120</v>
      </c>
      <c r="BW494">
        <v>0</v>
      </c>
      <c r="BX494">
        <v>895</v>
      </c>
      <c r="BY494">
        <v>975.55</v>
      </c>
      <c r="BZ494">
        <v>0.09</v>
      </c>
      <c r="CA494">
        <v>411.41</v>
      </c>
      <c r="CB494">
        <v>1102.9100000000001</v>
      </c>
      <c r="CC494">
        <v>0</v>
      </c>
      <c r="CD494">
        <v>0</v>
      </c>
      <c r="CE494" t="s">
        <v>121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O494">
        <v>895</v>
      </c>
      <c r="CP494">
        <v>10740</v>
      </c>
      <c r="CR494" t="s">
        <v>122</v>
      </c>
      <c r="CS494">
        <v>0</v>
      </c>
    </row>
    <row r="495" spans="1:97" x14ac:dyDescent="0.2">
      <c r="A495" t="s">
        <v>3127</v>
      </c>
      <c r="B495">
        <v>472</v>
      </c>
      <c r="C495" t="s">
        <v>3128</v>
      </c>
      <c r="I495">
        <v>13</v>
      </c>
      <c r="J495">
        <v>1</v>
      </c>
      <c r="K495" t="s">
        <v>102</v>
      </c>
      <c r="T495">
        <v>0</v>
      </c>
      <c r="U495">
        <v>0</v>
      </c>
      <c r="V495">
        <v>0</v>
      </c>
      <c r="AM495" t="s">
        <v>107</v>
      </c>
      <c r="BC495">
        <v>17</v>
      </c>
      <c r="BD495" t="s">
        <v>108</v>
      </c>
      <c r="BE495" t="s">
        <v>109</v>
      </c>
      <c r="BG495" t="s">
        <v>110</v>
      </c>
      <c r="BH495" t="s">
        <v>111</v>
      </c>
      <c r="BI495" t="s">
        <v>112</v>
      </c>
      <c r="BJ495" t="s">
        <v>113</v>
      </c>
      <c r="BK495" t="s">
        <v>114</v>
      </c>
      <c r="BL495" t="s">
        <v>115</v>
      </c>
      <c r="BM495" t="s">
        <v>116</v>
      </c>
      <c r="BO495" t="s">
        <v>117</v>
      </c>
      <c r="BQ495">
        <v>414</v>
      </c>
      <c r="BR495" t="s">
        <v>118</v>
      </c>
      <c r="BU495" t="s">
        <v>119</v>
      </c>
      <c r="BV495" t="s">
        <v>120</v>
      </c>
      <c r="BW495">
        <v>0</v>
      </c>
      <c r="BX495">
        <v>0</v>
      </c>
      <c r="BY495">
        <v>0</v>
      </c>
      <c r="BZ495">
        <v>0.09</v>
      </c>
      <c r="CA495">
        <v>0</v>
      </c>
      <c r="CB495">
        <v>0</v>
      </c>
      <c r="CC495">
        <v>0</v>
      </c>
      <c r="CD495">
        <v>0</v>
      </c>
      <c r="CE495" t="s">
        <v>121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O495">
        <v>0</v>
      </c>
      <c r="CP495">
        <v>0</v>
      </c>
      <c r="CR495" t="s">
        <v>122</v>
      </c>
      <c r="CS495">
        <v>0</v>
      </c>
    </row>
    <row r="496" spans="1:97" x14ac:dyDescent="0.2">
      <c r="A496" t="s">
        <v>3129</v>
      </c>
      <c r="B496">
        <v>473</v>
      </c>
      <c r="C496" t="s">
        <v>3130</v>
      </c>
      <c r="J496">
        <v>1</v>
      </c>
      <c r="K496" t="s">
        <v>102</v>
      </c>
      <c r="T496">
        <v>0</v>
      </c>
      <c r="U496">
        <v>0</v>
      </c>
      <c r="V496">
        <v>0</v>
      </c>
      <c r="AM496" t="s">
        <v>107</v>
      </c>
      <c r="BC496">
        <v>17</v>
      </c>
      <c r="BD496" t="s">
        <v>108</v>
      </c>
      <c r="BE496" t="s">
        <v>109</v>
      </c>
      <c r="BG496" t="s">
        <v>110</v>
      </c>
      <c r="BH496" t="s">
        <v>111</v>
      </c>
      <c r="BI496" t="s">
        <v>112</v>
      </c>
      <c r="BJ496" t="s">
        <v>113</v>
      </c>
      <c r="BK496" t="s">
        <v>114</v>
      </c>
      <c r="BL496" t="s">
        <v>115</v>
      </c>
      <c r="BM496" t="s">
        <v>116</v>
      </c>
      <c r="BO496" t="s">
        <v>117</v>
      </c>
      <c r="BQ496">
        <v>415</v>
      </c>
      <c r="BR496" t="s">
        <v>118</v>
      </c>
      <c r="BU496" t="s">
        <v>119</v>
      </c>
      <c r="BV496" t="s">
        <v>120</v>
      </c>
      <c r="BW496">
        <v>0</v>
      </c>
      <c r="BX496">
        <v>0</v>
      </c>
      <c r="BY496">
        <v>0</v>
      </c>
      <c r="BZ496">
        <v>0.09</v>
      </c>
      <c r="CA496">
        <v>0</v>
      </c>
      <c r="CB496">
        <v>0</v>
      </c>
      <c r="CC496">
        <v>0</v>
      </c>
      <c r="CD496">
        <v>0</v>
      </c>
      <c r="CE496" t="s">
        <v>121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O496">
        <v>0</v>
      </c>
      <c r="CP496">
        <v>0</v>
      </c>
      <c r="CR496" t="s">
        <v>122</v>
      </c>
      <c r="CS496">
        <v>0</v>
      </c>
    </row>
    <row r="497" spans="1:97" x14ac:dyDescent="0.2">
      <c r="A497" t="s">
        <v>3131</v>
      </c>
      <c r="B497">
        <v>474</v>
      </c>
      <c r="C497" t="s">
        <v>3132</v>
      </c>
      <c r="E497" t="s">
        <v>2238</v>
      </c>
      <c r="J497">
        <v>1</v>
      </c>
      <c r="K497" t="s">
        <v>102</v>
      </c>
      <c r="T497">
        <v>0</v>
      </c>
      <c r="U497">
        <v>0</v>
      </c>
      <c r="V497">
        <v>0</v>
      </c>
      <c r="AM497" t="s">
        <v>107</v>
      </c>
      <c r="BC497">
        <v>17</v>
      </c>
      <c r="BD497" t="s">
        <v>108</v>
      </c>
      <c r="BE497" t="s">
        <v>109</v>
      </c>
      <c r="BG497" t="s">
        <v>110</v>
      </c>
      <c r="BH497" t="s">
        <v>111</v>
      </c>
      <c r="BI497" t="s">
        <v>112</v>
      </c>
      <c r="BJ497" t="s">
        <v>113</v>
      </c>
      <c r="BK497" t="s">
        <v>114</v>
      </c>
      <c r="BL497" t="s">
        <v>115</v>
      </c>
      <c r="BM497" t="s">
        <v>116</v>
      </c>
      <c r="BO497" t="s">
        <v>117</v>
      </c>
      <c r="BQ497">
        <v>450</v>
      </c>
      <c r="BR497" t="s">
        <v>481</v>
      </c>
      <c r="BU497" t="s">
        <v>119</v>
      </c>
      <c r="BV497" t="s">
        <v>120</v>
      </c>
      <c r="BW497">
        <v>15163.2</v>
      </c>
      <c r="BX497">
        <v>15163.2</v>
      </c>
      <c r="BY497">
        <v>16527.89</v>
      </c>
      <c r="BZ497">
        <v>0.09</v>
      </c>
      <c r="CA497">
        <v>0</v>
      </c>
      <c r="CB497">
        <v>0</v>
      </c>
      <c r="CC497">
        <v>0</v>
      </c>
      <c r="CD497">
        <v>0</v>
      </c>
      <c r="CE497" t="s">
        <v>121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O497">
        <v>15163.2</v>
      </c>
      <c r="CP497">
        <v>181958.39999999999</v>
      </c>
      <c r="CR497" t="s">
        <v>122</v>
      </c>
      <c r="CS497">
        <v>0</v>
      </c>
    </row>
    <row r="498" spans="1:97" x14ac:dyDescent="0.2">
      <c r="A498" t="s">
        <v>3133</v>
      </c>
      <c r="B498">
        <v>475</v>
      </c>
      <c r="C498" t="s">
        <v>3134</v>
      </c>
      <c r="D498" t="s">
        <v>3135</v>
      </c>
      <c r="E498" t="s">
        <v>1832</v>
      </c>
      <c r="I498">
        <v>4</v>
      </c>
      <c r="J498">
        <v>1</v>
      </c>
      <c r="K498" t="s">
        <v>102</v>
      </c>
      <c r="T498">
        <v>0</v>
      </c>
      <c r="U498">
        <v>0</v>
      </c>
      <c r="V498">
        <v>0</v>
      </c>
      <c r="AM498" t="s">
        <v>107</v>
      </c>
      <c r="BC498">
        <v>17</v>
      </c>
      <c r="BD498" t="s">
        <v>108</v>
      </c>
      <c r="BE498" t="s">
        <v>109</v>
      </c>
      <c r="BG498" t="s">
        <v>110</v>
      </c>
      <c r="BH498" t="s">
        <v>111</v>
      </c>
      <c r="BI498" t="s">
        <v>112</v>
      </c>
      <c r="BJ498" t="s">
        <v>113</v>
      </c>
      <c r="BK498" t="s">
        <v>114</v>
      </c>
      <c r="BL498" t="s">
        <v>115</v>
      </c>
      <c r="BM498" t="s">
        <v>116</v>
      </c>
      <c r="BO498" t="s">
        <v>117</v>
      </c>
      <c r="BQ498">
        <v>451</v>
      </c>
      <c r="BR498" t="s">
        <v>481</v>
      </c>
      <c r="BU498" t="s">
        <v>119</v>
      </c>
      <c r="BV498" t="s">
        <v>120</v>
      </c>
      <c r="BW498">
        <v>864</v>
      </c>
      <c r="BX498">
        <v>864</v>
      </c>
      <c r="BY498">
        <v>941.76</v>
      </c>
      <c r="BZ498">
        <v>0.09</v>
      </c>
      <c r="CA498">
        <v>0</v>
      </c>
      <c r="CB498">
        <v>0</v>
      </c>
      <c r="CC498">
        <v>0</v>
      </c>
      <c r="CD498">
        <v>0</v>
      </c>
      <c r="CE498" t="s">
        <v>121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O498">
        <v>864</v>
      </c>
      <c r="CP498">
        <v>10368</v>
      </c>
      <c r="CR498" t="s">
        <v>122</v>
      </c>
      <c r="CS498">
        <v>0</v>
      </c>
    </row>
    <row r="499" spans="1:97" x14ac:dyDescent="0.2">
      <c r="A499" t="s">
        <v>3136</v>
      </c>
      <c r="B499">
        <v>476</v>
      </c>
      <c r="C499" t="s">
        <v>3137</v>
      </c>
      <c r="E499" t="s">
        <v>3138</v>
      </c>
      <c r="J499">
        <v>1</v>
      </c>
      <c r="K499" t="s">
        <v>102</v>
      </c>
      <c r="T499">
        <v>0</v>
      </c>
      <c r="U499">
        <v>0</v>
      </c>
      <c r="V499">
        <v>0</v>
      </c>
      <c r="AM499" t="s">
        <v>107</v>
      </c>
      <c r="BC499">
        <v>17</v>
      </c>
      <c r="BD499" t="s">
        <v>108</v>
      </c>
      <c r="BE499" t="s">
        <v>109</v>
      </c>
      <c r="BG499" t="s">
        <v>110</v>
      </c>
      <c r="BH499" t="s">
        <v>111</v>
      </c>
      <c r="BI499" t="s">
        <v>112</v>
      </c>
      <c r="BJ499" t="s">
        <v>113</v>
      </c>
      <c r="BK499" t="s">
        <v>114</v>
      </c>
      <c r="BL499" t="s">
        <v>115</v>
      </c>
      <c r="BM499" t="s">
        <v>116</v>
      </c>
      <c r="BO499" t="s">
        <v>117</v>
      </c>
      <c r="BQ499">
        <v>416</v>
      </c>
      <c r="BR499" t="s">
        <v>118</v>
      </c>
      <c r="BU499" t="s">
        <v>119</v>
      </c>
      <c r="BV499" t="s">
        <v>120</v>
      </c>
      <c r="BW499">
        <v>0</v>
      </c>
      <c r="BX499">
        <v>0</v>
      </c>
      <c r="BY499">
        <v>0</v>
      </c>
      <c r="BZ499">
        <v>0.09</v>
      </c>
      <c r="CA499">
        <v>0</v>
      </c>
      <c r="CB499">
        <v>0</v>
      </c>
      <c r="CC499">
        <v>0</v>
      </c>
      <c r="CD499">
        <v>0</v>
      </c>
      <c r="CE499" t="s">
        <v>121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O499">
        <v>0</v>
      </c>
      <c r="CP499">
        <v>0</v>
      </c>
      <c r="CR499" t="s">
        <v>122</v>
      </c>
      <c r="CS499">
        <v>0</v>
      </c>
    </row>
    <row r="500" spans="1:97" x14ac:dyDescent="0.2">
      <c r="A500" t="s">
        <v>3139</v>
      </c>
      <c r="B500">
        <v>477</v>
      </c>
      <c r="C500" t="s">
        <v>3140</v>
      </c>
      <c r="E500" t="s">
        <v>272</v>
      </c>
      <c r="J500">
        <v>1</v>
      </c>
      <c r="K500" t="s">
        <v>102</v>
      </c>
      <c r="T500">
        <v>0</v>
      </c>
      <c r="U500">
        <v>0</v>
      </c>
      <c r="V500">
        <v>0</v>
      </c>
      <c r="AM500" t="s">
        <v>107</v>
      </c>
      <c r="BC500">
        <v>17</v>
      </c>
      <c r="BD500" t="s">
        <v>108</v>
      </c>
      <c r="BE500" t="s">
        <v>109</v>
      </c>
      <c r="BG500" t="s">
        <v>110</v>
      </c>
      <c r="BH500" t="s">
        <v>111</v>
      </c>
      <c r="BI500" t="s">
        <v>112</v>
      </c>
      <c r="BJ500" t="s">
        <v>113</v>
      </c>
      <c r="BK500" t="s">
        <v>114</v>
      </c>
      <c r="BL500" t="s">
        <v>115</v>
      </c>
      <c r="BM500" t="s">
        <v>116</v>
      </c>
      <c r="BO500" t="s">
        <v>117</v>
      </c>
      <c r="BQ500">
        <v>417</v>
      </c>
      <c r="BR500" t="s">
        <v>118</v>
      </c>
      <c r="BU500" t="s">
        <v>119</v>
      </c>
      <c r="BV500" t="s">
        <v>120</v>
      </c>
      <c r="BW500">
        <v>0</v>
      </c>
      <c r="BX500">
        <v>0</v>
      </c>
      <c r="BY500">
        <v>0</v>
      </c>
      <c r="BZ500">
        <v>0.09</v>
      </c>
      <c r="CA500">
        <v>0</v>
      </c>
      <c r="CB500">
        <v>0</v>
      </c>
      <c r="CC500">
        <v>0</v>
      </c>
      <c r="CD500">
        <v>0</v>
      </c>
      <c r="CE500" t="s">
        <v>121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O500">
        <v>0</v>
      </c>
      <c r="CP500">
        <v>0</v>
      </c>
      <c r="CR500" t="s">
        <v>122</v>
      </c>
      <c r="CS500">
        <v>0</v>
      </c>
    </row>
    <row r="501" spans="1:97" x14ac:dyDescent="0.2">
      <c r="A501" t="s">
        <v>3141</v>
      </c>
      <c r="B501">
        <v>478</v>
      </c>
      <c r="C501" t="s">
        <v>3142</v>
      </c>
      <c r="E501" t="s">
        <v>272</v>
      </c>
      <c r="I501">
        <v>9</v>
      </c>
      <c r="J501">
        <v>1</v>
      </c>
      <c r="K501" t="s">
        <v>102</v>
      </c>
      <c r="T501">
        <v>3933.33</v>
      </c>
      <c r="U501">
        <v>400</v>
      </c>
      <c r="V501">
        <v>0</v>
      </c>
      <c r="AM501" t="s">
        <v>107</v>
      </c>
      <c r="BC501">
        <v>17</v>
      </c>
      <c r="BD501" t="s">
        <v>108</v>
      </c>
      <c r="BE501" t="s">
        <v>109</v>
      </c>
      <c r="BG501" t="s">
        <v>110</v>
      </c>
      <c r="BH501" t="s">
        <v>111</v>
      </c>
      <c r="BI501" t="s">
        <v>112</v>
      </c>
      <c r="BJ501" t="s">
        <v>113</v>
      </c>
      <c r="BK501" t="s">
        <v>114</v>
      </c>
      <c r="BL501" t="s">
        <v>115</v>
      </c>
      <c r="BM501" t="s">
        <v>116</v>
      </c>
      <c r="BO501" t="s">
        <v>117</v>
      </c>
      <c r="BQ501">
        <v>441</v>
      </c>
      <c r="BR501" t="s">
        <v>118</v>
      </c>
      <c r="BU501" t="s">
        <v>119</v>
      </c>
      <c r="BV501" t="s">
        <v>120</v>
      </c>
      <c r="BW501">
        <v>0</v>
      </c>
      <c r="BX501">
        <v>0</v>
      </c>
      <c r="BY501">
        <v>0</v>
      </c>
      <c r="BZ501">
        <v>0.09</v>
      </c>
      <c r="CA501">
        <v>71.06</v>
      </c>
      <c r="CB501">
        <v>0</v>
      </c>
      <c r="CC501">
        <v>0</v>
      </c>
      <c r="CD501">
        <v>3933.33</v>
      </c>
      <c r="CE501" t="s">
        <v>121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O501">
        <v>0</v>
      </c>
      <c r="CP501">
        <v>0</v>
      </c>
      <c r="CR501" t="s">
        <v>122</v>
      </c>
      <c r="CS501">
        <v>0</v>
      </c>
    </row>
    <row r="502" spans="1:97" x14ac:dyDescent="0.2">
      <c r="A502" t="s">
        <v>3143</v>
      </c>
      <c r="B502">
        <v>479</v>
      </c>
      <c r="C502" t="s">
        <v>3144</v>
      </c>
      <c r="E502" t="s">
        <v>147</v>
      </c>
      <c r="J502">
        <v>1</v>
      </c>
      <c r="K502" t="s">
        <v>102</v>
      </c>
      <c r="T502">
        <v>0</v>
      </c>
      <c r="U502">
        <v>0</v>
      </c>
      <c r="V502">
        <v>0</v>
      </c>
      <c r="AM502" t="s">
        <v>107</v>
      </c>
      <c r="BV502" t="s">
        <v>142</v>
      </c>
      <c r="CD502">
        <v>0</v>
      </c>
      <c r="CO502">
        <v>0</v>
      </c>
      <c r="CP502">
        <v>0</v>
      </c>
      <c r="CR502" t="s">
        <v>143</v>
      </c>
      <c r="CS502">
        <v>0</v>
      </c>
    </row>
    <row r="503" spans="1:97" x14ac:dyDescent="0.2">
      <c r="A503" t="s">
        <v>3145</v>
      </c>
      <c r="B503">
        <v>480</v>
      </c>
      <c r="C503" t="s">
        <v>3146</v>
      </c>
      <c r="E503" t="s">
        <v>312</v>
      </c>
      <c r="J503">
        <v>1</v>
      </c>
      <c r="K503" t="s">
        <v>102</v>
      </c>
      <c r="T503">
        <v>0</v>
      </c>
      <c r="U503">
        <v>0</v>
      </c>
      <c r="V503">
        <v>0</v>
      </c>
      <c r="AM503" t="s">
        <v>107</v>
      </c>
      <c r="BV503" t="s">
        <v>142</v>
      </c>
      <c r="CD503">
        <v>0</v>
      </c>
      <c r="CO503">
        <v>0</v>
      </c>
      <c r="CP503">
        <v>0</v>
      </c>
      <c r="CR503" t="s">
        <v>143</v>
      </c>
      <c r="CS503">
        <v>0</v>
      </c>
    </row>
    <row r="504" spans="1:97" x14ac:dyDescent="0.2">
      <c r="A504" t="s">
        <v>3147</v>
      </c>
      <c r="B504">
        <v>481</v>
      </c>
      <c r="C504" t="s">
        <v>3148</v>
      </c>
      <c r="E504" t="s">
        <v>312</v>
      </c>
      <c r="J504">
        <v>1</v>
      </c>
      <c r="K504" t="s">
        <v>102</v>
      </c>
      <c r="T504">
        <v>0</v>
      </c>
      <c r="U504">
        <v>0</v>
      </c>
      <c r="V504">
        <v>0</v>
      </c>
      <c r="AM504" t="s">
        <v>107</v>
      </c>
      <c r="BV504" t="s">
        <v>142</v>
      </c>
      <c r="CD504">
        <v>0</v>
      </c>
      <c r="CO504">
        <v>0</v>
      </c>
      <c r="CP504">
        <v>0</v>
      </c>
      <c r="CR504" t="s">
        <v>143</v>
      </c>
      <c r="CS504">
        <v>0</v>
      </c>
    </row>
    <row r="505" spans="1:97" x14ac:dyDescent="0.2">
      <c r="A505" t="s">
        <v>3149</v>
      </c>
      <c r="B505">
        <v>482</v>
      </c>
      <c r="C505" t="s">
        <v>3150</v>
      </c>
      <c r="E505" t="s">
        <v>312</v>
      </c>
      <c r="J505">
        <v>1</v>
      </c>
      <c r="K505" t="s">
        <v>102</v>
      </c>
      <c r="T505">
        <v>0</v>
      </c>
      <c r="U505">
        <v>0</v>
      </c>
      <c r="V505">
        <v>0</v>
      </c>
      <c r="AM505" t="s">
        <v>107</v>
      </c>
      <c r="BV505" t="s">
        <v>142</v>
      </c>
      <c r="CD505">
        <v>0</v>
      </c>
      <c r="CO505">
        <v>0</v>
      </c>
      <c r="CP505">
        <v>0</v>
      </c>
      <c r="CR505" t="s">
        <v>143</v>
      </c>
      <c r="CS505">
        <v>0</v>
      </c>
    </row>
    <row r="506" spans="1:97" x14ac:dyDescent="0.2">
      <c r="A506" t="s">
        <v>3151</v>
      </c>
      <c r="B506">
        <v>483</v>
      </c>
      <c r="C506" t="s">
        <v>3152</v>
      </c>
      <c r="E506" t="s">
        <v>1832</v>
      </c>
      <c r="J506">
        <v>1</v>
      </c>
      <c r="K506" t="s">
        <v>102</v>
      </c>
      <c r="T506">
        <v>0</v>
      </c>
      <c r="U506">
        <v>0</v>
      </c>
      <c r="V506">
        <v>0</v>
      </c>
      <c r="AM506" t="s">
        <v>107</v>
      </c>
      <c r="BV506" t="s">
        <v>142</v>
      </c>
      <c r="CD506">
        <v>0</v>
      </c>
      <c r="CO506">
        <v>0</v>
      </c>
      <c r="CP506">
        <v>0</v>
      </c>
      <c r="CR506" t="s">
        <v>143</v>
      </c>
      <c r="CS506">
        <v>0</v>
      </c>
    </row>
    <row r="507" spans="1:97" x14ac:dyDescent="0.2">
      <c r="A507" t="s">
        <v>3153</v>
      </c>
      <c r="B507">
        <v>484</v>
      </c>
      <c r="C507" t="s">
        <v>3154</v>
      </c>
      <c r="E507" t="s">
        <v>312</v>
      </c>
      <c r="J507">
        <v>1</v>
      </c>
      <c r="K507" t="s">
        <v>102</v>
      </c>
      <c r="T507">
        <v>0</v>
      </c>
      <c r="U507">
        <v>0</v>
      </c>
      <c r="V507">
        <v>0</v>
      </c>
      <c r="AM507" t="s">
        <v>107</v>
      </c>
      <c r="BV507" t="s">
        <v>142</v>
      </c>
      <c r="CD507">
        <v>0</v>
      </c>
      <c r="CO507">
        <v>0</v>
      </c>
      <c r="CP507">
        <v>0</v>
      </c>
      <c r="CR507" t="s">
        <v>143</v>
      </c>
      <c r="CS507">
        <v>0</v>
      </c>
    </row>
    <row r="508" spans="1:97" x14ac:dyDescent="0.2">
      <c r="A508" t="s">
        <v>3155</v>
      </c>
      <c r="B508">
        <v>485</v>
      </c>
      <c r="C508" t="s">
        <v>3156</v>
      </c>
      <c r="E508" t="s">
        <v>312</v>
      </c>
      <c r="J508">
        <v>1</v>
      </c>
      <c r="K508" t="s">
        <v>102</v>
      </c>
      <c r="T508">
        <v>0</v>
      </c>
      <c r="U508">
        <v>0</v>
      </c>
      <c r="V508">
        <v>0</v>
      </c>
      <c r="AM508" t="s">
        <v>107</v>
      </c>
      <c r="BV508" t="s">
        <v>142</v>
      </c>
      <c r="CD508">
        <v>0</v>
      </c>
      <c r="CO508">
        <v>0</v>
      </c>
      <c r="CP508">
        <v>0</v>
      </c>
      <c r="CR508" t="s">
        <v>143</v>
      </c>
      <c r="CS508">
        <v>0</v>
      </c>
    </row>
    <row r="509" spans="1:97" x14ac:dyDescent="0.2">
      <c r="A509" t="s">
        <v>3157</v>
      </c>
      <c r="B509">
        <v>486</v>
      </c>
      <c r="C509" t="s">
        <v>3158</v>
      </c>
      <c r="E509" t="s">
        <v>312</v>
      </c>
      <c r="J509">
        <v>1</v>
      </c>
      <c r="K509" t="s">
        <v>102</v>
      </c>
      <c r="T509">
        <v>0</v>
      </c>
      <c r="U509">
        <v>0</v>
      </c>
      <c r="V509">
        <v>0</v>
      </c>
      <c r="AM509" t="s">
        <v>107</v>
      </c>
      <c r="BV509" t="s">
        <v>142</v>
      </c>
      <c r="CD509">
        <v>0</v>
      </c>
      <c r="CO509">
        <v>0</v>
      </c>
      <c r="CP509">
        <v>0</v>
      </c>
      <c r="CR509" t="s">
        <v>143</v>
      </c>
      <c r="CS509">
        <v>0</v>
      </c>
    </row>
    <row r="510" spans="1:97" x14ac:dyDescent="0.2">
      <c r="A510" t="s">
        <v>3159</v>
      </c>
      <c r="B510">
        <v>487</v>
      </c>
      <c r="C510" t="s">
        <v>3160</v>
      </c>
      <c r="E510" t="s">
        <v>147</v>
      </c>
      <c r="J510">
        <v>1</v>
      </c>
      <c r="K510" t="s">
        <v>102</v>
      </c>
      <c r="T510">
        <v>0</v>
      </c>
      <c r="U510">
        <v>0</v>
      </c>
      <c r="V510">
        <v>0</v>
      </c>
      <c r="AM510" t="s">
        <v>107</v>
      </c>
      <c r="BV510" t="s">
        <v>142</v>
      </c>
      <c r="CD510">
        <v>0</v>
      </c>
      <c r="CO510">
        <v>0</v>
      </c>
      <c r="CP510">
        <v>0</v>
      </c>
      <c r="CR510" t="s">
        <v>143</v>
      </c>
      <c r="CS510">
        <v>0</v>
      </c>
    </row>
    <row r="511" spans="1:97" x14ac:dyDescent="0.2">
      <c r="A511" t="s">
        <v>3161</v>
      </c>
      <c r="B511">
        <v>488</v>
      </c>
      <c r="C511" t="s">
        <v>3162</v>
      </c>
      <c r="E511" t="s">
        <v>942</v>
      </c>
      <c r="J511">
        <v>1</v>
      </c>
      <c r="K511" t="s">
        <v>102</v>
      </c>
      <c r="T511">
        <v>3770.83</v>
      </c>
      <c r="U511">
        <v>400</v>
      </c>
      <c r="V511">
        <v>0</v>
      </c>
      <c r="AM511" t="s">
        <v>107</v>
      </c>
      <c r="BC511">
        <v>17</v>
      </c>
      <c r="BD511" t="s">
        <v>108</v>
      </c>
      <c r="BE511" t="s">
        <v>109</v>
      </c>
      <c r="BG511" t="s">
        <v>110</v>
      </c>
      <c r="BH511" t="s">
        <v>111</v>
      </c>
      <c r="BI511" t="s">
        <v>112</v>
      </c>
      <c r="BJ511" t="s">
        <v>113</v>
      </c>
      <c r="BK511" t="s">
        <v>114</v>
      </c>
      <c r="BL511" t="s">
        <v>115</v>
      </c>
      <c r="BM511" t="s">
        <v>116</v>
      </c>
      <c r="BO511" t="s">
        <v>117</v>
      </c>
      <c r="BQ511">
        <v>442</v>
      </c>
      <c r="BR511" t="s">
        <v>118</v>
      </c>
      <c r="BU511" t="s">
        <v>119</v>
      </c>
      <c r="BV511" t="s">
        <v>120</v>
      </c>
      <c r="BW511">
        <v>0</v>
      </c>
      <c r="BX511">
        <v>0</v>
      </c>
      <c r="BY511">
        <v>0</v>
      </c>
      <c r="BZ511">
        <v>0.09</v>
      </c>
      <c r="CA511">
        <v>309.39999999999998</v>
      </c>
      <c r="CB511">
        <v>0</v>
      </c>
      <c r="CC511">
        <v>0</v>
      </c>
      <c r="CD511">
        <v>3770.83</v>
      </c>
      <c r="CE511" t="s">
        <v>121</v>
      </c>
      <c r="CF511">
        <v>1</v>
      </c>
      <c r="CG511">
        <v>1</v>
      </c>
      <c r="CH511">
        <v>1</v>
      </c>
      <c r="CI511">
        <v>0</v>
      </c>
      <c r="CJ511">
        <v>0</v>
      </c>
      <c r="CK511">
        <v>0</v>
      </c>
      <c r="CL511">
        <v>0</v>
      </c>
      <c r="CM511">
        <v>0</v>
      </c>
      <c r="CO511">
        <v>0</v>
      </c>
      <c r="CP511">
        <v>0</v>
      </c>
      <c r="CR511" t="s">
        <v>122</v>
      </c>
      <c r="CS511">
        <v>0</v>
      </c>
    </row>
    <row r="512" spans="1:97" x14ac:dyDescent="0.2">
      <c r="A512" t="s">
        <v>3163</v>
      </c>
      <c r="B512">
        <v>489</v>
      </c>
      <c r="C512" t="s">
        <v>3164</v>
      </c>
      <c r="J512">
        <v>1</v>
      </c>
      <c r="K512" t="s">
        <v>102</v>
      </c>
      <c r="T512">
        <v>0</v>
      </c>
      <c r="U512">
        <v>0</v>
      </c>
      <c r="V512">
        <v>0</v>
      </c>
      <c r="AM512" t="s">
        <v>107</v>
      </c>
      <c r="BC512">
        <v>17</v>
      </c>
      <c r="BD512" t="s">
        <v>108</v>
      </c>
      <c r="BE512" t="s">
        <v>109</v>
      </c>
      <c r="BG512" t="s">
        <v>110</v>
      </c>
      <c r="BH512" t="s">
        <v>111</v>
      </c>
      <c r="BI512" t="s">
        <v>112</v>
      </c>
      <c r="BJ512" t="s">
        <v>113</v>
      </c>
      <c r="BK512" t="s">
        <v>114</v>
      </c>
      <c r="BL512" t="s">
        <v>115</v>
      </c>
      <c r="BM512" t="s">
        <v>116</v>
      </c>
      <c r="BO512" t="s">
        <v>117</v>
      </c>
      <c r="BQ512">
        <v>452</v>
      </c>
      <c r="BR512" t="s">
        <v>481</v>
      </c>
      <c r="BU512" t="s">
        <v>119</v>
      </c>
      <c r="BV512" t="s">
        <v>120</v>
      </c>
      <c r="BW512">
        <v>540</v>
      </c>
      <c r="BX512">
        <v>540</v>
      </c>
      <c r="BY512">
        <v>588.6</v>
      </c>
      <c r="BZ512">
        <v>0.09</v>
      </c>
      <c r="CA512">
        <v>0</v>
      </c>
      <c r="CB512">
        <v>0</v>
      </c>
      <c r="CC512">
        <v>0</v>
      </c>
      <c r="CD512">
        <v>0</v>
      </c>
      <c r="CE512" t="s">
        <v>121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O512">
        <v>540</v>
      </c>
      <c r="CP512">
        <v>6480</v>
      </c>
      <c r="CR512" t="s">
        <v>122</v>
      </c>
      <c r="CS512">
        <v>0</v>
      </c>
    </row>
    <row r="513" spans="1:97" x14ac:dyDescent="0.2">
      <c r="A513" t="s">
        <v>3165</v>
      </c>
      <c r="B513">
        <v>490</v>
      </c>
      <c r="C513" t="s">
        <v>3166</v>
      </c>
      <c r="E513" t="s">
        <v>2214</v>
      </c>
      <c r="I513">
        <v>108</v>
      </c>
      <c r="J513">
        <v>1</v>
      </c>
      <c r="K513" t="s">
        <v>102</v>
      </c>
      <c r="T513">
        <v>0</v>
      </c>
      <c r="U513">
        <v>0</v>
      </c>
      <c r="V513">
        <v>0</v>
      </c>
      <c r="AM513" t="s">
        <v>107</v>
      </c>
      <c r="BV513" t="s">
        <v>142</v>
      </c>
      <c r="CD513">
        <v>0</v>
      </c>
      <c r="CO513">
        <v>0</v>
      </c>
      <c r="CP513">
        <v>0</v>
      </c>
      <c r="CR513" t="s">
        <v>143</v>
      </c>
      <c r="CS513">
        <v>0</v>
      </c>
    </row>
    <row r="514" spans="1:97" x14ac:dyDescent="0.2">
      <c r="A514" t="s">
        <v>3167</v>
      </c>
      <c r="B514">
        <v>491</v>
      </c>
      <c r="C514" t="s">
        <v>3168</v>
      </c>
      <c r="E514" t="s">
        <v>252</v>
      </c>
      <c r="I514">
        <v>5</v>
      </c>
      <c r="J514">
        <v>1</v>
      </c>
      <c r="K514" t="s">
        <v>102</v>
      </c>
      <c r="T514">
        <v>0</v>
      </c>
      <c r="U514">
        <v>0</v>
      </c>
      <c r="V514">
        <v>0</v>
      </c>
      <c r="AM514" t="s">
        <v>107</v>
      </c>
      <c r="BV514" t="s">
        <v>142</v>
      </c>
      <c r="CD514">
        <v>0</v>
      </c>
      <c r="CO514">
        <v>0</v>
      </c>
      <c r="CP514">
        <v>0</v>
      </c>
      <c r="CR514" t="s">
        <v>143</v>
      </c>
      <c r="CS514">
        <v>0</v>
      </c>
    </row>
    <row r="515" spans="1:97" x14ac:dyDescent="0.2">
      <c r="A515" t="s">
        <v>3169</v>
      </c>
      <c r="B515">
        <v>492</v>
      </c>
      <c r="C515" t="s">
        <v>3170</v>
      </c>
      <c r="E515" t="s">
        <v>1558</v>
      </c>
      <c r="I515">
        <v>10</v>
      </c>
      <c r="J515">
        <v>1</v>
      </c>
      <c r="K515" t="s">
        <v>102</v>
      </c>
      <c r="T515">
        <v>0</v>
      </c>
      <c r="U515">
        <v>0</v>
      </c>
      <c r="V515">
        <v>0</v>
      </c>
      <c r="AM515" t="s">
        <v>107</v>
      </c>
      <c r="BV515" t="s">
        <v>142</v>
      </c>
      <c r="CD515">
        <v>0</v>
      </c>
      <c r="CO515">
        <v>0</v>
      </c>
      <c r="CP515">
        <v>0</v>
      </c>
      <c r="CR515" t="s">
        <v>143</v>
      </c>
      <c r="CS515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052043D-1AC4-4BAF-8B0E-EC9A1BAB55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2A0CEF-7C78-4036-B6EE-BDB542096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EF12AE-290D-42F0-BFF5-9DC69785461A}">
  <ds:schemaRefs>
    <ds:schemaRef ds:uri="http://schemas.openxmlformats.org/package/2006/metadata/core-properties"/>
    <ds:schemaRef ds:uri="7c6541c9-858d-46cc-aee4-1fa681dc1bd6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7e7f2dcd-0c2b-4478-ad05-247cf739c5b2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Zoek Woning</vt:lpstr>
      <vt:lpstr>Print Kaart</vt:lpstr>
      <vt:lpstr>Contacten</vt:lpstr>
      <vt:lpstr>Tijdlijn</vt:lpstr>
      <vt:lpstr>Financieel</vt:lpstr>
      <vt:lpstr>Data</vt:lpstr>
      <vt:lpstr>'Print Kaart'!Print_Area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2026-01-21T12:52:45Z</dcterms:created>
  <dcterms:modified xsi:type="dcterms:W3CDTF">2026-01-21T13:07:29Z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