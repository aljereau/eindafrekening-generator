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65" documentId="11_E0C8970C239286AD4E5E7607993545570676A730" xr6:coauthVersionLast="47" xr6:coauthVersionMax="47" xr10:uidLastSave="{517C8AEF-DE1B-7441-86F7-4B5EF1513CC3}"/>
  <bookViews>
    <workbookView xWindow="-20" yWindow="780" windowWidth="17280" windowHeight="20280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Algemeen!$B$43</definedName>
    <definedName name="Borg_terug">Algemeen!$B$44</definedName>
    <definedName name="Contactpersoon">Algemeen!$B$5</definedName>
    <definedName name="Contractnummer">Algemeen!$B$33</definedName>
    <definedName name="Email">Algemeen!$B$6</definedName>
    <definedName name="Energie_leverancier">Algemeen!$B$32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Algemeen!$B$46</definedName>
    <definedName name="GWE_totaal_excl">GWE_Detail!$B$36</definedName>
    <definedName name="GWE_totaal_incl">GWE_Detail!$B$38</definedName>
    <definedName name="Inbegrepen_uren">Algemeen!$B$29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Algemeen!$B$31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Algemeen!$B$45</definedName>
    <definedName name="RR_Factuurnummer">Algemeen!$B$40</definedName>
    <definedName name="RR_Folder_link">Algemeen!$B$37</definedName>
    <definedName name="RR_Inspecteur">Algemeen!$B$39</definedName>
    <definedName name="RR_Klantnummer">Algemeen!$B$36</definedName>
    <definedName name="RR_Projectleider">Algemeen!$B$38</definedName>
    <definedName name="Schade_BTW">Schade!$B$59</definedName>
    <definedName name="Schade_totaal_excl">Schade!$B$58</definedName>
    <definedName name="Schade_totaal_incl">Schade!$B$60</definedName>
    <definedName name="Schoonmaak_pakket">Algemeen!$B$28</definedName>
    <definedName name="Telefoonnummer">Algemeen!$B$7</definedName>
    <definedName name="Totaal_eindafrekening">Algemeen!$B$47</definedName>
    <definedName name="Totaal_uren_gew">Schoonmaak!$B$6</definedName>
    <definedName name="Uitcheck_datum">Algemeen!$B$18</definedName>
    <definedName name="Unit_nr">Algemeen!$B$11</definedName>
    <definedName name="Uurtarief_schoonmaak">Algemeen!$B$30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B15" i="2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8" i="3"/>
  <c r="B4" i="3"/>
  <c r="B5" i="3" s="1"/>
  <c r="B7" i="3" s="1"/>
  <c r="B9" i="3" s="1"/>
  <c r="D18" i="2"/>
  <c r="B9" i="2"/>
  <c r="B6" i="2"/>
  <c r="B14" i="2" s="1"/>
  <c r="D14" i="2" s="1"/>
  <c r="B29" i="1"/>
  <c r="B19" i="1"/>
  <c r="D16" i="2" s="1"/>
  <c r="B58" i="4" l="1"/>
  <c r="B59" i="4" s="1"/>
  <c r="B60" i="4" s="1"/>
  <c r="B43" i="1" s="1"/>
  <c r="D17" i="2"/>
  <c r="B36" i="2" s="1"/>
  <c r="B37" i="2" l="1"/>
  <c r="B38" i="2" s="1"/>
  <c r="B46" i="1" s="1"/>
  <c r="B44" i="1"/>
  <c r="B45" i="1"/>
  <c r="B47" i="1" l="1"/>
</calcChain>
</file>

<file path=xl/sharedStrings.xml><?xml version="1.0" encoding="utf-8"?>
<sst xmlns="http://schemas.openxmlformats.org/spreadsheetml/2006/main" count="114" uniqueCount="110">
  <si>
    <t>RYANRENT EINDAFREKENING - BASISGEGEVENS</t>
  </si>
  <si>
    <t>KLANTGEGEVENS</t>
  </si>
  <si>
    <t>Naam Klant *</t>
  </si>
  <si>
    <t>Contactpersoon</t>
  </si>
  <si>
    <t>Email *</t>
  </si>
  <si>
    <t>Telefoonnummer</t>
  </si>
  <si>
    <t>OBJECTGEGEVENS</t>
  </si>
  <si>
    <t>Adres Object *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</si>
  <si>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</si>
  <si>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</si>
  <si>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</si>
  <si>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</si>
  <si>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</si>
  <si>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</si>
  <si>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</si>
  <si>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</si>
  <si>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</si>
  <si>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</si>
  <si>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</si>
  <si>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</si>
  <si>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</si>
  <si>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</si>
  <si>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</si>
  <si>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</si>
  <si>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</si>
  <si>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</si>
  <si>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</si>
  <si>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</si>
  <si>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</si>
  <si>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</si>
  <si>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</si>
  <si>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</si>
  <si>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</si>
  <si>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</si>
  <si>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</si>
  <si>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</si>
  <si>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</si>
  <si>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</si>
  <si>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</si>
  <si>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</si>
  <si>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</si>
  <si>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</si>
  <si>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</si>
  <si>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</si>
  <si>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</si>
  <si>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</si>
  <si>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</si>
  <si>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</si>
  <si>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</si>
  <si>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</si>
  <si>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</si>
  <si>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</si>
  <si>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</si>
  <si>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</si>
  <si>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</si>
  <si>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Elektra verbruik (zie meterstand)</t>
  </si>
  <si>
    <t>Gas verbruik (zie meterstand)</t>
  </si>
  <si>
    <t>Vaste levering elektra per dag</t>
  </si>
  <si>
    <t>Vaste levering gas per dag</t>
  </si>
  <si>
    <t>Waterverbruik (geschat per dag)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</si>
  <si>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</si>
  <si>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</si>
  <si>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</si>
  <si>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</si>
  <si>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</si>
  <si>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</si>
  <si>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</si>
  <si>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</si>
  <si>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</si>
  <si>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</si>
  <si>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</si>
  <si>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</si>
  <si>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</si>
  <si>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</si>
  <si>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</si>
  <si>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</si>
  <si>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</si>
  <si>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</si>
  <si>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g</t>
  </si>
  <si>
    <t>Intensief Schoonmaak</t>
  </si>
  <si>
    <t>eneco</t>
  </si>
  <si>
    <t>vattenfall</t>
  </si>
  <si>
    <t>Dion</t>
  </si>
  <si>
    <t>Christa</t>
  </si>
  <si>
    <t>pottn</t>
  </si>
  <si>
    <t>kozijn</t>
  </si>
  <si>
    <t>Sophie van RyanRent</t>
  </si>
  <si>
    <t>t.hendriksen@email.nl</t>
  </si>
  <si>
    <t>06-12345678</t>
  </si>
  <si>
    <t>Parkstraat 88</t>
  </si>
  <si>
    <t>2000 XY</t>
  </si>
  <si>
    <t>Utrecht</t>
  </si>
  <si>
    <t>01-06-2024</t>
  </si>
  <si>
    <t>30-11-2024</t>
  </si>
  <si>
    <t>Grote schade aan vloerbedekking woonkamer</t>
  </si>
  <si>
    <t>Meerdere gaten in muren (herstel + schilderen)</t>
  </si>
  <si>
    <t>Kapotte balkondeur inclusief slot</t>
  </si>
  <si>
    <t>Beschadigde keukenkastjes (4 stuks)</t>
  </si>
  <si>
    <t>Gebroken tegels badkamer + voegen</t>
  </si>
  <si>
    <t>Brandschade op aanrechtblad</t>
  </si>
  <si>
    <t>Kapotte wasmachine (tenant schade)</t>
  </si>
  <si>
    <t>Schade aan gordijnen + rails (alle kamers)</t>
  </si>
  <si>
    <t>Gebroken douchewand</t>
  </si>
  <si>
    <t>Toegangspoort beschadigd</t>
  </si>
  <si>
    <t>Waterlek schade plafond slaapkamer</t>
  </si>
  <si>
    <t>Kapotte verlichting (lampen + armaturen)</t>
  </si>
  <si>
    <t>Beschadigde radiator woonkamer</t>
  </si>
  <si>
    <t>Verfschade op meerdere deuren</t>
  </si>
  <si>
    <t>Kapotte vaatwasser (misbruik)</t>
  </si>
  <si>
    <t>Hoge schade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</si>
</sst>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u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7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2" t="s">
        <v>0</v>
      </c>
      <c r="B1" s="30"/>
    </row>
    <row r="3" spans="1:2" x14ac:dyDescent="0.2">
      <c r="A3" s="29" t="s">
        <v>1</v>
      </c>
      <c r="B3" s="30"/>
    </row>
    <row r="4" spans="1:2" x14ac:dyDescent="0.2">
      <c r="A4" s="1" t="s">
        <v>2</v>
      </c>
      <c r="B4" s="2" t="s">
        <v>109</v>
      </c>
    </row>
    <row r="5" spans="1:2" x14ac:dyDescent="0.2">
      <c r="A5" s="1" t="s">
        <v>3</v>
      </c>
      <c r="B5" s="2" t="s">
        <v>86</v>
      </c>
    </row>
    <row r="6" spans="1:2" x14ac:dyDescent="0.2">
      <c r="A6" s="1" t="s">
        <v>4</v>
      </c>
      <c r="B6" s="40" t="s">
        <v>87</v>
      </c>
    </row>
    <row r="7" spans="1:2" x14ac:dyDescent="0.2">
      <c r="A7" s="1" t="s">
        <v>5</v>
      </c>
      <c r="B7" s="3" t="s">
        <v>88</v>
      </c>
    </row>
    <row r="9" spans="1:2" x14ac:dyDescent="0.2">
      <c r="A9" s="29" t="s">
        <v>6</v>
      </c>
      <c r="B9" s="30"/>
    </row>
    <row r="10" spans="1:2" x14ac:dyDescent="0.2">
      <c r="A10" s="1" t="s">
        <v>7</v>
      </c>
      <c r="B10" s="2" t="s">
        <v>89</v>
      </c>
    </row>
    <row r="11" spans="1:2" x14ac:dyDescent="0.2">
      <c r="A11" s="1" t="s">
        <v>8</v>
      </c>
      <c r="B11" s="3" t="s">
        <v>78</v>
      </c>
    </row>
    <row r="12" spans="1:2" x14ac:dyDescent="0.2">
      <c r="A12" s="1" t="s">
        <v>9</v>
      </c>
      <c r="B12" s="3" t="s">
        <v>90</v>
      </c>
    </row>
    <row r="13" spans="1:2" x14ac:dyDescent="0.2">
      <c r="A13" s="1" t="s">
        <v>10</v>
      </c>
      <c r="B13" s="3" t="s">
        <v>91</v>
      </c>
    </row>
    <row r="14" spans="1:2" x14ac:dyDescent="0.2">
      <c r="A14" s="1" t="s">
        <v>11</v>
      </c>
      <c r="B14" s="3">
        <v>999</v>
      </c>
    </row>
    <row r="16" spans="1:2" x14ac:dyDescent="0.2">
      <c r="A16" s="29" t="s">
        <v>12</v>
      </c>
      <c r="B16" s="30"/>
    </row>
    <row r="17" spans="1:2" x14ac:dyDescent="0.2">
      <c r="A17" s="1" t="s">
        <v>13</v>
      </c>
      <c r="B17" s="4" t="s">
        <v>92</v>
      </c>
    </row>
    <row r="18" spans="1:2" x14ac:dyDescent="0.2">
      <c r="A18" s="1" t="s">
        <v>14</v>
      </c>
      <c r="B18" s="4" t="s">
        <v>93</v>
      </c>
    </row>
    <row r="19" spans="1:2" x14ac:dyDescent="0.2">
      <c r="A19" s="1" t="s">
        <v>15</v>
      </c>
      <c r="B19" s="5">
        <f>IF(AND(B17&lt;&gt;"",B18&lt;&gt;""),B18-B17,"")</f>
        <v>182</v>
      </c>
    </row>
    <row r="21" spans="1:2" x14ac:dyDescent="0.2">
      <c r="A21" s="29" t="s">
        <v>16</v>
      </c>
      <c r="B21" s="30"/>
    </row>
    <row r="22" spans="1:2" x14ac:dyDescent="0.2">
      <c r="A22" s="1" t="s">
        <v>17</v>
      </c>
      <c r="B22" s="6">
        <v>4000</v>
      </c>
    </row>
    <row r="23" spans="1:2" x14ac:dyDescent="0.2">
      <c r="A23" s="1" t="s">
        <v>18</v>
      </c>
      <c r="B23" s="6">
        <v>3900</v>
      </c>
    </row>
    <row r="24" spans="1:2" x14ac:dyDescent="0.2">
      <c r="A24" s="1" t="s">
        <v>19</v>
      </c>
      <c r="B24" s="6">
        <v>250</v>
      </c>
    </row>
    <row r="25" spans="1:2" x14ac:dyDescent="0.2">
      <c r="A25" s="1" t="s">
        <v>20</v>
      </c>
      <c r="B25" s="7">
        <v>400</v>
      </c>
    </row>
    <row r="27" spans="1:2" x14ac:dyDescent="0.2">
      <c r="A27" s="29" t="s">
        <v>21</v>
      </c>
      <c r="B27" s="30"/>
    </row>
    <row r="28" spans="1:2" x14ac:dyDescent="0.2">
      <c r="A28" s="1" t="s">
        <v>22</v>
      </c>
      <c r="B28" s="2" t="s">
        <v>79</v>
      </c>
    </row>
    <row r="29" spans="1:2" x14ac:dyDescent="0.2">
      <c r="A29" s="1" t="s">
        <v>23</v>
      </c>
      <c r="B29" s="5">
        <f>IF(B28="Basis Schoonmaak",5,IF(B28="Intensief Schoonmaak",7,""))</f>
        <v>7</v>
      </c>
    </row>
    <row r="30" spans="1:2" x14ac:dyDescent="0.2">
      <c r="A30" s="1" t="s">
        <v>24</v>
      </c>
      <c r="B30" s="6">
        <v>50</v>
      </c>
    </row>
    <row r="31" spans="1:2" x14ac:dyDescent="0.2">
      <c r="A31" s="1" t="s">
        <v>25</v>
      </c>
      <c r="B31" s="3" t="s">
        <v>80</v>
      </c>
    </row>
    <row r="32" spans="1:2" x14ac:dyDescent="0.2">
      <c r="A32" s="1" t="s">
        <v>26</v>
      </c>
      <c r="B32" s="3" t="s">
        <v>81</v>
      </c>
    </row>
    <row r="33" spans="1:3" x14ac:dyDescent="0.2">
      <c r="A33" s="1" t="s">
        <v>27</v>
      </c>
      <c r="B33" s="3">
        <v>98746</v>
      </c>
    </row>
    <row r="35" spans="1:3" x14ac:dyDescent="0.2">
      <c r="A35" s="29" t="s">
        <v>28</v>
      </c>
      <c r="B35" s="30"/>
    </row>
    <row r="36" spans="1:3" x14ac:dyDescent="0.2">
      <c r="A36" s="1" t="s">
        <v>29</v>
      </c>
      <c r="B36" s="3">
        <v>8847</v>
      </c>
    </row>
    <row r="37" spans="1:3" x14ac:dyDescent="0.2">
      <c r="A37" s="1" t="s">
        <v>30</v>
      </c>
      <c r="B37" s="3"/>
    </row>
    <row r="38" spans="1:3" x14ac:dyDescent="0.2">
      <c r="A38" s="1" t="s">
        <v>31</v>
      </c>
      <c r="B38" s="3" t="s">
        <v>82</v>
      </c>
    </row>
    <row r="39" spans="1:3" x14ac:dyDescent="0.2">
      <c r="A39" s="1" t="s">
        <v>32</v>
      </c>
      <c r="B39" s="3" t="s">
        <v>83</v>
      </c>
    </row>
    <row r="40" spans="1:3" x14ac:dyDescent="0.2">
      <c r="A40" s="1" t="s">
        <v>33</v>
      </c>
      <c r="B40" s="3">
        <v>8947483</v>
      </c>
    </row>
    <row r="42" spans="1:3" x14ac:dyDescent="0.2">
      <c r="A42" s="31" t="s">
        <v>34</v>
      </c>
      <c r="B42" s="30"/>
      <c r="C42" s="8" t="s">
        <v>35</v>
      </c>
    </row>
    <row r="43" spans="1:3" x14ac:dyDescent="0.2">
      <c r="A43" s="1" t="s">
        <v>36</v>
      </c>
      <c r="B43" s="9">
        <f>[0]!Schade_totaal_incl</f>
        <v>7580.65</v>
      </c>
    </row>
    <row r="44" spans="1:3" x14ac:dyDescent="0.2">
      <c r="A44" s="1" t="s">
        <v>37</v>
      </c>
      <c r="B44" s="9">
        <f>IF(Borg_gebruikt="","",Voorschot_borg-Borg_gebruikt)</f>
        <v>-3580.6499999999996</v>
      </c>
    </row>
    <row r="45" spans="1:3" x14ac:dyDescent="0.2">
      <c r="A45" s="1" t="s">
        <v>38</v>
      </c>
      <c r="B45" s="9">
        <f>IF(Borg_gebruikt="","",MAX(0,Borg_gebruikt-Voorschot_borg))</f>
        <v>3580.6499999999996</v>
      </c>
    </row>
    <row r="46" spans="1:3" x14ac:dyDescent="0.2">
      <c r="A46" s="1" t="s">
        <v>39</v>
      </c>
      <c r="B46" s="9">
        <f>IF([0]!GWE_totaal_incl="","",Voorschot_GWE-[0]!GWE_totaal_incl)</f>
        <v>-1127.5500000000002</v>
      </c>
    </row>
    <row r="47" spans="1:3" x14ac:dyDescent="0.2">
      <c r="A47" s="10" t="s">
        <v>40</v>
      </c>
      <c r="B47" s="11">
        <f>IF(OR(Borg_terug="",GWE_meer_minder="",[0]!Extra_schoonmaak_bedrag=""),"",Borg_terug+GWE_meer_minder-[0]!Extra_schoonmaak_bedrag)</f>
        <v>-5008.2</v>
      </c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type="list" errorTitle="Ongeldige invoer" error="Kies 5_uur of 7_uur" sqref="B28" xr:uid="{00000000-0002-0000-0000-000000000000}">
      <formula1>"Basis Schoonmaak,Intensief Schoonmaak"</formula1>
    </dataValidation>
  </dataValidations>
  <hyperlinks>
    <hyperlink ref="B6" r:id="rId1" xr:uid="{4E977829-4C42-4C42-95B6-24DD5B4CCFE6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workbookViewId="0">
      <pane ySplit="5" topLeftCell="A6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3" t="s">
        <v>41</v>
      </c>
      <c r="B1" s="30"/>
      <c r="C1" s="30"/>
      <c r="D1" s="30"/>
    </row>
    <row r="3" spans="1:4" x14ac:dyDescent="0.2">
      <c r="A3" s="35" t="s">
        <v>42</v>
      </c>
      <c r="B3" s="30"/>
      <c r="C3" s="30"/>
      <c r="D3" s="30"/>
    </row>
    <row r="4" spans="1:4" x14ac:dyDescent="0.2">
      <c r="A4" s="1" t="s">
        <v>43</v>
      </c>
      <c r="B4" s="12">
        <v>15000</v>
      </c>
    </row>
    <row r="5" spans="1:4" x14ac:dyDescent="0.2">
      <c r="A5" s="1" t="s">
        <v>44</v>
      </c>
      <c r="B5" s="12">
        <v>19500</v>
      </c>
    </row>
    <row r="6" spans="1:4" x14ac:dyDescent="0.2">
      <c r="A6" s="1" t="s">
        <v>45</v>
      </c>
      <c r="B6" s="13">
        <f>IF(AND(B4&lt;&gt;"",B5&lt;&gt;""),B5-B4,"")</f>
        <v>4500</v>
      </c>
    </row>
    <row r="7" spans="1:4" x14ac:dyDescent="0.2">
      <c r="A7" s="1" t="s">
        <v>46</v>
      </c>
      <c r="B7" s="14">
        <v>8000</v>
      </c>
    </row>
    <row r="8" spans="1:4" x14ac:dyDescent="0.2">
      <c r="A8" s="1" t="s">
        <v>47</v>
      </c>
      <c r="B8" s="14">
        <v>10200</v>
      </c>
    </row>
    <row r="9" spans="1:4" x14ac:dyDescent="0.2">
      <c r="A9" s="1" t="s">
        <v>48</v>
      </c>
      <c r="B9" s="15">
        <f>IF(AND(B7&lt;&gt;"",B8&lt;&gt;""),B8-B7,"")</f>
        <v>2200</v>
      </c>
    </row>
    <row r="11" spans="1:4" x14ac:dyDescent="0.2">
      <c r="A11" s="35" t="s">
        <v>49</v>
      </c>
      <c r="B11" s="30"/>
      <c r="C11" s="30"/>
      <c r="D11" s="30"/>
    </row>
    <row r="12" spans="1:4" ht="30" customHeight="1" x14ac:dyDescent="0.2">
      <c r="A12" s="34" t="s">
        <v>50</v>
      </c>
      <c r="B12" s="30"/>
      <c r="C12" s="30"/>
      <c r="D12" s="30"/>
    </row>
    <row r="13" spans="1:4" ht="30" customHeight="1" x14ac:dyDescent="0.2">
      <c r="A13" s="16" t="s">
        <v>51</v>
      </c>
      <c r="B13" s="16" t="s">
        <v>52</v>
      </c>
      <c r="C13" s="16" t="s">
        <v>53</v>
      </c>
      <c r="D13" s="16" t="s">
        <v>54</v>
      </c>
    </row>
    <row r="14" spans="1:4" x14ac:dyDescent="0.2">
      <c r="A14" s="17" t="s">
        <v>55</v>
      </c>
      <c r="B14" s="18">
        <f>KWh_verbruik</f>
        <v>4500</v>
      </c>
      <c r="C14" s="19">
        <v>0.3</v>
      </c>
      <c r="D14" s="19">
        <f>B14*C14</f>
        <v>1350</v>
      </c>
    </row>
    <row r="15" spans="1:4" x14ac:dyDescent="0.2">
      <c r="A15" s="17" t="s">
        <v>56</v>
      </c>
      <c r="B15" s="18">
        <f>Gas_verbruik</f>
        <v>2200</v>
      </c>
      <c r="C15" s="19">
        <v>1.2</v>
      </c>
      <c r="D15" s="19">
        <f>B15*C15</f>
        <v>2640</v>
      </c>
    </row>
    <row r="16" spans="1:4" x14ac:dyDescent="0.2">
      <c r="A16" s="17" t="s">
        <v>57</v>
      </c>
      <c r="B16" s="18">
        <v>30</v>
      </c>
      <c r="C16" s="19">
        <v>0.5</v>
      </c>
      <c r="D16" s="19">
        <f>B16*C16</f>
        <v>15</v>
      </c>
    </row>
    <row r="17" spans="1:4" x14ac:dyDescent="0.2">
      <c r="A17" s="17" t="s">
        <v>58</v>
      </c>
      <c r="B17" s="18">
        <v>100</v>
      </c>
      <c r="C17" s="19">
        <v>0.45</v>
      </c>
      <c r="D17" s="19">
        <f>B17*C17</f>
        <v>45</v>
      </c>
    </row>
    <row r="18" spans="1:4" x14ac:dyDescent="0.2">
      <c r="A18" s="17" t="s">
        <v>59</v>
      </c>
      <c r="B18" s="18">
        <v>30</v>
      </c>
      <c r="C18" s="19">
        <v>3.5</v>
      </c>
      <c r="D18" s="19">
        <f>B18*C18</f>
        <v>105</v>
      </c>
    </row>
    <row r="19" spans="1:4" x14ac:dyDescent="0.2">
      <c r="A19" s="3"/>
      <c r="B19" s="20"/>
      <c r="C19" s="7"/>
      <c r="D19" s="7"/>
    </row>
    <row r="20" spans="1:4" x14ac:dyDescent="0.2">
      <c r="A20" s="3"/>
      <c r="B20" s="20"/>
      <c r="C20" s="7"/>
      <c r="D20" s="7"/>
    </row>
    <row r="21" spans="1:4" x14ac:dyDescent="0.2">
      <c r="A21" s="3"/>
      <c r="B21" s="20"/>
      <c r="C21" s="7"/>
      <c r="D21" s="7"/>
    </row>
    <row r="22" spans="1:4" x14ac:dyDescent="0.2">
      <c r="A22" s="3"/>
      <c r="B22" s="20"/>
      <c r="C22" s="7"/>
      <c r="D22" s="7"/>
    </row>
    <row r="23" spans="1:4" x14ac:dyDescent="0.2">
      <c r="A23" s="3"/>
      <c r="B23" s="20"/>
      <c r="C23" s="7"/>
      <c r="D23" s="7"/>
    </row>
    <row r="24" spans="1:4" x14ac:dyDescent="0.2">
      <c r="A24" s="3"/>
      <c r="B24" s="20"/>
      <c r="C24" s="7"/>
      <c r="D24" s="7"/>
    </row>
    <row r="25" spans="1:4" x14ac:dyDescent="0.2">
      <c r="A25" s="3"/>
      <c r="B25" s="20"/>
      <c r="C25" s="7"/>
      <c r="D25" s="7"/>
    </row>
    <row r="26" spans="1:4" x14ac:dyDescent="0.2">
      <c r="A26" s="3"/>
      <c r="B26" s="20"/>
      <c r="C26" s="7"/>
      <c r="D26" s="7"/>
    </row>
    <row r="27" spans="1:4" x14ac:dyDescent="0.2">
      <c r="A27" s="3"/>
      <c r="B27" s="20"/>
      <c r="C27" s="7"/>
      <c r="D27" s="7"/>
    </row>
    <row r="28" spans="1:4" x14ac:dyDescent="0.2">
      <c r="A28" s="3"/>
      <c r="B28" s="20"/>
      <c r="C28" s="7"/>
      <c r="D28" s="7"/>
    </row>
    <row r="29" spans="1:4" x14ac:dyDescent="0.2">
      <c r="A29" s="3"/>
      <c r="B29" s="20"/>
      <c r="C29" s="7"/>
      <c r="D29" s="7"/>
    </row>
    <row r="30" spans="1:4" x14ac:dyDescent="0.2">
      <c r="A30" s="3"/>
      <c r="B30" s="20"/>
      <c r="C30" s="7"/>
      <c r="D30" s="7"/>
    </row>
    <row r="31" spans="1:4" x14ac:dyDescent="0.2">
      <c r="A31" s="3"/>
      <c r="B31" s="20"/>
      <c r="C31" s="7"/>
      <c r="D31" s="7"/>
    </row>
    <row r="32" spans="1:4" x14ac:dyDescent="0.2">
      <c r="A32" s="3"/>
      <c r="B32" s="20"/>
      <c r="C32" s="7"/>
      <c r="D32" s="7"/>
    </row>
    <row r="33" spans="1:4" x14ac:dyDescent="0.2">
      <c r="A33" s="3"/>
      <c r="B33" s="20"/>
      <c r="C33" s="7"/>
      <c r="D33" s="7"/>
    </row>
    <row r="35" spans="1:4" x14ac:dyDescent="0.2">
      <c r="A35" s="31" t="s">
        <v>60</v>
      </c>
      <c r="B35" s="30"/>
      <c r="C35" s="30"/>
      <c r="D35" s="30"/>
    </row>
    <row r="36" spans="1:4" x14ac:dyDescent="0.2">
      <c r="A36" s="1" t="s">
        <v>61</v>
      </c>
      <c r="B36" s="9">
        <f>SUM(D14:D34)</f>
        <v>4155</v>
      </c>
    </row>
    <row r="37" spans="1:4" x14ac:dyDescent="0.2">
      <c r="A37" s="1" t="s">
        <v>62</v>
      </c>
      <c r="B37" s="9">
        <f>IF(B36="","",B36*0.21)</f>
        <v>872.55</v>
      </c>
    </row>
    <row r="38" spans="1:4" x14ac:dyDescent="0.2">
      <c r="A38" s="21" t="s">
        <v>63</v>
      </c>
      <c r="B38" s="22">
        <f>IF(B36="","",B36+B37)</f>
        <v>5027.55</v>
      </c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7" t="s">
        <v>64</v>
      </c>
      <c r="B1" s="30"/>
    </row>
    <row r="3" spans="1:2" x14ac:dyDescent="0.2">
      <c r="A3" s="36" t="s">
        <v>65</v>
      </c>
      <c r="B3" s="30"/>
    </row>
    <row r="4" spans="1:2" x14ac:dyDescent="0.2">
      <c r="A4" s="1" t="s">
        <v>22</v>
      </c>
      <c r="B4" s="23" t="str">
        <f>[0]!Schoonmaak_pakket</f>
        <v>Intensief Schoonmaak</v>
      </c>
    </row>
    <row r="5" spans="1:2" x14ac:dyDescent="0.2">
      <c r="A5" s="1" t="s">
        <v>23</v>
      </c>
      <c r="B5" s="5">
        <f>IF(B4="Basis Schoonmaak",5,IF(B4="Intensief Schoonmaak",7,""))</f>
        <v>7</v>
      </c>
    </row>
    <row r="6" spans="1:2" x14ac:dyDescent="0.2">
      <c r="A6" s="1" t="s">
        <v>66</v>
      </c>
      <c r="B6" s="24">
        <v>13</v>
      </c>
    </row>
    <row r="7" spans="1:2" x14ac:dyDescent="0.2">
      <c r="A7" s="1" t="s">
        <v>67</v>
      </c>
      <c r="B7" s="25">
        <f>IF(AND(B5&lt;&gt;"",B6&lt;&gt;""),MAX(0,B6-B5),"")</f>
        <v>6</v>
      </c>
    </row>
    <row r="8" spans="1:2" x14ac:dyDescent="0.2">
      <c r="A8" s="1" t="s">
        <v>68</v>
      </c>
      <c r="B8" s="26">
        <f>[0]!Uurtarief_schoonmaak</f>
        <v>50</v>
      </c>
    </row>
    <row r="9" spans="1:2" x14ac:dyDescent="0.2">
      <c r="A9" s="21" t="s">
        <v>69</v>
      </c>
      <c r="B9" s="22">
        <f>IF(AND(B7&lt;&gt;"",B8&lt;&gt;""),B7*B8,"")</f>
        <v>300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26" activePane="bottomLeft" state="frozen"/>
      <selection pane="bottomLeft" activeCell="E32" sqref="E32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8" t="s">
        <v>70</v>
      </c>
      <c r="B1" s="30"/>
      <c r="C1" s="30"/>
      <c r="D1" s="30"/>
    </row>
    <row r="3" spans="1:4" x14ac:dyDescent="0.2">
      <c r="A3" s="39" t="s">
        <v>71</v>
      </c>
      <c r="B3" s="30"/>
      <c r="C3" s="30"/>
      <c r="D3" s="30"/>
    </row>
    <row r="5" spans="1:4" ht="25" customHeight="1" x14ac:dyDescent="0.2">
      <c r="A5" s="27" t="s">
        <v>72</v>
      </c>
      <c r="B5" s="27" t="s">
        <v>73</v>
      </c>
      <c r="C5" s="27" t="s">
        <v>74</v>
      </c>
      <c r="D5" s="27" t="s">
        <v>75</v>
      </c>
    </row>
    <row r="6" spans="1:4" x14ac:dyDescent="0.2">
      <c r="A6" s="3" t="s">
        <v>94</v>
      </c>
      <c r="B6" s="28">
        <v>1</v>
      </c>
      <c r="C6" s="7">
        <v>450</v>
      </c>
      <c r="D6" s="9">
        <f t="shared" ref="D6:D37" si="0">IF(AND(B6&lt;&gt;"",C6&lt;&gt;""),B6*C6,"")</f>
        <v>450</v>
      </c>
    </row>
    <row r="7" spans="1:4" x14ac:dyDescent="0.2">
      <c r="A7" s="3" t="s">
        <v>95</v>
      </c>
      <c r="B7" s="28">
        <v>5</v>
      </c>
      <c r="C7" s="7">
        <v>120</v>
      </c>
      <c r="D7" s="9">
        <f t="shared" si="0"/>
        <v>600</v>
      </c>
    </row>
    <row r="8" spans="1:4" x14ac:dyDescent="0.2">
      <c r="A8" s="3" t="s">
        <v>96</v>
      </c>
      <c r="B8" s="28">
        <v>1</v>
      </c>
      <c r="C8" s="7">
        <v>380</v>
      </c>
      <c r="D8" s="9">
        <f t="shared" si="0"/>
        <v>380</v>
      </c>
    </row>
    <row r="9" spans="1:4" x14ac:dyDescent="0.2">
      <c r="A9" s="3" t="s">
        <v>97</v>
      </c>
      <c r="B9" s="28">
        <v>4</v>
      </c>
      <c r="C9" s="7">
        <v>95</v>
      </c>
      <c r="D9" s="9">
        <f t="shared" si="0"/>
        <v>380</v>
      </c>
    </row>
    <row r="10" spans="1:4" x14ac:dyDescent="0.2">
      <c r="A10" s="3" t="s">
        <v>98</v>
      </c>
      <c r="B10" s="28">
        <v>8</v>
      </c>
      <c r="C10" s="7">
        <v>35</v>
      </c>
      <c r="D10" s="9">
        <f t="shared" si="0"/>
        <v>280</v>
      </c>
    </row>
    <row r="11" spans="1:4" x14ac:dyDescent="0.2">
      <c r="A11" s="3" t="s">
        <v>99</v>
      </c>
      <c r="B11" s="28">
        <v>1</v>
      </c>
      <c r="C11" s="7">
        <v>520</v>
      </c>
      <c r="D11" s="9">
        <f t="shared" si="0"/>
        <v>520</v>
      </c>
    </row>
    <row r="12" spans="1:4" x14ac:dyDescent="0.2">
      <c r="A12" s="3" t="s">
        <v>100</v>
      </c>
      <c r="B12" s="28">
        <v>1</v>
      </c>
      <c r="C12" s="7">
        <v>650</v>
      </c>
      <c r="D12" s="9">
        <f t="shared" si="0"/>
        <v>650</v>
      </c>
    </row>
    <row r="13" spans="1:4" x14ac:dyDescent="0.2">
      <c r="A13" s="3" t="s">
        <v>101</v>
      </c>
      <c r="B13" s="28">
        <v>3</v>
      </c>
      <c r="C13" s="7">
        <v>85</v>
      </c>
      <c r="D13" s="9">
        <f t="shared" si="0"/>
        <v>255</v>
      </c>
    </row>
    <row r="14" spans="1:4" x14ac:dyDescent="0.2">
      <c r="A14" s="3" t="s">
        <v>102</v>
      </c>
      <c r="B14" s="28">
        <v>1</v>
      </c>
      <c r="C14" s="7">
        <v>425</v>
      </c>
      <c r="D14" s="9">
        <f t="shared" si="0"/>
        <v>425</v>
      </c>
    </row>
    <row r="15" spans="1:4" x14ac:dyDescent="0.2">
      <c r="A15" s="3" t="s">
        <v>103</v>
      </c>
      <c r="B15" s="28">
        <v>1</v>
      </c>
      <c r="C15" s="7">
        <v>280</v>
      </c>
      <c r="D15" s="9">
        <f t="shared" si="0"/>
        <v>280</v>
      </c>
    </row>
    <row r="16" spans="1:4" x14ac:dyDescent="0.2">
      <c r="A16" s="3" t="s">
        <v>104</v>
      </c>
      <c r="B16" s="28">
        <v>1</v>
      </c>
      <c r="C16" s="7">
        <v>380</v>
      </c>
      <c r="D16" s="9">
        <f t="shared" si="0"/>
        <v>380</v>
      </c>
    </row>
    <row r="17" spans="1:4" x14ac:dyDescent="0.2">
      <c r="A17" s="3" t="s">
        <v>105</v>
      </c>
      <c r="B17" s="28">
        <v>6</v>
      </c>
      <c r="C17" s="7">
        <v>55</v>
      </c>
      <c r="D17" s="9">
        <f t="shared" si="0"/>
        <v>330</v>
      </c>
    </row>
    <row r="18" spans="1:4" x14ac:dyDescent="0.2">
      <c r="A18" s="3" t="s">
        <v>106</v>
      </c>
      <c r="B18" s="28">
        <v>1</v>
      </c>
      <c r="C18" s="7">
        <v>295</v>
      </c>
      <c r="D18" s="9">
        <f t="shared" si="0"/>
        <v>295</v>
      </c>
    </row>
    <row r="19" spans="1:4" x14ac:dyDescent="0.2">
      <c r="A19" s="3" t="s">
        <v>107</v>
      </c>
      <c r="B19" s="28">
        <v>4</v>
      </c>
      <c r="C19" s="7">
        <v>75</v>
      </c>
      <c r="D19" s="9">
        <f t="shared" si="0"/>
        <v>300</v>
      </c>
    </row>
    <row r="20" spans="1:4" x14ac:dyDescent="0.2">
      <c r="A20" s="3" t="s">
        <v>108</v>
      </c>
      <c r="B20" s="28">
        <v>1</v>
      </c>
      <c r="C20" s="7">
        <v>580</v>
      </c>
      <c r="D20" s="9">
        <f t="shared" si="0"/>
        <v>580</v>
      </c>
    </row>
    <row r="21" spans="1:4" x14ac:dyDescent="0.2">
      <c r="A21" s="3" t="s">
        <v>84</v>
      </c>
      <c r="B21" s="28">
        <v>4</v>
      </c>
      <c r="C21" s="7">
        <v>30</v>
      </c>
      <c r="D21" s="9">
        <f t="shared" si="0"/>
        <v>120</v>
      </c>
    </row>
    <row r="22" spans="1:4" x14ac:dyDescent="0.2">
      <c r="A22" s="3" t="s">
        <v>85</v>
      </c>
      <c r="B22" s="28">
        <v>4</v>
      </c>
      <c r="C22" s="7">
        <v>10</v>
      </c>
      <c r="D22" s="9">
        <f t="shared" si="0"/>
        <v>40</v>
      </c>
    </row>
    <row r="23" spans="1:4" x14ac:dyDescent="0.2">
      <c r="A23" s="3"/>
      <c r="B23" s="28"/>
      <c r="C23" s="7"/>
      <c r="D23" s="9" t="str">
        <f t="shared" si="0"/>
        <v/>
      </c>
    </row>
    <row r="24" spans="1:4" x14ac:dyDescent="0.2">
      <c r="A24" s="3"/>
      <c r="B24" s="28"/>
      <c r="C24" s="7"/>
      <c r="D24" s="9" t="str">
        <f t="shared" si="0"/>
        <v/>
      </c>
    </row>
    <row r="25" spans="1:4" x14ac:dyDescent="0.2">
      <c r="A25" s="3"/>
      <c r="B25" s="28"/>
      <c r="C25" s="7"/>
      <c r="D25" s="9" t="str">
        <f t="shared" si="0"/>
        <v/>
      </c>
    </row>
    <row r="26" spans="1:4" x14ac:dyDescent="0.2">
      <c r="A26" s="3"/>
      <c r="B26" s="28"/>
      <c r="C26" s="7"/>
      <c r="D26" s="9" t="str">
        <f t="shared" si="0"/>
        <v/>
      </c>
    </row>
    <row r="27" spans="1:4" x14ac:dyDescent="0.2">
      <c r="A27" s="3"/>
      <c r="B27" s="28"/>
      <c r="C27" s="7"/>
      <c r="D27" s="9" t="str">
        <f t="shared" si="0"/>
        <v/>
      </c>
    </row>
    <row r="28" spans="1:4" x14ac:dyDescent="0.2">
      <c r="A28" s="3"/>
      <c r="B28" s="28"/>
      <c r="C28" s="7"/>
      <c r="D28" s="9" t="str">
        <f t="shared" si="0"/>
        <v/>
      </c>
    </row>
    <row r="29" spans="1:4" x14ac:dyDescent="0.2">
      <c r="A29" s="3"/>
      <c r="B29" s="28"/>
      <c r="C29" s="7"/>
      <c r="D29" s="9" t="str">
        <f t="shared" si="0"/>
        <v/>
      </c>
    </row>
    <row r="30" spans="1:4" x14ac:dyDescent="0.2">
      <c r="A30" s="3"/>
      <c r="B30" s="28"/>
      <c r="C30" s="7"/>
      <c r="D30" s="9" t="str">
        <f t="shared" si="0"/>
        <v/>
      </c>
    </row>
    <row r="31" spans="1:4" x14ac:dyDescent="0.2">
      <c r="A31" s="3"/>
      <c r="B31" s="28"/>
      <c r="C31" s="7"/>
      <c r="D31" s="9" t="str">
        <f t="shared" si="0"/>
        <v/>
      </c>
    </row>
    <row r="32" spans="1:4" x14ac:dyDescent="0.2">
      <c r="A32" s="3"/>
      <c r="B32" s="28"/>
      <c r="C32" s="7"/>
      <c r="D32" s="9" t="str">
        <f t="shared" si="0"/>
        <v/>
      </c>
    </row>
    <row r="33" spans="1:4" x14ac:dyDescent="0.2">
      <c r="A33" s="3"/>
      <c r="B33" s="28"/>
      <c r="C33" s="7"/>
      <c r="D33" s="9" t="str">
        <f t="shared" si="0"/>
        <v/>
      </c>
    </row>
    <row r="34" spans="1:4" x14ac:dyDescent="0.2">
      <c r="A34" s="3"/>
      <c r="B34" s="28"/>
      <c r="C34" s="7"/>
      <c r="D34" s="9" t="str">
        <f t="shared" si="0"/>
        <v/>
      </c>
    </row>
    <row r="35" spans="1:4" x14ac:dyDescent="0.2">
      <c r="A35" s="3"/>
      <c r="B35" s="28"/>
      <c r="C35" s="7"/>
      <c r="D35" s="9" t="str">
        <f t="shared" si="0"/>
        <v/>
      </c>
    </row>
    <row r="36" spans="1:4" x14ac:dyDescent="0.2">
      <c r="A36" s="3"/>
      <c r="B36" s="28"/>
      <c r="C36" s="7"/>
      <c r="D36" s="9" t="str">
        <f t="shared" si="0"/>
        <v/>
      </c>
    </row>
    <row r="37" spans="1:4" x14ac:dyDescent="0.2">
      <c r="A37" s="3"/>
      <c r="B37" s="28"/>
      <c r="C37" s="7"/>
      <c r="D37" s="9" t="str">
        <f t="shared" si="0"/>
        <v/>
      </c>
    </row>
    <row r="38" spans="1:4" x14ac:dyDescent="0.2">
      <c r="A38" s="3"/>
      <c r="B38" s="28"/>
      <c r="C38" s="7"/>
      <c r="D38" s="9" t="str">
        <f t="shared" ref="D38:D69" si="1">IF(AND(B38&lt;&gt;"",C38&lt;&gt;""),B38*C38,"")</f>
        <v/>
      </c>
    </row>
    <row r="39" spans="1:4" x14ac:dyDescent="0.2">
      <c r="A39" s="3"/>
      <c r="B39" s="28"/>
      <c r="C39" s="7"/>
      <c r="D39" s="9" t="str">
        <f t="shared" si="1"/>
        <v/>
      </c>
    </row>
    <row r="40" spans="1:4" x14ac:dyDescent="0.2">
      <c r="A40" s="3"/>
      <c r="B40" s="28"/>
      <c r="C40" s="7"/>
      <c r="D40" s="9" t="str">
        <f t="shared" si="1"/>
        <v/>
      </c>
    </row>
    <row r="41" spans="1:4" x14ac:dyDescent="0.2">
      <c r="A41" s="3"/>
      <c r="B41" s="28"/>
      <c r="C41" s="7"/>
      <c r="D41" s="9" t="str">
        <f t="shared" si="1"/>
        <v/>
      </c>
    </row>
    <row r="42" spans="1:4" x14ac:dyDescent="0.2">
      <c r="A42" s="3"/>
      <c r="B42" s="28"/>
      <c r="C42" s="7"/>
      <c r="D42" s="9" t="str">
        <f t="shared" si="1"/>
        <v/>
      </c>
    </row>
    <row r="43" spans="1:4" x14ac:dyDescent="0.2">
      <c r="A43" s="3"/>
      <c r="B43" s="28"/>
      <c r="C43" s="7"/>
      <c r="D43" s="9" t="str">
        <f t="shared" si="1"/>
        <v/>
      </c>
    </row>
    <row r="44" spans="1:4" x14ac:dyDescent="0.2">
      <c r="A44" s="3"/>
      <c r="B44" s="28"/>
      <c r="C44" s="7"/>
      <c r="D44" s="9" t="str">
        <f t="shared" si="1"/>
        <v/>
      </c>
    </row>
    <row r="45" spans="1:4" x14ac:dyDescent="0.2">
      <c r="A45" s="3"/>
      <c r="B45" s="28"/>
      <c r="C45" s="7"/>
      <c r="D45" s="9" t="str">
        <f t="shared" si="1"/>
        <v/>
      </c>
    </row>
    <row r="46" spans="1:4" x14ac:dyDescent="0.2">
      <c r="A46" s="3"/>
      <c r="B46" s="28"/>
      <c r="C46" s="7"/>
      <c r="D46" s="9" t="str">
        <f t="shared" si="1"/>
        <v/>
      </c>
    </row>
    <row r="47" spans="1:4" x14ac:dyDescent="0.2">
      <c r="A47" s="3"/>
      <c r="B47" s="28"/>
      <c r="C47" s="7"/>
      <c r="D47" s="9" t="str">
        <f t="shared" si="1"/>
        <v/>
      </c>
    </row>
    <row r="48" spans="1:4" x14ac:dyDescent="0.2">
      <c r="A48" s="3"/>
      <c r="B48" s="28"/>
      <c r="C48" s="7"/>
      <c r="D48" s="9" t="str">
        <f t="shared" si="1"/>
        <v/>
      </c>
    </row>
    <row r="49" spans="1:4" x14ac:dyDescent="0.2">
      <c r="A49" s="3"/>
      <c r="B49" s="28"/>
      <c r="C49" s="7"/>
      <c r="D49" s="9" t="str">
        <f t="shared" si="1"/>
        <v/>
      </c>
    </row>
    <row r="50" spans="1:4" x14ac:dyDescent="0.2">
      <c r="A50" s="3"/>
      <c r="B50" s="28"/>
      <c r="C50" s="7"/>
      <c r="D50" s="9" t="str">
        <f t="shared" si="1"/>
        <v/>
      </c>
    </row>
    <row r="51" spans="1:4" x14ac:dyDescent="0.2">
      <c r="A51" s="3"/>
      <c r="B51" s="28"/>
      <c r="C51" s="7"/>
      <c r="D51" s="9" t="str">
        <f t="shared" si="1"/>
        <v/>
      </c>
    </row>
    <row r="52" spans="1:4" x14ac:dyDescent="0.2">
      <c r="A52" s="3"/>
      <c r="B52" s="28"/>
      <c r="C52" s="7"/>
      <c r="D52" s="9" t="str">
        <f t="shared" si="1"/>
        <v/>
      </c>
    </row>
    <row r="53" spans="1:4" x14ac:dyDescent="0.2">
      <c r="A53" s="3"/>
      <c r="B53" s="28"/>
      <c r="C53" s="7"/>
      <c r="D53" s="9" t="str">
        <f t="shared" si="1"/>
        <v/>
      </c>
    </row>
    <row r="54" spans="1:4" x14ac:dyDescent="0.2">
      <c r="A54" s="3"/>
      <c r="B54" s="28"/>
      <c r="C54" s="7"/>
      <c r="D54" s="9" t="str">
        <f t="shared" si="1"/>
        <v/>
      </c>
    </row>
    <row r="55" spans="1:4" x14ac:dyDescent="0.2">
      <c r="A55" s="3"/>
      <c r="B55" s="28"/>
      <c r="C55" s="7"/>
      <c r="D55" s="9" t="str">
        <f t="shared" si="1"/>
        <v/>
      </c>
    </row>
    <row r="57" spans="1:4" x14ac:dyDescent="0.2">
      <c r="A57" s="31" t="s">
        <v>60</v>
      </c>
      <c r="B57" s="30"/>
      <c r="C57" s="30"/>
      <c r="D57" s="30"/>
    </row>
    <row r="58" spans="1:4" x14ac:dyDescent="0.2">
      <c r="A58" s="1" t="s">
        <v>76</v>
      </c>
      <c r="B58" s="9">
        <f>SUM(D6:D56)</f>
        <v>6265</v>
      </c>
    </row>
    <row r="59" spans="1:4" x14ac:dyDescent="0.2">
      <c r="A59" s="1" t="s">
        <v>62</v>
      </c>
      <c r="B59" s="9">
        <f>IF(B58="","",B58*0.21)</f>
        <v>1315.6499999999999</v>
      </c>
    </row>
    <row r="60" spans="1:4" x14ac:dyDescent="0.2">
      <c r="A60" s="21" t="s">
        <v>77</v>
      </c>
      <c r="B60" s="22">
        <f>IF(B58="","",B58+B59)</f>
        <v>7580.65</v>
      </c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34499-637D-4162-A805-7EFDC0DD1E38}">
  <ds:schemaRefs>
    <ds:schemaRef ds:uri="http://purl.org/dc/terms/"/>
    <ds:schemaRef ds:uri="http://purl.org/dc/elements/1.1/"/>
    <ds:schemaRef ds:uri="http://schemas.openxmlformats.org/package/2006/metadata/core-properties"/>
    <ds:schemaRef ds:uri="7e7f2dcd-0c2b-4478-ad05-247cf739c5b2"/>
    <ds:schemaRef ds:uri="http://purl.org/dc/dcmitype/"/>
    <ds:schemaRef ds:uri="7c6541c9-858d-46cc-aee4-1fa681dc1bd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E4BE19B-BDEC-4623-9DE1-0A382A8AA9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4F983-1269-460F-8519-360A438762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2025-11-20T16:42:17Z</dcterms:created>
  <dcterms:modified xsi:type="dcterms:W3CDTF">2025-11-21T09:24:09Z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