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"/>
    </mc:Choice>
  </mc:AlternateContent>
  <xr:revisionPtr revIDLastSave="12" documentId="8_{C2AB784B-7AE0-B940-9991-415BF61773F3}" xr6:coauthVersionLast="47" xr6:coauthVersionMax="47" xr10:uidLastSave="{3540308E-BE68-B746-9377-DA683BD85762}"/>
  <bookViews>
    <workbookView xWindow="-2220" yWindow="-21100" windowWidth="38400" windowHeight="21100" xr2:uid="{00000000-000D-0000-FFFF-FFFF00000000}"/>
  </bookViews>
  <sheets>
    <sheet name="Algemeen" sheetId="1" r:id="rId1"/>
    <sheet name="GWE_Detail" sheetId="2" r:id="rId2"/>
    <sheet name="Schoonmaak" sheetId="3" r:id="rId3"/>
    <sheet name="Schade" sheetId="4" r:id="rId4"/>
  </sheets>
  <definedNames>
    <definedName name="Aantal_dagen">Algemeen!$B$19</definedName>
    <definedName name="Borg_gebruikt">Algemeen!$B$43</definedName>
    <definedName name="Borg_terug">Algemeen!$B$44</definedName>
    <definedName name="Contactpersoon">Algemeen!$B$5</definedName>
    <definedName name="Contractnummer">Algemeen!$B$33</definedName>
    <definedName name="Email">Algemeen!$B$6</definedName>
    <definedName name="Energie_leverancier">Algemeen!$B$32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GWE_Detail!$B$26</definedName>
    <definedName name="GWE_meer_minder">Algemeen!$B$46</definedName>
    <definedName name="GWE_totaal_excl">GWE_Detail!$B$25</definedName>
    <definedName name="GWE_totaal_incl">GWE_Detail!$B$27</definedName>
    <definedName name="Inbegrepen_uren">Algemeen!$B$29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Algemeen!$B$31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Algemeen!$B$45</definedName>
    <definedName name="RR_Factuurnummer">Algemeen!$B$40</definedName>
    <definedName name="RR_Folder_link">Algemeen!$B$37</definedName>
    <definedName name="RR_Inspecteur">Algemeen!$B$39</definedName>
    <definedName name="RR_Klantnummer">Algemeen!$B$36</definedName>
    <definedName name="RR_Projectleider">Algemeen!$B$38</definedName>
    <definedName name="Schade_BTW">Schade!$B$59</definedName>
    <definedName name="Schade_totaal_excl">Schade!$B$58</definedName>
    <definedName name="Schade_totaal_incl">Schade!$B$60</definedName>
    <definedName name="Schoonmaak_pakket">Algemeen!$B$28</definedName>
    <definedName name="Telefoonnummer">Algemeen!$B$7</definedName>
    <definedName name="Totaal_eindafrekening">Algemeen!$B$47</definedName>
    <definedName name="Totaal_uren_gew">Schoonmaak!$B$6</definedName>
    <definedName name="Uitcheck_datum">Algemeen!$B$18</definedName>
    <definedName name="Unit_nr">Algemeen!$B$11</definedName>
    <definedName name="Uurtarief_schoonmaak">Algemeen!$B$30</definedName>
    <definedName name="Voorschot_borg">Algemeen!$B$22</definedName>
    <definedName name="Voorschot_GWE">Algemeen!$B$23</definedName>
    <definedName name="Voorschot_schoonmaak">Algemeen!$B$24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5" i="2"/>
  <c r="D16" i="2"/>
  <c r="D17" i="2"/>
  <c r="D18" i="2"/>
  <c r="D19" i="2"/>
  <c r="D20" i="2"/>
  <c r="D21" i="2"/>
  <c r="D22" i="2"/>
  <c r="D13" i="2"/>
  <c r="M13" i="2"/>
  <c r="M11" i="2"/>
  <c r="J21" i="2"/>
  <c r="M21" i="2" s="1"/>
  <c r="J20" i="2"/>
  <c r="M20" i="2" s="1"/>
  <c r="J18" i="2"/>
  <c r="M18" i="2" s="1"/>
  <c r="J15" i="2"/>
  <c r="M15" i="2" s="1"/>
  <c r="J14" i="2"/>
  <c r="M14" i="2" s="1"/>
  <c r="J11" i="2"/>
  <c r="M23" i="2" s="1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8" i="3"/>
  <c r="B4" i="3"/>
  <c r="B5" i="3" s="1"/>
  <c r="B7" i="3" s="1"/>
  <c r="B9" i="3" s="1"/>
  <c r="B9" i="2"/>
  <c r="B6" i="2"/>
  <c r="B29" i="1"/>
  <c r="B19" i="1"/>
  <c r="M25" i="2" l="1"/>
  <c r="M27" i="2" s="1"/>
</calcChain>
</file>

<file path=xl/sharedStrings.xml><?xml version="1.0" encoding="utf-8"?>
<sst xmlns="http://schemas.openxmlformats.org/spreadsheetml/2006/main" count="106" uniqueCount="90">
  <si>
    <t>RYANRENT EINDAFREKENING - BASISGEGEVENS</t>
  </si>
  <si>
    <t>KLANTGEGEVENS</t>
  </si>
  <si>
    <t>Naam Klant *</t>
  </si>
  <si>
    <t>Contactpersoon</t>
  </si>
  <si>
    <t>Email *</t>
  </si>
  <si>
    <t>Telefoonnummer</t>
  </si>
  <si>
    <t>OBJECTGEGEVENS</t>
  </si>
  <si>
    <t>Adres Object *</t>
  </si>
  <si>
    <t>Unit Nummer</t>
  </si>
  <si>
    <t>Postcode</t>
  </si>
  <si>
    <t>Plaats</t>
  </si>
  <si>
    <t>Object ID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</si>
  <si>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</si>
  <si>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</si>
  <si>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</si>
  <si>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</si>
  <si>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</si>
  <si>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</si>
  <si>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</si>
  <si>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Voorschot Schoonmaak *</t>
  </si>
  <si>
    <t>Overige Voorschotten</t>
  </si>
  <si>
    <t>CONTRACTGEGEVENS</t>
  </si>
  <si>
    <t>Schoonmaak Pakket *</t>
  </si>
  <si>
    <t>Inbegrepen Uren (automatisch)</t>
  </si>
  <si>
    <t>Uurtarief Schoonmaak *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</si>
  <si>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</si>
  <si>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</si>
  <si>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</si>
  <si>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</si>
  <si>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</si>
  <si>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</si>
  <si>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</si>
  <si>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</si>
  <si>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</si>
  <si>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gevuld door Python)</t>
  </si>
  <si>
    <t>← Niet handmatig invullen!</t>
  </si>
  <si>
    <t>Borg Gebruikt</t>
  </si>
  <si>
    <t>Borg Terug</t>
  </si>
  <si>
    <t>Restschade</t>
  </si>
  <si>
    <t>GWE Meer/Minder</t>
  </si>
  <si>
    <t>Totaal Eindafrekening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</si>
  <si>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</si>
  <si>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</si>
  <si>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</si>
  <si>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</si>
  <si>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</si>
  <si>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</si>
  <si>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</si>
  <si>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</si>
  <si>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KOSTENREGELS (vul hieronder de kosten in per regel)</t>
  </si>
  <si>
    <t>Omschrijving</t>
  </si>
  <si>
    <t>Verbruik/Dagen</t>
  </si>
  <si>
    <t>Tarief excl. BTW</t>
  </si>
  <si>
    <t>Kosten excl. BTW</t>
  </si>
  <si>
    <t>TOTALEN (automatisch berekend door Python)</t>
  </si>
  <si>
    <t>Totaal excl. BTW</t>
  </si>
  <si>
    <t>BTW (21%)</t>
  </si>
  <si>
    <t>Totaal incl. BTW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</si>
  <si>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</si>
  <si>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</si>
  <si>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</si>
  <si>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</si>
  <si>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</si>
  <si>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</si>
  <si>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</si>
  <si>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</si>
  <si>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</si>
  <si>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</si>
  <si>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Bedrag excl. BTW</t>
  </si>
  <si>
    <t>Totaal Schade excl. BTW</t>
  </si>
  <si>
    <t>Totaal Schade incl. BTW</t>
  </si>
  <si>
    <t>5_uur</t>
  </si>
  <si>
    <t>Stedin</t>
  </si>
  <si>
    <t>Verbruik</t>
  </si>
  <si>
    <t>Tarief (excl. BTW)</t>
  </si>
  <si>
    <t>Kosten</t>
  </si>
  <si>
    <t>Enkel tarief (tot 10.000 kwh)</t>
  </si>
  <si>
    <t>Dag(en)</t>
  </si>
  <si>
    <t>Vaste leveringskosten p/d</t>
  </si>
  <si>
    <t>Vermindering energiebelasting p/d</t>
  </si>
  <si>
    <t>Netbeheerkosten 3x25 p/d</t>
  </si>
  <si>
    <t>Gas verbruik</t>
  </si>
  <si>
    <t>Netbeheerkosten p/d</t>
  </si>
  <si>
    <t>Totaal</t>
  </si>
  <si>
    <t>BTW</t>
  </si>
  <si>
    <t>Gas Verbruik</t>
  </si>
  <si>
    <t>Vorige factuur</t>
  </si>
  <si>
    <t>deur</t>
  </si>
  <si>
    <t>kozijnen reparatie</t>
  </si>
  <si>
    <t>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</si>
</sst>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€&quot;\ * #,##0.00_ ;_ &quot;€&quot;\ * \-#,##0.00_ ;_ &quot;€&quot;\ * &quot;-&quot;??_ ;_ @_ "/>
    <numFmt numFmtId="164" formatCode="dd\-mm\-yyyy"/>
    <numFmt numFmtId="165" formatCode="\€\ #,##0.00"/>
    <numFmt numFmtId="166" formatCode="#,##0.000000_ ;\-#,##0.000000\ "/>
    <numFmt numFmtId="167" formatCode="0.0000"/>
    <numFmt numFmtId="168" formatCode="0.000000"/>
    <numFmt numFmtId="173" formatCode="#,##0.000000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4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0" fontId="4" fillId="0" borderId="0" xfId="0" applyFont="1"/>
    <xf numFmtId="165" fontId="0" fillId="5" borderId="1" xfId="0" applyNumberFormat="1" applyFill="1" applyBorder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0" fontId="6" fillId="7" borderId="1" xfId="0" applyFont="1" applyFill="1" applyBorder="1" applyAlignment="1">
      <alignment horizontal="center" vertical="center"/>
    </xf>
    <xf numFmtId="3" fontId="0" fillId="0" borderId="1" xfId="0" applyNumberFormat="1" applyBorder="1"/>
    <xf numFmtId="4" fontId="0" fillId="0" borderId="1" xfId="0" applyNumberFormat="1" applyBorder="1"/>
    <xf numFmtId="0" fontId="7" fillId="0" borderId="0" xfId="0" applyFont="1"/>
    <xf numFmtId="165" fontId="7" fillId="5" borderId="2" xfId="0" applyNumberFormat="1" applyFont="1" applyFill="1" applyBorder="1"/>
    <xf numFmtId="0" fontId="8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8" fillId="4" borderId="1" xfId="0" applyNumberFormat="1" applyFont="1" applyFill="1" applyBorder="1"/>
    <xf numFmtId="0" fontId="6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2" fillId="3" borderId="1" xfId="0" applyFont="1" applyFill="1" applyBorder="1"/>
    <xf numFmtId="0" fontId="0" fillId="0" borderId="0" xfId="0"/>
    <xf numFmtId="0" fontId="2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10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2" xfId="0" applyFont="1" applyBorder="1" applyAlignment="1" applyProtection="1">
      <alignment horizontal="right"/>
      <protection locked="0"/>
    </xf>
    <xf numFmtId="173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1" fillId="11" borderId="0" xfId="0" applyFont="1" applyFill="1" applyBorder="1" applyProtection="1">
      <protection locked="0"/>
    </xf>
    <xf numFmtId="166" fontId="11" fillId="0" borderId="0" xfId="1" applyNumberFormat="1" applyFont="1" applyBorder="1" applyAlignment="1" applyProtection="1">
      <alignment horizontal="center"/>
    </xf>
    <xf numFmtId="167" fontId="11" fillId="0" borderId="0" xfId="0" applyNumberFormat="1" applyFont="1" applyBorder="1" applyAlignment="1">
      <alignment horizontal="center"/>
    </xf>
    <xf numFmtId="166" fontId="11" fillId="0" borderId="0" xfId="1" applyNumberFormat="1" applyFont="1" applyBorder="1" applyAlignment="1">
      <alignment horizontal="center"/>
    </xf>
    <xf numFmtId="0" fontId="11" fillId="12" borderId="0" xfId="0" applyFont="1" applyFill="1" applyBorder="1"/>
    <xf numFmtId="168" fontId="11" fillId="0" borderId="0" xfId="0" applyNumberFormat="1" applyFont="1" applyBorder="1" applyAlignment="1">
      <alignment horizontal="center"/>
    </xf>
    <xf numFmtId="0" fontId="12" fillId="13" borderId="0" xfId="0" applyFont="1" applyFill="1" applyBorder="1" applyAlignment="1">
      <alignment horizontal="center"/>
    </xf>
    <xf numFmtId="2" fontId="12" fillId="13" borderId="0" xfId="0" applyNumberFormat="1" applyFont="1" applyFill="1" applyBorder="1" applyAlignment="1">
      <alignment horizontal="center"/>
    </xf>
    <xf numFmtId="2" fontId="11" fillId="0" borderId="0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7</xdr:row>
      <xdr:rowOff>38100</xdr:rowOff>
    </xdr:from>
    <xdr:to>
      <xdr:col>19</xdr:col>
      <xdr:colOff>266700</xdr:colOff>
      <xdr:row>25</xdr:row>
      <xdr:rowOff>122381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AD707-A2E6-FCAD-2AF1-7A25DF842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0900" y="1384300"/>
          <a:ext cx="7772400" cy="35132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1028700</xdr:colOff>
      <xdr:row>22</xdr:row>
      <xdr:rowOff>0</xdr:rowOff>
    </xdr:from>
    <xdr:to>
      <xdr:col>8</xdr:col>
      <xdr:colOff>0</xdr:colOff>
      <xdr:row>34</xdr:row>
      <xdr:rowOff>63500</xdr:rowOff>
    </xdr:to>
    <xdr:pic>
      <xdr:nvPicPr>
        <xdr:cNvPr id="2" name="Afbeelding 2">
          <a:extLst>
            <a:ext uri="{FF2B5EF4-FFF2-40B4-BE49-F238E27FC236}">
              <a16:creationId xmlns:a16="http://schemas.microsoft.com/office/drawing/2014/main" id="{25823A1B-4FB8-A249-8C6C-6372D1786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4127500"/>
          <a:ext cx="0" cy="1752600"/>
        </a:xfrm>
        <a:prstGeom prst="rect">
          <a:avLst/>
        </a:prstGeom>
      </xdr:spPr>
    </xdr:pic>
    <xdr:clientData/>
  </xdr:twoCellAnchor>
  <xdr:twoCellAnchor editAs="oneCell">
    <xdr:from>
      <xdr:col>5</xdr:col>
      <xdr:colOff>469900</xdr:colOff>
      <xdr:row>22</xdr:row>
      <xdr:rowOff>152400</xdr:rowOff>
    </xdr:from>
    <xdr:to>
      <xdr:col>9</xdr:col>
      <xdr:colOff>466725</xdr:colOff>
      <xdr:row>30</xdr:row>
      <xdr:rowOff>151341</xdr:rowOff>
    </xdr:to>
    <xdr:pic>
      <xdr:nvPicPr>
        <xdr:cNvPr id="4" name="Afbeelding 4">
          <a:extLst>
            <a:ext uri="{FF2B5EF4-FFF2-40B4-BE49-F238E27FC236}">
              <a16:creationId xmlns:a16="http://schemas.microsoft.com/office/drawing/2014/main" id="{E08F4661-7A64-E542-AD2B-C7A204DA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4406900"/>
          <a:ext cx="3057525" cy="1548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47"/>
  <sheetViews>
    <sheetView tabSelected="1" workbookViewId="0">
      <pane ySplit="2" topLeftCell="A3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30" t="s">
        <v>0</v>
      </c>
      <c r="B1" s="28"/>
    </row>
    <row r="3" spans="1:2" x14ac:dyDescent="0.2">
      <c r="A3" s="27" t="s">
        <v>1</v>
      </c>
      <c r="B3" s="28"/>
    </row>
    <row r="4" spans="1:2" x14ac:dyDescent="0.2">
      <c r="A4" s="1" t="s">
        <v>2</v>
      </c>
      <c r="B4" s="2"/>
    </row>
    <row r="5" spans="1:2" x14ac:dyDescent="0.2">
      <c r="A5" s="1" t="s">
        <v>3</v>
      </c>
      <c r="B5" s="3"/>
    </row>
    <row r="6" spans="1:2" x14ac:dyDescent="0.2">
      <c r="A6" s="1" t="s">
        <v>4</v>
      </c>
      <c r="B6" s="2"/>
    </row>
    <row r="7" spans="1:2" x14ac:dyDescent="0.2">
      <c r="A7" s="1" t="s">
        <v>5</v>
      </c>
      <c r="B7" s="3"/>
    </row>
    <row r="9" spans="1:2" x14ac:dyDescent="0.2">
      <c r="A9" s="27" t="s">
        <v>6</v>
      </c>
      <c r="B9" s="28"/>
    </row>
    <row r="10" spans="1:2" x14ac:dyDescent="0.2">
      <c r="A10" s="1" t="s">
        <v>7</v>
      </c>
      <c r="B10" s="2"/>
    </row>
    <row r="11" spans="1:2" x14ac:dyDescent="0.2">
      <c r="A11" s="1" t="s">
        <v>8</v>
      </c>
      <c r="B11" s="3"/>
    </row>
    <row r="12" spans="1:2" x14ac:dyDescent="0.2">
      <c r="A12" s="1" t="s">
        <v>9</v>
      </c>
      <c r="B12" s="3"/>
    </row>
    <row r="13" spans="1:2" x14ac:dyDescent="0.2">
      <c r="A13" s="1" t="s">
        <v>10</v>
      </c>
      <c r="B13" s="3"/>
    </row>
    <row r="14" spans="1:2" x14ac:dyDescent="0.2">
      <c r="A14" s="1" t="s">
        <v>11</v>
      </c>
      <c r="B14" s="3"/>
    </row>
    <row r="16" spans="1:2" x14ac:dyDescent="0.2">
      <c r="A16" s="27" t="s">
        <v>12</v>
      </c>
      <c r="B16" s="28"/>
    </row>
    <row r="17" spans="1:2" x14ac:dyDescent="0.2">
      <c r="A17" s="1" t="s">
        <v>13</v>
      </c>
      <c r="B17" s="4"/>
    </row>
    <row r="18" spans="1:2" x14ac:dyDescent="0.2">
      <c r="A18" s="1" t="s">
        <v>14</v>
      </c>
      <c r="B18" s="4"/>
    </row>
    <row r="19" spans="1:2" x14ac:dyDescent="0.2">
      <c r="A19" s="1" t="s">
        <v>15</v>
      </c>
      <c r="B19" s="5" t="str">
        <f>IF(AND(B17&lt;&gt;"",B18&lt;&gt;""),B18-B17,"")</f>
        <v/>
      </c>
    </row>
    <row r="21" spans="1:2" x14ac:dyDescent="0.2">
      <c r="A21" s="27" t="s">
        <v>16</v>
      </c>
      <c r="B21" s="28"/>
    </row>
    <row r="22" spans="1:2" x14ac:dyDescent="0.2">
      <c r="A22" s="1" t="s">
        <v>17</v>
      </c>
      <c r="B22" s="6"/>
    </row>
    <row r="23" spans="1:2" x14ac:dyDescent="0.2">
      <c r="A23" s="1" t="s">
        <v>18</v>
      </c>
      <c r="B23" s="6"/>
    </row>
    <row r="24" spans="1:2" x14ac:dyDescent="0.2">
      <c r="A24" s="1" t="s">
        <v>19</v>
      </c>
      <c r="B24" s="6"/>
    </row>
    <row r="25" spans="1:2" x14ac:dyDescent="0.2">
      <c r="A25" s="1" t="s">
        <v>20</v>
      </c>
      <c r="B25" s="7">
        <v>0</v>
      </c>
    </row>
    <row r="27" spans="1:2" x14ac:dyDescent="0.2">
      <c r="A27" s="27" t="s">
        <v>21</v>
      </c>
      <c r="B27" s="28"/>
    </row>
    <row r="28" spans="1:2" x14ac:dyDescent="0.2">
      <c r="A28" s="1" t="s">
        <v>22</v>
      </c>
      <c r="B28" s="2" t="s">
        <v>71</v>
      </c>
    </row>
    <row r="29" spans="1:2" x14ac:dyDescent="0.2">
      <c r="A29" s="1" t="s">
        <v>23</v>
      </c>
      <c r="B29" s="5">
        <f>IF(B28="5_uur",5,IF(B28="7_uur",7,""))</f>
        <v>5</v>
      </c>
    </row>
    <row r="30" spans="1:2" x14ac:dyDescent="0.2">
      <c r="A30" s="1" t="s">
        <v>24</v>
      </c>
      <c r="B30" s="6">
        <v>50</v>
      </c>
    </row>
    <row r="31" spans="1:2" x14ac:dyDescent="0.2">
      <c r="A31" s="1" t="s">
        <v>25</v>
      </c>
      <c r="B31" s="3"/>
    </row>
    <row r="32" spans="1:2" x14ac:dyDescent="0.2">
      <c r="A32" s="1" t="s">
        <v>26</v>
      </c>
      <c r="B32" s="3"/>
    </row>
    <row r="33" spans="1:3" x14ac:dyDescent="0.2">
      <c r="A33" s="1" t="s">
        <v>27</v>
      </c>
      <c r="B33" s="3"/>
    </row>
    <row r="35" spans="1:3" x14ac:dyDescent="0.2">
      <c r="A35" s="27" t="s">
        <v>28</v>
      </c>
      <c r="B35" s="28"/>
    </row>
    <row r="36" spans="1:3" x14ac:dyDescent="0.2">
      <c r="A36" s="1" t="s">
        <v>29</v>
      </c>
      <c r="B36" s="3"/>
    </row>
    <row r="37" spans="1:3" x14ac:dyDescent="0.2">
      <c r="A37" s="1" t="s">
        <v>30</v>
      </c>
      <c r="B37" s="3"/>
    </row>
    <row r="38" spans="1:3" x14ac:dyDescent="0.2">
      <c r="A38" s="1" t="s">
        <v>31</v>
      </c>
      <c r="B38" s="3"/>
    </row>
    <row r="39" spans="1:3" x14ac:dyDescent="0.2">
      <c r="A39" s="1" t="s">
        <v>32</v>
      </c>
      <c r="B39" s="3"/>
    </row>
    <row r="40" spans="1:3" x14ac:dyDescent="0.2">
      <c r="A40" s="1" t="s">
        <v>33</v>
      </c>
      <c r="B40" s="3"/>
    </row>
    <row r="42" spans="1:3" x14ac:dyDescent="0.2">
      <c r="A42" s="29" t="s">
        <v>34</v>
      </c>
      <c r="B42" s="28"/>
      <c r="C42" s="8" t="s">
        <v>35</v>
      </c>
    </row>
    <row r="43" spans="1:3" x14ac:dyDescent="0.2">
      <c r="A43" s="1" t="s">
        <v>36</v>
      </c>
      <c r="B43" s="9"/>
    </row>
    <row r="44" spans="1:3" x14ac:dyDescent="0.2">
      <c r="A44" s="1" t="s">
        <v>37</v>
      </c>
      <c r="B44" s="9"/>
    </row>
    <row r="45" spans="1:3" x14ac:dyDescent="0.2">
      <c r="A45" s="1" t="s">
        <v>38</v>
      </c>
      <c r="B45" s="9"/>
    </row>
    <row r="46" spans="1:3" x14ac:dyDescent="0.2">
      <c r="A46" s="1" t="s">
        <v>39</v>
      </c>
      <c r="B46" s="9"/>
    </row>
    <row r="47" spans="1:3" x14ac:dyDescent="0.2">
      <c r="A47" s="10" t="s">
        <v>40</v>
      </c>
      <c r="B47" s="11"/>
    </row>
  </sheetData>
  <mergeCells count="8">
    <mergeCell ref="A21:B21"/>
    <mergeCell ref="A16:B16"/>
    <mergeCell ref="A42:B42"/>
    <mergeCell ref="A1:B1"/>
    <mergeCell ref="A9:B9"/>
    <mergeCell ref="A27:B27"/>
    <mergeCell ref="A3:B3"/>
    <mergeCell ref="A35:B35"/>
  </mergeCells>
  <dataValidations count="1">
    <dataValidation type="list" errorTitle="Ongeldige invoer" error="Kies 5_uur of 7_uur" sqref="B28" xr:uid="{00000000-0002-0000-0000-000000000000}">
      <formula1>"5_uur,7_uur"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N32"/>
  <sheetViews>
    <sheetView workbookViewId="0">
      <pane ySplit="5" topLeftCell="A6" activePane="bottomLeft" state="frozen"/>
      <selection pane="bottomLeft" activeCell="C31" sqref="C31"/>
    </sheetView>
  </sheetViews>
  <sheetFormatPr baseColWidth="10" defaultColWidth="8.83203125" defaultRowHeight="15" x14ac:dyDescent="0.2"/>
  <cols>
    <col min="1" max="1" width="30" customWidth="1"/>
    <col min="2" max="4" width="20" customWidth="1"/>
    <col min="6" max="6" width="13.6640625" customWidth="1"/>
    <col min="10" max="10" width="9" bestFit="1" customWidth="1"/>
    <col min="12" max="12" width="16.33203125" bestFit="1" customWidth="1"/>
    <col min="13" max="13" width="15.83203125" bestFit="1" customWidth="1"/>
  </cols>
  <sheetData>
    <row r="1" spans="1:14" ht="16" x14ac:dyDescent="0.2">
      <c r="A1" s="31" t="s">
        <v>41</v>
      </c>
      <c r="B1" s="28"/>
      <c r="C1" s="28"/>
      <c r="D1" s="28"/>
    </row>
    <row r="3" spans="1:14" x14ac:dyDescent="0.2">
      <c r="A3" s="32" t="s">
        <v>42</v>
      </c>
      <c r="B3" s="28"/>
      <c r="C3" s="28"/>
      <c r="D3" s="28"/>
    </row>
    <row r="4" spans="1:14" x14ac:dyDescent="0.2">
      <c r="A4" s="1" t="s">
        <v>43</v>
      </c>
      <c r="B4" s="12">
        <v>1222</v>
      </c>
    </row>
    <row r="5" spans="1:14" x14ac:dyDescent="0.2">
      <c r="A5" s="1" t="s">
        <v>44</v>
      </c>
      <c r="B5" s="12">
        <v>1345</v>
      </c>
    </row>
    <row r="6" spans="1:14" ht="16" thickBot="1" x14ac:dyDescent="0.25">
      <c r="A6" s="1" t="s">
        <v>45</v>
      </c>
      <c r="B6" s="13">
        <f>IF(AND(B4&lt;&gt;"",B5&lt;&gt;""),B5-B4,"")</f>
        <v>123</v>
      </c>
    </row>
    <row r="7" spans="1:14" x14ac:dyDescent="0.2">
      <c r="A7" s="1" t="s">
        <v>46</v>
      </c>
      <c r="B7" s="14">
        <v>456</v>
      </c>
      <c r="F7" s="39" t="s">
        <v>86</v>
      </c>
      <c r="G7" s="40"/>
      <c r="H7" s="40"/>
      <c r="I7" s="40"/>
      <c r="J7" s="40"/>
      <c r="K7" s="40"/>
      <c r="L7" s="40"/>
      <c r="M7" s="40"/>
      <c r="N7" s="41"/>
    </row>
    <row r="8" spans="1:14" ht="16" thickBot="1" x14ac:dyDescent="0.25">
      <c r="A8" s="1" t="s">
        <v>47</v>
      </c>
      <c r="B8" s="14">
        <v>678</v>
      </c>
      <c r="F8" s="42"/>
      <c r="G8" s="43"/>
      <c r="H8" s="43"/>
      <c r="I8" s="43"/>
      <c r="J8" s="43"/>
      <c r="K8" s="43"/>
      <c r="L8" s="43"/>
      <c r="M8" s="43"/>
      <c r="N8" s="44"/>
    </row>
    <row r="9" spans="1:14" ht="16" thickBot="1" x14ac:dyDescent="0.25">
      <c r="A9" s="1" t="s">
        <v>48</v>
      </c>
      <c r="B9" s="15">
        <f>IF(AND(B7&lt;&gt;"",B8&lt;&gt;""),B8-B7,"")</f>
        <v>222</v>
      </c>
      <c r="F9" s="42"/>
      <c r="G9" s="43"/>
      <c r="H9" s="37" t="s">
        <v>72</v>
      </c>
      <c r="I9" s="45"/>
      <c r="J9" s="46" t="s">
        <v>73</v>
      </c>
      <c r="K9" s="46"/>
      <c r="L9" s="47" t="s">
        <v>74</v>
      </c>
      <c r="M9" s="47" t="s">
        <v>75</v>
      </c>
      <c r="N9" s="44"/>
    </row>
    <row r="10" spans="1:14" x14ac:dyDescent="0.2">
      <c r="F10" s="42"/>
      <c r="G10" s="43"/>
      <c r="H10" s="45"/>
      <c r="I10" s="45"/>
      <c r="J10" s="46"/>
      <c r="K10" s="46"/>
      <c r="L10" s="47"/>
      <c r="M10" s="47"/>
      <c r="N10" s="44"/>
    </row>
    <row r="11" spans="1:14" x14ac:dyDescent="0.2">
      <c r="A11" s="32" t="s">
        <v>49</v>
      </c>
      <c r="B11" s="28"/>
      <c r="C11" s="28"/>
      <c r="D11" s="28"/>
      <c r="F11" s="42"/>
      <c r="G11" s="43"/>
      <c r="H11" s="45" t="s">
        <v>76</v>
      </c>
      <c r="I11" s="45"/>
      <c r="J11" s="48">
        <f>7947+4797-6475-3899</f>
        <v>2370</v>
      </c>
      <c r="K11" s="46"/>
      <c r="L11" s="49">
        <v>0.27169300000000002</v>
      </c>
      <c r="M11" s="50">
        <f>J11*L11</f>
        <v>643.91241000000002</v>
      </c>
      <c r="N11" s="44"/>
    </row>
    <row r="12" spans="1:14" x14ac:dyDescent="0.2">
      <c r="A12" s="16" t="s">
        <v>50</v>
      </c>
      <c r="B12" s="16" t="s">
        <v>51</v>
      </c>
      <c r="C12" s="16" t="s">
        <v>52</v>
      </c>
      <c r="D12" s="16" t="s">
        <v>53</v>
      </c>
      <c r="F12" s="42"/>
      <c r="G12" s="43"/>
      <c r="H12" s="45"/>
      <c r="I12" s="45"/>
      <c r="J12" s="46" t="s">
        <v>77</v>
      </c>
      <c r="K12" s="46"/>
      <c r="L12" s="51"/>
      <c r="M12" s="47"/>
      <c r="N12" s="44"/>
    </row>
    <row r="13" spans="1:14" x14ac:dyDescent="0.2">
      <c r="A13" s="3" t="s">
        <v>76</v>
      </c>
      <c r="B13" s="18">
        <v>2370</v>
      </c>
      <c r="C13" s="38">
        <v>0.27169300000000002</v>
      </c>
      <c r="D13" s="18">
        <f>B13*C13</f>
        <v>643.91241000000002</v>
      </c>
      <c r="F13" s="42"/>
      <c r="G13" s="43"/>
      <c r="H13" s="45" t="s">
        <v>78</v>
      </c>
      <c r="I13" s="45"/>
      <c r="J13" s="48">
        <v>395</v>
      </c>
      <c r="K13" s="46"/>
      <c r="L13" s="51">
        <v>0.39780799999999999</v>
      </c>
      <c r="M13" s="50">
        <f>J13*L13</f>
        <v>157.13416000000001</v>
      </c>
      <c r="N13" s="44"/>
    </row>
    <row r="14" spans="1:14" x14ac:dyDescent="0.2">
      <c r="A14" s="3" t="s">
        <v>78</v>
      </c>
      <c r="B14" s="18">
        <v>395</v>
      </c>
      <c r="C14" s="38">
        <v>0.39780799999999999</v>
      </c>
      <c r="D14" s="18">
        <f t="shared" ref="D14:D22" si="0">B14*C14</f>
        <v>157.13416000000001</v>
      </c>
      <c r="F14" s="42"/>
      <c r="G14" s="43"/>
      <c r="H14" s="45" t="s">
        <v>79</v>
      </c>
      <c r="I14" s="45"/>
      <c r="J14" s="52">
        <f>$C$5</f>
        <v>0</v>
      </c>
      <c r="K14" s="46"/>
      <c r="L14" s="51">
        <v>-1.740245</v>
      </c>
      <c r="M14" s="50">
        <f t="shared" ref="M13:M15" si="1">J14*L14</f>
        <v>0</v>
      </c>
      <c r="N14" s="44"/>
    </row>
    <row r="15" spans="1:14" x14ac:dyDescent="0.2">
      <c r="A15" s="3" t="s">
        <v>79</v>
      </c>
      <c r="B15" s="18">
        <v>0</v>
      </c>
      <c r="C15" s="38">
        <v>-1.740245</v>
      </c>
      <c r="D15" s="18">
        <f t="shared" si="0"/>
        <v>0</v>
      </c>
      <c r="F15" s="42"/>
      <c r="G15" s="43"/>
      <c r="H15" s="45" t="s">
        <v>80</v>
      </c>
      <c r="I15" s="45"/>
      <c r="J15" s="52">
        <f>$C$5</f>
        <v>0</v>
      </c>
      <c r="K15" s="46"/>
      <c r="L15" s="53">
        <v>1.3038959999999999</v>
      </c>
      <c r="M15" s="50">
        <f t="shared" si="1"/>
        <v>0</v>
      </c>
      <c r="N15" s="44"/>
    </row>
    <row r="16" spans="1:14" ht="16" thickBot="1" x14ac:dyDescent="0.25">
      <c r="A16" s="3" t="s">
        <v>80</v>
      </c>
      <c r="B16" s="18">
        <v>0</v>
      </c>
      <c r="C16" s="38">
        <v>1.3038959999999999</v>
      </c>
      <c r="D16" s="18">
        <f t="shared" si="0"/>
        <v>0</v>
      </c>
      <c r="F16" s="42"/>
      <c r="G16" s="43"/>
      <c r="H16" s="45"/>
      <c r="I16" s="45"/>
      <c r="J16" s="46"/>
      <c r="K16" s="46"/>
      <c r="L16" s="47"/>
      <c r="M16" s="47"/>
      <c r="N16" s="44"/>
    </row>
    <row r="17" spans="1:14" ht="16" thickBot="1" x14ac:dyDescent="0.25">
      <c r="A17" s="3" t="s">
        <v>85</v>
      </c>
      <c r="B17" s="18">
        <v>1467</v>
      </c>
      <c r="C17" s="38">
        <v>1.272146</v>
      </c>
      <c r="D17" s="18">
        <f t="shared" si="0"/>
        <v>1866.2381820000001</v>
      </c>
      <c r="F17" s="42"/>
      <c r="G17" s="43"/>
      <c r="H17" s="37" t="s">
        <v>72</v>
      </c>
      <c r="I17" s="45"/>
      <c r="J17" s="46" t="s">
        <v>73</v>
      </c>
      <c r="K17" s="46"/>
      <c r="L17" s="47"/>
      <c r="M17" s="47"/>
      <c r="N17" s="44"/>
    </row>
    <row r="18" spans="1:14" x14ac:dyDescent="0.2">
      <c r="A18" s="3" t="s">
        <v>78</v>
      </c>
      <c r="B18" s="18">
        <v>0</v>
      </c>
      <c r="C18" s="38">
        <v>0.29835600000000001</v>
      </c>
      <c r="D18" s="18">
        <f t="shared" si="0"/>
        <v>0</v>
      </c>
      <c r="F18" s="42"/>
      <c r="G18" s="43"/>
      <c r="H18" s="45" t="s">
        <v>81</v>
      </c>
      <c r="I18" s="45"/>
      <c r="J18" s="48">
        <f>8779-7312</f>
        <v>1467</v>
      </c>
      <c r="K18" s="46"/>
      <c r="L18" s="51">
        <v>1.272146</v>
      </c>
      <c r="M18" s="50">
        <f>J18*L18</f>
        <v>1866.2381820000001</v>
      </c>
      <c r="N18" s="44"/>
    </row>
    <row r="19" spans="1:14" x14ac:dyDescent="0.2">
      <c r="A19" s="3" t="s">
        <v>82</v>
      </c>
      <c r="B19" s="18">
        <v>0</v>
      </c>
      <c r="C19" s="38">
        <v>0.67421200000000003</v>
      </c>
      <c r="D19" s="18">
        <f t="shared" si="0"/>
        <v>0</v>
      </c>
      <c r="F19" s="42"/>
      <c r="G19" s="43"/>
      <c r="H19" s="45"/>
      <c r="I19" s="45"/>
      <c r="J19" s="46" t="s">
        <v>77</v>
      </c>
      <c r="K19" s="46"/>
      <c r="L19" s="47"/>
      <c r="M19" s="47"/>
      <c r="N19" s="44"/>
    </row>
    <row r="20" spans="1:14" x14ac:dyDescent="0.2">
      <c r="B20" s="18"/>
      <c r="C20" s="18"/>
      <c r="D20" s="18">
        <f t="shared" si="0"/>
        <v>0</v>
      </c>
      <c r="F20" s="42"/>
      <c r="G20" s="43"/>
      <c r="H20" s="45" t="s">
        <v>78</v>
      </c>
      <c r="I20" s="45"/>
      <c r="J20" s="52">
        <f t="shared" ref="J20:J21" si="2">$C$5</f>
        <v>0</v>
      </c>
      <c r="K20" s="46"/>
      <c r="L20" s="51">
        <v>0.29835600000000001</v>
      </c>
      <c r="M20" s="50">
        <f t="shared" ref="M20:M21" si="3">J20*L20</f>
        <v>0</v>
      </c>
      <c r="N20" s="44"/>
    </row>
    <row r="21" spans="1:14" x14ac:dyDescent="0.2">
      <c r="A21" s="3"/>
      <c r="B21" s="17"/>
      <c r="C21" s="18"/>
      <c r="D21" s="18">
        <f t="shared" si="0"/>
        <v>0</v>
      </c>
      <c r="F21" s="42"/>
      <c r="G21" s="43"/>
      <c r="H21" s="45" t="s">
        <v>82</v>
      </c>
      <c r="I21" s="45"/>
      <c r="J21" s="52">
        <f t="shared" si="2"/>
        <v>0</v>
      </c>
      <c r="K21" s="46"/>
      <c r="L21" s="53">
        <v>0.67421200000000003</v>
      </c>
      <c r="M21" s="50">
        <f t="shared" si="3"/>
        <v>0</v>
      </c>
      <c r="N21" s="44"/>
    </row>
    <row r="22" spans="1:14" x14ac:dyDescent="0.2">
      <c r="A22" s="3"/>
      <c r="B22" s="17"/>
      <c r="C22" s="18"/>
      <c r="D22" s="18">
        <f t="shared" si="0"/>
        <v>0</v>
      </c>
      <c r="F22" s="42"/>
      <c r="G22" s="43"/>
      <c r="H22" s="45"/>
      <c r="I22" s="45"/>
      <c r="J22" s="46"/>
      <c r="K22" s="46"/>
      <c r="L22" s="47"/>
      <c r="M22" s="47"/>
      <c r="N22" s="44"/>
    </row>
    <row r="23" spans="1:14" x14ac:dyDescent="0.2">
      <c r="F23" s="42"/>
      <c r="G23" s="43"/>
      <c r="H23" s="45"/>
      <c r="I23" s="45"/>
      <c r="J23" s="46"/>
      <c r="K23" s="46"/>
      <c r="L23" s="54" t="s">
        <v>83</v>
      </c>
      <c r="M23" s="55">
        <f>SUM(M11:M21)</f>
        <v>2667.284752</v>
      </c>
      <c r="N23" s="44"/>
    </row>
    <row r="24" spans="1:14" x14ac:dyDescent="0.2">
      <c r="A24" s="29" t="s">
        <v>54</v>
      </c>
      <c r="B24" s="28"/>
      <c r="C24" s="28"/>
      <c r="D24" s="28"/>
      <c r="F24" s="42"/>
      <c r="G24" s="43"/>
      <c r="H24" s="45"/>
      <c r="I24" s="45"/>
      <c r="J24" s="46"/>
      <c r="K24" s="46"/>
      <c r="L24" s="47"/>
      <c r="M24" s="47"/>
      <c r="N24" s="44"/>
    </row>
    <row r="25" spans="1:14" x14ac:dyDescent="0.2">
      <c r="A25" s="1" t="s">
        <v>55</v>
      </c>
      <c r="B25" s="9"/>
      <c r="F25" s="42"/>
      <c r="G25" s="43"/>
      <c r="H25" s="45"/>
      <c r="I25" s="45"/>
      <c r="J25" s="46"/>
      <c r="K25" s="46"/>
      <c r="L25" s="47" t="s">
        <v>84</v>
      </c>
      <c r="M25" s="56">
        <f>M23*0.21</f>
        <v>560.12979791999999</v>
      </c>
      <c r="N25" s="44"/>
    </row>
    <row r="26" spans="1:14" ht="16" thickBot="1" x14ac:dyDescent="0.25">
      <c r="A26" s="1" t="s">
        <v>56</v>
      </c>
      <c r="B26" s="9"/>
      <c r="F26" s="42"/>
      <c r="G26" s="43"/>
      <c r="H26" s="45"/>
      <c r="I26" s="45"/>
      <c r="J26" s="46"/>
      <c r="K26" s="46"/>
      <c r="L26" s="47"/>
      <c r="M26" s="47"/>
      <c r="N26" s="44"/>
    </row>
    <row r="27" spans="1:14" ht="16" thickBot="1" x14ac:dyDescent="0.25">
      <c r="A27" s="19" t="s">
        <v>57</v>
      </c>
      <c r="B27" s="20"/>
      <c r="F27" s="42"/>
      <c r="G27" s="43"/>
      <c r="H27" s="45"/>
      <c r="I27" s="45"/>
      <c r="J27" s="46"/>
      <c r="K27" s="46"/>
      <c r="L27" s="54" t="s">
        <v>83</v>
      </c>
      <c r="M27" s="55">
        <f>SUM(M23:M25)+0.01</f>
        <v>3227.4245499200001</v>
      </c>
      <c r="N27" s="44"/>
    </row>
    <row r="28" spans="1:14" x14ac:dyDescent="0.2">
      <c r="F28" s="42"/>
      <c r="G28" s="43"/>
      <c r="H28" s="45"/>
      <c r="I28" s="45"/>
      <c r="J28" s="46"/>
      <c r="K28" s="46"/>
      <c r="L28" s="47"/>
      <c r="M28" s="47"/>
      <c r="N28" s="44"/>
    </row>
    <row r="29" spans="1:14" x14ac:dyDescent="0.2">
      <c r="F29" s="42"/>
      <c r="G29" s="43"/>
      <c r="H29" s="43"/>
      <c r="I29" s="43"/>
      <c r="J29" s="43"/>
      <c r="K29" s="43"/>
      <c r="L29" s="43"/>
      <c r="M29" s="43"/>
      <c r="N29" s="44"/>
    </row>
    <row r="30" spans="1:14" x14ac:dyDescent="0.2">
      <c r="F30" s="42"/>
      <c r="G30" s="43"/>
      <c r="H30" s="43"/>
      <c r="I30" s="43"/>
      <c r="J30" s="43"/>
      <c r="K30" s="43"/>
      <c r="L30" s="43"/>
      <c r="M30" s="43"/>
      <c r="N30" s="44"/>
    </row>
    <row r="31" spans="1:14" x14ac:dyDescent="0.2">
      <c r="F31" s="42"/>
      <c r="G31" s="43"/>
      <c r="H31" s="43"/>
      <c r="I31" s="43"/>
      <c r="J31" s="43"/>
      <c r="K31" s="43"/>
      <c r="L31" s="43"/>
      <c r="M31" s="43"/>
      <c r="N31" s="44"/>
    </row>
    <row r="32" spans="1:14" ht="16" thickBot="1" x14ac:dyDescent="0.25">
      <c r="F32" s="57"/>
      <c r="G32" s="58"/>
      <c r="H32" s="58"/>
      <c r="I32" s="58"/>
      <c r="J32" s="58"/>
      <c r="K32" s="58"/>
      <c r="L32" s="58"/>
      <c r="M32" s="58"/>
      <c r="N32" s="59"/>
    </row>
  </sheetData>
  <mergeCells count="4">
    <mergeCell ref="A1:D1"/>
    <mergeCell ref="A24:D24"/>
    <mergeCell ref="A3:D3"/>
    <mergeCell ref="A11:D11"/>
  </mergeCells>
  <dataValidations count="1">
    <dataValidation type="list" allowBlank="1" showInputMessage="1" showErrorMessage="1" sqref="H9 H17" xr:uid="{6C875A47-8172-934D-B983-25D047B6E23D}">
      <formula1>ENERGIE</formula1>
    </dataValidation>
  </dataValidations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4" t="s">
        <v>58</v>
      </c>
      <c r="B1" s="28"/>
    </row>
    <row r="3" spans="1:2" x14ac:dyDescent="0.2">
      <c r="A3" s="33" t="s">
        <v>59</v>
      </c>
      <c r="B3" s="28"/>
    </row>
    <row r="4" spans="1:2" x14ac:dyDescent="0.2">
      <c r="A4" s="1" t="s">
        <v>22</v>
      </c>
      <c r="B4" s="21" t="str">
        <f>[0]!Schoonmaak_pakket</f>
        <v>5_uur</v>
      </c>
    </row>
    <row r="5" spans="1:2" x14ac:dyDescent="0.2">
      <c r="A5" s="1" t="s">
        <v>23</v>
      </c>
      <c r="B5" s="5">
        <f>IF(B4="5_uur",5,IF(B4="7_uur",7,""))</f>
        <v>5</v>
      </c>
    </row>
    <row r="6" spans="1:2" x14ac:dyDescent="0.2">
      <c r="A6" s="1" t="s">
        <v>60</v>
      </c>
      <c r="B6" s="22">
        <v>15</v>
      </c>
    </row>
    <row r="7" spans="1:2" x14ac:dyDescent="0.2">
      <c r="A7" s="1" t="s">
        <v>61</v>
      </c>
      <c r="B7" s="23">
        <f>IF(AND(B5&lt;&gt;"",B6&lt;&gt;""),MAX(0,B6-B5),"")</f>
        <v>10</v>
      </c>
    </row>
    <row r="8" spans="1:2" x14ac:dyDescent="0.2">
      <c r="A8" s="1" t="s">
        <v>62</v>
      </c>
      <c r="B8" s="24">
        <f>[0]!Uurtarief_schoonmaak</f>
        <v>50</v>
      </c>
    </row>
    <row r="9" spans="1:2" x14ac:dyDescent="0.2">
      <c r="A9" s="19" t="s">
        <v>63</v>
      </c>
      <c r="B9" s="20">
        <f>IF(AND(B7&lt;&gt;"",B8&lt;&gt;""),B7*B8,"")</f>
        <v>500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04D"/>
  </sheetPr>
  <dimension ref="A1:D60"/>
  <sheetViews>
    <sheetView workbookViewId="0">
      <pane ySplit="5" topLeftCell="A6" activePane="bottomLeft" state="frozen"/>
      <selection pane="bottomLeft" activeCell="B58" sqref="B58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</cols>
  <sheetData>
    <row r="1" spans="1:4" ht="16" x14ac:dyDescent="0.2">
      <c r="A1" s="35" t="s">
        <v>64</v>
      </c>
      <c r="B1" s="28"/>
      <c r="C1" s="28"/>
      <c r="D1" s="28"/>
    </row>
    <row r="3" spans="1:4" x14ac:dyDescent="0.2">
      <c r="A3" s="36" t="s">
        <v>65</v>
      </c>
      <c r="B3" s="28"/>
      <c r="C3" s="28"/>
      <c r="D3" s="28"/>
    </row>
    <row r="5" spans="1:4" ht="25" customHeight="1" x14ac:dyDescent="0.2">
      <c r="A5" s="25" t="s">
        <v>66</v>
      </c>
      <c r="B5" s="25" t="s">
        <v>67</v>
      </c>
      <c r="C5" s="25" t="s">
        <v>52</v>
      </c>
      <c r="D5" s="25" t="s">
        <v>68</v>
      </c>
    </row>
    <row r="6" spans="1:4" x14ac:dyDescent="0.2">
      <c r="A6" s="3" t="s">
        <v>87</v>
      </c>
      <c r="B6" s="26">
        <v>2</v>
      </c>
      <c r="C6" s="7">
        <v>150</v>
      </c>
      <c r="D6" s="9">
        <f t="shared" ref="D6:D37" si="0">IF(AND(B6&lt;&gt;"",C6&lt;&gt;""),B6*C6,"")</f>
        <v>300</v>
      </c>
    </row>
    <row r="7" spans="1:4" x14ac:dyDescent="0.2">
      <c r="A7" s="3" t="s">
        <v>88</v>
      </c>
      <c r="B7" s="26">
        <v>5</v>
      </c>
      <c r="C7" s="7">
        <v>30</v>
      </c>
      <c r="D7" s="9">
        <f t="shared" si="0"/>
        <v>150</v>
      </c>
    </row>
    <row r="8" spans="1:4" x14ac:dyDescent="0.2">
      <c r="A8" s="3" t="s">
        <v>89</v>
      </c>
      <c r="B8" s="26">
        <v>4</v>
      </c>
      <c r="C8" s="7">
        <v>50</v>
      </c>
      <c r="D8" s="9">
        <f t="shared" si="0"/>
        <v>200</v>
      </c>
    </row>
    <row r="9" spans="1:4" x14ac:dyDescent="0.2">
      <c r="A9" s="3"/>
      <c r="B9" s="26"/>
      <c r="C9" s="7"/>
      <c r="D9" s="9" t="str">
        <f t="shared" si="0"/>
        <v/>
      </c>
    </row>
    <row r="10" spans="1:4" x14ac:dyDescent="0.2">
      <c r="A10" s="3"/>
      <c r="B10" s="26"/>
      <c r="C10" s="7"/>
      <c r="D10" s="9" t="str">
        <f t="shared" si="0"/>
        <v/>
      </c>
    </row>
    <row r="11" spans="1:4" x14ac:dyDescent="0.2">
      <c r="A11" s="3"/>
      <c r="B11" s="26"/>
      <c r="C11" s="7"/>
      <c r="D11" s="9" t="str">
        <f t="shared" si="0"/>
        <v/>
      </c>
    </row>
    <row r="12" spans="1:4" x14ac:dyDescent="0.2">
      <c r="A12" s="3"/>
      <c r="B12" s="26"/>
      <c r="C12" s="7"/>
      <c r="D12" s="9" t="str">
        <f t="shared" si="0"/>
        <v/>
      </c>
    </row>
    <row r="13" spans="1:4" x14ac:dyDescent="0.2">
      <c r="A13" s="3"/>
      <c r="B13" s="26"/>
      <c r="C13" s="7"/>
      <c r="D13" s="9" t="str">
        <f t="shared" si="0"/>
        <v/>
      </c>
    </row>
    <row r="14" spans="1:4" x14ac:dyDescent="0.2">
      <c r="A14" s="3"/>
      <c r="B14" s="26"/>
      <c r="C14" s="7"/>
      <c r="D14" s="9" t="str">
        <f t="shared" si="0"/>
        <v/>
      </c>
    </row>
    <row r="15" spans="1:4" x14ac:dyDescent="0.2">
      <c r="A15" s="3"/>
      <c r="B15" s="26"/>
      <c r="C15" s="7"/>
      <c r="D15" s="9" t="str">
        <f t="shared" si="0"/>
        <v/>
      </c>
    </row>
    <row r="16" spans="1:4" x14ac:dyDescent="0.2">
      <c r="A16" s="3"/>
      <c r="B16" s="26"/>
      <c r="C16" s="7"/>
      <c r="D16" s="9" t="str">
        <f t="shared" si="0"/>
        <v/>
      </c>
    </row>
    <row r="17" spans="1:4" x14ac:dyDescent="0.2">
      <c r="A17" s="3"/>
      <c r="B17" s="26"/>
      <c r="C17" s="7"/>
      <c r="D17" s="9" t="str">
        <f t="shared" si="0"/>
        <v/>
      </c>
    </row>
    <row r="18" spans="1:4" x14ac:dyDescent="0.2">
      <c r="A18" s="3"/>
      <c r="B18" s="26"/>
      <c r="C18" s="7"/>
      <c r="D18" s="9" t="str">
        <f t="shared" si="0"/>
        <v/>
      </c>
    </row>
    <row r="19" spans="1:4" x14ac:dyDescent="0.2">
      <c r="A19" s="3"/>
      <c r="B19" s="26"/>
      <c r="C19" s="7"/>
      <c r="D19" s="9" t="str">
        <f t="shared" si="0"/>
        <v/>
      </c>
    </row>
    <row r="20" spans="1:4" x14ac:dyDescent="0.2">
      <c r="A20" s="3"/>
      <c r="B20" s="26"/>
      <c r="C20" s="7"/>
      <c r="D20" s="9" t="str">
        <f t="shared" si="0"/>
        <v/>
      </c>
    </row>
    <row r="21" spans="1:4" x14ac:dyDescent="0.2">
      <c r="A21" s="3"/>
      <c r="B21" s="26"/>
      <c r="C21" s="7"/>
      <c r="D21" s="9" t="str">
        <f t="shared" si="0"/>
        <v/>
      </c>
    </row>
    <row r="22" spans="1:4" x14ac:dyDescent="0.2">
      <c r="A22" s="3"/>
      <c r="B22" s="26"/>
      <c r="C22" s="7"/>
      <c r="D22" s="9" t="str">
        <f t="shared" si="0"/>
        <v/>
      </c>
    </row>
    <row r="23" spans="1:4" x14ac:dyDescent="0.2">
      <c r="A23" s="3"/>
      <c r="B23" s="26"/>
      <c r="C23" s="7"/>
      <c r="D23" s="9" t="str">
        <f t="shared" si="0"/>
        <v/>
      </c>
    </row>
    <row r="24" spans="1:4" x14ac:dyDescent="0.2">
      <c r="A24" s="3"/>
      <c r="B24" s="26"/>
      <c r="C24" s="7"/>
      <c r="D24" s="9" t="str">
        <f t="shared" si="0"/>
        <v/>
      </c>
    </row>
    <row r="25" spans="1:4" x14ac:dyDescent="0.2">
      <c r="A25" s="3"/>
      <c r="B25" s="26"/>
      <c r="C25" s="7"/>
      <c r="D25" s="9" t="str">
        <f t="shared" si="0"/>
        <v/>
      </c>
    </row>
    <row r="26" spans="1:4" x14ac:dyDescent="0.2">
      <c r="A26" s="3"/>
      <c r="B26" s="26"/>
      <c r="C26" s="7"/>
      <c r="D26" s="9" t="str">
        <f t="shared" si="0"/>
        <v/>
      </c>
    </row>
    <row r="27" spans="1:4" x14ac:dyDescent="0.2">
      <c r="A27" s="3"/>
      <c r="B27" s="26"/>
      <c r="C27" s="7"/>
      <c r="D27" s="9" t="str">
        <f t="shared" si="0"/>
        <v/>
      </c>
    </row>
    <row r="28" spans="1:4" x14ac:dyDescent="0.2">
      <c r="A28" s="3"/>
      <c r="B28" s="26"/>
      <c r="C28" s="7"/>
      <c r="D28" s="9" t="str">
        <f t="shared" si="0"/>
        <v/>
      </c>
    </row>
    <row r="29" spans="1:4" x14ac:dyDescent="0.2">
      <c r="A29" s="3"/>
      <c r="B29" s="26"/>
      <c r="C29" s="7"/>
      <c r="D29" s="9" t="str">
        <f t="shared" si="0"/>
        <v/>
      </c>
    </row>
    <row r="30" spans="1:4" x14ac:dyDescent="0.2">
      <c r="A30" s="3"/>
      <c r="B30" s="26"/>
      <c r="C30" s="7"/>
      <c r="D30" s="9" t="str">
        <f t="shared" si="0"/>
        <v/>
      </c>
    </row>
    <row r="31" spans="1:4" x14ac:dyDescent="0.2">
      <c r="A31" s="3"/>
      <c r="B31" s="26"/>
      <c r="C31" s="7"/>
      <c r="D31" s="9" t="str">
        <f t="shared" si="0"/>
        <v/>
      </c>
    </row>
    <row r="32" spans="1:4" x14ac:dyDescent="0.2">
      <c r="A32" s="3"/>
      <c r="B32" s="26"/>
      <c r="C32" s="7"/>
      <c r="D32" s="9" t="str">
        <f t="shared" si="0"/>
        <v/>
      </c>
    </row>
    <row r="33" spans="1:4" x14ac:dyDescent="0.2">
      <c r="A33" s="3"/>
      <c r="B33" s="26"/>
      <c r="C33" s="7"/>
      <c r="D33" s="9" t="str">
        <f t="shared" si="0"/>
        <v/>
      </c>
    </row>
    <row r="34" spans="1:4" x14ac:dyDescent="0.2">
      <c r="A34" s="3"/>
      <c r="B34" s="26"/>
      <c r="C34" s="7"/>
      <c r="D34" s="9" t="str">
        <f t="shared" si="0"/>
        <v/>
      </c>
    </row>
    <row r="35" spans="1:4" x14ac:dyDescent="0.2">
      <c r="A35" s="3"/>
      <c r="B35" s="26"/>
      <c r="C35" s="7"/>
      <c r="D35" s="9" t="str">
        <f t="shared" si="0"/>
        <v/>
      </c>
    </row>
    <row r="36" spans="1:4" x14ac:dyDescent="0.2">
      <c r="A36" s="3"/>
      <c r="B36" s="26"/>
      <c r="C36" s="7"/>
      <c r="D36" s="9" t="str">
        <f t="shared" si="0"/>
        <v/>
      </c>
    </row>
    <row r="37" spans="1:4" x14ac:dyDescent="0.2">
      <c r="A37" s="3"/>
      <c r="B37" s="26"/>
      <c r="C37" s="7"/>
      <c r="D37" s="9" t="str">
        <f t="shared" si="0"/>
        <v/>
      </c>
    </row>
    <row r="38" spans="1:4" x14ac:dyDescent="0.2">
      <c r="A38" s="3"/>
      <c r="B38" s="26"/>
      <c r="C38" s="7"/>
      <c r="D38" s="9" t="str">
        <f t="shared" ref="D38:D69" si="1">IF(AND(B38&lt;&gt;"",C38&lt;&gt;""),B38*C38,"")</f>
        <v/>
      </c>
    </row>
    <row r="39" spans="1:4" x14ac:dyDescent="0.2">
      <c r="A39" s="3"/>
      <c r="B39" s="26"/>
      <c r="C39" s="7"/>
      <c r="D39" s="9" t="str">
        <f t="shared" si="1"/>
        <v/>
      </c>
    </row>
    <row r="40" spans="1:4" x14ac:dyDescent="0.2">
      <c r="A40" s="3"/>
      <c r="B40" s="26"/>
      <c r="C40" s="7"/>
      <c r="D40" s="9" t="str">
        <f t="shared" si="1"/>
        <v/>
      </c>
    </row>
    <row r="41" spans="1:4" x14ac:dyDescent="0.2">
      <c r="A41" s="3"/>
      <c r="B41" s="26"/>
      <c r="C41" s="7"/>
      <c r="D41" s="9" t="str">
        <f t="shared" si="1"/>
        <v/>
      </c>
    </row>
    <row r="42" spans="1:4" x14ac:dyDescent="0.2">
      <c r="A42" s="3"/>
      <c r="B42" s="26"/>
      <c r="C42" s="7"/>
      <c r="D42" s="9" t="str">
        <f t="shared" si="1"/>
        <v/>
      </c>
    </row>
    <row r="43" spans="1:4" x14ac:dyDescent="0.2">
      <c r="A43" s="3"/>
      <c r="B43" s="26"/>
      <c r="C43" s="7"/>
      <c r="D43" s="9" t="str">
        <f t="shared" si="1"/>
        <v/>
      </c>
    </row>
    <row r="44" spans="1:4" x14ac:dyDescent="0.2">
      <c r="A44" s="3"/>
      <c r="B44" s="26"/>
      <c r="C44" s="7"/>
      <c r="D44" s="9" t="str">
        <f t="shared" si="1"/>
        <v/>
      </c>
    </row>
    <row r="45" spans="1:4" x14ac:dyDescent="0.2">
      <c r="A45" s="3"/>
      <c r="B45" s="26"/>
      <c r="C45" s="7"/>
      <c r="D45" s="9" t="str">
        <f t="shared" si="1"/>
        <v/>
      </c>
    </row>
    <row r="46" spans="1:4" x14ac:dyDescent="0.2">
      <c r="A46" s="3"/>
      <c r="B46" s="26"/>
      <c r="C46" s="7"/>
      <c r="D46" s="9" t="str">
        <f t="shared" si="1"/>
        <v/>
      </c>
    </row>
    <row r="47" spans="1:4" x14ac:dyDescent="0.2">
      <c r="A47" s="3"/>
      <c r="B47" s="26"/>
      <c r="C47" s="7"/>
      <c r="D47" s="9" t="str">
        <f t="shared" si="1"/>
        <v/>
      </c>
    </row>
    <row r="48" spans="1:4" x14ac:dyDescent="0.2">
      <c r="A48" s="3"/>
      <c r="B48" s="26"/>
      <c r="C48" s="7"/>
      <c r="D48" s="9" t="str">
        <f t="shared" si="1"/>
        <v/>
      </c>
    </row>
    <row r="49" spans="1:4" x14ac:dyDescent="0.2">
      <c r="A49" s="3"/>
      <c r="B49" s="26"/>
      <c r="C49" s="7"/>
      <c r="D49" s="9" t="str">
        <f t="shared" si="1"/>
        <v/>
      </c>
    </row>
    <row r="50" spans="1:4" x14ac:dyDescent="0.2">
      <c r="A50" s="3"/>
      <c r="B50" s="26"/>
      <c r="C50" s="7"/>
      <c r="D50" s="9" t="str">
        <f t="shared" si="1"/>
        <v/>
      </c>
    </row>
    <row r="51" spans="1:4" x14ac:dyDescent="0.2">
      <c r="A51" s="3"/>
      <c r="B51" s="26"/>
      <c r="C51" s="7"/>
      <c r="D51" s="9" t="str">
        <f t="shared" si="1"/>
        <v/>
      </c>
    </row>
    <row r="52" spans="1:4" x14ac:dyDescent="0.2">
      <c r="A52" s="3"/>
      <c r="B52" s="26"/>
      <c r="C52" s="7"/>
      <c r="D52" s="9" t="str">
        <f t="shared" si="1"/>
        <v/>
      </c>
    </row>
    <row r="53" spans="1:4" x14ac:dyDescent="0.2">
      <c r="A53" s="3"/>
      <c r="B53" s="26"/>
      <c r="C53" s="7"/>
      <c r="D53" s="9" t="str">
        <f t="shared" si="1"/>
        <v/>
      </c>
    </row>
    <row r="54" spans="1:4" x14ac:dyDescent="0.2">
      <c r="A54" s="3"/>
      <c r="B54" s="26"/>
      <c r="C54" s="7"/>
      <c r="D54" s="9" t="str">
        <f t="shared" si="1"/>
        <v/>
      </c>
    </row>
    <row r="55" spans="1:4" x14ac:dyDescent="0.2">
      <c r="A55" s="3"/>
      <c r="B55" s="26"/>
      <c r="C55" s="7"/>
      <c r="D55" s="9" t="str">
        <f t="shared" si="1"/>
        <v/>
      </c>
    </row>
    <row r="57" spans="1:4" x14ac:dyDescent="0.2">
      <c r="A57" s="29" t="s">
        <v>54</v>
      </c>
      <c r="B57" s="28"/>
      <c r="C57" s="28"/>
      <c r="D57" s="28"/>
    </row>
    <row r="58" spans="1:4" x14ac:dyDescent="0.2">
      <c r="A58" s="1" t="s">
        <v>69</v>
      </c>
      <c r="B58" s="9"/>
    </row>
    <row r="59" spans="1:4" x14ac:dyDescent="0.2">
      <c r="A59" s="1" t="s">
        <v>56</v>
      </c>
      <c r="B59" s="9"/>
    </row>
    <row r="60" spans="1:4" x14ac:dyDescent="0.2">
      <c r="A60" s="19" t="s">
        <v>70</v>
      </c>
      <c r="B60" s="20"/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B0DF27-4642-4C2E-98D2-938050BEFFD1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7c6541c9-858d-46cc-aee4-1fa681dc1bd6"/>
    <ds:schemaRef ds:uri="http://purl.org/dc/dcmitype/"/>
    <ds:schemaRef ds:uri="http://www.w3.org/XML/1998/namespace"/>
    <ds:schemaRef ds:uri="7e7f2dcd-0c2b-4478-ad05-247cf739c5b2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1D52266-B8C8-42EC-8344-CAE09CADF4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3F860E-A76F-4D2E-9DBA-F891A3A8C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Algemeen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2025-11-19T14:28:12Z</dcterms:created>
  <dcterms:modified xsi:type="dcterms:W3CDTF">2025-11-19T15:01:48Z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