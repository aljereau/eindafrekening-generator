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WE_Detail" sheetId="3" state="visible" r:id="rId3"/>
    <sheet xmlns:r="http://schemas.openxmlformats.org/officeDocument/2006/relationships" name="Schoonmaak" sheetId="4" state="visible" r:id="rId4"/>
    <sheet xmlns:r="http://schemas.openxmlformats.org/officeDocument/2006/relationships" name="Schade" sheetId="5" state="visible" r:id="rId5"/>
  </sheets>
  <definedNames>
    <definedName name="Klantnaam">Algemeen!$B$4</definedName>
    <definedName name="Contactpersoon">Algemeen!$B$5</definedName>
    <definedName name="Email">Algemeen!$B$6</definedName>
    <definedName name="Telefoonnummer">Algemeen!$B$7</definedName>
    <definedName name="Object_adres">Algemeen!$B$10</definedName>
    <definedName name="Object_ID">Algemeen!$B$15</definedName>
    <definedName name="Unit_nr">Algemeen!$B$12</definedName>
    <definedName name="Postcode">Algemeen!$B$13</definedName>
    <definedName name="Plaats">Algemeen!$B$14</definedName>
    <definedName name="Incheck_datum">Algemeen!$B$18</definedName>
    <definedName name="Uitcheck_datum">Algemeen!$B$19</definedName>
    <definedName name="Aantal_dagen">Algemeen!$B$20</definedName>
    <definedName name="Voorschot_borg">Algemeen!$B$23</definedName>
    <definedName name="GWE_Maandbedrag">Algemeen!$B$24</definedName>
    <definedName name="Voorschot_GWE">Algemeen!$B$25</definedName>
    <definedName name="Voorschot_schoonmaak">Algemeen!$B$26</definedName>
    <definedName name="Overige_voorschotten">Algemeen!$B$27</definedName>
    <definedName name="Extra_voorschot_bedrag">Algemeen!$B$28</definedName>
    <definedName name="Extra_voorschot_omschrijving">Algemeen!$B$29</definedName>
    <definedName name="Schoonmaak_pakket">Algemeen!$B$32</definedName>
    <definedName name="Inbegrepen_uren">Algemeen!$B$33</definedName>
    <definedName name="Uurtarief_schoonmaak">Algemeen!$B$34</definedName>
    <definedName name="BTW_percentage_schoonmaak">Algemeen!$B$35</definedName>
    <definedName name="Schoonmaak_totaal_kosten">Algemeen!$B$36</definedName>
    <definedName name="Extra_schoonmaak_bedrag_calc">Algemeen!$B$37</definedName>
    <definedName name="Meterbeheerder">Algemeen!$B$38</definedName>
    <definedName name="Energie_leverancier">Algemeen!$B$39</definedName>
    <definedName name="Contractnummer">Algemeen!$B$40</definedName>
    <definedName name="RR_Klantnummer">Algemeen!$B$43</definedName>
    <definedName name="RR_Folder_link">Algemeen!$B$44</definedName>
    <definedName name="RR_Projectleider">Algemeen!$B$45</definedName>
    <definedName name="RR_Inspecteur">Algemeen!$B$46</definedName>
    <definedName name="RR_Factuurnummer">Algemeen!$B$47</definedName>
    <definedName name="Borg_gebruikt">Algemeen!$B$50</definedName>
    <definedName name="Borg_terug">Algemeen!$B$51</definedName>
    <definedName name="Restschade">Algemeen!$B$52</definedName>
    <definedName name="GWE_meer_minder">Algemeen!$B$53</definedName>
    <definedName name="Extra_voorschot_gebruikt">Algemeen!$B$54</definedName>
    <definedName name="Extra_voorschot_terug">Algemeen!$B$55</definedName>
    <definedName name="Extra_voorschot_restschade">Algemeen!$B$56</definedName>
    <definedName name="Totaal_eindafrekening">Algemeen!$B$57</definedName>
    <definedName name="KWh_begin">GWE_Detail!$B$4</definedName>
    <definedName name="KWh_eind">GWE_Detail!$B$5</definedName>
    <definedName name="KWh_verbruik">GWE_Detail!$B$6</definedName>
    <definedName name="Gas_begin">GWE_Detail!$B$7</definedName>
    <definedName name="Gas_eind">GWE_Detail!$B$8</definedName>
    <definedName name="Gas_verbruik">GWE_Detail!$B$9</definedName>
    <definedName name="Water_begin">GWE_Detail!$B$10</definedName>
    <definedName name="Water_eind">GWE_Detail!$B$11</definedName>
    <definedName name="Water_verbruik">GWE_Detail!$B$12</definedName>
    <definedName name="GWE_totaal_excl">GWE_Detail!$B$33</definedName>
    <definedName name="GWE_BTW">GWE_Detail!$B$34</definedName>
    <definedName name="GWE_totaal_incl">GWE_Detail!$B$35</definedName>
    <definedName name="Totaal_uren_gew">Schoonmaak!$B$6</definedName>
    <definedName name="Extra_uren">Schoonmaak!$B$7</definedName>
    <definedName name="Extra_schoonmaak_bedrag">Schoonmaak!$B$9</definedName>
    <definedName name="Schade_totaal_excl">Schade!$B$58</definedName>
    <definedName name="Schade_BTW">Schade!$B$59</definedName>
    <definedName name="Schade_totaal_incl">Schade!$B$60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€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i val="1"/>
      <color rgb="00C0504D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i val="1"/>
      <color rgb="00666666"/>
    </font>
    <font>
      <name val="Arial"/>
      <b val="1"/>
      <sz val="10"/>
    </font>
    <font>
      <name val="Arial"/>
      <i val="1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0504D"/>
        <bgColor rgb="00C0504D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FFD966"/>
        <bgColor rgb="00FFD9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164" fontId="0" fillId="4" borderId="1" pivotButton="0" quotePrefix="0" xfId="0"/>
    <xf numFmtId="1" fontId="0" fillId="5" borderId="1" pivotButton="0" quotePrefix="0" xfId="0"/>
    <xf numFmtId="165" fontId="0" fillId="4" borderId="1" pivotButton="0" quotePrefix="0" xfId="0"/>
    <xf numFmtId="165" fontId="0" fillId="0" borderId="1" pivotButton="0" quotePrefix="0" xfId="0"/>
    <xf numFmtId="165" fontId="0" fillId="5" borderId="1" pivotButton="0" quotePrefix="0" xfId="0"/>
    <xf numFmtId="9" fontId="0" fillId="4" borderId="1" pivotButton="0" quotePrefix="0" xfId="0"/>
    <xf numFmtId="0" fontId="2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5" borderId="2" pivotButton="0" quotePrefix="0" xfId="0"/>
    <xf numFmtId="0" fontId="1" fillId="7" borderId="1" applyAlignment="1" pivotButton="0" quotePrefix="0" xfId="0">
      <alignment horizontal="center" vertical="center"/>
    </xf>
    <xf numFmtId="0" fontId="2" fillId="8" borderId="1" pivotButton="0" quotePrefix="0" xfId="0"/>
    <xf numFmtId="3" fontId="0" fillId="4" borderId="1" pivotButton="0" quotePrefix="0" xfId="0"/>
    <xf numFmtId="3" fontId="0" fillId="5" borderId="1" pivotButton="0" quotePrefix="0" xfId="0"/>
    <xf numFmtId="4" fontId="0" fillId="4" borderId="1" pivotButton="0" quotePrefix="0" xfId="0"/>
    <xf numFmtId="4" fontId="0" fillId="5" borderId="1" pivotButton="0" quotePrefix="0" xfId="0"/>
    <xf numFmtId="4" fontId="0" fillId="0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9" borderId="1" pivotButton="0" quotePrefix="0" xfId="0"/>
    <xf numFmtId="165" fontId="8" fillId="9" borderId="1" pivotButton="0" quotePrefix="0" xfId="0"/>
    <xf numFmtId="9" fontId="8" fillId="9" borderId="1" pivotButton="0" quotePrefix="0" xfId="0"/>
    <xf numFmtId="9" fontId="0" fillId="0" borderId="1" pivotButton="0" quotePrefix="0" xfId="0"/>
    <xf numFmtId="0" fontId="1" fillId="10" borderId="1" applyAlignment="1" pivotButton="0" quotePrefix="0" xfId="0">
      <alignment horizontal="center" vertical="center"/>
    </xf>
    <xf numFmtId="0" fontId="2" fillId="11" borderId="1" pivotButton="0" quotePrefix="0" xfId="0"/>
    <xf numFmtId="0" fontId="9" fillId="4" borderId="1" pivotButton="0" quotePrefix="0" xfId="0"/>
    <xf numFmtId="2" fontId="0" fillId="4" borderId="1" pivotButton="0" quotePrefix="0" xfId="0"/>
    <xf numFmtId="2" fontId="0" fillId="5" borderId="1" pivotButton="0" quotePrefix="0" xfId="0"/>
    <xf numFmtId="165" fontId="9" fillId="4" borderId="1" pivotButton="0" quotePrefix="0" xfId="0"/>
    <xf numFmtId="0" fontId="10" fillId="0" borderId="0" pivotButton="0" quotePrefix="0" xfId="0"/>
    <xf numFmtId="165" fontId="10" fillId="5" borderId="2" pivotButton="0" quotePrefix="0" xfId="0"/>
    <xf numFmtId="0" fontId="1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RYANRENT EINDAFREKENING - BASISGEGEVENS</t>
        </is>
      </c>
    </row>
    <row r="3">
      <c r="A3" s="2" t="inlineStr">
        <is>
          <t>KLANTGEGEVENS</t>
        </is>
      </c>
    </row>
    <row r="4">
      <c r="A4" s="3" t="inlineStr">
        <is>
          <t>Naam Klant *</t>
        </is>
      </c>
      <c r="B4" s="4" t="n"/>
    </row>
    <row r="5">
      <c r="A5" s="3" t="inlineStr">
        <is>
          <t>Contactpersoon (automatisch)</t>
        </is>
      </c>
      <c r="B5" s="5">
        <f>IFERROR(VLOOKUP(B4,Lists!$C:$F,2,FALSE),"")</f>
        <v/>
      </c>
    </row>
    <row r="6">
      <c r="A6" s="3" t="inlineStr">
        <is>
          <t>Email (automatisch)</t>
        </is>
      </c>
      <c r="B6" s="5">
        <f>IFERROR(VLOOKUP(B4,Lists!$C:$F,3,FALSE),"")</f>
        <v/>
      </c>
    </row>
    <row r="7">
      <c r="A7" s="3" t="inlineStr">
        <is>
          <t>Telefoonnummer (automatisch)</t>
        </is>
      </c>
      <c r="B7" s="5">
        <f>IFERROR(VLOOKUP(B4,Lists!$C:$F,4,FALSE),"")</f>
        <v/>
      </c>
    </row>
    <row r="9">
      <c r="A9" s="2" t="inlineStr">
        <is>
          <t>OBJECTGEGEVENS</t>
        </is>
      </c>
    </row>
    <row r="10">
      <c r="A10" s="3" t="inlineStr">
        <is>
          <t>Adres Object *</t>
        </is>
      </c>
      <c r="B10" s="4" t="n"/>
    </row>
    <row r="11">
      <c r="A11" s="3" t="inlineStr">
        <is>
          <t>Object ID (automatisch)</t>
        </is>
      </c>
      <c r="B11" s="5">
        <f>IFERROR(VLOOKUP(B10,Lists!$A:$B,2,FALSE),"")</f>
        <v/>
      </c>
    </row>
    <row r="12">
      <c r="A12" s="3" t="inlineStr">
        <is>
          <t>Unit Nummer</t>
        </is>
      </c>
      <c r="B12" s="6" t="n"/>
    </row>
    <row r="13">
      <c r="A13" s="3" t="inlineStr">
        <is>
          <t>Postcode</t>
        </is>
      </c>
      <c r="B13" s="5">
        <f>IFERROR(VLOOKUP(B10,Lists!$A:$H,7,FALSE),"")</f>
        <v/>
      </c>
    </row>
    <row r="14">
      <c r="A14" s="3" t="inlineStr">
        <is>
          <t>Plaats</t>
        </is>
      </c>
      <c r="B14" s="5">
        <f>IFERROR(VLOOKUP(B10,Lists!$A:$H,8,FALSE),"")</f>
        <v/>
      </c>
    </row>
    <row r="15">
      <c r="A15" s="3" t="inlineStr">
        <is>
          <t>Object ID (automatisch)</t>
        </is>
      </c>
      <c r="B15" s="5">
        <f>IF(B10="","",VLOOKUP(B10,Lists!$A$2:$B$389,2,FALSE))</f>
        <v/>
      </c>
    </row>
    <row r="17">
      <c r="A17" s="2" t="inlineStr">
        <is>
          <t>VERBLIJFSPERIODE</t>
        </is>
      </c>
    </row>
    <row r="18">
      <c r="A18" s="3" t="inlineStr">
        <is>
          <t>Incheck Datum *</t>
        </is>
      </c>
      <c r="B18" s="7" t="n"/>
    </row>
    <row r="19">
      <c r="A19" s="3" t="inlineStr">
        <is>
          <t>Uitcheck Datum *</t>
        </is>
      </c>
      <c r="B19" s="7" t="n"/>
    </row>
    <row r="20">
      <c r="A20" s="3" t="inlineStr">
        <is>
          <t>Aantal Dagen (automatisch)</t>
        </is>
      </c>
      <c r="B20" s="8">
        <f>IF(AND(B18&lt;&gt;"",B19&lt;&gt;""),B19-B18,"")</f>
        <v/>
      </c>
    </row>
    <row r="22">
      <c r="A22" s="2" t="inlineStr">
        <is>
          <t>VOORSCHOTTEN</t>
        </is>
      </c>
    </row>
    <row r="23">
      <c r="A23" s="3" t="inlineStr">
        <is>
          <t>Voorschot Borg *</t>
        </is>
      </c>
      <c r="B23" s="9" t="n"/>
    </row>
    <row r="24">
      <c r="A24" s="3" t="inlineStr">
        <is>
          <t>GWE Maandbedrag</t>
        </is>
      </c>
      <c r="B24" s="10" t="n">
        <v>0</v>
      </c>
    </row>
    <row r="25">
      <c r="A25" s="3" t="inlineStr">
        <is>
          <t>Voorschot GWE (automatisch)</t>
        </is>
      </c>
      <c r="B25" s="11">
        <f>IF(ISNUMBER(B24), (B24 * 12 / 365) * Aantal_dagen, 0)</f>
        <v/>
      </c>
    </row>
    <row r="26">
      <c r="A26" s="3" t="inlineStr">
        <is>
          <t>Voorschot Schoonmaak *</t>
        </is>
      </c>
      <c r="B26" s="9" t="n"/>
    </row>
    <row r="27">
      <c r="A27" s="3" t="inlineStr">
        <is>
          <t>Overige Voorschotten</t>
        </is>
      </c>
      <c r="B27" s="10" t="n">
        <v>0</v>
      </c>
    </row>
    <row r="28">
      <c r="A28" s="3" t="inlineStr">
        <is>
          <t>Extra Voorschot Bedrag</t>
        </is>
      </c>
      <c r="B28" s="10" t="n">
        <v>0</v>
      </c>
    </row>
    <row r="29">
      <c r="A29" s="3" t="inlineStr">
        <is>
          <t>Extra Voorschot Omschrijving</t>
        </is>
      </c>
      <c r="B29" s="6" t="n"/>
    </row>
    <row r="31">
      <c r="A31" s="2" t="inlineStr">
        <is>
          <t>CONTRACTGEGEVENS</t>
        </is>
      </c>
    </row>
    <row r="32">
      <c r="A32" s="3" t="inlineStr">
        <is>
          <t>Schoonmaak Pakket *</t>
        </is>
      </c>
      <c r="B32" s="4" t="n"/>
    </row>
    <row r="33">
      <c r="A33" s="3" t="inlineStr">
        <is>
          <t>Inbegrepen Uren (automatisch)</t>
        </is>
      </c>
      <c r="B33" s="8">
        <f>IF(B32="Basis Schoonmaak",5,IF(B32="Intensief Schoonmaak",7,IF(B32="Achteraf Betaald",0,"")))</f>
        <v/>
      </c>
    </row>
    <row r="34">
      <c r="A34" s="3" t="inlineStr">
        <is>
          <t>Uurtarief Schoonmaak (excl. BTW) *</t>
        </is>
      </c>
      <c r="B34" s="9" t="n">
        <v>50</v>
      </c>
    </row>
    <row r="35">
      <c r="A35" s="3" t="inlineStr">
        <is>
          <t>BTW Percentage Schoonmaak *</t>
        </is>
      </c>
      <c r="B35" s="12" t="n">
        <v>0.21</v>
      </c>
    </row>
    <row r="36">
      <c r="A36" s="3" t="inlineStr">
        <is>
          <t>Schoonmaak Totaal Kosten (automatisch)</t>
        </is>
      </c>
      <c r="B36" s="11">
        <f>IF(Schoonmaak!Totaal_uren_gew="","",Schoonmaak!Totaal_uren_gew*B34*(1+B35))</f>
        <v/>
      </c>
    </row>
    <row r="37">
      <c r="A37" s="3" t="inlineStr">
        <is>
          <t>Extra Schoonmaak Bedrag (automatisch)</t>
        </is>
      </c>
      <c r="B37" s="11">
        <f>MAX(0,Schoonmaak_totaal_kosten-Voorschot_schoonmaak)</f>
        <v/>
      </c>
    </row>
    <row r="38">
      <c r="A38" s="3" t="inlineStr">
        <is>
          <t>Meterbeheerder</t>
        </is>
      </c>
      <c r="B38" s="6" t="n"/>
    </row>
    <row r="39">
      <c r="A39" s="3" t="inlineStr">
        <is>
          <t>Energie Leverancier</t>
        </is>
      </c>
      <c r="B39" s="6" t="n"/>
    </row>
    <row r="40">
      <c r="A40" s="3" t="inlineStr">
        <is>
          <t>Contractnummer</t>
        </is>
      </c>
      <c r="B40" s="6" t="n"/>
    </row>
    <row r="42">
      <c r="A42" s="2" t="inlineStr">
        <is>
          <t>INTERNE RYANRENT GEGEVENS</t>
        </is>
      </c>
    </row>
    <row r="43">
      <c r="A43" s="3" t="inlineStr">
        <is>
          <t>RR Klantnummer</t>
        </is>
      </c>
      <c r="B43" s="6" t="n"/>
    </row>
    <row r="44">
      <c r="A44" s="3" t="inlineStr">
        <is>
          <t>RR Folder Link</t>
        </is>
      </c>
      <c r="B44" s="6" t="n"/>
    </row>
    <row r="45">
      <c r="A45" s="3" t="inlineStr">
        <is>
          <t>RR Projectleider</t>
        </is>
      </c>
      <c r="B45" s="6" t="n"/>
    </row>
    <row r="46">
      <c r="A46" s="3" t="inlineStr">
        <is>
          <t>RR Inspecteur</t>
        </is>
      </c>
      <c r="B46" s="6" t="n"/>
    </row>
    <row r="47">
      <c r="A47" s="3" t="inlineStr">
        <is>
          <t>RR Factuurnummer</t>
        </is>
      </c>
      <c r="B47" s="6" t="n"/>
    </row>
    <row r="49">
      <c r="A49" s="13" t="inlineStr">
        <is>
          <t>BEREKENDE VELDEN (automatisch berekend)</t>
        </is>
      </c>
      <c r="C49" s="14" t="inlineStr">
        <is>
          <t>← Live preview (beveiligd)</t>
        </is>
      </c>
    </row>
    <row r="50">
      <c r="A50" s="3" t="inlineStr">
        <is>
          <t>Borg Gebruikt (automatisch)</t>
        </is>
      </c>
      <c r="B50" s="11">
        <f>Schade!Schade_totaal_incl</f>
        <v/>
      </c>
    </row>
    <row r="51">
      <c r="A51" s="3" t="inlineStr">
        <is>
          <t>Borg Terug (automatisch)</t>
        </is>
      </c>
      <c r="B51" s="11">
        <f>IF(Borg_gebruikt="","",Voorschot_borg-Borg_gebruikt)</f>
        <v/>
      </c>
    </row>
    <row r="52">
      <c r="A52" s="3" t="inlineStr">
        <is>
          <t>Restschade (automatisch)</t>
        </is>
      </c>
      <c r="B52" s="11">
        <f>IF(Borg_gebruikt="","",MAX(0,Borg_gebruikt-Voorschot_borg))</f>
        <v/>
      </c>
    </row>
    <row r="53">
      <c r="A53" s="3" t="inlineStr">
        <is>
          <t>GWE Meer/Minder (automatisch)</t>
        </is>
      </c>
      <c r="B53" s="11">
        <f>IF(GWE_Detail!GWE_totaal_incl="","",Voorschot_GWE-GWE_Detail!GWE_totaal_incl)</f>
        <v/>
      </c>
    </row>
    <row r="54">
      <c r="A54" s="3" t="inlineStr">
        <is>
          <t>Extra Voorschot Gebruikt *</t>
        </is>
      </c>
      <c r="B54" s="9" t="n">
        <v>0</v>
      </c>
    </row>
    <row r="55">
      <c r="A55" s="3" t="inlineStr">
        <is>
          <t>Extra Voorschot Terug (automatisch)</t>
        </is>
      </c>
      <c r="B55" s="11">
        <f>IF(Extra_voorschot_bedrag=0,"",Extra_voorschot_bedrag-Extra_voorschot_gebruikt)</f>
        <v/>
      </c>
    </row>
    <row r="56">
      <c r="A56" s="3" t="inlineStr">
        <is>
          <t>Extra Voorschot Restschade (automatisch)</t>
        </is>
      </c>
      <c r="B56" s="11">
        <f>IF(Extra_voorschot_bedrag=0,"",MAX(0,Extra_voorschot_gebruikt-Extra_voorschot_bedrag))</f>
        <v/>
      </c>
    </row>
    <row r="57">
      <c r="A57" s="15" t="inlineStr">
        <is>
          <t>Totaal Eindafrekening (automatisch)</t>
        </is>
      </c>
      <c r="B57" s="16">
        <f>IF(OR(Borg_terug="",GWE_meer_minder="",Schoonmaak!Extra_schoonmaak_bedrag=""),"",Borg_terug+GWE_meer_minder-Schoonmaak!Extra_schoonmaak_bedrag+IF(Extra_voorschot_bedrag=0,0,Extra_voorschot_terug))</f>
        <v/>
      </c>
    </row>
  </sheetData>
  <mergeCells count="8">
    <mergeCell ref="A49:B49"/>
    <mergeCell ref="A42:B42"/>
    <mergeCell ref="A1:B1"/>
    <mergeCell ref="A17:B17"/>
    <mergeCell ref="A9:B9"/>
    <mergeCell ref="A31:B31"/>
    <mergeCell ref="A3:B3"/>
    <mergeCell ref="A22:B22"/>
  </mergeCells>
  <dataValidations count="3">
    <dataValidation sqref="B4" showDropDown="0" showInputMessage="0" showErrorMessage="0" allowBlank="1" type="list">
      <formula1>=Lists!$C$2:$C$99</formula1>
    </dataValidation>
    <dataValidation sqref="B10" showDropDown="0" showInputMessage="0" showErrorMessage="0" allowBlank="1" type="list">
      <formula1>=Lists!$A$2:$A$389</formula1>
    </dataValidation>
    <dataValidation sqref="B32" showDropDown="0" showInputMessage="0" showErrorMessage="0" allowBlank="0" errorTitle="Ongeldige invoer" error="Kies geen, Basis Schoonmaak, Intensief Schoonmaak, of Achteraf Betaald" type="list">
      <formula1>"geen,Basis Schoonmaak,Intensief Schoonmaak,Achteraf Betaald"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 Name</t>
        </is>
      </c>
      <c r="D1" t="inlineStr">
        <is>
          <t>Contact Person</t>
        </is>
      </c>
      <c r="E1" t="inlineStr">
        <is>
          <t>Email</t>
        </is>
      </c>
      <c r="F1" t="inlineStr">
        <is>
          <t>Phone</t>
        </is>
      </c>
      <c r="G1" t="inlineStr">
        <is>
          <t>Postcode</t>
        </is>
      </c>
      <c r="H1" t="inlineStr">
        <is>
          <t>Plaats</t>
        </is>
      </c>
    </row>
    <row r="2">
      <c r="A2" t="inlineStr">
        <is>
          <t>1e</t>
        </is>
      </c>
      <c r="B2" t="inlineStr">
        <is>
          <t>0388</t>
        </is>
      </c>
      <c r="C2" t="inlineStr">
        <is>
          <t>4 Homes B.V.</t>
        </is>
      </c>
      <c r="H2" t="inlineStr">
        <is>
          <t>Middellandstraat 104A</t>
        </is>
      </c>
    </row>
    <row r="3">
      <c r="A3" t="inlineStr">
        <is>
          <t>2e Maasbosstraat 2 a</t>
        </is>
      </c>
      <c r="B3" t="inlineStr">
        <is>
          <t>0148</t>
        </is>
      </c>
      <c r="C3" t="inlineStr">
        <is>
          <t>AKT Autoschade</t>
        </is>
      </c>
      <c r="E3" t="inlineStr">
        <is>
          <t>facturen@aktautoschade.com</t>
        </is>
      </c>
      <c r="H3" t="inlineStr">
        <is>
          <t>VLAARDINGEN</t>
        </is>
      </c>
    </row>
    <row r="4">
      <c r="A4" t="inlineStr">
        <is>
          <t>2e Maasbosstraat 2 b</t>
        </is>
      </c>
      <c r="B4" t="inlineStr">
        <is>
          <t>0149</t>
        </is>
      </c>
      <c r="C4" t="inlineStr">
        <is>
          <t>ASML Housing</t>
        </is>
      </c>
      <c r="E4" t="inlineStr">
        <is>
          <t>relocation@asml.com</t>
        </is>
      </c>
      <c r="G4" t="inlineStr">
        <is>
          <t>2807BB</t>
        </is>
      </c>
      <c r="H4" t="inlineStr">
        <is>
          <t>Gouda</t>
        </is>
      </c>
    </row>
    <row r="5">
      <c r="A5" t="inlineStr">
        <is>
          <t>2e Maasbosstraat 2 c</t>
        </is>
      </c>
      <c r="B5" t="inlineStr">
        <is>
          <t>0150</t>
        </is>
      </c>
      <c r="C5" t="inlineStr">
        <is>
          <t>Aelbers</t>
        </is>
      </c>
      <c r="G5" t="inlineStr">
        <is>
          <t>7553LC</t>
        </is>
      </c>
      <c r="H5" t="inlineStr">
        <is>
          <t>Hengelo</t>
        </is>
      </c>
    </row>
    <row r="6">
      <c r="A6" t="inlineStr">
        <is>
          <t>2e van Leydengaelstraat 6</t>
        </is>
      </c>
      <c r="B6" t="inlineStr">
        <is>
          <t>0022</t>
        </is>
      </c>
      <c r="C6" t="inlineStr">
        <is>
          <t xml:space="preserve">Amdor Projecten </t>
        </is>
      </c>
      <c r="G6" t="inlineStr">
        <is>
          <t>1779GJ</t>
        </is>
      </c>
      <c r="H6" t="inlineStr">
        <is>
          <t xml:space="preserve">Den Oever </t>
        </is>
      </c>
    </row>
    <row r="7">
      <c r="A7" t="inlineStr">
        <is>
          <t>Abelenlaan 143</t>
        </is>
      </c>
      <c r="B7" t="inlineStr">
        <is>
          <t>0014</t>
        </is>
      </c>
      <c r="C7" t="inlineStr">
        <is>
          <t>Autodaxx B.V.</t>
        </is>
      </c>
      <c r="E7" t="inlineStr">
        <is>
          <t>inkoopfactuur@autodaxx.nl</t>
        </is>
      </c>
      <c r="G7" t="inlineStr">
        <is>
          <t>1779GJ</t>
        </is>
      </c>
      <c r="H7" t="inlineStr">
        <is>
          <t>Den Oever</t>
        </is>
      </c>
    </row>
    <row r="8">
      <c r="A8" t="inlineStr">
        <is>
          <t>Acacia 2</t>
        </is>
      </c>
      <c r="B8" t="inlineStr">
        <is>
          <t>0003</t>
        </is>
      </c>
      <c r="C8" t="inlineStr">
        <is>
          <t>BAM Wonen</t>
        </is>
      </c>
      <c r="E8" t="inlineStr">
        <is>
          <t>contact@bam.nl</t>
        </is>
      </c>
      <c r="G8" t="inlineStr">
        <is>
          <t>3224EB</t>
        </is>
      </c>
      <c r="H8" t="inlineStr">
        <is>
          <t>Hellevoetsluis</t>
        </is>
      </c>
    </row>
    <row r="9">
      <c r="A9" t="inlineStr">
        <is>
          <t>Acacialaan 9</t>
        </is>
      </c>
      <c r="B9" t="inlineStr">
        <is>
          <t>0223</t>
        </is>
      </c>
      <c r="C9" t="inlineStr">
        <is>
          <t>BBTS (Vastgoed Spijkenisse)</t>
        </is>
      </c>
      <c r="G9" t="inlineStr">
        <is>
          <t>3085CZ</t>
        </is>
      </c>
      <c r="H9" t="inlineStr">
        <is>
          <t>Rotterdam</t>
        </is>
      </c>
    </row>
    <row r="10">
      <c r="A10" t="inlineStr">
        <is>
          <t>Achterdijk 47</t>
        </is>
      </c>
      <c r="B10" t="inlineStr">
        <is>
          <t>0190</t>
        </is>
      </c>
      <c r="C10" t="inlineStr">
        <is>
          <t>Bakker</t>
        </is>
      </c>
      <c r="G10" t="inlineStr">
        <is>
          <t>3071EE</t>
        </is>
      </c>
      <c r="H10" t="inlineStr">
        <is>
          <t>Rotterdam</t>
        </is>
      </c>
    </row>
    <row r="11">
      <c r="A11" t="inlineStr">
        <is>
          <t>Adriaan Baasstraat 34</t>
        </is>
      </c>
      <c r="B11" t="inlineStr">
        <is>
          <t>0007</t>
        </is>
      </c>
      <c r="C11" t="inlineStr">
        <is>
          <t>Buurman Vastgoed B.V.</t>
        </is>
      </c>
      <c r="G11" t="inlineStr">
        <is>
          <t>1779GJ</t>
        </is>
      </c>
      <c r="H11" t="inlineStr">
        <is>
          <t>Den Oever</t>
        </is>
      </c>
    </row>
    <row r="12">
      <c r="A12" t="inlineStr">
        <is>
          <t>Akkerweg 41</t>
        </is>
      </c>
      <c r="B12" t="inlineStr">
        <is>
          <t>0384</t>
        </is>
      </c>
      <c r="C12" t="inlineStr">
        <is>
          <t>Bw-engineering</t>
        </is>
      </c>
      <c r="E12" t="inlineStr">
        <is>
          <t>r.adelaar@bw-engineering.nl</t>
        </is>
      </c>
      <c r="H12" t="inlineStr">
        <is>
          <t>[huis 58]</t>
        </is>
      </c>
    </row>
    <row r="13">
      <c r="A13" t="inlineStr">
        <is>
          <t>Akkerweg 41 [010]</t>
        </is>
      </c>
      <c r="B13" t="inlineStr">
        <is>
          <t>0341</t>
        </is>
      </c>
      <c r="C13" t="inlineStr">
        <is>
          <t>C-Flex BV</t>
        </is>
      </c>
      <c r="H13" t="inlineStr">
        <is>
          <t>Den oever</t>
        </is>
      </c>
    </row>
    <row r="14">
      <c r="A14" t="inlineStr">
        <is>
          <t>Akkerweg 41 [011]</t>
        </is>
      </c>
      <c r="B14" t="inlineStr">
        <is>
          <t>0372</t>
        </is>
      </c>
      <c r="C14" t="inlineStr">
        <is>
          <t>CB Construction</t>
        </is>
      </c>
      <c r="H14" t="inlineStr">
        <is>
          <t>Den oever</t>
        </is>
      </c>
    </row>
    <row r="15">
      <c r="A15" t="inlineStr">
        <is>
          <t>Akkerweg 41 [014]</t>
        </is>
      </c>
      <c r="B15" t="inlineStr">
        <is>
          <t>0293</t>
        </is>
      </c>
      <c r="C15" t="inlineStr">
        <is>
          <t>Crown Uitzendgroep</t>
        </is>
      </c>
      <c r="H15" t="inlineStr">
        <is>
          <t>Den Oever</t>
        </is>
      </c>
    </row>
    <row r="16">
      <c r="A16" t="inlineStr">
        <is>
          <t>Akkerweg 41 [015]</t>
        </is>
      </c>
      <c r="B16" t="inlineStr">
        <is>
          <t>0294</t>
        </is>
      </c>
      <c r="C16" t="inlineStr">
        <is>
          <t>Daan Mulder</t>
        </is>
      </c>
      <c r="E16" t="inlineStr">
        <is>
          <t>daan.mulder@example.com</t>
        </is>
      </c>
      <c r="H16" t="inlineStr">
        <is>
          <t>Den Oever</t>
        </is>
      </c>
    </row>
    <row r="17">
      <c r="A17" t="inlineStr">
        <is>
          <t>Akkerweg 41 [016]</t>
        </is>
      </c>
      <c r="B17" t="inlineStr">
        <is>
          <t>0342</t>
        </is>
      </c>
      <c r="C17" t="inlineStr">
        <is>
          <t>Dit en Larex</t>
        </is>
      </c>
      <c r="H17" t="inlineStr">
        <is>
          <t>Den oever</t>
        </is>
      </c>
    </row>
    <row r="18">
      <c r="A18" t="inlineStr">
        <is>
          <t>Akkerweg 41 [017]</t>
        </is>
      </c>
      <c r="B18" t="inlineStr">
        <is>
          <t>0373</t>
        </is>
      </c>
      <c r="C18" t="inlineStr">
        <is>
          <t>Dock Holland</t>
        </is>
      </c>
      <c r="H18" t="inlineStr">
        <is>
          <t>Den oever</t>
        </is>
      </c>
    </row>
    <row r="19">
      <c r="A19" t="inlineStr">
        <is>
          <t>Akkerweg 41 [018]</t>
        </is>
      </c>
      <c r="B19" t="inlineStr">
        <is>
          <t>0295</t>
        </is>
      </c>
      <c r="C19" t="inlineStr">
        <is>
          <t>Duijndam Personeeldiensten</t>
        </is>
      </c>
      <c r="H19" t="inlineStr">
        <is>
          <t>Den oever</t>
        </is>
      </c>
    </row>
    <row r="20">
      <c r="A20" t="inlineStr">
        <is>
          <t>Akkerweg 41 [019]</t>
        </is>
      </c>
      <c r="B20" t="inlineStr">
        <is>
          <t>0343</t>
        </is>
      </c>
      <c r="C20" t="inlineStr">
        <is>
          <t>EG Facility &amp; Services BV</t>
        </is>
      </c>
      <c r="E20" t="inlineStr">
        <is>
          <t>facturen@egfs.nl</t>
        </is>
      </c>
      <c r="H20" t="inlineStr">
        <is>
          <t>Den oever</t>
        </is>
      </c>
    </row>
    <row r="21">
      <c r="A21" t="inlineStr">
        <is>
          <t>Akkerweg 41 [020]</t>
        </is>
      </c>
      <c r="B21" t="inlineStr">
        <is>
          <t>0383</t>
        </is>
      </c>
      <c r="C21" t="inlineStr">
        <is>
          <t>Eastmen</t>
        </is>
      </c>
      <c r="G21" t="inlineStr">
        <is>
          <t>1779GJ</t>
        </is>
      </c>
      <c r="H21" t="inlineStr">
        <is>
          <t>Den oever</t>
        </is>
      </c>
    </row>
    <row r="22">
      <c r="A22" t="inlineStr">
        <is>
          <t>Akkerweg 41 [022]</t>
        </is>
      </c>
      <c r="B22" t="inlineStr">
        <is>
          <t>0296</t>
        </is>
      </c>
      <c r="C22" t="inlineStr">
        <is>
          <t>Eemsdelta</t>
        </is>
      </c>
      <c r="H22" t="inlineStr">
        <is>
          <t>Den oever</t>
        </is>
      </c>
    </row>
    <row r="23">
      <c r="A23" t="inlineStr">
        <is>
          <t>Akkerweg 41 [026]</t>
        </is>
      </c>
      <c r="B23" t="inlineStr">
        <is>
          <t>0297</t>
        </is>
      </c>
      <c r="C23" t="inlineStr">
        <is>
          <t>Employ</t>
        </is>
      </c>
      <c r="H23" t="inlineStr">
        <is>
          <t>Den oever</t>
        </is>
      </c>
    </row>
    <row r="24">
      <c r="A24" t="inlineStr">
        <is>
          <t>Akkerweg 41 [031]</t>
        </is>
      </c>
      <c r="B24" t="inlineStr">
        <is>
          <t>0298</t>
        </is>
      </c>
      <c r="C24" t="inlineStr">
        <is>
          <t>Estra Logistics Systems</t>
        </is>
      </c>
      <c r="H24" t="inlineStr">
        <is>
          <t>Den oever</t>
        </is>
      </c>
    </row>
    <row r="25">
      <c r="A25" t="inlineStr">
        <is>
          <t>Akkerweg 41 [035]</t>
        </is>
      </c>
      <c r="B25" t="inlineStr">
        <is>
          <t>0350</t>
        </is>
      </c>
      <c r="C25" t="inlineStr">
        <is>
          <t>Eu Facility Services</t>
        </is>
      </c>
      <c r="H25" t="inlineStr">
        <is>
          <t>Den oever</t>
        </is>
      </c>
    </row>
    <row r="26">
      <c r="A26" t="inlineStr">
        <is>
          <t>Akkerweg 41 [036]</t>
        </is>
      </c>
      <c r="B26" t="inlineStr">
        <is>
          <t>0356</t>
        </is>
      </c>
      <c r="C26" t="inlineStr">
        <is>
          <t>Expats Inc</t>
        </is>
      </c>
      <c r="E26" t="inlineStr">
        <is>
          <t>housing@expats.com</t>
        </is>
      </c>
      <c r="H26" t="inlineStr">
        <is>
          <t>Den oever</t>
        </is>
      </c>
    </row>
    <row r="27">
      <c r="A27" t="inlineStr">
        <is>
          <t>Akkerweg 41 [037]</t>
        </is>
      </c>
      <c r="B27" t="inlineStr">
        <is>
          <t>0299</t>
        </is>
      </c>
      <c r="C27" t="inlineStr">
        <is>
          <t>Faciloo B.V.</t>
        </is>
      </c>
      <c r="H27" t="inlineStr">
        <is>
          <t>Den Oever</t>
        </is>
      </c>
    </row>
    <row r="28">
      <c r="A28" t="inlineStr">
        <is>
          <t>Akkerweg 41 [038]</t>
        </is>
      </c>
      <c r="B28" t="inlineStr">
        <is>
          <t>0357</t>
        </is>
      </c>
      <c r="C28" t="inlineStr">
        <is>
          <t>Flextalent4u</t>
        </is>
      </c>
      <c r="H28" t="inlineStr">
        <is>
          <t>Den oever</t>
        </is>
      </c>
    </row>
    <row r="29">
      <c r="A29" t="inlineStr">
        <is>
          <t>Akkerweg 41 [040]</t>
        </is>
      </c>
      <c r="B29" t="inlineStr">
        <is>
          <t>0300</t>
        </is>
      </c>
      <c r="C29" t="inlineStr">
        <is>
          <t xml:space="preserve">Flexvesting </t>
        </is>
      </c>
      <c r="H29" t="inlineStr">
        <is>
          <t>Den oever</t>
        </is>
      </c>
    </row>
    <row r="30">
      <c r="A30" t="inlineStr">
        <is>
          <t>Akkerweg 41 [041]</t>
        </is>
      </c>
      <c r="B30" t="inlineStr">
        <is>
          <t>0301</t>
        </is>
      </c>
      <c r="C30" t="inlineStr">
        <is>
          <t>Focuzop-EU</t>
        </is>
      </c>
      <c r="H30" t="inlineStr">
        <is>
          <t>Den oever</t>
        </is>
      </c>
    </row>
    <row r="31">
      <c r="A31" t="inlineStr">
        <is>
          <t>Akkerweg 41 [042]</t>
        </is>
      </c>
      <c r="B31" t="inlineStr">
        <is>
          <t>0302</t>
        </is>
      </c>
      <c r="C31" t="inlineStr">
        <is>
          <t>GAP Costruzioni</t>
        </is>
      </c>
      <c r="H31" t="inlineStr">
        <is>
          <t>Den oever</t>
        </is>
      </c>
    </row>
    <row r="32">
      <c r="A32" t="inlineStr">
        <is>
          <t>Akkerweg 41 [055]</t>
        </is>
      </c>
      <c r="B32" t="inlineStr">
        <is>
          <t>0303</t>
        </is>
      </c>
      <c r="C32" t="inlineStr">
        <is>
          <t>GHS</t>
        </is>
      </c>
      <c r="H32" t="inlineStr">
        <is>
          <t>Den oever</t>
        </is>
      </c>
    </row>
    <row r="33">
      <c r="A33" t="inlineStr">
        <is>
          <t>Akkerweg 41 [056]</t>
        </is>
      </c>
      <c r="B33" t="inlineStr">
        <is>
          <t>0304</t>
        </is>
      </c>
      <c r="C33" t="inlineStr">
        <is>
          <t>Goti verhuur</t>
        </is>
      </c>
      <c r="H33" t="inlineStr">
        <is>
          <t>Den oever</t>
        </is>
      </c>
    </row>
    <row r="34">
      <c r="A34" t="inlineStr">
        <is>
          <t>Akkerweg 41 [057]</t>
        </is>
      </c>
      <c r="B34" t="inlineStr">
        <is>
          <t>0305</t>
        </is>
      </c>
      <c r="C34" t="inlineStr">
        <is>
          <t>H.T.C. Facility Services</t>
        </is>
      </c>
      <c r="H34" t="inlineStr">
        <is>
          <t>Den oever</t>
        </is>
      </c>
    </row>
    <row r="35">
      <c r="A35" t="inlineStr">
        <is>
          <t>Akkerweg 41 [059]</t>
        </is>
      </c>
      <c r="B35" t="inlineStr">
        <is>
          <t>0306</t>
        </is>
      </c>
      <c r="C35" t="inlineStr">
        <is>
          <t>HTC</t>
        </is>
      </c>
      <c r="H35" t="inlineStr">
        <is>
          <t>Den oever</t>
        </is>
      </c>
    </row>
    <row r="36">
      <c r="A36" t="inlineStr">
        <is>
          <t>Akkerweg 41 [068]</t>
        </is>
      </c>
      <c r="B36" t="inlineStr">
        <is>
          <t>0326</t>
        </is>
      </c>
      <c r="C36" t="inlineStr">
        <is>
          <t>HTC Facility</t>
        </is>
      </c>
      <c r="H36" t="inlineStr">
        <is>
          <t>Den oever</t>
        </is>
      </c>
    </row>
    <row r="37">
      <c r="A37" t="inlineStr">
        <is>
          <t>Akkerweg 41 [074]</t>
        </is>
      </c>
      <c r="B37" t="inlineStr">
        <is>
          <t>0379</t>
        </is>
      </c>
      <c r="C37" t="inlineStr">
        <is>
          <t>Housing en Transport Facilities BV</t>
        </is>
      </c>
      <c r="H37" t="inlineStr">
        <is>
          <t>Den Oever</t>
        </is>
      </c>
    </row>
    <row r="38">
      <c r="A38" t="inlineStr">
        <is>
          <t>Akkerweg 41 [075]</t>
        </is>
      </c>
      <c r="B38" t="inlineStr">
        <is>
          <t>0307</t>
        </is>
      </c>
      <c r="C38" t="inlineStr">
        <is>
          <t>HousingWell</t>
        </is>
      </c>
      <c r="H38" t="inlineStr">
        <is>
          <t>Den oever</t>
        </is>
      </c>
    </row>
    <row r="39">
      <c r="A39" t="inlineStr">
        <is>
          <t>Allard Piersonlaan 142</t>
        </is>
      </c>
      <c r="B39" t="inlineStr">
        <is>
          <t>0002</t>
        </is>
      </c>
      <c r="C39" t="inlineStr">
        <is>
          <t>I-housing Vastgoed</t>
        </is>
      </c>
      <c r="G39" t="inlineStr">
        <is>
          <t>2522 MT</t>
        </is>
      </c>
      <c r="H39" t="inlineStr">
        <is>
          <t>Den Haag</t>
        </is>
      </c>
    </row>
    <row r="40">
      <c r="A40" t="inlineStr">
        <is>
          <t>Ambergweg 14</t>
        </is>
      </c>
      <c r="B40" t="inlineStr">
        <is>
          <t>0201</t>
        </is>
      </c>
      <c r="C40" t="inlineStr">
        <is>
          <t>Impes Service</t>
        </is>
      </c>
      <c r="G40" t="inlineStr">
        <is>
          <t>3081JH</t>
        </is>
      </c>
      <c r="H40" t="inlineStr">
        <is>
          <t>Rotterdam</t>
        </is>
      </c>
    </row>
    <row r="41">
      <c r="A41" t="inlineStr">
        <is>
          <t>Amperelaan 23</t>
        </is>
      </c>
      <c r="B41" t="inlineStr">
        <is>
          <t>0043</t>
        </is>
      </c>
      <c r="C41" t="inlineStr">
        <is>
          <t xml:space="preserve">Impianti Industriala S.P.A.  </t>
        </is>
      </c>
      <c r="G41" t="inlineStr">
        <is>
          <t>3131 HC</t>
        </is>
      </c>
      <c r="H41" t="inlineStr">
        <is>
          <t>Vlaardingen</t>
        </is>
      </c>
    </row>
    <row r="42">
      <c r="A42" t="inlineStr">
        <is>
          <t>Amperestraat 36A</t>
        </is>
      </c>
      <c r="B42" t="inlineStr">
        <is>
          <t>0135</t>
        </is>
      </c>
      <c r="C42" t="inlineStr">
        <is>
          <t>InAxtion Vastgoed B.V.</t>
        </is>
      </c>
      <c r="E42" t="inlineStr">
        <is>
          <t>Invoice.vastgoed@inaxtion.com</t>
        </is>
      </c>
      <c r="G42" t="inlineStr">
        <is>
          <t>3112 GA</t>
        </is>
      </c>
      <c r="H42" t="inlineStr">
        <is>
          <t>Schiedam</t>
        </is>
      </c>
    </row>
    <row r="43">
      <c r="A43" t="inlineStr">
        <is>
          <t>Archimedesstraat 6B</t>
        </is>
      </c>
      <c r="B43" t="inlineStr">
        <is>
          <t>0353</t>
        </is>
      </c>
      <c r="C43" t="inlineStr">
        <is>
          <t>Industrial Technical Services</t>
        </is>
      </c>
      <c r="G43" t="inlineStr">
        <is>
          <t>3112DB</t>
        </is>
      </c>
      <c r="H43" t="inlineStr">
        <is>
          <t>Schiedam</t>
        </is>
      </c>
    </row>
    <row r="44">
      <c r="A44" t="inlineStr">
        <is>
          <t>Arkelse onderweg 24a</t>
        </is>
      </c>
      <c r="B44" t="inlineStr">
        <is>
          <t>0008</t>
        </is>
      </c>
      <c r="C44" t="inlineStr">
        <is>
          <t>Industrial Technical Services Srl</t>
        </is>
      </c>
      <c r="G44" t="inlineStr">
        <is>
          <t>1779GJ</t>
        </is>
      </c>
      <c r="H44" t="inlineStr">
        <is>
          <t>Den Oever</t>
        </is>
      </c>
    </row>
    <row r="45">
      <c r="A45" t="inlineStr">
        <is>
          <t>Baanhoek 137</t>
        </is>
      </c>
      <c r="B45" t="inlineStr">
        <is>
          <t>0367</t>
        </is>
      </c>
      <c r="C45" t="inlineStr">
        <is>
          <t>Interim Jobs B.V.</t>
        </is>
      </c>
      <c r="E45" t="inlineStr">
        <is>
          <t>e.ozel@interimjobs.nl</t>
        </is>
      </c>
      <c r="H45" t="inlineStr">
        <is>
          <t>Sliedrecht</t>
        </is>
      </c>
    </row>
    <row r="46">
      <c r="A46" t="inlineStr">
        <is>
          <t>Baanhoek 19</t>
        </is>
      </c>
      <c r="B46" t="inlineStr">
        <is>
          <t>0055</t>
        </is>
      </c>
      <c r="C46" t="inlineStr">
        <is>
          <t>Interwell Oost B.V.</t>
        </is>
      </c>
      <c r="G46" t="inlineStr">
        <is>
          <t>3028GH</t>
        </is>
      </c>
      <c r="H46" t="inlineStr">
        <is>
          <t>Rotterdam</t>
        </is>
      </c>
    </row>
    <row r="47">
      <c r="A47" t="inlineStr">
        <is>
          <t>Baarlelaan 27</t>
        </is>
      </c>
      <c r="B47" t="inlineStr">
        <is>
          <t>0012</t>
        </is>
      </c>
      <c r="C47" t="inlineStr">
        <is>
          <t>Jan Mulder</t>
        </is>
      </c>
      <c r="E47" t="inlineStr">
        <is>
          <t>jan.mulder@example.com</t>
        </is>
      </c>
      <c r="G47" t="inlineStr">
        <is>
          <t>1779GJ</t>
        </is>
      </c>
      <c r="H47" t="inlineStr">
        <is>
          <t>Den Oever</t>
        </is>
      </c>
    </row>
    <row r="48">
      <c r="A48" t="inlineStr">
        <is>
          <t>Baarsveen 197</t>
        </is>
      </c>
      <c r="B48" t="inlineStr">
        <is>
          <t>0013</t>
        </is>
      </c>
      <c r="C48" t="inlineStr">
        <is>
          <t>Jan Smit</t>
        </is>
      </c>
      <c r="E48" t="inlineStr">
        <is>
          <t>jan.smit@example.com</t>
        </is>
      </c>
      <c r="G48" t="inlineStr">
        <is>
          <t>3205 BB</t>
        </is>
      </c>
      <c r="H48" t="inlineStr">
        <is>
          <t>Spijkenisse</t>
        </is>
      </c>
    </row>
    <row r="49">
      <c r="A49" t="inlineStr">
        <is>
          <t>Beatrixstraat 3</t>
        </is>
      </c>
      <c r="B49" t="inlineStr">
        <is>
          <t>0040</t>
        </is>
      </c>
      <c r="C49" t="inlineStr">
        <is>
          <t>Julia Groot</t>
        </is>
      </c>
      <c r="E49" t="inlineStr">
        <is>
          <t>julia.groot@example.com</t>
        </is>
      </c>
      <c r="G49" t="inlineStr">
        <is>
          <t>8325BD</t>
        </is>
      </c>
      <c r="H49" t="inlineStr">
        <is>
          <t>Vollenhove</t>
        </is>
      </c>
    </row>
    <row r="50">
      <c r="A50" t="inlineStr">
        <is>
          <t>Beeklaan 294</t>
        </is>
      </c>
      <c r="B50" t="inlineStr">
        <is>
          <t>0152</t>
        </is>
      </c>
      <c r="C50" t="inlineStr">
        <is>
          <t>Kapitan workers</t>
        </is>
      </c>
      <c r="G50" t="inlineStr">
        <is>
          <t>1181TV</t>
        </is>
      </c>
      <c r="H50" t="inlineStr">
        <is>
          <t>Amstelveen</t>
        </is>
      </c>
    </row>
    <row r="51">
      <c r="A51" t="inlineStr">
        <is>
          <t>Besterdring 6</t>
        </is>
      </c>
      <c r="B51" t="inlineStr">
        <is>
          <t>0060</t>
        </is>
      </c>
      <c r="C51" t="inlineStr">
        <is>
          <t>Klaas Bos</t>
        </is>
      </c>
      <c r="E51" t="inlineStr">
        <is>
          <t>klaas.bos@example.com</t>
        </is>
      </c>
      <c r="G51" t="inlineStr">
        <is>
          <t>2445AN</t>
        </is>
      </c>
      <c r="H51" t="inlineStr">
        <is>
          <t>Aarlanderveen</t>
        </is>
      </c>
    </row>
    <row r="52">
      <c r="A52" t="inlineStr">
        <is>
          <t>Bettingeslag 10</t>
        </is>
      </c>
      <c r="B52" t="inlineStr">
        <is>
          <t>0322</t>
        </is>
      </c>
      <c r="C52" t="inlineStr">
        <is>
          <t>Klaas Jansen</t>
        </is>
      </c>
      <c r="E52" t="inlineStr">
        <is>
          <t>klaas.jansen@example.com</t>
        </is>
      </c>
      <c r="G52" t="inlineStr">
        <is>
          <t>7824HD</t>
        </is>
      </c>
      <c r="H52" t="inlineStr">
        <is>
          <t>Emmen</t>
        </is>
      </c>
    </row>
    <row r="53">
      <c r="A53" t="inlineStr">
        <is>
          <t>Beukenlaan 53</t>
        </is>
      </c>
      <c r="B53" t="inlineStr">
        <is>
          <t>0346</t>
        </is>
      </c>
      <c r="C53" t="inlineStr">
        <is>
          <t>Labour Housing B.V.</t>
        </is>
      </c>
      <c r="G53" t="inlineStr">
        <is>
          <t>3181XA</t>
        </is>
      </c>
      <c r="H53" t="inlineStr">
        <is>
          <t>Rozenburg</t>
        </is>
      </c>
    </row>
    <row r="54">
      <c r="A54" t="inlineStr">
        <is>
          <t>Bisschopstraat 68</t>
        </is>
      </c>
      <c r="B54" t="inlineStr">
        <is>
          <t>0047</t>
        </is>
      </c>
      <c r="C54" t="inlineStr">
        <is>
          <t>Lago perseelshuisvesting</t>
        </is>
      </c>
      <c r="G54" t="inlineStr">
        <is>
          <t>3131 DB</t>
        </is>
      </c>
      <c r="H54" t="inlineStr">
        <is>
          <t>Vlaardingen</t>
        </is>
      </c>
    </row>
    <row r="55">
      <c r="A55" t="inlineStr">
        <is>
          <t>Bliek 41</t>
        </is>
      </c>
      <c r="B55" t="inlineStr">
        <is>
          <t>0048</t>
        </is>
      </c>
      <c r="C55" t="inlineStr">
        <is>
          <t>Light Personeelsdiensten</t>
        </is>
      </c>
      <c r="G55" t="inlineStr">
        <is>
          <t>8442EX</t>
        </is>
      </c>
      <c r="H55" t="inlineStr">
        <is>
          <t>Heerenveen</t>
        </is>
      </c>
    </row>
    <row r="56">
      <c r="A56" t="inlineStr">
        <is>
          <t>Bornerbroekstraat 129A</t>
        </is>
      </c>
      <c r="B56" t="inlineStr">
        <is>
          <t>0049</t>
        </is>
      </c>
      <c r="C56" t="inlineStr">
        <is>
          <t>LogIQ</t>
        </is>
      </c>
      <c r="G56" t="inlineStr">
        <is>
          <t>8442GA</t>
        </is>
      </c>
      <c r="H56" t="inlineStr">
        <is>
          <t>Heerenveen</t>
        </is>
      </c>
    </row>
    <row r="57">
      <c r="A57" t="inlineStr">
        <is>
          <t>Bovendijk 59</t>
        </is>
      </c>
      <c r="B57" t="inlineStr">
        <is>
          <t>0280</t>
        </is>
      </c>
      <c r="C57" t="inlineStr">
        <is>
          <t>Looije</t>
        </is>
      </c>
      <c r="H57" t="inlineStr">
        <is>
          <t>Kwintsheul</t>
        </is>
      </c>
    </row>
    <row r="58">
      <c r="A58" t="inlineStr">
        <is>
          <t>Bovendijk 61</t>
        </is>
      </c>
      <c r="B58" t="inlineStr">
        <is>
          <t>0281</t>
        </is>
      </c>
      <c r="C58" t="inlineStr">
        <is>
          <t>Lucas Visser</t>
        </is>
      </c>
      <c r="E58" t="inlineStr">
        <is>
          <t>lucas.visser@example.com</t>
        </is>
      </c>
      <c r="H58" t="inlineStr">
        <is>
          <t>Kwintsheul</t>
        </is>
      </c>
    </row>
    <row r="59">
      <c r="A59" t="inlineStr">
        <is>
          <t>Broekweg 25</t>
        </is>
      </c>
      <c r="B59" t="inlineStr">
        <is>
          <t>0004</t>
        </is>
      </c>
      <c r="C59" t="inlineStr">
        <is>
          <t>Lucas Vos</t>
        </is>
      </c>
      <c r="E59" t="inlineStr">
        <is>
          <t>lucas.vos@example.com</t>
        </is>
      </c>
      <c r="G59" t="inlineStr">
        <is>
          <t>3131 HC</t>
        </is>
      </c>
      <c r="H59" t="inlineStr">
        <is>
          <t>Vlaardingen</t>
        </is>
      </c>
    </row>
    <row r="60">
      <c r="A60" t="inlineStr">
        <is>
          <t>Broersveld 150A</t>
        </is>
      </c>
      <c r="B60" t="inlineStr">
        <is>
          <t>0155</t>
        </is>
      </c>
      <c r="C60" t="inlineStr">
        <is>
          <t>MNA Proud Facilities B.V.</t>
        </is>
      </c>
      <c r="G60" t="inlineStr">
        <is>
          <t>3131 TG</t>
        </is>
      </c>
      <c r="H60" t="inlineStr">
        <is>
          <t>Vlaardingen</t>
        </is>
      </c>
    </row>
    <row r="61">
      <c r="A61" t="inlineStr">
        <is>
          <t>Broersvest 74 c</t>
        </is>
      </c>
      <c r="B61" t="inlineStr">
        <is>
          <t>0156</t>
        </is>
      </c>
      <c r="C61" t="inlineStr">
        <is>
          <t>Mila de Vries</t>
        </is>
      </c>
      <c r="E61" t="inlineStr">
        <is>
          <t>mila.de.vries@example.com</t>
        </is>
      </c>
      <c r="G61" t="inlineStr">
        <is>
          <t>3191EH</t>
        </is>
      </c>
      <c r="H61" t="inlineStr">
        <is>
          <t>Hoogvliet</t>
        </is>
      </c>
    </row>
    <row r="62">
      <c r="A62" t="inlineStr">
        <is>
          <t>Buizerdstraat 210</t>
        </is>
      </c>
      <c r="B62" t="inlineStr">
        <is>
          <t>0027</t>
        </is>
      </c>
      <c r="C62" t="inlineStr">
        <is>
          <t>N2 People</t>
        </is>
      </c>
      <c r="G62" t="inlineStr">
        <is>
          <t>3145 AD</t>
        </is>
      </c>
      <c r="H62" t="inlineStr">
        <is>
          <t>Maassluis</t>
        </is>
      </c>
    </row>
    <row r="63">
      <c r="A63" t="inlineStr">
        <is>
          <t>Burchtstraat 16a</t>
        </is>
      </c>
      <c r="B63" t="inlineStr">
        <is>
          <t>0097</t>
        </is>
      </c>
      <c r="C63" t="inlineStr">
        <is>
          <t>NL Realty</t>
        </is>
      </c>
      <c r="H63" t="inlineStr">
        <is>
          <t>Oostburg</t>
        </is>
      </c>
    </row>
    <row r="64">
      <c r="A64" t="inlineStr">
        <is>
          <t>Burgemeester Cramerlaan 82</t>
        </is>
      </c>
      <c r="B64" t="inlineStr">
        <is>
          <t>0276</t>
        </is>
      </c>
      <c r="C64" t="inlineStr">
        <is>
          <t>OJP</t>
        </is>
      </c>
      <c r="H64" t="inlineStr">
        <is>
          <t>DE LIER</t>
        </is>
      </c>
    </row>
    <row r="65">
      <c r="A65" t="inlineStr">
        <is>
          <t>Burgemeester Crezeelaan 76</t>
        </is>
      </c>
      <c r="B65" t="inlineStr">
        <is>
          <t>0275</t>
        </is>
      </c>
      <c r="C65" t="inlineStr">
        <is>
          <t>Oostkracht Bemiddeling B.V.</t>
        </is>
      </c>
      <c r="E65" t="inlineStr">
        <is>
          <t>info@ok-groep.nl</t>
        </is>
      </c>
      <c r="H65" t="inlineStr">
        <is>
          <t>DE LIER</t>
        </is>
      </c>
    </row>
    <row r="66">
      <c r="A66" t="inlineStr">
        <is>
          <t>Burgemeester Stulemeijerlaan 71</t>
        </is>
      </c>
      <c r="B66" t="inlineStr">
        <is>
          <t>0292</t>
        </is>
      </c>
      <c r="C66" t="inlineStr">
        <is>
          <t>Optima</t>
        </is>
      </c>
      <c r="H66" t="inlineStr">
        <is>
          <t>Schiedam</t>
        </is>
      </c>
    </row>
    <row r="67">
      <c r="A67" t="inlineStr">
        <is>
          <t>Chopinstraat 33C</t>
        </is>
      </c>
      <c r="B67" t="inlineStr">
        <is>
          <t>0160</t>
        </is>
      </c>
      <c r="C67" t="inlineStr">
        <is>
          <t>Orange Investments Group</t>
        </is>
      </c>
      <c r="G67" t="inlineStr">
        <is>
          <t>3191EH</t>
        </is>
      </c>
      <c r="H67" t="inlineStr">
        <is>
          <t>Hoogvliet</t>
        </is>
      </c>
    </row>
    <row r="68">
      <c r="A68" t="inlineStr">
        <is>
          <t>Chopinstraat 35A</t>
        </is>
      </c>
      <c r="B68" t="inlineStr">
        <is>
          <t>0131</t>
        </is>
      </c>
      <c r="C68" t="inlineStr">
        <is>
          <t>Oranjegroep</t>
        </is>
      </c>
      <c r="G68" t="inlineStr">
        <is>
          <t>3079 KC</t>
        </is>
      </c>
      <c r="H68" t="inlineStr">
        <is>
          <t>Rotterdam</t>
        </is>
      </c>
    </row>
    <row r="69">
      <c r="A69" t="inlineStr">
        <is>
          <t>Chopinstraat 39C</t>
        </is>
      </c>
      <c r="B69" t="inlineStr">
        <is>
          <t>0026</t>
        </is>
      </c>
      <c r="C69" t="inlineStr">
        <is>
          <t>PRP Solutions Flex Sp. Z.O.O.</t>
        </is>
      </c>
      <c r="G69" t="inlineStr">
        <is>
          <t>2522 MT</t>
        </is>
      </c>
      <c r="H69" t="inlineStr">
        <is>
          <t>Den Haag</t>
        </is>
      </c>
    </row>
    <row r="70">
      <c r="A70" t="inlineStr">
        <is>
          <t>Cloosterstraat 23a</t>
        </is>
      </c>
      <c r="B70" t="inlineStr">
        <is>
          <t>0370</t>
        </is>
      </c>
      <c r="C70" t="inlineStr">
        <is>
          <t>People21 Services BV</t>
        </is>
      </c>
      <c r="E70" t="inlineStr">
        <is>
          <t>administratie@people21.eu</t>
        </is>
      </c>
      <c r="G70" t="inlineStr">
        <is>
          <t>4587CA</t>
        </is>
      </c>
      <c r="H70" t="inlineStr">
        <is>
          <t>Kloosterzande</t>
        </is>
      </c>
    </row>
    <row r="71">
      <c r="A71" t="inlineStr">
        <is>
          <t>Coehoorn van Scheltingaweg 12</t>
        </is>
      </c>
      <c r="B71" t="inlineStr">
        <is>
          <t>0051</t>
        </is>
      </c>
      <c r="C71" t="inlineStr">
        <is>
          <t>Professional Manpower Management</t>
        </is>
      </c>
      <c r="G71" t="inlineStr">
        <is>
          <t>3193XA</t>
        </is>
      </c>
      <c r="H71" t="inlineStr">
        <is>
          <t>Hoogvliet</t>
        </is>
      </c>
    </row>
    <row r="72">
      <c r="A72" t="inlineStr">
        <is>
          <t>Coehoorn van Scheltingaweg 66</t>
        </is>
      </c>
      <c r="B72" t="inlineStr">
        <is>
          <t>0052</t>
        </is>
      </c>
      <c r="C72" t="inlineStr">
        <is>
          <t>Pythagoras Construction s.r.l.</t>
        </is>
      </c>
      <c r="G72" t="inlineStr">
        <is>
          <t>3132PG</t>
        </is>
      </c>
      <c r="H72" t="inlineStr">
        <is>
          <t>Vlaardingen</t>
        </is>
      </c>
    </row>
    <row r="73">
      <c r="A73" t="inlineStr">
        <is>
          <t>Compierekade 15</t>
        </is>
      </c>
      <c r="B73" t="inlineStr">
        <is>
          <t>0345</t>
        </is>
      </c>
      <c r="C73" t="inlineStr">
        <is>
          <t>RNDV</t>
        </is>
      </c>
      <c r="H73" t="inlineStr">
        <is>
          <t>Alphen a/d Rijn</t>
        </is>
      </c>
    </row>
    <row r="74">
      <c r="A74" t="inlineStr">
        <is>
          <t>Coornhertstraat 95</t>
        </is>
      </c>
      <c r="B74" t="inlineStr">
        <is>
          <t>0162</t>
        </is>
      </c>
      <c r="C74" t="inlineStr">
        <is>
          <t>Randstad Wonen</t>
        </is>
      </c>
      <c r="E74" t="inlineStr">
        <is>
          <t>info@randstadwonen.nl</t>
        </is>
      </c>
      <c r="G74" t="inlineStr">
        <is>
          <t>3191EH</t>
        </is>
      </c>
      <c r="H74" t="inlineStr">
        <is>
          <t>Hoogvliet</t>
        </is>
      </c>
    </row>
    <row r="75">
      <c r="A75" t="inlineStr">
        <is>
          <t>Cubalaan 25</t>
        </is>
      </c>
      <c r="B75" t="inlineStr">
        <is>
          <t>0375</t>
        </is>
      </c>
      <c r="C75" t="inlineStr">
        <is>
          <t>RoyalDS</t>
        </is>
      </c>
      <c r="G75" t="inlineStr">
        <is>
          <t>2685 LA</t>
        </is>
      </c>
      <c r="H75" t="inlineStr">
        <is>
          <t>Poeldijk</t>
        </is>
      </c>
    </row>
    <row r="76">
      <c r="A76" t="inlineStr">
        <is>
          <t>Curacaolaan 24</t>
        </is>
      </c>
      <c r="B76" t="inlineStr">
        <is>
          <t>0163</t>
        </is>
      </c>
      <c r="C76" t="inlineStr">
        <is>
          <t>Sem Bos</t>
        </is>
      </c>
      <c r="E76" t="inlineStr">
        <is>
          <t>sem.bos@example.com</t>
        </is>
      </c>
      <c r="G76" t="inlineStr">
        <is>
          <t>3191EH</t>
        </is>
      </c>
      <c r="H76" t="inlineStr">
        <is>
          <t>Hoogvliet</t>
        </is>
      </c>
    </row>
    <row r="77">
      <c r="A77" t="inlineStr">
        <is>
          <t>Curacaolaan 88</t>
        </is>
      </c>
      <c r="B77" t="inlineStr">
        <is>
          <t>0030</t>
        </is>
      </c>
      <c r="C77" t="inlineStr">
        <is>
          <t>Sem Meijer</t>
        </is>
      </c>
      <c r="E77" t="inlineStr">
        <is>
          <t>sem.meijer@example.com</t>
        </is>
      </c>
      <c r="G77" t="inlineStr">
        <is>
          <t>3112DB</t>
        </is>
      </c>
      <c r="H77" t="inlineStr">
        <is>
          <t>Schiedam</t>
        </is>
      </c>
    </row>
    <row r="78">
      <c r="A78" t="inlineStr">
        <is>
          <t>Curcumastraat 39</t>
        </is>
      </c>
      <c r="B78" t="inlineStr">
        <is>
          <t>0053</t>
        </is>
      </c>
      <c r="C78" t="inlineStr">
        <is>
          <t>Shell Expats</t>
        </is>
      </c>
      <c r="E78" t="inlineStr">
        <is>
          <t>housing@shell.com</t>
        </is>
      </c>
      <c r="G78" t="inlineStr">
        <is>
          <t>8918JZ</t>
        </is>
      </c>
      <c r="H78" t="inlineStr">
        <is>
          <t>Leeuwarden</t>
        </is>
      </c>
    </row>
    <row r="79">
      <c r="A79" t="inlineStr">
        <is>
          <t>Datheenstraat 255</t>
        </is>
      </c>
      <c r="B79" t="inlineStr">
        <is>
          <t>0151</t>
        </is>
      </c>
      <c r="C79" t="inlineStr">
        <is>
          <t>Sophie de Vries</t>
        </is>
      </c>
      <c r="E79" t="inlineStr">
        <is>
          <t>sophie.de.vries@example.com</t>
        </is>
      </c>
      <c r="G79" t="inlineStr">
        <is>
          <t>3027AK</t>
        </is>
      </c>
      <c r="H79" t="inlineStr">
        <is>
          <t>Rotterdam</t>
        </is>
      </c>
    </row>
    <row r="80">
      <c r="A80" t="inlineStr">
        <is>
          <t>De Driesprong 17</t>
        </is>
      </c>
      <c r="B80" t="inlineStr">
        <is>
          <t>0165</t>
        </is>
      </c>
      <c r="C80" t="inlineStr">
        <is>
          <t>Stay21</t>
        </is>
      </c>
      <c r="G80" t="inlineStr">
        <is>
          <t>3255AL</t>
        </is>
      </c>
      <c r="H80" t="inlineStr">
        <is>
          <t>Oude-Tonge</t>
        </is>
      </c>
    </row>
    <row r="81">
      <c r="A81" t="inlineStr">
        <is>
          <t>De Gasperistraat 11</t>
        </is>
      </c>
      <c r="B81" t="inlineStr">
        <is>
          <t>0054</t>
        </is>
      </c>
      <c r="C81" t="inlineStr">
        <is>
          <t>Strukton</t>
        </is>
      </c>
      <c r="E81" t="inlineStr">
        <is>
          <t>info@strukton.com</t>
        </is>
      </c>
      <c r="G81" t="inlineStr">
        <is>
          <t>4926DC</t>
        </is>
      </c>
      <c r="H81" t="inlineStr">
        <is>
          <t>Lage Zwaluwe</t>
        </is>
      </c>
    </row>
    <row r="82">
      <c r="A82" t="inlineStr">
        <is>
          <t>De Haak</t>
        </is>
      </c>
      <c r="B82" t="inlineStr">
        <is>
          <t>0290</t>
        </is>
      </c>
      <c r="C82" t="inlineStr">
        <is>
          <t>Suricare</t>
        </is>
      </c>
      <c r="H82" t="inlineStr">
        <is>
          <t>De Haa</t>
        </is>
      </c>
    </row>
    <row r="83">
      <c r="A83" t="inlineStr">
        <is>
          <t>De Haak, Zekkenstraat 31A</t>
        </is>
      </c>
      <c r="B83" t="inlineStr">
        <is>
          <t>0288</t>
        </is>
      </c>
      <c r="C83" t="inlineStr">
        <is>
          <t>THS EU B.V.</t>
        </is>
      </c>
      <c r="E83" t="inlineStr">
        <is>
          <t>invoices@tecline.com</t>
        </is>
      </c>
      <c r="G83" t="inlineStr">
        <is>
          <t>3151 XP</t>
        </is>
      </c>
      <c r="H83" t="inlineStr">
        <is>
          <t>Hoek van Holland</t>
        </is>
      </c>
    </row>
    <row r="84">
      <c r="A84" t="inlineStr">
        <is>
          <t>De Haak, Zekkenstraat 31B</t>
        </is>
      </c>
      <c r="B84" t="inlineStr">
        <is>
          <t>0289</t>
        </is>
      </c>
      <c r="C84" t="inlineStr">
        <is>
          <t>Team Home Rentals</t>
        </is>
      </c>
      <c r="G84" t="inlineStr">
        <is>
          <t>3151 XP</t>
        </is>
      </c>
      <c r="H84" t="inlineStr">
        <is>
          <t>Hoek van Holland</t>
        </is>
      </c>
    </row>
    <row r="85">
      <c r="A85" t="inlineStr">
        <is>
          <t>De Hooidollen 606</t>
        </is>
      </c>
      <c r="B85" t="inlineStr">
        <is>
          <t>0056</t>
        </is>
      </c>
      <c r="C85" t="inlineStr">
        <is>
          <t>Team Unica (nieuw per 17-05)</t>
        </is>
      </c>
      <c r="G85" t="inlineStr">
        <is>
          <t>5111CH</t>
        </is>
      </c>
      <c r="H85" t="inlineStr">
        <is>
          <t>Baarle-Nassau</t>
        </is>
      </c>
    </row>
    <row r="86">
      <c r="A86" t="inlineStr">
        <is>
          <t>De Wingel 8B</t>
        </is>
      </c>
      <c r="B86" t="inlineStr">
        <is>
          <t>0371</t>
        </is>
      </c>
      <c r="C86" t="inlineStr">
        <is>
          <t>TechCorp</t>
        </is>
      </c>
      <c r="E86" t="inlineStr">
        <is>
          <t>hr@techcorp.com</t>
        </is>
      </c>
      <c r="H86" t="inlineStr">
        <is>
          <t>Lage Zwaluwe</t>
        </is>
      </c>
    </row>
    <row r="87">
      <c r="A87" t="inlineStr">
        <is>
          <t>Deensestraat 6A2</t>
        </is>
      </c>
      <c r="B87" t="inlineStr">
        <is>
          <t>0153</t>
        </is>
      </c>
      <c r="C87" t="inlineStr">
        <is>
          <t>Tradiro</t>
        </is>
      </c>
      <c r="E87" t="inlineStr">
        <is>
          <t>planning@tradiro.nl</t>
        </is>
      </c>
      <c r="G87" t="inlineStr">
        <is>
          <t>2543GG</t>
        </is>
      </c>
      <c r="H87" t="inlineStr">
        <is>
          <t>Den Haag</t>
        </is>
      </c>
    </row>
    <row r="88">
      <c r="A88" t="inlineStr">
        <is>
          <t>Desiree Geeraerstraat 1b</t>
        </is>
      </c>
      <c r="B88" t="inlineStr">
        <is>
          <t>0023</t>
        </is>
      </c>
      <c r="C88" t="inlineStr">
        <is>
          <t>Transport People B.V.</t>
        </is>
      </c>
      <c r="E88" t="inlineStr">
        <is>
          <t>facturenaalsmeer@transportpeople.nl</t>
        </is>
      </c>
      <c r="G88" t="inlineStr">
        <is>
          <t>1779GJ</t>
        </is>
      </c>
      <c r="H88" t="inlineStr">
        <is>
          <t xml:space="preserve">Den Oever </t>
        </is>
      </c>
    </row>
    <row r="89">
      <c r="A89" t="inlineStr">
        <is>
          <t>Desiree Geeraertstraat 1 C</t>
        </is>
      </c>
      <c r="B89" t="inlineStr">
        <is>
          <t>0024</t>
        </is>
      </c>
      <c r="C89" t="inlineStr">
        <is>
          <t>UAB Techsoma</t>
        </is>
      </c>
      <c r="G89" t="inlineStr">
        <is>
          <t>1779GJ</t>
        </is>
      </c>
      <c r="H89" t="inlineStr">
        <is>
          <t xml:space="preserve">Den Oever </t>
        </is>
      </c>
    </row>
    <row r="90">
      <c r="A90" t="inlineStr">
        <is>
          <t>Deugenweerd 18</t>
        </is>
      </c>
      <c r="B90" t="inlineStr">
        <is>
          <t>0058</t>
        </is>
      </c>
      <c r="C90" t="inlineStr">
        <is>
          <t>UAB Toromega</t>
        </is>
      </c>
      <c r="G90" t="inlineStr">
        <is>
          <t>7271XT</t>
        </is>
      </c>
      <c r="H90" t="inlineStr">
        <is>
          <t>Borculo</t>
        </is>
      </c>
    </row>
    <row r="91">
      <c r="A91" t="inlineStr">
        <is>
          <t>Dieptol 63</t>
        </is>
      </c>
      <c r="B91" t="inlineStr">
        <is>
          <t>0059</t>
        </is>
      </c>
      <c r="C91" t="inlineStr">
        <is>
          <t>United Homes</t>
        </is>
      </c>
      <c r="G91" t="inlineStr">
        <is>
          <t>8332BK</t>
        </is>
      </c>
      <c r="H91" t="inlineStr">
        <is>
          <t xml:space="preserve">Steenwijk </t>
        </is>
      </c>
    </row>
    <row r="92">
      <c r="A92" t="inlineStr">
        <is>
          <t>Dorpsstraat 48</t>
        </is>
      </c>
      <c r="B92" t="inlineStr">
        <is>
          <t>0354</t>
        </is>
      </c>
      <c r="C92" t="inlineStr">
        <is>
          <t>United homes</t>
        </is>
      </c>
      <c r="G92" t="inlineStr">
        <is>
          <t>2445AN</t>
        </is>
      </c>
      <c r="H92" t="inlineStr">
        <is>
          <t>Aarlanderveen</t>
        </is>
      </c>
    </row>
    <row r="93">
      <c r="A93" t="inlineStr">
        <is>
          <t>Dorpsstraat 73</t>
        </is>
      </c>
      <c r="B93" t="inlineStr">
        <is>
          <t>0066</t>
        </is>
      </c>
      <c r="C93" t="inlineStr">
        <is>
          <t>Vivir Wonen</t>
        </is>
      </c>
      <c r="E93" t="inlineStr">
        <is>
          <t>info@vivirwonen.nl</t>
        </is>
      </c>
      <c r="G93" t="inlineStr">
        <is>
          <t>3133EC</t>
        </is>
      </c>
      <c r="H93" t="inlineStr">
        <is>
          <t>Vlaardingen</t>
        </is>
      </c>
    </row>
    <row r="94">
      <c r="A94" t="inlineStr">
        <is>
          <t>Dorpstraat 48</t>
        </is>
      </c>
      <c r="B94" t="inlineStr">
        <is>
          <t>0203</t>
        </is>
      </c>
      <c r="C94" t="inlineStr">
        <is>
          <t>WS Wonen B.V.</t>
        </is>
      </c>
      <c r="G94" t="inlineStr">
        <is>
          <t>3114NP</t>
        </is>
      </c>
      <c r="H94" t="inlineStr">
        <is>
          <t>Schiedam</t>
        </is>
      </c>
    </row>
    <row r="95">
      <c r="A95" t="inlineStr">
        <is>
          <t>Dwarsweg 44</t>
        </is>
      </c>
      <c r="B95" t="inlineStr">
        <is>
          <t>0061</t>
        </is>
      </c>
      <c r="C95" t="inlineStr">
        <is>
          <t>Welcome Housing BV</t>
        </is>
      </c>
      <c r="H95" t="inlineStr">
        <is>
          <t>Rozenburg</t>
        </is>
      </c>
    </row>
    <row r="96">
      <c r="A96" t="inlineStr">
        <is>
          <t>Eendrachtstraat 22</t>
        </is>
      </c>
      <c r="B96" t="inlineStr">
        <is>
          <t>0062</t>
        </is>
      </c>
      <c r="C96" t="inlineStr">
        <is>
          <t>Werckpost</t>
        </is>
      </c>
      <c r="G96" t="inlineStr">
        <is>
          <t>2841 BH</t>
        </is>
      </c>
      <c r="H96" t="inlineStr">
        <is>
          <t>Moordrecht</t>
        </is>
      </c>
    </row>
    <row r="97">
      <c r="A97" t="inlineStr">
        <is>
          <t>Elisadonk 220</t>
        </is>
      </c>
      <c r="B97" t="inlineStr">
        <is>
          <t>0136</t>
        </is>
      </c>
      <c r="C97" t="inlineStr">
        <is>
          <t>Wil International BV</t>
        </is>
      </c>
      <c r="G97" t="inlineStr">
        <is>
          <t>3086KS</t>
        </is>
      </c>
      <c r="H97" t="inlineStr">
        <is>
          <t>Rotterdam</t>
        </is>
      </c>
    </row>
    <row r="98">
      <c r="A98" t="inlineStr">
        <is>
          <t xml:space="preserve">Energieweg 40 </t>
        </is>
      </c>
      <c r="B98" t="inlineStr">
        <is>
          <t>0063</t>
        </is>
      </c>
      <c r="C98" t="inlineStr">
        <is>
          <t>Wil Vakkrachten BV</t>
        </is>
      </c>
      <c r="G98" t="inlineStr">
        <is>
          <t>3181HG</t>
        </is>
      </c>
      <c r="H98" t="inlineStr">
        <is>
          <t>Rozenburg</t>
        </is>
      </c>
    </row>
    <row r="99">
      <c r="A99" t="inlineStr">
        <is>
          <t>Engelsestraat 16L1</t>
        </is>
      </c>
      <c r="B99" t="inlineStr">
        <is>
          <t>0168</t>
        </is>
      </c>
      <c r="C99" t="inlineStr">
        <is>
          <t>Workforce Housing International B.V.</t>
        </is>
      </c>
      <c r="G99" t="inlineStr">
        <is>
          <t>3131 HR</t>
        </is>
      </c>
      <c r="H99" t="inlineStr">
        <is>
          <t>Vlaardingen</t>
        </is>
      </c>
    </row>
    <row r="100">
      <c r="A100" t="inlineStr">
        <is>
          <t>Engelsestraat 16L3</t>
        </is>
      </c>
      <c r="B100" t="inlineStr">
        <is>
          <t>0095</t>
        </is>
      </c>
      <c r="G100" t="inlineStr">
        <is>
          <t>3028CG</t>
        </is>
      </c>
      <c r="H100" t="inlineStr">
        <is>
          <t>Rotterdam</t>
        </is>
      </c>
    </row>
    <row r="101">
      <c r="A101" t="inlineStr">
        <is>
          <t>Enk 6</t>
        </is>
      </c>
      <c r="B101" t="inlineStr">
        <is>
          <t>0064</t>
        </is>
      </c>
      <c r="G101" t="inlineStr">
        <is>
          <t>7621ES</t>
        </is>
      </c>
      <c r="H101" t="inlineStr">
        <is>
          <t>Borne</t>
        </is>
      </c>
    </row>
    <row r="102">
      <c r="A102" t="inlineStr">
        <is>
          <t>Enschotsestraat 163</t>
        </is>
      </c>
      <c r="B102" t="inlineStr">
        <is>
          <t>0006</t>
        </is>
      </c>
      <c r="G102" t="inlineStr">
        <is>
          <t>7902HN</t>
        </is>
      </c>
      <c r="H102" t="inlineStr">
        <is>
          <t>Hoogeveen</t>
        </is>
      </c>
    </row>
    <row r="103">
      <c r="A103" t="inlineStr">
        <is>
          <t>Esdoornlaan 68</t>
        </is>
      </c>
      <c r="B103" t="inlineStr">
        <is>
          <t>0065</t>
        </is>
      </c>
      <c r="G103" t="inlineStr">
        <is>
          <t>4707ER</t>
        </is>
      </c>
      <c r="H103" t="inlineStr">
        <is>
          <t>Roosendaal</t>
        </is>
      </c>
    </row>
    <row r="104">
      <c r="A104" t="inlineStr">
        <is>
          <t>Fabristraat 34A</t>
        </is>
      </c>
      <c r="B104" t="inlineStr">
        <is>
          <t>0093</t>
        </is>
      </c>
      <c r="G104" t="inlineStr">
        <is>
          <t>9205 CA</t>
        </is>
      </c>
      <c r="H104" t="inlineStr">
        <is>
          <t>Drachten</t>
        </is>
      </c>
    </row>
    <row r="105">
      <c r="A105" t="inlineStr">
        <is>
          <t>Fabristraat 34B</t>
        </is>
      </c>
      <c r="B105" t="inlineStr">
        <is>
          <t>0094</t>
        </is>
      </c>
      <c r="G105" t="inlineStr">
        <is>
          <t>2518 EG</t>
        </is>
      </c>
      <c r="H105" t="inlineStr">
        <is>
          <t>Den Haag</t>
        </is>
      </c>
    </row>
    <row r="106">
      <c r="A106" t="inlineStr">
        <is>
          <t>Fenacoliuslaan 56B</t>
        </is>
      </c>
      <c r="B106" t="inlineStr">
        <is>
          <t>0273</t>
        </is>
      </c>
      <c r="H106" t="inlineStr">
        <is>
          <t>Maassluis</t>
        </is>
      </c>
    </row>
    <row r="107">
      <c r="A107" t="inlineStr">
        <is>
          <t>Flankstraat 11</t>
        </is>
      </c>
      <c r="B107" t="inlineStr">
        <is>
          <t>0331</t>
        </is>
      </c>
      <c r="G107" t="inlineStr">
        <is>
          <t>4551AR</t>
        </is>
      </c>
      <c r="H107" t="inlineStr">
        <is>
          <t>Sas van Gent</t>
        </is>
      </c>
    </row>
    <row r="108">
      <c r="A108" t="inlineStr">
        <is>
          <t>Frans Erensstraat 21</t>
        </is>
      </c>
      <c r="B108" t="inlineStr">
        <is>
          <t>0068</t>
        </is>
      </c>
      <c r="G108" t="inlineStr">
        <is>
          <t>7621ES</t>
        </is>
      </c>
      <c r="H108" t="inlineStr">
        <is>
          <t>Borne</t>
        </is>
      </c>
    </row>
    <row r="109">
      <c r="A109" t="inlineStr">
        <is>
          <t>Franselaan 273B</t>
        </is>
      </c>
      <c r="B109" t="inlineStr">
        <is>
          <t>0019</t>
        </is>
      </c>
      <c r="G109" t="inlineStr">
        <is>
          <t>1779GJ</t>
        </is>
      </c>
      <c r="H109" t="inlineStr">
        <is>
          <t xml:space="preserve">Den Oever </t>
        </is>
      </c>
    </row>
    <row r="110">
      <c r="A110" t="inlineStr">
        <is>
          <t>Franz Liszstraat 5</t>
        </is>
      </c>
      <c r="B110" t="inlineStr">
        <is>
          <t>0067</t>
        </is>
      </c>
      <c r="G110" t="inlineStr">
        <is>
          <t>3028CG</t>
        </is>
      </c>
      <c r="H110" t="inlineStr">
        <is>
          <t>Rotterdam</t>
        </is>
      </c>
    </row>
    <row r="111">
      <c r="A111" t="inlineStr">
        <is>
          <t>G.A. Brederolaan 75B</t>
        </is>
      </c>
      <c r="B111" t="inlineStr">
        <is>
          <t>0017</t>
        </is>
      </c>
      <c r="G111" t="inlineStr">
        <is>
          <t>1779GJ</t>
        </is>
      </c>
      <c r="H111" t="inlineStr">
        <is>
          <t xml:space="preserve">Den Oever </t>
        </is>
      </c>
    </row>
    <row r="112">
      <c r="A112" t="inlineStr">
        <is>
          <t>Gaffelaar 3</t>
        </is>
      </c>
      <c r="B112" t="inlineStr">
        <is>
          <t>0069</t>
        </is>
      </c>
      <c r="G112" t="inlineStr">
        <is>
          <t>5014 DD</t>
        </is>
      </c>
      <c r="H112" t="inlineStr">
        <is>
          <t>Tilburg</t>
        </is>
      </c>
    </row>
    <row r="113">
      <c r="A113" t="inlineStr">
        <is>
          <t>Galgeweg 48-A</t>
        </is>
      </c>
      <c r="B113" t="inlineStr">
        <is>
          <t>0009</t>
        </is>
      </c>
      <c r="G113" t="inlineStr">
        <is>
          <t>1779GJ</t>
        </is>
      </c>
      <c r="H113" t="inlineStr">
        <is>
          <t>Den Oever</t>
        </is>
      </c>
    </row>
    <row r="114">
      <c r="A114" t="inlineStr">
        <is>
          <t>Geldersestraat 91</t>
        </is>
      </c>
      <c r="B114" t="inlineStr">
        <is>
          <t>0109</t>
        </is>
      </c>
      <c r="G114" t="inlineStr">
        <is>
          <t>1711RR</t>
        </is>
      </c>
      <c r="H114" t="inlineStr">
        <is>
          <t>Hensbroek</t>
        </is>
      </c>
    </row>
    <row r="115">
      <c r="A115" t="inlineStr">
        <is>
          <t>Geleenstraat 1</t>
        </is>
      </c>
      <c r="B115" t="inlineStr">
        <is>
          <t>0070</t>
        </is>
      </c>
      <c r="G115" t="inlineStr">
        <is>
          <t>3181XD</t>
        </is>
      </c>
      <c r="H115" t="inlineStr">
        <is>
          <t>Rozenburg</t>
        </is>
      </c>
    </row>
    <row r="116">
      <c r="A116" t="inlineStr">
        <is>
          <t>Gerberalaan 113</t>
        </is>
      </c>
      <c r="B116" t="inlineStr">
        <is>
          <t>0277</t>
        </is>
      </c>
      <c r="H116" t="inlineStr">
        <is>
          <t>Naaldwijk</t>
        </is>
      </c>
    </row>
    <row r="117">
      <c r="A117" t="inlineStr">
        <is>
          <t>Goudestein 30</t>
        </is>
      </c>
      <c r="B117" t="inlineStr">
        <is>
          <t>0170</t>
        </is>
      </c>
      <c r="G117" t="inlineStr">
        <is>
          <t>3181WT</t>
        </is>
      </c>
      <c r="H117" t="inlineStr">
        <is>
          <t>Rozenburg</t>
        </is>
      </c>
    </row>
    <row r="118">
      <c r="A118" t="inlineStr">
        <is>
          <t>Groenelaan 30B</t>
        </is>
      </c>
      <c r="B118" t="inlineStr">
        <is>
          <t>0025</t>
        </is>
      </c>
      <c r="G118" t="inlineStr">
        <is>
          <t>3114 CH</t>
        </is>
      </c>
      <c r="H118" t="inlineStr">
        <is>
          <t>Schiedam</t>
        </is>
      </c>
    </row>
    <row r="119">
      <c r="A119" t="inlineStr">
        <is>
          <t>Groeneweg 127</t>
        </is>
      </c>
      <c r="B119" t="inlineStr">
        <is>
          <t>0172</t>
        </is>
      </c>
      <c r="G119" t="inlineStr">
        <is>
          <t>3082 VJ</t>
        </is>
      </c>
      <c r="H119" t="inlineStr">
        <is>
          <t>Rotterdam</t>
        </is>
      </c>
    </row>
    <row r="120">
      <c r="A120" t="inlineStr">
        <is>
          <t>Groeneweg 71</t>
        </is>
      </c>
      <c r="B120" t="inlineStr">
        <is>
          <t>0173</t>
        </is>
      </c>
      <c r="G120" t="inlineStr">
        <is>
          <t>3311TK</t>
        </is>
      </c>
      <c r="H120" t="inlineStr">
        <is>
          <t>Dordrecht</t>
        </is>
      </c>
    </row>
    <row r="121">
      <c r="A121" t="inlineStr">
        <is>
          <t>Groeneweg 74</t>
        </is>
      </c>
      <c r="B121" t="inlineStr">
        <is>
          <t>0174</t>
        </is>
      </c>
      <c r="G121" t="inlineStr">
        <is>
          <t>3111PD</t>
        </is>
      </c>
      <c r="H121" t="inlineStr">
        <is>
          <t>Schiedam</t>
        </is>
      </c>
    </row>
    <row r="122">
      <c r="A122" t="inlineStr">
        <is>
          <t>H Deddenstraat 26</t>
        </is>
      </c>
      <c r="B122" t="inlineStr">
        <is>
          <t>0073</t>
        </is>
      </c>
      <c r="H122" t="inlineStr">
        <is>
          <t>Steggerda</t>
        </is>
      </c>
    </row>
    <row r="123">
      <c r="A123" t="inlineStr">
        <is>
          <t>H. Algraplein 25</t>
        </is>
      </c>
      <c r="B123" t="inlineStr">
        <is>
          <t>0071</t>
        </is>
      </c>
      <c r="G123" t="inlineStr">
        <is>
          <t>8802RE</t>
        </is>
      </c>
      <c r="H123" t="inlineStr">
        <is>
          <t>Franeker</t>
        </is>
      </c>
    </row>
    <row r="124">
      <c r="A124" t="inlineStr">
        <is>
          <t>Haagkamp 11</t>
        </is>
      </c>
      <c r="B124" t="inlineStr">
        <is>
          <t>0279</t>
        </is>
      </c>
      <c r="H124" t="inlineStr">
        <is>
          <t>Honselersdijk</t>
        </is>
      </c>
    </row>
    <row r="125">
      <c r="A125" t="inlineStr">
        <is>
          <t>Hagastraat 8</t>
        </is>
      </c>
      <c r="B125" t="inlineStr">
        <is>
          <t>0175</t>
        </is>
      </c>
      <c r="G125" t="inlineStr">
        <is>
          <t>3111PD</t>
        </is>
      </c>
      <c r="H125" t="inlineStr">
        <is>
          <t>Schiedam</t>
        </is>
      </c>
    </row>
    <row r="126">
      <c r="A126" t="inlineStr">
        <is>
          <t>Heemskerkstraat 19</t>
        </is>
      </c>
      <c r="B126" t="inlineStr">
        <is>
          <t>0072</t>
        </is>
      </c>
      <c r="G126" t="inlineStr">
        <is>
          <t>9866AR</t>
        </is>
      </c>
      <c r="H126" t="inlineStr">
        <is>
          <t>Lutjegast</t>
        </is>
      </c>
    </row>
    <row r="127">
      <c r="A127" t="inlineStr">
        <is>
          <t>Hendriklaan 49</t>
        </is>
      </c>
      <c r="B127" t="inlineStr">
        <is>
          <t>0325</t>
        </is>
      </c>
      <c r="G127" t="inlineStr">
        <is>
          <t>6043 BN</t>
        </is>
      </c>
      <c r="H127" t="inlineStr">
        <is>
          <t>Roermond</t>
        </is>
      </c>
    </row>
    <row r="128">
      <c r="A128" t="inlineStr">
        <is>
          <t>Herautpad 22</t>
        </is>
      </c>
      <c r="B128" t="inlineStr">
        <is>
          <t>0176</t>
        </is>
      </c>
      <c r="G128" t="inlineStr">
        <is>
          <t>3111PD</t>
        </is>
      </c>
      <c r="H128" t="inlineStr">
        <is>
          <t>Schiedam</t>
        </is>
      </c>
    </row>
    <row r="129">
      <c r="A129" t="inlineStr">
        <is>
          <t>Herenpad 20 B</t>
        </is>
      </c>
      <c r="B129" t="inlineStr">
        <is>
          <t>0134</t>
        </is>
      </c>
      <c r="G129" t="inlineStr">
        <is>
          <t>3112 GA</t>
        </is>
      </c>
      <c r="H129" t="inlineStr">
        <is>
          <t>Schiedam</t>
        </is>
      </c>
    </row>
    <row r="130">
      <c r="A130" t="inlineStr">
        <is>
          <t>Herenpad 20B</t>
        </is>
      </c>
      <c r="B130" t="inlineStr">
        <is>
          <t>0133</t>
        </is>
      </c>
      <c r="G130" t="inlineStr">
        <is>
          <t>3466LG</t>
        </is>
      </c>
      <c r="H130" t="inlineStr">
        <is>
          <t>Waarder</t>
        </is>
      </c>
    </row>
    <row r="131">
      <c r="A131" t="inlineStr">
        <is>
          <t>Hoefslag 8</t>
        </is>
      </c>
      <c r="B131" t="inlineStr">
        <is>
          <t>0107</t>
        </is>
      </c>
      <c r="G131" t="inlineStr">
        <is>
          <t>1711RR</t>
        </is>
      </c>
      <c r="H131" t="inlineStr">
        <is>
          <t>Hensbroek</t>
        </is>
      </c>
    </row>
    <row r="132">
      <c r="A132" t="inlineStr">
        <is>
          <t>Hof van Zeeland 2</t>
        </is>
      </c>
      <c r="B132" t="inlineStr">
        <is>
          <t>0334</t>
        </is>
      </c>
      <c r="H132" t="inlineStr">
        <is>
          <t>Heinkenszand</t>
        </is>
      </c>
    </row>
    <row r="133">
      <c r="A133" t="inlineStr">
        <is>
          <t>Hoge Noordweg 27B</t>
        </is>
      </c>
      <c r="B133" t="inlineStr">
        <is>
          <t>0177</t>
        </is>
      </c>
      <c r="G133" t="inlineStr">
        <is>
          <t>2573 HG</t>
        </is>
      </c>
      <c r="H133" t="inlineStr">
        <is>
          <t>Den Haag</t>
        </is>
      </c>
    </row>
    <row r="134">
      <c r="A134" t="inlineStr">
        <is>
          <t>Hoge Noordweg 28</t>
        </is>
      </c>
      <c r="B134" t="inlineStr">
        <is>
          <t>0178</t>
        </is>
      </c>
      <c r="G134" t="inlineStr">
        <is>
          <t>2573 HB</t>
        </is>
      </c>
      <c r="H134" t="inlineStr">
        <is>
          <t>Den Haag</t>
        </is>
      </c>
    </row>
    <row r="135">
      <c r="A135" t="inlineStr">
        <is>
          <t>Hogenbanweg 331</t>
        </is>
      </c>
      <c r="B135" t="inlineStr">
        <is>
          <t>0031</t>
        </is>
      </c>
      <c r="G135" t="inlineStr">
        <is>
          <t>3112 CK</t>
        </is>
      </c>
      <c r="H135" t="inlineStr">
        <is>
          <t>Schiedam</t>
        </is>
      </c>
    </row>
    <row r="136">
      <c r="A136" t="inlineStr">
        <is>
          <t>Hontenissestraat 124</t>
        </is>
      </c>
      <c r="B136" t="inlineStr">
        <is>
          <t>0181</t>
        </is>
      </c>
      <c r="G136" t="inlineStr">
        <is>
          <t>4337MA</t>
        </is>
      </c>
      <c r="H136" t="inlineStr">
        <is>
          <t>Middelburg</t>
        </is>
      </c>
    </row>
    <row r="137">
      <c r="A137" t="inlineStr">
        <is>
          <t>Hoofdstraat 110</t>
        </is>
      </c>
      <c r="B137" t="inlineStr">
        <is>
          <t>0075</t>
        </is>
      </c>
      <c r="G137" t="inlineStr">
        <is>
          <t>4536EA</t>
        </is>
      </c>
      <c r="H137" t="inlineStr">
        <is>
          <t>Terneuzen</t>
        </is>
      </c>
    </row>
    <row r="138">
      <c r="A138" t="inlineStr">
        <is>
          <t>Hooizolder 6</t>
        </is>
      </c>
      <c r="B138" t="inlineStr">
        <is>
          <t>0078</t>
        </is>
      </c>
      <c r="G138" t="inlineStr">
        <is>
          <t>4191BB</t>
        </is>
      </c>
      <c r="H138" t="inlineStr">
        <is>
          <t>Geldermalsen</t>
        </is>
      </c>
    </row>
    <row r="139">
      <c r="A139" t="inlineStr">
        <is>
          <t>Hugo de Grootstraat 72A &amp; B</t>
        </is>
      </c>
      <c r="B139" t="inlineStr">
        <is>
          <t>0147</t>
        </is>
      </c>
      <c r="G139" t="inlineStr">
        <is>
          <t>3083TJ</t>
        </is>
      </c>
      <c r="H139" t="inlineStr">
        <is>
          <t>Rotterdam</t>
        </is>
      </c>
    </row>
    <row r="140">
      <c r="A140" t="inlineStr">
        <is>
          <t>Hugo de Vriesstraat 54</t>
        </is>
      </c>
      <c r="B140" t="inlineStr">
        <is>
          <t>0183</t>
        </is>
      </c>
      <c r="G140" t="inlineStr">
        <is>
          <t>3131 DK</t>
        </is>
      </c>
      <c r="H140" t="inlineStr">
        <is>
          <t>Vlaardingen</t>
        </is>
      </c>
    </row>
    <row r="141">
      <c r="A141" t="inlineStr">
        <is>
          <t>Industriestraat 9</t>
        </is>
      </c>
      <c r="B141" t="inlineStr">
        <is>
          <t>0390</t>
        </is>
      </c>
      <c r="G141" t="inlineStr">
        <is>
          <t>5107NC</t>
        </is>
      </c>
      <c r="H141" t="inlineStr">
        <is>
          <t>Dongen</t>
        </is>
      </c>
    </row>
    <row r="142">
      <c r="A142" t="inlineStr">
        <is>
          <t>Inundatiestraat 3</t>
        </is>
      </c>
      <c r="B142" t="inlineStr">
        <is>
          <t>0039</t>
        </is>
      </c>
      <c r="G142" t="inlineStr">
        <is>
          <t>3181XA</t>
        </is>
      </c>
      <c r="H142" t="inlineStr">
        <is>
          <t>Rozenburg</t>
        </is>
      </c>
    </row>
    <row r="143">
      <c r="A143" t="inlineStr">
        <is>
          <t>Jacob van Lennepstraat 13 A</t>
        </is>
      </c>
      <c r="B143" t="inlineStr">
        <is>
          <t>0187</t>
        </is>
      </c>
      <c r="G143" t="inlineStr">
        <is>
          <t>3071EE</t>
        </is>
      </c>
      <c r="H143" t="inlineStr">
        <is>
          <t>Rotterdam</t>
        </is>
      </c>
    </row>
    <row r="144">
      <c r="A144" t="inlineStr">
        <is>
          <t>Jacob van Lennepstraat 13 b</t>
        </is>
      </c>
      <c r="B144" t="inlineStr">
        <is>
          <t>0188</t>
        </is>
      </c>
      <c r="G144" t="inlineStr">
        <is>
          <t>3071EE</t>
        </is>
      </c>
      <c r="H144" t="inlineStr">
        <is>
          <t>Rotterdam</t>
        </is>
      </c>
    </row>
    <row r="145">
      <c r="A145" t="inlineStr">
        <is>
          <t>Jacob van Lennepstraat 34</t>
        </is>
      </c>
      <c r="B145" t="inlineStr">
        <is>
          <t>0189</t>
        </is>
      </c>
      <c r="G145" t="inlineStr">
        <is>
          <t>3071EE</t>
        </is>
      </c>
      <c r="H145" t="inlineStr">
        <is>
          <t>Rotterdam</t>
        </is>
      </c>
    </row>
    <row r="146">
      <c r="A146" t="inlineStr">
        <is>
          <t>Jacob van Offwegenlaan 26</t>
        </is>
      </c>
      <c r="B146" t="inlineStr">
        <is>
          <t>0032</t>
        </is>
      </c>
      <c r="G146" t="inlineStr">
        <is>
          <t>3361 GC</t>
        </is>
      </c>
      <c r="H146" t="inlineStr">
        <is>
          <t>Sliedrecht</t>
        </is>
      </c>
    </row>
    <row r="147">
      <c r="A147" t="inlineStr">
        <is>
          <t>Jan van Arkelstraat 118</t>
        </is>
      </c>
      <c r="B147" t="inlineStr">
        <is>
          <t>0191</t>
        </is>
      </c>
      <c r="G147" t="inlineStr">
        <is>
          <t>3071EE</t>
        </is>
      </c>
      <c r="H147" t="inlineStr">
        <is>
          <t>Rotterdam</t>
        </is>
      </c>
    </row>
    <row r="148">
      <c r="A148" t="inlineStr">
        <is>
          <t>Jasmijnring 22</t>
        </is>
      </c>
      <c r="B148" t="inlineStr">
        <is>
          <t>0087</t>
        </is>
      </c>
      <c r="H148" t="inlineStr">
        <is>
          <t>Zundert</t>
        </is>
      </c>
    </row>
    <row r="149">
      <c r="A149" t="inlineStr">
        <is>
          <t>Johan Frisostraat 36</t>
        </is>
      </c>
      <c r="B149" t="inlineStr">
        <is>
          <t>0146</t>
        </is>
      </c>
      <c r="G149" t="inlineStr">
        <is>
          <t>2921AD</t>
        </is>
      </c>
      <c r="H149" t="inlineStr">
        <is>
          <t>Krimpen aan den IJssel</t>
        </is>
      </c>
    </row>
    <row r="150">
      <c r="A150" t="inlineStr">
        <is>
          <t>Kaapsebos 11</t>
        </is>
      </c>
      <c r="B150" t="inlineStr">
        <is>
          <t>0192</t>
        </is>
      </c>
      <c r="G150" t="inlineStr">
        <is>
          <t>3071EE</t>
        </is>
      </c>
      <c r="H150" t="inlineStr">
        <is>
          <t>Rotterdam</t>
        </is>
      </c>
    </row>
    <row r="151">
      <c r="A151" t="inlineStr">
        <is>
          <t>Kanaal van Steenenhoek z z 10</t>
        </is>
      </c>
      <c r="B151" t="inlineStr">
        <is>
          <t>0082</t>
        </is>
      </c>
      <c r="G151" t="inlineStr">
        <is>
          <t>8802RE</t>
        </is>
      </c>
      <c r="H151" t="inlineStr">
        <is>
          <t>Franeker</t>
        </is>
      </c>
    </row>
    <row r="152">
      <c r="A152" t="inlineStr">
        <is>
          <t>Kapershoek 11</t>
        </is>
      </c>
      <c r="B152" t="inlineStr">
        <is>
          <t>0193</t>
        </is>
      </c>
      <c r="G152" t="inlineStr">
        <is>
          <t>3071EE</t>
        </is>
      </c>
      <c r="H152" t="inlineStr">
        <is>
          <t>Rotterdam</t>
        </is>
      </c>
    </row>
    <row r="153">
      <c r="A153" t="inlineStr">
        <is>
          <t>Karel Doormanlaan 21A</t>
        </is>
      </c>
      <c r="B153" t="inlineStr">
        <is>
          <t>0274</t>
        </is>
      </c>
      <c r="H153" t="inlineStr">
        <is>
          <t>DE LIER</t>
        </is>
      </c>
    </row>
    <row r="154">
      <c r="A154" t="inlineStr">
        <is>
          <t>Kastanjelaan 232</t>
        </is>
      </c>
      <c r="B154" t="inlineStr">
        <is>
          <t>0159</t>
        </is>
      </c>
      <c r="G154" t="inlineStr">
        <is>
          <t>3191EH</t>
        </is>
      </c>
      <c r="H154" t="inlineStr">
        <is>
          <t>Hoogvliet</t>
        </is>
      </c>
    </row>
    <row r="155">
      <c r="A155" t="inlineStr">
        <is>
          <t>Keesomstraat 22</t>
        </is>
      </c>
      <c r="B155" t="inlineStr">
        <is>
          <t>0194</t>
        </is>
      </c>
      <c r="G155" t="inlineStr">
        <is>
          <t>3071EE</t>
        </is>
      </c>
      <c r="H155" t="inlineStr">
        <is>
          <t>Rotterdam</t>
        </is>
      </c>
    </row>
    <row r="156">
      <c r="A156" t="inlineStr">
        <is>
          <t>Keesomstraat 50</t>
        </is>
      </c>
      <c r="B156" t="inlineStr">
        <is>
          <t>0195</t>
        </is>
      </c>
      <c r="G156" t="inlineStr">
        <is>
          <t>3071EE</t>
        </is>
      </c>
      <c r="H156" t="inlineStr">
        <is>
          <t>Rotterdam</t>
        </is>
      </c>
    </row>
    <row r="157">
      <c r="A157" t="inlineStr">
        <is>
          <t>Keesomstraat 54</t>
        </is>
      </c>
      <c r="B157" t="inlineStr">
        <is>
          <t>0196</t>
        </is>
      </c>
      <c r="G157" t="inlineStr">
        <is>
          <t>3071EE</t>
        </is>
      </c>
      <c r="H157" t="inlineStr">
        <is>
          <t>Rotterdam</t>
        </is>
      </c>
    </row>
    <row r="158">
      <c r="A158" t="inlineStr">
        <is>
          <t>Kerkdreef 42</t>
        </is>
      </c>
      <c r="B158" t="inlineStr">
        <is>
          <t>0084</t>
        </is>
      </c>
      <c r="G158" t="inlineStr">
        <is>
          <t>8395PX</t>
        </is>
      </c>
      <c r="H158" t="inlineStr">
        <is>
          <t>Steggerda</t>
        </is>
      </c>
    </row>
    <row r="159">
      <c r="A159" t="inlineStr">
        <is>
          <t>Kerkweg 9A [333]</t>
        </is>
      </c>
      <c r="B159" t="inlineStr">
        <is>
          <t>0312</t>
        </is>
      </c>
      <c r="G159" t="inlineStr">
        <is>
          <t>1711 RR</t>
        </is>
      </c>
      <c r="H159" t="inlineStr">
        <is>
          <t>Hensbroek</t>
        </is>
      </c>
    </row>
    <row r="160">
      <c r="A160" t="inlineStr">
        <is>
          <t>Kerkweg 9A [334]</t>
        </is>
      </c>
      <c r="B160" t="inlineStr">
        <is>
          <t>0313</t>
        </is>
      </c>
      <c r="G160" t="inlineStr">
        <is>
          <t>1711 RR</t>
        </is>
      </c>
      <c r="H160" t="inlineStr">
        <is>
          <t>Hensbroek</t>
        </is>
      </c>
    </row>
    <row r="161">
      <c r="A161" t="inlineStr">
        <is>
          <t>Kerkweg 9A [338]</t>
        </is>
      </c>
      <c r="B161" t="inlineStr">
        <is>
          <t>0314</t>
        </is>
      </c>
      <c r="G161" t="inlineStr">
        <is>
          <t>1711RR</t>
        </is>
      </c>
      <c r="H161" t="inlineStr">
        <is>
          <t>Hensbroek</t>
        </is>
      </c>
    </row>
    <row r="162">
      <c r="A162" t="inlineStr">
        <is>
          <t>Kerkweg 9A [347]</t>
        </is>
      </c>
      <c r="B162" t="inlineStr">
        <is>
          <t>0317</t>
        </is>
      </c>
      <c r="G162" t="inlineStr">
        <is>
          <t>1711RR</t>
        </is>
      </c>
      <c r="H162" t="inlineStr">
        <is>
          <t>Hensbroek</t>
        </is>
      </c>
    </row>
    <row r="163">
      <c r="A163" t="inlineStr">
        <is>
          <t>Kerkweg 9a [135]</t>
        </is>
      </c>
      <c r="B163" t="inlineStr">
        <is>
          <t>0308</t>
        </is>
      </c>
      <c r="G163" t="inlineStr">
        <is>
          <t>1711 RR</t>
        </is>
      </c>
      <c r="H163" t="inlineStr">
        <is>
          <t>Hensbroek</t>
        </is>
      </c>
    </row>
    <row r="164">
      <c r="A164" t="inlineStr">
        <is>
          <t xml:space="preserve">Kerkweg 9a [137] </t>
        </is>
      </c>
      <c r="B164" t="inlineStr">
        <is>
          <t>0309</t>
        </is>
      </c>
      <c r="G164" t="inlineStr">
        <is>
          <t>1711 RR</t>
        </is>
      </c>
      <c r="H164" t="inlineStr">
        <is>
          <t>Hensbroek</t>
        </is>
      </c>
    </row>
    <row r="165">
      <c r="A165" t="inlineStr">
        <is>
          <t>Kerkweg 9a [210]</t>
        </is>
      </c>
      <c r="B165" t="inlineStr">
        <is>
          <t>0310</t>
        </is>
      </c>
      <c r="G165" t="inlineStr">
        <is>
          <t>1711 RR</t>
        </is>
      </c>
      <c r="H165" t="inlineStr">
        <is>
          <t>Hensbroek</t>
        </is>
      </c>
    </row>
    <row r="166">
      <c r="A166" t="inlineStr">
        <is>
          <t>Kerkweg 9a [269]</t>
        </is>
      </c>
      <c r="B166" t="inlineStr">
        <is>
          <t>0311</t>
        </is>
      </c>
      <c r="G166" t="inlineStr">
        <is>
          <t>1711RR</t>
        </is>
      </c>
      <c r="H166" t="inlineStr">
        <is>
          <t>Hensbroek</t>
        </is>
      </c>
    </row>
    <row r="167">
      <c r="A167" t="inlineStr">
        <is>
          <t>Kerkweg 9a [340]</t>
        </is>
      </c>
      <c r="B167" t="inlineStr">
        <is>
          <t>0332</t>
        </is>
      </c>
      <c r="G167" t="inlineStr">
        <is>
          <t>1711 RR</t>
        </is>
      </c>
      <c r="H167" t="inlineStr">
        <is>
          <t>Hensbroek</t>
        </is>
      </c>
    </row>
    <row r="168">
      <c r="A168" t="inlineStr">
        <is>
          <t>Kerkweg 9a [342]</t>
        </is>
      </c>
      <c r="B168" t="inlineStr">
        <is>
          <t>0315</t>
        </is>
      </c>
      <c r="G168" t="inlineStr">
        <is>
          <t>1711 RR</t>
        </is>
      </c>
      <c r="H168" t="inlineStr">
        <is>
          <t>Hensbroek</t>
        </is>
      </c>
    </row>
    <row r="169">
      <c r="A169" t="inlineStr">
        <is>
          <t>Kerkweg 9a [346]</t>
        </is>
      </c>
      <c r="B169" t="inlineStr">
        <is>
          <t>0316</t>
        </is>
      </c>
      <c r="G169" t="inlineStr">
        <is>
          <t>1711 RR</t>
        </is>
      </c>
      <c r="H169" t="inlineStr">
        <is>
          <t>Hensbroek</t>
        </is>
      </c>
    </row>
    <row r="170">
      <c r="A170" t="inlineStr">
        <is>
          <t>Kerkweg 9a [348]</t>
        </is>
      </c>
      <c r="B170" t="inlineStr">
        <is>
          <t>0338</t>
        </is>
      </c>
      <c r="G170" t="inlineStr">
        <is>
          <t>1711 RR</t>
        </is>
      </c>
      <c r="H170" t="inlineStr">
        <is>
          <t>Hensbroek</t>
        </is>
      </c>
    </row>
    <row r="171">
      <c r="A171" t="inlineStr">
        <is>
          <t>Kerkweg 9a [349]</t>
        </is>
      </c>
      <c r="B171" t="inlineStr">
        <is>
          <t>0318</t>
        </is>
      </c>
      <c r="G171" t="inlineStr">
        <is>
          <t>1711RR</t>
        </is>
      </c>
      <c r="H171" t="inlineStr">
        <is>
          <t xml:space="preserve">Hensbroek </t>
        </is>
      </c>
    </row>
    <row r="172">
      <c r="A172" t="inlineStr">
        <is>
          <t>Kerkweg 9a [356]</t>
        </is>
      </c>
      <c r="B172" t="inlineStr">
        <is>
          <t>0319</t>
        </is>
      </c>
      <c r="G172" t="inlineStr">
        <is>
          <t>1711 RR</t>
        </is>
      </c>
      <c r="H172" t="inlineStr">
        <is>
          <t>Hensbroek</t>
        </is>
      </c>
    </row>
    <row r="173">
      <c r="A173" t="inlineStr">
        <is>
          <t>Kerkweg 9a [357]</t>
        </is>
      </c>
      <c r="B173" t="inlineStr">
        <is>
          <t>0339</t>
        </is>
      </c>
      <c r="G173" t="inlineStr">
        <is>
          <t>1711 RR</t>
        </is>
      </c>
      <c r="H173" t="inlineStr">
        <is>
          <t>Hensbroek</t>
        </is>
      </c>
    </row>
    <row r="174">
      <c r="A174" t="inlineStr">
        <is>
          <t>Kerkweg 9a [359]</t>
        </is>
      </c>
      <c r="B174" t="inlineStr">
        <is>
          <t>0320</t>
        </is>
      </c>
      <c r="G174" t="inlineStr">
        <is>
          <t>1711RR</t>
        </is>
      </c>
      <c r="H174" t="inlineStr">
        <is>
          <t>Hensbroek</t>
        </is>
      </c>
    </row>
    <row r="175">
      <c r="A175" t="inlineStr">
        <is>
          <t>Kerkweg 9a [453]</t>
        </is>
      </c>
      <c r="B175" t="inlineStr">
        <is>
          <t>0321</t>
        </is>
      </c>
      <c r="G175" t="inlineStr">
        <is>
          <t>1711 RR</t>
        </is>
      </c>
      <c r="H175" t="inlineStr">
        <is>
          <t>Hensbroek</t>
        </is>
      </c>
    </row>
    <row r="176">
      <c r="A176" t="inlineStr">
        <is>
          <t>Kerkwerversingel 127</t>
        </is>
      </c>
      <c r="B176" t="inlineStr">
        <is>
          <t>0225</t>
        </is>
      </c>
      <c r="G176" t="inlineStr">
        <is>
          <t>5017GD</t>
        </is>
      </c>
      <c r="H176" t="inlineStr">
        <is>
          <t>Tilburg</t>
        </is>
      </c>
    </row>
    <row r="177">
      <c r="A177" t="inlineStr">
        <is>
          <t>Kerstendijk 125</t>
        </is>
      </c>
      <c r="B177" t="inlineStr">
        <is>
          <t>0199</t>
        </is>
      </c>
      <c r="G177" t="inlineStr">
        <is>
          <t>3417EC</t>
        </is>
      </c>
      <c r="H177" t="inlineStr">
        <is>
          <t>Montfoort</t>
        </is>
      </c>
    </row>
    <row r="178">
      <c r="A178" t="inlineStr">
        <is>
          <t>Kethelweg 1B</t>
        </is>
      </c>
      <c r="B178" t="inlineStr">
        <is>
          <t>0010</t>
        </is>
      </c>
      <c r="G178" t="inlineStr">
        <is>
          <t>1779GJ</t>
        </is>
      </c>
      <c r="H178" t="inlineStr">
        <is>
          <t>Den Oever</t>
        </is>
      </c>
    </row>
    <row r="179">
      <c r="A179" t="inlineStr">
        <is>
          <t>Kethelweg 1C</t>
        </is>
      </c>
      <c r="B179" t="inlineStr">
        <is>
          <t>0011</t>
        </is>
      </c>
      <c r="G179" t="inlineStr">
        <is>
          <t>1779GJ</t>
        </is>
      </c>
      <c r="H179" t="inlineStr">
        <is>
          <t>Den Oever</t>
        </is>
      </c>
    </row>
    <row r="180">
      <c r="A180" t="inlineStr">
        <is>
          <t>Kethelweg 66 D</t>
        </is>
      </c>
      <c r="B180" t="inlineStr">
        <is>
          <t>0333</t>
        </is>
      </c>
      <c r="H180" t="inlineStr">
        <is>
          <t>Vlaardingen</t>
        </is>
      </c>
    </row>
    <row r="181">
      <c r="A181" t="inlineStr">
        <is>
          <t>Kethelweg 66A</t>
        </is>
      </c>
      <c r="B181" t="inlineStr">
        <is>
          <t>0088</t>
        </is>
      </c>
      <c r="G181" t="inlineStr">
        <is>
          <t>8391BJ</t>
        </is>
      </c>
      <c r="H181" t="inlineStr">
        <is>
          <t>Noordwolde</t>
        </is>
      </c>
    </row>
    <row r="182">
      <c r="A182" t="inlineStr">
        <is>
          <t>Kethelweg 66B</t>
        </is>
      </c>
      <c r="B182" t="inlineStr">
        <is>
          <t>0122</t>
        </is>
      </c>
      <c r="G182" t="inlineStr">
        <is>
          <t>3135 GA</t>
        </is>
      </c>
      <c r="H182" t="inlineStr">
        <is>
          <t>Vlaardingen</t>
        </is>
      </c>
    </row>
    <row r="183">
      <c r="A183" t="inlineStr">
        <is>
          <t>Kethelweg 66C</t>
        </is>
      </c>
      <c r="B183" t="inlineStr">
        <is>
          <t>0033</t>
        </is>
      </c>
      <c r="G183" t="inlineStr">
        <is>
          <t>7906GB</t>
        </is>
      </c>
      <c r="H183" t="inlineStr">
        <is>
          <t>Hoogeveen</t>
        </is>
      </c>
    </row>
    <row r="184">
      <c r="A184" t="inlineStr">
        <is>
          <t>Kethelweg 68A</t>
        </is>
      </c>
      <c r="B184" t="inlineStr">
        <is>
          <t>0034</t>
        </is>
      </c>
      <c r="G184" t="inlineStr">
        <is>
          <t>3205 BB</t>
        </is>
      </c>
      <c r="H184" t="inlineStr">
        <is>
          <t>Spijkenisse</t>
        </is>
      </c>
    </row>
    <row r="185">
      <c r="A185" t="inlineStr">
        <is>
          <t>Kierkegaardhof 54</t>
        </is>
      </c>
      <c r="B185" t="inlineStr">
        <is>
          <t>0085</t>
        </is>
      </c>
      <c r="G185" t="inlineStr">
        <is>
          <t>6043 BN</t>
        </is>
      </c>
      <c r="H185" t="inlineStr">
        <is>
          <t>Roermond</t>
        </is>
      </c>
    </row>
    <row r="186">
      <c r="A186" t="inlineStr">
        <is>
          <t>Kimbrenoord 15</t>
        </is>
      </c>
      <c r="B186" t="inlineStr">
        <is>
          <t>0202</t>
        </is>
      </c>
      <c r="G186" t="inlineStr">
        <is>
          <t>3081JH</t>
        </is>
      </c>
      <c r="H186" t="inlineStr">
        <is>
          <t>Rotterdam</t>
        </is>
      </c>
    </row>
    <row r="187">
      <c r="A187" t="inlineStr">
        <is>
          <t>Kimbrenoord 49</t>
        </is>
      </c>
      <c r="B187" t="inlineStr">
        <is>
          <t>0359</t>
        </is>
      </c>
      <c r="G187" t="inlineStr">
        <is>
          <t>3079 KC</t>
        </is>
      </c>
      <c r="H187" t="inlineStr">
        <is>
          <t>Rotterdam</t>
        </is>
      </c>
    </row>
    <row r="188">
      <c r="A188" t="inlineStr">
        <is>
          <t>Kleine Beer 60</t>
        </is>
      </c>
      <c r="B188" t="inlineStr">
        <is>
          <t>0086</t>
        </is>
      </c>
      <c r="G188" t="inlineStr">
        <is>
          <t>3111 LP</t>
        </is>
      </c>
      <c r="H188" t="inlineStr">
        <is>
          <t>Schiedam</t>
        </is>
      </c>
    </row>
    <row r="189">
      <c r="A189" t="inlineStr">
        <is>
          <t>Koningin Julianalaan 27</t>
        </is>
      </c>
      <c r="B189" t="inlineStr">
        <is>
          <t>0119</t>
        </is>
      </c>
      <c r="G189" t="inlineStr">
        <is>
          <t>1711RR</t>
        </is>
      </c>
      <c r="H189" t="inlineStr">
        <is>
          <t>Hensbroek</t>
        </is>
      </c>
    </row>
    <row r="190">
      <c r="A190" t="inlineStr">
        <is>
          <t>Koperwerf 28</t>
        </is>
      </c>
      <c r="B190" t="inlineStr">
        <is>
          <t>0291</t>
        </is>
      </c>
      <c r="H190" t="inlineStr">
        <is>
          <t>Den Haag</t>
        </is>
      </c>
    </row>
    <row r="191">
      <c r="A191" t="inlineStr">
        <is>
          <t>Korte Singelstraat 21-2</t>
        </is>
      </c>
      <c r="B191" t="inlineStr">
        <is>
          <t>0126</t>
        </is>
      </c>
      <c r="G191" t="inlineStr">
        <is>
          <t>3135 GM</t>
        </is>
      </c>
      <c r="H191" t="inlineStr">
        <is>
          <t>Vlaardingen</t>
        </is>
      </c>
    </row>
    <row r="192">
      <c r="A192" t="inlineStr">
        <is>
          <t>Korte Singelstraat 21-3</t>
        </is>
      </c>
      <c r="B192" t="inlineStr">
        <is>
          <t>0125</t>
        </is>
      </c>
      <c r="G192" t="inlineStr">
        <is>
          <t>3135 GM</t>
        </is>
      </c>
      <c r="H192" t="inlineStr">
        <is>
          <t>Vlaardingen</t>
        </is>
      </c>
    </row>
    <row r="193">
      <c r="A193" t="inlineStr">
        <is>
          <t>Krabbendijkestraat 429</t>
        </is>
      </c>
      <c r="B193" t="inlineStr">
        <is>
          <t>0198</t>
        </is>
      </c>
      <c r="G193" t="inlineStr">
        <is>
          <t>3119RG</t>
        </is>
      </c>
      <c r="H193" t="inlineStr">
        <is>
          <t>Schiedam</t>
        </is>
      </c>
    </row>
    <row r="194">
      <c r="A194" t="inlineStr">
        <is>
          <t>Kreekrug 1</t>
        </is>
      </c>
      <c r="B194" t="inlineStr">
        <is>
          <t>0205</t>
        </is>
      </c>
      <c r="H194" t="inlineStr">
        <is>
          <t>DE LIER</t>
        </is>
      </c>
    </row>
    <row r="195">
      <c r="A195" t="inlineStr">
        <is>
          <t>Kritostraat 54</t>
        </is>
      </c>
      <c r="B195" t="inlineStr">
        <is>
          <t>0389</t>
        </is>
      </c>
      <c r="G195" t="inlineStr">
        <is>
          <t>3076BH</t>
        </is>
      </c>
      <c r="H195" t="inlineStr">
        <is>
          <t>Rotterdam</t>
        </is>
      </c>
    </row>
    <row r="196">
      <c r="A196" t="inlineStr">
        <is>
          <t>Kruiningenstraat 152</t>
        </is>
      </c>
      <c r="B196" t="inlineStr">
        <is>
          <t>0206</t>
        </is>
      </c>
      <c r="G196" t="inlineStr">
        <is>
          <t>3112 VL</t>
        </is>
      </c>
      <c r="H196" t="inlineStr">
        <is>
          <t>Schiedam</t>
        </is>
      </c>
    </row>
    <row r="197">
      <c r="A197" t="inlineStr">
        <is>
          <t>Kruiningenstraat 185</t>
        </is>
      </c>
      <c r="B197" t="inlineStr">
        <is>
          <t>0360</t>
        </is>
      </c>
      <c r="G197" t="inlineStr">
        <is>
          <t>3086KM</t>
        </is>
      </c>
      <c r="H197" t="inlineStr">
        <is>
          <t>Rotterdam</t>
        </is>
      </c>
    </row>
    <row r="198">
      <c r="A198" t="inlineStr">
        <is>
          <t>Kruisweg 16</t>
        </is>
      </c>
      <c r="B198" t="inlineStr">
        <is>
          <t>0337</t>
        </is>
      </c>
      <c r="G198" t="inlineStr">
        <is>
          <t>2481NA</t>
        </is>
      </c>
      <c r="H198" t="inlineStr">
        <is>
          <t>Woubrugge</t>
        </is>
      </c>
    </row>
    <row r="199">
      <c r="A199" t="inlineStr">
        <is>
          <t>Kuiper-Rietbergpad 15</t>
        </is>
      </c>
      <c r="B199" t="inlineStr">
        <is>
          <t>0157</t>
        </is>
      </c>
      <c r="G199" t="inlineStr">
        <is>
          <t>3191EH</t>
        </is>
      </c>
      <c r="H199" t="inlineStr">
        <is>
          <t>Hoogvliet</t>
        </is>
      </c>
    </row>
    <row r="200">
      <c r="A200" t="inlineStr">
        <is>
          <t>Kwekerslaan 7</t>
        </is>
      </c>
      <c r="B200" t="inlineStr">
        <is>
          <t>0382</t>
        </is>
      </c>
    </row>
    <row r="201">
      <c r="A201" t="inlineStr">
        <is>
          <t>Kwikstaartweg 45</t>
        </is>
      </c>
      <c r="B201" t="inlineStr">
        <is>
          <t>0207</t>
        </is>
      </c>
      <c r="G201" t="inlineStr">
        <is>
          <t>3112 VL</t>
        </is>
      </c>
      <c r="H201" t="inlineStr">
        <is>
          <t>Schiedam</t>
        </is>
      </c>
    </row>
    <row r="202">
      <c r="A202" t="inlineStr">
        <is>
          <t>Laan op Zuid 949</t>
        </is>
      </c>
      <c r="B202" t="inlineStr">
        <is>
          <t>0365</t>
        </is>
      </c>
      <c r="H202" t="inlineStr">
        <is>
          <t>Rotterdam</t>
        </is>
      </c>
    </row>
    <row r="203">
      <c r="A203" t="inlineStr">
        <is>
          <t>Laan van Adrichem 12</t>
        </is>
      </c>
      <c r="B203" t="inlineStr">
        <is>
          <t>0209</t>
        </is>
      </c>
      <c r="G203" t="inlineStr">
        <is>
          <t>3112 VL</t>
        </is>
      </c>
      <c r="H203" t="inlineStr">
        <is>
          <t>Schiedam</t>
        </is>
      </c>
    </row>
    <row r="204">
      <c r="A204" t="inlineStr">
        <is>
          <t>Laan van Nieuw Blankenburg 278</t>
        </is>
      </c>
      <c r="B204" t="inlineStr">
        <is>
          <t>0090</t>
        </is>
      </c>
      <c r="G204" t="inlineStr">
        <is>
          <t>3112 CK</t>
        </is>
      </c>
      <c r="H204" t="inlineStr">
        <is>
          <t>Schiedam</t>
        </is>
      </c>
    </row>
    <row r="205">
      <c r="A205" t="inlineStr">
        <is>
          <t>Laan van Nieuw Blankenburg 328</t>
        </is>
      </c>
      <c r="B205" t="inlineStr">
        <is>
          <t>0185</t>
        </is>
      </c>
      <c r="G205" t="inlineStr">
        <is>
          <t xml:space="preserve">3181AM </t>
        </is>
      </c>
      <c r="H205" t="inlineStr">
        <is>
          <t xml:space="preserve">Rozenburg </t>
        </is>
      </c>
    </row>
    <row r="206">
      <c r="A206" t="inlineStr">
        <is>
          <t>Landsteinerhof 68</t>
        </is>
      </c>
      <c r="B206" t="inlineStr">
        <is>
          <t>0091</t>
        </is>
      </c>
      <c r="G206" t="inlineStr">
        <is>
          <t>3086KJ</t>
        </is>
      </c>
      <c r="H206" t="inlineStr">
        <is>
          <t>Rotterdam</t>
        </is>
      </c>
    </row>
    <row r="207">
      <c r="A207" t="inlineStr">
        <is>
          <t>Lange Brink 3</t>
        </is>
      </c>
      <c r="B207" t="inlineStr">
        <is>
          <t>0092</t>
        </is>
      </c>
      <c r="G207" t="inlineStr">
        <is>
          <t>5473AT</t>
        </is>
      </c>
      <c r="H207" t="inlineStr">
        <is>
          <t>Heeswijk-Dinther</t>
        </is>
      </c>
    </row>
    <row r="208">
      <c r="A208" t="inlineStr">
        <is>
          <t>Lange Broekweg 46</t>
        </is>
      </c>
      <c r="B208" t="inlineStr">
        <is>
          <t>0278</t>
        </is>
      </c>
      <c r="H208" t="inlineStr">
        <is>
          <t>Naaldwijk</t>
        </is>
      </c>
    </row>
    <row r="209">
      <c r="A209" t="inlineStr">
        <is>
          <t>Lange kruisweg 12</t>
        </is>
      </c>
      <c r="B209" t="inlineStr">
        <is>
          <t>0028</t>
        </is>
      </c>
      <c r="G209" t="inlineStr">
        <is>
          <t>8451BW</t>
        </is>
      </c>
      <c r="H209" t="inlineStr">
        <is>
          <t>Oudeschoot</t>
        </is>
      </c>
    </row>
    <row r="210">
      <c r="A210" t="inlineStr">
        <is>
          <t>Lekdijk 14</t>
        </is>
      </c>
      <c r="B210" t="inlineStr">
        <is>
          <t>0366</t>
        </is>
      </c>
      <c r="G210" t="inlineStr">
        <is>
          <t>2921AD</t>
        </is>
      </c>
      <c r="H210" t="inlineStr">
        <is>
          <t>Krimpen aan den IJssel</t>
        </is>
      </c>
    </row>
    <row r="211">
      <c r="A211" t="inlineStr">
        <is>
          <t>Liesveld 100</t>
        </is>
      </c>
      <c r="B211" t="inlineStr">
        <is>
          <t>0180</t>
        </is>
      </c>
      <c r="H211" t="inlineStr">
        <is>
          <t>VLAARDINGEN</t>
        </is>
      </c>
    </row>
    <row r="212">
      <c r="A212" t="inlineStr">
        <is>
          <t>Lorentzstraat 73</t>
        </is>
      </c>
      <c r="B212" t="inlineStr">
        <is>
          <t>0210</t>
        </is>
      </c>
      <c r="G212" t="inlineStr">
        <is>
          <t>3028ET</t>
        </is>
      </c>
      <c r="H212" t="inlineStr">
        <is>
          <t>Rotterdam</t>
        </is>
      </c>
    </row>
    <row r="213">
      <c r="A213" t="inlineStr">
        <is>
          <t>Maasdijk 206</t>
        </is>
      </c>
      <c r="B213" t="inlineStr">
        <is>
          <t>0211</t>
        </is>
      </c>
      <c r="G213" t="inlineStr">
        <is>
          <t>9944AT</t>
        </is>
      </c>
      <c r="H213" t="inlineStr">
        <is>
          <t>Nieuwolda</t>
        </is>
      </c>
    </row>
    <row r="214">
      <c r="A214" t="inlineStr">
        <is>
          <t>Maasdijk 69</t>
        </is>
      </c>
      <c r="B214" t="inlineStr">
        <is>
          <t>0015</t>
        </is>
      </c>
      <c r="G214" t="inlineStr">
        <is>
          <t>1779GJ</t>
        </is>
      </c>
      <c r="H214" t="inlineStr">
        <is>
          <t>Den Oever</t>
        </is>
      </c>
    </row>
    <row r="215">
      <c r="A215" t="inlineStr">
        <is>
          <t>Madeweg 25C</t>
        </is>
      </c>
      <c r="B215" t="inlineStr">
        <is>
          <t>0282</t>
        </is>
      </c>
      <c r="H215" t="inlineStr">
        <is>
          <t>Monster</t>
        </is>
      </c>
    </row>
    <row r="216">
      <c r="A216" t="inlineStr">
        <is>
          <t>Madeweg 35A</t>
        </is>
      </c>
      <c r="B216" t="inlineStr">
        <is>
          <t>0283</t>
        </is>
      </c>
      <c r="H216" t="inlineStr">
        <is>
          <t>Monster</t>
        </is>
      </c>
    </row>
    <row r="217">
      <c r="A217" t="inlineStr">
        <is>
          <t>Maeliefstraat 46C</t>
        </is>
      </c>
      <c r="B217" t="inlineStr">
        <is>
          <t>0029</t>
        </is>
      </c>
      <c r="G217" t="inlineStr">
        <is>
          <t>3112MD</t>
        </is>
      </c>
      <c r="H217" t="inlineStr">
        <is>
          <t>Schiedam</t>
        </is>
      </c>
    </row>
    <row r="218">
      <c r="A218" t="inlineStr">
        <is>
          <t>Malzwin 34</t>
        </is>
      </c>
      <c r="B218" t="inlineStr">
        <is>
          <t>0182</t>
        </is>
      </c>
      <c r="G218" t="inlineStr">
        <is>
          <t>9675 EW</t>
        </is>
      </c>
      <c r="H218" t="inlineStr">
        <is>
          <t>Winschoten</t>
        </is>
      </c>
    </row>
    <row r="219">
      <c r="A219" t="inlineStr">
        <is>
          <t>Marathonlaan 26</t>
        </is>
      </c>
      <c r="B219" t="inlineStr">
        <is>
          <t>0118</t>
        </is>
      </c>
      <c r="G219" t="inlineStr">
        <is>
          <t>1711RR</t>
        </is>
      </c>
      <c r="H219" t="inlineStr">
        <is>
          <t>Hensbroek</t>
        </is>
      </c>
    </row>
    <row r="220">
      <c r="A220" t="inlineStr">
        <is>
          <t>Markt 5</t>
        </is>
      </c>
      <c r="B220" t="inlineStr">
        <is>
          <t>0057</t>
        </is>
      </c>
      <c r="G220" t="inlineStr">
        <is>
          <t>5111CH</t>
        </is>
      </c>
      <c r="H220" t="inlineStr">
        <is>
          <t>Baarle-Nassau</t>
        </is>
      </c>
    </row>
    <row r="221">
      <c r="A221" t="inlineStr">
        <is>
          <t>Marnixstraat 32</t>
        </is>
      </c>
      <c r="B221" t="inlineStr">
        <is>
          <t>0323</t>
        </is>
      </c>
      <c r="G221" t="inlineStr">
        <is>
          <t>7553LC</t>
        </is>
      </c>
      <c r="H221" t="inlineStr">
        <is>
          <t>Hengelo</t>
        </is>
      </c>
    </row>
    <row r="222">
      <c r="A222" t="inlineStr">
        <is>
          <t>Mathenesserdijk 261A2</t>
        </is>
      </c>
      <c r="B222" t="inlineStr">
        <is>
          <t>0184</t>
        </is>
      </c>
      <c r="G222" t="inlineStr">
        <is>
          <t>5121CC</t>
        </is>
      </c>
      <c r="H222" t="inlineStr">
        <is>
          <t>Rijen</t>
        </is>
      </c>
    </row>
    <row r="223">
      <c r="A223" t="inlineStr">
        <is>
          <t>Meester G. Groen van Prinsterlaan 313</t>
        </is>
      </c>
      <c r="B223" t="inlineStr">
        <is>
          <t>0018</t>
        </is>
      </c>
      <c r="G223" t="inlineStr">
        <is>
          <t>1181TV</t>
        </is>
      </c>
      <c r="H223" t="inlineStr">
        <is>
          <t>Amstelveen</t>
        </is>
      </c>
    </row>
    <row r="224">
      <c r="A224" t="inlineStr">
        <is>
          <t>Melis Stokezijde 94</t>
        </is>
      </c>
      <c r="B224" t="inlineStr">
        <is>
          <t>0098</t>
        </is>
      </c>
      <c r="G224" t="inlineStr">
        <is>
          <t>4881HT</t>
        </is>
      </c>
      <c r="H224" t="inlineStr">
        <is>
          <t>Zundert</t>
        </is>
      </c>
    </row>
    <row r="225">
      <c r="A225" t="inlineStr">
        <is>
          <t>Mendelsohnplein 30B</t>
        </is>
      </c>
      <c r="B225" t="inlineStr">
        <is>
          <t>0214</t>
        </is>
      </c>
      <c r="G225" t="inlineStr">
        <is>
          <t>4872 PB</t>
        </is>
      </c>
      <c r="H225" t="inlineStr">
        <is>
          <t>Etten-Leur</t>
        </is>
      </c>
    </row>
    <row r="226">
      <c r="A226" t="inlineStr">
        <is>
          <t>Mendelssohnplein 10C</t>
        </is>
      </c>
      <c r="B226" t="inlineStr">
        <is>
          <t>0215</t>
        </is>
      </c>
      <c r="G226" t="inlineStr">
        <is>
          <t>5014 GG</t>
        </is>
      </c>
      <c r="H226" t="inlineStr">
        <is>
          <t>Tilburg</t>
        </is>
      </c>
    </row>
    <row r="227">
      <c r="A227" t="inlineStr">
        <is>
          <t>Mendelssohnplein 46a</t>
        </is>
      </c>
      <c r="B227" t="inlineStr">
        <is>
          <t>0216</t>
        </is>
      </c>
      <c r="G227" t="inlineStr">
        <is>
          <t>3371EM</t>
        </is>
      </c>
      <c r="H227" t="inlineStr">
        <is>
          <t>Hardinxveld - Giessendam</t>
        </is>
      </c>
    </row>
    <row r="228">
      <c r="A228" t="inlineStr">
        <is>
          <t>Messchaertplein 39</t>
        </is>
      </c>
      <c r="B228" t="inlineStr">
        <is>
          <t>0035</t>
        </is>
      </c>
      <c r="G228" t="inlineStr">
        <is>
          <t>3181GA</t>
        </is>
      </c>
      <c r="H228" t="inlineStr">
        <is>
          <t>Rozenburg</t>
        </is>
      </c>
    </row>
    <row r="229">
      <c r="A229" t="inlineStr">
        <is>
          <t>Messchaertplein 40</t>
        </is>
      </c>
      <c r="B229" t="inlineStr">
        <is>
          <t>0036</t>
        </is>
      </c>
      <c r="G229" t="inlineStr">
        <is>
          <t>2562AV</t>
        </is>
      </c>
      <c r="H229" t="inlineStr">
        <is>
          <t xml:space="preserve">Den Haag </t>
        </is>
      </c>
    </row>
    <row r="230">
      <c r="A230" t="inlineStr">
        <is>
          <t>Middelrode 8</t>
        </is>
      </c>
      <c r="B230" t="inlineStr">
        <is>
          <t>0217</t>
        </is>
      </c>
      <c r="G230" t="inlineStr">
        <is>
          <t>3371EM</t>
        </is>
      </c>
      <c r="H230" t="inlineStr">
        <is>
          <t>Hardinxveld - Giessendam</t>
        </is>
      </c>
    </row>
    <row r="231">
      <c r="A231" t="inlineStr">
        <is>
          <t>Middenbaan Noord 18-28</t>
        </is>
      </c>
      <c r="B231" t="inlineStr">
        <is>
          <t>0251</t>
        </is>
      </c>
      <c r="G231" t="inlineStr">
        <is>
          <t>8332 AH</t>
        </is>
      </c>
      <c r="H231" t="inlineStr">
        <is>
          <t xml:space="preserve">Steenwijk </t>
        </is>
      </c>
    </row>
    <row r="232">
      <c r="A232" t="inlineStr">
        <is>
          <t>Middenbaan Noord 18B</t>
        </is>
      </c>
      <c r="B232" t="inlineStr">
        <is>
          <t>0252</t>
        </is>
      </c>
      <c r="G232" t="inlineStr">
        <is>
          <t>3117 AW</t>
        </is>
      </c>
      <c r="H232" t="inlineStr">
        <is>
          <t>Schiedam</t>
        </is>
      </c>
    </row>
    <row r="233">
      <c r="A233" t="inlineStr">
        <is>
          <t>Middenbaan Noord 18C</t>
        </is>
      </c>
      <c r="B233" t="inlineStr">
        <is>
          <t>0253</t>
        </is>
      </c>
      <c r="G233" t="inlineStr">
        <is>
          <t>3117 AW</t>
        </is>
      </c>
      <c r="H233" t="inlineStr">
        <is>
          <t>Schiedam</t>
        </is>
      </c>
    </row>
    <row r="234">
      <c r="A234" t="inlineStr">
        <is>
          <t>Middenbaan Noord 20A</t>
        </is>
      </c>
      <c r="B234" t="inlineStr">
        <is>
          <t>0254</t>
        </is>
      </c>
      <c r="G234" t="inlineStr">
        <is>
          <t>4204EW</t>
        </is>
      </c>
      <c r="H234" t="inlineStr">
        <is>
          <t>Gorinchem</t>
        </is>
      </c>
    </row>
    <row r="235">
      <c r="A235" t="inlineStr">
        <is>
          <t>Middenbaan Noord 20B</t>
        </is>
      </c>
      <c r="B235" t="inlineStr">
        <is>
          <t>0255</t>
        </is>
      </c>
      <c r="G235" t="inlineStr">
        <is>
          <t>3421 AJ</t>
        </is>
      </c>
      <c r="H235" t="inlineStr">
        <is>
          <t>Oudewater</t>
        </is>
      </c>
    </row>
    <row r="236">
      <c r="A236" t="inlineStr">
        <is>
          <t>Middenbaan Noord 20C</t>
        </is>
      </c>
      <c r="B236" t="inlineStr">
        <is>
          <t>0256</t>
        </is>
      </c>
      <c r="G236" t="inlineStr">
        <is>
          <t>8212 CD</t>
        </is>
      </c>
      <c r="H236" t="inlineStr">
        <is>
          <t>Lelystad</t>
        </is>
      </c>
    </row>
    <row r="237">
      <c r="A237" t="inlineStr">
        <is>
          <t>Middenbaan Noord 22B</t>
        </is>
      </c>
      <c r="B237" t="inlineStr">
        <is>
          <t>0258</t>
        </is>
      </c>
      <c r="G237" t="inlineStr">
        <is>
          <t>5038PB</t>
        </is>
      </c>
      <c r="H237" t="inlineStr">
        <is>
          <t>Tilburg</t>
        </is>
      </c>
    </row>
    <row r="238">
      <c r="A238" t="inlineStr">
        <is>
          <t>Middenbaan Noord 22C</t>
        </is>
      </c>
      <c r="B238" t="inlineStr">
        <is>
          <t>0259</t>
        </is>
      </c>
      <c r="G238" t="inlineStr">
        <is>
          <t>7741 RM</t>
        </is>
      </c>
      <c r="H238" t="inlineStr">
        <is>
          <t>Coevorden</t>
        </is>
      </c>
    </row>
    <row r="239">
      <c r="A239" t="inlineStr">
        <is>
          <t>Middenbaan Noord 22a</t>
        </is>
      </c>
      <c r="B239" t="inlineStr">
        <is>
          <t>0257</t>
        </is>
      </c>
      <c r="G239" t="inlineStr">
        <is>
          <t>3181XK</t>
        </is>
      </c>
      <c r="H239" t="inlineStr">
        <is>
          <t>Rozenburg</t>
        </is>
      </c>
    </row>
    <row r="240">
      <c r="A240" t="inlineStr">
        <is>
          <t>Miltonstraat 55</t>
        </is>
      </c>
      <c r="B240" t="inlineStr">
        <is>
          <t>0219</t>
        </is>
      </c>
      <c r="G240" t="inlineStr">
        <is>
          <t>3117BK</t>
        </is>
      </c>
      <c r="H240" t="inlineStr">
        <is>
          <t>Schiedam</t>
        </is>
      </c>
    </row>
    <row r="241">
      <c r="A241" t="inlineStr">
        <is>
          <t>Miltonstraat 85</t>
        </is>
      </c>
      <c r="B241" t="inlineStr">
        <is>
          <t>0220</t>
        </is>
      </c>
      <c r="G241" t="inlineStr">
        <is>
          <t>3085EM</t>
        </is>
      </c>
      <c r="H241" t="inlineStr">
        <is>
          <t>Rotterdam</t>
        </is>
      </c>
    </row>
    <row r="242">
      <c r="A242" t="inlineStr">
        <is>
          <t>Molendijk 4</t>
        </is>
      </c>
      <c r="B242" t="inlineStr">
        <is>
          <t>0076</t>
        </is>
      </c>
      <c r="G242" t="inlineStr">
        <is>
          <t>3141 CD</t>
        </is>
      </c>
      <c r="H242" t="inlineStr">
        <is>
          <t>Maassluis</t>
        </is>
      </c>
    </row>
    <row r="243">
      <c r="A243" t="inlineStr">
        <is>
          <t>Molenstraat 10</t>
        </is>
      </c>
      <c r="B243" t="inlineStr">
        <is>
          <t>0221</t>
        </is>
      </c>
      <c r="G243" t="inlineStr">
        <is>
          <t>4231ZZ</t>
        </is>
      </c>
      <c r="H243" t="inlineStr">
        <is>
          <t>Meerkerk</t>
        </is>
      </c>
    </row>
    <row r="244">
      <c r="A244" t="inlineStr">
        <is>
          <t>Molenstraat 23</t>
        </is>
      </c>
      <c r="B244" t="inlineStr">
        <is>
          <t>0222</t>
        </is>
      </c>
      <c r="G244" t="inlineStr">
        <is>
          <t>4231ZZ</t>
        </is>
      </c>
      <c r="H244" t="inlineStr">
        <is>
          <t>Meerkerk</t>
        </is>
      </c>
    </row>
    <row r="245">
      <c r="A245" t="inlineStr">
        <is>
          <t>Molenweg 135</t>
        </is>
      </c>
      <c r="B245" t="inlineStr">
        <is>
          <t>0100</t>
        </is>
      </c>
      <c r="G245" t="inlineStr">
        <is>
          <t>4202LS</t>
        </is>
      </c>
      <c r="H245" t="inlineStr">
        <is>
          <t>Gorinchem</t>
        </is>
      </c>
    </row>
    <row r="246">
      <c r="A246" t="inlineStr">
        <is>
          <t>Molenweg 3A</t>
        </is>
      </c>
      <c r="B246" t="inlineStr">
        <is>
          <t>0284</t>
        </is>
      </c>
      <c r="H246" t="inlineStr">
        <is>
          <t>Monster</t>
        </is>
      </c>
    </row>
    <row r="247">
      <c r="A247" t="inlineStr">
        <is>
          <t>Molenweg 3B</t>
        </is>
      </c>
      <c r="B247" t="inlineStr">
        <is>
          <t>0335</t>
        </is>
      </c>
      <c r="H247" t="inlineStr">
        <is>
          <t>Monster</t>
        </is>
      </c>
    </row>
    <row r="248">
      <c r="A248" t="inlineStr">
        <is>
          <t>Monseigneur W.M. Bekkerslaan 34</t>
        </is>
      </c>
      <c r="B248" t="inlineStr">
        <is>
          <t>0074</t>
        </is>
      </c>
      <c r="G248" t="inlineStr">
        <is>
          <t>4551AR</t>
        </is>
      </c>
      <c r="H248" t="inlineStr">
        <is>
          <t>Sas van Gent</t>
        </is>
      </c>
    </row>
    <row r="249">
      <c r="A249" t="inlineStr">
        <is>
          <t>Monsterseweg 26A</t>
        </is>
      </c>
      <c r="B249" t="inlineStr">
        <is>
          <t>0358</t>
        </is>
      </c>
      <c r="H249" t="inlineStr">
        <is>
          <t>S-GRAVENZANDE</t>
        </is>
      </c>
    </row>
    <row r="250">
      <c r="A250" t="inlineStr">
        <is>
          <t>Moureauveld 8</t>
        </is>
      </c>
      <c r="B250" t="inlineStr">
        <is>
          <t>0101</t>
        </is>
      </c>
      <c r="G250" t="inlineStr">
        <is>
          <t>4621HM</t>
        </is>
      </c>
      <c r="H250" t="inlineStr">
        <is>
          <t>Bergen op Zoom</t>
        </is>
      </c>
    </row>
    <row r="251">
      <c r="A251" t="inlineStr">
        <is>
          <t>Mr. L.A. Kesperweg 31A</t>
        </is>
      </c>
      <c r="B251" t="inlineStr">
        <is>
          <t>0208</t>
        </is>
      </c>
      <c r="G251" t="inlineStr">
        <is>
          <t>3112 VL</t>
        </is>
      </c>
      <c r="H251" t="inlineStr">
        <is>
          <t>Schiedam</t>
        </is>
      </c>
    </row>
    <row r="252">
      <c r="A252" t="inlineStr">
        <is>
          <t>Mr. Troelstrastraat 11</t>
        </is>
      </c>
      <c r="B252" t="inlineStr">
        <is>
          <t>0213</t>
        </is>
      </c>
      <c r="G252" t="inlineStr">
        <is>
          <t>3073HS</t>
        </is>
      </c>
      <c r="H252" t="inlineStr">
        <is>
          <t>Rotterdam</t>
        </is>
      </c>
    </row>
    <row r="253">
      <c r="A253" t="inlineStr">
        <is>
          <t>Mr. Troelstrastraat 37</t>
        </is>
      </c>
      <c r="B253" t="inlineStr">
        <is>
          <t>0020</t>
        </is>
      </c>
      <c r="G253" t="inlineStr">
        <is>
          <t>1779GJ</t>
        </is>
      </c>
      <c r="H253" t="inlineStr">
        <is>
          <t xml:space="preserve">Den Oever </t>
        </is>
      </c>
    </row>
    <row r="254">
      <c r="A254" t="inlineStr">
        <is>
          <t>Narcissenstraat 23</t>
        </is>
      </c>
      <c r="B254" t="inlineStr">
        <is>
          <t>0103</t>
        </is>
      </c>
      <c r="G254" t="inlineStr">
        <is>
          <t>1711RR</t>
        </is>
      </c>
      <c r="H254" t="inlineStr">
        <is>
          <t>Hensbroek</t>
        </is>
      </c>
    </row>
    <row r="255">
      <c r="A255" t="inlineStr">
        <is>
          <t>Narcissenstraat 37</t>
        </is>
      </c>
      <c r="B255" t="inlineStr">
        <is>
          <t>0104</t>
        </is>
      </c>
      <c r="G255" t="inlineStr">
        <is>
          <t>1711RR</t>
        </is>
      </c>
      <c r="H255" t="inlineStr">
        <is>
          <t>Hensbroek</t>
        </is>
      </c>
    </row>
    <row r="256">
      <c r="A256" t="inlineStr">
        <is>
          <t>Narcissenstraat 9</t>
        </is>
      </c>
      <c r="B256" t="inlineStr">
        <is>
          <t>0102</t>
        </is>
      </c>
      <c r="G256" t="inlineStr">
        <is>
          <t>4571GJ</t>
        </is>
      </c>
      <c r="H256" t="inlineStr">
        <is>
          <t>Axel</t>
        </is>
      </c>
    </row>
    <row r="257">
      <c r="A257" t="inlineStr">
        <is>
          <t>Nicolaas Beetsstraat 29</t>
        </is>
      </c>
      <c r="B257" t="inlineStr">
        <is>
          <t>0224</t>
        </is>
      </c>
      <c r="H257" t="inlineStr">
        <is>
          <t>VLAARDINGEN</t>
        </is>
      </c>
    </row>
    <row r="258">
      <c r="A258" t="inlineStr">
        <is>
          <t>Nieuwe Zeedijk 1K</t>
        </is>
      </c>
      <c r="B258" t="inlineStr">
        <is>
          <t>0108</t>
        </is>
      </c>
      <c r="G258" t="inlineStr">
        <is>
          <t>1711RR</t>
        </is>
      </c>
      <c r="H258" t="inlineStr">
        <is>
          <t>Hensbroek</t>
        </is>
      </c>
    </row>
    <row r="259">
      <c r="A259" t="inlineStr">
        <is>
          <t>Nieuwenhoornstraat 46b</t>
        </is>
      </c>
      <c r="B259" t="inlineStr">
        <is>
          <t>0046</t>
        </is>
      </c>
      <c r="G259" t="inlineStr">
        <is>
          <t>3131 BD</t>
        </is>
      </c>
      <c r="H259" t="inlineStr">
        <is>
          <t>Vlaardingen</t>
        </is>
      </c>
    </row>
    <row r="260">
      <c r="A260" t="inlineStr">
        <is>
          <t>Nieuwkerkstraat 78</t>
        </is>
      </c>
      <c r="B260" t="inlineStr">
        <is>
          <t>0166</t>
        </is>
      </c>
      <c r="G260" t="inlineStr">
        <is>
          <t>3181AW</t>
        </is>
      </c>
      <c r="H260" t="inlineStr">
        <is>
          <t>Rozenburg</t>
        </is>
      </c>
    </row>
    <row r="261">
      <c r="A261" t="inlineStr">
        <is>
          <t>Noordmolenstraat 36a</t>
        </is>
      </c>
      <c r="B261" t="inlineStr">
        <is>
          <t>0328</t>
        </is>
      </c>
      <c r="H261" t="inlineStr">
        <is>
          <t>Schiedam</t>
        </is>
      </c>
    </row>
    <row r="262">
      <c r="A262" t="inlineStr">
        <is>
          <t>Noordmolenstraat 36b</t>
        </is>
      </c>
      <c r="B262" t="inlineStr">
        <is>
          <t>0329</t>
        </is>
      </c>
      <c r="H262" t="inlineStr">
        <is>
          <t>Schiedam</t>
        </is>
      </c>
    </row>
    <row r="263">
      <c r="A263" t="inlineStr">
        <is>
          <t>Noordmolenstraat 36c</t>
        </is>
      </c>
      <c r="B263" t="inlineStr">
        <is>
          <t>0330</t>
        </is>
      </c>
      <c r="H263" t="inlineStr">
        <is>
          <t>Schiedam</t>
        </is>
      </c>
    </row>
    <row r="264">
      <c r="A264" t="inlineStr">
        <is>
          <t>Nunspeetlaan 14</t>
        </is>
      </c>
      <c r="B264" t="inlineStr">
        <is>
          <t>0001</t>
        </is>
      </c>
      <c r="G264" t="inlineStr">
        <is>
          <t>3134 LL</t>
        </is>
      </c>
      <c r="H264" t="inlineStr">
        <is>
          <t>Vlaardingen</t>
        </is>
      </c>
    </row>
    <row r="265">
      <c r="A265" t="inlineStr">
        <is>
          <t>Nunspeetlaan 53</t>
        </is>
      </c>
      <c r="B265" t="inlineStr">
        <is>
          <t>0041</t>
        </is>
      </c>
      <c r="G265" t="inlineStr">
        <is>
          <t>3225XB</t>
        </is>
      </c>
      <c r="H265" t="inlineStr">
        <is>
          <t>Hellevoetsluis</t>
        </is>
      </c>
    </row>
    <row r="266">
      <c r="A266" t="inlineStr">
        <is>
          <t>Ofwegen 1A</t>
        </is>
      </c>
      <c r="B266" t="inlineStr">
        <is>
          <t>0336</t>
        </is>
      </c>
      <c r="G266" t="inlineStr">
        <is>
          <t>2481KA</t>
        </is>
      </c>
      <c r="H266" t="inlineStr">
        <is>
          <t>Woubrugge</t>
        </is>
      </c>
    </row>
    <row r="267">
      <c r="A267" t="inlineStr">
        <is>
          <t>Oosterstraat 89</t>
        </is>
      </c>
      <c r="B267" t="inlineStr">
        <is>
          <t>0111</t>
        </is>
      </c>
      <c r="G267" t="inlineStr">
        <is>
          <t>1711RR</t>
        </is>
      </c>
      <c r="H267" t="inlineStr">
        <is>
          <t>Hensbroek</t>
        </is>
      </c>
    </row>
    <row r="268">
      <c r="A268" t="inlineStr">
        <is>
          <t>Oostlaan 3</t>
        </is>
      </c>
      <c r="B268" t="inlineStr">
        <is>
          <t>0227</t>
        </is>
      </c>
      <c r="G268" t="inlineStr">
        <is>
          <t>3205CN</t>
        </is>
      </c>
      <c r="H268" t="inlineStr">
        <is>
          <t>Spijkenisse</t>
        </is>
      </c>
    </row>
    <row r="269">
      <c r="A269" t="inlineStr">
        <is>
          <t>Opaal 9</t>
        </is>
      </c>
      <c r="B269" t="inlineStr">
        <is>
          <t>0110</t>
        </is>
      </c>
      <c r="G269" t="inlineStr">
        <is>
          <t>1711RR</t>
        </is>
      </c>
      <c r="H269" t="inlineStr">
        <is>
          <t>Hensbroek</t>
        </is>
      </c>
    </row>
    <row r="270">
      <c r="A270" t="inlineStr">
        <is>
          <t>Oranjestraat 63</t>
        </is>
      </c>
      <c r="B270" t="inlineStr">
        <is>
          <t>0369</t>
        </is>
      </c>
      <c r="G270" t="inlineStr">
        <is>
          <t>3111AN</t>
        </is>
      </c>
      <c r="H270" t="inlineStr">
        <is>
          <t>Schiedam</t>
        </is>
      </c>
    </row>
    <row r="271">
      <c r="A271" t="inlineStr">
        <is>
          <t>Oudewerfslaan 84</t>
        </is>
      </c>
      <c r="B271" t="inlineStr">
        <is>
          <t>0112</t>
        </is>
      </c>
      <c r="G271" t="inlineStr">
        <is>
          <t>1711RR</t>
        </is>
      </c>
      <c r="H271" t="inlineStr">
        <is>
          <t>Hensbroek</t>
        </is>
      </c>
    </row>
    <row r="272">
      <c r="A272" t="inlineStr">
        <is>
          <t>P. F. Catsstraat 8</t>
        </is>
      </c>
      <c r="B272" t="inlineStr">
        <is>
          <t>0218</t>
        </is>
      </c>
      <c r="G272" t="inlineStr">
        <is>
          <t>4624DM</t>
        </is>
      </c>
      <c r="H272" t="inlineStr">
        <is>
          <t>Bergen op Zoom</t>
        </is>
      </c>
    </row>
    <row r="273">
      <c r="A273" t="inlineStr">
        <is>
          <t>Parallelweg 110A</t>
        </is>
      </c>
      <c r="B273" t="inlineStr">
        <is>
          <t>0042</t>
        </is>
      </c>
      <c r="G273" t="inlineStr">
        <is>
          <t>7601BE</t>
        </is>
      </c>
      <c r="H273" t="inlineStr">
        <is>
          <t>Almelo</t>
        </is>
      </c>
    </row>
    <row r="274">
      <c r="A274" t="inlineStr">
        <is>
          <t>Parallelweg 114c</t>
        </is>
      </c>
      <c r="B274" t="inlineStr">
        <is>
          <t>0380</t>
        </is>
      </c>
      <c r="H274" t="inlineStr">
        <is>
          <t>Vlaardingen</t>
        </is>
      </c>
    </row>
    <row r="275">
      <c r="A275" t="inlineStr">
        <is>
          <t>Parallelweg 122A</t>
        </is>
      </c>
      <c r="B275" t="inlineStr">
        <is>
          <t>0228</t>
        </is>
      </c>
      <c r="H275" t="inlineStr">
        <is>
          <t>VLAARDINGEN</t>
        </is>
      </c>
    </row>
    <row r="276">
      <c r="A276" t="inlineStr">
        <is>
          <t>Parallelweg 134b</t>
        </is>
      </c>
      <c r="B276" t="inlineStr">
        <is>
          <t>0381</t>
        </is>
      </c>
      <c r="H276" t="inlineStr">
        <is>
          <t>Vlaardingen</t>
        </is>
      </c>
    </row>
    <row r="277">
      <c r="A277" t="inlineStr">
        <is>
          <t>Parallelweg 98B</t>
        </is>
      </c>
      <c r="B277" t="inlineStr">
        <is>
          <t>0229</t>
        </is>
      </c>
      <c r="G277" t="inlineStr">
        <is>
          <t>9205AN</t>
        </is>
      </c>
      <c r="H277" t="inlineStr">
        <is>
          <t xml:space="preserve">Drachten </t>
        </is>
      </c>
    </row>
    <row r="278">
      <c r="A278" t="inlineStr">
        <is>
          <t>Pasteursingel 61B</t>
        </is>
      </c>
      <c r="B278" t="inlineStr">
        <is>
          <t>0230</t>
        </is>
      </c>
      <c r="G278" t="inlineStr">
        <is>
          <t>3146 BX</t>
        </is>
      </c>
      <c r="H278" t="inlineStr">
        <is>
          <t>Maassluis</t>
        </is>
      </c>
    </row>
    <row r="279">
      <c r="A279" t="inlineStr">
        <is>
          <t>Pastoor Gilisstraat 81A</t>
        </is>
      </c>
      <c r="B279" t="inlineStr">
        <is>
          <t>0344</t>
        </is>
      </c>
    </row>
    <row r="280">
      <c r="A280" t="inlineStr">
        <is>
          <t>Pastoriedijk 89</t>
        </is>
      </c>
      <c r="B280" t="inlineStr">
        <is>
          <t>0083</t>
        </is>
      </c>
      <c r="G280" t="inlineStr">
        <is>
          <t>9866AR</t>
        </is>
      </c>
      <c r="H280" t="inlineStr">
        <is>
          <t>Lutjegast</t>
        </is>
      </c>
    </row>
    <row r="281">
      <c r="A281" t="inlineStr">
        <is>
          <t>Patrijsstraat 39</t>
        </is>
      </c>
      <c r="B281" t="inlineStr">
        <is>
          <t>0081</t>
        </is>
      </c>
      <c r="G281" t="inlineStr">
        <is>
          <t>3114 CH</t>
        </is>
      </c>
      <c r="H281" t="inlineStr">
        <is>
          <t>Schiedam</t>
        </is>
      </c>
    </row>
    <row r="282">
      <c r="A282" t="inlineStr">
        <is>
          <t>Persoonsdam 176</t>
        </is>
      </c>
      <c r="B282" t="inlineStr">
        <is>
          <t>0260</t>
        </is>
      </c>
      <c r="G282" t="inlineStr">
        <is>
          <t>4696 BS</t>
        </is>
      </c>
      <c r="H282" t="inlineStr">
        <is>
          <t>Stavenisse</t>
        </is>
      </c>
    </row>
    <row r="283">
      <c r="A283" t="inlineStr">
        <is>
          <t>Persoonsdam 177</t>
        </is>
      </c>
      <c r="B283" t="inlineStr">
        <is>
          <t>0261</t>
        </is>
      </c>
      <c r="G283" t="inlineStr">
        <is>
          <t>8801EL</t>
        </is>
      </c>
      <c r="H283" t="inlineStr">
        <is>
          <t>Franeker</t>
        </is>
      </c>
    </row>
    <row r="284">
      <c r="A284" t="inlineStr">
        <is>
          <t>Persoonsdam 178</t>
        </is>
      </c>
      <c r="B284" t="inlineStr">
        <is>
          <t>0262</t>
        </is>
      </c>
      <c r="G284" t="inlineStr">
        <is>
          <t>3071EE</t>
        </is>
      </c>
      <c r="H284" t="inlineStr">
        <is>
          <t>Rotterdam</t>
        </is>
      </c>
    </row>
    <row r="285">
      <c r="A285" t="inlineStr">
        <is>
          <t>Persoonsdam 179</t>
        </is>
      </c>
      <c r="B285" t="inlineStr">
        <is>
          <t>0263</t>
        </is>
      </c>
      <c r="G285" t="inlineStr">
        <is>
          <t>4703TA</t>
        </is>
      </c>
      <c r="H285" t="inlineStr">
        <is>
          <t>Roosendaal</t>
        </is>
      </c>
    </row>
    <row r="286">
      <c r="A286" t="inlineStr">
        <is>
          <t>Persoonsdam 180</t>
        </is>
      </c>
      <c r="B286" t="inlineStr">
        <is>
          <t>0264</t>
        </is>
      </c>
      <c r="G286" t="inlineStr">
        <is>
          <t>3082PH</t>
        </is>
      </c>
      <c r="H286" t="inlineStr">
        <is>
          <t>Rotterdam</t>
        </is>
      </c>
    </row>
    <row r="287">
      <c r="A287" t="inlineStr">
        <is>
          <t>Persoonsdam 181</t>
        </is>
      </c>
      <c r="B287" t="inlineStr">
        <is>
          <t>0265</t>
        </is>
      </c>
      <c r="G287" t="inlineStr">
        <is>
          <t>3071EE</t>
        </is>
      </c>
      <c r="H287" t="inlineStr">
        <is>
          <t>Rotterdam</t>
        </is>
      </c>
    </row>
    <row r="288">
      <c r="A288" t="inlineStr">
        <is>
          <t>Persoonsdam 182</t>
        </is>
      </c>
      <c r="B288" t="inlineStr">
        <is>
          <t>0266</t>
        </is>
      </c>
      <c r="G288" t="inlineStr">
        <is>
          <t>3071EE</t>
        </is>
      </c>
      <c r="H288" t="inlineStr">
        <is>
          <t>Rotterdam</t>
        </is>
      </c>
    </row>
    <row r="289">
      <c r="A289" t="inlineStr">
        <is>
          <t>Persoonsdam 194</t>
        </is>
      </c>
      <c r="B289" t="inlineStr">
        <is>
          <t>0267</t>
        </is>
      </c>
      <c r="G289" t="inlineStr">
        <is>
          <t>3071EE</t>
        </is>
      </c>
      <c r="H289" t="inlineStr">
        <is>
          <t>Rotterdam</t>
        </is>
      </c>
    </row>
    <row r="290">
      <c r="A290" t="inlineStr">
        <is>
          <t>Persoonsdam 196</t>
        </is>
      </c>
      <c r="B290" t="inlineStr">
        <is>
          <t>0349</t>
        </is>
      </c>
      <c r="G290" t="inlineStr">
        <is>
          <t>3071EE</t>
        </is>
      </c>
      <c r="H290" t="inlineStr">
        <is>
          <t>Rotterdam</t>
        </is>
      </c>
    </row>
    <row r="291">
      <c r="A291" t="inlineStr">
        <is>
          <t>Persoonsdam 198</t>
        </is>
      </c>
      <c r="B291" t="inlineStr">
        <is>
          <t>0268</t>
        </is>
      </c>
      <c r="G291" t="inlineStr">
        <is>
          <t>3071EE</t>
        </is>
      </c>
      <c r="H291" t="inlineStr">
        <is>
          <t>Rotterdam</t>
        </is>
      </c>
    </row>
    <row r="292">
      <c r="A292" t="inlineStr">
        <is>
          <t>Peursumseweg 119</t>
        </is>
      </c>
      <c r="B292" t="inlineStr">
        <is>
          <t>0113</t>
        </is>
      </c>
      <c r="G292" t="inlineStr">
        <is>
          <t>1711RR</t>
        </is>
      </c>
      <c r="H292" t="inlineStr">
        <is>
          <t>Hensbroek</t>
        </is>
      </c>
    </row>
    <row r="293">
      <c r="A293" t="inlineStr">
        <is>
          <t>Piersonstraat 8</t>
        </is>
      </c>
      <c r="B293" t="inlineStr">
        <is>
          <t>0114</t>
        </is>
      </c>
      <c r="G293" t="inlineStr">
        <is>
          <t>1711RR</t>
        </is>
      </c>
      <c r="H293" t="inlineStr">
        <is>
          <t>Hensbroek</t>
        </is>
      </c>
    </row>
    <row r="294">
      <c r="A294" t="inlineStr">
        <is>
          <t>Plaats 10</t>
        </is>
      </c>
      <c r="B294" t="inlineStr">
        <is>
          <t>0120</t>
        </is>
      </c>
      <c r="G294" t="inlineStr">
        <is>
          <t>3086HL</t>
        </is>
      </c>
      <c r="H294" t="inlineStr">
        <is>
          <t>Rotterdam</t>
        </is>
      </c>
    </row>
    <row r="295">
      <c r="A295" t="inlineStr">
        <is>
          <t>Platostraat 80</t>
        </is>
      </c>
      <c r="B295" t="inlineStr">
        <is>
          <t>0231</t>
        </is>
      </c>
      <c r="G295" t="inlineStr">
        <is>
          <t>3082WP</t>
        </is>
      </c>
      <c r="H295" t="inlineStr">
        <is>
          <t>Rotterdam</t>
        </is>
      </c>
    </row>
    <row r="296">
      <c r="A296" t="inlineStr">
        <is>
          <t>Pleinweg 101 B</t>
        </is>
      </c>
      <c r="B296" t="inlineStr">
        <is>
          <t>0045</t>
        </is>
      </c>
      <c r="G296" t="inlineStr">
        <is>
          <t>4501 BJ</t>
        </is>
      </c>
      <c r="H296" t="inlineStr">
        <is>
          <t>Oostburg</t>
        </is>
      </c>
    </row>
    <row r="297">
      <c r="A297" t="inlineStr">
        <is>
          <t>Pleinweg 101A</t>
        </is>
      </c>
      <c r="B297" t="inlineStr">
        <is>
          <t>0044</t>
        </is>
      </c>
      <c r="G297" t="inlineStr">
        <is>
          <t>3145 AD</t>
        </is>
      </c>
      <c r="H297" t="inlineStr">
        <is>
          <t>Maassluis</t>
        </is>
      </c>
    </row>
    <row r="298">
      <c r="A298" t="inlineStr">
        <is>
          <t>Ploegstraat 2A</t>
        </is>
      </c>
      <c r="B298" t="inlineStr">
        <is>
          <t>0079</t>
        </is>
      </c>
      <c r="G298" t="inlineStr">
        <is>
          <t xml:space="preserve">6133XK </t>
        </is>
      </c>
      <c r="H298" t="inlineStr">
        <is>
          <t>Sittard</t>
        </is>
      </c>
    </row>
    <row r="299">
      <c r="A299" t="inlineStr">
        <is>
          <t>Poeldijkseweg 27</t>
        </is>
      </c>
      <c r="B299" t="inlineStr">
        <is>
          <t>0285</t>
        </is>
      </c>
      <c r="H299" t="inlineStr">
        <is>
          <t>Monster</t>
        </is>
      </c>
    </row>
    <row r="300">
      <c r="A300" t="inlineStr">
        <is>
          <t>Poeldijkseweg 29</t>
        </is>
      </c>
      <c r="B300" t="inlineStr">
        <is>
          <t>0378</t>
        </is>
      </c>
      <c r="H300" t="inlineStr">
        <is>
          <t>Monster</t>
        </is>
      </c>
    </row>
    <row r="301">
      <c r="A301" t="inlineStr">
        <is>
          <t>Poolsestraat 29a</t>
        </is>
      </c>
      <c r="B301" t="inlineStr">
        <is>
          <t>0386</t>
        </is>
      </c>
      <c r="G301" t="inlineStr">
        <is>
          <t>3028EN</t>
        </is>
      </c>
      <c r="H301" t="inlineStr">
        <is>
          <t>Rotterdam</t>
        </is>
      </c>
    </row>
    <row r="302">
      <c r="A302" t="inlineStr">
        <is>
          <t>Poppestraat 59</t>
        </is>
      </c>
      <c r="B302" t="inlineStr">
        <is>
          <t>0115</t>
        </is>
      </c>
      <c r="G302" t="inlineStr">
        <is>
          <t>1711RR</t>
        </is>
      </c>
      <c r="H302" t="inlineStr">
        <is>
          <t>Hensbroek</t>
        </is>
      </c>
    </row>
    <row r="303">
      <c r="A303" t="inlineStr">
        <is>
          <t>Prins Bernhardstraat 40</t>
        </is>
      </c>
      <c r="B303" t="inlineStr">
        <is>
          <t>0116</t>
        </is>
      </c>
      <c r="G303" t="inlineStr">
        <is>
          <t>1711RR</t>
        </is>
      </c>
      <c r="H303" t="inlineStr">
        <is>
          <t>Hensbroek</t>
        </is>
      </c>
    </row>
    <row r="304">
      <c r="A304" t="inlineStr">
        <is>
          <t>Prins Willemweg 2</t>
        </is>
      </c>
      <c r="B304" t="inlineStr">
        <is>
          <t>0287</t>
        </is>
      </c>
      <c r="H304" t="inlineStr">
        <is>
          <t>Hoek van Holland</t>
        </is>
      </c>
    </row>
    <row r="305">
      <c r="A305" t="inlineStr">
        <is>
          <t>Prinses Wilhelminastraat 9</t>
        </is>
      </c>
      <c r="B305" t="inlineStr">
        <is>
          <t>0106</t>
        </is>
      </c>
      <c r="G305" t="inlineStr">
        <is>
          <t>1711RR</t>
        </is>
      </c>
      <c r="H305" t="inlineStr">
        <is>
          <t>Hensbroek</t>
        </is>
      </c>
    </row>
    <row r="306">
      <c r="A306" t="inlineStr">
        <is>
          <t>Prof Poelslaan 58</t>
        </is>
      </c>
      <c r="B306" t="inlineStr">
        <is>
          <t>0340</t>
        </is>
      </c>
      <c r="H306" t="inlineStr">
        <is>
          <t>C Rotterdam</t>
        </is>
      </c>
    </row>
    <row r="307">
      <c r="A307" t="inlineStr">
        <is>
          <t>Professor Kamerlingh Onneslaan 105</t>
        </is>
      </c>
      <c r="B307" t="inlineStr">
        <is>
          <t>0269</t>
        </is>
      </c>
      <c r="H307" t="inlineStr">
        <is>
          <t>b2 Schiedam</t>
        </is>
      </c>
    </row>
    <row r="308">
      <c r="A308" t="inlineStr">
        <is>
          <t>Professor Kamerlingh Onneslaan 134 B1</t>
        </is>
      </c>
      <c r="B308" t="inlineStr">
        <is>
          <t>0270</t>
        </is>
      </c>
      <c r="H308" t="inlineStr">
        <is>
          <t>Schiedam</t>
        </is>
      </c>
    </row>
    <row r="309">
      <c r="A309" t="inlineStr">
        <is>
          <t>Professor Kamerlingh Onneslaan 134 B2</t>
        </is>
      </c>
      <c r="B309" t="inlineStr">
        <is>
          <t>0271</t>
        </is>
      </c>
      <c r="H309" t="inlineStr">
        <is>
          <t>Schiedam</t>
        </is>
      </c>
    </row>
    <row r="310">
      <c r="A310" t="inlineStr">
        <is>
          <t>Professor Kamerlingh Onneslaan 134 B3</t>
        </is>
      </c>
      <c r="B310" t="inlineStr">
        <is>
          <t>0272</t>
        </is>
      </c>
      <c r="H310" t="inlineStr">
        <is>
          <t>Schiedam</t>
        </is>
      </c>
    </row>
    <row r="311">
      <c r="A311" t="inlineStr">
        <is>
          <t>Prunuslaan 36</t>
        </is>
      </c>
      <c r="B311" t="inlineStr">
        <is>
          <t>0117</t>
        </is>
      </c>
      <c r="G311" t="inlineStr">
        <is>
          <t>1711RR</t>
        </is>
      </c>
      <c r="H311" t="inlineStr">
        <is>
          <t>Hensbroek</t>
        </is>
      </c>
    </row>
    <row r="312">
      <c r="A312" t="inlineStr">
        <is>
          <t>Punter 22</t>
        </is>
      </c>
      <c r="B312" t="inlineStr">
        <is>
          <t>0204</t>
        </is>
      </c>
      <c r="G312" t="inlineStr">
        <is>
          <t>4711EW</t>
        </is>
      </c>
      <c r="H312" t="inlineStr">
        <is>
          <t>St. Willebrord</t>
        </is>
      </c>
    </row>
    <row r="313">
      <c r="A313" t="inlineStr">
        <is>
          <t>Putsebosch 136</t>
        </is>
      </c>
      <c r="B313" t="inlineStr">
        <is>
          <t>0361</t>
        </is>
      </c>
      <c r="H313" t="inlineStr">
        <is>
          <t>B01 Rotterdam</t>
        </is>
      </c>
    </row>
    <row r="314">
      <c r="A314" t="inlineStr">
        <is>
          <t>Putter 42</t>
        </is>
      </c>
      <c r="B314" t="inlineStr">
        <is>
          <t>0327</t>
        </is>
      </c>
      <c r="G314" t="inlineStr">
        <is>
          <t>4872 PB</t>
        </is>
      </c>
      <c r="H314" t="inlineStr">
        <is>
          <t>Etten-Leur</t>
        </is>
      </c>
    </row>
    <row r="315">
      <c r="A315" t="inlineStr">
        <is>
          <t>Rembrandtstraat 20B</t>
        </is>
      </c>
      <c r="B315" t="inlineStr">
        <is>
          <t>0233</t>
        </is>
      </c>
      <c r="G315" t="inlineStr">
        <is>
          <t>3086TP</t>
        </is>
      </c>
      <c r="H315" t="inlineStr">
        <is>
          <t>Rotterdam</t>
        </is>
      </c>
    </row>
    <row r="316">
      <c r="A316" t="inlineStr">
        <is>
          <t>Rietdijkstraat 56A</t>
        </is>
      </c>
      <c r="B316" t="inlineStr">
        <is>
          <t>0363</t>
        </is>
      </c>
      <c r="H316" t="inlineStr">
        <is>
          <t>Hoek van Holland</t>
        </is>
      </c>
    </row>
    <row r="317">
      <c r="A317" t="inlineStr">
        <is>
          <t>Rietdijkstraat 56B</t>
        </is>
      </c>
      <c r="B317" t="inlineStr">
        <is>
          <t>0364</t>
        </is>
      </c>
      <c r="H317" t="inlineStr">
        <is>
          <t>Hoek van Holland</t>
        </is>
      </c>
    </row>
    <row r="318">
      <c r="A318" t="inlineStr">
        <is>
          <t>Rijpstraat 24</t>
        </is>
      </c>
      <c r="B318" t="inlineStr">
        <is>
          <t>0377</t>
        </is>
      </c>
      <c r="H318" t="inlineStr">
        <is>
          <t>Hoek van Holland</t>
        </is>
      </c>
    </row>
    <row r="319">
      <c r="A319" t="inlineStr">
        <is>
          <t>Ringbaan Oost 327</t>
        </is>
      </c>
      <c r="B319" t="inlineStr">
        <is>
          <t>0005</t>
        </is>
      </c>
      <c r="G319" t="inlineStr">
        <is>
          <t>4243 TM</t>
        </is>
      </c>
      <c r="H319" t="inlineStr">
        <is>
          <t>Nieuwland</t>
        </is>
      </c>
    </row>
    <row r="320">
      <c r="A320" t="inlineStr">
        <is>
          <t>Rivierdijk 793</t>
        </is>
      </c>
      <c r="B320" t="inlineStr">
        <is>
          <t>0226</t>
        </is>
      </c>
      <c r="G320" t="inlineStr">
        <is>
          <t>8607BK</t>
        </is>
      </c>
      <c r="H320" t="inlineStr">
        <is>
          <t>Sneek</t>
        </is>
      </c>
    </row>
    <row r="321">
      <c r="A321" t="inlineStr">
        <is>
          <t>Rooseveltlaan 185</t>
        </is>
      </c>
      <c r="B321" t="inlineStr">
        <is>
          <t>0179</t>
        </is>
      </c>
      <c r="G321" t="inlineStr">
        <is>
          <t>2481KA</t>
        </is>
      </c>
      <c r="H321" t="inlineStr">
        <is>
          <t>Woubrugge</t>
        </is>
      </c>
    </row>
    <row r="322">
      <c r="A322" t="inlineStr">
        <is>
          <t>Rotterdamsedijk 154B</t>
        </is>
      </c>
      <c r="B322" t="inlineStr">
        <is>
          <t>0234</t>
        </is>
      </c>
      <c r="G322" t="inlineStr">
        <is>
          <t>3421GL</t>
        </is>
      </c>
      <c r="H322" t="inlineStr">
        <is>
          <t>Oudewater</t>
        </is>
      </c>
    </row>
    <row r="323">
      <c r="A323" t="inlineStr">
        <is>
          <t>Rubensplein 3 B</t>
        </is>
      </c>
      <c r="B323" t="inlineStr">
        <is>
          <t>0235</t>
        </is>
      </c>
      <c r="G323" t="inlineStr">
        <is>
          <t>3131 HV</t>
        </is>
      </c>
      <c r="H323" t="inlineStr">
        <is>
          <t>Vlaardingen</t>
        </is>
      </c>
    </row>
    <row r="324">
      <c r="A324" t="inlineStr">
        <is>
          <t>Rubensplein 6B</t>
        </is>
      </c>
      <c r="B324" t="inlineStr">
        <is>
          <t>0154</t>
        </is>
      </c>
      <c r="G324" t="inlineStr">
        <is>
          <t>3131 TG</t>
        </is>
      </c>
      <c r="H324" t="inlineStr">
        <is>
          <t>Vlaardingen</t>
        </is>
      </c>
    </row>
    <row r="325">
      <c r="A325" t="inlineStr">
        <is>
          <t>Ruigenhoek 69</t>
        </is>
      </c>
      <c r="B325" t="inlineStr">
        <is>
          <t>0362</t>
        </is>
      </c>
      <c r="G325" t="inlineStr">
        <is>
          <t>3085EM</t>
        </is>
      </c>
      <c r="H325" t="inlineStr">
        <is>
          <t>Rotterdam</t>
        </is>
      </c>
    </row>
    <row r="326">
      <c r="A326" t="inlineStr">
        <is>
          <t>Schalkeroord 389</t>
        </is>
      </c>
      <c r="B326" t="inlineStr">
        <is>
          <t>0236</t>
        </is>
      </c>
      <c r="H326" t="inlineStr">
        <is>
          <t>ROTTERDAM</t>
        </is>
      </c>
    </row>
    <row r="327">
      <c r="A327" t="inlineStr">
        <is>
          <t>Scheepjesbrug 433</t>
        </is>
      </c>
      <c r="B327" t="inlineStr">
        <is>
          <t>0144</t>
        </is>
      </c>
      <c r="G327" t="inlineStr">
        <is>
          <t>8315AH</t>
        </is>
      </c>
      <c r="H327" t="inlineStr">
        <is>
          <t>Luttelgeest</t>
        </is>
      </c>
    </row>
    <row r="328">
      <c r="A328" t="inlineStr">
        <is>
          <t>Scheepjesbrug 814</t>
        </is>
      </c>
      <c r="B328" t="inlineStr">
        <is>
          <t>0197</t>
        </is>
      </c>
      <c r="G328" t="inlineStr">
        <is>
          <t>3381 KV</t>
        </is>
      </c>
      <c r="H328" t="inlineStr">
        <is>
          <t>Giessenburg</t>
        </is>
      </c>
    </row>
    <row r="329">
      <c r="A329" t="inlineStr">
        <is>
          <t>Schere 238</t>
        </is>
      </c>
      <c r="B329" t="inlineStr">
        <is>
          <t>0237</t>
        </is>
      </c>
      <c r="G329" t="inlineStr">
        <is>
          <t>3076 SM</t>
        </is>
      </c>
      <c r="H329" t="inlineStr">
        <is>
          <t>Rotterdam</t>
        </is>
      </c>
    </row>
    <row r="330">
      <c r="A330" t="inlineStr">
        <is>
          <t>Schoonegge 110</t>
        </is>
      </c>
      <c r="B330" t="inlineStr">
        <is>
          <t>0239</t>
        </is>
      </c>
      <c r="G330" t="inlineStr">
        <is>
          <t>3117XV</t>
        </is>
      </c>
      <c r="H330" t="inlineStr">
        <is>
          <t>Schiedam</t>
        </is>
      </c>
    </row>
    <row r="331">
      <c r="A331" t="inlineStr">
        <is>
          <t>Schoonegge 84</t>
        </is>
      </c>
      <c r="B331" t="inlineStr">
        <is>
          <t>0240</t>
        </is>
      </c>
      <c r="G331" t="inlineStr">
        <is>
          <t>3117XV</t>
        </is>
      </c>
      <c r="H331" t="inlineStr">
        <is>
          <t>Schiedam</t>
        </is>
      </c>
    </row>
    <row r="332">
      <c r="A332" t="inlineStr">
        <is>
          <t>Sint Annalandstraat 116</t>
        </is>
      </c>
      <c r="B332" t="inlineStr">
        <is>
          <t>0164</t>
        </is>
      </c>
      <c r="G332" t="inlineStr">
        <is>
          <t>3191EH</t>
        </is>
      </c>
      <c r="H332" t="inlineStr">
        <is>
          <t>Hoogvliet</t>
        </is>
      </c>
    </row>
    <row r="333">
      <c r="A333" t="inlineStr">
        <is>
          <t>Sint Josephstraat 61</t>
        </is>
      </c>
      <c r="B333" t="inlineStr">
        <is>
          <t>0050</t>
        </is>
      </c>
      <c r="G333" t="inlineStr">
        <is>
          <t>5017GD</t>
        </is>
      </c>
      <c r="H333" t="inlineStr">
        <is>
          <t>Tilburg</t>
        </is>
      </c>
    </row>
    <row r="334">
      <c r="A334" t="inlineStr">
        <is>
          <t>Sint Liduinastraat 76 A</t>
        </is>
      </c>
      <c r="B334" t="inlineStr">
        <is>
          <t>0242</t>
        </is>
      </c>
      <c r="G334" t="inlineStr">
        <is>
          <t>3141 TH</t>
        </is>
      </c>
      <c r="H334" t="inlineStr">
        <is>
          <t>Maassluis</t>
        </is>
      </c>
    </row>
    <row r="335">
      <c r="A335" t="inlineStr">
        <is>
          <t>Sint Liduinastraat 80A</t>
        </is>
      </c>
      <c r="B335" t="inlineStr">
        <is>
          <t>0243</t>
        </is>
      </c>
      <c r="G335" t="inlineStr">
        <is>
          <t>7741 VK</t>
        </is>
      </c>
      <c r="H335" t="inlineStr">
        <is>
          <t>Coevorden</t>
        </is>
      </c>
    </row>
    <row r="336">
      <c r="A336" t="inlineStr">
        <is>
          <t>Sint Liduinastraat 80B</t>
        </is>
      </c>
      <c r="B336" t="inlineStr">
        <is>
          <t>0244</t>
        </is>
      </c>
      <c r="G336" t="inlineStr">
        <is>
          <t>4541BA</t>
        </is>
      </c>
      <c r="H336" t="inlineStr">
        <is>
          <t xml:space="preserve">Sluiskil </t>
        </is>
      </c>
    </row>
    <row r="337">
      <c r="A337" t="inlineStr">
        <is>
          <t>Snecanusstraat 12</t>
        </is>
      </c>
      <c r="B337" t="inlineStr">
        <is>
          <t>0123</t>
        </is>
      </c>
      <c r="G337" t="inlineStr">
        <is>
          <t>3135 GA</t>
        </is>
      </c>
      <c r="H337" t="inlineStr">
        <is>
          <t>Vlaardingen</t>
        </is>
      </c>
    </row>
    <row r="338">
      <c r="A338" t="inlineStr">
        <is>
          <t>Snoekenveen 242</t>
        </is>
      </c>
      <c r="B338" t="inlineStr">
        <is>
          <t>0124</t>
        </is>
      </c>
      <c r="G338" t="inlineStr">
        <is>
          <t>3135 GM</t>
        </is>
      </c>
      <c r="H338" t="inlineStr">
        <is>
          <t>Vlaardingen</t>
        </is>
      </c>
    </row>
    <row r="339">
      <c r="A339" t="inlineStr">
        <is>
          <t>Socratessstraat 168</t>
        </is>
      </c>
      <c r="B339" t="inlineStr">
        <is>
          <t>0246</t>
        </is>
      </c>
      <c r="G339" t="inlineStr">
        <is>
          <t>4541AZ</t>
        </is>
      </c>
      <c r="H339" t="inlineStr">
        <is>
          <t>Sluiskil</t>
        </is>
      </c>
    </row>
    <row r="340">
      <c r="A340" t="inlineStr">
        <is>
          <t>Spoorsingel 154b</t>
        </is>
      </c>
      <c r="B340" t="inlineStr">
        <is>
          <t>0247</t>
        </is>
      </c>
      <c r="G340" t="inlineStr">
        <is>
          <t>3255AX</t>
        </is>
      </c>
      <c r="H340" t="inlineStr">
        <is>
          <t>Oude-Tonge</t>
        </is>
      </c>
    </row>
    <row r="341">
      <c r="A341" t="inlineStr">
        <is>
          <t>Stal 355</t>
        </is>
      </c>
      <c r="B341" t="inlineStr">
        <is>
          <t>0200</t>
        </is>
      </c>
      <c r="G341" t="inlineStr">
        <is>
          <t>3076BP</t>
        </is>
      </c>
      <c r="H341" t="inlineStr">
        <is>
          <t>Rotterdam</t>
        </is>
      </c>
    </row>
    <row r="342">
      <c r="A342" t="inlineStr">
        <is>
          <t>Steenen Dijck 87</t>
        </is>
      </c>
      <c r="B342" t="inlineStr">
        <is>
          <t>0099</t>
        </is>
      </c>
      <c r="G342" t="inlineStr">
        <is>
          <t>8606CW</t>
        </is>
      </c>
      <c r="H342" t="inlineStr">
        <is>
          <t>Sneek</t>
        </is>
      </c>
    </row>
    <row r="343">
      <c r="A343" t="inlineStr">
        <is>
          <t>Struitenweg 19B</t>
        </is>
      </c>
      <c r="B343" t="inlineStr">
        <is>
          <t>0127</t>
        </is>
      </c>
      <c r="G343" t="inlineStr">
        <is>
          <t>3135 GM</t>
        </is>
      </c>
      <c r="H343" t="inlineStr">
        <is>
          <t>Vlaardingen</t>
        </is>
      </c>
    </row>
    <row r="344">
      <c r="A344" t="inlineStr">
        <is>
          <t>Tesselschadelaan 45</t>
        </is>
      </c>
      <c r="B344" t="inlineStr">
        <is>
          <t>0128</t>
        </is>
      </c>
      <c r="G344" t="inlineStr">
        <is>
          <t>3135 GM</t>
        </is>
      </c>
      <c r="H344" t="inlineStr">
        <is>
          <t>Vlaardingen</t>
        </is>
      </c>
    </row>
    <row r="345">
      <c r="A345" t="inlineStr">
        <is>
          <t>Tholenstraat 114</t>
        </is>
      </c>
      <c r="B345" t="inlineStr">
        <is>
          <t>0249</t>
        </is>
      </c>
      <c r="G345" t="inlineStr">
        <is>
          <t>3086TP</t>
        </is>
      </c>
      <c r="H345" t="inlineStr">
        <is>
          <t>Rotterdam</t>
        </is>
      </c>
    </row>
    <row r="346">
      <c r="A346" t="inlineStr">
        <is>
          <t>Utrechtse straatweg 7</t>
        </is>
      </c>
      <c r="B346" t="inlineStr">
        <is>
          <t>0129</t>
        </is>
      </c>
      <c r="G346" t="inlineStr">
        <is>
          <t>1277 AL</t>
        </is>
      </c>
      <c r="H346" t="inlineStr">
        <is>
          <t>Huizen</t>
        </is>
      </c>
    </row>
    <row r="347">
      <c r="A347" t="inlineStr">
        <is>
          <t>Vaartweg 106C</t>
        </is>
      </c>
      <c r="B347" t="inlineStr">
        <is>
          <t>0021</t>
        </is>
      </c>
      <c r="G347" t="inlineStr">
        <is>
          <t>1779GJ</t>
        </is>
      </c>
      <c r="H347" t="inlineStr">
        <is>
          <t xml:space="preserve">Den Oever </t>
        </is>
      </c>
    </row>
    <row r="348">
      <c r="A348" t="inlineStr">
        <is>
          <t>Van Hoofsweg 4</t>
        </is>
      </c>
      <c r="B348" t="inlineStr">
        <is>
          <t>0355</t>
        </is>
      </c>
      <c r="H348" t="inlineStr">
        <is>
          <t>Nieuw Vossemeer</t>
        </is>
      </c>
    </row>
    <row r="349">
      <c r="A349" t="inlineStr">
        <is>
          <t>Van Langendonckstraat 80</t>
        </is>
      </c>
      <c r="B349" t="inlineStr">
        <is>
          <t>0130</t>
        </is>
      </c>
      <c r="G349" t="inlineStr">
        <is>
          <t>3079 KC</t>
        </is>
      </c>
      <c r="H349" t="inlineStr">
        <is>
          <t>Rotterdam</t>
        </is>
      </c>
    </row>
    <row r="350">
      <c r="A350" t="inlineStr">
        <is>
          <t>Van Ruijsdaellaan 72 B</t>
        </is>
      </c>
      <c r="B350" t="inlineStr">
        <is>
          <t>0351</t>
        </is>
      </c>
      <c r="H350" t="inlineStr">
        <is>
          <t>Schiedam</t>
        </is>
      </c>
    </row>
    <row r="351">
      <c r="A351" t="inlineStr">
        <is>
          <t>Van Ruijsdaellaan 72 C</t>
        </is>
      </c>
      <c r="B351" t="inlineStr">
        <is>
          <t>0352</t>
        </is>
      </c>
      <c r="H351" t="inlineStr">
        <is>
          <t>Schiedam</t>
        </is>
      </c>
    </row>
    <row r="352">
      <c r="A352" t="inlineStr">
        <is>
          <t>Van Ruijsdaellaan 72A</t>
        </is>
      </c>
      <c r="B352" t="inlineStr">
        <is>
          <t>0347</t>
        </is>
      </c>
      <c r="G352" t="inlineStr">
        <is>
          <t>3117XV</t>
        </is>
      </c>
      <c r="H352" t="inlineStr">
        <is>
          <t>Schiedam</t>
        </is>
      </c>
    </row>
    <row r="353">
      <c r="A353" t="inlineStr">
        <is>
          <t>Van Swinderenstraat 21</t>
        </is>
      </c>
      <c r="B353" t="inlineStr">
        <is>
          <t>0324</t>
        </is>
      </c>
      <c r="G353" t="inlineStr">
        <is>
          <t>7741 VK</t>
        </is>
      </c>
      <c r="H353" t="inlineStr">
        <is>
          <t>Coevorden</t>
        </is>
      </c>
    </row>
    <row r="354">
      <c r="A354" t="inlineStr">
        <is>
          <t>Van der Werffstraat 370</t>
        </is>
      </c>
      <c r="B354" t="inlineStr">
        <is>
          <t>0238</t>
        </is>
      </c>
      <c r="G354" t="inlineStr">
        <is>
          <t>3038 CZ</t>
        </is>
      </c>
      <c r="H354" t="inlineStr">
        <is>
          <t>Rotterdam</t>
        </is>
      </c>
    </row>
    <row r="355">
      <c r="A355" t="inlineStr">
        <is>
          <t>Venkelstraat 29a</t>
        </is>
      </c>
      <c r="B355" t="inlineStr">
        <is>
          <t>0137</t>
        </is>
      </c>
      <c r="G355" t="inlineStr">
        <is>
          <t>3086KM</t>
        </is>
      </c>
      <c r="H355" t="inlineStr">
        <is>
          <t>Rotterdam</t>
        </is>
      </c>
    </row>
    <row r="356">
      <c r="A356" t="inlineStr">
        <is>
          <t>Verschansing 21</t>
        </is>
      </c>
      <c r="B356" t="inlineStr">
        <is>
          <t>0387</t>
        </is>
      </c>
      <c r="H356" t="inlineStr">
        <is>
          <t>Rozenburg</t>
        </is>
      </c>
    </row>
    <row r="357">
      <c r="A357" t="inlineStr">
        <is>
          <t>Vierambachtsstraat 32-B01</t>
        </is>
      </c>
      <c r="B357" t="inlineStr">
        <is>
          <t>0374</t>
        </is>
      </c>
      <c r="G357" t="inlineStr">
        <is>
          <t>3023AN</t>
        </is>
      </c>
      <c r="H357" t="inlineStr">
        <is>
          <t>Rotterdam</t>
        </is>
      </c>
    </row>
    <row r="358">
      <c r="A358" t="inlineStr">
        <is>
          <t>Visstraat 31</t>
        </is>
      </c>
      <c r="B358" t="inlineStr">
        <is>
          <t>0158</t>
        </is>
      </c>
      <c r="G358" t="inlineStr">
        <is>
          <t>3191EH</t>
        </is>
      </c>
      <c r="H358" t="inlineStr">
        <is>
          <t>Hoogvliet</t>
        </is>
      </c>
    </row>
    <row r="359">
      <c r="A359" t="inlineStr">
        <is>
          <t>Voeghoutenstraat 23</t>
        </is>
      </c>
      <c r="B359" t="inlineStr">
        <is>
          <t>0132</t>
        </is>
      </c>
      <c r="G359" t="inlineStr">
        <is>
          <t>7904 LV</t>
        </is>
      </c>
      <c r="H359" t="inlineStr">
        <is>
          <t>Hoogeveen</t>
        </is>
      </c>
    </row>
    <row r="360">
      <c r="A360" t="inlineStr">
        <is>
          <t>Vogelschorstraat 24</t>
        </is>
      </c>
      <c r="B360" t="inlineStr">
        <is>
          <t>0167</t>
        </is>
      </c>
      <c r="G360" t="inlineStr">
        <is>
          <t>4702MA</t>
        </is>
      </c>
      <c r="H360" t="inlineStr">
        <is>
          <t>Roosendaal</t>
        </is>
      </c>
    </row>
    <row r="361">
      <c r="A361" t="inlineStr">
        <is>
          <t>Voorstraat 10</t>
        </is>
      </c>
      <c r="B361" t="inlineStr">
        <is>
          <t>0077</t>
        </is>
      </c>
      <c r="G361" t="inlineStr">
        <is>
          <t>3255AX</t>
        </is>
      </c>
      <c r="H361" t="inlineStr">
        <is>
          <t>Oude-Tonge</t>
        </is>
      </c>
    </row>
    <row r="362">
      <c r="A362" t="inlineStr">
        <is>
          <t>Voorstraat 25</t>
        </is>
      </c>
      <c r="B362" t="inlineStr">
        <is>
          <t>0080</t>
        </is>
      </c>
      <c r="G362" t="inlineStr">
        <is>
          <t>3085 DB</t>
        </is>
      </c>
      <c r="H362" t="inlineStr">
        <is>
          <t>Rotterdam</t>
        </is>
      </c>
    </row>
    <row r="363">
      <c r="A363" t="inlineStr">
        <is>
          <t>Voorstraat 3</t>
        </is>
      </c>
      <c r="B363" t="inlineStr">
        <is>
          <t>0096</t>
        </is>
      </c>
      <c r="G363" t="inlineStr">
        <is>
          <t>4551VE</t>
        </is>
      </c>
      <c r="H363" t="inlineStr">
        <is>
          <t>Sas van Gent</t>
        </is>
      </c>
    </row>
    <row r="364">
      <c r="A364" t="inlineStr">
        <is>
          <t>Waellandweg 12</t>
        </is>
      </c>
      <c r="B364" t="inlineStr">
        <is>
          <t>0286</t>
        </is>
      </c>
      <c r="H364" t="inlineStr">
        <is>
          <t>Monster</t>
        </is>
      </c>
    </row>
    <row r="365">
      <c r="A365" t="inlineStr">
        <is>
          <t>Wagenstraat 70</t>
        </is>
      </c>
      <c r="B365" t="inlineStr">
        <is>
          <t>0348</t>
        </is>
      </c>
      <c r="H365" t="inlineStr">
        <is>
          <t>Wagenberg</t>
        </is>
      </c>
    </row>
    <row r="366">
      <c r="A366" t="inlineStr">
        <is>
          <t>Wedderweg 3</t>
        </is>
      </c>
      <c r="B366" t="inlineStr">
        <is>
          <t>0368</t>
        </is>
      </c>
      <c r="H366" t="inlineStr">
        <is>
          <t>Vriescheloo</t>
        </is>
      </c>
    </row>
    <row r="367">
      <c r="A367" t="inlineStr">
        <is>
          <t>Westercluft 134</t>
        </is>
      </c>
      <c r="B367" t="inlineStr">
        <is>
          <t>0138</t>
        </is>
      </c>
      <c r="G367" t="inlineStr">
        <is>
          <t>2481NA</t>
        </is>
      </c>
      <c r="H367" t="inlineStr">
        <is>
          <t>Woubrugge</t>
        </is>
      </c>
    </row>
    <row r="368">
      <c r="A368" t="inlineStr">
        <is>
          <t>Westfrankelandsestraat 106</t>
        </is>
      </c>
      <c r="B368" t="inlineStr">
        <is>
          <t>0037</t>
        </is>
      </c>
      <c r="G368" t="inlineStr">
        <is>
          <t>3117 AW</t>
        </is>
      </c>
      <c r="H368" t="inlineStr">
        <is>
          <t>Schiedam</t>
        </is>
      </c>
    </row>
    <row r="369">
      <c r="A369" t="inlineStr">
        <is>
          <t>Westfrankelandsestraat 108</t>
        </is>
      </c>
      <c r="B369" t="inlineStr">
        <is>
          <t>0038</t>
        </is>
      </c>
      <c r="G369" t="inlineStr">
        <is>
          <t>7824HD</t>
        </is>
      </c>
      <c r="H369" t="inlineStr">
        <is>
          <t>Emmen</t>
        </is>
      </c>
    </row>
    <row r="370">
      <c r="A370" t="inlineStr">
        <is>
          <t>Wieldraaierstraat 39</t>
        </is>
      </c>
      <c r="B370" t="inlineStr">
        <is>
          <t>0105</t>
        </is>
      </c>
      <c r="G370" t="inlineStr">
        <is>
          <t>1711RR</t>
        </is>
      </c>
      <c r="H370" t="inlineStr">
        <is>
          <t>Hensbroek</t>
        </is>
      </c>
    </row>
    <row r="371">
      <c r="A371" t="inlineStr">
        <is>
          <t>Wijdstraat 13</t>
        </is>
      </c>
      <c r="B371" t="inlineStr">
        <is>
          <t>0171</t>
        </is>
      </c>
      <c r="G371" t="inlineStr">
        <is>
          <t>3181WT</t>
        </is>
      </c>
      <c r="H371" t="inlineStr">
        <is>
          <t>Rozenburg</t>
        </is>
      </c>
    </row>
    <row r="372">
      <c r="A372" t="inlineStr">
        <is>
          <t>Wijngaard 66</t>
        </is>
      </c>
      <c r="B372" t="inlineStr">
        <is>
          <t>0212</t>
        </is>
      </c>
      <c r="G372" t="inlineStr">
        <is>
          <t>8242DT</t>
        </is>
      </c>
      <c r="H372" t="inlineStr">
        <is>
          <t>Lelystad</t>
        </is>
      </c>
    </row>
    <row r="373">
      <c r="A373" t="inlineStr">
        <is>
          <t>Wilgensingel 63</t>
        </is>
      </c>
      <c r="B373" t="inlineStr">
        <is>
          <t>0139</t>
        </is>
      </c>
      <c r="H373" t="inlineStr">
        <is>
          <t>Rozenburg</t>
        </is>
      </c>
    </row>
    <row r="374">
      <c r="A374" t="inlineStr">
        <is>
          <t>Wilgenstraat 37</t>
        </is>
      </c>
      <c r="B374" t="inlineStr">
        <is>
          <t>0140</t>
        </is>
      </c>
      <c r="G374" t="inlineStr">
        <is>
          <t>3072DB</t>
        </is>
      </c>
      <c r="H374" t="inlineStr">
        <is>
          <t>Rotterdam</t>
        </is>
      </c>
    </row>
    <row r="375">
      <c r="A375" t="inlineStr">
        <is>
          <t>Wilhelmina Druckerstraat 68</t>
        </is>
      </c>
      <c r="B375" t="inlineStr">
        <is>
          <t>0142</t>
        </is>
      </c>
      <c r="G375" t="inlineStr">
        <is>
          <t xml:space="preserve">3181AM </t>
        </is>
      </c>
      <c r="H375" t="inlineStr">
        <is>
          <t xml:space="preserve">Rozenburg </t>
        </is>
      </c>
    </row>
    <row r="376">
      <c r="A376" t="inlineStr">
        <is>
          <t>Wilhelminastraat 8</t>
        </is>
      </c>
      <c r="B376" t="inlineStr">
        <is>
          <t>0141</t>
        </is>
      </c>
      <c r="G376" t="inlineStr">
        <is>
          <t>3181AL</t>
        </is>
      </c>
      <c r="H376" t="inlineStr">
        <is>
          <t xml:space="preserve">Rozenburg </t>
        </is>
      </c>
    </row>
    <row r="377">
      <c r="A377" t="inlineStr">
        <is>
          <t>Willem Lodewijkstraat 8</t>
        </is>
      </c>
      <c r="B377" t="inlineStr">
        <is>
          <t>0143</t>
        </is>
      </c>
      <c r="G377" t="inlineStr">
        <is>
          <t>7908 BC</t>
        </is>
      </c>
      <c r="H377" t="inlineStr">
        <is>
          <t>Hoogeveen</t>
        </is>
      </c>
    </row>
    <row r="378">
      <c r="A378" t="inlineStr">
        <is>
          <t>Willem de Rijkelaan 134</t>
        </is>
      </c>
      <c r="B378" t="inlineStr">
        <is>
          <t>0161</t>
        </is>
      </c>
      <c r="G378" t="inlineStr">
        <is>
          <t>3191EH</t>
        </is>
      </c>
      <c r="H378" t="inlineStr">
        <is>
          <t>Hoogvliet</t>
        </is>
      </c>
    </row>
    <row r="379">
      <c r="A379" t="inlineStr">
        <is>
          <t>Woutersweg 20</t>
        </is>
      </c>
      <c r="B379" t="inlineStr">
        <is>
          <t>0186</t>
        </is>
      </c>
      <c r="G379" t="inlineStr">
        <is>
          <t>3353AZ</t>
        </is>
      </c>
      <c r="H379" t="inlineStr">
        <is>
          <t>Papendrecht</t>
        </is>
      </c>
    </row>
    <row r="380">
      <c r="A380" t="inlineStr">
        <is>
          <t>Wouwbaan 230</t>
        </is>
      </c>
      <c r="B380" t="inlineStr">
        <is>
          <t>0145</t>
        </is>
      </c>
      <c r="G380" t="inlineStr">
        <is>
          <t>2676 BL</t>
        </is>
      </c>
      <c r="H380" t="inlineStr">
        <is>
          <t>Maasdijk</t>
        </is>
      </c>
    </row>
    <row r="381">
      <c r="A381" t="inlineStr">
        <is>
          <t>Zuidhoek 209D</t>
        </is>
      </c>
      <c r="B381" t="inlineStr">
        <is>
          <t>0232</t>
        </is>
      </c>
      <c r="G381" t="inlineStr">
        <is>
          <t>4707CJ</t>
        </is>
      </c>
      <c r="H381" t="inlineStr">
        <is>
          <t>Roosendaal</t>
        </is>
      </c>
    </row>
    <row r="382">
      <c r="A382" t="inlineStr">
        <is>
          <t>Zwethkade Zuid 30a</t>
        </is>
      </c>
      <c r="B382" t="inlineStr">
        <is>
          <t>0376</t>
        </is>
      </c>
      <c r="H382" t="inlineStr">
        <is>
          <t>Den Hoorn</t>
        </is>
      </c>
    </row>
    <row r="383">
      <c r="A383" t="inlineStr">
        <is>
          <t>de Genestetstraat 32</t>
        </is>
      </c>
      <c r="B383" t="inlineStr">
        <is>
          <t>0169</t>
        </is>
      </c>
      <c r="G383" t="inlineStr">
        <is>
          <t>3181 WT</t>
        </is>
      </c>
      <c r="H383" t="inlineStr">
        <is>
          <t>Rozenburg</t>
        </is>
      </c>
    </row>
    <row r="384">
      <c r="A384" t="inlineStr">
        <is>
          <t>van Maanenstraat 14A</t>
        </is>
      </c>
      <c r="B384" t="inlineStr">
        <is>
          <t>0089</t>
        </is>
      </c>
      <c r="H384" t="inlineStr">
        <is>
          <t>Rotterdam</t>
        </is>
      </c>
    </row>
    <row r="385">
      <c r="A385" t="inlineStr">
        <is>
          <t>van Scorelstraat 73</t>
        </is>
      </c>
      <c r="B385" t="inlineStr">
        <is>
          <t>0016</t>
        </is>
      </c>
      <c r="G385" t="inlineStr">
        <is>
          <t>1779GJ</t>
        </is>
      </c>
      <c r="H385" t="inlineStr">
        <is>
          <t>Den Oever</t>
        </is>
      </c>
    </row>
    <row r="386">
      <c r="A386" t="inlineStr">
        <is>
          <t>van der Waalsstraat 16</t>
        </is>
      </c>
      <c r="B386" t="inlineStr">
        <is>
          <t>0248</t>
        </is>
      </c>
      <c r="G386" t="inlineStr">
        <is>
          <t>3135HV</t>
        </is>
      </c>
      <c r="H386" t="inlineStr">
        <is>
          <t>Vlaardingen</t>
        </is>
      </c>
    </row>
    <row r="387">
      <c r="A387" t="inlineStr">
        <is>
          <t>van der Waalsstraat 70</t>
        </is>
      </c>
      <c r="B387" t="inlineStr">
        <is>
          <t>0250</t>
        </is>
      </c>
      <c r="G387" t="inlineStr">
        <is>
          <t>9699 RA</t>
        </is>
      </c>
      <c r="H387" t="inlineStr">
        <is>
          <t>Vriescheloo</t>
        </is>
      </c>
    </row>
    <row r="388">
      <c r="A388" t="inlineStr">
        <is>
          <t>van der Werffstraat 166</t>
        </is>
      </c>
      <c r="B388" t="inlineStr">
        <is>
          <t>0241</t>
        </is>
      </c>
      <c r="G388" t="inlineStr">
        <is>
          <t>3117XV</t>
        </is>
      </c>
      <c r="H388" t="inlineStr">
        <is>
          <t>Schiedam</t>
        </is>
      </c>
    </row>
    <row r="389">
      <c r="A389" t="inlineStr">
        <is>
          <t>van der Werffstraat 240</t>
        </is>
      </c>
      <c r="B389" t="inlineStr">
        <is>
          <t>0245</t>
        </is>
      </c>
      <c r="H389" t="inlineStr">
        <is>
          <t>VLAARDINGEN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15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>
      <c r="A1" s="17" t="inlineStr">
        <is>
          <t>GAS / WATER / ELEKTRA DETAIL</t>
        </is>
      </c>
    </row>
    <row r="3">
      <c r="A3" s="18" t="inlineStr">
        <is>
          <t>METERSTANDEN</t>
        </is>
      </c>
    </row>
    <row r="4">
      <c r="A4" s="3" t="inlineStr">
        <is>
          <t>Elektra (kWh) Begin *</t>
        </is>
      </c>
      <c r="B4" s="19" t="n"/>
    </row>
    <row r="5">
      <c r="A5" s="3" t="inlineStr">
        <is>
          <t>Elektra (kWh) Eind *</t>
        </is>
      </c>
      <c r="B5" s="19" t="n"/>
    </row>
    <row r="6">
      <c r="A6" s="3" t="inlineStr">
        <is>
          <t>Elektra (kWh) Verbruik (automatisch)</t>
        </is>
      </c>
      <c r="B6" s="20">
        <f>IF(AND(B4&lt;&gt;"",B5&lt;&gt;""),B5-B4,"")</f>
        <v/>
      </c>
    </row>
    <row r="7">
      <c r="A7" s="3" t="inlineStr">
        <is>
          <t>Gas (m³) Begin *</t>
        </is>
      </c>
      <c r="B7" s="21" t="n"/>
    </row>
    <row r="8">
      <c r="A8" s="3" t="inlineStr">
        <is>
          <t>Gas (m³) Eind *</t>
        </is>
      </c>
      <c r="B8" s="21" t="n"/>
    </row>
    <row r="9">
      <c r="A9" s="3" t="inlineStr">
        <is>
          <t>Gas (m³) Verbruik (automatisch)</t>
        </is>
      </c>
      <c r="B9" s="22">
        <f>IF(AND(B7&lt;&gt;"",B8&lt;&gt;""),B8-B7,"")</f>
        <v/>
      </c>
    </row>
    <row r="10">
      <c r="A10" s="3" t="inlineStr">
        <is>
          <t>Water (m³) Begin</t>
        </is>
      </c>
      <c r="B10" s="23" t="n"/>
    </row>
    <row r="11">
      <c r="A11" s="3" t="inlineStr">
        <is>
          <t>Water (m³) Eind</t>
        </is>
      </c>
      <c r="B11" s="23" t="n"/>
    </row>
    <row r="12">
      <c r="A12" s="3" t="inlineStr">
        <is>
          <t>Water (m³) Verbruik (automatisch)</t>
        </is>
      </c>
      <c r="B12" s="22">
        <f>IF(AND(B10&lt;&gt;"",B11&lt;&gt;""),B11-B10,"")</f>
        <v/>
      </c>
    </row>
    <row r="14">
      <c r="A14" s="18" t="inlineStr">
        <is>
          <t>KOSTENREGELS - Verbruik omzetten naar Euro's</t>
        </is>
      </c>
    </row>
    <row r="15" ht="30" customHeight="1">
      <c r="A15" s="24" t="inlineStr">
        <is>
          <t>💡 Vul hier de kosten in op basis van verbruik × tarief van energieleverancier. Voorbeelden staan hieronder (grijs). Verwijder voorbeelden en vul eigen regels in.</t>
        </is>
      </c>
    </row>
    <row r="16" ht="30" customHeight="1">
      <c r="A16" s="25" t="inlineStr">
        <is>
          <t>Type</t>
        </is>
      </c>
      <c r="B16" s="25" t="inlineStr">
        <is>
          <t>Omschrijving</t>
        </is>
      </c>
      <c r="C16" s="25" t="inlineStr">
        <is>
          <t>Eenheid</t>
        </is>
      </c>
      <c r="D16" s="25" t="inlineStr">
        <is>
          <t>Verbruik</t>
        </is>
      </c>
      <c r="E16" s="25" t="inlineStr">
        <is>
          <t>Tarief excl. BTW (€)</t>
        </is>
      </c>
      <c r="F16" s="25" t="inlineStr">
        <is>
          <t>Kosten excl. BTW (€)</t>
        </is>
      </c>
      <c r="G16" s="25" t="inlineStr">
        <is>
          <t>BTW %</t>
        </is>
      </c>
      <c r="H16" s="25" t="inlineStr">
        <is>
          <t>BTW (€)</t>
        </is>
      </c>
    </row>
    <row r="17">
      <c r="A17" s="26" t="inlineStr">
        <is>
          <t>Elektra</t>
        </is>
      </c>
      <c r="B17" s="26" t="inlineStr">
        <is>
          <t>Elektra verbruik (zie meterstand)</t>
        </is>
      </c>
      <c r="C17" s="26" t="inlineStr">
        <is>
          <t>kWh</t>
        </is>
      </c>
      <c r="D17" s="26">
        <f>KWh_verbruik</f>
        <v/>
      </c>
      <c r="E17" s="27" t="n">
        <v>0.3</v>
      </c>
      <c r="F17" s="27">
        <f>D17*E17</f>
        <v/>
      </c>
      <c r="G17" s="28" t="n">
        <v>0.21</v>
      </c>
      <c r="H17" s="27">
        <f>F17*G17</f>
        <v/>
      </c>
    </row>
    <row r="18">
      <c r="A18" s="26" t="inlineStr">
        <is>
          <t>Gas</t>
        </is>
      </c>
      <c r="B18" s="26" t="inlineStr">
        <is>
          <t>Gas verbruik (zie meterstand)</t>
        </is>
      </c>
      <c r="C18" s="26" t="inlineStr">
        <is>
          <t>m³</t>
        </is>
      </c>
      <c r="D18" s="26">
        <f>Gas_verbruik</f>
        <v/>
      </c>
      <c r="E18" s="27" t="n">
        <v>1.2</v>
      </c>
      <c r="F18" s="27">
        <f>D18*E18</f>
        <v/>
      </c>
      <c r="G18" s="28" t="n">
        <v>0.21</v>
      </c>
      <c r="H18" s="27">
        <f>F18*G18</f>
        <v/>
      </c>
    </row>
    <row r="19">
      <c r="A19" s="26" t="inlineStr">
        <is>
          <t>Elektra</t>
        </is>
      </c>
      <c r="B19" s="26" t="inlineStr">
        <is>
          <t>Vaste levering elektra per dag</t>
        </is>
      </c>
      <c r="C19" s="26" t="inlineStr">
        <is>
          <t>Dagen</t>
        </is>
      </c>
      <c r="D19" s="26">
        <f>Algemeen!Aantal_dagen</f>
        <v/>
      </c>
      <c r="E19" s="27" t="n">
        <v>0.5</v>
      </c>
      <c r="F19" s="27">
        <f>D19*E19</f>
        <v/>
      </c>
      <c r="G19" s="28" t="n">
        <v>0.21</v>
      </c>
      <c r="H19" s="27">
        <f>F19*G19</f>
        <v/>
      </c>
    </row>
    <row r="20">
      <c r="A20" s="26" t="inlineStr">
        <is>
          <t>Gas</t>
        </is>
      </c>
      <c r="B20" s="26" t="inlineStr">
        <is>
          <t>Vaste levering gas per dag</t>
        </is>
      </c>
      <c r="C20" s="26" t="inlineStr">
        <is>
          <t>Dagen</t>
        </is>
      </c>
      <c r="D20" s="26">
        <f>Algemeen!Aantal_dagen</f>
        <v/>
      </c>
      <c r="E20" s="27" t="n">
        <v>0.45</v>
      </c>
      <c r="F20" s="27">
        <f>D20*E20</f>
        <v/>
      </c>
      <c r="G20" s="28" t="n">
        <v>0.21</v>
      </c>
      <c r="H20" s="27">
        <f>F20*G20</f>
        <v/>
      </c>
    </row>
    <row r="21">
      <c r="A21" s="26" t="inlineStr">
        <is>
          <t>Water</t>
        </is>
      </c>
      <c r="B21" s="26" t="inlineStr">
        <is>
          <t>Waterverbruik (geschat per dag)</t>
        </is>
      </c>
      <c r="C21" s="26" t="inlineStr">
        <is>
          <t>Dagen</t>
        </is>
      </c>
      <c r="D21" s="26">
        <f>Algemeen!Aantal_dagen</f>
        <v/>
      </c>
      <c r="E21" s="27" t="n">
        <v>3.5</v>
      </c>
      <c r="F21" s="27">
        <f>D21*E21</f>
        <v/>
      </c>
      <c r="G21" s="28" t="n">
        <v>0.09</v>
      </c>
      <c r="H21" s="27">
        <f>F21*G21</f>
        <v/>
      </c>
    </row>
    <row r="22">
      <c r="A22" s="6" t="n"/>
      <c r="B22" s="6" t="n"/>
      <c r="C22" s="6" t="n"/>
      <c r="D22" s="6" t="n"/>
      <c r="E22" s="10" t="n"/>
      <c r="F22" s="10">
        <f>IF(OR(D22="",E22=""),"",D22*E22)</f>
        <v/>
      </c>
      <c r="G22" s="29" t="n">
        <v>0.21</v>
      </c>
      <c r="H22" s="10">
        <f>IF(OR(F22="",G22=""),"",F22*G22)</f>
        <v/>
      </c>
    </row>
    <row r="23">
      <c r="A23" s="6" t="n"/>
      <c r="B23" s="6" t="n"/>
      <c r="C23" s="6" t="n"/>
      <c r="D23" s="6" t="n"/>
      <c r="E23" s="10" t="n"/>
      <c r="F23" s="10">
        <f>IF(OR(D23="",E23=""),"",D23*E23)</f>
        <v/>
      </c>
      <c r="G23" s="29" t="n">
        <v>0.21</v>
      </c>
      <c r="H23" s="10">
        <f>IF(OR(F23="",G23=""),"",F23*G23)</f>
        <v/>
      </c>
    </row>
    <row r="24">
      <c r="A24" s="6" t="n"/>
      <c r="B24" s="6" t="n"/>
      <c r="C24" s="6" t="n"/>
      <c r="D24" s="6" t="n"/>
      <c r="E24" s="10" t="n"/>
      <c r="F24" s="10">
        <f>IF(OR(D24="",E24=""),"",D24*E24)</f>
        <v/>
      </c>
      <c r="G24" s="29" t="n">
        <v>0.21</v>
      </c>
      <c r="H24" s="10">
        <f>IF(OR(F24="",G24=""),"",F24*G24)</f>
        <v/>
      </c>
    </row>
    <row r="25">
      <c r="A25" s="6" t="n"/>
      <c r="B25" s="6" t="n"/>
      <c r="C25" s="6" t="n"/>
      <c r="D25" s="6" t="n"/>
      <c r="E25" s="10" t="n"/>
      <c r="F25" s="10">
        <f>IF(OR(D25="",E25=""),"",D25*E25)</f>
        <v/>
      </c>
      <c r="G25" s="29" t="n">
        <v>0.21</v>
      </c>
      <c r="H25" s="10">
        <f>IF(OR(F25="",G25=""),"",F25*G25)</f>
        <v/>
      </c>
    </row>
    <row r="26">
      <c r="A26" s="6" t="n"/>
      <c r="B26" s="6" t="n"/>
      <c r="C26" s="6" t="n"/>
      <c r="D26" s="6" t="n"/>
      <c r="E26" s="10" t="n"/>
      <c r="F26" s="10">
        <f>IF(OR(D26="",E26=""),"",D26*E26)</f>
        <v/>
      </c>
      <c r="G26" s="29" t="n">
        <v>0.21</v>
      </c>
      <c r="H26" s="10">
        <f>IF(OR(F26="",G26=""),"",F26*G26)</f>
        <v/>
      </c>
    </row>
    <row r="27">
      <c r="A27" s="6" t="n"/>
      <c r="B27" s="6" t="n"/>
      <c r="C27" s="6" t="n"/>
      <c r="D27" s="6" t="n"/>
      <c r="E27" s="10" t="n"/>
      <c r="F27" s="10">
        <f>IF(OR(D27="",E27=""),"",D27*E27)</f>
        <v/>
      </c>
      <c r="G27" s="29" t="n">
        <v>0.21</v>
      </c>
      <c r="H27" s="10">
        <f>IF(OR(F27="",G27=""),"",F27*G27)</f>
        <v/>
      </c>
    </row>
    <row r="28">
      <c r="A28" s="6" t="n"/>
      <c r="B28" s="6" t="n"/>
      <c r="C28" s="6" t="n"/>
      <c r="D28" s="6" t="n"/>
      <c r="E28" s="10" t="n"/>
      <c r="F28" s="10">
        <f>IF(OR(D28="",E28=""),"",D28*E28)</f>
        <v/>
      </c>
      <c r="G28" s="29" t="n">
        <v>0.21</v>
      </c>
      <c r="H28" s="10">
        <f>IF(OR(F28="",G28=""),"",F28*G28)</f>
        <v/>
      </c>
    </row>
    <row r="29">
      <c r="A29" s="6" t="n"/>
      <c r="B29" s="6" t="n"/>
      <c r="C29" s="6" t="n"/>
      <c r="D29" s="6" t="n"/>
      <c r="E29" s="10" t="n"/>
      <c r="F29" s="10">
        <f>IF(OR(D29="",E29=""),"",D29*E29)</f>
        <v/>
      </c>
      <c r="G29" s="29" t="n">
        <v>0.21</v>
      </c>
      <c r="H29" s="10">
        <f>IF(OR(F29="",G29=""),"",F29*G29)</f>
        <v/>
      </c>
    </row>
    <row r="30">
      <c r="A30" s="6" t="n"/>
      <c r="B30" s="6" t="n"/>
      <c r="C30" s="6" t="n"/>
      <c r="D30" s="6" t="n"/>
      <c r="E30" s="10" t="n"/>
      <c r="F30" s="10">
        <f>IF(OR(D30="",E30=""),"",D30*E30)</f>
        <v/>
      </c>
      <c r="G30" s="29" t="n">
        <v>0.21</v>
      </c>
      <c r="H30" s="10">
        <f>IF(OR(F30="",G30=""),"",F30*G30)</f>
        <v/>
      </c>
    </row>
    <row r="31">
      <c r="A31" s="6" t="n"/>
      <c r="B31" s="6" t="n"/>
      <c r="C31" s="6" t="n"/>
      <c r="D31" s="6" t="n"/>
      <c r="E31" s="10" t="n"/>
      <c r="F31" s="10">
        <f>IF(OR(D31="",E31=""),"",D31*E31)</f>
        <v/>
      </c>
      <c r="G31" s="29" t="n">
        <v>0.21</v>
      </c>
      <c r="H31" s="10">
        <f>IF(OR(F31="",G31=""),"",F31*G31)</f>
        <v/>
      </c>
    </row>
    <row r="32">
      <c r="A32" s="13" t="inlineStr">
        <is>
          <t>TOTALEN (automatisch berekend)</t>
        </is>
      </c>
    </row>
    <row r="33">
      <c r="A33" s="3" t="inlineStr">
        <is>
          <t>Totaal excl. BTW (automatisch)</t>
        </is>
      </c>
      <c r="B33" s="11">
        <f>SUM(F17:F31)</f>
        <v/>
      </c>
    </row>
    <row r="34">
      <c r="A34" s="3" t="inlineStr">
        <is>
          <t>BTW (Totaal, automatisch)</t>
        </is>
      </c>
      <c r="B34" s="11">
        <f>SUM(H17:H32)</f>
        <v/>
      </c>
    </row>
    <row r="35">
      <c r="A35" s="15" t="inlineStr">
        <is>
          <t>Totaal incl. BTW (automatisch)</t>
        </is>
      </c>
      <c r="B35" s="11">
        <f>GWE_totaal_excl+GWE_BTW</f>
        <v/>
      </c>
    </row>
  </sheetData>
  <mergeCells count="5">
    <mergeCell ref="A15:H15"/>
    <mergeCell ref="A3:D3"/>
    <mergeCell ref="A14:H14"/>
    <mergeCell ref="A1:H1"/>
    <mergeCell ref="A32:H32"/>
  </mergeCells>
  <conditionalFormatting sqref="D22">
    <cfRule type="expression" priority="1" dxfId="0" stopIfTrue="1">
      <formula>AND(C22="Dagen",D22&lt;&gt;Algemeen!Aantal_dagen)</formula>
    </cfRule>
  </conditionalFormatting>
  <conditionalFormatting sqref="D23">
    <cfRule type="expression" priority="2" dxfId="0" stopIfTrue="1">
      <formula>AND(C23="Dagen",D23&lt;&gt;Algemeen!Aantal_dagen)</formula>
    </cfRule>
  </conditionalFormatting>
  <conditionalFormatting sqref="D24">
    <cfRule type="expression" priority="3" dxfId="0" stopIfTrue="1">
      <formula>AND(C24="Dagen",D24&lt;&gt;Algemeen!Aantal_dagen)</formula>
    </cfRule>
  </conditionalFormatting>
  <conditionalFormatting sqref="D25">
    <cfRule type="expression" priority="4" dxfId="0" stopIfTrue="1">
      <formula>AND(C25="Dagen",D25&lt;&gt;Algemeen!Aantal_dagen)</formula>
    </cfRule>
  </conditionalFormatting>
  <conditionalFormatting sqref="D26">
    <cfRule type="expression" priority="5" dxfId="0" stopIfTrue="1">
      <formula>AND(C26="Dagen",D26&lt;&gt;Algemeen!Aantal_dagen)</formula>
    </cfRule>
  </conditionalFormatting>
  <conditionalFormatting sqref="D27">
    <cfRule type="expression" priority="6" dxfId="0" stopIfTrue="1">
      <formula>AND(C27="Dagen",D27&lt;&gt;Algemeen!Aantal_dagen)</formula>
    </cfRule>
  </conditionalFormatting>
  <conditionalFormatting sqref="D28">
    <cfRule type="expression" priority="7" dxfId="0" stopIfTrue="1">
      <formula>AND(C28="Dagen",D28&lt;&gt;Algemeen!Aantal_dagen)</formula>
    </cfRule>
  </conditionalFormatting>
  <conditionalFormatting sqref="D29">
    <cfRule type="expression" priority="8" dxfId="0" stopIfTrue="1">
      <formula>AND(C29="Dagen",D29&lt;&gt;Algemeen!Aantal_dagen)</formula>
    </cfRule>
  </conditionalFormatting>
  <conditionalFormatting sqref="D30">
    <cfRule type="expression" priority="9" dxfId="0" stopIfTrue="1">
      <formula>AND(C30="Dagen",D30&lt;&gt;Algemeen!Aantal_dagen)</formula>
    </cfRule>
  </conditionalFormatting>
  <conditionalFormatting sqref="D31">
    <cfRule type="expression" priority="10" dxfId="0" stopIfTrue="1">
      <formula>AND(C31="Dagen",D31&lt;&gt;Algemeen!Aantal_dagen)</formula>
    </cfRule>
  </conditionalFormatting>
  <dataValidations count="2">
    <dataValidation sqref="A22 A23 A24 A25 A26 A27 A28 A29 A30 A31" showDropDown="0" showInputMessage="0" showErrorMessage="0" allowBlank="1" type="list">
      <formula1>"Gas,Water,Elektra,Overig"</formula1>
    </dataValidation>
    <dataValidation sqref="C22 C23 C24 C25 C26 C27 C28 C29 C30 C31" showDropDown="0" showInputMessage="0" showErrorMessage="0" allowBlank="1" type="list">
      <formula1>"kWh,m³,Dagen,Stuk,Maand"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0" t="inlineStr">
        <is>
          <t>SCHOONMAAK OVERZICHT</t>
        </is>
      </c>
    </row>
    <row r="3">
      <c r="A3" s="31" t="inlineStr">
        <is>
          <t>SCHOONMAAK GEGEVENS</t>
        </is>
      </c>
    </row>
    <row r="4">
      <c r="A4" s="3" t="inlineStr">
        <is>
          <t>Schoonmaak Pakket *</t>
        </is>
      </c>
      <c r="B4" s="32">
        <f>Algemeen!Schoonmaak_pakket</f>
        <v/>
      </c>
    </row>
    <row r="5">
      <c r="A5" s="3" t="inlineStr">
        <is>
          <t>Inbegrepen Uren (automatisch)</t>
        </is>
      </c>
      <c r="B5" s="8">
        <f>IF(B4="Basis Schoonmaak",5,IF(B4="Intensief Schoonmaak",7,""))</f>
        <v/>
      </c>
    </row>
    <row r="6">
      <c r="A6" s="3" t="inlineStr">
        <is>
          <t>Totaal Uren Gewerkt *</t>
        </is>
      </c>
      <c r="B6" s="33" t="n"/>
    </row>
    <row r="7">
      <c r="A7" s="3" t="inlineStr">
        <is>
          <t>Extra Uren (automatisch)</t>
        </is>
      </c>
      <c r="B7" s="34">
        <f>IF(AND(B5&lt;&gt;"",B6&lt;&gt;""),MAX(0,B6-B5),"")</f>
        <v/>
      </c>
    </row>
    <row r="8">
      <c r="A8" s="3" t="inlineStr">
        <is>
          <t>Uurtarief *</t>
        </is>
      </c>
      <c r="B8" s="35">
        <f>Algemeen!Uurtarief_schoonmaak</f>
        <v/>
      </c>
    </row>
    <row r="9">
      <c r="A9" s="36" t="inlineStr">
        <is>
          <t>Extra Schoonmaak Bedrag (automatisch)</t>
        </is>
      </c>
      <c r="B9" s="37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/>
  </sheetPr>
  <dimension ref="A1:F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20" customWidth="1" min="4" max="4"/>
    <col width="10" customWidth="1" min="5" max="5"/>
    <col width="15" customWidth="1" min="6" max="6"/>
  </cols>
  <sheetData>
    <row r="1">
      <c r="A1" s="38" t="inlineStr">
        <is>
          <t>SCHADEPOSTEN OVERZICHT</t>
        </is>
      </c>
    </row>
    <row r="3">
      <c r="A3" s="39" t="inlineStr">
        <is>
          <t>Vul hieronder alle schadeposten in. Bedrag wordt automatisch berekend (Aantal × Tarief).</t>
        </is>
      </c>
    </row>
    <row r="5" ht="25" customHeight="1">
      <c r="A5" s="40" t="inlineStr">
        <is>
          <t>Beschrijving</t>
        </is>
      </c>
      <c r="B5" s="40" t="inlineStr">
        <is>
          <t>Aantal</t>
        </is>
      </c>
      <c r="C5" s="40" t="inlineStr">
        <is>
          <t>Tarief excl. BTW</t>
        </is>
      </c>
      <c r="D5" s="40" t="inlineStr">
        <is>
          <t>Bedrag excl. BTW</t>
        </is>
      </c>
      <c r="E5" s="40" t="inlineStr">
        <is>
          <t>BTW %</t>
        </is>
      </c>
      <c r="F5" s="40" t="inlineStr">
        <is>
          <t>BTW (€)</t>
        </is>
      </c>
    </row>
    <row r="6">
      <c r="A6" s="6" t="n"/>
      <c r="B6" s="41" t="n"/>
      <c r="C6" s="10" t="n"/>
      <c r="D6" s="11">
        <f>IF(AND(B6&lt;&gt;"",C6&lt;&gt;""),B6*C6,"")</f>
        <v/>
      </c>
      <c r="E6" s="29" t="n">
        <v>0.21</v>
      </c>
      <c r="F6" s="11">
        <f>IF(AND(D6&lt;&gt;"",E6&lt;&gt;""),D6*E6,"")</f>
        <v/>
      </c>
    </row>
    <row r="7">
      <c r="A7" s="6" t="n"/>
      <c r="B7" s="41" t="n"/>
      <c r="C7" s="10" t="n"/>
      <c r="D7" s="11">
        <f>IF(AND(B7&lt;&gt;"",C7&lt;&gt;""),B7*C7,"")</f>
        <v/>
      </c>
      <c r="E7" s="29" t="n">
        <v>0.21</v>
      </c>
      <c r="F7" s="11">
        <f>IF(AND(D7&lt;&gt;"",E7&lt;&gt;""),D7*E7,"")</f>
        <v/>
      </c>
    </row>
    <row r="8">
      <c r="A8" s="6" t="n"/>
      <c r="B8" s="41" t="n"/>
      <c r="C8" s="10" t="n"/>
      <c r="D8" s="11">
        <f>IF(AND(B8&lt;&gt;"",C8&lt;&gt;""),B8*C8,"")</f>
        <v/>
      </c>
      <c r="E8" s="29" t="n">
        <v>0.21</v>
      </c>
      <c r="F8" s="11">
        <f>IF(AND(D8&lt;&gt;"",E8&lt;&gt;""),D8*E8,"")</f>
        <v/>
      </c>
    </row>
    <row r="9">
      <c r="A9" s="6" t="n"/>
      <c r="B9" s="41" t="n"/>
      <c r="C9" s="10" t="n"/>
      <c r="D9" s="11">
        <f>IF(AND(B9&lt;&gt;"",C9&lt;&gt;""),B9*C9,"")</f>
        <v/>
      </c>
      <c r="E9" s="29" t="n">
        <v>0.21</v>
      </c>
      <c r="F9" s="11">
        <f>IF(AND(D9&lt;&gt;"",E9&lt;&gt;""),D9*E9,"")</f>
        <v/>
      </c>
    </row>
    <row r="10">
      <c r="A10" s="6" t="n"/>
      <c r="B10" s="41" t="n"/>
      <c r="C10" s="10" t="n"/>
      <c r="D10" s="11">
        <f>IF(AND(B10&lt;&gt;"",C10&lt;&gt;""),B10*C10,"")</f>
        <v/>
      </c>
      <c r="E10" s="29" t="n">
        <v>0.21</v>
      </c>
      <c r="F10" s="11">
        <f>IF(AND(D10&lt;&gt;"",E10&lt;&gt;""),D10*E10,"")</f>
        <v/>
      </c>
    </row>
    <row r="11">
      <c r="A11" s="6" t="n"/>
      <c r="B11" s="41" t="n"/>
      <c r="C11" s="10" t="n"/>
      <c r="D11" s="11">
        <f>IF(AND(B11&lt;&gt;"",C11&lt;&gt;""),B11*C11,"")</f>
        <v/>
      </c>
      <c r="E11" s="29" t="n">
        <v>0.21</v>
      </c>
      <c r="F11" s="11">
        <f>IF(AND(D11&lt;&gt;"",E11&lt;&gt;""),D11*E11,"")</f>
        <v/>
      </c>
    </row>
    <row r="12">
      <c r="A12" s="6" t="n"/>
      <c r="B12" s="41" t="n"/>
      <c r="C12" s="10" t="n"/>
      <c r="D12" s="11">
        <f>IF(AND(B12&lt;&gt;"",C12&lt;&gt;""),B12*C12,"")</f>
        <v/>
      </c>
      <c r="E12" s="29" t="n">
        <v>0.21</v>
      </c>
      <c r="F12" s="11">
        <f>IF(AND(D12&lt;&gt;"",E12&lt;&gt;""),D12*E12,"")</f>
        <v/>
      </c>
    </row>
    <row r="13">
      <c r="A13" s="6" t="n"/>
      <c r="B13" s="41" t="n"/>
      <c r="C13" s="10" t="n"/>
      <c r="D13" s="11">
        <f>IF(AND(B13&lt;&gt;"",C13&lt;&gt;""),B13*C13,"")</f>
        <v/>
      </c>
      <c r="E13" s="29" t="n">
        <v>0.21</v>
      </c>
      <c r="F13" s="11">
        <f>IF(AND(D13&lt;&gt;"",E13&lt;&gt;""),D13*E13,"")</f>
        <v/>
      </c>
    </row>
    <row r="14">
      <c r="A14" s="6" t="n"/>
      <c r="B14" s="41" t="n"/>
      <c r="C14" s="10" t="n"/>
      <c r="D14" s="11">
        <f>IF(AND(B14&lt;&gt;"",C14&lt;&gt;""),B14*C14,"")</f>
        <v/>
      </c>
      <c r="E14" s="29" t="n">
        <v>0.21</v>
      </c>
      <c r="F14" s="11">
        <f>IF(AND(D14&lt;&gt;"",E14&lt;&gt;""),D14*E14,"")</f>
        <v/>
      </c>
    </row>
    <row r="15">
      <c r="A15" s="6" t="n"/>
      <c r="B15" s="41" t="n"/>
      <c r="C15" s="10" t="n"/>
      <c r="D15" s="11">
        <f>IF(AND(B15&lt;&gt;"",C15&lt;&gt;""),B15*C15,"")</f>
        <v/>
      </c>
      <c r="E15" s="29" t="n">
        <v>0.21</v>
      </c>
      <c r="F15" s="11">
        <f>IF(AND(D15&lt;&gt;"",E15&lt;&gt;""),D15*E15,"")</f>
        <v/>
      </c>
    </row>
    <row r="16">
      <c r="A16" s="6" t="n"/>
      <c r="B16" s="41" t="n"/>
      <c r="C16" s="10" t="n"/>
      <c r="D16" s="11">
        <f>IF(AND(B16&lt;&gt;"",C16&lt;&gt;""),B16*C16,"")</f>
        <v/>
      </c>
      <c r="E16" s="29" t="n">
        <v>0.21</v>
      </c>
      <c r="F16" s="11">
        <f>IF(AND(D16&lt;&gt;"",E16&lt;&gt;""),D16*E16,"")</f>
        <v/>
      </c>
    </row>
    <row r="17">
      <c r="A17" s="6" t="n"/>
      <c r="B17" s="41" t="n"/>
      <c r="C17" s="10" t="n"/>
      <c r="D17" s="11">
        <f>IF(AND(B17&lt;&gt;"",C17&lt;&gt;""),B17*C17,"")</f>
        <v/>
      </c>
      <c r="E17" s="29" t="n">
        <v>0.21</v>
      </c>
      <c r="F17" s="11">
        <f>IF(AND(D17&lt;&gt;"",E17&lt;&gt;""),D17*E17,"")</f>
        <v/>
      </c>
    </row>
    <row r="18">
      <c r="A18" s="6" t="n"/>
      <c r="B18" s="41" t="n"/>
      <c r="C18" s="10" t="n"/>
      <c r="D18" s="11">
        <f>IF(AND(B18&lt;&gt;"",C18&lt;&gt;""),B18*C18,"")</f>
        <v/>
      </c>
      <c r="E18" s="29" t="n">
        <v>0.21</v>
      </c>
      <c r="F18" s="11">
        <f>IF(AND(D18&lt;&gt;"",E18&lt;&gt;""),D18*E18,"")</f>
        <v/>
      </c>
    </row>
    <row r="19">
      <c r="A19" s="6" t="n"/>
      <c r="B19" s="41" t="n"/>
      <c r="C19" s="10" t="n"/>
      <c r="D19" s="11">
        <f>IF(AND(B19&lt;&gt;"",C19&lt;&gt;""),B19*C19,"")</f>
        <v/>
      </c>
      <c r="E19" s="29" t="n">
        <v>0.21</v>
      </c>
      <c r="F19" s="11">
        <f>IF(AND(D19&lt;&gt;"",E19&lt;&gt;""),D19*E19,"")</f>
        <v/>
      </c>
    </row>
    <row r="20">
      <c r="A20" s="6" t="n"/>
      <c r="B20" s="41" t="n"/>
      <c r="C20" s="10" t="n"/>
      <c r="D20" s="11">
        <f>IF(AND(B20&lt;&gt;"",C20&lt;&gt;""),B20*C20,"")</f>
        <v/>
      </c>
      <c r="E20" s="29" t="n">
        <v>0.21</v>
      </c>
      <c r="F20" s="11">
        <f>IF(AND(D20&lt;&gt;"",E20&lt;&gt;""),D20*E20,"")</f>
        <v/>
      </c>
    </row>
    <row r="21">
      <c r="A21" s="6" t="n"/>
      <c r="B21" s="41" t="n"/>
      <c r="C21" s="10" t="n"/>
      <c r="D21" s="11">
        <f>IF(AND(B21&lt;&gt;"",C21&lt;&gt;""),B21*C21,"")</f>
        <v/>
      </c>
      <c r="E21" s="29" t="n">
        <v>0.21</v>
      </c>
      <c r="F21" s="11">
        <f>IF(AND(D21&lt;&gt;"",E21&lt;&gt;""),D21*E21,"")</f>
        <v/>
      </c>
    </row>
    <row r="22">
      <c r="A22" s="6" t="n"/>
      <c r="B22" s="41" t="n"/>
      <c r="C22" s="10" t="n"/>
      <c r="D22" s="11">
        <f>IF(AND(B22&lt;&gt;"",C22&lt;&gt;""),B22*C22,"")</f>
        <v/>
      </c>
      <c r="E22" s="29" t="n">
        <v>0.21</v>
      </c>
      <c r="F22" s="11">
        <f>IF(AND(D22&lt;&gt;"",E22&lt;&gt;""),D22*E22,"")</f>
        <v/>
      </c>
    </row>
    <row r="23">
      <c r="A23" s="6" t="n"/>
      <c r="B23" s="41" t="n"/>
      <c r="C23" s="10" t="n"/>
      <c r="D23" s="11">
        <f>IF(AND(B23&lt;&gt;"",C23&lt;&gt;""),B23*C23,"")</f>
        <v/>
      </c>
      <c r="E23" s="29" t="n">
        <v>0.21</v>
      </c>
      <c r="F23" s="11">
        <f>IF(AND(D23&lt;&gt;"",E23&lt;&gt;""),D23*E23,"")</f>
        <v/>
      </c>
    </row>
    <row r="24">
      <c r="A24" s="6" t="n"/>
      <c r="B24" s="41" t="n"/>
      <c r="C24" s="10" t="n"/>
      <c r="D24" s="11">
        <f>IF(AND(B24&lt;&gt;"",C24&lt;&gt;""),B24*C24,"")</f>
        <v/>
      </c>
      <c r="E24" s="29" t="n">
        <v>0.21</v>
      </c>
      <c r="F24" s="11">
        <f>IF(AND(D24&lt;&gt;"",E24&lt;&gt;""),D24*E24,"")</f>
        <v/>
      </c>
    </row>
    <row r="25">
      <c r="A25" s="6" t="n"/>
      <c r="B25" s="41" t="n"/>
      <c r="C25" s="10" t="n"/>
      <c r="D25" s="11">
        <f>IF(AND(B25&lt;&gt;"",C25&lt;&gt;""),B25*C25,"")</f>
        <v/>
      </c>
      <c r="E25" s="29" t="n">
        <v>0.21</v>
      </c>
      <c r="F25" s="11">
        <f>IF(AND(D25&lt;&gt;"",E25&lt;&gt;""),D25*E25,"")</f>
        <v/>
      </c>
    </row>
    <row r="26">
      <c r="A26" s="6" t="n"/>
      <c r="B26" s="41" t="n"/>
      <c r="C26" s="10" t="n"/>
      <c r="D26" s="11">
        <f>IF(AND(B26&lt;&gt;"",C26&lt;&gt;""),B26*C26,"")</f>
        <v/>
      </c>
      <c r="E26" s="29" t="n">
        <v>0.21</v>
      </c>
      <c r="F26" s="11">
        <f>IF(AND(D26&lt;&gt;"",E26&lt;&gt;""),D26*E26,"")</f>
        <v/>
      </c>
    </row>
    <row r="27">
      <c r="A27" s="6" t="n"/>
      <c r="B27" s="41" t="n"/>
      <c r="C27" s="10" t="n"/>
      <c r="D27" s="11">
        <f>IF(AND(B27&lt;&gt;"",C27&lt;&gt;""),B27*C27,"")</f>
        <v/>
      </c>
      <c r="E27" s="29" t="n">
        <v>0.21</v>
      </c>
      <c r="F27" s="11">
        <f>IF(AND(D27&lt;&gt;"",E27&lt;&gt;""),D27*E27,"")</f>
        <v/>
      </c>
    </row>
    <row r="28">
      <c r="A28" s="6" t="n"/>
      <c r="B28" s="41" t="n"/>
      <c r="C28" s="10" t="n"/>
      <c r="D28" s="11">
        <f>IF(AND(B28&lt;&gt;"",C28&lt;&gt;""),B28*C28,"")</f>
        <v/>
      </c>
      <c r="E28" s="29" t="n">
        <v>0.21</v>
      </c>
      <c r="F28" s="11">
        <f>IF(AND(D28&lt;&gt;"",E28&lt;&gt;""),D28*E28,"")</f>
        <v/>
      </c>
    </row>
    <row r="29">
      <c r="A29" s="6" t="n"/>
      <c r="B29" s="41" t="n"/>
      <c r="C29" s="10" t="n"/>
      <c r="D29" s="11">
        <f>IF(AND(B29&lt;&gt;"",C29&lt;&gt;""),B29*C29,"")</f>
        <v/>
      </c>
      <c r="E29" s="29" t="n">
        <v>0.21</v>
      </c>
      <c r="F29" s="11">
        <f>IF(AND(D29&lt;&gt;"",E29&lt;&gt;""),D29*E29,"")</f>
        <v/>
      </c>
    </row>
    <row r="30">
      <c r="A30" s="6" t="n"/>
      <c r="B30" s="41" t="n"/>
      <c r="C30" s="10" t="n"/>
      <c r="D30" s="11">
        <f>IF(AND(B30&lt;&gt;"",C30&lt;&gt;""),B30*C30,"")</f>
        <v/>
      </c>
      <c r="E30" s="29" t="n">
        <v>0.21</v>
      </c>
      <c r="F30" s="11">
        <f>IF(AND(D30&lt;&gt;"",E30&lt;&gt;""),D30*E30,"")</f>
        <v/>
      </c>
    </row>
    <row r="31">
      <c r="A31" s="6" t="n"/>
      <c r="B31" s="41" t="n"/>
      <c r="C31" s="10" t="n"/>
      <c r="D31" s="11">
        <f>IF(AND(B31&lt;&gt;"",C31&lt;&gt;""),B31*C31,"")</f>
        <v/>
      </c>
      <c r="E31" s="29" t="n">
        <v>0.21</v>
      </c>
      <c r="F31" s="11">
        <f>IF(AND(D31&lt;&gt;"",E31&lt;&gt;""),D31*E31,"")</f>
        <v/>
      </c>
    </row>
    <row r="32">
      <c r="A32" s="6" t="n"/>
      <c r="B32" s="41" t="n"/>
      <c r="C32" s="10" t="n"/>
      <c r="D32" s="11">
        <f>IF(AND(B32&lt;&gt;"",C32&lt;&gt;""),B32*C32,"")</f>
        <v/>
      </c>
      <c r="E32" s="29" t="n">
        <v>0.21</v>
      </c>
      <c r="F32" s="11">
        <f>IF(AND(D32&lt;&gt;"",E32&lt;&gt;""),D32*E32,"")</f>
        <v/>
      </c>
    </row>
    <row r="33">
      <c r="A33" s="6" t="n"/>
      <c r="B33" s="41" t="n"/>
      <c r="C33" s="10" t="n"/>
      <c r="D33" s="11">
        <f>IF(AND(B33&lt;&gt;"",C33&lt;&gt;""),B33*C33,"")</f>
        <v/>
      </c>
      <c r="E33" s="29" t="n">
        <v>0.21</v>
      </c>
      <c r="F33" s="11">
        <f>IF(AND(D33&lt;&gt;"",E33&lt;&gt;""),D33*E33,"")</f>
        <v/>
      </c>
    </row>
    <row r="34">
      <c r="A34" s="6" t="n"/>
      <c r="B34" s="41" t="n"/>
      <c r="C34" s="10" t="n"/>
      <c r="D34" s="11">
        <f>IF(AND(B34&lt;&gt;"",C34&lt;&gt;""),B34*C34,"")</f>
        <v/>
      </c>
      <c r="E34" s="29" t="n">
        <v>0.21</v>
      </c>
      <c r="F34" s="11">
        <f>IF(AND(D34&lt;&gt;"",E34&lt;&gt;""),D34*E34,"")</f>
        <v/>
      </c>
    </row>
    <row r="35">
      <c r="A35" s="6" t="n"/>
      <c r="B35" s="41" t="n"/>
      <c r="C35" s="10" t="n"/>
      <c r="D35" s="11">
        <f>IF(AND(B35&lt;&gt;"",C35&lt;&gt;""),B35*C35,"")</f>
        <v/>
      </c>
      <c r="E35" s="29" t="n">
        <v>0.21</v>
      </c>
      <c r="F35" s="11">
        <f>IF(AND(D35&lt;&gt;"",E35&lt;&gt;""),D35*E35,"")</f>
        <v/>
      </c>
    </row>
    <row r="36">
      <c r="A36" s="6" t="n"/>
      <c r="B36" s="41" t="n"/>
      <c r="C36" s="10" t="n"/>
      <c r="D36" s="11">
        <f>IF(AND(B36&lt;&gt;"",C36&lt;&gt;""),B36*C36,"")</f>
        <v/>
      </c>
      <c r="E36" s="29" t="n">
        <v>0.21</v>
      </c>
      <c r="F36" s="11">
        <f>IF(AND(D36&lt;&gt;"",E36&lt;&gt;""),D36*E36,"")</f>
        <v/>
      </c>
    </row>
    <row r="37">
      <c r="A37" s="6" t="n"/>
      <c r="B37" s="41" t="n"/>
      <c r="C37" s="10" t="n"/>
      <c r="D37" s="11">
        <f>IF(AND(B37&lt;&gt;"",C37&lt;&gt;""),B37*C37,"")</f>
        <v/>
      </c>
      <c r="E37" s="29" t="n">
        <v>0.21</v>
      </c>
      <c r="F37" s="11">
        <f>IF(AND(D37&lt;&gt;"",E37&lt;&gt;""),D37*E37,"")</f>
        <v/>
      </c>
    </row>
    <row r="38">
      <c r="A38" s="6" t="n"/>
      <c r="B38" s="41" t="n"/>
      <c r="C38" s="10" t="n"/>
      <c r="D38" s="11">
        <f>IF(AND(B38&lt;&gt;"",C38&lt;&gt;""),B38*C38,"")</f>
        <v/>
      </c>
      <c r="E38" s="29" t="n">
        <v>0.21</v>
      </c>
      <c r="F38" s="11">
        <f>IF(AND(D38&lt;&gt;"",E38&lt;&gt;""),D38*E38,"")</f>
        <v/>
      </c>
    </row>
    <row r="39">
      <c r="A39" s="6" t="n"/>
      <c r="B39" s="41" t="n"/>
      <c r="C39" s="10" t="n"/>
      <c r="D39" s="11">
        <f>IF(AND(B39&lt;&gt;"",C39&lt;&gt;""),B39*C39,"")</f>
        <v/>
      </c>
      <c r="E39" s="29" t="n">
        <v>0.21</v>
      </c>
      <c r="F39" s="11">
        <f>IF(AND(D39&lt;&gt;"",E39&lt;&gt;""),D39*E39,"")</f>
        <v/>
      </c>
    </row>
    <row r="40">
      <c r="A40" s="6" t="n"/>
      <c r="B40" s="41" t="n"/>
      <c r="C40" s="10" t="n"/>
      <c r="D40" s="11">
        <f>IF(AND(B40&lt;&gt;"",C40&lt;&gt;""),B40*C40,"")</f>
        <v/>
      </c>
      <c r="E40" s="29" t="n">
        <v>0.21</v>
      </c>
      <c r="F40" s="11">
        <f>IF(AND(D40&lt;&gt;"",E40&lt;&gt;""),D40*E40,"")</f>
        <v/>
      </c>
    </row>
    <row r="41">
      <c r="A41" s="6" t="n"/>
      <c r="B41" s="41" t="n"/>
      <c r="C41" s="10" t="n"/>
      <c r="D41" s="11">
        <f>IF(AND(B41&lt;&gt;"",C41&lt;&gt;""),B41*C41,"")</f>
        <v/>
      </c>
      <c r="E41" s="29" t="n">
        <v>0.21</v>
      </c>
      <c r="F41" s="11">
        <f>IF(AND(D41&lt;&gt;"",E41&lt;&gt;""),D41*E41,"")</f>
        <v/>
      </c>
    </row>
    <row r="42">
      <c r="A42" s="6" t="n"/>
      <c r="B42" s="41" t="n"/>
      <c r="C42" s="10" t="n"/>
      <c r="D42" s="11">
        <f>IF(AND(B42&lt;&gt;"",C42&lt;&gt;""),B42*C42,"")</f>
        <v/>
      </c>
      <c r="E42" s="29" t="n">
        <v>0.21</v>
      </c>
      <c r="F42" s="11">
        <f>IF(AND(D42&lt;&gt;"",E42&lt;&gt;""),D42*E42,"")</f>
        <v/>
      </c>
    </row>
    <row r="43">
      <c r="A43" s="6" t="n"/>
      <c r="B43" s="41" t="n"/>
      <c r="C43" s="10" t="n"/>
      <c r="D43" s="11">
        <f>IF(AND(B43&lt;&gt;"",C43&lt;&gt;""),B43*C43,"")</f>
        <v/>
      </c>
      <c r="E43" s="29" t="n">
        <v>0.21</v>
      </c>
      <c r="F43" s="11">
        <f>IF(AND(D43&lt;&gt;"",E43&lt;&gt;""),D43*E43,"")</f>
        <v/>
      </c>
    </row>
    <row r="44">
      <c r="A44" s="6" t="n"/>
      <c r="B44" s="41" t="n"/>
      <c r="C44" s="10" t="n"/>
      <c r="D44" s="11">
        <f>IF(AND(B44&lt;&gt;"",C44&lt;&gt;""),B44*C44,"")</f>
        <v/>
      </c>
      <c r="E44" s="29" t="n">
        <v>0.21</v>
      </c>
      <c r="F44" s="11">
        <f>IF(AND(D44&lt;&gt;"",E44&lt;&gt;""),D44*E44,"")</f>
        <v/>
      </c>
    </row>
    <row r="45">
      <c r="A45" s="6" t="n"/>
      <c r="B45" s="41" t="n"/>
      <c r="C45" s="10" t="n"/>
      <c r="D45" s="11">
        <f>IF(AND(B45&lt;&gt;"",C45&lt;&gt;""),B45*C45,"")</f>
        <v/>
      </c>
      <c r="E45" s="29" t="n">
        <v>0.21</v>
      </c>
      <c r="F45" s="11">
        <f>IF(AND(D45&lt;&gt;"",E45&lt;&gt;""),D45*E45,"")</f>
        <v/>
      </c>
    </row>
    <row r="46">
      <c r="A46" s="6" t="n"/>
      <c r="B46" s="41" t="n"/>
      <c r="C46" s="10" t="n"/>
      <c r="D46" s="11">
        <f>IF(AND(B46&lt;&gt;"",C46&lt;&gt;""),B46*C46,"")</f>
        <v/>
      </c>
      <c r="E46" s="29" t="n">
        <v>0.21</v>
      </c>
      <c r="F46" s="11">
        <f>IF(AND(D46&lt;&gt;"",E46&lt;&gt;""),D46*E46,"")</f>
        <v/>
      </c>
    </row>
    <row r="47">
      <c r="A47" s="6" t="n"/>
      <c r="B47" s="41" t="n"/>
      <c r="C47" s="10" t="n"/>
      <c r="D47" s="11">
        <f>IF(AND(B47&lt;&gt;"",C47&lt;&gt;""),B47*C47,"")</f>
        <v/>
      </c>
      <c r="E47" s="29" t="n">
        <v>0.21</v>
      </c>
      <c r="F47" s="11">
        <f>IF(AND(D47&lt;&gt;"",E47&lt;&gt;""),D47*E47,"")</f>
        <v/>
      </c>
    </row>
    <row r="48">
      <c r="A48" s="6" t="n"/>
      <c r="B48" s="41" t="n"/>
      <c r="C48" s="10" t="n"/>
      <c r="D48" s="11">
        <f>IF(AND(B48&lt;&gt;"",C48&lt;&gt;""),B48*C48,"")</f>
        <v/>
      </c>
      <c r="E48" s="29" t="n">
        <v>0.21</v>
      </c>
      <c r="F48" s="11">
        <f>IF(AND(D48&lt;&gt;"",E48&lt;&gt;""),D48*E48,"")</f>
        <v/>
      </c>
    </row>
    <row r="49">
      <c r="A49" s="6" t="n"/>
      <c r="B49" s="41" t="n"/>
      <c r="C49" s="10" t="n"/>
      <c r="D49" s="11">
        <f>IF(AND(B49&lt;&gt;"",C49&lt;&gt;""),B49*C49,"")</f>
        <v/>
      </c>
      <c r="E49" s="29" t="n">
        <v>0.21</v>
      </c>
      <c r="F49" s="11">
        <f>IF(AND(D49&lt;&gt;"",E49&lt;&gt;""),D49*E49,"")</f>
        <v/>
      </c>
    </row>
    <row r="50">
      <c r="A50" s="6" t="n"/>
      <c r="B50" s="41" t="n"/>
      <c r="C50" s="10" t="n"/>
      <c r="D50" s="11">
        <f>IF(AND(B50&lt;&gt;"",C50&lt;&gt;""),B50*C50,"")</f>
        <v/>
      </c>
      <c r="E50" s="29" t="n">
        <v>0.21</v>
      </c>
      <c r="F50" s="11">
        <f>IF(AND(D50&lt;&gt;"",E50&lt;&gt;""),D50*E50,"")</f>
        <v/>
      </c>
    </row>
    <row r="51">
      <c r="A51" s="6" t="n"/>
      <c r="B51" s="41" t="n"/>
      <c r="C51" s="10" t="n"/>
      <c r="D51" s="11">
        <f>IF(AND(B51&lt;&gt;"",C51&lt;&gt;""),B51*C51,"")</f>
        <v/>
      </c>
      <c r="E51" s="29" t="n">
        <v>0.21</v>
      </c>
      <c r="F51" s="11">
        <f>IF(AND(D51&lt;&gt;"",E51&lt;&gt;""),D51*E51,"")</f>
        <v/>
      </c>
    </row>
    <row r="52">
      <c r="A52" s="6" t="n"/>
      <c r="B52" s="41" t="n"/>
      <c r="C52" s="10" t="n"/>
      <c r="D52" s="11">
        <f>IF(AND(B52&lt;&gt;"",C52&lt;&gt;""),B52*C52,"")</f>
        <v/>
      </c>
      <c r="E52" s="29" t="n">
        <v>0.21</v>
      </c>
      <c r="F52" s="11">
        <f>IF(AND(D52&lt;&gt;"",E52&lt;&gt;""),D52*E52,"")</f>
        <v/>
      </c>
    </row>
    <row r="53">
      <c r="A53" s="6" t="n"/>
      <c r="B53" s="41" t="n"/>
      <c r="C53" s="10" t="n"/>
      <c r="D53" s="11">
        <f>IF(AND(B53&lt;&gt;"",C53&lt;&gt;""),B53*C53,"")</f>
        <v/>
      </c>
      <c r="E53" s="29" t="n">
        <v>0.21</v>
      </c>
      <c r="F53" s="11">
        <f>IF(AND(D53&lt;&gt;"",E53&lt;&gt;""),D53*E53,"")</f>
        <v/>
      </c>
    </row>
    <row r="54">
      <c r="A54" s="6" t="n"/>
      <c r="B54" s="41" t="n"/>
      <c r="C54" s="10" t="n"/>
      <c r="D54" s="11">
        <f>IF(AND(B54&lt;&gt;"",C54&lt;&gt;""),B54*C54,"")</f>
        <v/>
      </c>
      <c r="E54" s="29" t="n">
        <v>0.21</v>
      </c>
      <c r="F54" s="11">
        <f>IF(AND(D54&lt;&gt;"",E54&lt;&gt;""),D54*E54,"")</f>
        <v/>
      </c>
    </row>
    <row r="55">
      <c r="A55" s="6" t="n"/>
      <c r="B55" s="41" t="n"/>
      <c r="C55" s="10" t="n"/>
      <c r="D55" s="11">
        <f>IF(AND(B55&lt;&gt;"",C55&lt;&gt;""),B55*C55,"")</f>
        <v/>
      </c>
      <c r="E55" s="29" t="n">
        <v>0.21</v>
      </c>
      <c r="F55" s="11">
        <f>IF(AND(D55&lt;&gt;"",E55&lt;&gt;""),D55*E55,"")</f>
        <v/>
      </c>
    </row>
    <row r="57">
      <c r="A57" s="13" t="inlineStr">
        <is>
          <t>TOTALEN (automatisch berekend)</t>
        </is>
      </c>
    </row>
    <row r="58">
      <c r="A58" s="3" t="inlineStr">
        <is>
          <t>Totaal Schade excl. BTW (automatisch)</t>
        </is>
      </c>
      <c r="B58" s="11">
        <f>SUM(D6:D56)</f>
        <v/>
      </c>
    </row>
    <row r="59">
      <c r="A59" s="3" t="inlineStr">
        <is>
          <t>BTW (Totaal, automatisch)</t>
        </is>
      </c>
      <c r="B59" s="11">
        <f>SUM(F6:F57)</f>
        <v/>
      </c>
    </row>
    <row r="60">
      <c r="A60" s="36" t="inlineStr">
        <is>
          <t>Totaal Schade incl. BTW (automatisch)</t>
        </is>
      </c>
      <c r="B60" s="37">
        <f>IF(B58="","",B58+B59)</f>
        <v/>
      </c>
    </row>
  </sheetData>
  <mergeCells count="3">
    <mergeCell ref="A57:F57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2025-12-04T12:54:26Z</dcterms:created>
  <dcterms:modified xmlns:dcterms="http://purl.org/dc/terms/" xmlns:xsi="http://www.w3.org/2001/XMLSchema-instance" xsi:type="dcterms:W3CDTF">2025-12-04T12:54:26Z</dcterms:modified>
</cp:coreProperties>
</file>