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yanrent.sharepoint.com/sites/RyanRent/Gedeelde documenten/General/01_RyanRent&amp;Co/Aljereau/Eindafrekening Generator/Shared/Sources/"/>
    </mc:Choice>
  </mc:AlternateContent>
  <xr:revisionPtr revIDLastSave="0" documentId="8_{40D278DC-D053-6C43-BDC0-7F2BD84DFA63}" xr6:coauthVersionLast="47" xr6:coauthVersionMax="47" xr10:uidLastSave="{00000000-0000-0000-0000-000000000000}"/>
  <bookViews>
    <workbookView xWindow="0" yWindow="760" windowWidth="34560" windowHeight="20280" activeTab="1" xr2:uid="{5405CF01-4427-E345-B417-A60258DE9CFF}"/>
  </bookViews>
  <sheets>
    <sheet name="Objecten_Lijst" sheetId="1" r:id="rId1"/>
    <sheet name="Diensten_lijst" sheetId="3" r:id="rId2"/>
    <sheet name="Hulpmiddele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2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8" i="1"/>
  <c r="D7" i="1"/>
  <c r="D6" i="1"/>
  <c r="D5" i="1"/>
  <c r="D4" i="1"/>
  <c r="D3" i="1"/>
  <c r="D2" i="1"/>
  <c r="C10" i="1"/>
  <c r="D10" i="1" s="1"/>
  <c r="C9" i="1"/>
  <c r="D9" i="1" s="1"/>
</calcChain>
</file>

<file path=xl/sharedStrings.xml><?xml version="1.0" encoding="utf-8"?>
<sst xmlns="http://schemas.openxmlformats.org/spreadsheetml/2006/main" count="194" uniqueCount="92">
  <si>
    <t>OBJ NR</t>
  </si>
  <si>
    <t>Object</t>
  </si>
  <si>
    <t>Inkoop waarde</t>
  </si>
  <si>
    <t>Verkoop waarde</t>
  </si>
  <si>
    <t xml:space="preserve">Type </t>
  </si>
  <si>
    <t>Levancier</t>
  </si>
  <si>
    <t>Wasmachine</t>
  </si>
  <si>
    <t>huishoudelijke apparaten</t>
  </si>
  <si>
    <t>Stofzuiger</t>
  </si>
  <si>
    <t>TV</t>
  </si>
  <si>
    <t>Combi Koelkast</t>
  </si>
  <si>
    <t>Combi Magnetron</t>
  </si>
  <si>
    <t>Waterkoker</t>
  </si>
  <si>
    <t>Tafel Koelkast</t>
  </si>
  <si>
    <t>Box spring</t>
  </si>
  <si>
    <t>Meubels</t>
  </si>
  <si>
    <t>Matex</t>
  </si>
  <si>
    <t>Matras</t>
  </si>
  <si>
    <t>KleidingKast 1P</t>
  </si>
  <si>
    <t>Ikea</t>
  </si>
  <si>
    <t>Nachtkasje</t>
  </si>
  <si>
    <t>?</t>
  </si>
  <si>
    <t>Eetkamertafel</t>
  </si>
  <si>
    <t>Eetkamerstoel</t>
  </si>
  <si>
    <t>TV meubel</t>
  </si>
  <si>
    <t>Salontafel</t>
  </si>
  <si>
    <t>Bank</t>
  </si>
  <si>
    <t>OpenGuard</t>
  </si>
  <si>
    <t>Fauteuil</t>
  </si>
  <si>
    <t>Dekbedovertrek en kussensloop</t>
  </si>
  <si>
    <t>Slaapkamer</t>
  </si>
  <si>
    <t>Hoeslaken</t>
  </si>
  <si>
    <t>Dekbed</t>
  </si>
  <si>
    <t>Kussen</t>
  </si>
  <si>
    <t>Kleerhanger 10st</t>
  </si>
  <si>
    <t>Stekkerdoos 2st</t>
  </si>
  <si>
    <t>Staand droogrek</t>
  </si>
  <si>
    <t>Pannenset 3st</t>
  </si>
  <si>
    <t xml:space="preserve">Keukenset </t>
  </si>
  <si>
    <t>Koekenpan 2st</t>
  </si>
  <si>
    <t>Onderzetter set</t>
  </si>
  <si>
    <t>Snijplank 2st</t>
  </si>
  <si>
    <t>Messenset 3st</t>
  </si>
  <si>
    <t>Vergiet</t>
  </si>
  <si>
    <t>Keukengerei 3st</t>
  </si>
  <si>
    <t>Oven-/serveerschaal</t>
  </si>
  <si>
    <t>Kleine stoffer en blik</t>
  </si>
  <si>
    <t>Afwasborstel</t>
  </si>
  <si>
    <t>Afdruipmat</t>
  </si>
  <si>
    <t>Theedoek 4st</t>
  </si>
  <si>
    <t>Glas 45 cl set 6 st</t>
  </si>
  <si>
    <t>Beker 1st</t>
  </si>
  <si>
    <t>Bestekbak</t>
  </si>
  <si>
    <t>Bestek 4p</t>
  </si>
  <si>
    <t>Servies 4 pers</t>
  </si>
  <si>
    <t>Toiletborstel</t>
  </si>
  <si>
    <t>Anderen + SNF</t>
  </si>
  <si>
    <t>DoucheGordijn</t>
  </si>
  <si>
    <t>DoucheGordijn Stang</t>
  </si>
  <si>
    <t>Afvalemmer</t>
  </si>
  <si>
    <t>Action</t>
  </si>
  <si>
    <t>Mopset</t>
  </si>
  <si>
    <t>Vervangingsmop</t>
  </si>
  <si>
    <t>Keylocker</t>
  </si>
  <si>
    <t>Brandblusser</t>
  </si>
  <si>
    <t>Blusdeken</t>
  </si>
  <si>
    <t>Rookmelder + magneet</t>
  </si>
  <si>
    <t>CO2 + magneet</t>
  </si>
  <si>
    <t>Gordijnen x1 inl stang</t>
  </si>
  <si>
    <t>Arbeid Schoonmaak P/U</t>
  </si>
  <si>
    <t>TD inventaris + diensten</t>
  </si>
  <si>
    <t>Arbeid Technish P/U</t>
  </si>
  <si>
    <t>Reiskosten per km</t>
  </si>
  <si>
    <t>Sleutels per stuk</t>
  </si>
  <si>
    <t>WC bril</t>
  </si>
  <si>
    <t>Doucheset</t>
  </si>
  <si>
    <t>Afdekplaat electra</t>
  </si>
  <si>
    <t>Doucheslang</t>
  </si>
  <si>
    <t>Deurhendels</t>
  </si>
  <si>
    <t>Kamerdeur</t>
  </si>
  <si>
    <t>Raamuitzetter</t>
  </si>
  <si>
    <t>Lichtschakelaar</t>
  </si>
  <si>
    <t>Lampen</t>
  </si>
  <si>
    <t>Plafondlamp</t>
  </si>
  <si>
    <t>Type</t>
  </si>
  <si>
    <t>waarde</t>
  </si>
  <si>
    <t>Marge</t>
  </si>
  <si>
    <t>Waarde</t>
  </si>
  <si>
    <t>Afval verwerk</t>
  </si>
  <si>
    <t>Dienst</t>
  </si>
  <si>
    <t>Google shopping link naar product</t>
  </si>
  <si>
    <t>Strijbosch B.V.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</si>
</sst>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€&quot;\ * #,##0.00_ ;_ &quot;€&quot;\ * \-#,##0.00_ ;_ &quot;€&quot;\ * &quot;-&quot;??_ ;_ @_ "/>
    <numFmt numFmtId="164" formatCode="&quot; &quot;[$€]&quot; &quot;* #,##0.00&quot; &quot;;&quot; &quot;[$€]&quot; &quot;* &quot;-&quot;#,##0.00&quot; &quot;;&quot; &quot;[$€]&quot; &quot;* &quot;-&quot;#&quot; &quot;;&quot; &quot;@&quot; &quot;" x16r2:formatCode16="&quot; &quot;[$€-en-NL]&quot; &quot;* #,##0.00&quot; &quot;;&quot; &quot;[$€-en-NL]&quot; &quot;* &quot;-&quot;#,##0.00&quot; &quot;;&quot; &quot;[$€-en-NL]&quot; &quot;* &quot;-&quot;#&quot; &quot;;&quot; &quot;@&quot; &quot;"/>
    <numFmt numFmtId="165" formatCode="&quot; &quot;[$€]&quot; &quot;* #,##0.0&quot; &quot;;&quot; &quot;[$€]&quot; &quot;* &quot;-&quot;#,##0.0&quot; &quot;;&quot; &quot;[$€]&quot; &quot;* &quot;-&quot;#&quot; &quot;;&quot; &quot;@&quot; &quot;" x16r2:formatCode16="&quot; &quot;[$€-en-NL]&quot; &quot;* #,##0.0&quot; &quot;;&quot; &quot;[$€-en-NL]&quot; &quot;* &quot;-&quot;#,##0.0&quot; &quot;;&quot; &quot;[$€-en-NL]&quot; &quot;* &quot;-&quot;#&quot; &quot;;&quot; &quot;@&quot; &quot;"/>
  </numFmts>
  <fonts count="5" x14ac:knownFonts="1">
    <font>
      <sz val="11"/>
      <color rgb="FF000000"/>
      <name val="Aptos Narrow"/>
    </font>
    <font>
      <sz val="11"/>
      <color rgb="FFFFFFFF"/>
      <name val="Aptos Narrow"/>
    </font>
    <font>
      <sz val="11"/>
      <color rgb="FF215C98"/>
      <name val="Aptos Narrow"/>
    </font>
    <font>
      <u/>
      <sz val="11"/>
      <color theme="10"/>
      <name val="Aptos Narrow"/>
    </font>
    <font>
      <sz val="11"/>
      <color theme="0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215C98"/>
        <bgColor rgb="FF215C98"/>
      </patternFill>
    </fill>
    <fill>
      <patternFill patternType="solid">
        <fgColor rgb="FFFFFF00"/>
        <bgColor rgb="FFFFFF00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164" fontId="1" fillId="2" borderId="0" xfId="0" applyNumberFormat="1" applyFont="1" applyFill="1"/>
    <xf numFmtId="0" fontId="0" fillId="0" borderId="0" xfId="0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0" fillId="0" borderId="0" xfId="0" applyAlignment="1"/>
    <xf numFmtId="0" fontId="0" fillId="0" borderId="0" xfId="0" applyFill="1" applyAlignment="1">
      <alignment horizontal="center"/>
    </xf>
    <xf numFmtId="0" fontId="0" fillId="0" borderId="0" xfId="0" applyFill="1"/>
    <xf numFmtId="164" fontId="0" fillId="0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/>
    <xf numFmtId="164" fontId="0" fillId="3" borderId="0" xfId="0" applyNumberFormat="1" applyFill="1"/>
    <xf numFmtId="9" fontId="0" fillId="0" borderId="0" xfId="0" applyNumberFormat="1"/>
    <xf numFmtId="0" fontId="4" fillId="4" borderId="0" xfId="0" applyFont="1" applyFill="1"/>
    <xf numFmtId="44" fontId="4" fillId="4" borderId="0" xfId="0" applyNumberFormat="1" applyFont="1" applyFill="1" applyAlignment="1">
      <alignment horizontal="left" vertical="top"/>
    </xf>
    <xf numFmtId="44" fontId="2" fillId="0" borderId="0" xfId="0" applyNumberFormat="1" applyFont="1" applyAlignment="1">
      <alignment horizontal="left" vertical="top"/>
    </xf>
    <xf numFmtId="44" fontId="0" fillId="0" borderId="0" xfId="0" applyNumberFormat="1" applyAlignment="1">
      <alignment horizontal="left" vertical="top"/>
    </xf>
    <xf numFmtId="0" fontId="3" fillId="0" borderId="0" xfId="1"/>
  </cellXfs>
  <cellStyles count="2">
    <cellStyle name="Hyperlink" xfId="1" builtinId="8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sca_esv=a7edb0de10d9816f&amp;biw=1571&amp;bih=810&amp;sxsrf=AE3TifN9ZWrWtCxcBTPy6kX7kc-g5VgtZQ:1767620505119&amp;q=Strijbosch+B.V.&amp;si=AMgyJEt4gI5NMInIh8VmHjRSOVu8AO9g8YCb2bwac_lcM9uuloys-KrTjIUkNJ7qBkAQxKYA8imeiE74tkExzBQiBTcff_LEYv19G2pRMRAnPy_cITjhut15kOYmIx1R9-N3tE4yuD1k&amp;sa=X&amp;ved=2ahUKEwj_r7jCw_SRAxVW9gIHHUTsAIoQ_coHegQIOBAB" TargetMode="External"/><Relationship Id="rId1" Type="http://schemas.openxmlformats.org/officeDocument/2006/relationships/hyperlink" Target="https://www.google.com/search?sca_esv=a7edb0de10d9816f&amp;biw=1571&amp;bih=810&amp;sxsrf=AE3TifN9ZWrWtCxcBTPy6kX7kc-g5VgtZQ:1767620505119&amp;q=Strijbosch+B.V.&amp;si=AMgyJEt4gI5NMInIh8VmHjRSOVu8AO9g8YCb2bwac_lcM9uuloys-KrTjIUkNJ7qBkAQxKYA8imeiE74tkExzBQiBTcff_LEYv19G2pRMRAnPy_cITjhut15kOYmIx1R9-N3tE4yuD1k&amp;sa=X&amp;ved=2ahUKEwj_r7jCw_SRAxVW9gIHHUTsAIoQ_coHegQIOBA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12D89-F917-1843-A525-7DB3DA3EDD5A}">
  <sheetPr>
    <tabColor rgb="FF215C98"/>
  </sheetPr>
  <dimension ref="A1:G65"/>
  <sheetViews>
    <sheetView workbookViewId="0">
      <selection activeCell="E1" sqref="E1:G1"/>
    </sheetView>
  </sheetViews>
  <sheetFormatPr baseColWidth="10" defaultColWidth="10.6640625" defaultRowHeight="15" x14ac:dyDescent="0.2"/>
  <cols>
    <col min="1" max="1" width="6.33203125" style="4" bestFit="1" customWidth="1"/>
    <col min="2" max="2" width="25.1640625" bestFit="1" customWidth="1"/>
    <col min="3" max="3" width="12.6640625" style="5" bestFit="1" customWidth="1"/>
    <col min="4" max="4" width="22.1640625" customWidth="1"/>
    <col min="5" max="5" width="19.83203125" bestFit="1" customWidth="1"/>
    <col min="6" max="6" width="11.83203125" bestFit="1" customWidth="1"/>
    <col min="7" max="7" width="23.33203125" customWidth="1"/>
  </cols>
  <sheetData>
    <row r="1" spans="1:7" s="2" customFormat="1" x14ac:dyDescent="0.2">
      <c r="A1" s="1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90</v>
      </c>
    </row>
    <row r="2" spans="1:7" x14ac:dyDescent="0.2">
      <c r="A2" s="4">
        <v>1</v>
      </c>
      <c r="B2" t="s">
        <v>6</v>
      </c>
      <c r="C2" s="5">
        <v>210</v>
      </c>
      <c r="D2" s="6">
        <f>C2/(1-Hulpmiddelen!$B$2)</f>
        <v>300</v>
      </c>
      <c r="E2" s="7" t="s">
        <v>7</v>
      </c>
      <c r="F2" s="19" t="s">
        <v>91</v>
      </c>
      <c r="G2" s="19" t="str">
        <f>HYPERLINK("https://www.google.com/search?tbm=shop&amp;q="&amp;SUBSTITUTE(B2 &amp; " " &amp; F2, " ", "+"),"Google Shopping")</f>
        <v>Google Shopping</v>
      </c>
    </row>
    <row r="3" spans="1:7" x14ac:dyDescent="0.2">
      <c r="A3" s="4">
        <v>2</v>
      </c>
      <c r="B3" t="s">
        <v>8</v>
      </c>
      <c r="C3" s="5">
        <v>59</v>
      </c>
      <c r="D3" s="6">
        <f>C3/(1-Hulpmiddelen!$B$2)</f>
        <v>84.285714285714292</v>
      </c>
      <c r="E3" s="7" t="s">
        <v>7</v>
      </c>
      <c r="F3" s="19" t="s">
        <v>91</v>
      </c>
      <c r="G3" s="19" t="str">
        <f t="shared" ref="G3:G65" si="0">HYPERLINK("https://www.google.com/search?tbm=shop&amp;q="&amp;SUBSTITUTE(B3 &amp; " " &amp; F3, " ", "+"),"Google Shopping")</f>
        <v>Google Shopping</v>
      </c>
    </row>
    <row r="4" spans="1:7" x14ac:dyDescent="0.2">
      <c r="A4" s="4">
        <v>3</v>
      </c>
      <c r="B4" t="s">
        <v>9</v>
      </c>
      <c r="C4" s="5">
        <v>210</v>
      </c>
      <c r="D4" s="6">
        <f>C4/(1-Hulpmiddelen!$B$2)</f>
        <v>300</v>
      </c>
      <c r="E4" s="7" t="s">
        <v>7</v>
      </c>
      <c r="F4" s="19" t="s">
        <v>91</v>
      </c>
      <c r="G4" s="19" t="str">
        <f t="shared" si="0"/>
        <v>Google Shopping</v>
      </c>
    </row>
    <row r="5" spans="1:7" x14ac:dyDescent="0.2">
      <c r="A5" s="4">
        <v>4</v>
      </c>
      <c r="B5" t="s">
        <v>10</v>
      </c>
      <c r="C5" s="5">
        <v>295</v>
      </c>
      <c r="D5" s="6">
        <f>C5/(1-Hulpmiddelen!$B$2)</f>
        <v>421.42857142857144</v>
      </c>
      <c r="E5" s="7" t="s">
        <v>7</v>
      </c>
      <c r="F5" s="19" t="s">
        <v>91</v>
      </c>
      <c r="G5" s="19" t="str">
        <f t="shared" si="0"/>
        <v>Google Shopping</v>
      </c>
    </row>
    <row r="6" spans="1:7" x14ac:dyDescent="0.2">
      <c r="A6" s="4">
        <v>5</v>
      </c>
      <c r="B6" t="s">
        <v>11</v>
      </c>
      <c r="C6" s="5">
        <v>115</v>
      </c>
      <c r="D6" s="6">
        <f>C6/(1-Hulpmiddelen!$B$2)</f>
        <v>164.28571428571431</v>
      </c>
      <c r="E6" s="7" t="s">
        <v>7</v>
      </c>
      <c r="F6" s="19" t="s">
        <v>91</v>
      </c>
      <c r="G6" s="19" t="str">
        <f t="shared" si="0"/>
        <v>Google Shopping</v>
      </c>
    </row>
    <row r="7" spans="1:7" x14ac:dyDescent="0.2">
      <c r="A7" s="4">
        <v>6</v>
      </c>
      <c r="B7" t="s">
        <v>12</v>
      </c>
      <c r="C7" s="5">
        <v>19</v>
      </c>
      <c r="D7" s="6">
        <f>C7/(1-Hulpmiddelen!$B$2)</f>
        <v>27.142857142857146</v>
      </c>
      <c r="E7" s="7" t="s">
        <v>7</v>
      </c>
      <c r="F7" s="19" t="s">
        <v>91</v>
      </c>
      <c r="G7" s="19" t="str">
        <f t="shared" si="0"/>
        <v>Google Shopping</v>
      </c>
    </row>
    <row r="8" spans="1:7" x14ac:dyDescent="0.2">
      <c r="A8" s="4">
        <v>7</v>
      </c>
      <c r="B8" t="s">
        <v>13</v>
      </c>
      <c r="C8" s="5">
        <v>190</v>
      </c>
      <c r="D8" s="6">
        <f>C8/(1-Hulpmiddelen!$B$2)</f>
        <v>271.42857142857144</v>
      </c>
      <c r="E8" s="7" t="s">
        <v>7</v>
      </c>
      <c r="F8" s="19" t="s">
        <v>91</v>
      </c>
      <c r="G8" s="19" t="str">
        <f t="shared" si="0"/>
        <v>Google Shopping</v>
      </c>
    </row>
    <row r="9" spans="1:7" x14ac:dyDescent="0.2">
      <c r="A9" s="4">
        <v>8</v>
      </c>
      <c r="B9" t="s">
        <v>14</v>
      </c>
      <c r="C9" s="5">
        <f>75+3.75</f>
        <v>78.75</v>
      </c>
      <c r="D9" s="6">
        <f>C9/(1-Hulpmiddelen!$B$2)</f>
        <v>112.50000000000001</v>
      </c>
      <c r="E9" s="7" t="s">
        <v>15</v>
      </c>
      <c r="F9" s="7" t="s">
        <v>16</v>
      </c>
      <c r="G9" s="19" t="str">
        <f t="shared" si="0"/>
        <v>Google Shopping</v>
      </c>
    </row>
    <row r="10" spans="1:7" x14ac:dyDescent="0.2">
      <c r="A10" s="4">
        <v>9</v>
      </c>
      <c r="B10" t="s">
        <v>17</v>
      </c>
      <c r="C10" s="5">
        <f>67+3.75</f>
        <v>70.75</v>
      </c>
      <c r="D10" s="6">
        <f>C10/(1-Hulpmiddelen!$B$2)</f>
        <v>101.07142857142858</v>
      </c>
      <c r="E10" s="7" t="s">
        <v>15</v>
      </c>
      <c r="F10" s="7" t="s">
        <v>16</v>
      </c>
      <c r="G10" s="19" t="str">
        <f t="shared" si="0"/>
        <v>Google Shopping</v>
      </c>
    </row>
    <row r="11" spans="1:7" x14ac:dyDescent="0.2">
      <c r="A11" s="4">
        <v>10</v>
      </c>
      <c r="B11" t="s">
        <v>18</v>
      </c>
      <c r="C11" s="5">
        <v>48.76</v>
      </c>
      <c r="D11" s="6">
        <f>C11/(1-Hulpmiddelen!$B$2)</f>
        <v>69.657142857142858</v>
      </c>
      <c r="E11" s="7" t="s">
        <v>15</v>
      </c>
      <c r="F11" t="s">
        <v>19</v>
      </c>
      <c r="G11" s="19" t="str">
        <f t="shared" si="0"/>
        <v>Google Shopping</v>
      </c>
    </row>
    <row r="12" spans="1:7" x14ac:dyDescent="0.2">
      <c r="A12" s="4">
        <v>11</v>
      </c>
      <c r="B12" t="s">
        <v>20</v>
      </c>
      <c r="C12" s="5">
        <v>37</v>
      </c>
      <c r="D12" s="6">
        <f>C12/(1-Hulpmiddelen!$B$2)</f>
        <v>52.857142857142861</v>
      </c>
      <c r="E12" s="7" t="s">
        <v>15</v>
      </c>
      <c r="F12" t="s">
        <v>21</v>
      </c>
      <c r="G12" s="19" t="str">
        <f t="shared" si="0"/>
        <v>Google Shopping</v>
      </c>
    </row>
    <row r="13" spans="1:7" x14ac:dyDescent="0.2">
      <c r="A13" s="4">
        <v>12</v>
      </c>
      <c r="B13" t="s">
        <v>22</v>
      </c>
      <c r="C13" s="5">
        <v>41.31</v>
      </c>
      <c r="D13" s="6">
        <f>C13/(1-Hulpmiddelen!$B$2)</f>
        <v>59.01428571428572</v>
      </c>
      <c r="E13" s="7" t="s">
        <v>15</v>
      </c>
      <c r="F13" t="s">
        <v>21</v>
      </c>
      <c r="G13" s="19" t="str">
        <f t="shared" si="0"/>
        <v>Google Shopping</v>
      </c>
    </row>
    <row r="14" spans="1:7" x14ac:dyDescent="0.2">
      <c r="A14" s="4">
        <v>13</v>
      </c>
      <c r="B14" t="s">
        <v>23</v>
      </c>
      <c r="C14" s="5">
        <v>44.5</v>
      </c>
      <c r="D14" s="6">
        <f>C14/(1-Hulpmiddelen!$B$2)</f>
        <v>63.571428571428577</v>
      </c>
      <c r="E14" s="7" t="s">
        <v>15</v>
      </c>
      <c r="F14" t="s">
        <v>21</v>
      </c>
      <c r="G14" s="19" t="str">
        <f t="shared" si="0"/>
        <v>Google Shopping</v>
      </c>
    </row>
    <row r="15" spans="1:7" x14ac:dyDescent="0.2">
      <c r="A15" s="4">
        <v>14</v>
      </c>
      <c r="B15" t="s">
        <v>24</v>
      </c>
      <c r="C15" s="5">
        <v>62.75</v>
      </c>
      <c r="D15" s="6">
        <f>C15/(1-Hulpmiddelen!$B$2)</f>
        <v>89.642857142857153</v>
      </c>
      <c r="E15" s="7" t="s">
        <v>15</v>
      </c>
      <c r="F15" t="s">
        <v>21</v>
      </c>
      <c r="G15" s="19" t="str">
        <f t="shared" si="0"/>
        <v>Google Shopping</v>
      </c>
    </row>
    <row r="16" spans="1:7" x14ac:dyDescent="0.2">
      <c r="A16" s="4">
        <v>15</v>
      </c>
      <c r="B16" t="s">
        <v>25</v>
      </c>
      <c r="C16" s="5">
        <v>16.52</v>
      </c>
      <c r="D16" s="6">
        <f>C16/(1-Hulpmiddelen!$B$2)</f>
        <v>23.6</v>
      </c>
      <c r="E16" s="7" t="s">
        <v>15</v>
      </c>
      <c r="F16" t="s">
        <v>19</v>
      </c>
      <c r="G16" s="19" t="str">
        <f t="shared" si="0"/>
        <v>Google Shopping</v>
      </c>
    </row>
    <row r="17" spans="1:7" x14ac:dyDescent="0.2">
      <c r="A17" s="4">
        <v>16</v>
      </c>
      <c r="B17" t="s">
        <v>26</v>
      </c>
      <c r="C17" s="5">
        <v>106</v>
      </c>
      <c r="D17" s="6">
        <f>C17/(1-Hulpmiddelen!$B$2)</f>
        <v>151.42857142857144</v>
      </c>
      <c r="E17" s="7" t="s">
        <v>15</v>
      </c>
      <c r="F17" t="s">
        <v>27</v>
      </c>
      <c r="G17" s="19" t="str">
        <f t="shared" si="0"/>
        <v>Google Shopping</v>
      </c>
    </row>
    <row r="18" spans="1:7" x14ac:dyDescent="0.2">
      <c r="A18" s="4">
        <v>17</v>
      </c>
      <c r="B18" t="s">
        <v>28</v>
      </c>
      <c r="C18" s="5">
        <v>65</v>
      </c>
      <c r="D18" s="6">
        <f>C18/(1-Hulpmiddelen!$B$2)</f>
        <v>92.857142857142861</v>
      </c>
      <c r="E18" s="7" t="s">
        <v>15</v>
      </c>
      <c r="F18" t="s">
        <v>21</v>
      </c>
      <c r="G18" s="19" t="str">
        <f t="shared" si="0"/>
        <v>Google Shopping</v>
      </c>
    </row>
    <row r="19" spans="1:7" x14ac:dyDescent="0.2">
      <c r="A19" s="4">
        <v>18</v>
      </c>
      <c r="B19" t="s">
        <v>29</v>
      </c>
      <c r="C19" s="5">
        <v>9.08</v>
      </c>
      <c r="D19" s="6">
        <f>C19/(1-Hulpmiddelen!$B$2)</f>
        <v>12.971428571428572</v>
      </c>
      <c r="E19" s="7" t="s">
        <v>30</v>
      </c>
      <c r="F19" t="s">
        <v>19</v>
      </c>
      <c r="G19" s="19" t="str">
        <f t="shared" si="0"/>
        <v>Google Shopping</v>
      </c>
    </row>
    <row r="20" spans="1:7" x14ac:dyDescent="0.2">
      <c r="A20" s="4">
        <v>19</v>
      </c>
      <c r="B20" t="s">
        <v>31</v>
      </c>
      <c r="C20" s="5">
        <v>5.78</v>
      </c>
      <c r="D20" s="6">
        <f>C20/(1-Hulpmiddelen!$B$2)</f>
        <v>8.257142857142858</v>
      </c>
      <c r="E20" s="7" t="s">
        <v>30</v>
      </c>
      <c r="F20" t="s">
        <v>19</v>
      </c>
      <c r="G20" s="19" t="str">
        <f t="shared" si="0"/>
        <v>Google Shopping</v>
      </c>
    </row>
    <row r="21" spans="1:7" x14ac:dyDescent="0.2">
      <c r="A21" s="4">
        <v>20</v>
      </c>
      <c r="B21" t="s">
        <v>32</v>
      </c>
      <c r="C21" s="5">
        <v>10.74</v>
      </c>
      <c r="D21" s="6">
        <f>C21/(1-Hulpmiddelen!$B$2)</f>
        <v>15.342857142857143</v>
      </c>
      <c r="E21" s="7" t="s">
        <v>30</v>
      </c>
      <c r="F21" t="s">
        <v>19</v>
      </c>
      <c r="G21" s="19" t="str">
        <f t="shared" si="0"/>
        <v>Google Shopping</v>
      </c>
    </row>
    <row r="22" spans="1:7" x14ac:dyDescent="0.2">
      <c r="A22" s="4">
        <v>21</v>
      </c>
      <c r="B22" t="s">
        <v>33</v>
      </c>
      <c r="C22" s="5">
        <v>5.78</v>
      </c>
      <c r="D22" s="6">
        <f>C22/(1-Hulpmiddelen!$B$2)</f>
        <v>8.257142857142858</v>
      </c>
      <c r="E22" s="7" t="s">
        <v>30</v>
      </c>
      <c r="F22" t="s">
        <v>19</v>
      </c>
      <c r="G22" s="19" t="str">
        <f t="shared" si="0"/>
        <v>Google Shopping</v>
      </c>
    </row>
    <row r="23" spans="1:7" x14ac:dyDescent="0.2">
      <c r="A23" s="4">
        <v>22</v>
      </c>
      <c r="B23" t="s">
        <v>34</v>
      </c>
      <c r="C23" s="5">
        <v>1.64</v>
      </c>
      <c r="D23" s="6">
        <f>C23/(1-Hulpmiddelen!$B$2)</f>
        <v>2.342857142857143</v>
      </c>
      <c r="E23" s="7" t="s">
        <v>30</v>
      </c>
      <c r="F23" t="s">
        <v>19</v>
      </c>
      <c r="G23" s="19" t="str">
        <f t="shared" si="0"/>
        <v>Google Shopping</v>
      </c>
    </row>
    <row r="24" spans="1:7" x14ac:dyDescent="0.2">
      <c r="A24" s="4">
        <v>23</v>
      </c>
      <c r="B24" t="s">
        <v>35</v>
      </c>
      <c r="C24" s="5">
        <v>4.95</v>
      </c>
      <c r="D24" s="6">
        <f>C24/(1-Hulpmiddelen!$B$2)</f>
        <v>7.0714285714285721</v>
      </c>
      <c r="E24" s="7" t="s">
        <v>30</v>
      </c>
      <c r="F24" t="s">
        <v>19</v>
      </c>
      <c r="G24" s="19" t="str">
        <f t="shared" si="0"/>
        <v>Google Shopping</v>
      </c>
    </row>
    <row r="25" spans="1:7" x14ac:dyDescent="0.2">
      <c r="A25" s="4">
        <v>24</v>
      </c>
      <c r="B25" t="s">
        <v>36</v>
      </c>
      <c r="C25" s="5">
        <v>5.36</v>
      </c>
      <c r="D25" s="6">
        <f>C25/(1-Hulpmiddelen!$B$2)</f>
        <v>7.6571428571428584</v>
      </c>
      <c r="E25" s="7" t="s">
        <v>30</v>
      </c>
      <c r="F25" t="s">
        <v>19</v>
      </c>
      <c r="G25" s="19" t="str">
        <f t="shared" si="0"/>
        <v>Google Shopping</v>
      </c>
    </row>
    <row r="26" spans="1:7" x14ac:dyDescent="0.2">
      <c r="A26" s="8">
        <v>25</v>
      </c>
      <c r="B26" s="9" t="s">
        <v>37</v>
      </c>
      <c r="C26" s="10">
        <v>9.91</v>
      </c>
      <c r="D26" s="6">
        <f>C26/(1-Hulpmiddelen!$B$2)</f>
        <v>14.157142857142858</v>
      </c>
      <c r="E26" s="7" t="s">
        <v>38</v>
      </c>
      <c r="F26" t="s">
        <v>19</v>
      </c>
      <c r="G26" s="19" t="str">
        <f t="shared" si="0"/>
        <v>Google Shopping</v>
      </c>
    </row>
    <row r="27" spans="1:7" x14ac:dyDescent="0.2">
      <c r="A27" s="11">
        <v>26</v>
      </c>
      <c r="B27" s="12" t="s">
        <v>39</v>
      </c>
      <c r="C27" s="13">
        <v>12.39</v>
      </c>
      <c r="D27" s="6">
        <f>C27/(1-Hulpmiddelen!$B$2)</f>
        <v>17.700000000000003</v>
      </c>
      <c r="E27" s="7" t="s">
        <v>38</v>
      </c>
      <c r="F27" t="s">
        <v>19</v>
      </c>
      <c r="G27" s="19" t="str">
        <f t="shared" si="0"/>
        <v>Google Shopping</v>
      </c>
    </row>
    <row r="28" spans="1:7" x14ac:dyDescent="0.2">
      <c r="A28" s="4">
        <v>27</v>
      </c>
      <c r="B28" t="s">
        <v>40</v>
      </c>
      <c r="C28" s="10">
        <v>1.64</v>
      </c>
      <c r="D28" s="6">
        <f>C28/(1-Hulpmiddelen!$B$2)</f>
        <v>2.342857142857143</v>
      </c>
      <c r="E28" s="7" t="s">
        <v>38</v>
      </c>
      <c r="F28" t="s">
        <v>19</v>
      </c>
      <c r="G28" s="19" t="str">
        <f t="shared" si="0"/>
        <v>Google Shopping</v>
      </c>
    </row>
    <row r="29" spans="1:7" x14ac:dyDescent="0.2">
      <c r="A29" s="4">
        <v>28</v>
      </c>
      <c r="B29" t="s">
        <v>41</v>
      </c>
      <c r="C29" s="10">
        <v>0.82</v>
      </c>
      <c r="D29" s="6">
        <f>C29/(1-Hulpmiddelen!$B$2)</f>
        <v>1.1714285714285715</v>
      </c>
      <c r="E29" s="7" t="s">
        <v>38</v>
      </c>
      <c r="F29" t="s">
        <v>19</v>
      </c>
      <c r="G29" s="19" t="str">
        <f t="shared" si="0"/>
        <v>Google Shopping</v>
      </c>
    </row>
    <row r="30" spans="1:7" x14ac:dyDescent="0.2">
      <c r="A30" s="4">
        <v>29</v>
      </c>
      <c r="B30" t="s">
        <v>42</v>
      </c>
      <c r="C30" s="10">
        <v>4.95</v>
      </c>
      <c r="D30" s="6">
        <f>C30/(1-Hulpmiddelen!$B$2)</f>
        <v>7.0714285714285721</v>
      </c>
      <c r="E30" s="7" t="s">
        <v>38</v>
      </c>
      <c r="F30" t="s">
        <v>19</v>
      </c>
      <c r="G30" s="19" t="str">
        <f t="shared" si="0"/>
        <v>Google Shopping</v>
      </c>
    </row>
    <row r="31" spans="1:7" x14ac:dyDescent="0.2">
      <c r="A31" s="4">
        <v>30</v>
      </c>
      <c r="B31" t="s">
        <v>43</v>
      </c>
      <c r="C31" s="10">
        <v>1.23</v>
      </c>
      <c r="D31" s="6">
        <f>C31/(1-Hulpmiddelen!$B$2)</f>
        <v>1.7571428571428573</v>
      </c>
      <c r="E31" s="7" t="s">
        <v>38</v>
      </c>
      <c r="F31" t="s">
        <v>19</v>
      </c>
      <c r="G31" s="19" t="str">
        <f t="shared" si="0"/>
        <v>Google Shopping</v>
      </c>
    </row>
    <row r="32" spans="1:7" x14ac:dyDescent="0.2">
      <c r="A32" s="4">
        <v>31</v>
      </c>
      <c r="B32" t="s">
        <v>44</v>
      </c>
      <c r="C32" s="10">
        <v>1.64</v>
      </c>
      <c r="D32" s="6">
        <f>C32/(1-Hulpmiddelen!$B$2)</f>
        <v>2.342857142857143</v>
      </c>
      <c r="E32" s="7" t="s">
        <v>38</v>
      </c>
      <c r="F32" t="s">
        <v>19</v>
      </c>
      <c r="G32" s="19" t="str">
        <f t="shared" si="0"/>
        <v>Google Shopping</v>
      </c>
    </row>
    <row r="33" spans="1:7" x14ac:dyDescent="0.2">
      <c r="A33" s="4">
        <v>32</v>
      </c>
      <c r="B33" t="s">
        <v>45</v>
      </c>
      <c r="C33" s="10">
        <v>5.78</v>
      </c>
      <c r="D33" s="6">
        <f>C33/(1-Hulpmiddelen!$B$2)</f>
        <v>8.257142857142858</v>
      </c>
      <c r="E33" s="7" t="s">
        <v>38</v>
      </c>
      <c r="F33" t="s">
        <v>19</v>
      </c>
      <c r="G33" s="19" t="str">
        <f t="shared" si="0"/>
        <v>Google Shopping</v>
      </c>
    </row>
    <row r="34" spans="1:7" x14ac:dyDescent="0.2">
      <c r="A34" s="4">
        <v>33</v>
      </c>
      <c r="B34" t="s">
        <v>46</v>
      </c>
      <c r="C34" s="10">
        <v>1.89</v>
      </c>
      <c r="D34" s="6">
        <f>C34/(1-Hulpmiddelen!$B$2)</f>
        <v>2.7</v>
      </c>
      <c r="E34" s="7" t="s">
        <v>38</v>
      </c>
      <c r="F34" t="s">
        <v>19</v>
      </c>
      <c r="G34" s="19" t="str">
        <f t="shared" si="0"/>
        <v>Google Shopping</v>
      </c>
    </row>
    <row r="35" spans="1:7" x14ac:dyDescent="0.2">
      <c r="A35" s="4">
        <v>34</v>
      </c>
      <c r="B35" t="s">
        <v>47</v>
      </c>
      <c r="C35" s="10">
        <v>0.82</v>
      </c>
      <c r="D35" s="6">
        <f>C35/(1-Hulpmiddelen!$B$2)</f>
        <v>1.1714285714285715</v>
      </c>
      <c r="E35" s="7" t="s">
        <v>38</v>
      </c>
      <c r="F35" t="s">
        <v>19</v>
      </c>
      <c r="G35" s="19" t="str">
        <f t="shared" si="0"/>
        <v>Google Shopping</v>
      </c>
    </row>
    <row r="36" spans="1:7" x14ac:dyDescent="0.2">
      <c r="A36" s="4">
        <v>35</v>
      </c>
      <c r="B36" t="s">
        <v>48</v>
      </c>
      <c r="C36" s="10">
        <v>2.06</v>
      </c>
      <c r="D36" s="6">
        <f>C36/(1-Hulpmiddelen!$B$2)</f>
        <v>2.9428571428571431</v>
      </c>
      <c r="E36" s="7" t="s">
        <v>38</v>
      </c>
      <c r="F36" t="s">
        <v>19</v>
      </c>
      <c r="G36" s="19" t="str">
        <f t="shared" si="0"/>
        <v>Google Shopping</v>
      </c>
    </row>
    <row r="37" spans="1:7" x14ac:dyDescent="0.2">
      <c r="A37" s="4">
        <v>36</v>
      </c>
      <c r="B37" t="s">
        <v>49</v>
      </c>
      <c r="C37" s="10">
        <v>2.4700000000000002</v>
      </c>
      <c r="D37" s="6">
        <f>C37/(1-Hulpmiddelen!$B$2)</f>
        <v>3.5285714285714289</v>
      </c>
      <c r="E37" s="7" t="s">
        <v>38</v>
      </c>
      <c r="F37" t="s">
        <v>19</v>
      </c>
      <c r="G37" s="19" t="str">
        <f t="shared" si="0"/>
        <v>Google Shopping</v>
      </c>
    </row>
    <row r="38" spans="1:7" x14ac:dyDescent="0.2">
      <c r="A38" s="4">
        <v>37</v>
      </c>
      <c r="B38" t="s">
        <v>50</v>
      </c>
      <c r="C38" s="10">
        <v>4.95</v>
      </c>
      <c r="D38" s="6">
        <f>C38/(1-Hulpmiddelen!$B$2)</f>
        <v>7.0714285714285721</v>
      </c>
      <c r="E38" s="7" t="s">
        <v>38</v>
      </c>
      <c r="F38" t="s">
        <v>19</v>
      </c>
      <c r="G38" s="19" t="str">
        <f t="shared" si="0"/>
        <v>Google Shopping</v>
      </c>
    </row>
    <row r="39" spans="1:7" x14ac:dyDescent="0.2">
      <c r="A39" s="4">
        <v>38</v>
      </c>
      <c r="B39" t="s">
        <v>51</v>
      </c>
      <c r="C39" s="10">
        <v>1.64</v>
      </c>
      <c r="D39" s="6">
        <f>C39/(1-Hulpmiddelen!$B$2)</f>
        <v>2.342857142857143</v>
      </c>
      <c r="E39" s="7" t="s">
        <v>38</v>
      </c>
      <c r="F39" t="s">
        <v>19</v>
      </c>
      <c r="G39" s="19" t="str">
        <f t="shared" si="0"/>
        <v>Google Shopping</v>
      </c>
    </row>
    <row r="40" spans="1:7" x14ac:dyDescent="0.2">
      <c r="A40" s="4">
        <v>39</v>
      </c>
      <c r="B40" t="s">
        <v>52</v>
      </c>
      <c r="C40" s="10">
        <v>0.62</v>
      </c>
      <c r="D40" s="6">
        <f>C40/(1-Hulpmiddelen!$B$2)</f>
        <v>0.88571428571428579</v>
      </c>
      <c r="E40" s="7" t="s">
        <v>38</v>
      </c>
      <c r="F40" t="s">
        <v>19</v>
      </c>
      <c r="G40" s="19" t="str">
        <f t="shared" si="0"/>
        <v>Google Shopping</v>
      </c>
    </row>
    <row r="41" spans="1:7" x14ac:dyDescent="0.2">
      <c r="A41" s="4">
        <v>40</v>
      </c>
      <c r="B41" t="s">
        <v>53</v>
      </c>
      <c r="C41" s="10">
        <v>3.71</v>
      </c>
      <c r="D41" s="6">
        <f>C41/(1-Hulpmiddelen!$B$2)</f>
        <v>5.3000000000000007</v>
      </c>
      <c r="E41" s="7" t="s">
        <v>38</v>
      </c>
      <c r="F41" t="s">
        <v>19</v>
      </c>
      <c r="G41" s="19" t="str">
        <f t="shared" si="0"/>
        <v>Google Shopping</v>
      </c>
    </row>
    <row r="42" spans="1:7" x14ac:dyDescent="0.2">
      <c r="A42" s="11">
        <v>41</v>
      </c>
      <c r="B42" s="12" t="s">
        <v>54</v>
      </c>
      <c r="C42" s="13">
        <v>12.39</v>
      </c>
      <c r="D42" s="6">
        <f>C42/(1-Hulpmiddelen!$B$2)</f>
        <v>17.700000000000003</v>
      </c>
      <c r="E42" s="7" t="s">
        <v>38</v>
      </c>
      <c r="F42" t="s">
        <v>19</v>
      </c>
      <c r="G42" s="19" t="str">
        <f t="shared" si="0"/>
        <v>Google Shopping</v>
      </c>
    </row>
    <row r="43" spans="1:7" x14ac:dyDescent="0.2">
      <c r="A43" s="4">
        <v>42</v>
      </c>
      <c r="B43" t="s">
        <v>55</v>
      </c>
      <c r="C43" s="10">
        <v>0.64</v>
      </c>
      <c r="D43" s="6">
        <f>C43/(1-Hulpmiddelen!$B$2)</f>
        <v>0.91428571428571437</v>
      </c>
      <c r="E43" s="7" t="s">
        <v>56</v>
      </c>
      <c r="F43" t="s">
        <v>19</v>
      </c>
      <c r="G43" s="19" t="str">
        <f t="shared" si="0"/>
        <v>Google Shopping</v>
      </c>
    </row>
    <row r="44" spans="1:7" x14ac:dyDescent="0.2">
      <c r="A44" s="4">
        <v>43</v>
      </c>
      <c r="B44" t="s">
        <v>57</v>
      </c>
      <c r="C44" s="10">
        <v>3.3</v>
      </c>
      <c r="D44" s="6">
        <f>C44/(1-Hulpmiddelen!$B$2)</f>
        <v>4.7142857142857144</v>
      </c>
      <c r="E44" s="7" t="s">
        <v>56</v>
      </c>
      <c r="F44" t="s">
        <v>19</v>
      </c>
      <c r="G44" s="19" t="str">
        <f t="shared" si="0"/>
        <v>Google Shopping</v>
      </c>
    </row>
    <row r="45" spans="1:7" x14ac:dyDescent="0.2">
      <c r="A45" s="4">
        <v>44</v>
      </c>
      <c r="B45" t="s">
        <v>58</v>
      </c>
      <c r="C45" s="10">
        <v>4.12</v>
      </c>
      <c r="D45" s="6">
        <f>C45/(1-Hulpmiddelen!$B$2)</f>
        <v>5.8857142857142861</v>
      </c>
      <c r="E45" s="7" t="s">
        <v>56</v>
      </c>
      <c r="F45" t="s">
        <v>19</v>
      </c>
      <c r="G45" s="19" t="str">
        <f t="shared" si="0"/>
        <v>Google Shopping</v>
      </c>
    </row>
    <row r="46" spans="1:7" x14ac:dyDescent="0.2">
      <c r="A46" s="4">
        <v>45</v>
      </c>
      <c r="B46" t="s">
        <v>59</v>
      </c>
      <c r="C46" s="10">
        <v>7.4</v>
      </c>
      <c r="D46" s="6">
        <f>C46/(1-Hulpmiddelen!$B$2)</f>
        <v>10.571428571428573</v>
      </c>
      <c r="E46" s="7" t="s">
        <v>56</v>
      </c>
      <c r="F46" t="s">
        <v>60</v>
      </c>
      <c r="G46" s="19" t="str">
        <f t="shared" si="0"/>
        <v>Google Shopping</v>
      </c>
    </row>
    <row r="47" spans="1:7" x14ac:dyDescent="0.2">
      <c r="A47" s="4">
        <v>46</v>
      </c>
      <c r="B47" t="s">
        <v>61</v>
      </c>
      <c r="C47" s="10">
        <v>8.26</v>
      </c>
      <c r="D47" s="6">
        <f>C47/(1-Hulpmiddelen!$B$2)</f>
        <v>11.8</v>
      </c>
      <c r="E47" s="7" t="s">
        <v>56</v>
      </c>
      <c r="F47" t="s">
        <v>60</v>
      </c>
      <c r="G47" s="19" t="str">
        <f t="shared" si="0"/>
        <v>Google Shopping</v>
      </c>
    </row>
    <row r="48" spans="1:7" x14ac:dyDescent="0.2">
      <c r="A48" s="4">
        <v>47</v>
      </c>
      <c r="B48" t="s">
        <v>62</v>
      </c>
      <c r="C48" s="10">
        <v>2.4700000000000002</v>
      </c>
      <c r="D48" s="6">
        <f>C48/(1-Hulpmiddelen!$B$2)</f>
        <v>3.5285714285714289</v>
      </c>
      <c r="E48" s="7" t="s">
        <v>56</v>
      </c>
      <c r="F48" t="s">
        <v>60</v>
      </c>
      <c r="G48" s="19" t="str">
        <f t="shared" si="0"/>
        <v>Google Shopping</v>
      </c>
    </row>
    <row r="49" spans="1:7" x14ac:dyDescent="0.2">
      <c r="A49" s="4">
        <v>48</v>
      </c>
      <c r="B49" t="s">
        <v>63</v>
      </c>
      <c r="C49" s="10">
        <v>29.03</v>
      </c>
      <c r="D49" s="6">
        <f>C49/(1-Hulpmiddelen!$B$2)</f>
        <v>41.471428571428575</v>
      </c>
      <c r="E49" s="7" t="s">
        <v>56</v>
      </c>
      <c r="G49" s="19" t="str">
        <f t="shared" si="0"/>
        <v>Google Shopping</v>
      </c>
    </row>
    <row r="50" spans="1:7" x14ac:dyDescent="0.2">
      <c r="A50" s="4">
        <v>49</v>
      </c>
      <c r="B50" t="s">
        <v>64</v>
      </c>
      <c r="C50" s="10">
        <v>70</v>
      </c>
      <c r="D50" s="6">
        <f>C50/(1-Hulpmiddelen!$B$2)</f>
        <v>100</v>
      </c>
      <c r="E50" s="7" t="s">
        <v>56</v>
      </c>
      <c r="G50" s="19" t="str">
        <f t="shared" si="0"/>
        <v>Google Shopping</v>
      </c>
    </row>
    <row r="51" spans="1:7" x14ac:dyDescent="0.2">
      <c r="A51" s="4">
        <v>50</v>
      </c>
      <c r="B51" t="s">
        <v>65</v>
      </c>
      <c r="C51" s="10">
        <v>9.9499999999999993</v>
      </c>
      <c r="D51" s="6">
        <f>C51/(1-Hulpmiddelen!$B$2)</f>
        <v>14.214285714285714</v>
      </c>
      <c r="E51" s="7" t="s">
        <v>56</v>
      </c>
      <c r="G51" s="19" t="str">
        <f t="shared" si="0"/>
        <v>Google Shopping</v>
      </c>
    </row>
    <row r="52" spans="1:7" x14ac:dyDescent="0.2">
      <c r="A52" s="4">
        <v>51</v>
      </c>
      <c r="B52" t="s">
        <v>66</v>
      </c>
      <c r="C52" s="10">
        <v>7.7</v>
      </c>
      <c r="D52" s="6">
        <f>C52/(1-Hulpmiddelen!$B$2)</f>
        <v>11.000000000000002</v>
      </c>
      <c r="E52" s="7" t="s">
        <v>56</v>
      </c>
      <c r="F52" t="s">
        <v>60</v>
      </c>
      <c r="G52" s="19" t="str">
        <f t="shared" si="0"/>
        <v>Google Shopping</v>
      </c>
    </row>
    <row r="53" spans="1:7" x14ac:dyDescent="0.2">
      <c r="A53" s="4">
        <v>52</v>
      </c>
      <c r="B53" t="s">
        <v>67</v>
      </c>
      <c r="C53" s="10">
        <v>15.67</v>
      </c>
      <c r="D53" s="6">
        <f>C53/(1-Hulpmiddelen!$B$2)</f>
        <v>22.385714285714286</v>
      </c>
      <c r="E53" s="7" t="s">
        <v>56</v>
      </c>
      <c r="F53" t="s">
        <v>60</v>
      </c>
      <c r="G53" s="19" t="str">
        <f t="shared" si="0"/>
        <v>Google Shopping</v>
      </c>
    </row>
    <row r="54" spans="1:7" x14ac:dyDescent="0.2">
      <c r="A54" s="4">
        <v>53</v>
      </c>
      <c r="B54" t="s">
        <v>68</v>
      </c>
      <c r="C54" s="10">
        <v>48.73</v>
      </c>
      <c r="D54" s="6">
        <f>C54/(1-Hulpmiddelen!$B$2)</f>
        <v>69.614285714285714</v>
      </c>
      <c r="E54" s="7" t="s">
        <v>56</v>
      </c>
      <c r="F54" t="s">
        <v>19</v>
      </c>
      <c r="G54" s="19" t="str">
        <f t="shared" si="0"/>
        <v>Google Shopping</v>
      </c>
    </row>
    <row r="55" spans="1:7" x14ac:dyDescent="0.2">
      <c r="A55" s="4">
        <v>58</v>
      </c>
      <c r="B55" t="s">
        <v>73</v>
      </c>
      <c r="C55" s="5">
        <v>17.5</v>
      </c>
      <c r="D55" s="6">
        <f>C55/(1-Hulpmiddelen!$B$2)</f>
        <v>25</v>
      </c>
      <c r="E55" s="7" t="s">
        <v>70</v>
      </c>
      <c r="G55" s="19" t="str">
        <f t="shared" si="0"/>
        <v>Google Shopping</v>
      </c>
    </row>
    <row r="56" spans="1:7" x14ac:dyDescent="0.2">
      <c r="A56" s="4">
        <v>59</v>
      </c>
      <c r="B56" t="s">
        <v>74</v>
      </c>
      <c r="C56" s="5">
        <v>29.66</v>
      </c>
      <c r="D56" s="6">
        <f>C56/(1-Hulpmiddelen!$B$2)</f>
        <v>42.371428571428574</v>
      </c>
      <c r="E56" s="7" t="s">
        <v>70</v>
      </c>
      <c r="G56" s="19" t="str">
        <f t="shared" si="0"/>
        <v>Google Shopping</v>
      </c>
    </row>
    <row r="57" spans="1:7" x14ac:dyDescent="0.2">
      <c r="A57" s="4">
        <v>60</v>
      </c>
      <c r="B57" t="s">
        <v>75</v>
      </c>
      <c r="C57" s="5">
        <v>134</v>
      </c>
      <c r="D57" s="6">
        <f>C57/(1-Hulpmiddelen!$B$2)</f>
        <v>191.42857142857144</v>
      </c>
      <c r="E57" s="7" t="s">
        <v>70</v>
      </c>
      <c r="G57" s="19" t="str">
        <f t="shared" si="0"/>
        <v>Google Shopping</v>
      </c>
    </row>
    <row r="58" spans="1:7" x14ac:dyDescent="0.2">
      <c r="A58" s="4">
        <v>61</v>
      </c>
      <c r="B58" t="s">
        <v>76</v>
      </c>
      <c r="C58" s="5">
        <v>1.29</v>
      </c>
      <c r="D58" s="6">
        <f>C58/(1-Hulpmiddelen!$B$2)</f>
        <v>1.842857142857143</v>
      </c>
      <c r="E58" s="7" t="s">
        <v>70</v>
      </c>
      <c r="G58" s="19" t="str">
        <f t="shared" si="0"/>
        <v>Google Shopping</v>
      </c>
    </row>
    <row r="59" spans="1:7" x14ac:dyDescent="0.2">
      <c r="A59" s="4">
        <v>62</v>
      </c>
      <c r="B59" t="s">
        <v>77</v>
      </c>
      <c r="C59" s="5">
        <v>19.989999999999998</v>
      </c>
      <c r="D59" s="6">
        <f>C59/(1-Hulpmiddelen!$B$2)</f>
        <v>28.557142857142857</v>
      </c>
      <c r="E59" s="7" t="s">
        <v>70</v>
      </c>
      <c r="G59" s="19" t="str">
        <f t="shared" si="0"/>
        <v>Google Shopping</v>
      </c>
    </row>
    <row r="60" spans="1:7" x14ac:dyDescent="0.2">
      <c r="A60" s="4">
        <v>64</v>
      </c>
      <c r="B60" t="s">
        <v>78</v>
      </c>
      <c r="C60" s="5">
        <v>10</v>
      </c>
      <c r="D60" s="6">
        <f>C60/(1-Hulpmiddelen!$B$2)</f>
        <v>14.285714285714286</v>
      </c>
      <c r="E60" s="7" t="s">
        <v>70</v>
      </c>
      <c r="G60" s="19" t="str">
        <f t="shared" si="0"/>
        <v>Google Shopping</v>
      </c>
    </row>
    <row r="61" spans="1:7" x14ac:dyDescent="0.2">
      <c r="A61" s="4">
        <v>65</v>
      </c>
      <c r="B61" t="s">
        <v>79</v>
      </c>
      <c r="C61" s="5">
        <v>123.21</v>
      </c>
      <c r="D61" s="6">
        <f>C61/(1-Hulpmiddelen!$B$2)</f>
        <v>176.01428571428571</v>
      </c>
      <c r="E61" s="7" t="s">
        <v>70</v>
      </c>
      <c r="G61" s="19" t="str">
        <f t="shared" si="0"/>
        <v>Google Shopping</v>
      </c>
    </row>
    <row r="62" spans="1:7" x14ac:dyDescent="0.2">
      <c r="A62" s="4">
        <v>68</v>
      </c>
      <c r="B62" s="9" t="s">
        <v>80</v>
      </c>
      <c r="C62" s="5">
        <v>19.989999999999998</v>
      </c>
      <c r="D62" s="6">
        <f>C62/(1-Hulpmiddelen!$B$2)</f>
        <v>28.557142857142857</v>
      </c>
      <c r="E62" s="7" t="s">
        <v>70</v>
      </c>
      <c r="G62" s="19" t="str">
        <f t="shared" si="0"/>
        <v>Google Shopping</v>
      </c>
    </row>
    <row r="63" spans="1:7" x14ac:dyDescent="0.2">
      <c r="A63" s="4">
        <v>69</v>
      </c>
      <c r="B63" s="9" t="s">
        <v>81</v>
      </c>
      <c r="C63" s="5">
        <v>3.79</v>
      </c>
      <c r="D63" s="6">
        <f>C63/(1-Hulpmiddelen!$B$2)</f>
        <v>5.4142857142857146</v>
      </c>
      <c r="E63" s="7" t="s">
        <v>70</v>
      </c>
      <c r="G63" s="19" t="str">
        <f t="shared" si="0"/>
        <v>Google Shopping</v>
      </c>
    </row>
    <row r="64" spans="1:7" x14ac:dyDescent="0.2">
      <c r="A64" s="4">
        <v>70</v>
      </c>
      <c r="B64" s="9" t="s">
        <v>82</v>
      </c>
      <c r="C64" s="5">
        <v>3.95</v>
      </c>
      <c r="D64" s="6">
        <f>C64/(1-Hulpmiddelen!$B$2)</f>
        <v>5.6428571428571432</v>
      </c>
      <c r="E64" s="7" t="s">
        <v>70</v>
      </c>
      <c r="G64" s="19" t="str">
        <f t="shared" si="0"/>
        <v>Google Shopping</v>
      </c>
    </row>
    <row r="65" spans="1:7" x14ac:dyDescent="0.2">
      <c r="A65" s="4">
        <v>71</v>
      </c>
      <c r="B65" s="9" t="s">
        <v>83</v>
      </c>
      <c r="C65" s="5">
        <v>5.78</v>
      </c>
      <c r="D65" s="6">
        <f>C65/(1-Hulpmiddelen!$B$2)</f>
        <v>8.257142857142858</v>
      </c>
      <c r="E65" s="7" t="s">
        <v>70</v>
      </c>
      <c r="G65" s="19" t="str">
        <f t="shared" si="0"/>
        <v>Google Shopping</v>
      </c>
    </row>
  </sheetData>
  <hyperlinks>
    <hyperlink ref="F2" r:id="rId1" display="https://www.google.com/search?sca_esv=a7edb0de10d9816f&amp;biw=1571&amp;bih=810&amp;sxsrf=AE3TifN9ZWrWtCxcBTPy6kX7kc-g5VgtZQ:1767620505119&amp;q=Strijbosch+B.V.&amp;si=AMgyJEt4gI5NMInIh8VmHjRSOVu8AO9g8YCb2bwac_lcM9uuloys-KrTjIUkNJ7qBkAQxKYA8imeiE74tkExzBQiBTcff_LEYv19G2pRMRAnPy_cITjhut15kOYmIx1R9-N3tE4yuD1k&amp;sa=X&amp;ved=2ahUKEwj_r7jCw_SRAxVW9gIHHUTsAIoQ_coHegQIOBAB" xr:uid="{28CB9824-51E1-E740-85AE-1680A88FE901}"/>
    <hyperlink ref="F3:F8" r:id="rId2" display="https://www.google.com/search?sca_esv=a7edb0de10d9816f&amp;biw=1571&amp;bih=810&amp;sxsrf=AE3TifN9ZWrWtCxcBTPy6kX7kc-g5VgtZQ:1767620505119&amp;q=Strijbosch+B.V.&amp;si=AMgyJEt4gI5NMInIh8VmHjRSOVu8AO9g8YCb2bwac_lcM9uuloys-KrTjIUkNJ7qBkAQxKYA8imeiE74tkExzBQiBTcff_LEYv19G2pRMRAnPy_cITjhut15kOYmIx1R9-N3tE4yuD1k&amp;sa=X&amp;ved=2ahUKEwj_r7jCw_SRAxVW9gIHHUTsAIoQ_coHegQIOBAB" xr:uid="{76EA4250-EC8E-3C43-B8AE-7D6D92E430D5}"/>
  </hyperlinks>
  <pageMargins left="0.7" right="0.7" top="0.75" bottom="0.75" header="0.3" footer="0.3"/>
  <pageSetup paperSiz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1B253-7C49-4A4B-885D-B153F09FF175}">
  <sheetPr>
    <tabColor theme="5"/>
  </sheetPr>
  <dimension ref="A1:B5"/>
  <sheetViews>
    <sheetView tabSelected="1" workbookViewId="0">
      <selection activeCell="A2" sqref="A2"/>
    </sheetView>
  </sheetViews>
  <sheetFormatPr baseColWidth="10" defaultRowHeight="15" x14ac:dyDescent="0.2"/>
  <cols>
    <col min="1" max="1" width="19.1640625" bestFit="1" customWidth="1"/>
    <col min="2" max="2" width="17.33203125" style="18" bestFit="1" customWidth="1"/>
  </cols>
  <sheetData>
    <row r="1" spans="1:2" s="15" customFormat="1" x14ac:dyDescent="0.2">
      <c r="A1" s="15" t="s">
        <v>89</v>
      </c>
      <c r="B1" s="16" t="s">
        <v>87</v>
      </c>
    </row>
    <row r="2" spans="1:2" x14ac:dyDescent="0.2">
      <c r="A2" t="s">
        <v>69</v>
      </c>
      <c r="B2" s="17">
        <v>35</v>
      </c>
    </row>
    <row r="3" spans="1:2" x14ac:dyDescent="0.2">
      <c r="A3" t="s">
        <v>71</v>
      </c>
      <c r="B3" s="17">
        <v>45</v>
      </c>
    </row>
    <row r="4" spans="1:2" x14ac:dyDescent="0.2">
      <c r="A4" t="s">
        <v>88</v>
      </c>
      <c r="B4" s="17">
        <v>215</v>
      </c>
    </row>
    <row r="5" spans="1:2" x14ac:dyDescent="0.2">
      <c r="A5" t="s">
        <v>72</v>
      </c>
      <c r="B5" s="17">
        <v>0.28000000000000003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80E4A-57EE-AA4A-86F6-DD7DD95A61FD}">
  <sheetPr>
    <tabColor rgb="FF000000"/>
  </sheetPr>
  <dimension ref="A1:B2"/>
  <sheetViews>
    <sheetView workbookViewId="0"/>
  </sheetViews>
  <sheetFormatPr baseColWidth="10" defaultRowHeight="15" x14ac:dyDescent="0.2"/>
  <cols>
    <col min="1" max="1" width="10.83203125" customWidth="1"/>
  </cols>
  <sheetData>
    <row r="1" spans="1:2" x14ac:dyDescent="0.2">
      <c r="A1" s="2" t="s">
        <v>84</v>
      </c>
      <c r="B1" s="2" t="s">
        <v>85</v>
      </c>
    </row>
    <row r="2" spans="1:2" x14ac:dyDescent="0.2">
      <c r="A2" t="s">
        <v>86</v>
      </c>
      <c r="B2" s="14">
        <v>0.3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6A3BCF59A4CAC1EDC9B65F03F94" ma:contentTypeVersion="15" ma:contentTypeDescription="Create a new document." ma:contentTypeScope="" ma:versionID="d0e72e358fff385e948993b5140718f2">
  <xsd:schema xmlns:xsd="http://www.w3.org/2001/XMLSchema" xmlns:xs="http://www.w3.org/2001/XMLSchema" xmlns:p="http://schemas.microsoft.com/office/2006/metadata/properties" xmlns:ns2="7e7f2dcd-0c2b-4478-ad05-247cf739c5b2" xmlns:ns3="7c6541c9-858d-46cc-aee4-1fa681dc1bd6" targetNamespace="http://schemas.microsoft.com/office/2006/metadata/properties" ma:root="true" ma:fieldsID="f2e1edef662b1e8a4a57019bf45cf5f9" ns2:_="" ns3:_="">
    <xsd:import namespace="7e7f2dcd-0c2b-4478-ad05-247cf739c5b2"/>
    <xsd:import namespace="7c6541c9-858d-46cc-aee4-1fa681dc1b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7f2dcd-0c2b-4478-ad05-247cf739c5b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1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bd66242-e0b1-4d5e-a424-ed2be647a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541c9-858d-46cc-aee4-1fa681dc1bd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5de6d577-5e06-4df3-9e53-a11405c55b7c}" ma:internalName="TaxCatchAll" ma:showField="CatchAllData" ma:web="7c6541c9-858d-46cc-aee4-1fa681dc1b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7f2dcd-0c2b-4478-ad05-247cf739c5b2">
      <Terms xmlns="http://schemas.microsoft.com/office/infopath/2007/PartnerControls"/>
    </lcf76f155ced4ddcb4097134ff3c332f>
    <TaxCatchAll xmlns="7c6541c9-858d-46cc-aee4-1fa681dc1bd6" xsi:nil="true"/>
  </documentManagement>
</p:properties>
</file>

<file path=customXml/itemProps1.xml><?xml version="1.0" encoding="utf-8"?>
<ds:datastoreItem xmlns:ds="http://schemas.openxmlformats.org/officeDocument/2006/customXml" ds:itemID="{43DD44A3-C080-4EC3-9B65-54840C2A4BF9}"/>
</file>

<file path=customXml/itemProps2.xml><?xml version="1.0" encoding="utf-8"?>
<ds:datastoreItem xmlns:ds="http://schemas.openxmlformats.org/officeDocument/2006/customXml" ds:itemID="{6EBC3856-39D7-4DC6-9BAF-AD6105966808}"/>
</file>

<file path=customXml/itemProps3.xml><?xml version="1.0" encoding="utf-8"?>
<ds:datastoreItem xmlns:ds="http://schemas.openxmlformats.org/officeDocument/2006/customXml" ds:itemID="{5B3DDC38-C389-4FEE-80C1-07F4D2D09F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Objecten_Lijst</vt:lpstr>
      <vt:lpstr>Diensten_lijst</vt:lpstr>
      <vt:lpstr>Hulpmiddelen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Nohai</dc:creator>
  <cp:lastModifiedBy>Aljereau Marten</cp:lastModifiedBy>
  <dcterms:created xsi:type="dcterms:W3CDTF">2025-09-01T10:19:10Z</dcterms:created>
  <dcterms:modified xsi:type="dcterms:W3CDTF">2026-01-12T11:07:13Z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0x010100FD8216A3BCF59A4CAC1EDC9B65F03F94</vt:lpwstr>
  </property>
</Properties>
</file>