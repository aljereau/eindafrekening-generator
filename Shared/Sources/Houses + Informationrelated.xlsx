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0" documentId="14_{3406FF33-8EBF-D242-BC21-FB5220F03D16}" xr6:coauthVersionLast="47" xr6:coauthVersionMax="47" xr10:uidLastSave="{00000000-0000-0000-0000-000000000000}"/>
  <bookViews>
    <workbookView xWindow="6460" yWindow="4860" windowWidth="24840" windowHeight="13440" xr2:uid="{B28E4545-0BD9-FE44-9EC0-3D80AC367532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2" i="1" l="1"/>
  <c r="N271" i="1"/>
  <c r="N270" i="1"/>
  <c r="N269" i="1"/>
  <c r="N268" i="1"/>
  <c r="N267" i="1"/>
  <c r="N266" i="1"/>
  <c r="N265" i="1"/>
  <c r="N264" i="1"/>
  <c r="N263" i="1"/>
  <c r="N262" i="1"/>
  <c r="N260" i="1"/>
  <c r="H259" i="1"/>
  <c r="G259" i="1"/>
  <c r="AB258" i="1"/>
  <c r="P258" i="1"/>
  <c r="Q258" i="1" s="1"/>
  <c r="O258" i="1"/>
  <c r="N258" i="1"/>
  <c r="B258" i="1" a="1"/>
  <c r="B258" i="1" s="1"/>
  <c r="AB257" i="1"/>
  <c r="Y257" i="1"/>
  <c r="N257" i="1"/>
  <c r="B257" i="1"/>
  <c r="AB256" i="1"/>
  <c r="P256" i="1"/>
  <c r="Q256" i="1" s="1"/>
  <c r="O256" i="1"/>
  <c r="B256" i="1"/>
  <c r="AB255" i="1"/>
  <c r="Q255" i="1"/>
  <c r="P255" i="1"/>
  <c r="N255" i="1" s="1"/>
  <c r="O255" i="1"/>
  <c r="B255" i="1"/>
  <c r="AB254" i="1"/>
  <c r="Q254" i="1"/>
  <c r="P254" i="1"/>
  <c r="O254" i="1"/>
  <c r="N254" i="1"/>
  <c r="B254" i="1"/>
  <c r="AB253" i="1"/>
  <c r="P253" i="1"/>
  <c r="N253" i="1" s="1"/>
  <c r="O253" i="1"/>
  <c r="B253" i="1"/>
  <c r="AB252" i="1"/>
  <c r="P252" i="1"/>
  <c r="N252" i="1" s="1"/>
  <c r="O252" i="1"/>
  <c r="B252" i="1"/>
  <c r="AB251" i="1"/>
  <c r="P251" i="1"/>
  <c r="N251" i="1" s="1"/>
  <c r="O251" i="1"/>
  <c r="B251" i="1"/>
  <c r="AB250" i="1"/>
  <c r="P250" i="1"/>
  <c r="Q250" i="1" s="1"/>
  <c r="O250" i="1"/>
  <c r="N250" i="1"/>
  <c r="B250" i="1"/>
  <c r="AB249" i="1"/>
  <c r="Y249" i="1"/>
  <c r="P249" i="1"/>
  <c r="Q249" i="1" s="1"/>
  <c r="O249" i="1"/>
  <c r="N249" i="1"/>
  <c r="B249" i="1"/>
  <c r="AB248" i="1"/>
  <c r="P248" i="1"/>
  <c r="N248" i="1" s="1"/>
  <c r="O248" i="1"/>
  <c r="B248" i="1"/>
  <c r="AB247" i="1"/>
  <c r="P247" i="1"/>
  <c r="Q247" i="1" s="1"/>
  <c r="O247" i="1"/>
  <c r="B247" i="1" a="1"/>
  <c r="B247" i="1" s="1"/>
  <c r="AB246" i="1"/>
  <c r="Q246" i="1"/>
  <c r="P246" i="1"/>
  <c r="N246" i="1" s="1"/>
  <c r="O246" i="1"/>
  <c r="B246" i="1"/>
  <c r="AB245" i="1"/>
  <c r="P245" i="1"/>
  <c r="N245" i="1" s="1"/>
  <c r="O245" i="1"/>
  <c r="N244" i="1"/>
  <c r="AB243" i="1"/>
  <c r="N243" i="1"/>
  <c r="B243" i="1" a="1"/>
  <c r="B243" i="1" s="1"/>
  <c r="N242" i="1"/>
  <c r="AB241" i="1"/>
  <c r="Y241" i="1"/>
  <c r="P241" i="1"/>
  <c r="N241" i="1" s="1"/>
  <c r="O241" i="1"/>
  <c r="B241" i="1"/>
  <c r="AB240" i="1"/>
  <c r="Q240" i="1"/>
  <c r="P240" i="1"/>
  <c r="O240" i="1"/>
  <c r="N240" i="1"/>
  <c r="B240" i="1"/>
  <c r="AB239" i="1"/>
  <c r="Q239" i="1"/>
  <c r="P239" i="1"/>
  <c r="O239" i="1"/>
  <c r="N239" i="1"/>
  <c r="B239" i="1"/>
  <c r="AB238" i="1"/>
  <c r="P238" i="1"/>
  <c r="N238" i="1" s="1"/>
  <c r="O238" i="1"/>
  <c r="B238" i="1"/>
  <c r="AB237" i="1"/>
  <c r="P237" i="1"/>
  <c r="N237" i="1" s="1"/>
  <c r="O237" i="1"/>
  <c r="B237" i="1"/>
  <c r="AB236" i="1"/>
  <c r="P236" i="1"/>
  <c r="Q236" i="1" s="1"/>
  <c r="O236" i="1"/>
  <c r="N236" i="1"/>
  <c r="B236" i="1"/>
  <c r="AB235" i="1"/>
  <c r="Q235" i="1"/>
  <c r="P235" i="1"/>
  <c r="N235" i="1" s="1"/>
  <c r="O235" i="1"/>
  <c r="B235" i="1"/>
  <c r="AB234" i="1"/>
  <c r="P234" i="1"/>
  <c r="N234" i="1" s="1"/>
  <c r="O234" i="1"/>
  <c r="B234" i="1"/>
  <c r="AB233" i="1"/>
  <c r="Q233" i="1"/>
  <c r="P233" i="1"/>
  <c r="O233" i="1"/>
  <c r="N233" i="1"/>
  <c r="AB232" i="1"/>
  <c r="P232" i="1"/>
  <c r="Q232" i="1" s="1"/>
  <c r="O232" i="1"/>
  <c r="N232" i="1"/>
  <c r="AB231" i="1"/>
  <c r="P231" i="1"/>
  <c r="N231" i="1" s="1"/>
  <c r="O231" i="1"/>
  <c r="AB230" i="1"/>
  <c r="P230" i="1"/>
  <c r="Q230" i="1" s="1"/>
  <c r="O230" i="1"/>
  <c r="B230" i="1"/>
  <c r="AB229" i="1"/>
  <c r="Y229" i="1"/>
  <c r="P229" i="1"/>
  <c r="N229" i="1" s="1"/>
  <c r="O229" i="1"/>
  <c r="B229" i="1"/>
  <c r="AB228" i="1"/>
  <c r="Q228" i="1"/>
  <c r="P228" i="1"/>
  <c r="O228" i="1"/>
  <c r="N228" i="1"/>
  <c r="B228" i="1"/>
  <c r="AB227" i="1"/>
  <c r="P227" i="1"/>
  <c r="N227" i="1" s="1"/>
  <c r="O227" i="1"/>
  <c r="B227" i="1"/>
  <c r="AB226" i="1"/>
  <c r="Y226" i="1"/>
  <c r="P226" i="1"/>
  <c r="Q226" i="1" s="1"/>
  <c r="O226" i="1"/>
  <c r="B226" i="1"/>
  <c r="AB225" i="1"/>
  <c r="P225" i="1"/>
  <c r="Q225" i="1" s="1"/>
  <c r="O225" i="1"/>
  <c r="N225" i="1"/>
  <c r="B225" i="1"/>
  <c r="AB224" i="1"/>
  <c r="P224" i="1"/>
  <c r="Q224" i="1" s="1"/>
  <c r="O224" i="1"/>
  <c r="B224" i="1"/>
  <c r="AB223" i="1"/>
  <c r="P223" i="1"/>
  <c r="Q223" i="1" s="1"/>
  <c r="O223" i="1"/>
  <c r="B223" i="1"/>
  <c r="AB222" i="1"/>
  <c r="P222" i="1"/>
  <c r="Q222" i="1" s="1"/>
  <c r="O222" i="1"/>
  <c r="B222" i="1"/>
  <c r="AB221" i="1"/>
  <c r="P221" i="1"/>
  <c r="Q221" i="1" s="1"/>
  <c r="O221" i="1"/>
  <c r="B221" i="1"/>
  <c r="AB220" i="1"/>
  <c r="P220" i="1"/>
  <c r="Q220" i="1" s="1"/>
  <c r="O220" i="1"/>
  <c r="B220" i="1"/>
  <c r="AB219" i="1"/>
  <c r="AA219" i="1"/>
  <c r="Q219" i="1"/>
  <c r="P219" i="1"/>
  <c r="O219" i="1"/>
  <c r="N219" i="1"/>
  <c r="B219" i="1"/>
  <c r="AB218" i="1"/>
  <c r="P218" i="1"/>
  <c r="Q218" i="1" s="1"/>
  <c r="O218" i="1"/>
  <c r="N218" i="1"/>
  <c r="B218" i="1"/>
  <c r="AB217" i="1"/>
  <c r="N217" i="1"/>
  <c r="B217" i="1"/>
  <c r="AB216" i="1"/>
  <c r="P216" i="1"/>
  <c r="Q216" i="1" s="1"/>
  <c r="O216" i="1"/>
  <c r="N216" i="1"/>
  <c r="B216" i="1"/>
  <c r="AB215" i="1"/>
  <c r="Y215" i="1"/>
  <c r="P215" i="1"/>
  <c r="N215" i="1" s="1"/>
  <c r="O215" i="1"/>
  <c r="B215" i="1"/>
  <c r="AB214" i="1"/>
  <c r="Y214" i="1"/>
  <c r="P214" i="1"/>
  <c r="Q214" i="1" s="1"/>
  <c r="O214" i="1"/>
  <c r="N214" i="1"/>
  <c r="B214" i="1" a="1"/>
  <c r="B214" i="1" s="1"/>
  <c r="AB213" i="1"/>
  <c r="Y213" i="1"/>
  <c r="P213" i="1"/>
  <c r="Q213" i="1" s="1"/>
  <c r="O213" i="1"/>
  <c r="B213" i="1"/>
  <c r="AB212" i="1"/>
  <c r="Y212" i="1"/>
  <c r="Q212" i="1"/>
  <c r="P212" i="1"/>
  <c r="N212" i="1" s="1"/>
  <c r="O212" i="1"/>
  <c r="B212" i="1"/>
  <c r="AB211" i="1"/>
  <c r="Y211" i="1"/>
  <c r="P211" i="1"/>
  <c r="Q211" i="1" s="1"/>
  <c r="O211" i="1"/>
  <c r="B211" i="1"/>
  <c r="AB210" i="1"/>
  <c r="P210" i="1"/>
  <c r="Q210" i="1" s="1"/>
  <c r="O210" i="1"/>
  <c r="N210" i="1"/>
  <c r="B210" i="1"/>
  <c r="AB209" i="1"/>
  <c r="Y209" i="1"/>
  <c r="Q209" i="1"/>
  <c r="O209" i="1"/>
  <c r="N209" i="1"/>
  <c r="B209" i="1"/>
  <c r="AB208" i="1"/>
  <c r="N208" i="1"/>
  <c r="B208" i="1"/>
  <c r="AB207" i="1"/>
  <c r="P207" i="1"/>
  <c r="Q207" i="1" s="1"/>
  <c r="O207" i="1"/>
  <c r="N207" i="1"/>
  <c r="B207" i="1"/>
  <c r="B207" i="1" a="1"/>
  <c r="AB206" i="1"/>
  <c r="P206" i="1"/>
  <c r="Q206" i="1" s="1"/>
  <c r="O206" i="1"/>
  <c r="B206" i="1"/>
  <c r="AB205" i="1"/>
  <c r="Y205" i="1"/>
  <c r="Q205" i="1"/>
  <c r="P205" i="1"/>
  <c r="O205" i="1"/>
  <c r="N205" i="1"/>
  <c r="B205" i="1"/>
  <c r="AB204" i="1"/>
  <c r="Q204" i="1"/>
  <c r="P204" i="1"/>
  <c r="N204" i="1" s="1"/>
  <c r="O204" i="1"/>
  <c r="AB203" i="1"/>
  <c r="P203" i="1"/>
  <c r="Q203" i="1" s="1"/>
  <c r="O203" i="1"/>
  <c r="N203" i="1"/>
  <c r="AB202" i="1"/>
  <c r="Q202" i="1"/>
  <c r="P202" i="1"/>
  <c r="O202" i="1"/>
  <c r="N202" i="1"/>
  <c r="AB201" i="1"/>
  <c r="P201" i="1"/>
  <c r="Q201" i="1" s="1"/>
  <c r="O201" i="1"/>
  <c r="B201" i="1" a="1"/>
  <c r="B201" i="1" s="1"/>
  <c r="AB200" i="1"/>
  <c r="P200" i="1"/>
  <c r="N200" i="1" s="1"/>
  <c r="O200" i="1"/>
  <c r="B200" i="1"/>
  <c r="AB199" i="1"/>
  <c r="Q199" i="1"/>
  <c r="P199" i="1"/>
  <c r="N199" i="1" s="1"/>
  <c r="O199" i="1"/>
  <c r="B199" i="1"/>
  <c r="AB198" i="1"/>
  <c r="Y198" i="1"/>
  <c r="P198" i="1"/>
  <c r="Q198" i="1" s="1"/>
  <c r="O198" i="1"/>
  <c r="B198" i="1"/>
  <c r="AB197" i="1"/>
  <c r="P197" i="1"/>
  <c r="N197" i="1" s="1"/>
  <c r="O197" i="1"/>
  <c r="AB196" i="1"/>
  <c r="Q196" i="1"/>
  <c r="P196" i="1"/>
  <c r="N196" i="1" s="1"/>
  <c r="O196" i="1"/>
  <c r="B196" i="1" a="1"/>
  <c r="B196" i="1" s="1"/>
  <c r="N195" i="1"/>
  <c r="B195" i="1"/>
  <c r="AB194" i="1"/>
  <c r="P194" i="1"/>
  <c r="N194" i="1" s="1"/>
  <c r="O194" i="1"/>
  <c r="AB193" i="1"/>
  <c r="Q193" i="1"/>
  <c r="P193" i="1"/>
  <c r="N193" i="1" s="1"/>
  <c r="O193" i="1"/>
  <c r="B193" i="1"/>
  <c r="AB192" i="1"/>
  <c r="P192" i="1"/>
  <c r="Q192" i="1" s="1"/>
  <c r="O192" i="1"/>
  <c r="N192" i="1"/>
  <c r="B192" i="1"/>
  <c r="AB191" i="1"/>
  <c r="P191" i="1"/>
  <c r="N191" i="1" s="1"/>
  <c r="O191" i="1"/>
  <c r="B191" i="1"/>
  <c r="AB190" i="1"/>
  <c r="P190" i="1"/>
  <c r="Q190" i="1" s="1"/>
  <c r="O190" i="1"/>
  <c r="B190" i="1"/>
  <c r="AB189" i="1"/>
  <c r="P189" i="1"/>
  <c r="N189" i="1" s="1"/>
  <c r="O189" i="1"/>
  <c r="B189" i="1"/>
  <c r="AB188" i="1"/>
  <c r="P188" i="1"/>
  <c r="Q188" i="1" s="1"/>
  <c r="O188" i="1"/>
  <c r="N188" i="1"/>
  <c r="B188" i="1"/>
  <c r="AB187" i="1"/>
  <c r="Q187" i="1"/>
  <c r="P187" i="1"/>
  <c r="N187" i="1" s="1"/>
  <c r="O187" i="1"/>
  <c r="B187" i="1"/>
  <c r="AB186" i="1"/>
  <c r="P186" i="1"/>
  <c r="N186" i="1" s="1"/>
  <c r="O186" i="1"/>
  <c r="B186" i="1"/>
  <c r="AB185" i="1"/>
  <c r="P185" i="1"/>
  <c r="Q185" i="1" s="1"/>
  <c r="O185" i="1"/>
  <c r="B185" i="1"/>
  <c r="AB184" i="1"/>
  <c r="P184" i="1"/>
  <c r="N184" i="1" s="1"/>
  <c r="O184" i="1"/>
  <c r="B184" i="1"/>
  <c r="AB183" i="1"/>
  <c r="P183" i="1"/>
  <c r="Q183" i="1" s="1"/>
  <c r="O183" i="1"/>
  <c r="B183" i="1"/>
  <c r="AB182" i="1"/>
  <c r="Q182" i="1"/>
  <c r="P182" i="1"/>
  <c r="N182" i="1" s="1"/>
  <c r="O182" i="1"/>
  <c r="B182" i="1"/>
  <c r="AB181" i="1"/>
  <c r="P181" i="1"/>
  <c r="Q181" i="1" s="1"/>
  <c r="O181" i="1"/>
  <c r="N181" i="1"/>
  <c r="B181" i="1"/>
  <c r="AB180" i="1"/>
  <c r="P180" i="1"/>
  <c r="N180" i="1" s="1"/>
  <c r="O180" i="1"/>
  <c r="AB179" i="1"/>
  <c r="P179" i="1"/>
  <c r="Q179" i="1" s="1"/>
  <c r="O179" i="1"/>
  <c r="B179" i="1"/>
  <c r="AB178" i="1"/>
  <c r="P178" i="1"/>
  <c r="Q178" i="1" s="1"/>
  <c r="O178" i="1"/>
  <c r="N178" i="1"/>
  <c r="B178" i="1"/>
  <c r="AB177" i="1"/>
  <c r="P177" i="1"/>
  <c r="Q177" i="1" s="1"/>
  <c r="O177" i="1"/>
  <c r="B177" i="1"/>
  <c r="AB176" i="1"/>
  <c r="P176" i="1"/>
  <c r="Q176" i="1" s="1"/>
  <c r="O176" i="1"/>
  <c r="B176" i="1" a="1"/>
  <c r="B176" i="1" s="1"/>
  <c r="AB175" i="1"/>
  <c r="P175" i="1"/>
  <c r="N175" i="1" s="1"/>
  <c r="O175" i="1"/>
  <c r="AB174" i="1"/>
  <c r="P174" i="1"/>
  <c r="Q174" i="1" s="1"/>
  <c r="O174" i="1"/>
  <c r="N174" i="1"/>
  <c r="B174" i="1"/>
  <c r="AB173" i="1"/>
  <c r="P173" i="1"/>
  <c r="N173" i="1" s="1"/>
  <c r="O173" i="1"/>
  <c r="B173" i="1"/>
  <c r="N172" i="1"/>
  <c r="B172" i="1"/>
  <c r="AB171" i="1"/>
  <c r="P171" i="1"/>
  <c r="Q171" i="1" s="1"/>
  <c r="O171" i="1"/>
  <c r="N171" i="1"/>
  <c r="B171" i="1"/>
  <c r="AB170" i="1"/>
  <c r="P170" i="1"/>
  <c r="N170" i="1" s="1"/>
  <c r="O170" i="1"/>
  <c r="B170" i="1"/>
  <c r="AB169" i="1"/>
  <c r="P169" i="1"/>
  <c r="Q169" i="1" s="1"/>
  <c r="O169" i="1"/>
  <c r="N169" i="1"/>
  <c r="B169" i="1"/>
  <c r="AB168" i="1"/>
  <c r="P168" i="1"/>
  <c r="Q168" i="1" s="1"/>
  <c r="O168" i="1"/>
  <c r="N168" i="1"/>
  <c r="B168" i="1"/>
  <c r="AB167" i="1"/>
  <c r="P167" i="1"/>
  <c r="Q167" i="1" s="1"/>
  <c r="O167" i="1"/>
  <c r="AB166" i="1"/>
  <c r="P166" i="1"/>
  <c r="Q166" i="1" s="1"/>
  <c r="O166" i="1"/>
  <c r="N166" i="1"/>
  <c r="B166" i="1"/>
  <c r="AB165" i="1"/>
  <c r="P165" i="1"/>
  <c r="N165" i="1" s="1"/>
  <c r="O165" i="1"/>
  <c r="B165" i="1"/>
  <c r="AB164" i="1"/>
  <c r="Q164" i="1"/>
  <c r="P164" i="1"/>
  <c r="O164" i="1"/>
  <c r="N164" i="1"/>
  <c r="B164" i="1"/>
  <c r="AB163" i="1"/>
  <c r="Q163" i="1"/>
  <c r="P163" i="1"/>
  <c r="O163" i="1"/>
  <c r="N163" i="1"/>
  <c r="AB162" i="1"/>
  <c r="P162" i="1"/>
  <c r="Q162" i="1" s="1"/>
  <c r="O162" i="1"/>
  <c r="B162" i="1"/>
  <c r="AB161" i="1"/>
  <c r="P161" i="1"/>
  <c r="Q161" i="1" s="1"/>
  <c r="O161" i="1"/>
  <c r="N161" i="1"/>
  <c r="B161" i="1"/>
  <c r="AB160" i="1"/>
  <c r="Q160" i="1"/>
  <c r="P160" i="1"/>
  <c r="N160" i="1" s="1"/>
  <c r="O160" i="1"/>
  <c r="B160" i="1"/>
  <c r="AB159" i="1"/>
  <c r="P159" i="1"/>
  <c r="Q159" i="1" s="1"/>
  <c r="O159" i="1"/>
  <c r="B159" i="1"/>
  <c r="P158" i="1"/>
  <c r="Q158" i="1" s="1"/>
  <c r="O158" i="1"/>
  <c r="P157" i="1"/>
  <c r="N157" i="1" s="1"/>
  <c r="O157" i="1"/>
  <c r="AB156" i="1"/>
  <c r="Y156" i="1"/>
  <c r="P156" i="1"/>
  <c r="Q156" i="1" s="1"/>
  <c r="O156" i="1"/>
  <c r="B156" i="1"/>
  <c r="AB155" i="1"/>
  <c r="Y155" i="1"/>
  <c r="P155" i="1"/>
  <c r="N155" i="1" s="1"/>
  <c r="O155" i="1"/>
  <c r="B155" i="1"/>
  <c r="AB154" i="1"/>
  <c r="Y154" i="1"/>
  <c r="P154" i="1"/>
  <c r="N154" i="1" s="1"/>
  <c r="O154" i="1"/>
  <c r="B154" i="1"/>
  <c r="AB153" i="1"/>
  <c r="Y153" i="1"/>
  <c r="Q153" i="1"/>
  <c r="P153" i="1"/>
  <c r="N153" i="1" s="1"/>
  <c r="O153" i="1"/>
  <c r="B153" i="1"/>
  <c r="AB152" i="1"/>
  <c r="Y152" i="1"/>
  <c r="P152" i="1"/>
  <c r="Q152" i="1" s="1"/>
  <c r="O152" i="1"/>
  <c r="N152" i="1"/>
  <c r="B152" i="1"/>
  <c r="AB151" i="1"/>
  <c r="Y151" i="1"/>
  <c r="P151" i="1"/>
  <c r="N151" i="1" s="1"/>
  <c r="O151" i="1"/>
  <c r="B151" i="1"/>
  <c r="AB150" i="1"/>
  <c r="Y150" i="1"/>
  <c r="P150" i="1"/>
  <c r="Q150" i="1" s="1"/>
  <c r="O150" i="1"/>
  <c r="N150" i="1"/>
  <c r="B150" i="1"/>
  <c r="AB149" i="1"/>
  <c r="Y149" i="1"/>
  <c r="Q149" i="1"/>
  <c r="P149" i="1"/>
  <c r="N149" i="1" s="1"/>
  <c r="O149" i="1"/>
  <c r="B149" i="1"/>
  <c r="AB148" i="1"/>
  <c r="Y148" i="1"/>
  <c r="Q148" i="1"/>
  <c r="P148" i="1"/>
  <c r="O148" i="1"/>
  <c r="N148" i="1"/>
  <c r="B148" i="1"/>
  <c r="AB147" i="1"/>
  <c r="P147" i="1"/>
  <c r="N147" i="1" s="1"/>
  <c r="O147" i="1"/>
  <c r="B147" i="1"/>
  <c r="AB146" i="1"/>
  <c r="P146" i="1"/>
  <c r="N146" i="1" s="1"/>
  <c r="O146" i="1"/>
  <c r="B146" i="1"/>
  <c r="AB145" i="1"/>
  <c r="P145" i="1"/>
  <c r="Q145" i="1" s="1"/>
  <c r="O145" i="1"/>
  <c r="N145" i="1"/>
  <c r="B145" i="1"/>
  <c r="AB144" i="1"/>
  <c r="Q144" i="1"/>
  <c r="P144" i="1"/>
  <c r="N144" i="1" s="1"/>
  <c r="O144" i="1"/>
  <c r="B144" i="1"/>
  <c r="AB143" i="1"/>
  <c r="P143" i="1"/>
  <c r="Q143" i="1" s="1"/>
  <c r="O143" i="1"/>
  <c r="B143" i="1" a="1"/>
  <c r="B143" i="1" s="1"/>
  <c r="AB142" i="1"/>
  <c r="P142" i="1"/>
  <c r="Q142" i="1" s="1"/>
  <c r="O142" i="1"/>
  <c r="B142" i="1"/>
  <c r="AB141" i="1"/>
  <c r="P141" i="1"/>
  <c r="Q141" i="1" s="1"/>
  <c r="O141" i="1"/>
  <c r="N141" i="1"/>
  <c r="B141" i="1"/>
  <c r="AB140" i="1"/>
  <c r="Q140" i="1"/>
  <c r="P140" i="1"/>
  <c r="N140" i="1" s="1"/>
  <c r="O140" i="1"/>
  <c r="B140" i="1"/>
  <c r="N139" i="1"/>
  <c r="B139" i="1"/>
  <c r="AB138" i="1"/>
  <c r="AA138" i="1"/>
  <c r="Y138" i="1"/>
  <c r="P138" i="1"/>
  <c r="Q138" i="1" s="1"/>
  <c r="O138" i="1"/>
  <c r="N138" i="1"/>
  <c r="B138" i="1"/>
  <c r="AB137" i="1"/>
  <c r="P137" i="1"/>
  <c r="Q137" i="1" s="1"/>
  <c r="O137" i="1"/>
  <c r="B137" i="1"/>
  <c r="AB136" i="1"/>
  <c r="P136" i="1"/>
  <c r="Q136" i="1" s="1"/>
  <c r="O136" i="1"/>
  <c r="N136" i="1"/>
  <c r="B136" i="1"/>
  <c r="AB135" i="1"/>
  <c r="P135" i="1"/>
  <c r="N135" i="1" s="1"/>
  <c r="O135" i="1"/>
  <c r="B135" i="1"/>
  <c r="AB134" i="1"/>
  <c r="P134" i="1"/>
  <c r="N134" i="1" s="1"/>
  <c r="O134" i="1"/>
  <c r="B134" i="1"/>
  <c r="AB133" i="1"/>
  <c r="P133" i="1"/>
  <c r="Q133" i="1" s="1"/>
  <c r="O133" i="1"/>
  <c r="N133" i="1"/>
  <c r="B133" i="1"/>
  <c r="AB132" i="1"/>
  <c r="Q132" i="1"/>
  <c r="P132" i="1"/>
  <c r="N132" i="1" s="1"/>
  <c r="O132" i="1"/>
  <c r="B132" i="1"/>
  <c r="AB131" i="1"/>
  <c r="P131" i="1"/>
  <c r="Q131" i="1" s="1"/>
  <c r="O131" i="1"/>
  <c r="B131" i="1"/>
  <c r="AB130" i="1"/>
  <c r="P130" i="1"/>
  <c r="N130" i="1" s="1"/>
  <c r="O130" i="1"/>
  <c r="B130" i="1"/>
  <c r="AB129" i="1"/>
  <c r="Y129" i="1"/>
  <c r="P129" i="1"/>
  <c r="Q129" i="1" s="1"/>
  <c r="O129" i="1"/>
  <c r="N129" i="1"/>
  <c r="B129" i="1"/>
  <c r="AB128" i="1"/>
  <c r="Y128" i="1"/>
  <c r="P128" i="1"/>
  <c r="N128" i="1" s="1"/>
  <c r="O128" i="1"/>
  <c r="B128" i="1"/>
  <c r="AB127" i="1"/>
  <c r="P127" i="1"/>
  <c r="Q127" i="1" s="1"/>
  <c r="O127" i="1"/>
  <c r="N127" i="1"/>
  <c r="AB126" i="1"/>
  <c r="P126" i="1"/>
  <c r="N126" i="1" s="1"/>
  <c r="O126" i="1"/>
  <c r="B126" i="1"/>
  <c r="AB125" i="1"/>
  <c r="P125" i="1"/>
  <c r="Q125" i="1" s="1"/>
  <c r="O125" i="1"/>
  <c r="N125" i="1"/>
  <c r="B125" i="1"/>
  <c r="AB124" i="1"/>
  <c r="P124" i="1"/>
  <c r="Q124" i="1" s="1"/>
  <c r="O124" i="1"/>
  <c r="N124" i="1"/>
  <c r="B124" i="1"/>
  <c r="AB123" i="1"/>
  <c r="P123" i="1"/>
  <c r="Q123" i="1" s="1"/>
  <c r="O123" i="1"/>
  <c r="B123" i="1"/>
  <c r="AB122" i="1"/>
  <c r="Y122" i="1"/>
  <c r="P122" i="1"/>
  <c r="Q122" i="1" s="1"/>
  <c r="O122" i="1"/>
  <c r="B122" i="1"/>
  <c r="AB121" i="1"/>
  <c r="P121" i="1"/>
  <c r="N121" i="1" s="1"/>
  <c r="O121" i="1"/>
  <c r="B121" i="1"/>
  <c r="AB120" i="1"/>
  <c r="Q120" i="1"/>
  <c r="P120" i="1"/>
  <c r="O120" i="1"/>
  <c r="N120" i="1"/>
  <c r="B120" i="1"/>
  <c r="AB119" i="1"/>
  <c r="P119" i="1"/>
  <c r="Q119" i="1" s="1"/>
  <c r="O119" i="1"/>
  <c r="B119" i="1"/>
  <c r="AB118" i="1"/>
  <c r="Q118" i="1"/>
  <c r="O118" i="1"/>
  <c r="N118" i="1"/>
  <c r="AB117" i="1"/>
  <c r="P117" i="1"/>
  <c r="Q117" i="1" s="1"/>
  <c r="O117" i="1"/>
  <c r="B117" i="1"/>
  <c r="AB116" i="1"/>
  <c r="P116" i="1"/>
  <c r="N116" i="1" s="1"/>
  <c r="O116" i="1"/>
  <c r="AB115" i="1"/>
  <c r="P115" i="1"/>
  <c r="Q115" i="1" s="1"/>
  <c r="O115" i="1"/>
  <c r="N115" i="1"/>
  <c r="B115" i="1"/>
  <c r="AB114" i="1"/>
  <c r="P114" i="1"/>
  <c r="N114" i="1" s="1"/>
  <c r="O114" i="1"/>
  <c r="B114" i="1"/>
  <c r="AB113" i="1"/>
  <c r="P113" i="1"/>
  <c r="Q113" i="1" s="1"/>
  <c r="O113" i="1"/>
  <c r="N113" i="1"/>
  <c r="B113" i="1"/>
  <c r="AB112" i="1"/>
  <c r="P112" i="1"/>
  <c r="Q112" i="1" s="1"/>
  <c r="O112" i="1"/>
  <c r="N112" i="1"/>
  <c r="B112" i="1"/>
  <c r="AB111" i="1"/>
  <c r="P111" i="1"/>
  <c r="Q111" i="1" s="1"/>
  <c r="O111" i="1"/>
  <c r="AB110" i="1"/>
  <c r="P110" i="1"/>
  <c r="Q110" i="1" s="1"/>
  <c r="O110" i="1"/>
  <c r="N110" i="1"/>
  <c r="AB109" i="1"/>
  <c r="Z109" i="1"/>
  <c r="P109" i="1"/>
  <c r="Q109" i="1" s="1"/>
  <c r="O109" i="1"/>
  <c r="AB108" i="1"/>
  <c r="P108" i="1"/>
  <c r="Q108" i="1" s="1"/>
  <c r="O108" i="1"/>
  <c r="Z107" i="1"/>
  <c r="AB107" i="1" s="1"/>
  <c r="P107" i="1"/>
  <c r="Q107" i="1" s="1"/>
  <c r="O107" i="1"/>
  <c r="N107" i="1"/>
  <c r="AB106" i="1"/>
  <c r="P106" i="1"/>
  <c r="N106" i="1" s="1"/>
  <c r="O106" i="1"/>
  <c r="AB105" i="1"/>
  <c r="P105" i="1"/>
  <c r="Q105" i="1" s="1"/>
  <c r="O105" i="1"/>
  <c r="N105" i="1"/>
  <c r="AB104" i="1"/>
  <c r="Q104" i="1"/>
  <c r="P104" i="1"/>
  <c r="O104" i="1"/>
  <c r="N104" i="1"/>
  <c r="Z103" i="1"/>
  <c r="Z259" i="1" s="1"/>
  <c r="P103" i="1"/>
  <c r="N103" i="1" s="1"/>
  <c r="O103" i="1"/>
  <c r="AB102" i="1"/>
  <c r="P102" i="1"/>
  <c r="Q102" i="1" s="1"/>
  <c r="O102" i="1"/>
  <c r="N102" i="1"/>
  <c r="AB101" i="1"/>
  <c r="P101" i="1"/>
  <c r="Q101" i="1" s="1"/>
  <c r="O101" i="1"/>
  <c r="AB100" i="1"/>
  <c r="P100" i="1"/>
  <c r="Q100" i="1" s="1"/>
  <c r="O100" i="1"/>
  <c r="N100" i="1"/>
  <c r="AB99" i="1"/>
  <c r="Q99" i="1"/>
  <c r="O99" i="1"/>
  <c r="N99" i="1"/>
  <c r="AB98" i="1"/>
  <c r="Q98" i="1"/>
  <c r="O98" i="1"/>
  <c r="N98" i="1"/>
  <c r="AB97" i="1"/>
  <c r="P97" i="1"/>
  <c r="N97" i="1" s="1"/>
  <c r="O97" i="1"/>
  <c r="AB96" i="1"/>
  <c r="P96" i="1"/>
  <c r="Q96" i="1" s="1"/>
  <c r="O96" i="1"/>
  <c r="N96" i="1"/>
  <c r="AB95" i="1"/>
  <c r="P95" i="1"/>
  <c r="Q95" i="1" s="1"/>
  <c r="O95" i="1"/>
  <c r="AB94" i="1"/>
  <c r="P94" i="1"/>
  <c r="Q94" i="1" s="1"/>
  <c r="O94" i="1"/>
  <c r="AB93" i="1"/>
  <c r="Q93" i="1"/>
  <c r="O93" i="1"/>
  <c r="N93" i="1"/>
  <c r="B93" i="1"/>
  <c r="AB92" i="1"/>
  <c r="Q92" i="1"/>
  <c r="P92" i="1"/>
  <c r="N92" i="1" s="1"/>
  <c r="O92" i="1"/>
  <c r="B92" i="1"/>
  <c r="AB91" i="1"/>
  <c r="P91" i="1"/>
  <c r="Q91" i="1" s="1"/>
  <c r="O91" i="1"/>
  <c r="B91" i="1"/>
  <c r="AB90" i="1"/>
  <c r="P90" i="1"/>
  <c r="N90" i="1" s="1"/>
  <c r="O90" i="1"/>
  <c r="B90" i="1" a="1"/>
  <c r="B90" i="1" s="1"/>
  <c r="AB89" i="1"/>
  <c r="Q89" i="1"/>
  <c r="P89" i="1"/>
  <c r="N89" i="1" s="1"/>
  <c r="O89" i="1"/>
  <c r="B89" i="1"/>
  <c r="AB88" i="1"/>
  <c r="Q88" i="1"/>
  <c r="P88" i="1"/>
  <c r="N88" i="1" s="1"/>
  <c r="O88" i="1"/>
  <c r="B88" i="1"/>
  <c r="AB87" i="1"/>
  <c r="P87" i="1"/>
  <c r="Q87" i="1" s="1"/>
  <c r="O87" i="1"/>
  <c r="B87" i="1" a="1"/>
  <c r="B87" i="1" s="1"/>
  <c r="AB86" i="1"/>
  <c r="P86" i="1"/>
  <c r="Q86" i="1" s="1"/>
  <c r="O86" i="1"/>
  <c r="B86" i="1" a="1"/>
  <c r="B86" i="1" s="1"/>
  <c r="AB85" i="1"/>
  <c r="P85" i="1"/>
  <c r="Q85" i="1" s="1"/>
  <c r="O85" i="1"/>
  <c r="B85" i="1"/>
  <c r="AB84" i="1"/>
  <c r="P84" i="1"/>
  <c r="Q84" i="1" s="1"/>
  <c r="O84" i="1"/>
  <c r="N84" i="1"/>
  <c r="B84" i="1"/>
  <c r="AB83" i="1"/>
  <c r="Y83" i="1"/>
  <c r="N83" i="1"/>
  <c r="B83" i="1"/>
  <c r="AB82" i="1"/>
  <c r="P82" i="1"/>
  <c r="Q82" i="1" s="1"/>
  <c r="O82" i="1"/>
  <c r="B82" i="1"/>
  <c r="AB81" i="1"/>
  <c r="P81" i="1"/>
  <c r="Q81" i="1" s="1"/>
  <c r="O81" i="1"/>
  <c r="N81" i="1"/>
  <c r="B81" i="1"/>
  <c r="AB80" i="1"/>
  <c r="N80" i="1"/>
  <c r="B80" i="1" a="1"/>
  <c r="B80" i="1" s="1"/>
  <c r="AB79" i="1"/>
  <c r="P79" i="1"/>
  <c r="Q79" i="1" s="1"/>
  <c r="O79" i="1"/>
  <c r="B79" i="1"/>
  <c r="AB78" i="1"/>
  <c r="P78" i="1"/>
  <c r="N78" i="1" s="1"/>
  <c r="O78" i="1"/>
  <c r="B78" i="1"/>
  <c r="AB77" i="1"/>
  <c r="P77" i="1"/>
  <c r="Q77" i="1" s="1"/>
  <c r="O77" i="1"/>
  <c r="B77" i="1"/>
  <c r="AB76" i="1"/>
  <c r="P76" i="1"/>
  <c r="Q76" i="1" s="1"/>
  <c r="O76" i="1"/>
  <c r="B76" i="1"/>
  <c r="AB75" i="1"/>
  <c r="P75" i="1"/>
  <c r="Q75" i="1" s="1"/>
  <c r="O75" i="1"/>
  <c r="B75" i="1"/>
  <c r="AB74" i="1"/>
  <c r="P74" i="1"/>
  <c r="Q74" i="1" s="1"/>
  <c r="O74" i="1"/>
  <c r="B74" i="1"/>
  <c r="AB73" i="1"/>
  <c r="Q73" i="1"/>
  <c r="N73" i="1"/>
  <c r="B73" i="1"/>
  <c r="AB72" i="1"/>
  <c r="P72" i="1"/>
  <c r="Q72" i="1" s="1"/>
  <c r="O72" i="1"/>
  <c r="N72" i="1"/>
  <c r="B72" i="1"/>
  <c r="AB71" i="1"/>
  <c r="P71" i="1"/>
  <c r="Q71" i="1" s="1"/>
  <c r="O71" i="1"/>
  <c r="N71" i="1"/>
  <c r="B71" i="1"/>
  <c r="AB70" i="1"/>
  <c r="P70" i="1"/>
  <c r="Q70" i="1" s="1"/>
  <c r="O70" i="1"/>
  <c r="B70" i="1"/>
  <c r="AB69" i="1"/>
  <c r="P69" i="1"/>
  <c r="Q69" i="1" s="1"/>
  <c r="O69" i="1"/>
  <c r="N69" i="1"/>
  <c r="B69" i="1"/>
  <c r="AB68" i="1"/>
  <c r="Q68" i="1"/>
  <c r="P68" i="1"/>
  <c r="O68" i="1"/>
  <c r="N68" i="1"/>
  <c r="B68" i="1"/>
  <c r="AB67" i="1"/>
  <c r="P67" i="1"/>
  <c r="Q67" i="1" s="1"/>
  <c r="O67" i="1"/>
  <c r="B67" i="1"/>
  <c r="AB66" i="1"/>
  <c r="P66" i="1"/>
  <c r="N66" i="1" s="1"/>
  <c r="O66" i="1"/>
  <c r="B66" i="1"/>
  <c r="AB65" i="1"/>
  <c r="Y65" i="1"/>
  <c r="P65" i="1"/>
  <c r="N65" i="1" s="1"/>
  <c r="O65" i="1"/>
  <c r="B65" i="1"/>
  <c r="AB64" i="1"/>
  <c r="P64" i="1"/>
  <c r="Q64" i="1" s="1"/>
  <c r="O64" i="1"/>
  <c r="N64" i="1"/>
  <c r="B64" i="1" a="1"/>
  <c r="B64" i="1" s="1"/>
  <c r="AB63" i="1"/>
  <c r="P63" i="1"/>
  <c r="Q63" i="1" s="1"/>
  <c r="O63" i="1"/>
  <c r="B63" i="1"/>
  <c r="AB62" i="1"/>
  <c r="Y62" i="1"/>
  <c r="Q62" i="1"/>
  <c r="P62" i="1"/>
  <c r="N62" i="1" s="1"/>
  <c r="O62" i="1"/>
  <c r="B62" i="1"/>
  <c r="AB61" i="1"/>
  <c r="Y61" i="1"/>
  <c r="Q61" i="1"/>
  <c r="O61" i="1"/>
  <c r="N61" i="1"/>
  <c r="B61" i="1" a="1"/>
  <c r="B61" i="1" s="1"/>
  <c r="AB60" i="1"/>
  <c r="Q60" i="1"/>
  <c r="N60" i="1"/>
  <c r="B60" i="1"/>
  <c r="AB59" i="1"/>
  <c r="Q59" i="1"/>
  <c r="P59" i="1"/>
  <c r="O59" i="1"/>
  <c r="N59" i="1"/>
  <c r="B59" i="1"/>
  <c r="AD58" i="1"/>
  <c r="AC58" i="1"/>
  <c r="AB58" i="1"/>
  <c r="Q58" i="1"/>
  <c r="O58" i="1"/>
  <c r="N58" i="1"/>
  <c r="B58" i="1"/>
  <c r="AB57" i="1"/>
  <c r="P57" i="1"/>
  <c r="N57" i="1" s="1"/>
  <c r="O57" i="1"/>
  <c r="AB56" i="1"/>
  <c r="P56" i="1"/>
  <c r="Q56" i="1" s="1"/>
  <c r="O56" i="1"/>
  <c r="N56" i="1"/>
  <c r="B56" i="1" a="1"/>
  <c r="B56" i="1" s="1"/>
  <c r="AB55" i="1"/>
  <c r="Y55" i="1"/>
  <c r="P55" i="1"/>
  <c r="N55" i="1" s="1"/>
  <c r="O55" i="1"/>
  <c r="B55" i="1"/>
  <c r="AB54" i="1"/>
  <c r="R54" i="1"/>
  <c r="R259" i="1" s="1"/>
  <c r="Q54" i="1"/>
  <c r="N54" i="1"/>
  <c r="AB53" i="1"/>
  <c r="P53" i="1"/>
  <c r="Q53" i="1" s="1"/>
  <c r="O53" i="1"/>
  <c r="B53" i="1"/>
  <c r="AB52" i="1"/>
  <c r="Y52" i="1"/>
  <c r="P52" i="1"/>
  <c r="Q52" i="1" s="1"/>
  <c r="O52" i="1"/>
  <c r="B52" i="1"/>
  <c r="AB51" i="1"/>
  <c r="P51" i="1"/>
  <c r="Q51" i="1" s="1"/>
  <c r="O51" i="1"/>
  <c r="B51" i="1"/>
  <c r="AB50" i="1"/>
  <c r="P50" i="1"/>
  <c r="Q50" i="1" s="1"/>
  <c r="O50" i="1"/>
  <c r="N50" i="1"/>
  <c r="B50" i="1" a="1"/>
  <c r="B50" i="1" s="1"/>
  <c r="AB49" i="1"/>
  <c r="P49" i="1"/>
  <c r="Q49" i="1" s="1"/>
  <c r="O49" i="1"/>
  <c r="N49" i="1"/>
  <c r="B49" i="1"/>
  <c r="AB48" i="1"/>
  <c r="P48" i="1"/>
  <c r="N48" i="1" s="1"/>
  <c r="O48" i="1"/>
  <c r="B48" i="1"/>
  <c r="AB47" i="1"/>
  <c r="Y47" i="1"/>
  <c r="P47" i="1"/>
  <c r="Q47" i="1" s="1"/>
  <c r="O47" i="1"/>
  <c r="N47" i="1"/>
  <c r="B47" i="1"/>
  <c r="AB46" i="1"/>
  <c r="P46" i="1"/>
  <c r="N46" i="1" s="1"/>
  <c r="O46" i="1"/>
  <c r="B46" i="1"/>
  <c r="AB45" i="1"/>
  <c r="P45" i="1"/>
  <c r="Q45" i="1" s="1"/>
  <c r="O45" i="1"/>
  <c r="N45" i="1"/>
  <c r="AB44" i="1"/>
  <c r="P44" i="1"/>
  <c r="Q44" i="1" s="1"/>
  <c r="O44" i="1"/>
  <c r="B44" i="1"/>
  <c r="AB43" i="1"/>
  <c r="P43" i="1"/>
  <c r="Q43" i="1" s="1"/>
  <c r="O43" i="1"/>
  <c r="N43" i="1"/>
  <c r="B43" i="1"/>
  <c r="AB42" i="1"/>
  <c r="P42" i="1"/>
  <c r="Q42" i="1" s="1"/>
  <c r="O42" i="1"/>
  <c r="N42" i="1"/>
  <c r="B42" i="1"/>
  <c r="AB41" i="1"/>
  <c r="N41" i="1"/>
  <c r="B41" i="1"/>
  <c r="AB40" i="1"/>
  <c r="P40" i="1"/>
  <c r="Q40" i="1" s="1"/>
  <c r="O40" i="1"/>
  <c r="B40" i="1"/>
  <c r="AB39" i="1"/>
  <c r="P39" i="1"/>
  <c r="Q39" i="1" s="1"/>
  <c r="O39" i="1"/>
  <c r="B39" i="1"/>
  <c r="AB38" i="1"/>
  <c r="Y38" i="1"/>
  <c r="P38" i="1"/>
  <c r="Q38" i="1" s="1"/>
  <c r="O38" i="1"/>
  <c r="N38" i="1"/>
  <c r="B38" i="1"/>
  <c r="AB37" i="1"/>
  <c r="P37" i="1"/>
  <c r="Q37" i="1" s="1"/>
  <c r="O37" i="1"/>
  <c r="N37" i="1"/>
  <c r="B37" i="1"/>
  <c r="AB36" i="1"/>
  <c r="P36" i="1"/>
  <c r="N36" i="1" s="1"/>
  <c r="O36" i="1"/>
  <c r="B36" i="1"/>
  <c r="AB35" i="1"/>
  <c r="P35" i="1"/>
  <c r="Q35" i="1" s="1"/>
  <c r="O35" i="1"/>
  <c r="N35" i="1"/>
  <c r="B35" i="1"/>
  <c r="AB34" i="1"/>
  <c r="P34" i="1"/>
  <c r="Q34" i="1" s="1"/>
  <c r="O34" i="1"/>
  <c r="B34" i="1"/>
  <c r="AB33" i="1"/>
  <c r="P33" i="1"/>
  <c r="Q33" i="1" s="1"/>
  <c r="O33" i="1"/>
  <c r="B33" i="1"/>
  <c r="AB32" i="1"/>
  <c r="P32" i="1"/>
  <c r="Q32" i="1" s="1"/>
  <c r="O32" i="1"/>
  <c r="B32" i="1"/>
  <c r="AB31" i="1"/>
  <c r="P31" i="1"/>
  <c r="Q31" i="1" s="1"/>
  <c r="O31" i="1"/>
  <c r="B31" i="1" a="1"/>
  <c r="B31" i="1" s="1"/>
  <c r="AB30" i="1"/>
  <c r="P30" i="1"/>
  <c r="Q30" i="1" s="1"/>
  <c r="O30" i="1"/>
  <c r="N30" i="1"/>
  <c r="AB29" i="1"/>
  <c r="P29" i="1"/>
  <c r="N29" i="1" s="1"/>
  <c r="O29" i="1"/>
  <c r="B29" i="1"/>
  <c r="AB28" i="1"/>
  <c r="P28" i="1"/>
  <c r="Q28" i="1" s="1"/>
  <c r="O28" i="1"/>
  <c r="B28" i="1"/>
  <c r="AB27" i="1"/>
  <c r="P27" i="1"/>
  <c r="Q27" i="1" s="1"/>
  <c r="O27" i="1"/>
  <c r="N27" i="1"/>
  <c r="AB26" i="1"/>
  <c r="P26" i="1"/>
  <c r="Q26" i="1" s="1"/>
  <c r="O26" i="1"/>
  <c r="N25" i="1"/>
  <c r="AB24" i="1"/>
  <c r="P24" i="1"/>
  <c r="Q24" i="1" s="1"/>
  <c r="O24" i="1"/>
  <c r="AB23" i="1"/>
  <c r="N23" i="1"/>
  <c r="AB22" i="1"/>
  <c r="N22" i="1"/>
  <c r="AB21" i="1"/>
  <c r="P21" i="1"/>
  <c r="Q21" i="1" s="1"/>
  <c r="O21" i="1"/>
  <c r="AB20" i="1"/>
  <c r="P20" i="1"/>
  <c r="Q20" i="1" s="1"/>
  <c r="O20" i="1"/>
  <c r="AB19" i="1"/>
  <c r="N19" i="1"/>
  <c r="AB18" i="1"/>
  <c r="P18" i="1"/>
  <c r="Q18" i="1" s="1"/>
  <c r="O18" i="1"/>
  <c r="N18" i="1"/>
  <c r="AB17" i="1"/>
  <c r="Q17" i="1"/>
  <c r="O17" i="1"/>
  <c r="N17" i="1"/>
  <c r="AB16" i="1"/>
  <c r="P16" i="1"/>
  <c r="Q16" i="1" s="1"/>
  <c r="O16" i="1"/>
  <c r="AB15" i="1"/>
  <c r="Y15" i="1"/>
  <c r="P15" i="1"/>
  <c r="Q15" i="1" s="1"/>
  <c r="O15" i="1"/>
  <c r="AB14" i="1"/>
  <c r="Y14" i="1"/>
  <c r="Q14" i="1"/>
  <c r="O14" i="1"/>
  <c r="N14" i="1"/>
  <c r="N13" i="1"/>
  <c r="AB12" i="1"/>
  <c r="P12" i="1"/>
  <c r="N12" i="1" s="1"/>
  <c r="O12" i="1"/>
  <c r="N11" i="1"/>
  <c r="AB10" i="1"/>
  <c r="P10" i="1"/>
  <c r="Q10" i="1" s="1"/>
  <c r="O10" i="1"/>
  <c r="N10" i="1"/>
  <c r="AB9" i="1"/>
  <c r="Y9" i="1"/>
  <c r="P9" i="1"/>
  <c r="Q9" i="1" s="1"/>
  <c r="O9" i="1"/>
  <c r="N9" i="1"/>
  <c r="B9" i="1" a="1"/>
  <c r="B9" i="1" s="1"/>
  <c r="AB8" i="1"/>
  <c r="P8" i="1"/>
  <c r="Q8" i="1" s="1"/>
  <c r="O8" i="1"/>
  <c r="N7" i="1"/>
  <c r="AB6" i="1"/>
  <c r="P6" i="1"/>
  <c r="Q6" i="1" s="1"/>
  <c r="O6" i="1"/>
  <c r="N6" i="1"/>
  <c r="B6" i="1"/>
  <c r="AB5" i="1"/>
  <c r="P5" i="1"/>
  <c r="Q5" i="1" s="1"/>
  <c r="O5" i="1"/>
  <c r="B5" i="1"/>
  <c r="AB4" i="1"/>
  <c r="P4" i="1"/>
  <c r="Q4" i="1" s="1"/>
  <c r="O4" i="1"/>
  <c r="B4" i="1"/>
  <c r="AB3" i="1"/>
  <c r="P3" i="1"/>
  <c r="O3" i="1"/>
  <c r="N3" i="1"/>
  <c r="B3" i="1"/>
  <c r="AB2" i="1"/>
  <c r="P2" i="1"/>
  <c r="Q2" i="1" s="1"/>
  <c r="O2" i="1"/>
  <c r="B2" i="1"/>
  <c r="Q128" i="1" l="1"/>
  <c r="P259" i="1"/>
  <c r="Y259" i="1"/>
  <c r="AB103" i="1"/>
  <c r="Q116" i="1"/>
  <c r="Q175" i="1"/>
  <c r="Q189" i="1"/>
  <c r="Q3" i="1"/>
  <c r="N4" i="1"/>
  <c r="N8" i="1"/>
  <c r="N24" i="1"/>
  <c r="N28" i="1"/>
  <c r="N34" i="1"/>
  <c r="N51" i="1"/>
  <c r="N82" i="1"/>
  <c r="N91" i="1"/>
  <c r="N94" i="1"/>
  <c r="N108" i="1"/>
  <c r="N158" i="1"/>
  <c r="N185" i="1"/>
  <c r="N31" i="1"/>
  <c r="N76" i="1"/>
  <c r="Q134" i="1"/>
  <c r="Q146" i="1"/>
  <c r="Q155" i="1"/>
  <c r="Q227" i="1"/>
  <c r="Q253" i="1"/>
  <c r="N230" i="1"/>
  <c r="Q238" i="1"/>
  <c r="Q245" i="1"/>
  <c r="Q151" i="1"/>
  <c r="Q197" i="1"/>
  <c r="Q130" i="1"/>
  <c r="Q154" i="1"/>
  <c r="Q165" i="1"/>
  <c r="Q231" i="1"/>
  <c r="Q234" i="1"/>
  <c r="N2" i="1"/>
  <c r="N16" i="1"/>
  <c r="N20" i="1"/>
  <c r="Q251" i="1"/>
  <c r="Q121" i="1"/>
  <c r="N156" i="1"/>
  <c r="N159" i="1"/>
  <c r="Q180" i="1"/>
  <c r="Q191" i="1"/>
  <c r="Q200" i="1"/>
  <c r="Q241" i="1"/>
  <c r="N63" i="1"/>
  <c r="Q65" i="1"/>
  <c r="N74" i="1"/>
  <c r="N77" i="1"/>
  <c r="Q147" i="1"/>
  <c r="Q194" i="1"/>
  <c r="N198" i="1"/>
  <c r="N226" i="1"/>
  <c r="Q252" i="1"/>
  <c r="Q184" i="1"/>
  <c r="Q215" i="1"/>
  <c r="Q237" i="1"/>
  <c r="Q103" i="1"/>
  <c r="Q106" i="1"/>
  <c r="Q186" i="1"/>
  <c r="N221" i="1"/>
  <c r="Q229" i="1"/>
  <c r="N39" i="1"/>
  <c r="Q97" i="1"/>
  <c r="N111" i="1"/>
  <c r="N123" i="1"/>
  <c r="Q157" i="1"/>
  <c r="N176" i="1"/>
  <c r="N179" i="1"/>
  <c r="N223" i="1"/>
  <c r="N32" i="1"/>
  <c r="N44" i="1"/>
  <c r="Q46" i="1"/>
  <c r="N53" i="1"/>
  <c r="Q55" i="1"/>
  <c r="Q66" i="1"/>
  <c r="Q78" i="1"/>
  <c r="N86" i="1"/>
  <c r="Q90" i="1"/>
  <c r="Q114" i="1"/>
  <c r="N117" i="1"/>
  <c r="N122" i="1"/>
  <c r="Q126" i="1"/>
  <c r="N131" i="1"/>
  <c r="N143" i="1"/>
  <c r="Q170" i="1"/>
  <c r="Q173" i="1"/>
  <c r="N183" i="1"/>
  <c r="N190" i="1"/>
  <c r="Q248" i="1"/>
  <c r="N67" i="1"/>
  <c r="N79" i="1"/>
  <c r="N256" i="1"/>
  <c r="N224" i="1"/>
  <c r="N247" i="1"/>
  <c r="N21" i="1"/>
  <c r="N33" i="1"/>
  <c r="O54" i="1"/>
  <c r="O259" i="1" s="1"/>
  <c r="N5" i="1"/>
  <c r="N15" i="1"/>
  <c r="N26" i="1"/>
  <c r="N40" i="1"/>
  <c r="N52" i="1"/>
  <c r="N70" i="1"/>
  <c r="N75" i="1"/>
  <c r="N85" i="1"/>
  <c r="N137" i="1"/>
  <c r="N142" i="1"/>
  <c r="N162" i="1"/>
  <c r="N167" i="1"/>
  <c r="N177" i="1"/>
  <c r="N201" i="1"/>
  <c r="N206" i="1"/>
  <c r="N211" i="1"/>
  <c r="N213" i="1"/>
  <c r="N222" i="1"/>
  <c r="N220" i="1"/>
  <c r="N95" i="1"/>
  <c r="N101" i="1"/>
  <c r="N109" i="1"/>
  <c r="N119" i="1"/>
  <c r="Q12" i="1"/>
  <c r="Q29" i="1"/>
  <c r="Q36" i="1"/>
  <c r="Q48" i="1"/>
  <c r="Q57" i="1"/>
  <c r="N259" i="1" l="1"/>
  <c r="Q25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<sst xmlns="http://schemas.openxmlformats.org/spreadsheetml/2006/main" count="1876" uniqueCount="924">
  <si>
    <t>Facturatie</t>
  </si>
  <si>
    <t>Adres</t>
  </si>
  <si>
    <t>Postcode</t>
  </si>
  <si>
    <t>Plaats</t>
  </si>
  <si>
    <t>Aant. pers.</t>
  </si>
  <si>
    <t>Aant. SK</t>
  </si>
  <si>
    <t>Startdatum</t>
  </si>
  <si>
    <t>Einddatum Min. Per.</t>
  </si>
  <si>
    <t>Opgezegd</t>
  </si>
  <si>
    <t>Huurder</t>
  </si>
  <si>
    <t>Mutatie Daan</t>
  </si>
  <si>
    <t>Marge</t>
  </si>
  <si>
    <t>Verhuur INCL. BTW</t>
  </si>
  <si>
    <t>Verhuur EXCL. BTW</t>
  </si>
  <si>
    <t>Verhuur PPPW</t>
  </si>
  <si>
    <t>Kale verhuurprijs</t>
  </si>
  <si>
    <t>Voorschot GWE</t>
  </si>
  <si>
    <t>Overige kosten</t>
  </si>
  <si>
    <t xml:space="preserve">Afval </t>
  </si>
  <si>
    <t>Eigenaar</t>
  </si>
  <si>
    <t>Telefoonnummer</t>
  </si>
  <si>
    <t>Inhuur INCL BTW</t>
  </si>
  <si>
    <t>Inhuur EXCL BTW</t>
  </si>
  <si>
    <t>Kale inhuurprijs</t>
  </si>
  <si>
    <t>Inhuur PPPW</t>
  </si>
  <si>
    <t>Factuur</t>
  </si>
  <si>
    <t>1e Middellandstraat 104A</t>
  </si>
  <si>
    <t>3021BH</t>
  </si>
  <si>
    <t>Rotterdam</t>
  </si>
  <si>
    <t>Bakker</t>
  </si>
  <si>
    <t>Orange Invesments Group</t>
  </si>
  <si>
    <t>0174-504792</t>
  </si>
  <si>
    <t>2e van Leydengaelstraat 6</t>
  </si>
  <si>
    <t>3134 LL</t>
  </si>
  <si>
    <t>Vlaardingen</t>
  </si>
  <si>
    <t>Tradiro</t>
  </si>
  <si>
    <t>Verknocht</t>
  </si>
  <si>
    <t>Acacia 2</t>
  </si>
  <si>
    <t>3224EB</t>
  </si>
  <si>
    <t>Hellevoetsluis</t>
  </si>
  <si>
    <t>United Homes</t>
  </si>
  <si>
    <t>MvB Services BV (Meindert van Buuren)</t>
  </si>
  <si>
    <t>06-23234296</t>
  </si>
  <si>
    <t>Achterdijk 47a</t>
  </si>
  <si>
    <t>4243 TM</t>
  </si>
  <si>
    <t>Nieuwland</t>
  </si>
  <si>
    <t>Dock Holland</t>
  </si>
  <si>
    <t xml:space="preserve"> </t>
  </si>
  <si>
    <t>Vivir wonen (Mendy)</t>
  </si>
  <si>
    <t>06-12333496</t>
  </si>
  <si>
    <t>DS</t>
  </si>
  <si>
    <t>Adriaan Baasstraat 34</t>
  </si>
  <si>
    <t>7902HN</t>
  </si>
  <si>
    <t>Hoogeveen</t>
  </si>
  <si>
    <t>InAxtion Vastgoed B.V.</t>
  </si>
  <si>
    <t>Eva Laus</t>
  </si>
  <si>
    <t>06-12707279</t>
  </si>
  <si>
    <t>0341</t>
  </si>
  <si>
    <t xml:space="preserve">Akkerweg 41 [huis 10] </t>
  </si>
  <si>
    <t>1779GJ</t>
  </si>
  <si>
    <t>Den Oever</t>
  </si>
  <si>
    <t>NL Realty</t>
  </si>
  <si>
    <t>Terug naar eigenaar 01-12</t>
  </si>
  <si>
    <t>Cris</t>
  </si>
  <si>
    <t>06-4537722</t>
  </si>
  <si>
    <t>0372</t>
  </si>
  <si>
    <t xml:space="preserve">Akkerweg 41 [huis 11] </t>
  </si>
  <si>
    <t>MNA Proud Facilities B.V.</t>
  </si>
  <si>
    <t>Akkerweg 41 [huis 14]</t>
  </si>
  <si>
    <t>Buurman Vastgoed B.V.</t>
  </si>
  <si>
    <t>0294</t>
  </si>
  <si>
    <t xml:space="preserve">Akkerweg 41 [huis 15] </t>
  </si>
  <si>
    <t>C. van Driel e/o B.M. Verdouw</t>
  </si>
  <si>
    <t>06 53141599</t>
  </si>
  <si>
    <t>0342</t>
  </si>
  <si>
    <t>Akkerweg 41 [huis 16]</t>
  </si>
  <si>
    <t>0373</t>
  </si>
  <si>
    <t>Akkerweg 41 [huis 17]</t>
  </si>
  <si>
    <t>0343</t>
  </si>
  <si>
    <t xml:space="preserve">Akkerweg 41 [huis 19] </t>
  </si>
  <si>
    <t>0383</t>
  </si>
  <si>
    <t xml:space="preserve">Akkerweg 41 [huis 20] </t>
  </si>
  <si>
    <t>0297</t>
  </si>
  <si>
    <t xml:space="preserve">Akkerweg 41 [huis 26] </t>
  </si>
  <si>
    <t>RoyalDS</t>
  </si>
  <si>
    <t>0350</t>
  </si>
  <si>
    <t xml:space="preserve">Akkerweg 41 [huis 35] </t>
  </si>
  <si>
    <t>0356</t>
  </si>
  <si>
    <t>Akkerweg 41 [huis 36]</t>
  </si>
  <si>
    <t>0299</t>
  </si>
  <si>
    <t xml:space="preserve">Akkerweg 41 [huis 37] </t>
  </si>
  <si>
    <t xml:space="preserve">Den Oever </t>
  </si>
  <si>
    <t>0300</t>
  </si>
  <si>
    <t xml:space="preserve">Akkerweg 41 [huis 40] </t>
  </si>
  <si>
    <t>Eemsdelta</t>
  </si>
  <si>
    <t>Gaat eruit 30-11</t>
  </si>
  <si>
    <t>0301</t>
  </si>
  <si>
    <t xml:space="preserve">Akkerweg 41 [huis 41] </t>
  </si>
  <si>
    <t>0302</t>
  </si>
  <si>
    <t>Akkerweg 41 [huis 42]</t>
  </si>
  <si>
    <t>0303</t>
  </si>
  <si>
    <t xml:space="preserve">Akkerweg 41 [huis 55] </t>
  </si>
  <si>
    <t>Gaat eruit 01-12</t>
  </si>
  <si>
    <t>0304</t>
  </si>
  <si>
    <t>Akkerweg 41 [huis 56]</t>
  </si>
  <si>
    <t>0305</t>
  </si>
  <si>
    <t>Akkerweg 41 [huis 57]</t>
  </si>
  <si>
    <t>0384</t>
  </si>
  <si>
    <t>Akkerweg 41 [huis 58]</t>
  </si>
  <si>
    <t>Terug naar eigenaar 30-11</t>
  </si>
  <si>
    <t>0327</t>
  </si>
  <si>
    <t>Akkerweg 41 [huis 74]</t>
  </si>
  <si>
    <t>FISSH B.V.</t>
  </si>
  <si>
    <t>0307</t>
  </si>
  <si>
    <t>Akkerweg 41 [huis 75]</t>
  </si>
  <si>
    <t>Allard Piersonlaan 142</t>
  </si>
  <si>
    <t>2522 MT</t>
  </si>
  <si>
    <t>Den Haag</t>
  </si>
  <si>
    <t>Looije</t>
  </si>
  <si>
    <t>Amperelaan 23</t>
  </si>
  <si>
    <t>8451BW</t>
  </si>
  <si>
    <t>Oudeschoot</t>
  </si>
  <si>
    <t>Vivir Wonen</t>
  </si>
  <si>
    <t>H. Samson</t>
  </si>
  <si>
    <t>06-22487252</t>
  </si>
  <si>
    <t>0135</t>
  </si>
  <si>
    <t>Amperestraat 36A</t>
  </si>
  <si>
    <t>3112MD</t>
  </si>
  <si>
    <t>Schiedam</t>
  </si>
  <si>
    <t>Parkwonen</t>
  </si>
  <si>
    <t>Archimedesstraat 6B</t>
  </si>
  <si>
    <t>3112DB</t>
  </si>
  <si>
    <t>OBT</t>
  </si>
  <si>
    <t>Houses2Rent</t>
  </si>
  <si>
    <t>06-20877085</t>
  </si>
  <si>
    <t>Baanhoek 139</t>
  </si>
  <si>
    <t>3361 GC</t>
  </si>
  <si>
    <t>Sliedrecht</t>
  </si>
  <si>
    <t>HousingWell</t>
  </si>
  <si>
    <t>R. Verspui</t>
  </si>
  <si>
    <t>06-22268830</t>
  </si>
  <si>
    <t>Baarlelaan 27</t>
  </si>
  <si>
    <t>7906GB</t>
  </si>
  <si>
    <t>Baarsveen 197</t>
  </si>
  <si>
    <t>3205 BB</t>
  </si>
  <si>
    <t>Spijkenisse</t>
  </si>
  <si>
    <t>BBTS (Vastgoed Spijkenisse)</t>
  </si>
  <si>
    <t>Beking</t>
  </si>
  <si>
    <t>06-53714776</t>
  </si>
  <si>
    <t>Beatrixstraat 3</t>
  </si>
  <si>
    <t>3181GA</t>
  </si>
  <si>
    <t>Rozenburg</t>
  </si>
  <si>
    <t>Impes Service</t>
  </si>
  <si>
    <t>Nieuw per 10-10-25</t>
  </si>
  <si>
    <t>Crul</t>
  </si>
  <si>
    <t>0045-28180001</t>
  </si>
  <si>
    <t>5--5-2024</t>
  </si>
  <si>
    <t>Beeklaan 294</t>
  </si>
  <si>
    <t>2562AV</t>
  </si>
  <si>
    <t xml:space="preserve">Den Haag </t>
  </si>
  <si>
    <t>Duijndam Personeeldiensten</t>
  </si>
  <si>
    <t>HomeScout (Rene van der Kruijf)</t>
  </si>
  <si>
    <t>Bettingeslag 10</t>
  </si>
  <si>
    <t>7824HD</t>
  </si>
  <si>
    <t>Emmen</t>
  </si>
  <si>
    <t>CB Construction</t>
  </si>
  <si>
    <t>J.P. Stoel</t>
  </si>
  <si>
    <t>06-40896047</t>
  </si>
  <si>
    <t>Beukenlaan 53</t>
  </si>
  <si>
    <t>3181XA</t>
  </si>
  <si>
    <t>Professional Manpower Management</t>
  </si>
  <si>
    <t>TwinsBV</t>
  </si>
  <si>
    <t>Bisschopstraat 68</t>
  </si>
  <si>
    <t>8325BD</t>
  </si>
  <si>
    <t>Vollenhove</t>
  </si>
  <si>
    <t>Werckpost</t>
  </si>
  <si>
    <t>T. Hoolhorst</t>
  </si>
  <si>
    <t>06-10656043</t>
  </si>
  <si>
    <t>Bliek 41</t>
  </si>
  <si>
    <t>3225XB</t>
  </si>
  <si>
    <t xml:space="preserve">Amdor Projecten </t>
  </si>
  <si>
    <t>A.P.W. Koedooder</t>
  </si>
  <si>
    <t>06-34970003</t>
  </si>
  <si>
    <t>Bornerbroeksestraat 129A</t>
  </si>
  <si>
    <t>7601BE</t>
  </si>
  <si>
    <t>Almelo</t>
  </si>
  <si>
    <t>Eruit 30-09</t>
  </si>
  <si>
    <t>J.L. Meerding</t>
  </si>
  <si>
    <t>06-41557847</t>
  </si>
  <si>
    <t>Broekweg 25</t>
  </si>
  <si>
    <t>3131 HC</t>
  </si>
  <si>
    <t>Buizerdstraat 210</t>
  </si>
  <si>
    <t>3145 AD</t>
  </si>
  <si>
    <t>Maassluis</t>
  </si>
  <si>
    <t>W. van Straalen</t>
  </si>
  <si>
    <t>Burchstraat 16A</t>
  </si>
  <si>
    <t>4501 BJ</t>
  </si>
  <si>
    <t>Oostburg</t>
  </si>
  <si>
    <t>A.H.S. Willemsen</t>
  </si>
  <si>
    <t>06-20061294</t>
  </si>
  <si>
    <t>0131</t>
  </si>
  <si>
    <t>Chopinstraat 35A</t>
  </si>
  <si>
    <t>3131 BD</t>
  </si>
  <si>
    <t>Chopinstraat 39C</t>
  </si>
  <si>
    <t>3131 DB</t>
  </si>
  <si>
    <t>Cloosterstraat 23a</t>
  </si>
  <si>
    <t>4587CA</t>
  </si>
  <si>
    <t>Kloosterzande</t>
  </si>
  <si>
    <t>4 Homes</t>
  </si>
  <si>
    <t>0167-745023</t>
  </si>
  <si>
    <t>Coehoorn van Scheltingaweg 12</t>
  </si>
  <si>
    <t>8442EX</t>
  </si>
  <si>
    <t>Heerenveen</t>
  </si>
  <si>
    <t>Sill Marinus Dijkstra Vastgoedbeheer)</t>
  </si>
  <si>
    <t>0512-541400</t>
  </si>
  <si>
    <t>Coehoorn van Scheltingaweg 66</t>
  </si>
  <si>
    <t>8442GA</t>
  </si>
  <si>
    <t>Cubalaan 25</t>
  </si>
  <si>
    <t>2685 LA</t>
  </si>
  <si>
    <t>Poeldijk</t>
  </si>
  <si>
    <t>Z. Yilmaz</t>
  </si>
  <si>
    <t>06-19418327</t>
  </si>
  <si>
    <t xml:space="preserve">Curcumastraat 39 </t>
  </si>
  <si>
    <t>3193XA</t>
  </si>
  <si>
    <t>Hoogvliet</t>
  </si>
  <si>
    <t>OJP</t>
  </si>
  <si>
    <t>Ruva Vastgoed B.V.</t>
  </si>
  <si>
    <t>06-53168285</t>
  </si>
  <si>
    <t>Datheenstraat 255</t>
  </si>
  <si>
    <t>3132PG</t>
  </si>
  <si>
    <t>GAP Costruzioni</t>
  </si>
  <si>
    <t>De Hooidollen 606</t>
  </si>
  <si>
    <t>8918JZ</t>
  </si>
  <si>
    <t>Leeuwarden</t>
  </si>
  <si>
    <t>Interwell Oost B.V.</t>
  </si>
  <si>
    <t>L. Schilstra / Eigenaar.nl</t>
  </si>
  <si>
    <t>085-1306475 / 06-16913859</t>
  </si>
  <si>
    <t>0371</t>
  </si>
  <si>
    <t>De Zwingel 8B</t>
  </si>
  <si>
    <t>4926DC</t>
  </si>
  <si>
    <t>Lage Zwaluwe</t>
  </si>
  <si>
    <t>nog invullen</t>
  </si>
  <si>
    <t>Martens JG / Van Tetering CFP</t>
  </si>
  <si>
    <t>06-23368727 / 06-11270302</t>
  </si>
  <si>
    <t>Deensestraat 6A2</t>
  </si>
  <si>
    <t>3028GH</t>
  </si>
  <si>
    <t>Desiree Geerartstraat 1B</t>
  </si>
  <si>
    <t>5111CH</t>
  </si>
  <si>
    <t>Baarle-Nassau</t>
  </si>
  <si>
    <t>S. Kleiren</t>
  </si>
  <si>
    <t>06-30085250</t>
  </si>
  <si>
    <t>0024</t>
  </si>
  <si>
    <t>Desiree Geerartstraat 1C</t>
  </si>
  <si>
    <t>Deugenweerd 18</t>
  </si>
  <si>
    <t>7271XT</t>
  </si>
  <si>
    <t>Borculo</t>
  </si>
  <si>
    <t>Employ</t>
  </si>
  <si>
    <t>Roestenberg</t>
  </si>
  <si>
    <t>06-19914413</t>
  </si>
  <si>
    <t>Dieptol 63</t>
  </si>
  <si>
    <t>8332BK</t>
  </si>
  <si>
    <t xml:space="preserve">Steenwijk </t>
  </si>
  <si>
    <t>Kapitan workers</t>
  </si>
  <si>
    <t>Nieuw per 04-10-2025</t>
  </si>
  <si>
    <t>P. Ter Haar - Ros</t>
  </si>
  <si>
    <t>06-51117154 / 06-27036919</t>
  </si>
  <si>
    <t>Dorpsstraat 48</t>
  </si>
  <si>
    <t>2445AN</t>
  </si>
  <si>
    <t>Aarlanderveen</t>
  </si>
  <si>
    <t>terug naar eigenaar 03-10-2025</t>
  </si>
  <si>
    <t>Facili Flex BV</t>
  </si>
  <si>
    <t>0297-389680</t>
  </si>
  <si>
    <t>Dorpsstraat 73</t>
  </si>
  <si>
    <t>2841 BH</t>
  </si>
  <si>
    <t>Moordrecht</t>
  </si>
  <si>
    <t>Maatschap vd Vlist -Teuben</t>
  </si>
  <si>
    <t xml:space="preserve">Dwarsweg 44 </t>
  </si>
  <si>
    <t>3181HG</t>
  </si>
  <si>
    <t xml:space="preserve">Impianti Industriala S.P.A.  </t>
  </si>
  <si>
    <t>Hugo Vastgoed</t>
  </si>
  <si>
    <t>076-5218999</t>
  </si>
  <si>
    <t>Elisadonk 220</t>
  </si>
  <si>
    <t>4707ER</t>
  </si>
  <si>
    <t>Roosendaal</t>
  </si>
  <si>
    <t>EG Facility &amp; Services BV</t>
  </si>
  <si>
    <t>inhuur per 1-1 € 2130,78</t>
  </si>
  <si>
    <t>M&amp;M Hendriks</t>
  </si>
  <si>
    <t>06-57885442</t>
  </si>
  <si>
    <t>Energieweg 40</t>
  </si>
  <si>
    <t>3133EC</t>
  </si>
  <si>
    <t>Quadrant Vastgoed B.V.</t>
  </si>
  <si>
    <t>Engelsestraat 16L3</t>
  </si>
  <si>
    <t>3028CG</t>
  </si>
  <si>
    <t>Enk 6</t>
  </si>
  <si>
    <t>7621ES</t>
  </si>
  <si>
    <t>Borne</t>
  </si>
  <si>
    <t>-</t>
  </si>
  <si>
    <t>Lago perseelshuisvesting</t>
  </si>
  <si>
    <t>Veurink</t>
  </si>
  <si>
    <t>06-28555669</t>
  </si>
  <si>
    <t>Enschotsestraat 163</t>
  </si>
  <si>
    <t>5014 DD</t>
  </si>
  <si>
    <t>Tilburg</t>
  </si>
  <si>
    <t>Optima</t>
  </si>
  <si>
    <t>T. Eenhuistra/J. Pluimakers</t>
  </si>
  <si>
    <t xml:space="preserve">Esdoornlaan 68 </t>
  </si>
  <si>
    <t>3181XD</t>
  </si>
  <si>
    <t>Leendert Keizer</t>
  </si>
  <si>
    <t>06-24555909</t>
  </si>
  <si>
    <t>Flankstraat 11</t>
  </si>
  <si>
    <t>4551AR</t>
  </si>
  <si>
    <t>Sas van Gent</t>
  </si>
  <si>
    <t>TH Mungroop</t>
  </si>
  <si>
    <t>06-22146488</t>
  </si>
  <si>
    <t>Franz Liszstraat 5</t>
  </si>
  <si>
    <t>4536EA</t>
  </si>
  <si>
    <t>Terneuzen</t>
  </si>
  <si>
    <t>Value+ Vastgoedmanagement</t>
  </si>
  <si>
    <t>085-0441816</t>
  </si>
  <si>
    <t>G.A. Brederolaan 75B</t>
  </si>
  <si>
    <t>3141 CD</t>
  </si>
  <si>
    <t>M.C. Mostert</t>
  </si>
  <si>
    <t>Geldersestraat 91</t>
  </si>
  <si>
    <t>4191BB</t>
  </si>
  <si>
    <t>Geldermalsen</t>
  </si>
  <si>
    <t>Johan ven der Burg</t>
  </si>
  <si>
    <t>06-23666051</t>
  </si>
  <si>
    <t>Geleenstraat 1</t>
  </si>
  <si>
    <t xml:space="preserve">6133XK </t>
  </si>
  <si>
    <t>Sittard</t>
  </si>
  <si>
    <t>Bart Vlastuin</t>
  </si>
  <si>
    <t>06-29862823</t>
  </si>
  <si>
    <t>Goudestein 30</t>
  </si>
  <si>
    <t>3085 DB</t>
  </si>
  <si>
    <t>LogIQ</t>
  </si>
  <si>
    <t>Groenelaan 30B</t>
  </si>
  <si>
    <t>3114 CH</t>
  </si>
  <si>
    <t>obt</t>
  </si>
  <si>
    <t>H. Algraplein 25</t>
  </si>
  <si>
    <t>8802RE</t>
  </si>
  <si>
    <t>Franeker</t>
  </si>
  <si>
    <t>Dit en Larex</t>
  </si>
  <si>
    <t>B. Bakker</t>
  </si>
  <si>
    <t>06-83008788</t>
  </si>
  <si>
    <t>Heemskerkstraat 19</t>
  </si>
  <si>
    <t>9866AR</t>
  </si>
  <si>
    <t>Lutjegast</t>
  </si>
  <si>
    <t>Robert de Jonge</t>
  </si>
  <si>
    <t>035-5335822 / 06-53253144</t>
  </si>
  <si>
    <t>Hendrik Deddenstraat 26</t>
  </si>
  <si>
    <t>8395PX</t>
  </si>
  <si>
    <t>Steggerda</t>
  </si>
  <si>
    <t>Derwig</t>
  </si>
  <si>
    <t>06-20498826</t>
  </si>
  <si>
    <t>Hendriklaan 49</t>
  </si>
  <si>
    <t>6043 BN</t>
  </si>
  <si>
    <t>Roermond</t>
  </si>
  <si>
    <t>Faciloo B.V.</t>
  </si>
  <si>
    <t>M. Koolhaas</t>
  </si>
  <si>
    <t>06-47075677</t>
  </si>
  <si>
    <t>Herenpad 20A</t>
  </si>
  <si>
    <t>3111 LP</t>
  </si>
  <si>
    <t>Westhavendomein</t>
  </si>
  <si>
    <t>010-2477477</t>
  </si>
  <si>
    <t>Hoefslag 8</t>
  </si>
  <si>
    <t>8391BJ</t>
  </si>
  <si>
    <t>Noordwolde</t>
  </si>
  <si>
    <t>Hogenbanweg 331</t>
  </si>
  <si>
    <t>3112 CK</t>
  </si>
  <si>
    <t>M. Dogan</t>
  </si>
  <si>
    <t>Hontenissestraat 124</t>
  </si>
  <si>
    <t>3086KJ</t>
  </si>
  <si>
    <t>MOETEN OPTIJD OPZEGGEN. Terug naar eigenaar 14-12</t>
  </si>
  <si>
    <t>Hoofdstraat 110</t>
  </si>
  <si>
    <t>5473AT</t>
  </si>
  <si>
    <t>Heeswijk-Dinther</t>
  </si>
  <si>
    <t>Wil Vakkrachten BV</t>
  </si>
  <si>
    <t>HBB Wonen (Danielle Hanegraaf)</t>
  </si>
  <si>
    <t>073-2089102 / 06-33886674</t>
  </si>
  <si>
    <t>Hooizolder 6</t>
  </si>
  <si>
    <t>9205 CA</t>
  </si>
  <si>
    <t>Drachten</t>
  </si>
  <si>
    <t>Hugo de Grootstraat 72A&amp;B</t>
  </si>
  <si>
    <t>2518 EG</t>
  </si>
  <si>
    <t>Crown Uitzendgroep</t>
  </si>
  <si>
    <t>per 1-8 GWE op eigen naam</t>
  </si>
  <si>
    <t>Risa Beheer</t>
  </si>
  <si>
    <t>Industriestraat 9</t>
  </si>
  <si>
    <t>5107NC</t>
  </si>
  <si>
    <t>Dongen</t>
  </si>
  <si>
    <t>B. van Abeelen</t>
  </si>
  <si>
    <t>06-22949577</t>
  </si>
  <si>
    <t>Inundatiestraat 3</t>
  </si>
  <si>
    <t>4551VE</t>
  </si>
  <si>
    <t>RNDV</t>
  </si>
  <si>
    <t>J.G. van Pieterson</t>
  </si>
  <si>
    <t>06-25053339</t>
  </si>
  <si>
    <t>Jasmijnring 37</t>
  </si>
  <si>
    <t>4881HT</t>
  </si>
  <si>
    <t>Zundert</t>
  </si>
  <si>
    <t>HTC Facility</t>
  </si>
  <si>
    <t>Johan Willen Frisostraat 36</t>
  </si>
  <si>
    <t>8606CW</t>
  </si>
  <si>
    <t>Sneek</t>
  </si>
  <si>
    <t>Team Home Rentals</t>
  </si>
  <si>
    <t>R. Bouius</t>
  </si>
  <si>
    <t>06-13658480</t>
  </si>
  <si>
    <t>Kanaal van Steenenhoek Z.Z. 10</t>
  </si>
  <si>
    <t>4202LS</t>
  </si>
  <si>
    <t>Gorinchem</t>
  </si>
  <si>
    <t>Kastanjelaan 232</t>
  </si>
  <si>
    <t>4621HM</t>
  </si>
  <si>
    <t>Bergen op Zoom</t>
  </si>
  <si>
    <t>PRP Solutions Flex Sp. Z.O.O.</t>
  </si>
  <si>
    <t>Hopmans</t>
  </si>
  <si>
    <t>085-2010101</t>
  </si>
  <si>
    <t>Kerkdreef 42</t>
  </si>
  <si>
    <t>4571GJ</t>
  </si>
  <si>
    <t>Axel</t>
  </si>
  <si>
    <t>De Pagter Vastgoed B.V.</t>
  </si>
  <si>
    <t>06-52310895 / 06-57552917</t>
  </si>
  <si>
    <t>0308</t>
  </si>
  <si>
    <t>Kerkweg 9a [huis 135]</t>
  </si>
  <si>
    <t>1711RR</t>
  </si>
  <si>
    <t>Hensbroek</t>
  </si>
  <si>
    <t>Chalet Park Holiday</t>
  </si>
  <si>
    <t>06-11068727</t>
  </si>
  <si>
    <t>0309</t>
  </si>
  <si>
    <t>Kerkweg 9a [huis 137]</t>
  </si>
  <si>
    <t>UAB Toromega</t>
  </si>
  <si>
    <t>0310</t>
  </si>
  <si>
    <t>Kerkweg 9a [huis 210]</t>
  </si>
  <si>
    <t>Labour Housing B.V.</t>
  </si>
  <si>
    <t>0311</t>
  </si>
  <si>
    <t>Kerkweg 9a [huis 269]</t>
  </si>
  <si>
    <t>0312</t>
  </si>
  <si>
    <t>Kerkweg 9a [huis 333]</t>
  </si>
  <si>
    <t>0313</t>
  </si>
  <si>
    <t>Kerkweg 9a [huis 334]</t>
  </si>
  <si>
    <t>0314</t>
  </si>
  <si>
    <t>Kerkweg 9a [huis 338]</t>
  </si>
  <si>
    <t>0332</t>
  </si>
  <si>
    <t>Kerkweg 9a [huis 340]</t>
  </si>
  <si>
    <t>Orange Investments Group</t>
  </si>
  <si>
    <t>0315</t>
  </si>
  <si>
    <t>Kerkweg 9a [huis 342]</t>
  </si>
  <si>
    <t>0316</t>
  </si>
  <si>
    <t>Kerkweg 9a [huis 346]</t>
  </si>
  <si>
    <t>0317</t>
  </si>
  <si>
    <t>Kerkweg 9a [huis 347]</t>
  </si>
  <si>
    <t>0338</t>
  </si>
  <si>
    <t>Kerkweg 9a [huis 348]</t>
  </si>
  <si>
    <t>4 Homes B.V.</t>
  </si>
  <si>
    <t>0318</t>
  </si>
  <si>
    <t>Kerkweg 9a [huis 349]</t>
  </si>
  <si>
    <t>0319</t>
  </si>
  <si>
    <t>Kerkweg 9a [huis 356]</t>
  </si>
  <si>
    <t>0339</t>
  </si>
  <si>
    <t>Kerkweg 9a [huis 357]</t>
  </si>
  <si>
    <t>Eastmen</t>
  </si>
  <si>
    <t>0320</t>
  </si>
  <si>
    <t>Kerkweg 9a [huis 359]</t>
  </si>
  <si>
    <t>0321</t>
  </si>
  <si>
    <t>Kerkweg 9a [huis 453]</t>
  </si>
  <si>
    <t>0225</t>
  </si>
  <si>
    <t>Kerkwervesingel 127</t>
  </si>
  <si>
    <t>3086HL</t>
  </si>
  <si>
    <t>Light Personeelsdiensten</t>
  </si>
  <si>
    <t>Kerstendijk 125</t>
  </si>
  <si>
    <t>3079EV</t>
  </si>
  <si>
    <t>Kethelweg 1B</t>
  </si>
  <si>
    <t>3135 GA</t>
  </si>
  <si>
    <t>Kethelweg 1C</t>
  </si>
  <si>
    <t>Kethelweg 66A</t>
  </si>
  <si>
    <t>3135 GM</t>
  </si>
  <si>
    <t>0122</t>
  </si>
  <si>
    <t>Kethelweg 66B</t>
  </si>
  <si>
    <t>Kethelweg 66C</t>
  </si>
  <si>
    <t>Wooninq</t>
  </si>
  <si>
    <t>0333</t>
  </si>
  <si>
    <t>Kethelweg 66D</t>
  </si>
  <si>
    <t>Kethelweg 68A</t>
  </si>
  <si>
    <t>Kierkegaardhof 54</t>
  </si>
  <si>
    <t>1277 AL</t>
  </si>
  <si>
    <t>Huizen</t>
  </si>
  <si>
    <t>Estra Logistics Systems</t>
  </si>
  <si>
    <t>Nieuw per 14-11</t>
  </si>
  <si>
    <t>E. Rebel</t>
  </si>
  <si>
    <t>06-11781973</t>
  </si>
  <si>
    <t>Kimbrenoord 15</t>
  </si>
  <si>
    <t>3079 KC</t>
  </si>
  <si>
    <t>Kimbrenoord 49</t>
  </si>
  <si>
    <t>Dockholland</t>
  </si>
  <si>
    <t>06-11660085</t>
  </si>
  <si>
    <t>Kleine Beer 60</t>
  </si>
  <si>
    <t>7904 LV</t>
  </si>
  <si>
    <t>Workforce Housing International B.V.</t>
  </si>
  <si>
    <t>Koningin Julianastraat 27</t>
  </si>
  <si>
    <t>3466LG</t>
  </si>
  <si>
    <t>Waarder</t>
  </si>
  <si>
    <t>Korte Singelstraat 21-2</t>
  </si>
  <si>
    <t>3112 GA</t>
  </si>
  <si>
    <t>Transport People B.V.</t>
  </si>
  <si>
    <t>Korte Singelstraat 21-3</t>
  </si>
  <si>
    <t>Kritostraat 54</t>
  </si>
  <si>
    <t>3076BH</t>
  </si>
  <si>
    <t>0174504792</t>
  </si>
  <si>
    <t>Kruiningenstraat 152</t>
  </si>
  <si>
    <t>3086KS</t>
  </si>
  <si>
    <t>Kruiningenstraat 185</t>
  </si>
  <si>
    <t>3086KM</t>
  </si>
  <si>
    <t>Eu Facility Services</t>
  </si>
  <si>
    <t>Kruisweg 16</t>
  </si>
  <si>
    <t>2481NA</t>
  </si>
  <si>
    <t>Woubrugge</t>
  </si>
  <si>
    <t>Nieuw per 01-10</t>
  </si>
  <si>
    <t xml:space="preserve">Kwekerslaan 7 </t>
  </si>
  <si>
    <t>2691NP</t>
  </si>
  <si>
    <t>s-Gravezande</t>
  </si>
  <si>
    <t>Laan op zuid 949</t>
  </si>
  <si>
    <t>3072DB</t>
  </si>
  <si>
    <t>Laan van Nieuw Blankenburg 278</t>
  </si>
  <si>
    <t>3181AL</t>
  </si>
  <si>
    <t xml:space="preserve">Rozenburg </t>
  </si>
  <si>
    <t>HC van Os - Remeeus</t>
  </si>
  <si>
    <t>06-53525041</t>
  </si>
  <si>
    <t>Laan van Nieuw Blankenburg 328</t>
  </si>
  <si>
    <t xml:space="preserve">3181AM </t>
  </si>
  <si>
    <t>R. Ras</t>
  </si>
  <si>
    <t>651930527</t>
  </si>
  <si>
    <t>Landsteinerhof 68</t>
  </si>
  <si>
    <t>7908 BC</t>
  </si>
  <si>
    <t>Lange Brink 3</t>
  </si>
  <si>
    <t>8315AH</t>
  </si>
  <si>
    <t>Luttelgeest</t>
  </si>
  <si>
    <t>Vondellaan vastgoed</t>
  </si>
  <si>
    <t>06-16004237</t>
  </si>
  <si>
    <t>Lange kruisweg 12</t>
  </si>
  <si>
    <t>2676 BL</t>
  </si>
  <si>
    <t>Maasdijk</t>
  </si>
  <si>
    <t>G.J. Bergwerff</t>
  </si>
  <si>
    <t>Lavendelpad 6</t>
  </si>
  <si>
    <t>S-GRAVENZANDE</t>
  </si>
  <si>
    <t>Flexvesting</t>
  </si>
  <si>
    <t>06-58995200</t>
  </si>
  <si>
    <t>Lekdijk 14</t>
  </si>
  <si>
    <t>2921AD</t>
  </si>
  <si>
    <t>Krimpen aan den IJssel</t>
  </si>
  <si>
    <t>terug naar eigenaar</t>
  </si>
  <si>
    <t>S. Isaku</t>
  </si>
  <si>
    <t>06-11166159</t>
  </si>
  <si>
    <t>Madeliefstraat 46C</t>
  </si>
  <si>
    <t>3083TJ</t>
  </si>
  <si>
    <t>M. Kathiravelu</t>
  </si>
  <si>
    <t>06-20940262</t>
  </si>
  <si>
    <t>Marathonlaan 26</t>
  </si>
  <si>
    <t>2807BB</t>
  </si>
  <si>
    <t>Gouda</t>
  </si>
  <si>
    <t>Bw-engineering</t>
  </si>
  <si>
    <t>Marnixstraat 32</t>
  </si>
  <si>
    <t>7553LC</t>
  </si>
  <si>
    <t>Hengelo</t>
  </si>
  <si>
    <t xml:space="preserve">Flexvesting </t>
  </si>
  <si>
    <t>R. Paalman</t>
  </si>
  <si>
    <t>06-16700180</t>
  </si>
  <si>
    <t>Mathenesserdijk 261 C03</t>
  </si>
  <si>
    <t>3027AK</t>
  </si>
  <si>
    <t>Industrial Technical Services Srl</t>
  </si>
  <si>
    <t>Meester G. Groen van Prinsterlaan 313</t>
  </si>
  <si>
    <t>1181TV</t>
  </si>
  <si>
    <t>Amstelveen</t>
  </si>
  <si>
    <t>M.B. Kewal</t>
  </si>
  <si>
    <t>06-42186940</t>
  </si>
  <si>
    <t>Melis Stokezijde 94</t>
  </si>
  <si>
    <t>2543GG</t>
  </si>
  <si>
    <t>Autodaxx B.V.</t>
  </si>
  <si>
    <t>M. Farajzadeh</t>
  </si>
  <si>
    <t>06-55224849</t>
  </si>
  <si>
    <t>Messchaertplein 39</t>
  </si>
  <si>
    <t>3131 TG</t>
  </si>
  <si>
    <t>Messchaertplein 40</t>
  </si>
  <si>
    <t>Middenbaan Noord 18A</t>
  </si>
  <si>
    <t>3191EH</t>
  </si>
  <si>
    <t>06-21166502</t>
  </si>
  <si>
    <t xml:space="preserve">Middenbaan Noord 18B </t>
  </si>
  <si>
    <t>Middenbaan Noord 18C</t>
  </si>
  <si>
    <t>Middenbaan Noord 20A</t>
  </si>
  <si>
    <t>Middenbaan Noord 20B</t>
  </si>
  <si>
    <t>Middenbaan Noord 20C</t>
  </si>
  <si>
    <t>Middenbaan Noord 22A</t>
  </si>
  <si>
    <t>Suricare</t>
  </si>
  <si>
    <t>Middenbaan Noord 22B</t>
  </si>
  <si>
    <t xml:space="preserve">Middenbaan Noord 22C </t>
  </si>
  <si>
    <t>Middelrode 8</t>
  </si>
  <si>
    <t>3085CR</t>
  </si>
  <si>
    <t>Miltonstraat 55</t>
  </si>
  <si>
    <t>3076TG</t>
  </si>
  <si>
    <t>Molendijk 4</t>
  </si>
  <si>
    <t>3255AL</t>
  </si>
  <si>
    <t>Oude-Tonge</t>
  </si>
  <si>
    <t>Pythagoras Construction s.r.l.</t>
  </si>
  <si>
    <t>J. van der Linde</t>
  </si>
  <si>
    <t>06-53542455</t>
  </si>
  <si>
    <t>Molenweg 135</t>
  </si>
  <si>
    <t>3181AW</t>
  </si>
  <si>
    <t>City Estate (Reinier Derksen)</t>
  </si>
  <si>
    <t>06-29214204</t>
  </si>
  <si>
    <t>Moureauveld 8</t>
  </si>
  <si>
    <t>4702MA</t>
  </si>
  <si>
    <t>I-housing Vastgoed</t>
  </si>
  <si>
    <t>Nieuw per 05-12</t>
  </si>
  <si>
    <t>Mr. Troelstrastraat 37</t>
  </si>
  <si>
    <t>3131 HR</t>
  </si>
  <si>
    <t>0103</t>
  </si>
  <si>
    <t>Narcissenstraat 23</t>
  </si>
  <si>
    <t>3181 WT</t>
  </si>
  <si>
    <t>D. Kleijweg</t>
  </si>
  <si>
    <t>Narcissenstraat 37</t>
  </si>
  <si>
    <t>3181WT</t>
  </si>
  <si>
    <t>M. Poel</t>
  </si>
  <si>
    <t>06-50128055</t>
  </si>
  <si>
    <t>Narcissenstraat 9</t>
  </si>
  <si>
    <t>Nieuwenhoornstraat 46B</t>
  </si>
  <si>
    <t>3082 VJ</t>
  </si>
  <si>
    <t>UAB Techsoma</t>
  </si>
  <si>
    <t>Huurwoning in Rotterdam</t>
  </si>
  <si>
    <t>06-41657315</t>
  </si>
  <si>
    <t>0166</t>
  </si>
  <si>
    <t>Nieuwkerkstraat 78</t>
  </si>
  <si>
    <t>3311TK</t>
  </si>
  <si>
    <t>Dordrecht</t>
  </si>
  <si>
    <t>D. tonen</t>
  </si>
  <si>
    <t>06-20328856</t>
  </si>
  <si>
    <t>Noordmolenstraat 36A</t>
  </si>
  <si>
    <t>3111PD</t>
  </si>
  <si>
    <t>Noordmolenstraat 36B</t>
  </si>
  <si>
    <t>Noordmolenstraat 36C</t>
  </si>
  <si>
    <t>Nunspeetlaan 14</t>
  </si>
  <si>
    <t>2573 HG</t>
  </si>
  <si>
    <t>J.S. Vink</t>
  </si>
  <si>
    <t>Nunspeetlaan 53</t>
  </si>
  <si>
    <t>2573 HB</t>
  </si>
  <si>
    <t>Ofwegen 1A</t>
  </si>
  <si>
    <t>2481KA</t>
  </si>
  <si>
    <t>Opaal 9</t>
  </si>
  <si>
    <t>4337MA</t>
  </si>
  <si>
    <t>Middelburg</t>
  </si>
  <si>
    <t>Goti verhuur</t>
  </si>
  <si>
    <t>0369</t>
  </si>
  <si>
    <t>Oranjestraat 63</t>
  </si>
  <si>
    <t>3111AN</t>
  </si>
  <si>
    <t>H.T.C. Facility Services</t>
  </si>
  <si>
    <t>Stef Kleijweg</t>
  </si>
  <si>
    <t>0623219973</t>
  </si>
  <si>
    <t>Oudewerfslaan 84</t>
  </si>
  <si>
    <t>9675 EW</t>
  </si>
  <si>
    <t>Winschoten</t>
  </si>
  <si>
    <t xml:space="preserve">R. Boringa </t>
  </si>
  <si>
    <t>06-54272321</t>
  </si>
  <si>
    <t>Parallelweg 110A</t>
  </si>
  <si>
    <t>3131 DK</t>
  </si>
  <si>
    <t>Parallelweg 114C</t>
  </si>
  <si>
    <t>3131DL</t>
  </si>
  <si>
    <t>Parallelweg 134B</t>
  </si>
  <si>
    <t>0344</t>
  </si>
  <si>
    <t>Pastoor Gilisstraat 81-A</t>
  </si>
  <si>
    <t>5121CC</t>
  </si>
  <si>
    <t>Rijen</t>
  </si>
  <si>
    <t>Housing en Transport Facilities BV</t>
  </si>
  <si>
    <t>Edward Bosch</t>
  </si>
  <si>
    <t>Patrijsstraat 39</t>
  </si>
  <si>
    <t>3353AZ</t>
  </si>
  <si>
    <t>Papendrecht</t>
  </si>
  <si>
    <t>WS Wonen B.V.</t>
  </si>
  <si>
    <t>G.K. Stoel</t>
  </si>
  <si>
    <t>06-14901449</t>
  </si>
  <si>
    <t>Persoonsdam 176</t>
  </si>
  <si>
    <t>3071EE</t>
  </si>
  <si>
    <t>Transformatiehaven BV</t>
  </si>
  <si>
    <t>070-4100009</t>
  </si>
  <si>
    <t>Persoonsdam 177</t>
  </si>
  <si>
    <t>Persoonsdam 178</t>
  </si>
  <si>
    <t>Persoonsdam 179</t>
  </si>
  <si>
    <t>Persoonsdam 180</t>
  </si>
  <si>
    <t>Persoonsdam 181</t>
  </si>
  <si>
    <t>Persoonsdam 182</t>
  </si>
  <si>
    <t>Persoonsdam 194</t>
  </si>
  <si>
    <t>Persoonsdam 196</t>
  </si>
  <si>
    <t>Aelbers</t>
  </si>
  <si>
    <t>Persoonsdam 198</t>
  </si>
  <si>
    <t>Peursumseweg 119A</t>
  </si>
  <si>
    <t>3381 KV</t>
  </si>
  <si>
    <t>Giessenburg</t>
  </si>
  <si>
    <t>Flextalent4u</t>
  </si>
  <si>
    <t>Piersonstraat 8</t>
  </si>
  <si>
    <t>3119RG</t>
  </si>
  <si>
    <t>HTC</t>
  </si>
  <si>
    <t>Meershoek</t>
  </si>
  <si>
    <t>06-51128328</t>
  </si>
  <si>
    <t>0120</t>
  </si>
  <si>
    <t>Plaats 10</t>
  </si>
  <si>
    <t>3417EC</t>
  </si>
  <si>
    <t>Montfoort</t>
  </si>
  <si>
    <t>Johan van der Burg</t>
  </si>
  <si>
    <t>Platostraat 80</t>
  </si>
  <si>
    <t>3076BP</t>
  </si>
  <si>
    <t>Pleinweg 101a</t>
  </si>
  <si>
    <t>3081JH</t>
  </si>
  <si>
    <t>Jes Funding &amp; Beheer</t>
  </si>
  <si>
    <t>06-27270429</t>
  </si>
  <si>
    <t>0045</t>
  </si>
  <si>
    <t>Pleinweg 101b</t>
  </si>
  <si>
    <t>Ploegstraat 2a</t>
  </si>
  <si>
    <t>3114NP</t>
  </si>
  <si>
    <t>OT per M</t>
  </si>
  <si>
    <t>Poolsestraat 29a</t>
  </si>
  <si>
    <t>3028EN</t>
  </si>
  <si>
    <t>R. Basil</t>
  </si>
  <si>
    <t>06-44332993</t>
  </si>
  <si>
    <t>Poppestraat 59</t>
  </si>
  <si>
    <t>4711EW</t>
  </si>
  <si>
    <t>St. Willebrord</t>
  </si>
  <si>
    <t>GHS</t>
  </si>
  <si>
    <t>S. Raats (123Wonen)</t>
  </si>
  <si>
    <t>088-7009901 / 06-81128792</t>
  </si>
  <si>
    <t>Professor Kamerlingh Onneslaan 134A</t>
  </si>
  <si>
    <t>3112 VL</t>
  </si>
  <si>
    <t>P. Nederstigt</t>
  </si>
  <si>
    <t>06-51639566</t>
  </si>
  <si>
    <t>0270</t>
  </si>
  <si>
    <t>Professor Kamerlingh Onneslaan 134B1</t>
  </si>
  <si>
    <t>0271</t>
  </si>
  <si>
    <t>Professor Kamerlingh Onneslaan 134B2</t>
  </si>
  <si>
    <t>0272</t>
  </si>
  <si>
    <t>Professor Kamerlingh Onneslaan 134B3</t>
  </si>
  <si>
    <t>Professor Poelslaan 58C</t>
  </si>
  <si>
    <t>3028ET</t>
  </si>
  <si>
    <t>C.R. Valk &amp; H.J. Valk</t>
  </si>
  <si>
    <t>06-17054156</t>
  </si>
  <si>
    <t>Prunuslaan 36</t>
  </si>
  <si>
    <t>9944AT</t>
  </si>
  <si>
    <t>Nieuwolda</t>
  </si>
  <si>
    <t>A. Ghali</t>
  </si>
  <si>
    <t>06-39075882</t>
  </si>
  <si>
    <t>Punter 22 34</t>
  </si>
  <si>
    <t>8242DT</t>
  </si>
  <si>
    <t>Lelystad</t>
  </si>
  <si>
    <t>Putsebocht 136 B01</t>
  </si>
  <si>
    <t>3073HS</t>
  </si>
  <si>
    <t>Terug naar eigenaar</t>
  </si>
  <si>
    <t>Putter 42</t>
  </si>
  <si>
    <t>4872 PB</t>
  </si>
  <si>
    <t>Etten-Leur</t>
  </si>
  <si>
    <t>Ringbaan Oost 327</t>
  </si>
  <si>
    <t>5014 GG</t>
  </si>
  <si>
    <t>AKT Autoschade</t>
  </si>
  <si>
    <t>06-38641646</t>
  </si>
  <si>
    <t>Rivierdijk 793</t>
  </si>
  <si>
    <t>3371EM</t>
  </si>
  <si>
    <t>Hardinxveld - Giessendam</t>
  </si>
  <si>
    <t>Interim Jobs B.V.</t>
  </si>
  <si>
    <t>Business Housing</t>
  </si>
  <si>
    <t>06-53700528</t>
  </si>
  <si>
    <t>Rivierdijk 794</t>
  </si>
  <si>
    <t>Rooseveltlaan 185</t>
  </si>
  <si>
    <t>4624DM</t>
  </si>
  <si>
    <t>N2 People</t>
  </si>
  <si>
    <t>Nieuw per 7-11</t>
  </si>
  <si>
    <t>Digo Real Estate</t>
  </si>
  <si>
    <t>06-28772799</t>
  </si>
  <si>
    <t>Rubensplein 6B3</t>
  </si>
  <si>
    <t>3117BK</t>
  </si>
  <si>
    <t>Ruigenhoek 69</t>
  </si>
  <si>
    <t>3085EM</t>
  </si>
  <si>
    <t>Scheepjesbrug 433</t>
  </si>
  <si>
    <t>4231ZZ</t>
  </si>
  <si>
    <t>Meerkerk</t>
  </si>
  <si>
    <t>B. Bosch</t>
  </si>
  <si>
    <t>06-39495916</t>
  </si>
  <si>
    <t>Scheepjesbrug 814</t>
  </si>
  <si>
    <t>Schoonegge 110</t>
  </si>
  <si>
    <t>3085CZ</t>
  </si>
  <si>
    <t>Sint Josephstraat 61</t>
  </si>
  <si>
    <t>5017GD</t>
  </si>
  <si>
    <t>Welcome Housing BV</t>
  </si>
  <si>
    <t>Snecanusstraat 12</t>
  </si>
  <si>
    <t>8607BK</t>
  </si>
  <si>
    <t>Snoekenveen 242</t>
  </si>
  <si>
    <t>3205CN</t>
  </si>
  <si>
    <t>United homes</t>
  </si>
  <si>
    <t>Stal 355</t>
  </si>
  <si>
    <t>9205AN</t>
  </si>
  <si>
    <t xml:space="preserve">Drachten </t>
  </si>
  <si>
    <t>THS EU B.V.</t>
  </si>
  <si>
    <t>H. Heijdra</t>
  </si>
  <si>
    <t>06-31641070</t>
  </si>
  <si>
    <t>Steenen Dijck 87</t>
  </si>
  <si>
    <t>3146 BX</t>
  </si>
  <si>
    <t>HollandHousing Rental BV</t>
  </si>
  <si>
    <t>06-82855000</t>
  </si>
  <si>
    <t>Struitenweg 19b</t>
  </si>
  <si>
    <t>3082WP</t>
  </si>
  <si>
    <t>Jan Luijsterburg Beheer BV</t>
  </si>
  <si>
    <t>06-10147431</t>
  </si>
  <si>
    <t>Tesselschadelaan 45</t>
  </si>
  <si>
    <t>4707CJ</t>
  </si>
  <si>
    <t>Sjoerd Dolstra</t>
  </si>
  <si>
    <t>06-55500307</t>
  </si>
  <si>
    <t>Tholenstraat 114</t>
  </si>
  <si>
    <t>3086TP</t>
  </si>
  <si>
    <t>Industrial Technical Services</t>
  </si>
  <si>
    <t xml:space="preserve">Utrechtse straatweg 7 </t>
  </si>
  <si>
    <t>3421GL</t>
  </si>
  <si>
    <t>Oudewater</t>
  </si>
  <si>
    <t>People21 Services BV</t>
  </si>
  <si>
    <t>L&amp;T BV</t>
  </si>
  <si>
    <t>06-46212928</t>
  </si>
  <si>
    <t>Vaartweg 106C</t>
  </si>
  <si>
    <t>3131 HV</t>
  </si>
  <si>
    <t>Eigenaar erste contract</t>
  </si>
  <si>
    <t>Van Langedonckstraat 80</t>
  </si>
  <si>
    <t>3076 SM</t>
  </si>
  <si>
    <t>CB-Homes</t>
  </si>
  <si>
    <t>Van Maanenstraat 14A</t>
  </si>
  <si>
    <t>3038 CZ</t>
  </si>
  <si>
    <t>Focuzop-EU</t>
  </si>
  <si>
    <t>Eruit 20-12</t>
  </si>
  <si>
    <t>0640896047</t>
  </si>
  <si>
    <t>0347</t>
  </si>
  <si>
    <t>Van Ruijsdaellaan 72A</t>
  </si>
  <si>
    <t>3117XV</t>
  </si>
  <si>
    <t>0351</t>
  </si>
  <si>
    <t>Van Ruijsdaellaan 72B</t>
  </si>
  <si>
    <t>0352</t>
  </si>
  <si>
    <t>Van Ruijsdaellaan 72C</t>
  </si>
  <si>
    <t>van Scorelstraat 73</t>
  </si>
  <si>
    <t>3141 TH</t>
  </si>
  <si>
    <t>Van Swinderenstraat 21</t>
  </si>
  <si>
    <t>7741 VK</t>
  </si>
  <si>
    <t>Coevorden</t>
  </si>
  <si>
    <t>E. Beukema</t>
  </si>
  <si>
    <t>06-31077111</t>
  </si>
  <si>
    <t xml:space="preserve">Verschansing 21 </t>
  </si>
  <si>
    <t>3181NG</t>
  </si>
  <si>
    <t>Vierambachtsstraat 32-B01</t>
  </si>
  <si>
    <t>3023AN</t>
  </si>
  <si>
    <t>Oostkracht Bemiddeling B.V.</t>
  </si>
  <si>
    <t>Visartstraat 31</t>
  </si>
  <si>
    <t>4541BA</t>
  </si>
  <si>
    <t xml:space="preserve">Sluiskil </t>
  </si>
  <si>
    <t>B. Verstegen &amp; K. Maas</t>
  </si>
  <si>
    <t>06-58852569</t>
  </si>
  <si>
    <t>Vogelschorstraat 24</t>
  </si>
  <si>
    <t>4541AZ</t>
  </si>
  <si>
    <t>Sluiskil</t>
  </si>
  <si>
    <t>A. Brouwers &amp; S. Brouwers- van Weert</t>
  </si>
  <si>
    <t>06-20805474</t>
  </si>
  <si>
    <t>Voorstraat 10</t>
  </si>
  <si>
    <t>3255AX</t>
  </si>
  <si>
    <t>J, van de Linde</t>
  </si>
  <si>
    <t>Voorstraat 25</t>
  </si>
  <si>
    <t>3135HV</t>
  </si>
  <si>
    <t>Waterstraat 4</t>
  </si>
  <si>
    <t>Delfzijl</t>
  </si>
  <si>
    <t>PRMD</t>
  </si>
  <si>
    <t>Wedderweg 3A</t>
  </si>
  <si>
    <t>9699 RA</t>
  </si>
  <si>
    <t>Vriescheloo</t>
  </si>
  <si>
    <t>Eruit per 31-10</t>
  </si>
  <si>
    <t>Westendorpweg 13</t>
  </si>
  <si>
    <t>Losdorp</t>
  </si>
  <si>
    <t>0138</t>
  </si>
  <si>
    <t>Westercluft</t>
  </si>
  <si>
    <t>8332 AH</t>
  </si>
  <si>
    <t>Stay21</t>
  </si>
  <si>
    <t>R. Bekken</t>
  </si>
  <si>
    <t>06-24524308</t>
  </si>
  <si>
    <t>Westfrankelandsestraat 106</t>
  </si>
  <si>
    <t>3117 AW</t>
  </si>
  <si>
    <t>Westfrankelandsestraat 108B</t>
  </si>
  <si>
    <t>Wieldraaierstraat 39</t>
  </si>
  <si>
    <t>4204EW</t>
  </si>
  <si>
    <t>Wil International BV</t>
  </si>
  <si>
    <t>Wijdstraat 13</t>
  </si>
  <si>
    <t>3421 AJ</t>
  </si>
  <si>
    <t>Groen Holding / van Vliet</t>
  </si>
  <si>
    <t>Wijngaard 66</t>
  </si>
  <si>
    <t>8212 CD</t>
  </si>
  <si>
    <t>Oranjegroep</t>
  </si>
  <si>
    <t xml:space="preserve">Wilgensingel 63 </t>
  </si>
  <si>
    <t>3181XK</t>
  </si>
  <si>
    <t>Wilgenstraat 37</t>
  </si>
  <si>
    <t>5038PB</t>
  </si>
  <si>
    <t xml:space="preserve">
C. van Winsen</t>
  </si>
  <si>
    <t>06 29 38 61 34</t>
  </si>
  <si>
    <t>Wilhelmina Druckerstraat 68</t>
  </si>
  <si>
    <t>7741 RM</t>
  </si>
  <si>
    <t>29-2-25</t>
  </si>
  <si>
    <t>C-Flex BV</t>
  </si>
  <si>
    <t>Jetty Michielsen</t>
  </si>
  <si>
    <t>06-22187382</t>
  </si>
  <si>
    <t>Wilhelminastraat 8</t>
  </si>
  <si>
    <t>4696 BS</t>
  </si>
  <si>
    <t>Stavenisse</t>
  </si>
  <si>
    <t>M. Moeilijker</t>
  </si>
  <si>
    <t xml:space="preserve">088-7009901 </t>
  </si>
  <si>
    <t>Willem Lodewijkstraat 8</t>
  </si>
  <si>
    <t>8801EL</t>
  </si>
  <si>
    <t>S. Bakker / Eigenaar.nl</t>
  </si>
  <si>
    <t>085-1306475 / 06-42722586</t>
  </si>
  <si>
    <t>Wouwbaan 230</t>
  </si>
  <si>
    <t>4703TA</t>
  </si>
  <si>
    <t>T. van de Moosdijk</t>
  </si>
  <si>
    <t>06-82385292</t>
  </si>
  <si>
    <t>Zuidhoek 209D</t>
  </si>
  <si>
    <t>3082PH</t>
  </si>
  <si>
    <t>Eruit 14-11-2025</t>
  </si>
  <si>
    <t>Zwethkade Zuid 30A</t>
  </si>
  <si>
    <t>2635CV</t>
  </si>
  <si>
    <t>Den Hoorn</t>
  </si>
  <si>
    <t>HollandHuisvesting</t>
  </si>
  <si>
    <t>06-57541069</t>
  </si>
  <si>
    <t>Totalen</t>
  </si>
  <si>
    <r>
      <t xml:space="preserve">Team Unica </t>
    </r>
    <r>
      <rPr>
        <sz val="11"/>
        <color theme="9"/>
        <rFont val="Aptos Narrow"/>
        <family val="2"/>
        <scheme val="minor"/>
      </rPr>
      <t>(nieuw per 17-05)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</si>
</sst>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&quot;€&quot;\ \-#,##0.00"/>
    <numFmt numFmtId="44" formatCode="_ &quot;€&quot;\ * #,##0.00_ ;_ &quot;€&quot;\ * \-#,##0.00_ ;_ &quot;€&quot;\ * &quot;-&quot;??_ ;_ @_ "/>
    <numFmt numFmtId="164" formatCode="dd/mm/yy;@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9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164" fontId="4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wrapText="1"/>
    </xf>
    <xf numFmtId="44" fontId="5" fillId="0" borderId="0" xfId="1" applyFont="1" applyBorder="1" applyAlignment="1">
      <alignment horizontal="center" vertical="center" wrapText="1"/>
    </xf>
    <xf numFmtId="0" fontId="5" fillId="3" borderId="0" xfId="0" applyFont="1" applyFill="1" applyBorder="1"/>
    <xf numFmtId="44" fontId="5" fillId="0" borderId="0" xfId="1" applyFont="1" applyBorder="1" applyAlignment="1">
      <alignment horizontal="center" wrapText="1"/>
    </xf>
    <xf numFmtId="0" fontId="2" fillId="0" borderId="0" xfId="0" applyFont="1" applyBorder="1"/>
    <xf numFmtId="0" fontId="2" fillId="4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/>
    </xf>
    <xf numFmtId="14" fontId="2" fillId="0" borderId="0" xfId="0" applyNumberFormat="1" applyFont="1" applyBorder="1" applyAlignment="1">
      <alignment horizontal="center" wrapText="1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4" fontId="2" fillId="0" borderId="0" xfId="0" applyNumberFormat="1" applyFont="1" applyBorder="1" applyAlignment="1">
      <alignment horizontal="center" vertical="center"/>
    </xf>
    <xf numFmtId="44" fontId="2" fillId="0" borderId="0" xfId="1" applyFont="1" applyBorder="1" applyAlignment="1">
      <alignment horizontal="center" vertical="center"/>
    </xf>
    <xf numFmtId="0" fontId="3" fillId="0" borderId="0" xfId="0" quotePrefix="1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44" fontId="2" fillId="0" borderId="0" xfId="1" applyFont="1" applyFill="1" applyBorder="1" applyAlignment="1">
      <alignment horizontal="center" wrapText="1"/>
    </xf>
    <xf numFmtId="44" fontId="2" fillId="0" borderId="0" xfId="1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 wrapText="1"/>
    </xf>
    <xf numFmtId="2" fontId="2" fillId="0" borderId="0" xfId="0" quotePrefix="1" applyNumberFormat="1" applyFont="1" applyBorder="1" applyAlignment="1">
      <alignment horizontal="center"/>
    </xf>
    <xf numFmtId="0" fontId="2" fillId="5" borderId="0" xfId="0" applyFont="1" applyFill="1" applyBorder="1" applyAlignment="1">
      <alignment horizontal="left" vertical="center" wrapText="1"/>
    </xf>
    <xf numFmtId="44" fontId="2" fillId="0" borderId="0" xfId="1" quotePrefix="1" applyFont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/>
    </xf>
    <xf numFmtId="0" fontId="2" fillId="0" borderId="0" xfId="0" quotePrefix="1" applyFont="1" applyBorder="1"/>
    <xf numFmtId="14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2" fillId="0" borderId="0" xfId="0" quotePrefix="1" applyFont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 wrapText="1"/>
    </xf>
    <xf numFmtId="0" fontId="2" fillId="7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left" vertical="center"/>
    </xf>
    <xf numFmtId="164" fontId="2" fillId="0" borderId="0" xfId="0" applyNumberFormat="1" applyFont="1" applyBorder="1" applyAlignment="1">
      <alignment horizontal="center" vertical="center" wrapText="1"/>
    </xf>
    <xf numFmtId="44" fontId="2" fillId="0" borderId="0" xfId="0" applyNumberFormat="1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2" fillId="6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44" fontId="2" fillId="0" borderId="0" xfId="1" applyFont="1" applyFill="1" applyBorder="1" applyAlignment="1">
      <alignment horizontal="center" vertical="center"/>
    </xf>
    <xf numFmtId="164" fontId="2" fillId="7" borderId="0" xfId="0" applyNumberFormat="1" applyFont="1" applyFill="1" applyBorder="1" applyAlignment="1">
      <alignment horizontal="center" vertical="center"/>
    </xf>
    <xf numFmtId="44" fontId="2" fillId="2" borderId="0" xfId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44" fontId="2" fillId="8" borderId="0" xfId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14" fontId="6" fillId="0" borderId="0" xfId="0" applyNumberFormat="1" applyFont="1" applyBorder="1" applyAlignment="1">
      <alignment horizontal="center" vertical="center"/>
    </xf>
    <xf numFmtId="14" fontId="6" fillId="0" borderId="0" xfId="0" applyNumberFormat="1" applyFont="1" applyBorder="1" applyAlignment="1">
      <alignment horizontal="center"/>
    </xf>
    <xf numFmtId="0" fontId="6" fillId="9" borderId="0" xfId="0" applyFont="1" applyFill="1" applyBorder="1"/>
    <xf numFmtId="0" fontId="6" fillId="0" borderId="0" xfId="0" applyFont="1" applyBorder="1"/>
    <xf numFmtId="8" fontId="6" fillId="0" borderId="0" xfId="0" applyNumberFormat="1" applyFont="1" applyBorder="1"/>
    <xf numFmtId="8" fontId="6" fillId="0" borderId="0" xfId="0" applyNumberFormat="1" applyFont="1" applyBorder="1" applyAlignment="1">
      <alignment vertical="center"/>
    </xf>
    <xf numFmtId="44" fontId="2" fillId="7" borderId="0" xfId="0" applyNumberFormat="1" applyFont="1" applyFill="1" applyBorder="1" applyAlignment="1">
      <alignment horizontal="center" vertical="center"/>
    </xf>
    <xf numFmtId="44" fontId="2" fillId="0" borderId="0" xfId="1" applyFont="1" applyBorder="1" applyAlignment="1">
      <alignment horizontal="center" wrapText="1"/>
    </xf>
    <xf numFmtId="0" fontId="2" fillId="0" borderId="0" xfId="0" quotePrefix="1" applyFont="1" applyBorder="1" applyAlignment="1">
      <alignment horizontal="center" vertical="center"/>
    </xf>
    <xf numFmtId="14" fontId="2" fillId="6" borderId="0" xfId="0" applyNumberFormat="1" applyFont="1" applyFill="1" applyBorder="1" applyAlignment="1">
      <alignment horizontal="center"/>
    </xf>
    <xf numFmtId="164" fontId="2" fillId="0" borderId="0" xfId="0" applyNumberFormat="1" applyFont="1" applyBorder="1" applyAlignment="1">
      <alignment horizontal="left" vertical="center"/>
    </xf>
    <xf numFmtId="0" fontId="2" fillId="5" borderId="0" xfId="0" applyFont="1" applyFill="1" applyBorder="1"/>
    <xf numFmtId="44" fontId="2" fillId="0" borderId="0" xfId="3" applyFont="1" applyBorder="1" applyAlignment="1">
      <alignment horizontal="center" vertical="center"/>
    </xf>
    <xf numFmtId="0" fontId="2" fillId="0" borderId="0" xfId="0" quotePrefix="1" applyFont="1" applyBorder="1" applyAlignment="1">
      <alignment horizontal="left" vertical="center" wrapText="1"/>
    </xf>
    <xf numFmtId="164" fontId="2" fillId="7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164" fontId="8" fillId="0" borderId="0" xfId="0" applyNumberFormat="1" applyFont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164" fontId="2" fillId="5" borderId="0" xfId="0" applyNumberFormat="1" applyFont="1" applyFill="1" applyBorder="1" applyAlignment="1">
      <alignment horizontal="center" vertical="center" wrapText="1"/>
    </xf>
    <xf numFmtId="164" fontId="2" fillId="5" borderId="0" xfId="0" applyNumberFormat="1" applyFont="1" applyFill="1" applyBorder="1" applyAlignment="1">
      <alignment horizontal="center" vertical="center"/>
    </xf>
    <xf numFmtId="0" fontId="5" fillId="10" borderId="0" xfId="0" applyFont="1" applyFill="1" applyBorder="1" applyAlignment="1">
      <alignment horizontal="left" vertical="center"/>
    </xf>
    <xf numFmtId="0" fontId="2" fillId="10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left" vertical="center"/>
    </xf>
    <xf numFmtId="44" fontId="2" fillId="10" borderId="0" xfId="0" applyNumberFormat="1" applyFont="1" applyFill="1" applyBorder="1" applyAlignment="1">
      <alignment horizontal="center" vertical="center"/>
    </xf>
    <xf numFmtId="44" fontId="2" fillId="10" borderId="0" xfId="1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/>
    </xf>
    <xf numFmtId="44" fontId="2" fillId="10" borderId="0" xfId="0" applyNumberFormat="1" applyFont="1" applyFill="1" applyBorder="1" applyAlignment="1">
      <alignment horizontal="left" vertical="center"/>
    </xf>
    <xf numFmtId="9" fontId="2" fillId="0" borderId="0" xfId="2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44" fontId="2" fillId="0" borderId="0" xfId="1" applyFont="1" applyBorder="1"/>
    <xf numFmtId="44" fontId="2" fillId="0" borderId="0" xfId="0" applyNumberFormat="1" applyFont="1" applyBorder="1" applyAlignment="1">
      <alignment horizontal="center"/>
    </xf>
    <xf numFmtId="44" fontId="2" fillId="0" borderId="0" xfId="0" applyNumberFormat="1" applyFont="1" applyBorder="1"/>
    <xf numFmtId="44" fontId="5" fillId="0" borderId="0" xfId="0" applyNumberFormat="1" applyFont="1" applyBorder="1" applyAlignment="1">
      <alignment horizontal="center"/>
    </xf>
    <xf numFmtId="9" fontId="2" fillId="0" borderId="0" xfId="2" applyFont="1" applyBorder="1" applyAlignment="1">
      <alignment horizontal="center"/>
    </xf>
    <xf numFmtId="2" fontId="2" fillId="0" borderId="0" xfId="0" applyNumberFormat="1" applyFont="1" applyBorder="1"/>
  </cellXfs>
  <cellStyles count="4">
    <cellStyle name="Currency" xfId="1" builtinId="4"/>
    <cellStyle name="Normal" xfId="0" builtinId="0"/>
    <cellStyle name="Per cent" xfId="2" builtinId="5"/>
    <cellStyle name="Valuta 4" xfId="3" xr:uid="{D5DA4F08-C66F-674A-BC82-0D9326E28D46}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yanrent.sharepoint.com/sites/RyanRent/Gedeelde%20documenten/General/01_RyanRent&amp;Co/Overzicht%20woningen%20RyanRent&amp;Co.xlsx" TargetMode="External"/><Relationship Id="rId1" Type="http://schemas.openxmlformats.org/officeDocument/2006/relationships/externalLinkPath" Target="/sites/RyanRent/Gedeelde%20documenten/General/01_RyanRent&amp;Co/Overzicht%20woningen%20RyanRent&amp;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R"/>
      <sheetName val="Sleutelplan nieuw"/>
      <sheetName val="Uitchecks"/>
      <sheetName val="Afwikkelen"/>
      <sheetName val="RR TIS"/>
      <sheetName val="Verhogingen"/>
      <sheetName val="Brieven Verhoging 2025 NL"/>
      <sheetName val="Brieven Verhoging 2025 ENG"/>
      <sheetName val="Routers"/>
      <sheetName val="Borgen Retour"/>
      <sheetName val="Tuin onderhoud"/>
      <sheetName val="SIMA kamers"/>
    </sheetNames>
    <sheetDataSet>
      <sheetData sheetId="0" refreshError="1"/>
      <sheetData sheetId="1">
        <row r="1">
          <cell r="A1" t="str">
            <v>OBJECT</v>
          </cell>
          <cell r="B1" t="str">
            <v>Straat en huisnummer</v>
          </cell>
        </row>
        <row r="2">
          <cell r="A2" t="str">
            <v>0001</v>
          </cell>
          <cell r="B2" t="str">
            <v>Nunspeetlaan 14</v>
          </cell>
        </row>
        <row r="3">
          <cell r="A3" t="str">
            <v>0002</v>
          </cell>
          <cell r="B3" t="str">
            <v>Allard Piersonlaan 142</v>
          </cell>
        </row>
        <row r="4">
          <cell r="A4" t="str">
            <v>0003</v>
          </cell>
          <cell r="B4" t="str">
            <v>Acacia 2</v>
          </cell>
        </row>
        <row r="5">
          <cell r="A5" t="str">
            <v>0004</v>
          </cell>
          <cell r="B5" t="str">
            <v>Broekweg 25</v>
          </cell>
        </row>
        <row r="6">
          <cell r="A6" t="str">
            <v>0005</v>
          </cell>
          <cell r="B6" t="str">
            <v>Ringbaan Oost 327</v>
          </cell>
        </row>
        <row r="7">
          <cell r="A7" t="str">
            <v>0006</v>
          </cell>
          <cell r="B7" t="str">
            <v>Enschotsestraat 163</v>
          </cell>
        </row>
        <row r="8">
          <cell r="A8" t="str">
            <v>0007</v>
          </cell>
          <cell r="B8" t="str">
            <v>Adriaan Baasstraat 34</v>
          </cell>
        </row>
        <row r="9">
          <cell r="A9" t="str">
            <v>0008</v>
          </cell>
          <cell r="B9" t="str">
            <v>Arkelse Onderweg 24a</v>
          </cell>
        </row>
        <row r="10">
          <cell r="A10" t="str">
            <v>0009</v>
          </cell>
          <cell r="B10" t="str">
            <v>Galgeweg 48-A</v>
          </cell>
        </row>
        <row r="11">
          <cell r="A11" t="str">
            <v>0010</v>
          </cell>
          <cell r="B11" t="str">
            <v>Kethelweg 1B</v>
          </cell>
        </row>
        <row r="12">
          <cell r="A12" t="str">
            <v>0011</v>
          </cell>
          <cell r="B12" t="str">
            <v>Kethelweg 1C</v>
          </cell>
        </row>
        <row r="13">
          <cell r="A13" t="str">
            <v>0012</v>
          </cell>
          <cell r="B13" t="str">
            <v>Baarlelaan 27</v>
          </cell>
        </row>
        <row r="14">
          <cell r="A14" t="str">
            <v>0013</v>
          </cell>
          <cell r="B14" t="str">
            <v>Baarsveen 197</v>
          </cell>
        </row>
        <row r="15">
          <cell r="A15" t="str">
            <v>0014</v>
          </cell>
          <cell r="B15" t="str">
            <v>Abelenlaan 143</v>
          </cell>
        </row>
        <row r="16">
          <cell r="A16" t="str">
            <v>0015</v>
          </cell>
          <cell r="B16" t="str">
            <v xml:space="preserve">Maasdijk 69 </v>
          </cell>
        </row>
        <row r="17">
          <cell r="A17" t="str">
            <v>0016</v>
          </cell>
          <cell r="B17" t="str">
            <v>van Scorelstraat 73</v>
          </cell>
        </row>
        <row r="18">
          <cell r="A18" t="str">
            <v>0017</v>
          </cell>
          <cell r="B18" t="str">
            <v>G.A. Brederolaan 75B</v>
          </cell>
        </row>
        <row r="19">
          <cell r="A19" t="str">
            <v>0018</v>
          </cell>
          <cell r="B19" t="str">
            <v>Meester G. Groen van Prinsterlaan 313</v>
          </cell>
        </row>
        <row r="20">
          <cell r="A20" t="str">
            <v>0019</v>
          </cell>
          <cell r="B20" t="str">
            <v>Franselaan 273B</v>
          </cell>
        </row>
        <row r="21">
          <cell r="A21" t="str">
            <v>0020</v>
          </cell>
          <cell r="B21" t="str">
            <v>Mr. Troelstrastraat 37</v>
          </cell>
        </row>
        <row r="22">
          <cell r="A22" t="str">
            <v>0021</v>
          </cell>
          <cell r="B22" t="str">
            <v>Vaartweg 106C</v>
          </cell>
        </row>
        <row r="23">
          <cell r="A23" t="str">
            <v>0022</v>
          </cell>
          <cell r="B23" t="str">
            <v>2e van Leydengaelstraat 6</v>
          </cell>
        </row>
        <row r="24">
          <cell r="A24" t="str">
            <v>0023</v>
          </cell>
          <cell r="B24" t="str">
            <v>Desiree Geeraertstraat 1 B</v>
          </cell>
        </row>
        <row r="25">
          <cell r="A25" t="str">
            <v>0024</v>
          </cell>
          <cell r="B25" t="str">
            <v>Desiree Geeraertstraat 1 C</v>
          </cell>
        </row>
        <row r="26">
          <cell r="A26" t="str">
            <v>0025</v>
          </cell>
          <cell r="B26" t="str">
            <v>Groenelaan 30B</v>
          </cell>
        </row>
        <row r="27">
          <cell r="A27" t="str">
            <v>0026</v>
          </cell>
          <cell r="B27" t="str">
            <v>Chopinstraat 39C</v>
          </cell>
        </row>
        <row r="28">
          <cell r="A28" t="str">
            <v>0027</v>
          </cell>
          <cell r="B28" t="str">
            <v>Buizerdstraat 210</v>
          </cell>
        </row>
        <row r="29">
          <cell r="A29" t="str">
            <v>0028</v>
          </cell>
          <cell r="B29" t="str">
            <v>Lange kruisweg 12</v>
          </cell>
        </row>
        <row r="30">
          <cell r="A30" t="str">
            <v>0029</v>
          </cell>
          <cell r="B30" t="str">
            <v>Madeliefstraat 46c</v>
          </cell>
        </row>
        <row r="31">
          <cell r="A31" t="str">
            <v>0030</v>
          </cell>
          <cell r="B31" t="str">
            <v>Curacaolaan 88</v>
          </cell>
        </row>
        <row r="32">
          <cell r="A32" t="str">
            <v>0031</v>
          </cell>
          <cell r="B32" t="str">
            <v>Hogenbanweg 331</v>
          </cell>
        </row>
        <row r="33">
          <cell r="A33" t="str">
            <v>0032</v>
          </cell>
          <cell r="B33" t="str">
            <v>Jacob van offwegenlaan 26</v>
          </cell>
        </row>
        <row r="34">
          <cell r="A34" t="str">
            <v>0033</v>
          </cell>
          <cell r="B34" t="str">
            <v>Kethelweg 66C</v>
          </cell>
        </row>
        <row r="35">
          <cell r="A35" t="str">
            <v>0034</v>
          </cell>
          <cell r="B35" t="str">
            <v>Kethelweg 68A</v>
          </cell>
        </row>
        <row r="36">
          <cell r="A36" t="str">
            <v>0035</v>
          </cell>
          <cell r="B36" t="str">
            <v>Messchaertplein 39</v>
          </cell>
        </row>
        <row r="37">
          <cell r="A37" t="str">
            <v>0036</v>
          </cell>
          <cell r="B37" t="str">
            <v>Messchaertplein 40</v>
          </cell>
        </row>
        <row r="38">
          <cell r="A38" t="str">
            <v>0037</v>
          </cell>
          <cell r="B38" t="str">
            <v>Messchaertplein 40</v>
          </cell>
        </row>
        <row r="39">
          <cell r="A39" t="str">
            <v>0038</v>
          </cell>
          <cell r="B39" t="str">
            <v>Westfrankelandsestraat 108</v>
          </cell>
        </row>
        <row r="40">
          <cell r="A40" t="str">
            <v>0039</v>
          </cell>
          <cell r="B40" t="str">
            <v>Inundatiestraat 3</v>
          </cell>
        </row>
        <row r="41">
          <cell r="A41" t="str">
            <v>0040</v>
          </cell>
          <cell r="B41" t="str">
            <v>Beatrixstraat 3</v>
          </cell>
        </row>
        <row r="42">
          <cell r="A42" t="str">
            <v>0041</v>
          </cell>
          <cell r="B42" t="str">
            <v>Nunspeetlaan 53</v>
          </cell>
        </row>
        <row r="43">
          <cell r="A43" t="str">
            <v>0042</v>
          </cell>
          <cell r="B43" t="str">
            <v>Parallelweg 110A</v>
          </cell>
        </row>
        <row r="44">
          <cell r="A44" t="str">
            <v>0043</v>
          </cell>
          <cell r="B44" t="str">
            <v>Amperelaan 23</v>
          </cell>
        </row>
        <row r="45">
          <cell r="A45" t="str">
            <v>0044</v>
          </cell>
          <cell r="B45" t="str">
            <v>Pleinweg 101 A</v>
          </cell>
        </row>
        <row r="46">
          <cell r="A46" t="str">
            <v>0045</v>
          </cell>
          <cell r="B46" t="str">
            <v>Pleinweg 101 B</v>
          </cell>
        </row>
        <row r="47">
          <cell r="A47" t="str">
            <v>0046</v>
          </cell>
          <cell r="B47" t="str">
            <v>Nieuwenhoornstraat 46B</v>
          </cell>
        </row>
        <row r="48">
          <cell r="A48" t="str">
            <v>0047</v>
          </cell>
          <cell r="B48" t="str">
            <v>Bisschopstraat 68</v>
          </cell>
        </row>
        <row r="49">
          <cell r="A49" t="str">
            <v>0048</v>
          </cell>
          <cell r="B49" t="str">
            <v>Bliek 41</v>
          </cell>
        </row>
        <row r="50">
          <cell r="A50" t="str">
            <v>0049</v>
          </cell>
          <cell r="B50" t="str">
            <v>Bornerbroeksestraat 129A</v>
          </cell>
        </row>
        <row r="51">
          <cell r="A51" t="str">
            <v>0050</v>
          </cell>
          <cell r="B51" t="str">
            <v>Sint Josephstraat 61</v>
          </cell>
        </row>
        <row r="52">
          <cell r="A52" t="str">
            <v>0051</v>
          </cell>
          <cell r="B52" t="str">
            <v>Coehoorn van Scheltingaweg 12</v>
          </cell>
        </row>
        <row r="53">
          <cell r="A53" t="str">
            <v>0052</v>
          </cell>
          <cell r="B53" t="str">
            <v>Coehoorn van Scheltingaweg 66</v>
          </cell>
        </row>
        <row r="54">
          <cell r="A54" t="str">
            <v>0053</v>
          </cell>
          <cell r="B54" t="str">
            <v xml:space="preserve">Curcumastraat 39 </v>
          </cell>
        </row>
        <row r="55">
          <cell r="A55" t="str">
            <v>0054</v>
          </cell>
          <cell r="B55" t="str">
            <v>De Gasperistraat 11</v>
          </cell>
        </row>
        <row r="56">
          <cell r="A56" t="str">
            <v>0055</v>
          </cell>
          <cell r="B56" t="str">
            <v>Baanhoek 139</v>
          </cell>
        </row>
        <row r="57">
          <cell r="A57" t="str">
            <v>0056</v>
          </cell>
          <cell r="B57" t="str">
            <v>De Hooidollen 606</v>
          </cell>
        </row>
        <row r="58">
          <cell r="A58" t="str">
            <v>0057</v>
          </cell>
          <cell r="B58" t="str">
            <v xml:space="preserve">Markt 5 </v>
          </cell>
        </row>
        <row r="59">
          <cell r="A59" t="str">
            <v>0058</v>
          </cell>
          <cell r="B59" t="str">
            <v>Deugenweerd 18</v>
          </cell>
        </row>
        <row r="60">
          <cell r="A60" t="str">
            <v>0059</v>
          </cell>
          <cell r="B60" t="str">
            <v>Dieptol 63</v>
          </cell>
        </row>
        <row r="61">
          <cell r="A61" t="str">
            <v>0060</v>
          </cell>
          <cell r="B61" t="str">
            <v>Besterdring 6</v>
          </cell>
        </row>
        <row r="62">
          <cell r="A62" t="str">
            <v>0061</v>
          </cell>
          <cell r="B62" t="str">
            <v xml:space="preserve">Dwarsweg 44 </v>
          </cell>
        </row>
        <row r="63">
          <cell r="A63" t="str">
            <v>0062</v>
          </cell>
          <cell r="B63" t="str">
            <v>Eendrachtstraat 22</v>
          </cell>
        </row>
        <row r="64">
          <cell r="A64" t="str">
            <v>0063</v>
          </cell>
          <cell r="B64" t="str">
            <v xml:space="preserve">Energieweg 40 </v>
          </cell>
        </row>
        <row r="65">
          <cell r="A65" t="str">
            <v>0064</v>
          </cell>
          <cell r="B65" t="str">
            <v>Enk 6</v>
          </cell>
        </row>
        <row r="66">
          <cell r="A66" t="str">
            <v>0065</v>
          </cell>
          <cell r="B66" t="str">
            <v xml:space="preserve">Esdoornlaan 68 </v>
          </cell>
        </row>
        <row r="67">
          <cell r="A67" t="str">
            <v>0066</v>
          </cell>
          <cell r="B67" t="str">
            <v xml:space="preserve">Dorpsstraat 73 </v>
          </cell>
        </row>
        <row r="68">
          <cell r="A68" t="str">
            <v>0067</v>
          </cell>
          <cell r="B68" t="str">
            <v>Franz Liszstraat 5</v>
          </cell>
        </row>
        <row r="69">
          <cell r="A69" t="str">
            <v>0068</v>
          </cell>
          <cell r="B69" t="str">
            <v>F.Erensstraat 21</v>
          </cell>
        </row>
        <row r="70">
          <cell r="A70" t="str">
            <v>0069</v>
          </cell>
          <cell r="B70" t="str">
            <v>Gaffelaar 3</v>
          </cell>
        </row>
        <row r="71">
          <cell r="A71" t="str">
            <v>0070</v>
          </cell>
          <cell r="B71" t="str">
            <v>Geleenstraat 1</v>
          </cell>
        </row>
        <row r="72">
          <cell r="A72" t="str">
            <v>0071</v>
          </cell>
          <cell r="B72" t="str">
            <v>H. Algraplein 25</v>
          </cell>
        </row>
        <row r="73">
          <cell r="A73" t="str">
            <v>0072</v>
          </cell>
          <cell r="B73" t="str">
            <v>Heemskerkstraat 19</v>
          </cell>
        </row>
        <row r="74">
          <cell r="A74" t="str">
            <v>0073</v>
          </cell>
          <cell r="B74" t="str">
            <v>Hendrik Deddenstraat 26</v>
          </cell>
        </row>
        <row r="75">
          <cell r="A75" t="str">
            <v>0074</v>
          </cell>
          <cell r="B75" t="str">
            <v>Monseigneur W.M. Bekkerslaan 34</v>
          </cell>
        </row>
        <row r="76">
          <cell r="A76" t="str">
            <v>0075</v>
          </cell>
          <cell r="B76" t="str">
            <v>Hoofdstraat 110</v>
          </cell>
        </row>
        <row r="77">
          <cell r="A77" t="str">
            <v>0076</v>
          </cell>
          <cell r="B77" t="str">
            <v>Molendijk 4</v>
          </cell>
        </row>
        <row r="78">
          <cell r="A78" t="str">
            <v>0077</v>
          </cell>
          <cell r="B78" t="str">
            <v>Voorstraat 10</v>
          </cell>
        </row>
        <row r="79">
          <cell r="A79" t="str">
            <v>0078</v>
          </cell>
          <cell r="B79" t="str">
            <v>Hooizolder 6</v>
          </cell>
        </row>
        <row r="80">
          <cell r="A80" t="str">
            <v>0079</v>
          </cell>
          <cell r="B80" t="str">
            <v>Ploegstraat 2a</v>
          </cell>
        </row>
        <row r="81">
          <cell r="A81" t="str">
            <v>0080</v>
          </cell>
          <cell r="B81" t="str">
            <v>Voorstraat 25</v>
          </cell>
        </row>
        <row r="82">
          <cell r="A82" t="str">
            <v>0081</v>
          </cell>
          <cell r="B82" t="str">
            <v>Patrijsstraat 39</v>
          </cell>
        </row>
        <row r="83">
          <cell r="A83" t="str">
            <v>0082</v>
          </cell>
          <cell r="B83" t="str">
            <v>Kanaal van Steenenhoek Z.Z. 10</v>
          </cell>
        </row>
        <row r="84">
          <cell r="A84" t="str">
            <v>0083</v>
          </cell>
          <cell r="B84" t="str">
            <v>Pastoriedijk 89</v>
          </cell>
        </row>
        <row r="85">
          <cell r="A85" t="str">
            <v>0084</v>
          </cell>
          <cell r="B85" t="str">
            <v>Kerkdreef 42</v>
          </cell>
        </row>
        <row r="86">
          <cell r="A86" t="str">
            <v>0085</v>
          </cell>
          <cell r="B86" t="str">
            <v>Kierkegaardhof 54</v>
          </cell>
        </row>
        <row r="87">
          <cell r="A87" t="str">
            <v>0086</v>
          </cell>
          <cell r="B87" t="str">
            <v>Kleine Beer 60</v>
          </cell>
        </row>
        <row r="88">
          <cell r="A88" t="str">
            <v>0087</v>
          </cell>
          <cell r="B88" t="str">
            <v>Jasmijnring 37</v>
          </cell>
        </row>
        <row r="89">
          <cell r="A89" t="str">
            <v>0088</v>
          </cell>
          <cell r="B89" t="str">
            <v>Kethelweg 66A</v>
          </cell>
        </row>
        <row r="90">
          <cell r="A90" t="str">
            <v>0089</v>
          </cell>
          <cell r="B90" t="str">
            <v>Van Maanenstraat 14A</v>
          </cell>
        </row>
        <row r="91">
          <cell r="A91" t="str">
            <v>0090</v>
          </cell>
          <cell r="B91" t="str">
            <v>Laan van Nieuw Blankenburg 278</v>
          </cell>
        </row>
        <row r="92">
          <cell r="A92" t="str">
            <v>0091</v>
          </cell>
          <cell r="B92" t="str">
            <v>Landsteinerhof 68</v>
          </cell>
        </row>
        <row r="93">
          <cell r="A93" t="str">
            <v>0092</v>
          </cell>
          <cell r="B93" t="str">
            <v>Lange Brink 3</v>
          </cell>
        </row>
        <row r="94">
          <cell r="A94" t="str">
            <v>0093</v>
          </cell>
          <cell r="B94" t="str">
            <v>Fabristraat 34A</v>
          </cell>
        </row>
        <row r="95">
          <cell r="A95" t="str">
            <v>0094</v>
          </cell>
          <cell r="B95" t="str">
            <v>Fabristraat 34B</v>
          </cell>
        </row>
        <row r="96">
          <cell r="A96" t="str">
            <v>0095</v>
          </cell>
          <cell r="B96" t="str">
            <v>Engelsestraat 16L3</v>
          </cell>
        </row>
        <row r="97">
          <cell r="A97" t="str">
            <v>0096</v>
          </cell>
          <cell r="B97" t="str">
            <v>Loggerstraat 3</v>
          </cell>
        </row>
        <row r="98">
          <cell r="A98" t="str">
            <v>0097</v>
          </cell>
          <cell r="B98" t="str">
            <v>Burchstraat 16A</v>
          </cell>
        </row>
        <row r="99">
          <cell r="A99" t="str">
            <v>0098</v>
          </cell>
          <cell r="B99" t="str">
            <v>Melis Stokezijde 94</v>
          </cell>
        </row>
        <row r="100">
          <cell r="A100" t="str">
            <v>0099</v>
          </cell>
          <cell r="B100" t="str">
            <v>Steenen Dijck 87</v>
          </cell>
        </row>
        <row r="101">
          <cell r="A101" t="str">
            <v>0100</v>
          </cell>
          <cell r="B101" t="str">
            <v>Molenweg 135</v>
          </cell>
        </row>
        <row r="102">
          <cell r="A102" t="str">
            <v>0101</v>
          </cell>
          <cell r="B102" t="str">
            <v>Moureauveld 8</v>
          </cell>
        </row>
        <row r="103">
          <cell r="A103" t="str">
            <v>0102</v>
          </cell>
          <cell r="B103" t="str">
            <v>Narcissenstraat 9</v>
          </cell>
        </row>
        <row r="104">
          <cell r="A104" t="str">
            <v>0103</v>
          </cell>
          <cell r="B104" t="str">
            <v xml:space="preserve">Narcissenstraat 23 </v>
          </cell>
        </row>
        <row r="105">
          <cell r="A105" t="str">
            <v>0104</v>
          </cell>
          <cell r="B105" t="str">
            <v>Narcissenstraat 37</v>
          </cell>
        </row>
        <row r="106">
          <cell r="A106" t="str">
            <v>0105</v>
          </cell>
          <cell r="B106" t="str">
            <v>Wieldraaierstraat 39</v>
          </cell>
        </row>
        <row r="107">
          <cell r="A107" t="str">
            <v>0106</v>
          </cell>
          <cell r="B107" t="str">
            <v>Prinses Wilhelminastraat 9</v>
          </cell>
        </row>
        <row r="108">
          <cell r="A108" t="str">
            <v>0107</v>
          </cell>
          <cell r="B108" t="str">
            <v>Hoefslag 8</v>
          </cell>
        </row>
        <row r="109">
          <cell r="A109" t="str">
            <v>0108</v>
          </cell>
          <cell r="B109" t="str">
            <v>Nieuwe Zeedijk 1K 308</v>
          </cell>
        </row>
        <row r="110">
          <cell r="A110" t="str">
            <v>0109</v>
          </cell>
          <cell r="B110" t="str">
            <v>Geldersestraat 91</v>
          </cell>
        </row>
        <row r="111">
          <cell r="A111" t="str">
            <v>0110</v>
          </cell>
          <cell r="B111" t="str">
            <v>Opaal 9</v>
          </cell>
        </row>
        <row r="112">
          <cell r="A112" t="str">
            <v>0111</v>
          </cell>
          <cell r="B112" t="str">
            <v>Oosterstraat 89</v>
          </cell>
        </row>
        <row r="113">
          <cell r="A113" t="str">
            <v>0112</v>
          </cell>
          <cell r="B113" t="str">
            <v>Oudewefslaan 84</v>
          </cell>
        </row>
        <row r="114">
          <cell r="A114" t="str">
            <v>0113</v>
          </cell>
          <cell r="B114" t="str">
            <v>Peursumseweg 119A</v>
          </cell>
        </row>
        <row r="115">
          <cell r="A115" t="str">
            <v>0114</v>
          </cell>
          <cell r="B115" t="str">
            <v>Piersonstraat 8</v>
          </cell>
        </row>
        <row r="116">
          <cell r="A116" t="str">
            <v>0115</v>
          </cell>
          <cell r="B116" t="str">
            <v>Poppestraat 59</v>
          </cell>
        </row>
        <row r="117">
          <cell r="A117" t="str">
            <v>0116</v>
          </cell>
          <cell r="B117" t="str">
            <v>Prins Bernhardstraat 40</v>
          </cell>
        </row>
        <row r="118">
          <cell r="A118" t="str">
            <v>0117</v>
          </cell>
          <cell r="B118" t="str">
            <v>Prunuslaan 36</v>
          </cell>
        </row>
        <row r="119">
          <cell r="A119" t="str">
            <v>0118</v>
          </cell>
          <cell r="B119" t="str">
            <v>Marathonlaan 26</v>
          </cell>
        </row>
        <row r="120">
          <cell r="A120" t="str">
            <v>0119</v>
          </cell>
          <cell r="B120" t="str">
            <v>Koningin Julianastraat 27</v>
          </cell>
        </row>
        <row r="121">
          <cell r="A121">
            <v>120</v>
          </cell>
          <cell r="B121" t="str">
            <v>De Plaats 10</v>
          </cell>
        </row>
        <row r="122">
          <cell r="A122" t="str">
            <v>0121</v>
          </cell>
          <cell r="B122" t="str">
            <v>Rivierdijk 794</v>
          </cell>
        </row>
        <row r="123">
          <cell r="A123" t="str">
            <v>0122</v>
          </cell>
          <cell r="B123" t="str">
            <v xml:space="preserve">Kethelweg 66B </v>
          </cell>
        </row>
        <row r="124">
          <cell r="A124" t="str">
            <v>0123</v>
          </cell>
          <cell r="B124" t="str">
            <v>Snecanusstraat 12</v>
          </cell>
        </row>
        <row r="125">
          <cell r="A125" t="str">
            <v>0124</v>
          </cell>
          <cell r="B125" t="str">
            <v>Snoekenveen 242</v>
          </cell>
        </row>
        <row r="126">
          <cell r="A126" t="str">
            <v>0125</v>
          </cell>
          <cell r="B126" t="str">
            <v>Korte Singelstraat 21-3</v>
          </cell>
        </row>
        <row r="127">
          <cell r="A127" t="str">
            <v>0126</v>
          </cell>
          <cell r="B127" t="str">
            <v>Korte Singelstraat 21-2</v>
          </cell>
        </row>
        <row r="128">
          <cell r="A128" t="str">
            <v>0127</v>
          </cell>
          <cell r="B128" t="str">
            <v>Struitenweg 19b</v>
          </cell>
        </row>
        <row r="129">
          <cell r="A129" t="str">
            <v>0128</v>
          </cell>
          <cell r="B129" t="str">
            <v>Tesselschadelaan 45</v>
          </cell>
        </row>
        <row r="130">
          <cell r="A130" t="str">
            <v>0129</v>
          </cell>
          <cell r="B130" t="str">
            <v xml:space="preserve">Utrechtse straatweg 7 </v>
          </cell>
        </row>
        <row r="131">
          <cell r="A131" t="str">
            <v>0130</v>
          </cell>
          <cell r="B131" t="str">
            <v>Van Langedonckstraat 80</v>
          </cell>
        </row>
        <row r="132">
          <cell r="A132" t="str">
            <v>0131</v>
          </cell>
          <cell r="B132" t="str">
            <v xml:space="preserve">Chopinstraat 35A </v>
          </cell>
        </row>
        <row r="133">
          <cell r="A133" t="str">
            <v>0132</v>
          </cell>
          <cell r="B133" t="str">
            <v>Voeghoutenstraat 236</v>
          </cell>
        </row>
        <row r="134">
          <cell r="A134" t="str">
            <v>0133</v>
          </cell>
          <cell r="B134" t="str">
            <v>Herenpad 20 A</v>
          </cell>
        </row>
        <row r="135">
          <cell r="A135" t="str">
            <v>0134</v>
          </cell>
          <cell r="B135" t="str">
            <v>Herenpad 20 B</v>
          </cell>
        </row>
        <row r="136">
          <cell r="A136" t="str">
            <v>0135</v>
          </cell>
          <cell r="B136" t="str">
            <v>Ampèrestraat 36A</v>
          </cell>
        </row>
        <row r="137">
          <cell r="A137" t="str">
            <v>0136</v>
          </cell>
          <cell r="B137" t="str">
            <v>Elisadonk 220</v>
          </cell>
        </row>
        <row r="138">
          <cell r="A138" t="str">
            <v>0137</v>
          </cell>
          <cell r="B138" t="str">
            <v>Venkelstraat 29A</v>
          </cell>
        </row>
        <row r="139">
          <cell r="A139" t="str">
            <v>0138</v>
          </cell>
          <cell r="B139" t="str">
            <v>Westercluft 134</v>
          </cell>
        </row>
        <row r="140">
          <cell r="A140" t="str">
            <v>0139</v>
          </cell>
          <cell r="B140" t="str">
            <v xml:space="preserve">Wilgensingel 63 </v>
          </cell>
        </row>
        <row r="141">
          <cell r="A141" t="str">
            <v>0140</v>
          </cell>
          <cell r="B141" t="str">
            <v>Wilgenstraat 37</v>
          </cell>
        </row>
        <row r="142">
          <cell r="A142" t="str">
            <v>0141</v>
          </cell>
          <cell r="B142" t="str">
            <v>Wilhelminastraat 8</v>
          </cell>
        </row>
        <row r="143">
          <cell r="A143" t="str">
            <v>0142</v>
          </cell>
          <cell r="B143" t="str">
            <v>Wilhelmina Druckerstraat 68</v>
          </cell>
        </row>
        <row r="144">
          <cell r="A144" t="str">
            <v>0143</v>
          </cell>
          <cell r="B144" t="str">
            <v>Willem Lodewijkstraat 8</v>
          </cell>
        </row>
        <row r="145">
          <cell r="A145" t="str">
            <v>0144</v>
          </cell>
          <cell r="B145" t="str">
            <v>Scheepjesbrug 433</v>
          </cell>
        </row>
        <row r="146">
          <cell r="A146" t="str">
            <v>0145</v>
          </cell>
          <cell r="B146" t="str">
            <v>Wouwbaan 230</v>
          </cell>
        </row>
        <row r="147">
          <cell r="A147" t="str">
            <v>0146</v>
          </cell>
          <cell r="B147" t="str">
            <v>Johan Willem Frisostraat 36</v>
          </cell>
        </row>
        <row r="148">
          <cell r="A148" t="str">
            <v>0147</v>
          </cell>
          <cell r="B148" t="str">
            <v>Hugo de Grootstraat 72A &amp; B</v>
          </cell>
        </row>
        <row r="149">
          <cell r="A149" t="str">
            <v>0148</v>
          </cell>
          <cell r="B149" t="str">
            <v>2e Maasbosstraat 2 a</v>
          </cell>
        </row>
        <row r="150">
          <cell r="A150" t="str">
            <v>0149</v>
          </cell>
          <cell r="B150" t="str">
            <v>2e Maasbosstraat 2 b</v>
          </cell>
        </row>
        <row r="151">
          <cell r="A151" t="str">
            <v>0150</v>
          </cell>
          <cell r="B151" t="str">
            <v>2e Maasbosstraat 2 c</v>
          </cell>
        </row>
        <row r="152">
          <cell r="A152" t="str">
            <v>0151</v>
          </cell>
          <cell r="B152" t="str">
            <v>Datheenstraat 255</v>
          </cell>
        </row>
        <row r="153">
          <cell r="A153" t="str">
            <v>0152</v>
          </cell>
          <cell r="B153" t="str">
            <v>Beeklaan 294</v>
          </cell>
        </row>
        <row r="154">
          <cell r="A154" t="str">
            <v>0153</v>
          </cell>
          <cell r="B154" t="str">
            <v>Deensestraat 6A2</v>
          </cell>
        </row>
        <row r="155">
          <cell r="A155" t="str">
            <v>0154</v>
          </cell>
          <cell r="B155" t="str">
            <v>Rubensplein 6B3</v>
          </cell>
        </row>
        <row r="156">
          <cell r="A156" t="str">
            <v>0155</v>
          </cell>
          <cell r="B156" t="str">
            <v>Broersveld 150A</v>
          </cell>
        </row>
        <row r="157">
          <cell r="A157" t="str">
            <v>0156</v>
          </cell>
          <cell r="B157" t="str">
            <v>Broersvest 74 c</v>
          </cell>
        </row>
        <row r="158">
          <cell r="A158" t="str">
            <v>0157</v>
          </cell>
          <cell r="B158" t="str">
            <v>Kuipers-Rietbergpad 15</v>
          </cell>
        </row>
        <row r="159">
          <cell r="A159" t="str">
            <v>0158</v>
          </cell>
          <cell r="B159" t="str">
            <v>Visartstraat 31</v>
          </cell>
        </row>
        <row r="160">
          <cell r="A160" t="str">
            <v>0159</v>
          </cell>
          <cell r="B160" t="str">
            <v>Kastanjelaan 232</v>
          </cell>
        </row>
        <row r="161">
          <cell r="A161" t="str">
            <v>0160</v>
          </cell>
          <cell r="B161" t="str">
            <v>Chopinstraat 33C</v>
          </cell>
        </row>
        <row r="162">
          <cell r="A162" t="str">
            <v>0161</v>
          </cell>
          <cell r="B162" t="str">
            <v>Willem de Rijkelaan 134</v>
          </cell>
        </row>
        <row r="163">
          <cell r="A163" t="str">
            <v>0162</v>
          </cell>
          <cell r="B163" t="str">
            <v xml:space="preserve">Coornhertstraat 95 </v>
          </cell>
        </row>
        <row r="164">
          <cell r="A164" t="str">
            <v>0163</v>
          </cell>
          <cell r="B164" t="str">
            <v>Curacaolaan 24</v>
          </cell>
        </row>
        <row r="165">
          <cell r="A165" t="str">
            <v>0164</v>
          </cell>
          <cell r="B165" t="str">
            <v>Sint-Annalandstraat 116</v>
          </cell>
        </row>
        <row r="166">
          <cell r="A166" t="str">
            <v>0165</v>
          </cell>
          <cell r="B166" t="str">
            <v>De Driesprong 17</v>
          </cell>
        </row>
        <row r="167">
          <cell r="A167" t="str">
            <v>0166</v>
          </cell>
          <cell r="B167" t="str">
            <v>Nieuwkerstraat 78</v>
          </cell>
        </row>
        <row r="168">
          <cell r="A168" t="str">
            <v>0167</v>
          </cell>
          <cell r="B168" t="str">
            <v>Vogelschorstraat 24</v>
          </cell>
        </row>
        <row r="169">
          <cell r="A169" t="str">
            <v>0168</v>
          </cell>
          <cell r="B169" t="str">
            <v>Engelsestraat 16L1</v>
          </cell>
        </row>
        <row r="170">
          <cell r="A170" t="str">
            <v>0169</v>
          </cell>
          <cell r="B170" t="str">
            <v>de Genestetstraat 32</v>
          </cell>
        </row>
        <row r="171">
          <cell r="A171" t="str">
            <v>0170</v>
          </cell>
          <cell r="B171" t="str">
            <v>Goudestein 30</v>
          </cell>
        </row>
        <row r="172">
          <cell r="A172" t="str">
            <v>0171</v>
          </cell>
          <cell r="B172" t="str">
            <v>Wijdstraat 13</v>
          </cell>
        </row>
        <row r="173">
          <cell r="A173" t="str">
            <v>0172</v>
          </cell>
          <cell r="B173" t="str">
            <v>Groeneweg 127</v>
          </cell>
        </row>
        <row r="174">
          <cell r="A174" t="str">
            <v>0173</v>
          </cell>
          <cell r="B174" t="str">
            <v xml:space="preserve">Groeneweg 71 </v>
          </cell>
        </row>
        <row r="175">
          <cell r="A175" t="str">
            <v>0174</v>
          </cell>
          <cell r="B175" t="str">
            <v>Groeneweg 74</v>
          </cell>
        </row>
        <row r="176">
          <cell r="A176" t="str">
            <v>0175</v>
          </cell>
          <cell r="B176" t="str">
            <v>Hagastraat 8</v>
          </cell>
        </row>
        <row r="177">
          <cell r="A177" t="str">
            <v>0176</v>
          </cell>
          <cell r="B177" t="str">
            <v xml:space="preserve">Herautpad 22 </v>
          </cell>
        </row>
        <row r="178">
          <cell r="A178" t="str">
            <v>0177</v>
          </cell>
          <cell r="B178" t="str">
            <v>Hoge Noordweg 27B</v>
          </cell>
        </row>
        <row r="179">
          <cell r="A179" t="str">
            <v>0178</v>
          </cell>
          <cell r="B179" t="str">
            <v>Hoge Noordweg 28</v>
          </cell>
        </row>
        <row r="180">
          <cell r="A180" t="str">
            <v>0179</v>
          </cell>
          <cell r="B180" t="str">
            <v>Rooseveltlaan 185</v>
          </cell>
        </row>
        <row r="181">
          <cell r="A181" t="str">
            <v>0180</v>
          </cell>
          <cell r="B181" t="str">
            <v>Liesveld 100</v>
          </cell>
        </row>
        <row r="182">
          <cell r="A182" t="str">
            <v>0181</v>
          </cell>
          <cell r="B182" t="str">
            <v>Hontenissestraat 124</v>
          </cell>
        </row>
        <row r="183">
          <cell r="A183" t="str">
            <v>0182</v>
          </cell>
          <cell r="B183" t="str">
            <v>Malzwin 34</v>
          </cell>
        </row>
        <row r="184">
          <cell r="A184" t="str">
            <v>0183</v>
          </cell>
          <cell r="B184" t="str">
            <v xml:space="preserve">Hugo de Vriesstraat 54 </v>
          </cell>
        </row>
        <row r="185">
          <cell r="A185" t="str">
            <v>0184</v>
          </cell>
          <cell r="B185" t="str">
            <v>Mathenesserdijk 261-C03</v>
          </cell>
        </row>
        <row r="186">
          <cell r="A186" t="str">
            <v>0185</v>
          </cell>
          <cell r="B186" t="str">
            <v>Laan van Nieuw Blankenburg 328</v>
          </cell>
        </row>
        <row r="187">
          <cell r="A187" t="str">
            <v>0186</v>
          </cell>
          <cell r="B187" t="str">
            <v xml:space="preserve">Woutersweg 20 </v>
          </cell>
        </row>
        <row r="188">
          <cell r="A188" t="str">
            <v>0187</v>
          </cell>
          <cell r="B188" t="str">
            <v>Jacob van Lennepstraat 13 A</v>
          </cell>
        </row>
        <row r="189">
          <cell r="A189" t="str">
            <v>0188</v>
          </cell>
          <cell r="B189" t="str">
            <v>Jacob van Lennepstraat 13 b</v>
          </cell>
        </row>
        <row r="190">
          <cell r="A190" t="str">
            <v>0189</v>
          </cell>
          <cell r="B190" t="str">
            <v>Jacob van Lennepstraat 34</v>
          </cell>
        </row>
        <row r="191">
          <cell r="A191" t="str">
            <v>0190</v>
          </cell>
          <cell r="B191" t="str">
            <v>Achterdijk 47A</v>
          </cell>
        </row>
        <row r="192">
          <cell r="A192" t="str">
            <v>0191</v>
          </cell>
          <cell r="B192" t="str">
            <v>Jan van Arkelstraat 118</v>
          </cell>
        </row>
        <row r="193">
          <cell r="A193" t="str">
            <v>0192</v>
          </cell>
          <cell r="B193" t="str">
            <v xml:space="preserve">Kaapsebos 11 </v>
          </cell>
        </row>
        <row r="194">
          <cell r="A194" t="str">
            <v>0193</v>
          </cell>
          <cell r="B194" t="str">
            <v>Kapershoek 11</v>
          </cell>
        </row>
        <row r="195">
          <cell r="A195" t="str">
            <v>0194</v>
          </cell>
          <cell r="B195" t="str">
            <v>Keesomstraat 22</v>
          </cell>
        </row>
        <row r="196">
          <cell r="A196" t="str">
            <v>0195</v>
          </cell>
          <cell r="B196" t="str">
            <v xml:space="preserve">Keesomstraat 50 </v>
          </cell>
        </row>
        <row r="197">
          <cell r="A197" t="str">
            <v>0196</v>
          </cell>
          <cell r="B197" t="str">
            <v>Keesomstraat 54</v>
          </cell>
        </row>
        <row r="198">
          <cell r="A198" t="str">
            <v>0197</v>
          </cell>
          <cell r="B198" t="str">
            <v>Scheepjesbrug 814</v>
          </cell>
        </row>
        <row r="199">
          <cell r="A199" t="str">
            <v>0198</v>
          </cell>
          <cell r="B199" t="str">
            <v>Krabbendijkestraat 456</v>
          </cell>
        </row>
        <row r="200">
          <cell r="A200" t="str">
            <v>0199</v>
          </cell>
          <cell r="B200" t="str">
            <v>Kerstendijk 125</v>
          </cell>
        </row>
        <row r="201">
          <cell r="A201" t="str">
            <v>0200</v>
          </cell>
          <cell r="B201" t="str">
            <v>Stal 355</v>
          </cell>
        </row>
        <row r="202">
          <cell r="A202" t="str">
            <v>0201</v>
          </cell>
          <cell r="B202" t="str">
            <v>Amberberg 14</v>
          </cell>
        </row>
        <row r="203">
          <cell r="A203" t="str">
            <v>0202</v>
          </cell>
          <cell r="B203" t="str">
            <v>Kimbrenoord 15</v>
          </cell>
        </row>
        <row r="204">
          <cell r="A204" t="str">
            <v>0203</v>
          </cell>
          <cell r="B204" t="str">
            <v>Dorpstraat 48</v>
          </cell>
        </row>
        <row r="205">
          <cell r="A205" t="str">
            <v>0204</v>
          </cell>
          <cell r="B205" t="str">
            <v xml:space="preserve">Punter 22 34 </v>
          </cell>
        </row>
        <row r="206">
          <cell r="A206" t="str">
            <v>0205</v>
          </cell>
          <cell r="B206" t="str">
            <v xml:space="preserve">Kreekrug 1 </v>
          </cell>
        </row>
        <row r="207">
          <cell r="A207" t="str">
            <v>0206</v>
          </cell>
          <cell r="B207" t="str">
            <v>Kruiningenstraat 152</v>
          </cell>
        </row>
        <row r="208">
          <cell r="A208" t="str">
            <v>0207</v>
          </cell>
          <cell r="B208" t="str">
            <v>Kwikstaartweg 45</v>
          </cell>
        </row>
        <row r="209">
          <cell r="A209" t="str">
            <v>0208</v>
          </cell>
          <cell r="B209" t="str">
            <v>Mr. L.A. Kesperweg 31A</v>
          </cell>
        </row>
        <row r="210">
          <cell r="A210" t="str">
            <v>0209</v>
          </cell>
          <cell r="B210" t="str">
            <v>Laan van Adrichem 12</v>
          </cell>
        </row>
        <row r="211">
          <cell r="A211" t="str">
            <v>0210</v>
          </cell>
          <cell r="B211" t="str">
            <v>Lorentzstraat 73</v>
          </cell>
        </row>
        <row r="212">
          <cell r="A212" t="str">
            <v>0211</v>
          </cell>
          <cell r="B212" t="str">
            <v xml:space="preserve">Maasdijk 206 </v>
          </cell>
        </row>
        <row r="213">
          <cell r="A213" t="str">
            <v>0212</v>
          </cell>
          <cell r="B213" t="str">
            <v>Wijngaard 66</v>
          </cell>
        </row>
        <row r="214">
          <cell r="A214" t="str">
            <v>0213</v>
          </cell>
          <cell r="B214" t="str">
            <v>Mr. Troelstrastraat 11</v>
          </cell>
        </row>
        <row r="215">
          <cell r="A215" t="str">
            <v>0214</v>
          </cell>
          <cell r="B215" t="str">
            <v>Mendelssohnplein 13D</v>
          </cell>
        </row>
        <row r="216">
          <cell r="A216" t="str">
            <v>0215</v>
          </cell>
          <cell r="B216" t="str">
            <v>Mendelssohnplein 10C</v>
          </cell>
        </row>
        <row r="217">
          <cell r="A217" t="str">
            <v>0216</v>
          </cell>
          <cell r="B217" t="str">
            <v>Mendelssohnplein 46a</v>
          </cell>
        </row>
        <row r="218">
          <cell r="A218" t="str">
            <v>0217</v>
          </cell>
          <cell r="B218" t="str">
            <v>Middelrode 8</v>
          </cell>
        </row>
        <row r="219">
          <cell r="A219" t="str">
            <v>0218</v>
          </cell>
          <cell r="B219" t="str">
            <v>P.F. Catsstraat 8</v>
          </cell>
        </row>
        <row r="220">
          <cell r="A220" t="str">
            <v>0219</v>
          </cell>
          <cell r="B220" t="str">
            <v>Miltonstraat 55</v>
          </cell>
        </row>
        <row r="221">
          <cell r="A221" t="str">
            <v>0220</v>
          </cell>
          <cell r="B221" t="str">
            <v>Miltonstraat 85</v>
          </cell>
        </row>
        <row r="222">
          <cell r="A222" t="str">
            <v>0221</v>
          </cell>
          <cell r="B222" t="str">
            <v>Molenstraat 10</v>
          </cell>
        </row>
        <row r="223">
          <cell r="A223" t="str">
            <v>0222</v>
          </cell>
          <cell r="B223" t="str">
            <v>Molenstraat 23</v>
          </cell>
        </row>
        <row r="224">
          <cell r="A224" t="str">
            <v>0223</v>
          </cell>
          <cell r="B224" t="str">
            <v>Acacialaan 9</v>
          </cell>
        </row>
        <row r="225">
          <cell r="A225" t="str">
            <v>0224</v>
          </cell>
          <cell r="B225" t="str">
            <v>Nicolaas Beetsstraat 29</v>
          </cell>
        </row>
        <row r="226">
          <cell r="A226" t="str">
            <v>0225</v>
          </cell>
          <cell r="B226" t="str">
            <v>Kerkwerversingel 127</v>
          </cell>
        </row>
        <row r="227">
          <cell r="A227" t="str">
            <v>0226</v>
          </cell>
          <cell r="B227" t="str">
            <v>Rivierdijk 793</v>
          </cell>
        </row>
        <row r="228">
          <cell r="A228" t="str">
            <v>0227</v>
          </cell>
          <cell r="B228" t="str">
            <v xml:space="preserve">Oostlaan 3 </v>
          </cell>
        </row>
        <row r="229">
          <cell r="A229" t="str">
            <v>0228</v>
          </cell>
          <cell r="B229" t="str">
            <v xml:space="preserve">Parallelweg 122A </v>
          </cell>
        </row>
        <row r="230">
          <cell r="A230" t="str">
            <v>0229</v>
          </cell>
          <cell r="B230" t="str">
            <v>Parallelweg 98B</v>
          </cell>
        </row>
        <row r="231">
          <cell r="A231" t="str">
            <v>0230</v>
          </cell>
          <cell r="B231" t="str">
            <v>Pasteursingel 61B</v>
          </cell>
        </row>
        <row r="232">
          <cell r="A232" t="str">
            <v>0231</v>
          </cell>
          <cell r="B232" t="str">
            <v>Platostraat 80</v>
          </cell>
        </row>
        <row r="233">
          <cell r="A233" t="str">
            <v>0232</v>
          </cell>
          <cell r="B233" t="str">
            <v>Zuidhoek 209D</v>
          </cell>
        </row>
        <row r="234">
          <cell r="A234" t="str">
            <v>0233</v>
          </cell>
          <cell r="B234" t="str">
            <v>Rembrandtstraat 20B</v>
          </cell>
        </row>
        <row r="235">
          <cell r="A235" t="str">
            <v>0234</v>
          </cell>
          <cell r="B235" t="str">
            <v>Rotterdamsedijk 154B</v>
          </cell>
        </row>
        <row r="236">
          <cell r="A236" t="str">
            <v>0235</v>
          </cell>
          <cell r="B236" t="str">
            <v>Rubensplein 3 B</v>
          </cell>
        </row>
        <row r="237">
          <cell r="A237" t="str">
            <v>0236</v>
          </cell>
          <cell r="B237" t="str">
            <v xml:space="preserve">Schalkeroord 389 </v>
          </cell>
        </row>
        <row r="238">
          <cell r="A238" t="str">
            <v>0237</v>
          </cell>
          <cell r="B238" t="str">
            <v>Schere 238</v>
          </cell>
        </row>
        <row r="239">
          <cell r="A239" t="str">
            <v>0238</v>
          </cell>
          <cell r="B239" t="str">
            <v xml:space="preserve">Van der Werffstraat 370 </v>
          </cell>
        </row>
        <row r="240">
          <cell r="A240" t="str">
            <v>0239</v>
          </cell>
          <cell r="B240" t="str">
            <v>Schoonegge 110</v>
          </cell>
        </row>
        <row r="241">
          <cell r="A241" t="str">
            <v>0240</v>
          </cell>
          <cell r="B241" t="str">
            <v>Schoonegge 84</v>
          </cell>
        </row>
        <row r="242">
          <cell r="A242" t="str">
            <v>0241</v>
          </cell>
          <cell r="B242" t="str">
            <v>van der Werffstraat 166</v>
          </cell>
        </row>
        <row r="243">
          <cell r="A243" t="str">
            <v>0242</v>
          </cell>
          <cell r="B243" t="str">
            <v>Sint Liduinastraat 76 A</v>
          </cell>
        </row>
        <row r="244">
          <cell r="A244" t="str">
            <v>0243</v>
          </cell>
          <cell r="B244" t="str">
            <v>Sint Liduinastraat 80A</v>
          </cell>
        </row>
        <row r="245">
          <cell r="A245" t="str">
            <v>0244</v>
          </cell>
          <cell r="B245" t="str">
            <v>Sint Liduinastraat 80B</v>
          </cell>
        </row>
        <row r="246">
          <cell r="A246" t="str">
            <v>0245</v>
          </cell>
          <cell r="B246" t="str">
            <v>van der Werffstraat 240</v>
          </cell>
        </row>
        <row r="247">
          <cell r="A247" t="str">
            <v>0246</v>
          </cell>
          <cell r="B247" t="str">
            <v>Socratesstraat 168</v>
          </cell>
        </row>
        <row r="248">
          <cell r="A248" t="str">
            <v>0247</v>
          </cell>
          <cell r="B248" t="str">
            <v>Spoorsingel 154b</v>
          </cell>
        </row>
        <row r="249">
          <cell r="A249">
            <v>248</v>
          </cell>
          <cell r="B249" t="str">
            <v>van der Waalsstraat 16</v>
          </cell>
        </row>
        <row r="250">
          <cell r="A250" t="str">
            <v>0249</v>
          </cell>
          <cell r="B250" t="str">
            <v>Tholenstraat 114</v>
          </cell>
        </row>
        <row r="251">
          <cell r="A251" t="str">
            <v>0250</v>
          </cell>
          <cell r="B251" t="str">
            <v>van der Waalsstraat 70</v>
          </cell>
        </row>
        <row r="252">
          <cell r="A252" t="str">
            <v>0251</v>
          </cell>
          <cell r="B252" t="str">
            <v>Middenbaan Noord 18A</v>
          </cell>
        </row>
        <row r="253">
          <cell r="A253" t="str">
            <v>0252</v>
          </cell>
          <cell r="B253" t="str">
            <v xml:space="preserve">Middenbaan Noord 18B </v>
          </cell>
        </row>
        <row r="254">
          <cell r="A254" t="str">
            <v>0253</v>
          </cell>
          <cell r="B254" t="str">
            <v>Middenbaan Noord 18C</v>
          </cell>
        </row>
        <row r="255">
          <cell r="A255" t="str">
            <v>0254</v>
          </cell>
          <cell r="B255" t="str">
            <v>Middenbaan Noord 20A</v>
          </cell>
        </row>
        <row r="256">
          <cell r="A256" t="str">
            <v>0255</v>
          </cell>
          <cell r="B256" t="str">
            <v>Middenbaan Noord 20B</v>
          </cell>
        </row>
        <row r="257">
          <cell r="A257" t="str">
            <v>0256</v>
          </cell>
          <cell r="B257" t="str">
            <v>Middenbaan Noord 20C</v>
          </cell>
        </row>
        <row r="258">
          <cell r="A258" t="str">
            <v>0257</v>
          </cell>
          <cell r="B258" t="str">
            <v>Middenbaan Noord 22A</v>
          </cell>
        </row>
        <row r="259">
          <cell r="A259" t="str">
            <v>0258</v>
          </cell>
          <cell r="B259" t="str">
            <v>Middenbaan Noord 22B</v>
          </cell>
        </row>
        <row r="260">
          <cell r="A260" t="str">
            <v>0259</v>
          </cell>
          <cell r="B260" t="str">
            <v xml:space="preserve">Middenbaan Noord 22C </v>
          </cell>
        </row>
        <row r="261">
          <cell r="A261" t="str">
            <v>0260</v>
          </cell>
          <cell r="B261" t="str">
            <v>Persoonsdam 176</v>
          </cell>
        </row>
        <row r="262">
          <cell r="A262" t="str">
            <v>0261</v>
          </cell>
          <cell r="B262" t="str">
            <v>Persoonsdam 177</v>
          </cell>
        </row>
        <row r="263">
          <cell r="A263" t="str">
            <v>0262</v>
          </cell>
          <cell r="B263" t="str">
            <v>Persoonsdam 178</v>
          </cell>
        </row>
        <row r="264">
          <cell r="A264" t="str">
            <v>0263</v>
          </cell>
          <cell r="B264" t="str">
            <v>Persoonsdam 179</v>
          </cell>
        </row>
        <row r="265">
          <cell r="A265" t="str">
            <v>0264</v>
          </cell>
          <cell r="B265" t="str">
            <v>Persoonsdam 180</v>
          </cell>
        </row>
        <row r="266">
          <cell r="A266" t="str">
            <v>0265</v>
          </cell>
          <cell r="B266" t="str">
            <v>Persoonsdam 181</v>
          </cell>
        </row>
        <row r="267">
          <cell r="A267" t="str">
            <v>0266</v>
          </cell>
          <cell r="B267" t="str">
            <v>Persoonsdam 182</v>
          </cell>
        </row>
        <row r="268">
          <cell r="A268" t="str">
            <v>0267</v>
          </cell>
          <cell r="B268" t="str">
            <v>Persoonsdam 194</v>
          </cell>
        </row>
        <row r="269">
          <cell r="A269" t="str">
            <v>0268</v>
          </cell>
          <cell r="B269" t="str">
            <v>Persoonsdam 198</v>
          </cell>
        </row>
        <row r="270">
          <cell r="A270" t="str">
            <v>0269</v>
          </cell>
          <cell r="B270" t="str">
            <v>Professor Kamerlingh Onneslaan 134 A</v>
          </cell>
        </row>
        <row r="271">
          <cell r="A271" t="str">
            <v>0270</v>
          </cell>
          <cell r="B271" t="str">
            <v>Professor Kamerlingh Onneslaan 134 B1</v>
          </cell>
        </row>
        <row r="272">
          <cell r="A272" t="str">
            <v>0271</v>
          </cell>
          <cell r="B272" t="str">
            <v>Professor Kamerlingh Onneslaan 134 B2</v>
          </cell>
        </row>
        <row r="273">
          <cell r="A273" t="str">
            <v>0272</v>
          </cell>
          <cell r="B273" t="str">
            <v>Professor Kamerlingh Onneslaan 134 B3</v>
          </cell>
        </row>
        <row r="274">
          <cell r="A274" t="str">
            <v>0273</v>
          </cell>
          <cell r="B274" t="str">
            <v>Fenacoliuslaan 56B</v>
          </cell>
        </row>
        <row r="275">
          <cell r="A275" t="str">
            <v>0274</v>
          </cell>
          <cell r="B275" t="str">
            <v>Karel Doormanlaan 21A</v>
          </cell>
        </row>
        <row r="276">
          <cell r="A276" t="str">
            <v>0275</v>
          </cell>
          <cell r="B276" t="str">
            <v>Burgemeester Crezeelaan 76</v>
          </cell>
        </row>
        <row r="277">
          <cell r="A277" t="str">
            <v>0276</v>
          </cell>
          <cell r="B277" t="str">
            <v>Burgemeester Cramerlaan 82</v>
          </cell>
        </row>
        <row r="278">
          <cell r="A278" t="str">
            <v>0277</v>
          </cell>
          <cell r="B278" t="str">
            <v>Gerberalaan 113</v>
          </cell>
        </row>
        <row r="279">
          <cell r="A279" t="str">
            <v>0278</v>
          </cell>
          <cell r="B279" t="str">
            <v>Lange Broekweg 46</v>
          </cell>
        </row>
        <row r="280">
          <cell r="A280" t="str">
            <v>0279</v>
          </cell>
          <cell r="B280" t="str">
            <v>Haagkamp 11</v>
          </cell>
        </row>
        <row r="281">
          <cell r="A281" t="str">
            <v>0280</v>
          </cell>
          <cell r="B281" t="str">
            <v>Bovendijk 59</v>
          </cell>
        </row>
        <row r="282">
          <cell r="A282" t="str">
            <v>0281</v>
          </cell>
          <cell r="B282" t="str">
            <v>Bovendijk 61</v>
          </cell>
        </row>
        <row r="283">
          <cell r="A283" t="str">
            <v>0282</v>
          </cell>
          <cell r="B283" t="str">
            <v>Madeweg 25C</v>
          </cell>
        </row>
        <row r="284">
          <cell r="A284" t="str">
            <v>0283</v>
          </cell>
          <cell r="B284" t="str">
            <v>Madeweg 35A</v>
          </cell>
        </row>
        <row r="285">
          <cell r="A285" t="str">
            <v>0284</v>
          </cell>
          <cell r="B285" t="str">
            <v>Molenweg 3A</v>
          </cell>
        </row>
        <row r="286">
          <cell r="A286" t="str">
            <v>0285</v>
          </cell>
          <cell r="B286" t="str">
            <v>Poeldijkseweg 27</v>
          </cell>
        </row>
        <row r="287">
          <cell r="A287" t="str">
            <v>0286</v>
          </cell>
          <cell r="B287" t="str">
            <v>Waellandweg 12</v>
          </cell>
        </row>
        <row r="288">
          <cell r="A288" t="str">
            <v>0287</v>
          </cell>
          <cell r="B288" t="str">
            <v>Prins Willemweg 2</v>
          </cell>
        </row>
        <row r="289">
          <cell r="A289" t="str">
            <v>0288</v>
          </cell>
          <cell r="B289" t="str">
            <v>De Haak, Zekkenstraat 31A</v>
          </cell>
        </row>
        <row r="290">
          <cell r="A290" t="str">
            <v>0289</v>
          </cell>
          <cell r="B290" t="str">
            <v>De Haak, Zekkenstraat 31B</v>
          </cell>
        </row>
        <row r="291">
          <cell r="A291" t="str">
            <v>0290</v>
          </cell>
          <cell r="B291" t="str">
            <v>De Haak, Zekkenstraat 56</v>
          </cell>
        </row>
        <row r="292">
          <cell r="A292" t="str">
            <v>0291</v>
          </cell>
          <cell r="B292" t="str">
            <v>Koperwerf 28</v>
          </cell>
        </row>
        <row r="293">
          <cell r="A293" t="str">
            <v>0292</v>
          </cell>
          <cell r="B293" t="str">
            <v>Burgemeester Stulemeijerlaan 71</v>
          </cell>
        </row>
        <row r="294">
          <cell r="A294" t="str">
            <v>0293</v>
          </cell>
          <cell r="B294" t="str">
            <v>Akkerweg 41 [014]</v>
          </cell>
        </row>
        <row r="295">
          <cell r="A295" t="str">
            <v>0294</v>
          </cell>
          <cell r="B295" t="str">
            <v>Akkerweg 41 [015]</v>
          </cell>
        </row>
        <row r="296">
          <cell r="A296" t="str">
            <v>0295</v>
          </cell>
          <cell r="B296" t="str">
            <v>Akkerweg 41 [018]</v>
          </cell>
        </row>
        <row r="297">
          <cell r="A297" t="str">
            <v>0296</v>
          </cell>
          <cell r="B297" t="str">
            <v>Akkerweg 41 [022]</v>
          </cell>
        </row>
        <row r="298">
          <cell r="A298" t="str">
            <v>0297</v>
          </cell>
          <cell r="B298" t="str">
            <v>Akkerweg 41 [026]</v>
          </cell>
        </row>
        <row r="299">
          <cell r="A299" t="str">
            <v>0298</v>
          </cell>
          <cell r="B299" t="str">
            <v>Akkerweg 41 [031]</v>
          </cell>
        </row>
        <row r="300">
          <cell r="A300" t="str">
            <v>0299</v>
          </cell>
          <cell r="B300" t="str">
            <v>Akkerweg 41 [037]</v>
          </cell>
        </row>
        <row r="301">
          <cell r="A301" t="str">
            <v>0300</v>
          </cell>
          <cell r="B301" t="str">
            <v>Akkerweg 41 [040]</v>
          </cell>
        </row>
        <row r="302">
          <cell r="A302" t="str">
            <v>0301</v>
          </cell>
          <cell r="B302" t="str">
            <v>Akkerweg 41 [041]</v>
          </cell>
        </row>
        <row r="303">
          <cell r="A303" t="str">
            <v>0302</v>
          </cell>
          <cell r="B303" t="str">
            <v>Akkerweg 41 [042]</v>
          </cell>
        </row>
        <row r="304">
          <cell r="A304" t="str">
            <v>0303</v>
          </cell>
          <cell r="B304" t="str">
            <v>Akkerweg 41 [055]</v>
          </cell>
        </row>
        <row r="305">
          <cell r="A305" t="str">
            <v>0304</v>
          </cell>
          <cell r="B305" t="str">
            <v>Akkerweg 41 [056]</v>
          </cell>
        </row>
        <row r="306">
          <cell r="A306" t="str">
            <v>0305</v>
          </cell>
          <cell r="B306" t="str">
            <v>Akkerweg 41 [057]</v>
          </cell>
        </row>
        <row r="307">
          <cell r="A307" t="str">
            <v>0306</v>
          </cell>
          <cell r="B307" t="str">
            <v>Akkerweg 41 [059]</v>
          </cell>
        </row>
        <row r="308">
          <cell r="A308" t="str">
            <v>0307</v>
          </cell>
          <cell r="B308" t="str">
            <v>Akkerweg 41 [075]</v>
          </cell>
        </row>
        <row r="309">
          <cell r="A309" t="str">
            <v>0308</v>
          </cell>
          <cell r="B309" t="str">
            <v>Kerkweg 9a [135]</v>
          </cell>
        </row>
        <row r="310">
          <cell r="A310" t="str">
            <v>0309</v>
          </cell>
          <cell r="B310" t="str">
            <v xml:space="preserve">Kerkweg 9a [137] </v>
          </cell>
        </row>
        <row r="311">
          <cell r="A311" t="str">
            <v>0310</v>
          </cell>
          <cell r="B311" t="str">
            <v>Kerkweg 9a [210]</v>
          </cell>
        </row>
        <row r="312">
          <cell r="A312" t="str">
            <v>0311</v>
          </cell>
          <cell r="B312" t="str">
            <v>Kerkweg 9a [269]</v>
          </cell>
        </row>
        <row r="313">
          <cell r="A313" t="str">
            <v>0312</v>
          </cell>
          <cell r="B313" t="str">
            <v>Kerkweg 9A [333]</v>
          </cell>
        </row>
        <row r="314">
          <cell r="A314" t="str">
            <v>0313</v>
          </cell>
          <cell r="B314" t="str">
            <v>Kerkweg 9A [334]</v>
          </cell>
        </row>
        <row r="315">
          <cell r="A315" t="str">
            <v>0314</v>
          </cell>
          <cell r="B315" t="str">
            <v>Kerkweg 9A [338]</v>
          </cell>
        </row>
        <row r="316">
          <cell r="A316" t="str">
            <v>0315</v>
          </cell>
          <cell r="B316" t="str">
            <v>Kerkweg 9a [342]</v>
          </cell>
        </row>
        <row r="317">
          <cell r="A317" t="str">
            <v>0316</v>
          </cell>
          <cell r="B317" t="str">
            <v>Kerkweg 9a [346]</v>
          </cell>
        </row>
        <row r="318">
          <cell r="A318" t="str">
            <v>0317</v>
          </cell>
          <cell r="B318" t="str">
            <v>Kerkweg 9A [347]</v>
          </cell>
        </row>
        <row r="319">
          <cell r="A319" t="str">
            <v>0318</v>
          </cell>
          <cell r="B319" t="str">
            <v>Kerkweg 9a [349]</v>
          </cell>
        </row>
        <row r="320">
          <cell r="A320" t="str">
            <v>0319</v>
          </cell>
          <cell r="B320" t="str">
            <v>Kerkweg 9a [356]</v>
          </cell>
        </row>
        <row r="321">
          <cell r="A321" t="str">
            <v>0320</v>
          </cell>
          <cell r="B321" t="str">
            <v>Kerkweg 9a [359]</v>
          </cell>
        </row>
        <row r="322">
          <cell r="A322" t="str">
            <v>0321</v>
          </cell>
          <cell r="B322" t="str">
            <v>Kerkweg 9a [453]</v>
          </cell>
        </row>
        <row r="323">
          <cell r="A323" t="str">
            <v>0322</v>
          </cell>
          <cell r="B323" t="str">
            <v>Bettingeslag 10</v>
          </cell>
        </row>
        <row r="324">
          <cell r="A324" t="str">
            <v>0323</v>
          </cell>
          <cell r="B324" t="str">
            <v>Marnixstraat 32</v>
          </cell>
        </row>
        <row r="325">
          <cell r="A325" t="str">
            <v>0324</v>
          </cell>
          <cell r="B325" t="str">
            <v>Van Swinderenstraat 21</v>
          </cell>
        </row>
        <row r="326">
          <cell r="A326" t="str">
            <v>0325</v>
          </cell>
          <cell r="B326" t="str">
            <v>Hendriklaan 49</v>
          </cell>
        </row>
        <row r="327">
          <cell r="A327" t="str">
            <v>0326</v>
          </cell>
          <cell r="B327" t="str">
            <v>Akkerweg 41 [068]</v>
          </cell>
        </row>
        <row r="328">
          <cell r="A328" t="str">
            <v>0327</v>
          </cell>
          <cell r="B328" t="str">
            <v>Putter 42</v>
          </cell>
        </row>
        <row r="329">
          <cell r="A329" t="str">
            <v>0328</v>
          </cell>
          <cell r="B329" t="str">
            <v>Noordmolenstraat 36a</v>
          </cell>
        </row>
        <row r="330">
          <cell r="A330" t="str">
            <v>0329</v>
          </cell>
          <cell r="B330" t="str">
            <v>Noordmolenstraat 36b</v>
          </cell>
        </row>
        <row r="331">
          <cell r="A331" t="str">
            <v>0330</v>
          </cell>
          <cell r="B331" t="str">
            <v>Noordmolenstraat 36c</v>
          </cell>
        </row>
        <row r="332">
          <cell r="A332" t="str">
            <v>0331</v>
          </cell>
          <cell r="B332" t="str">
            <v>Flankstraat 11</v>
          </cell>
        </row>
        <row r="333">
          <cell r="A333" t="str">
            <v>0332</v>
          </cell>
          <cell r="B333" t="str">
            <v>Kerkweg 9a [340]</v>
          </cell>
        </row>
        <row r="334">
          <cell r="A334" t="str">
            <v>0333</v>
          </cell>
          <cell r="B334" t="str">
            <v>Kethelweg 66 D</v>
          </cell>
        </row>
        <row r="335">
          <cell r="A335" t="str">
            <v>0334</v>
          </cell>
          <cell r="B335" t="str">
            <v>Hof van zeeland 2</v>
          </cell>
        </row>
        <row r="336">
          <cell r="A336" t="str">
            <v>0335</v>
          </cell>
          <cell r="B336" t="str">
            <v>Molenweg 3B</v>
          </cell>
        </row>
        <row r="337">
          <cell r="A337" t="str">
            <v>0336</v>
          </cell>
          <cell r="B337" t="str">
            <v>Ofwegen 1A</v>
          </cell>
        </row>
        <row r="338">
          <cell r="A338" t="str">
            <v>0337</v>
          </cell>
          <cell r="B338" t="str">
            <v>Kruisweg 16</v>
          </cell>
        </row>
        <row r="339">
          <cell r="A339" t="str">
            <v>0338</v>
          </cell>
          <cell r="B339" t="str">
            <v>Kerkweg 9a [348]</v>
          </cell>
        </row>
        <row r="340">
          <cell r="A340" t="str">
            <v>0339</v>
          </cell>
          <cell r="B340" t="str">
            <v>Kerkweg 9a [357]</v>
          </cell>
        </row>
        <row r="341">
          <cell r="A341" t="str">
            <v>0340</v>
          </cell>
          <cell r="B341" t="str">
            <v>Professor Poelslaan 58C</v>
          </cell>
        </row>
        <row r="342">
          <cell r="A342" t="str">
            <v>0341</v>
          </cell>
          <cell r="B342" t="str">
            <v>Akkerweg 41 [010]</v>
          </cell>
        </row>
        <row r="343">
          <cell r="A343" t="str">
            <v>0342</v>
          </cell>
          <cell r="B343" t="str">
            <v>Akkerweg 41 [016]</v>
          </cell>
        </row>
        <row r="344">
          <cell r="A344" t="str">
            <v>0343</v>
          </cell>
          <cell r="B344" t="str">
            <v>Akkerweg 41 [019]</v>
          </cell>
        </row>
        <row r="345">
          <cell r="A345" t="str">
            <v>0344</v>
          </cell>
          <cell r="B345" t="str">
            <v>Pastoor Gillisstraat 81-A</v>
          </cell>
        </row>
        <row r="346">
          <cell r="A346" t="str">
            <v>0345</v>
          </cell>
          <cell r="B346" t="str">
            <v>Compierekade 15</v>
          </cell>
        </row>
        <row r="347">
          <cell r="A347" t="str">
            <v>0346</v>
          </cell>
          <cell r="B347" t="str">
            <v>Beukenlaan 53</v>
          </cell>
        </row>
        <row r="348">
          <cell r="A348" t="str">
            <v>0347</v>
          </cell>
          <cell r="B348" t="str">
            <v>Van Ruijsdaellaan 72 A</v>
          </cell>
        </row>
        <row r="349">
          <cell r="A349" t="str">
            <v>0348</v>
          </cell>
          <cell r="B349" t="str">
            <v>Wagenstraat 70</v>
          </cell>
        </row>
        <row r="350">
          <cell r="A350" t="str">
            <v>0349</v>
          </cell>
          <cell r="B350" t="str">
            <v>Persoonsdam 196</v>
          </cell>
        </row>
        <row r="351">
          <cell r="A351" t="str">
            <v>0350</v>
          </cell>
          <cell r="B351" t="str">
            <v>Akkerweg 41 [035]</v>
          </cell>
        </row>
        <row r="352">
          <cell r="A352" t="str">
            <v>0351</v>
          </cell>
          <cell r="B352" t="str">
            <v>Van Ruijsdaellaan 72 B</v>
          </cell>
        </row>
        <row r="353">
          <cell r="A353" t="str">
            <v>0352</v>
          </cell>
          <cell r="B353" t="str">
            <v>Van Ruijsdaellaan 72 C</v>
          </cell>
        </row>
        <row r="354">
          <cell r="A354" t="str">
            <v>0353</v>
          </cell>
          <cell r="B354" t="str">
            <v>Archimedesstraat 6 B</v>
          </cell>
        </row>
        <row r="355">
          <cell r="A355" t="str">
            <v>0354</v>
          </cell>
          <cell r="B355" t="str">
            <v>Dorpsstraat 48</v>
          </cell>
        </row>
        <row r="356">
          <cell r="A356" t="str">
            <v>0355</v>
          </cell>
          <cell r="B356" t="str">
            <v>Van Hoofsweg 4</v>
          </cell>
        </row>
        <row r="357">
          <cell r="A357" t="str">
            <v>0356</v>
          </cell>
          <cell r="B357" t="str">
            <v>Akkerweg 41 [036]</v>
          </cell>
        </row>
        <row r="358">
          <cell r="A358" t="str">
            <v>0357</v>
          </cell>
          <cell r="B358" t="str">
            <v>Akkerweg 41 [038]</v>
          </cell>
        </row>
        <row r="359">
          <cell r="A359" t="str">
            <v>0358</v>
          </cell>
          <cell r="B359" t="str">
            <v>Monsterseweg 26A</v>
          </cell>
        </row>
        <row r="360">
          <cell r="A360" t="str">
            <v>0359</v>
          </cell>
          <cell r="B360" t="str">
            <v>Kimbrenoord 49</v>
          </cell>
        </row>
        <row r="361">
          <cell r="A361" t="str">
            <v>0360</v>
          </cell>
          <cell r="B361" t="str">
            <v>Kruiningenstraat 185</v>
          </cell>
        </row>
        <row r="362">
          <cell r="A362" t="str">
            <v>0361</v>
          </cell>
          <cell r="B362" t="str">
            <v>Putsebocht 136 B01</v>
          </cell>
        </row>
        <row r="363">
          <cell r="A363" t="str">
            <v>0362</v>
          </cell>
          <cell r="B363" t="str">
            <v>Ruigenhoek 69</v>
          </cell>
        </row>
        <row r="364">
          <cell r="A364" t="str">
            <v>0363</v>
          </cell>
          <cell r="B364" t="str">
            <v>Rietdijkstraat 56A</v>
          </cell>
        </row>
        <row r="365">
          <cell r="A365" t="str">
            <v>0364</v>
          </cell>
          <cell r="B365" t="str">
            <v>Rietdijkstraat 56B</v>
          </cell>
        </row>
        <row r="366">
          <cell r="A366" t="str">
            <v>0365</v>
          </cell>
          <cell r="B366" t="str">
            <v>Laan op Zuid 949</v>
          </cell>
        </row>
        <row r="367">
          <cell r="A367" t="str">
            <v>0366</v>
          </cell>
          <cell r="B367" t="str">
            <v>Lekdijk 14</v>
          </cell>
        </row>
        <row r="368">
          <cell r="A368" t="str">
            <v>0367</v>
          </cell>
          <cell r="B368" t="str">
            <v>Baanhoek 137</v>
          </cell>
        </row>
        <row r="369">
          <cell r="A369" t="str">
            <v>0368</v>
          </cell>
          <cell r="B369" t="str">
            <v>Wedderweg 3</v>
          </cell>
        </row>
        <row r="370">
          <cell r="A370" t="str">
            <v>0369</v>
          </cell>
          <cell r="B370" t="str">
            <v>Oranjestraat 63</v>
          </cell>
        </row>
        <row r="371">
          <cell r="A371" t="str">
            <v>0370</v>
          </cell>
          <cell r="B371" t="str">
            <v>Cloosterstraat 23A</v>
          </cell>
        </row>
        <row r="372">
          <cell r="A372" t="str">
            <v>0371</v>
          </cell>
          <cell r="B372" t="str">
            <v>Zwingel 8B</v>
          </cell>
        </row>
        <row r="373">
          <cell r="A373" t="str">
            <v>0372</v>
          </cell>
          <cell r="B373" t="str">
            <v>Akkerweg 41 [011]</v>
          </cell>
        </row>
        <row r="374">
          <cell r="A374" t="str">
            <v>0373</v>
          </cell>
          <cell r="B374" t="str">
            <v>Akkerweg 41 [017]</v>
          </cell>
        </row>
        <row r="375">
          <cell r="A375" t="str">
            <v>0374</v>
          </cell>
          <cell r="B375" t="str">
            <v>Vierambachtsstraat 32-B01</v>
          </cell>
        </row>
        <row r="376">
          <cell r="A376" t="str">
            <v>0375</v>
          </cell>
          <cell r="B376" t="str">
            <v xml:space="preserve">Cubalaan 25 </v>
          </cell>
        </row>
        <row r="377">
          <cell r="A377" t="str">
            <v>0376</v>
          </cell>
          <cell r="B377" t="str">
            <v>Zwethkade Zuid 30A</v>
          </cell>
        </row>
        <row r="378">
          <cell r="A378" t="str">
            <v>0377</v>
          </cell>
          <cell r="B378" t="str">
            <v>Rijpstraat 24</v>
          </cell>
        </row>
        <row r="379">
          <cell r="A379" t="str">
            <v>0378</v>
          </cell>
          <cell r="B379" t="str">
            <v>Poeldijkseweg 29</v>
          </cell>
        </row>
        <row r="380">
          <cell r="A380" t="str">
            <v>0379</v>
          </cell>
          <cell r="B380" t="str">
            <v>Akkerweg 41 [074]</v>
          </cell>
        </row>
        <row r="381">
          <cell r="A381" t="str">
            <v>0380</v>
          </cell>
          <cell r="B381" t="str">
            <v>Parallelweg 114C</v>
          </cell>
        </row>
        <row r="382">
          <cell r="A382" t="str">
            <v>0381</v>
          </cell>
          <cell r="B382" t="str">
            <v>Parallelweg 134B</v>
          </cell>
        </row>
        <row r="383">
          <cell r="A383" t="str">
            <v>0382</v>
          </cell>
          <cell r="B383" t="str">
            <v xml:space="preserve">Kwekerslaan 7 </v>
          </cell>
        </row>
        <row r="384">
          <cell r="A384" t="str">
            <v>0383</v>
          </cell>
          <cell r="B384" t="str">
            <v>Akkerweg 41 [020]</v>
          </cell>
        </row>
        <row r="385">
          <cell r="A385" t="str">
            <v>0384</v>
          </cell>
          <cell r="B385" t="str">
            <v>Akkerweg 41 [058]</v>
          </cell>
        </row>
        <row r="386">
          <cell r="A386" t="str">
            <v>0385</v>
          </cell>
          <cell r="B386" t="str">
            <v>Lavendelpad 6</v>
          </cell>
        </row>
        <row r="387">
          <cell r="A387" t="str">
            <v>0386</v>
          </cell>
          <cell r="B387" t="str">
            <v>Poolsestraat 29A</v>
          </cell>
        </row>
        <row r="388">
          <cell r="A388" t="str">
            <v>0387</v>
          </cell>
          <cell r="B388" t="str">
            <v xml:space="preserve">Verschansing 21 </v>
          </cell>
        </row>
        <row r="389">
          <cell r="A389" t="str">
            <v>0388</v>
          </cell>
          <cell r="B389" t="str">
            <v>1e Middellandstraat 104A</v>
          </cell>
        </row>
        <row r="390">
          <cell r="A390" t="str">
            <v>0389</v>
          </cell>
          <cell r="B390" t="str">
            <v>Kritostraat 54</v>
          </cell>
        </row>
        <row r="391">
          <cell r="A391" t="str">
            <v>0390</v>
          </cell>
          <cell r="B391" t="str">
            <v>Roerdompstraat 4B</v>
          </cell>
        </row>
        <row r="392">
          <cell r="A392" t="str">
            <v>0391</v>
          </cell>
          <cell r="B392" t="str">
            <v>Industriestraat 9</v>
          </cell>
        </row>
        <row r="393">
          <cell r="A393" t="str">
            <v>0392</v>
          </cell>
        </row>
        <row r="394">
          <cell r="A394" t="str">
            <v>0393</v>
          </cell>
        </row>
        <row r="395">
          <cell r="A395" t="str">
            <v>0394</v>
          </cell>
        </row>
        <row r="396">
          <cell r="A396" t="str">
            <v>0395</v>
          </cell>
        </row>
        <row r="397">
          <cell r="A397" t="str">
            <v>0396</v>
          </cell>
        </row>
        <row r="398">
          <cell r="A398" t="str">
            <v>0397</v>
          </cell>
        </row>
        <row r="399">
          <cell r="A399" t="str">
            <v>0398</v>
          </cell>
        </row>
        <row r="400">
          <cell r="A400" t="str">
            <v>0399</v>
          </cell>
        </row>
        <row r="401">
          <cell r="A401" t="str">
            <v>0400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47A4-CB10-3E4D-89B1-077D7ED1152C}">
  <dimension ref="A1:AD294"/>
  <sheetViews>
    <sheetView tabSelected="1" workbookViewId="0">
      <selection activeCell="B1" sqref="B1:B1048576"/>
    </sheetView>
  </sheetViews>
  <sheetFormatPr baseColWidth="10" defaultRowHeight="15" x14ac:dyDescent="0.2"/>
  <cols>
    <col min="1" max="1" width="5" style="12" bestFit="1" customWidth="1"/>
    <col min="2" max="2" width="5" style="91" customWidth="1"/>
    <col min="3" max="3" width="10.33203125" style="12" customWidth="1"/>
    <col min="4" max="4" width="32.83203125" style="16" customWidth="1"/>
    <col min="5" max="5" width="8.83203125" style="12" customWidth="1"/>
    <col min="6" max="6" width="23.6640625" style="16" bestFit="1" customWidth="1"/>
    <col min="7" max="7" width="10.6640625" style="17" bestFit="1" customWidth="1"/>
    <col min="8" max="8" width="12.83203125" style="17" bestFit="1" customWidth="1"/>
    <col min="9" max="9" width="13.5" style="17" customWidth="1"/>
    <col min="10" max="10" width="12.6640625" style="17" customWidth="1"/>
    <col min="11" max="11" width="9.1640625" style="17" customWidth="1"/>
    <col min="12" max="12" width="36" style="16" bestFit="1" customWidth="1"/>
    <col min="13" max="13" width="25.83203125" style="16" bestFit="1" customWidth="1"/>
    <col min="14" max="14" width="13" style="12" bestFit="1" customWidth="1"/>
    <col min="15" max="15" width="14.1640625" style="17" customWidth="1"/>
    <col min="16" max="16" width="13.5" style="17" bestFit="1" customWidth="1"/>
    <col min="17" max="17" width="15.6640625" style="12" bestFit="1" customWidth="1"/>
    <col min="18" max="18" width="14.5" style="17" bestFit="1" customWidth="1"/>
    <col min="19" max="19" width="11.6640625" style="12" customWidth="1"/>
    <col min="20" max="20" width="10.33203125" style="12" customWidth="1"/>
    <col min="21" max="21" width="11.5" style="86" customWidth="1"/>
    <col min="22" max="22" width="1.6640625" style="12" customWidth="1"/>
    <col min="23" max="23" width="36.83203125" style="17" customWidth="1"/>
    <col min="24" max="24" width="24.1640625" style="16" customWidth="1"/>
    <col min="25" max="25" width="12.5" style="12" customWidth="1"/>
    <col min="26" max="26" width="14.5" style="17" customWidth="1"/>
    <col min="27" max="27" width="12.6640625" style="17" bestFit="1" customWidth="1"/>
    <col min="28" max="28" width="15.6640625" style="12" bestFit="1" customWidth="1"/>
    <col min="29" max="29" width="15.6640625" style="12" customWidth="1"/>
    <col min="30" max="30" width="11.33203125" style="17" customWidth="1"/>
    <col min="31" max="16384" width="10.83203125" style="12"/>
  </cols>
  <sheetData>
    <row r="1" spans="1:30" ht="32" x14ac:dyDescent="0.2">
      <c r="A1" s="4"/>
      <c r="B1" s="5"/>
      <c r="C1" s="4" t="s">
        <v>0</v>
      </c>
      <c r="D1" s="6" t="s">
        <v>1</v>
      </c>
      <c r="E1" s="7" t="s">
        <v>2</v>
      </c>
      <c r="F1" s="6" t="s">
        <v>3</v>
      </c>
      <c r="G1" s="8" t="s">
        <v>4</v>
      </c>
      <c r="H1" s="8" t="s">
        <v>5</v>
      </c>
      <c r="I1" s="7" t="s">
        <v>6</v>
      </c>
      <c r="J1" s="8" t="s">
        <v>7</v>
      </c>
      <c r="K1" s="7" t="s">
        <v>8</v>
      </c>
      <c r="L1" s="6" t="s">
        <v>9</v>
      </c>
      <c r="M1" s="6" t="s">
        <v>10</v>
      </c>
      <c r="N1" s="7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9" t="s">
        <v>17</v>
      </c>
      <c r="U1" s="9" t="s">
        <v>18</v>
      </c>
      <c r="V1" s="10"/>
      <c r="W1" s="7" t="s">
        <v>19</v>
      </c>
      <c r="X1" s="6" t="s">
        <v>20</v>
      </c>
      <c r="Y1" s="8" t="s">
        <v>21</v>
      </c>
      <c r="Z1" s="8" t="s">
        <v>22</v>
      </c>
      <c r="AA1" s="8" t="s">
        <v>23</v>
      </c>
      <c r="AB1" s="11" t="s">
        <v>24</v>
      </c>
      <c r="AC1" s="7" t="s">
        <v>6</v>
      </c>
      <c r="AD1" s="8" t="s">
        <v>7</v>
      </c>
    </row>
    <row r="2" spans="1:30" ht="16" x14ac:dyDescent="0.2">
      <c r="A2" s="13"/>
      <c r="B2" s="14" t="str">
        <f>_xlfn.XLOOKUP(D2,'[1]Sleutelplan nieuw'!B:B,'[1]Sleutelplan nieuw'!A:A,"",2)</f>
        <v>0388</v>
      </c>
      <c r="C2" s="15" t="s">
        <v>25</v>
      </c>
      <c r="D2" s="16" t="s">
        <v>26</v>
      </c>
      <c r="E2" s="17" t="s">
        <v>27</v>
      </c>
      <c r="F2" s="16" t="s">
        <v>28</v>
      </c>
      <c r="G2" s="18">
        <v>2</v>
      </c>
      <c r="H2" s="18">
        <v>2</v>
      </c>
      <c r="I2" s="19">
        <v>45961</v>
      </c>
      <c r="J2" s="20">
        <v>46112</v>
      </c>
      <c r="K2" s="21"/>
      <c r="L2" s="22" t="s">
        <v>29</v>
      </c>
      <c r="M2" s="23"/>
      <c r="N2" s="24">
        <f t="shared" ref="N2:N11" si="0">P2-S2-T2-Z2</f>
        <v>500</v>
      </c>
      <c r="O2" s="24">
        <f>R2*1.09+S2*1.21</f>
        <v>1986.0000000000002</v>
      </c>
      <c r="P2" s="24">
        <f>R2+S2</f>
        <v>1800</v>
      </c>
      <c r="Q2" s="24">
        <f>(P2/G2)/4.33333</f>
        <v>207.69246745574418</v>
      </c>
      <c r="R2" s="24">
        <v>1600</v>
      </c>
      <c r="S2" s="25">
        <v>200</v>
      </c>
      <c r="T2" s="25">
        <v>0</v>
      </c>
      <c r="U2" s="12"/>
      <c r="V2" s="10"/>
      <c r="W2" s="17" t="s">
        <v>30</v>
      </c>
      <c r="X2" s="25" t="s">
        <v>31</v>
      </c>
      <c r="Y2" s="24">
        <v>1100</v>
      </c>
      <c r="Z2" s="24">
        <v>1100</v>
      </c>
      <c r="AA2" s="24">
        <v>1100</v>
      </c>
      <c r="AB2" s="25">
        <f t="shared" ref="AB2:AB60" si="1">(Z2/G2)/4.33333</f>
        <v>126.92317455628812</v>
      </c>
      <c r="AC2" s="19">
        <v>45961</v>
      </c>
      <c r="AD2" s="19">
        <v>46112</v>
      </c>
    </row>
    <row r="3" spans="1:30" ht="16" x14ac:dyDescent="0.2">
      <c r="A3" s="13">
        <v>1</v>
      </c>
      <c r="B3" s="14" t="str">
        <f>_xlfn.XLOOKUP(D3,'[1]Sleutelplan nieuw'!B:B,'[1]Sleutelplan nieuw'!A:A,"",2)</f>
        <v>0022</v>
      </c>
      <c r="C3" s="15" t="s">
        <v>25</v>
      </c>
      <c r="D3" s="16" t="s">
        <v>32</v>
      </c>
      <c r="E3" s="17" t="s">
        <v>33</v>
      </c>
      <c r="F3" s="16" t="s">
        <v>34</v>
      </c>
      <c r="G3" s="18">
        <v>8</v>
      </c>
      <c r="H3" s="18">
        <v>4</v>
      </c>
      <c r="I3" s="19">
        <v>44958</v>
      </c>
      <c r="J3" s="20">
        <v>45323</v>
      </c>
      <c r="K3" s="21"/>
      <c r="L3" s="22" t="s">
        <v>35</v>
      </c>
      <c r="M3" s="23"/>
      <c r="N3" s="24">
        <f t="shared" si="0"/>
        <v>285.55999999999995</v>
      </c>
      <c r="O3" s="24">
        <f>R3*1.09+S3*1.21</f>
        <v>3194.3104000000003</v>
      </c>
      <c r="P3" s="24">
        <f>R3+S3</f>
        <v>2930.56</v>
      </c>
      <c r="Q3" s="24">
        <f>(P3/G3)/4.33333</f>
        <v>84.53544964265356</v>
      </c>
      <c r="R3" s="24">
        <v>2930.56</v>
      </c>
      <c r="S3" s="25">
        <v>0</v>
      </c>
      <c r="T3" s="25">
        <v>0</v>
      </c>
      <c r="U3" s="12"/>
      <c r="V3" s="10"/>
      <c r="W3" s="17" t="s">
        <v>36</v>
      </c>
      <c r="X3" s="12"/>
      <c r="Y3" s="24">
        <v>2645</v>
      </c>
      <c r="Z3" s="24">
        <v>2645</v>
      </c>
      <c r="AA3" s="24">
        <v>2645</v>
      </c>
      <c r="AB3" s="25">
        <f t="shared" si="1"/>
        <v>76.298135613950464</v>
      </c>
      <c r="AC3" s="19">
        <v>44927</v>
      </c>
      <c r="AD3" s="19">
        <v>45292</v>
      </c>
    </row>
    <row r="4" spans="1:30" x14ac:dyDescent="0.2">
      <c r="A4" s="13">
        <v>3</v>
      </c>
      <c r="B4" s="14" t="str">
        <f>_xlfn.XLOOKUP(D4,'[1]Sleutelplan nieuw'!B:B,'[1]Sleutelplan nieuw'!A:A,"",2)</f>
        <v>0003</v>
      </c>
      <c r="C4" s="26" t="s">
        <v>25</v>
      </c>
      <c r="D4" s="16" t="s">
        <v>37</v>
      </c>
      <c r="E4" s="17" t="s">
        <v>38</v>
      </c>
      <c r="F4" s="16" t="s">
        <v>39</v>
      </c>
      <c r="G4" s="27">
        <v>5</v>
      </c>
      <c r="H4" s="27">
        <v>5</v>
      </c>
      <c r="I4" s="19">
        <v>44991</v>
      </c>
      <c r="J4" s="20">
        <v>45356</v>
      </c>
      <c r="L4" s="23" t="s">
        <v>40</v>
      </c>
      <c r="M4" s="23"/>
      <c r="N4" s="24">
        <f t="shared" si="0"/>
        <v>1195.81</v>
      </c>
      <c r="O4" s="24">
        <f>R4*1.09+S4*1.21</f>
        <v>4164.6829000000007</v>
      </c>
      <c r="P4" s="24">
        <f>R4+S4</f>
        <v>3820.81</v>
      </c>
      <c r="Q4" s="24">
        <f t="shared" ref="Q4:Q24" si="2">(P4/G4)/4.3333</f>
        <v>176.34643343410332</v>
      </c>
      <c r="R4" s="28">
        <v>3820.81</v>
      </c>
      <c r="S4" s="25">
        <v>0</v>
      </c>
      <c r="T4" s="25">
        <v>0</v>
      </c>
      <c r="U4" s="12"/>
      <c r="V4" s="10"/>
      <c r="W4" s="29" t="s">
        <v>41</v>
      </c>
      <c r="X4" s="25" t="s">
        <v>42</v>
      </c>
      <c r="Y4" s="25">
        <v>2625</v>
      </c>
      <c r="Z4" s="25">
        <v>2625</v>
      </c>
      <c r="AA4" s="25">
        <v>2625</v>
      </c>
      <c r="AB4" s="25">
        <f t="shared" si="1"/>
        <v>121.15393934918411</v>
      </c>
      <c r="AC4" s="19">
        <v>44986</v>
      </c>
      <c r="AD4" s="19">
        <v>45351</v>
      </c>
    </row>
    <row r="5" spans="1:30" x14ac:dyDescent="0.2">
      <c r="A5" s="13">
        <v>5</v>
      </c>
      <c r="B5" s="14" t="str">
        <f>_xlfn.XLOOKUP(D5,'[1]Sleutelplan nieuw'!B:B,'[1]Sleutelplan nieuw'!A:A,"",2)</f>
        <v>0190</v>
      </c>
      <c r="C5" s="26" t="s">
        <v>25</v>
      </c>
      <c r="D5" s="16" t="s">
        <v>43</v>
      </c>
      <c r="E5" s="17" t="s">
        <v>44</v>
      </c>
      <c r="F5" s="16" t="s">
        <v>45</v>
      </c>
      <c r="G5" s="27">
        <v>7</v>
      </c>
      <c r="H5" s="27">
        <v>4</v>
      </c>
      <c r="I5" s="19">
        <v>45241</v>
      </c>
      <c r="J5" s="20">
        <v>45606</v>
      </c>
      <c r="L5" s="23" t="s">
        <v>46</v>
      </c>
      <c r="M5" s="23" t="s">
        <v>47</v>
      </c>
      <c r="N5" s="24">
        <f t="shared" si="0"/>
        <v>370.7800000000002</v>
      </c>
      <c r="O5" s="24">
        <f t="shared" ref="O5:O12" si="3">R5*1.09+S5*1.21</f>
        <v>4543.4534000000003</v>
      </c>
      <c r="P5" s="24">
        <f t="shared" ref="P5:P12" si="4">R5+S5</f>
        <v>4113.26</v>
      </c>
      <c r="Q5" s="24">
        <f t="shared" si="2"/>
        <v>135.60302112214052</v>
      </c>
      <c r="R5" s="28">
        <v>3613.26</v>
      </c>
      <c r="S5" s="25">
        <v>500</v>
      </c>
      <c r="T5" s="25">
        <v>0</v>
      </c>
      <c r="U5" s="12"/>
      <c r="V5" s="10"/>
      <c r="W5" s="29" t="s">
        <v>48</v>
      </c>
      <c r="X5" s="25" t="s">
        <v>49</v>
      </c>
      <c r="Y5" s="25">
        <v>3347.48</v>
      </c>
      <c r="Z5" s="25">
        <v>3242.48</v>
      </c>
      <c r="AA5" s="25">
        <v>2742.48</v>
      </c>
      <c r="AB5" s="25">
        <f t="shared" si="1"/>
        <v>106.89502728188913</v>
      </c>
      <c r="AC5" s="19">
        <v>45038</v>
      </c>
      <c r="AD5" s="19">
        <v>45403</v>
      </c>
    </row>
    <row r="6" spans="1:30" x14ac:dyDescent="0.2">
      <c r="A6" s="13">
        <v>6</v>
      </c>
      <c r="B6" s="14" t="str">
        <f>_xlfn.XLOOKUP(D6,'[1]Sleutelplan nieuw'!B:B,'[1]Sleutelplan nieuw'!A:A,"",2)</f>
        <v>0007</v>
      </c>
      <c r="C6" s="15" t="s">
        <v>50</v>
      </c>
      <c r="D6" s="23" t="s">
        <v>51</v>
      </c>
      <c r="E6" s="18" t="s">
        <v>52</v>
      </c>
      <c r="F6" s="23" t="s">
        <v>53</v>
      </c>
      <c r="G6" s="30">
        <v>4</v>
      </c>
      <c r="H6" s="30">
        <v>4</v>
      </c>
      <c r="I6" s="31">
        <v>45765</v>
      </c>
      <c r="J6" s="32">
        <v>46129</v>
      </c>
      <c r="L6" s="23" t="s">
        <v>54</v>
      </c>
      <c r="M6" s="23" t="s">
        <v>47</v>
      </c>
      <c r="N6" s="24">
        <f t="shared" si="0"/>
        <v>550</v>
      </c>
      <c r="O6" s="24">
        <f t="shared" si="3"/>
        <v>2700.5</v>
      </c>
      <c r="P6" s="24">
        <f t="shared" si="4"/>
        <v>2450</v>
      </c>
      <c r="Q6" s="24">
        <f t="shared" si="2"/>
        <v>141.34724113262408</v>
      </c>
      <c r="R6" s="24">
        <v>2200</v>
      </c>
      <c r="S6" s="25">
        <v>250</v>
      </c>
      <c r="T6" s="25">
        <v>0</v>
      </c>
      <c r="U6" s="12"/>
      <c r="V6" s="10"/>
      <c r="W6" s="29" t="s">
        <v>55</v>
      </c>
      <c r="X6" s="25" t="s">
        <v>56</v>
      </c>
      <c r="Y6" s="25">
        <v>1650</v>
      </c>
      <c r="Z6" s="25">
        <v>1650</v>
      </c>
      <c r="AA6" s="25">
        <v>1650</v>
      </c>
      <c r="AB6" s="25">
        <f t="shared" si="1"/>
        <v>95.192380917216084</v>
      </c>
      <c r="AC6" s="19">
        <v>44682</v>
      </c>
      <c r="AD6" s="19">
        <v>45412</v>
      </c>
    </row>
    <row r="7" spans="1:30" ht="16" x14ac:dyDescent="0.2">
      <c r="A7" s="13">
        <v>7</v>
      </c>
      <c r="B7" s="33" t="s">
        <v>57</v>
      </c>
      <c r="C7" s="15" t="s">
        <v>25</v>
      </c>
      <c r="D7" s="23" t="s">
        <v>58</v>
      </c>
      <c r="E7" s="17" t="s">
        <v>59</v>
      </c>
      <c r="F7" s="23" t="s">
        <v>60</v>
      </c>
      <c r="G7" s="30">
        <v>6</v>
      </c>
      <c r="H7" s="30">
        <v>3</v>
      </c>
      <c r="I7" s="31">
        <v>45709</v>
      </c>
      <c r="J7" s="32">
        <v>45992</v>
      </c>
      <c r="L7" s="23" t="s">
        <v>61</v>
      </c>
      <c r="M7" s="34" t="s">
        <v>62</v>
      </c>
      <c r="N7" s="24">
        <f t="shared" si="0"/>
        <v>0</v>
      </c>
      <c r="O7" s="24"/>
      <c r="P7" s="24"/>
      <c r="Q7" s="24"/>
      <c r="R7" s="24"/>
      <c r="S7" s="25"/>
      <c r="T7" s="25"/>
      <c r="U7" s="12"/>
      <c r="V7" s="10"/>
      <c r="W7" s="29" t="s">
        <v>63</v>
      </c>
      <c r="X7" s="35" t="s">
        <v>64</v>
      </c>
      <c r="Y7" s="25"/>
      <c r="Z7" s="25"/>
      <c r="AA7" s="25"/>
      <c r="AB7" s="25"/>
      <c r="AC7" s="19">
        <v>45709</v>
      </c>
      <c r="AD7" s="19">
        <v>45992</v>
      </c>
    </row>
    <row r="8" spans="1:30" x14ac:dyDescent="0.2">
      <c r="A8" s="13">
        <v>8</v>
      </c>
      <c r="B8" s="33" t="s">
        <v>65</v>
      </c>
      <c r="C8" s="15" t="s">
        <v>25</v>
      </c>
      <c r="D8" s="23" t="s">
        <v>66</v>
      </c>
      <c r="E8" s="17" t="s">
        <v>59</v>
      </c>
      <c r="F8" s="23" t="s">
        <v>60</v>
      </c>
      <c r="G8" s="30">
        <v>6</v>
      </c>
      <c r="H8" s="30">
        <v>3</v>
      </c>
      <c r="I8" s="31">
        <v>45765</v>
      </c>
      <c r="J8" s="32">
        <v>45931</v>
      </c>
      <c r="L8" s="23" t="s">
        <v>67</v>
      </c>
      <c r="M8" s="23" t="s">
        <v>47</v>
      </c>
      <c r="N8" s="24">
        <f t="shared" si="0"/>
        <v>395.17999999999984</v>
      </c>
      <c r="O8" s="24">
        <f t="shared" si="3"/>
        <v>3911.5000000000005</v>
      </c>
      <c r="P8" s="24">
        <f t="shared" si="4"/>
        <v>3550</v>
      </c>
      <c r="Q8" s="24">
        <f t="shared" si="2"/>
        <v>136.53951184239878</v>
      </c>
      <c r="R8" s="24">
        <v>3200</v>
      </c>
      <c r="S8" s="25">
        <v>350</v>
      </c>
      <c r="T8" s="25"/>
      <c r="U8" s="12"/>
      <c r="V8" s="10"/>
      <c r="W8" s="29" t="s">
        <v>63</v>
      </c>
      <c r="X8" s="35" t="s">
        <v>64</v>
      </c>
      <c r="Y8" s="25">
        <v>3055.3</v>
      </c>
      <c r="Z8" s="25">
        <v>2804.82</v>
      </c>
      <c r="AA8" s="25">
        <v>2094.5</v>
      </c>
      <c r="AB8" s="25">
        <f t="shared" si="1"/>
        <v>107.87777529059638</v>
      </c>
      <c r="AC8" s="19">
        <v>45765</v>
      </c>
      <c r="AD8" s="19">
        <v>46494</v>
      </c>
    </row>
    <row r="9" spans="1:30" x14ac:dyDescent="0.2">
      <c r="A9" s="13">
        <v>9</v>
      </c>
      <c r="B9" s="14" t="str" cm="1">
        <f t="array" ref="B9">_xlfn.XLOOKUP(LEFT(D9,3),LEFT('[1]Sleutelplan nieuw'!B:B,3),'[1]Sleutelplan nieuw'!A:A,"",2)</f>
        <v>0293</v>
      </c>
      <c r="C9" s="15" t="s">
        <v>25</v>
      </c>
      <c r="D9" s="23" t="s">
        <v>68</v>
      </c>
      <c r="E9" s="17" t="s">
        <v>59</v>
      </c>
      <c r="F9" s="23" t="s">
        <v>60</v>
      </c>
      <c r="G9" s="30">
        <v>6</v>
      </c>
      <c r="H9" s="30">
        <v>3</v>
      </c>
      <c r="I9" s="31">
        <v>45913</v>
      </c>
      <c r="J9" s="32">
        <v>46022</v>
      </c>
      <c r="K9" s="31"/>
      <c r="L9" s="23" t="s">
        <v>69</v>
      </c>
      <c r="M9" s="23" t="s">
        <v>47</v>
      </c>
      <c r="N9" s="24">
        <f t="shared" si="0"/>
        <v>505</v>
      </c>
      <c r="O9" s="24">
        <f t="shared" si="3"/>
        <v>4282.6499999999996</v>
      </c>
      <c r="P9" s="24">
        <f t="shared" si="4"/>
        <v>3885</v>
      </c>
      <c r="Q9" s="24">
        <f t="shared" si="2"/>
        <v>149.42422634020261</v>
      </c>
      <c r="R9" s="24">
        <v>3485</v>
      </c>
      <c r="S9" s="25">
        <v>400</v>
      </c>
      <c r="T9" s="25"/>
      <c r="U9" s="12"/>
      <c r="V9" s="10"/>
      <c r="W9" s="29" t="s">
        <v>63</v>
      </c>
      <c r="X9" s="35" t="s">
        <v>64</v>
      </c>
      <c r="Y9" s="25">
        <f>3260.2+363</f>
        <v>3623.2</v>
      </c>
      <c r="Z9" s="25">
        <v>2980</v>
      </c>
      <c r="AA9" s="25">
        <v>2880</v>
      </c>
      <c r="AB9" s="25">
        <f t="shared" si="1"/>
        <v>114.61547278113291</v>
      </c>
      <c r="AC9" s="19">
        <v>45913</v>
      </c>
      <c r="AD9" s="19">
        <v>46022</v>
      </c>
    </row>
    <row r="10" spans="1:30" x14ac:dyDescent="0.2">
      <c r="A10" s="13">
        <v>10</v>
      </c>
      <c r="B10" s="33" t="s">
        <v>70</v>
      </c>
      <c r="C10" s="15" t="s">
        <v>25</v>
      </c>
      <c r="D10" s="23" t="s">
        <v>71</v>
      </c>
      <c r="E10" s="17" t="s">
        <v>59</v>
      </c>
      <c r="F10" s="23" t="s">
        <v>60</v>
      </c>
      <c r="G10" s="30">
        <v>6</v>
      </c>
      <c r="H10" s="30">
        <v>4</v>
      </c>
      <c r="I10" s="31">
        <v>45325</v>
      </c>
      <c r="J10" s="32">
        <v>45690</v>
      </c>
      <c r="K10" s="31"/>
      <c r="L10" s="23" t="s">
        <v>61</v>
      </c>
      <c r="M10" s="23" t="s">
        <v>47</v>
      </c>
      <c r="N10" s="24">
        <f t="shared" si="0"/>
        <v>704.38999999999987</v>
      </c>
      <c r="O10" s="24">
        <f t="shared" si="3"/>
        <v>4295.4693000000007</v>
      </c>
      <c r="P10" s="24">
        <f t="shared" si="4"/>
        <v>3907.77</v>
      </c>
      <c r="Q10" s="24">
        <f t="shared" si="2"/>
        <v>150.30000230771003</v>
      </c>
      <c r="R10" s="24">
        <v>3607.77</v>
      </c>
      <c r="S10" s="25">
        <v>300</v>
      </c>
      <c r="T10" s="25">
        <v>0</v>
      </c>
      <c r="U10" s="12"/>
      <c r="V10" s="10"/>
      <c r="W10" s="29" t="s">
        <v>72</v>
      </c>
      <c r="X10" s="25" t="s">
        <v>73</v>
      </c>
      <c r="Y10" s="25">
        <v>3181.85</v>
      </c>
      <c r="Z10" s="25">
        <v>2903.38</v>
      </c>
      <c r="AA10" s="25">
        <v>2394.13</v>
      </c>
      <c r="AB10" s="25">
        <f t="shared" si="1"/>
        <v>111.66854743734419</v>
      </c>
      <c r="AC10" s="19">
        <v>45200</v>
      </c>
      <c r="AD10" s="19">
        <v>46873</v>
      </c>
    </row>
    <row r="11" spans="1:30" ht="16" x14ac:dyDescent="0.2">
      <c r="A11" s="13">
        <v>11</v>
      </c>
      <c r="B11" s="33" t="s">
        <v>74</v>
      </c>
      <c r="C11" s="15" t="s">
        <v>25</v>
      </c>
      <c r="D11" s="23" t="s">
        <v>75</v>
      </c>
      <c r="E11" s="17" t="s">
        <v>59</v>
      </c>
      <c r="F11" s="23" t="s">
        <v>60</v>
      </c>
      <c r="G11" s="30">
        <v>6</v>
      </c>
      <c r="H11" s="30">
        <v>3</v>
      </c>
      <c r="I11" s="31">
        <v>45709</v>
      </c>
      <c r="J11" s="32">
        <v>45992</v>
      </c>
      <c r="K11" s="31"/>
      <c r="L11" s="23" t="s">
        <v>61</v>
      </c>
      <c r="M11" s="34" t="s">
        <v>62</v>
      </c>
      <c r="N11" s="24">
        <f t="shared" si="0"/>
        <v>0</v>
      </c>
      <c r="O11" s="24"/>
      <c r="P11" s="24"/>
      <c r="Q11" s="24"/>
      <c r="R11" s="24"/>
      <c r="S11" s="25"/>
      <c r="T11" s="25"/>
      <c r="U11" s="12"/>
      <c r="V11" s="10"/>
      <c r="W11" s="29" t="s">
        <v>63</v>
      </c>
      <c r="X11" s="35" t="s">
        <v>64</v>
      </c>
      <c r="Y11" s="25"/>
      <c r="Z11" s="25"/>
      <c r="AA11" s="25"/>
      <c r="AB11" s="25"/>
      <c r="AC11" s="19">
        <v>45709</v>
      </c>
      <c r="AD11" s="19">
        <v>45992</v>
      </c>
    </row>
    <row r="12" spans="1:30" x14ac:dyDescent="0.2">
      <c r="A12" s="13">
        <v>12</v>
      </c>
      <c r="B12" s="33" t="s">
        <v>76</v>
      </c>
      <c r="C12" s="15" t="s">
        <v>25</v>
      </c>
      <c r="D12" s="23" t="s">
        <v>77</v>
      </c>
      <c r="E12" s="17" t="s">
        <v>59</v>
      </c>
      <c r="F12" s="23" t="s">
        <v>60</v>
      </c>
      <c r="G12" s="30">
        <v>6</v>
      </c>
      <c r="H12" s="30">
        <v>4</v>
      </c>
      <c r="I12" s="31">
        <v>45765</v>
      </c>
      <c r="J12" s="32">
        <v>45931</v>
      </c>
      <c r="K12" s="31"/>
      <c r="L12" s="23" t="s">
        <v>67</v>
      </c>
      <c r="M12" s="23" t="s">
        <v>47</v>
      </c>
      <c r="N12" s="24">
        <f t="shared" ref="N12:N25" si="5">P12-T12-Z12</f>
        <v>595.19999999999982</v>
      </c>
      <c r="O12" s="24">
        <f t="shared" si="3"/>
        <v>3851.0000000000005</v>
      </c>
      <c r="P12" s="24">
        <f t="shared" si="4"/>
        <v>3500</v>
      </c>
      <c r="Q12" s="24">
        <f t="shared" si="2"/>
        <v>134.61642012630867</v>
      </c>
      <c r="R12" s="24">
        <v>3200</v>
      </c>
      <c r="S12" s="25">
        <v>300</v>
      </c>
      <c r="T12" s="25"/>
      <c r="U12" s="12"/>
      <c r="V12" s="10"/>
      <c r="W12" s="29" t="s">
        <v>63</v>
      </c>
      <c r="X12" s="35" t="s">
        <v>64</v>
      </c>
      <c r="Y12" s="25">
        <v>3176.3</v>
      </c>
      <c r="Z12" s="25">
        <v>2904.8</v>
      </c>
      <c r="AA12" s="25">
        <v>2094.5</v>
      </c>
      <c r="AB12" s="25">
        <f t="shared" si="1"/>
        <v>111.72316286397144</v>
      </c>
      <c r="AC12" s="19">
        <v>45765</v>
      </c>
      <c r="AD12" s="19">
        <v>46494</v>
      </c>
    </row>
    <row r="13" spans="1:30" ht="16" x14ac:dyDescent="0.2">
      <c r="A13" s="13">
        <v>14</v>
      </c>
      <c r="B13" s="33" t="s">
        <v>78</v>
      </c>
      <c r="C13" s="15" t="s">
        <v>25</v>
      </c>
      <c r="D13" s="23" t="s">
        <v>79</v>
      </c>
      <c r="E13" s="17" t="s">
        <v>59</v>
      </c>
      <c r="F13" s="23" t="s">
        <v>60</v>
      </c>
      <c r="G13" s="30">
        <v>6</v>
      </c>
      <c r="H13" s="30">
        <v>3</v>
      </c>
      <c r="I13" s="31">
        <v>45709</v>
      </c>
      <c r="J13" s="32">
        <v>45992</v>
      </c>
      <c r="K13" s="31"/>
      <c r="L13" s="23" t="s">
        <v>61</v>
      </c>
      <c r="M13" s="34" t="s">
        <v>62</v>
      </c>
      <c r="N13" s="24">
        <f t="shared" si="5"/>
        <v>0</v>
      </c>
      <c r="O13" s="24"/>
      <c r="P13" s="24"/>
      <c r="Q13" s="24"/>
      <c r="R13" s="24"/>
      <c r="S13" s="25"/>
      <c r="T13" s="25"/>
      <c r="U13" s="12"/>
      <c r="V13" s="10"/>
      <c r="W13" s="29" t="s">
        <v>63</v>
      </c>
      <c r="X13" s="35" t="s">
        <v>64</v>
      </c>
      <c r="Y13" s="25"/>
      <c r="Z13" s="25"/>
      <c r="AA13" s="25"/>
      <c r="AB13" s="25"/>
      <c r="AC13" s="19">
        <v>45709</v>
      </c>
      <c r="AD13" s="19">
        <v>45992</v>
      </c>
    </row>
    <row r="14" spans="1:30" x14ac:dyDescent="0.2">
      <c r="A14" s="13"/>
      <c r="B14" s="33" t="s">
        <v>80</v>
      </c>
      <c r="C14" s="15" t="s">
        <v>25</v>
      </c>
      <c r="D14" s="23" t="s">
        <v>81</v>
      </c>
      <c r="E14" s="17" t="s">
        <v>59</v>
      </c>
      <c r="F14" s="23" t="s">
        <v>60</v>
      </c>
      <c r="G14" s="30">
        <v>7</v>
      </c>
      <c r="H14" s="30">
        <v>4</v>
      </c>
      <c r="I14" s="31">
        <v>45915</v>
      </c>
      <c r="J14" s="32">
        <v>46022</v>
      </c>
      <c r="K14" s="31"/>
      <c r="L14" s="23" t="s">
        <v>69</v>
      </c>
      <c r="M14" s="23" t="s">
        <v>47</v>
      </c>
      <c r="N14" s="24">
        <f t="shared" si="5"/>
        <v>620</v>
      </c>
      <c r="O14" s="24">
        <f t="shared" ref="O14:O21" si="6">R14*1.09+S14*1.21</f>
        <v>4975.3500000000004</v>
      </c>
      <c r="P14" s="24">
        <v>3600</v>
      </c>
      <c r="Q14" s="24">
        <f t="shared" si="2"/>
        <v>118.68223162156193</v>
      </c>
      <c r="R14" s="24">
        <v>4065</v>
      </c>
      <c r="S14" s="25">
        <v>450</v>
      </c>
      <c r="T14" s="25"/>
      <c r="U14" s="12"/>
      <c r="V14" s="10"/>
      <c r="W14" s="29" t="s">
        <v>63</v>
      </c>
      <c r="X14" s="35" t="s">
        <v>64</v>
      </c>
      <c r="Y14" s="25">
        <f>3260.2+363</f>
        <v>3623.2</v>
      </c>
      <c r="Z14" s="25">
        <v>2980</v>
      </c>
      <c r="AA14" s="25">
        <v>2880</v>
      </c>
      <c r="AB14" s="25">
        <f t="shared" si="1"/>
        <v>98.241833812399634</v>
      </c>
      <c r="AC14" s="19">
        <v>45915</v>
      </c>
      <c r="AD14" s="19">
        <v>46022</v>
      </c>
    </row>
    <row r="15" spans="1:30" x14ac:dyDescent="0.2">
      <c r="A15" s="13"/>
      <c r="B15" s="33" t="s">
        <v>82</v>
      </c>
      <c r="C15" s="15" t="s">
        <v>25</v>
      </c>
      <c r="D15" s="23" t="s">
        <v>83</v>
      </c>
      <c r="E15" s="17" t="s">
        <v>59</v>
      </c>
      <c r="F15" s="23" t="s">
        <v>60</v>
      </c>
      <c r="G15" s="30">
        <v>3</v>
      </c>
      <c r="H15" s="30">
        <v>3</v>
      </c>
      <c r="I15" s="31">
        <v>45931</v>
      </c>
      <c r="J15" s="32">
        <v>46022</v>
      </c>
      <c r="K15" s="31"/>
      <c r="L15" s="23" t="s">
        <v>84</v>
      </c>
      <c r="M15" s="23" t="s">
        <v>47</v>
      </c>
      <c r="N15" s="24">
        <f t="shared" si="5"/>
        <v>540</v>
      </c>
      <c r="O15" s="24">
        <f t="shared" ref="O15" si="7">R15*1.09+S15*1.21+T15*1.21</f>
        <v>2543</v>
      </c>
      <c r="P15" s="24">
        <f>R15+S15+T15</f>
        <v>2300</v>
      </c>
      <c r="Q15" s="24">
        <f t="shared" si="2"/>
        <v>176.92443788029135</v>
      </c>
      <c r="R15" s="24">
        <v>2000</v>
      </c>
      <c r="S15" s="25">
        <v>200</v>
      </c>
      <c r="T15" s="25">
        <v>100</v>
      </c>
      <c r="U15" s="12"/>
      <c r="V15" s="10"/>
      <c r="W15" s="29" t="s">
        <v>63</v>
      </c>
      <c r="X15" s="35" t="s">
        <v>64</v>
      </c>
      <c r="Y15" s="25">
        <f>3260.2</f>
        <v>3260.2</v>
      </c>
      <c r="Z15" s="25">
        <v>1660</v>
      </c>
      <c r="AA15" s="25">
        <v>1560</v>
      </c>
      <c r="AB15" s="25">
        <f t="shared" si="1"/>
        <v>127.69240591723532</v>
      </c>
      <c r="AC15" s="19"/>
      <c r="AD15" s="19"/>
    </row>
    <row r="16" spans="1:30" x14ac:dyDescent="0.2">
      <c r="A16" s="13">
        <v>15</v>
      </c>
      <c r="B16" s="33" t="s">
        <v>85</v>
      </c>
      <c r="C16" s="15" t="s">
        <v>25</v>
      </c>
      <c r="D16" s="23" t="s">
        <v>86</v>
      </c>
      <c r="E16" s="17" t="s">
        <v>59</v>
      </c>
      <c r="F16" s="23" t="s">
        <v>60</v>
      </c>
      <c r="G16" s="30">
        <v>4</v>
      </c>
      <c r="H16" s="30">
        <v>3</v>
      </c>
      <c r="I16" s="31">
        <v>45765</v>
      </c>
      <c r="J16" s="32">
        <v>45931</v>
      </c>
      <c r="K16" s="31"/>
      <c r="L16" s="23" t="s">
        <v>67</v>
      </c>
      <c r="M16" s="23" t="s">
        <v>47</v>
      </c>
      <c r="N16" s="24">
        <f t="shared" si="5"/>
        <v>423.11999999999989</v>
      </c>
      <c r="O16" s="24">
        <f t="shared" si="6"/>
        <v>2646</v>
      </c>
      <c r="P16" s="24">
        <f>R16+S16</f>
        <v>2400</v>
      </c>
      <c r="Q16" s="24">
        <f t="shared" si="2"/>
        <v>138.46260355848889</v>
      </c>
      <c r="R16" s="24">
        <v>2150</v>
      </c>
      <c r="S16" s="25">
        <v>250</v>
      </c>
      <c r="T16" s="25"/>
      <c r="U16" s="12"/>
      <c r="V16" s="10"/>
      <c r="W16" s="29" t="s">
        <v>63</v>
      </c>
      <c r="X16" s="35" t="s">
        <v>64</v>
      </c>
      <c r="Y16" s="25">
        <v>2161.5</v>
      </c>
      <c r="Z16" s="25">
        <v>1976.88</v>
      </c>
      <c r="AA16" s="25">
        <v>1362.66</v>
      </c>
      <c r="AB16" s="25">
        <f t="shared" si="1"/>
        <v>114.05085696219767</v>
      </c>
      <c r="AC16" s="19">
        <v>45765</v>
      </c>
      <c r="AD16" s="19">
        <v>46494</v>
      </c>
    </row>
    <row r="17" spans="1:30" x14ac:dyDescent="0.2">
      <c r="A17" s="13">
        <v>16</v>
      </c>
      <c r="B17" s="33" t="s">
        <v>87</v>
      </c>
      <c r="C17" s="15" t="s">
        <v>25</v>
      </c>
      <c r="D17" s="23" t="s">
        <v>88</v>
      </c>
      <c r="E17" s="17" t="s">
        <v>59</v>
      </c>
      <c r="F17" s="23" t="s">
        <v>60</v>
      </c>
      <c r="G17" s="30">
        <v>3</v>
      </c>
      <c r="H17" s="30">
        <v>3</v>
      </c>
      <c r="I17" s="31">
        <v>45853</v>
      </c>
      <c r="J17" s="32">
        <v>46582</v>
      </c>
      <c r="K17" s="31"/>
      <c r="L17" s="23" t="s">
        <v>67</v>
      </c>
      <c r="M17" s="23" t="s">
        <v>47</v>
      </c>
      <c r="N17" s="24">
        <f t="shared" si="5"/>
        <v>282.08999999999992</v>
      </c>
      <c r="O17" s="24">
        <f t="shared" si="6"/>
        <v>2646</v>
      </c>
      <c r="P17" s="24">
        <v>2100</v>
      </c>
      <c r="Q17" s="24">
        <f t="shared" si="2"/>
        <v>161.53970415157039</v>
      </c>
      <c r="R17" s="24">
        <v>2150</v>
      </c>
      <c r="S17" s="25">
        <v>250</v>
      </c>
      <c r="T17" s="25"/>
      <c r="U17" s="12"/>
      <c r="V17" s="10"/>
      <c r="W17" s="29" t="s">
        <v>63</v>
      </c>
      <c r="X17" s="35" t="s">
        <v>64</v>
      </c>
      <c r="Y17" s="25">
        <v>1992.5</v>
      </c>
      <c r="Z17" s="25">
        <v>1817.91</v>
      </c>
      <c r="AA17" s="25">
        <v>1251.74</v>
      </c>
      <c r="AB17" s="25">
        <f t="shared" si="1"/>
        <v>139.83933833795257</v>
      </c>
      <c r="AC17" s="19">
        <v>45853</v>
      </c>
      <c r="AD17" s="19">
        <v>46491</v>
      </c>
    </row>
    <row r="18" spans="1:30" x14ac:dyDescent="0.2">
      <c r="A18" s="13">
        <v>17</v>
      </c>
      <c r="B18" s="33" t="s">
        <v>89</v>
      </c>
      <c r="C18" s="15" t="s">
        <v>25</v>
      </c>
      <c r="D18" s="23" t="s">
        <v>90</v>
      </c>
      <c r="E18" s="17" t="s">
        <v>59</v>
      </c>
      <c r="F18" s="23" t="s">
        <v>91</v>
      </c>
      <c r="G18" s="30">
        <v>8</v>
      </c>
      <c r="H18" s="30">
        <v>4</v>
      </c>
      <c r="I18" s="31">
        <v>45304</v>
      </c>
      <c r="J18" s="32">
        <v>45669</v>
      </c>
      <c r="K18" s="31"/>
      <c r="L18" s="23" t="s">
        <v>61</v>
      </c>
      <c r="M18" s="23" t="s">
        <v>47</v>
      </c>
      <c r="N18" s="24">
        <f t="shared" si="5"/>
        <v>1340.3099999999995</v>
      </c>
      <c r="O18" s="24">
        <f t="shared" si="6"/>
        <v>5606.2924000000003</v>
      </c>
      <c r="P18" s="24">
        <f>R18+S18</f>
        <v>5110.3599999999997</v>
      </c>
      <c r="Q18" s="24">
        <f t="shared" si="2"/>
        <v>147.41536473357485</v>
      </c>
      <c r="R18" s="24">
        <v>4810.3599999999997</v>
      </c>
      <c r="S18" s="25">
        <v>300</v>
      </c>
      <c r="T18" s="25">
        <v>0</v>
      </c>
      <c r="U18" s="12"/>
      <c r="V18" s="10"/>
      <c r="W18" s="29" t="s">
        <v>72</v>
      </c>
      <c r="X18" s="25" t="s">
        <v>73</v>
      </c>
      <c r="Y18" s="25">
        <v>4126.5200000000004</v>
      </c>
      <c r="Z18" s="25">
        <v>3770.05</v>
      </c>
      <c r="AA18" s="25">
        <v>3260.8</v>
      </c>
      <c r="AB18" s="25">
        <f t="shared" si="1"/>
        <v>108.75152596271228</v>
      </c>
      <c r="AC18" s="19">
        <v>45200</v>
      </c>
      <c r="AD18" s="19">
        <v>46873</v>
      </c>
    </row>
    <row r="19" spans="1:30" x14ac:dyDescent="0.2">
      <c r="A19" s="13">
        <v>19</v>
      </c>
      <c r="B19" s="33" t="s">
        <v>92</v>
      </c>
      <c r="C19" s="15" t="s">
        <v>25</v>
      </c>
      <c r="D19" s="23" t="s">
        <v>93</v>
      </c>
      <c r="E19" s="17" t="s">
        <v>59</v>
      </c>
      <c r="F19" s="23" t="s">
        <v>91</v>
      </c>
      <c r="G19" s="30">
        <v>8</v>
      </c>
      <c r="H19" s="30">
        <v>8</v>
      </c>
      <c r="I19" s="31">
        <v>45609</v>
      </c>
      <c r="J19" s="32">
        <v>45701</v>
      </c>
      <c r="K19" s="31"/>
      <c r="L19" s="23" t="s">
        <v>94</v>
      </c>
      <c r="M19" s="36" t="s">
        <v>95</v>
      </c>
      <c r="N19" s="24">
        <f t="shared" si="5"/>
        <v>-4490.05</v>
      </c>
      <c r="O19" s="24"/>
      <c r="P19" s="24"/>
      <c r="Q19" s="24"/>
      <c r="R19" s="24"/>
      <c r="S19" s="25">
        <v>600</v>
      </c>
      <c r="T19" s="25"/>
      <c r="U19" s="12"/>
      <c r="V19" s="10"/>
      <c r="W19" s="29" t="s">
        <v>72</v>
      </c>
      <c r="X19" s="25" t="s">
        <v>73</v>
      </c>
      <c r="Y19" s="25">
        <v>4935.32</v>
      </c>
      <c r="Z19" s="25">
        <v>4490.05</v>
      </c>
      <c r="AA19" s="25">
        <v>3780.8</v>
      </c>
      <c r="AB19" s="25">
        <f t="shared" si="1"/>
        <v>129.5207727082867</v>
      </c>
      <c r="AC19" s="19">
        <v>45609</v>
      </c>
      <c r="AD19" s="19">
        <v>45701</v>
      </c>
    </row>
    <row r="20" spans="1:30" x14ac:dyDescent="0.2">
      <c r="A20" s="13">
        <v>20</v>
      </c>
      <c r="B20" s="33" t="s">
        <v>96</v>
      </c>
      <c r="C20" s="15" t="s">
        <v>25</v>
      </c>
      <c r="D20" s="23" t="s">
        <v>97</v>
      </c>
      <c r="E20" s="17" t="s">
        <v>59</v>
      </c>
      <c r="F20" s="23" t="s">
        <v>91</v>
      </c>
      <c r="G20" s="30">
        <v>8</v>
      </c>
      <c r="H20" s="30">
        <v>8</v>
      </c>
      <c r="I20" s="31">
        <v>45660</v>
      </c>
      <c r="J20" s="32">
        <v>45841</v>
      </c>
      <c r="K20" s="31"/>
      <c r="L20" s="23" t="s">
        <v>84</v>
      </c>
      <c r="M20" s="23"/>
      <c r="N20" s="24">
        <f t="shared" si="5"/>
        <v>1009.9499999999998</v>
      </c>
      <c r="O20" s="24">
        <f t="shared" si="6"/>
        <v>6067</v>
      </c>
      <c r="P20" s="24">
        <f>R20+S20</f>
        <v>5500</v>
      </c>
      <c r="Q20" s="24">
        <f t="shared" si="2"/>
        <v>158.65506657743521</v>
      </c>
      <c r="R20" s="24">
        <v>4900</v>
      </c>
      <c r="S20" s="25">
        <v>600</v>
      </c>
      <c r="T20" s="25"/>
      <c r="U20" s="12"/>
      <c r="V20" s="10"/>
      <c r="W20" s="29" t="s">
        <v>72</v>
      </c>
      <c r="X20" s="25" t="s">
        <v>73</v>
      </c>
      <c r="Y20" s="25">
        <v>4935.32</v>
      </c>
      <c r="Z20" s="25">
        <v>4490.05</v>
      </c>
      <c r="AA20" s="25">
        <v>3780.8</v>
      </c>
      <c r="AB20" s="25">
        <f t="shared" si="1"/>
        <v>129.5207727082867</v>
      </c>
      <c r="AC20" s="19"/>
      <c r="AD20" s="19"/>
    </row>
    <row r="21" spans="1:30" x14ac:dyDescent="0.2">
      <c r="A21" s="13">
        <v>21</v>
      </c>
      <c r="B21" s="33" t="s">
        <v>98</v>
      </c>
      <c r="C21" s="15" t="s">
        <v>25</v>
      </c>
      <c r="D21" s="23" t="s">
        <v>99</v>
      </c>
      <c r="E21" s="17" t="s">
        <v>59</v>
      </c>
      <c r="F21" s="23" t="s">
        <v>91</v>
      </c>
      <c r="G21" s="30">
        <v>8</v>
      </c>
      <c r="H21" s="30">
        <v>8</v>
      </c>
      <c r="I21" s="31">
        <v>45913</v>
      </c>
      <c r="J21" s="32">
        <v>46022</v>
      </c>
      <c r="K21" s="31"/>
      <c r="L21" s="23" t="s">
        <v>69</v>
      </c>
      <c r="M21" s="23"/>
      <c r="N21" s="24">
        <f t="shared" si="5"/>
        <v>609.94999999999982</v>
      </c>
      <c r="O21" s="24">
        <f t="shared" si="6"/>
        <v>5613</v>
      </c>
      <c r="P21" s="24">
        <f>R21+S21</f>
        <v>5100</v>
      </c>
      <c r="Q21" s="24">
        <f t="shared" si="2"/>
        <v>147.11651628089444</v>
      </c>
      <c r="R21" s="24">
        <v>4650</v>
      </c>
      <c r="S21" s="25">
        <v>450</v>
      </c>
      <c r="T21" s="25"/>
      <c r="U21" s="12"/>
      <c r="V21" s="10"/>
      <c r="W21" s="29" t="s">
        <v>72</v>
      </c>
      <c r="X21" s="25" t="s">
        <v>73</v>
      </c>
      <c r="Y21" s="25">
        <v>4935.32</v>
      </c>
      <c r="Z21" s="25">
        <v>4490.05</v>
      </c>
      <c r="AA21" s="25">
        <v>3780.8</v>
      </c>
      <c r="AB21" s="25">
        <f t="shared" si="1"/>
        <v>129.5207727082867</v>
      </c>
      <c r="AC21" s="19"/>
      <c r="AD21" s="19"/>
    </row>
    <row r="22" spans="1:30" x14ac:dyDescent="0.2">
      <c r="A22" s="13">
        <v>22</v>
      </c>
      <c r="B22" s="33" t="s">
        <v>100</v>
      </c>
      <c r="C22" s="15" t="s">
        <v>25</v>
      </c>
      <c r="D22" s="23" t="s">
        <v>101</v>
      </c>
      <c r="E22" s="17" t="s">
        <v>59</v>
      </c>
      <c r="F22" s="23" t="s">
        <v>91</v>
      </c>
      <c r="G22" s="30">
        <v>6</v>
      </c>
      <c r="H22" s="30">
        <v>6</v>
      </c>
      <c r="I22" s="31">
        <v>45695</v>
      </c>
      <c r="J22" s="32">
        <v>45992</v>
      </c>
      <c r="K22" s="31"/>
      <c r="L22" s="23" t="s">
        <v>61</v>
      </c>
      <c r="M22" s="36" t="s">
        <v>102</v>
      </c>
      <c r="N22" s="24">
        <f t="shared" si="5"/>
        <v>-3293.38</v>
      </c>
      <c r="O22" s="24"/>
      <c r="P22" s="24"/>
      <c r="Q22" s="24"/>
      <c r="R22" s="24"/>
      <c r="S22" s="25"/>
      <c r="T22" s="25"/>
      <c r="U22" s="12"/>
      <c r="V22" s="10"/>
      <c r="W22" s="29" t="s">
        <v>72</v>
      </c>
      <c r="X22" s="25" t="s">
        <v>73</v>
      </c>
      <c r="Y22" s="25">
        <v>3606.95</v>
      </c>
      <c r="Z22" s="25">
        <v>3293.38</v>
      </c>
      <c r="AA22" s="25">
        <v>2784.13</v>
      </c>
      <c r="AB22" s="25">
        <f t="shared" si="1"/>
        <v>126.66855897581459</v>
      </c>
      <c r="AC22" s="19">
        <v>45672</v>
      </c>
      <c r="AD22" s="19">
        <v>47498</v>
      </c>
    </row>
    <row r="23" spans="1:30" x14ac:dyDescent="0.2">
      <c r="A23" s="13">
        <v>23</v>
      </c>
      <c r="B23" s="33" t="s">
        <v>103</v>
      </c>
      <c r="C23" s="15" t="s">
        <v>25</v>
      </c>
      <c r="D23" s="23" t="s">
        <v>104</v>
      </c>
      <c r="E23" s="17" t="s">
        <v>59</v>
      </c>
      <c r="F23" s="23" t="s">
        <v>91</v>
      </c>
      <c r="G23" s="30">
        <v>8</v>
      </c>
      <c r="H23" s="30">
        <v>8</v>
      </c>
      <c r="I23" s="31">
        <v>45702</v>
      </c>
      <c r="J23" s="32">
        <v>45992</v>
      </c>
      <c r="K23" s="31"/>
      <c r="L23" s="23" t="s">
        <v>61</v>
      </c>
      <c r="M23" s="36" t="s">
        <v>102</v>
      </c>
      <c r="N23" s="24">
        <f t="shared" si="5"/>
        <v>-4490.05</v>
      </c>
      <c r="O23" s="24"/>
      <c r="P23" s="24"/>
      <c r="Q23" s="24"/>
      <c r="R23" s="24"/>
      <c r="S23" s="25"/>
      <c r="T23" s="25"/>
      <c r="U23" s="12"/>
      <c r="V23" s="10"/>
      <c r="W23" s="29" t="s">
        <v>72</v>
      </c>
      <c r="X23" s="25" t="s">
        <v>73</v>
      </c>
      <c r="Y23" s="25">
        <v>4935.32</v>
      </c>
      <c r="Z23" s="25">
        <v>4490.05</v>
      </c>
      <c r="AA23" s="25">
        <v>3780.8</v>
      </c>
      <c r="AB23" s="25">
        <f t="shared" si="1"/>
        <v>129.5207727082867</v>
      </c>
      <c r="AC23" s="19">
        <v>45672</v>
      </c>
      <c r="AD23" s="19">
        <v>47498</v>
      </c>
    </row>
    <row r="24" spans="1:30" x14ac:dyDescent="0.2">
      <c r="A24" s="13">
        <v>24</v>
      </c>
      <c r="B24" s="33" t="s">
        <v>105</v>
      </c>
      <c r="C24" s="15" t="s">
        <v>25</v>
      </c>
      <c r="D24" s="23" t="s">
        <v>106</v>
      </c>
      <c r="E24" s="17" t="s">
        <v>59</v>
      </c>
      <c r="F24" s="23" t="s">
        <v>91</v>
      </c>
      <c r="G24" s="30">
        <v>4</v>
      </c>
      <c r="H24" s="30">
        <v>3</v>
      </c>
      <c r="I24" s="31">
        <v>45772</v>
      </c>
      <c r="J24" s="32">
        <v>45931</v>
      </c>
      <c r="K24" s="31"/>
      <c r="L24" s="23" t="s">
        <v>67</v>
      </c>
      <c r="M24" s="23"/>
      <c r="N24" s="24">
        <f t="shared" si="5"/>
        <v>173.63000000000011</v>
      </c>
      <c r="O24" s="24">
        <f t="shared" ref="O24:O26" si="8">R24*1.09+S24*1.21+T24*1.21</f>
        <v>2646</v>
      </c>
      <c r="P24" s="24">
        <f t="shared" ref="P24:P26" si="9">R24+S24+T24</f>
        <v>2400</v>
      </c>
      <c r="Q24" s="24">
        <f t="shared" si="2"/>
        <v>138.46260355848889</v>
      </c>
      <c r="R24" s="24">
        <v>2150</v>
      </c>
      <c r="S24" s="25">
        <v>250</v>
      </c>
      <c r="T24" s="25"/>
      <c r="U24" s="12"/>
      <c r="V24" s="10"/>
      <c r="W24" s="29" t="s">
        <v>63</v>
      </c>
      <c r="X24" s="35" t="s">
        <v>64</v>
      </c>
      <c r="Y24" s="25">
        <v>2434</v>
      </c>
      <c r="Z24" s="25">
        <v>2226.37</v>
      </c>
      <c r="AA24" s="25">
        <v>1618.35</v>
      </c>
      <c r="AB24" s="25">
        <f t="shared" si="1"/>
        <v>128.44452188040142</v>
      </c>
      <c r="AC24" s="19">
        <v>45772</v>
      </c>
      <c r="AD24" s="19">
        <v>46501</v>
      </c>
    </row>
    <row r="25" spans="1:30" ht="16" x14ac:dyDescent="0.2">
      <c r="A25" s="13"/>
      <c r="B25" s="33" t="s">
        <v>107</v>
      </c>
      <c r="C25" s="15" t="s">
        <v>25</v>
      </c>
      <c r="D25" s="23" t="s">
        <v>108</v>
      </c>
      <c r="E25" s="17" t="s">
        <v>59</v>
      </c>
      <c r="F25" s="23" t="s">
        <v>91</v>
      </c>
      <c r="G25" s="30">
        <v>3</v>
      </c>
      <c r="H25" s="30">
        <v>3</v>
      </c>
      <c r="I25" s="31">
        <v>45913</v>
      </c>
      <c r="J25" s="32">
        <v>46022</v>
      </c>
      <c r="K25" s="31"/>
      <c r="L25" s="23" t="s">
        <v>69</v>
      </c>
      <c r="M25" s="34" t="s">
        <v>109</v>
      </c>
      <c r="N25" s="24">
        <f t="shared" si="5"/>
        <v>0</v>
      </c>
      <c r="O25" s="24"/>
      <c r="P25" s="24"/>
      <c r="Q25" s="24"/>
      <c r="R25" s="24"/>
      <c r="S25" s="25"/>
      <c r="T25" s="25"/>
      <c r="U25" s="12"/>
      <c r="V25" s="10"/>
      <c r="W25" s="29" t="s">
        <v>63</v>
      </c>
      <c r="X25" s="35" t="s">
        <v>64</v>
      </c>
      <c r="Y25" s="25"/>
      <c r="Z25" s="25"/>
      <c r="AA25" s="25"/>
      <c r="AB25" s="25"/>
      <c r="AC25" s="19">
        <v>45913</v>
      </c>
      <c r="AD25" s="19">
        <v>46022</v>
      </c>
    </row>
    <row r="26" spans="1:30" x14ac:dyDescent="0.2">
      <c r="A26" s="13"/>
      <c r="B26" s="33" t="s">
        <v>110</v>
      </c>
      <c r="C26" s="15" t="s">
        <v>25</v>
      </c>
      <c r="D26" s="23" t="s">
        <v>111</v>
      </c>
      <c r="E26" s="17" t="s">
        <v>59</v>
      </c>
      <c r="F26" s="23" t="s">
        <v>60</v>
      </c>
      <c r="G26" s="30">
        <v>5</v>
      </c>
      <c r="H26" s="30">
        <v>3</v>
      </c>
      <c r="I26" s="31">
        <v>45893</v>
      </c>
      <c r="J26" s="32">
        <v>46011</v>
      </c>
      <c r="K26" s="31"/>
      <c r="L26" s="23" t="s">
        <v>112</v>
      </c>
      <c r="M26" s="23"/>
      <c r="N26" s="24">
        <f>P26-T26-Z26</f>
        <v>877</v>
      </c>
      <c r="O26" s="24">
        <f t="shared" si="8"/>
        <v>3896.78</v>
      </c>
      <c r="P26" s="24">
        <f t="shared" si="9"/>
        <v>3542</v>
      </c>
      <c r="Q26" s="24">
        <f>(P26/G26)/4.3333</f>
        <v>163.47818060138923</v>
      </c>
      <c r="R26" s="24">
        <v>3242</v>
      </c>
      <c r="S26" s="25">
        <v>300</v>
      </c>
      <c r="T26" s="25"/>
      <c r="U26" s="12"/>
      <c r="V26" s="10"/>
      <c r="W26" s="29" t="s">
        <v>63</v>
      </c>
      <c r="X26" s="35" t="s">
        <v>64</v>
      </c>
      <c r="Y26" s="25">
        <v>2952.85</v>
      </c>
      <c r="Z26" s="25">
        <v>2665</v>
      </c>
      <c r="AA26" s="25">
        <v>2265</v>
      </c>
      <c r="AB26" s="25">
        <f>(Z26/G26)/4.33333</f>
        <v>123.0000946154574</v>
      </c>
      <c r="AC26" s="19">
        <v>45893</v>
      </c>
      <c r="AD26" s="19">
        <v>46011</v>
      </c>
    </row>
    <row r="27" spans="1:30" x14ac:dyDescent="0.2">
      <c r="A27" s="13"/>
      <c r="B27" s="33" t="s">
        <v>113</v>
      </c>
      <c r="C27" s="15" t="s">
        <v>25</v>
      </c>
      <c r="D27" s="23" t="s">
        <v>114</v>
      </c>
      <c r="E27" s="17" t="s">
        <v>59</v>
      </c>
      <c r="F27" s="23" t="s">
        <v>60</v>
      </c>
      <c r="G27" s="30">
        <v>3</v>
      </c>
      <c r="H27" s="30">
        <v>4</v>
      </c>
      <c r="I27" s="31">
        <v>45962</v>
      </c>
      <c r="J27" s="32"/>
      <c r="K27" s="31"/>
      <c r="L27" s="23" t="s">
        <v>112</v>
      </c>
      <c r="M27" s="23"/>
      <c r="N27" s="24">
        <f>P27-T27-Z27</f>
        <v>478.11999999999989</v>
      </c>
      <c r="O27" s="24">
        <f t="shared" ref="O27" si="10">R27*1.09+S27*1.21</f>
        <v>3197</v>
      </c>
      <c r="P27" s="24">
        <f>R27+S27</f>
        <v>2900</v>
      </c>
      <c r="Q27" s="24">
        <f t="shared" ref="Q27" si="11">(P27/G27)/4.3333</f>
        <v>223.07863906645434</v>
      </c>
      <c r="R27" s="24">
        <v>2600</v>
      </c>
      <c r="S27" s="25">
        <v>300</v>
      </c>
      <c r="T27" s="25"/>
      <c r="U27" s="12"/>
      <c r="V27" s="10"/>
      <c r="W27" s="29" t="s">
        <v>63</v>
      </c>
      <c r="X27" s="35" t="s">
        <v>64</v>
      </c>
      <c r="Y27" s="25">
        <v>2658.55</v>
      </c>
      <c r="Z27" s="25">
        <v>2421.88</v>
      </c>
      <c r="AA27" s="25">
        <v>1707.66</v>
      </c>
      <c r="AB27" s="25">
        <f t="shared" ref="AB27" si="12">(Z27/G27)/4.33333</f>
        <v>186.29860484508066</v>
      </c>
      <c r="AC27" s="19">
        <v>45962</v>
      </c>
      <c r="AD27" s="19"/>
    </row>
    <row r="28" spans="1:30" x14ac:dyDescent="0.2">
      <c r="A28" s="13">
        <v>26</v>
      </c>
      <c r="B28" s="14" t="str">
        <f>_xlfn.XLOOKUP(D28,'[1]Sleutelplan nieuw'!B:B,'[1]Sleutelplan nieuw'!A:A,"",2)</f>
        <v>0002</v>
      </c>
      <c r="C28" s="15" t="s">
        <v>25</v>
      </c>
      <c r="D28" s="23" t="s">
        <v>115</v>
      </c>
      <c r="E28" s="18" t="s">
        <v>116</v>
      </c>
      <c r="F28" s="23" t="s">
        <v>117</v>
      </c>
      <c r="G28" s="30">
        <v>4</v>
      </c>
      <c r="H28" s="30">
        <v>3</v>
      </c>
      <c r="I28" s="31">
        <v>44946</v>
      </c>
      <c r="J28" s="32">
        <v>45311</v>
      </c>
      <c r="K28" s="18"/>
      <c r="L28" s="23" t="s">
        <v>118</v>
      </c>
      <c r="M28" s="23"/>
      <c r="N28" s="24">
        <f t="shared" ref="N28:N86" si="13">P28-S28-T28-Z28</f>
        <v>412.68000000000006</v>
      </c>
      <c r="O28" s="24">
        <f>R28*1.09+S28*1.21</f>
        <v>1994.1877000000002</v>
      </c>
      <c r="P28" s="24">
        <f>R28+S28</f>
        <v>1829.53</v>
      </c>
      <c r="Q28" s="24">
        <f>(P28/G28)/4.33333</f>
        <v>105.54988888452991</v>
      </c>
      <c r="R28" s="24">
        <v>1829.53</v>
      </c>
      <c r="S28" s="25">
        <v>0</v>
      </c>
      <c r="T28" s="25">
        <v>0</v>
      </c>
      <c r="U28" s="12"/>
      <c r="V28" s="10"/>
      <c r="W28" s="17" t="s">
        <v>35</v>
      </c>
      <c r="X28" s="37"/>
      <c r="Y28" s="24">
        <v>1544.37</v>
      </c>
      <c r="Z28" s="24">
        <v>1416.85</v>
      </c>
      <c r="AA28" s="24">
        <v>1391.85</v>
      </c>
      <c r="AB28" s="25">
        <f t="shared" si="1"/>
        <v>81.741409031853095</v>
      </c>
      <c r="AC28" s="19">
        <v>44946</v>
      </c>
    </row>
    <row r="29" spans="1:30" x14ac:dyDescent="0.2">
      <c r="A29" s="13">
        <v>28</v>
      </c>
      <c r="B29" s="14" t="str">
        <f>_xlfn.XLOOKUP(D29,'[1]Sleutelplan nieuw'!B:B,'[1]Sleutelplan nieuw'!A:A,"",2)</f>
        <v>0043</v>
      </c>
      <c r="C29" s="15" t="s">
        <v>50</v>
      </c>
      <c r="D29" s="23" t="s">
        <v>119</v>
      </c>
      <c r="E29" s="18" t="s">
        <v>120</v>
      </c>
      <c r="F29" s="23" t="s">
        <v>121</v>
      </c>
      <c r="G29" s="30">
        <v>4</v>
      </c>
      <c r="H29" s="30">
        <v>4</v>
      </c>
      <c r="I29" s="31">
        <v>45208</v>
      </c>
      <c r="J29" s="32">
        <v>45573</v>
      </c>
      <c r="K29" s="38"/>
      <c r="L29" s="23" t="s">
        <v>122</v>
      </c>
      <c r="M29" s="23"/>
      <c r="N29" s="24">
        <f t="shared" si="13"/>
        <v>753.42000000000007</v>
      </c>
      <c r="O29" s="24">
        <f t="shared" ref="O29:O35" si="14">R29*1.09+S29*1.21</f>
        <v>2693.4663000000005</v>
      </c>
      <c r="P29" s="24">
        <f t="shared" ref="P29:P35" si="15">R29+S29</f>
        <v>2471.0700000000002</v>
      </c>
      <c r="Q29" s="24">
        <f>(P29/G29)/4.3333</f>
        <v>142.56282740636468</v>
      </c>
      <c r="R29" s="24">
        <v>2471.0700000000002</v>
      </c>
      <c r="S29" s="25">
        <v>0</v>
      </c>
      <c r="T29" s="25">
        <v>0</v>
      </c>
      <c r="U29" s="12"/>
      <c r="V29" s="10"/>
      <c r="W29" s="29" t="s">
        <v>123</v>
      </c>
      <c r="X29" s="25" t="s">
        <v>124</v>
      </c>
      <c r="Y29" s="25">
        <v>1717.65</v>
      </c>
      <c r="Z29" s="25">
        <v>1717.65</v>
      </c>
      <c r="AA29" s="25">
        <v>1717.65</v>
      </c>
      <c r="AB29" s="25">
        <f t="shared" si="1"/>
        <v>99.095268534821955</v>
      </c>
      <c r="AC29" s="19">
        <v>44381</v>
      </c>
      <c r="AD29" s="19">
        <v>45474</v>
      </c>
    </row>
    <row r="30" spans="1:30" x14ac:dyDescent="0.2">
      <c r="A30" s="13">
        <v>29</v>
      </c>
      <c r="B30" s="33" t="s">
        <v>125</v>
      </c>
      <c r="C30" s="15" t="s">
        <v>25</v>
      </c>
      <c r="D30" s="23" t="s">
        <v>126</v>
      </c>
      <c r="E30" s="18" t="s">
        <v>127</v>
      </c>
      <c r="F30" s="23" t="s">
        <v>128</v>
      </c>
      <c r="G30" s="30">
        <v>3</v>
      </c>
      <c r="H30" s="30">
        <v>2</v>
      </c>
      <c r="I30" s="31">
        <v>45405</v>
      </c>
      <c r="J30" s="32">
        <v>45769</v>
      </c>
      <c r="K30" s="38"/>
      <c r="L30" s="23" t="s">
        <v>35</v>
      </c>
      <c r="M30" s="23"/>
      <c r="N30" s="24">
        <f t="shared" si="13"/>
        <v>130.13000000000011</v>
      </c>
      <c r="O30" s="24">
        <f t="shared" si="14"/>
        <v>1843.8767000000003</v>
      </c>
      <c r="P30" s="24">
        <f t="shared" si="15"/>
        <v>1691.63</v>
      </c>
      <c r="Q30" s="24">
        <f>(P30/G30)/4.3333</f>
        <v>130.12638558758144</v>
      </c>
      <c r="R30" s="24">
        <v>1691.63</v>
      </c>
      <c r="S30" s="25">
        <v>0</v>
      </c>
      <c r="T30" s="25">
        <v>0</v>
      </c>
      <c r="U30" s="12"/>
      <c r="V30" s="10"/>
      <c r="W30" s="29" t="s">
        <v>129</v>
      </c>
      <c r="X30" s="25"/>
      <c r="Y30" s="25">
        <v>1561.5</v>
      </c>
      <c r="Z30" s="25">
        <v>1561.5</v>
      </c>
      <c r="AA30" s="25">
        <v>1561.5</v>
      </c>
      <c r="AB30" s="25">
        <f t="shared" si="1"/>
        <v>120.11547701190538</v>
      </c>
      <c r="AC30" s="19"/>
      <c r="AD30" s="19"/>
    </row>
    <row r="31" spans="1:30" ht="16" x14ac:dyDescent="0.2">
      <c r="A31" s="13">
        <v>30</v>
      </c>
      <c r="B31" s="14" t="str" cm="1">
        <f t="array" ref="B31">_xlfn.XLOOKUP(LEFT(D31,3),LEFT('[1]Sleutelplan nieuw'!B:B,3),'[1]Sleutelplan nieuw'!A:A,"",2)</f>
        <v>0353</v>
      </c>
      <c r="C31" s="15" t="s">
        <v>25</v>
      </c>
      <c r="D31" s="23" t="s">
        <v>130</v>
      </c>
      <c r="E31" s="18" t="s">
        <v>131</v>
      </c>
      <c r="F31" s="23" t="s">
        <v>128</v>
      </c>
      <c r="G31" s="30">
        <v>4</v>
      </c>
      <c r="H31" s="30">
        <v>2</v>
      </c>
      <c r="I31" s="31">
        <v>45748</v>
      </c>
      <c r="J31" s="32" t="s">
        <v>132</v>
      </c>
      <c r="K31" s="38"/>
      <c r="L31" s="23" t="s">
        <v>35</v>
      </c>
      <c r="M31" s="23"/>
      <c r="N31" s="24">
        <f t="shared" si="13"/>
        <v>373.96000000000004</v>
      </c>
      <c r="O31" s="24">
        <f t="shared" si="14"/>
        <v>1770.1164000000001</v>
      </c>
      <c r="P31" s="24">
        <f t="shared" si="15"/>
        <v>1623.96</v>
      </c>
      <c r="Q31" s="24">
        <f>(P31/G31)/4.3333</f>
        <v>93.690720697851518</v>
      </c>
      <c r="R31" s="24">
        <v>1623.96</v>
      </c>
      <c r="S31" s="25">
        <v>0</v>
      </c>
      <c r="T31" s="25"/>
      <c r="U31" s="12"/>
      <c r="V31" s="10"/>
      <c r="W31" s="29" t="s">
        <v>133</v>
      </c>
      <c r="X31" s="35" t="s">
        <v>134</v>
      </c>
      <c r="Y31" s="25">
        <v>1250</v>
      </c>
      <c r="Z31" s="25">
        <v>1250</v>
      </c>
      <c r="AA31" s="25">
        <v>1250</v>
      </c>
      <c r="AB31" s="25">
        <f t="shared" si="1"/>
        <v>72.115440088800071</v>
      </c>
      <c r="AC31" s="19">
        <v>45748</v>
      </c>
      <c r="AD31" s="19"/>
    </row>
    <row r="32" spans="1:30" x14ac:dyDescent="0.2">
      <c r="A32" s="13">
        <v>32</v>
      </c>
      <c r="B32" s="14" t="str">
        <f>_xlfn.XLOOKUP(D32,'[1]Sleutelplan nieuw'!B:B,'[1]Sleutelplan nieuw'!A:A,"",2)</f>
        <v>0055</v>
      </c>
      <c r="C32" s="15" t="s">
        <v>50</v>
      </c>
      <c r="D32" s="23" t="s">
        <v>135</v>
      </c>
      <c r="E32" s="18" t="s">
        <v>136</v>
      </c>
      <c r="F32" s="23" t="s">
        <v>137</v>
      </c>
      <c r="G32" s="18">
        <v>4</v>
      </c>
      <c r="H32" s="18">
        <v>4</v>
      </c>
      <c r="I32" s="21"/>
      <c r="J32" s="21"/>
      <c r="K32" s="39"/>
      <c r="L32" s="23" t="s">
        <v>138</v>
      </c>
      <c r="M32" s="23"/>
      <c r="N32" s="24">
        <f t="shared" si="13"/>
        <v>697.4699999999998</v>
      </c>
      <c r="O32" s="24">
        <f t="shared" si="14"/>
        <v>3332.1223</v>
      </c>
      <c r="P32" s="24">
        <f t="shared" si="15"/>
        <v>3029.47</v>
      </c>
      <c r="Q32" s="24">
        <f t="shared" ref="Q32:Q39" si="16">(P32/G32)/4.33333</f>
        <v>174.77724982865371</v>
      </c>
      <c r="R32" s="24">
        <v>2779.47</v>
      </c>
      <c r="S32" s="25">
        <v>250</v>
      </c>
      <c r="T32" s="25"/>
      <c r="U32" s="12"/>
      <c r="V32" s="10"/>
      <c r="W32" s="29" t="s">
        <v>139</v>
      </c>
      <c r="X32" s="35" t="s">
        <v>140</v>
      </c>
      <c r="Y32" s="25">
        <v>2082</v>
      </c>
      <c r="Z32" s="25">
        <v>2082</v>
      </c>
      <c r="AA32" s="25">
        <v>2082</v>
      </c>
      <c r="AB32" s="25">
        <f t="shared" si="1"/>
        <v>120.11547701190538</v>
      </c>
      <c r="AC32" s="19">
        <v>45473</v>
      </c>
      <c r="AD32" s="19">
        <v>45837</v>
      </c>
    </row>
    <row r="33" spans="1:30" x14ac:dyDescent="0.2">
      <c r="A33" s="13">
        <v>33</v>
      </c>
      <c r="B33" s="14" t="str">
        <f>_xlfn.XLOOKUP(D33,'[1]Sleutelplan nieuw'!B:B,'[1]Sleutelplan nieuw'!A:A,"",2)</f>
        <v>0012</v>
      </c>
      <c r="C33" s="15" t="s">
        <v>50</v>
      </c>
      <c r="D33" s="23" t="s">
        <v>141</v>
      </c>
      <c r="E33" s="18" t="s">
        <v>142</v>
      </c>
      <c r="F33" s="23" t="s">
        <v>53</v>
      </c>
      <c r="G33" s="18">
        <v>4</v>
      </c>
      <c r="H33" s="18">
        <v>4</v>
      </c>
      <c r="I33" s="21">
        <v>44932</v>
      </c>
      <c r="J33" s="21">
        <v>45296</v>
      </c>
      <c r="K33" s="39"/>
      <c r="L33" s="23" t="s">
        <v>122</v>
      </c>
      <c r="M33" s="23"/>
      <c r="N33" s="24">
        <f t="shared" si="13"/>
        <v>409.23</v>
      </c>
      <c r="O33" s="24">
        <f t="shared" si="14"/>
        <v>2244.5607</v>
      </c>
      <c r="P33" s="24">
        <f t="shared" si="15"/>
        <v>2059.23</v>
      </c>
      <c r="Q33" s="24">
        <f t="shared" si="16"/>
        <v>118.80182215524781</v>
      </c>
      <c r="R33" s="24">
        <v>2059.23</v>
      </c>
      <c r="S33" s="25">
        <v>0</v>
      </c>
      <c r="T33" s="25">
        <v>0</v>
      </c>
      <c r="U33" s="12"/>
      <c r="V33" s="10"/>
      <c r="W33" s="29" t="s">
        <v>55</v>
      </c>
      <c r="X33" s="25" t="s">
        <v>56</v>
      </c>
      <c r="Y33" s="25">
        <v>1650</v>
      </c>
      <c r="Z33" s="25">
        <v>1650</v>
      </c>
      <c r="AA33" s="25">
        <v>1650</v>
      </c>
      <c r="AB33" s="25">
        <f t="shared" si="1"/>
        <v>95.192380917216084</v>
      </c>
      <c r="AC33" s="19">
        <v>44986</v>
      </c>
      <c r="AD33" s="19">
        <v>45351</v>
      </c>
    </row>
    <row r="34" spans="1:30" x14ac:dyDescent="0.2">
      <c r="A34" s="13">
        <v>34</v>
      </c>
      <c r="B34" s="14" t="str">
        <f>_xlfn.XLOOKUP(D34,'[1]Sleutelplan nieuw'!B:B,'[1]Sleutelplan nieuw'!A:A,"",2)</f>
        <v>0013</v>
      </c>
      <c r="C34" s="15" t="s">
        <v>50</v>
      </c>
      <c r="D34" s="23" t="s">
        <v>143</v>
      </c>
      <c r="E34" s="18" t="s">
        <v>144</v>
      </c>
      <c r="F34" s="23" t="s">
        <v>145</v>
      </c>
      <c r="G34" s="18">
        <v>5</v>
      </c>
      <c r="H34" s="18">
        <v>5</v>
      </c>
      <c r="I34" s="21">
        <v>45231</v>
      </c>
      <c r="J34" s="21">
        <v>45412</v>
      </c>
      <c r="K34" s="39" t="s">
        <v>47</v>
      </c>
      <c r="L34" s="40" t="s">
        <v>146</v>
      </c>
      <c r="M34" s="23"/>
      <c r="N34" s="24">
        <f t="shared" si="13"/>
        <v>2233.0400000000004</v>
      </c>
      <c r="O34" s="24">
        <f t="shared" si="14"/>
        <v>5580.6690000000008</v>
      </c>
      <c r="P34" s="24">
        <f t="shared" si="15"/>
        <v>5084.1000000000004</v>
      </c>
      <c r="Q34" s="24">
        <f t="shared" si="16"/>
        <v>234.65094973149979</v>
      </c>
      <c r="R34" s="24">
        <v>4759.1000000000004</v>
      </c>
      <c r="S34" s="25">
        <v>325</v>
      </c>
      <c r="T34" s="25">
        <v>0</v>
      </c>
      <c r="U34" s="12"/>
      <c r="V34" s="10"/>
      <c r="W34" s="29" t="s">
        <v>147</v>
      </c>
      <c r="X34" s="25" t="s">
        <v>148</v>
      </c>
      <c r="Y34" s="25">
        <v>2526.06</v>
      </c>
      <c r="Z34" s="25">
        <v>2526.06</v>
      </c>
      <c r="AA34" s="25">
        <v>2526.06</v>
      </c>
      <c r="AB34" s="25">
        <f t="shared" si="1"/>
        <v>116.58747429805715</v>
      </c>
      <c r="AC34" s="19">
        <v>44835</v>
      </c>
      <c r="AD34" s="19">
        <v>45200</v>
      </c>
    </row>
    <row r="35" spans="1:30" ht="16" x14ac:dyDescent="0.2">
      <c r="A35" s="13">
        <v>35</v>
      </c>
      <c r="B35" s="14" t="str">
        <f>_xlfn.XLOOKUP(D35,'[1]Sleutelplan nieuw'!B:B,'[1]Sleutelplan nieuw'!A:A,"",2)</f>
        <v>0040</v>
      </c>
      <c r="C35" s="15" t="s">
        <v>50</v>
      </c>
      <c r="D35" s="23" t="s">
        <v>149</v>
      </c>
      <c r="E35" s="18" t="s">
        <v>150</v>
      </c>
      <c r="F35" s="23" t="s">
        <v>151</v>
      </c>
      <c r="G35" s="18">
        <v>3</v>
      </c>
      <c r="H35" s="18">
        <v>3</v>
      </c>
      <c r="I35" s="21">
        <v>45940</v>
      </c>
      <c r="J35" s="21">
        <v>46304</v>
      </c>
      <c r="K35" s="39"/>
      <c r="L35" s="23" t="s">
        <v>152</v>
      </c>
      <c r="M35" s="41" t="s">
        <v>153</v>
      </c>
      <c r="N35" s="24">
        <f t="shared" si="13"/>
        <v>743</v>
      </c>
      <c r="O35" s="24">
        <f t="shared" si="14"/>
        <v>3627.0000000000005</v>
      </c>
      <c r="P35" s="24">
        <f t="shared" si="15"/>
        <v>3300</v>
      </c>
      <c r="Q35" s="24">
        <f t="shared" si="16"/>
        <v>253.84634911257623</v>
      </c>
      <c r="R35" s="24">
        <v>3050</v>
      </c>
      <c r="S35" s="25">
        <v>250</v>
      </c>
      <c r="T35" s="25">
        <v>0</v>
      </c>
      <c r="U35" s="16"/>
      <c r="V35" s="10"/>
      <c r="W35" s="29" t="s">
        <v>154</v>
      </c>
      <c r="X35" s="25" t="s">
        <v>155</v>
      </c>
      <c r="Y35" s="25">
        <v>2307</v>
      </c>
      <c r="Z35" s="25">
        <v>2307</v>
      </c>
      <c r="AA35" s="25">
        <v>2307</v>
      </c>
      <c r="AB35" s="25">
        <f t="shared" si="1"/>
        <v>177.4616749705192</v>
      </c>
      <c r="AC35" s="19">
        <v>44835</v>
      </c>
      <c r="AD35" s="17" t="s">
        <v>156</v>
      </c>
    </row>
    <row r="36" spans="1:30" x14ac:dyDescent="0.2">
      <c r="A36" s="13">
        <v>36</v>
      </c>
      <c r="B36" s="14" t="str">
        <f>_xlfn.XLOOKUP(D36,'[1]Sleutelplan nieuw'!B:B,'[1]Sleutelplan nieuw'!A:A,"",2)</f>
        <v>0152</v>
      </c>
      <c r="C36" s="15" t="s">
        <v>25</v>
      </c>
      <c r="D36" s="23" t="s">
        <v>157</v>
      </c>
      <c r="E36" s="18" t="s">
        <v>158</v>
      </c>
      <c r="F36" s="23" t="s">
        <v>159</v>
      </c>
      <c r="G36" s="18">
        <v>8</v>
      </c>
      <c r="H36" s="18">
        <v>4</v>
      </c>
      <c r="I36" s="21">
        <v>45898</v>
      </c>
      <c r="J36" s="21">
        <v>46262</v>
      </c>
      <c r="K36" s="39"/>
      <c r="L36" s="23" t="s">
        <v>160</v>
      </c>
      <c r="M36" s="23" t="s">
        <v>47</v>
      </c>
      <c r="N36" s="24">
        <f t="shared" si="13"/>
        <v>394</v>
      </c>
      <c r="O36" s="24">
        <f>R36*1.09+S36*1.21</f>
        <v>5558.5</v>
      </c>
      <c r="P36" s="24">
        <f>R36+S36</f>
        <v>5050</v>
      </c>
      <c r="Q36" s="24">
        <f t="shared" si="16"/>
        <v>145.67318897937614</v>
      </c>
      <c r="R36" s="24">
        <v>4600</v>
      </c>
      <c r="S36" s="25">
        <v>450</v>
      </c>
      <c r="T36" s="25">
        <v>0</v>
      </c>
      <c r="U36" s="16"/>
      <c r="V36" s="10"/>
      <c r="W36" s="29" t="s">
        <v>161</v>
      </c>
      <c r="X36" s="25"/>
      <c r="Y36" s="25">
        <v>4206</v>
      </c>
      <c r="Z36" s="25">
        <v>4206</v>
      </c>
      <c r="AA36" s="25">
        <v>4206</v>
      </c>
      <c r="AB36" s="25">
        <f t="shared" si="1"/>
        <v>121.32701640539723</v>
      </c>
      <c r="AC36" s="19"/>
    </row>
    <row r="37" spans="1:30" x14ac:dyDescent="0.2">
      <c r="A37" s="13">
        <v>38</v>
      </c>
      <c r="B37" s="14" t="str">
        <f>_xlfn.XLOOKUP(D37,'[1]Sleutelplan nieuw'!B:B,'[1]Sleutelplan nieuw'!A:A,"",2)</f>
        <v>0322</v>
      </c>
      <c r="C37" s="15" t="s">
        <v>25</v>
      </c>
      <c r="D37" s="23" t="s">
        <v>162</v>
      </c>
      <c r="E37" s="18" t="s">
        <v>163</v>
      </c>
      <c r="F37" s="23" t="s">
        <v>164</v>
      </c>
      <c r="G37" s="18">
        <v>4</v>
      </c>
      <c r="H37" s="18">
        <v>4</v>
      </c>
      <c r="I37" s="21">
        <v>45803</v>
      </c>
      <c r="J37" s="21">
        <v>45925</v>
      </c>
      <c r="K37" s="39"/>
      <c r="L37" s="23" t="s">
        <v>165</v>
      </c>
      <c r="M37" s="23" t="s">
        <v>47</v>
      </c>
      <c r="N37" s="24">
        <f t="shared" si="13"/>
        <v>500</v>
      </c>
      <c r="O37" s="24">
        <f t="shared" ref="O37:O59" si="17">R37*1.09+S37*1.21</f>
        <v>2373.5</v>
      </c>
      <c r="P37" s="24">
        <f t="shared" ref="P37:P53" si="18">R37+S37</f>
        <v>2150</v>
      </c>
      <c r="Q37" s="24">
        <f t="shared" si="16"/>
        <v>124.03855695273612</v>
      </c>
      <c r="R37" s="24">
        <v>1900</v>
      </c>
      <c r="S37" s="25">
        <v>250</v>
      </c>
      <c r="T37" s="25"/>
      <c r="U37" s="12"/>
      <c r="V37" s="10"/>
      <c r="W37" s="29" t="s">
        <v>166</v>
      </c>
      <c r="X37" s="25" t="s">
        <v>167</v>
      </c>
      <c r="Y37" s="25">
        <v>1400</v>
      </c>
      <c r="Z37" s="25">
        <v>1400</v>
      </c>
      <c r="AA37" s="25">
        <v>1400</v>
      </c>
      <c r="AB37" s="25">
        <f t="shared" si="1"/>
        <v>80.769292899456076</v>
      </c>
      <c r="AC37" s="19">
        <v>45689</v>
      </c>
      <c r="AD37" s="19">
        <v>46054</v>
      </c>
    </row>
    <row r="38" spans="1:30" x14ac:dyDescent="0.2">
      <c r="A38" s="13">
        <v>39</v>
      </c>
      <c r="B38" s="14" t="str">
        <f>_xlfn.XLOOKUP(D38,'[1]Sleutelplan nieuw'!B:B,'[1]Sleutelplan nieuw'!A:A,"",2)</f>
        <v>0346</v>
      </c>
      <c r="C38" s="15" t="s">
        <v>25</v>
      </c>
      <c r="D38" s="23" t="s">
        <v>168</v>
      </c>
      <c r="E38" s="18" t="s">
        <v>169</v>
      </c>
      <c r="F38" s="23" t="s">
        <v>151</v>
      </c>
      <c r="G38" s="18">
        <v>6</v>
      </c>
      <c r="H38" s="18">
        <v>3</v>
      </c>
      <c r="I38" s="21">
        <v>45717</v>
      </c>
      <c r="J38" s="21"/>
      <c r="K38" s="39"/>
      <c r="L38" s="23" t="s">
        <v>170</v>
      </c>
      <c r="M38" s="23" t="s">
        <v>47</v>
      </c>
      <c r="N38" s="24">
        <f t="shared" si="13"/>
        <v>250</v>
      </c>
      <c r="O38" s="24">
        <f t="shared" si="17"/>
        <v>4570.4000000000005</v>
      </c>
      <c r="P38" s="24">
        <f t="shared" si="18"/>
        <v>4160</v>
      </c>
      <c r="Q38" s="24">
        <f t="shared" si="16"/>
        <v>160.00012307701775</v>
      </c>
      <c r="R38" s="24">
        <v>3860</v>
      </c>
      <c r="S38" s="25">
        <v>300</v>
      </c>
      <c r="T38" s="25"/>
      <c r="U38" s="12"/>
      <c r="V38" s="10"/>
      <c r="W38" s="29" t="s">
        <v>171</v>
      </c>
      <c r="X38" s="25"/>
      <c r="Y38" s="25">
        <f>Z38*1.21</f>
        <v>4368.0999999999995</v>
      </c>
      <c r="Z38" s="25">
        <v>3610</v>
      </c>
      <c r="AA38" s="25">
        <v>3610</v>
      </c>
      <c r="AB38" s="25">
        <f t="shared" si="1"/>
        <v>138.84626065096973</v>
      </c>
      <c r="AC38" s="19">
        <v>45717</v>
      </c>
      <c r="AD38" s="19"/>
    </row>
    <row r="39" spans="1:30" x14ac:dyDescent="0.2">
      <c r="A39" s="13">
        <v>40</v>
      </c>
      <c r="B39" s="14" t="str">
        <f>_xlfn.XLOOKUP(D39,'[1]Sleutelplan nieuw'!B:B,'[1]Sleutelplan nieuw'!A:A,"",2)</f>
        <v>0047</v>
      </c>
      <c r="C39" s="15" t="s">
        <v>50</v>
      </c>
      <c r="D39" s="23" t="s">
        <v>172</v>
      </c>
      <c r="E39" s="18" t="s">
        <v>173</v>
      </c>
      <c r="F39" s="23" t="s">
        <v>174</v>
      </c>
      <c r="G39" s="18">
        <v>6</v>
      </c>
      <c r="H39" s="18">
        <v>7</v>
      </c>
      <c r="I39" s="21">
        <v>45496</v>
      </c>
      <c r="J39" s="21">
        <v>45860</v>
      </c>
      <c r="K39" s="39"/>
      <c r="L39" s="23" t="s">
        <v>175</v>
      </c>
      <c r="M39" s="22"/>
      <c r="N39" s="24">
        <f t="shared" si="13"/>
        <v>1123.2399999999998</v>
      </c>
      <c r="O39" s="24">
        <f t="shared" si="17"/>
        <v>4401.4636</v>
      </c>
      <c r="P39" s="24">
        <f t="shared" si="18"/>
        <v>4038.04</v>
      </c>
      <c r="Q39" s="24">
        <f t="shared" si="16"/>
        <v>155.30935023796172</v>
      </c>
      <c r="R39" s="24">
        <v>4038.04</v>
      </c>
      <c r="S39" s="25">
        <v>0</v>
      </c>
      <c r="T39" s="25">
        <v>0</v>
      </c>
      <c r="U39" s="12"/>
      <c r="V39" s="10"/>
      <c r="W39" s="29" t="s">
        <v>176</v>
      </c>
      <c r="X39" s="25" t="s">
        <v>177</v>
      </c>
      <c r="Y39" s="25">
        <v>2914.8</v>
      </c>
      <c r="Z39" s="25">
        <v>2914.8</v>
      </c>
      <c r="AA39" s="25">
        <v>2914.8</v>
      </c>
      <c r="AB39" s="25">
        <f t="shared" si="1"/>
        <v>112.10777854444504</v>
      </c>
      <c r="AC39" s="19">
        <v>44621</v>
      </c>
    </row>
    <row r="40" spans="1:30" x14ac:dyDescent="0.2">
      <c r="A40" s="13">
        <v>41</v>
      </c>
      <c r="B40" s="14" t="str">
        <f>_xlfn.XLOOKUP(D40,'[1]Sleutelplan nieuw'!B:B,'[1]Sleutelplan nieuw'!A:A,"",2)</f>
        <v>0048</v>
      </c>
      <c r="C40" s="15" t="s">
        <v>50</v>
      </c>
      <c r="D40" s="23" t="s">
        <v>178</v>
      </c>
      <c r="E40" s="18" t="s">
        <v>179</v>
      </c>
      <c r="F40" s="23" t="s">
        <v>39</v>
      </c>
      <c r="G40" s="18">
        <v>5</v>
      </c>
      <c r="H40" s="18">
        <v>5</v>
      </c>
      <c r="I40" s="21">
        <v>45292</v>
      </c>
      <c r="J40" s="21">
        <v>45657</v>
      </c>
      <c r="K40" s="39"/>
      <c r="L40" s="23" t="s">
        <v>180</v>
      </c>
      <c r="M40" s="1"/>
      <c r="N40" s="24">
        <f t="shared" si="13"/>
        <v>1801.77</v>
      </c>
      <c r="O40" s="24">
        <f t="shared" si="17"/>
        <v>5117.3175000000001</v>
      </c>
      <c r="P40" s="24">
        <f t="shared" si="18"/>
        <v>4650.75</v>
      </c>
      <c r="Q40" s="24">
        <f>(P40/G40)/4.333</f>
        <v>214.66651280867757</v>
      </c>
      <c r="R40" s="24">
        <v>4250.75</v>
      </c>
      <c r="S40" s="25">
        <v>400</v>
      </c>
      <c r="T40" s="25">
        <v>0</v>
      </c>
      <c r="U40" s="12"/>
      <c r="V40" s="10"/>
      <c r="W40" s="29" t="s">
        <v>181</v>
      </c>
      <c r="X40" s="25" t="s">
        <v>182</v>
      </c>
      <c r="Y40" s="25">
        <v>2448.98</v>
      </c>
      <c r="Z40" s="25">
        <v>2448.98</v>
      </c>
      <c r="AA40" s="25">
        <v>2448.98</v>
      </c>
      <c r="AB40" s="25">
        <f t="shared" si="1"/>
        <v>113.02993309994854</v>
      </c>
      <c r="AC40" s="19">
        <v>44228</v>
      </c>
      <c r="AD40" s="19">
        <v>44592</v>
      </c>
    </row>
    <row r="41" spans="1:30" x14ac:dyDescent="0.2">
      <c r="A41" s="13">
        <v>42</v>
      </c>
      <c r="B41" s="14" t="str">
        <f>_xlfn.XLOOKUP(D41,'[1]Sleutelplan nieuw'!B:B,'[1]Sleutelplan nieuw'!A:A,"",2)</f>
        <v>0049</v>
      </c>
      <c r="C41" s="15" t="s">
        <v>50</v>
      </c>
      <c r="D41" s="23" t="s">
        <v>183</v>
      </c>
      <c r="E41" s="42" t="s">
        <v>184</v>
      </c>
      <c r="F41" s="43" t="s">
        <v>185</v>
      </c>
      <c r="G41" s="18">
        <v>4</v>
      </c>
      <c r="H41" s="18">
        <v>4</v>
      </c>
      <c r="I41" s="21"/>
      <c r="J41" s="21"/>
      <c r="K41" s="39"/>
      <c r="L41" s="22"/>
      <c r="M41" s="2" t="s">
        <v>186</v>
      </c>
      <c r="N41" s="24">
        <f t="shared" si="13"/>
        <v>-2222.46</v>
      </c>
      <c r="O41" s="24"/>
      <c r="P41" s="24"/>
      <c r="Q41" s="24"/>
      <c r="R41" s="24"/>
      <c r="S41" s="25">
        <v>250</v>
      </c>
      <c r="T41" s="25">
        <v>0</v>
      </c>
      <c r="U41" s="12"/>
      <c r="V41" s="10"/>
      <c r="W41" s="29" t="s">
        <v>187</v>
      </c>
      <c r="X41" s="25" t="s">
        <v>188</v>
      </c>
      <c r="Y41" s="25">
        <v>1972.46</v>
      </c>
      <c r="Z41" s="25">
        <v>1972.46</v>
      </c>
      <c r="AA41" s="25">
        <v>1972.46</v>
      </c>
      <c r="AB41" s="25">
        <f t="shared" si="1"/>
        <v>113.79585676604367</v>
      </c>
      <c r="AC41" s="19">
        <v>44805</v>
      </c>
      <c r="AD41" s="19">
        <v>46630</v>
      </c>
    </row>
    <row r="42" spans="1:30" x14ac:dyDescent="0.2">
      <c r="A42" s="13">
        <v>43</v>
      </c>
      <c r="B42" s="14" t="str">
        <f>_xlfn.XLOOKUP(D42,'[1]Sleutelplan nieuw'!B:B,'[1]Sleutelplan nieuw'!A:A,"",2)</f>
        <v>0004</v>
      </c>
      <c r="C42" s="15" t="s">
        <v>25</v>
      </c>
      <c r="D42" s="23" t="s">
        <v>189</v>
      </c>
      <c r="E42" s="18" t="s">
        <v>190</v>
      </c>
      <c r="F42" s="23" t="s">
        <v>34</v>
      </c>
      <c r="G42" s="18">
        <v>4</v>
      </c>
      <c r="H42" s="18"/>
      <c r="I42" s="21">
        <v>44958</v>
      </c>
      <c r="J42" s="21">
        <v>45352</v>
      </c>
      <c r="K42" s="39"/>
      <c r="L42" s="23" t="s">
        <v>35</v>
      </c>
      <c r="M42" s="23"/>
      <c r="N42" s="24">
        <f t="shared" si="13"/>
        <v>308.41000000000008</v>
      </c>
      <c r="O42" s="24">
        <f t="shared" si="17"/>
        <v>1862.1669000000002</v>
      </c>
      <c r="P42" s="24">
        <f t="shared" si="18"/>
        <v>1708.41</v>
      </c>
      <c r="Q42" s="24">
        <f t="shared" ref="Q42:Q60" si="19">(P42/G42)/4.33333</f>
        <v>98.562191201685536</v>
      </c>
      <c r="R42" s="24">
        <v>1708.41</v>
      </c>
      <c r="S42" s="25">
        <v>0</v>
      </c>
      <c r="T42" s="25">
        <v>0</v>
      </c>
      <c r="U42" s="12"/>
      <c r="V42" s="10"/>
      <c r="W42" s="17" t="s">
        <v>129</v>
      </c>
      <c r="X42" s="12"/>
      <c r="Y42" s="24">
        <v>1400</v>
      </c>
      <c r="Z42" s="24">
        <v>1400</v>
      </c>
      <c r="AA42" s="24">
        <v>1400</v>
      </c>
      <c r="AB42" s="25">
        <f t="shared" si="1"/>
        <v>80.769292899456076</v>
      </c>
      <c r="AC42" s="19">
        <v>44927</v>
      </c>
      <c r="AD42" s="19">
        <v>45292</v>
      </c>
    </row>
    <row r="43" spans="1:30" ht="16" x14ac:dyDescent="0.2">
      <c r="A43" s="13">
        <v>44</v>
      </c>
      <c r="B43" s="14" t="str">
        <f>_xlfn.XLOOKUP(D43,'[1]Sleutelplan nieuw'!B:B,'[1]Sleutelplan nieuw'!A:A,"",2)</f>
        <v>0027</v>
      </c>
      <c r="C43" s="15" t="s">
        <v>25</v>
      </c>
      <c r="D43" s="23" t="s">
        <v>191</v>
      </c>
      <c r="E43" s="30" t="s">
        <v>192</v>
      </c>
      <c r="F43" s="23" t="s">
        <v>193</v>
      </c>
      <c r="G43" s="30">
        <v>4</v>
      </c>
      <c r="H43" s="30">
        <v>5</v>
      </c>
      <c r="I43" s="44">
        <v>44986</v>
      </c>
      <c r="J43" s="44">
        <v>45352</v>
      </c>
      <c r="K43" s="21"/>
      <c r="L43" s="23" t="s">
        <v>35</v>
      </c>
      <c r="M43" s="23"/>
      <c r="N43" s="24">
        <f t="shared" si="13"/>
        <v>232.8900000000001</v>
      </c>
      <c r="O43" s="24">
        <f t="shared" si="17"/>
        <v>1828.9001000000003</v>
      </c>
      <c r="P43" s="24">
        <f t="shared" si="18"/>
        <v>1677.89</v>
      </c>
      <c r="Q43" s="24">
        <f t="shared" si="19"/>
        <v>96.801420616477401</v>
      </c>
      <c r="R43" s="24">
        <v>1677.89</v>
      </c>
      <c r="S43" s="25">
        <v>0</v>
      </c>
      <c r="T43" s="25">
        <v>0</v>
      </c>
      <c r="U43" s="12"/>
      <c r="V43" s="10"/>
      <c r="W43" s="17" t="s">
        <v>194</v>
      </c>
      <c r="X43" s="12"/>
      <c r="Y43" s="45">
        <v>1445</v>
      </c>
      <c r="Z43" s="45">
        <v>1445</v>
      </c>
      <c r="AA43" s="45">
        <v>1445</v>
      </c>
      <c r="AB43" s="25">
        <f t="shared" si="1"/>
        <v>83.365448742652873</v>
      </c>
      <c r="AC43" s="19">
        <v>44986</v>
      </c>
      <c r="AD43" s="19">
        <v>45352</v>
      </c>
    </row>
    <row r="44" spans="1:30" ht="16" x14ac:dyDescent="0.2">
      <c r="A44" s="13">
        <v>45</v>
      </c>
      <c r="B44" s="14" t="str">
        <f>_xlfn.XLOOKUP(D44,'[1]Sleutelplan nieuw'!B:B,'[1]Sleutelplan nieuw'!A:A,"",2)</f>
        <v>0097</v>
      </c>
      <c r="C44" s="15" t="s">
        <v>50</v>
      </c>
      <c r="D44" s="23" t="s">
        <v>195</v>
      </c>
      <c r="E44" s="30" t="s">
        <v>196</v>
      </c>
      <c r="F44" s="23" t="s">
        <v>197</v>
      </c>
      <c r="G44" s="30">
        <v>7</v>
      </c>
      <c r="H44" s="30">
        <v>7</v>
      </c>
      <c r="I44" s="44">
        <v>45863</v>
      </c>
      <c r="J44" s="44"/>
      <c r="K44" s="21"/>
      <c r="L44" s="23" t="s">
        <v>35</v>
      </c>
      <c r="M44" s="23"/>
      <c r="N44" s="24">
        <f t="shared" si="13"/>
        <v>942.5</v>
      </c>
      <c r="O44" s="24">
        <f t="shared" si="17"/>
        <v>4414</v>
      </c>
      <c r="P44" s="24">
        <f t="shared" si="18"/>
        <v>4000</v>
      </c>
      <c r="Q44" s="24">
        <f t="shared" si="19"/>
        <v>131.86823330523441</v>
      </c>
      <c r="R44" s="24">
        <v>3550</v>
      </c>
      <c r="S44" s="25">
        <v>450</v>
      </c>
      <c r="T44" s="25">
        <v>0</v>
      </c>
      <c r="U44" s="12"/>
      <c r="V44" s="10"/>
      <c r="W44" s="17" t="s">
        <v>198</v>
      </c>
      <c r="X44" s="46" t="s">
        <v>199</v>
      </c>
      <c r="Y44" s="24">
        <v>2607.5</v>
      </c>
      <c r="Z44" s="24">
        <v>2607.5</v>
      </c>
      <c r="AA44" s="45">
        <v>2582.5</v>
      </c>
      <c r="AB44" s="25">
        <f t="shared" si="1"/>
        <v>85.961604585849685</v>
      </c>
      <c r="AC44" s="19">
        <v>45413</v>
      </c>
      <c r="AD44" s="19">
        <v>46142</v>
      </c>
    </row>
    <row r="45" spans="1:30" ht="16" x14ac:dyDescent="0.2">
      <c r="A45" s="13">
        <v>46</v>
      </c>
      <c r="B45" s="33" t="s">
        <v>200</v>
      </c>
      <c r="C45" s="15" t="s">
        <v>25</v>
      </c>
      <c r="D45" s="23" t="s">
        <v>201</v>
      </c>
      <c r="E45" s="30" t="s">
        <v>202</v>
      </c>
      <c r="F45" s="23" t="s">
        <v>34</v>
      </c>
      <c r="G45" s="30">
        <v>4</v>
      </c>
      <c r="H45" s="30">
        <v>3</v>
      </c>
      <c r="I45" s="44">
        <v>45323</v>
      </c>
      <c r="J45" s="44">
        <v>45688</v>
      </c>
      <c r="K45" s="21"/>
      <c r="L45" s="23" t="s">
        <v>35</v>
      </c>
      <c r="M45" s="23"/>
      <c r="N45" s="24">
        <f t="shared" si="13"/>
        <v>665.26000000000022</v>
      </c>
      <c r="O45" s="24">
        <f t="shared" si="17"/>
        <v>2360.1334000000006</v>
      </c>
      <c r="P45" s="24">
        <f t="shared" si="18"/>
        <v>2165.2600000000002</v>
      </c>
      <c r="Q45" s="24">
        <f t="shared" si="19"/>
        <v>124.9189422453402</v>
      </c>
      <c r="R45" s="24">
        <v>2165.2600000000002</v>
      </c>
      <c r="S45" s="25">
        <v>0</v>
      </c>
      <c r="T45" s="25">
        <v>0</v>
      </c>
      <c r="U45" s="12"/>
      <c r="V45" s="10"/>
      <c r="W45" s="17" t="s">
        <v>129</v>
      </c>
      <c r="X45" s="37"/>
      <c r="Y45" s="24">
        <v>1500</v>
      </c>
      <c r="Z45" s="24">
        <v>1500</v>
      </c>
      <c r="AA45" s="45">
        <v>1500</v>
      </c>
      <c r="AB45" s="25">
        <f t="shared" si="1"/>
        <v>86.538528106560079</v>
      </c>
      <c r="AC45" s="19">
        <v>45323</v>
      </c>
      <c r="AD45" s="19">
        <v>45689</v>
      </c>
    </row>
    <row r="46" spans="1:30" ht="16" x14ac:dyDescent="0.2">
      <c r="A46" s="13">
        <v>47</v>
      </c>
      <c r="B46" s="14" t="str">
        <f>_xlfn.XLOOKUP(D46,'[1]Sleutelplan nieuw'!B:B,'[1]Sleutelplan nieuw'!A:A,"",2)</f>
        <v>0026</v>
      </c>
      <c r="C46" s="15" t="s">
        <v>25</v>
      </c>
      <c r="D46" s="23" t="s">
        <v>203</v>
      </c>
      <c r="E46" s="30" t="s">
        <v>204</v>
      </c>
      <c r="F46" s="23" t="s">
        <v>34</v>
      </c>
      <c r="G46" s="30">
        <v>5</v>
      </c>
      <c r="H46" s="30">
        <v>3</v>
      </c>
      <c r="I46" s="21">
        <v>44958</v>
      </c>
      <c r="J46" s="21">
        <v>45323</v>
      </c>
      <c r="K46" s="21"/>
      <c r="L46" s="22" t="s">
        <v>35</v>
      </c>
      <c r="M46" s="22"/>
      <c r="N46" s="24">
        <f t="shared" si="13"/>
        <v>352.46000000000004</v>
      </c>
      <c r="O46" s="24">
        <f t="shared" si="17"/>
        <v>2128.1814000000004</v>
      </c>
      <c r="P46" s="24">
        <f t="shared" si="18"/>
        <v>1952.46</v>
      </c>
      <c r="Q46" s="24">
        <f t="shared" si="19"/>
        <v>90.113607779698299</v>
      </c>
      <c r="R46" s="24">
        <v>1952.46</v>
      </c>
      <c r="S46" s="25">
        <v>0</v>
      </c>
      <c r="T46" s="25">
        <v>0</v>
      </c>
      <c r="U46" s="12"/>
      <c r="V46" s="10"/>
      <c r="W46" s="17" t="s">
        <v>129</v>
      </c>
      <c r="X46" s="12"/>
      <c r="Y46" s="24">
        <v>1600</v>
      </c>
      <c r="Z46" s="24">
        <v>1600</v>
      </c>
      <c r="AA46" s="45">
        <v>1600</v>
      </c>
      <c r="AB46" s="25">
        <f t="shared" si="1"/>
        <v>73.846210650931269</v>
      </c>
      <c r="AC46" s="19">
        <v>44927</v>
      </c>
      <c r="AD46" s="19">
        <v>45292</v>
      </c>
    </row>
    <row r="47" spans="1:30" ht="16" x14ac:dyDescent="0.2">
      <c r="A47" s="13"/>
      <c r="B47" s="14" t="str">
        <f>_xlfn.XLOOKUP(D47,'[1]Sleutelplan nieuw'!B:B,'[1]Sleutelplan nieuw'!A:A,"",2)</f>
        <v>0370</v>
      </c>
      <c r="C47" s="15" t="s">
        <v>25</v>
      </c>
      <c r="D47" s="23" t="s">
        <v>205</v>
      </c>
      <c r="E47" s="30" t="s">
        <v>206</v>
      </c>
      <c r="F47" s="23" t="s">
        <v>207</v>
      </c>
      <c r="G47" s="30">
        <v>5</v>
      </c>
      <c r="H47" s="30">
        <v>4</v>
      </c>
      <c r="I47" s="21">
        <v>45818</v>
      </c>
      <c r="J47" s="21">
        <v>45899</v>
      </c>
      <c r="K47" s="21"/>
      <c r="L47" s="22" t="s">
        <v>35</v>
      </c>
      <c r="M47" s="22"/>
      <c r="N47" s="24">
        <f t="shared" si="13"/>
        <v>250</v>
      </c>
      <c r="O47" s="24">
        <f t="shared" si="17"/>
        <v>3106.5000000000005</v>
      </c>
      <c r="P47" s="24">
        <f t="shared" si="18"/>
        <v>2850</v>
      </c>
      <c r="Q47" s="24">
        <f t="shared" si="19"/>
        <v>131.53856272197132</v>
      </c>
      <c r="R47" s="24">
        <v>2850</v>
      </c>
      <c r="S47" s="25"/>
      <c r="T47" s="25"/>
      <c r="U47" s="12"/>
      <c r="V47" s="10"/>
      <c r="W47" s="29" t="s">
        <v>208</v>
      </c>
      <c r="X47" s="35" t="s">
        <v>209</v>
      </c>
      <c r="Y47" s="24">
        <f>Z47*1.09</f>
        <v>2834</v>
      </c>
      <c r="Z47" s="24">
        <v>2600</v>
      </c>
      <c r="AA47" s="45">
        <v>2600</v>
      </c>
      <c r="AB47" s="25">
        <f t="shared" si="1"/>
        <v>120.00009230776331</v>
      </c>
      <c r="AC47" s="19">
        <v>45817</v>
      </c>
      <c r="AD47" s="19">
        <v>45899</v>
      </c>
    </row>
    <row r="48" spans="1:30" ht="16" x14ac:dyDescent="0.2">
      <c r="A48" s="13">
        <v>48</v>
      </c>
      <c r="B48" s="14" t="str">
        <f>_xlfn.XLOOKUP(D48,'[1]Sleutelplan nieuw'!B:B,'[1]Sleutelplan nieuw'!A:A,"",2)</f>
        <v>0051</v>
      </c>
      <c r="C48" s="15" t="s">
        <v>25</v>
      </c>
      <c r="D48" s="23" t="s">
        <v>210</v>
      </c>
      <c r="E48" s="18" t="s">
        <v>211</v>
      </c>
      <c r="F48" s="23" t="s">
        <v>212</v>
      </c>
      <c r="G48" s="30">
        <v>4</v>
      </c>
      <c r="H48" s="30">
        <v>3</v>
      </c>
      <c r="I48" s="44">
        <v>44835</v>
      </c>
      <c r="J48" s="44">
        <v>45412</v>
      </c>
      <c r="K48" s="18"/>
      <c r="L48" s="22" t="s">
        <v>40</v>
      </c>
      <c r="M48" s="22"/>
      <c r="N48" s="24">
        <f t="shared" si="13"/>
        <v>647.66000000000008</v>
      </c>
      <c r="O48" s="24">
        <f t="shared" si="17"/>
        <v>2171.1928000000003</v>
      </c>
      <c r="P48" s="24">
        <f t="shared" si="18"/>
        <v>1991.92</v>
      </c>
      <c r="Q48" s="24">
        <f t="shared" si="19"/>
        <v>114.9185499373461</v>
      </c>
      <c r="R48" s="24">
        <v>1991.92</v>
      </c>
      <c r="S48" s="25">
        <v>0</v>
      </c>
      <c r="T48" s="25">
        <v>0</v>
      </c>
      <c r="U48" s="12"/>
      <c r="V48" s="10"/>
      <c r="W48" s="29" t="s">
        <v>213</v>
      </c>
      <c r="X48" s="25" t="s">
        <v>214</v>
      </c>
      <c r="Y48" s="25">
        <v>1344.26</v>
      </c>
      <c r="Z48" s="25">
        <v>1344.26</v>
      </c>
      <c r="AA48" s="25">
        <v>1344.26</v>
      </c>
      <c r="AB48" s="25">
        <f t="shared" si="1"/>
        <v>77.553521195016302</v>
      </c>
      <c r="AC48" s="19">
        <v>44620</v>
      </c>
      <c r="AD48" s="19">
        <v>44984</v>
      </c>
    </row>
    <row r="49" spans="1:30" ht="16" x14ac:dyDescent="0.2">
      <c r="A49" s="13">
        <v>49</v>
      </c>
      <c r="B49" s="14" t="str">
        <f>_xlfn.XLOOKUP(D49,'[1]Sleutelplan nieuw'!B:B,'[1]Sleutelplan nieuw'!A:A,"",2)</f>
        <v>0052</v>
      </c>
      <c r="C49" s="15" t="s">
        <v>25</v>
      </c>
      <c r="D49" s="23" t="s">
        <v>215</v>
      </c>
      <c r="E49" s="18" t="s">
        <v>216</v>
      </c>
      <c r="F49" s="23" t="s">
        <v>212</v>
      </c>
      <c r="G49" s="30">
        <v>4</v>
      </c>
      <c r="H49" s="30">
        <v>3</v>
      </c>
      <c r="I49" s="44">
        <v>44835</v>
      </c>
      <c r="J49" s="44">
        <v>45412</v>
      </c>
      <c r="K49" s="21"/>
      <c r="L49" s="22" t="s">
        <v>40</v>
      </c>
      <c r="M49" s="22"/>
      <c r="N49" s="24">
        <f t="shared" si="13"/>
        <v>598.1099999999999</v>
      </c>
      <c r="O49" s="24">
        <f t="shared" si="17"/>
        <v>2083.8511000000003</v>
      </c>
      <c r="P49" s="24">
        <f t="shared" si="18"/>
        <v>1911.79</v>
      </c>
      <c r="Q49" s="24">
        <f t="shared" si="19"/>
        <v>110.29566176589366</v>
      </c>
      <c r="R49" s="24">
        <v>1911.79</v>
      </c>
      <c r="S49" s="25">
        <v>0</v>
      </c>
      <c r="T49" s="25">
        <v>0</v>
      </c>
      <c r="U49" s="12"/>
      <c r="V49" s="10"/>
      <c r="W49" s="29" t="s">
        <v>213</v>
      </c>
      <c r="X49" s="25" t="s">
        <v>214</v>
      </c>
      <c r="Y49" s="25">
        <v>1313.68</v>
      </c>
      <c r="Z49" s="25">
        <v>1313.68</v>
      </c>
      <c r="AA49" s="25">
        <v>1313.68</v>
      </c>
      <c r="AB49" s="25">
        <f t="shared" si="1"/>
        <v>75.7892890686839</v>
      </c>
      <c r="AC49" s="19">
        <v>44682</v>
      </c>
      <c r="AD49" s="19">
        <v>45046</v>
      </c>
    </row>
    <row r="50" spans="1:30" ht="16" x14ac:dyDescent="0.2">
      <c r="A50" s="13"/>
      <c r="B50" s="14" t="str" cm="1">
        <f t="array" ref="B50">_xlfn.XLOOKUP(LEFT(D50,3),LEFT('[1]Sleutelplan nieuw'!B:B,3),'[1]Sleutelplan nieuw'!A:A,"",2)</f>
        <v>0375</v>
      </c>
      <c r="C50" s="15" t="s">
        <v>25</v>
      </c>
      <c r="D50" s="23" t="s">
        <v>217</v>
      </c>
      <c r="E50" s="18" t="s">
        <v>218</v>
      </c>
      <c r="F50" s="23" t="s">
        <v>219</v>
      </c>
      <c r="G50" s="30">
        <v>8</v>
      </c>
      <c r="H50" s="30">
        <v>5</v>
      </c>
      <c r="I50" s="44">
        <v>45856</v>
      </c>
      <c r="J50" s="44"/>
      <c r="K50" s="21"/>
      <c r="L50" s="22" t="s">
        <v>35</v>
      </c>
      <c r="M50" s="22"/>
      <c r="N50" s="24">
        <f t="shared" si="13"/>
        <v>1250</v>
      </c>
      <c r="O50" s="24">
        <f t="shared" si="17"/>
        <v>5831</v>
      </c>
      <c r="P50" s="24">
        <f t="shared" si="18"/>
        <v>5300</v>
      </c>
      <c r="Q50" s="24">
        <f t="shared" si="19"/>
        <v>152.88473298825613</v>
      </c>
      <c r="R50" s="24">
        <v>4850</v>
      </c>
      <c r="S50" s="25">
        <v>450</v>
      </c>
      <c r="T50" s="25"/>
      <c r="U50" s="12"/>
      <c r="V50" s="10"/>
      <c r="W50" s="29" t="s">
        <v>220</v>
      </c>
      <c r="X50" s="35" t="s">
        <v>221</v>
      </c>
      <c r="Y50" s="25">
        <v>3600</v>
      </c>
      <c r="Z50" s="25">
        <v>3600</v>
      </c>
      <c r="AA50" s="25">
        <v>3600</v>
      </c>
      <c r="AB50" s="25">
        <f t="shared" si="1"/>
        <v>103.84623372787209</v>
      </c>
      <c r="AC50" s="19">
        <v>45853</v>
      </c>
      <c r="AD50" s="19">
        <v>46265</v>
      </c>
    </row>
    <row r="51" spans="1:30" ht="16" x14ac:dyDescent="0.2">
      <c r="A51" s="13">
        <v>51</v>
      </c>
      <c r="B51" s="14" t="str">
        <f>_xlfn.XLOOKUP(D51,'[1]Sleutelplan nieuw'!B:B,'[1]Sleutelplan nieuw'!A:A,"",2)</f>
        <v>0053</v>
      </c>
      <c r="C51" s="15" t="s">
        <v>25</v>
      </c>
      <c r="D51" s="23" t="s">
        <v>222</v>
      </c>
      <c r="E51" s="18" t="s">
        <v>223</v>
      </c>
      <c r="F51" s="23" t="s">
        <v>224</v>
      </c>
      <c r="G51" s="30">
        <v>4</v>
      </c>
      <c r="H51" s="30">
        <v>4</v>
      </c>
      <c r="I51" s="44">
        <v>45667</v>
      </c>
      <c r="J51" s="44">
        <v>46032</v>
      </c>
      <c r="K51" s="21"/>
      <c r="L51" s="22" t="s">
        <v>225</v>
      </c>
      <c r="M51" s="22"/>
      <c r="N51" s="24">
        <f t="shared" si="13"/>
        <v>1869.91</v>
      </c>
      <c r="O51" s="24">
        <f t="shared" si="17"/>
        <v>3990.2425000000003</v>
      </c>
      <c r="P51" s="24">
        <f t="shared" si="18"/>
        <v>3633.25</v>
      </c>
      <c r="Q51" s="24">
        <f t="shared" si="19"/>
        <v>209.61073816210626</v>
      </c>
      <c r="R51" s="24">
        <v>3383.25</v>
      </c>
      <c r="S51" s="25">
        <v>250</v>
      </c>
      <c r="T51" s="25">
        <v>0</v>
      </c>
      <c r="U51" s="12"/>
      <c r="V51" s="10"/>
      <c r="W51" s="29" t="s">
        <v>226</v>
      </c>
      <c r="X51" s="25" t="s">
        <v>227</v>
      </c>
      <c r="Y51" s="25">
        <v>1513.34</v>
      </c>
      <c r="Z51" s="25">
        <v>1513.34</v>
      </c>
      <c r="AA51" s="25">
        <v>1513.34</v>
      </c>
      <c r="AB51" s="25">
        <f t="shared" si="1"/>
        <v>87.308144083187756</v>
      </c>
      <c r="AC51" s="19">
        <v>43560</v>
      </c>
      <c r="AD51" s="19">
        <v>43921</v>
      </c>
    </row>
    <row r="52" spans="1:30" ht="16" x14ac:dyDescent="0.2">
      <c r="A52" s="13">
        <v>52</v>
      </c>
      <c r="B52" s="14" t="str">
        <f>_xlfn.XLOOKUP(D52,'[1]Sleutelplan nieuw'!B:B,'[1]Sleutelplan nieuw'!A:A,"",2)</f>
        <v>0151</v>
      </c>
      <c r="C52" s="15" t="s">
        <v>25</v>
      </c>
      <c r="D52" s="23" t="s">
        <v>228</v>
      </c>
      <c r="E52" s="18" t="s">
        <v>229</v>
      </c>
      <c r="F52" s="23" t="s">
        <v>34</v>
      </c>
      <c r="G52" s="30">
        <v>3</v>
      </c>
      <c r="H52" s="30">
        <v>3</v>
      </c>
      <c r="I52" s="44">
        <v>45292</v>
      </c>
      <c r="J52" s="44">
        <v>45657</v>
      </c>
      <c r="K52" s="21"/>
      <c r="L52" s="22" t="s">
        <v>230</v>
      </c>
      <c r="M52" s="22"/>
      <c r="N52" s="24">
        <f t="shared" si="13"/>
        <v>1141.9299999999998</v>
      </c>
      <c r="O52" s="24">
        <f t="shared" si="17"/>
        <v>3097.7037</v>
      </c>
      <c r="P52" s="24">
        <f t="shared" si="18"/>
        <v>2841.93</v>
      </c>
      <c r="Q52" s="24">
        <f t="shared" si="19"/>
        <v>218.61016816166779</v>
      </c>
      <c r="R52" s="24">
        <v>2841.93</v>
      </c>
      <c r="S52" s="25">
        <v>0</v>
      </c>
      <c r="T52" s="25">
        <v>0</v>
      </c>
      <c r="U52" s="12"/>
      <c r="V52" s="10"/>
      <c r="W52" s="29" t="s">
        <v>133</v>
      </c>
      <c r="X52" s="25"/>
      <c r="Y52" s="25">
        <f>Z52*1.09</f>
        <v>1853.0000000000002</v>
      </c>
      <c r="Z52" s="25">
        <v>1700</v>
      </c>
      <c r="AA52" s="25">
        <v>1700</v>
      </c>
      <c r="AB52" s="25">
        <f t="shared" si="1"/>
        <v>130.76933136102411</v>
      </c>
      <c r="AC52" s="19"/>
      <c r="AD52" s="19"/>
    </row>
    <row r="53" spans="1:30" x14ac:dyDescent="0.2">
      <c r="A53" s="13">
        <v>53</v>
      </c>
      <c r="B53" s="14" t="str">
        <f>_xlfn.XLOOKUP(D53,'[1]Sleutelplan nieuw'!B:B,'[1]Sleutelplan nieuw'!A:A,"",2)</f>
        <v>0056</v>
      </c>
      <c r="C53" s="15" t="s">
        <v>50</v>
      </c>
      <c r="D53" s="23" t="s">
        <v>231</v>
      </c>
      <c r="E53" s="18" t="s">
        <v>232</v>
      </c>
      <c r="F53" s="23" t="s">
        <v>233</v>
      </c>
      <c r="G53" s="18">
        <v>4</v>
      </c>
      <c r="H53" s="18">
        <v>4</v>
      </c>
      <c r="I53" s="21">
        <v>45000</v>
      </c>
      <c r="J53" s="21">
        <v>45365</v>
      </c>
      <c r="K53" s="21" t="s">
        <v>47</v>
      </c>
      <c r="L53" s="23" t="s">
        <v>234</v>
      </c>
      <c r="M53" s="22"/>
      <c r="N53" s="24">
        <f t="shared" si="13"/>
        <v>540.93000000000006</v>
      </c>
      <c r="O53" s="24">
        <f t="shared" si="17"/>
        <v>2230.5978000000005</v>
      </c>
      <c r="P53" s="24">
        <f t="shared" si="18"/>
        <v>2046.42</v>
      </c>
      <c r="Q53" s="24">
        <f t="shared" si="19"/>
        <v>118.06278312521779</v>
      </c>
      <c r="R53" s="24">
        <v>2046.42</v>
      </c>
      <c r="S53" s="25">
        <v>0</v>
      </c>
      <c r="T53" s="25">
        <v>0</v>
      </c>
      <c r="U53" s="12"/>
      <c r="V53" s="10"/>
      <c r="W53" s="29" t="s">
        <v>235</v>
      </c>
      <c r="X53" s="25" t="s">
        <v>236</v>
      </c>
      <c r="Y53" s="25">
        <v>1505.49</v>
      </c>
      <c r="Z53" s="25">
        <v>1505.49</v>
      </c>
      <c r="AA53" s="25">
        <v>1505.49</v>
      </c>
      <c r="AB53" s="25">
        <f t="shared" si="1"/>
        <v>86.855259119430087</v>
      </c>
      <c r="AC53" s="19">
        <v>43896</v>
      </c>
      <c r="AD53" s="19">
        <v>44316</v>
      </c>
    </row>
    <row r="54" spans="1:30" x14ac:dyDescent="0.2">
      <c r="A54" s="13">
        <v>54</v>
      </c>
      <c r="B54" s="33" t="s">
        <v>237</v>
      </c>
      <c r="C54" s="15" t="s">
        <v>25</v>
      </c>
      <c r="D54" s="23" t="s">
        <v>238</v>
      </c>
      <c r="E54" s="18" t="s">
        <v>239</v>
      </c>
      <c r="F54" s="23" t="s">
        <v>240</v>
      </c>
      <c r="G54" s="18">
        <v>28</v>
      </c>
      <c r="H54" s="18"/>
      <c r="I54" s="21">
        <v>45778</v>
      </c>
      <c r="J54" s="21" t="s">
        <v>241</v>
      </c>
      <c r="K54" s="21"/>
      <c r="L54" s="23" t="s">
        <v>35</v>
      </c>
      <c r="M54" s="22"/>
      <c r="N54" s="24">
        <f t="shared" si="13"/>
        <v>1516.5699999999997</v>
      </c>
      <c r="O54" s="24">
        <f t="shared" si="17"/>
        <v>14217.123970000002</v>
      </c>
      <c r="P54" s="24">
        <v>13043.23</v>
      </c>
      <c r="Q54" s="24">
        <f t="shared" si="19"/>
        <v>107.49923104336453</v>
      </c>
      <c r="R54" s="24">
        <f>107.5*28*4.3333</f>
        <v>13043.233000000002</v>
      </c>
      <c r="S54" s="25">
        <v>0</v>
      </c>
      <c r="T54" s="25"/>
      <c r="U54" s="12"/>
      <c r="V54" s="10"/>
      <c r="W54" s="29" t="s">
        <v>242</v>
      </c>
      <c r="X54" s="35" t="s">
        <v>243</v>
      </c>
      <c r="Y54" s="25">
        <v>11526.66</v>
      </c>
      <c r="Z54" s="25">
        <v>11526.66</v>
      </c>
      <c r="AA54" s="25">
        <v>11526.66</v>
      </c>
      <c r="AB54" s="25">
        <f t="shared" si="1"/>
        <v>95.000018131882072</v>
      </c>
      <c r="AC54" s="19">
        <v>45778</v>
      </c>
      <c r="AD54" s="19">
        <v>46873</v>
      </c>
    </row>
    <row r="55" spans="1:30" ht="16" x14ac:dyDescent="0.2">
      <c r="A55" s="13">
        <v>55</v>
      </c>
      <c r="B55" s="14" t="str">
        <f>_xlfn.XLOOKUP(D55,'[1]Sleutelplan nieuw'!B:B,'[1]Sleutelplan nieuw'!A:A,"",2)</f>
        <v>0153</v>
      </c>
      <c r="C55" s="15" t="s">
        <v>25</v>
      </c>
      <c r="D55" s="23" t="s">
        <v>244</v>
      </c>
      <c r="E55" s="18" t="s">
        <v>245</v>
      </c>
      <c r="F55" s="23" t="s">
        <v>28</v>
      </c>
      <c r="G55" s="30">
        <v>4</v>
      </c>
      <c r="H55" s="30">
        <v>4</v>
      </c>
      <c r="I55" s="44">
        <v>45292</v>
      </c>
      <c r="J55" s="44">
        <v>45657</v>
      </c>
      <c r="K55" s="21"/>
      <c r="L55" s="22" t="s">
        <v>230</v>
      </c>
      <c r="M55" s="22"/>
      <c r="N55" s="24">
        <f t="shared" si="13"/>
        <v>2089.2399999999998</v>
      </c>
      <c r="O55" s="24">
        <f t="shared" si="17"/>
        <v>4130.2716</v>
      </c>
      <c r="P55" s="24">
        <f>R55+S55</f>
        <v>3789.24</v>
      </c>
      <c r="Q55" s="24">
        <f t="shared" si="19"/>
        <v>218.61016816166779</v>
      </c>
      <c r="R55" s="24">
        <v>3789.24</v>
      </c>
      <c r="S55" s="25">
        <v>0</v>
      </c>
      <c r="T55" s="25">
        <v>0</v>
      </c>
      <c r="U55" s="12"/>
      <c r="V55" s="10"/>
      <c r="W55" s="29" t="s">
        <v>133</v>
      </c>
      <c r="X55" s="25" t="s">
        <v>47</v>
      </c>
      <c r="Y55" s="25">
        <f>Z55*1.09</f>
        <v>1853.0000000000002</v>
      </c>
      <c r="Z55" s="25">
        <v>1700</v>
      </c>
      <c r="AA55" s="25">
        <v>1700</v>
      </c>
      <c r="AB55" s="25">
        <f t="shared" si="1"/>
        <v>98.076998520768086</v>
      </c>
      <c r="AC55" s="19"/>
      <c r="AD55" s="19"/>
    </row>
    <row r="56" spans="1:30" x14ac:dyDescent="0.2">
      <c r="A56" s="13">
        <v>56</v>
      </c>
      <c r="B56" s="14" t="str" cm="1">
        <f t="array" ref="B56">_xlfn.XLOOKUP(LEFT(D56,3),LEFT('[1]Sleutelplan nieuw'!B:B,3),'[1]Sleutelplan nieuw'!A:A,"",2)</f>
        <v>0023</v>
      </c>
      <c r="C56" s="15" t="s">
        <v>50</v>
      </c>
      <c r="D56" s="23" t="s">
        <v>246</v>
      </c>
      <c r="E56" s="18" t="s">
        <v>247</v>
      </c>
      <c r="F56" s="23" t="s">
        <v>248</v>
      </c>
      <c r="G56" s="18">
        <v>8</v>
      </c>
      <c r="H56" s="18">
        <v>5</v>
      </c>
      <c r="I56" s="21">
        <v>45583</v>
      </c>
      <c r="J56" s="21">
        <v>45765</v>
      </c>
      <c r="K56" s="21"/>
      <c r="L56" s="23" t="s">
        <v>61</v>
      </c>
      <c r="M56" s="22"/>
      <c r="N56" s="24">
        <f t="shared" si="13"/>
        <v>514.88000000000011</v>
      </c>
      <c r="O56" s="24">
        <f t="shared" si="17"/>
        <v>4396.9292000000005</v>
      </c>
      <c r="P56" s="24">
        <f>R56+S56</f>
        <v>4033.88</v>
      </c>
      <c r="Q56" s="24">
        <f t="shared" si="19"/>
        <v>116.36201258616353</v>
      </c>
      <c r="R56" s="24">
        <v>4033.88</v>
      </c>
      <c r="S56" s="25">
        <v>0</v>
      </c>
      <c r="T56" s="25"/>
      <c r="U56" s="12"/>
      <c r="V56" s="10"/>
      <c r="W56" s="29" t="s">
        <v>249</v>
      </c>
      <c r="X56" s="35" t="s">
        <v>250</v>
      </c>
      <c r="Y56" s="25">
        <v>3519</v>
      </c>
      <c r="Z56" s="25">
        <v>3519</v>
      </c>
      <c r="AA56" s="25">
        <v>3519</v>
      </c>
      <c r="AB56" s="25">
        <f t="shared" si="1"/>
        <v>101.50969346899497</v>
      </c>
      <c r="AC56" s="19">
        <v>45583</v>
      </c>
      <c r="AD56" s="19">
        <v>46678</v>
      </c>
    </row>
    <row r="57" spans="1:30" x14ac:dyDescent="0.2">
      <c r="A57" s="13">
        <v>57</v>
      </c>
      <c r="B57" s="33" t="s">
        <v>251</v>
      </c>
      <c r="C57" s="15" t="s">
        <v>50</v>
      </c>
      <c r="D57" s="23" t="s">
        <v>252</v>
      </c>
      <c r="E57" s="18" t="s">
        <v>247</v>
      </c>
      <c r="F57" s="23" t="s">
        <v>248</v>
      </c>
      <c r="G57" s="18">
        <v>8</v>
      </c>
      <c r="H57" s="18">
        <v>6</v>
      </c>
      <c r="I57" s="21">
        <v>45583</v>
      </c>
      <c r="J57" s="21">
        <v>45765</v>
      </c>
      <c r="K57" s="21"/>
      <c r="L57" s="23" t="s">
        <v>61</v>
      </c>
      <c r="M57" s="22"/>
      <c r="N57" s="24">
        <f t="shared" si="13"/>
        <v>514.88000000000011</v>
      </c>
      <c r="O57" s="24">
        <f t="shared" si="17"/>
        <v>4396.9292000000005</v>
      </c>
      <c r="P57" s="24">
        <f>R57+S57</f>
        <v>4033.88</v>
      </c>
      <c r="Q57" s="24">
        <f t="shared" si="19"/>
        <v>116.36201258616353</v>
      </c>
      <c r="R57" s="24">
        <v>4033.88</v>
      </c>
      <c r="S57" s="25">
        <v>0</v>
      </c>
      <c r="T57" s="25"/>
      <c r="U57" s="12"/>
      <c r="V57" s="10"/>
      <c r="W57" s="29" t="s">
        <v>249</v>
      </c>
      <c r="X57" s="35" t="s">
        <v>250</v>
      </c>
      <c r="Y57" s="25">
        <v>3519</v>
      </c>
      <c r="Z57" s="25">
        <v>3519</v>
      </c>
      <c r="AA57" s="25">
        <v>3519</v>
      </c>
      <c r="AB57" s="25">
        <f t="shared" si="1"/>
        <v>101.50969346899497</v>
      </c>
      <c r="AC57" s="19">
        <v>45583</v>
      </c>
      <c r="AD57" s="19">
        <v>46678</v>
      </c>
    </row>
    <row r="58" spans="1:30" x14ac:dyDescent="0.2">
      <c r="A58" s="13">
        <v>58</v>
      </c>
      <c r="B58" s="14" t="str">
        <f>_xlfn.XLOOKUP(D58,'[1]Sleutelplan nieuw'!B:B,'[1]Sleutelplan nieuw'!A:A,"",2)</f>
        <v>0058</v>
      </c>
      <c r="C58" s="15" t="s">
        <v>50</v>
      </c>
      <c r="D58" s="23" t="s">
        <v>253</v>
      </c>
      <c r="E58" s="18" t="s">
        <v>254</v>
      </c>
      <c r="F58" s="23" t="s">
        <v>255</v>
      </c>
      <c r="G58" s="18">
        <v>6</v>
      </c>
      <c r="H58" s="18">
        <v>6</v>
      </c>
      <c r="I58" s="21">
        <v>45807</v>
      </c>
      <c r="J58" s="21">
        <v>45898</v>
      </c>
      <c r="K58" s="39"/>
      <c r="L58" s="23" t="s">
        <v>256</v>
      </c>
      <c r="M58" s="22"/>
      <c r="N58" s="24">
        <f t="shared" si="13"/>
        <v>343</v>
      </c>
      <c r="O58" s="24">
        <f t="shared" si="17"/>
        <v>2997.5</v>
      </c>
      <c r="P58" s="24">
        <v>2750</v>
      </c>
      <c r="Q58" s="24">
        <f t="shared" si="19"/>
        <v>105.7693121302401</v>
      </c>
      <c r="R58" s="24">
        <v>2750</v>
      </c>
      <c r="S58" s="25"/>
      <c r="T58" s="25"/>
      <c r="U58" s="12"/>
      <c r="V58" s="10"/>
      <c r="W58" s="29" t="s">
        <v>257</v>
      </c>
      <c r="X58" s="25" t="s">
        <v>258</v>
      </c>
      <c r="Y58" s="25">
        <v>2407</v>
      </c>
      <c r="Z58" s="25">
        <v>2407</v>
      </c>
      <c r="AA58" s="25">
        <v>2407</v>
      </c>
      <c r="AB58" s="25">
        <f t="shared" si="1"/>
        <v>92.576994289995611</v>
      </c>
      <c r="AC58" s="47" t="e">
        <f>#REF!</f>
        <v>#REF!</v>
      </c>
      <c r="AD58" s="47">
        <f>V58</f>
        <v>0</v>
      </c>
    </row>
    <row r="59" spans="1:30" x14ac:dyDescent="0.2">
      <c r="A59" s="13">
        <v>59</v>
      </c>
      <c r="B59" s="14" t="str">
        <f>_xlfn.XLOOKUP(D59,'[1]Sleutelplan nieuw'!B:B,'[1]Sleutelplan nieuw'!A:A,"",2)</f>
        <v>0059</v>
      </c>
      <c r="C59" s="15" t="s">
        <v>50</v>
      </c>
      <c r="D59" s="23" t="s">
        <v>259</v>
      </c>
      <c r="E59" s="18" t="s">
        <v>260</v>
      </c>
      <c r="F59" s="23" t="s">
        <v>261</v>
      </c>
      <c r="G59" s="18">
        <v>6</v>
      </c>
      <c r="H59" s="18">
        <v>6</v>
      </c>
      <c r="I59" s="21">
        <v>45931</v>
      </c>
      <c r="J59" s="21">
        <v>46295</v>
      </c>
      <c r="K59" s="21"/>
      <c r="L59" s="23" t="s">
        <v>262</v>
      </c>
      <c r="M59" s="48" t="s">
        <v>263</v>
      </c>
      <c r="N59" s="24">
        <f t="shared" si="13"/>
        <v>808.80000000000018</v>
      </c>
      <c r="O59" s="24">
        <f t="shared" si="17"/>
        <v>4081.0000000000005</v>
      </c>
      <c r="P59" s="24">
        <f>R59+S59</f>
        <v>3700</v>
      </c>
      <c r="Q59" s="24">
        <f t="shared" si="19"/>
        <v>142.30780177523212</v>
      </c>
      <c r="R59" s="24">
        <v>3300</v>
      </c>
      <c r="S59" s="25">
        <v>400</v>
      </c>
      <c r="T59" s="25">
        <v>0</v>
      </c>
      <c r="U59" s="12"/>
      <c r="V59" s="10"/>
      <c r="W59" s="29" t="s">
        <v>264</v>
      </c>
      <c r="X59" s="25" t="s">
        <v>265</v>
      </c>
      <c r="Y59" s="25">
        <v>2491.1999999999998</v>
      </c>
      <c r="Z59" s="25">
        <v>2491.1999999999998</v>
      </c>
      <c r="AA59" s="25">
        <v>2491.1999999999998</v>
      </c>
      <c r="AB59" s="25">
        <f t="shared" si="1"/>
        <v>95.815458319583314</v>
      </c>
      <c r="AC59" s="19">
        <v>44986</v>
      </c>
      <c r="AD59" s="19">
        <v>45351</v>
      </c>
    </row>
    <row r="60" spans="1:30" x14ac:dyDescent="0.2">
      <c r="A60" s="13">
        <v>60</v>
      </c>
      <c r="B60" s="14" t="str">
        <f>_xlfn.XLOOKUP(D60,'[1]Sleutelplan nieuw'!B:B,'[1]Sleutelplan nieuw'!A:A,"",2)</f>
        <v>0354</v>
      </c>
      <c r="C60" s="26" t="s">
        <v>25</v>
      </c>
      <c r="D60" s="23" t="s">
        <v>266</v>
      </c>
      <c r="E60" s="18" t="s">
        <v>267</v>
      </c>
      <c r="F60" s="23" t="s">
        <v>268</v>
      </c>
      <c r="G60" s="18">
        <v>15</v>
      </c>
      <c r="H60" s="18">
        <v>8</v>
      </c>
      <c r="I60" s="21">
        <v>45745</v>
      </c>
      <c r="J60" s="21" t="s">
        <v>132</v>
      </c>
      <c r="K60" s="21"/>
      <c r="L60" s="23" t="s">
        <v>35</v>
      </c>
      <c r="M60" s="36" t="s">
        <v>269</v>
      </c>
      <c r="N60" s="24">
        <f t="shared" si="13"/>
        <v>0</v>
      </c>
      <c r="O60" s="24"/>
      <c r="P60" s="24"/>
      <c r="Q60" s="24">
        <f t="shared" si="19"/>
        <v>0</v>
      </c>
      <c r="R60" s="24"/>
      <c r="S60" s="25"/>
      <c r="T60" s="25"/>
      <c r="U60" s="12"/>
      <c r="V60" s="10"/>
      <c r="W60" s="29" t="s">
        <v>270</v>
      </c>
      <c r="X60" s="35" t="s">
        <v>271</v>
      </c>
      <c r="Y60" s="25"/>
      <c r="Z60" s="25"/>
      <c r="AA60" s="25"/>
      <c r="AB60" s="25">
        <f t="shared" si="1"/>
        <v>0</v>
      </c>
      <c r="AC60" s="19">
        <v>45745</v>
      </c>
      <c r="AD60" s="19">
        <v>45929</v>
      </c>
    </row>
    <row r="61" spans="1:30" x14ac:dyDescent="0.2">
      <c r="A61" s="13">
        <v>62</v>
      </c>
      <c r="B61" s="14" t="str" cm="1">
        <f t="array" ref="B61">_xlfn.XLOOKUP(LEFT(D61,3),LEFT('[1]Sleutelplan nieuw'!B:B,3),'[1]Sleutelplan nieuw'!A:A,"",2)</f>
        <v>0066</v>
      </c>
      <c r="C61" s="26" t="s">
        <v>25</v>
      </c>
      <c r="D61" s="23" t="s">
        <v>272</v>
      </c>
      <c r="E61" s="18" t="s">
        <v>273</v>
      </c>
      <c r="F61" s="23" t="s">
        <v>274</v>
      </c>
      <c r="G61" s="18">
        <v>9</v>
      </c>
      <c r="H61" s="18">
        <v>9</v>
      </c>
      <c r="I61" s="21">
        <v>45472</v>
      </c>
      <c r="J61" s="21">
        <v>45836</v>
      </c>
      <c r="K61" s="39"/>
      <c r="L61" s="23" t="s">
        <v>84</v>
      </c>
      <c r="M61" s="23"/>
      <c r="N61" s="24">
        <f t="shared" si="13"/>
        <v>259.69999999999982</v>
      </c>
      <c r="O61" s="24">
        <f>R61*1.09+S61*1.21</f>
        <v>7176.9161000000004</v>
      </c>
      <c r="P61" s="24">
        <v>6298.45</v>
      </c>
      <c r="Q61" s="24">
        <f>(P61/G61)/4.33333</f>
        <v>161.49884217859653</v>
      </c>
      <c r="R61" s="24">
        <v>6140.29</v>
      </c>
      <c r="S61" s="25">
        <v>400</v>
      </c>
      <c r="T61" s="25">
        <v>0</v>
      </c>
      <c r="U61" s="12"/>
      <c r="V61" s="10"/>
      <c r="W61" s="29" t="s">
        <v>275</v>
      </c>
      <c r="X61" s="25" t="s">
        <v>73</v>
      </c>
      <c r="Y61" s="25">
        <f>Z61*1.21</f>
        <v>6822.8874999999998</v>
      </c>
      <c r="Z61" s="25">
        <v>5638.75</v>
      </c>
      <c r="AA61" s="25">
        <v>5638.75</v>
      </c>
      <c r="AB61" s="25">
        <f>(Z61/G61)/4.33333</f>
        <v>144.58344455136762</v>
      </c>
      <c r="AC61" s="17"/>
    </row>
    <row r="62" spans="1:30" ht="16" x14ac:dyDescent="0.2">
      <c r="A62" s="13">
        <v>63</v>
      </c>
      <c r="B62" s="14" t="str">
        <f>_xlfn.XLOOKUP(D62,'[1]Sleutelplan nieuw'!B:B,'[1]Sleutelplan nieuw'!A:A,"",2)</f>
        <v>0061</v>
      </c>
      <c r="C62" s="15" t="s">
        <v>25</v>
      </c>
      <c r="D62" s="23" t="s">
        <v>276</v>
      </c>
      <c r="E62" s="30" t="s">
        <v>277</v>
      </c>
      <c r="F62" s="23" t="s">
        <v>151</v>
      </c>
      <c r="G62" s="30">
        <v>5</v>
      </c>
      <c r="H62" s="30">
        <v>5</v>
      </c>
      <c r="I62" s="21">
        <v>45170</v>
      </c>
      <c r="J62" s="21">
        <v>45322</v>
      </c>
      <c r="K62" s="21" t="s">
        <v>47</v>
      </c>
      <c r="L62" s="23" t="s">
        <v>278</v>
      </c>
      <c r="M62" s="23"/>
      <c r="N62" s="24">
        <f t="shared" si="13"/>
        <v>1362.1199999999994</v>
      </c>
      <c r="O62" s="24">
        <f>R62*1.09+S62*1.21</f>
        <v>5425.4296000000004</v>
      </c>
      <c r="P62" s="24">
        <f>R62+S62</f>
        <v>4955.4399999999996</v>
      </c>
      <c r="Q62" s="24">
        <f>(P62/G62)/4.33333</f>
        <v>228.71279131753178</v>
      </c>
      <c r="R62" s="24">
        <v>4755.4399999999996</v>
      </c>
      <c r="S62" s="25">
        <v>200</v>
      </c>
      <c r="T62" s="25">
        <v>0</v>
      </c>
      <c r="U62" s="12"/>
      <c r="V62" s="10"/>
      <c r="W62" s="29" t="s">
        <v>279</v>
      </c>
      <c r="X62" s="25" t="s">
        <v>280</v>
      </c>
      <c r="Y62" s="25">
        <f>Z62*1.21</f>
        <v>4105.9171999999999</v>
      </c>
      <c r="Z62" s="25">
        <v>3393.32</v>
      </c>
      <c r="AA62" s="25">
        <v>3393.32</v>
      </c>
      <c r="AB62" s="25">
        <f>(Z62/G62)/4.33333</f>
        <v>156.61488970376129</v>
      </c>
      <c r="AC62" s="17"/>
    </row>
    <row r="63" spans="1:30" ht="16" x14ac:dyDescent="0.2">
      <c r="A63" s="13">
        <v>65</v>
      </c>
      <c r="B63" s="14" t="str">
        <f>_xlfn.XLOOKUP(D63,'[1]Sleutelplan nieuw'!B:B,'[1]Sleutelplan nieuw'!A:A,"",2)</f>
        <v>0136</v>
      </c>
      <c r="C63" s="15" t="s">
        <v>50</v>
      </c>
      <c r="D63" s="23" t="s">
        <v>281</v>
      </c>
      <c r="E63" s="30" t="s">
        <v>282</v>
      </c>
      <c r="F63" s="23" t="s">
        <v>283</v>
      </c>
      <c r="G63" s="30">
        <v>4</v>
      </c>
      <c r="H63" s="30">
        <v>4</v>
      </c>
      <c r="I63" s="21">
        <v>45352</v>
      </c>
      <c r="J63" s="21">
        <v>45716</v>
      </c>
      <c r="K63" s="21"/>
      <c r="L63" s="23" t="s">
        <v>284</v>
      </c>
      <c r="M63" s="49" t="s">
        <v>285</v>
      </c>
      <c r="N63" s="24">
        <f t="shared" si="13"/>
        <v>441.84999999999991</v>
      </c>
      <c r="O63" s="24">
        <f t="shared" ref="O63:O71" si="20">R63*1.09+S63*1.21</f>
        <v>2666.5215000000003</v>
      </c>
      <c r="P63" s="24">
        <f t="shared" ref="P63:P68" si="21">R63+S63</f>
        <v>2446.35</v>
      </c>
      <c r="Q63" s="24">
        <f t="shared" ref="Q63:Q71" si="22">(P63/G63)/4.33333</f>
        <v>141.13568548898883</v>
      </c>
      <c r="R63" s="24">
        <v>2446.35</v>
      </c>
      <c r="S63" s="25">
        <v>0</v>
      </c>
      <c r="T63" s="25">
        <v>0</v>
      </c>
      <c r="U63" s="12"/>
      <c r="V63" s="10"/>
      <c r="W63" s="29" t="s">
        <v>286</v>
      </c>
      <c r="X63" s="25" t="s">
        <v>287</v>
      </c>
      <c r="Y63" s="25">
        <v>2004.5</v>
      </c>
      <c r="Z63" s="25">
        <v>2004.5</v>
      </c>
      <c r="AA63" s="25">
        <v>2004.5</v>
      </c>
      <c r="AB63" s="25">
        <f t="shared" ref="AB63:AB71" si="23">(Z63/G63)/4.33333</f>
        <v>115.64431972639979</v>
      </c>
      <c r="AC63" s="19">
        <v>45352</v>
      </c>
      <c r="AD63" s="19">
        <v>46081</v>
      </c>
    </row>
    <row r="64" spans="1:30" ht="16" x14ac:dyDescent="0.2">
      <c r="A64" s="13">
        <v>66</v>
      </c>
      <c r="B64" s="14" t="str" cm="1">
        <f t="array" ref="B64">_xlfn.XLOOKUP(LEFT(D64,3),LEFT('[1]Sleutelplan nieuw'!B:B,3),'[1]Sleutelplan nieuw'!A:A,"",2)</f>
        <v>0063</v>
      </c>
      <c r="C64" s="15" t="s">
        <v>25</v>
      </c>
      <c r="D64" s="23" t="s">
        <v>288</v>
      </c>
      <c r="E64" s="30" t="s">
        <v>289</v>
      </c>
      <c r="F64" s="23" t="s">
        <v>34</v>
      </c>
      <c r="G64" s="30">
        <v>4</v>
      </c>
      <c r="H64" s="30">
        <v>3</v>
      </c>
      <c r="I64" s="21">
        <v>45292</v>
      </c>
      <c r="J64" s="21">
        <v>45657</v>
      </c>
      <c r="K64" s="21"/>
      <c r="L64" s="22" t="s">
        <v>230</v>
      </c>
      <c r="M64" s="23"/>
      <c r="N64" s="24">
        <f t="shared" si="13"/>
        <v>841.92999999999984</v>
      </c>
      <c r="O64" s="24">
        <f t="shared" si="20"/>
        <v>3097.7037</v>
      </c>
      <c r="P64" s="24">
        <f t="shared" si="21"/>
        <v>2841.93</v>
      </c>
      <c r="Q64" s="24">
        <f t="shared" si="22"/>
        <v>163.95762612125085</v>
      </c>
      <c r="R64" s="24">
        <v>2841.93</v>
      </c>
      <c r="S64" s="25">
        <v>0</v>
      </c>
      <c r="T64" s="25">
        <v>0</v>
      </c>
      <c r="U64" s="12"/>
      <c r="V64" s="10"/>
      <c r="W64" s="17" t="s">
        <v>290</v>
      </c>
      <c r="X64" s="12"/>
      <c r="Y64" s="24">
        <v>2000</v>
      </c>
      <c r="Z64" s="24">
        <v>2000</v>
      </c>
      <c r="AA64" s="24">
        <v>2000</v>
      </c>
      <c r="AB64" s="25">
        <f t="shared" si="23"/>
        <v>115.38470414208011</v>
      </c>
      <c r="AC64" s="19">
        <v>45035</v>
      </c>
      <c r="AD64" s="19">
        <v>45400</v>
      </c>
    </row>
    <row r="65" spans="1:30" ht="16" x14ac:dyDescent="0.2">
      <c r="A65" s="13">
        <v>67</v>
      </c>
      <c r="B65" s="14" t="str">
        <f>_xlfn.XLOOKUP(D65,'[1]Sleutelplan nieuw'!B:B,'[1]Sleutelplan nieuw'!A:A,"",2)</f>
        <v>0095</v>
      </c>
      <c r="C65" s="15" t="s">
        <v>25</v>
      </c>
      <c r="D65" s="23" t="s">
        <v>291</v>
      </c>
      <c r="E65" s="30" t="s">
        <v>292</v>
      </c>
      <c r="F65" s="23" t="s">
        <v>28</v>
      </c>
      <c r="G65" s="30">
        <v>4</v>
      </c>
      <c r="H65" s="30">
        <v>2</v>
      </c>
      <c r="I65" s="21">
        <v>45695</v>
      </c>
      <c r="J65" s="21">
        <v>46060</v>
      </c>
      <c r="K65" s="21"/>
      <c r="L65" s="22" t="s">
        <v>35</v>
      </c>
      <c r="M65" s="23"/>
      <c r="N65" s="24">
        <f t="shared" si="13"/>
        <v>668.31999999999994</v>
      </c>
      <c r="O65" s="24">
        <f t="shared" si="20"/>
        <v>2172.7188000000001</v>
      </c>
      <c r="P65" s="24">
        <f t="shared" si="21"/>
        <v>1993.32</v>
      </c>
      <c r="Q65" s="24">
        <f t="shared" si="22"/>
        <v>114.99931923024556</v>
      </c>
      <c r="R65" s="24">
        <v>1993.32</v>
      </c>
      <c r="S65" s="50"/>
      <c r="T65" s="25">
        <v>0</v>
      </c>
      <c r="U65" s="12"/>
      <c r="V65" s="10"/>
      <c r="W65" s="17" t="s">
        <v>133</v>
      </c>
      <c r="X65" s="12"/>
      <c r="Y65" s="24">
        <f>Z65*1.09</f>
        <v>1444.25</v>
      </c>
      <c r="Z65" s="24">
        <v>1325</v>
      </c>
      <c r="AA65" s="24">
        <v>1325</v>
      </c>
      <c r="AB65" s="25">
        <f t="shared" si="23"/>
        <v>76.442366494128066</v>
      </c>
      <c r="AC65" s="19"/>
      <c r="AD65" s="19"/>
    </row>
    <row r="66" spans="1:30" ht="16" x14ac:dyDescent="0.2">
      <c r="A66" s="13">
        <v>68</v>
      </c>
      <c r="B66" s="14" t="str">
        <f>_xlfn.XLOOKUP(D66,'[1]Sleutelplan nieuw'!B:B,'[1]Sleutelplan nieuw'!A:A,"",2)</f>
        <v>0064</v>
      </c>
      <c r="C66" s="15" t="s">
        <v>50</v>
      </c>
      <c r="D66" s="23" t="s">
        <v>293</v>
      </c>
      <c r="E66" s="30" t="s">
        <v>294</v>
      </c>
      <c r="F66" s="23" t="s">
        <v>295</v>
      </c>
      <c r="G66" s="30">
        <v>5</v>
      </c>
      <c r="H66" s="30">
        <v>4</v>
      </c>
      <c r="I66" s="44">
        <v>45051</v>
      </c>
      <c r="J66" s="44" t="s">
        <v>296</v>
      </c>
      <c r="K66" s="51"/>
      <c r="L66" s="22" t="s">
        <v>297</v>
      </c>
      <c r="M66" s="23"/>
      <c r="N66" s="24">
        <f t="shared" si="13"/>
        <v>153.76999999999998</v>
      </c>
      <c r="O66" s="24">
        <f t="shared" si="20"/>
        <v>2456.6093000000001</v>
      </c>
      <c r="P66" s="24">
        <f t="shared" si="21"/>
        <v>2253.77</v>
      </c>
      <c r="Q66" s="24">
        <f t="shared" si="22"/>
        <v>104.02023386171835</v>
      </c>
      <c r="R66" s="24">
        <v>2253.77</v>
      </c>
      <c r="S66" s="25">
        <v>0</v>
      </c>
      <c r="T66" s="25">
        <v>0</v>
      </c>
      <c r="U66" s="12"/>
      <c r="V66" s="10"/>
      <c r="W66" s="29" t="s">
        <v>298</v>
      </c>
      <c r="X66" s="25" t="s">
        <v>299</v>
      </c>
      <c r="Y66" s="25">
        <v>2100</v>
      </c>
      <c r="Z66" s="25">
        <v>2100</v>
      </c>
      <c r="AA66" s="25">
        <v>2100</v>
      </c>
      <c r="AB66" s="25">
        <f t="shared" si="23"/>
        <v>96.923151479347283</v>
      </c>
      <c r="AC66" s="19">
        <v>44743</v>
      </c>
      <c r="AD66" s="19">
        <v>45838</v>
      </c>
    </row>
    <row r="67" spans="1:30" x14ac:dyDescent="0.2">
      <c r="A67" s="13">
        <v>69</v>
      </c>
      <c r="B67" s="14" t="str">
        <f>_xlfn.XLOOKUP(D67,'[1]Sleutelplan nieuw'!B:B,'[1]Sleutelplan nieuw'!A:A,"",2)</f>
        <v>0006</v>
      </c>
      <c r="C67" s="15" t="s">
        <v>25</v>
      </c>
      <c r="D67" s="23" t="s">
        <v>300</v>
      </c>
      <c r="E67" s="18" t="s">
        <v>301</v>
      </c>
      <c r="F67" s="23" t="s">
        <v>302</v>
      </c>
      <c r="G67" s="18">
        <v>8</v>
      </c>
      <c r="H67" s="18">
        <v>8</v>
      </c>
      <c r="I67" s="21">
        <v>45829</v>
      </c>
      <c r="J67" s="21">
        <v>46194</v>
      </c>
      <c r="K67" s="39"/>
      <c r="L67" s="23" t="s">
        <v>303</v>
      </c>
      <c r="M67" s="23"/>
      <c r="N67" s="24">
        <f t="shared" si="13"/>
        <v>275</v>
      </c>
      <c r="O67" s="24">
        <f t="shared" si="20"/>
        <v>4986.75</v>
      </c>
      <c r="P67" s="24">
        <f t="shared" si="21"/>
        <v>4575</v>
      </c>
      <c r="Q67" s="24">
        <f t="shared" si="22"/>
        <v>131.97125536250411</v>
      </c>
      <c r="R67" s="24">
        <v>4575</v>
      </c>
      <c r="S67" s="52">
        <v>0</v>
      </c>
      <c r="T67" s="25">
        <v>0</v>
      </c>
      <c r="U67" s="12"/>
      <c r="V67" s="10"/>
      <c r="W67" s="17" t="s">
        <v>304</v>
      </c>
      <c r="X67" s="12"/>
      <c r="Y67" s="24">
        <v>4300</v>
      </c>
      <c r="Z67" s="24">
        <v>4300</v>
      </c>
      <c r="AA67" s="24">
        <v>4300</v>
      </c>
      <c r="AB67" s="25">
        <f t="shared" si="23"/>
        <v>124.03855695273612</v>
      </c>
      <c r="AC67" s="19">
        <v>45870</v>
      </c>
      <c r="AD67" s="19">
        <v>46600</v>
      </c>
    </row>
    <row r="68" spans="1:30" ht="16" x14ac:dyDescent="0.2">
      <c r="A68" s="13">
        <v>70</v>
      </c>
      <c r="B68" s="14" t="str">
        <f>_xlfn.XLOOKUP(D68,'[1]Sleutelplan nieuw'!B:B,'[1]Sleutelplan nieuw'!A:A,"",2)</f>
        <v>0065</v>
      </c>
      <c r="C68" s="15" t="s">
        <v>50</v>
      </c>
      <c r="D68" s="23" t="s">
        <v>305</v>
      </c>
      <c r="E68" s="30" t="s">
        <v>306</v>
      </c>
      <c r="F68" s="23" t="s">
        <v>151</v>
      </c>
      <c r="G68" s="30">
        <v>6</v>
      </c>
      <c r="H68" s="30">
        <v>4</v>
      </c>
      <c r="I68" s="21">
        <v>45019</v>
      </c>
      <c r="J68" s="21">
        <v>45384</v>
      </c>
      <c r="K68" s="21" t="s">
        <v>47</v>
      </c>
      <c r="L68" s="23" t="s">
        <v>180</v>
      </c>
      <c r="M68" s="23"/>
      <c r="N68" s="24">
        <f t="shared" si="13"/>
        <v>1327.01</v>
      </c>
      <c r="O68" s="24">
        <f t="shared" si="20"/>
        <v>3894.4365000000003</v>
      </c>
      <c r="P68" s="24">
        <f t="shared" si="21"/>
        <v>3539.85</v>
      </c>
      <c r="Q68" s="24">
        <f t="shared" si="22"/>
        <v>136.14818165244742</v>
      </c>
      <c r="R68" s="24">
        <v>3239.85</v>
      </c>
      <c r="S68" s="25">
        <v>300</v>
      </c>
      <c r="T68" s="25">
        <v>0</v>
      </c>
      <c r="U68" s="12"/>
      <c r="V68" s="10"/>
      <c r="W68" s="29" t="s">
        <v>307</v>
      </c>
      <c r="X68" s="25" t="s">
        <v>308</v>
      </c>
      <c r="Y68" s="25">
        <v>1912.84</v>
      </c>
      <c r="Z68" s="25">
        <v>1912.84</v>
      </c>
      <c r="AA68" s="25">
        <v>1912.84</v>
      </c>
      <c r="AB68" s="25">
        <f t="shared" si="23"/>
        <v>73.57082582371217</v>
      </c>
      <c r="AC68" s="19">
        <v>44986</v>
      </c>
      <c r="AD68" s="19">
        <v>45716</v>
      </c>
    </row>
    <row r="69" spans="1:30" ht="16" x14ac:dyDescent="0.2">
      <c r="A69" s="13">
        <v>74</v>
      </c>
      <c r="B69" s="14" t="str">
        <f>_xlfn.XLOOKUP(D69,'[1]Sleutelplan nieuw'!B:B,'[1]Sleutelplan nieuw'!A:A,"",2)</f>
        <v>0331</v>
      </c>
      <c r="C69" s="15" t="s">
        <v>50</v>
      </c>
      <c r="D69" s="23" t="s">
        <v>309</v>
      </c>
      <c r="E69" s="30" t="s">
        <v>310</v>
      </c>
      <c r="F69" s="23" t="s">
        <v>311</v>
      </c>
      <c r="G69" s="30">
        <v>4</v>
      </c>
      <c r="H69" s="30">
        <v>4</v>
      </c>
      <c r="I69" s="21">
        <v>38387</v>
      </c>
      <c r="J69" s="21">
        <v>45781</v>
      </c>
      <c r="K69" s="21"/>
      <c r="L69" s="23" t="s">
        <v>29</v>
      </c>
      <c r="M69" s="23"/>
      <c r="N69" s="24">
        <f t="shared" si="13"/>
        <v>650</v>
      </c>
      <c r="O69" s="24">
        <f t="shared" si="20"/>
        <v>3033.5</v>
      </c>
      <c r="P69" s="24">
        <f>R69+S69</f>
        <v>2750</v>
      </c>
      <c r="Q69" s="24">
        <f t="shared" si="22"/>
        <v>158.65396819536014</v>
      </c>
      <c r="R69" s="24">
        <v>2450</v>
      </c>
      <c r="S69" s="50">
        <v>300</v>
      </c>
      <c r="T69" s="25"/>
      <c r="U69" s="12"/>
      <c r="V69" s="10"/>
      <c r="W69" s="29" t="s">
        <v>312</v>
      </c>
      <c r="X69" s="35" t="s">
        <v>313</v>
      </c>
      <c r="Y69" s="25">
        <v>1800</v>
      </c>
      <c r="Z69" s="25">
        <v>1800</v>
      </c>
      <c r="AA69" s="25">
        <v>1800</v>
      </c>
      <c r="AB69" s="25">
        <f t="shared" si="23"/>
        <v>103.84623372787209</v>
      </c>
      <c r="AC69" s="19"/>
      <c r="AD69" s="19"/>
    </row>
    <row r="70" spans="1:30" ht="16" x14ac:dyDescent="0.2">
      <c r="A70" s="13">
        <v>75</v>
      </c>
      <c r="B70" s="14" t="str">
        <f>_xlfn.XLOOKUP(D70,'[1]Sleutelplan nieuw'!B:B,'[1]Sleutelplan nieuw'!A:A,"",2)</f>
        <v>0067</v>
      </c>
      <c r="C70" s="15" t="s">
        <v>25</v>
      </c>
      <c r="D70" s="22" t="s">
        <v>314</v>
      </c>
      <c r="E70" s="30" t="s">
        <v>315</v>
      </c>
      <c r="F70" s="23" t="s">
        <v>316</v>
      </c>
      <c r="G70" s="30">
        <v>7</v>
      </c>
      <c r="H70" s="30">
        <v>4</v>
      </c>
      <c r="I70" s="21">
        <v>45394</v>
      </c>
      <c r="J70" s="21">
        <v>45758</v>
      </c>
      <c r="K70" s="21"/>
      <c r="L70" s="23" t="s">
        <v>35</v>
      </c>
      <c r="M70" s="23"/>
      <c r="N70" s="24">
        <f t="shared" si="13"/>
        <v>1977.9</v>
      </c>
      <c r="O70" s="24">
        <f t="shared" si="20"/>
        <v>3971.4150000000004</v>
      </c>
      <c r="P70" s="24">
        <f>R70+S70</f>
        <v>3643.5</v>
      </c>
      <c r="Q70" s="24">
        <f t="shared" si="22"/>
        <v>120.11547701190538</v>
      </c>
      <c r="R70" s="24">
        <v>3643.5</v>
      </c>
      <c r="S70" s="25">
        <v>0</v>
      </c>
      <c r="T70" s="25">
        <v>0</v>
      </c>
      <c r="U70" s="12"/>
      <c r="V70" s="10"/>
      <c r="W70" s="29" t="s">
        <v>317</v>
      </c>
      <c r="X70" s="25" t="s">
        <v>318</v>
      </c>
      <c r="Y70" s="25">
        <v>1665.6</v>
      </c>
      <c r="Z70" s="25">
        <v>1665.6</v>
      </c>
      <c r="AA70" s="25">
        <v>1665.6</v>
      </c>
      <c r="AB70" s="25">
        <f t="shared" si="23"/>
        <v>54.909932348299606</v>
      </c>
      <c r="AC70" s="19">
        <v>44582</v>
      </c>
      <c r="AD70" s="19">
        <v>46407</v>
      </c>
    </row>
    <row r="71" spans="1:30" x14ac:dyDescent="0.2">
      <c r="A71" s="13">
        <v>76</v>
      </c>
      <c r="B71" s="14" t="str">
        <f>_xlfn.XLOOKUP(D71,'[1]Sleutelplan nieuw'!B:B,'[1]Sleutelplan nieuw'!A:A,"",2)</f>
        <v>0017</v>
      </c>
      <c r="C71" s="15" t="s">
        <v>25</v>
      </c>
      <c r="D71" s="23" t="s">
        <v>319</v>
      </c>
      <c r="E71" s="18" t="s">
        <v>320</v>
      </c>
      <c r="F71" s="23" t="s">
        <v>193</v>
      </c>
      <c r="G71" s="30">
        <v>4</v>
      </c>
      <c r="H71" s="30">
        <v>3</v>
      </c>
      <c r="I71" s="21">
        <v>44958</v>
      </c>
      <c r="J71" s="21">
        <v>45323</v>
      </c>
      <c r="K71" s="21"/>
      <c r="L71" s="23" t="s">
        <v>35</v>
      </c>
      <c r="M71" s="23"/>
      <c r="N71" s="24">
        <f t="shared" si="13"/>
        <v>227.8900000000001</v>
      </c>
      <c r="O71" s="24">
        <f t="shared" si="20"/>
        <v>1828.9001000000003</v>
      </c>
      <c r="P71" s="24">
        <f>R71+S71</f>
        <v>1677.89</v>
      </c>
      <c r="Q71" s="24">
        <f t="shared" si="22"/>
        <v>96.801420616477401</v>
      </c>
      <c r="R71" s="24">
        <v>1677.89</v>
      </c>
      <c r="S71" s="25">
        <v>0</v>
      </c>
      <c r="T71" s="25">
        <v>0</v>
      </c>
      <c r="U71" s="12"/>
      <c r="V71" s="10"/>
      <c r="W71" s="17" t="s">
        <v>321</v>
      </c>
      <c r="X71" s="12"/>
      <c r="Y71" s="24">
        <v>1450</v>
      </c>
      <c r="Z71" s="24">
        <v>1450</v>
      </c>
      <c r="AA71" s="45">
        <v>1450</v>
      </c>
      <c r="AB71" s="25">
        <f t="shared" si="23"/>
        <v>83.653910503008078</v>
      </c>
      <c r="AC71" s="19">
        <v>44958</v>
      </c>
      <c r="AD71" s="19">
        <v>45689</v>
      </c>
    </row>
    <row r="72" spans="1:30" ht="16" x14ac:dyDescent="0.2">
      <c r="A72" s="13">
        <v>78</v>
      </c>
      <c r="B72" s="14" t="str">
        <f>_xlfn.XLOOKUP(D72,'[1]Sleutelplan nieuw'!B:B,'[1]Sleutelplan nieuw'!A:A,"",2)</f>
        <v>0109</v>
      </c>
      <c r="C72" s="15" t="s">
        <v>50</v>
      </c>
      <c r="D72" s="22" t="s">
        <v>322</v>
      </c>
      <c r="E72" s="30" t="s">
        <v>323</v>
      </c>
      <c r="F72" s="23" t="s">
        <v>324</v>
      </c>
      <c r="G72" s="30">
        <v>7</v>
      </c>
      <c r="H72" s="30">
        <v>7</v>
      </c>
      <c r="I72" s="21">
        <v>45425</v>
      </c>
      <c r="J72" s="21">
        <v>45789</v>
      </c>
      <c r="K72" s="51"/>
      <c r="L72" s="23" t="s">
        <v>122</v>
      </c>
      <c r="M72" s="23"/>
      <c r="N72" s="24">
        <f t="shared" si="13"/>
        <v>872.19999999999982</v>
      </c>
      <c r="O72" s="24">
        <f>R72*1.09+S72*1.21</f>
        <v>5370.6980000000003</v>
      </c>
      <c r="P72" s="24">
        <f>R72+S72</f>
        <v>4872.2</v>
      </c>
      <c r="Q72" s="24">
        <f>(P72/G72)/4.33333</f>
        <v>160.62210157744076</v>
      </c>
      <c r="R72" s="24">
        <v>4372.2</v>
      </c>
      <c r="S72" s="25">
        <v>500</v>
      </c>
      <c r="T72" s="25">
        <v>0</v>
      </c>
      <c r="U72" s="12"/>
      <c r="V72" s="10"/>
      <c r="W72" s="29" t="s">
        <v>325</v>
      </c>
      <c r="X72" s="25" t="s">
        <v>326</v>
      </c>
      <c r="Y72" s="25">
        <v>3500</v>
      </c>
      <c r="Z72" s="25">
        <v>3500</v>
      </c>
      <c r="AA72" s="25">
        <v>3500</v>
      </c>
      <c r="AB72" s="25">
        <f>(Z72/G72)/4.33333</f>
        <v>115.38470414208011</v>
      </c>
      <c r="AC72" s="19">
        <v>45383</v>
      </c>
      <c r="AD72" s="19">
        <v>46112</v>
      </c>
    </row>
    <row r="73" spans="1:30" ht="16" x14ac:dyDescent="0.2">
      <c r="A73" s="13">
        <v>79</v>
      </c>
      <c r="B73" s="14" t="str">
        <f>_xlfn.XLOOKUP(D73,'[1]Sleutelplan nieuw'!B:B,'[1]Sleutelplan nieuw'!A:A,"",2)</f>
        <v>0070</v>
      </c>
      <c r="C73" s="15" t="s">
        <v>50</v>
      </c>
      <c r="D73" s="22" t="s">
        <v>327</v>
      </c>
      <c r="E73" s="30" t="s">
        <v>328</v>
      </c>
      <c r="F73" s="23" t="s">
        <v>329</v>
      </c>
      <c r="G73" s="30">
        <v>3</v>
      </c>
      <c r="H73" s="30">
        <v>3</v>
      </c>
      <c r="I73" s="21"/>
      <c r="J73" s="21"/>
      <c r="K73" s="51"/>
      <c r="L73" s="23"/>
      <c r="M73" s="23"/>
      <c r="N73" s="24">
        <f t="shared" si="13"/>
        <v>-1450</v>
      </c>
      <c r="O73" s="24"/>
      <c r="P73" s="24"/>
      <c r="Q73" s="24">
        <f>(P73/G73)/4.33333</f>
        <v>0</v>
      </c>
      <c r="R73" s="24"/>
      <c r="S73" s="25">
        <v>200</v>
      </c>
      <c r="T73" s="25">
        <v>0</v>
      </c>
      <c r="U73" s="12"/>
      <c r="V73" s="10"/>
      <c r="W73" s="29" t="s">
        <v>330</v>
      </c>
      <c r="X73" s="25" t="s">
        <v>331</v>
      </c>
      <c r="Y73" s="25">
        <v>1250</v>
      </c>
      <c r="Z73" s="25">
        <v>1250</v>
      </c>
      <c r="AA73" s="25">
        <v>1250</v>
      </c>
      <c r="AB73" s="25">
        <f>(Z73/G73)/4.33333</f>
        <v>96.153920118400094</v>
      </c>
      <c r="AC73" s="19">
        <v>44682</v>
      </c>
      <c r="AD73" s="19">
        <v>45412</v>
      </c>
    </row>
    <row r="74" spans="1:30" ht="16" x14ac:dyDescent="0.2">
      <c r="A74" s="13">
        <v>80</v>
      </c>
      <c r="B74" s="14" t="str">
        <f>_xlfn.XLOOKUP(D74,'[1]Sleutelplan nieuw'!B:B,'[1]Sleutelplan nieuw'!A:A,"",2)</f>
        <v>0170</v>
      </c>
      <c r="C74" s="15" t="s">
        <v>25</v>
      </c>
      <c r="D74" s="23" t="s">
        <v>332</v>
      </c>
      <c r="E74" s="18" t="s">
        <v>333</v>
      </c>
      <c r="F74" s="23" t="s">
        <v>28</v>
      </c>
      <c r="G74" s="18">
        <v>3</v>
      </c>
      <c r="H74" s="18">
        <v>3</v>
      </c>
      <c r="I74" s="21">
        <v>45911</v>
      </c>
      <c r="J74" s="21">
        <v>46275</v>
      </c>
      <c r="K74" s="21"/>
      <c r="L74" s="22" t="s">
        <v>334</v>
      </c>
      <c r="M74" s="23"/>
      <c r="N74" s="24">
        <f t="shared" si="13"/>
        <v>403.3599999999999</v>
      </c>
      <c r="O74" s="24">
        <f>R74*1.09+S74*1.21</f>
        <v>2591.5</v>
      </c>
      <c r="P74" s="24">
        <f>R74+S74</f>
        <v>2350</v>
      </c>
      <c r="Q74" s="24">
        <f>(P74/G74)/4.33333</f>
        <v>180.76936982259218</v>
      </c>
      <c r="R74" s="24">
        <v>2100</v>
      </c>
      <c r="S74" s="25">
        <v>250</v>
      </c>
      <c r="T74" s="25"/>
      <c r="U74" s="12"/>
      <c r="V74" s="10"/>
      <c r="W74" s="17" t="s">
        <v>35</v>
      </c>
      <c r="X74" s="12"/>
      <c r="Y74" s="24">
        <v>1696.64</v>
      </c>
      <c r="Z74" s="24">
        <v>1696.64</v>
      </c>
      <c r="AA74" s="24">
        <v>1275</v>
      </c>
      <c r="AB74" s="25">
        <f>(Z74/G74)/4.33333</f>
        <v>130.51086962374589</v>
      </c>
      <c r="AC74" s="19"/>
      <c r="AD74" s="19"/>
    </row>
    <row r="75" spans="1:30" ht="16" x14ac:dyDescent="0.2">
      <c r="A75" s="13">
        <v>81</v>
      </c>
      <c r="B75" s="14" t="str">
        <f>_xlfn.XLOOKUP(D75,'[1]Sleutelplan nieuw'!B:B,'[1]Sleutelplan nieuw'!A:A,"",2)</f>
        <v>0025</v>
      </c>
      <c r="C75" s="15" t="s">
        <v>25</v>
      </c>
      <c r="D75" s="23" t="s">
        <v>335</v>
      </c>
      <c r="E75" s="18" t="s">
        <v>336</v>
      </c>
      <c r="F75" s="23" t="s">
        <v>128</v>
      </c>
      <c r="G75" s="18">
        <v>3</v>
      </c>
      <c r="H75" s="18">
        <v>3</v>
      </c>
      <c r="I75" s="21">
        <v>45807</v>
      </c>
      <c r="J75" s="21" t="s">
        <v>337</v>
      </c>
      <c r="K75" s="21"/>
      <c r="L75" s="22" t="s">
        <v>35</v>
      </c>
      <c r="M75" s="23"/>
      <c r="N75" s="24">
        <f t="shared" si="13"/>
        <v>530</v>
      </c>
      <c r="O75" s="24">
        <f>R75*1.09+S75*1.21</f>
        <v>1558.7</v>
      </c>
      <c r="P75" s="24">
        <f>R75+S75</f>
        <v>1430</v>
      </c>
      <c r="Q75" s="24">
        <f t="shared" ref="Q75:Q88" si="24">(P75/G75)/4.33333</f>
        <v>110.00008461544971</v>
      </c>
      <c r="R75" s="24">
        <v>1430</v>
      </c>
      <c r="S75" s="25"/>
      <c r="T75" s="25">
        <v>0</v>
      </c>
      <c r="U75" s="12"/>
      <c r="V75" s="10"/>
      <c r="W75" s="17" t="s">
        <v>36</v>
      </c>
      <c r="X75" s="12"/>
      <c r="Y75" s="24">
        <v>900</v>
      </c>
      <c r="Z75" s="24">
        <v>900</v>
      </c>
      <c r="AA75" s="24">
        <v>900</v>
      </c>
      <c r="AB75" s="25">
        <f>(Z75/G75)/4.33333</f>
        <v>69.230822485248069</v>
      </c>
      <c r="AC75" s="19">
        <v>44927</v>
      </c>
      <c r="AD75" s="19">
        <v>45292</v>
      </c>
    </row>
    <row r="76" spans="1:30" ht="16" x14ac:dyDescent="0.2">
      <c r="A76" s="13">
        <v>82</v>
      </c>
      <c r="B76" s="14" t="str">
        <f>_xlfn.XLOOKUP(D76,'[1]Sleutelplan nieuw'!B:B,'[1]Sleutelplan nieuw'!A:A,"",2)</f>
        <v>0071</v>
      </c>
      <c r="C76" s="15" t="s">
        <v>50</v>
      </c>
      <c r="D76" s="22" t="s">
        <v>338</v>
      </c>
      <c r="E76" s="30" t="s">
        <v>339</v>
      </c>
      <c r="F76" s="23" t="s">
        <v>340</v>
      </c>
      <c r="G76" s="30">
        <v>7</v>
      </c>
      <c r="H76" s="30">
        <v>4</v>
      </c>
      <c r="I76" s="21">
        <v>45885</v>
      </c>
      <c r="J76" s="21">
        <v>46188</v>
      </c>
      <c r="K76" s="51"/>
      <c r="L76" s="23" t="s">
        <v>341</v>
      </c>
      <c r="M76" s="12"/>
      <c r="N76" s="24">
        <f t="shared" si="13"/>
        <v>425</v>
      </c>
      <c r="O76" s="24">
        <f>R76*1.09+S76*1.21</f>
        <v>3109.25</v>
      </c>
      <c r="P76" s="24">
        <f>R76+S76</f>
        <v>2825</v>
      </c>
      <c r="Q76" s="24">
        <f t="shared" si="24"/>
        <v>93.131939771821791</v>
      </c>
      <c r="R76" s="24">
        <v>2575</v>
      </c>
      <c r="S76" s="25">
        <v>250</v>
      </c>
      <c r="T76" s="25">
        <v>0</v>
      </c>
      <c r="U76" s="12"/>
      <c r="V76" s="10"/>
      <c r="W76" s="29" t="s">
        <v>342</v>
      </c>
      <c r="X76" s="25" t="s">
        <v>343</v>
      </c>
      <c r="Y76" s="25">
        <v>2150</v>
      </c>
      <c r="Z76" s="25">
        <v>2150</v>
      </c>
      <c r="AA76" s="25">
        <v>2150</v>
      </c>
      <c r="AB76" s="25">
        <f>(Z76/G76)/4.33333</f>
        <v>70.879175401563501</v>
      </c>
      <c r="AC76" s="17"/>
    </row>
    <row r="77" spans="1:30" ht="16" x14ac:dyDescent="0.2">
      <c r="A77" s="13">
        <v>83</v>
      </c>
      <c r="B77" s="14" t="str">
        <f>_xlfn.XLOOKUP(D77,'[1]Sleutelplan nieuw'!B:B,'[1]Sleutelplan nieuw'!A:A,"",2)</f>
        <v>0072</v>
      </c>
      <c r="C77" s="15" t="s">
        <v>50</v>
      </c>
      <c r="D77" s="22" t="s">
        <v>344</v>
      </c>
      <c r="E77" s="30" t="s">
        <v>345</v>
      </c>
      <c r="F77" s="23" t="s">
        <v>346</v>
      </c>
      <c r="G77" s="30">
        <v>4</v>
      </c>
      <c r="H77" s="30">
        <v>4</v>
      </c>
      <c r="I77" s="21">
        <v>45720</v>
      </c>
      <c r="J77" s="21">
        <v>45751</v>
      </c>
      <c r="K77" s="51"/>
      <c r="L77" s="23" t="s">
        <v>341</v>
      </c>
      <c r="M77" s="23"/>
      <c r="N77" s="24">
        <f t="shared" si="13"/>
        <v>450</v>
      </c>
      <c r="O77" s="24">
        <f>R77*1.09+S77*1.21</f>
        <v>2755</v>
      </c>
      <c r="P77" s="24">
        <f>R77+S77</f>
        <v>2500</v>
      </c>
      <c r="Q77" s="24">
        <f t="shared" si="24"/>
        <v>144.23088017760014</v>
      </c>
      <c r="R77" s="24">
        <v>2250</v>
      </c>
      <c r="S77" s="25">
        <v>250</v>
      </c>
      <c r="T77" s="25">
        <v>0</v>
      </c>
      <c r="U77" s="12"/>
      <c r="V77" s="10"/>
      <c r="W77" s="29" t="s">
        <v>347</v>
      </c>
      <c r="X77" s="25" t="s">
        <v>348</v>
      </c>
      <c r="Y77" s="25">
        <v>1800</v>
      </c>
      <c r="Z77" s="25">
        <v>1800</v>
      </c>
      <c r="AA77" s="25">
        <v>1800</v>
      </c>
      <c r="AB77" s="25">
        <f>(Z77/G77)/4.33</f>
        <v>103.92609699769054</v>
      </c>
      <c r="AC77" s="19">
        <v>44967</v>
      </c>
      <c r="AD77" s="19">
        <v>45331</v>
      </c>
    </row>
    <row r="78" spans="1:30" ht="16" x14ac:dyDescent="0.2">
      <c r="A78" s="13">
        <v>84</v>
      </c>
      <c r="B78" s="14" t="str">
        <f>_xlfn.XLOOKUP(D78,'[1]Sleutelplan nieuw'!B:B,'[1]Sleutelplan nieuw'!A:A,"",2)</f>
        <v>0073</v>
      </c>
      <c r="C78" s="15" t="s">
        <v>50</v>
      </c>
      <c r="D78" s="22" t="s">
        <v>349</v>
      </c>
      <c r="E78" s="30" t="s">
        <v>350</v>
      </c>
      <c r="F78" s="23" t="s">
        <v>351</v>
      </c>
      <c r="G78" s="30">
        <v>5</v>
      </c>
      <c r="H78" s="30">
        <v>5</v>
      </c>
      <c r="I78" s="21">
        <v>44835</v>
      </c>
      <c r="J78" s="21"/>
      <c r="K78" s="21"/>
      <c r="L78" s="23" t="s">
        <v>40</v>
      </c>
      <c r="M78" s="23"/>
      <c r="N78" s="24">
        <f t="shared" si="13"/>
        <v>464.4699999999998</v>
      </c>
      <c r="O78" s="24">
        <f>R78*1.09+S78*1.21</f>
        <v>2686.2723000000001</v>
      </c>
      <c r="P78" s="24">
        <f>R78+S78</f>
        <v>2464.4699999999998</v>
      </c>
      <c r="Q78" s="24">
        <f t="shared" si="24"/>
        <v>113.74485672681286</v>
      </c>
      <c r="R78" s="24">
        <v>2464.4699999999998</v>
      </c>
      <c r="S78" s="25">
        <v>0</v>
      </c>
      <c r="T78" s="25">
        <v>0</v>
      </c>
      <c r="U78" s="12"/>
      <c r="V78" s="10"/>
      <c r="W78" s="29" t="s">
        <v>352</v>
      </c>
      <c r="X78" s="25" t="s">
        <v>353</v>
      </c>
      <c r="Y78" s="25">
        <v>2000</v>
      </c>
      <c r="Z78" s="25">
        <v>2000</v>
      </c>
      <c r="AA78" s="25">
        <v>2000</v>
      </c>
      <c r="AB78" s="25">
        <f>(Z78/G78)/4.33333</f>
        <v>92.307763313664083</v>
      </c>
      <c r="AC78" s="19">
        <v>44621</v>
      </c>
      <c r="AD78" s="19">
        <v>45716</v>
      </c>
    </row>
    <row r="79" spans="1:30" ht="16" x14ac:dyDescent="0.2">
      <c r="A79" s="13">
        <v>85</v>
      </c>
      <c r="B79" s="14" t="str">
        <f>_xlfn.XLOOKUP(D79,'[1]Sleutelplan nieuw'!B:B,'[1]Sleutelplan nieuw'!A:A,"",2)</f>
        <v>0325</v>
      </c>
      <c r="C79" s="15" t="s">
        <v>25</v>
      </c>
      <c r="D79" s="22" t="s">
        <v>354</v>
      </c>
      <c r="E79" s="30" t="s">
        <v>355</v>
      </c>
      <c r="F79" s="23" t="s">
        <v>356</v>
      </c>
      <c r="G79" s="30">
        <v>10</v>
      </c>
      <c r="H79" s="30">
        <v>6</v>
      </c>
      <c r="I79" s="21">
        <v>45660</v>
      </c>
      <c r="J79" s="21">
        <v>46025</v>
      </c>
      <c r="K79" s="51"/>
      <c r="L79" s="23" t="s">
        <v>357</v>
      </c>
      <c r="M79" s="23"/>
      <c r="N79" s="24">
        <f t="shared" si="13"/>
        <v>1170.4099999999999</v>
      </c>
      <c r="O79" s="24">
        <f>R79*1.09+(S79+T79)*1.21</f>
        <v>6636.3</v>
      </c>
      <c r="P79" s="24">
        <f>R79+S79+T79</f>
        <v>6030</v>
      </c>
      <c r="Q79" s="24">
        <f t="shared" si="24"/>
        <v>139.15395319534861</v>
      </c>
      <c r="R79" s="24">
        <v>5500</v>
      </c>
      <c r="S79" s="25">
        <v>450</v>
      </c>
      <c r="T79" s="25">
        <v>80</v>
      </c>
      <c r="U79" s="12"/>
      <c r="V79" s="10"/>
      <c r="W79" s="29" t="s">
        <v>358</v>
      </c>
      <c r="X79" s="35" t="s">
        <v>359</v>
      </c>
      <c r="Y79" s="25">
        <v>4356.8</v>
      </c>
      <c r="Z79" s="25">
        <v>4329.59</v>
      </c>
      <c r="AA79" s="25">
        <v>4200</v>
      </c>
      <c r="AB79" s="25">
        <f>(Z79/G79)/4.33</f>
        <v>99.990531177829098</v>
      </c>
      <c r="AC79" s="19">
        <v>45661</v>
      </c>
      <c r="AD79" s="19">
        <v>46026</v>
      </c>
    </row>
    <row r="80" spans="1:30" ht="16" x14ac:dyDescent="0.2">
      <c r="A80" s="13">
        <v>86</v>
      </c>
      <c r="B80" s="14" t="str" cm="1">
        <f t="array" ref="B80">_xlfn.XLOOKUP(LEFT(D80,3),LEFT('[1]Sleutelplan nieuw'!B:B,3),'[1]Sleutelplan nieuw'!A:A,"",2)</f>
        <v>0133</v>
      </c>
      <c r="C80" s="15" t="s">
        <v>25</v>
      </c>
      <c r="D80" s="22" t="s">
        <v>360</v>
      </c>
      <c r="E80" s="30" t="s">
        <v>361</v>
      </c>
      <c r="F80" s="23" t="s">
        <v>128</v>
      </c>
      <c r="G80" s="30">
        <v>2</v>
      </c>
      <c r="H80" s="30">
        <v>2</v>
      </c>
      <c r="I80" s="21"/>
      <c r="J80" s="21"/>
      <c r="K80" s="21"/>
      <c r="L80" s="23"/>
      <c r="M80" s="23"/>
      <c r="N80" s="24">
        <f t="shared" si="13"/>
        <v>-1500</v>
      </c>
      <c r="O80" s="24"/>
      <c r="P80" s="24"/>
      <c r="Q80" s="24"/>
      <c r="R80" s="24"/>
      <c r="S80" s="25">
        <v>0</v>
      </c>
      <c r="T80" s="25">
        <v>0</v>
      </c>
      <c r="U80" s="12"/>
      <c r="V80" s="10"/>
      <c r="W80" s="29" t="s">
        <v>362</v>
      </c>
      <c r="X80" s="35" t="s">
        <v>363</v>
      </c>
      <c r="Y80" s="25">
        <v>1500</v>
      </c>
      <c r="Z80" s="25">
        <v>1500</v>
      </c>
      <c r="AA80" s="25">
        <v>1500</v>
      </c>
      <c r="AB80" s="25">
        <f t="shared" ref="AB80:AB138" si="25">(Z80/G80)/4.33333</f>
        <v>173.07705621312016</v>
      </c>
      <c r="AC80" s="19"/>
      <c r="AD80" s="19"/>
    </row>
    <row r="81" spans="1:30" ht="16" x14ac:dyDescent="0.2">
      <c r="A81" s="13">
        <v>88</v>
      </c>
      <c r="B81" s="14" t="str">
        <f>_xlfn.XLOOKUP(D81,'[1]Sleutelplan nieuw'!B:B,'[1]Sleutelplan nieuw'!A:A,"",2)</f>
        <v>0107</v>
      </c>
      <c r="C81" s="15" t="s">
        <v>50</v>
      </c>
      <c r="D81" s="22" t="s">
        <v>364</v>
      </c>
      <c r="E81" s="30" t="s">
        <v>365</v>
      </c>
      <c r="F81" s="23" t="s">
        <v>366</v>
      </c>
      <c r="G81" s="30">
        <v>5</v>
      </c>
      <c r="H81" s="30">
        <v>5</v>
      </c>
      <c r="I81" s="21">
        <v>45562</v>
      </c>
      <c r="J81" s="21">
        <v>45653</v>
      </c>
      <c r="K81" s="21"/>
      <c r="L81" s="23" t="s">
        <v>341</v>
      </c>
      <c r="M81" s="23"/>
      <c r="N81" s="24">
        <f t="shared" si="13"/>
        <v>312.29999999999973</v>
      </c>
      <c r="O81" s="24">
        <f t="shared" ref="O81:O88" si="26">R81*1.09+S81*1.21</f>
        <v>2969.0215000000003</v>
      </c>
      <c r="P81" s="24">
        <f t="shared" ref="P81:P88" si="27">R81+S81</f>
        <v>2696.35</v>
      </c>
      <c r="Q81" s="24">
        <f t="shared" ref="Q81:Q105" si="28">(P81/G81)/4.33333</f>
        <v>124.44701880539907</v>
      </c>
      <c r="R81" s="24">
        <v>2446.35</v>
      </c>
      <c r="S81" s="25">
        <v>250</v>
      </c>
      <c r="T81" s="25">
        <v>0</v>
      </c>
      <c r="U81" s="12"/>
      <c r="V81" s="10"/>
      <c r="W81" s="29" t="s">
        <v>123</v>
      </c>
      <c r="X81" s="25"/>
      <c r="Y81" s="25">
        <v>2134.0500000000002</v>
      </c>
      <c r="Z81" s="25">
        <v>2134.0500000000002</v>
      </c>
      <c r="AA81" s="25">
        <v>2134.0500000000002</v>
      </c>
      <c r="AB81" s="25">
        <f t="shared" si="25"/>
        <v>98.494691149762431</v>
      </c>
      <c r="AC81" s="19">
        <v>45383</v>
      </c>
      <c r="AD81" s="19">
        <v>46477</v>
      </c>
    </row>
    <row r="82" spans="1:30" ht="16" x14ac:dyDescent="0.2">
      <c r="A82" s="13">
        <v>90</v>
      </c>
      <c r="B82" s="14" t="str">
        <f>_xlfn.XLOOKUP(D82,'[1]Sleutelplan nieuw'!B:B,'[1]Sleutelplan nieuw'!A:A,"",2)</f>
        <v>0031</v>
      </c>
      <c r="C82" s="15" t="s">
        <v>50</v>
      </c>
      <c r="D82" s="23" t="s">
        <v>367</v>
      </c>
      <c r="E82" s="30" t="s">
        <v>368</v>
      </c>
      <c r="F82" s="23" t="s">
        <v>128</v>
      </c>
      <c r="G82" s="30">
        <v>3</v>
      </c>
      <c r="H82" s="30">
        <v>2</v>
      </c>
      <c r="I82" s="21">
        <v>44986</v>
      </c>
      <c r="J82" s="21">
        <v>45352</v>
      </c>
      <c r="K82" s="21"/>
      <c r="L82" s="23" t="s">
        <v>35</v>
      </c>
      <c r="M82" s="23"/>
      <c r="N82" s="24">
        <f t="shared" si="13"/>
        <v>268.43000000000006</v>
      </c>
      <c r="O82" s="24">
        <f t="shared" si="26"/>
        <v>1709.5887000000002</v>
      </c>
      <c r="P82" s="24">
        <f t="shared" si="27"/>
        <v>1568.43</v>
      </c>
      <c r="Q82" s="24">
        <f t="shared" si="28"/>
        <v>120.64855434504182</v>
      </c>
      <c r="R82" s="24">
        <v>1568.43</v>
      </c>
      <c r="S82" s="25">
        <v>0</v>
      </c>
      <c r="T82" s="25">
        <v>0</v>
      </c>
      <c r="U82" s="12"/>
      <c r="V82" s="10"/>
      <c r="W82" s="17" t="s">
        <v>369</v>
      </c>
      <c r="X82" s="37"/>
      <c r="Y82" s="24">
        <v>1300</v>
      </c>
      <c r="Z82" s="24">
        <v>1300</v>
      </c>
      <c r="AA82" s="45">
        <v>1300</v>
      </c>
      <c r="AB82" s="25">
        <f t="shared" si="25"/>
        <v>100.00007692313609</v>
      </c>
      <c r="AC82" s="19">
        <v>44986</v>
      </c>
      <c r="AD82" s="19">
        <v>45291</v>
      </c>
    </row>
    <row r="83" spans="1:30" ht="16" x14ac:dyDescent="0.2">
      <c r="A83" s="13">
        <v>91</v>
      </c>
      <c r="B83" s="14" t="str">
        <f>_xlfn.XLOOKUP(D83,'[1]Sleutelplan nieuw'!B:B,'[1]Sleutelplan nieuw'!A:A,"",2)</f>
        <v>0181</v>
      </c>
      <c r="C83" s="15" t="s">
        <v>25</v>
      </c>
      <c r="D83" s="23" t="s">
        <v>370</v>
      </c>
      <c r="E83" s="30" t="s">
        <v>371</v>
      </c>
      <c r="F83" s="23" t="s">
        <v>28</v>
      </c>
      <c r="G83" s="30">
        <v>4</v>
      </c>
      <c r="H83" s="30">
        <v>2</v>
      </c>
      <c r="I83" s="21"/>
      <c r="J83" s="21"/>
      <c r="K83" s="21"/>
      <c r="L83" s="23"/>
      <c r="M83" s="49" t="s">
        <v>372</v>
      </c>
      <c r="N83" s="24">
        <f t="shared" si="13"/>
        <v>-1762</v>
      </c>
      <c r="O83" s="24"/>
      <c r="P83" s="24"/>
      <c r="Q83" s="24"/>
      <c r="R83" s="24"/>
      <c r="S83" s="25">
        <v>250</v>
      </c>
      <c r="T83" s="25"/>
      <c r="U83" s="12"/>
      <c r="V83" s="10"/>
      <c r="W83" s="17" t="s">
        <v>35</v>
      </c>
      <c r="X83" s="37"/>
      <c r="Y83" s="24">
        <f>Z83*1.09</f>
        <v>1648.0800000000002</v>
      </c>
      <c r="Z83" s="24">
        <v>1512</v>
      </c>
      <c r="AA83" s="45">
        <v>1512</v>
      </c>
      <c r="AB83" s="25">
        <f t="shared" si="25"/>
        <v>87.230836331412561</v>
      </c>
      <c r="AC83" s="19"/>
      <c r="AD83" s="19"/>
    </row>
    <row r="84" spans="1:30" ht="16" x14ac:dyDescent="0.2">
      <c r="A84" s="13">
        <v>92</v>
      </c>
      <c r="B84" s="14" t="str">
        <f>_xlfn.XLOOKUP(D84,'[1]Sleutelplan nieuw'!B:B,'[1]Sleutelplan nieuw'!A:A,"",2)</f>
        <v>0075</v>
      </c>
      <c r="C84" s="15" t="s">
        <v>25</v>
      </c>
      <c r="D84" s="23" t="s">
        <v>373</v>
      </c>
      <c r="E84" s="18" t="s">
        <v>374</v>
      </c>
      <c r="F84" s="23" t="s">
        <v>375</v>
      </c>
      <c r="G84" s="30">
        <v>4</v>
      </c>
      <c r="H84" s="30">
        <v>4</v>
      </c>
      <c r="I84" s="44">
        <v>45306</v>
      </c>
      <c r="J84" s="44">
        <v>45488</v>
      </c>
      <c r="K84" s="21"/>
      <c r="L84" s="22" t="s">
        <v>376</v>
      </c>
      <c r="M84" s="23"/>
      <c r="N84" s="24">
        <f t="shared" si="13"/>
        <v>663.11999999999989</v>
      </c>
      <c r="O84" s="24">
        <f t="shared" si="26"/>
        <v>2553.0525000000002</v>
      </c>
      <c r="P84" s="24">
        <f t="shared" si="27"/>
        <v>2342.25</v>
      </c>
      <c r="Q84" s="24">
        <f t="shared" si="28"/>
        <v>135.12991163839357</v>
      </c>
      <c r="R84" s="24">
        <v>2342.25</v>
      </c>
      <c r="S84" s="25">
        <v>0</v>
      </c>
      <c r="T84" s="25">
        <v>0</v>
      </c>
      <c r="U84" s="12"/>
      <c r="V84" s="10"/>
      <c r="W84" s="29" t="s">
        <v>377</v>
      </c>
      <c r="X84" s="25" t="s">
        <v>378</v>
      </c>
      <c r="Y84" s="25">
        <v>1679.13</v>
      </c>
      <c r="Z84" s="25">
        <v>1679.13</v>
      </c>
      <c r="AA84" s="25">
        <v>1679.13</v>
      </c>
      <c r="AB84" s="25">
        <f t="shared" si="25"/>
        <v>96.872959133045484</v>
      </c>
      <c r="AC84" s="19">
        <v>43947</v>
      </c>
      <c r="AD84" s="19">
        <v>44068</v>
      </c>
    </row>
    <row r="85" spans="1:30" ht="16" x14ac:dyDescent="0.2">
      <c r="A85" s="13">
        <v>93</v>
      </c>
      <c r="B85" s="14" t="str">
        <f>_xlfn.XLOOKUP(D85,'[1]Sleutelplan nieuw'!B:B,'[1]Sleutelplan nieuw'!A:A,"",2)</f>
        <v>0078</v>
      </c>
      <c r="C85" s="15" t="s">
        <v>50</v>
      </c>
      <c r="D85" s="23" t="s">
        <v>379</v>
      </c>
      <c r="E85" s="18" t="s">
        <v>380</v>
      </c>
      <c r="F85" s="23" t="s">
        <v>381</v>
      </c>
      <c r="G85" s="30">
        <v>4</v>
      </c>
      <c r="H85" s="30">
        <v>4</v>
      </c>
      <c r="I85" s="44">
        <v>45366</v>
      </c>
      <c r="J85" s="44">
        <v>45549</v>
      </c>
      <c r="K85" s="21"/>
      <c r="L85" s="22" t="s">
        <v>341</v>
      </c>
      <c r="M85" s="23"/>
      <c r="N85" s="24">
        <f t="shared" si="13"/>
        <v>884.84999999999991</v>
      </c>
      <c r="O85" s="24">
        <f t="shared" si="26"/>
        <v>3139.2250000000004</v>
      </c>
      <c r="P85" s="24">
        <f t="shared" si="27"/>
        <v>2852.5</v>
      </c>
      <c r="Q85" s="24">
        <f t="shared" si="28"/>
        <v>164.56743428264176</v>
      </c>
      <c r="R85" s="24">
        <v>2602.5</v>
      </c>
      <c r="S85" s="25">
        <v>250</v>
      </c>
      <c r="T85" s="25">
        <v>0</v>
      </c>
      <c r="U85" s="12"/>
      <c r="V85" s="10"/>
      <c r="W85" s="29" t="s">
        <v>123</v>
      </c>
      <c r="X85" s="25" t="s">
        <v>124</v>
      </c>
      <c r="Y85" s="25">
        <v>1717.65</v>
      </c>
      <c r="Z85" s="25">
        <v>1717.65</v>
      </c>
      <c r="AA85" s="25">
        <v>1717.65</v>
      </c>
      <c r="AB85" s="25">
        <f t="shared" si="25"/>
        <v>99.095268534821955</v>
      </c>
      <c r="AC85" s="19">
        <v>44774</v>
      </c>
      <c r="AD85" s="19">
        <v>45504</v>
      </c>
    </row>
    <row r="86" spans="1:30" x14ac:dyDescent="0.2">
      <c r="A86" s="13">
        <v>94</v>
      </c>
      <c r="B86" s="14" t="str" cm="1">
        <f t="array" ref="B86">_xlfn.XLOOKUP(LEFT(D86,3),LEFT('[1]Sleutelplan nieuw'!B:B,3),'[1]Sleutelplan nieuw'!A:A,"",2)</f>
        <v>0147</v>
      </c>
      <c r="C86" s="15" t="s">
        <v>25</v>
      </c>
      <c r="D86" s="23" t="s">
        <v>382</v>
      </c>
      <c r="E86" s="18" t="s">
        <v>383</v>
      </c>
      <c r="F86" s="23" t="s">
        <v>117</v>
      </c>
      <c r="G86" s="18">
        <v>6</v>
      </c>
      <c r="H86" s="18">
        <v>4</v>
      </c>
      <c r="I86" s="21">
        <v>45180</v>
      </c>
      <c r="J86" s="21">
        <v>44995</v>
      </c>
      <c r="K86" s="21"/>
      <c r="L86" s="23" t="s">
        <v>384</v>
      </c>
      <c r="M86" s="53" t="s">
        <v>385</v>
      </c>
      <c r="N86" s="24">
        <f t="shared" si="13"/>
        <v>804.06</v>
      </c>
      <c r="O86" s="24">
        <f t="shared" si="26"/>
        <v>3734.9504000000002</v>
      </c>
      <c r="P86" s="24">
        <f t="shared" si="27"/>
        <v>3426.56</v>
      </c>
      <c r="Q86" s="24">
        <f t="shared" si="28"/>
        <v>131.79087060836201</v>
      </c>
      <c r="R86" s="24">
        <v>3426.56</v>
      </c>
      <c r="S86" s="25"/>
      <c r="T86" s="25">
        <v>0</v>
      </c>
      <c r="U86" s="12"/>
      <c r="V86" s="10"/>
      <c r="W86" s="17" t="s">
        <v>386</v>
      </c>
      <c r="X86" s="12"/>
      <c r="Y86" s="24">
        <v>2622.5</v>
      </c>
      <c r="Z86" s="24">
        <v>2622.5</v>
      </c>
      <c r="AA86" s="24">
        <v>2500</v>
      </c>
      <c r="AB86" s="25">
        <f t="shared" si="25"/>
        <v>100.86546220420169</v>
      </c>
      <c r="AC86" s="19">
        <v>45033</v>
      </c>
      <c r="AD86" s="19">
        <v>45382</v>
      </c>
    </row>
    <row r="87" spans="1:30" x14ac:dyDescent="0.2">
      <c r="A87" s="13"/>
      <c r="B87" s="14" t="str" cm="1">
        <f t="array" ref="B87">_xlfn.XLOOKUP(LEFT(D87,3),LEFT('[1]Sleutelplan nieuw'!B:B,3),'[1]Sleutelplan nieuw'!A:A,"",2)</f>
        <v>0391</v>
      </c>
      <c r="C87" s="15" t="s">
        <v>50</v>
      </c>
      <c r="D87" s="23" t="s">
        <v>387</v>
      </c>
      <c r="E87" s="18" t="s">
        <v>388</v>
      </c>
      <c r="F87" s="23" t="s">
        <v>389</v>
      </c>
      <c r="G87" s="18">
        <v>10</v>
      </c>
      <c r="H87" s="18">
        <v>5</v>
      </c>
      <c r="I87" s="21">
        <v>46023</v>
      </c>
      <c r="J87" s="21"/>
      <c r="K87" s="21"/>
      <c r="L87" s="23" t="s">
        <v>35</v>
      </c>
      <c r="M87" s="53"/>
      <c r="N87" s="24"/>
      <c r="O87" s="24">
        <f t="shared" si="26"/>
        <v>6848.3065000000006</v>
      </c>
      <c r="P87" s="24">
        <f t="shared" si="27"/>
        <v>6282.85</v>
      </c>
      <c r="Q87" s="24">
        <f t="shared" si="28"/>
        <v>144.98895768381362</v>
      </c>
      <c r="R87" s="24">
        <v>6282.85</v>
      </c>
      <c r="S87" s="25">
        <v>0</v>
      </c>
      <c r="T87" s="25"/>
      <c r="U87" s="12"/>
      <c r="V87" s="10"/>
      <c r="W87" s="17" t="s">
        <v>390</v>
      </c>
      <c r="X87" s="17" t="s">
        <v>391</v>
      </c>
      <c r="Y87" s="24">
        <v>6282.85</v>
      </c>
      <c r="Z87" s="24">
        <v>6282.85</v>
      </c>
      <c r="AA87" s="24">
        <v>6282.85</v>
      </c>
      <c r="AB87" s="25">
        <f t="shared" si="25"/>
        <v>144.98895768381362</v>
      </c>
      <c r="AC87" s="19">
        <v>46023</v>
      </c>
      <c r="AD87" s="19">
        <v>46387</v>
      </c>
    </row>
    <row r="88" spans="1:30" x14ac:dyDescent="0.2">
      <c r="A88" s="13">
        <v>96</v>
      </c>
      <c r="B88" s="14" t="str">
        <f>_xlfn.XLOOKUP(D88,'[1]Sleutelplan nieuw'!B:B,'[1]Sleutelplan nieuw'!A:A,"",2)</f>
        <v>0039</v>
      </c>
      <c r="C88" s="15" t="s">
        <v>50</v>
      </c>
      <c r="D88" s="23" t="s">
        <v>392</v>
      </c>
      <c r="E88" s="18" t="s">
        <v>393</v>
      </c>
      <c r="F88" s="23" t="s">
        <v>311</v>
      </c>
      <c r="G88" s="18">
        <v>4</v>
      </c>
      <c r="H88" s="18">
        <v>4</v>
      </c>
      <c r="I88" s="21">
        <v>45734</v>
      </c>
      <c r="J88" s="21">
        <v>45918</v>
      </c>
      <c r="K88" s="21"/>
      <c r="L88" s="23" t="s">
        <v>394</v>
      </c>
      <c r="M88" s="23"/>
      <c r="N88" s="24">
        <f t="shared" ref="N88:N151" si="29">P88-S88-T88-Z88</f>
        <v>875</v>
      </c>
      <c r="O88" s="24">
        <f t="shared" si="26"/>
        <v>2891.25</v>
      </c>
      <c r="P88" s="24">
        <f t="shared" si="27"/>
        <v>2625</v>
      </c>
      <c r="Q88" s="24">
        <f t="shared" si="28"/>
        <v>151.44242418648014</v>
      </c>
      <c r="R88" s="24">
        <v>2375</v>
      </c>
      <c r="S88" s="25">
        <v>250</v>
      </c>
      <c r="T88" s="25"/>
      <c r="U88" s="12"/>
      <c r="V88" s="10"/>
      <c r="W88" s="17" t="s">
        <v>395</v>
      </c>
      <c r="X88" s="17" t="s">
        <v>396</v>
      </c>
      <c r="Y88" s="24">
        <v>1500</v>
      </c>
      <c r="Z88" s="24">
        <v>1500</v>
      </c>
      <c r="AA88" s="24">
        <v>1500</v>
      </c>
      <c r="AB88" s="25">
        <f t="shared" si="25"/>
        <v>86.538528106560079</v>
      </c>
      <c r="AC88" s="19">
        <v>45536</v>
      </c>
      <c r="AD88" s="19">
        <v>46265</v>
      </c>
    </row>
    <row r="89" spans="1:30" x14ac:dyDescent="0.2">
      <c r="A89" s="13">
        <v>98</v>
      </c>
      <c r="B89" s="14" t="str">
        <f>_xlfn.XLOOKUP(D89,'[1]Sleutelplan nieuw'!B:B,'[1]Sleutelplan nieuw'!A:A,"",2)</f>
        <v>0087</v>
      </c>
      <c r="C89" s="15" t="s">
        <v>25</v>
      </c>
      <c r="D89" s="23" t="s">
        <v>397</v>
      </c>
      <c r="E89" s="18" t="s">
        <v>398</v>
      </c>
      <c r="F89" s="23" t="s">
        <v>399</v>
      </c>
      <c r="G89" s="18">
        <v>6</v>
      </c>
      <c r="H89" s="18">
        <v>4</v>
      </c>
      <c r="I89" s="21">
        <v>45933</v>
      </c>
      <c r="J89" s="21">
        <v>46297</v>
      </c>
      <c r="K89" s="21"/>
      <c r="L89" s="23" t="s">
        <v>400</v>
      </c>
      <c r="M89" s="23"/>
      <c r="N89" s="24">
        <f t="shared" si="29"/>
        <v>803.65000000000009</v>
      </c>
      <c r="O89" s="24">
        <f>R89*1.09+S89*1.21</f>
        <v>3966.0000000000005</v>
      </c>
      <c r="P89" s="24">
        <f>R89+S89</f>
        <v>3600</v>
      </c>
      <c r="Q89" s="24">
        <f t="shared" si="28"/>
        <v>138.46164497049614</v>
      </c>
      <c r="R89" s="24">
        <v>3250</v>
      </c>
      <c r="S89" s="25">
        <v>350</v>
      </c>
      <c r="T89" s="25">
        <v>0</v>
      </c>
      <c r="U89" s="12"/>
      <c r="V89" s="10"/>
      <c r="W89" s="17" t="s">
        <v>48</v>
      </c>
      <c r="X89" s="17" t="s">
        <v>49</v>
      </c>
      <c r="Y89" s="24">
        <v>2446.35</v>
      </c>
      <c r="Z89" s="24">
        <v>2446.35</v>
      </c>
      <c r="AA89" s="24">
        <v>2446.35</v>
      </c>
      <c r="AB89" s="25">
        <f t="shared" si="25"/>
        <v>94.090456992659213</v>
      </c>
      <c r="AC89" s="19">
        <v>45420</v>
      </c>
      <c r="AD89" s="19">
        <v>45784</v>
      </c>
    </row>
    <row r="90" spans="1:30" x14ac:dyDescent="0.2">
      <c r="A90" s="13">
        <v>99</v>
      </c>
      <c r="B90" s="14" t="str" cm="1">
        <f t="array" ref="B90">_xlfn.XLOOKUP(LEFT(D90,3),LEFT('[1]Sleutelplan nieuw'!B:B,3),'[1]Sleutelplan nieuw'!A:A,"",2)</f>
        <v>0146</v>
      </c>
      <c r="C90" s="15" t="s">
        <v>50</v>
      </c>
      <c r="D90" s="23" t="s">
        <v>401</v>
      </c>
      <c r="E90" s="18" t="s">
        <v>402</v>
      </c>
      <c r="F90" s="23" t="s">
        <v>403</v>
      </c>
      <c r="G90" s="18">
        <v>5</v>
      </c>
      <c r="H90" s="18">
        <v>5</v>
      </c>
      <c r="I90" s="21">
        <v>45778</v>
      </c>
      <c r="J90" s="21">
        <v>45960</v>
      </c>
      <c r="K90" s="21"/>
      <c r="L90" s="23" t="s">
        <v>404</v>
      </c>
      <c r="M90" s="23"/>
      <c r="N90" s="24">
        <f t="shared" si="29"/>
        <v>402.61999999999989</v>
      </c>
      <c r="O90" s="24">
        <f>R90*1.09+S90*1.21</f>
        <v>3496.7500000000005</v>
      </c>
      <c r="P90" s="24">
        <f>R90+S90+T90</f>
        <v>3175</v>
      </c>
      <c r="Q90" s="24">
        <f t="shared" si="28"/>
        <v>146.53857426044175</v>
      </c>
      <c r="R90" s="24">
        <v>2875</v>
      </c>
      <c r="S90" s="50">
        <v>300</v>
      </c>
      <c r="T90" s="25"/>
      <c r="U90" s="12"/>
      <c r="V90" s="10"/>
      <c r="W90" s="17" t="s">
        <v>405</v>
      </c>
      <c r="X90" s="17" t="s">
        <v>406</v>
      </c>
      <c r="Y90" s="24">
        <v>2472.38</v>
      </c>
      <c r="Z90" s="24">
        <v>2472.38</v>
      </c>
      <c r="AA90" s="24">
        <v>2472.38</v>
      </c>
      <c r="AB90" s="25">
        <f t="shared" si="25"/>
        <v>114.1099339307184</v>
      </c>
      <c r="AC90" s="19">
        <v>45292</v>
      </c>
      <c r="AD90" s="19">
        <v>46387</v>
      </c>
    </row>
    <row r="91" spans="1:30" x14ac:dyDescent="0.2">
      <c r="A91" s="13">
        <v>100</v>
      </c>
      <c r="B91" s="14" t="str">
        <f>_xlfn.XLOOKUP(D91,'[1]Sleutelplan nieuw'!B:B,'[1]Sleutelplan nieuw'!A:A,"",2)</f>
        <v>0082</v>
      </c>
      <c r="C91" s="15" t="s">
        <v>25</v>
      </c>
      <c r="D91" s="23" t="s">
        <v>407</v>
      </c>
      <c r="E91" s="18" t="s">
        <v>408</v>
      </c>
      <c r="F91" s="23" t="s">
        <v>409</v>
      </c>
      <c r="G91" s="18">
        <v>6</v>
      </c>
      <c r="H91" s="18">
        <v>6</v>
      </c>
      <c r="I91" s="21">
        <v>45735</v>
      </c>
      <c r="J91" s="21">
        <v>46022</v>
      </c>
      <c r="K91" s="21" t="s">
        <v>47</v>
      </c>
      <c r="L91" s="23" t="s">
        <v>29</v>
      </c>
      <c r="M91" s="23"/>
      <c r="N91" s="24">
        <f t="shared" si="29"/>
        <v>150.07999999999993</v>
      </c>
      <c r="O91" s="24">
        <f>R91*1.09+S91*1.21</f>
        <v>4892.5</v>
      </c>
      <c r="P91" s="24">
        <f>R91+S91</f>
        <v>4450</v>
      </c>
      <c r="Q91" s="24">
        <f t="shared" si="28"/>
        <v>171.15397781075214</v>
      </c>
      <c r="R91" s="24">
        <v>4100</v>
      </c>
      <c r="S91" s="25">
        <v>350</v>
      </c>
      <c r="T91" s="25">
        <v>0</v>
      </c>
      <c r="U91" s="12"/>
      <c r="V91" s="10"/>
      <c r="W91" s="29" t="s">
        <v>48</v>
      </c>
      <c r="X91" s="25" t="s">
        <v>49</v>
      </c>
      <c r="Y91" s="25">
        <v>3949.92</v>
      </c>
      <c r="Z91" s="25">
        <v>3949.92</v>
      </c>
      <c r="AA91" s="25">
        <v>3949.92</v>
      </c>
      <c r="AB91" s="25">
        <f t="shared" si="25"/>
        <v>151.92011686162837</v>
      </c>
      <c r="AC91" s="19">
        <v>45012</v>
      </c>
      <c r="AD91" s="19">
        <v>45377</v>
      </c>
    </row>
    <row r="92" spans="1:30" ht="16" x14ac:dyDescent="0.2">
      <c r="A92" s="13">
        <v>101</v>
      </c>
      <c r="B92" s="14" t="str">
        <f>_xlfn.XLOOKUP(D92,'[1]Sleutelplan nieuw'!B:B,'[1]Sleutelplan nieuw'!A:A,"",2)</f>
        <v>0159</v>
      </c>
      <c r="C92" s="15" t="s">
        <v>25</v>
      </c>
      <c r="D92" s="23" t="s">
        <v>410</v>
      </c>
      <c r="E92" s="54" t="s">
        <v>411</v>
      </c>
      <c r="F92" s="23" t="s">
        <v>412</v>
      </c>
      <c r="G92" s="18">
        <v>4</v>
      </c>
      <c r="H92" s="18">
        <v>3</v>
      </c>
      <c r="I92" s="21">
        <v>45798</v>
      </c>
      <c r="J92" s="21">
        <v>46101</v>
      </c>
      <c r="K92" s="21" t="s">
        <v>47</v>
      </c>
      <c r="L92" s="22" t="s">
        <v>413</v>
      </c>
      <c r="M92" s="23"/>
      <c r="N92" s="24">
        <f t="shared" si="29"/>
        <v>268.19000000000005</v>
      </c>
      <c r="O92" s="24">
        <f>R92*1.09+S92*1.21</f>
        <v>3027.5</v>
      </c>
      <c r="P92" s="24">
        <f>R92+S92</f>
        <v>2750</v>
      </c>
      <c r="Q92" s="24">
        <f t="shared" si="28"/>
        <v>158.65396819536014</v>
      </c>
      <c r="R92" s="24">
        <v>2500</v>
      </c>
      <c r="S92" s="25">
        <v>250</v>
      </c>
      <c r="T92" s="25">
        <v>0</v>
      </c>
      <c r="U92" s="12"/>
      <c r="V92" s="10"/>
      <c r="W92" s="29" t="s">
        <v>414</v>
      </c>
      <c r="X92" s="25" t="s">
        <v>415</v>
      </c>
      <c r="Y92" s="25">
        <v>2407.02</v>
      </c>
      <c r="Z92" s="25">
        <v>2231.81</v>
      </c>
      <c r="AA92" s="25">
        <v>1946.81</v>
      </c>
      <c r="AB92" s="25">
        <f t="shared" si="25"/>
        <v>128.75836827566789</v>
      </c>
      <c r="AC92" s="19"/>
      <c r="AD92" s="19"/>
    </row>
    <row r="93" spans="1:30" x14ac:dyDescent="0.2">
      <c r="A93" s="13">
        <v>102</v>
      </c>
      <c r="B93" s="14" t="str">
        <f>_xlfn.XLOOKUP(D93,'[1]Sleutelplan nieuw'!B:B,'[1]Sleutelplan nieuw'!A:A,"",2)</f>
        <v>0084</v>
      </c>
      <c r="C93" s="15" t="s">
        <v>25</v>
      </c>
      <c r="D93" s="23" t="s">
        <v>416</v>
      </c>
      <c r="E93" s="18" t="s">
        <v>417</v>
      </c>
      <c r="F93" s="23" t="s">
        <v>418</v>
      </c>
      <c r="G93" s="18">
        <v>4</v>
      </c>
      <c r="H93" s="18">
        <v>2</v>
      </c>
      <c r="I93" s="21">
        <v>45583</v>
      </c>
      <c r="J93" s="21">
        <v>45948</v>
      </c>
      <c r="K93" s="21" t="s">
        <v>47</v>
      </c>
      <c r="L93" s="23" t="s">
        <v>35</v>
      </c>
      <c r="M93" s="23"/>
      <c r="N93" s="24">
        <f t="shared" si="29"/>
        <v>1052</v>
      </c>
      <c r="O93" s="24">
        <f>R93*1.09+S93*1.21</f>
        <v>2452.5</v>
      </c>
      <c r="P93" s="24">
        <v>2250</v>
      </c>
      <c r="Q93" s="24">
        <f t="shared" si="28"/>
        <v>129.80779215984012</v>
      </c>
      <c r="R93" s="24">
        <v>2250</v>
      </c>
      <c r="S93" s="25">
        <v>0</v>
      </c>
      <c r="T93" s="25">
        <v>0</v>
      </c>
      <c r="U93" s="12"/>
      <c r="V93" s="10"/>
      <c r="W93" s="29" t="s">
        <v>419</v>
      </c>
      <c r="X93" s="25" t="s">
        <v>420</v>
      </c>
      <c r="Y93" s="25">
        <v>1198</v>
      </c>
      <c r="Z93" s="25">
        <v>1198</v>
      </c>
      <c r="AA93" s="25">
        <v>1198</v>
      </c>
      <c r="AB93" s="25">
        <f t="shared" si="25"/>
        <v>69.115437781105982</v>
      </c>
      <c r="AC93" s="19">
        <v>44047</v>
      </c>
      <c r="AD93" s="19">
        <v>44139</v>
      </c>
    </row>
    <row r="94" spans="1:30" x14ac:dyDescent="0.2">
      <c r="A94" s="13">
        <v>103</v>
      </c>
      <c r="B94" s="33" t="s">
        <v>421</v>
      </c>
      <c r="C94" s="15" t="s">
        <v>25</v>
      </c>
      <c r="D94" s="23" t="s">
        <v>422</v>
      </c>
      <c r="E94" s="18" t="s">
        <v>423</v>
      </c>
      <c r="F94" s="23" t="s">
        <v>424</v>
      </c>
      <c r="G94" s="18">
        <v>3</v>
      </c>
      <c r="H94" s="18">
        <v>3</v>
      </c>
      <c r="I94" s="21">
        <v>45821</v>
      </c>
      <c r="J94" s="21">
        <v>46185</v>
      </c>
      <c r="K94" s="21"/>
      <c r="L94" s="23" t="s">
        <v>175</v>
      </c>
      <c r="M94" s="23"/>
      <c r="N94" s="24">
        <f t="shared" si="29"/>
        <v>155</v>
      </c>
      <c r="O94" s="24">
        <f t="shared" ref="O94:O111" si="30">R94*1.09+S94*1.21+T94*1.21</f>
        <v>2313</v>
      </c>
      <c r="P94" s="24">
        <f>R94+S94+T94</f>
        <v>2100</v>
      </c>
      <c r="Q94" s="24">
        <f t="shared" si="28"/>
        <v>161.53858579891215</v>
      </c>
      <c r="R94" s="24">
        <v>1900</v>
      </c>
      <c r="S94" s="25">
        <v>200</v>
      </c>
      <c r="T94" s="25"/>
      <c r="U94" s="12"/>
      <c r="V94" s="10"/>
      <c r="W94" s="29" t="s">
        <v>425</v>
      </c>
      <c r="X94" s="35" t="s">
        <v>426</v>
      </c>
      <c r="Y94" s="25">
        <v>1932.05</v>
      </c>
      <c r="Z94" s="25">
        <v>1745</v>
      </c>
      <c r="AA94" s="55">
        <v>1495</v>
      </c>
      <c r="AB94" s="25">
        <f t="shared" si="25"/>
        <v>134.23087248528651</v>
      </c>
      <c r="AC94" s="19">
        <v>45583</v>
      </c>
      <c r="AD94" s="19"/>
    </row>
    <row r="95" spans="1:30" x14ac:dyDescent="0.2">
      <c r="A95" s="13">
        <v>104</v>
      </c>
      <c r="B95" s="33" t="s">
        <v>427</v>
      </c>
      <c r="C95" s="15" t="s">
        <v>25</v>
      </c>
      <c r="D95" s="23" t="s">
        <v>428</v>
      </c>
      <c r="E95" s="18" t="s">
        <v>423</v>
      </c>
      <c r="F95" s="23" t="s">
        <v>424</v>
      </c>
      <c r="G95" s="18">
        <v>3</v>
      </c>
      <c r="H95" s="18">
        <v>3</v>
      </c>
      <c r="I95" s="21">
        <v>45928</v>
      </c>
      <c r="J95" s="21">
        <v>46053</v>
      </c>
      <c r="K95" s="21"/>
      <c r="L95" s="23" t="s">
        <v>429</v>
      </c>
      <c r="M95" s="23"/>
      <c r="N95" s="24">
        <f t="shared" si="29"/>
        <v>105</v>
      </c>
      <c r="O95" s="24">
        <f t="shared" si="30"/>
        <v>2258.5</v>
      </c>
      <c r="P95" s="24">
        <f>R95+S95+T95</f>
        <v>2050</v>
      </c>
      <c r="Q95" s="24">
        <f t="shared" si="28"/>
        <v>157.69242899417614</v>
      </c>
      <c r="R95" s="24">
        <v>1850</v>
      </c>
      <c r="S95" s="25">
        <v>200</v>
      </c>
      <c r="T95" s="25"/>
      <c r="U95" s="12"/>
      <c r="V95" s="10"/>
      <c r="W95" s="29" t="s">
        <v>425</v>
      </c>
      <c r="X95" s="35" t="s">
        <v>426</v>
      </c>
      <c r="Y95" s="25">
        <v>1932.05</v>
      </c>
      <c r="Z95" s="25">
        <v>1745</v>
      </c>
      <c r="AA95" s="55">
        <v>1495</v>
      </c>
      <c r="AB95" s="25">
        <f t="shared" si="25"/>
        <v>134.23087248528651</v>
      </c>
      <c r="AC95" s="19">
        <v>45536</v>
      </c>
      <c r="AD95" s="19">
        <v>46265</v>
      </c>
    </row>
    <row r="96" spans="1:30" x14ac:dyDescent="0.2">
      <c r="A96" s="13">
        <v>105</v>
      </c>
      <c r="B96" s="33" t="s">
        <v>430</v>
      </c>
      <c r="C96" s="15" t="s">
        <v>25</v>
      </c>
      <c r="D96" s="23" t="s">
        <v>431</v>
      </c>
      <c r="E96" s="18" t="s">
        <v>423</v>
      </c>
      <c r="F96" s="23" t="s">
        <v>424</v>
      </c>
      <c r="G96" s="18">
        <v>4</v>
      </c>
      <c r="H96" s="18">
        <v>4</v>
      </c>
      <c r="I96" s="21">
        <v>45520</v>
      </c>
      <c r="J96" s="21">
        <v>45884</v>
      </c>
      <c r="K96" s="21"/>
      <c r="L96" s="23" t="s">
        <v>432</v>
      </c>
      <c r="M96" s="23"/>
      <c r="N96" s="24">
        <f t="shared" si="29"/>
        <v>224.57000000000016</v>
      </c>
      <c r="O96" s="24">
        <f t="shared" si="30"/>
        <v>3082</v>
      </c>
      <c r="P96" s="24">
        <f t="shared" ref="P96:P97" si="31">R96+S96+T96</f>
        <v>2800</v>
      </c>
      <c r="Q96" s="24">
        <f t="shared" si="28"/>
        <v>161.53858579891215</v>
      </c>
      <c r="R96" s="24">
        <v>2550</v>
      </c>
      <c r="S96" s="25">
        <v>250</v>
      </c>
      <c r="T96" s="25"/>
      <c r="U96" s="12"/>
      <c r="V96" s="10"/>
      <c r="W96" s="29" t="s">
        <v>425</v>
      </c>
      <c r="X96" s="35" t="s">
        <v>426</v>
      </c>
      <c r="Y96" s="25">
        <v>2534.7199999999998</v>
      </c>
      <c r="Z96" s="25">
        <v>2325.4299999999998</v>
      </c>
      <c r="AA96" s="55">
        <v>1992.4</v>
      </c>
      <c r="AB96" s="25">
        <f t="shared" si="25"/>
        <v>134.15952627655867</v>
      </c>
      <c r="AC96" s="19">
        <v>45520</v>
      </c>
      <c r="AD96" s="19">
        <v>46249</v>
      </c>
    </row>
    <row r="97" spans="1:30" x14ac:dyDescent="0.2">
      <c r="A97" s="13">
        <v>106</v>
      </c>
      <c r="B97" s="33" t="s">
        <v>433</v>
      </c>
      <c r="C97" s="15" t="s">
        <v>25</v>
      </c>
      <c r="D97" s="23" t="s">
        <v>434</v>
      </c>
      <c r="E97" s="54" t="s">
        <v>423</v>
      </c>
      <c r="F97" s="23" t="s">
        <v>424</v>
      </c>
      <c r="G97" s="18">
        <v>4</v>
      </c>
      <c r="H97" s="18">
        <v>2</v>
      </c>
      <c r="I97" s="21">
        <v>45928</v>
      </c>
      <c r="J97" s="21">
        <v>46053</v>
      </c>
      <c r="K97" s="21"/>
      <c r="L97" s="23" t="s">
        <v>429</v>
      </c>
      <c r="M97" s="23"/>
      <c r="N97" s="24">
        <f t="shared" si="29"/>
        <v>326.09999999999991</v>
      </c>
      <c r="O97" s="24">
        <f t="shared" si="30"/>
        <v>2782.25</v>
      </c>
      <c r="P97" s="24">
        <f t="shared" si="31"/>
        <v>2525</v>
      </c>
      <c r="Q97" s="24">
        <f t="shared" si="28"/>
        <v>145.67318897937614</v>
      </c>
      <c r="R97" s="24">
        <v>2275</v>
      </c>
      <c r="S97" s="25">
        <v>250</v>
      </c>
      <c r="T97" s="25"/>
      <c r="U97" s="12"/>
      <c r="V97" s="10"/>
      <c r="W97" s="29" t="s">
        <v>72</v>
      </c>
      <c r="X97" s="25" t="s">
        <v>73</v>
      </c>
      <c r="Y97" s="25">
        <v>2154.3000000000002</v>
      </c>
      <c r="Z97" s="25">
        <v>1948.9</v>
      </c>
      <c r="AA97" s="55">
        <v>1698.9</v>
      </c>
      <c r="AB97" s="25">
        <f t="shared" si="25"/>
        <v>112.43662495124997</v>
      </c>
      <c r="AC97" s="19">
        <v>45200</v>
      </c>
      <c r="AD97" s="19">
        <v>46873</v>
      </c>
    </row>
    <row r="98" spans="1:30" x14ac:dyDescent="0.2">
      <c r="A98" s="13">
        <v>107</v>
      </c>
      <c r="B98" s="33" t="s">
        <v>435</v>
      </c>
      <c r="C98" s="15" t="s">
        <v>25</v>
      </c>
      <c r="D98" s="23" t="s">
        <v>436</v>
      </c>
      <c r="E98" s="54" t="s">
        <v>423</v>
      </c>
      <c r="F98" s="23" t="s">
        <v>424</v>
      </c>
      <c r="G98" s="18">
        <v>6</v>
      </c>
      <c r="H98" s="18">
        <v>3</v>
      </c>
      <c r="I98" s="21">
        <v>45548</v>
      </c>
      <c r="J98" s="21">
        <v>45912</v>
      </c>
      <c r="K98" s="21"/>
      <c r="L98" s="23" t="s">
        <v>432</v>
      </c>
      <c r="M98" s="23"/>
      <c r="N98" s="24">
        <f t="shared" si="29"/>
        <v>505.19000000000005</v>
      </c>
      <c r="O98" s="24">
        <f t="shared" si="30"/>
        <v>3932.7500000000005</v>
      </c>
      <c r="P98" s="24">
        <v>3575</v>
      </c>
      <c r="Q98" s="24">
        <f t="shared" si="28"/>
        <v>137.50010576931214</v>
      </c>
      <c r="R98" s="24">
        <v>3275</v>
      </c>
      <c r="S98" s="25">
        <v>300</v>
      </c>
      <c r="T98" s="25"/>
      <c r="U98" s="12"/>
      <c r="V98" s="10"/>
      <c r="W98" s="29" t="s">
        <v>425</v>
      </c>
      <c r="X98" s="35" t="s">
        <v>426</v>
      </c>
      <c r="Y98" s="25">
        <v>3055.09</v>
      </c>
      <c r="Z98" s="25">
        <v>2769.81</v>
      </c>
      <c r="AA98" s="55">
        <v>2469.81</v>
      </c>
      <c r="AB98" s="25">
        <f t="shared" si="25"/>
        <v>106.5312357932583</v>
      </c>
      <c r="AC98" s="19">
        <v>45548</v>
      </c>
      <c r="AD98" s="19">
        <v>46278</v>
      </c>
    </row>
    <row r="99" spans="1:30" x14ac:dyDescent="0.2">
      <c r="A99" s="13">
        <v>108</v>
      </c>
      <c r="B99" s="33" t="s">
        <v>437</v>
      </c>
      <c r="C99" s="15" t="s">
        <v>25</v>
      </c>
      <c r="D99" s="23" t="s">
        <v>438</v>
      </c>
      <c r="E99" s="54" t="s">
        <v>423</v>
      </c>
      <c r="F99" s="23" t="s">
        <v>424</v>
      </c>
      <c r="G99" s="18">
        <v>6</v>
      </c>
      <c r="H99" s="18">
        <v>3</v>
      </c>
      <c r="I99" s="21">
        <v>45548</v>
      </c>
      <c r="J99" s="21">
        <v>45912</v>
      </c>
      <c r="K99" s="21"/>
      <c r="L99" s="23" t="s">
        <v>432</v>
      </c>
      <c r="M99" s="23"/>
      <c r="N99" s="24">
        <f t="shared" si="29"/>
        <v>505.19000000000005</v>
      </c>
      <c r="O99" s="24">
        <f t="shared" si="30"/>
        <v>3932.7500000000005</v>
      </c>
      <c r="P99" s="24">
        <v>3575</v>
      </c>
      <c r="Q99" s="24">
        <f t="shared" si="28"/>
        <v>137.50010576931214</v>
      </c>
      <c r="R99" s="24">
        <v>3275</v>
      </c>
      <c r="S99" s="25">
        <v>300</v>
      </c>
      <c r="T99" s="25"/>
      <c r="U99" s="12"/>
      <c r="V99" s="10"/>
      <c r="W99" s="29" t="s">
        <v>425</v>
      </c>
      <c r="X99" s="35" t="s">
        <v>426</v>
      </c>
      <c r="Y99" s="25">
        <v>3055.09</v>
      </c>
      <c r="Z99" s="25">
        <v>2769.81</v>
      </c>
      <c r="AA99" s="55">
        <v>2469.81</v>
      </c>
      <c r="AB99" s="25">
        <f t="shared" si="25"/>
        <v>106.5312357932583</v>
      </c>
      <c r="AC99" s="19">
        <v>45548</v>
      </c>
      <c r="AD99" s="19">
        <v>46278</v>
      </c>
    </row>
    <row r="100" spans="1:30" x14ac:dyDescent="0.2">
      <c r="A100" s="13">
        <v>109</v>
      </c>
      <c r="B100" s="33" t="s">
        <v>439</v>
      </c>
      <c r="C100" s="15" t="s">
        <v>25</v>
      </c>
      <c r="D100" s="23" t="s">
        <v>440</v>
      </c>
      <c r="E100" s="54" t="s">
        <v>423</v>
      </c>
      <c r="F100" s="23" t="s">
        <v>424</v>
      </c>
      <c r="G100" s="18">
        <v>6</v>
      </c>
      <c r="H100" s="18">
        <v>3</v>
      </c>
      <c r="I100" s="21">
        <v>45548</v>
      </c>
      <c r="J100" s="21">
        <v>45912</v>
      </c>
      <c r="K100" s="21"/>
      <c r="L100" s="23" t="s">
        <v>432</v>
      </c>
      <c r="M100" s="23"/>
      <c r="N100" s="24">
        <f t="shared" si="29"/>
        <v>505.19000000000005</v>
      </c>
      <c r="O100" s="24">
        <f t="shared" si="30"/>
        <v>3932.7500000000005</v>
      </c>
      <c r="P100" s="24">
        <f>R100+S100</f>
        <v>3575</v>
      </c>
      <c r="Q100" s="24">
        <f t="shared" si="28"/>
        <v>137.50010576931214</v>
      </c>
      <c r="R100" s="24">
        <v>3275</v>
      </c>
      <c r="S100" s="25">
        <v>300</v>
      </c>
      <c r="T100" s="25"/>
      <c r="U100" s="12"/>
      <c r="V100" s="10"/>
      <c r="W100" s="29" t="s">
        <v>425</v>
      </c>
      <c r="X100" s="35" t="s">
        <v>426</v>
      </c>
      <c r="Y100" s="25">
        <v>3055.09</v>
      </c>
      <c r="Z100" s="25">
        <v>2769.81</v>
      </c>
      <c r="AA100" s="55">
        <v>2469.81</v>
      </c>
      <c r="AB100" s="25">
        <f t="shared" si="25"/>
        <v>106.5312357932583</v>
      </c>
      <c r="AC100" s="19">
        <v>45548</v>
      </c>
      <c r="AD100" s="19">
        <v>46278</v>
      </c>
    </row>
    <row r="101" spans="1:30" x14ac:dyDescent="0.2">
      <c r="A101" s="13">
        <v>110</v>
      </c>
      <c r="B101" s="33" t="s">
        <v>441</v>
      </c>
      <c r="C101" s="15" t="s">
        <v>25</v>
      </c>
      <c r="D101" s="23" t="s">
        <v>442</v>
      </c>
      <c r="E101" s="54" t="s">
        <v>423</v>
      </c>
      <c r="F101" s="23" t="s">
        <v>424</v>
      </c>
      <c r="G101" s="18">
        <v>6</v>
      </c>
      <c r="H101" s="18">
        <v>3</v>
      </c>
      <c r="I101" s="21">
        <v>45765</v>
      </c>
      <c r="J101" s="21">
        <v>46129</v>
      </c>
      <c r="K101" s="21"/>
      <c r="L101" s="23" t="s">
        <v>443</v>
      </c>
      <c r="M101" s="23"/>
      <c r="N101" s="24">
        <f t="shared" si="29"/>
        <v>480.19000000000005</v>
      </c>
      <c r="O101" s="24">
        <f t="shared" si="30"/>
        <v>4068.8500000000004</v>
      </c>
      <c r="P101" s="24">
        <f>R101+S101+T101</f>
        <v>3685</v>
      </c>
      <c r="Q101" s="24">
        <f t="shared" si="28"/>
        <v>141.73087825452171</v>
      </c>
      <c r="R101" s="24">
        <v>3250</v>
      </c>
      <c r="S101" s="25">
        <v>350</v>
      </c>
      <c r="T101" s="25">
        <v>85</v>
      </c>
      <c r="U101" s="12"/>
      <c r="V101" s="10"/>
      <c r="W101" s="29" t="s">
        <v>425</v>
      </c>
      <c r="X101" s="35" t="s">
        <v>426</v>
      </c>
      <c r="Y101" s="25">
        <v>3055.09</v>
      </c>
      <c r="Z101" s="25">
        <v>2769.81</v>
      </c>
      <c r="AA101" s="55">
        <v>2469.81</v>
      </c>
      <c r="AB101" s="25">
        <f t="shared" si="25"/>
        <v>106.5312357932583</v>
      </c>
      <c r="AC101" s="19">
        <v>45681</v>
      </c>
      <c r="AD101" s="19">
        <v>46046</v>
      </c>
    </row>
    <row r="102" spans="1:30" x14ac:dyDescent="0.2">
      <c r="A102" s="13">
        <v>111</v>
      </c>
      <c r="B102" s="33" t="s">
        <v>444</v>
      </c>
      <c r="C102" s="15" t="s">
        <v>25</v>
      </c>
      <c r="D102" s="23" t="s">
        <v>445</v>
      </c>
      <c r="E102" s="54" t="s">
        <v>423</v>
      </c>
      <c r="F102" s="23" t="s">
        <v>424</v>
      </c>
      <c r="G102" s="18">
        <v>6</v>
      </c>
      <c r="H102" s="18">
        <v>3</v>
      </c>
      <c r="I102" s="21">
        <v>45934</v>
      </c>
      <c r="J102" s="21">
        <v>46024</v>
      </c>
      <c r="K102" s="21"/>
      <c r="L102" s="23" t="s">
        <v>394</v>
      </c>
      <c r="M102" s="23"/>
      <c r="N102" s="24">
        <f t="shared" si="29"/>
        <v>455.19000000000005</v>
      </c>
      <c r="O102" s="24">
        <f t="shared" si="30"/>
        <v>3993.2500000000005</v>
      </c>
      <c r="P102" s="24">
        <f>R102+S102+T102</f>
        <v>3625</v>
      </c>
      <c r="Q102" s="24">
        <f t="shared" si="28"/>
        <v>139.42318417168011</v>
      </c>
      <c r="R102" s="24">
        <v>3275</v>
      </c>
      <c r="S102" s="25">
        <v>350</v>
      </c>
      <c r="T102" s="25"/>
      <c r="U102" s="12"/>
      <c r="V102" s="10"/>
      <c r="W102" s="29" t="s">
        <v>425</v>
      </c>
      <c r="X102" s="35" t="s">
        <v>426</v>
      </c>
      <c r="Y102" s="25">
        <v>3115.59</v>
      </c>
      <c r="Z102" s="25">
        <v>2819.81</v>
      </c>
      <c r="AA102" s="55">
        <v>2469.81</v>
      </c>
      <c r="AB102" s="25">
        <f t="shared" si="25"/>
        <v>108.4543141956263</v>
      </c>
      <c r="AC102" s="19">
        <v>45604</v>
      </c>
      <c r="AD102" s="19">
        <v>46334</v>
      </c>
    </row>
    <row r="103" spans="1:30" x14ac:dyDescent="0.2">
      <c r="A103" s="13">
        <v>112</v>
      </c>
      <c r="B103" s="33" t="s">
        <v>446</v>
      </c>
      <c r="C103" s="15" t="s">
        <v>25</v>
      </c>
      <c r="D103" s="23" t="s">
        <v>447</v>
      </c>
      <c r="E103" s="18" t="s">
        <v>423</v>
      </c>
      <c r="F103" s="23" t="s">
        <v>424</v>
      </c>
      <c r="G103" s="18">
        <v>6</v>
      </c>
      <c r="H103" s="18">
        <v>3</v>
      </c>
      <c r="I103" s="21">
        <v>45526</v>
      </c>
      <c r="J103" s="21">
        <v>45890</v>
      </c>
      <c r="K103" s="21"/>
      <c r="L103" s="23" t="s">
        <v>432</v>
      </c>
      <c r="M103" s="23"/>
      <c r="N103" s="24">
        <f t="shared" si="29"/>
        <v>446.90000000000009</v>
      </c>
      <c r="O103" s="24">
        <f t="shared" si="30"/>
        <v>3905.5000000000005</v>
      </c>
      <c r="P103" s="24">
        <f>R103+S103</f>
        <v>3550</v>
      </c>
      <c r="Q103" s="24">
        <f t="shared" si="28"/>
        <v>136.53856656812812</v>
      </c>
      <c r="R103" s="24">
        <v>3250</v>
      </c>
      <c r="S103" s="25">
        <v>300</v>
      </c>
      <c r="T103" s="25"/>
      <c r="U103" s="12"/>
      <c r="V103" s="10"/>
      <c r="W103" s="29" t="s">
        <v>425</v>
      </c>
      <c r="X103" s="35" t="s">
        <v>426</v>
      </c>
      <c r="Y103" s="25">
        <v>2992.73</v>
      </c>
      <c r="Z103" s="25">
        <f>2718.1+85</f>
        <v>2803.1</v>
      </c>
      <c r="AA103" s="55">
        <v>2468.1</v>
      </c>
      <c r="AB103" s="25">
        <f t="shared" si="25"/>
        <v>107.81162139355492</v>
      </c>
      <c r="AC103" s="19">
        <v>45464</v>
      </c>
      <c r="AD103" s="19">
        <v>46193</v>
      </c>
    </row>
    <row r="104" spans="1:30" x14ac:dyDescent="0.2">
      <c r="A104" s="13">
        <v>113</v>
      </c>
      <c r="B104" s="33" t="s">
        <v>448</v>
      </c>
      <c r="C104" s="15" t="s">
        <v>25</v>
      </c>
      <c r="D104" s="23" t="s">
        <v>449</v>
      </c>
      <c r="E104" s="18" t="s">
        <v>423</v>
      </c>
      <c r="F104" s="23" t="s">
        <v>424</v>
      </c>
      <c r="G104" s="18">
        <v>6</v>
      </c>
      <c r="H104" s="18">
        <v>3</v>
      </c>
      <c r="I104" s="21">
        <v>45548</v>
      </c>
      <c r="J104" s="21">
        <v>45912</v>
      </c>
      <c r="K104" s="21"/>
      <c r="L104" s="23" t="s">
        <v>432</v>
      </c>
      <c r="M104" s="23"/>
      <c r="N104" s="24">
        <f t="shared" si="29"/>
        <v>505.19000000000005</v>
      </c>
      <c r="O104" s="24">
        <f t="shared" si="30"/>
        <v>3932.7500000000005</v>
      </c>
      <c r="P104" s="24">
        <f>R104+S104</f>
        <v>3575</v>
      </c>
      <c r="Q104" s="24">
        <f t="shared" si="28"/>
        <v>137.50010576931214</v>
      </c>
      <c r="R104" s="24">
        <v>3275</v>
      </c>
      <c r="S104" s="25">
        <v>300</v>
      </c>
      <c r="T104" s="25"/>
      <c r="U104" s="12"/>
      <c r="V104" s="10"/>
      <c r="W104" s="29" t="s">
        <v>425</v>
      </c>
      <c r="X104" s="35" t="s">
        <v>426</v>
      </c>
      <c r="Y104" s="25">
        <v>3055.09</v>
      </c>
      <c r="Z104" s="25">
        <v>2769.81</v>
      </c>
      <c r="AA104" s="55">
        <v>2469.81</v>
      </c>
      <c r="AB104" s="25">
        <f t="shared" si="25"/>
        <v>106.5312357932583</v>
      </c>
      <c r="AC104" s="19">
        <v>45548</v>
      </c>
      <c r="AD104" s="19">
        <v>46278</v>
      </c>
    </row>
    <row r="105" spans="1:30" x14ac:dyDescent="0.2">
      <c r="A105" s="13">
        <v>114</v>
      </c>
      <c r="B105" s="33" t="s">
        <v>450</v>
      </c>
      <c r="C105" s="15" t="s">
        <v>25</v>
      </c>
      <c r="D105" s="23" t="s">
        <v>451</v>
      </c>
      <c r="E105" s="18" t="s">
        <v>423</v>
      </c>
      <c r="F105" s="23" t="s">
        <v>424</v>
      </c>
      <c r="G105" s="18">
        <v>6</v>
      </c>
      <c r="H105" s="18">
        <v>3</v>
      </c>
      <c r="I105" s="21">
        <v>45938</v>
      </c>
      <c r="J105" s="21">
        <v>45968</v>
      </c>
      <c r="K105" s="21"/>
      <c r="L105" s="23" t="s">
        <v>452</v>
      </c>
      <c r="M105" s="23"/>
      <c r="N105" s="24">
        <f t="shared" si="29"/>
        <v>730.19</v>
      </c>
      <c r="O105" s="24">
        <f t="shared" si="30"/>
        <v>4299</v>
      </c>
      <c r="P105" s="24">
        <f>R105+S105</f>
        <v>3900</v>
      </c>
      <c r="Q105" s="24">
        <f t="shared" si="28"/>
        <v>150.00011538470415</v>
      </c>
      <c r="R105" s="24">
        <v>3500</v>
      </c>
      <c r="S105" s="25">
        <v>400</v>
      </c>
      <c r="T105" s="25"/>
      <c r="U105" s="12"/>
      <c r="V105" s="10"/>
      <c r="W105" s="29" t="s">
        <v>425</v>
      </c>
      <c r="X105" s="35" t="s">
        <v>426</v>
      </c>
      <c r="Y105" s="25">
        <v>3055.09</v>
      </c>
      <c r="Z105" s="25">
        <v>2769.81</v>
      </c>
      <c r="AA105" s="55">
        <v>2469.81</v>
      </c>
      <c r="AB105" s="25">
        <f t="shared" si="25"/>
        <v>106.5312357932583</v>
      </c>
      <c r="AC105" s="19">
        <v>45744</v>
      </c>
      <c r="AD105" s="19">
        <v>45379</v>
      </c>
    </row>
    <row r="106" spans="1:30" x14ac:dyDescent="0.2">
      <c r="A106" s="13">
        <v>115</v>
      </c>
      <c r="B106" s="33" t="s">
        <v>453</v>
      </c>
      <c r="C106" s="15" t="s">
        <v>25</v>
      </c>
      <c r="D106" s="23" t="s">
        <v>454</v>
      </c>
      <c r="E106" s="18" t="s">
        <v>423</v>
      </c>
      <c r="F106" s="23" t="s">
        <v>424</v>
      </c>
      <c r="G106" s="18">
        <v>6</v>
      </c>
      <c r="H106" s="18">
        <v>3</v>
      </c>
      <c r="I106" s="21">
        <v>45902</v>
      </c>
      <c r="J106" s="21">
        <v>46266</v>
      </c>
      <c r="K106" s="21"/>
      <c r="L106" s="23" t="s">
        <v>175</v>
      </c>
      <c r="M106" s="23"/>
      <c r="N106" s="24">
        <f t="shared" si="29"/>
        <v>416.09999999999991</v>
      </c>
      <c r="O106" s="24">
        <f t="shared" si="30"/>
        <v>4053.7500000000005</v>
      </c>
      <c r="P106" s="24">
        <f>R106+S106+T106</f>
        <v>3675</v>
      </c>
      <c r="Q106" s="24">
        <f>(P106/G106)/4.33333</f>
        <v>141.34626257404813</v>
      </c>
      <c r="R106" s="24">
        <v>3275</v>
      </c>
      <c r="S106" s="25">
        <v>400</v>
      </c>
      <c r="T106" s="25">
        <v>0</v>
      </c>
      <c r="U106" s="12"/>
      <c r="V106" s="10"/>
      <c r="W106" s="29" t="s">
        <v>72</v>
      </c>
      <c r="X106" s="25" t="s">
        <v>73</v>
      </c>
      <c r="Y106" s="25">
        <v>3146.2</v>
      </c>
      <c r="Z106" s="25">
        <v>2858.9</v>
      </c>
      <c r="AA106" s="55">
        <v>2608.9</v>
      </c>
      <c r="AB106" s="25">
        <f t="shared" si="25"/>
        <v>109.95777689059761</v>
      </c>
      <c r="AC106" s="19">
        <v>45184</v>
      </c>
      <c r="AD106" s="19"/>
    </row>
    <row r="107" spans="1:30" x14ac:dyDescent="0.2">
      <c r="A107" s="13">
        <v>116</v>
      </c>
      <c r="B107" s="33" t="s">
        <v>455</v>
      </c>
      <c r="C107" s="15" t="s">
        <v>25</v>
      </c>
      <c r="D107" s="23" t="s">
        <v>456</v>
      </c>
      <c r="E107" s="18" t="s">
        <v>423</v>
      </c>
      <c r="F107" s="23" t="s">
        <v>424</v>
      </c>
      <c r="G107" s="18">
        <v>6</v>
      </c>
      <c r="H107" s="18">
        <v>3</v>
      </c>
      <c r="I107" s="21">
        <v>45465</v>
      </c>
      <c r="J107" s="21">
        <v>45526</v>
      </c>
      <c r="K107" s="21"/>
      <c r="L107" s="23" t="s">
        <v>175</v>
      </c>
      <c r="M107" s="23"/>
      <c r="N107" s="24">
        <f t="shared" si="29"/>
        <v>446.90000000000009</v>
      </c>
      <c r="O107" s="24">
        <f t="shared" si="30"/>
        <v>4026.5000000000005</v>
      </c>
      <c r="P107" s="24">
        <f>R107+S107+T107</f>
        <v>3650</v>
      </c>
      <c r="Q107" s="24">
        <f>(P107/G107)/4.33333</f>
        <v>140.38472337286413</v>
      </c>
      <c r="R107" s="24">
        <v>3250</v>
      </c>
      <c r="S107" s="25">
        <v>300</v>
      </c>
      <c r="T107" s="25">
        <v>100</v>
      </c>
      <c r="U107" s="12"/>
      <c r="V107" s="10"/>
      <c r="W107" s="29" t="s">
        <v>425</v>
      </c>
      <c r="X107" s="35" t="s">
        <v>426</v>
      </c>
      <c r="Y107" s="25">
        <v>2992.73</v>
      </c>
      <c r="Z107" s="25">
        <f>2718.1+85</f>
        <v>2803.1</v>
      </c>
      <c r="AA107" s="55">
        <v>2468.1</v>
      </c>
      <c r="AB107" s="25">
        <f t="shared" si="25"/>
        <v>107.81162139355492</v>
      </c>
      <c r="AC107" s="19">
        <v>45464</v>
      </c>
      <c r="AD107" s="19">
        <v>46193</v>
      </c>
    </row>
    <row r="108" spans="1:30" x14ac:dyDescent="0.2">
      <c r="A108" s="13">
        <v>117</v>
      </c>
      <c r="B108" s="33" t="s">
        <v>457</v>
      </c>
      <c r="C108" s="15" t="s">
        <v>25</v>
      </c>
      <c r="D108" s="23" t="s">
        <v>458</v>
      </c>
      <c r="E108" s="18" t="s">
        <v>423</v>
      </c>
      <c r="F108" s="23" t="s">
        <v>424</v>
      </c>
      <c r="G108" s="18">
        <v>3</v>
      </c>
      <c r="H108" s="18">
        <v>3</v>
      </c>
      <c r="I108" s="21">
        <v>45960</v>
      </c>
      <c r="J108" s="21">
        <v>46141</v>
      </c>
      <c r="K108" s="21"/>
      <c r="L108" s="23" t="s">
        <v>459</v>
      </c>
      <c r="M108" s="23"/>
      <c r="N108" s="24">
        <f t="shared" si="29"/>
        <v>145.19000000000005</v>
      </c>
      <c r="O108" s="24">
        <f t="shared" si="30"/>
        <v>3512.0000000000005</v>
      </c>
      <c r="P108" s="24">
        <f t="shared" ref="P108:P117" si="32">R108+S108</f>
        <v>3200</v>
      </c>
      <c r="Q108" s="24">
        <f>(P108/G108)/4.33333</f>
        <v>246.15403550310424</v>
      </c>
      <c r="R108" s="24">
        <v>3000</v>
      </c>
      <c r="S108" s="25">
        <v>200</v>
      </c>
      <c r="T108" s="25"/>
      <c r="U108" s="12"/>
      <c r="V108" s="10"/>
      <c r="W108" s="29" t="s">
        <v>425</v>
      </c>
      <c r="X108" s="35" t="s">
        <v>426</v>
      </c>
      <c r="Y108" s="25">
        <v>3154.94</v>
      </c>
      <c r="Z108" s="25">
        <v>2854.81</v>
      </c>
      <c r="AA108" s="55">
        <v>2469.81</v>
      </c>
      <c r="AB108" s="25">
        <f t="shared" si="25"/>
        <v>219.60093815456781</v>
      </c>
      <c r="AC108" s="19">
        <v>45723</v>
      </c>
      <c r="AD108" s="19">
        <v>46453</v>
      </c>
    </row>
    <row r="109" spans="1:30" x14ac:dyDescent="0.2">
      <c r="A109" s="13">
        <v>118</v>
      </c>
      <c r="B109" s="33" t="s">
        <v>460</v>
      </c>
      <c r="C109" s="15" t="s">
        <v>25</v>
      </c>
      <c r="D109" s="23" t="s">
        <v>461</v>
      </c>
      <c r="E109" s="18" t="s">
        <v>423</v>
      </c>
      <c r="F109" s="23" t="s">
        <v>424</v>
      </c>
      <c r="G109" s="18">
        <v>6</v>
      </c>
      <c r="H109" s="18">
        <v>3</v>
      </c>
      <c r="I109" s="21">
        <v>45555</v>
      </c>
      <c r="J109" s="21">
        <v>45920</v>
      </c>
      <c r="K109" s="21"/>
      <c r="L109" s="23" t="s">
        <v>432</v>
      </c>
      <c r="M109" s="23"/>
      <c r="N109" s="24">
        <f t="shared" si="29"/>
        <v>556.90000000000009</v>
      </c>
      <c r="O109" s="24">
        <f t="shared" si="30"/>
        <v>3932.7500000000005</v>
      </c>
      <c r="P109" s="24">
        <f t="shared" si="32"/>
        <v>3575</v>
      </c>
      <c r="Q109" s="24">
        <f t="shared" ref="Q109:Q134" si="33">(P109/G109)/4.33333</f>
        <v>137.50010576931214</v>
      </c>
      <c r="R109" s="24">
        <v>3275</v>
      </c>
      <c r="S109" s="25">
        <v>300</v>
      </c>
      <c r="T109" s="25"/>
      <c r="U109" s="12"/>
      <c r="V109" s="10"/>
      <c r="W109" s="29" t="s">
        <v>425</v>
      </c>
      <c r="X109" s="35" t="s">
        <v>426</v>
      </c>
      <c r="Y109" s="25">
        <v>2992.73</v>
      </c>
      <c r="Z109" s="25">
        <f>2718.1</f>
        <v>2718.1</v>
      </c>
      <c r="AA109" s="55">
        <v>2468.1</v>
      </c>
      <c r="AB109" s="25">
        <f t="shared" si="25"/>
        <v>104.54238810952931</v>
      </c>
      <c r="AC109" s="19">
        <v>45464</v>
      </c>
      <c r="AD109" s="19">
        <v>46193</v>
      </c>
    </row>
    <row r="110" spans="1:30" x14ac:dyDescent="0.2">
      <c r="A110" s="13">
        <v>119</v>
      </c>
      <c r="B110" s="33" t="s">
        <v>462</v>
      </c>
      <c r="C110" s="15" t="s">
        <v>25</v>
      </c>
      <c r="D110" s="23" t="s">
        <v>463</v>
      </c>
      <c r="E110" s="18" t="s">
        <v>423</v>
      </c>
      <c r="F110" s="23" t="s">
        <v>424</v>
      </c>
      <c r="G110" s="18">
        <v>7</v>
      </c>
      <c r="H110" s="18">
        <v>5</v>
      </c>
      <c r="I110" s="21">
        <v>45555</v>
      </c>
      <c r="J110" s="21">
        <v>45912</v>
      </c>
      <c r="K110" s="21"/>
      <c r="L110" s="23" t="s">
        <v>432</v>
      </c>
      <c r="M110" s="23"/>
      <c r="N110" s="24">
        <f t="shared" si="29"/>
        <v>593.55000000000018</v>
      </c>
      <c r="O110" s="24">
        <f t="shared" si="30"/>
        <v>4598.75</v>
      </c>
      <c r="P110" s="24">
        <f t="shared" si="32"/>
        <v>4175</v>
      </c>
      <c r="Q110" s="24">
        <f t="shared" si="33"/>
        <v>137.63746851233842</v>
      </c>
      <c r="R110" s="24">
        <v>3775</v>
      </c>
      <c r="S110" s="25">
        <v>400</v>
      </c>
      <c r="T110" s="25"/>
      <c r="U110" s="12"/>
      <c r="V110" s="10"/>
      <c r="W110" s="29" t="s">
        <v>425</v>
      </c>
      <c r="X110" s="35" t="s">
        <v>426</v>
      </c>
      <c r="Y110" s="25">
        <v>3503.83</v>
      </c>
      <c r="Z110" s="25">
        <v>3181.45</v>
      </c>
      <c r="AA110" s="55">
        <v>2881.45</v>
      </c>
      <c r="AB110" s="25">
        <f t="shared" si="25"/>
        <v>104.8830477122345</v>
      </c>
      <c r="AC110" s="19">
        <v>45555</v>
      </c>
      <c r="AD110" s="19">
        <v>46285</v>
      </c>
    </row>
    <row r="111" spans="1:30" x14ac:dyDescent="0.2">
      <c r="A111" s="13">
        <v>120</v>
      </c>
      <c r="B111" s="33" t="s">
        <v>464</v>
      </c>
      <c r="C111" s="15" t="s">
        <v>25</v>
      </c>
      <c r="D111" s="23" t="s">
        <v>465</v>
      </c>
      <c r="E111" s="18" t="s">
        <v>466</v>
      </c>
      <c r="F111" s="23" t="s">
        <v>28</v>
      </c>
      <c r="G111" s="18">
        <v>3</v>
      </c>
      <c r="H111" s="18">
        <v>2</v>
      </c>
      <c r="I111" s="21">
        <v>45642</v>
      </c>
      <c r="J111" s="21">
        <v>46007</v>
      </c>
      <c r="K111" s="21"/>
      <c r="L111" s="23" t="s">
        <v>467</v>
      </c>
      <c r="M111" s="23"/>
      <c r="N111" s="24">
        <f t="shared" si="29"/>
        <v>550</v>
      </c>
      <c r="O111" s="24">
        <f t="shared" si="30"/>
        <v>1986.0000000000002</v>
      </c>
      <c r="P111" s="24">
        <f t="shared" si="32"/>
        <v>1800</v>
      </c>
      <c r="Q111" s="24">
        <f t="shared" si="33"/>
        <v>138.46164497049614</v>
      </c>
      <c r="R111" s="24">
        <v>1600</v>
      </c>
      <c r="S111" s="25">
        <v>200</v>
      </c>
      <c r="T111" s="25"/>
      <c r="U111" s="12"/>
      <c r="V111" s="10"/>
      <c r="W111" s="29" t="s">
        <v>35</v>
      </c>
      <c r="X111" s="35"/>
      <c r="Y111" s="25">
        <v>1050</v>
      </c>
      <c r="Z111" s="25">
        <v>1050</v>
      </c>
      <c r="AA111" s="25">
        <v>1050</v>
      </c>
      <c r="AB111" s="25">
        <f t="shared" si="25"/>
        <v>80.769292899456076</v>
      </c>
      <c r="AC111" s="19"/>
      <c r="AD111" s="19"/>
    </row>
    <row r="112" spans="1:30" ht="16" x14ac:dyDescent="0.2">
      <c r="A112" s="13">
        <v>121</v>
      </c>
      <c r="B112" s="14" t="str">
        <f>_xlfn.XLOOKUP(D112,'[1]Sleutelplan nieuw'!B:B,'[1]Sleutelplan nieuw'!A:A,"",2)</f>
        <v>0199</v>
      </c>
      <c r="C112" s="15" t="s">
        <v>25</v>
      </c>
      <c r="D112" s="23" t="s">
        <v>468</v>
      </c>
      <c r="E112" s="18" t="s">
        <v>469</v>
      </c>
      <c r="F112" s="23" t="s">
        <v>28</v>
      </c>
      <c r="G112" s="18">
        <v>3</v>
      </c>
      <c r="H112" s="18">
        <v>3</v>
      </c>
      <c r="I112" s="21">
        <v>45261</v>
      </c>
      <c r="J112" s="21">
        <v>45657</v>
      </c>
      <c r="K112" s="21"/>
      <c r="L112" s="22" t="s">
        <v>230</v>
      </c>
      <c r="M112" s="23"/>
      <c r="N112" s="24">
        <f t="shared" si="29"/>
        <v>1641.9299999999998</v>
      </c>
      <c r="O112" s="24">
        <f t="shared" ref="O112:O132" si="34">R112*1.09+S112*1.21</f>
        <v>3097.7037</v>
      </c>
      <c r="P112" s="24">
        <f t="shared" si="32"/>
        <v>2841.93</v>
      </c>
      <c r="Q112" s="24">
        <f t="shared" si="33"/>
        <v>218.61016816166779</v>
      </c>
      <c r="R112" s="24">
        <v>2841.93</v>
      </c>
      <c r="S112" s="25">
        <v>0</v>
      </c>
      <c r="T112" s="25">
        <v>0</v>
      </c>
      <c r="U112" s="12"/>
      <c r="V112" s="10"/>
      <c r="W112" s="29" t="s">
        <v>35</v>
      </c>
      <c r="X112" s="25"/>
      <c r="Y112" s="25">
        <v>1200</v>
      </c>
      <c r="Z112" s="25">
        <v>1200</v>
      </c>
      <c r="AA112" s="25">
        <v>1200</v>
      </c>
      <c r="AB112" s="25">
        <f t="shared" si="25"/>
        <v>92.307763313664083</v>
      </c>
      <c r="AC112" s="19"/>
      <c r="AD112" s="19"/>
    </row>
    <row r="113" spans="1:30" x14ac:dyDescent="0.2">
      <c r="A113" s="13">
        <v>122</v>
      </c>
      <c r="B113" s="14" t="str">
        <f>_xlfn.XLOOKUP(D113,'[1]Sleutelplan nieuw'!B:B,'[1]Sleutelplan nieuw'!A:A,"",2)</f>
        <v>0010</v>
      </c>
      <c r="C113" s="15" t="s">
        <v>25</v>
      </c>
      <c r="D113" s="23" t="s">
        <v>470</v>
      </c>
      <c r="E113" s="18" t="s">
        <v>471</v>
      </c>
      <c r="F113" s="23" t="s">
        <v>34</v>
      </c>
      <c r="G113" s="18">
        <v>5</v>
      </c>
      <c r="H113" s="18">
        <v>3</v>
      </c>
      <c r="I113" s="21">
        <v>44958</v>
      </c>
      <c r="J113" s="21">
        <v>45323</v>
      </c>
      <c r="K113" s="39"/>
      <c r="L113" s="23" t="s">
        <v>35</v>
      </c>
      <c r="M113" s="23"/>
      <c r="N113" s="24">
        <f t="shared" si="29"/>
        <v>308.41000000000008</v>
      </c>
      <c r="O113" s="24">
        <f t="shared" si="34"/>
        <v>1862.1669000000002</v>
      </c>
      <c r="P113" s="24">
        <f t="shared" si="32"/>
        <v>1708.41</v>
      </c>
      <c r="Q113" s="24">
        <f t="shared" si="33"/>
        <v>78.849752961348429</v>
      </c>
      <c r="R113" s="24">
        <v>1708.41</v>
      </c>
      <c r="S113" s="25">
        <v>0</v>
      </c>
      <c r="T113" s="25">
        <v>0</v>
      </c>
      <c r="U113" s="12"/>
      <c r="V113" s="10"/>
      <c r="W113" s="17" t="s">
        <v>129</v>
      </c>
      <c r="X113" s="12"/>
      <c r="Y113" s="24">
        <v>1400</v>
      </c>
      <c r="Z113" s="24">
        <v>1400</v>
      </c>
      <c r="AA113" s="24">
        <v>1400</v>
      </c>
      <c r="AB113" s="25">
        <f t="shared" si="25"/>
        <v>64.615434319564855</v>
      </c>
      <c r="AC113" s="19">
        <v>44927</v>
      </c>
      <c r="AD113" s="19">
        <v>45292</v>
      </c>
    </row>
    <row r="114" spans="1:30" x14ac:dyDescent="0.2">
      <c r="A114" s="13">
        <v>123</v>
      </c>
      <c r="B114" s="14" t="str">
        <f>_xlfn.XLOOKUP(D114,'[1]Sleutelplan nieuw'!B:B,'[1]Sleutelplan nieuw'!A:A,"",2)</f>
        <v>0011</v>
      </c>
      <c r="C114" s="15" t="s">
        <v>25</v>
      </c>
      <c r="D114" s="23" t="s">
        <v>472</v>
      </c>
      <c r="E114" s="18" t="s">
        <v>471</v>
      </c>
      <c r="F114" s="23" t="s">
        <v>34</v>
      </c>
      <c r="G114" s="18">
        <v>3</v>
      </c>
      <c r="H114" s="18">
        <v>3</v>
      </c>
      <c r="I114" s="21">
        <v>44958</v>
      </c>
      <c r="J114" s="21">
        <v>45323</v>
      </c>
      <c r="K114" s="39"/>
      <c r="L114" s="23" t="s">
        <v>35</v>
      </c>
      <c r="M114" s="23"/>
      <c r="N114" s="24">
        <f t="shared" si="29"/>
        <v>308.41000000000008</v>
      </c>
      <c r="O114" s="24">
        <f t="shared" si="34"/>
        <v>1862.1669000000002</v>
      </c>
      <c r="P114" s="24">
        <f t="shared" si="32"/>
        <v>1708.41</v>
      </c>
      <c r="Q114" s="24">
        <f t="shared" si="33"/>
        <v>131.41625493558072</v>
      </c>
      <c r="R114" s="24">
        <v>1708.41</v>
      </c>
      <c r="S114" s="25">
        <v>0</v>
      </c>
      <c r="T114" s="25">
        <v>0</v>
      </c>
      <c r="U114" s="12"/>
      <c r="V114" s="10"/>
      <c r="W114" s="17" t="s">
        <v>129</v>
      </c>
      <c r="X114" s="12"/>
      <c r="Y114" s="24">
        <v>1400</v>
      </c>
      <c r="Z114" s="24">
        <v>1400</v>
      </c>
      <c r="AA114" s="24">
        <v>1400</v>
      </c>
      <c r="AB114" s="25">
        <f t="shared" si="25"/>
        <v>107.6923905326081</v>
      </c>
      <c r="AC114" s="19">
        <v>44927</v>
      </c>
      <c r="AD114" s="19">
        <v>45292</v>
      </c>
    </row>
    <row r="115" spans="1:30" x14ac:dyDescent="0.2">
      <c r="A115" s="13">
        <v>124</v>
      </c>
      <c r="B115" s="14" t="str">
        <f>_xlfn.XLOOKUP(D115,'[1]Sleutelplan nieuw'!B:B,'[1]Sleutelplan nieuw'!A:A,"",2)</f>
        <v>0088</v>
      </c>
      <c r="C115" s="15" t="s">
        <v>25</v>
      </c>
      <c r="D115" s="23" t="s">
        <v>473</v>
      </c>
      <c r="E115" s="18" t="s">
        <v>474</v>
      </c>
      <c r="F115" s="23" t="s">
        <v>34</v>
      </c>
      <c r="G115" s="18">
        <v>5</v>
      </c>
      <c r="H115" s="18">
        <v>3</v>
      </c>
      <c r="I115" s="21">
        <v>45751</v>
      </c>
      <c r="J115" s="21" t="s">
        <v>337</v>
      </c>
      <c r="K115" s="39"/>
      <c r="L115" s="23" t="s">
        <v>35</v>
      </c>
      <c r="M115" s="23"/>
      <c r="N115" s="24">
        <f t="shared" si="29"/>
        <v>993.81</v>
      </c>
      <c r="O115" s="24">
        <f t="shared" si="34"/>
        <v>2827.2529</v>
      </c>
      <c r="P115" s="24">
        <f t="shared" si="32"/>
        <v>2593.81</v>
      </c>
      <c r="Q115" s="24">
        <f t="shared" si="33"/>
        <v>119.7143997803075</v>
      </c>
      <c r="R115" s="24">
        <v>2593.81</v>
      </c>
      <c r="S115" s="52">
        <v>0</v>
      </c>
      <c r="T115" s="25">
        <v>0</v>
      </c>
      <c r="U115" s="12"/>
      <c r="V115" s="10"/>
      <c r="W115" s="17" t="s">
        <v>129</v>
      </c>
      <c r="X115" s="37"/>
      <c r="Y115" s="24">
        <v>1600</v>
      </c>
      <c r="Z115" s="24">
        <v>1600</v>
      </c>
      <c r="AA115" s="24">
        <v>1600</v>
      </c>
      <c r="AB115" s="25">
        <f t="shared" si="25"/>
        <v>73.846210650931269</v>
      </c>
      <c r="AC115" s="19">
        <v>45444</v>
      </c>
      <c r="AD115" s="19">
        <v>45809</v>
      </c>
    </row>
    <row r="116" spans="1:30" ht="16" x14ac:dyDescent="0.2">
      <c r="A116" s="13">
        <v>125</v>
      </c>
      <c r="B116" s="33" t="s">
        <v>475</v>
      </c>
      <c r="C116" s="15" t="s">
        <v>25</v>
      </c>
      <c r="D116" s="23" t="s">
        <v>476</v>
      </c>
      <c r="E116" s="30" t="s">
        <v>474</v>
      </c>
      <c r="F116" s="23" t="s">
        <v>34</v>
      </c>
      <c r="G116" s="18">
        <v>5</v>
      </c>
      <c r="H116" s="18">
        <v>3</v>
      </c>
      <c r="I116" s="21">
        <v>45323</v>
      </c>
      <c r="J116" s="21">
        <v>45689</v>
      </c>
      <c r="K116" s="39"/>
      <c r="L116" s="23" t="s">
        <v>35</v>
      </c>
      <c r="M116" s="23"/>
      <c r="N116" s="24">
        <f t="shared" si="29"/>
        <v>993.81</v>
      </c>
      <c r="O116" s="24">
        <f t="shared" si="34"/>
        <v>2827.2529</v>
      </c>
      <c r="P116" s="24">
        <f t="shared" si="32"/>
        <v>2593.81</v>
      </c>
      <c r="Q116" s="24">
        <f t="shared" si="33"/>
        <v>119.7143997803075</v>
      </c>
      <c r="R116" s="24">
        <v>2593.81</v>
      </c>
      <c r="S116" s="25">
        <v>0</v>
      </c>
      <c r="T116" s="25">
        <v>0</v>
      </c>
      <c r="U116" s="12"/>
      <c r="V116" s="10"/>
      <c r="W116" s="17" t="s">
        <v>129</v>
      </c>
      <c r="X116" s="12"/>
      <c r="Y116" s="24">
        <v>1600</v>
      </c>
      <c r="Z116" s="24">
        <v>1600</v>
      </c>
      <c r="AA116" s="24">
        <v>1600</v>
      </c>
      <c r="AB116" s="25">
        <f t="shared" si="25"/>
        <v>73.846210650931269</v>
      </c>
      <c r="AC116" s="19">
        <v>45292</v>
      </c>
      <c r="AD116" s="19">
        <v>45658</v>
      </c>
    </row>
    <row r="117" spans="1:30" ht="16" x14ac:dyDescent="0.2">
      <c r="A117" s="13">
        <v>126</v>
      </c>
      <c r="B117" s="14" t="str">
        <f>_xlfn.XLOOKUP(D117,'[1]Sleutelplan nieuw'!B:B,'[1]Sleutelplan nieuw'!A:A,"",2)</f>
        <v>0033</v>
      </c>
      <c r="C117" s="15" t="s">
        <v>25</v>
      </c>
      <c r="D117" s="22" t="s">
        <v>477</v>
      </c>
      <c r="E117" s="30" t="s">
        <v>474</v>
      </c>
      <c r="F117" s="23" t="s">
        <v>34</v>
      </c>
      <c r="G117" s="30">
        <v>5</v>
      </c>
      <c r="H117" s="30">
        <v>3</v>
      </c>
      <c r="I117" s="21">
        <v>44986</v>
      </c>
      <c r="J117" s="21">
        <v>45352</v>
      </c>
      <c r="K117" s="21"/>
      <c r="L117" s="23" t="s">
        <v>35</v>
      </c>
      <c r="M117" s="23"/>
      <c r="N117" s="24">
        <f t="shared" si="29"/>
        <v>482</v>
      </c>
      <c r="O117" s="24">
        <f t="shared" si="34"/>
        <v>2269.38</v>
      </c>
      <c r="P117" s="24">
        <f t="shared" si="32"/>
        <v>2082</v>
      </c>
      <c r="Q117" s="24">
        <f t="shared" si="33"/>
        <v>96.09238160952431</v>
      </c>
      <c r="R117" s="24">
        <v>2082</v>
      </c>
      <c r="S117" s="25">
        <v>0</v>
      </c>
      <c r="T117" s="25">
        <v>0</v>
      </c>
      <c r="U117" s="12"/>
      <c r="V117" s="10"/>
      <c r="W117" s="17" t="s">
        <v>478</v>
      </c>
      <c r="X117" s="12"/>
      <c r="Y117" s="24">
        <v>1600</v>
      </c>
      <c r="Z117" s="24">
        <v>1600</v>
      </c>
      <c r="AA117" s="45">
        <v>1600</v>
      </c>
      <c r="AB117" s="25">
        <f t="shared" si="25"/>
        <v>73.846210650931269</v>
      </c>
      <c r="AC117" s="19">
        <v>44986</v>
      </c>
      <c r="AD117" s="19">
        <v>45352</v>
      </c>
    </row>
    <row r="118" spans="1:30" ht="16" x14ac:dyDescent="0.2">
      <c r="A118" s="13">
        <v>127</v>
      </c>
      <c r="B118" s="33" t="s">
        <v>479</v>
      </c>
      <c r="C118" s="15" t="s">
        <v>25</v>
      </c>
      <c r="D118" s="22" t="s">
        <v>480</v>
      </c>
      <c r="E118" s="30" t="s">
        <v>474</v>
      </c>
      <c r="F118" s="23" t="s">
        <v>34</v>
      </c>
      <c r="G118" s="30">
        <v>5</v>
      </c>
      <c r="H118" s="30">
        <v>3</v>
      </c>
      <c r="I118" s="21">
        <v>45695</v>
      </c>
      <c r="J118" s="21">
        <v>46060</v>
      </c>
      <c r="K118" s="21"/>
      <c r="L118" s="23" t="s">
        <v>35</v>
      </c>
      <c r="M118" s="23"/>
      <c r="N118" s="24">
        <f t="shared" si="29"/>
        <v>1491.65</v>
      </c>
      <c r="O118" s="24">
        <f t="shared" si="34"/>
        <v>2715.8985000000002</v>
      </c>
      <c r="P118" s="24">
        <v>2491.65</v>
      </c>
      <c r="Q118" s="24">
        <f t="shared" si="33"/>
        <v>114.99931923024556</v>
      </c>
      <c r="R118" s="24">
        <v>2491.65</v>
      </c>
      <c r="S118" s="25"/>
      <c r="T118" s="25"/>
      <c r="U118" s="12"/>
      <c r="V118" s="10"/>
      <c r="W118" s="17" t="s">
        <v>129</v>
      </c>
      <c r="X118" s="12"/>
      <c r="Y118" s="24">
        <v>1000</v>
      </c>
      <c r="Z118" s="24">
        <v>1000</v>
      </c>
      <c r="AA118" s="45">
        <v>1000</v>
      </c>
      <c r="AB118" s="25">
        <f t="shared" si="25"/>
        <v>46.153881656832041</v>
      </c>
      <c r="AC118" s="19">
        <v>45689</v>
      </c>
      <c r="AD118" s="19">
        <v>46054</v>
      </c>
    </row>
    <row r="119" spans="1:30" ht="16" x14ac:dyDescent="0.2">
      <c r="A119" s="13">
        <v>128</v>
      </c>
      <c r="B119" s="14" t="str">
        <f>_xlfn.XLOOKUP(D119,'[1]Sleutelplan nieuw'!B:B,'[1]Sleutelplan nieuw'!A:A,"",2)</f>
        <v>0034</v>
      </c>
      <c r="C119" s="15" t="s">
        <v>25</v>
      </c>
      <c r="D119" s="22" t="s">
        <v>481</v>
      </c>
      <c r="E119" s="30" t="s">
        <v>474</v>
      </c>
      <c r="F119" s="23" t="s">
        <v>34</v>
      </c>
      <c r="G119" s="30">
        <v>5</v>
      </c>
      <c r="H119" s="30">
        <v>3</v>
      </c>
      <c r="I119" s="21">
        <v>44986</v>
      </c>
      <c r="J119" s="21">
        <v>45352</v>
      </c>
      <c r="K119" s="21"/>
      <c r="L119" s="23" t="s">
        <v>35</v>
      </c>
      <c r="M119" s="23"/>
      <c r="N119" s="24">
        <f t="shared" si="29"/>
        <v>482</v>
      </c>
      <c r="O119" s="24">
        <f t="shared" si="34"/>
        <v>2269.38</v>
      </c>
      <c r="P119" s="24">
        <f t="shared" ref="P119:P138" si="35">R119+S119</f>
        <v>2082</v>
      </c>
      <c r="Q119" s="24">
        <f t="shared" si="33"/>
        <v>96.09238160952431</v>
      </c>
      <c r="R119" s="24">
        <v>2082</v>
      </c>
      <c r="S119" s="25">
        <v>0</v>
      </c>
      <c r="T119" s="25">
        <v>0</v>
      </c>
      <c r="U119" s="12"/>
      <c r="V119" s="10"/>
      <c r="W119" s="17" t="s">
        <v>478</v>
      </c>
      <c r="X119" s="12"/>
      <c r="Y119" s="24">
        <v>1600</v>
      </c>
      <c r="Z119" s="24">
        <v>1600</v>
      </c>
      <c r="AA119" s="45">
        <v>1600</v>
      </c>
      <c r="AB119" s="25">
        <f t="shared" si="25"/>
        <v>73.846210650931269</v>
      </c>
      <c r="AC119" s="19">
        <v>44986</v>
      </c>
      <c r="AD119" s="19">
        <v>45352</v>
      </c>
    </row>
    <row r="120" spans="1:30" x14ac:dyDescent="0.2">
      <c r="A120" s="13">
        <v>129</v>
      </c>
      <c r="B120" s="14" t="str">
        <f>_xlfn.XLOOKUP(D120,'[1]Sleutelplan nieuw'!B:B,'[1]Sleutelplan nieuw'!A:A,"",2)</f>
        <v>0085</v>
      </c>
      <c r="C120" s="15" t="s">
        <v>50</v>
      </c>
      <c r="D120" s="23" t="s">
        <v>482</v>
      </c>
      <c r="E120" s="18" t="s">
        <v>483</v>
      </c>
      <c r="F120" s="23" t="s">
        <v>484</v>
      </c>
      <c r="G120" s="18">
        <v>3</v>
      </c>
      <c r="H120" s="18">
        <v>3</v>
      </c>
      <c r="I120" s="21">
        <v>45975</v>
      </c>
      <c r="J120" s="21">
        <v>46203</v>
      </c>
      <c r="K120" s="21"/>
      <c r="L120" s="23" t="s">
        <v>485</v>
      </c>
      <c r="M120" s="48" t="s">
        <v>486</v>
      </c>
      <c r="N120" s="24">
        <f t="shared" si="29"/>
        <v>981.98</v>
      </c>
      <c r="O120" s="24">
        <f t="shared" si="34"/>
        <v>2858</v>
      </c>
      <c r="P120" s="24">
        <f t="shared" si="35"/>
        <v>2600</v>
      </c>
      <c r="Q120" s="24">
        <f t="shared" si="33"/>
        <v>200.00015384627218</v>
      </c>
      <c r="R120" s="24">
        <v>2400</v>
      </c>
      <c r="S120" s="25">
        <v>200</v>
      </c>
      <c r="T120" s="25">
        <v>0</v>
      </c>
      <c r="U120" s="12"/>
      <c r="V120" s="10"/>
      <c r="W120" s="29" t="s">
        <v>487</v>
      </c>
      <c r="X120" s="25" t="s">
        <v>488</v>
      </c>
      <c r="Y120" s="25">
        <v>1418.02</v>
      </c>
      <c r="Z120" s="25">
        <v>1418.02</v>
      </c>
      <c r="AA120" s="25">
        <v>1418.02</v>
      </c>
      <c r="AB120" s="25">
        <f t="shared" si="25"/>
        <v>109.07854544503496</v>
      </c>
      <c r="AC120" s="19">
        <v>44743</v>
      </c>
      <c r="AD120" s="19">
        <v>45463</v>
      </c>
    </row>
    <row r="121" spans="1:30" x14ac:dyDescent="0.2">
      <c r="A121" s="13">
        <v>130</v>
      </c>
      <c r="B121" s="14" t="str">
        <f>_xlfn.XLOOKUP(D121,'[1]Sleutelplan nieuw'!B:B,'[1]Sleutelplan nieuw'!A:A,"",2)</f>
        <v>0202</v>
      </c>
      <c r="C121" s="15" t="s">
        <v>50</v>
      </c>
      <c r="D121" s="23" t="s">
        <v>489</v>
      </c>
      <c r="E121" s="18" t="s">
        <v>490</v>
      </c>
      <c r="F121" s="23" t="s">
        <v>28</v>
      </c>
      <c r="G121" s="18">
        <v>5</v>
      </c>
      <c r="H121" s="18">
        <v>3</v>
      </c>
      <c r="I121" s="21">
        <v>45751</v>
      </c>
      <c r="J121" s="21">
        <v>46206</v>
      </c>
      <c r="K121" s="21"/>
      <c r="L121" s="23" t="s">
        <v>334</v>
      </c>
      <c r="M121" s="23"/>
      <c r="N121" s="24">
        <f t="shared" si="29"/>
        <v>1322</v>
      </c>
      <c r="O121" s="24">
        <f t="shared" si="34"/>
        <v>3251.5</v>
      </c>
      <c r="P121" s="24">
        <f t="shared" si="35"/>
        <v>2950</v>
      </c>
      <c r="Q121" s="24">
        <f>(P121/G121)/4.33333</f>
        <v>136.15395088765453</v>
      </c>
      <c r="R121" s="24">
        <v>2650</v>
      </c>
      <c r="S121" s="25">
        <v>300</v>
      </c>
      <c r="T121" s="25"/>
      <c r="U121" s="12"/>
      <c r="V121" s="10"/>
      <c r="W121" s="29" t="s">
        <v>35</v>
      </c>
      <c r="X121" s="25"/>
      <c r="Y121" s="25">
        <v>1328</v>
      </c>
      <c r="Z121" s="25">
        <v>1328</v>
      </c>
      <c r="AA121" s="25">
        <v>1328</v>
      </c>
      <c r="AB121" s="25">
        <f t="shared" si="25"/>
        <v>61.292354840272957</v>
      </c>
      <c r="AC121" s="19"/>
      <c r="AD121" s="19"/>
    </row>
    <row r="122" spans="1:30" x14ac:dyDescent="0.2">
      <c r="A122" s="13">
        <v>131</v>
      </c>
      <c r="B122" s="14" t="str">
        <f>_xlfn.XLOOKUP(D122,'[1]Sleutelplan nieuw'!B:B,'[1]Sleutelplan nieuw'!A:A,"",2)</f>
        <v>0359</v>
      </c>
      <c r="C122" s="15" t="s">
        <v>25</v>
      </c>
      <c r="D122" s="23" t="s">
        <v>491</v>
      </c>
      <c r="E122" s="18" t="s">
        <v>490</v>
      </c>
      <c r="F122" s="23" t="s">
        <v>28</v>
      </c>
      <c r="G122" s="18">
        <v>4</v>
      </c>
      <c r="H122" s="18">
        <v>2</v>
      </c>
      <c r="I122" s="21">
        <v>45751</v>
      </c>
      <c r="J122" s="21">
        <v>46206</v>
      </c>
      <c r="K122" s="21"/>
      <c r="L122" s="23" t="s">
        <v>334</v>
      </c>
      <c r="M122" s="23"/>
      <c r="N122" s="24">
        <f t="shared" si="29"/>
        <v>343.33999999999992</v>
      </c>
      <c r="O122" s="24">
        <f t="shared" si="34"/>
        <v>2755</v>
      </c>
      <c r="P122" s="24">
        <f t="shared" si="35"/>
        <v>2500</v>
      </c>
      <c r="Q122" s="24">
        <f t="shared" si="33"/>
        <v>144.23088017760014</v>
      </c>
      <c r="R122" s="24">
        <v>2250</v>
      </c>
      <c r="S122" s="25">
        <v>250</v>
      </c>
      <c r="T122" s="25"/>
      <c r="U122" s="12"/>
      <c r="V122" s="10"/>
      <c r="W122" s="29" t="s">
        <v>492</v>
      </c>
      <c r="X122" s="35" t="s">
        <v>493</v>
      </c>
      <c r="Y122" s="25">
        <f>Z122*1.09</f>
        <v>2078.2594000000004</v>
      </c>
      <c r="Z122" s="25">
        <v>1906.66</v>
      </c>
      <c r="AA122" s="25">
        <v>1906.66</v>
      </c>
      <c r="AB122" s="25">
        <f t="shared" si="25"/>
        <v>109.99969999976923</v>
      </c>
      <c r="AC122" s="19">
        <v>45772</v>
      </c>
      <c r="AD122" s="19">
        <v>46136</v>
      </c>
    </row>
    <row r="123" spans="1:30" ht="16" x14ac:dyDescent="0.2">
      <c r="A123" s="13">
        <v>132</v>
      </c>
      <c r="B123" s="14" t="str">
        <f>_xlfn.XLOOKUP(D123,'[1]Sleutelplan nieuw'!B:B,'[1]Sleutelplan nieuw'!A:A,"",2)</f>
        <v>0086</v>
      </c>
      <c r="C123" s="15" t="s">
        <v>50</v>
      </c>
      <c r="D123" s="23" t="s">
        <v>494</v>
      </c>
      <c r="E123" s="18" t="s">
        <v>495</v>
      </c>
      <c r="F123" s="23" t="s">
        <v>53</v>
      </c>
      <c r="G123" s="18">
        <v>7</v>
      </c>
      <c r="H123" s="18">
        <v>6</v>
      </c>
      <c r="I123" s="21">
        <v>45748</v>
      </c>
      <c r="J123" s="21">
        <v>45900</v>
      </c>
      <c r="K123" s="21"/>
      <c r="L123" s="22" t="s">
        <v>496</v>
      </c>
      <c r="M123" s="23"/>
      <c r="N123" s="24">
        <f t="shared" si="29"/>
        <v>444.63999999999987</v>
      </c>
      <c r="O123" s="24">
        <f t="shared" si="34"/>
        <v>5025.5</v>
      </c>
      <c r="P123" s="24">
        <f t="shared" si="35"/>
        <v>4550</v>
      </c>
      <c r="Q123" s="24">
        <f t="shared" si="33"/>
        <v>150.00011538470415</v>
      </c>
      <c r="R123" s="24">
        <v>4000</v>
      </c>
      <c r="S123" s="25">
        <v>550</v>
      </c>
      <c r="T123" s="25">
        <v>0</v>
      </c>
      <c r="U123" s="12"/>
      <c r="V123" s="10"/>
      <c r="W123" s="29" t="s">
        <v>187</v>
      </c>
      <c r="X123" s="25" t="s">
        <v>188</v>
      </c>
      <c r="Y123" s="25">
        <v>3555.36</v>
      </c>
      <c r="Z123" s="25">
        <v>3555.36</v>
      </c>
      <c r="AA123" s="25">
        <v>3555.36</v>
      </c>
      <c r="AB123" s="25">
        <f t="shared" si="25"/>
        <v>117.20976049102455</v>
      </c>
      <c r="AC123" s="19">
        <v>44805</v>
      </c>
      <c r="AD123" s="19">
        <v>46630</v>
      </c>
    </row>
    <row r="124" spans="1:30" ht="16" x14ac:dyDescent="0.2">
      <c r="A124" s="13">
        <v>133</v>
      </c>
      <c r="B124" s="14" t="str">
        <f>_xlfn.XLOOKUP(D124,'[1]Sleutelplan nieuw'!B:B,'[1]Sleutelplan nieuw'!A:A,"",2)</f>
        <v>0119</v>
      </c>
      <c r="C124" s="15" t="s">
        <v>50</v>
      </c>
      <c r="D124" s="23" t="s">
        <v>497</v>
      </c>
      <c r="E124" s="18" t="s">
        <v>498</v>
      </c>
      <c r="F124" s="23" t="s">
        <v>499</v>
      </c>
      <c r="G124" s="18">
        <v>5</v>
      </c>
      <c r="H124" s="18">
        <v>5</v>
      </c>
      <c r="I124" s="21">
        <v>45415</v>
      </c>
      <c r="J124" s="21">
        <v>45779</v>
      </c>
      <c r="K124" s="21"/>
      <c r="L124" s="22" t="s">
        <v>341</v>
      </c>
      <c r="M124" s="23"/>
      <c r="N124" s="24">
        <f t="shared" si="29"/>
        <v>909.2800000000002</v>
      </c>
      <c r="O124" s="24">
        <f t="shared" si="34"/>
        <v>4079.1152000000006</v>
      </c>
      <c r="P124" s="24">
        <f t="shared" si="35"/>
        <v>3709.28</v>
      </c>
      <c r="Q124" s="24">
        <f t="shared" si="33"/>
        <v>171.19767015205395</v>
      </c>
      <c r="R124" s="24">
        <v>3409.28</v>
      </c>
      <c r="S124" s="25">
        <v>300</v>
      </c>
      <c r="T124" s="25">
        <v>0</v>
      </c>
      <c r="U124" s="12"/>
      <c r="V124" s="10"/>
      <c r="W124" s="25" t="s">
        <v>325</v>
      </c>
      <c r="X124" s="25"/>
      <c r="Y124" s="25">
        <v>2500</v>
      </c>
      <c r="Z124" s="25">
        <v>2500</v>
      </c>
      <c r="AA124" s="25">
        <v>2500</v>
      </c>
      <c r="AB124" s="25">
        <f t="shared" si="25"/>
        <v>115.38470414208011</v>
      </c>
      <c r="AC124" s="19">
        <v>45383</v>
      </c>
      <c r="AD124" s="19">
        <v>46112</v>
      </c>
    </row>
    <row r="125" spans="1:30" x14ac:dyDescent="0.2">
      <c r="A125" s="13">
        <v>134</v>
      </c>
      <c r="B125" s="14" t="str">
        <f>_xlfn.XLOOKUP(D125,'[1]Sleutelplan nieuw'!B:B,'[1]Sleutelplan nieuw'!A:A,"",2)</f>
        <v>0126</v>
      </c>
      <c r="C125" s="15" t="s">
        <v>25</v>
      </c>
      <c r="D125" s="23" t="s">
        <v>500</v>
      </c>
      <c r="E125" s="18" t="s">
        <v>501</v>
      </c>
      <c r="F125" s="23" t="s">
        <v>128</v>
      </c>
      <c r="G125" s="18">
        <v>3</v>
      </c>
      <c r="H125" s="18">
        <v>3</v>
      </c>
      <c r="I125" s="21">
        <v>45332</v>
      </c>
      <c r="J125" s="21">
        <v>45697</v>
      </c>
      <c r="K125" s="21"/>
      <c r="L125" s="23" t="s">
        <v>502</v>
      </c>
      <c r="M125" s="23"/>
      <c r="N125" s="24">
        <f t="shared" si="29"/>
        <v>863.07000000000016</v>
      </c>
      <c r="O125" s="24">
        <f t="shared" si="34"/>
        <v>2817.7463000000002</v>
      </c>
      <c r="P125" s="24">
        <f t="shared" si="35"/>
        <v>2563.0700000000002</v>
      </c>
      <c r="Q125" s="24">
        <f t="shared" si="33"/>
        <v>197.15938243029419</v>
      </c>
      <c r="R125" s="24">
        <v>2363.0700000000002</v>
      </c>
      <c r="S125" s="25">
        <v>200</v>
      </c>
      <c r="T125" s="25">
        <v>0</v>
      </c>
      <c r="U125" s="12"/>
      <c r="V125" s="10"/>
      <c r="W125" s="29" t="s">
        <v>129</v>
      </c>
      <c r="X125" s="25"/>
      <c r="Y125" s="25">
        <v>1500</v>
      </c>
      <c r="Z125" s="25">
        <v>1500</v>
      </c>
      <c r="AA125" s="25">
        <v>1500</v>
      </c>
      <c r="AB125" s="25">
        <f t="shared" si="25"/>
        <v>115.38470414208011</v>
      </c>
      <c r="AC125" s="19">
        <v>45323</v>
      </c>
      <c r="AD125" s="19">
        <v>45689</v>
      </c>
    </row>
    <row r="126" spans="1:30" x14ac:dyDescent="0.2">
      <c r="A126" s="13">
        <v>135</v>
      </c>
      <c r="B126" s="14" t="str">
        <f>_xlfn.XLOOKUP(D126,'[1]Sleutelplan nieuw'!B:B,'[1]Sleutelplan nieuw'!A:A,"",2)</f>
        <v>0125</v>
      </c>
      <c r="C126" s="15" t="s">
        <v>25</v>
      </c>
      <c r="D126" s="23" t="s">
        <v>503</v>
      </c>
      <c r="E126" s="18" t="s">
        <v>501</v>
      </c>
      <c r="F126" s="23" t="s">
        <v>128</v>
      </c>
      <c r="G126" s="18">
        <v>2</v>
      </c>
      <c r="H126" s="18">
        <v>3</v>
      </c>
      <c r="I126" s="21">
        <v>45332</v>
      </c>
      <c r="J126" s="21">
        <v>45697</v>
      </c>
      <c r="K126" s="21"/>
      <c r="L126" s="23" t="s">
        <v>502</v>
      </c>
      <c r="M126" s="23"/>
      <c r="N126" s="24">
        <f t="shared" si="29"/>
        <v>110.05999999999995</v>
      </c>
      <c r="O126" s="24">
        <f t="shared" si="34"/>
        <v>1875.9654</v>
      </c>
      <c r="P126" s="24">
        <f t="shared" si="35"/>
        <v>1710.06</v>
      </c>
      <c r="Q126" s="24">
        <f t="shared" si="33"/>
        <v>197.3147671652055</v>
      </c>
      <c r="R126" s="24">
        <v>1610.06</v>
      </c>
      <c r="S126" s="25">
        <v>100</v>
      </c>
      <c r="T126" s="25">
        <v>0</v>
      </c>
      <c r="U126" s="12"/>
      <c r="V126" s="10"/>
      <c r="W126" s="29" t="s">
        <v>129</v>
      </c>
      <c r="X126" s="25"/>
      <c r="Y126" s="25">
        <v>1500</v>
      </c>
      <c r="Z126" s="25">
        <v>1500</v>
      </c>
      <c r="AA126" s="25">
        <v>1500</v>
      </c>
      <c r="AB126" s="25">
        <f t="shared" si="25"/>
        <v>173.07705621312016</v>
      </c>
      <c r="AC126" s="19">
        <v>45323</v>
      </c>
      <c r="AD126" s="19">
        <v>45689</v>
      </c>
    </row>
    <row r="127" spans="1:30" x14ac:dyDescent="0.2">
      <c r="A127" s="13"/>
      <c r="B127" s="14"/>
      <c r="C127" s="15"/>
      <c r="D127" s="23" t="s">
        <v>504</v>
      </c>
      <c r="E127" s="18" t="s">
        <v>505</v>
      </c>
      <c r="F127" s="23" t="s">
        <v>28</v>
      </c>
      <c r="G127" s="18">
        <v>3</v>
      </c>
      <c r="H127" s="18">
        <v>3</v>
      </c>
      <c r="I127" s="21">
        <v>45975</v>
      </c>
      <c r="J127" s="21">
        <v>46112</v>
      </c>
      <c r="K127" s="21"/>
      <c r="L127" s="23" t="s">
        <v>29</v>
      </c>
      <c r="M127" s="48" t="s">
        <v>486</v>
      </c>
      <c r="N127" s="24">
        <f t="shared" si="29"/>
        <v>985</v>
      </c>
      <c r="O127" s="24">
        <f t="shared" si="34"/>
        <v>2803.5</v>
      </c>
      <c r="P127" s="24">
        <f t="shared" si="35"/>
        <v>2550</v>
      </c>
      <c r="Q127" s="24">
        <f t="shared" si="33"/>
        <v>196.15399704153617</v>
      </c>
      <c r="R127" s="24">
        <v>2350</v>
      </c>
      <c r="S127" s="25">
        <v>200</v>
      </c>
      <c r="T127" s="25"/>
      <c r="U127" s="12"/>
      <c r="V127" s="10"/>
      <c r="W127" s="29" t="s">
        <v>30</v>
      </c>
      <c r="X127" s="35" t="s">
        <v>506</v>
      </c>
      <c r="Y127" s="25">
        <v>1365</v>
      </c>
      <c r="Z127" s="25">
        <v>1365</v>
      </c>
      <c r="AA127" s="25">
        <v>1365</v>
      </c>
      <c r="AB127" s="25">
        <f t="shared" si="25"/>
        <v>105.00008076929289</v>
      </c>
      <c r="AC127" s="19">
        <v>45975</v>
      </c>
      <c r="AD127" s="19">
        <v>46112</v>
      </c>
    </row>
    <row r="128" spans="1:30" x14ac:dyDescent="0.2">
      <c r="A128" s="13">
        <v>136</v>
      </c>
      <c r="B128" s="14" t="str">
        <f>_xlfn.XLOOKUP(D128,'[1]Sleutelplan nieuw'!B:B,'[1]Sleutelplan nieuw'!A:A,"",2)</f>
        <v>0206</v>
      </c>
      <c r="C128" s="15" t="s">
        <v>25</v>
      </c>
      <c r="D128" s="23" t="s">
        <v>507</v>
      </c>
      <c r="E128" s="18" t="s">
        <v>508</v>
      </c>
      <c r="F128" s="23" t="s">
        <v>28</v>
      </c>
      <c r="G128" s="18">
        <v>4</v>
      </c>
      <c r="H128" s="18">
        <v>2</v>
      </c>
      <c r="I128" s="21">
        <v>45962</v>
      </c>
      <c r="J128" s="21">
        <v>46326</v>
      </c>
      <c r="K128" s="21"/>
      <c r="L128" s="23" t="s">
        <v>467</v>
      </c>
      <c r="M128" s="23"/>
      <c r="N128" s="24">
        <f t="shared" si="29"/>
        <v>756.3599999999999</v>
      </c>
      <c r="O128" s="24">
        <f t="shared" si="34"/>
        <v>2918.5</v>
      </c>
      <c r="P128" s="24">
        <f t="shared" si="35"/>
        <v>2650</v>
      </c>
      <c r="Q128" s="24">
        <f t="shared" si="33"/>
        <v>152.88473298825613</v>
      </c>
      <c r="R128" s="24">
        <v>2400</v>
      </c>
      <c r="S128" s="25">
        <v>250</v>
      </c>
      <c r="T128" s="25"/>
      <c r="U128" s="12"/>
      <c r="V128" s="10"/>
      <c r="W128" s="29" t="s">
        <v>35</v>
      </c>
      <c r="X128" s="25"/>
      <c r="Y128" s="25">
        <f>Z128</f>
        <v>1643.64</v>
      </c>
      <c r="Z128" s="25">
        <v>1643.64</v>
      </c>
      <c r="AA128" s="25">
        <v>1418.39</v>
      </c>
      <c r="AB128" s="25">
        <f t="shared" si="25"/>
        <v>94.825457558044278</v>
      </c>
      <c r="AC128" s="19"/>
      <c r="AD128" s="19"/>
    </row>
    <row r="129" spans="1:30" ht="16" x14ac:dyDescent="0.2">
      <c r="A129" s="13">
        <v>137</v>
      </c>
      <c r="B129" s="14" t="str">
        <f>_xlfn.XLOOKUP(D129,'[1]Sleutelplan nieuw'!B:B,'[1]Sleutelplan nieuw'!A:A,"",2)</f>
        <v>0360</v>
      </c>
      <c r="C129" s="15" t="s">
        <v>25</v>
      </c>
      <c r="D129" s="23" t="s">
        <v>509</v>
      </c>
      <c r="E129" s="18" t="s">
        <v>510</v>
      </c>
      <c r="F129" s="23" t="s">
        <v>28</v>
      </c>
      <c r="G129" s="18">
        <v>4</v>
      </c>
      <c r="H129" s="18">
        <v>2</v>
      </c>
      <c r="I129" s="21">
        <v>45842</v>
      </c>
      <c r="J129" s="21">
        <v>46176</v>
      </c>
      <c r="K129" s="21"/>
      <c r="L129" s="22" t="s">
        <v>511</v>
      </c>
      <c r="M129" s="23"/>
      <c r="N129" s="24">
        <f t="shared" si="29"/>
        <v>593.33999999999992</v>
      </c>
      <c r="O129" s="24">
        <f t="shared" si="34"/>
        <v>3027.5</v>
      </c>
      <c r="P129" s="24">
        <f t="shared" si="35"/>
        <v>2750</v>
      </c>
      <c r="Q129" s="24">
        <f t="shared" si="33"/>
        <v>158.65396819536014</v>
      </c>
      <c r="R129" s="24">
        <v>2500</v>
      </c>
      <c r="S129" s="52">
        <v>250</v>
      </c>
      <c r="T129" s="25"/>
      <c r="U129" s="12"/>
      <c r="V129" s="10"/>
      <c r="W129" s="29" t="s">
        <v>492</v>
      </c>
      <c r="X129" s="25"/>
      <c r="Y129" s="25">
        <f>Z129*1.09</f>
        <v>2078.2594000000004</v>
      </c>
      <c r="Z129" s="25">
        <v>1906.66</v>
      </c>
      <c r="AA129" s="25">
        <v>1906.66</v>
      </c>
      <c r="AB129" s="25">
        <f t="shared" si="25"/>
        <v>109.99969999976923</v>
      </c>
      <c r="AC129" s="19">
        <v>45772</v>
      </c>
      <c r="AD129" s="19">
        <v>46137</v>
      </c>
    </row>
    <row r="130" spans="1:30" ht="16" x14ac:dyDescent="0.2">
      <c r="A130" s="13">
        <v>138</v>
      </c>
      <c r="B130" s="14" t="str">
        <f>_xlfn.XLOOKUP(D130,'[1]Sleutelplan nieuw'!B:B,'[1]Sleutelplan nieuw'!A:A,"",2)</f>
        <v>0337</v>
      </c>
      <c r="C130" s="15" t="s">
        <v>25</v>
      </c>
      <c r="D130" s="23" t="s">
        <v>512</v>
      </c>
      <c r="E130" s="18" t="s">
        <v>513</v>
      </c>
      <c r="F130" s="23" t="s">
        <v>514</v>
      </c>
      <c r="G130" s="18">
        <v>10</v>
      </c>
      <c r="H130" s="18">
        <v>6</v>
      </c>
      <c r="I130" s="21">
        <v>45931</v>
      </c>
      <c r="J130" s="21"/>
      <c r="K130" s="21"/>
      <c r="L130" s="22" t="s">
        <v>35</v>
      </c>
      <c r="M130" s="48" t="s">
        <v>515</v>
      </c>
      <c r="N130" s="24">
        <f t="shared" si="29"/>
        <v>420</v>
      </c>
      <c r="O130" s="24">
        <f t="shared" si="34"/>
        <v>5903.5</v>
      </c>
      <c r="P130" s="24">
        <f t="shared" si="35"/>
        <v>5350</v>
      </c>
      <c r="Q130" s="24">
        <f t="shared" si="33"/>
        <v>123.46163343202571</v>
      </c>
      <c r="R130" s="24">
        <v>4750</v>
      </c>
      <c r="S130" s="50">
        <v>600</v>
      </c>
      <c r="T130" s="25"/>
      <c r="U130" s="12"/>
      <c r="V130" s="10"/>
      <c r="W130" s="29" t="s">
        <v>270</v>
      </c>
      <c r="X130" s="35" t="s">
        <v>271</v>
      </c>
      <c r="Y130" s="25">
        <v>4330</v>
      </c>
      <c r="Z130" s="25">
        <v>4330</v>
      </c>
      <c r="AA130" s="25">
        <v>4330</v>
      </c>
      <c r="AB130" s="25">
        <f t="shared" si="25"/>
        <v>99.923153787041372</v>
      </c>
      <c r="AC130" s="19">
        <v>45713</v>
      </c>
      <c r="AD130" s="19">
        <v>46078</v>
      </c>
    </row>
    <row r="131" spans="1:30" ht="16" x14ac:dyDescent="0.2">
      <c r="A131" s="13"/>
      <c r="B131" s="14" t="str">
        <f>_xlfn.XLOOKUP(D131,'[1]Sleutelplan nieuw'!B:B,'[1]Sleutelplan nieuw'!A:A,"",2)</f>
        <v>0382</v>
      </c>
      <c r="C131" s="15" t="s">
        <v>25</v>
      </c>
      <c r="D131" s="23" t="s">
        <v>516</v>
      </c>
      <c r="E131" s="18" t="s">
        <v>517</v>
      </c>
      <c r="F131" s="40" t="s">
        <v>518</v>
      </c>
      <c r="G131" s="18">
        <v>10</v>
      </c>
      <c r="H131" s="18">
        <v>7</v>
      </c>
      <c r="I131" s="21">
        <v>45933</v>
      </c>
      <c r="J131" s="21"/>
      <c r="K131" s="21"/>
      <c r="L131" s="22" t="s">
        <v>35</v>
      </c>
      <c r="M131" s="23"/>
      <c r="N131" s="24">
        <f>P131-T131-Z131</f>
        <v>450.31999999999971</v>
      </c>
      <c r="O131" s="24">
        <f t="shared" si="34"/>
        <v>5456.3887999999997</v>
      </c>
      <c r="P131" s="24">
        <f>R131+S131</f>
        <v>4956.32</v>
      </c>
      <c r="Q131" s="24">
        <f t="shared" si="33"/>
        <v>114.37670336669488</v>
      </c>
      <c r="R131" s="24">
        <v>4506.32</v>
      </c>
      <c r="S131" s="25">
        <v>450</v>
      </c>
      <c r="T131" s="25"/>
      <c r="U131" s="12"/>
      <c r="V131" s="10"/>
      <c r="W131" s="29" t="s">
        <v>220</v>
      </c>
      <c r="X131" s="35" t="s">
        <v>221</v>
      </c>
      <c r="Y131" s="25">
        <v>4506</v>
      </c>
      <c r="Z131" s="25">
        <v>4506</v>
      </c>
      <c r="AA131" s="25">
        <v>4506</v>
      </c>
      <c r="AB131" s="25">
        <f t="shared" si="25"/>
        <v>103.98469537284259</v>
      </c>
      <c r="AC131" s="19"/>
      <c r="AD131" s="19"/>
    </row>
    <row r="132" spans="1:30" ht="16" x14ac:dyDescent="0.2">
      <c r="A132" s="13">
        <v>140</v>
      </c>
      <c r="B132" s="14" t="str">
        <f>_xlfn.XLOOKUP(D132,'[1]Sleutelplan nieuw'!B:B,'[1]Sleutelplan nieuw'!A:A,"",2)</f>
        <v>0365</v>
      </c>
      <c r="C132" s="15" t="s">
        <v>25</v>
      </c>
      <c r="D132" s="23" t="s">
        <v>519</v>
      </c>
      <c r="E132" s="18" t="s">
        <v>520</v>
      </c>
      <c r="F132" s="23" t="s">
        <v>28</v>
      </c>
      <c r="G132" s="18">
        <v>4</v>
      </c>
      <c r="H132" s="18">
        <v>3</v>
      </c>
      <c r="I132" s="21">
        <v>45920</v>
      </c>
      <c r="J132" s="21">
        <v>46022</v>
      </c>
      <c r="K132" s="21"/>
      <c r="L132" s="22" t="s">
        <v>429</v>
      </c>
      <c r="M132" s="23"/>
      <c r="N132" s="24">
        <f t="shared" si="29"/>
        <v>743.33999999999992</v>
      </c>
      <c r="O132" s="24">
        <f t="shared" si="34"/>
        <v>3191</v>
      </c>
      <c r="P132" s="24">
        <f t="shared" si="35"/>
        <v>2900</v>
      </c>
      <c r="Q132" s="24">
        <f t="shared" si="33"/>
        <v>167.30782100601616</v>
      </c>
      <c r="R132" s="24">
        <v>2650</v>
      </c>
      <c r="S132" s="25">
        <v>250</v>
      </c>
      <c r="T132" s="25"/>
      <c r="U132" s="12"/>
      <c r="V132" s="10"/>
      <c r="W132" s="29" t="s">
        <v>492</v>
      </c>
      <c r="X132" s="25"/>
      <c r="Y132" s="25">
        <v>2078.2600000000002</v>
      </c>
      <c r="Z132" s="25">
        <v>1906.66</v>
      </c>
      <c r="AA132" s="25">
        <v>1906.66</v>
      </c>
      <c r="AB132" s="25">
        <f t="shared" si="25"/>
        <v>109.99969999976923</v>
      </c>
      <c r="AC132" s="19">
        <v>45778</v>
      </c>
      <c r="AD132" s="19">
        <v>45961</v>
      </c>
    </row>
    <row r="133" spans="1:30" x14ac:dyDescent="0.2">
      <c r="A133" s="13">
        <v>141</v>
      </c>
      <c r="B133" s="14" t="str">
        <f>_xlfn.XLOOKUP(D133,'[1]Sleutelplan nieuw'!B:B,'[1]Sleutelplan nieuw'!A:A,"",2)</f>
        <v>0090</v>
      </c>
      <c r="C133" s="15" t="s">
        <v>50</v>
      </c>
      <c r="D133" s="23" t="s">
        <v>521</v>
      </c>
      <c r="E133" s="18" t="s">
        <v>522</v>
      </c>
      <c r="F133" s="23" t="s">
        <v>523</v>
      </c>
      <c r="G133" s="18">
        <v>4</v>
      </c>
      <c r="H133" s="18">
        <v>3</v>
      </c>
      <c r="I133" s="21">
        <v>45068</v>
      </c>
      <c r="J133" s="21" t="s">
        <v>296</v>
      </c>
      <c r="K133" s="21"/>
      <c r="L133" s="23" t="s">
        <v>152</v>
      </c>
      <c r="M133" s="23"/>
      <c r="N133" s="24">
        <f t="shared" si="29"/>
        <v>455.46000000000004</v>
      </c>
      <c r="O133" s="24">
        <f>R133*1.09+S133*1.09</f>
        <v>3330.4514000000004</v>
      </c>
      <c r="P133" s="24">
        <f t="shared" si="35"/>
        <v>3055.46</v>
      </c>
      <c r="Q133" s="24">
        <f t="shared" si="33"/>
        <v>176.27667405898003</v>
      </c>
      <c r="R133" s="24">
        <v>2855.46</v>
      </c>
      <c r="S133" s="25">
        <v>200</v>
      </c>
      <c r="T133" s="25">
        <v>0</v>
      </c>
      <c r="U133" s="12"/>
      <c r="V133" s="10"/>
      <c r="W133" s="29" t="s">
        <v>524</v>
      </c>
      <c r="X133" s="25" t="s">
        <v>525</v>
      </c>
      <c r="Y133" s="25">
        <v>2400</v>
      </c>
      <c r="Z133" s="25">
        <v>2400</v>
      </c>
      <c r="AA133" s="25">
        <v>2400</v>
      </c>
      <c r="AB133" s="25">
        <f t="shared" si="25"/>
        <v>138.46164497049614</v>
      </c>
      <c r="AC133" s="19">
        <v>44348</v>
      </c>
      <c r="AD133" s="19">
        <v>45443</v>
      </c>
    </row>
    <row r="134" spans="1:30" x14ac:dyDescent="0.2">
      <c r="A134" s="13">
        <v>142</v>
      </c>
      <c r="B134" s="14" t="str">
        <f>_xlfn.XLOOKUP(D134,'[1]Sleutelplan nieuw'!B:B,'[1]Sleutelplan nieuw'!A:A,"",2)</f>
        <v>0185</v>
      </c>
      <c r="C134" s="15" t="s">
        <v>50</v>
      </c>
      <c r="D134" s="23" t="s">
        <v>526</v>
      </c>
      <c r="E134" s="18" t="s">
        <v>527</v>
      </c>
      <c r="F134" s="23" t="s">
        <v>523</v>
      </c>
      <c r="G134" s="18">
        <v>4</v>
      </c>
      <c r="H134" s="18">
        <v>3</v>
      </c>
      <c r="I134" s="21">
        <v>45170</v>
      </c>
      <c r="J134" s="21">
        <v>45323</v>
      </c>
      <c r="K134" s="21"/>
      <c r="L134" s="23" t="s">
        <v>278</v>
      </c>
      <c r="M134" s="23"/>
      <c r="N134" s="24">
        <f t="shared" si="29"/>
        <v>752.07000000000016</v>
      </c>
      <c r="O134" s="24">
        <f>R134*1.09+S134*1.21</f>
        <v>3352.0643</v>
      </c>
      <c r="P134" s="24">
        <f t="shared" si="35"/>
        <v>3053.27</v>
      </c>
      <c r="Q134" s="24">
        <f t="shared" si="33"/>
        <v>176.15032780794445</v>
      </c>
      <c r="R134" s="24">
        <v>2853.27</v>
      </c>
      <c r="S134" s="25">
        <v>200</v>
      </c>
      <c r="T134" s="25">
        <v>0</v>
      </c>
      <c r="U134" s="12"/>
      <c r="V134" s="10"/>
      <c r="W134" s="29" t="s">
        <v>528</v>
      </c>
      <c r="X134" s="35" t="s">
        <v>529</v>
      </c>
      <c r="Y134" s="25">
        <v>2101.1999999999998</v>
      </c>
      <c r="Z134" s="25">
        <v>2101.1999999999998</v>
      </c>
      <c r="AA134" s="25">
        <v>2101.1999999999998</v>
      </c>
      <c r="AB134" s="25">
        <f t="shared" si="25"/>
        <v>121.22317017166935</v>
      </c>
      <c r="AC134" s="19">
        <v>45108</v>
      </c>
      <c r="AD134" s="19">
        <v>45473</v>
      </c>
    </row>
    <row r="135" spans="1:30" x14ac:dyDescent="0.2">
      <c r="A135" s="13">
        <v>143</v>
      </c>
      <c r="B135" s="14" t="str">
        <f>_xlfn.XLOOKUP(D135,'[1]Sleutelplan nieuw'!B:B,'[1]Sleutelplan nieuw'!A:A,"",2)</f>
        <v>0091</v>
      </c>
      <c r="C135" s="15" t="s">
        <v>50</v>
      </c>
      <c r="D135" s="23" t="s">
        <v>530</v>
      </c>
      <c r="E135" s="18" t="s">
        <v>531</v>
      </c>
      <c r="F135" s="23" t="s">
        <v>53</v>
      </c>
      <c r="G135" s="56">
        <v>5</v>
      </c>
      <c r="H135" s="56">
        <v>5</v>
      </c>
      <c r="I135" s="57">
        <v>45386</v>
      </c>
      <c r="J135" s="58">
        <v>45750</v>
      </c>
      <c r="K135" s="59"/>
      <c r="L135" s="60" t="s">
        <v>404</v>
      </c>
      <c r="M135" s="60"/>
      <c r="N135" s="24">
        <f t="shared" si="29"/>
        <v>764.80000000000018</v>
      </c>
      <c r="O135" s="24">
        <f>R135*1.09+S135*1.21</f>
        <v>3177.1320000000005</v>
      </c>
      <c r="P135" s="24">
        <f t="shared" si="35"/>
        <v>2914.8</v>
      </c>
      <c r="Q135" s="61">
        <v>122.31</v>
      </c>
      <c r="R135" s="62">
        <v>2914.8</v>
      </c>
      <c r="S135" s="25">
        <v>0</v>
      </c>
      <c r="T135" s="25">
        <v>0</v>
      </c>
      <c r="U135" s="12"/>
      <c r="V135" s="10"/>
      <c r="W135" s="29" t="s">
        <v>55</v>
      </c>
      <c r="X135" s="25" t="s">
        <v>56</v>
      </c>
      <c r="Y135" s="25">
        <v>2150</v>
      </c>
      <c r="Z135" s="25">
        <v>2150</v>
      </c>
      <c r="AA135" s="25">
        <v>2150</v>
      </c>
      <c r="AB135" s="25">
        <f t="shared" si="25"/>
        <v>99.23084556218889</v>
      </c>
      <c r="AC135" s="19">
        <v>44828</v>
      </c>
      <c r="AD135" s="19">
        <v>45558</v>
      </c>
    </row>
    <row r="136" spans="1:30" x14ac:dyDescent="0.2">
      <c r="A136" s="13">
        <v>144</v>
      </c>
      <c r="B136" s="14" t="str">
        <f>_xlfn.XLOOKUP(D136,'[1]Sleutelplan nieuw'!B:B,'[1]Sleutelplan nieuw'!A:A,"",2)</f>
        <v>0092</v>
      </c>
      <c r="C136" s="15" t="s">
        <v>25</v>
      </c>
      <c r="D136" s="23" t="s">
        <v>532</v>
      </c>
      <c r="E136" s="18" t="s">
        <v>533</v>
      </c>
      <c r="F136" s="23" t="s">
        <v>534</v>
      </c>
      <c r="G136" s="18">
        <v>8</v>
      </c>
      <c r="H136" s="18">
        <v>5</v>
      </c>
      <c r="I136" s="21">
        <v>45467</v>
      </c>
      <c r="J136" s="21">
        <v>45831</v>
      </c>
      <c r="K136" s="39"/>
      <c r="L136" s="23" t="s">
        <v>175</v>
      </c>
      <c r="M136" s="23"/>
      <c r="N136" s="24">
        <f t="shared" si="29"/>
        <v>497.09000000000015</v>
      </c>
      <c r="O136" s="24">
        <f>R136*1.09+S136*1.21</f>
        <v>3971.4150000000004</v>
      </c>
      <c r="P136" s="24">
        <f t="shared" si="35"/>
        <v>3643.5</v>
      </c>
      <c r="Q136" s="24">
        <f>(P136/G136)/4.33333</f>
        <v>105.10104238541722</v>
      </c>
      <c r="R136" s="24">
        <v>3643.5</v>
      </c>
      <c r="S136" s="25"/>
      <c r="T136" s="25">
        <v>0</v>
      </c>
      <c r="U136" s="12"/>
      <c r="V136" s="10"/>
      <c r="W136" s="29" t="s">
        <v>535</v>
      </c>
      <c r="X136" s="25" t="s">
        <v>536</v>
      </c>
      <c r="Y136" s="25">
        <v>3146.41</v>
      </c>
      <c r="Z136" s="25">
        <v>3146.41</v>
      </c>
      <c r="AA136" s="25">
        <v>3146.41</v>
      </c>
      <c r="AB136" s="25">
        <f t="shared" si="25"/>
        <v>90.761896739920559</v>
      </c>
      <c r="AC136" s="19">
        <v>44515</v>
      </c>
      <c r="AD136" s="19">
        <v>45610</v>
      </c>
    </row>
    <row r="137" spans="1:30" ht="16" x14ac:dyDescent="0.2">
      <c r="A137" s="13">
        <v>145</v>
      </c>
      <c r="B137" s="14" t="str">
        <f>_xlfn.XLOOKUP(D137,'[1]Sleutelplan nieuw'!B:B,'[1]Sleutelplan nieuw'!A:A,"",2)</f>
        <v>0028</v>
      </c>
      <c r="C137" s="15" t="s">
        <v>50</v>
      </c>
      <c r="D137" s="23" t="s">
        <v>537</v>
      </c>
      <c r="E137" s="30" t="s">
        <v>538</v>
      </c>
      <c r="F137" s="23" t="s">
        <v>539</v>
      </c>
      <c r="G137" s="30">
        <v>8</v>
      </c>
      <c r="H137" s="30">
        <v>4</v>
      </c>
      <c r="I137" s="44">
        <v>44986</v>
      </c>
      <c r="J137" s="44">
        <v>45352</v>
      </c>
      <c r="K137" s="21"/>
      <c r="L137" s="22" t="s">
        <v>35</v>
      </c>
      <c r="M137" s="22"/>
      <c r="N137" s="24">
        <f t="shared" si="29"/>
        <v>444.69000000000005</v>
      </c>
      <c r="O137" s="24">
        <f>R137*1.09+S137*1.21</f>
        <v>3192.2721000000001</v>
      </c>
      <c r="P137" s="24">
        <f t="shared" si="35"/>
        <v>2928.69</v>
      </c>
      <c r="Q137" s="24">
        <f>(P137/G137)/4.33333</f>
        <v>84.481507293467146</v>
      </c>
      <c r="R137" s="24">
        <v>2928.69</v>
      </c>
      <c r="S137" s="25">
        <v>0</v>
      </c>
      <c r="T137" s="25">
        <v>0</v>
      </c>
      <c r="U137" s="12"/>
      <c r="V137" s="10"/>
      <c r="W137" s="17" t="s">
        <v>540</v>
      </c>
      <c r="X137" s="12"/>
      <c r="Y137" s="24">
        <v>2484</v>
      </c>
      <c r="Z137" s="24">
        <v>2484</v>
      </c>
      <c r="AA137" s="45">
        <v>2484</v>
      </c>
      <c r="AB137" s="25">
        <f t="shared" si="25"/>
        <v>71.653901272231749</v>
      </c>
      <c r="AC137" s="19">
        <v>44986</v>
      </c>
      <c r="AD137" s="19">
        <v>45350</v>
      </c>
    </row>
    <row r="138" spans="1:30" ht="16" x14ac:dyDescent="0.2">
      <c r="A138" s="13"/>
      <c r="B138" s="14" t="str">
        <f>_xlfn.XLOOKUP(D138,'[1]Sleutelplan nieuw'!B:B,'[1]Sleutelplan nieuw'!A:A,"",2)</f>
        <v>0385</v>
      </c>
      <c r="C138" s="15" t="s">
        <v>25</v>
      </c>
      <c r="D138" s="23" t="s">
        <v>541</v>
      </c>
      <c r="E138" s="18" t="s">
        <v>517</v>
      </c>
      <c r="F138" s="23" t="s">
        <v>542</v>
      </c>
      <c r="G138" s="30">
        <v>6</v>
      </c>
      <c r="H138" s="30">
        <v>4</v>
      </c>
      <c r="I138" s="44">
        <v>45940</v>
      </c>
      <c r="J138" s="44"/>
      <c r="K138" s="21"/>
      <c r="L138" s="22" t="s">
        <v>225</v>
      </c>
      <c r="M138" s="22"/>
      <c r="N138" s="24">
        <f t="shared" si="29"/>
        <v>368</v>
      </c>
      <c r="O138" s="24">
        <f>R138*1.09+S138*1.21</f>
        <v>4979.1200000000008</v>
      </c>
      <c r="P138" s="24">
        <f t="shared" si="35"/>
        <v>4568</v>
      </c>
      <c r="Q138" s="24">
        <f>(P138/G138)/4.33333</f>
        <v>175.69244284034065</v>
      </c>
      <c r="R138" s="24">
        <v>4568</v>
      </c>
      <c r="S138" s="25"/>
      <c r="T138" s="25"/>
      <c r="U138" s="12"/>
      <c r="V138" s="10"/>
      <c r="W138" s="17" t="s">
        <v>543</v>
      </c>
      <c r="X138" s="25" t="s">
        <v>544</v>
      </c>
      <c r="Y138" s="24">
        <f>Z138*1.09</f>
        <v>4578</v>
      </c>
      <c r="Z138" s="24">
        <v>4200</v>
      </c>
      <c r="AA138" s="45">
        <f>4200-500</f>
        <v>3700</v>
      </c>
      <c r="AB138" s="25">
        <f t="shared" si="25"/>
        <v>161.53858579891215</v>
      </c>
      <c r="AC138" s="19">
        <v>45940</v>
      </c>
      <c r="AD138" s="19"/>
    </row>
    <row r="139" spans="1:30" ht="16" x14ac:dyDescent="0.2">
      <c r="A139" s="13">
        <v>146</v>
      </c>
      <c r="B139" s="14" t="str">
        <f>_xlfn.XLOOKUP(D139,'[1]Sleutelplan nieuw'!B:B,'[1]Sleutelplan nieuw'!A:A,"",2)</f>
        <v>0366</v>
      </c>
      <c r="C139" s="15" t="s">
        <v>50</v>
      </c>
      <c r="D139" s="23" t="s">
        <v>545</v>
      </c>
      <c r="E139" s="30" t="s">
        <v>546</v>
      </c>
      <c r="F139" s="23" t="s">
        <v>547</v>
      </c>
      <c r="G139" s="30">
        <v>12</v>
      </c>
      <c r="H139" s="30">
        <v>6</v>
      </c>
      <c r="I139" s="44"/>
      <c r="J139" s="44"/>
      <c r="K139" s="21"/>
      <c r="L139" s="22"/>
      <c r="M139" s="34" t="s">
        <v>548</v>
      </c>
      <c r="N139" s="24">
        <f t="shared" si="29"/>
        <v>0</v>
      </c>
      <c r="O139" s="24"/>
      <c r="P139" s="24"/>
      <c r="Q139" s="24"/>
      <c r="R139" s="24"/>
      <c r="S139" s="25">
        <v>0</v>
      </c>
      <c r="T139" s="25"/>
      <c r="U139" s="12"/>
      <c r="V139" s="10"/>
      <c r="W139" s="17" t="s">
        <v>549</v>
      </c>
      <c r="X139" s="25" t="s">
        <v>550</v>
      </c>
      <c r="Y139" s="24"/>
      <c r="Z139" s="24"/>
      <c r="AA139" s="45"/>
      <c r="AB139" s="25"/>
      <c r="AC139" s="19">
        <v>45783</v>
      </c>
      <c r="AD139" s="19">
        <v>46512</v>
      </c>
    </row>
    <row r="140" spans="1:30" x14ac:dyDescent="0.2">
      <c r="A140" s="13">
        <v>147</v>
      </c>
      <c r="B140" s="14" t="str">
        <f>_xlfn.XLOOKUP(D140,'[1]Sleutelplan nieuw'!B:B,'[1]Sleutelplan nieuw'!A:A,"",2)</f>
        <v>0029</v>
      </c>
      <c r="C140" s="15" t="s">
        <v>50</v>
      </c>
      <c r="D140" s="23" t="s">
        <v>551</v>
      </c>
      <c r="E140" s="18" t="s">
        <v>552</v>
      </c>
      <c r="F140" s="23" t="s">
        <v>28</v>
      </c>
      <c r="G140" s="18">
        <v>3</v>
      </c>
      <c r="H140" s="18">
        <v>3</v>
      </c>
      <c r="I140" s="21">
        <v>45597</v>
      </c>
      <c r="J140" s="21">
        <v>45962</v>
      </c>
      <c r="K140" s="21"/>
      <c r="L140" s="23" t="s">
        <v>394</v>
      </c>
      <c r="M140" s="43"/>
      <c r="N140" s="24">
        <f t="shared" si="29"/>
        <v>592.90000000000009</v>
      </c>
      <c r="O140" s="24">
        <f t="shared" ref="O140:O148" si="36">R140*1.09+S140*1.21</f>
        <v>2397.9110000000001</v>
      </c>
      <c r="P140" s="24">
        <f t="shared" ref="P140:P194" si="37">R140+S140</f>
        <v>2177.9</v>
      </c>
      <c r="Q140" s="24">
        <f t="shared" ref="Q140:Q194" si="38">(P140/G140)/4.33333</f>
        <v>167.53089810069085</v>
      </c>
      <c r="R140" s="24">
        <v>1977.9</v>
      </c>
      <c r="S140" s="25">
        <v>200</v>
      </c>
      <c r="T140" s="25">
        <v>35</v>
      </c>
      <c r="U140" s="12"/>
      <c r="V140" s="10"/>
      <c r="W140" s="17" t="s">
        <v>553</v>
      </c>
      <c r="X140" s="25" t="s">
        <v>554</v>
      </c>
      <c r="Y140" s="24">
        <v>1350</v>
      </c>
      <c r="Z140" s="24">
        <v>1350</v>
      </c>
      <c r="AA140" s="24">
        <v>1350</v>
      </c>
      <c r="AB140" s="25">
        <f t="shared" ref="AB140:AB147" si="39">(Z140/G140)/4.33333</f>
        <v>103.84623372787209</v>
      </c>
      <c r="AC140" s="19">
        <v>45566</v>
      </c>
      <c r="AD140" s="19">
        <v>46295</v>
      </c>
    </row>
    <row r="141" spans="1:30" ht="16" x14ac:dyDescent="0.2">
      <c r="A141" s="13">
        <v>149</v>
      </c>
      <c r="B141" s="14" t="str">
        <f>_xlfn.XLOOKUP(D141,'[1]Sleutelplan nieuw'!B:B,'[1]Sleutelplan nieuw'!A:A,"",2)</f>
        <v>0118</v>
      </c>
      <c r="C141" s="15" t="s">
        <v>50</v>
      </c>
      <c r="D141" s="23" t="s">
        <v>555</v>
      </c>
      <c r="E141" s="18" t="s">
        <v>556</v>
      </c>
      <c r="F141" s="40" t="s">
        <v>557</v>
      </c>
      <c r="G141" s="18">
        <v>5</v>
      </c>
      <c r="H141" s="18">
        <v>5</v>
      </c>
      <c r="I141" s="21">
        <v>45839</v>
      </c>
      <c r="J141" s="21">
        <v>46203</v>
      </c>
      <c r="K141" s="21"/>
      <c r="L141" s="22" t="s">
        <v>558</v>
      </c>
      <c r="M141" s="43"/>
      <c r="N141" s="24">
        <f t="shared" si="29"/>
        <v>800</v>
      </c>
      <c r="O141" s="24">
        <f t="shared" si="36"/>
        <v>3960.0000000000005</v>
      </c>
      <c r="P141" s="24">
        <f t="shared" si="37"/>
        <v>3600</v>
      </c>
      <c r="Q141" s="63">
        <f t="shared" si="38"/>
        <v>166.15397396459537</v>
      </c>
      <c r="R141" s="24">
        <v>3300</v>
      </c>
      <c r="S141" s="25">
        <v>300</v>
      </c>
      <c r="T141" s="25">
        <v>0</v>
      </c>
      <c r="U141" s="12"/>
      <c r="V141" s="10"/>
      <c r="W141" s="29" t="s">
        <v>325</v>
      </c>
      <c r="X141" s="25"/>
      <c r="Y141" s="25">
        <v>2500</v>
      </c>
      <c r="Z141" s="25">
        <v>2500</v>
      </c>
      <c r="AA141" s="25">
        <v>2500</v>
      </c>
      <c r="AB141" s="25">
        <f t="shared" si="39"/>
        <v>115.38470414208011</v>
      </c>
      <c r="AC141" s="19">
        <v>45383</v>
      </c>
      <c r="AD141" s="19">
        <v>46112</v>
      </c>
    </row>
    <row r="142" spans="1:30" x14ac:dyDescent="0.2">
      <c r="A142" s="13">
        <v>150</v>
      </c>
      <c r="B142" s="14" t="str">
        <f>_xlfn.XLOOKUP(D142,'[1]Sleutelplan nieuw'!B:B,'[1]Sleutelplan nieuw'!A:A,"",2)</f>
        <v>0323</v>
      </c>
      <c r="C142" s="15" t="s">
        <v>50</v>
      </c>
      <c r="D142" s="23" t="s">
        <v>559</v>
      </c>
      <c r="E142" s="18" t="s">
        <v>560</v>
      </c>
      <c r="F142" s="40" t="s">
        <v>561</v>
      </c>
      <c r="G142" s="18">
        <v>5</v>
      </c>
      <c r="H142" s="18">
        <v>5</v>
      </c>
      <c r="I142" s="21">
        <v>45741</v>
      </c>
      <c r="J142" s="21">
        <v>46053</v>
      </c>
      <c r="K142" s="21"/>
      <c r="L142" s="23" t="s">
        <v>562</v>
      </c>
      <c r="M142" s="23"/>
      <c r="N142" s="24">
        <f t="shared" si="29"/>
        <v>493.25</v>
      </c>
      <c r="O142" s="24">
        <f t="shared" si="36"/>
        <v>3142.5</v>
      </c>
      <c r="P142" s="24">
        <f t="shared" si="37"/>
        <v>2850</v>
      </c>
      <c r="Q142" s="63">
        <f t="shared" si="38"/>
        <v>131.53856272197132</v>
      </c>
      <c r="R142" s="24">
        <v>2550</v>
      </c>
      <c r="S142" s="25">
        <v>300</v>
      </c>
      <c r="T142" s="25"/>
      <c r="U142" s="12"/>
      <c r="V142" s="10"/>
      <c r="W142" s="29" t="s">
        <v>563</v>
      </c>
      <c r="X142" s="35" t="s">
        <v>564</v>
      </c>
      <c r="Y142" s="25">
        <v>2056.75</v>
      </c>
      <c r="Z142" s="25">
        <v>2056.75</v>
      </c>
      <c r="AA142" s="25">
        <v>2056.75</v>
      </c>
      <c r="AB142" s="25">
        <f t="shared" si="39"/>
        <v>94.926996097689312</v>
      </c>
      <c r="AC142" s="19">
        <v>45689</v>
      </c>
      <c r="AD142" s="19">
        <v>46054</v>
      </c>
    </row>
    <row r="143" spans="1:30" ht="16" x14ac:dyDescent="0.2">
      <c r="A143" s="13">
        <v>151</v>
      </c>
      <c r="B143" s="14" t="str" cm="1">
        <f t="array" ref="B143">_xlfn.XLOOKUP(LEFT(D143,3),LEFT('[1]Sleutelplan nieuw'!B:B,3),'[1]Sleutelplan nieuw'!A:A,"",2)</f>
        <v>0184</v>
      </c>
      <c r="C143" s="15" t="s">
        <v>25</v>
      </c>
      <c r="D143" s="23" t="s">
        <v>565</v>
      </c>
      <c r="E143" s="18" t="s">
        <v>566</v>
      </c>
      <c r="F143" s="40" t="s">
        <v>28</v>
      </c>
      <c r="G143" s="18">
        <v>3</v>
      </c>
      <c r="H143" s="18">
        <v>3</v>
      </c>
      <c r="I143" s="21">
        <v>45493</v>
      </c>
      <c r="J143" s="21">
        <v>45857</v>
      </c>
      <c r="K143" s="21"/>
      <c r="L143" s="22" t="s">
        <v>567</v>
      </c>
      <c r="M143" s="23"/>
      <c r="N143" s="24">
        <f t="shared" si="29"/>
        <v>1006.9000000000001</v>
      </c>
      <c r="O143" s="24">
        <f t="shared" si="36"/>
        <v>3220.5667000000003</v>
      </c>
      <c r="P143" s="24">
        <f t="shared" si="37"/>
        <v>2932.63</v>
      </c>
      <c r="Q143" s="63">
        <f t="shared" si="38"/>
        <v>225.58709660545892</v>
      </c>
      <c r="R143" s="24">
        <v>2732.63</v>
      </c>
      <c r="S143" s="25">
        <v>200</v>
      </c>
      <c r="T143" s="25"/>
      <c r="U143" s="12"/>
      <c r="V143" s="10"/>
      <c r="W143" s="29" t="s">
        <v>35</v>
      </c>
      <c r="X143" s="25"/>
      <c r="Y143" s="25">
        <v>1725.73</v>
      </c>
      <c r="Z143" s="25">
        <v>1725.73</v>
      </c>
      <c r="AA143" s="25">
        <v>1545.73</v>
      </c>
      <c r="AB143" s="25">
        <f t="shared" si="39"/>
        <v>132.74856365274127</v>
      </c>
      <c r="AC143" s="19"/>
      <c r="AD143" s="19"/>
    </row>
    <row r="144" spans="1:30" x14ac:dyDescent="0.2">
      <c r="A144" s="13">
        <v>152</v>
      </c>
      <c r="B144" s="14" t="str">
        <f>_xlfn.XLOOKUP(D144,'[1]Sleutelplan nieuw'!B:B,'[1]Sleutelplan nieuw'!A:A,"",2)</f>
        <v>0018</v>
      </c>
      <c r="C144" s="15" t="s">
        <v>50</v>
      </c>
      <c r="D144" s="23" t="s">
        <v>568</v>
      </c>
      <c r="E144" s="18" t="s">
        <v>569</v>
      </c>
      <c r="F144" s="40" t="s">
        <v>570</v>
      </c>
      <c r="G144" s="18">
        <v>3</v>
      </c>
      <c r="H144" s="18">
        <v>2</v>
      </c>
      <c r="I144" s="21">
        <v>45611</v>
      </c>
      <c r="J144" s="21">
        <v>45976</v>
      </c>
      <c r="K144" s="21"/>
      <c r="L144" s="23" t="s">
        <v>432</v>
      </c>
      <c r="M144" s="23" t="s">
        <v>47</v>
      </c>
      <c r="N144" s="24">
        <f t="shared" si="29"/>
        <v>495.98</v>
      </c>
      <c r="O144" s="24">
        <f t="shared" si="36"/>
        <v>2483.0182</v>
      </c>
      <c r="P144" s="24">
        <f t="shared" si="37"/>
        <v>2255.98</v>
      </c>
      <c r="Q144" s="24">
        <f t="shared" si="38"/>
        <v>173.53705656696658</v>
      </c>
      <c r="R144" s="24">
        <v>2055.98</v>
      </c>
      <c r="S144" s="25">
        <v>200</v>
      </c>
      <c r="T144" s="25"/>
      <c r="U144" s="12"/>
      <c r="V144" s="10"/>
      <c r="W144" s="29" t="s">
        <v>571</v>
      </c>
      <c r="X144" s="35" t="s">
        <v>572</v>
      </c>
      <c r="Y144" s="25">
        <v>1560</v>
      </c>
      <c r="Z144" s="25">
        <v>1560</v>
      </c>
      <c r="AA144" s="25">
        <v>1560</v>
      </c>
      <c r="AB144" s="25">
        <f t="shared" si="39"/>
        <v>120.00009230776331</v>
      </c>
      <c r="AC144" s="19">
        <v>45602</v>
      </c>
      <c r="AD144" s="19">
        <v>45967</v>
      </c>
    </row>
    <row r="145" spans="1:30" x14ac:dyDescent="0.2">
      <c r="A145" s="13">
        <v>153</v>
      </c>
      <c r="B145" s="14" t="str">
        <f>_xlfn.XLOOKUP(D145,'[1]Sleutelplan nieuw'!B:B,'[1]Sleutelplan nieuw'!A:A,"",2)</f>
        <v>0098</v>
      </c>
      <c r="C145" s="15" t="s">
        <v>50</v>
      </c>
      <c r="D145" s="23" t="s">
        <v>573</v>
      </c>
      <c r="E145" s="18" t="s">
        <v>574</v>
      </c>
      <c r="F145" s="40" t="s">
        <v>117</v>
      </c>
      <c r="G145" s="18">
        <v>4</v>
      </c>
      <c r="H145" s="18">
        <v>4</v>
      </c>
      <c r="I145" s="21">
        <v>44610</v>
      </c>
      <c r="J145" s="21">
        <v>44790</v>
      </c>
      <c r="K145" s="21"/>
      <c r="L145" s="23" t="s">
        <v>575</v>
      </c>
      <c r="M145" s="23" t="s">
        <v>47</v>
      </c>
      <c r="N145" s="24">
        <f t="shared" si="29"/>
        <v>942.63000000000011</v>
      </c>
      <c r="O145" s="24">
        <f t="shared" si="36"/>
        <v>4326.884</v>
      </c>
      <c r="P145" s="24">
        <f t="shared" si="37"/>
        <v>3947.6</v>
      </c>
      <c r="Q145" s="24">
        <f t="shared" si="38"/>
        <v>227.7463290356377</v>
      </c>
      <c r="R145" s="24">
        <v>3747.6</v>
      </c>
      <c r="S145" s="25">
        <v>200</v>
      </c>
      <c r="T145" s="25">
        <v>0</v>
      </c>
      <c r="U145" s="12"/>
      <c r="V145" s="10"/>
      <c r="W145" s="29" t="s">
        <v>576</v>
      </c>
      <c r="X145" s="25" t="s">
        <v>577</v>
      </c>
      <c r="Y145" s="25">
        <v>2804.97</v>
      </c>
      <c r="Z145" s="25">
        <v>2804.97</v>
      </c>
      <c r="AA145" s="25">
        <v>2364.9699999999998</v>
      </c>
      <c r="AB145" s="25">
        <f t="shared" si="39"/>
        <v>161.82531678870521</v>
      </c>
      <c r="AC145" s="19">
        <v>44975</v>
      </c>
      <c r="AD145" s="19">
        <v>45705</v>
      </c>
    </row>
    <row r="146" spans="1:30" ht="16" x14ac:dyDescent="0.2">
      <c r="A146" s="13">
        <v>154</v>
      </c>
      <c r="B146" s="14" t="str">
        <f>_xlfn.XLOOKUP(D146,'[1]Sleutelplan nieuw'!B:B,'[1]Sleutelplan nieuw'!A:A,"",2)</f>
        <v>0035</v>
      </c>
      <c r="C146" s="15" t="s">
        <v>25</v>
      </c>
      <c r="D146" s="22" t="s">
        <v>578</v>
      </c>
      <c r="E146" s="30" t="s">
        <v>579</v>
      </c>
      <c r="F146" s="23" t="s">
        <v>34</v>
      </c>
      <c r="G146" s="30">
        <v>3</v>
      </c>
      <c r="H146" s="30">
        <v>2</v>
      </c>
      <c r="I146" s="21">
        <v>44939</v>
      </c>
      <c r="J146" s="21">
        <v>45291</v>
      </c>
      <c r="K146" s="21"/>
      <c r="L146" s="23" t="s">
        <v>35</v>
      </c>
      <c r="M146" s="23" t="s">
        <v>47</v>
      </c>
      <c r="N146" s="24">
        <f t="shared" si="29"/>
        <v>484.67000000000007</v>
      </c>
      <c r="O146" s="24">
        <f t="shared" si="36"/>
        <v>1945.2903000000001</v>
      </c>
      <c r="P146" s="24">
        <f t="shared" si="37"/>
        <v>1784.67</v>
      </c>
      <c r="Q146" s="24">
        <f t="shared" si="38"/>
        <v>137.28241329416406</v>
      </c>
      <c r="R146" s="24">
        <v>1784.67</v>
      </c>
      <c r="S146" s="25">
        <v>0</v>
      </c>
      <c r="T146" s="25">
        <v>0</v>
      </c>
      <c r="U146" s="12"/>
      <c r="V146" s="10"/>
      <c r="W146" s="17" t="s">
        <v>129</v>
      </c>
      <c r="X146" s="12"/>
      <c r="Y146" s="24">
        <v>1300</v>
      </c>
      <c r="Z146" s="24">
        <v>1300</v>
      </c>
      <c r="AA146" s="45">
        <v>1300</v>
      </c>
      <c r="AB146" s="25">
        <f t="shared" si="39"/>
        <v>100.00007692313609</v>
      </c>
      <c r="AC146" s="19">
        <v>44927</v>
      </c>
      <c r="AD146" s="19">
        <v>45292</v>
      </c>
    </row>
    <row r="147" spans="1:30" ht="16" x14ac:dyDescent="0.2">
      <c r="A147" s="13">
        <v>155</v>
      </c>
      <c r="B147" s="14" t="str">
        <f>_xlfn.XLOOKUP(D147,'[1]Sleutelplan nieuw'!B:B,'[1]Sleutelplan nieuw'!A:A,"",2)</f>
        <v>0036</v>
      </c>
      <c r="C147" s="15" t="s">
        <v>25</v>
      </c>
      <c r="D147" s="22" t="s">
        <v>580</v>
      </c>
      <c r="E147" s="30" t="s">
        <v>579</v>
      </c>
      <c r="F147" s="23" t="s">
        <v>34</v>
      </c>
      <c r="G147" s="30">
        <v>5</v>
      </c>
      <c r="H147" s="30">
        <v>3</v>
      </c>
      <c r="I147" s="21">
        <v>44939</v>
      </c>
      <c r="J147" s="21">
        <v>45291</v>
      </c>
      <c r="K147" s="21"/>
      <c r="L147" s="23" t="s">
        <v>35</v>
      </c>
      <c r="M147" s="23" t="s">
        <v>47</v>
      </c>
      <c r="N147" s="24">
        <f t="shared" si="29"/>
        <v>1510.6999999999998</v>
      </c>
      <c r="O147" s="24">
        <f t="shared" si="36"/>
        <v>3063.663</v>
      </c>
      <c r="P147" s="24">
        <f t="shared" si="37"/>
        <v>2810.7</v>
      </c>
      <c r="Q147" s="24">
        <f t="shared" si="38"/>
        <v>129.72471517285783</v>
      </c>
      <c r="R147" s="24">
        <v>2810.7</v>
      </c>
      <c r="S147" s="25">
        <v>0</v>
      </c>
      <c r="T147" s="25">
        <v>0</v>
      </c>
      <c r="U147" s="12"/>
      <c r="V147" s="10"/>
      <c r="W147" s="17" t="s">
        <v>129</v>
      </c>
      <c r="X147" s="12"/>
      <c r="Y147" s="24">
        <v>1300</v>
      </c>
      <c r="Z147" s="24">
        <v>1300</v>
      </c>
      <c r="AA147" s="45">
        <v>1300</v>
      </c>
      <c r="AB147" s="25">
        <f t="shared" si="39"/>
        <v>60.000046153881655</v>
      </c>
      <c r="AC147" s="19">
        <v>44927</v>
      </c>
      <c r="AD147" s="19">
        <v>45292</v>
      </c>
    </row>
    <row r="148" spans="1:30" x14ac:dyDescent="0.2">
      <c r="A148" s="13">
        <v>156</v>
      </c>
      <c r="B148" s="14" t="str">
        <f>_xlfn.XLOOKUP(D148,'[1]Sleutelplan nieuw'!B:B,'[1]Sleutelplan nieuw'!A:A,"",2)</f>
        <v>0251</v>
      </c>
      <c r="C148" s="15" t="s">
        <v>25</v>
      </c>
      <c r="D148" s="23" t="s">
        <v>581</v>
      </c>
      <c r="E148" s="18" t="s">
        <v>582</v>
      </c>
      <c r="F148" s="40" t="s">
        <v>224</v>
      </c>
      <c r="G148" s="18">
        <v>3</v>
      </c>
      <c r="H148" s="18">
        <v>3</v>
      </c>
      <c r="I148" s="21">
        <v>45059</v>
      </c>
      <c r="J148" s="21">
        <v>45242</v>
      </c>
      <c r="K148" s="21"/>
      <c r="L148" s="40" t="s">
        <v>146</v>
      </c>
      <c r="M148" s="23"/>
      <c r="N148" s="24">
        <f t="shared" si="29"/>
        <v>571.09999999999991</v>
      </c>
      <c r="O148" s="24">
        <f t="shared" si="36"/>
        <v>3025.9086000000002</v>
      </c>
      <c r="P148" s="24">
        <f t="shared" si="37"/>
        <v>2748.54</v>
      </c>
      <c r="Q148" s="24">
        <f t="shared" si="38"/>
        <v>211.4263164817819</v>
      </c>
      <c r="R148" s="24">
        <v>2498.54</v>
      </c>
      <c r="S148" s="25">
        <v>250</v>
      </c>
      <c r="T148" s="25">
        <v>0</v>
      </c>
      <c r="U148" s="12"/>
      <c r="V148" s="10"/>
      <c r="W148" s="29" t="s">
        <v>161</v>
      </c>
      <c r="X148" s="25" t="s">
        <v>583</v>
      </c>
      <c r="Y148" s="25">
        <f t="shared" ref="Y148:Y156" si="40">(Z148*21%)+Z148</f>
        <v>2332.2024000000001</v>
      </c>
      <c r="Z148" s="25">
        <v>1927.44</v>
      </c>
      <c r="AA148" s="25">
        <v>1927.43</v>
      </c>
      <c r="AB148" s="25">
        <f t="shared" ref="AB148:AB161" si="41">(Z148/G148)/4.333</f>
        <v>148.27602123240248</v>
      </c>
      <c r="AC148" s="19">
        <v>45047</v>
      </c>
      <c r="AD148" s="19">
        <v>46873</v>
      </c>
    </row>
    <row r="149" spans="1:30" ht="16" x14ac:dyDescent="0.2">
      <c r="A149" s="13">
        <v>157</v>
      </c>
      <c r="B149" s="14" t="str">
        <f>_xlfn.XLOOKUP(D149,'[1]Sleutelplan nieuw'!B:B,'[1]Sleutelplan nieuw'!A:A,"",2)</f>
        <v>0252</v>
      </c>
      <c r="C149" s="15" t="s">
        <v>25</v>
      </c>
      <c r="D149" s="23" t="s">
        <v>584</v>
      </c>
      <c r="E149" s="18" t="s">
        <v>582</v>
      </c>
      <c r="F149" s="40" t="s">
        <v>224</v>
      </c>
      <c r="G149" s="18">
        <v>3</v>
      </c>
      <c r="H149" s="18">
        <v>3</v>
      </c>
      <c r="I149" s="21">
        <v>45292</v>
      </c>
      <c r="J149" s="21">
        <v>45657</v>
      </c>
      <c r="K149" s="21" t="s">
        <v>47</v>
      </c>
      <c r="L149" s="22" t="s">
        <v>230</v>
      </c>
      <c r="M149" s="23"/>
      <c r="N149" s="24">
        <f t="shared" si="29"/>
        <v>810.38999999999987</v>
      </c>
      <c r="O149" s="24">
        <f>R149*1.09+S149*1.09</f>
        <v>3093.2347</v>
      </c>
      <c r="P149" s="24">
        <f t="shared" si="37"/>
        <v>2837.83</v>
      </c>
      <c r="Q149" s="63">
        <f t="shared" si="38"/>
        <v>218.29478330367945</v>
      </c>
      <c r="R149" s="24">
        <v>2737.83</v>
      </c>
      <c r="S149" s="25">
        <v>100</v>
      </c>
      <c r="T149" s="25">
        <v>0</v>
      </c>
      <c r="U149" s="12"/>
      <c r="V149" s="10"/>
      <c r="W149" s="29" t="s">
        <v>161</v>
      </c>
      <c r="X149" s="25" t="s">
        <v>583</v>
      </c>
      <c r="Y149" s="25">
        <f t="shared" si="40"/>
        <v>2332.2024000000001</v>
      </c>
      <c r="Z149" s="25">
        <v>1927.44</v>
      </c>
      <c r="AA149" s="25">
        <v>1927.43</v>
      </c>
      <c r="AB149" s="25">
        <f t="shared" si="41"/>
        <v>148.27602123240248</v>
      </c>
      <c r="AC149" s="19">
        <v>45047</v>
      </c>
      <c r="AD149" s="19">
        <v>46873</v>
      </c>
    </row>
    <row r="150" spans="1:30" ht="16" x14ac:dyDescent="0.2">
      <c r="A150" s="13">
        <v>158</v>
      </c>
      <c r="B150" s="14" t="str">
        <f>_xlfn.XLOOKUP(D150,'[1]Sleutelplan nieuw'!B:B,'[1]Sleutelplan nieuw'!A:A,"",2)</f>
        <v>0253</v>
      </c>
      <c r="C150" s="15" t="s">
        <v>25</v>
      </c>
      <c r="D150" s="23" t="s">
        <v>585</v>
      </c>
      <c r="E150" s="18" t="s">
        <v>582</v>
      </c>
      <c r="F150" s="40" t="s">
        <v>224</v>
      </c>
      <c r="G150" s="18">
        <v>3</v>
      </c>
      <c r="H150" s="18">
        <v>3</v>
      </c>
      <c r="I150" s="21">
        <v>45292</v>
      </c>
      <c r="J150" s="21">
        <v>45657</v>
      </c>
      <c r="K150" s="21" t="s">
        <v>47</v>
      </c>
      <c r="L150" s="22" t="s">
        <v>230</v>
      </c>
      <c r="M150" s="23"/>
      <c r="N150" s="24">
        <f t="shared" si="29"/>
        <v>810.38999999999987</v>
      </c>
      <c r="O150" s="24">
        <f>R150*1.09+S150*1.09</f>
        <v>3093.2347</v>
      </c>
      <c r="P150" s="24">
        <f t="shared" si="37"/>
        <v>2837.83</v>
      </c>
      <c r="Q150" s="63">
        <f t="shared" si="38"/>
        <v>218.29478330367945</v>
      </c>
      <c r="R150" s="24">
        <v>2737.83</v>
      </c>
      <c r="S150" s="25">
        <v>100</v>
      </c>
      <c r="T150" s="25">
        <v>0</v>
      </c>
      <c r="U150" s="12"/>
      <c r="V150" s="10"/>
      <c r="W150" s="29" t="s">
        <v>161</v>
      </c>
      <c r="X150" s="25" t="s">
        <v>583</v>
      </c>
      <c r="Y150" s="25">
        <f t="shared" si="40"/>
        <v>2332.2024000000001</v>
      </c>
      <c r="Z150" s="25">
        <v>1927.44</v>
      </c>
      <c r="AA150" s="25">
        <v>1927.43</v>
      </c>
      <c r="AB150" s="25">
        <f t="shared" si="41"/>
        <v>148.27602123240248</v>
      </c>
      <c r="AC150" s="19">
        <v>45047</v>
      </c>
      <c r="AD150" s="19">
        <v>46873</v>
      </c>
    </row>
    <row r="151" spans="1:30" x14ac:dyDescent="0.2">
      <c r="A151" s="13">
        <v>159</v>
      </c>
      <c r="B151" s="14" t="str">
        <f>_xlfn.XLOOKUP(D151,'[1]Sleutelplan nieuw'!B:B,'[1]Sleutelplan nieuw'!A:A,"",2)</f>
        <v>0254</v>
      </c>
      <c r="C151" s="15" t="s">
        <v>25</v>
      </c>
      <c r="D151" s="23" t="s">
        <v>586</v>
      </c>
      <c r="E151" s="18" t="s">
        <v>582</v>
      </c>
      <c r="F151" s="40" t="s">
        <v>224</v>
      </c>
      <c r="G151" s="18">
        <v>3</v>
      </c>
      <c r="H151" s="18">
        <v>3</v>
      </c>
      <c r="I151" s="21">
        <v>45451</v>
      </c>
      <c r="J151" s="21">
        <v>45815</v>
      </c>
      <c r="K151" s="21"/>
      <c r="L151" s="23" t="s">
        <v>146</v>
      </c>
      <c r="M151" s="23"/>
      <c r="N151" s="24">
        <f t="shared" si="29"/>
        <v>982.15999999999985</v>
      </c>
      <c r="O151" s="24">
        <f>R151*1.09+S151*1.21</f>
        <v>3473.9639999999999</v>
      </c>
      <c r="P151" s="24">
        <f t="shared" si="37"/>
        <v>3159.6</v>
      </c>
      <c r="Q151" s="24">
        <f t="shared" si="38"/>
        <v>243.04634080487756</v>
      </c>
      <c r="R151" s="24">
        <v>2909.6</v>
      </c>
      <c r="S151" s="25">
        <v>250</v>
      </c>
      <c r="T151" s="25">
        <v>0</v>
      </c>
      <c r="U151" s="12"/>
      <c r="V151" s="10"/>
      <c r="W151" s="29" t="s">
        <v>161</v>
      </c>
      <c r="X151" s="25" t="s">
        <v>583</v>
      </c>
      <c r="Y151" s="25">
        <f t="shared" si="40"/>
        <v>2332.2024000000001</v>
      </c>
      <c r="Z151" s="25">
        <v>1927.44</v>
      </c>
      <c r="AA151" s="25">
        <v>1927.43</v>
      </c>
      <c r="AB151" s="25">
        <f t="shared" si="41"/>
        <v>148.27602123240248</v>
      </c>
      <c r="AC151" s="19">
        <v>45047</v>
      </c>
      <c r="AD151" s="19">
        <v>46873</v>
      </c>
    </row>
    <row r="152" spans="1:30" x14ac:dyDescent="0.2">
      <c r="A152" s="13">
        <v>160</v>
      </c>
      <c r="B152" s="14" t="str">
        <f>_xlfn.XLOOKUP(D152,'[1]Sleutelplan nieuw'!B:B,'[1]Sleutelplan nieuw'!A:A,"",2)</f>
        <v>0255</v>
      </c>
      <c r="C152" s="15" t="s">
        <v>25</v>
      </c>
      <c r="D152" s="23" t="s">
        <v>587</v>
      </c>
      <c r="E152" s="18" t="s">
        <v>582</v>
      </c>
      <c r="F152" s="40" t="s">
        <v>224</v>
      </c>
      <c r="G152" s="18">
        <v>3</v>
      </c>
      <c r="H152" s="18">
        <v>3</v>
      </c>
      <c r="I152" s="21">
        <v>45451</v>
      </c>
      <c r="J152" s="21">
        <v>45815</v>
      </c>
      <c r="K152" s="21"/>
      <c r="L152" s="23" t="s">
        <v>146</v>
      </c>
      <c r="M152" s="23"/>
      <c r="N152" s="24">
        <f t="shared" ref="N152:N194" si="42">P152-S152-T152-Z152</f>
        <v>982.15999999999985</v>
      </c>
      <c r="O152" s="24">
        <f>R152*1.09+S152*1.21</f>
        <v>3473.9639999999999</v>
      </c>
      <c r="P152" s="24">
        <f t="shared" si="37"/>
        <v>3159.6</v>
      </c>
      <c r="Q152" s="24">
        <f t="shared" si="38"/>
        <v>243.04634080487756</v>
      </c>
      <c r="R152" s="24">
        <v>2909.6</v>
      </c>
      <c r="S152" s="25">
        <v>250</v>
      </c>
      <c r="T152" s="25">
        <v>0</v>
      </c>
      <c r="U152" s="12"/>
      <c r="V152" s="10"/>
      <c r="W152" s="29" t="s">
        <v>161</v>
      </c>
      <c r="X152" s="25" t="s">
        <v>583</v>
      </c>
      <c r="Y152" s="25">
        <f t="shared" si="40"/>
        <v>2332.2024000000001</v>
      </c>
      <c r="Z152" s="25">
        <v>1927.44</v>
      </c>
      <c r="AA152" s="25">
        <v>1927.43</v>
      </c>
      <c r="AB152" s="25">
        <f t="shared" si="41"/>
        <v>148.27602123240248</v>
      </c>
      <c r="AC152" s="19">
        <v>45047</v>
      </c>
      <c r="AD152" s="19">
        <v>46873</v>
      </c>
    </row>
    <row r="153" spans="1:30" x14ac:dyDescent="0.2">
      <c r="A153" s="13">
        <v>161</v>
      </c>
      <c r="B153" s="14" t="str">
        <f>_xlfn.XLOOKUP(D153,'[1]Sleutelplan nieuw'!B:B,'[1]Sleutelplan nieuw'!A:A,"",2)</f>
        <v>0256</v>
      </c>
      <c r="C153" s="15" t="s">
        <v>25</v>
      </c>
      <c r="D153" s="23" t="s">
        <v>588</v>
      </c>
      <c r="E153" s="18" t="s">
        <v>582</v>
      </c>
      <c r="F153" s="40" t="s">
        <v>224</v>
      </c>
      <c r="G153" s="18">
        <v>3</v>
      </c>
      <c r="H153" s="18">
        <v>3</v>
      </c>
      <c r="I153" s="21">
        <v>45451</v>
      </c>
      <c r="J153" s="21">
        <v>45815</v>
      </c>
      <c r="K153" s="21"/>
      <c r="L153" s="23" t="s">
        <v>146</v>
      </c>
      <c r="M153" s="23"/>
      <c r="N153" s="24">
        <f t="shared" si="42"/>
        <v>982.15999999999985</v>
      </c>
      <c r="O153" s="24">
        <f>R153*1.09+S153*1.21</f>
        <v>3473.9639999999999</v>
      </c>
      <c r="P153" s="24">
        <f t="shared" si="37"/>
        <v>3159.6</v>
      </c>
      <c r="Q153" s="24">
        <f t="shared" si="38"/>
        <v>243.04634080487756</v>
      </c>
      <c r="R153" s="24">
        <v>2909.6</v>
      </c>
      <c r="S153" s="25">
        <v>250</v>
      </c>
      <c r="T153" s="25">
        <v>0</v>
      </c>
      <c r="U153" s="12"/>
      <c r="V153" s="10"/>
      <c r="W153" s="29" t="s">
        <v>161</v>
      </c>
      <c r="X153" s="25" t="s">
        <v>583</v>
      </c>
      <c r="Y153" s="25">
        <f t="shared" si="40"/>
        <v>2332.2024000000001</v>
      </c>
      <c r="Z153" s="25">
        <v>1927.44</v>
      </c>
      <c r="AA153" s="25">
        <v>1927.43</v>
      </c>
      <c r="AB153" s="25">
        <f t="shared" si="41"/>
        <v>148.27602123240248</v>
      </c>
      <c r="AC153" s="19">
        <v>45047</v>
      </c>
      <c r="AD153" s="19">
        <v>46873</v>
      </c>
    </row>
    <row r="154" spans="1:30" x14ac:dyDescent="0.2">
      <c r="A154" s="13">
        <v>162</v>
      </c>
      <c r="B154" s="14" t="str">
        <f>_xlfn.XLOOKUP(D154,'[1]Sleutelplan nieuw'!B:B,'[1]Sleutelplan nieuw'!A:A,"",2)</f>
        <v>0257</v>
      </c>
      <c r="C154" s="15" t="s">
        <v>25</v>
      </c>
      <c r="D154" s="23" t="s">
        <v>589</v>
      </c>
      <c r="E154" s="18" t="s">
        <v>582</v>
      </c>
      <c r="F154" s="40" t="s">
        <v>224</v>
      </c>
      <c r="G154" s="18">
        <v>2</v>
      </c>
      <c r="H154" s="18">
        <v>2</v>
      </c>
      <c r="I154" s="21">
        <v>45059</v>
      </c>
      <c r="J154" s="21">
        <v>45424</v>
      </c>
      <c r="K154" s="21"/>
      <c r="L154" s="23" t="s">
        <v>590</v>
      </c>
      <c r="M154" s="23"/>
      <c r="N154" s="24">
        <f t="shared" si="42"/>
        <v>267.34999999999991</v>
      </c>
      <c r="O154" s="24">
        <f>R154*1.09+S154*1.09</f>
        <v>1909.9961000000001</v>
      </c>
      <c r="P154" s="24">
        <f t="shared" si="37"/>
        <v>1752.29</v>
      </c>
      <c r="Q154" s="24">
        <f t="shared" si="38"/>
        <v>202.18746322112554</v>
      </c>
      <c r="R154" s="24">
        <v>1552.29</v>
      </c>
      <c r="S154" s="25">
        <v>200</v>
      </c>
      <c r="T154" s="25">
        <v>0</v>
      </c>
      <c r="U154" s="12"/>
      <c r="V154" s="10"/>
      <c r="W154" s="29" t="s">
        <v>161</v>
      </c>
      <c r="X154" s="25" t="s">
        <v>583</v>
      </c>
      <c r="Y154" s="25">
        <f t="shared" si="40"/>
        <v>1554.7773999999999</v>
      </c>
      <c r="Z154" s="25">
        <v>1284.94</v>
      </c>
      <c r="AA154" s="25">
        <v>1284.95</v>
      </c>
      <c r="AB154" s="25">
        <f t="shared" si="41"/>
        <v>148.27371336256635</v>
      </c>
      <c r="AC154" s="19">
        <v>45047</v>
      </c>
      <c r="AD154" s="19">
        <v>46873</v>
      </c>
    </row>
    <row r="155" spans="1:30" x14ac:dyDescent="0.2">
      <c r="A155" s="13">
        <v>163</v>
      </c>
      <c r="B155" s="14" t="str">
        <f>_xlfn.XLOOKUP(D155,'[1]Sleutelplan nieuw'!B:B,'[1]Sleutelplan nieuw'!A:A,"",2)</f>
        <v>0258</v>
      </c>
      <c r="C155" s="15" t="s">
        <v>25</v>
      </c>
      <c r="D155" s="23" t="s">
        <v>591</v>
      </c>
      <c r="E155" s="18" t="s">
        <v>582</v>
      </c>
      <c r="F155" s="40" t="s">
        <v>224</v>
      </c>
      <c r="G155" s="18">
        <v>3</v>
      </c>
      <c r="H155" s="18">
        <v>3</v>
      </c>
      <c r="I155" s="21">
        <v>45059</v>
      </c>
      <c r="J155" s="21">
        <v>45242</v>
      </c>
      <c r="K155" s="21"/>
      <c r="L155" s="23" t="s">
        <v>146</v>
      </c>
      <c r="M155" s="23"/>
      <c r="N155" s="24">
        <f t="shared" si="42"/>
        <v>571.09999999999991</v>
      </c>
      <c r="O155" s="24">
        <f t="shared" ref="O155:O163" si="43">R155*1.09+S155*1.21</f>
        <v>3025.9086000000002</v>
      </c>
      <c r="P155" s="24">
        <f t="shared" si="37"/>
        <v>2748.54</v>
      </c>
      <c r="Q155" s="63">
        <f t="shared" si="38"/>
        <v>211.4263164817819</v>
      </c>
      <c r="R155" s="24">
        <v>2498.54</v>
      </c>
      <c r="S155" s="25">
        <v>250</v>
      </c>
      <c r="T155" s="25">
        <v>0</v>
      </c>
      <c r="U155" s="12"/>
      <c r="V155" s="10"/>
      <c r="W155" s="29" t="s">
        <v>161</v>
      </c>
      <c r="X155" s="25" t="s">
        <v>583</v>
      </c>
      <c r="Y155" s="25">
        <f t="shared" si="40"/>
        <v>2332.2024000000001</v>
      </c>
      <c r="Z155" s="25">
        <v>1927.44</v>
      </c>
      <c r="AA155" s="25">
        <v>1927.43</v>
      </c>
      <c r="AB155" s="25">
        <f t="shared" si="41"/>
        <v>148.27602123240248</v>
      </c>
      <c r="AC155" s="19">
        <v>45047</v>
      </c>
      <c r="AD155" s="19">
        <v>46873</v>
      </c>
    </row>
    <row r="156" spans="1:30" x14ac:dyDescent="0.2">
      <c r="A156" s="13">
        <v>164</v>
      </c>
      <c r="B156" s="14" t="str">
        <f>_xlfn.XLOOKUP(D156,'[1]Sleutelplan nieuw'!B:B,'[1]Sleutelplan nieuw'!A:A,"",2)</f>
        <v>0259</v>
      </c>
      <c r="C156" s="15" t="s">
        <v>25</v>
      </c>
      <c r="D156" s="23" t="s">
        <v>592</v>
      </c>
      <c r="E156" s="18" t="s">
        <v>582</v>
      </c>
      <c r="F156" s="40" t="s">
        <v>224</v>
      </c>
      <c r="G156" s="18">
        <v>3</v>
      </c>
      <c r="H156" s="18">
        <v>3</v>
      </c>
      <c r="I156" s="21">
        <v>45059</v>
      </c>
      <c r="J156" s="21">
        <v>45242</v>
      </c>
      <c r="K156" s="21"/>
      <c r="L156" s="23" t="s">
        <v>146</v>
      </c>
      <c r="M156" s="23"/>
      <c r="N156" s="24">
        <f t="shared" si="42"/>
        <v>571.09999999999991</v>
      </c>
      <c r="O156" s="24">
        <f t="shared" si="43"/>
        <v>3025.9086000000002</v>
      </c>
      <c r="P156" s="24">
        <f t="shared" si="37"/>
        <v>2748.54</v>
      </c>
      <c r="Q156" s="63">
        <f t="shared" si="38"/>
        <v>211.4263164817819</v>
      </c>
      <c r="R156" s="24">
        <v>2498.54</v>
      </c>
      <c r="S156" s="25">
        <v>250</v>
      </c>
      <c r="T156" s="25">
        <v>0</v>
      </c>
      <c r="U156" s="12"/>
      <c r="V156" s="10"/>
      <c r="W156" s="29" t="s">
        <v>161</v>
      </c>
      <c r="X156" s="25" t="s">
        <v>583</v>
      </c>
      <c r="Y156" s="25">
        <f t="shared" si="40"/>
        <v>2332.2024000000001</v>
      </c>
      <c r="Z156" s="25">
        <v>1927.44</v>
      </c>
      <c r="AA156" s="25">
        <v>1927.43</v>
      </c>
      <c r="AB156" s="25">
        <f t="shared" si="41"/>
        <v>148.27602123240248</v>
      </c>
      <c r="AC156" s="19">
        <v>45047</v>
      </c>
      <c r="AD156" s="19">
        <v>46873</v>
      </c>
    </row>
    <row r="157" spans="1:30" x14ac:dyDescent="0.2">
      <c r="A157" s="13"/>
      <c r="B157" s="14"/>
      <c r="C157" s="15"/>
      <c r="D157" s="23" t="s">
        <v>593</v>
      </c>
      <c r="E157" s="18" t="s">
        <v>594</v>
      </c>
      <c r="F157" s="40" t="s">
        <v>28</v>
      </c>
      <c r="G157" s="18">
        <v>3</v>
      </c>
      <c r="H157" s="18">
        <v>3</v>
      </c>
      <c r="I157" s="21">
        <v>45968</v>
      </c>
      <c r="J157" s="21">
        <v>46148</v>
      </c>
      <c r="K157" s="21"/>
      <c r="L157" s="23" t="s">
        <v>29</v>
      </c>
      <c r="M157" s="23"/>
      <c r="N157" s="24">
        <f t="shared" si="42"/>
        <v>2250</v>
      </c>
      <c r="O157" s="24">
        <f t="shared" si="43"/>
        <v>2755</v>
      </c>
      <c r="P157" s="24">
        <f t="shared" si="37"/>
        <v>2500</v>
      </c>
      <c r="Q157" s="63">
        <f t="shared" si="38"/>
        <v>192.30784023680019</v>
      </c>
      <c r="R157" s="24">
        <v>2250</v>
      </c>
      <c r="S157" s="25">
        <v>250</v>
      </c>
      <c r="T157" s="25"/>
      <c r="U157" s="12"/>
      <c r="V157" s="10"/>
      <c r="W157" s="29"/>
      <c r="X157" s="25"/>
      <c r="Y157" s="25"/>
      <c r="Z157" s="25"/>
      <c r="AA157" s="25"/>
      <c r="AB157" s="25"/>
      <c r="AC157" s="19"/>
      <c r="AD157" s="19"/>
    </row>
    <row r="158" spans="1:30" x14ac:dyDescent="0.2">
      <c r="A158" s="13"/>
      <c r="B158" s="14"/>
      <c r="C158" s="15"/>
      <c r="D158" s="23" t="s">
        <v>595</v>
      </c>
      <c r="E158" s="18" t="s">
        <v>596</v>
      </c>
      <c r="F158" s="40" t="s">
        <v>28</v>
      </c>
      <c r="G158" s="18">
        <v>2</v>
      </c>
      <c r="H158" s="18">
        <v>2</v>
      </c>
      <c r="I158" s="21">
        <v>45962</v>
      </c>
      <c r="J158" s="21">
        <v>46142</v>
      </c>
      <c r="K158" s="21"/>
      <c r="L158" s="23" t="s">
        <v>29</v>
      </c>
      <c r="M158" s="23"/>
      <c r="N158" s="24">
        <f t="shared" si="42"/>
        <v>1450</v>
      </c>
      <c r="O158" s="24">
        <f t="shared" si="43"/>
        <v>1762.0000000000002</v>
      </c>
      <c r="P158" s="24">
        <f t="shared" si="37"/>
        <v>1600</v>
      </c>
      <c r="Q158" s="63">
        <f t="shared" si="38"/>
        <v>184.61552662732817</v>
      </c>
      <c r="R158" s="24">
        <v>1450</v>
      </c>
      <c r="S158" s="25">
        <v>150</v>
      </c>
      <c r="T158" s="25"/>
      <c r="U158" s="12"/>
      <c r="V158" s="10"/>
      <c r="W158" s="29"/>
      <c r="X158" s="25"/>
      <c r="Y158" s="25"/>
      <c r="Z158" s="25"/>
      <c r="AA158" s="25"/>
      <c r="AB158" s="25"/>
      <c r="AC158" s="19"/>
      <c r="AD158" s="19"/>
    </row>
    <row r="159" spans="1:30" x14ac:dyDescent="0.2">
      <c r="A159" s="13">
        <v>165</v>
      </c>
      <c r="B159" s="14" t="str">
        <f>_xlfn.XLOOKUP(D159,'[1]Sleutelplan nieuw'!B:B,'[1]Sleutelplan nieuw'!A:A,"",2)</f>
        <v>0076</v>
      </c>
      <c r="C159" s="15" t="s">
        <v>25</v>
      </c>
      <c r="D159" s="23" t="s">
        <v>597</v>
      </c>
      <c r="E159" s="18" t="s">
        <v>598</v>
      </c>
      <c r="F159" s="40" t="s">
        <v>599</v>
      </c>
      <c r="G159" s="18">
        <v>4</v>
      </c>
      <c r="H159" s="18">
        <v>4</v>
      </c>
      <c r="I159" s="21">
        <v>45566</v>
      </c>
      <c r="J159" s="21">
        <v>45930</v>
      </c>
      <c r="K159" s="21"/>
      <c r="L159" s="23" t="s">
        <v>600</v>
      </c>
      <c r="M159" s="12"/>
      <c r="N159" s="24">
        <f t="shared" si="42"/>
        <v>985.84000000000015</v>
      </c>
      <c r="O159" s="24">
        <f t="shared" si="43"/>
        <v>4248.1811000000007</v>
      </c>
      <c r="P159" s="24">
        <f t="shared" si="37"/>
        <v>3868.79</v>
      </c>
      <c r="Q159" s="63">
        <f t="shared" si="38"/>
        <v>223.19959476891904</v>
      </c>
      <c r="R159" s="24">
        <v>3608.79</v>
      </c>
      <c r="S159" s="25">
        <v>260</v>
      </c>
      <c r="T159" s="25">
        <v>0</v>
      </c>
      <c r="U159" s="12"/>
      <c r="V159" s="10"/>
      <c r="W159" s="29" t="s">
        <v>601</v>
      </c>
      <c r="X159" s="25" t="s">
        <v>602</v>
      </c>
      <c r="Y159" s="25">
        <v>2622.95</v>
      </c>
      <c r="Z159" s="25">
        <v>2622.95</v>
      </c>
      <c r="AA159" s="25">
        <v>2550.4499999999998</v>
      </c>
      <c r="AB159" s="25">
        <f t="shared" si="41"/>
        <v>151.33567966766674</v>
      </c>
      <c r="AC159" s="19">
        <v>45444</v>
      </c>
      <c r="AD159" s="19">
        <v>46173</v>
      </c>
    </row>
    <row r="160" spans="1:30" x14ac:dyDescent="0.2">
      <c r="A160" s="13">
        <v>166</v>
      </c>
      <c r="B160" s="14" t="str">
        <f>_xlfn.XLOOKUP(D160,'[1]Sleutelplan nieuw'!B:B,'[1]Sleutelplan nieuw'!A:A,"",2)</f>
        <v>0100</v>
      </c>
      <c r="C160" s="15" t="s">
        <v>25</v>
      </c>
      <c r="D160" s="23" t="s">
        <v>603</v>
      </c>
      <c r="E160" s="18" t="s">
        <v>604</v>
      </c>
      <c r="F160" s="23" t="s">
        <v>151</v>
      </c>
      <c r="G160" s="18">
        <v>5</v>
      </c>
      <c r="H160" s="18">
        <v>3</v>
      </c>
      <c r="I160" s="21">
        <v>45479</v>
      </c>
      <c r="J160" s="21">
        <v>45843</v>
      </c>
      <c r="K160" s="21"/>
      <c r="L160" s="23" t="s">
        <v>180</v>
      </c>
      <c r="M160" s="23"/>
      <c r="N160" s="24">
        <f t="shared" si="42"/>
        <v>1217.21</v>
      </c>
      <c r="O160" s="24">
        <f t="shared" si="43"/>
        <v>3559.0217000000002</v>
      </c>
      <c r="P160" s="24">
        <f t="shared" si="37"/>
        <v>3232.13</v>
      </c>
      <c r="Q160" s="24">
        <f t="shared" si="38"/>
        <v>149.17534551949655</v>
      </c>
      <c r="R160" s="24">
        <v>2932.13</v>
      </c>
      <c r="S160" s="25">
        <v>300</v>
      </c>
      <c r="T160" s="25">
        <v>0</v>
      </c>
      <c r="U160" s="12"/>
      <c r="V160" s="10"/>
      <c r="W160" s="29" t="s">
        <v>605</v>
      </c>
      <c r="X160" s="25" t="s">
        <v>606</v>
      </c>
      <c r="Y160" s="25">
        <v>1714.92</v>
      </c>
      <c r="Z160" s="25">
        <v>1714.92</v>
      </c>
      <c r="AA160" s="25">
        <v>1714.92</v>
      </c>
      <c r="AB160" s="25">
        <f t="shared" si="41"/>
        <v>79.156242787906763</v>
      </c>
      <c r="AC160" s="17"/>
    </row>
    <row r="161" spans="1:30" ht="16" x14ac:dyDescent="0.2">
      <c r="A161" s="13">
        <v>167</v>
      </c>
      <c r="B161" s="14" t="str">
        <f>_xlfn.XLOOKUP(D161,'[1]Sleutelplan nieuw'!B:B,'[1]Sleutelplan nieuw'!A:A,"",2)</f>
        <v>0101</v>
      </c>
      <c r="C161" s="15" t="s">
        <v>25</v>
      </c>
      <c r="D161" s="23" t="s">
        <v>607</v>
      </c>
      <c r="E161" s="18" t="s">
        <v>608</v>
      </c>
      <c r="F161" s="23" t="s">
        <v>283</v>
      </c>
      <c r="G161" s="18">
        <v>4</v>
      </c>
      <c r="H161" s="18">
        <v>4</v>
      </c>
      <c r="I161" s="21">
        <v>45996</v>
      </c>
      <c r="J161" s="21">
        <v>46360</v>
      </c>
      <c r="K161" s="39"/>
      <c r="L161" s="22" t="s">
        <v>609</v>
      </c>
      <c r="M161" s="48" t="s">
        <v>610</v>
      </c>
      <c r="N161" s="24">
        <f t="shared" si="42"/>
        <v>603.48999999999978</v>
      </c>
      <c r="O161" s="24">
        <f t="shared" si="43"/>
        <v>3354.5</v>
      </c>
      <c r="P161" s="24">
        <f t="shared" si="37"/>
        <v>3050</v>
      </c>
      <c r="Q161" s="24">
        <f t="shared" si="38"/>
        <v>175.96167381667217</v>
      </c>
      <c r="R161" s="24">
        <v>2800</v>
      </c>
      <c r="S161" s="25">
        <v>250</v>
      </c>
      <c r="T161" s="25">
        <v>0</v>
      </c>
      <c r="U161" s="12"/>
      <c r="V161" s="10"/>
      <c r="W161" s="29" t="s">
        <v>48</v>
      </c>
      <c r="X161" s="25" t="s">
        <v>49</v>
      </c>
      <c r="Y161" s="25">
        <v>2196.5100000000002</v>
      </c>
      <c r="Z161" s="25">
        <v>2196.5100000000002</v>
      </c>
      <c r="AA161" s="25">
        <v>2196.5100000000002</v>
      </c>
      <c r="AB161" s="25">
        <f t="shared" si="41"/>
        <v>126.73147934456497</v>
      </c>
      <c r="AC161" s="19">
        <v>44958</v>
      </c>
      <c r="AD161" s="19">
        <v>45322</v>
      </c>
    </row>
    <row r="162" spans="1:30" x14ac:dyDescent="0.2">
      <c r="A162" s="13">
        <v>168</v>
      </c>
      <c r="B162" s="14" t="str">
        <f>_xlfn.XLOOKUP(D162,'[1]Sleutelplan nieuw'!B:B,'[1]Sleutelplan nieuw'!A:A,"",2)</f>
        <v>0020</v>
      </c>
      <c r="C162" s="15" t="s">
        <v>25</v>
      </c>
      <c r="D162" s="23" t="s">
        <v>611</v>
      </c>
      <c r="E162" s="18" t="s">
        <v>612</v>
      </c>
      <c r="F162" s="23" t="s">
        <v>34</v>
      </c>
      <c r="G162" s="30">
        <v>3</v>
      </c>
      <c r="H162" s="30">
        <v>2</v>
      </c>
      <c r="I162" s="44">
        <v>44958</v>
      </c>
      <c r="J162" s="44">
        <v>45323</v>
      </c>
      <c r="K162" s="21"/>
      <c r="L162" s="23" t="s">
        <v>35</v>
      </c>
      <c r="M162" s="23"/>
      <c r="N162" s="24">
        <f t="shared" si="42"/>
        <v>323.44000000000005</v>
      </c>
      <c r="O162" s="24">
        <f t="shared" si="43"/>
        <v>1878.5496000000003</v>
      </c>
      <c r="P162" s="24">
        <f t="shared" si="37"/>
        <v>1723.44</v>
      </c>
      <c r="Q162" s="24">
        <f t="shared" si="38"/>
        <v>132.57240967108436</v>
      </c>
      <c r="R162" s="24">
        <v>1723.44</v>
      </c>
      <c r="S162" s="25">
        <v>0</v>
      </c>
      <c r="T162" s="25">
        <v>0</v>
      </c>
      <c r="U162" s="12"/>
      <c r="V162" s="10"/>
      <c r="W162" s="17" t="s">
        <v>129</v>
      </c>
      <c r="X162" s="12"/>
      <c r="Y162" s="24">
        <v>1400</v>
      </c>
      <c r="Z162" s="24">
        <v>1400</v>
      </c>
      <c r="AA162" s="45">
        <v>1400</v>
      </c>
      <c r="AB162" s="25">
        <f t="shared" ref="AB162:AB194" si="44">(Z162/G162)/4.33333</f>
        <v>107.6923905326081</v>
      </c>
      <c r="AC162" s="19">
        <v>44927</v>
      </c>
      <c r="AD162" s="19">
        <v>45292</v>
      </c>
    </row>
    <row r="163" spans="1:30" ht="16" x14ac:dyDescent="0.2">
      <c r="A163" s="13">
        <v>169</v>
      </c>
      <c r="B163" s="33" t="s">
        <v>613</v>
      </c>
      <c r="C163" s="15" t="s">
        <v>25</v>
      </c>
      <c r="D163" s="23" t="s">
        <v>614</v>
      </c>
      <c r="E163" s="18" t="s">
        <v>615</v>
      </c>
      <c r="F163" s="23" t="s">
        <v>151</v>
      </c>
      <c r="G163" s="30">
        <v>3</v>
      </c>
      <c r="H163" s="30">
        <v>2</v>
      </c>
      <c r="I163" s="44">
        <v>45811</v>
      </c>
      <c r="J163" s="44" t="s">
        <v>337</v>
      </c>
      <c r="K163" s="21"/>
      <c r="L163" s="22" t="s">
        <v>35</v>
      </c>
      <c r="M163" s="23"/>
      <c r="N163" s="24">
        <f t="shared" si="42"/>
        <v>464.03999999999996</v>
      </c>
      <c r="O163" s="24">
        <f t="shared" si="43"/>
        <v>1853.0000000000002</v>
      </c>
      <c r="P163" s="24">
        <f t="shared" si="37"/>
        <v>1700</v>
      </c>
      <c r="Q163" s="24">
        <f t="shared" si="38"/>
        <v>130.76933136102411</v>
      </c>
      <c r="R163" s="24">
        <v>1700</v>
      </c>
      <c r="S163" s="25"/>
      <c r="T163" s="25">
        <v>0</v>
      </c>
      <c r="U163" s="12"/>
      <c r="V163" s="10"/>
      <c r="W163" s="17" t="s">
        <v>616</v>
      </c>
      <c r="X163" s="12"/>
      <c r="Y163" s="24">
        <v>1235.96</v>
      </c>
      <c r="Z163" s="24">
        <v>1235.96</v>
      </c>
      <c r="AA163" s="45">
        <v>1235.96</v>
      </c>
      <c r="AB163" s="25">
        <f t="shared" si="44"/>
        <v>95.073919287630218</v>
      </c>
      <c r="AC163" s="19">
        <v>44986</v>
      </c>
      <c r="AD163" s="19">
        <v>45350</v>
      </c>
    </row>
    <row r="164" spans="1:30" x14ac:dyDescent="0.2">
      <c r="A164" s="13">
        <v>170</v>
      </c>
      <c r="B164" s="14" t="str">
        <f>_xlfn.XLOOKUP(D164,'[1]Sleutelplan nieuw'!B:B,'[1]Sleutelplan nieuw'!A:A,"",2)</f>
        <v>0104</v>
      </c>
      <c r="C164" s="15" t="s">
        <v>50</v>
      </c>
      <c r="D164" s="23" t="s">
        <v>617</v>
      </c>
      <c r="E164" s="18" t="s">
        <v>618</v>
      </c>
      <c r="F164" s="23" t="s">
        <v>151</v>
      </c>
      <c r="G164" s="18">
        <v>3</v>
      </c>
      <c r="H164" s="18">
        <v>3</v>
      </c>
      <c r="I164" s="21">
        <v>44562</v>
      </c>
      <c r="J164" s="21">
        <v>44926</v>
      </c>
      <c r="K164" s="21"/>
      <c r="L164" s="23" t="s">
        <v>180</v>
      </c>
      <c r="M164" s="23"/>
      <c r="N164" s="24">
        <f t="shared" si="42"/>
        <v>788.81000000000017</v>
      </c>
      <c r="O164" s="24">
        <f>R164*1.09+S164*1.09</f>
        <v>2892.7292000000002</v>
      </c>
      <c r="P164" s="24">
        <f t="shared" si="37"/>
        <v>2653.88</v>
      </c>
      <c r="Q164" s="24">
        <f t="shared" si="38"/>
        <v>204.1447724190557</v>
      </c>
      <c r="R164" s="24">
        <v>2278.88</v>
      </c>
      <c r="S164" s="25">
        <v>375</v>
      </c>
      <c r="T164" s="25">
        <v>0</v>
      </c>
      <c r="U164" s="16"/>
      <c r="V164" s="10"/>
      <c r="W164" s="29" t="s">
        <v>619</v>
      </c>
      <c r="X164" s="25" t="s">
        <v>620</v>
      </c>
      <c r="Y164" s="25">
        <v>1490.07</v>
      </c>
      <c r="Z164" s="25">
        <v>1490.07</v>
      </c>
      <c r="AA164" s="25">
        <v>1490.07</v>
      </c>
      <c r="AB164" s="25">
        <f t="shared" si="44"/>
        <v>114.62085740065953</v>
      </c>
      <c r="AC164" s="19">
        <v>44053</v>
      </c>
      <c r="AD164" s="17" t="s">
        <v>296</v>
      </c>
    </row>
    <row r="165" spans="1:30" x14ac:dyDescent="0.2">
      <c r="A165" s="13">
        <v>171</v>
      </c>
      <c r="B165" s="14" t="str">
        <f>_xlfn.XLOOKUP(D165,'[1]Sleutelplan nieuw'!B:B,'[1]Sleutelplan nieuw'!A:A,"",2)</f>
        <v>0102</v>
      </c>
      <c r="C165" s="15" t="s">
        <v>25</v>
      </c>
      <c r="D165" s="23" t="s">
        <v>621</v>
      </c>
      <c r="E165" s="18" t="s">
        <v>618</v>
      </c>
      <c r="F165" s="23" t="s">
        <v>151</v>
      </c>
      <c r="G165" s="18">
        <v>3</v>
      </c>
      <c r="H165" s="18">
        <v>2</v>
      </c>
      <c r="I165" s="21">
        <v>44562</v>
      </c>
      <c r="J165" s="21">
        <v>44926</v>
      </c>
      <c r="K165" s="21"/>
      <c r="L165" s="23" t="s">
        <v>180</v>
      </c>
      <c r="M165" s="23"/>
      <c r="N165" s="24">
        <f t="shared" si="42"/>
        <v>395.85000000000014</v>
      </c>
      <c r="O165" s="24">
        <f>R165*1.09+S165*1.09</f>
        <v>2222.4010000000003</v>
      </c>
      <c r="P165" s="24">
        <f t="shared" si="37"/>
        <v>2038.9</v>
      </c>
      <c r="Q165" s="24">
        <f t="shared" si="38"/>
        <v>156.83858218352475</v>
      </c>
      <c r="R165" s="24">
        <v>1738.9</v>
      </c>
      <c r="S165" s="25">
        <v>300</v>
      </c>
      <c r="T165" s="25">
        <v>0</v>
      </c>
      <c r="U165" s="12"/>
      <c r="V165" s="10"/>
      <c r="W165" s="29" t="s">
        <v>605</v>
      </c>
      <c r="X165" s="25" t="s">
        <v>606</v>
      </c>
      <c r="Y165" s="25">
        <v>1343.05</v>
      </c>
      <c r="Z165" s="25">
        <v>1343.05</v>
      </c>
      <c r="AA165" s="25">
        <v>1343.05</v>
      </c>
      <c r="AB165" s="25">
        <f t="shared" si="44"/>
        <v>103.31161793201379</v>
      </c>
      <c r="AC165" s="19">
        <v>44130</v>
      </c>
      <c r="AD165" s="19">
        <v>44500</v>
      </c>
    </row>
    <row r="166" spans="1:30" x14ac:dyDescent="0.2">
      <c r="A166" s="13">
        <v>172</v>
      </c>
      <c r="B166" s="14" t="str">
        <f>_xlfn.XLOOKUP(D166,'[1]Sleutelplan nieuw'!B:B,'[1]Sleutelplan nieuw'!A:A,"",2)</f>
        <v>0046</v>
      </c>
      <c r="C166" s="15" t="s">
        <v>25</v>
      </c>
      <c r="D166" s="23" t="s">
        <v>622</v>
      </c>
      <c r="E166" s="18" t="s">
        <v>623</v>
      </c>
      <c r="F166" s="23" t="s">
        <v>28</v>
      </c>
      <c r="G166" s="18">
        <v>3</v>
      </c>
      <c r="H166" s="18">
        <v>3</v>
      </c>
      <c r="I166" s="21">
        <v>45667</v>
      </c>
      <c r="J166" s="21">
        <v>46032</v>
      </c>
      <c r="K166" s="21"/>
      <c r="L166" s="23" t="s">
        <v>624</v>
      </c>
      <c r="M166" s="23"/>
      <c r="N166" s="24">
        <f t="shared" si="42"/>
        <v>686.09999999999991</v>
      </c>
      <c r="O166" s="24">
        <f t="shared" ref="O166:O192" si="45">R166*1.09+S166*1.21</f>
        <v>2624.8490000000002</v>
      </c>
      <c r="P166" s="24">
        <f t="shared" si="37"/>
        <v>2386.1</v>
      </c>
      <c r="Q166" s="24">
        <f t="shared" si="38"/>
        <v>183.54629503561156</v>
      </c>
      <c r="R166" s="24">
        <v>2186.1</v>
      </c>
      <c r="S166" s="25">
        <v>200</v>
      </c>
      <c r="T166" s="25"/>
      <c r="U166" s="16"/>
      <c r="V166" s="10"/>
      <c r="W166" s="29" t="s">
        <v>625</v>
      </c>
      <c r="X166" s="35" t="s">
        <v>626</v>
      </c>
      <c r="Y166" s="25">
        <v>1500</v>
      </c>
      <c r="Z166" s="25">
        <v>1500</v>
      </c>
      <c r="AA166" s="25">
        <v>1500</v>
      </c>
      <c r="AB166" s="25">
        <f t="shared" si="44"/>
        <v>115.38470414208011</v>
      </c>
      <c r="AC166" s="19">
        <v>45658</v>
      </c>
      <c r="AD166" s="19">
        <v>46023</v>
      </c>
    </row>
    <row r="167" spans="1:30" x14ac:dyDescent="0.2">
      <c r="A167" s="13">
        <v>173</v>
      </c>
      <c r="B167" s="33" t="s">
        <v>627</v>
      </c>
      <c r="C167" s="15" t="s">
        <v>50</v>
      </c>
      <c r="D167" s="23" t="s">
        <v>628</v>
      </c>
      <c r="E167" s="18" t="s">
        <v>629</v>
      </c>
      <c r="F167" s="23" t="s">
        <v>630</v>
      </c>
      <c r="G167" s="18">
        <v>4</v>
      </c>
      <c r="H167" s="18">
        <v>3</v>
      </c>
      <c r="I167" s="21">
        <v>45231</v>
      </c>
      <c r="J167" s="21">
        <v>45596</v>
      </c>
      <c r="K167" s="21"/>
      <c r="L167" s="23" t="s">
        <v>122</v>
      </c>
      <c r="M167" s="23"/>
      <c r="N167" s="24">
        <f t="shared" si="42"/>
        <v>503.46000000000004</v>
      </c>
      <c r="O167" s="24">
        <f t="shared" si="45"/>
        <v>2727.2754</v>
      </c>
      <c r="P167" s="24">
        <f t="shared" si="37"/>
        <v>2469.06</v>
      </c>
      <c r="Q167" s="24">
        <f t="shared" si="38"/>
        <v>142.44587880452215</v>
      </c>
      <c r="R167" s="24">
        <v>2169.06</v>
      </c>
      <c r="S167" s="25">
        <v>300</v>
      </c>
      <c r="T167" s="25">
        <v>0</v>
      </c>
      <c r="U167" s="16"/>
      <c r="V167" s="10"/>
      <c r="W167" s="29" t="s">
        <v>631</v>
      </c>
      <c r="X167" s="25" t="s">
        <v>632</v>
      </c>
      <c r="Y167" s="25">
        <v>1665.6</v>
      </c>
      <c r="Z167" s="25">
        <v>1665.6</v>
      </c>
      <c r="AA167" s="25">
        <v>1665.6</v>
      </c>
      <c r="AB167" s="25">
        <f t="shared" si="44"/>
        <v>96.09238160952431</v>
      </c>
      <c r="AC167" s="19">
        <v>45231</v>
      </c>
      <c r="AD167" s="19">
        <v>45596</v>
      </c>
    </row>
    <row r="168" spans="1:30" x14ac:dyDescent="0.2">
      <c r="A168" s="13">
        <v>174</v>
      </c>
      <c r="B168" s="14" t="str">
        <f>_xlfn.XLOOKUP(D168,'[1]Sleutelplan nieuw'!B:B,'[1]Sleutelplan nieuw'!A:A,"",2)</f>
        <v>0328</v>
      </c>
      <c r="C168" s="15" t="s">
        <v>25</v>
      </c>
      <c r="D168" s="23" t="s">
        <v>633</v>
      </c>
      <c r="E168" s="18" t="s">
        <v>634</v>
      </c>
      <c r="F168" s="23" t="s">
        <v>128</v>
      </c>
      <c r="G168" s="18">
        <v>2</v>
      </c>
      <c r="H168" s="18">
        <v>2</v>
      </c>
      <c r="I168" s="21">
        <v>45675</v>
      </c>
      <c r="J168" s="21">
        <v>45856</v>
      </c>
      <c r="K168" s="21"/>
      <c r="L168" s="23" t="s">
        <v>146</v>
      </c>
      <c r="M168" s="22"/>
      <c r="N168" s="24">
        <f t="shared" si="42"/>
        <v>250</v>
      </c>
      <c r="O168" s="24">
        <f t="shared" si="45"/>
        <v>2149.5</v>
      </c>
      <c r="P168" s="24">
        <f t="shared" si="37"/>
        <v>1950</v>
      </c>
      <c r="Q168" s="24">
        <f t="shared" si="38"/>
        <v>225.00017307705622</v>
      </c>
      <c r="R168" s="24">
        <v>1750</v>
      </c>
      <c r="S168" s="25">
        <v>200</v>
      </c>
      <c r="T168" s="25"/>
      <c r="U168" s="12"/>
      <c r="V168" s="10"/>
      <c r="W168" s="29" t="s">
        <v>129</v>
      </c>
      <c r="X168" s="25"/>
      <c r="Y168" s="25">
        <v>1500</v>
      </c>
      <c r="Z168" s="25">
        <v>1500</v>
      </c>
      <c r="AA168" s="25">
        <v>1500</v>
      </c>
      <c r="AB168" s="25">
        <f t="shared" si="44"/>
        <v>173.07705621312016</v>
      </c>
      <c r="AC168" s="19">
        <v>45689</v>
      </c>
      <c r="AD168" s="19">
        <v>46054</v>
      </c>
    </row>
    <row r="169" spans="1:30" x14ac:dyDescent="0.2">
      <c r="A169" s="13">
        <v>175</v>
      </c>
      <c r="B169" s="14" t="str">
        <f>_xlfn.XLOOKUP(D169,'[1]Sleutelplan nieuw'!B:B,'[1]Sleutelplan nieuw'!A:A,"",2)</f>
        <v>0329</v>
      </c>
      <c r="C169" s="15" t="s">
        <v>25</v>
      </c>
      <c r="D169" s="23" t="s">
        <v>635</v>
      </c>
      <c r="E169" s="18" t="s">
        <v>634</v>
      </c>
      <c r="F169" s="23" t="s">
        <v>128</v>
      </c>
      <c r="G169" s="18">
        <v>2</v>
      </c>
      <c r="H169" s="18">
        <v>2</v>
      </c>
      <c r="I169" s="21">
        <v>45675</v>
      </c>
      <c r="J169" s="21">
        <v>45856</v>
      </c>
      <c r="K169" s="21"/>
      <c r="L169" s="23" t="s">
        <v>146</v>
      </c>
      <c r="M169" s="22"/>
      <c r="N169" s="24">
        <f t="shared" si="42"/>
        <v>250</v>
      </c>
      <c r="O169" s="24">
        <f t="shared" si="45"/>
        <v>2149.5</v>
      </c>
      <c r="P169" s="24">
        <f t="shared" si="37"/>
        <v>1950</v>
      </c>
      <c r="Q169" s="24">
        <f t="shared" si="38"/>
        <v>225.00017307705622</v>
      </c>
      <c r="R169" s="24">
        <v>1750</v>
      </c>
      <c r="S169" s="25">
        <v>200</v>
      </c>
      <c r="T169" s="25"/>
      <c r="U169" s="12"/>
      <c r="V169" s="10"/>
      <c r="W169" s="29" t="s">
        <v>129</v>
      </c>
      <c r="X169" s="25"/>
      <c r="Y169" s="25">
        <v>1500</v>
      </c>
      <c r="Z169" s="25">
        <v>1500</v>
      </c>
      <c r="AA169" s="25">
        <v>1500</v>
      </c>
      <c r="AB169" s="25">
        <f t="shared" si="44"/>
        <v>173.07705621312016</v>
      </c>
      <c r="AC169" s="19">
        <v>45689</v>
      </c>
      <c r="AD169" s="19">
        <v>46054</v>
      </c>
    </row>
    <row r="170" spans="1:30" x14ac:dyDescent="0.2">
      <c r="A170" s="13">
        <v>176</v>
      </c>
      <c r="B170" s="14" t="str">
        <f>_xlfn.XLOOKUP(D170,'[1]Sleutelplan nieuw'!B:B,'[1]Sleutelplan nieuw'!A:A,"",2)</f>
        <v>0330</v>
      </c>
      <c r="C170" s="15" t="s">
        <v>25</v>
      </c>
      <c r="D170" s="23" t="s">
        <v>636</v>
      </c>
      <c r="E170" s="18" t="s">
        <v>634</v>
      </c>
      <c r="F170" s="23" t="s">
        <v>128</v>
      </c>
      <c r="G170" s="18">
        <v>2</v>
      </c>
      <c r="H170" s="18">
        <v>2</v>
      </c>
      <c r="I170" s="21">
        <v>45675</v>
      </c>
      <c r="J170" s="21">
        <v>45856</v>
      </c>
      <c r="K170" s="21"/>
      <c r="L170" s="23" t="s">
        <v>146</v>
      </c>
      <c r="M170" s="22"/>
      <c r="N170" s="24">
        <f t="shared" si="42"/>
        <v>250</v>
      </c>
      <c r="O170" s="24">
        <f t="shared" si="45"/>
        <v>2149.5</v>
      </c>
      <c r="P170" s="24">
        <f t="shared" si="37"/>
        <v>1950</v>
      </c>
      <c r="Q170" s="24">
        <f t="shared" si="38"/>
        <v>225.00017307705622</v>
      </c>
      <c r="R170" s="24">
        <v>1750</v>
      </c>
      <c r="S170" s="25">
        <v>200</v>
      </c>
      <c r="T170" s="25"/>
      <c r="U170" s="12"/>
      <c r="V170" s="10"/>
      <c r="W170" s="29" t="s">
        <v>129</v>
      </c>
      <c r="X170" s="25"/>
      <c r="Y170" s="25">
        <v>1500</v>
      </c>
      <c r="Z170" s="25">
        <v>1500</v>
      </c>
      <c r="AA170" s="25">
        <v>1500</v>
      </c>
      <c r="AB170" s="25">
        <f t="shared" si="44"/>
        <v>173.07705621312016</v>
      </c>
      <c r="AC170" s="19">
        <v>45689</v>
      </c>
      <c r="AD170" s="19">
        <v>46054</v>
      </c>
    </row>
    <row r="171" spans="1:30" x14ac:dyDescent="0.2">
      <c r="A171" s="13">
        <v>177</v>
      </c>
      <c r="B171" s="14" t="str">
        <f>_xlfn.XLOOKUP(D171,'[1]Sleutelplan nieuw'!B:B,'[1]Sleutelplan nieuw'!A:A,"",2)</f>
        <v>0001</v>
      </c>
      <c r="C171" s="15" t="s">
        <v>25</v>
      </c>
      <c r="D171" s="23" t="s">
        <v>637</v>
      </c>
      <c r="E171" s="18" t="s">
        <v>638</v>
      </c>
      <c r="F171" s="23" t="s">
        <v>117</v>
      </c>
      <c r="G171" s="27">
        <v>4</v>
      </c>
      <c r="H171" s="27">
        <v>3</v>
      </c>
      <c r="I171" s="19">
        <v>44946</v>
      </c>
      <c r="J171" s="20">
        <v>45250</v>
      </c>
      <c r="L171" s="23" t="s">
        <v>118</v>
      </c>
      <c r="M171" s="22"/>
      <c r="N171" s="24">
        <f t="shared" si="42"/>
        <v>444.53</v>
      </c>
      <c r="O171" s="24">
        <f t="shared" si="45"/>
        <v>1994.1877000000002</v>
      </c>
      <c r="P171" s="24">
        <f t="shared" si="37"/>
        <v>1829.53</v>
      </c>
      <c r="Q171" s="24">
        <f t="shared" si="38"/>
        <v>105.54988888452991</v>
      </c>
      <c r="R171" s="28">
        <v>1829.53</v>
      </c>
      <c r="S171" s="25">
        <v>0</v>
      </c>
      <c r="T171" s="25">
        <v>0</v>
      </c>
      <c r="U171" s="12"/>
      <c r="V171" s="10"/>
      <c r="W171" s="17" t="s">
        <v>639</v>
      </c>
      <c r="X171" s="12"/>
      <c r="Y171" s="64">
        <v>1385</v>
      </c>
      <c r="Z171" s="64">
        <v>1385</v>
      </c>
      <c r="AA171" s="64">
        <v>1385</v>
      </c>
      <c r="AB171" s="25">
        <f t="shared" si="44"/>
        <v>79.903907618390477</v>
      </c>
      <c r="AC171" s="19">
        <v>44896</v>
      </c>
      <c r="AD171" s="19">
        <v>45260</v>
      </c>
    </row>
    <row r="172" spans="1:30" ht="16" x14ac:dyDescent="0.2">
      <c r="A172" s="13">
        <v>178</v>
      </c>
      <c r="B172" s="14" t="str">
        <f>_xlfn.XLOOKUP(D172,'[1]Sleutelplan nieuw'!B:B,'[1]Sleutelplan nieuw'!A:A,"",2)</f>
        <v>0041</v>
      </c>
      <c r="C172" s="15" t="s">
        <v>25</v>
      </c>
      <c r="D172" s="23" t="s">
        <v>640</v>
      </c>
      <c r="E172" s="18" t="s">
        <v>641</v>
      </c>
      <c r="F172" s="23" t="s">
        <v>117</v>
      </c>
      <c r="G172" s="30">
        <v>4</v>
      </c>
      <c r="H172" s="30">
        <v>3</v>
      </c>
      <c r="I172" s="44"/>
      <c r="J172" s="44"/>
      <c r="K172" s="21"/>
      <c r="L172" s="22"/>
      <c r="M172" s="34" t="s">
        <v>62</v>
      </c>
      <c r="N172" s="24">
        <f t="shared" si="42"/>
        <v>0</v>
      </c>
      <c r="O172" s="24"/>
      <c r="P172" s="24"/>
      <c r="Q172" s="24"/>
      <c r="R172" s="24"/>
      <c r="S172" s="25">
        <v>0</v>
      </c>
      <c r="T172" s="25">
        <v>0</v>
      </c>
      <c r="U172" s="12"/>
      <c r="V172" s="10"/>
      <c r="W172" s="17" t="s">
        <v>639</v>
      </c>
      <c r="X172" s="12"/>
      <c r="Y172" s="45"/>
      <c r="Z172" s="45"/>
      <c r="AA172" s="45"/>
      <c r="AB172" s="25"/>
      <c r="AC172" s="19">
        <v>45002</v>
      </c>
      <c r="AD172" s="19">
        <v>45367</v>
      </c>
    </row>
    <row r="173" spans="1:30" x14ac:dyDescent="0.2">
      <c r="A173" s="13">
        <v>179</v>
      </c>
      <c r="B173" s="14" t="str">
        <f>_xlfn.XLOOKUP(D173,'[1]Sleutelplan nieuw'!B:B,'[1]Sleutelplan nieuw'!A:A,"",2)</f>
        <v>0336</v>
      </c>
      <c r="C173" s="15" t="s">
        <v>25</v>
      </c>
      <c r="D173" s="23" t="s">
        <v>642</v>
      </c>
      <c r="E173" s="18" t="s">
        <v>643</v>
      </c>
      <c r="F173" s="23" t="s">
        <v>514</v>
      </c>
      <c r="G173" s="30">
        <v>6</v>
      </c>
      <c r="H173" s="30">
        <v>3</v>
      </c>
      <c r="I173" s="44">
        <v>45931</v>
      </c>
      <c r="J173" s="44"/>
      <c r="K173" s="21"/>
      <c r="L173" s="23" t="s">
        <v>35</v>
      </c>
      <c r="M173" s="48" t="s">
        <v>515</v>
      </c>
      <c r="N173" s="24">
        <f t="shared" si="42"/>
        <v>500</v>
      </c>
      <c r="O173" s="24">
        <f t="shared" si="45"/>
        <v>3584.5000000000005</v>
      </c>
      <c r="P173" s="24">
        <f t="shared" si="37"/>
        <v>3250</v>
      </c>
      <c r="Q173" s="24">
        <f t="shared" si="38"/>
        <v>125.00009615392011</v>
      </c>
      <c r="R173" s="24">
        <v>2900</v>
      </c>
      <c r="S173" s="52">
        <v>350</v>
      </c>
      <c r="T173" s="25"/>
      <c r="U173" s="12"/>
      <c r="V173" s="10"/>
      <c r="W173" s="17" t="s">
        <v>270</v>
      </c>
      <c r="X173" s="46" t="s">
        <v>271</v>
      </c>
      <c r="Y173" s="24">
        <v>2400</v>
      </c>
      <c r="Z173" s="24">
        <v>2400</v>
      </c>
      <c r="AA173" s="45">
        <v>2400</v>
      </c>
      <c r="AB173" s="25">
        <f t="shared" si="44"/>
        <v>92.307763313664083</v>
      </c>
      <c r="AC173" s="19">
        <v>45705</v>
      </c>
      <c r="AD173" s="19">
        <v>46070</v>
      </c>
    </row>
    <row r="174" spans="1:30" x14ac:dyDescent="0.2">
      <c r="A174" s="13">
        <v>181</v>
      </c>
      <c r="B174" s="14" t="str">
        <f>_xlfn.XLOOKUP(D174,'[1]Sleutelplan nieuw'!B:B,'[1]Sleutelplan nieuw'!A:A,"",2)</f>
        <v>0110</v>
      </c>
      <c r="C174" s="15" t="s">
        <v>25</v>
      </c>
      <c r="D174" s="23" t="s">
        <v>644</v>
      </c>
      <c r="E174" s="18" t="s">
        <v>645</v>
      </c>
      <c r="F174" s="23" t="s">
        <v>646</v>
      </c>
      <c r="G174" s="18">
        <v>4</v>
      </c>
      <c r="H174" s="18">
        <v>4</v>
      </c>
      <c r="I174" s="21">
        <v>44835</v>
      </c>
      <c r="J174" s="21">
        <v>44651</v>
      </c>
      <c r="K174" s="21"/>
      <c r="L174" s="23" t="s">
        <v>647</v>
      </c>
      <c r="M174" s="12"/>
      <c r="N174" s="24">
        <f t="shared" si="42"/>
        <v>507.96000000000004</v>
      </c>
      <c r="O174" s="24">
        <f t="shared" si="45"/>
        <v>2805.0796</v>
      </c>
      <c r="P174" s="24">
        <f t="shared" si="37"/>
        <v>2540.44</v>
      </c>
      <c r="Q174" s="24">
        <f t="shared" si="38"/>
        <v>146.56395889535298</v>
      </c>
      <c r="R174" s="24">
        <v>2240.44</v>
      </c>
      <c r="S174" s="25">
        <v>300</v>
      </c>
      <c r="T174" s="25">
        <v>0</v>
      </c>
      <c r="U174" s="12"/>
      <c r="V174" s="10"/>
      <c r="W174" s="29" t="s">
        <v>419</v>
      </c>
      <c r="X174" s="25" t="s">
        <v>348</v>
      </c>
      <c r="Y174" s="25">
        <v>1732.48</v>
      </c>
      <c r="Z174" s="25">
        <v>1732.48</v>
      </c>
      <c r="AA174" s="25">
        <v>1732.48</v>
      </c>
      <c r="AB174" s="25">
        <f t="shared" si="44"/>
        <v>99.950846116035478</v>
      </c>
      <c r="AC174" s="19">
        <v>43983</v>
      </c>
      <c r="AD174" s="19">
        <v>44347</v>
      </c>
    </row>
    <row r="175" spans="1:30" ht="16" x14ac:dyDescent="0.2">
      <c r="A175" s="13"/>
      <c r="B175" s="33" t="s">
        <v>648</v>
      </c>
      <c r="C175" s="15" t="s">
        <v>50</v>
      </c>
      <c r="D175" s="23" t="s">
        <v>649</v>
      </c>
      <c r="E175" s="18" t="s">
        <v>650</v>
      </c>
      <c r="F175" s="23" t="s">
        <v>128</v>
      </c>
      <c r="G175" s="30">
        <v>2</v>
      </c>
      <c r="H175" s="30">
        <v>2</v>
      </c>
      <c r="I175" s="44">
        <v>45884</v>
      </c>
      <c r="J175" s="44">
        <v>46248</v>
      </c>
      <c r="K175" s="21"/>
      <c r="L175" s="22" t="s">
        <v>651</v>
      </c>
      <c r="M175" s="22"/>
      <c r="N175" s="24">
        <f t="shared" si="42"/>
        <v>425</v>
      </c>
      <c r="O175" s="24">
        <f t="shared" si="45"/>
        <v>1925.5000000000002</v>
      </c>
      <c r="P175" s="24">
        <f t="shared" si="37"/>
        <v>1750</v>
      </c>
      <c r="Q175" s="24">
        <f t="shared" si="38"/>
        <v>201.92323224864018</v>
      </c>
      <c r="R175" s="24">
        <v>1600</v>
      </c>
      <c r="S175" s="25">
        <v>150</v>
      </c>
      <c r="T175" s="25"/>
      <c r="U175" s="12"/>
      <c r="V175" s="10"/>
      <c r="W175" s="29" t="s">
        <v>652</v>
      </c>
      <c r="X175" s="35" t="s">
        <v>653</v>
      </c>
      <c r="Y175" s="25">
        <v>1175</v>
      </c>
      <c r="Z175" s="25">
        <v>1175</v>
      </c>
      <c r="AA175" s="25">
        <v>1175</v>
      </c>
      <c r="AB175" s="25">
        <f t="shared" si="44"/>
        <v>135.57702736694412</v>
      </c>
      <c r="AC175" s="19">
        <v>45870</v>
      </c>
      <c r="AD175" s="19">
        <v>46599</v>
      </c>
    </row>
    <row r="176" spans="1:30" x14ac:dyDescent="0.2">
      <c r="A176" s="13">
        <v>182</v>
      </c>
      <c r="B176" s="14" t="str" cm="1">
        <f t="array" ref="B176">_xlfn.XLOOKUP(LEFT(D176,3),LEFT('[1]Sleutelplan nieuw'!B:B,3),'[1]Sleutelplan nieuw'!A:A,"",2)</f>
        <v>0112</v>
      </c>
      <c r="C176" s="15" t="s">
        <v>50</v>
      </c>
      <c r="D176" s="23" t="s">
        <v>654</v>
      </c>
      <c r="E176" s="18" t="s">
        <v>655</v>
      </c>
      <c r="F176" s="23" t="s">
        <v>656</v>
      </c>
      <c r="G176" s="18">
        <v>4</v>
      </c>
      <c r="H176" s="18">
        <v>4</v>
      </c>
      <c r="I176" s="21">
        <v>45697</v>
      </c>
      <c r="J176" s="21">
        <v>45786</v>
      </c>
      <c r="K176" s="39"/>
      <c r="L176" s="23" t="s">
        <v>94</v>
      </c>
      <c r="M176" s="22"/>
      <c r="N176" s="24">
        <f t="shared" si="42"/>
        <v>336.09999999999991</v>
      </c>
      <c r="O176" s="24">
        <f t="shared" si="45"/>
        <v>2571.88</v>
      </c>
      <c r="P176" s="24">
        <f t="shared" si="37"/>
        <v>2332</v>
      </c>
      <c r="Q176" s="24">
        <f t="shared" si="38"/>
        <v>134.53856502966539</v>
      </c>
      <c r="R176" s="24">
        <v>2082</v>
      </c>
      <c r="S176" s="25">
        <v>250</v>
      </c>
      <c r="T176" s="25">
        <v>0</v>
      </c>
      <c r="U176" s="12"/>
      <c r="V176" s="10"/>
      <c r="W176" s="29" t="s">
        <v>657</v>
      </c>
      <c r="X176" s="25" t="s">
        <v>658</v>
      </c>
      <c r="Y176" s="25">
        <v>1745.9</v>
      </c>
      <c r="Z176" s="25">
        <v>1745.9</v>
      </c>
      <c r="AA176" s="25">
        <v>1745.9</v>
      </c>
      <c r="AB176" s="25">
        <f t="shared" si="44"/>
        <v>100.72507748082883</v>
      </c>
      <c r="AC176" s="19">
        <v>44832</v>
      </c>
      <c r="AD176" s="19">
        <v>45196</v>
      </c>
    </row>
    <row r="177" spans="1:30" ht="16" x14ac:dyDescent="0.2">
      <c r="A177" s="13">
        <v>183</v>
      </c>
      <c r="B177" s="14" t="str">
        <f>_xlfn.XLOOKUP(D177,'[1]Sleutelplan nieuw'!B:B,'[1]Sleutelplan nieuw'!A:A,"",2)</f>
        <v>0042</v>
      </c>
      <c r="C177" s="15" t="s">
        <v>25</v>
      </c>
      <c r="D177" s="23" t="s">
        <v>659</v>
      </c>
      <c r="E177" s="18" t="s">
        <v>660</v>
      </c>
      <c r="F177" s="23" t="s">
        <v>34</v>
      </c>
      <c r="G177" s="30">
        <v>5</v>
      </c>
      <c r="H177" s="30">
        <v>3</v>
      </c>
      <c r="I177" s="44">
        <v>45008</v>
      </c>
      <c r="J177" s="44">
        <v>45374</v>
      </c>
      <c r="K177" s="21"/>
      <c r="L177" s="22" t="s">
        <v>35</v>
      </c>
      <c r="M177" s="22"/>
      <c r="N177" s="24">
        <f t="shared" si="42"/>
        <v>394</v>
      </c>
      <c r="O177" s="24">
        <f t="shared" si="45"/>
        <v>2269.38</v>
      </c>
      <c r="P177" s="24">
        <f t="shared" si="37"/>
        <v>2082</v>
      </c>
      <c r="Q177" s="24">
        <f t="shared" si="38"/>
        <v>96.09238160952431</v>
      </c>
      <c r="R177" s="24">
        <v>2082</v>
      </c>
      <c r="S177" s="25">
        <v>0</v>
      </c>
      <c r="T177" s="25">
        <v>0</v>
      </c>
      <c r="U177" s="12"/>
      <c r="V177" s="10"/>
      <c r="W177" s="17" t="s">
        <v>129</v>
      </c>
      <c r="X177" s="12"/>
      <c r="Y177" s="24">
        <v>1688</v>
      </c>
      <c r="Z177" s="24">
        <v>1688</v>
      </c>
      <c r="AA177" s="45">
        <v>1688</v>
      </c>
      <c r="AB177" s="25">
        <f t="shared" si="44"/>
        <v>77.907752236732492</v>
      </c>
      <c r="AC177" s="19">
        <v>44927</v>
      </c>
      <c r="AD177" s="19">
        <v>45292</v>
      </c>
    </row>
    <row r="178" spans="1:30" ht="16" x14ac:dyDescent="0.2">
      <c r="A178" s="13"/>
      <c r="B178" s="14" t="str">
        <f>_xlfn.XLOOKUP(D178,'[1]Sleutelplan nieuw'!B:B,'[1]Sleutelplan nieuw'!A:A,"",2)</f>
        <v>0380</v>
      </c>
      <c r="C178" s="15" t="s">
        <v>25</v>
      </c>
      <c r="D178" s="23" t="s">
        <v>661</v>
      </c>
      <c r="E178" s="18" t="s">
        <v>662</v>
      </c>
      <c r="F178" s="23" t="s">
        <v>34</v>
      </c>
      <c r="G178" s="30">
        <v>4</v>
      </c>
      <c r="H178" s="30">
        <v>3</v>
      </c>
      <c r="I178" s="44">
        <v>45920</v>
      </c>
      <c r="J178" s="44"/>
      <c r="K178" s="21"/>
      <c r="L178" s="22" t="s">
        <v>35</v>
      </c>
      <c r="M178" s="22"/>
      <c r="N178" s="24">
        <f>P178-S178-T178-Z178</f>
        <v>450</v>
      </c>
      <c r="O178" s="24">
        <f>R178*1.09+S178*1.21</f>
        <v>2591.5</v>
      </c>
      <c r="P178" s="24">
        <f>R178+S178</f>
        <v>2350</v>
      </c>
      <c r="Q178" s="24">
        <f>(P178/G178)/4.33333</f>
        <v>135.57702736694412</v>
      </c>
      <c r="R178" s="24">
        <v>2100</v>
      </c>
      <c r="S178" s="25">
        <v>250</v>
      </c>
      <c r="T178" s="25"/>
      <c r="U178" s="12"/>
      <c r="V178" s="10"/>
      <c r="W178" s="17" t="s">
        <v>166</v>
      </c>
      <c r="X178" s="65" t="s">
        <v>167</v>
      </c>
      <c r="Y178" s="24">
        <v>1650</v>
      </c>
      <c r="Z178" s="24">
        <v>1650</v>
      </c>
      <c r="AA178" s="45">
        <v>1650</v>
      </c>
      <c r="AB178" s="25">
        <f>(Z178/G178)/4.33333</f>
        <v>95.192380917216084</v>
      </c>
      <c r="AC178" s="19">
        <v>45915</v>
      </c>
      <c r="AD178" s="19">
        <v>46660</v>
      </c>
    </row>
    <row r="179" spans="1:30" ht="16" x14ac:dyDescent="0.2">
      <c r="A179" s="13"/>
      <c r="B179" s="14" t="str">
        <f>_xlfn.XLOOKUP(D179,'[1]Sleutelplan nieuw'!B:B,'[1]Sleutelplan nieuw'!A:A,"",2)</f>
        <v>0381</v>
      </c>
      <c r="C179" s="15" t="s">
        <v>25</v>
      </c>
      <c r="D179" s="23" t="s">
        <v>663</v>
      </c>
      <c r="E179" s="18" t="s">
        <v>662</v>
      </c>
      <c r="F179" s="23" t="s">
        <v>34</v>
      </c>
      <c r="G179" s="30">
        <v>4</v>
      </c>
      <c r="H179" s="30">
        <v>3</v>
      </c>
      <c r="I179" s="44">
        <v>45920</v>
      </c>
      <c r="J179" s="44"/>
      <c r="K179" s="21"/>
      <c r="L179" s="22" t="s">
        <v>35</v>
      </c>
      <c r="M179" s="22"/>
      <c r="N179" s="24">
        <f>P179-S179-T179-Z179</f>
        <v>450</v>
      </c>
      <c r="O179" s="24">
        <f>R179*1.09+S179*1.21</f>
        <v>2591.5</v>
      </c>
      <c r="P179" s="24">
        <f>R179+S179</f>
        <v>2350</v>
      </c>
      <c r="Q179" s="24">
        <f>(P179/G179)/4.33333</f>
        <v>135.57702736694412</v>
      </c>
      <c r="R179" s="24">
        <v>2100</v>
      </c>
      <c r="S179" s="25">
        <v>250</v>
      </c>
      <c r="T179" s="25"/>
      <c r="U179" s="12"/>
      <c r="V179" s="10"/>
      <c r="W179" s="17" t="s">
        <v>166</v>
      </c>
      <c r="X179" s="65" t="s">
        <v>167</v>
      </c>
      <c r="Y179" s="24">
        <v>1650</v>
      </c>
      <c r="Z179" s="24">
        <v>1650</v>
      </c>
      <c r="AA179" s="45">
        <v>1650</v>
      </c>
      <c r="AB179" s="25">
        <f>(Z179/G179)/4.33333</f>
        <v>95.192380917216084</v>
      </c>
      <c r="AC179" s="19">
        <v>45915</v>
      </c>
      <c r="AD179" s="19">
        <v>46660</v>
      </c>
    </row>
    <row r="180" spans="1:30" ht="16" x14ac:dyDescent="0.2">
      <c r="A180" s="13">
        <v>184</v>
      </c>
      <c r="B180" s="33" t="s">
        <v>664</v>
      </c>
      <c r="C180" s="26" t="s">
        <v>50</v>
      </c>
      <c r="D180" s="23" t="s">
        <v>665</v>
      </c>
      <c r="E180" s="18" t="s">
        <v>666</v>
      </c>
      <c r="F180" s="23" t="s">
        <v>667</v>
      </c>
      <c r="G180" s="30">
        <v>6</v>
      </c>
      <c r="H180" s="30">
        <v>6</v>
      </c>
      <c r="I180" s="44">
        <v>45884</v>
      </c>
      <c r="J180" s="44">
        <v>46248</v>
      </c>
      <c r="K180" s="21"/>
      <c r="L180" s="22" t="s">
        <v>668</v>
      </c>
      <c r="M180" s="22"/>
      <c r="N180" s="24">
        <f t="shared" si="42"/>
        <v>600</v>
      </c>
      <c r="O180" s="24">
        <f>R180*1.09+S180*1.21</f>
        <v>4408</v>
      </c>
      <c r="P180" s="24">
        <f>R180+S180</f>
        <v>4000</v>
      </c>
      <c r="Q180" s="24">
        <f>(P180/G180)/4.33333</f>
        <v>153.84627218944013</v>
      </c>
      <c r="R180" s="24">
        <v>3600</v>
      </c>
      <c r="S180" s="25">
        <v>400</v>
      </c>
      <c r="T180" s="25"/>
      <c r="U180" s="12"/>
      <c r="V180" s="10"/>
      <c r="W180" s="17" t="s">
        <v>669</v>
      </c>
      <c r="X180" s="12"/>
      <c r="Y180" s="24">
        <v>3000</v>
      </c>
      <c r="Z180" s="24">
        <v>3000</v>
      </c>
      <c r="AA180" s="45">
        <v>3000</v>
      </c>
      <c r="AB180" s="25">
        <f>(Z180/G180)/4.33333</f>
        <v>115.38470414208011</v>
      </c>
      <c r="AC180" s="66">
        <v>45717</v>
      </c>
      <c r="AD180" s="66">
        <v>46082</v>
      </c>
    </row>
    <row r="181" spans="1:30" ht="16" x14ac:dyDescent="0.2">
      <c r="A181" s="13">
        <v>186</v>
      </c>
      <c r="B181" s="14" t="str">
        <f>_xlfn.XLOOKUP(D181,'[1]Sleutelplan nieuw'!B:B,'[1]Sleutelplan nieuw'!A:A,"",2)</f>
        <v>0081</v>
      </c>
      <c r="C181" s="15" t="s">
        <v>25</v>
      </c>
      <c r="D181" s="23" t="s">
        <v>670</v>
      </c>
      <c r="E181" s="18" t="s">
        <v>671</v>
      </c>
      <c r="F181" s="23" t="s">
        <v>672</v>
      </c>
      <c r="G181" s="30">
        <v>4</v>
      </c>
      <c r="H181" s="30">
        <v>3</v>
      </c>
      <c r="I181" s="44">
        <v>45461</v>
      </c>
      <c r="J181" s="44">
        <v>45643</v>
      </c>
      <c r="K181" s="21"/>
      <c r="L181" s="22" t="s">
        <v>673</v>
      </c>
      <c r="M181" s="22"/>
      <c r="N181" s="24">
        <f t="shared" si="42"/>
        <v>522.30000000000018</v>
      </c>
      <c r="O181" s="24">
        <f t="shared" si="45"/>
        <v>2912.2870000000003</v>
      </c>
      <c r="P181" s="24">
        <f t="shared" si="37"/>
        <v>2644.3</v>
      </c>
      <c r="Q181" s="24">
        <f t="shared" si="38"/>
        <v>152.55588658145123</v>
      </c>
      <c r="R181" s="24">
        <v>2394.3000000000002</v>
      </c>
      <c r="S181" s="25">
        <v>250</v>
      </c>
      <c r="T181" s="25">
        <v>0</v>
      </c>
      <c r="U181" s="12"/>
      <c r="V181" s="10"/>
      <c r="W181" s="17" t="s">
        <v>674</v>
      </c>
      <c r="X181" s="17" t="s">
        <v>675</v>
      </c>
      <c r="Y181" s="45">
        <v>1872</v>
      </c>
      <c r="Z181" s="45">
        <v>1872</v>
      </c>
      <c r="AA181" s="45">
        <v>1872</v>
      </c>
      <c r="AB181" s="25">
        <f t="shared" si="44"/>
        <v>108.00008307698698</v>
      </c>
      <c r="AC181" s="19"/>
      <c r="AD181" s="19"/>
    </row>
    <row r="182" spans="1:30" x14ac:dyDescent="0.2">
      <c r="A182" s="13">
        <v>187</v>
      </c>
      <c r="B182" s="14" t="str">
        <f>_xlfn.XLOOKUP(D182,'[1]Sleutelplan nieuw'!B:B,'[1]Sleutelplan nieuw'!A:A,"",2)</f>
        <v>0260</v>
      </c>
      <c r="C182" s="15" t="s">
        <v>25</v>
      </c>
      <c r="D182" s="23" t="s">
        <v>676</v>
      </c>
      <c r="E182" s="18" t="s">
        <v>677</v>
      </c>
      <c r="F182" s="23" t="s">
        <v>28</v>
      </c>
      <c r="G182" s="18">
        <v>2</v>
      </c>
      <c r="H182" s="18">
        <v>2</v>
      </c>
      <c r="I182" s="21">
        <v>45748</v>
      </c>
      <c r="J182" s="21">
        <v>46113</v>
      </c>
      <c r="K182" s="39"/>
      <c r="L182" s="23" t="s">
        <v>562</v>
      </c>
      <c r="M182" s="22"/>
      <c r="N182" s="24">
        <f t="shared" ref="N182:N191" si="46">P182-S182-T182-Z182+S182</f>
        <v>76.889999999999873</v>
      </c>
      <c r="O182" s="24">
        <f t="shared" si="45"/>
        <v>1759.6188</v>
      </c>
      <c r="P182" s="24">
        <f t="shared" si="37"/>
        <v>1603.32</v>
      </c>
      <c r="Q182" s="24">
        <f t="shared" si="38"/>
        <v>184.99860384507986</v>
      </c>
      <c r="R182" s="24">
        <v>1503.32</v>
      </c>
      <c r="S182" s="25">
        <v>100</v>
      </c>
      <c r="T182" s="25">
        <v>0</v>
      </c>
      <c r="U182" s="16"/>
      <c r="V182" s="10"/>
      <c r="W182" s="29" t="s">
        <v>678</v>
      </c>
      <c r="X182" s="25" t="s">
        <v>679</v>
      </c>
      <c r="Y182" s="25">
        <v>1675.81</v>
      </c>
      <c r="Z182" s="25">
        <v>1526.43</v>
      </c>
      <c r="AA182" s="25">
        <v>1426.43</v>
      </c>
      <c r="AB182" s="25">
        <f t="shared" si="44"/>
        <v>176.12667394359534</v>
      </c>
      <c r="AC182" s="19"/>
    </row>
    <row r="183" spans="1:30" x14ac:dyDescent="0.2">
      <c r="A183" s="13">
        <v>188</v>
      </c>
      <c r="B183" s="14" t="str">
        <f>_xlfn.XLOOKUP(D183,'[1]Sleutelplan nieuw'!B:B,'[1]Sleutelplan nieuw'!A:A,"",2)</f>
        <v>0261</v>
      </c>
      <c r="C183" s="15" t="s">
        <v>25</v>
      </c>
      <c r="D183" s="23" t="s">
        <v>680</v>
      </c>
      <c r="E183" s="18" t="s">
        <v>677</v>
      </c>
      <c r="F183" s="23" t="s">
        <v>28</v>
      </c>
      <c r="G183" s="18">
        <v>2</v>
      </c>
      <c r="H183" s="18">
        <v>2</v>
      </c>
      <c r="I183" s="21">
        <v>45748</v>
      </c>
      <c r="J183" s="21">
        <v>46113</v>
      </c>
      <c r="K183" s="39"/>
      <c r="L183" s="23" t="s">
        <v>562</v>
      </c>
      <c r="M183" s="22"/>
      <c r="N183" s="24">
        <f t="shared" si="46"/>
        <v>76.889999999999873</v>
      </c>
      <c r="O183" s="24">
        <f t="shared" si="45"/>
        <v>1759.6188</v>
      </c>
      <c r="P183" s="24">
        <f t="shared" si="37"/>
        <v>1603.32</v>
      </c>
      <c r="Q183" s="24">
        <f t="shared" si="38"/>
        <v>184.99860384507986</v>
      </c>
      <c r="R183" s="24">
        <v>1503.32</v>
      </c>
      <c r="S183" s="25">
        <v>100</v>
      </c>
      <c r="T183" s="25">
        <v>0</v>
      </c>
      <c r="U183" s="16"/>
      <c r="V183" s="10"/>
      <c r="W183" s="29" t="s">
        <v>678</v>
      </c>
      <c r="X183" s="25" t="s">
        <v>679</v>
      </c>
      <c r="Y183" s="25">
        <v>1675.81</v>
      </c>
      <c r="Z183" s="25">
        <v>1526.43</v>
      </c>
      <c r="AA183" s="25">
        <v>1426.43</v>
      </c>
      <c r="AB183" s="25">
        <f t="shared" si="44"/>
        <v>176.12667394359534</v>
      </c>
      <c r="AC183" s="19"/>
    </row>
    <row r="184" spans="1:30" x14ac:dyDescent="0.2">
      <c r="A184" s="13">
        <v>189</v>
      </c>
      <c r="B184" s="14" t="str">
        <f>_xlfn.XLOOKUP(D184,'[1]Sleutelplan nieuw'!B:B,'[1]Sleutelplan nieuw'!A:A,"",2)</f>
        <v>0262</v>
      </c>
      <c r="C184" s="15" t="s">
        <v>25</v>
      </c>
      <c r="D184" s="23" t="s">
        <v>681</v>
      </c>
      <c r="E184" s="18" t="s">
        <v>677</v>
      </c>
      <c r="F184" s="23" t="s">
        <v>28</v>
      </c>
      <c r="G184" s="18">
        <v>2</v>
      </c>
      <c r="H184" s="18">
        <v>2</v>
      </c>
      <c r="I184" s="21">
        <v>45748</v>
      </c>
      <c r="J184" s="21">
        <v>46113</v>
      </c>
      <c r="K184" s="39"/>
      <c r="L184" s="23" t="s">
        <v>562</v>
      </c>
      <c r="M184" s="22"/>
      <c r="N184" s="24">
        <f t="shared" si="46"/>
        <v>76.889999999999873</v>
      </c>
      <c r="O184" s="24">
        <f t="shared" si="45"/>
        <v>1759.6188</v>
      </c>
      <c r="P184" s="24">
        <f t="shared" si="37"/>
        <v>1603.32</v>
      </c>
      <c r="Q184" s="24">
        <f t="shared" si="38"/>
        <v>184.99860384507986</v>
      </c>
      <c r="R184" s="24">
        <v>1503.32</v>
      </c>
      <c r="S184" s="25">
        <v>100</v>
      </c>
      <c r="T184" s="25">
        <v>0</v>
      </c>
      <c r="U184" s="16"/>
      <c r="V184" s="10"/>
      <c r="W184" s="29" t="s">
        <v>678</v>
      </c>
      <c r="X184" s="25" t="s">
        <v>679</v>
      </c>
      <c r="Y184" s="25">
        <v>1675.81</v>
      </c>
      <c r="Z184" s="25">
        <v>1526.43</v>
      </c>
      <c r="AA184" s="25">
        <v>1426.43</v>
      </c>
      <c r="AB184" s="25">
        <f t="shared" si="44"/>
        <v>176.12667394359534</v>
      </c>
      <c r="AC184" s="19"/>
    </row>
    <row r="185" spans="1:30" x14ac:dyDescent="0.2">
      <c r="A185" s="13">
        <v>190</v>
      </c>
      <c r="B185" s="14" t="str">
        <f>_xlfn.XLOOKUP(D185,'[1]Sleutelplan nieuw'!B:B,'[1]Sleutelplan nieuw'!A:A,"",2)</f>
        <v>0263</v>
      </c>
      <c r="C185" s="15" t="s">
        <v>25</v>
      </c>
      <c r="D185" s="23" t="s">
        <v>682</v>
      </c>
      <c r="E185" s="18" t="s">
        <v>677</v>
      </c>
      <c r="F185" s="23" t="s">
        <v>28</v>
      </c>
      <c r="G185" s="18">
        <v>3</v>
      </c>
      <c r="H185" s="18">
        <v>3</v>
      </c>
      <c r="I185" s="21">
        <v>45748</v>
      </c>
      <c r="J185" s="21">
        <v>46113</v>
      </c>
      <c r="K185" s="39"/>
      <c r="L185" s="23" t="s">
        <v>562</v>
      </c>
      <c r="M185" s="22"/>
      <c r="N185" s="24">
        <f t="shared" si="46"/>
        <v>487.69000000000005</v>
      </c>
      <c r="O185" s="24">
        <f t="shared" si="45"/>
        <v>2639.4500000000003</v>
      </c>
      <c r="P185" s="24">
        <f t="shared" si="37"/>
        <v>2405</v>
      </c>
      <c r="Q185" s="24">
        <f t="shared" si="38"/>
        <v>185.00014230780175</v>
      </c>
      <c r="R185" s="24">
        <v>2255</v>
      </c>
      <c r="S185" s="25">
        <v>150</v>
      </c>
      <c r="T185" s="25">
        <v>0</v>
      </c>
      <c r="U185" s="16"/>
      <c r="V185" s="10"/>
      <c r="W185" s="29" t="s">
        <v>678</v>
      </c>
      <c r="X185" s="25" t="s">
        <v>679</v>
      </c>
      <c r="Y185" s="25">
        <v>2104.7399999999998</v>
      </c>
      <c r="Z185" s="25">
        <v>1917.31</v>
      </c>
      <c r="AA185" s="25">
        <v>1793.34</v>
      </c>
      <c r="AB185" s="25">
        <f t="shared" si="44"/>
        <v>147.48549806576776</v>
      </c>
      <c r="AC185" s="19">
        <v>45231</v>
      </c>
      <c r="AD185" s="19">
        <v>45596</v>
      </c>
    </row>
    <row r="186" spans="1:30" x14ac:dyDescent="0.2">
      <c r="A186" s="13">
        <v>191</v>
      </c>
      <c r="B186" s="14" t="str">
        <f>_xlfn.XLOOKUP(D186,'[1]Sleutelplan nieuw'!B:B,'[1]Sleutelplan nieuw'!A:A,"",2)</f>
        <v>0264</v>
      </c>
      <c r="C186" s="15" t="s">
        <v>25</v>
      </c>
      <c r="D186" s="23" t="s">
        <v>683</v>
      </c>
      <c r="E186" s="18" t="s">
        <v>677</v>
      </c>
      <c r="F186" s="23" t="s">
        <v>28</v>
      </c>
      <c r="G186" s="18">
        <v>3</v>
      </c>
      <c r="H186" s="18">
        <v>3</v>
      </c>
      <c r="I186" s="21">
        <v>45748</v>
      </c>
      <c r="J186" s="21">
        <v>46113</v>
      </c>
      <c r="K186" s="39"/>
      <c r="L186" s="23" t="s">
        <v>562</v>
      </c>
      <c r="M186" s="22"/>
      <c r="N186" s="24">
        <f t="shared" si="46"/>
        <v>487.69000000000005</v>
      </c>
      <c r="O186" s="24">
        <f t="shared" si="45"/>
        <v>2639.4500000000003</v>
      </c>
      <c r="P186" s="24">
        <f t="shared" si="37"/>
        <v>2405</v>
      </c>
      <c r="Q186" s="24">
        <f t="shared" si="38"/>
        <v>185.00014230780175</v>
      </c>
      <c r="R186" s="24">
        <v>2255</v>
      </c>
      <c r="S186" s="25">
        <v>150</v>
      </c>
      <c r="T186" s="25">
        <v>0</v>
      </c>
      <c r="U186" s="16"/>
      <c r="V186" s="10"/>
      <c r="W186" s="29" t="s">
        <v>678</v>
      </c>
      <c r="X186" s="25" t="s">
        <v>679</v>
      </c>
      <c r="Y186" s="25">
        <v>2104.7399999999998</v>
      </c>
      <c r="Z186" s="25">
        <v>1917.31</v>
      </c>
      <c r="AA186" s="25">
        <v>1793.34</v>
      </c>
      <c r="AB186" s="25">
        <f t="shared" si="44"/>
        <v>147.48549806576776</v>
      </c>
      <c r="AC186" s="19">
        <v>45231</v>
      </c>
      <c r="AD186" s="19">
        <v>45596</v>
      </c>
    </row>
    <row r="187" spans="1:30" x14ac:dyDescent="0.2">
      <c r="A187" s="13">
        <v>192</v>
      </c>
      <c r="B187" s="14" t="str">
        <f>_xlfn.XLOOKUP(D187,'[1]Sleutelplan nieuw'!B:B,'[1]Sleutelplan nieuw'!A:A,"",2)</f>
        <v>0265</v>
      </c>
      <c r="C187" s="15" t="s">
        <v>25</v>
      </c>
      <c r="D187" s="23" t="s">
        <v>684</v>
      </c>
      <c r="E187" s="18" t="s">
        <v>677</v>
      </c>
      <c r="F187" s="23" t="s">
        <v>28</v>
      </c>
      <c r="G187" s="18">
        <v>3</v>
      </c>
      <c r="H187" s="18">
        <v>3</v>
      </c>
      <c r="I187" s="21">
        <v>45748</v>
      </c>
      <c r="J187" s="21">
        <v>46113</v>
      </c>
      <c r="K187" s="39"/>
      <c r="L187" s="23" t="s">
        <v>562</v>
      </c>
      <c r="M187" s="22"/>
      <c r="N187" s="24">
        <f t="shared" si="46"/>
        <v>487.69000000000005</v>
      </c>
      <c r="O187" s="24">
        <f t="shared" si="45"/>
        <v>2639.4500000000003</v>
      </c>
      <c r="P187" s="24">
        <f t="shared" si="37"/>
        <v>2405</v>
      </c>
      <c r="Q187" s="24">
        <f t="shared" si="38"/>
        <v>185.00014230780175</v>
      </c>
      <c r="R187" s="24">
        <v>2255</v>
      </c>
      <c r="S187" s="25">
        <v>150</v>
      </c>
      <c r="T187" s="25">
        <v>0</v>
      </c>
      <c r="U187" s="16"/>
      <c r="V187" s="10"/>
      <c r="W187" s="29" t="s">
        <v>678</v>
      </c>
      <c r="X187" s="25" t="s">
        <v>679</v>
      </c>
      <c r="Y187" s="25">
        <v>2104.7399999999998</v>
      </c>
      <c r="Z187" s="25">
        <v>1917.31</v>
      </c>
      <c r="AA187" s="25">
        <v>1793.34</v>
      </c>
      <c r="AB187" s="25">
        <f t="shared" si="44"/>
        <v>147.48549806576776</v>
      </c>
      <c r="AC187" s="19">
        <v>45231</v>
      </c>
      <c r="AD187" s="19">
        <v>45596</v>
      </c>
    </row>
    <row r="188" spans="1:30" x14ac:dyDescent="0.2">
      <c r="A188" s="13">
        <v>193</v>
      </c>
      <c r="B188" s="14" t="str">
        <f>_xlfn.XLOOKUP(D188,'[1]Sleutelplan nieuw'!B:B,'[1]Sleutelplan nieuw'!A:A,"",2)</f>
        <v>0266</v>
      </c>
      <c r="C188" s="15" t="s">
        <v>25</v>
      </c>
      <c r="D188" s="23" t="s">
        <v>685</v>
      </c>
      <c r="E188" s="18" t="s">
        <v>677</v>
      </c>
      <c r="F188" s="23" t="s">
        <v>28</v>
      </c>
      <c r="G188" s="18">
        <v>3</v>
      </c>
      <c r="H188" s="18">
        <v>3</v>
      </c>
      <c r="I188" s="21">
        <v>45748</v>
      </c>
      <c r="J188" s="21">
        <v>46113</v>
      </c>
      <c r="K188" s="39"/>
      <c r="L188" s="23" t="s">
        <v>562</v>
      </c>
      <c r="M188" s="22"/>
      <c r="N188" s="24">
        <f t="shared" si="46"/>
        <v>487.69000000000005</v>
      </c>
      <c r="O188" s="24">
        <f t="shared" si="45"/>
        <v>2639.4500000000003</v>
      </c>
      <c r="P188" s="24">
        <f t="shared" si="37"/>
        <v>2405</v>
      </c>
      <c r="Q188" s="24">
        <f t="shared" si="38"/>
        <v>185.00014230780175</v>
      </c>
      <c r="R188" s="24">
        <v>2255</v>
      </c>
      <c r="S188" s="25">
        <v>150</v>
      </c>
      <c r="T188" s="25">
        <v>0</v>
      </c>
      <c r="U188" s="16"/>
      <c r="V188" s="10"/>
      <c r="W188" s="29" t="s">
        <v>678</v>
      </c>
      <c r="X188" s="25" t="s">
        <v>679</v>
      </c>
      <c r="Y188" s="25">
        <v>2104.7399999999998</v>
      </c>
      <c r="Z188" s="25">
        <v>1917.31</v>
      </c>
      <c r="AA188" s="25">
        <v>1793.34</v>
      </c>
      <c r="AB188" s="25">
        <f t="shared" si="44"/>
        <v>147.48549806576776</v>
      </c>
      <c r="AC188" s="19">
        <v>45231</v>
      </c>
      <c r="AD188" s="19">
        <v>45596</v>
      </c>
    </row>
    <row r="189" spans="1:30" x14ac:dyDescent="0.2">
      <c r="A189" s="13">
        <v>194</v>
      </c>
      <c r="B189" s="14" t="str">
        <f>_xlfn.XLOOKUP(D189,'[1]Sleutelplan nieuw'!B:B,'[1]Sleutelplan nieuw'!A:A,"",2)</f>
        <v>0267</v>
      </c>
      <c r="C189" s="15" t="s">
        <v>25</v>
      </c>
      <c r="D189" s="23" t="s">
        <v>686</v>
      </c>
      <c r="E189" s="18" t="s">
        <v>677</v>
      </c>
      <c r="F189" s="23" t="s">
        <v>28</v>
      </c>
      <c r="G189" s="18">
        <v>2</v>
      </c>
      <c r="H189" s="18">
        <v>2</v>
      </c>
      <c r="I189" s="21">
        <v>45748</v>
      </c>
      <c r="J189" s="21">
        <v>46113</v>
      </c>
      <c r="K189" s="39"/>
      <c r="L189" s="23" t="s">
        <v>562</v>
      </c>
      <c r="M189" s="22"/>
      <c r="N189" s="24">
        <f t="shared" si="46"/>
        <v>76.889999999999873</v>
      </c>
      <c r="O189" s="24">
        <f t="shared" si="45"/>
        <v>1759.6188</v>
      </c>
      <c r="P189" s="24">
        <f t="shared" si="37"/>
        <v>1603.32</v>
      </c>
      <c r="Q189" s="24">
        <f t="shared" si="38"/>
        <v>184.99860384507986</v>
      </c>
      <c r="R189" s="24">
        <v>1503.32</v>
      </c>
      <c r="S189" s="25">
        <v>100</v>
      </c>
      <c r="T189" s="25">
        <v>0</v>
      </c>
      <c r="U189" s="16"/>
      <c r="V189" s="10"/>
      <c r="W189" s="29" t="s">
        <v>678</v>
      </c>
      <c r="X189" s="25" t="s">
        <v>679</v>
      </c>
      <c r="Y189" s="25">
        <v>1675.81</v>
      </c>
      <c r="Z189" s="25">
        <v>1526.43</v>
      </c>
      <c r="AA189" s="25">
        <v>1426.43</v>
      </c>
      <c r="AB189" s="25">
        <f t="shared" si="44"/>
        <v>176.12667394359534</v>
      </c>
      <c r="AC189" s="19"/>
      <c r="AD189" s="19"/>
    </row>
    <row r="190" spans="1:30" x14ac:dyDescent="0.2">
      <c r="A190" s="13">
        <v>195</v>
      </c>
      <c r="B190" s="14" t="str">
        <f>_xlfn.XLOOKUP(D190,'[1]Sleutelplan nieuw'!B:B,'[1]Sleutelplan nieuw'!A:A,"",2)</f>
        <v>0349</v>
      </c>
      <c r="C190" s="15" t="s">
        <v>25</v>
      </c>
      <c r="D190" s="23" t="s">
        <v>687</v>
      </c>
      <c r="E190" s="18" t="s">
        <v>677</v>
      </c>
      <c r="F190" s="23" t="s">
        <v>28</v>
      </c>
      <c r="G190" s="18">
        <v>3</v>
      </c>
      <c r="H190" s="18">
        <v>3</v>
      </c>
      <c r="I190" s="21">
        <v>45737</v>
      </c>
      <c r="J190" s="21">
        <v>46012</v>
      </c>
      <c r="K190" s="39"/>
      <c r="L190" s="23" t="s">
        <v>688</v>
      </c>
      <c r="M190" s="22"/>
      <c r="N190" s="24">
        <f t="shared" si="46"/>
        <v>532.69000000000005</v>
      </c>
      <c r="O190" s="24">
        <f t="shared" si="45"/>
        <v>2688.5</v>
      </c>
      <c r="P190" s="24">
        <f t="shared" si="37"/>
        <v>2450</v>
      </c>
      <c r="Q190" s="24">
        <f t="shared" si="38"/>
        <v>188.46168343206418</v>
      </c>
      <c r="R190" s="24">
        <v>2300</v>
      </c>
      <c r="S190" s="25">
        <v>150</v>
      </c>
      <c r="T190" s="25"/>
      <c r="U190" s="16"/>
      <c r="V190" s="10"/>
      <c r="W190" s="29" t="s">
        <v>678</v>
      </c>
      <c r="X190" s="25" t="s">
        <v>679</v>
      </c>
      <c r="Y190" s="25">
        <v>2104.7399999999998</v>
      </c>
      <c r="Z190" s="25">
        <v>1917.31</v>
      </c>
      <c r="AA190" s="25">
        <v>1793.34</v>
      </c>
      <c r="AB190" s="25">
        <f t="shared" si="44"/>
        <v>147.48549806576776</v>
      </c>
      <c r="AC190" s="19">
        <v>45733</v>
      </c>
      <c r="AD190" s="19">
        <v>46098</v>
      </c>
    </row>
    <row r="191" spans="1:30" x14ac:dyDescent="0.2">
      <c r="A191" s="13">
        <v>196</v>
      </c>
      <c r="B191" s="14" t="str">
        <f>_xlfn.XLOOKUP(D191,'[1]Sleutelplan nieuw'!B:B,'[1]Sleutelplan nieuw'!A:A,"",2)</f>
        <v>0268</v>
      </c>
      <c r="C191" s="15" t="s">
        <v>25</v>
      </c>
      <c r="D191" s="23" t="s">
        <v>689</v>
      </c>
      <c r="E191" s="18" t="s">
        <v>677</v>
      </c>
      <c r="F191" s="23" t="s">
        <v>28</v>
      </c>
      <c r="G191" s="18">
        <v>3</v>
      </c>
      <c r="H191" s="18">
        <v>3</v>
      </c>
      <c r="I191" s="21">
        <v>45748</v>
      </c>
      <c r="J191" s="21">
        <v>46113</v>
      </c>
      <c r="K191" s="39"/>
      <c r="L191" s="23" t="s">
        <v>562</v>
      </c>
      <c r="M191" s="22"/>
      <c r="N191" s="24">
        <f t="shared" si="46"/>
        <v>487.69000000000005</v>
      </c>
      <c r="O191" s="24">
        <f t="shared" si="45"/>
        <v>2639.4500000000003</v>
      </c>
      <c r="P191" s="24">
        <f t="shared" si="37"/>
        <v>2405</v>
      </c>
      <c r="Q191" s="24">
        <f t="shared" si="38"/>
        <v>185.00014230780175</v>
      </c>
      <c r="R191" s="24">
        <v>2255</v>
      </c>
      <c r="S191" s="25">
        <v>150</v>
      </c>
      <c r="T191" s="25">
        <v>0</v>
      </c>
      <c r="U191" s="16"/>
      <c r="V191" s="10"/>
      <c r="W191" s="29" t="s">
        <v>678</v>
      </c>
      <c r="X191" s="25" t="s">
        <v>679</v>
      </c>
      <c r="Y191" s="25">
        <v>2104.7399999999998</v>
      </c>
      <c r="Z191" s="25">
        <v>1917.31</v>
      </c>
      <c r="AA191" s="25">
        <v>1793.34</v>
      </c>
      <c r="AB191" s="25">
        <f t="shared" si="44"/>
        <v>147.48549806576776</v>
      </c>
      <c r="AC191" s="19">
        <v>45231</v>
      </c>
      <c r="AD191" s="19">
        <v>45596</v>
      </c>
    </row>
    <row r="192" spans="1:30" x14ac:dyDescent="0.2">
      <c r="A192" s="13">
        <v>197</v>
      </c>
      <c r="B192" s="14" t="str">
        <f>_xlfn.XLOOKUP(D192,'[1]Sleutelplan nieuw'!B:B,'[1]Sleutelplan nieuw'!A:A,"",2)</f>
        <v>0113</v>
      </c>
      <c r="C192" s="15" t="s">
        <v>50</v>
      </c>
      <c r="D192" s="23" t="s">
        <v>690</v>
      </c>
      <c r="E192" s="18" t="s">
        <v>691</v>
      </c>
      <c r="F192" s="23" t="s">
        <v>692</v>
      </c>
      <c r="G192" s="18">
        <v>4</v>
      </c>
      <c r="H192" s="18">
        <v>4</v>
      </c>
      <c r="I192" s="21">
        <v>45260</v>
      </c>
      <c r="J192" s="21">
        <v>45626</v>
      </c>
      <c r="K192" s="21"/>
      <c r="L192" s="23" t="s">
        <v>693</v>
      </c>
      <c r="M192" s="23"/>
      <c r="N192" s="24">
        <f t="shared" ref="N192:N255" si="47">P192-S192-T192-Z192</f>
        <v>527.09999999999991</v>
      </c>
      <c r="O192" s="24">
        <f t="shared" si="45"/>
        <v>3351.8699000000006</v>
      </c>
      <c r="P192" s="24">
        <f t="shared" si="37"/>
        <v>3075.11</v>
      </c>
      <c r="Q192" s="24">
        <f t="shared" si="38"/>
        <v>177.41032877717598</v>
      </c>
      <c r="R192" s="24">
        <v>3075.11</v>
      </c>
      <c r="S192" s="25">
        <v>0</v>
      </c>
      <c r="T192" s="25">
        <v>0</v>
      </c>
      <c r="U192" s="12"/>
      <c r="V192" s="10"/>
      <c r="W192" s="29" t="s">
        <v>139</v>
      </c>
      <c r="X192" s="25" t="s">
        <v>140</v>
      </c>
      <c r="Y192" s="25">
        <v>2548.0100000000002</v>
      </c>
      <c r="Z192" s="25">
        <v>2548.0100000000002</v>
      </c>
      <c r="AA192" s="25">
        <v>2548.0100000000002</v>
      </c>
      <c r="AB192" s="25">
        <f t="shared" si="44"/>
        <v>147.00069000053077</v>
      </c>
      <c r="AC192" s="19">
        <v>44871</v>
      </c>
      <c r="AD192" s="19">
        <v>45235</v>
      </c>
    </row>
    <row r="193" spans="1:30" ht="16" x14ac:dyDescent="0.2">
      <c r="A193" s="13">
        <v>198</v>
      </c>
      <c r="B193" s="14" t="str">
        <f>_xlfn.XLOOKUP(D193,'[1]Sleutelplan nieuw'!B:B,'[1]Sleutelplan nieuw'!A:A,"",2)</f>
        <v>0114</v>
      </c>
      <c r="C193" s="15" t="s">
        <v>50</v>
      </c>
      <c r="D193" s="22" t="s">
        <v>694</v>
      </c>
      <c r="E193" s="30" t="s">
        <v>695</v>
      </c>
      <c r="F193" s="23" t="s">
        <v>128</v>
      </c>
      <c r="G193" s="30">
        <v>3</v>
      </c>
      <c r="H193" s="30">
        <v>3</v>
      </c>
      <c r="I193" s="44">
        <v>44593</v>
      </c>
      <c r="J193" s="44">
        <v>44957</v>
      </c>
      <c r="K193" s="21"/>
      <c r="L193" s="22" t="s">
        <v>696</v>
      </c>
      <c r="M193" s="23"/>
      <c r="N193" s="24">
        <f t="shared" si="47"/>
        <v>676.58000000000015</v>
      </c>
      <c r="O193" s="24">
        <f>R193*1.09+S193*1.09</f>
        <v>2199.2494000000002</v>
      </c>
      <c r="P193" s="24">
        <f t="shared" si="37"/>
        <v>2017.66</v>
      </c>
      <c r="Q193" s="24">
        <f t="shared" si="38"/>
        <v>155.20473477287291</v>
      </c>
      <c r="R193" s="24">
        <v>1867.66</v>
      </c>
      <c r="S193" s="25">
        <v>150</v>
      </c>
      <c r="T193" s="25">
        <v>0</v>
      </c>
      <c r="U193" s="12"/>
      <c r="V193" s="10"/>
      <c r="W193" s="29" t="s">
        <v>697</v>
      </c>
      <c r="X193" s="25" t="s">
        <v>698</v>
      </c>
      <c r="Y193" s="25">
        <v>1191.08</v>
      </c>
      <c r="Z193" s="25">
        <v>1191.08</v>
      </c>
      <c r="AA193" s="25">
        <v>1191.08</v>
      </c>
      <c r="AB193" s="25">
        <f t="shared" si="44"/>
        <v>91.621608939699172</v>
      </c>
      <c r="AC193" s="19">
        <v>43729</v>
      </c>
    </row>
    <row r="194" spans="1:30" ht="16" x14ac:dyDescent="0.2">
      <c r="A194" s="13">
        <v>199</v>
      </c>
      <c r="B194" s="33" t="s">
        <v>699</v>
      </c>
      <c r="C194" s="15" t="s">
        <v>50</v>
      </c>
      <c r="D194" s="23" t="s">
        <v>700</v>
      </c>
      <c r="E194" s="18" t="s">
        <v>701</v>
      </c>
      <c r="F194" s="23" t="s">
        <v>702</v>
      </c>
      <c r="G194" s="18">
        <v>4</v>
      </c>
      <c r="H194" s="18">
        <v>4</v>
      </c>
      <c r="I194" s="21">
        <v>45944</v>
      </c>
      <c r="J194" s="21">
        <v>46308</v>
      </c>
      <c r="K194" s="12"/>
      <c r="L194" s="22" t="s">
        <v>485</v>
      </c>
      <c r="M194" s="12"/>
      <c r="N194" s="24">
        <f t="shared" si="47"/>
        <v>850</v>
      </c>
      <c r="O194" s="24">
        <f>R194*1.09+S194*1.21</f>
        <v>3409.0000000000005</v>
      </c>
      <c r="P194" s="24">
        <f t="shared" si="37"/>
        <v>3100</v>
      </c>
      <c r="Q194" s="24">
        <f t="shared" si="38"/>
        <v>178.84629142022416</v>
      </c>
      <c r="R194" s="24">
        <v>2850</v>
      </c>
      <c r="S194" s="25">
        <v>250</v>
      </c>
      <c r="T194" s="25">
        <v>0</v>
      </c>
      <c r="U194" s="12"/>
      <c r="V194" s="10"/>
      <c r="W194" s="29" t="s">
        <v>703</v>
      </c>
      <c r="X194" s="25" t="s">
        <v>326</v>
      </c>
      <c r="Y194" s="25">
        <v>2000</v>
      </c>
      <c r="Z194" s="25">
        <v>2000</v>
      </c>
      <c r="AA194" s="25">
        <v>2000</v>
      </c>
      <c r="AB194" s="25">
        <f t="shared" si="44"/>
        <v>115.38470414208011</v>
      </c>
      <c r="AC194" s="19">
        <v>45383</v>
      </c>
      <c r="AD194" s="19">
        <v>46112</v>
      </c>
    </row>
    <row r="195" spans="1:30" x14ac:dyDescent="0.2">
      <c r="A195" s="13">
        <v>200</v>
      </c>
      <c r="B195" s="14" t="str">
        <f>_xlfn.XLOOKUP(D195,'[1]Sleutelplan nieuw'!B:B,'[1]Sleutelplan nieuw'!A:A,"",2)</f>
        <v>0231</v>
      </c>
      <c r="C195" s="15" t="s">
        <v>25</v>
      </c>
      <c r="D195" s="23" t="s">
        <v>704</v>
      </c>
      <c r="E195" s="18" t="s">
        <v>705</v>
      </c>
      <c r="F195" s="23" t="s">
        <v>28</v>
      </c>
      <c r="G195" s="18">
        <v>4</v>
      </c>
      <c r="H195" s="18">
        <v>2</v>
      </c>
      <c r="I195" s="21"/>
      <c r="J195" s="21"/>
      <c r="K195" s="12"/>
      <c r="L195" s="22"/>
      <c r="M195" s="12"/>
      <c r="N195" s="24">
        <f t="shared" si="47"/>
        <v>0</v>
      </c>
      <c r="O195" s="24"/>
      <c r="P195" s="24"/>
      <c r="Q195" s="24"/>
      <c r="R195" s="24"/>
      <c r="S195" s="25"/>
      <c r="T195" s="25"/>
      <c r="U195" s="12"/>
      <c r="V195" s="10"/>
      <c r="W195" s="29"/>
      <c r="X195" s="25"/>
      <c r="Y195" s="25"/>
      <c r="Z195" s="25"/>
      <c r="AA195" s="25"/>
      <c r="AB195" s="25"/>
      <c r="AC195" s="19"/>
      <c r="AD195" s="19"/>
    </row>
    <row r="196" spans="1:30" ht="16" x14ac:dyDescent="0.2">
      <c r="A196" s="13">
        <v>201</v>
      </c>
      <c r="B196" s="14" t="str" cm="1">
        <f t="array" ref="B196">_xlfn.XLOOKUP(LEFT(D196,3),LEFT('[1]Sleutelplan nieuw'!B:B,3),'[1]Sleutelplan nieuw'!A:A,"",2)</f>
        <v>0044</v>
      </c>
      <c r="C196" s="15" t="s">
        <v>25</v>
      </c>
      <c r="D196" s="23" t="s">
        <v>706</v>
      </c>
      <c r="E196" s="18" t="s">
        <v>707</v>
      </c>
      <c r="F196" s="23" t="s">
        <v>28</v>
      </c>
      <c r="G196" s="18">
        <v>3</v>
      </c>
      <c r="H196" s="18">
        <v>2</v>
      </c>
      <c r="I196" s="21">
        <v>45611</v>
      </c>
      <c r="J196" s="21">
        <v>45976</v>
      </c>
      <c r="K196" s="12"/>
      <c r="L196" s="22" t="s">
        <v>467</v>
      </c>
      <c r="M196" s="23"/>
      <c r="N196" s="24">
        <f t="shared" si="47"/>
        <v>621.75</v>
      </c>
      <c r="O196" s="24">
        <f t="shared" ref="O196:O216" si="48">R196*1.09+S196*1.21</f>
        <v>2227.7075000000004</v>
      </c>
      <c r="P196" s="24">
        <f t="shared" ref="P196:P207" si="49">R196+S196</f>
        <v>2021.75</v>
      </c>
      <c r="Q196" s="24">
        <f t="shared" ref="Q196:Q216" si="50">(P196/G196)/4.33333</f>
        <v>155.5193503995003</v>
      </c>
      <c r="R196" s="24">
        <v>1821.75</v>
      </c>
      <c r="S196" s="25">
        <v>200</v>
      </c>
      <c r="T196" s="25"/>
      <c r="U196" s="12"/>
      <c r="V196" s="10"/>
      <c r="W196" s="29" t="s">
        <v>708</v>
      </c>
      <c r="X196" s="35" t="s">
        <v>709</v>
      </c>
      <c r="Y196" s="25">
        <v>1200</v>
      </c>
      <c r="Z196" s="25">
        <v>1200</v>
      </c>
      <c r="AA196" s="25">
        <v>1200</v>
      </c>
      <c r="AB196" s="25">
        <f t="shared" ref="AB196:AB238" si="51">(Z196/G196)/4.33333</f>
        <v>92.307763313664083</v>
      </c>
      <c r="AC196" s="19">
        <v>45607</v>
      </c>
      <c r="AD196" s="19">
        <v>45972</v>
      </c>
    </row>
    <row r="197" spans="1:30" ht="16" x14ac:dyDescent="0.2">
      <c r="A197" s="13">
        <v>202</v>
      </c>
      <c r="B197" s="33" t="s">
        <v>710</v>
      </c>
      <c r="C197" s="15" t="s">
        <v>25</v>
      </c>
      <c r="D197" s="23" t="s">
        <v>711</v>
      </c>
      <c r="E197" s="18" t="s">
        <v>707</v>
      </c>
      <c r="F197" s="23" t="s">
        <v>28</v>
      </c>
      <c r="G197" s="18">
        <v>3</v>
      </c>
      <c r="H197" s="18">
        <v>2</v>
      </c>
      <c r="I197" s="21">
        <v>45611</v>
      </c>
      <c r="J197" s="21">
        <v>45976</v>
      </c>
      <c r="K197" s="12"/>
      <c r="L197" s="22" t="s">
        <v>467</v>
      </c>
      <c r="M197" s="12"/>
      <c r="N197" s="24">
        <f t="shared" si="47"/>
        <v>621.75</v>
      </c>
      <c r="O197" s="24">
        <f t="shared" si="48"/>
        <v>2227.7075000000004</v>
      </c>
      <c r="P197" s="24">
        <f t="shared" si="49"/>
        <v>2021.75</v>
      </c>
      <c r="Q197" s="24">
        <f t="shared" si="50"/>
        <v>155.5193503995003</v>
      </c>
      <c r="R197" s="24">
        <v>1821.75</v>
      </c>
      <c r="S197" s="25">
        <v>200</v>
      </c>
      <c r="T197" s="25"/>
      <c r="U197" s="12"/>
      <c r="V197" s="10"/>
      <c r="W197" s="29" t="s">
        <v>708</v>
      </c>
      <c r="X197" s="35" t="s">
        <v>709</v>
      </c>
      <c r="Y197" s="25">
        <v>1200</v>
      </c>
      <c r="Z197" s="25">
        <v>1200</v>
      </c>
      <c r="AA197" s="25">
        <v>1200</v>
      </c>
      <c r="AB197" s="25">
        <f t="shared" si="51"/>
        <v>92.307763313664083</v>
      </c>
      <c r="AC197" s="19">
        <v>45607</v>
      </c>
      <c r="AD197" s="19">
        <v>45972</v>
      </c>
    </row>
    <row r="198" spans="1:30" x14ac:dyDescent="0.2">
      <c r="A198" s="13">
        <v>203</v>
      </c>
      <c r="B198" s="14" t="str">
        <f>_xlfn.XLOOKUP(D198,'[1]Sleutelplan nieuw'!B:B,'[1]Sleutelplan nieuw'!A:A,"",2)</f>
        <v>0079</v>
      </c>
      <c r="C198" s="15" t="s">
        <v>25</v>
      </c>
      <c r="D198" s="23" t="s">
        <v>712</v>
      </c>
      <c r="E198" s="18" t="s">
        <v>713</v>
      </c>
      <c r="F198" s="23" t="s">
        <v>128</v>
      </c>
      <c r="G198" s="18">
        <v>4</v>
      </c>
      <c r="H198" s="18">
        <v>2</v>
      </c>
      <c r="I198" s="21">
        <v>45444</v>
      </c>
      <c r="J198" s="21" t="s">
        <v>714</v>
      </c>
      <c r="K198" s="12"/>
      <c r="L198" s="23" t="s">
        <v>35</v>
      </c>
      <c r="M198" s="12"/>
      <c r="N198" s="24">
        <f t="shared" si="47"/>
        <v>434.98</v>
      </c>
      <c r="O198" s="24">
        <f t="shared" si="48"/>
        <v>1891.1282000000001</v>
      </c>
      <c r="P198" s="24">
        <f t="shared" si="49"/>
        <v>1734.98</v>
      </c>
      <c r="Q198" s="24">
        <f t="shared" si="50"/>
        <v>100.09507699621307</v>
      </c>
      <c r="R198" s="24">
        <v>1734.98</v>
      </c>
      <c r="S198" s="25">
        <v>0</v>
      </c>
      <c r="T198" s="25">
        <v>0</v>
      </c>
      <c r="U198" s="12"/>
      <c r="V198" s="10"/>
      <c r="W198" s="29" t="s">
        <v>133</v>
      </c>
      <c r="X198" s="25"/>
      <c r="Y198" s="25">
        <f>(Z198*9%)+Z198</f>
        <v>1417</v>
      </c>
      <c r="Z198" s="25">
        <v>1300</v>
      </c>
      <c r="AA198" s="25">
        <v>1300</v>
      </c>
      <c r="AB198" s="25">
        <f t="shared" si="51"/>
        <v>75.000057692352073</v>
      </c>
      <c r="AC198" s="19"/>
      <c r="AD198" s="19"/>
    </row>
    <row r="199" spans="1:30" x14ac:dyDescent="0.2">
      <c r="A199" s="13"/>
      <c r="B199" s="14" t="str">
        <f>_xlfn.XLOOKUP(D199,'[1]Sleutelplan nieuw'!B:B,'[1]Sleutelplan nieuw'!A:A,"",2)</f>
        <v>0386</v>
      </c>
      <c r="C199" s="15" t="s">
        <v>50</v>
      </c>
      <c r="D199" s="23" t="s">
        <v>715</v>
      </c>
      <c r="E199" s="18" t="s">
        <v>716</v>
      </c>
      <c r="F199" s="23" t="s">
        <v>28</v>
      </c>
      <c r="G199" s="18">
        <v>5</v>
      </c>
      <c r="H199" s="18">
        <v>3</v>
      </c>
      <c r="I199" s="21">
        <v>45962</v>
      </c>
      <c r="J199" s="21">
        <v>46326</v>
      </c>
      <c r="K199" s="12"/>
      <c r="L199" s="23" t="s">
        <v>467</v>
      </c>
      <c r="M199" s="12"/>
      <c r="N199" s="24">
        <f t="shared" si="47"/>
        <v>890</v>
      </c>
      <c r="O199" s="24">
        <f t="shared" si="48"/>
        <v>3578.5000000000005</v>
      </c>
      <c r="P199" s="24">
        <f t="shared" si="49"/>
        <v>3250</v>
      </c>
      <c r="Q199" s="24">
        <f t="shared" si="50"/>
        <v>150.00011538470415</v>
      </c>
      <c r="R199" s="24">
        <v>2950</v>
      </c>
      <c r="S199" s="25">
        <v>300</v>
      </c>
      <c r="T199" s="25"/>
      <c r="U199" s="12"/>
      <c r="V199" s="10"/>
      <c r="W199" s="29" t="s">
        <v>717</v>
      </c>
      <c r="X199" s="35" t="s">
        <v>718</v>
      </c>
      <c r="Y199" s="25">
        <v>2060</v>
      </c>
      <c r="Z199" s="25">
        <v>2060</v>
      </c>
      <c r="AA199" s="25">
        <v>2060</v>
      </c>
      <c r="AB199" s="25">
        <f t="shared" si="51"/>
        <v>95.076996213074011</v>
      </c>
      <c r="AC199" s="19">
        <v>45962</v>
      </c>
      <c r="AD199" s="19">
        <v>46326</v>
      </c>
    </row>
    <row r="200" spans="1:30" ht="16" x14ac:dyDescent="0.2">
      <c r="A200" s="13">
        <v>204</v>
      </c>
      <c r="B200" s="14" t="str">
        <f>_xlfn.XLOOKUP(D200,'[1]Sleutelplan nieuw'!B:B,'[1]Sleutelplan nieuw'!A:A,"",2)</f>
        <v>0115</v>
      </c>
      <c r="C200" s="15" t="s">
        <v>25</v>
      </c>
      <c r="D200" s="22" t="s">
        <v>719</v>
      </c>
      <c r="E200" s="30" t="s">
        <v>720</v>
      </c>
      <c r="F200" s="23" t="s">
        <v>721</v>
      </c>
      <c r="G200" s="30">
        <v>6</v>
      </c>
      <c r="H200" s="30">
        <v>4</v>
      </c>
      <c r="I200" s="44">
        <v>44632</v>
      </c>
      <c r="J200" s="44">
        <v>44996</v>
      </c>
      <c r="K200" s="21"/>
      <c r="L200" s="22" t="s">
        <v>722</v>
      </c>
      <c r="M200" s="12"/>
      <c r="N200" s="24">
        <f t="shared" si="47"/>
        <v>1067.82</v>
      </c>
      <c r="O200" s="24">
        <f t="shared" si="48"/>
        <v>3112.4514000000004</v>
      </c>
      <c r="P200" s="24">
        <f t="shared" si="49"/>
        <v>2855.46</v>
      </c>
      <c r="Q200" s="24">
        <f t="shared" si="50"/>
        <v>109.82546909651469</v>
      </c>
      <c r="R200" s="24">
        <v>2855.46</v>
      </c>
      <c r="S200" s="25">
        <v>0</v>
      </c>
      <c r="T200" s="25">
        <v>0</v>
      </c>
      <c r="U200" s="12"/>
      <c r="V200" s="10"/>
      <c r="W200" s="29" t="s">
        <v>723</v>
      </c>
      <c r="X200" s="25" t="s">
        <v>724</v>
      </c>
      <c r="Y200" s="25">
        <v>1787.64</v>
      </c>
      <c r="Z200" s="25">
        <v>1787.64</v>
      </c>
      <c r="AA200" s="25">
        <v>1787.64</v>
      </c>
      <c r="AB200" s="25">
        <f t="shared" si="51"/>
        <v>68.755437504182694</v>
      </c>
      <c r="AC200" s="19">
        <v>44632</v>
      </c>
      <c r="AD200" s="19">
        <v>44996</v>
      </c>
    </row>
    <row r="201" spans="1:30" ht="16" x14ac:dyDescent="0.2">
      <c r="A201" s="13">
        <v>206</v>
      </c>
      <c r="B201" s="14" t="str" cm="1">
        <f t="array" ref="B201">_xlfn.XLOOKUP(LEFT(D201,3),LEFT('[1]Sleutelplan nieuw'!B:B,3),'[1]Sleutelplan nieuw'!A:A,"",2)</f>
        <v>0269</v>
      </c>
      <c r="C201" s="15" t="s">
        <v>50</v>
      </c>
      <c r="D201" s="22" t="s">
        <v>725</v>
      </c>
      <c r="E201" s="30" t="s">
        <v>726</v>
      </c>
      <c r="F201" s="23" t="s">
        <v>128</v>
      </c>
      <c r="G201" s="30">
        <v>4</v>
      </c>
      <c r="H201" s="30">
        <v>2</v>
      </c>
      <c r="I201" s="44">
        <v>45507</v>
      </c>
      <c r="J201" s="44">
        <v>45871</v>
      </c>
      <c r="K201" s="21"/>
      <c r="L201" s="22" t="s">
        <v>668</v>
      </c>
      <c r="M201" s="12"/>
      <c r="N201" s="24">
        <f t="shared" si="47"/>
        <v>207.81000000000017</v>
      </c>
      <c r="O201" s="24">
        <f t="shared" si="48"/>
        <v>2292.0234</v>
      </c>
      <c r="P201" s="24">
        <f t="shared" si="49"/>
        <v>2086.2600000000002</v>
      </c>
      <c r="Q201" s="24">
        <f t="shared" si="50"/>
        <v>120.36124643172803</v>
      </c>
      <c r="R201" s="24">
        <v>1936.26</v>
      </c>
      <c r="S201" s="25">
        <v>150</v>
      </c>
      <c r="T201" s="25"/>
      <c r="U201" s="12"/>
      <c r="V201" s="10"/>
      <c r="W201" s="29" t="s">
        <v>727</v>
      </c>
      <c r="X201" s="25" t="s">
        <v>728</v>
      </c>
      <c r="Y201" s="25">
        <v>1728.45</v>
      </c>
      <c r="Z201" s="25">
        <v>1728.45</v>
      </c>
      <c r="AA201" s="25">
        <v>1728.45</v>
      </c>
      <c r="AB201" s="25">
        <f t="shared" si="51"/>
        <v>99.718345937189184</v>
      </c>
      <c r="AC201" s="19">
        <v>45507</v>
      </c>
      <c r="AD201" s="19">
        <v>46236</v>
      </c>
    </row>
    <row r="202" spans="1:30" ht="16" x14ac:dyDescent="0.2">
      <c r="A202" s="13">
        <v>207</v>
      </c>
      <c r="B202" s="33" t="s">
        <v>729</v>
      </c>
      <c r="C202" s="15" t="s">
        <v>50</v>
      </c>
      <c r="D202" s="22" t="s">
        <v>730</v>
      </c>
      <c r="E202" s="30" t="s">
        <v>726</v>
      </c>
      <c r="F202" s="23" t="s">
        <v>128</v>
      </c>
      <c r="G202" s="30">
        <v>3</v>
      </c>
      <c r="H202" s="30">
        <v>2</v>
      </c>
      <c r="I202" s="44">
        <v>45500</v>
      </c>
      <c r="J202" s="44">
        <v>45864</v>
      </c>
      <c r="K202" s="21"/>
      <c r="L202" s="22" t="s">
        <v>668</v>
      </c>
      <c r="M202" s="12"/>
      <c r="N202" s="24">
        <f t="shared" si="47"/>
        <v>140.23000000000002</v>
      </c>
      <c r="O202" s="24">
        <f t="shared" si="48"/>
        <v>1747.3722</v>
      </c>
      <c r="P202" s="24">
        <f t="shared" si="49"/>
        <v>1586.58</v>
      </c>
      <c r="Q202" s="24">
        <f t="shared" si="50"/>
        <v>122.04470926516098</v>
      </c>
      <c r="R202" s="24">
        <v>1436.58</v>
      </c>
      <c r="S202" s="25">
        <v>150</v>
      </c>
      <c r="T202" s="25"/>
      <c r="U202" s="12"/>
      <c r="V202" s="10"/>
      <c r="W202" s="29" t="s">
        <v>727</v>
      </c>
      <c r="X202" s="25" t="s">
        <v>728</v>
      </c>
      <c r="Y202" s="25">
        <v>1296.3499999999999</v>
      </c>
      <c r="Z202" s="25">
        <v>1296.3499999999999</v>
      </c>
      <c r="AA202" s="25">
        <v>1296.3499999999999</v>
      </c>
      <c r="AB202" s="25">
        <f t="shared" si="51"/>
        <v>99.719307476390355</v>
      </c>
      <c r="AC202" s="19">
        <v>45500</v>
      </c>
      <c r="AD202" s="19">
        <v>46229</v>
      </c>
    </row>
    <row r="203" spans="1:30" ht="16" x14ac:dyDescent="0.2">
      <c r="A203" s="13">
        <v>208</v>
      </c>
      <c r="B203" s="33" t="s">
        <v>731</v>
      </c>
      <c r="C203" s="15" t="s">
        <v>50</v>
      </c>
      <c r="D203" s="22" t="s">
        <v>732</v>
      </c>
      <c r="E203" s="30" t="s">
        <v>726</v>
      </c>
      <c r="F203" s="23" t="s">
        <v>128</v>
      </c>
      <c r="G203" s="30">
        <v>3</v>
      </c>
      <c r="H203" s="30">
        <v>2</v>
      </c>
      <c r="I203" s="44">
        <v>45500</v>
      </c>
      <c r="J203" s="44">
        <v>45864</v>
      </c>
      <c r="K203" s="21"/>
      <c r="L203" s="22" t="s">
        <v>668</v>
      </c>
      <c r="M203" s="12"/>
      <c r="N203" s="24">
        <f t="shared" si="47"/>
        <v>140.23000000000002</v>
      </c>
      <c r="O203" s="24">
        <f t="shared" si="48"/>
        <v>1747.3722</v>
      </c>
      <c r="P203" s="24">
        <f t="shared" si="49"/>
        <v>1586.58</v>
      </c>
      <c r="Q203" s="24">
        <f t="shared" si="50"/>
        <v>122.04470926516098</v>
      </c>
      <c r="R203" s="24">
        <v>1436.58</v>
      </c>
      <c r="S203" s="25">
        <v>150</v>
      </c>
      <c r="T203" s="25"/>
      <c r="U203" s="12"/>
      <c r="V203" s="10"/>
      <c r="W203" s="29" t="s">
        <v>727</v>
      </c>
      <c r="X203" s="25" t="s">
        <v>728</v>
      </c>
      <c r="Y203" s="25">
        <v>1296.3499999999999</v>
      </c>
      <c r="Z203" s="25">
        <v>1296.3499999999999</v>
      </c>
      <c r="AA203" s="25">
        <v>1296.3499999999999</v>
      </c>
      <c r="AB203" s="25">
        <f t="shared" si="51"/>
        <v>99.719307476390355</v>
      </c>
      <c r="AC203" s="19">
        <v>45500</v>
      </c>
      <c r="AD203" s="19">
        <v>46229</v>
      </c>
    </row>
    <row r="204" spans="1:30" ht="16" x14ac:dyDescent="0.2">
      <c r="A204" s="13">
        <v>209</v>
      </c>
      <c r="B204" s="33" t="s">
        <v>733</v>
      </c>
      <c r="C204" s="15" t="s">
        <v>50</v>
      </c>
      <c r="D204" s="22" t="s">
        <v>734</v>
      </c>
      <c r="E204" s="30" t="s">
        <v>726</v>
      </c>
      <c r="F204" s="23" t="s">
        <v>128</v>
      </c>
      <c r="G204" s="30">
        <v>3</v>
      </c>
      <c r="H204" s="30">
        <v>2</v>
      </c>
      <c r="I204" s="44">
        <v>45507</v>
      </c>
      <c r="J204" s="44">
        <v>45871</v>
      </c>
      <c r="K204" s="21"/>
      <c r="L204" s="22" t="s">
        <v>668</v>
      </c>
      <c r="M204" s="12"/>
      <c r="N204" s="24">
        <f t="shared" si="47"/>
        <v>140.23000000000002</v>
      </c>
      <c r="O204" s="24">
        <f t="shared" si="48"/>
        <v>1747.3722</v>
      </c>
      <c r="P204" s="24">
        <f t="shared" si="49"/>
        <v>1586.58</v>
      </c>
      <c r="Q204" s="24">
        <f t="shared" si="50"/>
        <v>122.04470926516098</v>
      </c>
      <c r="R204" s="24">
        <v>1436.58</v>
      </c>
      <c r="S204" s="25">
        <v>150</v>
      </c>
      <c r="T204" s="25"/>
      <c r="U204" s="12"/>
      <c r="V204" s="10"/>
      <c r="W204" s="29" t="s">
        <v>727</v>
      </c>
      <c r="X204" s="25" t="s">
        <v>728</v>
      </c>
      <c r="Y204" s="25">
        <v>1296.3499999999999</v>
      </c>
      <c r="Z204" s="25">
        <v>1296.3499999999999</v>
      </c>
      <c r="AA204" s="25">
        <v>1296.3499999999999</v>
      </c>
      <c r="AB204" s="25">
        <f t="shared" si="51"/>
        <v>99.719307476390355</v>
      </c>
      <c r="AC204" s="19">
        <v>45507</v>
      </c>
      <c r="AD204" s="19">
        <v>46236</v>
      </c>
    </row>
    <row r="205" spans="1:30" ht="16" x14ac:dyDescent="0.2">
      <c r="A205" s="13">
        <v>210</v>
      </c>
      <c r="B205" s="14" t="str">
        <f>_xlfn.XLOOKUP(D205,'[1]Sleutelplan nieuw'!B:B,'[1]Sleutelplan nieuw'!A:A,"",2)</f>
        <v>0340</v>
      </c>
      <c r="C205" s="15" t="s">
        <v>25</v>
      </c>
      <c r="D205" s="22" t="s">
        <v>735</v>
      </c>
      <c r="E205" s="30" t="s">
        <v>736</v>
      </c>
      <c r="F205" s="23" t="s">
        <v>28</v>
      </c>
      <c r="G205" s="30">
        <v>5</v>
      </c>
      <c r="H205" s="30">
        <v>3</v>
      </c>
      <c r="I205" s="44">
        <v>45716</v>
      </c>
      <c r="J205" s="44">
        <v>46081</v>
      </c>
      <c r="K205" s="21"/>
      <c r="L205" s="22" t="s">
        <v>35</v>
      </c>
      <c r="M205" s="12"/>
      <c r="N205" s="24">
        <f t="shared" si="47"/>
        <v>800</v>
      </c>
      <c r="O205" s="24">
        <f t="shared" si="48"/>
        <v>2997.5</v>
      </c>
      <c r="P205" s="24">
        <f t="shared" si="49"/>
        <v>2750</v>
      </c>
      <c r="Q205" s="24">
        <f t="shared" si="50"/>
        <v>126.92317455628812</v>
      </c>
      <c r="R205" s="24">
        <v>2750</v>
      </c>
      <c r="S205" s="25">
        <v>0</v>
      </c>
      <c r="T205" s="25"/>
      <c r="U205" s="12"/>
      <c r="V205" s="10"/>
      <c r="W205" s="29" t="s">
        <v>737</v>
      </c>
      <c r="X205" s="35" t="s">
        <v>738</v>
      </c>
      <c r="Y205" s="25">
        <f>Z205*1.21</f>
        <v>2359.5</v>
      </c>
      <c r="Z205" s="25">
        <v>1950</v>
      </c>
      <c r="AA205" s="25">
        <v>1950</v>
      </c>
      <c r="AB205" s="25">
        <f t="shared" si="51"/>
        <v>90.000069230822476</v>
      </c>
      <c r="AC205" s="19">
        <v>45703</v>
      </c>
      <c r="AD205" s="19">
        <v>46068</v>
      </c>
    </row>
    <row r="206" spans="1:30" ht="16" x14ac:dyDescent="0.2">
      <c r="A206" s="13">
        <v>211</v>
      </c>
      <c r="B206" s="14" t="str">
        <f>_xlfn.XLOOKUP(D206,'[1]Sleutelplan nieuw'!B:B,'[1]Sleutelplan nieuw'!A:A,"",2)</f>
        <v>0117</v>
      </c>
      <c r="C206" s="15" t="s">
        <v>50</v>
      </c>
      <c r="D206" s="22" t="s">
        <v>739</v>
      </c>
      <c r="E206" s="30" t="s">
        <v>740</v>
      </c>
      <c r="F206" s="23" t="s">
        <v>741</v>
      </c>
      <c r="G206" s="30">
        <v>4</v>
      </c>
      <c r="H206" s="30">
        <v>4</v>
      </c>
      <c r="I206" s="44">
        <v>45885</v>
      </c>
      <c r="J206" s="44">
        <v>45945</v>
      </c>
      <c r="K206" s="21"/>
      <c r="L206" s="22" t="s">
        <v>496</v>
      </c>
      <c r="M206" s="12"/>
      <c r="N206" s="24">
        <f t="shared" si="47"/>
        <v>800</v>
      </c>
      <c r="O206" s="24">
        <f t="shared" si="48"/>
        <v>2809.5</v>
      </c>
      <c r="P206" s="24">
        <f t="shared" si="49"/>
        <v>2550</v>
      </c>
      <c r="Q206" s="24">
        <f t="shared" si="50"/>
        <v>147.11549778115213</v>
      </c>
      <c r="R206" s="24">
        <v>2300</v>
      </c>
      <c r="S206" s="25">
        <v>250</v>
      </c>
      <c r="T206" s="25"/>
      <c r="U206" s="12"/>
      <c r="V206" s="10"/>
      <c r="W206" s="29" t="s">
        <v>742</v>
      </c>
      <c r="X206" s="25" t="s">
        <v>743</v>
      </c>
      <c r="Y206" s="25">
        <v>1500</v>
      </c>
      <c r="Z206" s="25">
        <v>1500</v>
      </c>
      <c r="AA206" s="25">
        <v>1500</v>
      </c>
      <c r="AB206" s="25">
        <f t="shared" si="51"/>
        <v>86.538528106560079</v>
      </c>
      <c r="AC206" s="19">
        <v>44319</v>
      </c>
      <c r="AD206" s="19">
        <v>46081</v>
      </c>
    </row>
    <row r="207" spans="1:30" ht="16" x14ac:dyDescent="0.2">
      <c r="A207" s="13">
        <v>212</v>
      </c>
      <c r="B207" s="14" t="str" cm="1">
        <f t="array" ref="B207">_xlfn.XLOOKUP(LEFT(D207,3),LEFT('[1]Sleutelplan nieuw'!B:B,3),'[1]Sleutelplan nieuw'!A:A,"",2)</f>
        <v>0204</v>
      </c>
      <c r="C207" s="26" t="s">
        <v>25</v>
      </c>
      <c r="D207" s="22" t="s">
        <v>744</v>
      </c>
      <c r="E207" s="30" t="s">
        <v>745</v>
      </c>
      <c r="F207" s="23" t="s">
        <v>746</v>
      </c>
      <c r="G207" s="30">
        <v>5</v>
      </c>
      <c r="H207" s="30">
        <v>4</v>
      </c>
      <c r="I207" s="44">
        <v>45737</v>
      </c>
      <c r="J207" s="44">
        <v>46102</v>
      </c>
      <c r="K207" s="21"/>
      <c r="L207" s="67" t="s">
        <v>175</v>
      </c>
      <c r="M207" s="12"/>
      <c r="N207" s="24">
        <f t="shared" si="47"/>
        <v>383.84000000000015</v>
      </c>
      <c r="O207" s="24">
        <f t="shared" si="48"/>
        <v>3415</v>
      </c>
      <c r="P207" s="24">
        <f t="shared" si="49"/>
        <v>3100</v>
      </c>
      <c r="Q207" s="24">
        <f t="shared" si="50"/>
        <v>143.07703313617932</v>
      </c>
      <c r="R207" s="24">
        <v>2800</v>
      </c>
      <c r="S207" s="25">
        <v>300</v>
      </c>
      <c r="T207" s="25">
        <v>0</v>
      </c>
      <c r="U207" s="12"/>
      <c r="V207" s="10"/>
      <c r="W207" s="29" t="s">
        <v>605</v>
      </c>
      <c r="X207" s="25" t="s">
        <v>606</v>
      </c>
      <c r="Y207" s="25">
        <v>2416.16</v>
      </c>
      <c r="Z207" s="25">
        <v>2416.16</v>
      </c>
      <c r="AA207" s="25">
        <v>2416.16</v>
      </c>
      <c r="AB207" s="25">
        <f t="shared" si="51"/>
        <v>111.5151627039713</v>
      </c>
      <c r="AC207" s="19">
        <v>45065</v>
      </c>
      <c r="AD207" s="19">
        <v>45777</v>
      </c>
    </row>
    <row r="208" spans="1:30" ht="16" x14ac:dyDescent="0.2">
      <c r="A208" s="13">
        <v>213</v>
      </c>
      <c r="B208" s="14" t="str">
        <f>_xlfn.XLOOKUP(D208,'[1]Sleutelplan nieuw'!B:B,'[1]Sleutelplan nieuw'!A:A,"",2)</f>
        <v>0361</v>
      </c>
      <c r="C208" s="26" t="s">
        <v>25</v>
      </c>
      <c r="D208" s="22" t="s">
        <v>747</v>
      </c>
      <c r="E208" s="30" t="s">
        <v>748</v>
      </c>
      <c r="F208" s="23" t="s">
        <v>28</v>
      </c>
      <c r="G208" s="30">
        <v>3</v>
      </c>
      <c r="H208" s="30">
        <v>2</v>
      </c>
      <c r="I208" s="44"/>
      <c r="J208" s="44"/>
      <c r="K208" s="21"/>
      <c r="L208" s="67"/>
      <c r="M208" s="68" t="s">
        <v>749</v>
      </c>
      <c r="N208" s="24">
        <f t="shared" si="47"/>
        <v>0</v>
      </c>
      <c r="O208" s="24"/>
      <c r="P208" s="24"/>
      <c r="Q208" s="24"/>
      <c r="R208" s="24"/>
      <c r="S208" s="25">
        <v>0</v>
      </c>
      <c r="T208" s="25"/>
      <c r="U208" s="12"/>
      <c r="V208" s="10"/>
      <c r="W208" s="29" t="s">
        <v>492</v>
      </c>
      <c r="X208" s="25"/>
      <c r="Y208" s="25"/>
      <c r="Z208" s="25"/>
      <c r="AA208" s="25"/>
      <c r="AB208" s="25">
        <f t="shared" si="51"/>
        <v>0</v>
      </c>
      <c r="AC208" s="19">
        <v>45772</v>
      </c>
      <c r="AD208" s="19">
        <v>46137</v>
      </c>
    </row>
    <row r="209" spans="1:30" ht="16" x14ac:dyDescent="0.2">
      <c r="A209" s="13">
        <v>214</v>
      </c>
      <c r="B209" s="14" t="str">
        <f>_xlfn.XLOOKUP(D209,'[1]Sleutelplan nieuw'!B:B,'[1]Sleutelplan nieuw'!A:A,"",2)</f>
        <v>0327</v>
      </c>
      <c r="C209" s="26" t="s">
        <v>25</v>
      </c>
      <c r="D209" s="22" t="s">
        <v>750</v>
      </c>
      <c r="E209" s="30" t="s">
        <v>751</v>
      </c>
      <c r="F209" s="23" t="s">
        <v>752</v>
      </c>
      <c r="G209" s="30">
        <v>4</v>
      </c>
      <c r="H209" s="30">
        <v>4</v>
      </c>
      <c r="I209" s="44">
        <v>45905</v>
      </c>
      <c r="J209" s="44">
        <v>46269</v>
      </c>
      <c r="K209" s="21"/>
      <c r="L209" s="22" t="s">
        <v>609</v>
      </c>
      <c r="M209" s="12"/>
      <c r="N209" s="24">
        <f>P209-S209-T209-Z209</f>
        <v>250</v>
      </c>
      <c r="O209" s="24">
        <f t="shared" si="48"/>
        <v>2864</v>
      </c>
      <c r="P209" s="24">
        <v>2350</v>
      </c>
      <c r="Q209" s="24">
        <f t="shared" si="50"/>
        <v>135.57702736694412</v>
      </c>
      <c r="R209" s="24">
        <v>2350</v>
      </c>
      <c r="S209" s="25">
        <v>250</v>
      </c>
      <c r="T209" s="25"/>
      <c r="U209" s="12"/>
      <c r="V209" s="10"/>
      <c r="W209" s="29" t="s">
        <v>208</v>
      </c>
      <c r="X209" s="35" t="s">
        <v>209</v>
      </c>
      <c r="Y209" s="25">
        <f>Z209*1.09</f>
        <v>2016.5000000000002</v>
      </c>
      <c r="Z209" s="25">
        <v>1850</v>
      </c>
      <c r="AA209" s="25">
        <v>1850</v>
      </c>
      <c r="AB209" s="25">
        <f t="shared" si="51"/>
        <v>106.73085133142409</v>
      </c>
      <c r="AC209" s="19">
        <v>45901</v>
      </c>
      <c r="AD209" s="19">
        <v>46265</v>
      </c>
    </row>
    <row r="210" spans="1:30" x14ac:dyDescent="0.2">
      <c r="A210" s="13">
        <v>215</v>
      </c>
      <c r="B210" s="14" t="str">
        <f>_xlfn.XLOOKUP(D210,'[1]Sleutelplan nieuw'!B:B,'[1]Sleutelplan nieuw'!A:A,"",2)</f>
        <v>0005</v>
      </c>
      <c r="C210" s="15" t="s">
        <v>25</v>
      </c>
      <c r="D210" s="23" t="s">
        <v>753</v>
      </c>
      <c r="E210" s="18" t="s">
        <v>754</v>
      </c>
      <c r="F210" s="23" t="s">
        <v>302</v>
      </c>
      <c r="G210" s="18">
        <v>8</v>
      </c>
      <c r="H210" s="18">
        <v>8</v>
      </c>
      <c r="I210" s="21">
        <v>45505</v>
      </c>
      <c r="J210" s="21">
        <v>45869</v>
      </c>
      <c r="K210" s="39"/>
      <c r="L210" s="23" t="s">
        <v>755</v>
      </c>
      <c r="M210" s="12"/>
      <c r="N210" s="24">
        <f t="shared" si="47"/>
        <v>1410.9300000000003</v>
      </c>
      <c r="O210" s="24">
        <f t="shared" si="48"/>
        <v>6829.913700000001</v>
      </c>
      <c r="P210" s="24">
        <f t="shared" ref="P210:P216" si="52">R210+S210</f>
        <v>6210.93</v>
      </c>
      <c r="Q210" s="24">
        <f t="shared" si="50"/>
        <v>179.16158012429241</v>
      </c>
      <c r="R210" s="24">
        <v>5710.93</v>
      </c>
      <c r="S210" s="25">
        <v>500</v>
      </c>
      <c r="T210" s="25"/>
      <c r="U210" s="12"/>
      <c r="V210" s="10"/>
      <c r="W210" s="17" t="s">
        <v>304</v>
      </c>
      <c r="X210" s="46" t="s">
        <v>756</v>
      </c>
      <c r="Y210" s="24">
        <v>4300</v>
      </c>
      <c r="Z210" s="24">
        <v>4300</v>
      </c>
      <c r="AA210" s="24">
        <v>4300</v>
      </c>
      <c r="AB210" s="25">
        <f t="shared" si="51"/>
        <v>124.03855695273612</v>
      </c>
      <c r="AC210" s="19">
        <v>45870</v>
      </c>
      <c r="AD210" s="19">
        <v>46600</v>
      </c>
    </row>
    <row r="211" spans="1:30" ht="16" x14ac:dyDescent="0.2">
      <c r="A211" s="13">
        <v>216</v>
      </c>
      <c r="B211" s="14" t="str">
        <f>_xlfn.XLOOKUP(D211,'[1]Sleutelplan nieuw'!B:B,'[1]Sleutelplan nieuw'!A:A,"",2)</f>
        <v>0226</v>
      </c>
      <c r="C211" s="15" t="s">
        <v>25</v>
      </c>
      <c r="D211" s="22" t="s">
        <v>757</v>
      </c>
      <c r="E211" s="30" t="s">
        <v>758</v>
      </c>
      <c r="F211" s="23" t="s">
        <v>759</v>
      </c>
      <c r="G211" s="30">
        <v>4</v>
      </c>
      <c r="H211" s="30">
        <v>3</v>
      </c>
      <c r="I211" s="44">
        <v>45212</v>
      </c>
      <c r="J211" s="44">
        <v>45577</v>
      </c>
      <c r="K211" s="21"/>
      <c r="L211" s="22" t="s">
        <v>760</v>
      </c>
      <c r="M211" s="12"/>
      <c r="N211" s="24">
        <f t="shared" si="47"/>
        <v>597.17999999999984</v>
      </c>
      <c r="O211" s="24">
        <f t="shared" si="48"/>
        <v>2238.5765999999999</v>
      </c>
      <c r="P211" s="24">
        <f t="shared" si="52"/>
        <v>2053.7399999999998</v>
      </c>
      <c r="Q211" s="24">
        <f t="shared" si="50"/>
        <v>118.48509114237778</v>
      </c>
      <c r="R211" s="24">
        <v>2053.7399999999998</v>
      </c>
      <c r="S211" s="25">
        <v>0</v>
      </c>
      <c r="T211" s="25">
        <v>0</v>
      </c>
      <c r="U211" s="12"/>
      <c r="V211" s="10"/>
      <c r="W211" s="29" t="s">
        <v>761</v>
      </c>
      <c r="X211" s="25" t="s">
        <v>762</v>
      </c>
      <c r="Y211" s="25">
        <f>Z211*1.09</f>
        <v>1587.6504</v>
      </c>
      <c r="Z211" s="25">
        <v>1456.56</v>
      </c>
      <c r="AA211" s="25">
        <v>1456.56</v>
      </c>
      <c r="AB211" s="25">
        <f t="shared" si="51"/>
        <v>84.032372332594093</v>
      </c>
      <c r="AC211" s="19">
        <v>45108</v>
      </c>
      <c r="AD211" s="17" t="s">
        <v>296</v>
      </c>
    </row>
    <row r="212" spans="1:30" ht="16" x14ac:dyDescent="0.2">
      <c r="A212" s="13">
        <v>217</v>
      </c>
      <c r="B212" s="14" t="str">
        <f>_xlfn.XLOOKUP(D212,'[1]Sleutelplan nieuw'!B:B,'[1]Sleutelplan nieuw'!A:A,"",2)</f>
        <v>0121</v>
      </c>
      <c r="C212" s="15" t="s">
        <v>25</v>
      </c>
      <c r="D212" s="22" t="s">
        <v>763</v>
      </c>
      <c r="E212" s="30" t="s">
        <v>758</v>
      </c>
      <c r="F212" s="23" t="s">
        <v>759</v>
      </c>
      <c r="G212" s="30">
        <v>9</v>
      </c>
      <c r="H212" s="30">
        <v>8</v>
      </c>
      <c r="I212" s="44">
        <v>44106</v>
      </c>
      <c r="J212" s="44">
        <v>44470</v>
      </c>
      <c r="K212" s="21"/>
      <c r="L212" s="22" t="s">
        <v>760</v>
      </c>
      <c r="M212" s="22"/>
      <c r="N212" s="24">
        <f t="shared" si="47"/>
        <v>1829.9299999999998</v>
      </c>
      <c r="O212" s="24">
        <f t="shared" si="48"/>
        <v>5036.7919000000002</v>
      </c>
      <c r="P212" s="24">
        <f t="shared" si="52"/>
        <v>4620.91</v>
      </c>
      <c r="Q212" s="24">
        <f t="shared" si="50"/>
        <v>118.48496293715098</v>
      </c>
      <c r="R212" s="24">
        <v>4620.91</v>
      </c>
      <c r="S212" s="25">
        <v>0</v>
      </c>
      <c r="T212" s="25">
        <v>0</v>
      </c>
      <c r="U212" s="12"/>
      <c r="V212" s="10"/>
      <c r="W212" s="29" t="s">
        <v>761</v>
      </c>
      <c r="X212" s="25" t="s">
        <v>762</v>
      </c>
      <c r="Y212" s="25">
        <f>Z212*1.09</f>
        <v>3042.1682000000001</v>
      </c>
      <c r="Z212" s="25">
        <v>2790.98</v>
      </c>
      <c r="AA212" s="25">
        <v>2790.98</v>
      </c>
      <c r="AB212" s="25">
        <f t="shared" si="51"/>
        <v>71.563644792547279</v>
      </c>
      <c r="AC212" s="19">
        <v>44835</v>
      </c>
      <c r="AD212" s="19">
        <v>45565</v>
      </c>
    </row>
    <row r="213" spans="1:30" ht="16" x14ac:dyDescent="0.2">
      <c r="A213" s="13">
        <v>218</v>
      </c>
      <c r="B213" s="14" t="str">
        <f>_xlfn.XLOOKUP(D213,'[1]Sleutelplan nieuw'!B:B,'[1]Sleutelplan nieuw'!A:A,"",2)</f>
        <v>0179</v>
      </c>
      <c r="C213" s="15" t="s">
        <v>25</v>
      </c>
      <c r="D213" s="22" t="s">
        <v>764</v>
      </c>
      <c r="E213" s="30" t="s">
        <v>765</v>
      </c>
      <c r="F213" s="23" t="s">
        <v>412</v>
      </c>
      <c r="G213" s="30">
        <v>6</v>
      </c>
      <c r="H213" s="30">
        <v>4</v>
      </c>
      <c r="I213" s="44">
        <v>45968</v>
      </c>
      <c r="J213" s="44">
        <v>46148</v>
      </c>
      <c r="K213" s="21"/>
      <c r="L213" s="22" t="s">
        <v>766</v>
      </c>
      <c r="M213" s="41" t="s">
        <v>767</v>
      </c>
      <c r="N213" s="24">
        <f t="shared" si="47"/>
        <v>709.5</v>
      </c>
      <c r="O213" s="24">
        <f t="shared" si="48"/>
        <v>4178</v>
      </c>
      <c r="P213" s="24">
        <f t="shared" si="52"/>
        <v>3800</v>
      </c>
      <c r="Q213" s="24">
        <f t="shared" si="50"/>
        <v>146.15395857996813</v>
      </c>
      <c r="R213" s="24">
        <v>3500</v>
      </c>
      <c r="S213" s="25">
        <v>300</v>
      </c>
      <c r="T213" s="25">
        <v>0</v>
      </c>
      <c r="U213" s="12"/>
      <c r="V213" s="10"/>
      <c r="W213" s="29" t="s">
        <v>768</v>
      </c>
      <c r="X213" s="25" t="s">
        <v>769</v>
      </c>
      <c r="Y213" s="25">
        <f>Z213*1.09</f>
        <v>3041.6450000000004</v>
      </c>
      <c r="Z213" s="25">
        <v>2790.5</v>
      </c>
      <c r="AA213" s="25">
        <v>2790.5</v>
      </c>
      <c r="AB213" s="25">
        <f t="shared" si="51"/>
        <v>107.32700563615818</v>
      </c>
      <c r="AC213" s="19"/>
      <c r="AD213" s="19"/>
    </row>
    <row r="214" spans="1:30" ht="16" x14ac:dyDescent="0.2">
      <c r="A214" s="13">
        <v>219</v>
      </c>
      <c r="B214" s="14" t="str" cm="1">
        <f t="array" ref="B214">_xlfn.XLOOKUP(LEFT(D214,3),LEFT('[1]Sleutelplan nieuw'!B:B,3),'[1]Sleutelplan nieuw'!A:A,"",2)</f>
        <v>0154</v>
      </c>
      <c r="C214" s="15" t="s">
        <v>25</v>
      </c>
      <c r="D214" s="22" t="s">
        <v>770</v>
      </c>
      <c r="E214" s="30" t="s">
        <v>771</v>
      </c>
      <c r="F214" s="23" t="s">
        <v>128</v>
      </c>
      <c r="G214" s="30">
        <v>4</v>
      </c>
      <c r="H214" s="30">
        <v>3</v>
      </c>
      <c r="I214" s="44">
        <v>45597</v>
      </c>
      <c r="J214" s="44">
        <v>45657</v>
      </c>
      <c r="K214" s="21"/>
      <c r="L214" s="22" t="s">
        <v>35</v>
      </c>
      <c r="M214" s="22"/>
      <c r="N214" s="24">
        <f t="shared" si="47"/>
        <v>538.15000000000009</v>
      </c>
      <c r="O214" s="24">
        <f t="shared" si="48"/>
        <v>2681.5835000000002</v>
      </c>
      <c r="P214" s="24">
        <f t="shared" si="52"/>
        <v>2438.15</v>
      </c>
      <c r="Q214" s="24">
        <f t="shared" si="50"/>
        <v>140.66260820200631</v>
      </c>
      <c r="R214" s="24">
        <v>2238.15</v>
      </c>
      <c r="S214" s="25">
        <v>200</v>
      </c>
      <c r="T214" s="25">
        <v>0</v>
      </c>
      <c r="U214" s="12"/>
      <c r="V214" s="10"/>
      <c r="W214" s="29" t="s">
        <v>133</v>
      </c>
      <c r="X214" s="25"/>
      <c r="Y214" s="25">
        <f>Z214*1.09</f>
        <v>1853.0000000000002</v>
      </c>
      <c r="Z214" s="25">
        <v>1700</v>
      </c>
      <c r="AA214" s="25">
        <v>1700</v>
      </c>
      <c r="AB214" s="25">
        <f t="shared" si="51"/>
        <v>98.076998520768086</v>
      </c>
      <c r="AC214" s="19"/>
      <c r="AD214" s="19"/>
    </row>
    <row r="215" spans="1:30" ht="16" x14ac:dyDescent="0.2">
      <c r="A215" s="13">
        <v>220</v>
      </c>
      <c r="B215" s="14" t="str">
        <f>_xlfn.XLOOKUP(D215,'[1]Sleutelplan nieuw'!B:B,'[1]Sleutelplan nieuw'!A:A,"",2)</f>
        <v>0362</v>
      </c>
      <c r="C215" s="15" t="s">
        <v>25</v>
      </c>
      <c r="D215" s="22" t="s">
        <v>772</v>
      </c>
      <c r="E215" s="30" t="s">
        <v>773</v>
      </c>
      <c r="F215" s="23" t="s">
        <v>28</v>
      </c>
      <c r="G215" s="30">
        <v>4</v>
      </c>
      <c r="H215" s="30">
        <v>2</v>
      </c>
      <c r="I215" s="44">
        <v>45839</v>
      </c>
      <c r="J215" s="44">
        <v>46142</v>
      </c>
      <c r="K215" s="21"/>
      <c r="L215" s="22" t="s">
        <v>511</v>
      </c>
      <c r="M215" s="23"/>
      <c r="N215" s="24">
        <f t="shared" si="47"/>
        <v>593.33999999999992</v>
      </c>
      <c r="O215" s="24">
        <f t="shared" si="48"/>
        <v>3027.5</v>
      </c>
      <c r="P215" s="24">
        <f t="shared" si="52"/>
        <v>2750</v>
      </c>
      <c r="Q215" s="24">
        <f t="shared" si="50"/>
        <v>158.65396819536014</v>
      </c>
      <c r="R215" s="24">
        <v>2500</v>
      </c>
      <c r="S215" s="52">
        <v>250</v>
      </c>
      <c r="T215" s="25"/>
      <c r="U215" s="12"/>
      <c r="V215" s="10"/>
      <c r="W215" s="29" t="s">
        <v>492</v>
      </c>
      <c r="X215" s="25"/>
      <c r="Y215" s="25">
        <f>Z215*1.09</f>
        <v>2078.2594000000004</v>
      </c>
      <c r="Z215" s="25">
        <v>1906.66</v>
      </c>
      <c r="AA215" s="25">
        <v>1906.66</v>
      </c>
      <c r="AB215" s="25">
        <f t="shared" si="51"/>
        <v>109.99969999976923</v>
      </c>
      <c r="AC215" s="19">
        <v>45772</v>
      </c>
      <c r="AD215" s="19">
        <v>46137</v>
      </c>
    </row>
    <row r="216" spans="1:30" ht="16" x14ac:dyDescent="0.2">
      <c r="A216" s="13">
        <v>221</v>
      </c>
      <c r="B216" s="14" t="str">
        <f>_xlfn.XLOOKUP(D216,'[1]Sleutelplan nieuw'!B:B,'[1]Sleutelplan nieuw'!A:A,"",2)</f>
        <v>0144</v>
      </c>
      <c r="C216" s="15" t="s">
        <v>50</v>
      </c>
      <c r="D216" s="22" t="s">
        <v>774</v>
      </c>
      <c r="E216" s="30" t="s">
        <v>775</v>
      </c>
      <c r="F216" s="23" t="s">
        <v>776</v>
      </c>
      <c r="G216" s="30">
        <v>6</v>
      </c>
      <c r="H216" s="30">
        <v>6</v>
      </c>
      <c r="I216" s="44">
        <v>45738</v>
      </c>
      <c r="J216" s="44">
        <v>46103</v>
      </c>
      <c r="K216" s="21"/>
      <c r="L216" s="22" t="s">
        <v>485</v>
      </c>
      <c r="M216" s="23"/>
      <c r="N216" s="24">
        <f t="shared" si="47"/>
        <v>800</v>
      </c>
      <c r="O216" s="24">
        <f t="shared" si="48"/>
        <v>4626</v>
      </c>
      <c r="P216" s="24">
        <f t="shared" si="52"/>
        <v>4200</v>
      </c>
      <c r="Q216" s="24">
        <f t="shared" si="50"/>
        <v>161.53858579891215</v>
      </c>
      <c r="R216" s="24">
        <v>3800</v>
      </c>
      <c r="S216" s="25">
        <v>400</v>
      </c>
      <c r="T216" s="25">
        <v>0</v>
      </c>
      <c r="U216" s="12"/>
      <c r="V216" s="10"/>
      <c r="W216" s="29" t="s">
        <v>777</v>
      </c>
      <c r="X216" s="25" t="s">
        <v>778</v>
      </c>
      <c r="Y216" s="25">
        <v>3000</v>
      </c>
      <c r="Z216" s="25">
        <v>3000</v>
      </c>
      <c r="AA216" s="25">
        <v>3000</v>
      </c>
      <c r="AB216" s="25">
        <f t="shared" si="51"/>
        <v>115.38470414208011</v>
      </c>
      <c r="AC216" s="19">
        <v>45297</v>
      </c>
      <c r="AD216" s="19"/>
    </row>
    <row r="217" spans="1:30" ht="16" x14ac:dyDescent="0.2">
      <c r="A217" s="13">
        <v>222</v>
      </c>
      <c r="B217" s="14" t="str">
        <f>_xlfn.XLOOKUP(D217,'[1]Sleutelplan nieuw'!B:B,'[1]Sleutelplan nieuw'!A:A,"",2)</f>
        <v>0197</v>
      </c>
      <c r="C217" s="26" t="s">
        <v>50</v>
      </c>
      <c r="D217" s="22" t="s">
        <v>779</v>
      </c>
      <c r="E217" s="30" t="s">
        <v>775</v>
      </c>
      <c r="F217" s="23" t="s">
        <v>776</v>
      </c>
      <c r="G217" s="30">
        <v>4</v>
      </c>
      <c r="H217" s="30">
        <v>4</v>
      </c>
      <c r="I217" s="44">
        <v>45591</v>
      </c>
      <c r="J217" s="44">
        <v>45773</v>
      </c>
      <c r="K217" s="21"/>
      <c r="L217" s="22" t="s">
        <v>693</v>
      </c>
      <c r="M217" s="23"/>
      <c r="N217" s="24">
        <f t="shared" si="47"/>
        <v>248.40000000000009</v>
      </c>
      <c r="O217" s="24">
        <v>3025.7560000000003</v>
      </c>
      <c r="P217" s="24">
        <v>2748.4</v>
      </c>
      <c r="Q217" s="24">
        <v>158.56166043204649</v>
      </c>
      <c r="R217" s="24">
        <v>2498.4</v>
      </c>
      <c r="S217" s="69">
        <v>250</v>
      </c>
      <c r="T217" s="25">
        <v>0</v>
      </c>
      <c r="U217" s="12"/>
      <c r="V217" s="10"/>
      <c r="W217" s="29" t="s">
        <v>777</v>
      </c>
      <c r="X217" s="25" t="s">
        <v>778</v>
      </c>
      <c r="Y217" s="25">
        <v>2250</v>
      </c>
      <c r="Z217" s="25">
        <v>2250</v>
      </c>
      <c r="AA217" s="25">
        <v>1950</v>
      </c>
      <c r="AB217" s="25">
        <f t="shared" si="51"/>
        <v>129.80779215984012</v>
      </c>
      <c r="AC217" s="19">
        <v>45078</v>
      </c>
      <c r="AD217" s="19">
        <v>45077</v>
      </c>
    </row>
    <row r="218" spans="1:30" ht="16" x14ac:dyDescent="0.2">
      <c r="A218" s="13">
        <v>223</v>
      </c>
      <c r="B218" s="14" t="str">
        <f>_xlfn.XLOOKUP(D218,'[1]Sleutelplan nieuw'!B:B,'[1]Sleutelplan nieuw'!A:A,"",2)</f>
        <v>0239</v>
      </c>
      <c r="C218" s="15" t="s">
        <v>25</v>
      </c>
      <c r="D218" s="22" t="s">
        <v>780</v>
      </c>
      <c r="E218" s="30" t="s">
        <v>781</v>
      </c>
      <c r="F218" s="23" t="s">
        <v>28</v>
      </c>
      <c r="G218" s="30">
        <v>4</v>
      </c>
      <c r="H218" s="30">
        <v>2</v>
      </c>
      <c r="I218" s="44">
        <v>45819</v>
      </c>
      <c r="J218" s="44">
        <v>46183</v>
      </c>
      <c r="K218" s="21"/>
      <c r="L218" s="70" t="s">
        <v>511</v>
      </c>
      <c r="M218" s="23"/>
      <c r="N218" s="24">
        <f t="shared" si="47"/>
        <v>1025</v>
      </c>
      <c r="O218" s="24">
        <f t="shared" ref="O218:O223" si="53">R218*1.09+S218*1.21</f>
        <v>2809.5</v>
      </c>
      <c r="P218" s="24">
        <f t="shared" ref="P218:P228" si="54">R218+S218</f>
        <v>2550</v>
      </c>
      <c r="Q218" s="24">
        <f t="shared" ref="Q218:Q241" si="55">(P218/G218)/4.33333</f>
        <v>147.11549778115213</v>
      </c>
      <c r="R218" s="24">
        <v>2300</v>
      </c>
      <c r="S218" s="52">
        <v>250</v>
      </c>
      <c r="T218" s="25"/>
      <c r="U218" s="12"/>
      <c r="V218" s="10"/>
      <c r="W218" s="29" t="s">
        <v>35</v>
      </c>
      <c r="X218" s="25"/>
      <c r="Y218" s="25">
        <v>1275</v>
      </c>
      <c r="Z218" s="25">
        <v>1275</v>
      </c>
      <c r="AA218" s="25">
        <v>1275</v>
      </c>
      <c r="AB218" s="25">
        <f t="shared" si="51"/>
        <v>73.557748890576065</v>
      </c>
      <c r="AC218" s="19"/>
      <c r="AD218" s="19"/>
    </row>
    <row r="219" spans="1:30" ht="16" x14ac:dyDescent="0.2">
      <c r="A219" s="13">
        <v>225</v>
      </c>
      <c r="B219" s="14" t="str">
        <f>_xlfn.XLOOKUP(D219,'[1]Sleutelplan nieuw'!B:B,'[1]Sleutelplan nieuw'!A:A,"",2)</f>
        <v>0050</v>
      </c>
      <c r="C219" s="15" t="s">
        <v>25</v>
      </c>
      <c r="D219" s="22" t="s">
        <v>782</v>
      </c>
      <c r="E219" s="30" t="s">
        <v>783</v>
      </c>
      <c r="F219" s="23" t="s">
        <v>302</v>
      </c>
      <c r="G219" s="30">
        <v>7</v>
      </c>
      <c r="H219" s="30">
        <v>7</v>
      </c>
      <c r="I219" s="44">
        <v>45509</v>
      </c>
      <c r="J219" s="44">
        <v>45692</v>
      </c>
      <c r="K219" s="21"/>
      <c r="L219" s="22" t="s">
        <v>784</v>
      </c>
      <c r="M219" s="22"/>
      <c r="N219" s="24">
        <f t="shared" si="47"/>
        <v>421.17000000000007</v>
      </c>
      <c r="O219" s="24">
        <f t="shared" si="53"/>
        <v>5022.76</v>
      </c>
      <c r="P219" s="24">
        <f t="shared" si="54"/>
        <v>4564</v>
      </c>
      <c r="Q219" s="24">
        <f t="shared" si="55"/>
        <v>150.46165420127247</v>
      </c>
      <c r="R219" s="24">
        <v>4164</v>
      </c>
      <c r="S219" s="25">
        <v>400</v>
      </c>
      <c r="T219" s="25"/>
      <c r="U219" s="12"/>
      <c r="V219" s="10"/>
      <c r="W219" s="17" t="s">
        <v>304</v>
      </c>
      <c r="X219" s="25"/>
      <c r="Y219" s="25">
        <v>3749.66</v>
      </c>
      <c r="Z219" s="25">
        <v>3742.83</v>
      </c>
      <c r="AA219" s="25">
        <f>3564.19+146.13</f>
        <v>3710.32</v>
      </c>
      <c r="AB219" s="25">
        <f t="shared" si="51"/>
        <v>123.39009491545761</v>
      </c>
      <c r="AC219" s="19">
        <v>45507</v>
      </c>
      <c r="AD219" s="19">
        <v>46236</v>
      </c>
    </row>
    <row r="220" spans="1:30" ht="16" x14ac:dyDescent="0.2">
      <c r="A220" s="13">
        <v>226</v>
      </c>
      <c r="B220" s="14" t="str">
        <f>_xlfn.XLOOKUP(D220,'[1]Sleutelplan nieuw'!B:B,'[1]Sleutelplan nieuw'!A:A,"",2)</f>
        <v>0123</v>
      </c>
      <c r="C220" s="15" t="s">
        <v>50</v>
      </c>
      <c r="D220" s="22" t="s">
        <v>785</v>
      </c>
      <c r="E220" s="30" t="s">
        <v>786</v>
      </c>
      <c r="F220" s="23" t="s">
        <v>403</v>
      </c>
      <c r="G220" s="30">
        <v>5</v>
      </c>
      <c r="H220" s="30">
        <v>5</v>
      </c>
      <c r="I220" s="44">
        <v>45794</v>
      </c>
      <c r="J220" s="44">
        <v>45946</v>
      </c>
      <c r="K220" s="21"/>
      <c r="L220" s="22" t="s">
        <v>923</v>
      </c>
      <c r="M220" s="22"/>
      <c r="N220" s="24">
        <f t="shared" si="47"/>
        <v>392.63000000000011</v>
      </c>
      <c r="O220" s="24">
        <f t="shared" si="53"/>
        <v>3251.5</v>
      </c>
      <c r="P220" s="24">
        <f t="shared" si="54"/>
        <v>2950</v>
      </c>
      <c r="Q220" s="24">
        <f t="shared" si="55"/>
        <v>136.15395088765453</v>
      </c>
      <c r="R220" s="24">
        <v>2650</v>
      </c>
      <c r="S220" s="25">
        <v>300</v>
      </c>
      <c r="T220" s="25">
        <v>0</v>
      </c>
      <c r="U220" s="12"/>
      <c r="V220" s="10"/>
      <c r="W220" s="29" t="s">
        <v>187</v>
      </c>
      <c r="X220" s="25" t="s">
        <v>188</v>
      </c>
      <c r="Y220" s="25">
        <v>2257.37</v>
      </c>
      <c r="Z220" s="25">
        <v>2257.37</v>
      </c>
      <c r="AA220" s="25">
        <v>2257.37</v>
      </c>
      <c r="AB220" s="25">
        <f t="shared" si="51"/>
        <v>104.18638783568295</v>
      </c>
      <c r="AC220" s="19">
        <v>44805</v>
      </c>
      <c r="AD220" s="19">
        <v>46630</v>
      </c>
    </row>
    <row r="221" spans="1:30" ht="16" x14ac:dyDescent="0.2">
      <c r="A221" s="13">
        <v>227</v>
      </c>
      <c r="B221" s="14" t="str">
        <f>_xlfn.XLOOKUP(D221,'[1]Sleutelplan nieuw'!B:B,'[1]Sleutelplan nieuw'!A:A,"",2)</f>
        <v>0124</v>
      </c>
      <c r="C221" s="15" t="s">
        <v>50</v>
      </c>
      <c r="D221" s="22" t="s">
        <v>787</v>
      </c>
      <c r="E221" s="30" t="s">
        <v>788</v>
      </c>
      <c r="F221" s="23" t="s">
        <v>145</v>
      </c>
      <c r="G221" s="30">
        <v>4</v>
      </c>
      <c r="H221" s="30">
        <v>4</v>
      </c>
      <c r="I221" s="71">
        <v>44682</v>
      </c>
      <c r="J221" s="3">
        <v>45046</v>
      </c>
      <c r="K221" s="21"/>
      <c r="L221" s="22" t="s">
        <v>789</v>
      </c>
      <c r="M221" s="23"/>
      <c r="N221" s="24">
        <f t="shared" si="47"/>
        <v>214.44999999999982</v>
      </c>
      <c r="O221" s="24">
        <f t="shared" si="53"/>
        <v>3205.6387</v>
      </c>
      <c r="P221" s="24">
        <f t="shared" si="54"/>
        <v>2913.43</v>
      </c>
      <c r="Q221" s="24">
        <f t="shared" si="55"/>
        <v>168.08262929433022</v>
      </c>
      <c r="R221" s="24">
        <v>2663.43</v>
      </c>
      <c r="S221" s="25">
        <v>250</v>
      </c>
      <c r="T221" s="25">
        <v>0</v>
      </c>
      <c r="U221" s="12"/>
      <c r="V221" s="10"/>
      <c r="W221" s="29" t="s">
        <v>181</v>
      </c>
      <c r="X221" s="25" t="s">
        <v>182</v>
      </c>
      <c r="Y221" s="25">
        <v>2448.98</v>
      </c>
      <c r="Z221" s="25">
        <v>2448.98</v>
      </c>
      <c r="AA221" s="25">
        <v>2448.98</v>
      </c>
      <c r="AB221" s="25">
        <f t="shared" si="51"/>
        <v>141.28741637493567</v>
      </c>
      <c r="AC221" s="19">
        <v>44223</v>
      </c>
      <c r="AD221" s="19">
        <v>44587</v>
      </c>
    </row>
    <row r="222" spans="1:30" x14ac:dyDescent="0.2">
      <c r="A222" s="13">
        <v>229</v>
      </c>
      <c r="B222" s="14" t="str">
        <f>_xlfn.XLOOKUP(D222,'[1]Sleutelplan nieuw'!B:B,'[1]Sleutelplan nieuw'!A:A,"",2)</f>
        <v>0200</v>
      </c>
      <c r="C222" s="26" t="s">
        <v>50</v>
      </c>
      <c r="D222" s="72" t="s">
        <v>790</v>
      </c>
      <c r="E222" s="54" t="s">
        <v>791</v>
      </c>
      <c r="F222" s="23" t="s">
        <v>792</v>
      </c>
      <c r="G222" s="18">
        <v>4</v>
      </c>
      <c r="H222" s="18">
        <v>4</v>
      </c>
      <c r="I222" s="21">
        <v>45170</v>
      </c>
      <c r="J222" s="21">
        <v>45350</v>
      </c>
      <c r="K222" s="21"/>
      <c r="L222" s="23" t="s">
        <v>793</v>
      </c>
      <c r="M222" s="23"/>
      <c r="N222" s="24">
        <f t="shared" si="47"/>
        <v>789.62999999999988</v>
      </c>
      <c r="O222" s="24">
        <f t="shared" si="53"/>
        <v>3217.7386999999999</v>
      </c>
      <c r="P222" s="24">
        <f t="shared" si="54"/>
        <v>2923.43</v>
      </c>
      <c r="Q222" s="24">
        <f t="shared" si="55"/>
        <v>168.65955281504063</v>
      </c>
      <c r="R222" s="24">
        <v>2663.43</v>
      </c>
      <c r="S222" s="25">
        <v>260</v>
      </c>
      <c r="T222" s="25">
        <v>0</v>
      </c>
      <c r="U222" s="12"/>
      <c r="V222" s="10"/>
      <c r="W222" s="29" t="s">
        <v>794</v>
      </c>
      <c r="X222" s="25" t="s">
        <v>795</v>
      </c>
      <c r="Y222" s="25">
        <v>1873.8</v>
      </c>
      <c r="Z222" s="25">
        <v>1873.8</v>
      </c>
      <c r="AA222" s="25">
        <v>1873.8</v>
      </c>
      <c r="AB222" s="25">
        <f t="shared" si="51"/>
        <v>108.10392931071485</v>
      </c>
      <c r="AC222" s="19">
        <v>45108</v>
      </c>
      <c r="AD222" s="19">
        <v>45473</v>
      </c>
    </row>
    <row r="223" spans="1:30" x14ac:dyDescent="0.2">
      <c r="A223" s="13">
        <v>230</v>
      </c>
      <c r="B223" s="14" t="str">
        <f>_xlfn.XLOOKUP(D223,'[1]Sleutelplan nieuw'!B:B,'[1]Sleutelplan nieuw'!A:A,"",2)</f>
        <v>0099</v>
      </c>
      <c r="C223" s="26" t="s">
        <v>25</v>
      </c>
      <c r="D223" s="72" t="s">
        <v>796</v>
      </c>
      <c r="E223" s="54" t="s">
        <v>797</v>
      </c>
      <c r="F223" s="23" t="s">
        <v>193</v>
      </c>
      <c r="G223" s="18">
        <v>6</v>
      </c>
      <c r="H223" s="18">
        <v>3</v>
      </c>
      <c r="I223" s="21">
        <v>45395</v>
      </c>
      <c r="J223" s="21">
        <v>45759</v>
      </c>
      <c r="K223" s="21"/>
      <c r="L223" s="23" t="s">
        <v>35</v>
      </c>
      <c r="M223" s="23"/>
      <c r="N223" s="24">
        <f t="shared" si="47"/>
        <v>442.42000000000007</v>
      </c>
      <c r="O223" s="24">
        <f t="shared" si="53"/>
        <v>3687.7425000000003</v>
      </c>
      <c r="P223" s="24">
        <f t="shared" si="54"/>
        <v>3383.25</v>
      </c>
      <c r="Q223" s="24">
        <f t="shared" si="55"/>
        <v>130.12510009623085</v>
      </c>
      <c r="R223" s="24">
        <v>3383.25</v>
      </c>
      <c r="S223" s="25">
        <v>0</v>
      </c>
      <c r="T223" s="25">
        <v>0</v>
      </c>
      <c r="U223" s="12"/>
      <c r="V223" s="10"/>
      <c r="W223" s="29" t="s">
        <v>798</v>
      </c>
      <c r="X223" s="25" t="s">
        <v>799</v>
      </c>
      <c r="Y223" s="25">
        <v>2940.83</v>
      </c>
      <c r="Z223" s="25">
        <v>2940.83</v>
      </c>
      <c r="AA223" s="25">
        <v>2940.83</v>
      </c>
      <c r="AB223" s="25">
        <f t="shared" si="51"/>
        <v>113.10893316071781</v>
      </c>
      <c r="AC223" s="19">
        <v>45390</v>
      </c>
      <c r="AD223" s="19">
        <v>45754</v>
      </c>
    </row>
    <row r="224" spans="1:30" x14ac:dyDescent="0.2">
      <c r="A224" s="13">
        <v>231</v>
      </c>
      <c r="B224" s="14" t="str">
        <f>_xlfn.XLOOKUP(D224,'[1]Sleutelplan nieuw'!B:B,'[1]Sleutelplan nieuw'!A:A,"",2)</f>
        <v>0127</v>
      </c>
      <c r="C224" s="26" t="s">
        <v>25</v>
      </c>
      <c r="D224" s="72" t="s">
        <v>800</v>
      </c>
      <c r="E224" s="54" t="s">
        <v>801</v>
      </c>
      <c r="F224" s="23" t="s">
        <v>28</v>
      </c>
      <c r="G224" s="18">
        <v>5</v>
      </c>
      <c r="H224" s="18">
        <v>3</v>
      </c>
      <c r="I224" s="21">
        <v>44548</v>
      </c>
      <c r="J224" s="21">
        <v>44912</v>
      </c>
      <c r="K224" s="21"/>
      <c r="L224" s="23" t="s">
        <v>180</v>
      </c>
      <c r="M224" s="23"/>
      <c r="N224" s="24">
        <f t="shared" si="47"/>
        <v>321.23</v>
      </c>
      <c r="O224" s="24">
        <f>R224*1.09+S224*1.09</f>
        <v>3152.0947000000001</v>
      </c>
      <c r="P224" s="24">
        <f t="shared" si="54"/>
        <v>2891.83</v>
      </c>
      <c r="Q224" s="24">
        <f t="shared" si="55"/>
        <v>133.46917959167661</v>
      </c>
      <c r="R224" s="24">
        <v>2516.83</v>
      </c>
      <c r="S224" s="25">
        <v>375</v>
      </c>
      <c r="T224" s="25">
        <v>0</v>
      </c>
      <c r="U224" s="12"/>
      <c r="V224" s="10"/>
      <c r="W224" s="29" t="s">
        <v>802</v>
      </c>
      <c r="X224" s="25" t="s">
        <v>803</v>
      </c>
      <c r="Y224" s="25">
        <v>2195.6</v>
      </c>
      <c r="Z224" s="25">
        <v>2195.6</v>
      </c>
      <c r="AA224" s="25">
        <v>2195.6</v>
      </c>
      <c r="AB224" s="25">
        <f t="shared" si="51"/>
        <v>101.33546256574043</v>
      </c>
      <c r="AC224" s="19">
        <v>44548</v>
      </c>
      <c r="AD224" s="19">
        <v>44912</v>
      </c>
    </row>
    <row r="225" spans="1:30" ht="16" x14ac:dyDescent="0.2">
      <c r="A225" s="13">
        <v>232</v>
      </c>
      <c r="B225" s="14" t="str">
        <f>_xlfn.XLOOKUP(D225,'[1]Sleutelplan nieuw'!B:B,'[1]Sleutelplan nieuw'!A:A,"",2)</f>
        <v>0128</v>
      </c>
      <c r="C225" s="15" t="s">
        <v>50</v>
      </c>
      <c r="D225" s="22" t="s">
        <v>804</v>
      </c>
      <c r="E225" s="30" t="s">
        <v>805</v>
      </c>
      <c r="F225" s="23" t="s">
        <v>283</v>
      </c>
      <c r="G225" s="30">
        <v>4</v>
      </c>
      <c r="H225" s="30">
        <v>4</v>
      </c>
      <c r="I225" s="44">
        <v>45326</v>
      </c>
      <c r="J225" s="44">
        <v>45691</v>
      </c>
      <c r="K225" s="21" t="s">
        <v>47</v>
      </c>
      <c r="L225" s="22" t="s">
        <v>284</v>
      </c>
      <c r="M225" s="22"/>
      <c r="N225" s="24">
        <f t="shared" si="47"/>
        <v>491.23</v>
      </c>
      <c r="O225" s="24">
        <f t="shared" ref="O225:O241" si="56">R225*1.09+S225*1.21</f>
        <v>2524.6907000000001</v>
      </c>
      <c r="P225" s="24">
        <f t="shared" si="54"/>
        <v>2316.23</v>
      </c>
      <c r="Q225" s="24">
        <f t="shared" si="55"/>
        <v>133.62875663750509</v>
      </c>
      <c r="R225" s="24">
        <v>2316.23</v>
      </c>
      <c r="S225" s="25">
        <v>0</v>
      </c>
      <c r="T225" s="25">
        <v>0</v>
      </c>
      <c r="U225" s="16"/>
      <c r="V225" s="10"/>
      <c r="W225" s="29" t="s">
        <v>806</v>
      </c>
      <c r="X225" s="25" t="s">
        <v>807</v>
      </c>
      <c r="Y225" s="25">
        <v>1825</v>
      </c>
      <c r="Z225" s="25">
        <v>1825</v>
      </c>
      <c r="AA225" s="25">
        <v>1825</v>
      </c>
      <c r="AB225" s="25">
        <f t="shared" si="51"/>
        <v>105.2885425296481</v>
      </c>
      <c r="AC225" s="19">
        <v>43966</v>
      </c>
      <c r="AD225" s="17" t="s">
        <v>296</v>
      </c>
    </row>
    <row r="226" spans="1:30" ht="16" x14ac:dyDescent="0.2">
      <c r="A226" s="13">
        <v>233</v>
      </c>
      <c r="B226" s="14" t="str">
        <f>_xlfn.XLOOKUP(D226,'[1]Sleutelplan nieuw'!B:B,'[1]Sleutelplan nieuw'!A:A,"",2)</f>
        <v>0249</v>
      </c>
      <c r="C226" s="15" t="s">
        <v>25</v>
      </c>
      <c r="D226" s="22" t="s">
        <v>808</v>
      </c>
      <c r="E226" s="30" t="s">
        <v>809</v>
      </c>
      <c r="F226" s="23" t="s">
        <v>28</v>
      </c>
      <c r="G226" s="30">
        <v>3</v>
      </c>
      <c r="H226" s="30">
        <v>2</v>
      </c>
      <c r="I226" s="44">
        <v>45814</v>
      </c>
      <c r="J226" s="44">
        <v>45813</v>
      </c>
      <c r="K226" s="21"/>
      <c r="L226" s="70" t="s">
        <v>810</v>
      </c>
      <c r="M226" s="22"/>
      <c r="N226" s="24">
        <f t="shared" si="47"/>
        <v>749.47</v>
      </c>
      <c r="O226" s="24">
        <f t="shared" si="56"/>
        <v>2585.5</v>
      </c>
      <c r="P226" s="24">
        <f t="shared" si="54"/>
        <v>2350</v>
      </c>
      <c r="Q226" s="24">
        <f t="shared" si="55"/>
        <v>180.76936982259218</v>
      </c>
      <c r="R226" s="24">
        <v>2150</v>
      </c>
      <c r="S226" s="25">
        <v>200</v>
      </c>
      <c r="T226" s="25"/>
      <c r="U226" s="16"/>
      <c r="V226" s="10"/>
      <c r="W226" s="29" t="s">
        <v>35</v>
      </c>
      <c r="X226" s="25"/>
      <c r="Y226" s="25">
        <f>Z226</f>
        <v>1400.53</v>
      </c>
      <c r="Z226" s="25">
        <v>1400.53</v>
      </c>
      <c r="AA226" s="25">
        <v>1400.53</v>
      </c>
      <c r="AB226" s="25">
        <f t="shared" si="51"/>
        <v>107.7331597947383</v>
      </c>
      <c r="AC226" s="19"/>
    </row>
    <row r="227" spans="1:30" ht="16" x14ac:dyDescent="0.2">
      <c r="A227" s="13">
        <v>234</v>
      </c>
      <c r="B227" s="14" t="str">
        <f>_xlfn.XLOOKUP(D227,'[1]Sleutelplan nieuw'!B:B,'[1]Sleutelplan nieuw'!A:A,"",2)</f>
        <v>0129</v>
      </c>
      <c r="C227" s="15" t="s">
        <v>50</v>
      </c>
      <c r="D227" s="23" t="s">
        <v>811</v>
      </c>
      <c r="E227" s="18" t="s">
        <v>812</v>
      </c>
      <c r="F227" s="23" t="s">
        <v>813</v>
      </c>
      <c r="G227" s="30">
        <v>6</v>
      </c>
      <c r="H227" s="30">
        <v>5</v>
      </c>
      <c r="I227" s="44">
        <v>45275</v>
      </c>
      <c r="J227" s="44">
        <v>45640</v>
      </c>
      <c r="K227" s="21"/>
      <c r="L227" s="22" t="s">
        <v>814</v>
      </c>
      <c r="M227" s="22"/>
      <c r="N227" s="24">
        <f t="shared" si="47"/>
        <v>1041</v>
      </c>
      <c r="O227" s="24">
        <f t="shared" si="56"/>
        <v>3404.07</v>
      </c>
      <c r="P227" s="24">
        <f t="shared" si="54"/>
        <v>3123</v>
      </c>
      <c r="Q227" s="24">
        <f t="shared" si="55"/>
        <v>120.11547701190538</v>
      </c>
      <c r="R227" s="24">
        <v>3123</v>
      </c>
      <c r="S227" s="25">
        <v>0</v>
      </c>
      <c r="T227" s="25">
        <v>0</v>
      </c>
      <c r="U227" s="12"/>
      <c r="V227" s="10"/>
      <c r="W227" s="29" t="s">
        <v>815</v>
      </c>
      <c r="X227" s="25" t="s">
        <v>816</v>
      </c>
      <c r="Y227" s="25">
        <v>2082</v>
      </c>
      <c r="Z227" s="25">
        <v>2082</v>
      </c>
      <c r="AA227" s="25">
        <v>2082</v>
      </c>
      <c r="AB227" s="25">
        <f t="shared" si="51"/>
        <v>80.076984674603594</v>
      </c>
      <c r="AC227" s="19">
        <v>43525</v>
      </c>
      <c r="AD227" s="19">
        <v>43889</v>
      </c>
    </row>
    <row r="228" spans="1:30" ht="16" x14ac:dyDescent="0.2">
      <c r="A228" s="13">
        <v>235</v>
      </c>
      <c r="B228" s="14" t="str">
        <f>_xlfn.XLOOKUP(D228,'[1]Sleutelplan nieuw'!B:B,'[1]Sleutelplan nieuw'!A:A,"",2)</f>
        <v>0021</v>
      </c>
      <c r="C228" s="15" t="s">
        <v>25</v>
      </c>
      <c r="D228" s="23" t="s">
        <v>817</v>
      </c>
      <c r="E228" s="18" t="s">
        <v>818</v>
      </c>
      <c r="F228" s="23" t="s">
        <v>34</v>
      </c>
      <c r="G228" s="18">
        <v>5</v>
      </c>
      <c r="H228" s="18">
        <v>3</v>
      </c>
      <c r="I228" s="21">
        <v>44958</v>
      </c>
      <c r="J228" s="21">
        <v>45323</v>
      </c>
      <c r="K228" s="73"/>
      <c r="L228" s="22" t="s">
        <v>35</v>
      </c>
      <c r="M228" s="23" t="s">
        <v>819</v>
      </c>
      <c r="N228" s="24">
        <f t="shared" si="47"/>
        <v>330.43000000000006</v>
      </c>
      <c r="O228" s="24">
        <f t="shared" si="56"/>
        <v>1995.1687000000002</v>
      </c>
      <c r="P228" s="24">
        <f t="shared" si="54"/>
        <v>1830.43</v>
      </c>
      <c r="Q228" s="24">
        <f t="shared" si="55"/>
        <v>84.481449601115074</v>
      </c>
      <c r="R228" s="24">
        <v>1830.43</v>
      </c>
      <c r="S228" s="25">
        <v>0</v>
      </c>
      <c r="T228" s="25">
        <v>0</v>
      </c>
      <c r="U228" s="12"/>
      <c r="V228" s="10"/>
      <c r="W228" s="17" t="s">
        <v>129</v>
      </c>
      <c r="X228" s="12"/>
      <c r="Y228" s="24">
        <v>1500</v>
      </c>
      <c r="Z228" s="25">
        <v>1500</v>
      </c>
      <c r="AA228" s="24">
        <v>1500</v>
      </c>
      <c r="AB228" s="25">
        <f t="shared" si="51"/>
        <v>69.230822485248069</v>
      </c>
      <c r="AC228" s="19">
        <v>44927</v>
      </c>
      <c r="AD228" s="19">
        <v>45292</v>
      </c>
    </row>
    <row r="229" spans="1:30" ht="16" x14ac:dyDescent="0.2">
      <c r="A229" s="13">
        <v>237</v>
      </c>
      <c r="B229" s="14" t="str">
        <f>_xlfn.XLOOKUP(D229,'[1]Sleutelplan nieuw'!B:B,'[1]Sleutelplan nieuw'!A:A,"",2)</f>
        <v>0130</v>
      </c>
      <c r="C229" s="15" t="s">
        <v>25</v>
      </c>
      <c r="D229" s="23" t="s">
        <v>820</v>
      </c>
      <c r="E229" s="30" t="s">
        <v>821</v>
      </c>
      <c r="F229" s="23" t="s">
        <v>28</v>
      </c>
      <c r="G229" s="30">
        <v>4</v>
      </c>
      <c r="H229" s="30">
        <v>3</v>
      </c>
      <c r="I229" s="44">
        <v>44835</v>
      </c>
      <c r="J229" s="44">
        <v>44927</v>
      </c>
      <c r="K229" s="21"/>
      <c r="L229" s="22" t="s">
        <v>40</v>
      </c>
      <c r="M229" s="22"/>
      <c r="N229" s="24">
        <f t="shared" si="47"/>
        <v>284.28999999999996</v>
      </c>
      <c r="O229" s="24">
        <f t="shared" si="56"/>
        <v>2435.3761</v>
      </c>
      <c r="P229" s="24">
        <f>R229+S229</f>
        <v>2234.29</v>
      </c>
      <c r="Q229" s="24">
        <f t="shared" si="55"/>
        <v>128.90144530880409</v>
      </c>
      <c r="R229" s="24">
        <v>2234.29</v>
      </c>
      <c r="S229" s="25">
        <v>0</v>
      </c>
      <c r="T229" s="25">
        <v>0</v>
      </c>
      <c r="U229" s="12"/>
      <c r="V229" s="10"/>
      <c r="W229" s="29" t="s">
        <v>822</v>
      </c>
      <c r="X229" s="25" t="s">
        <v>525</v>
      </c>
      <c r="Y229" s="25">
        <f>Z229*1.21</f>
        <v>2359.5</v>
      </c>
      <c r="Z229" s="25">
        <v>1950</v>
      </c>
      <c r="AA229" s="25">
        <v>1950</v>
      </c>
      <c r="AB229" s="25">
        <f t="shared" si="51"/>
        <v>112.50008653852811</v>
      </c>
      <c r="AC229" s="19">
        <v>44743</v>
      </c>
      <c r="AD229" s="19">
        <v>45473</v>
      </c>
    </row>
    <row r="230" spans="1:30" ht="16" x14ac:dyDescent="0.2">
      <c r="A230" s="13">
        <v>238</v>
      </c>
      <c r="B230" s="14" t="str">
        <f>_xlfn.XLOOKUP(D230,'[1]Sleutelplan nieuw'!B:B,'[1]Sleutelplan nieuw'!A:A,"",2)</f>
        <v>0089</v>
      </c>
      <c r="C230" s="15" t="s">
        <v>25</v>
      </c>
      <c r="D230" s="23" t="s">
        <v>823</v>
      </c>
      <c r="E230" s="30" t="s">
        <v>824</v>
      </c>
      <c r="F230" s="23" t="s">
        <v>28</v>
      </c>
      <c r="G230" s="30">
        <v>2</v>
      </c>
      <c r="H230" s="30">
        <v>2</v>
      </c>
      <c r="I230" s="44">
        <v>45915</v>
      </c>
      <c r="J230" s="44">
        <v>46005</v>
      </c>
      <c r="K230" s="21"/>
      <c r="L230" s="22" t="s">
        <v>825</v>
      </c>
      <c r="M230" s="34" t="s">
        <v>826</v>
      </c>
      <c r="N230" s="24">
        <f t="shared" si="47"/>
        <v>395</v>
      </c>
      <c r="O230" s="24">
        <f t="shared" si="56"/>
        <v>1943.7000000000003</v>
      </c>
      <c r="P230" s="24">
        <f>R230+S230</f>
        <v>1770</v>
      </c>
      <c r="Q230" s="24">
        <f t="shared" si="55"/>
        <v>204.23092633148178</v>
      </c>
      <c r="R230" s="24">
        <v>1650</v>
      </c>
      <c r="S230" s="25">
        <v>120</v>
      </c>
      <c r="T230" s="25">
        <v>0</v>
      </c>
      <c r="U230" s="12"/>
      <c r="V230" s="10"/>
      <c r="W230" s="29" t="s">
        <v>166</v>
      </c>
      <c r="X230" s="35" t="s">
        <v>827</v>
      </c>
      <c r="Y230" s="25">
        <v>1255</v>
      </c>
      <c r="Z230" s="25">
        <v>1255</v>
      </c>
      <c r="AA230" s="25">
        <v>1255</v>
      </c>
      <c r="AB230" s="25">
        <f t="shared" si="51"/>
        <v>144.80780369831052</v>
      </c>
      <c r="AC230" s="19">
        <v>45444</v>
      </c>
      <c r="AD230" s="19">
        <v>46173</v>
      </c>
    </row>
    <row r="231" spans="1:30" ht="16" x14ac:dyDescent="0.2">
      <c r="A231" s="13">
        <v>239</v>
      </c>
      <c r="B231" s="33" t="s">
        <v>828</v>
      </c>
      <c r="C231" s="15" t="s">
        <v>25</v>
      </c>
      <c r="D231" s="23" t="s">
        <v>829</v>
      </c>
      <c r="E231" s="30" t="s">
        <v>830</v>
      </c>
      <c r="F231" s="23" t="s">
        <v>128</v>
      </c>
      <c r="G231" s="30">
        <v>3</v>
      </c>
      <c r="H231" s="30">
        <v>2</v>
      </c>
      <c r="I231" s="44">
        <v>45717</v>
      </c>
      <c r="J231" s="44" t="s">
        <v>337</v>
      </c>
      <c r="K231" s="21"/>
      <c r="L231" s="22" t="s">
        <v>35</v>
      </c>
      <c r="M231" s="22"/>
      <c r="N231" s="24">
        <f t="shared" si="47"/>
        <v>310</v>
      </c>
      <c r="O231" s="24">
        <f t="shared" si="56"/>
        <v>1700.4</v>
      </c>
      <c r="P231" s="24">
        <f t="shared" ref="P231:P241" si="57">R231+S231</f>
        <v>1560</v>
      </c>
      <c r="Q231" s="24">
        <f t="shared" si="55"/>
        <v>120.00009230776331</v>
      </c>
      <c r="R231" s="24">
        <v>1560</v>
      </c>
      <c r="S231" s="25">
        <v>0</v>
      </c>
      <c r="T231" s="25"/>
      <c r="U231" s="12"/>
      <c r="V231" s="10"/>
      <c r="W231" s="29" t="s">
        <v>133</v>
      </c>
      <c r="X231" s="35"/>
      <c r="Y231" s="25">
        <v>1250</v>
      </c>
      <c r="Z231" s="25">
        <v>1250</v>
      </c>
      <c r="AA231" s="25">
        <v>1250</v>
      </c>
      <c r="AB231" s="25">
        <f t="shared" si="51"/>
        <v>96.153920118400094</v>
      </c>
      <c r="AC231" s="19">
        <v>45717</v>
      </c>
      <c r="AD231" s="19"/>
    </row>
    <row r="232" spans="1:30" ht="16" x14ac:dyDescent="0.2">
      <c r="A232" s="13">
        <v>240</v>
      </c>
      <c r="B232" s="33" t="s">
        <v>831</v>
      </c>
      <c r="C232" s="15" t="s">
        <v>25</v>
      </c>
      <c r="D232" s="23" t="s">
        <v>832</v>
      </c>
      <c r="E232" s="30" t="s">
        <v>830</v>
      </c>
      <c r="F232" s="23" t="s">
        <v>128</v>
      </c>
      <c r="G232" s="30">
        <v>3</v>
      </c>
      <c r="H232" s="30">
        <v>2</v>
      </c>
      <c r="I232" s="44">
        <v>45748</v>
      </c>
      <c r="J232" s="44" t="s">
        <v>337</v>
      </c>
      <c r="K232" s="21"/>
      <c r="L232" s="22" t="s">
        <v>35</v>
      </c>
      <c r="M232" s="22"/>
      <c r="N232" s="24">
        <f t="shared" si="47"/>
        <v>310</v>
      </c>
      <c r="O232" s="24">
        <f t="shared" si="56"/>
        <v>1700.4</v>
      </c>
      <c r="P232" s="24">
        <f t="shared" si="57"/>
        <v>1560</v>
      </c>
      <c r="Q232" s="24">
        <f t="shared" si="55"/>
        <v>120.00009230776331</v>
      </c>
      <c r="R232" s="24">
        <v>1560</v>
      </c>
      <c r="S232" s="25">
        <v>0</v>
      </c>
      <c r="T232" s="25"/>
      <c r="U232" s="12"/>
      <c r="V232" s="10"/>
      <c r="W232" s="29" t="s">
        <v>133</v>
      </c>
      <c r="X232" s="35"/>
      <c r="Y232" s="25">
        <v>1250</v>
      </c>
      <c r="Z232" s="25">
        <v>1250</v>
      </c>
      <c r="AA232" s="25">
        <v>1250</v>
      </c>
      <c r="AB232" s="25">
        <f t="shared" si="51"/>
        <v>96.153920118400094</v>
      </c>
      <c r="AC232" s="19">
        <v>45748</v>
      </c>
      <c r="AD232" s="19"/>
    </row>
    <row r="233" spans="1:30" ht="16" x14ac:dyDescent="0.2">
      <c r="A233" s="13">
        <v>241</v>
      </c>
      <c r="B233" s="33" t="s">
        <v>833</v>
      </c>
      <c r="C233" s="15" t="s">
        <v>25</v>
      </c>
      <c r="D233" s="23" t="s">
        <v>834</v>
      </c>
      <c r="E233" s="30" t="s">
        <v>830</v>
      </c>
      <c r="F233" s="23" t="s">
        <v>128</v>
      </c>
      <c r="G233" s="30">
        <v>3</v>
      </c>
      <c r="H233" s="30">
        <v>2</v>
      </c>
      <c r="I233" s="44">
        <v>45733</v>
      </c>
      <c r="J233" s="44" t="s">
        <v>337</v>
      </c>
      <c r="K233" s="21"/>
      <c r="L233" s="22" t="s">
        <v>35</v>
      </c>
      <c r="M233" s="22"/>
      <c r="N233" s="24">
        <f t="shared" si="47"/>
        <v>310</v>
      </c>
      <c r="O233" s="24">
        <f t="shared" si="56"/>
        <v>1700.4</v>
      </c>
      <c r="P233" s="24">
        <f t="shared" si="57"/>
        <v>1560</v>
      </c>
      <c r="Q233" s="24">
        <f t="shared" si="55"/>
        <v>120.00009230776331</v>
      </c>
      <c r="R233" s="24">
        <v>1560</v>
      </c>
      <c r="S233" s="25">
        <v>0</v>
      </c>
      <c r="T233" s="25"/>
      <c r="U233" s="12"/>
      <c r="V233" s="10"/>
      <c r="W233" s="29" t="s">
        <v>133</v>
      </c>
      <c r="X233" s="35"/>
      <c r="Y233" s="25">
        <v>1250</v>
      </c>
      <c r="Z233" s="25">
        <v>1250</v>
      </c>
      <c r="AA233" s="25">
        <v>1250</v>
      </c>
      <c r="AB233" s="25">
        <f t="shared" si="51"/>
        <v>96.153920118400094</v>
      </c>
      <c r="AC233" s="19">
        <v>45733</v>
      </c>
      <c r="AD233" s="19"/>
    </row>
    <row r="234" spans="1:30" x14ac:dyDescent="0.2">
      <c r="A234" s="13">
        <v>242</v>
      </c>
      <c r="B234" s="14" t="str">
        <f>_xlfn.XLOOKUP(D234,'[1]Sleutelplan nieuw'!B:B,'[1]Sleutelplan nieuw'!A:A,"",2)</f>
        <v>0016</v>
      </c>
      <c r="C234" s="15" t="s">
        <v>25</v>
      </c>
      <c r="D234" s="23" t="s">
        <v>835</v>
      </c>
      <c r="E234" s="18" t="s">
        <v>836</v>
      </c>
      <c r="F234" s="23" t="s">
        <v>193</v>
      </c>
      <c r="G234" s="30">
        <v>5</v>
      </c>
      <c r="H234" s="30">
        <v>3</v>
      </c>
      <c r="I234" s="21">
        <v>44958</v>
      </c>
      <c r="J234" s="21">
        <v>45323</v>
      </c>
      <c r="K234" s="18"/>
      <c r="L234" s="23" t="s">
        <v>35</v>
      </c>
      <c r="M234" s="22"/>
      <c r="N234" s="24">
        <f t="shared" si="47"/>
        <v>464.30000000000018</v>
      </c>
      <c r="O234" s="24">
        <f t="shared" si="56"/>
        <v>2577.0870000000004</v>
      </c>
      <c r="P234" s="24">
        <f t="shared" si="57"/>
        <v>2364.3000000000002</v>
      </c>
      <c r="Q234" s="24">
        <f t="shared" si="55"/>
        <v>109.121622401248</v>
      </c>
      <c r="R234" s="24">
        <v>2364.3000000000002</v>
      </c>
      <c r="S234" s="25">
        <v>0</v>
      </c>
      <c r="T234" s="25">
        <v>0</v>
      </c>
      <c r="U234" s="12"/>
      <c r="V234" s="10"/>
      <c r="W234" s="17" t="s">
        <v>321</v>
      </c>
      <c r="X234" s="12"/>
      <c r="Y234" s="24">
        <v>1900</v>
      </c>
      <c r="Z234" s="25">
        <v>1900</v>
      </c>
      <c r="AA234" s="45">
        <v>1900</v>
      </c>
      <c r="AB234" s="25">
        <f t="shared" si="51"/>
        <v>87.692375147980883</v>
      </c>
      <c r="AC234" s="19">
        <v>44958</v>
      </c>
      <c r="AD234" s="19">
        <v>45689</v>
      </c>
    </row>
    <row r="235" spans="1:30" x14ac:dyDescent="0.2">
      <c r="A235" s="13">
        <v>243</v>
      </c>
      <c r="B235" s="14" t="str">
        <f>_xlfn.XLOOKUP(D235,'[1]Sleutelplan nieuw'!B:B,'[1]Sleutelplan nieuw'!A:A,"",2)</f>
        <v>0324</v>
      </c>
      <c r="C235" s="15" t="s">
        <v>50</v>
      </c>
      <c r="D235" s="23" t="s">
        <v>837</v>
      </c>
      <c r="E235" s="18" t="s">
        <v>838</v>
      </c>
      <c r="F235" s="23" t="s">
        <v>839</v>
      </c>
      <c r="G235" s="30">
        <v>4</v>
      </c>
      <c r="H235" s="30">
        <v>4</v>
      </c>
      <c r="I235" s="21">
        <v>45717</v>
      </c>
      <c r="J235" s="21">
        <v>46081</v>
      </c>
      <c r="K235" s="18"/>
      <c r="L235" s="23" t="s">
        <v>562</v>
      </c>
      <c r="M235" s="22"/>
      <c r="N235" s="24">
        <f t="shared" si="47"/>
        <v>300</v>
      </c>
      <c r="O235" s="24">
        <f t="shared" si="56"/>
        <v>2591.5</v>
      </c>
      <c r="P235" s="24">
        <f t="shared" si="57"/>
        <v>2350</v>
      </c>
      <c r="Q235" s="24">
        <f t="shared" si="55"/>
        <v>135.57702736694412</v>
      </c>
      <c r="R235" s="24">
        <v>2100</v>
      </c>
      <c r="S235" s="25">
        <v>250</v>
      </c>
      <c r="T235" s="25"/>
      <c r="U235" s="12"/>
      <c r="V235" s="10"/>
      <c r="W235" s="17" t="s">
        <v>840</v>
      </c>
      <c r="X235" s="35" t="s">
        <v>841</v>
      </c>
      <c r="Y235" s="24">
        <v>1800</v>
      </c>
      <c r="Z235" s="25">
        <v>1800</v>
      </c>
      <c r="AA235" s="45">
        <v>1800</v>
      </c>
      <c r="AB235" s="25">
        <f t="shared" si="51"/>
        <v>103.84623372787209</v>
      </c>
      <c r="AC235" s="19"/>
      <c r="AD235" s="19"/>
    </row>
    <row r="236" spans="1:30" x14ac:dyDescent="0.2">
      <c r="A236" s="13"/>
      <c r="B236" s="14" t="str">
        <f>_xlfn.XLOOKUP(D236,'[1]Sleutelplan nieuw'!B:B,'[1]Sleutelplan nieuw'!A:A,"",2)</f>
        <v>0387</v>
      </c>
      <c r="C236" s="15" t="s">
        <v>25</v>
      </c>
      <c r="D236" s="23" t="s">
        <v>842</v>
      </c>
      <c r="E236" s="18" t="s">
        <v>843</v>
      </c>
      <c r="F236" s="23" t="s">
        <v>151</v>
      </c>
      <c r="G236" s="30">
        <v>6</v>
      </c>
      <c r="H236" s="30">
        <v>4</v>
      </c>
      <c r="I236" s="21">
        <v>45960</v>
      </c>
      <c r="J236" s="21">
        <v>46112</v>
      </c>
      <c r="K236" s="18"/>
      <c r="L236" s="23" t="s">
        <v>394</v>
      </c>
      <c r="M236" s="22"/>
      <c r="N236" s="24">
        <f t="shared" si="47"/>
        <v>1530</v>
      </c>
      <c r="O236" s="24">
        <f t="shared" si="56"/>
        <v>4783.5</v>
      </c>
      <c r="P236" s="24">
        <f t="shared" si="57"/>
        <v>4350</v>
      </c>
      <c r="Q236" s="24">
        <f t="shared" si="55"/>
        <v>167.30782100601616</v>
      </c>
      <c r="R236" s="24">
        <v>4000</v>
      </c>
      <c r="S236" s="25">
        <v>350</v>
      </c>
      <c r="T236" s="25"/>
      <c r="U236" s="12"/>
      <c r="V236" s="10"/>
      <c r="W236" s="17" t="s">
        <v>443</v>
      </c>
      <c r="X236" s="35" t="s">
        <v>506</v>
      </c>
      <c r="Y236" s="24">
        <v>2470</v>
      </c>
      <c r="Z236" s="25">
        <v>2470</v>
      </c>
      <c r="AA236" s="45">
        <v>2470</v>
      </c>
      <c r="AB236" s="25">
        <f t="shared" si="51"/>
        <v>95.000073076979291</v>
      </c>
      <c r="AC236" s="19">
        <v>45960</v>
      </c>
      <c r="AD236" s="19">
        <v>46112</v>
      </c>
    </row>
    <row r="237" spans="1:30" x14ac:dyDescent="0.2">
      <c r="A237" s="13"/>
      <c r="B237" s="14" t="str">
        <f>_xlfn.XLOOKUP(D237,'[1]Sleutelplan nieuw'!B:B,'[1]Sleutelplan nieuw'!A:A,"",2)</f>
        <v>0374</v>
      </c>
      <c r="C237" s="15" t="s">
        <v>25</v>
      </c>
      <c r="D237" s="23" t="s">
        <v>844</v>
      </c>
      <c r="E237" s="18" t="s">
        <v>845</v>
      </c>
      <c r="F237" s="23" t="s">
        <v>28</v>
      </c>
      <c r="G237" s="30">
        <v>3</v>
      </c>
      <c r="H237" s="30">
        <v>3</v>
      </c>
      <c r="I237" s="21">
        <v>45847</v>
      </c>
      <c r="J237" s="21">
        <v>46030</v>
      </c>
      <c r="K237" s="18"/>
      <c r="L237" s="23" t="s">
        <v>846</v>
      </c>
      <c r="M237" s="22"/>
      <c r="N237" s="24">
        <f t="shared" si="47"/>
        <v>575</v>
      </c>
      <c r="O237" s="24">
        <f t="shared" si="56"/>
        <v>2422</v>
      </c>
      <c r="P237" s="24">
        <f t="shared" si="57"/>
        <v>2200</v>
      </c>
      <c r="Q237" s="24">
        <f t="shared" si="55"/>
        <v>169.23089940838418</v>
      </c>
      <c r="R237" s="24">
        <v>2000</v>
      </c>
      <c r="S237" s="25">
        <v>200</v>
      </c>
      <c r="T237" s="25"/>
      <c r="U237" s="12"/>
      <c r="V237" s="10"/>
      <c r="W237" s="17" t="s">
        <v>133</v>
      </c>
      <c r="X237" s="35" t="s">
        <v>134</v>
      </c>
      <c r="Y237" s="45">
        <v>1425</v>
      </c>
      <c r="Z237" s="45">
        <v>1425</v>
      </c>
      <c r="AA237" s="45">
        <v>1425</v>
      </c>
      <c r="AB237" s="25">
        <f t="shared" si="51"/>
        <v>109.61546893497611</v>
      </c>
      <c r="AC237" s="19">
        <v>45839</v>
      </c>
      <c r="AD237" s="19">
        <v>46295</v>
      </c>
    </row>
    <row r="238" spans="1:30" x14ac:dyDescent="0.2">
      <c r="A238" s="13">
        <v>244</v>
      </c>
      <c r="B238" s="14" t="str">
        <f>_xlfn.XLOOKUP(D238,'[1]Sleutelplan nieuw'!B:B,'[1]Sleutelplan nieuw'!A:A,"",2)</f>
        <v>0158</v>
      </c>
      <c r="C238" s="15" t="s">
        <v>50</v>
      </c>
      <c r="D238" s="23" t="s">
        <v>847</v>
      </c>
      <c r="E238" s="18" t="s">
        <v>848</v>
      </c>
      <c r="F238" s="23" t="s">
        <v>849</v>
      </c>
      <c r="G238" s="30">
        <v>4</v>
      </c>
      <c r="H238" s="30">
        <v>4</v>
      </c>
      <c r="I238" s="44">
        <v>45321</v>
      </c>
      <c r="J238" s="44">
        <v>45502</v>
      </c>
      <c r="K238" s="21"/>
      <c r="L238" s="23" t="s">
        <v>146</v>
      </c>
      <c r="M238" s="23"/>
      <c r="N238" s="24">
        <f t="shared" si="47"/>
        <v>558.0300000000002</v>
      </c>
      <c r="O238" s="24">
        <f t="shared" si="56"/>
        <v>2911.5299000000005</v>
      </c>
      <c r="P238" s="24">
        <f t="shared" si="57"/>
        <v>2649.11</v>
      </c>
      <c r="Q238" s="24">
        <f t="shared" si="55"/>
        <v>152.83338679491291</v>
      </c>
      <c r="R238" s="24">
        <v>2449.11</v>
      </c>
      <c r="S238" s="25">
        <v>200</v>
      </c>
      <c r="T238" s="25">
        <v>0</v>
      </c>
      <c r="U238" s="12"/>
      <c r="V238" s="10"/>
      <c r="W238" s="29" t="s">
        <v>850</v>
      </c>
      <c r="X238" s="25" t="s">
        <v>851</v>
      </c>
      <c r="Y238" s="25">
        <v>1891.08</v>
      </c>
      <c r="Z238" s="25">
        <v>1891.08</v>
      </c>
      <c r="AA238" s="25">
        <v>1891.08</v>
      </c>
      <c r="AB238" s="25">
        <f t="shared" si="51"/>
        <v>109.10085315450242</v>
      </c>
      <c r="AC238" s="44">
        <v>45261</v>
      </c>
      <c r="AD238" s="44">
        <v>45626</v>
      </c>
    </row>
    <row r="239" spans="1:30" x14ac:dyDescent="0.2">
      <c r="A239" s="13">
        <v>246</v>
      </c>
      <c r="B239" s="14" t="str">
        <f>_xlfn.XLOOKUP(D239,'[1]Sleutelplan nieuw'!B:B,'[1]Sleutelplan nieuw'!A:A,"",2)</f>
        <v>0167</v>
      </c>
      <c r="C239" s="15" t="s">
        <v>50</v>
      </c>
      <c r="D239" s="23" t="s">
        <v>852</v>
      </c>
      <c r="E239" s="18" t="s">
        <v>853</v>
      </c>
      <c r="F239" s="23" t="s">
        <v>854</v>
      </c>
      <c r="G239" s="30">
        <v>4</v>
      </c>
      <c r="H239" s="30">
        <v>4</v>
      </c>
      <c r="I239" s="44">
        <v>45321</v>
      </c>
      <c r="J239" s="44">
        <v>45502</v>
      </c>
      <c r="K239" s="21"/>
      <c r="L239" s="23" t="s">
        <v>146</v>
      </c>
      <c r="M239" s="22"/>
      <c r="N239" s="24">
        <f t="shared" si="47"/>
        <v>576.11000000000013</v>
      </c>
      <c r="O239" s="24">
        <f t="shared" si="56"/>
        <v>2911.5299000000005</v>
      </c>
      <c r="P239" s="24">
        <f t="shared" si="57"/>
        <v>2649.11</v>
      </c>
      <c r="Q239" s="24">
        <f t="shared" si="55"/>
        <v>152.83338679491291</v>
      </c>
      <c r="R239" s="24">
        <v>2449.11</v>
      </c>
      <c r="S239" s="25">
        <v>200</v>
      </c>
      <c r="T239" s="25">
        <v>0</v>
      </c>
      <c r="U239" s="12"/>
      <c r="V239" s="10"/>
      <c r="W239" s="29" t="s">
        <v>855</v>
      </c>
      <c r="X239" s="25" t="s">
        <v>856</v>
      </c>
      <c r="Y239" s="25">
        <v>1873</v>
      </c>
      <c r="Z239" s="25">
        <v>1873</v>
      </c>
      <c r="AA239" s="25">
        <v>1873</v>
      </c>
      <c r="AB239" s="25">
        <f>(Z239/G239)/4.33333</f>
        <v>108.05777542905803</v>
      </c>
      <c r="AC239" s="44">
        <v>45292</v>
      </c>
      <c r="AD239" s="44">
        <v>47483</v>
      </c>
    </row>
    <row r="240" spans="1:30" ht="16" x14ac:dyDescent="0.2">
      <c r="A240" s="13">
        <v>247</v>
      </c>
      <c r="B240" s="14" t="str">
        <f>_xlfn.XLOOKUP(D240,'[1]Sleutelplan nieuw'!B:B,'[1]Sleutelplan nieuw'!A:A,"",2)</f>
        <v>0077</v>
      </c>
      <c r="C240" s="15" t="s">
        <v>25</v>
      </c>
      <c r="D240" s="23" t="s">
        <v>857</v>
      </c>
      <c r="E240" s="18" t="s">
        <v>858</v>
      </c>
      <c r="F240" s="23" t="s">
        <v>599</v>
      </c>
      <c r="G240" s="30">
        <v>4</v>
      </c>
      <c r="H240" s="30">
        <v>4</v>
      </c>
      <c r="I240" s="44">
        <v>45566</v>
      </c>
      <c r="J240" s="44">
        <v>45930</v>
      </c>
      <c r="K240" s="21"/>
      <c r="L240" s="22" t="s">
        <v>600</v>
      </c>
      <c r="M240" s="22"/>
      <c r="N240" s="24">
        <f t="shared" si="47"/>
        <v>985.85000000000036</v>
      </c>
      <c r="O240" s="24">
        <f t="shared" si="56"/>
        <v>4248.1920000000009</v>
      </c>
      <c r="P240" s="24">
        <f t="shared" si="57"/>
        <v>3868.8</v>
      </c>
      <c r="Q240" s="24">
        <f t="shared" si="55"/>
        <v>223.20017169243977</v>
      </c>
      <c r="R240" s="24">
        <v>3608.8</v>
      </c>
      <c r="S240" s="25">
        <v>260</v>
      </c>
      <c r="T240" s="25">
        <v>0</v>
      </c>
      <c r="U240" s="12"/>
      <c r="V240" s="10"/>
      <c r="W240" s="29" t="s">
        <v>859</v>
      </c>
      <c r="X240" s="25" t="s">
        <v>602</v>
      </c>
      <c r="Y240" s="25">
        <v>2622.95</v>
      </c>
      <c r="Z240" s="25">
        <v>2622.95</v>
      </c>
      <c r="AA240" s="25">
        <v>2550.4499999999998</v>
      </c>
      <c r="AB240" s="25">
        <f>(Z240/G240)/4.33333</f>
        <v>151.32415486473451</v>
      </c>
      <c r="AC240" s="19">
        <v>45444</v>
      </c>
      <c r="AD240" s="19">
        <v>46173</v>
      </c>
    </row>
    <row r="241" spans="1:30" ht="16" x14ac:dyDescent="0.2">
      <c r="A241" s="13">
        <v>248</v>
      </c>
      <c r="B241" s="14" t="str">
        <f>_xlfn.XLOOKUP(D241,'[1]Sleutelplan nieuw'!B:B,'[1]Sleutelplan nieuw'!A:A,"",2)</f>
        <v>0080</v>
      </c>
      <c r="C241" s="15" t="s">
        <v>25</v>
      </c>
      <c r="D241" s="23" t="s">
        <v>860</v>
      </c>
      <c r="E241" s="18" t="s">
        <v>861</v>
      </c>
      <c r="F241" s="23" t="s">
        <v>34</v>
      </c>
      <c r="G241" s="30">
        <v>4</v>
      </c>
      <c r="H241" s="30">
        <v>2</v>
      </c>
      <c r="I241" s="44">
        <v>45814</v>
      </c>
      <c r="J241" s="44"/>
      <c r="K241" s="21"/>
      <c r="L241" s="22" t="s">
        <v>35</v>
      </c>
      <c r="M241" s="22"/>
      <c r="N241" s="24">
        <f t="shared" si="47"/>
        <v>820</v>
      </c>
      <c r="O241" s="24">
        <f t="shared" si="56"/>
        <v>2667.8</v>
      </c>
      <c r="P241" s="24">
        <f t="shared" si="57"/>
        <v>2420</v>
      </c>
      <c r="Q241" s="24">
        <f t="shared" si="55"/>
        <v>139.61549201191693</v>
      </c>
      <c r="R241" s="24">
        <v>2170</v>
      </c>
      <c r="S241" s="25">
        <v>250</v>
      </c>
      <c r="T241" s="25">
        <v>0</v>
      </c>
      <c r="U241" s="12"/>
      <c r="V241" s="10"/>
      <c r="W241" s="29" t="s">
        <v>133</v>
      </c>
      <c r="X241" s="25"/>
      <c r="Y241" s="25">
        <f>(Z241*9%)+Z241</f>
        <v>1471.5</v>
      </c>
      <c r="Z241" s="25">
        <v>1350</v>
      </c>
      <c r="AA241" s="25">
        <v>1350</v>
      </c>
      <c r="AB241" s="25">
        <f>(Z241/G241)/4.33333</f>
        <v>77.884675295904074</v>
      </c>
      <c r="AC241" s="19"/>
      <c r="AD241" s="19"/>
    </row>
    <row r="242" spans="1:30" x14ac:dyDescent="0.2">
      <c r="A242" s="13"/>
      <c r="B242" s="14"/>
      <c r="C242" s="15" t="s">
        <v>25</v>
      </c>
      <c r="D242" s="23" t="s">
        <v>862</v>
      </c>
      <c r="E242" s="18"/>
      <c r="F242" s="23" t="s">
        <v>863</v>
      </c>
      <c r="G242" s="74"/>
      <c r="H242" s="74"/>
      <c r="I242" s="75"/>
      <c r="J242" s="75"/>
      <c r="K242" s="76"/>
      <c r="L242" s="34"/>
      <c r="M242" s="34"/>
      <c r="N242" s="24">
        <f t="shared" si="47"/>
        <v>-2581.81</v>
      </c>
      <c r="O242" s="24"/>
      <c r="P242" s="24"/>
      <c r="Q242" s="24"/>
      <c r="R242" s="24"/>
      <c r="S242" s="25"/>
      <c r="T242" s="25"/>
      <c r="U242" s="12"/>
      <c r="V242" s="10"/>
      <c r="W242" s="29" t="s">
        <v>864</v>
      </c>
      <c r="X242" s="35"/>
      <c r="Y242" s="25">
        <v>2581.81</v>
      </c>
      <c r="Z242" s="25">
        <v>2581.81</v>
      </c>
      <c r="AA242" s="25">
        <v>2581.81</v>
      </c>
      <c r="AB242" s="25"/>
      <c r="AC242" s="19"/>
      <c r="AD242" s="19"/>
    </row>
    <row r="243" spans="1:30" ht="16" x14ac:dyDescent="0.2">
      <c r="A243" s="13">
        <v>250</v>
      </c>
      <c r="B243" s="14" t="str" cm="1">
        <f t="array" ref="B243">_xlfn.XLOOKUP(LEFT(D243,3),LEFT('[1]Sleutelplan nieuw'!B:B,3),'[1]Sleutelplan nieuw'!A:A,"",2)</f>
        <v>0368</v>
      </c>
      <c r="C243" s="15" t="s">
        <v>25</v>
      </c>
      <c r="D243" s="23" t="s">
        <v>865</v>
      </c>
      <c r="E243" s="18" t="s">
        <v>866</v>
      </c>
      <c r="F243" s="23" t="s">
        <v>867</v>
      </c>
      <c r="G243" s="30">
        <v>4</v>
      </c>
      <c r="H243" s="30">
        <v>4</v>
      </c>
      <c r="I243" s="44"/>
      <c r="J243" s="44"/>
      <c r="K243" s="21"/>
      <c r="L243" s="34" t="s">
        <v>413</v>
      </c>
      <c r="M243" s="34" t="s">
        <v>868</v>
      </c>
      <c r="N243" s="24">
        <f t="shared" si="47"/>
        <v>-2450</v>
      </c>
      <c r="O243" s="24"/>
      <c r="P243" s="24"/>
      <c r="Q243" s="24"/>
      <c r="R243" s="24"/>
      <c r="S243" s="25">
        <v>250</v>
      </c>
      <c r="T243" s="25"/>
      <c r="U243" s="12"/>
      <c r="V243" s="10"/>
      <c r="W243" s="29" t="s">
        <v>822</v>
      </c>
      <c r="X243" s="35"/>
      <c r="Y243" s="25">
        <v>2662</v>
      </c>
      <c r="Z243" s="25">
        <v>2200</v>
      </c>
      <c r="AA243" s="25">
        <v>2200</v>
      </c>
      <c r="AB243" s="25">
        <f t="shared" ref="AB243:AB255" si="58">(Z243/G243)/4.33333</f>
        <v>126.92317455628812</v>
      </c>
      <c r="AC243" s="19">
        <v>45778</v>
      </c>
      <c r="AD243" s="19" t="s">
        <v>296</v>
      </c>
    </row>
    <row r="244" spans="1:30" x14ac:dyDescent="0.2">
      <c r="A244" s="13"/>
      <c r="B244" s="14"/>
      <c r="C244" s="15" t="s">
        <v>25</v>
      </c>
      <c r="D244" s="23" t="s">
        <v>869</v>
      </c>
      <c r="E244" s="18"/>
      <c r="F244" s="23" t="s">
        <v>870</v>
      </c>
      <c r="G244" s="30"/>
      <c r="H244" s="30"/>
      <c r="I244" s="44"/>
      <c r="J244" s="44"/>
      <c r="K244" s="21"/>
      <c r="L244" s="34"/>
      <c r="M244" s="34"/>
      <c r="N244" s="24">
        <f t="shared" si="47"/>
        <v>-1434.34</v>
      </c>
      <c r="O244" s="24"/>
      <c r="P244" s="24"/>
      <c r="Q244" s="24"/>
      <c r="R244" s="24"/>
      <c r="S244" s="25"/>
      <c r="T244" s="25"/>
      <c r="U244" s="12"/>
      <c r="V244" s="10"/>
      <c r="W244" s="29" t="s">
        <v>864</v>
      </c>
      <c r="X244" s="35"/>
      <c r="Y244" s="25">
        <v>1434.34</v>
      </c>
      <c r="Z244" s="25">
        <v>1434.34</v>
      </c>
      <c r="AA244" s="25">
        <v>1434.34</v>
      </c>
      <c r="AB244" s="25"/>
      <c r="AC244" s="19"/>
      <c r="AD244" s="19"/>
    </row>
    <row r="245" spans="1:30" ht="16" x14ac:dyDescent="0.2">
      <c r="A245" s="13">
        <v>251</v>
      </c>
      <c r="B245" s="33" t="s">
        <v>871</v>
      </c>
      <c r="C245" s="15" t="s">
        <v>50</v>
      </c>
      <c r="D245" s="23" t="s">
        <v>872</v>
      </c>
      <c r="E245" s="18" t="s">
        <v>873</v>
      </c>
      <c r="F245" s="23" t="s">
        <v>261</v>
      </c>
      <c r="G245" s="30">
        <v>6</v>
      </c>
      <c r="H245" s="30">
        <v>6</v>
      </c>
      <c r="I245" s="44">
        <v>45940</v>
      </c>
      <c r="J245" s="44">
        <v>46304</v>
      </c>
      <c r="K245" s="21"/>
      <c r="L245" s="22" t="s">
        <v>874</v>
      </c>
      <c r="M245" s="41" t="s">
        <v>153</v>
      </c>
      <c r="N245" s="24">
        <f t="shared" si="47"/>
        <v>620</v>
      </c>
      <c r="O245" s="24">
        <f t="shared" ref="O245:O255" si="59">R245*1.09+S245*1.21</f>
        <v>4047.7500000000005</v>
      </c>
      <c r="P245" s="24">
        <f t="shared" ref="P245:P255" si="60">R245+S245</f>
        <v>3675</v>
      </c>
      <c r="Q245" s="24">
        <f t="shared" ref="Q245:Q254" si="61">(P245/G245)/4.33333</f>
        <v>141.34626257404813</v>
      </c>
      <c r="R245" s="24">
        <v>3325</v>
      </c>
      <c r="S245" s="25">
        <v>350</v>
      </c>
      <c r="T245" s="25">
        <v>0</v>
      </c>
      <c r="U245" s="12"/>
      <c r="V245" s="10"/>
      <c r="W245" s="29" t="s">
        <v>875</v>
      </c>
      <c r="X245" s="35" t="s">
        <v>876</v>
      </c>
      <c r="Y245" s="25">
        <v>2705</v>
      </c>
      <c r="Z245" s="25">
        <v>2705</v>
      </c>
      <c r="AA245" s="25">
        <v>2705</v>
      </c>
      <c r="AB245" s="25">
        <f t="shared" si="58"/>
        <v>104.0385415681089</v>
      </c>
      <c r="AC245" s="19"/>
      <c r="AD245" s="19"/>
    </row>
    <row r="246" spans="1:30" ht="16" x14ac:dyDescent="0.2">
      <c r="A246" s="13">
        <v>252</v>
      </c>
      <c r="B246" s="14" t="str">
        <f>_xlfn.XLOOKUP(D246,'[1]Sleutelplan nieuw'!B:B,'[1]Sleutelplan nieuw'!A:A,"",2)</f>
        <v/>
      </c>
      <c r="C246" s="15" t="s">
        <v>25</v>
      </c>
      <c r="D246" s="22" t="s">
        <v>877</v>
      </c>
      <c r="E246" s="30" t="s">
        <v>878</v>
      </c>
      <c r="F246" s="23" t="s">
        <v>128</v>
      </c>
      <c r="G246" s="30">
        <v>3</v>
      </c>
      <c r="H246" s="30">
        <v>3</v>
      </c>
      <c r="I246" s="21">
        <v>44932</v>
      </c>
      <c r="J246" s="21">
        <v>45297</v>
      </c>
      <c r="K246" s="21"/>
      <c r="L246" s="23" t="s">
        <v>502</v>
      </c>
      <c r="M246" s="23"/>
      <c r="N246" s="24">
        <f t="shared" si="47"/>
        <v>996.51000000000022</v>
      </c>
      <c r="O246" s="24">
        <f t="shared" si="59"/>
        <v>2817.6959000000006</v>
      </c>
      <c r="P246" s="24">
        <f t="shared" si="60"/>
        <v>2546.5100000000002</v>
      </c>
      <c r="Q246" s="24">
        <f t="shared" si="61"/>
        <v>195.88553529656562</v>
      </c>
      <c r="R246" s="24">
        <v>2196.5100000000002</v>
      </c>
      <c r="S246" s="25">
        <v>350</v>
      </c>
      <c r="T246" s="25">
        <v>0</v>
      </c>
      <c r="U246" s="12"/>
      <c r="V246" s="10"/>
      <c r="W246" s="17" t="s">
        <v>129</v>
      </c>
      <c r="X246" s="12"/>
      <c r="Y246" s="24">
        <v>1200</v>
      </c>
      <c r="Z246" s="25">
        <v>1200</v>
      </c>
      <c r="AA246" s="45">
        <v>1200</v>
      </c>
      <c r="AB246" s="25">
        <f t="shared" si="58"/>
        <v>92.307763313664083</v>
      </c>
      <c r="AC246" s="19">
        <v>44927</v>
      </c>
      <c r="AD246" s="19">
        <v>45292</v>
      </c>
    </row>
    <row r="247" spans="1:30" ht="16" x14ac:dyDescent="0.2">
      <c r="A247" s="13">
        <v>253</v>
      </c>
      <c r="B247" s="14" t="str" cm="1">
        <f t="array" ref="B247">_xlfn.XLOOKUP(LEFT(D247,3),LEFT('[1]Sleutelplan nieuw'!B:B,3),'[1]Sleutelplan nieuw'!A:A,"",2)</f>
        <v>0038</v>
      </c>
      <c r="C247" s="15" t="s">
        <v>25</v>
      </c>
      <c r="D247" s="22" t="s">
        <v>879</v>
      </c>
      <c r="E247" s="30" t="s">
        <v>878</v>
      </c>
      <c r="F247" s="23" t="s">
        <v>128</v>
      </c>
      <c r="G247" s="30">
        <v>3</v>
      </c>
      <c r="H247" s="30">
        <v>3</v>
      </c>
      <c r="I247" s="21">
        <v>44939</v>
      </c>
      <c r="J247" s="21">
        <v>45304</v>
      </c>
      <c r="K247" s="21"/>
      <c r="L247" s="23" t="s">
        <v>502</v>
      </c>
      <c r="M247" s="23" t="s">
        <v>47</v>
      </c>
      <c r="N247" s="24">
        <f t="shared" si="47"/>
        <v>996.51000000000022</v>
      </c>
      <c r="O247" s="24">
        <f t="shared" si="59"/>
        <v>2817.6959000000006</v>
      </c>
      <c r="P247" s="24">
        <f t="shared" si="60"/>
        <v>2546.5100000000002</v>
      </c>
      <c r="Q247" s="24">
        <f t="shared" si="61"/>
        <v>195.88553529656562</v>
      </c>
      <c r="R247" s="24">
        <v>2196.5100000000002</v>
      </c>
      <c r="S247" s="25">
        <v>350</v>
      </c>
      <c r="T247" s="25">
        <v>0</v>
      </c>
      <c r="U247" s="12"/>
      <c r="V247" s="10"/>
      <c r="W247" s="17" t="s">
        <v>129</v>
      </c>
      <c r="X247" s="37"/>
      <c r="Y247" s="24">
        <v>1200</v>
      </c>
      <c r="Z247" s="25">
        <v>1200</v>
      </c>
      <c r="AA247" s="45">
        <v>1200</v>
      </c>
      <c r="AB247" s="25">
        <f t="shared" si="58"/>
        <v>92.307763313664083</v>
      </c>
      <c r="AC247" s="19">
        <v>44927</v>
      </c>
      <c r="AD247" s="19">
        <v>45292</v>
      </c>
    </row>
    <row r="248" spans="1:30" ht="16" x14ac:dyDescent="0.2">
      <c r="A248" s="13">
        <v>254</v>
      </c>
      <c r="B248" s="14" t="str">
        <f>_xlfn.XLOOKUP(D248,'[1]Sleutelplan nieuw'!B:B,'[1]Sleutelplan nieuw'!A:A,"",2)</f>
        <v>0105</v>
      </c>
      <c r="C248" s="15" t="s">
        <v>25</v>
      </c>
      <c r="D248" s="22" t="s">
        <v>880</v>
      </c>
      <c r="E248" s="30" t="s">
        <v>881</v>
      </c>
      <c r="F248" s="23" t="s">
        <v>409</v>
      </c>
      <c r="G248" s="30">
        <v>5</v>
      </c>
      <c r="H248" s="30">
        <v>4</v>
      </c>
      <c r="I248" s="21">
        <v>45538</v>
      </c>
      <c r="J248" s="21">
        <v>45902</v>
      </c>
      <c r="K248" s="21"/>
      <c r="L248" s="23" t="s">
        <v>882</v>
      </c>
      <c r="M248" s="23" t="s">
        <v>47</v>
      </c>
      <c r="N248" s="24">
        <f t="shared" si="47"/>
        <v>340.7800000000002</v>
      </c>
      <c r="O248" s="24">
        <f t="shared" si="59"/>
        <v>3330.2702000000004</v>
      </c>
      <c r="P248" s="24">
        <f t="shared" si="60"/>
        <v>3038.78</v>
      </c>
      <c r="Q248" s="24">
        <f t="shared" si="61"/>
        <v>140.25149250114811</v>
      </c>
      <c r="R248" s="24">
        <v>2888.78</v>
      </c>
      <c r="S248" s="25">
        <v>150</v>
      </c>
      <c r="T248" s="25">
        <v>0</v>
      </c>
      <c r="U248" s="12"/>
      <c r="V248" s="10"/>
      <c r="W248" s="17" t="s">
        <v>48</v>
      </c>
      <c r="X248" s="17" t="s">
        <v>49</v>
      </c>
      <c r="Y248" s="45">
        <v>2548</v>
      </c>
      <c r="Z248" s="45">
        <v>2548</v>
      </c>
      <c r="AA248" s="45">
        <v>2548</v>
      </c>
      <c r="AB248" s="25">
        <f t="shared" si="58"/>
        <v>117.60009046160805</v>
      </c>
      <c r="AC248" s="19"/>
      <c r="AD248" s="19"/>
    </row>
    <row r="249" spans="1:30" ht="16" x14ac:dyDescent="0.2">
      <c r="A249" s="13">
        <v>255</v>
      </c>
      <c r="B249" s="14" t="str">
        <f>_xlfn.XLOOKUP(D249,'[1]Sleutelplan nieuw'!B:B,'[1]Sleutelplan nieuw'!A:A,"",2)</f>
        <v>0171</v>
      </c>
      <c r="C249" s="15" t="s">
        <v>25</v>
      </c>
      <c r="D249" s="22" t="s">
        <v>883</v>
      </c>
      <c r="E249" s="30" t="s">
        <v>884</v>
      </c>
      <c r="F249" s="23" t="s">
        <v>813</v>
      </c>
      <c r="G249" s="30">
        <v>10</v>
      </c>
      <c r="H249" s="30">
        <v>5</v>
      </c>
      <c r="I249" s="21">
        <v>45444</v>
      </c>
      <c r="J249" s="21">
        <v>45808</v>
      </c>
      <c r="K249" s="21" t="s">
        <v>47</v>
      </c>
      <c r="L249" s="23" t="s">
        <v>814</v>
      </c>
      <c r="M249" s="23" t="s">
        <v>47</v>
      </c>
      <c r="N249" s="24">
        <f t="shared" si="47"/>
        <v>624.59999999999945</v>
      </c>
      <c r="O249" s="24">
        <f t="shared" si="59"/>
        <v>6448.6535000000003</v>
      </c>
      <c r="P249" s="24">
        <f t="shared" si="60"/>
        <v>5861.15</v>
      </c>
      <c r="Q249" s="24">
        <f t="shared" si="61"/>
        <v>135.25741173647057</v>
      </c>
      <c r="R249" s="24">
        <v>5361.15</v>
      </c>
      <c r="S249" s="25">
        <v>500</v>
      </c>
      <c r="T249" s="25">
        <v>0</v>
      </c>
      <c r="U249" s="12"/>
      <c r="V249" s="10"/>
      <c r="W249" s="29" t="s">
        <v>885</v>
      </c>
      <c r="X249" s="25" t="s">
        <v>73</v>
      </c>
      <c r="Y249" s="24">
        <f>Z249*1.21</f>
        <v>5731.2255000000005</v>
      </c>
      <c r="Z249" s="25">
        <v>4736.55</v>
      </c>
      <c r="AA249" s="45">
        <v>4736.55</v>
      </c>
      <c r="AB249" s="25">
        <f t="shared" si="58"/>
        <v>109.30508408083391</v>
      </c>
      <c r="AC249" s="19"/>
      <c r="AD249" s="19"/>
    </row>
    <row r="250" spans="1:30" ht="16" x14ac:dyDescent="0.2">
      <c r="A250" s="13">
        <v>256</v>
      </c>
      <c r="B250" s="14" t="str">
        <f>_xlfn.XLOOKUP(D250,'[1]Sleutelplan nieuw'!B:B,'[1]Sleutelplan nieuw'!A:A,"",2)</f>
        <v>0212</v>
      </c>
      <c r="C250" s="26" t="s">
        <v>25</v>
      </c>
      <c r="D250" s="23" t="s">
        <v>886</v>
      </c>
      <c r="E250" s="18" t="s">
        <v>887</v>
      </c>
      <c r="F250" s="23" t="s">
        <v>746</v>
      </c>
      <c r="G250" s="30">
        <v>4</v>
      </c>
      <c r="H250" s="30">
        <v>4</v>
      </c>
      <c r="I250" s="44">
        <v>45720</v>
      </c>
      <c r="J250" s="44">
        <v>46085</v>
      </c>
      <c r="K250" s="21"/>
      <c r="L250" s="22" t="s">
        <v>888</v>
      </c>
      <c r="M250" s="23" t="s">
        <v>47</v>
      </c>
      <c r="N250" s="24">
        <f t="shared" si="47"/>
        <v>333.84000000000015</v>
      </c>
      <c r="O250" s="24">
        <f t="shared" si="59"/>
        <v>3360.5</v>
      </c>
      <c r="P250" s="24">
        <f t="shared" si="60"/>
        <v>3050</v>
      </c>
      <c r="Q250" s="24">
        <f t="shared" si="61"/>
        <v>175.96167381667217</v>
      </c>
      <c r="R250" s="24">
        <v>2750</v>
      </c>
      <c r="S250" s="25">
        <v>300</v>
      </c>
      <c r="T250" s="25">
        <v>0</v>
      </c>
      <c r="U250" s="12"/>
      <c r="V250" s="10"/>
      <c r="W250" s="29" t="s">
        <v>605</v>
      </c>
      <c r="X250" s="25" t="s">
        <v>606</v>
      </c>
      <c r="Y250" s="25">
        <v>2416.16</v>
      </c>
      <c r="Z250" s="25">
        <v>2416.16</v>
      </c>
      <c r="AA250" s="25">
        <v>2416.16</v>
      </c>
      <c r="AB250" s="25">
        <f t="shared" si="58"/>
        <v>139.39395337996413</v>
      </c>
      <c r="AC250" s="17"/>
    </row>
    <row r="251" spans="1:30" ht="16" x14ac:dyDescent="0.2">
      <c r="A251" s="13">
        <v>257</v>
      </c>
      <c r="B251" s="14" t="str">
        <f>_xlfn.XLOOKUP(D251,'[1]Sleutelplan nieuw'!B:B,'[1]Sleutelplan nieuw'!A:A,"",2)</f>
        <v>0139</v>
      </c>
      <c r="C251" s="15" t="s">
        <v>50</v>
      </c>
      <c r="D251" s="22" t="s">
        <v>889</v>
      </c>
      <c r="E251" s="30" t="s">
        <v>890</v>
      </c>
      <c r="F251" s="23" t="s">
        <v>151</v>
      </c>
      <c r="G251" s="30">
        <v>5</v>
      </c>
      <c r="H251" s="30">
        <v>3</v>
      </c>
      <c r="I251" s="21">
        <v>45485</v>
      </c>
      <c r="J251" s="21">
        <v>45850</v>
      </c>
      <c r="K251" s="21"/>
      <c r="L251" s="23" t="s">
        <v>180</v>
      </c>
      <c r="M251" s="23" t="s">
        <v>47</v>
      </c>
      <c r="N251" s="24">
        <f t="shared" si="47"/>
        <v>407.67999999999984</v>
      </c>
      <c r="O251" s="24">
        <f t="shared" si="59"/>
        <v>3804.8712</v>
      </c>
      <c r="P251" s="24">
        <f t="shared" si="60"/>
        <v>3457.68</v>
      </c>
      <c r="Q251" s="24">
        <f t="shared" si="61"/>
        <v>159.585353527195</v>
      </c>
      <c r="R251" s="24">
        <v>3157.68</v>
      </c>
      <c r="S251" s="25">
        <v>300</v>
      </c>
      <c r="T251" s="25">
        <v>0</v>
      </c>
      <c r="U251" s="12"/>
      <c r="V251" s="10"/>
      <c r="W251" s="29" t="s">
        <v>524</v>
      </c>
      <c r="X251" s="25" t="s">
        <v>525</v>
      </c>
      <c r="Y251" s="25">
        <v>2750</v>
      </c>
      <c r="Z251" s="25">
        <v>2750</v>
      </c>
      <c r="AA251" s="25">
        <v>2750</v>
      </c>
      <c r="AB251" s="25">
        <f t="shared" si="58"/>
        <v>126.92317455628812</v>
      </c>
      <c r="AC251" s="19">
        <v>44531</v>
      </c>
      <c r="AD251" s="19">
        <v>45626</v>
      </c>
    </row>
    <row r="252" spans="1:30" ht="32" x14ac:dyDescent="0.2">
      <c r="A252" s="13">
        <v>258</v>
      </c>
      <c r="B252" s="14" t="str">
        <f>_xlfn.XLOOKUP(D252,'[1]Sleutelplan nieuw'!B:B,'[1]Sleutelplan nieuw'!A:A,"",2)</f>
        <v>0140</v>
      </c>
      <c r="C252" s="15" t="s">
        <v>50</v>
      </c>
      <c r="D252" s="22" t="s">
        <v>891</v>
      </c>
      <c r="E252" s="30" t="s">
        <v>892</v>
      </c>
      <c r="F252" s="23" t="s">
        <v>302</v>
      </c>
      <c r="G252" s="30">
        <v>5</v>
      </c>
      <c r="H252" s="30">
        <v>5</v>
      </c>
      <c r="I252" s="21">
        <v>45444</v>
      </c>
      <c r="J252" s="21"/>
      <c r="K252" s="21"/>
      <c r="L252" s="23" t="s">
        <v>755</v>
      </c>
      <c r="M252" s="23" t="s">
        <v>47</v>
      </c>
      <c r="N252" s="24">
        <f t="shared" si="47"/>
        <v>455.80000000000018</v>
      </c>
      <c r="O252" s="24">
        <f t="shared" si="59"/>
        <v>4674.8220000000001</v>
      </c>
      <c r="P252" s="24">
        <f t="shared" si="60"/>
        <v>4255.8</v>
      </c>
      <c r="Q252" s="24">
        <f t="shared" si="61"/>
        <v>196.42168955514583</v>
      </c>
      <c r="R252" s="24">
        <v>3955.8</v>
      </c>
      <c r="S252" s="25">
        <v>300</v>
      </c>
      <c r="T252" s="25">
        <v>0</v>
      </c>
      <c r="U252" s="12"/>
      <c r="V252" s="10"/>
      <c r="W252" s="64" t="s">
        <v>893</v>
      </c>
      <c r="X252" s="25" t="s">
        <v>894</v>
      </c>
      <c r="Y252" s="25">
        <v>3500</v>
      </c>
      <c r="Z252" s="25">
        <v>3500</v>
      </c>
      <c r="AA252" s="25">
        <v>3500</v>
      </c>
      <c r="AB252" s="25">
        <f t="shared" si="58"/>
        <v>161.53858579891215</v>
      </c>
      <c r="AC252" s="19">
        <v>45017</v>
      </c>
      <c r="AD252" s="19">
        <v>45747</v>
      </c>
    </row>
    <row r="253" spans="1:30" ht="16" x14ac:dyDescent="0.2">
      <c r="A253" s="13">
        <v>259</v>
      </c>
      <c r="B253" s="14" t="str">
        <f>_xlfn.XLOOKUP(D253,'[1]Sleutelplan nieuw'!B:B,'[1]Sleutelplan nieuw'!A:A,"",2)</f>
        <v>0142</v>
      </c>
      <c r="C253" s="15" t="s">
        <v>50</v>
      </c>
      <c r="D253" s="22" t="s">
        <v>895</v>
      </c>
      <c r="E253" s="30" t="s">
        <v>896</v>
      </c>
      <c r="F253" s="23" t="s">
        <v>839</v>
      </c>
      <c r="G253" s="30">
        <v>4</v>
      </c>
      <c r="H253" s="30">
        <v>4</v>
      </c>
      <c r="I253" s="21">
        <v>45381</v>
      </c>
      <c r="J253" s="21" t="s">
        <v>897</v>
      </c>
      <c r="K253" s="39"/>
      <c r="L253" s="23" t="s">
        <v>898</v>
      </c>
      <c r="M253" s="23" t="s">
        <v>47</v>
      </c>
      <c r="N253" s="24">
        <f t="shared" si="47"/>
        <v>494.30000000000018</v>
      </c>
      <c r="O253" s="24">
        <f t="shared" si="59"/>
        <v>3033.2870000000003</v>
      </c>
      <c r="P253" s="24">
        <f t="shared" si="60"/>
        <v>2744.3</v>
      </c>
      <c r="Q253" s="24">
        <f t="shared" si="61"/>
        <v>158.32512178855524</v>
      </c>
      <c r="R253" s="24">
        <v>2394.3000000000002</v>
      </c>
      <c r="S253" s="25">
        <v>350</v>
      </c>
      <c r="T253" s="25">
        <v>0</v>
      </c>
      <c r="U253" s="12"/>
      <c r="V253" s="10"/>
      <c r="W253" s="29" t="s">
        <v>899</v>
      </c>
      <c r="X253" s="25" t="s">
        <v>900</v>
      </c>
      <c r="Y253" s="25">
        <v>1900</v>
      </c>
      <c r="Z253" s="25">
        <v>1900</v>
      </c>
      <c r="AA253" s="25">
        <v>1900</v>
      </c>
      <c r="AB253" s="25">
        <f t="shared" si="58"/>
        <v>109.61546893497611</v>
      </c>
      <c r="AC253" s="19">
        <v>44713</v>
      </c>
      <c r="AD253" s="19">
        <v>45443</v>
      </c>
    </row>
    <row r="254" spans="1:30" ht="16" x14ac:dyDescent="0.2">
      <c r="A254" s="13">
        <v>260</v>
      </c>
      <c r="B254" s="14" t="str">
        <f>_xlfn.XLOOKUP(D254,'[1]Sleutelplan nieuw'!B:B,'[1]Sleutelplan nieuw'!A:A,"",2)</f>
        <v>0141</v>
      </c>
      <c r="C254" s="15" t="s">
        <v>50</v>
      </c>
      <c r="D254" s="22" t="s">
        <v>901</v>
      </c>
      <c r="E254" s="30" t="s">
        <v>902</v>
      </c>
      <c r="F254" s="23" t="s">
        <v>903</v>
      </c>
      <c r="G254" s="30">
        <v>4</v>
      </c>
      <c r="H254" s="30">
        <v>4</v>
      </c>
      <c r="I254" s="21">
        <v>45954</v>
      </c>
      <c r="J254" s="21">
        <v>46022</v>
      </c>
      <c r="K254" s="21"/>
      <c r="L254" s="23" t="s">
        <v>69</v>
      </c>
      <c r="M254" s="23"/>
      <c r="N254" s="24">
        <f t="shared" si="47"/>
        <v>800</v>
      </c>
      <c r="O254" s="24">
        <f t="shared" si="59"/>
        <v>3306</v>
      </c>
      <c r="P254" s="24">
        <f t="shared" si="60"/>
        <v>3000</v>
      </c>
      <c r="Q254" s="24">
        <f t="shared" si="61"/>
        <v>173.07705621312016</v>
      </c>
      <c r="R254" s="24">
        <v>2700</v>
      </c>
      <c r="S254" s="25">
        <v>300</v>
      </c>
      <c r="T254" s="25">
        <v>0</v>
      </c>
      <c r="U254" s="12"/>
      <c r="V254" s="10"/>
      <c r="W254" s="29" t="s">
        <v>904</v>
      </c>
      <c r="X254" s="25" t="s">
        <v>905</v>
      </c>
      <c r="Y254" s="25">
        <v>1900</v>
      </c>
      <c r="Z254" s="25">
        <v>1900</v>
      </c>
      <c r="AA254" s="25">
        <v>1900</v>
      </c>
      <c r="AB254" s="25">
        <f t="shared" si="58"/>
        <v>109.61546893497611</v>
      </c>
      <c r="AC254" s="19">
        <v>44805</v>
      </c>
      <c r="AD254" s="19">
        <v>45169</v>
      </c>
    </row>
    <row r="255" spans="1:30" x14ac:dyDescent="0.2">
      <c r="A255" s="13">
        <v>261</v>
      </c>
      <c r="B255" s="14" t="str">
        <f>_xlfn.XLOOKUP(D255,'[1]Sleutelplan nieuw'!B:B,'[1]Sleutelplan nieuw'!A:A,"",2)</f>
        <v>0143</v>
      </c>
      <c r="C255" s="15" t="s">
        <v>50</v>
      </c>
      <c r="D255" s="23" t="s">
        <v>906</v>
      </c>
      <c r="E255" s="18" t="s">
        <v>907</v>
      </c>
      <c r="F255" s="23" t="s">
        <v>340</v>
      </c>
      <c r="G255" s="18">
        <v>3</v>
      </c>
      <c r="H255" s="18">
        <v>3</v>
      </c>
      <c r="I255" s="21">
        <v>45785</v>
      </c>
      <c r="J255" s="21"/>
      <c r="K255" s="51"/>
      <c r="L255" s="23" t="s">
        <v>404</v>
      </c>
      <c r="M255" s="23" t="s">
        <v>47</v>
      </c>
      <c r="N255" s="24">
        <f t="shared" si="47"/>
        <v>926.73</v>
      </c>
      <c r="O255" s="24">
        <f t="shared" si="59"/>
        <v>2422</v>
      </c>
      <c r="P255" s="24">
        <f t="shared" si="60"/>
        <v>2200</v>
      </c>
      <c r="Q255" s="24">
        <f>P255/G255/4.3333</f>
        <v>169.2320710159309</v>
      </c>
      <c r="R255" s="24">
        <v>2000</v>
      </c>
      <c r="S255" s="25">
        <v>200</v>
      </c>
      <c r="T255" s="25">
        <v>0</v>
      </c>
      <c r="U255" s="12"/>
      <c r="V255" s="10"/>
      <c r="W255" s="29" t="s">
        <v>908</v>
      </c>
      <c r="X255" s="25" t="s">
        <v>909</v>
      </c>
      <c r="Y255" s="25">
        <v>1073.27</v>
      </c>
      <c r="Z255" s="25">
        <v>1073.27</v>
      </c>
      <c r="AA255" s="25">
        <v>1073.27</v>
      </c>
      <c r="AB255" s="25">
        <f t="shared" si="58"/>
        <v>82.559294276380214</v>
      </c>
      <c r="AC255" s="19">
        <v>43894</v>
      </c>
      <c r="AD255" s="19">
        <v>44316</v>
      </c>
    </row>
    <row r="256" spans="1:30" x14ac:dyDescent="0.2">
      <c r="A256" s="13">
        <v>263</v>
      </c>
      <c r="B256" s="14" t="str">
        <f>_xlfn.XLOOKUP(D256,'[1]Sleutelplan nieuw'!B:B,'[1]Sleutelplan nieuw'!A:A,"",2)</f>
        <v>0145</v>
      </c>
      <c r="C256" s="15" t="s">
        <v>50</v>
      </c>
      <c r="D256" s="23" t="s">
        <v>910</v>
      </c>
      <c r="E256" s="18" t="s">
        <v>911</v>
      </c>
      <c r="F256" s="23" t="s">
        <v>283</v>
      </c>
      <c r="G256" s="18">
        <v>5</v>
      </c>
      <c r="H256" s="18">
        <v>4</v>
      </c>
      <c r="I256" s="21">
        <v>44752</v>
      </c>
      <c r="J256" s="21">
        <v>45116</v>
      </c>
      <c r="K256" s="21"/>
      <c r="L256" s="23" t="s">
        <v>760</v>
      </c>
      <c r="M256" s="23"/>
      <c r="N256" s="24">
        <f t="shared" ref="N256:N289" si="62">P256-S256-T256-Z256</f>
        <v>474.5300000000002</v>
      </c>
      <c r="O256" s="24">
        <f>R256*1.09+S256*1.21</f>
        <v>3242.2377000000006</v>
      </c>
      <c r="P256" s="24">
        <f>R256+S256</f>
        <v>2974.53</v>
      </c>
      <c r="Q256" s="24">
        <f>(P256/G256)/4.33333</f>
        <v>137.28610560469662</v>
      </c>
      <c r="R256" s="24">
        <v>2974.53</v>
      </c>
      <c r="S256" s="25">
        <v>0</v>
      </c>
      <c r="T256" s="25">
        <v>0</v>
      </c>
      <c r="U256" s="12"/>
      <c r="V256" s="10"/>
      <c r="W256" s="29" t="s">
        <v>912</v>
      </c>
      <c r="X256" s="25" t="s">
        <v>913</v>
      </c>
      <c r="Y256" s="25">
        <v>2500</v>
      </c>
      <c r="Z256" s="25">
        <v>2500</v>
      </c>
      <c r="AA256" s="25">
        <v>2500</v>
      </c>
      <c r="AB256" s="25">
        <f>(Z256/G256)/4.33333</f>
        <v>115.38470414208011</v>
      </c>
      <c r="AC256" s="19">
        <v>44348</v>
      </c>
      <c r="AD256" s="19">
        <v>44712</v>
      </c>
    </row>
    <row r="257" spans="1:30" x14ac:dyDescent="0.2">
      <c r="A257" s="13">
        <v>264</v>
      </c>
      <c r="B257" s="14" t="str">
        <f>_xlfn.XLOOKUP(D257,'[1]Sleutelplan nieuw'!B:B,'[1]Sleutelplan nieuw'!A:A,"",2)</f>
        <v>0232</v>
      </c>
      <c r="C257" s="15" t="s">
        <v>25</v>
      </c>
      <c r="D257" s="23" t="s">
        <v>914</v>
      </c>
      <c r="E257" s="18" t="s">
        <v>915</v>
      </c>
      <c r="F257" s="23" t="s">
        <v>28</v>
      </c>
      <c r="G257" s="18">
        <v>2</v>
      </c>
      <c r="H257" s="18">
        <v>2</v>
      </c>
      <c r="I257" s="21"/>
      <c r="J257" s="21"/>
      <c r="K257" s="21"/>
      <c r="L257" s="22"/>
      <c r="M257" s="36" t="s">
        <v>916</v>
      </c>
      <c r="N257" s="24">
        <f t="shared" si="62"/>
        <v>-1923</v>
      </c>
      <c r="O257" s="24"/>
      <c r="P257" s="24"/>
      <c r="Q257" s="24"/>
      <c r="R257" s="24"/>
      <c r="S257" s="25">
        <v>250</v>
      </c>
      <c r="T257" s="25"/>
      <c r="U257" s="12"/>
      <c r="V257" s="10"/>
      <c r="W257" s="29" t="s">
        <v>35</v>
      </c>
      <c r="X257" s="25"/>
      <c r="Y257" s="25">
        <f>Z257*1.09</f>
        <v>1823.5700000000002</v>
      </c>
      <c r="Z257" s="25">
        <v>1673</v>
      </c>
      <c r="AA257" s="25">
        <v>1673</v>
      </c>
      <c r="AB257" s="25">
        <f>(Z257/G257)/4.33333</f>
        <v>193.03861002970001</v>
      </c>
      <c r="AC257" s="19"/>
      <c r="AD257" s="19"/>
    </row>
    <row r="258" spans="1:30" ht="16" x14ac:dyDescent="0.2">
      <c r="A258" s="13"/>
      <c r="B258" s="14" t="str" cm="1">
        <f t="array" ref="B258">_xlfn.XLOOKUP(LEFT(D258,3),LEFT('[1]Sleutelplan nieuw'!B:B,3),'[1]Sleutelplan nieuw'!A:A,"",2)</f>
        <v>0376</v>
      </c>
      <c r="C258" s="15" t="s">
        <v>25</v>
      </c>
      <c r="D258" s="23" t="s">
        <v>917</v>
      </c>
      <c r="E258" s="18" t="s">
        <v>918</v>
      </c>
      <c r="F258" s="23" t="s">
        <v>919</v>
      </c>
      <c r="G258" s="30">
        <v>6</v>
      </c>
      <c r="H258" s="30">
        <v>3</v>
      </c>
      <c r="I258" s="44">
        <v>45885</v>
      </c>
      <c r="J258" s="44"/>
      <c r="K258" s="21"/>
      <c r="L258" s="22" t="s">
        <v>35</v>
      </c>
      <c r="M258" s="23"/>
      <c r="N258" s="24">
        <f t="shared" si="62"/>
        <v>900</v>
      </c>
      <c r="O258" s="24">
        <f>R258*1.09+S258*1.21</f>
        <v>4286.9000000000005</v>
      </c>
      <c r="P258" s="24">
        <f>R258+S258</f>
        <v>3890</v>
      </c>
      <c r="Q258" s="24">
        <f>(P258/G258)/4.33333</f>
        <v>149.61549970423056</v>
      </c>
      <c r="R258" s="24">
        <v>3500</v>
      </c>
      <c r="S258" s="25">
        <v>390</v>
      </c>
      <c r="T258" s="25"/>
      <c r="U258" s="12"/>
      <c r="V258" s="10"/>
      <c r="W258" s="29" t="s">
        <v>920</v>
      </c>
      <c r="X258" s="35" t="s">
        <v>921</v>
      </c>
      <c r="Y258" s="25">
        <v>2600</v>
      </c>
      <c r="Z258" s="25">
        <v>2600</v>
      </c>
      <c r="AA258" s="25">
        <v>2600</v>
      </c>
      <c r="AB258" s="25">
        <f>(Z258/G258)/4.33333</f>
        <v>100.00007692313609</v>
      </c>
      <c r="AC258" s="19">
        <v>45880</v>
      </c>
      <c r="AD258" s="19">
        <v>46244</v>
      </c>
    </row>
    <row r="259" spans="1:30" x14ac:dyDescent="0.2">
      <c r="A259" s="18"/>
      <c r="B259" s="14"/>
      <c r="C259" s="18"/>
      <c r="D259" s="23"/>
      <c r="E259" s="18"/>
      <c r="F259" s="77" t="s">
        <v>922</v>
      </c>
      <c r="G259" s="78">
        <f>SUM(G3:G258)</f>
        <v>1207</v>
      </c>
      <c r="H259" s="78">
        <f>SUM(H3:H258)</f>
        <v>915</v>
      </c>
      <c r="I259" s="78"/>
      <c r="J259" s="78"/>
      <c r="K259" s="78"/>
      <c r="L259" s="79"/>
      <c r="M259" s="79"/>
      <c r="N259" s="80">
        <f>SUM(N3:N257)</f>
        <v>120903.04000000005</v>
      </c>
      <c r="O259" s="80">
        <f>SUM(O3:O258)</f>
        <v>773894.97097000084</v>
      </c>
      <c r="P259" s="80">
        <f>SUM(P3:P258)</f>
        <v>703424.69000000041</v>
      </c>
      <c r="Q259" s="80">
        <f>SUM(Q3:Q257)</f>
        <v>35998.930437798721</v>
      </c>
      <c r="R259" s="80">
        <f>SUM(R3:R258)</f>
        <v>659151.53300000052</v>
      </c>
      <c r="S259" s="80"/>
      <c r="T259" s="81"/>
      <c r="U259" s="81"/>
      <c r="V259" s="78"/>
      <c r="W259" s="82"/>
      <c r="X259" s="79"/>
      <c r="Y259" s="83">
        <f>SUM(Y3:Y258)</f>
        <v>565200.16859999998</v>
      </c>
      <c r="Z259" s="83">
        <f>SUM(Z3:Z258)</f>
        <v>539806.64999999991</v>
      </c>
      <c r="AA259" s="79"/>
      <c r="AB259" s="79"/>
      <c r="AC259" s="81"/>
      <c r="AD259" s="80"/>
    </row>
    <row r="260" spans="1:30" x14ac:dyDescent="0.2">
      <c r="A260" s="18"/>
      <c r="B260" s="14"/>
      <c r="C260" s="18"/>
      <c r="D260" s="23"/>
      <c r="E260" s="18"/>
      <c r="F260" s="23"/>
      <c r="G260" s="18"/>
      <c r="H260" s="18"/>
      <c r="I260" s="18"/>
      <c r="J260" s="18"/>
      <c r="K260" s="18"/>
      <c r="L260" s="23"/>
      <c r="M260" s="23"/>
      <c r="N260" s="24">
        <f>P260-S260-T260-Z260</f>
        <v>0</v>
      </c>
      <c r="O260" s="24"/>
      <c r="P260" s="24"/>
      <c r="Q260" s="24"/>
      <c r="R260" s="24"/>
      <c r="S260" s="24"/>
      <c r="T260" s="25"/>
      <c r="U260" s="25"/>
      <c r="V260" s="10"/>
      <c r="X260" s="23"/>
      <c r="Y260" s="24"/>
      <c r="Z260" s="24"/>
      <c r="AA260" s="24"/>
      <c r="AB260" s="25"/>
      <c r="AC260" s="25"/>
      <c r="AD260" s="18"/>
    </row>
    <row r="261" spans="1:30" x14ac:dyDescent="0.2">
      <c r="A261" s="18"/>
      <c r="B261" s="14"/>
      <c r="C261" s="18"/>
      <c r="D261" s="23"/>
      <c r="E261" s="18"/>
      <c r="F261" s="23"/>
      <c r="G261" s="18"/>
      <c r="H261" s="18"/>
      <c r="I261" s="18"/>
      <c r="J261" s="18"/>
      <c r="K261" s="18"/>
      <c r="L261" s="23"/>
      <c r="M261" s="23"/>
      <c r="N261" s="84"/>
      <c r="O261" s="24"/>
      <c r="P261" s="24"/>
      <c r="Q261" s="24"/>
      <c r="R261" s="24"/>
      <c r="S261" s="24"/>
      <c r="T261" s="25"/>
      <c r="U261" s="25"/>
      <c r="V261" s="10"/>
      <c r="X261" s="23"/>
      <c r="Y261" s="24"/>
      <c r="Z261" s="24"/>
      <c r="AA261" s="24"/>
      <c r="AB261" s="25"/>
      <c r="AC261" s="25"/>
      <c r="AD261" s="18"/>
    </row>
    <row r="262" spans="1:30" x14ac:dyDescent="0.2">
      <c r="A262" s="18"/>
      <c r="B262" s="14"/>
      <c r="C262" s="18"/>
      <c r="D262" s="23"/>
      <c r="E262" s="18"/>
      <c r="F262" s="23"/>
      <c r="G262" s="18"/>
      <c r="H262" s="18"/>
      <c r="I262" s="18"/>
      <c r="J262" s="18"/>
      <c r="K262" s="18"/>
      <c r="L262" s="23"/>
      <c r="M262" s="23"/>
      <c r="N262" s="24">
        <f t="shared" ref="N262:N272" si="63">P262-S262-T262-Z262</f>
        <v>0</v>
      </c>
      <c r="O262" s="24"/>
      <c r="P262" s="24"/>
      <c r="Q262" s="24"/>
      <c r="R262" s="24"/>
      <c r="S262" s="24"/>
      <c r="T262" s="25"/>
      <c r="U262" s="25"/>
      <c r="V262" s="10"/>
      <c r="X262" s="23"/>
      <c r="Y262" s="24"/>
      <c r="Z262" s="24"/>
      <c r="AA262" s="24"/>
      <c r="AB262" s="25"/>
      <c r="AC262" s="25"/>
      <c r="AD262" s="18"/>
    </row>
    <row r="263" spans="1:30" x14ac:dyDescent="0.2">
      <c r="A263" s="18"/>
      <c r="B263" s="14"/>
      <c r="C263" s="18"/>
      <c r="D263" s="23"/>
      <c r="E263" s="18"/>
      <c r="F263" s="23"/>
      <c r="G263" s="18"/>
      <c r="H263" s="18"/>
      <c r="I263" s="18"/>
      <c r="J263" s="18"/>
      <c r="K263" s="18"/>
      <c r="L263" s="23"/>
      <c r="M263" s="23"/>
      <c r="N263" s="24">
        <f t="shared" si="63"/>
        <v>0</v>
      </c>
      <c r="O263" s="24"/>
      <c r="P263" s="24"/>
      <c r="Q263" s="24"/>
      <c r="R263" s="24"/>
      <c r="S263" s="24"/>
      <c r="T263" s="25"/>
      <c r="U263" s="25"/>
      <c r="V263" s="10"/>
      <c r="X263" s="23"/>
      <c r="Y263" s="24"/>
      <c r="Z263" s="24"/>
      <c r="AA263" s="24"/>
      <c r="AB263" s="25"/>
      <c r="AC263" s="25"/>
      <c r="AD263" s="18"/>
    </row>
    <row r="264" spans="1:30" x14ac:dyDescent="0.2">
      <c r="A264" s="18"/>
      <c r="B264" s="14"/>
      <c r="C264" s="18"/>
      <c r="D264" s="23"/>
      <c r="E264" s="18"/>
      <c r="F264" s="23"/>
      <c r="G264" s="18"/>
      <c r="H264" s="18"/>
      <c r="I264" s="18"/>
      <c r="J264" s="18"/>
      <c r="K264" s="18"/>
      <c r="L264" s="23"/>
      <c r="M264" s="23"/>
      <c r="N264" s="24">
        <f t="shared" si="63"/>
        <v>0</v>
      </c>
      <c r="O264" s="24"/>
      <c r="P264" s="24"/>
      <c r="Q264" s="24"/>
      <c r="R264" s="24"/>
      <c r="S264" s="24"/>
      <c r="T264" s="25"/>
      <c r="U264" s="25"/>
      <c r="V264" s="10"/>
      <c r="X264" s="23"/>
      <c r="Y264" s="24"/>
      <c r="Z264" s="24"/>
      <c r="AA264" s="24"/>
      <c r="AB264" s="25"/>
      <c r="AC264" s="25"/>
      <c r="AD264" s="18"/>
    </row>
    <row r="265" spans="1:30" x14ac:dyDescent="0.2">
      <c r="A265" s="18"/>
      <c r="B265" s="14"/>
      <c r="C265" s="18"/>
      <c r="D265" s="23"/>
      <c r="E265" s="18"/>
      <c r="F265" s="23"/>
      <c r="G265" s="18"/>
      <c r="H265" s="18"/>
      <c r="I265" s="18"/>
      <c r="J265" s="18"/>
      <c r="K265" s="18"/>
      <c r="L265" s="23"/>
      <c r="M265" s="23"/>
      <c r="N265" s="24">
        <f t="shared" si="63"/>
        <v>0</v>
      </c>
      <c r="O265" s="24"/>
      <c r="P265" s="24"/>
      <c r="Q265" s="24"/>
      <c r="R265" s="24"/>
      <c r="S265" s="24"/>
      <c r="T265" s="25"/>
      <c r="U265" s="25"/>
      <c r="V265" s="10"/>
      <c r="X265" s="23"/>
      <c r="Y265" s="24"/>
      <c r="Z265" s="24"/>
      <c r="AA265" s="24"/>
      <c r="AB265" s="25"/>
      <c r="AC265" s="25"/>
      <c r="AD265" s="18"/>
    </row>
    <row r="266" spans="1:30" x14ac:dyDescent="0.2">
      <c r="A266" s="18"/>
      <c r="B266" s="14"/>
      <c r="C266" s="18"/>
      <c r="D266" s="23"/>
      <c r="E266" s="18"/>
      <c r="F266" s="23"/>
      <c r="G266" s="18"/>
      <c r="H266" s="18"/>
      <c r="I266" s="18"/>
      <c r="J266" s="18"/>
      <c r="K266" s="18"/>
      <c r="L266" s="23"/>
      <c r="M266" s="23"/>
      <c r="N266" s="24">
        <f t="shared" si="63"/>
        <v>0</v>
      </c>
      <c r="O266" s="24"/>
      <c r="P266" s="24"/>
      <c r="Q266" s="24"/>
      <c r="R266" s="24"/>
      <c r="S266" s="24"/>
      <c r="T266" s="25"/>
      <c r="U266" s="25"/>
      <c r="V266" s="10"/>
      <c r="X266" s="23"/>
      <c r="Y266" s="24"/>
      <c r="Z266" s="24"/>
      <c r="AA266" s="24"/>
      <c r="AB266" s="25"/>
      <c r="AC266" s="25"/>
      <c r="AD266" s="18"/>
    </row>
    <row r="267" spans="1:30" x14ac:dyDescent="0.2">
      <c r="A267" s="18"/>
      <c r="B267" s="14"/>
      <c r="C267" s="18"/>
      <c r="D267" s="23"/>
      <c r="E267" s="18"/>
      <c r="F267" s="23"/>
      <c r="G267" s="18"/>
      <c r="H267" s="18"/>
      <c r="I267" s="18"/>
      <c r="J267" s="18"/>
      <c r="K267" s="18"/>
      <c r="L267" s="23"/>
      <c r="M267" s="23"/>
      <c r="N267" s="24">
        <f t="shared" si="63"/>
        <v>0</v>
      </c>
      <c r="O267" s="24"/>
      <c r="P267" s="24"/>
      <c r="Q267" s="24"/>
      <c r="R267" s="24"/>
      <c r="S267" s="24"/>
      <c r="T267" s="25"/>
      <c r="U267" s="25"/>
      <c r="V267" s="10"/>
      <c r="X267" s="23"/>
      <c r="Y267" s="24"/>
      <c r="Z267" s="24"/>
      <c r="AA267" s="24"/>
      <c r="AB267" s="25"/>
      <c r="AC267" s="25"/>
      <c r="AD267" s="18"/>
    </row>
    <row r="268" spans="1:30" x14ac:dyDescent="0.2">
      <c r="A268" s="18"/>
      <c r="B268" s="14"/>
      <c r="C268" s="18"/>
      <c r="D268" s="23"/>
      <c r="E268" s="18"/>
      <c r="F268" s="23"/>
      <c r="G268" s="18"/>
      <c r="H268" s="18"/>
      <c r="I268" s="18"/>
      <c r="J268" s="18"/>
      <c r="K268" s="18"/>
      <c r="L268" s="23"/>
      <c r="M268" s="23"/>
      <c r="N268" s="24">
        <f t="shared" si="63"/>
        <v>0</v>
      </c>
      <c r="O268" s="24"/>
      <c r="P268" s="24"/>
      <c r="Q268" s="24"/>
      <c r="R268" s="24"/>
      <c r="S268" s="24"/>
      <c r="T268" s="25"/>
      <c r="U268" s="25"/>
      <c r="V268" s="10"/>
      <c r="X268" s="23"/>
      <c r="Y268" s="24"/>
      <c r="Z268" s="24"/>
      <c r="AA268" s="24"/>
      <c r="AB268" s="25"/>
      <c r="AC268" s="25"/>
      <c r="AD268" s="18"/>
    </row>
    <row r="269" spans="1:30" x14ac:dyDescent="0.2">
      <c r="A269" s="18"/>
      <c r="B269" s="14"/>
      <c r="C269" s="18"/>
      <c r="D269" s="23"/>
      <c r="E269" s="18"/>
      <c r="F269" s="23"/>
      <c r="G269" s="18"/>
      <c r="H269" s="18"/>
      <c r="I269" s="18"/>
      <c r="J269" s="18"/>
      <c r="K269" s="18"/>
      <c r="L269" s="23"/>
      <c r="M269" s="23"/>
      <c r="N269" s="24">
        <f t="shared" si="63"/>
        <v>0</v>
      </c>
      <c r="O269" s="24"/>
      <c r="P269" s="24"/>
      <c r="Q269" s="24"/>
      <c r="R269" s="24"/>
      <c r="S269" s="24"/>
      <c r="T269" s="25"/>
      <c r="U269" s="25"/>
      <c r="V269" s="10"/>
      <c r="X269" s="23"/>
      <c r="Y269" s="24"/>
      <c r="Z269" s="24"/>
      <c r="AA269" s="24"/>
      <c r="AB269" s="25"/>
      <c r="AC269" s="25"/>
      <c r="AD269" s="18"/>
    </row>
    <row r="270" spans="1:30" x14ac:dyDescent="0.2">
      <c r="A270" s="18"/>
      <c r="B270" s="14"/>
      <c r="C270" s="18"/>
      <c r="D270" s="23"/>
      <c r="E270" s="18"/>
      <c r="F270" s="23"/>
      <c r="G270" s="18"/>
      <c r="H270" s="18"/>
      <c r="I270" s="18"/>
      <c r="J270" s="18"/>
      <c r="K270" s="18"/>
      <c r="L270" s="23"/>
      <c r="M270" s="23"/>
      <c r="N270" s="24">
        <f t="shared" si="63"/>
        <v>0</v>
      </c>
      <c r="O270" s="24"/>
      <c r="P270" s="24"/>
      <c r="Q270" s="24"/>
      <c r="R270" s="24"/>
      <c r="S270" s="24"/>
      <c r="T270" s="25"/>
      <c r="U270" s="25"/>
      <c r="V270" s="10"/>
      <c r="X270" s="23"/>
      <c r="Y270" s="24"/>
      <c r="Z270" s="24"/>
      <c r="AA270" s="24"/>
      <c r="AB270" s="25"/>
      <c r="AC270" s="25"/>
      <c r="AD270" s="18"/>
    </row>
    <row r="271" spans="1:30" x14ac:dyDescent="0.2">
      <c r="A271" s="18"/>
      <c r="B271" s="14"/>
      <c r="C271" s="18"/>
      <c r="D271" s="23"/>
      <c r="E271" s="18"/>
      <c r="F271" s="23"/>
      <c r="G271" s="18"/>
      <c r="H271" s="18"/>
      <c r="I271" s="18"/>
      <c r="J271" s="18"/>
      <c r="K271" s="18"/>
      <c r="L271" s="23"/>
      <c r="M271" s="23"/>
      <c r="N271" s="24">
        <f t="shared" si="63"/>
        <v>0</v>
      </c>
      <c r="O271" s="24"/>
      <c r="P271" s="24"/>
      <c r="Q271" s="24"/>
      <c r="R271" s="24"/>
      <c r="S271" s="24"/>
      <c r="T271" s="25"/>
      <c r="U271" s="25"/>
      <c r="V271" s="10"/>
      <c r="X271" s="23"/>
      <c r="Y271" s="24"/>
      <c r="Z271" s="24"/>
      <c r="AA271" s="24"/>
      <c r="AB271" s="25"/>
      <c r="AC271" s="25"/>
      <c r="AD271" s="18"/>
    </row>
    <row r="272" spans="1:30" x14ac:dyDescent="0.2">
      <c r="A272" s="18"/>
      <c r="B272" s="14"/>
      <c r="C272" s="18"/>
      <c r="D272" s="23"/>
      <c r="E272" s="18"/>
      <c r="F272" s="23"/>
      <c r="G272" s="18"/>
      <c r="H272" s="18"/>
      <c r="I272" s="18"/>
      <c r="J272" s="18"/>
      <c r="K272" s="18"/>
      <c r="L272" s="23"/>
      <c r="M272" s="23"/>
      <c r="N272" s="24">
        <f t="shared" si="63"/>
        <v>0</v>
      </c>
      <c r="O272" s="24"/>
      <c r="P272" s="24"/>
      <c r="Q272" s="24"/>
      <c r="R272" s="24"/>
      <c r="S272" s="24"/>
      <c r="T272" s="25"/>
      <c r="U272" s="25"/>
      <c r="V272" s="85"/>
      <c r="X272" s="23"/>
      <c r="Y272" s="24"/>
      <c r="Z272" s="24"/>
      <c r="AA272" s="24"/>
      <c r="AB272" s="25"/>
      <c r="AC272" s="25"/>
      <c r="AD272" s="18"/>
    </row>
    <row r="273" spans="2:29" x14ac:dyDescent="0.2">
      <c r="B273" s="14"/>
      <c r="P273" s="12"/>
      <c r="T273" s="86"/>
      <c r="AB273" s="29"/>
      <c r="AC273" s="29"/>
    </row>
    <row r="274" spans="2:29" x14ac:dyDescent="0.2">
      <c r="B274" s="14"/>
      <c r="F274" s="6"/>
      <c r="I274" s="87"/>
      <c r="N274" s="88"/>
      <c r="O274" s="12"/>
      <c r="P274" s="88"/>
      <c r="T274" s="86"/>
      <c r="AB274" s="29"/>
      <c r="AC274" s="29"/>
    </row>
    <row r="275" spans="2:29" x14ac:dyDescent="0.2">
      <c r="B275" s="14"/>
      <c r="F275" s="6"/>
      <c r="I275" s="87"/>
      <c r="O275" s="12"/>
      <c r="Q275" s="17"/>
      <c r="T275" s="86"/>
      <c r="AB275" s="29"/>
      <c r="AC275" s="29"/>
    </row>
    <row r="276" spans="2:29" x14ac:dyDescent="0.2">
      <c r="B276" s="14"/>
      <c r="F276" s="6"/>
      <c r="I276" s="87"/>
      <c r="N276" s="88"/>
      <c r="O276" s="12"/>
      <c r="P276" s="87"/>
      <c r="Q276" s="17"/>
      <c r="T276" s="86"/>
      <c r="AB276" s="29"/>
      <c r="AC276" s="29"/>
    </row>
    <row r="277" spans="2:29" x14ac:dyDescent="0.2">
      <c r="B277" s="14"/>
      <c r="O277" s="12"/>
      <c r="P277" s="12"/>
      <c r="T277" s="86"/>
      <c r="AB277" s="29"/>
      <c r="AC277" s="29"/>
    </row>
    <row r="278" spans="2:29" x14ac:dyDescent="0.2">
      <c r="B278" s="14"/>
      <c r="F278" s="6"/>
      <c r="G278" s="7"/>
      <c r="H278" s="7"/>
      <c r="I278" s="89"/>
      <c r="N278" s="88"/>
      <c r="P278" s="87"/>
      <c r="Q278" s="17"/>
      <c r="R278" s="87"/>
      <c r="T278" s="86"/>
      <c r="AB278" s="29"/>
      <c r="AC278" s="29"/>
    </row>
    <row r="279" spans="2:29" x14ac:dyDescent="0.2">
      <c r="B279" s="14"/>
      <c r="P279" s="90"/>
      <c r="R279" s="87"/>
      <c r="S279" s="88"/>
      <c r="T279" s="86"/>
      <c r="AB279" s="29"/>
      <c r="AC279" s="29"/>
    </row>
    <row r="280" spans="2:29" x14ac:dyDescent="0.2">
      <c r="B280" s="14"/>
      <c r="R280" s="87"/>
      <c r="T280" s="86"/>
      <c r="AB280" s="29"/>
      <c r="AC280" s="29"/>
    </row>
    <row r="281" spans="2:29" x14ac:dyDescent="0.2">
      <c r="B281" s="14"/>
      <c r="T281" s="86"/>
      <c r="AB281" s="29"/>
      <c r="AC281" s="29"/>
    </row>
    <row r="282" spans="2:29" x14ac:dyDescent="0.2">
      <c r="B282" s="14"/>
      <c r="T282" s="86"/>
      <c r="AB282" s="29"/>
      <c r="AC282" s="29"/>
    </row>
    <row r="283" spans="2:29" x14ac:dyDescent="0.2">
      <c r="B283" s="14"/>
      <c r="T283" s="86"/>
      <c r="AB283" s="29"/>
      <c r="AC283" s="29"/>
    </row>
    <row r="284" spans="2:29" x14ac:dyDescent="0.2">
      <c r="T284" s="86"/>
      <c r="AB284" s="29"/>
      <c r="AC284" s="29"/>
    </row>
    <row r="285" spans="2:29" x14ac:dyDescent="0.2">
      <c r="N285" s="88"/>
      <c r="T285" s="86"/>
      <c r="AB285" s="29"/>
      <c r="AC285" s="29"/>
    </row>
    <row r="286" spans="2:29" x14ac:dyDescent="0.2">
      <c r="T286" s="86"/>
      <c r="AB286" s="29"/>
      <c r="AC286" s="29"/>
    </row>
    <row r="287" spans="2:29" x14ac:dyDescent="0.2">
      <c r="T287" s="86"/>
      <c r="AB287" s="29"/>
      <c r="AC287" s="29"/>
    </row>
    <row r="288" spans="2:29" x14ac:dyDescent="0.2">
      <c r="T288" s="86"/>
      <c r="AB288" s="29"/>
      <c r="AC288" s="29"/>
    </row>
    <row r="289" spans="20:29" x14ac:dyDescent="0.2">
      <c r="T289" s="86"/>
      <c r="AB289" s="29"/>
      <c r="AC289" s="29"/>
    </row>
    <row r="290" spans="20:29" x14ac:dyDescent="0.2">
      <c r="T290" s="86"/>
      <c r="AB290" s="29"/>
      <c r="AC290" s="29"/>
    </row>
    <row r="291" spans="20:29" x14ac:dyDescent="0.2">
      <c r="T291" s="86"/>
      <c r="AB291" s="29"/>
      <c r="AC291" s="29"/>
    </row>
    <row r="294" spans="20:29" x14ac:dyDescent="0.2">
      <c r="T294" s="86"/>
      <c r="AB294" s="29"/>
      <c r="AC294" s="29"/>
    </row>
  </sheetData>
  <conditionalFormatting sqref="N2:N271">
    <cfRule type="cellIs" dxfId="2" priority="1" operator="between">
      <formula>250</formula>
      <formula>10000</formula>
    </cfRule>
    <cfRule type="cellIs" dxfId="1" priority="2" operator="between">
      <formula>0</formula>
      <formula>249</formula>
    </cfRule>
    <cfRule type="cellIs" dxfId="0" priority="3" operator="between">
      <formula>-3000</formula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51577A2C-A455-41D0-A115-176874BE6A69}"/>
</file>

<file path=customXml/itemProps2.xml><?xml version="1.0" encoding="utf-8"?>
<ds:datastoreItem xmlns:ds="http://schemas.openxmlformats.org/officeDocument/2006/customXml" ds:itemID="{123197E0-1D26-48DA-8D55-263D6E0869F1}"/>
</file>

<file path=customXml/itemProps3.xml><?xml version="1.0" encoding="utf-8"?>
<ds:datastoreItem xmlns:ds="http://schemas.openxmlformats.org/officeDocument/2006/customXml" ds:itemID="{BF87A1AB-6EED-4099-BB30-C02B8C39B4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2025-12-03T09:26:29Z</dcterms:created>
  <dcterms:modified xsi:type="dcterms:W3CDTF">2025-12-04T10:51:18Z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