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Library/CloudStorage/OneDrive-SharedLibraries-RyanRentB.V/RyanRent - General/01_RyanRent&amp;Co/Aljereau/Eindafrekening Generator/Shared/Sources/"/>
    </mc:Choice>
  </mc:AlternateContent>
  <xr:revisionPtr revIDLastSave="0" documentId="8_{BF55310D-3A15-FA42-8C8D-BB042F77EC8C}" xr6:coauthVersionLast="47" xr6:coauthVersionMax="47" xr10:uidLastSave="{00000000-0000-0000-0000-000000000000}"/>
  <bookViews>
    <workbookView xWindow="-120" yWindow="760" windowWidth="51840" windowHeight="20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4" i="1" l="1"/>
  <c r="G10" i="1" s="1"/>
  <c r="K504" i="1"/>
  <c r="J504" i="1"/>
  <c r="M498" i="1"/>
  <c r="L498" i="1"/>
  <c r="L502" i="1"/>
  <c r="M499" i="1"/>
  <c r="L499" i="1"/>
  <c r="M495" i="1"/>
  <c r="L495" i="1"/>
  <c r="M492" i="1"/>
  <c r="L492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79" i="1"/>
  <c r="L479" i="1"/>
  <c r="M476" i="1"/>
  <c r="L476" i="1"/>
  <c r="M475" i="1"/>
  <c r="L475" i="1"/>
  <c r="M474" i="1"/>
  <c r="L474" i="1"/>
  <c r="M473" i="1"/>
  <c r="L473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L460" i="1"/>
  <c r="L459" i="1"/>
  <c r="M456" i="1"/>
  <c r="L456" i="1"/>
  <c r="M453" i="1"/>
  <c r="L453" i="1"/>
  <c r="L450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L429" i="1"/>
  <c r="L428" i="1"/>
  <c r="M425" i="1"/>
  <c r="L425" i="1"/>
  <c r="M424" i="1"/>
  <c r="L424" i="1"/>
  <c r="M423" i="1"/>
  <c r="L423" i="1"/>
  <c r="M420" i="1"/>
  <c r="L420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5" i="1"/>
  <c r="L395" i="1"/>
  <c r="M392" i="1"/>
  <c r="L392" i="1"/>
  <c r="M389" i="1"/>
  <c r="L389" i="1"/>
  <c r="M386" i="1"/>
  <c r="L386" i="1"/>
  <c r="M385" i="1"/>
  <c r="L385" i="1"/>
  <c r="M384" i="1"/>
  <c r="L384" i="1"/>
  <c r="M381" i="1"/>
  <c r="L381" i="1"/>
  <c r="L378" i="1"/>
  <c r="L377" i="1"/>
  <c r="L374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1" i="1"/>
  <c r="L361" i="1"/>
  <c r="M360" i="1"/>
  <c r="L360" i="1"/>
  <c r="M357" i="1"/>
  <c r="L357" i="1"/>
  <c r="M354" i="1"/>
  <c r="L354" i="1"/>
  <c r="M353" i="1"/>
  <c r="L353" i="1"/>
  <c r="M350" i="1"/>
  <c r="L350" i="1"/>
  <c r="L349" i="1"/>
  <c r="L348" i="1"/>
  <c r="L347" i="1"/>
  <c r="L346" i="1"/>
  <c r="L345" i="1"/>
  <c r="L344" i="1"/>
  <c r="L343" i="1"/>
  <c r="L342" i="1"/>
  <c r="L341" i="1"/>
  <c r="L340" i="1"/>
  <c r="M337" i="1"/>
  <c r="L337" i="1"/>
  <c r="M336" i="1"/>
  <c r="L336" i="1"/>
  <c r="M335" i="1"/>
  <c r="L335" i="1"/>
  <c r="M332" i="1"/>
  <c r="L332" i="1"/>
  <c r="M331" i="1"/>
  <c r="L331" i="1"/>
  <c r="M328" i="1"/>
  <c r="L328" i="1"/>
  <c r="M325" i="1"/>
  <c r="L325" i="1"/>
  <c r="M324" i="1"/>
  <c r="L324" i="1"/>
  <c r="M318" i="1"/>
  <c r="L318" i="1"/>
  <c r="M313" i="1"/>
  <c r="L313" i="1"/>
  <c r="M310" i="1"/>
  <c r="L310" i="1"/>
  <c r="M309" i="1"/>
  <c r="L309" i="1"/>
  <c r="M308" i="1"/>
  <c r="L308" i="1"/>
  <c r="M307" i="1"/>
  <c r="L307" i="1"/>
  <c r="L306" i="1"/>
  <c r="L305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89" i="1"/>
  <c r="L289" i="1"/>
  <c r="M286" i="1"/>
  <c r="L286" i="1"/>
  <c r="M283" i="1"/>
  <c r="L283" i="1"/>
  <c r="M282" i="1"/>
  <c r="L282" i="1"/>
  <c r="L281" i="1"/>
  <c r="L280" i="1"/>
  <c r="L279" i="1"/>
  <c r="L278" i="1"/>
  <c r="L277" i="1"/>
  <c r="M274" i="1"/>
  <c r="L274" i="1"/>
  <c r="M271" i="1"/>
  <c r="L271" i="1"/>
  <c r="L268" i="1"/>
  <c r="L265" i="1"/>
  <c r="M262" i="1"/>
  <c r="L262" i="1"/>
  <c r="M261" i="1"/>
  <c r="L261" i="1"/>
  <c r="M258" i="1"/>
  <c r="L258" i="1"/>
  <c r="M257" i="1"/>
  <c r="L257" i="1"/>
  <c r="M256" i="1"/>
  <c r="L256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5" i="1"/>
  <c r="L245" i="1"/>
  <c r="M242" i="1"/>
  <c r="M241" i="1"/>
  <c r="M240" i="1"/>
  <c r="M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4" i="1"/>
  <c r="L224" i="1"/>
  <c r="L221" i="1"/>
  <c r="L220" i="1"/>
  <c r="L219" i="1"/>
  <c r="M216" i="1"/>
  <c r="L216" i="1"/>
  <c r="M213" i="1"/>
  <c r="L213" i="1"/>
  <c r="M210" i="1"/>
  <c r="L210" i="1"/>
  <c r="M207" i="1"/>
  <c r="L207" i="1"/>
  <c r="M206" i="1"/>
  <c r="L206" i="1"/>
  <c r="M205" i="1"/>
  <c r="L205" i="1"/>
  <c r="L204" i="1"/>
  <c r="L203" i="1"/>
  <c r="L202" i="1"/>
  <c r="L201" i="1"/>
  <c r="L200" i="1"/>
  <c r="L199" i="1"/>
  <c r="M196" i="1"/>
  <c r="L196" i="1"/>
  <c r="M193" i="1"/>
  <c r="L193" i="1"/>
  <c r="M192" i="1"/>
  <c r="L192" i="1"/>
  <c r="M189" i="1"/>
  <c r="M188" i="1"/>
  <c r="M187" i="1"/>
  <c r="L187" i="1"/>
  <c r="M184" i="1"/>
  <c r="M183" i="1"/>
  <c r="L183" i="1"/>
  <c r="M180" i="1"/>
  <c r="L180" i="1"/>
  <c r="M179" i="1"/>
  <c r="L179" i="1"/>
  <c r="M178" i="1"/>
  <c r="L178" i="1"/>
  <c r="M175" i="1"/>
  <c r="L175" i="1"/>
  <c r="M172" i="1"/>
  <c r="L172" i="1"/>
  <c r="M171" i="1"/>
  <c r="L171" i="1"/>
  <c r="M170" i="1"/>
  <c r="L170" i="1"/>
  <c r="M169" i="1"/>
  <c r="L169" i="1"/>
  <c r="M168" i="1"/>
  <c r="L168" i="1"/>
  <c r="M165" i="1"/>
  <c r="L165" i="1"/>
  <c r="M164" i="1"/>
  <c r="L164" i="1"/>
  <c r="M163" i="1"/>
  <c r="L163" i="1"/>
  <c r="L159" i="1"/>
  <c r="L158" i="1"/>
  <c r="L157" i="1"/>
  <c r="M154" i="1"/>
  <c r="L154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0" i="1"/>
  <c r="L140" i="1"/>
  <c r="M139" i="1"/>
  <c r="L139" i="1"/>
  <c r="M138" i="1"/>
  <c r="L138" i="1"/>
  <c r="M137" i="1"/>
  <c r="L137" i="1"/>
  <c r="M134" i="1"/>
  <c r="L134" i="1"/>
  <c r="M133" i="1"/>
  <c r="L133" i="1"/>
  <c r="M132" i="1"/>
  <c r="L132" i="1"/>
  <c r="M129" i="1"/>
  <c r="L129" i="1"/>
  <c r="M128" i="1"/>
  <c r="L128" i="1"/>
  <c r="M125" i="1"/>
  <c r="L125" i="1"/>
  <c r="M122" i="1"/>
  <c r="L122" i="1"/>
  <c r="M121" i="1"/>
  <c r="L121" i="1"/>
  <c r="M120" i="1"/>
  <c r="L120" i="1"/>
  <c r="M119" i="1"/>
  <c r="L119" i="1"/>
  <c r="M116" i="1"/>
  <c r="L116" i="1"/>
  <c r="M115" i="1"/>
  <c r="L115" i="1"/>
  <c r="M114" i="1"/>
  <c r="L114" i="1"/>
  <c r="M111" i="1"/>
  <c r="L111" i="1"/>
  <c r="M108" i="1"/>
  <c r="L108" i="1"/>
  <c r="M107" i="1"/>
  <c r="L107" i="1"/>
  <c r="M106" i="1"/>
  <c r="L106" i="1"/>
  <c r="M103" i="1"/>
  <c r="L103" i="1"/>
  <c r="M102" i="1"/>
  <c r="L102" i="1"/>
  <c r="M101" i="1"/>
  <c r="L101" i="1"/>
  <c r="L100" i="1"/>
  <c r="M97" i="1"/>
  <c r="L97" i="1"/>
  <c r="M96" i="1"/>
  <c r="L96" i="1"/>
  <c r="M93" i="1"/>
  <c r="L93" i="1"/>
  <c r="M92" i="1"/>
  <c r="L92" i="1"/>
  <c r="M91" i="1"/>
  <c r="L91" i="1"/>
  <c r="M88" i="1"/>
  <c r="L88" i="1"/>
  <c r="M85" i="1"/>
  <c r="L85" i="1"/>
  <c r="L84" i="1"/>
  <c r="L83" i="1"/>
  <c r="L80" i="1"/>
  <c r="L79" i="1"/>
  <c r="M76" i="1"/>
  <c r="L76" i="1"/>
  <c r="M73" i="1"/>
  <c r="L73" i="1"/>
  <c r="M70" i="1"/>
  <c r="L70" i="1"/>
  <c r="M69" i="1"/>
  <c r="L69" i="1"/>
  <c r="M68" i="1"/>
  <c r="L68" i="1"/>
  <c r="M67" i="1"/>
  <c r="L67" i="1"/>
  <c r="M66" i="1"/>
  <c r="L66" i="1"/>
  <c r="M63" i="1"/>
  <c r="L63" i="1"/>
  <c r="M57" i="1"/>
  <c r="L57" i="1"/>
  <c r="M54" i="1"/>
  <c r="L54" i="1"/>
  <c r="L53" i="1"/>
  <c r="M50" i="1"/>
  <c r="L50" i="1"/>
  <c r="M49" i="1"/>
  <c r="L49" i="1"/>
  <c r="M48" i="1"/>
  <c r="L48" i="1"/>
  <c r="M47" i="1"/>
  <c r="L47" i="1"/>
  <c r="L46" i="1"/>
  <c r="L45" i="1"/>
  <c r="M42" i="1"/>
  <c r="L42" i="1"/>
  <c r="M41" i="1"/>
  <c r="L41" i="1"/>
  <c r="L40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28" i="1"/>
  <c r="L28" i="1"/>
  <c r="M27" i="1"/>
  <c r="L27" i="1"/>
  <c r="M24" i="1"/>
  <c r="L24" i="1"/>
  <c r="M21" i="1"/>
  <c r="L21" i="1"/>
  <c r="M18" i="1"/>
  <c r="L18" i="1"/>
  <c r="M15" i="1"/>
  <c r="L15" i="1"/>
  <c r="L17" i="1"/>
  <c r="L16" i="1"/>
  <c r="L504" i="1" l="1"/>
  <c r="G8" i="1" s="1"/>
  <c r="M504" i="1"/>
  <c r="G9" i="1" s="1"/>
  <c r="F7" i="1"/>
</calcChain>
</file>

<file path=xl/sharedStrings.xml><?xml version="1.0" encoding="utf-8"?>
<sst xmlns="http://schemas.openxmlformats.org/spreadsheetml/2006/main" count="1423" uniqueCount="522">
  <si>
    <t>Datum: 24 november 2025 door Michel Stouthart</t>
  </si>
  <si>
    <t>Valuta</t>
  </si>
  <si>
    <t>Verwachte betalingsdatum</t>
  </si>
  <si>
    <t>Factuur</t>
  </si>
  <si>
    <t>Datum</t>
  </si>
  <si>
    <t>Boeking</t>
  </si>
  <si>
    <t>Dagboek</t>
  </si>
  <si>
    <t>Omschrijving</t>
  </si>
  <si>
    <t>Ouderdom: Dagen</t>
  </si>
  <si>
    <t>Vervaldatum</t>
  </si>
  <si>
    <t>Te vorderen (V.V.)</t>
  </si>
  <si>
    <t>Te vorderen</t>
  </si>
  <si>
    <t>Duijndam Personeelsdiensten B.V. -             100233</t>
  </si>
  <si>
    <t>80 - Verkoopboek</t>
  </si>
  <si>
    <t>Beeklaan 294 Den Haag 2025-12</t>
  </si>
  <si>
    <t>27-11-2025 - 06-12-2025</t>
  </si>
  <si>
    <t>EUR</t>
  </si>
  <si>
    <t>Subtotaal</t>
  </si>
  <si>
    <t>4 Homes B.V. -             100151</t>
  </si>
  <si>
    <t>Kerkweg 9a [huis 348] Hensbroek 2025-12</t>
  </si>
  <si>
    <t>23-11-2025 - 03-12-2025</t>
  </si>
  <si>
    <t>A.P.W. Koedooder -                 86</t>
  </si>
  <si>
    <t>Snoekenveen 242 Spijkenisse vervangen vloer kamer 1</t>
  </si>
  <si>
    <t>16-11-2025 - 30-11-2025</t>
  </si>
  <si>
    <t>Aelbers Flexibele Personeels Diensten B.V. -              50348</t>
  </si>
  <si>
    <t>Persoonsdam 196  Rotterdam 2025-12</t>
  </si>
  <si>
    <t>23-11-2025 - 01-12-2025</t>
  </si>
  <si>
    <t>AKT Autoschade -              50315</t>
  </si>
  <si>
    <t>Ringbaan Oost 327 Tilburg 2025-12</t>
  </si>
  <si>
    <t>17-11-2025 - 01-12-2025</t>
  </si>
  <si>
    <t>Wilgenstraat 37 Tilburg 2025-12</t>
  </si>
  <si>
    <t>AmDor Projecten B.V. -              50157</t>
  </si>
  <si>
    <t>Bliek 41 Hellevoetsluis 2025-12</t>
  </si>
  <si>
    <t>Esdoornlaan 68  Rozenburg 2025-12</t>
  </si>
  <si>
    <t>Molenweg 135 Rozenburg 2025-12</t>
  </si>
  <si>
    <t>Narcissenstraat 37 Rozenburg 2025-12</t>
  </si>
  <si>
    <t>Narcissenstraat 9 Rozenburg 2025-12</t>
  </si>
  <si>
    <t>Struitenweg 19b Rotterdam 2025-12</t>
  </si>
  <si>
    <t>Wilgensingel 63  Rozenburg 2025-12</t>
  </si>
  <si>
    <t>Autodaxx B.V. -              50175</t>
  </si>
  <si>
    <t>Melis Stokezijde 94 Den Haag 2025-09</t>
  </si>
  <si>
    <t>20-08-2025 - 01-09-2025</t>
  </si>
  <si>
    <t>Melis Stokezijde 94 Den Haag 2025-12</t>
  </si>
  <si>
    <t>24-11-2025 - 06-12-2025</t>
  </si>
  <si>
    <t>Akkerweg 41 [huisnummer 36] Den Oever schoonmaakkosten terug</t>
  </si>
  <si>
    <t>30-11-2025 - 30-11-2025</t>
  </si>
  <si>
    <t>Buurman Vastgoed E B.V. -             100191</t>
  </si>
  <si>
    <t>Enschotsestraat 163  Tilburg 2025-5</t>
  </si>
  <si>
    <t>07-04-2025 - 21-04-2025</t>
  </si>
  <si>
    <t>Enschotsestraat 163, Tilburg borg en afrek</t>
  </si>
  <si>
    <t>31-07-2025 - 31-07-2025</t>
  </si>
  <si>
    <t>Akkerweg 41 [huis 14] Den Oever 2025-12</t>
  </si>
  <si>
    <t>03-12-2025 - 16-12-2025</t>
  </si>
  <si>
    <t>Akkerweg 41 [huis 20] Den Oever 2025-12</t>
  </si>
  <si>
    <t>Akkerweg 41 [huis 42] Den Oever 2025-12</t>
  </si>
  <si>
    <t>Wilhelminastraat 8 Stavenisse 2025-12</t>
  </si>
  <si>
    <t>Bw-engineering -             100178</t>
  </si>
  <si>
    <t>Marathonlaan 26 Gouda Tuinonderhoud</t>
  </si>
  <si>
    <t>02-12-2025 - 16-12-2025</t>
  </si>
  <si>
    <t>Marathonlaan 26 Gouda 2025-12</t>
  </si>
  <si>
    <t>03-12-2025 - 17-12-2025</t>
  </si>
  <si>
    <t>CASS Construction and Steel Structures Sp. z o.o -             100203</t>
  </si>
  <si>
    <t>Burchstraat 16a Oostburg schoonmaakkosten terug</t>
  </si>
  <si>
    <t>CB Construction UAB -             100206</t>
  </si>
  <si>
    <t>Bettingeslag 10 Emmen 2025-12</t>
  </si>
  <si>
    <t>C-Flex B.V. -              50446</t>
  </si>
  <si>
    <t>Wilhelmina Druckerstraat 68 2025-12</t>
  </si>
  <si>
    <t>26-11-2025 - 04-12-2025</t>
  </si>
  <si>
    <t>DIT en Larex Vakpersoneel B.V. -              50282</t>
  </si>
  <si>
    <t>H. Algraplein 25 8802 RE Franeker 2025-12</t>
  </si>
  <si>
    <t>24-11-2025 - 08-12-2025</t>
  </si>
  <si>
    <t>Heemskerkstraat 19 9866 AR, Lutjegast 2025-12</t>
  </si>
  <si>
    <t>Hoefslag 8 8391 BJ, Noordwolde 2025-12</t>
  </si>
  <si>
    <t>Hooizolder 6 9205 CA, Drachten 2025-12</t>
  </si>
  <si>
    <t>Koningin Julianalaan 27 3466 LG, Waarder 2025-12</t>
  </si>
  <si>
    <t>dockHolland Huisvesting B.V. -              50182</t>
  </si>
  <si>
    <t>Achterdijk 47A Nieuwland 2025-12</t>
  </si>
  <si>
    <t>26-11-2025 - 01-12-2025</t>
  </si>
  <si>
    <t>DS People B.V. -              50201</t>
  </si>
  <si>
    <t>Rooseveltlaan 185 Bergen op zoom belasting 10 maanden</t>
  </si>
  <si>
    <t>21-11-2025 - 23-11-2025</t>
  </si>
  <si>
    <t>E.C. Koornneef -             100238</t>
  </si>
  <si>
    <t>Ongedierte bestrijder + opleverschoonmaak Zwethkade zuid 30a</t>
  </si>
  <si>
    <t>18-09-2025 - 02-10-2025</t>
  </si>
  <si>
    <t>Zwethkade zuid 30 credit opleverschoonmaak</t>
  </si>
  <si>
    <t>Eastmen Human Resources B.V. -              50218</t>
  </si>
  <si>
    <t>Kerkweg 9a [huis 357] Hensbroek 2025-10 + borg</t>
  </si>
  <si>
    <t>06-11-2025 - 20-11-2025</t>
  </si>
  <si>
    <t>Kerkweg 9a [huis 357] Hensbroek 2025-11</t>
  </si>
  <si>
    <t>Kerkweg 9a [huis 357] Hensbroek 2025-12</t>
  </si>
  <si>
    <t>Eemsdelta Housing B.V. -              50293</t>
  </si>
  <si>
    <t>Oudewerfslaan 84 Winschoten 2025-12</t>
  </si>
  <si>
    <t>25-11-2025 - 29-11-2025</t>
  </si>
  <si>
    <t>EG Facility &amp; Services BV -              50429</t>
  </si>
  <si>
    <t>Elisadonk 220 Roosendaal 2025-12</t>
  </si>
  <si>
    <t>Tesselschadelaan 45 Roosendaal 2025-12</t>
  </si>
  <si>
    <t>Jasmijnring 37 Zundert afrekening + borg</t>
  </si>
  <si>
    <t>Employ Facilitair B.V. -              50286</t>
  </si>
  <si>
    <t>Deugenweerd 18  Borculo 2025-12</t>
  </si>
  <si>
    <t>22-11-2025 - 06-12-2025</t>
  </si>
  <si>
    <t>Putter 42 Etten Leur afrekening correctie</t>
  </si>
  <si>
    <t>Estra Logistics Systems B.V. -             100137</t>
  </si>
  <si>
    <t>kierkegaardhof 54 Huizen 2025-11 + borg</t>
  </si>
  <si>
    <t>07-11-2025 - 21-11-2025</t>
  </si>
  <si>
    <t>kierkegaardhof 54 Huizen 2025-12</t>
  </si>
  <si>
    <t>Plaats 10 Montfoort 2025-12</t>
  </si>
  <si>
    <t>Scheepjesbrug 433  Meerkerk 2025-12</t>
  </si>
  <si>
    <t>EU Facility Services -              50159</t>
  </si>
  <si>
    <t>Kruiningenstraat 185, Rotterdam 2025-12</t>
  </si>
  <si>
    <t>Ruigenhoek 69, Rotterdam 2025-12</t>
  </si>
  <si>
    <t>Schoonegge 110 Rotterdam 2025-12</t>
  </si>
  <si>
    <t>Feel Flex B.V. -              50397</t>
  </si>
  <si>
    <t>Hugo de Grootstraat 72A&amp;72B Den Haag 2025-12</t>
  </si>
  <si>
    <t>29-11-2025 - 07-12-2025</t>
  </si>
  <si>
    <t>FGM Solar Renewable S.R.L. -             100142</t>
  </si>
  <si>
    <t>Wierde huisje 14 deur</t>
  </si>
  <si>
    <t>03-03-2025 - 17-03-2025</t>
  </si>
  <si>
    <t>Akkerweg 41 huisje 26 data</t>
  </si>
  <si>
    <t>15-04-2025 - 29-04-2025</t>
  </si>
  <si>
    <t>Akkerweg 41 [huis 22] Den Oever borg en afrekening</t>
  </si>
  <si>
    <t>03-06-2025 - 03-06-2025</t>
  </si>
  <si>
    <t>FISSH B.V. -             100195</t>
  </si>
  <si>
    <t>Akkerweg 41 [huisnummer 74] Den Oever 2025-12</t>
  </si>
  <si>
    <t>Akkerweg 41 [huisnummer 75] Den Oever 2025-12</t>
  </si>
  <si>
    <t>Akkerweg 41 [huis 38] Den Oever afrekening + borg</t>
  </si>
  <si>
    <t>Akkerweg 41 [huis 38] Den Oever schoonmaakkosten terug</t>
  </si>
  <si>
    <t>Flexbo B.V. -             100177</t>
  </si>
  <si>
    <t>Groenelaan 30B Schiedam schoonmaakkosten terug</t>
  </si>
  <si>
    <t>Flextalent4u Uitzenden B.V. -              50402</t>
  </si>
  <si>
    <t>Peursumseweg 119a Giessenburg 2025-12</t>
  </si>
  <si>
    <t>27-11-2025 - 07-12-2025</t>
  </si>
  <si>
    <t>Scheepjesbrug 814 Meerkerk 2025-12</t>
  </si>
  <si>
    <t>Flexvesting B.V. -              50222</t>
  </si>
  <si>
    <t>Marnixstraat 32 Hengelo 2025-12</t>
  </si>
  <si>
    <t>26-11-2025 - 08-12-2025</t>
  </si>
  <si>
    <t>Persoonsdam Rotterdam  2025-12</t>
  </si>
  <si>
    <t>Van Swinderenstraat 21, Coevorden 2025-12</t>
  </si>
  <si>
    <t>Focuzop-eu -              50448</t>
  </si>
  <si>
    <t>Pastoor Gilisstraat 81-A, Rijen 2025-afrekening</t>
  </si>
  <si>
    <t>12-09-2025 - 26-09-2025</t>
  </si>
  <si>
    <t>Van Maanenstraat 14a, 2025-10</t>
  </si>
  <si>
    <t>26-09-2025 - 10-10-2025</t>
  </si>
  <si>
    <t>Van Maanenstraat 14a, 2025-12</t>
  </si>
  <si>
    <t>21-11-2025 - 05-12-2025</t>
  </si>
  <si>
    <t>Pastoor Gilisstraat 81-A, Rijen schoonmaakkosten terug</t>
  </si>
  <si>
    <t>Gap Costruzioni Dutch Branch -              50394</t>
  </si>
  <si>
    <t>Middenbaan-Noord 18B Rotterdam Toiletverstopping</t>
  </si>
  <si>
    <t>29-11-2025 - 11-12-2025</t>
  </si>
  <si>
    <t>Zuidhoek 209D afrekening (Schade)</t>
  </si>
  <si>
    <t>13-11-2025 - 27-11-2025</t>
  </si>
  <si>
    <t>Datheenstraat 255 Vlaardingen 2025-12</t>
  </si>
  <si>
    <t>Deensestraat 6A2 Rotterdam 2025-12</t>
  </si>
  <si>
    <t>Energieweg 40 Vlaardingen 2025-12</t>
  </si>
  <si>
    <t>Kerstendijk 125 2025-12</t>
  </si>
  <si>
    <t>Middenbaan Noord 18B Hoogvliet 2025-12</t>
  </si>
  <si>
    <t>Middenbaan Noord 18C Hoogvliet 2025-12</t>
  </si>
  <si>
    <t>GAP Costruzioni S.r.l. -             100262</t>
  </si>
  <si>
    <t>Zuidhoek 209D borg retour</t>
  </si>
  <si>
    <t>Middenbaan-Noord 18C Rotterdam vervangen matras</t>
  </si>
  <si>
    <t>18-11-2025 - 02-12-2025</t>
  </si>
  <si>
    <t>GOTI Verhuur B.V. -                  7</t>
  </si>
  <si>
    <t>Loggerstraat 3 Harlingen 2024-4</t>
  </si>
  <si>
    <t>02-05-2024 - 16-05-2024</t>
  </si>
  <si>
    <t>Opaal 9 Middelburg 2 extra personen</t>
  </si>
  <si>
    <t>09-08-2024 - 23-08-2024</t>
  </si>
  <si>
    <t>Opaal 9 Middelburg 2025-11</t>
  </si>
  <si>
    <t>25-10-2025 - 07-11-2025</t>
  </si>
  <si>
    <t>Opaal 9 Middelburg 2025-12</t>
  </si>
  <si>
    <t>25-11-2025 - 09-12-2025</t>
  </si>
  <si>
    <t>H.T.C. Facility Services B.V. -              50170</t>
  </si>
  <si>
    <t>Jasmijnring 37 Zundert 2025-12</t>
  </si>
  <si>
    <t>30-11-2025 - 04-12-2025</t>
  </si>
  <si>
    <t>Oranjestraat 63 Schiedam 2025-12</t>
  </si>
  <si>
    <t>Piersonstraat 8 Schiedam 2025-12</t>
  </si>
  <si>
    <t>Housing en Transport Facilities B.V. -              50347</t>
  </si>
  <si>
    <t>Pastoor Gillis straat 81a  Rijen 2025-12</t>
  </si>
  <si>
    <t>25-11-2025 - 30-11-2025</t>
  </si>
  <si>
    <t>Professor Kamerlingh Onneslaan 134 A Schiedam 2025-12</t>
  </si>
  <si>
    <t>Professor Kamerlingh Onneslaan 134B1 Schiedam 2025-12</t>
  </si>
  <si>
    <t>Professor Kamerlingh Onneslaan 134B2 Schiedam 2025-12</t>
  </si>
  <si>
    <t>Professor Kamerlingh Onneslaan 134B3 Schiedam 2025-12</t>
  </si>
  <si>
    <t>HousingWell B.V. -             100112</t>
  </si>
  <si>
    <t>Baanhoek 139  Sliedrecht 2025-12</t>
  </si>
  <si>
    <t>I.T.S. SR.L. (INDUSTRIAL TECHNICAL SERVICES), BRAN -             100094</t>
  </si>
  <si>
    <t>Mathenesserdijk 261A2 Rotterdam 2025-12</t>
  </si>
  <si>
    <t>Tholenstraat 114 Rotterdam 2025-12</t>
  </si>
  <si>
    <t>Kruiningenstraat 152 Rotterdam afrekening</t>
  </si>
  <si>
    <t>I–Housing Vastgoed Beheer B.V. -             100228</t>
  </si>
  <si>
    <t>Putter 42 Etten Leur 2025-12</t>
  </si>
  <si>
    <t>Moureauveld 8 Roosendal 2025-12 + borg</t>
  </si>
  <si>
    <t>Impes Service S.p.A. -              50295</t>
  </si>
  <si>
    <t>Beatrixstraat 3 Rozenburg 2025-12</t>
  </si>
  <si>
    <t>26-11-2025 - 05-12-2025</t>
  </si>
  <si>
    <t>Piersonstraat 8 Schiedam 2025-12 + borg</t>
  </si>
  <si>
    <t>Piersonstraat 8 Schiedam borg</t>
  </si>
  <si>
    <t>Impianti Industriala S.P.A. NEDERLAND BRANCH -              50329</t>
  </si>
  <si>
    <t>Dwarsweg 44 Rozenburg 2025-12</t>
  </si>
  <si>
    <t>Laan van Nieuw Blankenburg 328 Rozenburg 2025-12</t>
  </si>
  <si>
    <t>InAxtion Vastgoed B.V. -              50198</t>
  </si>
  <si>
    <t>Adriaan Baasstraat 34 Hoogeveen 2025-12</t>
  </si>
  <si>
    <t>27-11-2025 - 05-12-2025</t>
  </si>
  <si>
    <t>Interim Jobs B.V. -                 35</t>
  </si>
  <si>
    <t>MVO email aan Erkut 3-11-2025 met openstaande posten. huur november daarop betaald. reactie oude posten afwachten en aangeven MvO of betaald op 10-11-2025 [Daan Peperkamp 06-11-2025 10:03 (GMT +01:00)]</t>
  </si>
  <si>
    <t>Arkelse Onderweg 24a Gorinchem 2025-05</t>
  </si>
  <si>
    <t>14-04-2025 - 28-04-2025</t>
  </si>
  <si>
    <t>Wilhelminastraat 8 Stavenisse borg</t>
  </si>
  <si>
    <t>30-06-2025 - 30-06-2025</t>
  </si>
  <si>
    <t>Rivierdijk 792 borg</t>
  </si>
  <si>
    <t>Arkelse onderweg 24a, Gorinchem</t>
  </si>
  <si>
    <t>31-07-2025 - 14-08-2025</t>
  </si>
  <si>
    <t>Rivierdijk 793  - 2025-12</t>
  </si>
  <si>
    <t>Rivierdijk 794 Hardinxveld - Giessendam 2025-12</t>
  </si>
  <si>
    <t>Wouwbaan 230 Roosendaal 2025-12</t>
  </si>
  <si>
    <t>Wouwbaan 230 Roosendaal 2025 - gem heffingen</t>
  </si>
  <si>
    <t>Interwel Oost B.V. -              50152</t>
  </si>
  <si>
    <t>De Hooidollen 606 Leeuwarden 2025-12</t>
  </si>
  <si>
    <t>27-11-2025 - 08-12-2025</t>
  </si>
  <si>
    <t>JJM Personeel B.V. -             100101</t>
  </si>
  <si>
    <t>Kerkweg 9a [huis 348] Hensbroek schoonmaakkosten terug</t>
  </si>
  <si>
    <t>Kajuit -             100247</t>
  </si>
  <si>
    <t>Dieptol 63 Steenwijk  2025-12</t>
  </si>
  <si>
    <t>Karadeniz Diensten -              50349</t>
  </si>
  <si>
    <t>Afspraak MvO &gt; € 1.000 aflossen per maand. 1 maand ontvangen, MvO app naar klant op 3-11-2025. stand 3-11 € 9.784, maandag 10-11 aangeven aan MvO of aflossing plaats gevonden heeft [Daan Peperkamp 06-11-2025 10:00 (GMT +01:00)]op 9-11-2025 is er € 1.000 betaald [Daan Peperkamp 11-11-2025 09:32 (GMT +01:00)]</t>
  </si>
  <si>
    <t>Molenweg 135 Rozenburg 2024-5</t>
  </si>
  <si>
    <t>20-04-2024 - 04-05-2024</t>
  </si>
  <si>
    <t>Molenweg 135 Rozenburg 2024-6</t>
  </si>
  <si>
    <t>14-05-2024 - 28-05-2024</t>
  </si>
  <si>
    <t>Molenweg 135 Rozenburg afrekening</t>
  </si>
  <si>
    <t>09-09-2024 - 23-09-2024</t>
  </si>
  <si>
    <t>Key4work B.V. -             100201</t>
  </si>
  <si>
    <t>H. Algraplein 25 Franeker schoonmaakkosten terug</t>
  </si>
  <si>
    <t>Labour Housing BV -              50311</t>
  </si>
  <si>
    <t>Kerkweg 9a [huis 210] Hensbroek 2025-12</t>
  </si>
  <si>
    <t>25-11-2025 - 05-12-2025</t>
  </si>
  <si>
    <t>Kerkweg 9a [huis 333] Hensbroek 2025-12</t>
  </si>
  <si>
    <t>Kerkweg 9a [huis 334] Hensbroek 2025-12</t>
  </si>
  <si>
    <t>Kerkweg 9a [huis 338] Hensbroek 2025-12</t>
  </si>
  <si>
    <t>Kerkweg 9a [huis 346] Hensbroek 2025-12</t>
  </si>
  <si>
    <t>Kerkweg 9a [huis 347] Hensbroek 2025-12</t>
  </si>
  <si>
    <t>Kerkweg 9a [huis 359] Hensbroek 2025-12</t>
  </si>
  <si>
    <t>Kerkweg 9a [huis 453] Hensbroek 2025-12</t>
  </si>
  <si>
    <t>Meester G. Groen van Prinsterlaan 313 Amstelveen 2025-12</t>
  </si>
  <si>
    <t>Kerkweg 9a [huis 359] Hensbroek kapotte hoekbank</t>
  </si>
  <si>
    <t>23-11-2025 - 07-12-2025</t>
  </si>
  <si>
    <t>Kerkweg 9a [huis 346] Hensbroek gestolen meubels</t>
  </si>
  <si>
    <t>Kerkweg 9a [huis 359] Hensbroek inventaris weg en magnetron</t>
  </si>
  <si>
    <t>Schoonegge 84 Rotterdam 2025-12 + borg</t>
  </si>
  <si>
    <t>08-12-2025 - 21-12-2025</t>
  </si>
  <si>
    <t>Zuidhoek 209D 2025-12 + borg</t>
  </si>
  <si>
    <t>Kapershoek 11 Rotterdam 2025-12 + borg</t>
  </si>
  <si>
    <t>05-12-2025 - 14-12-2025</t>
  </si>
  <si>
    <t>Van Maanenstraat 14A Rotterdam 2025-12 + borg</t>
  </si>
  <si>
    <t>Lago Personeelshuisvesting B.V. -              50047</t>
  </si>
  <si>
    <t>Enk 6 Borne 2025-12</t>
  </si>
  <si>
    <t>Light Personeelsdiensten BV -             100155</t>
  </si>
  <si>
    <t>Kerkwerversingel 127 Rotterdam 2025-12</t>
  </si>
  <si>
    <t>30-11-2025 - 07-12-2025</t>
  </si>
  <si>
    <t>Kruiningenstraat 152 Rotterdam 2025-12</t>
  </si>
  <si>
    <t>Pleinweg 101A Rotterdam 2025-12</t>
  </si>
  <si>
    <t>Pleinweg 101B Rotterdam 2025-12</t>
  </si>
  <si>
    <t>Poolsestraat 29A, Rotterdam 2025-12</t>
  </si>
  <si>
    <t>Kerkwerversingel 127 Rotterdam 2025-12 gedeeltelijke credit</t>
  </si>
  <si>
    <t>LogIQ Barendrecht B.V. -             100221</t>
  </si>
  <si>
    <t>Goudestein 30 2025-12</t>
  </si>
  <si>
    <t>24-11-2025 - 07-12-2025</t>
  </si>
  <si>
    <t>Kimbrenoord 15 Rotterdam 2025-12</t>
  </si>
  <si>
    <t>Kimbrenoord 49 Rotterdam 2025-12</t>
  </si>
  <si>
    <t>Looije Facilities B.V. -              50395</t>
  </si>
  <si>
    <t>Allard Piersonlaan 142 Den Haag 2025-12</t>
  </si>
  <si>
    <t>Nunspeetlaan 14 2025-12</t>
  </si>
  <si>
    <t>MB Kewal -             100170</t>
  </si>
  <si>
    <t>Mr G. Groen van Prinsterlaan 313 Amstelveen renovatie deur</t>
  </si>
  <si>
    <t>14-01-2025 - 28-01-2025</t>
  </si>
  <si>
    <t>Mediterranean Careers Netherlands B.V. -              50460</t>
  </si>
  <si>
    <t>meubilering Plein 1953 - 152 Rotterdam</t>
  </si>
  <si>
    <t>24-04-2024 - 08-05-2024</t>
  </si>
  <si>
    <t>MK Contracting BV -             100173</t>
  </si>
  <si>
    <t>Kimbrenoord 15 Rotterdam schoonmaakkosten terug</t>
  </si>
  <si>
    <t>MNA Proud Facilities B.V. -             100197</t>
  </si>
  <si>
    <t>Akkerweg 41 [huis 36]  binnen gerookt in toilet na waarschuw</t>
  </si>
  <si>
    <t>02-12-2025 - 09-12-2025</t>
  </si>
  <si>
    <t>Multiservizi Romania SRL -             100141</t>
  </si>
  <si>
    <t>Kruiningenstraat 152  Rotterdam 2025-10</t>
  </si>
  <si>
    <t>16-09-2025 - 30-09-2025</t>
  </si>
  <si>
    <t>Molendijk 4 Oude-Tonge 2025-10</t>
  </si>
  <si>
    <t>4-11-2025 1 maand ingelopen. MvO &gt; facturen 10-9-2025 dienen voor einde maand te worden voldaan [Daan Peperkamp 06-11-2025 10:01 (GMT +01:00)]</t>
  </si>
  <si>
    <t>Voorstraat 10 Oude Tonge 2025-10</t>
  </si>
  <si>
    <t>Molendijk 4 Oude-Tonge 2025-11</t>
  </si>
  <si>
    <t>15-10-2025 - 29-10-2025</t>
  </si>
  <si>
    <t>Voorstraat 10 Oude Tonge 2025-11</t>
  </si>
  <si>
    <t>Molendijk 4 Oude-Tonge 2025-12</t>
  </si>
  <si>
    <t>Voorstraat 10 Oude Tonge 2025-12</t>
  </si>
  <si>
    <t>Mw. M. Hyllested Poulsen en Dhr. S. Crull -              50233</t>
  </si>
  <si>
    <t>Beatrixstraat 3 Rozenburg vervangen vloer</t>
  </si>
  <si>
    <t>24-11-2025 - 02-12-2025</t>
  </si>
  <si>
    <t>N2people B.V. -             100259</t>
  </si>
  <si>
    <t>Rooseveltlaan 185 Bergen op zoom 2025-12</t>
  </si>
  <si>
    <t>NL Realty B.V. -              50314</t>
  </si>
  <si>
    <t>Akkerweg 41 [huis 56] den Oever vuilnis buiten aangevreten</t>
  </si>
  <si>
    <t>Akkerweg 41 [huis 15] den Oever 2025-12</t>
  </si>
  <si>
    <t>29-11-2025 - 03-12-2025</t>
  </si>
  <si>
    <t>Akkerweg 41 [huis 37] den Oever 2025-12</t>
  </si>
  <si>
    <t>Desiree Geeraerstraat 1b Baarle-Nassau 2025-12</t>
  </si>
  <si>
    <t>Desiree Geeraerstraat 1c Baarle-Nassau 2025-12</t>
  </si>
  <si>
    <t>Akkerweg 41 [huis 014] Den Oever schoonmaakkosten terug</t>
  </si>
  <si>
    <t>Akkerweg 41 [huis 42] Den Oever schoonmaakkosten terug</t>
  </si>
  <si>
    <t>Kerkweg 9a [huis 342] Hensbroek schoonmaakkosten terug</t>
  </si>
  <si>
    <t>Kerkweg 9a [huis 269] Hensbroek schoonmaakkosten terug</t>
  </si>
  <si>
    <t>Kerkweg 9a [huis 349] Hensbroek schoonmaakkosten terug</t>
  </si>
  <si>
    <t>Kerkweg 9a [huis 357] Hensbroek schoonmaakkosten terug</t>
  </si>
  <si>
    <t>OJP B.V. -              50154</t>
  </si>
  <si>
    <t>Kuipers-Rietbergpad 15 Hoogvliet 2025-10</t>
  </si>
  <si>
    <t>22-09-2025 - 01-10-2025</t>
  </si>
  <si>
    <t>Lavendelpad 6 's-Gravendeel 2025-10 + borg</t>
  </si>
  <si>
    <t>25-10-2025 - 02-11-2025</t>
  </si>
  <si>
    <t>Curcumastraat 39 Hoogvliet 2025-12</t>
  </si>
  <si>
    <t>Lavendelpad 6 's-Gravendeel 2025-12</t>
  </si>
  <si>
    <t>Kuipers-Rietbergpad 15 Hoogvliet 2025-10 credit vanaf 22-10</t>
  </si>
  <si>
    <t>16-11-2025 - 16-11-2025</t>
  </si>
  <si>
    <t>Kuipers-Rietbergpad 15 Hoogvliet afrekening + borg</t>
  </si>
  <si>
    <t>Oostkracht Bemiddeling B.V. -             100224</t>
  </si>
  <si>
    <t>Vierambachtsstraat 32-BO1 Rotterdam 2025-12</t>
  </si>
  <si>
    <t>Optima Uitzendbureau B.V. -             100212</t>
  </si>
  <si>
    <t>Enschotsestraat 163 Tilburg 2025-8</t>
  </si>
  <si>
    <t>10-08-2025 - 10-08-2025</t>
  </si>
  <si>
    <t>Enschotsestraat 163 Tilburg zuiveringsheffing (6 maanden)</t>
  </si>
  <si>
    <t>Enschotsestraat 163 Tilburg 2025-12</t>
  </si>
  <si>
    <t>Orange Investments Group B.V. -              50398</t>
  </si>
  <si>
    <t>Kerkweg 9a [huis 340] Hensbroek 2025-11</t>
  </si>
  <si>
    <t>29-10-2025 - 01-11-2025</t>
  </si>
  <si>
    <t>Nunspeetlaan 53 Den Haag 2025-11</t>
  </si>
  <si>
    <t>Kerkweg 9a [huis 340] slagboom vervangen, kapot gereden</t>
  </si>
  <si>
    <t>Kruisweg 16 Woubrugge afrekening + borg</t>
  </si>
  <si>
    <t>Kruisweg 16 Woubrugge schoonmaakkosten terug</t>
  </si>
  <si>
    <t>Oranjegroep Vastgoed B.V. -              50441</t>
  </si>
  <si>
    <t>Wijngaard 66 lelystad 2025-12</t>
  </si>
  <si>
    <t>24-11-2025 - 04-12-2025</t>
  </si>
  <si>
    <t>P. Ter Haar-Ros -             100260</t>
  </si>
  <si>
    <t>Dieptol 63 Steenwijk plafon herstel en toilet verstopping</t>
  </si>
  <si>
    <t>09-11-2025 - 23-11-2025</t>
  </si>
  <si>
    <t>Dieptol 63 Steenwijk vervangen kamerthermostaat</t>
  </si>
  <si>
    <t>People21 Services BV -              50408</t>
  </si>
  <si>
    <t>Utrechtsestraatweg 7 Oudewater 2025-12</t>
  </si>
  <si>
    <t>29-11-2025 - 05-12-2025</t>
  </si>
  <si>
    <t>Westercluft 134 Steenwijk 2025-12</t>
  </si>
  <si>
    <t>Wijdstraat 13 Oudewater 2025-12</t>
  </si>
  <si>
    <t>PMM Workforce Management Ltd -              50430</t>
  </si>
  <si>
    <t>MvO email dd 3-11-2025 met openstaande posten € 33.955. wanneer 10-11-2025 niet (deel) betaald is dan laten weten aan MvO [Daan Peperkamp 06-11-2025 10:04 (GMT +01:00)]</t>
  </si>
  <si>
    <t>Eendrachtstraat 22 Middelharnis 2024-4</t>
  </si>
  <si>
    <t>19-03-2024 - 02-04-2024</t>
  </si>
  <si>
    <t>Nieuwe Zeedijk 1K 308 HELLEVOETSLUIS 2024-4</t>
  </si>
  <si>
    <t>22-03-2024 - 05-04-2024</t>
  </si>
  <si>
    <t>Eendrachtstraat 22 Middelharnis 2024-6</t>
  </si>
  <si>
    <t>11-05-2024 - 25-05-2024</t>
  </si>
  <si>
    <t>Nieuwe Zeedijk 1K 308 HELLEVOETSLUIS 2024-8</t>
  </si>
  <si>
    <t>13-07-2024 - 27-07-2024</t>
  </si>
  <si>
    <t>Eendrachtstraat 22 Middelharnis 2025-03</t>
  </si>
  <si>
    <t>18-03-2025 - 01-04-2025</t>
  </si>
  <si>
    <t>Nieuwe Zeedijk 1K 308 HELLEVOETSLUIS borg en afrek</t>
  </si>
  <si>
    <t>Beukenlaan 53, Rozenburg 2025-06</t>
  </si>
  <si>
    <t>10-06-2025 - 24-06-2025</t>
  </si>
  <si>
    <t>Eendrachtstraat 22 Middelharnis cv ketel</t>
  </si>
  <si>
    <t>01-09-2025 - 15-09-2025</t>
  </si>
  <si>
    <t>Beukenlaan 53, Rozenburg 2025-10</t>
  </si>
  <si>
    <t>09-10-2025 - 23-10-2025</t>
  </si>
  <si>
    <t>Beukenlaan 53, Rozenburg 2025-11</t>
  </si>
  <si>
    <t>Beukenlaan 53, Rozenburg 2025-12</t>
  </si>
  <si>
    <t>PRP Solutions Flex Sp. Z.O.O -             100172</t>
  </si>
  <si>
    <t>Kastanjelaan 232 Bergen op Zoom 2025-12</t>
  </si>
  <si>
    <t>Prunuslaan 36 Nieuwolda schoonmaakkosten terug</t>
  </si>
  <si>
    <t>RNDV Industries -             100153</t>
  </si>
  <si>
    <t>Verschansing 21 Rozenburg 2025-12</t>
  </si>
  <si>
    <t>17-11-2025 - 30-11-2025</t>
  </si>
  <si>
    <t>RNVD Industries -             100176</t>
  </si>
  <si>
    <t>Inundatiestraat 3  Sas van Gent 2025-12</t>
  </si>
  <si>
    <t>Madeliefstraat 46C Rotterdam 2025-12</t>
  </si>
  <si>
    <t>Royal DS Personeel-service -             100102</t>
  </si>
  <si>
    <t>Akkerweg 41 [huis 41] Den Oever 2025-12</t>
  </si>
  <si>
    <t>29-11-2025 - 04-12-2025</t>
  </si>
  <si>
    <t>Dorpsstraat 73 Moordrecht 2025-12</t>
  </si>
  <si>
    <t>Akkerweg 41 [huis 26] Den Oever 2025-10</t>
  </si>
  <si>
    <t>Akkerweg 41 [huis 26] Den Oever 2025-11</t>
  </si>
  <si>
    <t>Akkerweg 41 [huis 26] Den Oever 2025-12</t>
  </si>
  <si>
    <t>Akkerweg 41 [huis 68] Den Oever 2025-8</t>
  </si>
  <si>
    <t>Akkerweg 41 [huis 68] Den Oever 2025-10 credit</t>
  </si>
  <si>
    <t>Geleenstraat 1 Sittard schoonmaakkosten terug</t>
  </si>
  <si>
    <t>S. Kleiren -             100150</t>
  </si>
  <si>
    <t>Werkzaamheden woningen cf afspraak</t>
  </si>
  <si>
    <t>11-01-2025 - 25-01-2025</t>
  </si>
  <si>
    <t>SHGJ Ribbink -             100179</t>
  </si>
  <si>
    <t>Wilgenstraat 37 Tilburg  Storing (doorbranding meterkast)</t>
  </si>
  <si>
    <t>18-02-2025 - 04-03-2025</t>
  </si>
  <si>
    <t>Wilgenstraat 37 Tilburg</t>
  </si>
  <si>
    <t>Suricare B.V. -              50292</t>
  </si>
  <si>
    <t>Middenbaan Noord 22A Hoogvliet 2025-12</t>
  </si>
  <si>
    <t>28-11-2025 - 05-12-2025</t>
  </si>
  <si>
    <t>Team Home Rentals B.V. -                 33</t>
  </si>
  <si>
    <t>Johan Willem Frisostraat 36 Sneek 2025-12</t>
  </si>
  <si>
    <t>Landsteinerhof 68 Hoogeveen 2025-12</t>
  </si>
  <si>
    <t>Willem Lodewijkstraat 8 Franeker 2025-12</t>
  </si>
  <si>
    <t>Team Unica B.V. -              50444</t>
  </si>
  <si>
    <t>Bornerbroeksestraat 129A Almelo 2025-12</t>
  </si>
  <si>
    <t>THS EU B.V. -              50312</t>
  </si>
  <si>
    <t>Stal 355 2025-12</t>
  </si>
  <si>
    <t>Thuisvesting B.V. -             100096</t>
  </si>
  <si>
    <t>Patrijsstraat 39  Papendrecht 2025-12</t>
  </si>
  <si>
    <t>Tradiro Services B.V. -                 20</t>
  </si>
  <si>
    <t>Wagenstraat 70, Wagenberg 2025-08</t>
  </si>
  <si>
    <t>20-07-2025 - 27-07-2025</t>
  </si>
  <si>
    <t>G.A. Brederolaan 75-B Maassluis 2025-08</t>
  </si>
  <si>
    <t>18-07-2025 - 25-07-2025</t>
  </si>
  <si>
    <t>Kethelweg 66D Vlaardingen 2025-08</t>
  </si>
  <si>
    <t>2e van Leydengaelstraat 6 Vlaardingen 2025-12</t>
  </si>
  <si>
    <t>19-11-2025 - 25-11-2025</t>
  </si>
  <si>
    <t>Burchstraat 16a Oostburg 2025-12</t>
  </si>
  <si>
    <t>Chopinstraat 35A Vlaardingen 2025-12</t>
  </si>
  <si>
    <t>Cloosterstraat 23a  Kloosterzande 2025-12</t>
  </si>
  <si>
    <t>Cubalaan 25 Poeldijk 2025-12</t>
  </si>
  <si>
    <t>De Zwingel 8B, Lage Zwaluwe 2025-12</t>
  </si>
  <si>
    <t>Franz Liszstraat 5 Terneuzen 2025-12</t>
  </si>
  <si>
    <t>Kethelweg 66C Vlaardingen 2025-12</t>
  </si>
  <si>
    <t>Kruisweg 16 Woubrugge 2025-12</t>
  </si>
  <si>
    <t>Kwekerslaan 7 's-Gravenzande 2025-12</t>
  </si>
  <si>
    <t>Lange Kruisweg 12 Maasdijk 2025-12</t>
  </si>
  <si>
    <t>Ofwegen 1A Woubrugge 2025-12</t>
  </si>
  <si>
    <t>Rubensplein 6B Schiedam 2025-12</t>
  </si>
  <si>
    <t>Steenen Dijck 87 Maassluis 2025-12</t>
  </si>
  <si>
    <t>Voorstraat 25 Vlaardingen 2025-12</t>
  </si>
  <si>
    <t>Zwethkade zuid 30A Den Hoorn 2025-12</t>
  </si>
  <si>
    <t>werkzaamheden woningen oktober</t>
  </si>
  <si>
    <t>UAB Techsome -             100154</t>
  </si>
  <si>
    <t>Nieuwenhoornstraat 46b Rotterdam 2025-12</t>
  </si>
  <si>
    <t>UAB Toromega -              50445</t>
  </si>
  <si>
    <t>Kerkweg 9a [huis 137]  Hensbroek 2025-12</t>
  </si>
  <si>
    <t>Kerkweg 9a [huis 269] Hensbroek 2025-12</t>
  </si>
  <si>
    <t>Laan op zuid 949, Rotterdam 2025-12</t>
  </si>
  <si>
    <t>Uitzendbureau Bakker B.V. -             100089</t>
  </si>
  <si>
    <t>Zuidhoek 209D 2025-10 +borg</t>
  </si>
  <si>
    <t>24-10-2025 - 07-11-2025</t>
  </si>
  <si>
    <t>Zuidhoek 209D 2025-11</t>
  </si>
  <si>
    <t>Kritostraat 54 Rotterdam 2025-12</t>
  </si>
  <si>
    <t>25-11-2025 - 02-12-2025</t>
  </si>
  <si>
    <t>1ste Middellandstraat 104A, Rotterdam 2025-12</t>
  </si>
  <si>
    <t>Flankstraat 11  Sas van Gent 2025-12</t>
  </si>
  <si>
    <t>Kanaal van Steenenhoek ZZ 10 Gorinchem 2025-12</t>
  </si>
  <si>
    <t>Middelrode 8  Rotterdam 2025-12</t>
  </si>
  <si>
    <t>Miltonstraat 55  Rotterdam 2025-12</t>
  </si>
  <si>
    <t>Zuidhoek 209D 2025-10 +borg credit</t>
  </si>
  <si>
    <t>Zuidhoek 209D 2025-11 credit</t>
  </si>
  <si>
    <t>Zuidhoek 209D borg gedeeltelijke credit</t>
  </si>
  <si>
    <t>United Homes B.V. -                 16</t>
  </si>
  <si>
    <t>Acacia 2 Hellevoetsluis 2025-12</t>
  </si>
  <si>
    <t>Coehoorn van Scheltingaweg 12 Heerenveen 2025-12</t>
  </si>
  <si>
    <t>Coehoorn van Scheltingaweg 66 Heerenveen 2025-12</t>
  </si>
  <si>
    <t>Hendrik Deddenstraat 26 Steggerda 2025-12</t>
  </si>
  <si>
    <t>Snoekenveen 242 Spijkenisse 2025-12</t>
  </si>
  <si>
    <t>Van Langedonckstraat 80 Rotterdam 2025-12</t>
  </si>
  <si>
    <t>VALO Facilities B.V. -             100105</t>
  </si>
  <si>
    <t>Bornerbroeksestraat 129A Almelo afrekening + borg</t>
  </si>
  <si>
    <t>17-11-2025 - 27-11-2025</t>
  </si>
  <si>
    <t>VALO Facilities B.V. -             100168</t>
  </si>
  <si>
    <t>Hendriklaan 49 Roermond 2025-12</t>
  </si>
  <si>
    <t>Van Bergen Personeelsdiensten B.V. -              50440</t>
  </si>
  <si>
    <t>Loods ophalen 01,06, &amp; 18-11-2025</t>
  </si>
  <si>
    <t>26-11-2025 - 02-12-2025</t>
  </si>
  <si>
    <t>Vastgoed Spijkenisse -              50251</t>
  </si>
  <si>
    <t>Noordmolenstraat 36B Schiedam,extra sleutel plus deuropening</t>
  </si>
  <si>
    <t>26-07-2025 - 09-08-2025</t>
  </si>
  <si>
    <t>Vogelschorstraat 24 Sluiskil Rioolverstopping</t>
  </si>
  <si>
    <t>03-10-2025 - 17-10-2025</t>
  </si>
  <si>
    <t>Baarsveen 197 Spijkenisse 2025-12</t>
  </si>
  <si>
    <t>Middenbaan Noord 18A Hoogvliet 2025-12</t>
  </si>
  <si>
    <t>Middenbaan Noord 20A/B/C/ Hoogvliet 2025-12</t>
  </si>
  <si>
    <t>Middenbaan Noord 22B Hoogvliet 2025-12</t>
  </si>
  <si>
    <t>Middenbaan Noord 22C Hoogvliet 2025-12</t>
  </si>
  <si>
    <t>Noordmolenstraat 36A Schiedam, 2025-12</t>
  </si>
  <si>
    <t>Noordmolenstraat 36B Schiedam, 2025-12</t>
  </si>
  <si>
    <t>Noordmolenstraat 36C Schiedam, 2025-12</t>
  </si>
  <si>
    <t>Visartstraat 31 2025-12</t>
  </si>
  <si>
    <t>Vogelschorstraat 24 Sluiskil 2025-12</t>
  </si>
  <si>
    <t>Vivir Wonen -                 29</t>
  </si>
  <si>
    <t>Amperelaan 23 Oudeschoot 2025-12</t>
  </si>
  <si>
    <t>28-11-2025 - 10-12-2025</t>
  </si>
  <si>
    <t>Baarlelaan 27 Hoogeveen 2025-12</t>
  </si>
  <si>
    <t>Geldersestraat 91 Geldermalsen 2025-12</t>
  </si>
  <si>
    <t>Nieuwkerkstraat 78, Dordrecht 2025-12</t>
  </si>
  <si>
    <t>Welcome Housing B.V. -             100123</t>
  </si>
  <si>
    <t>Sint Josephstraat 61 Tilburg 2025-12</t>
  </si>
  <si>
    <t>Werckpost Service B.V. -              50188</t>
  </si>
  <si>
    <t>Kerkweg 9a [huis 356] Hensbroek afrekening GWE Q2-2025</t>
  </si>
  <si>
    <t>31-08-2025 - 31-08-2025</t>
  </si>
  <si>
    <t>Bisschopstraat 68 Vollenhove 2025-12</t>
  </si>
  <si>
    <t>26-11-2025 - 10-12-2025</t>
  </si>
  <si>
    <t>Kerkweg 9a [huis 135]  Hensbroek 2025-12</t>
  </si>
  <si>
    <t>Kerkweg 9a [huis 349] Hensbroek 2025-12</t>
  </si>
  <si>
    <t>Kerkweg 9a [huis 356] Hensbroek 2025-12</t>
  </si>
  <si>
    <t>Lange Brink 3 Luttelgeest 2025-12</t>
  </si>
  <si>
    <t>Punter 22 34 Lelystad 2025-12</t>
  </si>
  <si>
    <t>Kerkweg 9a [huis 357] Hensbroek slagboompas</t>
  </si>
  <si>
    <t>WIL International B.V. -             100110</t>
  </si>
  <si>
    <t>Wieldraaierstraat 39 Gorinchem splitsing kosten hotel</t>
  </si>
  <si>
    <t>21-11-2025 - 29-11-2025</t>
  </si>
  <si>
    <t>WILL Vakkrachten B. V. -              50410</t>
  </si>
  <si>
    <t>Hoofdstraat 110 Heeswijk 2025-12</t>
  </si>
  <si>
    <t>21-12-2025 - 02-01-2026</t>
  </si>
  <si>
    <t>Workforce Housing Holland B.V. -             100174</t>
  </si>
  <si>
    <t>Kleine Beer 60 Hoogeveen 2025-12</t>
  </si>
  <si>
    <t>30-11-2025 - 11-12-2025</t>
  </si>
  <si>
    <t>Prunuslaan 36 Nieuwolda 2025-12</t>
  </si>
  <si>
    <t>Z Yilmaz -             100225</t>
  </si>
  <si>
    <t>Woutersweg 20 'S Gravenzande lekkage cv</t>
  </si>
  <si>
    <t>10-08-2025 - 24-08-2025</t>
  </si>
  <si>
    <t>Transport</t>
  </si>
  <si>
    <t>Administratie: RyanRent - CoHousingNL B.V.</t>
  </si>
  <si>
    <t>Debiteuren Saldo          Per;</t>
  </si>
  <si>
    <t>Totaal openstaande Debiteuren</t>
  </si>
  <si>
    <t>Waarvan; Omzet huur December 2025</t>
  </si>
  <si>
    <t>Oude posten</t>
  </si>
  <si>
    <t>Extra aandacht posten</t>
  </si>
  <si>
    <t>Omzet Dec.'25</t>
  </si>
  <si>
    <t>Extra aandacht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</si>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</sst>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dd\-mm\-yyyy"/>
    <numFmt numFmtId="165" formatCode="#,###.00"/>
    <numFmt numFmtId="166" formatCode="d\-m\-yyyy"/>
  </numFmts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B0F0"/>
      <name val="Arial"/>
      <family val="2"/>
    </font>
    <font>
      <b/>
      <sz val="11"/>
      <color rgb="FFFF0000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quotePrefix="1" applyAlignment="1">
      <alignment wrapText="1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44" fontId="0" fillId="0" borderId="0" xfId="1" applyFont="1"/>
    <xf numFmtId="44" fontId="1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0" fontId="5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44" fontId="7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44" fontId="8" fillId="0" borderId="0" xfId="0" applyNumberFormat="1" applyFont="1"/>
    <xf numFmtId="44" fontId="1" fillId="0" borderId="0" xfId="1" applyFont="1"/>
    <xf numFmtId="44" fontId="9" fillId="0" borderId="0" xfId="1" applyFont="1"/>
    <xf numFmtId="44" fontId="10" fillId="0" borderId="0" xfId="1" applyFont="1"/>
    <xf numFmtId="44" fontId="2" fillId="0" borderId="0" xfId="1" applyFont="1" applyAlignment="1">
      <alignment horizontal="righ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44" fontId="3" fillId="0" borderId="2" xfId="1" applyFont="1" applyBorder="1" applyAlignment="1">
      <alignment horizontal="right"/>
    </xf>
    <xf numFmtId="44" fontId="0" fillId="0" borderId="0" xfId="0" applyNumberFormat="1"/>
    <xf numFmtId="0" fontId="0" fillId="0" borderId="0" xfId="0" applyAlignment="1">
      <alignment horizontal="left"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44" fontId="0" fillId="0" borderId="0" xfId="1" applyFont="1" applyAlignment="1">
      <alignment wrapText="1"/>
    </xf>
    <xf numFmtId="0" fontId="3" fillId="0" borderId="0" xfId="0" applyFont="1"/>
    <xf numFmtId="0" fontId="0" fillId="0" borderId="0" xfId="0"/>
    <xf numFmtId="0" fontId="0" fillId="2" borderId="1" xfId="0" applyFill="1" applyBorder="1"/>
    <xf numFmtId="44" fontId="1" fillId="0" borderId="0" xfId="1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1438-4078-4FD8-8177-54096C5156A8}">
  <dimension ref="A1:Q507"/>
  <sheetViews>
    <sheetView tabSelected="1" topLeftCell="A167" zoomScale="115" zoomScaleNormal="115" workbookViewId="0">
      <selection activeCell="S20" sqref="S20"/>
    </sheetView>
  </sheetViews>
  <sheetFormatPr baseColWidth="10" defaultColWidth="8.83203125" defaultRowHeight="13" x14ac:dyDescent="0.15"/>
  <cols>
    <col min="1" max="1" width="20.5" customWidth="1"/>
    <col min="2" max="2" width="10.5" customWidth="1"/>
    <col min="3" max="3" width="11.5" customWidth="1"/>
    <col min="4" max="4" width="15.83203125" customWidth="1"/>
    <col min="5" max="5" width="57" customWidth="1"/>
    <col min="6" max="6" width="17.83203125" customWidth="1"/>
    <col min="7" max="7" width="14.6640625" customWidth="1"/>
    <col min="8" max="8" width="25.5" customWidth="1"/>
    <col min="9" max="9" width="7.1640625" customWidth="1"/>
    <col min="10" max="10" width="17.6640625" style="11" customWidth="1"/>
    <col min="11" max="11" width="16.6640625" style="11" customWidth="1"/>
    <col min="12" max="12" width="18.1640625" customWidth="1"/>
    <col min="13" max="13" width="18.83203125" customWidth="1"/>
    <col min="14" max="14" width="16.5" customWidth="1"/>
    <col min="17" max="17" width="10.6640625" bestFit="1" customWidth="1"/>
  </cols>
  <sheetData>
    <row r="1" spans="1:17" ht="16" x14ac:dyDescent="0.2">
      <c r="A1" s="38" t="s">
        <v>513</v>
      </c>
      <c r="B1" s="38"/>
      <c r="C1" s="38"/>
      <c r="D1" s="38"/>
      <c r="E1" s="38"/>
      <c r="F1" s="4"/>
      <c r="G1" s="4"/>
    </row>
    <row r="2" spans="1:17" x14ac:dyDescent="0.15">
      <c r="A2" s="39" t="s">
        <v>0</v>
      </c>
      <c r="B2" s="39"/>
      <c r="C2" s="39"/>
      <c r="D2" s="39"/>
      <c r="E2" s="39"/>
      <c r="F2" s="4"/>
      <c r="G2" s="4"/>
    </row>
    <row r="3" spans="1:17" x14ac:dyDescent="0.15">
      <c r="F3" s="4"/>
      <c r="G3" s="4"/>
    </row>
    <row r="4" spans="1:17" ht="16" x14ac:dyDescent="0.2">
      <c r="E4" s="14" t="s">
        <v>514</v>
      </c>
      <c r="F4" s="15">
        <v>45985</v>
      </c>
      <c r="G4" s="4"/>
    </row>
    <row r="5" spans="1:17" x14ac:dyDescent="0.15">
      <c r="F5" s="4"/>
      <c r="G5" s="4"/>
    </row>
    <row r="6" spans="1:17" x14ac:dyDescent="0.15">
      <c r="F6" s="4"/>
      <c r="G6" s="4"/>
    </row>
    <row r="7" spans="1:17" ht="14" x14ac:dyDescent="0.15">
      <c r="A7" s="40"/>
      <c r="B7" s="40"/>
      <c r="C7" s="40"/>
      <c r="D7" s="40"/>
      <c r="E7" s="17" t="s">
        <v>515</v>
      </c>
      <c r="F7" s="16">
        <f>J504</f>
        <v>823884.22000000079</v>
      </c>
    </row>
    <row r="8" spans="1:17" ht="14" x14ac:dyDescent="0.15">
      <c r="C8" s="39"/>
      <c r="D8" s="39"/>
      <c r="E8" s="17" t="s">
        <v>516</v>
      </c>
      <c r="F8" s="18"/>
      <c r="G8" s="19">
        <f>L504</f>
        <v>661194.28000000026</v>
      </c>
    </row>
    <row r="9" spans="1:17" ht="14" x14ac:dyDescent="0.15">
      <c r="E9" s="20" t="s">
        <v>517</v>
      </c>
      <c r="F9" s="21"/>
      <c r="G9" s="22">
        <f>M504</f>
        <v>19154.249999999996</v>
      </c>
    </row>
    <row r="10" spans="1:17" ht="14" x14ac:dyDescent="0.15">
      <c r="E10" s="23" t="s">
        <v>518</v>
      </c>
      <c r="F10" s="24"/>
      <c r="G10" s="25">
        <f>N504</f>
        <v>143535.68999999997</v>
      </c>
    </row>
    <row r="12" spans="1:17" x14ac:dyDescent="0.15">
      <c r="A12" s="3"/>
    </row>
    <row r="13" spans="1:17" x14ac:dyDescent="0.15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6" t="s">
        <v>8</v>
      </c>
      <c r="G13" s="2" t="s">
        <v>9</v>
      </c>
      <c r="H13" s="2" t="s">
        <v>2</v>
      </c>
      <c r="I13" s="2" t="s">
        <v>1</v>
      </c>
      <c r="J13" s="12" t="s">
        <v>10</v>
      </c>
      <c r="K13" s="12" t="s">
        <v>11</v>
      </c>
      <c r="L13" s="26" t="s">
        <v>519</v>
      </c>
      <c r="M13" s="27" t="s">
        <v>517</v>
      </c>
      <c r="N13" s="28" t="s">
        <v>520</v>
      </c>
    </row>
    <row r="14" spans="1:17" s="2" customFormat="1" x14ac:dyDescent="0.15">
      <c r="A14" s="35" t="s">
        <v>12</v>
      </c>
      <c r="B14" s="36"/>
      <c r="C14" s="36"/>
      <c r="D14" s="36"/>
      <c r="E14" s="36"/>
      <c r="F14" s="36"/>
      <c r="G14" s="36"/>
      <c r="H14" s="36"/>
      <c r="I14" s="36"/>
      <c r="J14" s="41"/>
      <c r="K14" s="41"/>
      <c r="L14" s="11"/>
      <c r="M14" s="27"/>
      <c r="N14" s="28"/>
    </row>
    <row r="15" spans="1:17" ht="14" x14ac:dyDescent="0.15">
      <c r="A15" s="1">
        <v>25803327</v>
      </c>
      <c r="B15" s="9">
        <v>45972</v>
      </c>
      <c r="C15" s="1">
        <v>25803327</v>
      </c>
      <c r="D15" s="1" t="s">
        <v>13</v>
      </c>
      <c r="E15" s="7" t="s">
        <v>14</v>
      </c>
      <c r="F15" s="5">
        <v>13</v>
      </c>
      <c r="G15" s="9">
        <v>45991</v>
      </c>
      <c r="H15" s="8" t="s">
        <v>15</v>
      </c>
      <c r="I15" s="7" t="s">
        <v>16</v>
      </c>
      <c r="J15" s="13">
        <v>5558.5</v>
      </c>
      <c r="K15" s="13">
        <v>5558.5</v>
      </c>
      <c r="L15" s="11">
        <f>IF(F15&lt;14,K15,"")</f>
        <v>5558.5</v>
      </c>
      <c r="M15" s="27" t="str">
        <f>IF(F15&gt;15,K15,"")</f>
        <v/>
      </c>
      <c r="N15" s="28"/>
      <c r="Q15" s="33"/>
    </row>
    <row r="16" spans="1:17" x14ac:dyDescent="0.15">
      <c r="A16" s="34" t="s">
        <v>17</v>
      </c>
      <c r="B16" s="34"/>
      <c r="C16" s="34"/>
      <c r="D16" s="34"/>
      <c r="E16" s="34"/>
      <c r="F16" s="5"/>
      <c r="G16" s="3"/>
      <c r="H16" s="3"/>
      <c r="I16" s="3"/>
      <c r="J16" s="13"/>
      <c r="K16" s="12">
        <v>5558.5</v>
      </c>
      <c r="L16" s="11" t="str">
        <f>IF(F16=1,K16,"")</f>
        <v/>
      </c>
      <c r="M16" s="27"/>
      <c r="N16" s="28"/>
    </row>
    <row r="17" spans="1:14" x14ac:dyDescent="0.15">
      <c r="A17" s="35" t="s">
        <v>18</v>
      </c>
      <c r="B17" s="36"/>
      <c r="C17" s="36"/>
      <c r="D17" s="36"/>
      <c r="E17" s="36"/>
      <c r="F17" s="36"/>
      <c r="G17" s="36"/>
      <c r="H17" s="36"/>
      <c r="I17" s="36"/>
      <c r="J17" s="37"/>
      <c r="K17" s="37"/>
      <c r="L17" s="11" t="str">
        <f t="shared" ref="L17" si="0">IF(F17=1,K17,"")</f>
        <v/>
      </c>
      <c r="M17" s="27"/>
      <c r="N17" s="28"/>
    </row>
    <row r="18" spans="1:14" ht="14" x14ac:dyDescent="0.15">
      <c r="A18" s="1">
        <v>25803390</v>
      </c>
      <c r="B18" s="9">
        <v>45972</v>
      </c>
      <c r="C18" s="1">
        <v>25803390</v>
      </c>
      <c r="D18" s="1" t="s">
        <v>13</v>
      </c>
      <c r="E18" s="7" t="s">
        <v>19</v>
      </c>
      <c r="F18" s="5">
        <v>13</v>
      </c>
      <c r="G18" s="9">
        <v>45991</v>
      </c>
      <c r="H18" s="8" t="s">
        <v>20</v>
      </c>
      <c r="I18" s="7" t="s">
        <v>16</v>
      </c>
      <c r="J18" s="13">
        <v>4299</v>
      </c>
      <c r="K18" s="13">
        <v>4299</v>
      </c>
      <c r="L18" s="11">
        <f>IF(F18&lt;14,K18,"")</f>
        <v>4299</v>
      </c>
      <c r="M18" s="27" t="str">
        <f>IF(F18&gt;15,K18,"")</f>
        <v/>
      </c>
      <c r="N18" s="28"/>
    </row>
    <row r="19" spans="1:14" x14ac:dyDescent="0.15">
      <c r="A19" s="34" t="s">
        <v>17</v>
      </c>
      <c r="B19" s="34"/>
      <c r="C19" s="34"/>
      <c r="D19" s="34"/>
      <c r="E19" s="34"/>
      <c r="F19" s="5"/>
      <c r="G19" s="3"/>
      <c r="H19" s="3"/>
      <c r="I19" s="3"/>
      <c r="J19" s="13"/>
      <c r="K19" s="12">
        <v>4299</v>
      </c>
      <c r="N19" s="28"/>
    </row>
    <row r="20" spans="1:14" x14ac:dyDescent="0.15">
      <c r="A20" s="35" t="s">
        <v>21</v>
      </c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2"/>
      <c r="M20" s="2"/>
      <c r="N20" s="28"/>
    </row>
    <row r="21" spans="1:14" ht="14" x14ac:dyDescent="0.15">
      <c r="A21" s="1">
        <v>25803533</v>
      </c>
      <c r="B21" s="9">
        <v>45973</v>
      </c>
      <c r="C21" s="1">
        <v>25803533</v>
      </c>
      <c r="D21" s="1" t="s">
        <v>13</v>
      </c>
      <c r="E21" s="7" t="s">
        <v>22</v>
      </c>
      <c r="F21" s="5">
        <v>12</v>
      </c>
      <c r="G21" s="9">
        <v>45991</v>
      </c>
      <c r="H21" s="8" t="s">
        <v>23</v>
      </c>
      <c r="I21" s="7" t="s">
        <v>16</v>
      </c>
      <c r="J21" s="13">
        <v>343.14</v>
      </c>
      <c r="K21" s="13">
        <v>343.14</v>
      </c>
      <c r="L21" s="11">
        <f>IF(F21&lt;14,K21,"")</f>
        <v>343.14</v>
      </c>
      <c r="M21" s="27" t="str">
        <f>IF(F21&gt;15,K21,"")</f>
        <v/>
      </c>
      <c r="N21" s="28"/>
    </row>
    <row r="22" spans="1:14" x14ac:dyDescent="0.15">
      <c r="A22" s="34" t="s">
        <v>17</v>
      </c>
      <c r="B22" s="34"/>
      <c r="C22" s="34"/>
      <c r="D22" s="34"/>
      <c r="E22" s="34"/>
      <c r="F22" s="5"/>
      <c r="G22" s="3"/>
      <c r="H22" s="3"/>
      <c r="I22" s="3"/>
      <c r="J22" s="13"/>
      <c r="K22" s="12">
        <v>343.14</v>
      </c>
      <c r="N22" s="28"/>
    </row>
    <row r="23" spans="1:14" x14ac:dyDescent="0.15">
      <c r="A23" s="35" t="s">
        <v>24</v>
      </c>
      <c r="B23" s="36"/>
      <c r="C23" s="36"/>
      <c r="D23" s="36"/>
      <c r="E23" s="36"/>
      <c r="F23" s="36"/>
      <c r="G23" s="36"/>
      <c r="H23" s="36"/>
      <c r="I23" s="36"/>
      <c r="J23" s="37"/>
      <c r="K23" s="37"/>
      <c r="L23" s="2"/>
      <c r="M23" s="2"/>
      <c r="N23" s="28"/>
    </row>
    <row r="24" spans="1:14" ht="14" x14ac:dyDescent="0.15">
      <c r="A24" s="1">
        <v>25803456</v>
      </c>
      <c r="B24" s="9">
        <v>45972</v>
      </c>
      <c r="C24" s="1">
        <v>25803456</v>
      </c>
      <c r="D24" s="1" t="s">
        <v>13</v>
      </c>
      <c r="E24" s="7" t="s">
        <v>25</v>
      </c>
      <c r="F24" s="5">
        <v>13</v>
      </c>
      <c r="G24" s="9">
        <v>45991</v>
      </c>
      <c r="H24" s="8" t="s">
        <v>26</v>
      </c>
      <c r="I24" s="7" t="s">
        <v>16</v>
      </c>
      <c r="J24" s="13">
        <v>2688.5</v>
      </c>
      <c r="K24" s="13">
        <v>2688.5</v>
      </c>
      <c r="L24" s="11">
        <f>IF(F24&lt;14,K24,"")</f>
        <v>2688.5</v>
      </c>
      <c r="M24" s="27" t="str">
        <f>IF(F24&gt;15,K24,"")</f>
        <v/>
      </c>
      <c r="N24" s="28"/>
    </row>
    <row r="25" spans="1:14" x14ac:dyDescent="0.15">
      <c r="A25" s="34" t="s">
        <v>17</v>
      </c>
      <c r="B25" s="34"/>
      <c r="C25" s="34"/>
      <c r="D25" s="34"/>
      <c r="E25" s="34"/>
      <c r="F25" s="5"/>
      <c r="G25" s="3"/>
      <c r="H25" s="3"/>
      <c r="I25" s="3"/>
      <c r="J25" s="13"/>
      <c r="K25" s="12">
        <v>2688.5</v>
      </c>
      <c r="N25" s="28"/>
    </row>
    <row r="26" spans="1:14" x14ac:dyDescent="0.15">
      <c r="A26" s="35" t="s">
        <v>27</v>
      </c>
      <c r="B26" s="36"/>
      <c r="C26" s="36"/>
      <c r="D26" s="36"/>
      <c r="E26" s="36"/>
      <c r="F26" s="36"/>
      <c r="G26" s="36"/>
      <c r="H26" s="36"/>
      <c r="I26" s="36"/>
      <c r="J26" s="37"/>
      <c r="K26" s="37"/>
      <c r="L26" s="2"/>
      <c r="M26" s="2"/>
      <c r="N26" s="28"/>
    </row>
    <row r="27" spans="1:14" ht="14" x14ac:dyDescent="0.15">
      <c r="A27" s="1">
        <v>25803474</v>
      </c>
      <c r="B27" s="9">
        <v>45972</v>
      </c>
      <c r="C27" s="1">
        <v>25803474</v>
      </c>
      <c r="D27" s="1" t="s">
        <v>13</v>
      </c>
      <c r="E27" s="7" t="s">
        <v>28</v>
      </c>
      <c r="F27" s="5">
        <v>13</v>
      </c>
      <c r="G27" s="9">
        <v>45991</v>
      </c>
      <c r="H27" s="8" t="s">
        <v>29</v>
      </c>
      <c r="I27" s="7" t="s">
        <v>16</v>
      </c>
      <c r="J27" s="13">
        <v>6829.91</v>
      </c>
      <c r="K27" s="13">
        <v>6829.91</v>
      </c>
      <c r="L27" s="11">
        <f t="shared" ref="L27:L28" si="1">IF(F27&lt;14,K27,"")</f>
        <v>6829.91</v>
      </c>
      <c r="M27" s="27" t="str">
        <f t="shared" ref="M27:M28" si="2">IF(F27&gt;15,K27,"")</f>
        <v/>
      </c>
      <c r="N27" s="28"/>
    </row>
    <row r="28" spans="1:14" ht="14" x14ac:dyDescent="0.15">
      <c r="A28" s="1">
        <v>25803512</v>
      </c>
      <c r="B28" s="9">
        <v>45972</v>
      </c>
      <c r="C28" s="1">
        <v>25803512</v>
      </c>
      <c r="D28" s="1" t="s">
        <v>13</v>
      </c>
      <c r="E28" s="7" t="s">
        <v>30</v>
      </c>
      <c r="F28" s="5">
        <v>13</v>
      </c>
      <c r="G28" s="9">
        <v>45991</v>
      </c>
      <c r="H28" s="8" t="s">
        <v>29</v>
      </c>
      <c r="I28" s="7" t="s">
        <v>16</v>
      </c>
      <c r="J28" s="13">
        <v>4674.82</v>
      </c>
      <c r="K28" s="13">
        <v>4674.82</v>
      </c>
      <c r="L28" s="11">
        <f t="shared" si="1"/>
        <v>4674.82</v>
      </c>
      <c r="M28" s="27" t="str">
        <f t="shared" si="2"/>
        <v/>
      </c>
      <c r="N28" s="28"/>
    </row>
    <row r="29" spans="1:14" x14ac:dyDescent="0.15">
      <c r="A29" s="34" t="s">
        <v>17</v>
      </c>
      <c r="B29" s="34"/>
      <c r="C29" s="34"/>
      <c r="D29" s="34"/>
      <c r="E29" s="34"/>
      <c r="F29" s="5"/>
      <c r="G29" s="3"/>
      <c r="H29" s="3"/>
      <c r="I29" s="3"/>
      <c r="J29" s="13"/>
      <c r="K29" s="12">
        <v>11504.73</v>
      </c>
      <c r="N29" s="28"/>
    </row>
    <row r="30" spans="1:14" x14ac:dyDescent="0.15">
      <c r="A30" s="35" t="s">
        <v>31</v>
      </c>
      <c r="B30" s="36"/>
      <c r="C30" s="36"/>
      <c r="D30" s="36"/>
      <c r="E30" s="36"/>
      <c r="F30" s="36"/>
      <c r="G30" s="36"/>
      <c r="H30" s="36"/>
      <c r="I30" s="36"/>
      <c r="J30" s="37"/>
      <c r="K30" s="37"/>
      <c r="L30" s="2"/>
      <c r="M30" s="2"/>
      <c r="N30" s="28"/>
    </row>
    <row r="31" spans="1:14" ht="14" x14ac:dyDescent="0.15">
      <c r="A31" s="1">
        <v>25803331</v>
      </c>
      <c r="B31" s="9">
        <v>45972</v>
      </c>
      <c r="C31" s="1">
        <v>25803331</v>
      </c>
      <c r="D31" s="1" t="s">
        <v>13</v>
      </c>
      <c r="E31" s="7" t="s">
        <v>32</v>
      </c>
      <c r="F31" s="5">
        <v>13</v>
      </c>
      <c r="G31" s="9">
        <v>45991</v>
      </c>
      <c r="H31" s="8" t="s">
        <v>29</v>
      </c>
      <c r="I31" s="7" t="s">
        <v>16</v>
      </c>
      <c r="J31" s="13">
        <v>5117.32</v>
      </c>
      <c r="K31" s="13">
        <v>5117.32</v>
      </c>
      <c r="L31" s="11">
        <f t="shared" ref="L31:L37" si="3">IF(F31&lt;14,K31,"")</f>
        <v>5117.32</v>
      </c>
      <c r="M31" s="27" t="str">
        <f t="shared" ref="M31:M37" si="4">IF(F31&gt;15,K31,"")</f>
        <v/>
      </c>
      <c r="N31" s="28"/>
    </row>
    <row r="32" spans="1:14" ht="14" x14ac:dyDescent="0.15">
      <c r="A32" s="1">
        <v>25803357</v>
      </c>
      <c r="B32" s="9">
        <v>45972</v>
      </c>
      <c r="C32" s="1">
        <v>25803357</v>
      </c>
      <c r="D32" s="1" t="s">
        <v>13</v>
      </c>
      <c r="E32" s="7" t="s">
        <v>33</v>
      </c>
      <c r="F32" s="5">
        <v>13</v>
      </c>
      <c r="G32" s="9">
        <v>45991</v>
      </c>
      <c r="H32" s="8" t="s">
        <v>29</v>
      </c>
      <c r="I32" s="7" t="s">
        <v>16</v>
      </c>
      <c r="J32" s="13">
        <v>3894.44</v>
      </c>
      <c r="K32" s="13">
        <v>3894.44</v>
      </c>
      <c r="L32" s="11">
        <f t="shared" si="3"/>
        <v>3894.44</v>
      </c>
      <c r="M32" s="27" t="str">
        <f t="shared" si="4"/>
        <v/>
      </c>
      <c r="N32" s="28"/>
    </row>
    <row r="33" spans="1:14" ht="14" x14ac:dyDescent="0.15">
      <c r="A33" s="1">
        <v>25803437</v>
      </c>
      <c r="B33" s="9">
        <v>45972</v>
      </c>
      <c r="C33" s="1">
        <v>25803437</v>
      </c>
      <c r="D33" s="1" t="s">
        <v>13</v>
      </c>
      <c r="E33" s="7" t="s">
        <v>34</v>
      </c>
      <c r="F33" s="5">
        <v>13</v>
      </c>
      <c r="G33" s="9">
        <v>45991</v>
      </c>
      <c r="H33" s="8" t="s">
        <v>29</v>
      </c>
      <c r="I33" s="7" t="s">
        <v>16</v>
      </c>
      <c r="J33" s="13">
        <v>3559.02</v>
      </c>
      <c r="K33" s="13">
        <v>3559.02</v>
      </c>
      <c r="L33" s="11">
        <f t="shared" si="3"/>
        <v>3559.02</v>
      </c>
      <c r="M33" s="27" t="str">
        <f t="shared" si="4"/>
        <v/>
      </c>
      <c r="N33" s="28"/>
    </row>
    <row r="34" spans="1:14" ht="14" x14ac:dyDescent="0.15">
      <c r="A34" s="1">
        <v>25803440</v>
      </c>
      <c r="B34" s="9">
        <v>45972</v>
      </c>
      <c r="C34" s="1">
        <v>25803440</v>
      </c>
      <c r="D34" s="1" t="s">
        <v>13</v>
      </c>
      <c r="E34" s="7" t="s">
        <v>35</v>
      </c>
      <c r="F34" s="5">
        <v>13</v>
      </c>
      <c r="G34" s="9">
        <v>45991</v>
      </c>
      <c r="H34" s="8" t="s">
        <v>29</v>
      </c>
      <c r="I34" s="7" t="s">
        <v>16</v>
      </c>
      <c r="J34" s="13">
        <v>2937.73</v>
      </c>
      <c r="K34" s="13">
        <v>2937.73</v>
      </c>
      <c r="L34" s="11">
        <f t="shared" si="3"/>
        <v>2937.73</v>
      </c>
      <c r="M34" s="27" t="str">
        <f t="shared" si="4"/>
        <v/>
      </c>
      <c r="N34" s="28"/>
    </row>
    <row r="35" spans="1:14" ht="14" x14ac:dyDescent="0.15">
      <c r="A35" s="1">
        <v>25803441</v>
      </c>
      <c r="B35" s="9">
        <v>45972</v>
      </c>
      <c r="C35" s="1">
        <v>25803441</v>
      </c>
      <c r="D35" s="1" t="s">
        <v>13</v>
      </c>
      <c r="E35" s="7" t="s">
        <v>36</v>
      </c>
      <c r="F35" s="5">
        <v>13</v>
      </c>
      <c r="G35" s="9">
        <v>45991</v>
      </c>
      <c r="H35" s="8" t="s">
        <v>29</v>
      </c>
      <c r="I35" s="7" t="s">
        <v>16</v>
      </c>
      <c r="J35" s="13">
        <v>2258.4</v>
      </c>
      <c r="K35" s="13">
        <v>2258.4</v>
      </c>
      <c r="L35" s="11">
        <f t="shared" si="3"/>
        <v>2258.4</v>
      </c>
      <c r="M35" s="27" t="str">
        <f t="shared" si="4"/>
        <v/>
      </c>
      <c r="N35" s="28"/>
    </row>
    <row r="36" spans="1:14" ht="14" x14ac:dyDescent="0.15">
      <c r="A36" s="1">
        <v>25803488</v>
      </c>
      <c r="B36" s="9">
        <v>45972</v>
      </c>
      <c r="C36" s="1">
        <v>25803488</v>
      </c>
      <c r="D36" s="1" t="s">
        <v>13</v>
      </c>
      <c r="E36" s="7" t="s">
        <v>37</v>
      </c>
      <c r="F36" s="5">
        <v>13</v>
      </c>
      <c r="G36" s="9">
        <v>45991</v>
      </c>
      <c r="H36" s="8" t="s">
        <v>29</v>
      </c>
      <c r="I36" s="7" t="s">
        <v>16</v>
      </c>
      <c r="J36" s="13">
        <v>3197.09</v>
      </c>
      <c r="K36" s="13">
        <v>3197.09</v>
      </c>
      <c r="L36" s="11">
        <f t="shared" si="3"/>
        <v>3197.09</v>
      </c>
      <c r="M36" s="27" t="str">
        <f t="shared" si="4"/>
        <v/>
      </c>
      <c r="N36" s="28"/>
    </row>
    <row r="37" spans="1:14" ht="14" x14ac:dyDescent="0.15">
      <c r="A37" s="1">
        <v>25803511</v>
      </c>
      <c r="B37" s="9">
        <v>45972</v>
      </c>
      <c r="C37" s="1">
        <v>25803511</v>
      </c>
      <c r="D37" s="1" t="s">
        <v>13</v>
      </c>
      <c r="E37" s="7" t="s">
        <v>38</v>
      </c>
      <c r="F37" s="5">
        <v>13</v>
      </c>
      <c r="G37" s="9">
        <v>45991</v>
      </c>
      <c r="H37" s="8" t="s">
        <v>29</v>
      </c>
      <c r="I37" s="7" t="s">
        <v>16</v>
      </c>
      <c r="J37" s="13">
        <v>3804.87</v>
      </c>
      <c r="K37" s="13">
        <v>3804.87</v>
      </c>
      <c r="L37" s="11">
        <f t="shared" si="3"/>
        <v>3804.87</v>
      </c>
      <c r="M37" s="27" t="str">
        <f t="shared" si="4"/>
        <v/>
      </c>
      <c r="N37" s="28"/>
    </row>
    <row r="38" spans="1:14" x14ac:dyDescent="0.15">
      <c r="A38" s="34" t="s">
        <v>17</v>
      </c>
      <c r="B38" s="34"/>
      <c r="C38" s="34"/>
      <c r="D38" s="34"/>
      <c r="E38" s="34"/>
      <c r="F38" s="5"/>
      <c r="G38" s="3"/>
      <c r="H38" s="3"/>
      <c r="I38" s="3"/>
      <c r="J38" s="13"/>
      <c r="K38" s="12">
        <v>24768.87</v>
      </c>
      <c r="N38" s="28"/>
    </row>
    <row r="39" spans="1:14" x14ac:dyDescent="0.15">
      <c r="A39" s="35" t="s">
        <v>39</v>
      </c>
      <c r="B39" s="36"/>
      <c r="C39" s="36"/>
      <c r="D39" s="36"/>
      <c r="E39" s="36"/>
      <c r="F39" s="36"/>
      <c r="G39" s="36"/>
      <c r="H39" s="36"/>
      <c r="I39" s="36"/>
      <c r="J39" s="37"/>
      <c r="K39" s="37"/>
      <c r="L39" s="2"/>
      <c r="M39" s="2"/>
      <c r="N39" s="28"/>
    </row>
    <row r="40" spans="1:14" ht="14" x14ac:dyDescent="0.15">
      <c r="A40" s="1">
        <v>25802458</v>
      </c>
      <c r="B40" s="10">
        <v>45875</v>
      </c>
      <c r="C40" s="1">
        <v>25802458</v>
      </c>
      <c r="D40" s="1" t="s">
        <v>13</v>
      </c>
      <c r="E40" s="7" t="s">
        <v>40</v>
      </c>
      <c r="F40" s="5">
        <v>110</v>
      </c>
      <c r="G40" s="10">
        <v>45900</v>
      </c>
      <c r="H40" s="8" t="s">
        <v>41</v>
      </c>
      <c r="I40" s="7" t="s">
        <v>16</v>
      </c>
      <c r="J40" s="13">
        <v>146.30000000000001</v>
      </c>
      <c r="K40" s="13">
        <v>146.30000000000001</v>
      </c>
      <c r="L40" s="11" t="str">
        <f t="shared" ref="L40:L42" si="5">IF(F40&lt;14,K40,"")</f>
        <v/>
      </c>
      <c r="M40" s="27"/>
      <c r="N40" s="28">
        <v>146.30000000000001</v>
      </c>
    </row>
    <row r="41" spans="1:14" ht="14" x14ac:dyDescent="0.15">
      <c r="A41" s="1">
        <v>25803426</v>
      </c>
      <c r="B41" s="9">
        <v>45972</v>
      </c>
      <c r="C41" s="1">
        <v>25803426</v>
      </c>
      <c r="D41" s="1" t="s">
        <v>13</v>
      </c>
      <c r="E41" s="7" t="s">
        <v>42</v>
      </c>
      <c r="F41" s="5">
        <v>13</v>
      </c>
      <c r="G41" s="9">
        <v>45991</v>
      </c>
      <c r="H41" s="8" t="s">
        <v>43</v>
      </c>
      <c r="I41" s="7" t="s">
        <v>16</v>
      </c>
      <c r="J41" s="13">
        <v>4326.88</v>
      </c>
      <c r="K41" s="29">
        <v>4326.88</v>
      </c>
      <c r="L41" s="11">
        <f t="shared" si="5"/>
        <v>4326.88</v>
      </c>
      <c r="M41" s="27" t="str">
        <f t="shared" ref="M41:M42" si="6">IF(F41&gt;15,K41,"")</f>
        <v/>
      </c>
      <c r="N41" s="28"/>
    </row>
    <row r="42" spans="1:14" ht="14.25" customHeight="1" x14ac:dyDescent="0.15">
      <c r="A42" s="1">
        <v>25803558</v>
      </c>
      <c r="B42" s="9">
        <v>45981</v>
      </c>
      <c r="C42" s="1">
        <v>25803558</v>
      </c>
      <c r="D42" s="1" t="s">
        <v>13</v>
      </c>
      <c r="E42" s="7" t="s">
        <v>44</v>
      </c>
      <c r="F42" s="5">
        <v>4</v>
      </c>
      <c r="G42" s="9">
        <v>45991</v>
      </c>
      <c r="H42" s="8" t="s">
        <v>45</v>
      </c>
      <c r="I42" s="7" t="s">
        <v>16</v>
      </c>
      <c r="J42" s="13">
        <v>-302.5</v>
      </c>
      <c r="K42" s="13">
        <v>-302.5</v>
      </c>
      <c r="L42" s="11">
        <f t="shared" si="5"/>
        <v>-302.5</v>
      </c>
      <c r="M42" s="27" t="str">
        <f t="shared" si="6"/>
        <v/>
      </c>
      <c r="N42" s="28"/>
    </row>
    <row r="43" spans="1:14" x14ac:dyDescent="0.15">
      <c r="A43" s="34" t="s">
        <v>17</v>
      </c>
      <c r="B43" s="34"/>
      <c r="C43" s="34"/>
      <c r="D43" s="34"/>
      <c r="E43" s="34"/>
      <c r="F43" s="5"/>
      <c r="G43" s="3"/>
      <c r="H43" s="3"/>
      <c r="I43" s="3"/>
      <c r="J43" s="13"/>
      <c r="K43" s="12">
        <v>4170.68</v>
      </c>
    </row>
    <row r="44" spans="1:14" x14ac:dyDescent="0.15">
      <c r="A44" s="35" t="s">
        <v>46</v>
      </c>
      <c r="B44" s="36"/>
      <c r="C44" s="36"/>
      <c r="D44" s="36"/>
      <c r="E44" s="36"/>
      <c r="F44" s="36"/>
      <c r="G44" s="36"/>
      <c r="H44" s="36"/>
      <c r="I44" s="36"/>
      <c r="J44" s="37"/>
      <c r="K44" s="37"/>
    </row>
    <row r="45" spans="1:14" ht="14" x14ac:dyDescent="0.15">
      <c r="A45" s="1">
        <v>25800969</v>
      </c>
      <c r="B45" s="10">
        <v>45750</v>
      </c>
      <c r="C45" s="1">
        <v>25800969</v>
      </c>
      <c r="D45" s="1" t="s">
        <v>13</v>
      </c>
      <c r="E45" s="7" t="s">
        <v>47</v>
      </c>
      <c r="F45" s="5">
        <v>235</v>
      </c>
      <c r="G45" s="10">
        <v>45777</v>
      </c>
      <c r="H45" s="8" t="s">
        <v>48</v>
      </c>
      <c r="I45" s="7" t="s">
        <v>16</v>
      </c>
      <c r="J45" s="13">
        <v>5933.8</v>
      </c>
      <c r="K45" s="13">
        <v>5933.8</v>
      </c>
      <c r="L45" s="11" t="str">
        <f t="shared" ref="L45:L50" si="7">IF(F45&lt;14,K45,"")</f>
        <v/>
      </c>
      <c r="M45" s="27"/>
      <c r="N45" s="28">
        <v>5933.8</v>
      </c>
    </row>
    <row r="46" spans="1:14" ht="14" x14ac:dyDescent="0.15">
      <c r="A46" s="1">
        <v>25801954</v>
      </c>
      <c r="B46" s="10">
        <v>45845</v>
      </c>
      <c r="C46" s="1">
        <v>25801954</v>
      </c>
      <c r="D46" s="1" t="s">
        <v>13</v>
      </c>
      <c r="E46" s="7" t="s">
        <v>49</v>
      </c>
      <c r="F46" s="5">
        <v>140</v>
      </c>
      <c r="G46" s="10">
        <v>45869</v>
      </c>
      <c r="H46" s="8" t="s">
        <v>50</v>
      </c>
      <c r="I46" s="7" t="s">
        <v>16</v>
      </c>
      <c r="J46" s="13">
        <v>-5570.37</v>
      </c>
      <c r="K46" s="13">
        <v>-5570.37</v>
      </c>
      <c r="L46" s="11" t="str">
        <f t="shared" si="7"/>
        <v/>
      </c>
      <c r="M46" s="27"/>
      <c r="N46" s="28">
        <v>-5570.37</v>
      </c>
    </row>
    <row r="47" spans="1:14" ht="14" x14ac:dyDescent="0.15">
      <c r="A47" s="1">
        <v>25803307</v>
      </c>
      <c r="B47" s="9">
        <v>45972</v>
      </c>
      <c r="C47" s="1">
        <v>25803307</v>
      </c>
      <c r="D47" s="1" t="s">
        <v>13</v>
      </c>
      <c r="E47" s="7" t="s">
        <v>51</v>
      </c>
      <c r="F47" s="5">
        <v>13</v>
      </c>
      <c r="G47" s="9">
        <v>45991</v>
      </c>
      <c r="H47" s="8" t="s">
        <v>52</v>
      </c>
      <c r="I47" s="7" t="s">
        <v>16</v>
      </c>
      <c r="J47" s="13">
        <v>4282.6499999999996</v>
      </c>
      <c r="K47" s="13">
        <v>4282.6499999999996</v>
      </c>
      <c r="L47" s="11">
        <f t="shared" si="7"/>
        <v>4282.6499999999996</v>
      </c>
      <c r="M47" s="27" t="str">
        <f t="shared" ref="M47:M50" si="8">IF(F47&gt;15,K47,"")</f>
        <v/>
      </c>
      <c r="N47" s="28"/>
    </row>
    <row r="48" spans="1:14" ht="14" x14ac:dyDescent="0.15">
      <c r="A48" s="1">
        <v>25803310</v>
      </c>
      <c r="B48" s="9">
        <v>45972</v>
      </c>
      <c r="C48" s="1">
        <v>25803310</v>
      </c>
      <c r="D48" s="1" t="s">
        <v>13</v>
      </c>
      <c r="E48" s="7" t="s">
        <v>53</v>
      </c>
      <c r="F48" s="5">
        <v>13</v>
      </c>
      <c r="G48" s="9">
        <v>45991</v>
      </c>
      <c r="H48" s="8" t="s">
        <v>52</v>
      </c>
      <c r="I48" s="7" t="s">
        <v>16</v>
      </c>
      <c r="J48" s="13">
        <v>4975.3500000000004</v>
      </c>
      <c r="K48" s="13">
        <v>4975.3500000000004</v>
      </c>
      <c r="L48" s="11">
        <f t="shared" si="7"/>
        <v>4975.3500000000004</v>
      </c>
      <c r="M48" s="27" t="str">
        <f t="shared" si="8"/>
        <v/>
      </c>
      <c r="N48" s="28"/>
    </row>
    <row r="49" spans="1:14" ht="14" x14ac:dyDescent="0.15">
      <c r="A49" s="1">
        <v>25803315</v>
      </c>
      <c r="B49" s="9">
        <v>45972</v>
      </c>
      <c r="C49" s="1">
        <v>25803315</v>
      </c>
      <c r="D49" s="1" t="s">
        <v>13</v>
      </c>
      <c r="E49" s="7" t="s">
        <v>54</v>
      </c>
      <c r="F49" s="5">
        <v>13</v>
      </c>
      <c r="G49" s="9">
        <v>45991</v>
      </c>
      <c r="H49" s="8" t="s">
        <v>52</v>
      </c>
      <c r="I49" s="7" t="s">
        <v>16</v>
      </c>
      <c r="J49" s="13">
        <v>5613</v>
      </c>
      <c r="K49" s="13">
        <v>5613</v>
      </c>
      <c r="L49" s="11">
        <f t="shared" si="7"/>
        <v>5613</v>
      </c>
      <c r="M49" s="27" t="str">
        <f t="shared" si="8"/>
        <v/>
      </c>
      <c r="N49" s="28"/>
    </row>
    <row r="50" spans="1:14" ht="14" x14ac:dyDescent="0.15">
      <c r="A50" s="1">
        <v>25803514</v>
      </c>
      <c r="B50" s="9">
        <v>45972</v>
      </c>
      <c r="C50" s="1">
        <v>25803514</v>
      </c>
      <c r="D50" s="1" t="s">
        <v>13</v>
      </c>
      <c r="E50" s="7" t="s">
        <v>55</v>
      </c>
      <c r="F50" s="5">
        <v>13</v>
      </c>
      <c r="G50" s="9">
        <v>45991</v>
      </c>
      <c r="H50" s="8" t="s">
        <v>52</v>
      </c>
      <c r="I50" s="7" t="s">
        <v>16</v>
      </c>
      <c r="J50" s="13">
        <v>3306</v>
      </c>
      <c r="K50" s="13">
        <v>3306</v>
      </c>
      <c r="L50" s="11">
        <f t="shared" si="7"/>
        <v>3306</v>
      </c>
      <c r="M50" s="27" t="str">
        <f t="shared" si="8"/>
        <v/>
      </c>
      <c r="N50" s="28"/>
    </row>
    <row r="51" spans="1:14" x14ac:dyDescent="0.15">
      <c r="A51" s="34" t="s">
        <v>17</v>
      </c>
      <c r="B51" s="34"/>
      <c r="C51" s="34"/>
      <c r="D51" s="34"/>
      <c r="E51" s="34"/>
      <c r="F51" s="5"/>
      <c r="G51" s="3"/>
      <c r="H51" s="3"/>
      <c r="I51" s="3"/>
      <c r="J51" s="13"/>
      <c r="K51" s="12">
        <v>18540.43</v>
      </c>
    </row>
    <row r="52" spans="1:14" x14ac:dyDescent="0.15">
      <c r="A52" s="35" t="s">
        <v>56</v>
      </c>
      <c r="B52" s="36"/>
      <c r="C52" s="36"/>
      <c r="D52" s="36"/>
      <c r="E52" s="36"/>
      <c r="F52" s="36"/>
      <c r="G52" s="36"/>
      <c r="H52" s="36"/>
      <c r="I52" s="36"/>
      <c r="J52" s="37"/>
      <c r="K52" s="37"/>
    </row>
    <row r="53" spans="1:14" ht="14" x14ac:dyDescent="0.15">
      <c r="A53" s="1">
        <v>25803297</v>
      </c>
      <c r="B53" s="9">
        <v>45971</v>
      </c>
      <c r="C53" s="1">
        <v>25803297</v>
      </c>
      <c r="D53" s="1" t="s">
        <v>13</v>
      </c>
      <c r="E53" s="7" t="s">
        <v>57</v>
      </c>
      <c r="F53" s="5">
        <v>14</v>
      </c>
      <c r="G53" s="9">
        <v>45991</v>
      </c>
      <c r="H53" s="8" t="s">
        <v>58</v>
      </c>
      <c r="I53" s="7" t="s">
        <v>16</v>
      </c>
      <c r="J53" s="13">
        <v>350.9</v>
      </c>
      <c r="K53" s="13">
        <v>350.9</v>
      </c>
      <c r="L53" s="11" t="str">
        <f t="shared" ref="L53:L54" si="9">IF(F53&lt;14,K53,"")</f>
        <v/>
      </c>
      <c r="M53" s="27">
        <v>350.9</v>
      </c>
      <c r="N53" s="28"/>
    </row>
    <row r="54" spans="1:14" ht="14" x14ac:dyDescent="0.15">
      <c r="A54" s="1">
        <v>25803422</v>
      </c>
      <c r="B54" s="9">
        <v>45972</v>
      </c>
      <c r="C54" s="1">
        <v>25803422</v>
      </c>
      <c r="D54" s="1" t="s">
        <v>13</v>
      </c>
      <c r="E54" s="7" t="s">
        <v>59</v>
      </c>
      <c r="F54" s="5">
        <v>13</v>
      </c>
      <c r="G54" s="9">
        <v>45991</v>
      </c>
      <c r="H54" s="8" t="s">
        <v>60</v>
      </c>
      <c r="I54" s="7" t="s">
        <v>16</v>
      </c>
      <c r="J54" s="13">
        <v>3960</v>
      </c>
      <c r="K54" s="13">
        <v>3960</v>
      </c>
      <c r="L54" s="11">
        <f t="shared" si="9"/>
        <v>3960</v>
      </c>
      <c r="M54" s="27" t="str">
        <f t="shared" ref="M54" si="10">IF(F54&gt;15,K54,"")</f>
        <v/>
      </c>
      <c r="N54" s="28"/>
    </row>
    <row r="55" spans="1:14" x14ac:dyDescent="0.15">
      <c r="A55" s="34" t="s">
        <v>17</v>
      </c>
      <c r="B55" s="34"/>
      <c r="C55" s="34"/>
      <c r="D55" s="34"/>
      <c r="E55" s="34"/>
      <c r="F55" s="5"/>
      <c r="G55" s="3"/>
      <c r="H55" s="3"/>
      <c r="I55" s="3"/>
      <c r="J55" s="13"/>
      <c r="K55" s="12">
        <v>4310.8999999999996</v>
      </c>
    </row>
    <row r="56" spans="1:14" x14ac:dyDescent="0.15">
      <c r="A56" s="35" t="s">
        <v>61</v>
      </c>
      <c r="B56" s="36"/>
      <c r="C56" s="36"/>
      <c r="D56" s="36"/>
      <c r="E56" s="36"/>
      <c r="F56" s="36"/>
      <c r="G56" s="36"/>
      <c r="H56" s="36"/>
      <c r="I56" s="36"/>
      <c r="J56" s="37"/>
      <c r="K56" s="37"/>
    </row>
    <row r="57" spans="1:14" ht="14" x14ac:dyDescent="0.15">
      <c r="A57" s="1">
        <v>25803575</v>
      </c>
      <c r="B57" s="9">
        <v>45981</v>
      </c>
      <c r="C57" s="1">
        <v>25803575</v>
      </c>
      <c r="D57" s="1" t="s">
        <v>13</v>
      </c>
      <c r="E57" s="7" t="s">
        <v>62</v>
      </c>
      <c r="F57" s="5">
        <v>4</v>
      </c>
      <c r="G57" s="9">
        <v>45991</v>
      </c>
      <c r="H57" s="8" t="s">
        <v>45</v>
      </c>
      <c r="I57" s="7" t="s">
        <v>16</v>
      </c>
      <c r="J57" s="13">
        <v>-453.75</v>
      </c>
      <c r="K57" s="13">
        <v>-453.75</v>
      </c>
      <c r="L57" s="11">
        <f t="shared" ref="L57" si="11">IF(F57&lt;14,K57,"")</f>
        <v>-453.75</v>
      </c>
      <c r="M57" s="27" t="str">
        <f t="shared" ref="M57" si="12">IF(F57&gt;15,K57,"")</f>
        <v/>
      </c>
      <c r="N57" s="28"/>
    </row>
    <row r="58" spans="1:14" x14ac:dyDescent="0.15">
      <c r="A58" s="34" t="s">
        <v>17</v>
      </c>
      <c r="B58" s="34"/>
      <c r="C58" s="34"/>
      <c r="D58" s="34"/>
      <c r="E58" s="34"/>
      <c r="F58" s="5"/>
      <c r="G58" s="3"/>
      <c r="H58" s="3"/>
      <c r="I58" s="3"/>
      <c r="J58" s="13"/>
      <c r="K58" s="12">
        <v>-453.75</v>
      </c>
    </row>
    <row r="59" spans="1:14" x14ac:dyDescent="0.15">
      <c r="A59" s="35" t="s">
        <v>63</v>
      </c>
      <c r="B59" s="36"/>
      <c r="C59" s="36"/>
      <c r="D59" s="36"/>
      <c r="E59" s="36"/>
      <c r="F59" s="36"/>
      <c r="G59" s="36"/>
      <c r="H59" s="36"/>
      <c r="I59" s="36"/>
      <c r="J59" s="37"/>
      <c r="K59" s="37"/>
    </row>
    <row r="60" spans="1:14" ht="14" x14ac:dyDescent="0.15">
      <c r="A60" s="1">
        <v>25803328</v>
      </c>
      <c r="B60" s="9">
        <v>45972</v>
      </c>
      <c r="C60" s="1">
        <v>25803328</v>
      </c>
      <c r="D60" s="1" t="s">
        <v>13</v>
      </c>
      <c r="E60" s="7" t="s">
        <v>64</v>
      </c>
      <c r="F60" s="5">
        <v>13</v>
      </c>
      <c r="G60" s="9">
        <v>45991</v>
      </c>
      <c r="H60" s="8" t="s">
        <v>29</v>
      </c>
      <c r="I60" s="7" t="s">
        <v>16</v>
      </c>
      <c r="J60" s="13">
        <v>2373.5</v>
      </c>
      <c r="K60" s="13">
        <v>2373.5</v>
      </c>
      <c r="L60">
        <v>2373.5</v>
      </c>
    </row>
    <row r="61" spans="1:14" x14ac:dyDescent="0.15">
      <c r="A61" s="34" t="s">
        <v>17</v>
      </c>
      <c r="B61" s="34"/>
      <c r="C61" s="34"/>
      <c r="D61" s="34"/>
      <c r="E61" s="34"/>
      <c r="F61" s="5"/>
      <c r="G61" s="3"/>
      <c r="H61" s="3"/>
      <c r="I61" s="3"/>
      <c r="J61" s="13"/>
      <c r="K61" s="12">
        <v>2373.5</v>
      </c>
    </row>
    <row r="62" spans="1:14" x14ac:dyDescent="0.15">
      <c r="A62" s="35" t="s">
        <v>65</v>
      </c>
      <c r="B62" s="36"/>
      <c r="C62" s="36"/>
      <c r="D62" s="36"/>
      <c r="E62" s="36"/>
      <c r="F62" s="36"/>
      <c r="G62" s="36"/>
      <c r="H62" s="36"/>
      <c r="I62" s="36"/>
      <c r="J62" s="37"/>
      <c r="K62" s="37"/>
    </row>
    <row r="63" spans="1:14" ht="14" x14ac:dyDescent="0.15">
      <c r="A63" s="1">
        <v>25803513</v>
      </c>
      <c r="B63" s="9">
        <v>45972</v>
      </c>
      <c r="C63" s="1">
        <v>25803513</v>
      </c>
      <c r="D63" s="1" t="s">
        <v>13</v>
      </c>
      <c r="E63" s="7" t="s">
        <v>66</v>
      </c>
      <c r="F63" s="5">
        <v>13</v>
      </c>
      <c r="G63" s="9">
        <v>45991</v>
      </c>
      <c r="H63" s="8" t="s">
        <v>67</v>
      </c>
      <c r="I63" s="7" t="s">
        <v>16</v>
      </c>
      <c r="J63" s="13">
        <v>3033.29</v>
      </c>
      <c r="K63" s="13">
        <v>3033.29</v>
      </c>
      <c r="L63" s="11">
        <f t="shared" ref="L63" si="13">IF(F63&lt;14,K63,"")</f>
        <v>3033.29</v>
      </c>
      <c r="M63" s="27" t="str">
        <f t="shared" ref="M63" si="14">IF(F63&gt;15,K63,"")</f>
        <v/>
      </c>
      <c r="N63" s="28"/>
    </row>
    <row r="64" spans="1:14" x14ac:dyDescent="0.15">
      <c r="A64" s="34" t="s">
        <v>17</v>
      </c>
      <c r="B64" s="34"/>
      <c r="C64" s="34"/>
      <c r="D64" s="34"/>
      <c r="E64" s="34"/>
      <c r="F64" s="5"/>
      <c r="G64" s="3"/>
      <c r="H64" s="3"/>
      <c r="I64" s="3"/>
      <c r="J64" s="13"/>
      <c r="K64" s="12">
        <v>3033.29</v>
      </c>
    </row>
    <row r="65" spans="1:14" x14ac:dyDescent="0.15">
      <c r="A65" s="35" t="s">
        <v>68</v>
      </c>
      <c r="B65" s="36"/>
      <c r="C65" s="36"/>
      <c r="D65" s="36"/>
      <c r="E65" s="36"/>
      <c r="F65" s="36"/>
      <c r="G65" s="36"/>
      <c r="H65" s="36"/>
      <c r="I65" s="36"/>
      <c r="J65" s="37"/>
      <c r="K65" s="37"/>
    </row>
    <row r="66" spans="1:14" ht="14" x14ac:dyDescent="0.15">
      <c r="A66" s="1">
        <v>25803364</v>
      </c>
      <c r="B66" s="9">
        <v>45972</v>
      </c>
      <c r="C66" s="1">
        <v>25803364</v>
      </c>
      <c r="D66" s="1" t="s">
        <v>13</v>
      </c>
      <c r="E66" s="7" t="s">
        <v>69</v>
      </c>
      <c r="F66" s="5">
        <v>13</v>
      </c>
      <c r="G66" s="9">
        <v>45991</v>
      </c>
      <c r="H66" s="8" t="s">
        <v>70</v>
      </c>
      <c r="I66" s="7" t="s">
        <v>16</v>
      </c>
      <c r="J66" s="13">
        <v>3109.25</v>
      </c>
      <c r="K66" s="13">
        <v>3109.25</v>
      </c>
      <c r="L66" s="11">
        <f t="shared" ref="L66:L70" si="15">IF(F66&lt;14,K66,"")</f>
        <v>3109.25</v>
      </c>
      <c r="M66" s="27" t="str">
        <f t="shared" ref="M66:M70" si="16">IF(F66&gt;15,K66,"")</f>
        <v/>
      </c>
      <c r="N66" s="28"/>
    </row>
    <row r="67" spans="1:14" ht="14" x14ac:dyDescent="0.15">
      <c r="A67" s="1">
        <v>25803365</v>
      </c>
      <c r="B67" s="9">
        <v>45972</v>
      </c>
      <c r="C67" s="1">
        <v>25803365</v>
      </c>
      <c r="D67" s="1" t="s">
        <v>13</v>
      </c>
      <c r="E67" s="7" t="s">
        <v>71</v>
      </c>
      <c r="F67" s="5">
        <v>13</v>
      </c>
      <c r="G67" s="9">
        <v>45991</v>
      </c>
      <c r="H67" s="8" t="s">
        <v>70</v>
      </c>
      <c r="I67" s="7" t="s">
        <v>16</v>
      </c>
      <c r="J67" s="13">
        <v>2755</v>
      </c>
      <c r="K67" s="13">
        <v>2755</v>
      </c>
      <c r="L67" s="11">
        <f t="shared" si="15"/>
        <v>2755</v>
      </c>
      <c r="M67" s="27" t="str">
        <f t="shared" si="16"/>
        <v/>
      </c>
      <c r="N67" s="28"/>
    </row>
    <row r="68" spans="1:14" ht="14" x14ac:dyDescent="0.15">
      <c r="A68" s="1">
        <v>25803368</v>
      </c>
      <c r="B68" s="9">
        <v>45972</v>
      </c>
      <c r="C68" s="1">
        <v>25803368</v>
      </c>
      <c r="D68" s="1" t="s">
        <v>13</v>
      </c>
      <c r="E68" s="7" t="s">
        <v>72</v>
      </c>
      <c r="F68" s="5">
        <v>13</v>
      </c>
      <c r="G68" s="9">
        <v>45991</v>
      </c>
      <c r="H68" s="8" t="s">
        <v>70</v>
      </c>
      <c r="I68" s="7" t="s">
        <v>16</v>
      </c>
      <c r="J68" s="13">
        <v>2969.02</v>
      </c>
      <c r="K68" s="13">
        <v>2969.02</v>
      </c>
      <c r="L68" s="11">
        <f t="shared" si="15"/>
        <v>2969.02</v>
      </c>
      <c r="M68" s="27" t="str">
        <f t="shared" si="16"/>
        <v/>
      </c>
      <c r="N68" s="28"/>
    </row>
    <row r="69" spans="1:14" ht="14" x14ac:dyDescent="0.15">
      <c r="A69" s="1">
        <v>25803371</v>
      </c>
      <c r="B69" s="9">
        <v>45972</v>
      </c>
      <c r="C69" s="1">
        <v>25803371</v>
      </c>
      <c r="D69" s="1" t="s">
        <v>13</v>
      </c>
      <c r="E69" s="7" t="s">
        <v>73</v>
      </c>
      <c r="F69" s="5">
        <v>13</v>
      </c>
      <c r="G69" s="9">
        <v>45991</v>
      </c>
      <c r="H69" s="8" t="s">
        <v>70</v>
      </c>
      <c r="I69" s="7" t="s">
        <v>16</v>
      </c>
      <c r="J69" s="13">
        <v>3139.23</v>
      </c>
      <c r="K69" s="13">
        <v>3139.23</v>
      </c>
      <c r="L69" s="11">
        <f t="shared" si="15"/>
        <v>3139.23</v>
      </c>
      <c r="M69" s="27" t="str">
        <f t="shared" si="16"/>
        <v/>
      </c>
      <c r="N69" s="28"/>
    </row>
    <row r="70" spans="1:14" ht="14" x14ac:dyDescent="0.15">
      <c r="A70" s="1">
        <v>25803407</v>
      </c>
      <c r="B70" s="9">
        <v>45972</v>
      </c>
      <c r="C70" s="1">
        <v>25803407</v>
      </c>
      <c r="D70" s="1" t="s">
        <v>13</v>
      </c>
      <c r="E70" s="7" t="s">
        <v>74</v>
      </c>
      <c r="F70" s="5">
        <v>13</v>
      </c>
      <c r="G70" s="9">
        <v>45991</v>
      </c>
      <c r="H70" s="8" t="s">
        <v>70</v>
      </c>
      <c r="I70" s="7" t="s">
        <v>16</v>
      </c>
      <c r="J70" s="13">
        <v>4079.12</v>
      </c>
      <c r="K70" s="13">
        <v>4079.12</v>
      </c>
      <c r="L70" s="11">
        <f t="shared" si="15"/>
        <v>4079.12</v>
      </c>
      <c r="M70" s="27" t="str">
        <f t="shared" si="16"/>
        <v/>
      </c>
      <c r="N70" s="28"/>
    </row>
    <row r="71" spans="1:14" x14ac:dyDescent="0.15">
      <c r="A71" s="34" t="s">
        <v>17</v>
      </c>
      <c r="B71" s="34"/>
      <c r="C71" s="34"/>
      <c r="D71" s="34"/>
      <c r="E71" s="34"/>
      <c r="F71" s="5"/>
      <c r="G71" s="3"/>
      <c r="H71" s="3"/>
      <c r="I71" s="3"/>
      <c r="J71" s="13"/>
      <c r="K71" s="12">
        <v>16051.62</v>
      </c>
    </row>
    <row r="72" spans="1:14" x14ac:dyDescent="0.15">
      <c r="A72" s="35" t="s">
        <v>75</v>
      </c>
      <c r="B72" s="36"/>
      <c r="C72" s="36"/>
      <c r="D72" s="36"/>
      <c r="E72" s="36"/>
      <c r="F72" s="36"/>
      <c r="G72" s="36"/>
      <c r="H72" s="36"/>
      <c r="I72" s="36"/>
      <c r="J72" s="37"/>
      <c r="K72" s="37"/>
    </row>
    <row r="73" spans="1:14" ht="14" x14ac:dyDescent="0.15">
      <c r="A73" s="1">
        <v>25803304</v>
      </c>
      <c r="B73" s="9">
        <v>45972</v>
      </c>
      <c r="C73" s="1">
        <v>25803304</v>
      </c>
      <c r="D73" s="1" t="s">
        <v>13</v>
      </c>
      <c r="E73" s="7" t="s">
        <v>76</v>
      </c>
      <c r="F73" s="5">
        <v>13</v>
      </c>
      <c r="G73" s="9">
        <v>45991</v>
      </c>
      <c r="H73" s="8" t="s">
        <v>77</v>
      </c>
      <c r="I73" s="7" t="s">
        <v>16</v>
      </c>
      <c r="J73" s="13">
        <v>4543.45</v>
      </c>
      <c r="K73" s="13">
        <v>4543.45</v>
      </c>
      <c r="L73" s="11">
        <f t="shared" ref="L73" si="17">IF(F73&lt;14,K73,"")</f>
        <v>4543.45</v>
      </c>
      <c r="M73" s="27" t="str">
        <f t="shared" ref="M73" si="18">IF(F73&gt;15,K73,"")</f>
        <v/>
      </c>
      <c r="N73" s="28"/>
    </row>
    <row r="74" spans="1:14" x14ac:dyDescent="0.15">
      <c r="A74" s="34" t="s">
        <v>17</v>
      </c>
      <c r="B74" s="34"/>
      <c r="C74" s="34"/>
      <c r="D74" s="34"/>
      <c r="E74" s="34"/>
      <c r="F74" s="5"/>
      <c r="G74" s="3"/>
      <c r="H74" s="3"/>
      <c r="I74" s="3"/>
      <c r="J74" s="13"/>
      <c r="K74" s="12">
        <v>4543.45</v>
      </c>
    </row>
    <row r="75" spans="1:14" x14ac:dyDescent="0.15">
      <c r="A75" s="35" t="s">
        <v>78</v>
      </c>
      <c r="B75" s="36"/>
      <c r="C75" s="36"/>
      <c r="D75" s="36"/>
      <c r="E75" s="36"/>
      <c r="F75" s="36"/>
      <c r="G75" s="36"/>
      <c r="H75" s="36"/>
      <c r="I75" s="36"/>
      <c r="J75" s="37"/>
      <c r="K75" s="37"/>
    </row>
    <row r="76" spans="1:14" ht="14" x14ac:dyDescent="0.15">
      <c r="A76" s="1">
        <v>25803292</v>
      </c>
      <c r="B76" s="10">
        <v>45968</v>
      </c>
      <c r="C76" s="1">
        <v>25803292</v>
      </c>
      <c r="D76" s="1" t="s">
        <v>13</v>
      </c>
      <c r="E76" s="7" t="s">
        <v>79</v>
      </c>
      <c r="F76" s="5">
        <v>17</v>
      </c>
      <c r="G76" s="9">
        <v>45991</v>
      </c>
      <c r="H76" s="8" t="s">
        <v>80</v>
      </c>
      <c r="I76" s="7" t="s">
        <v>16</v>
      </c>
      <c r="J76" s="13">
        <v>713.66</v>
      </c>
      <c r="K76" s="13">
        <v>713.66</v>
      </c>
      <c r="L76" s="11" t="str">
        <f t="shared" ref="L76" si="19">IF(F76&lt;14,K76,"")</f>
        <v/>
      </c>
      <c r="M76" s="27">
        <f t="shared" ref="M76" si="20">IF(F76&gt;15,K76,"")</f>
        <v>713.66</v>
      </c>
      <c r="N76" s="28"/>
    </row>
    <row r="77" spans="1:14" x14ac:dyDescent="0.15">
      <c r="A77" s="34" t="s">
        <v>17</v>
      </c>
      <c r="B77" s="34"/>
      <c r="C77" s="34"/>
      <c r="D77" s="34"/>
      <c r="E77" s="34"/>
      <c r="F77" s="5"/>
      <c r="G77" s="3"/>
      <c r="H77" s="3"/>
      <c r="I77" s="3"/>
      <c r="J77" s="13"/>
      <c r="K77" s="12">
        <v>713.66</v>
      </c>
    </row>
    <row r="78" spans="1:14" x14ac:dyDescent="0.15">
      <c r="A78" s="35" t="s">
        <v>81</v>
      </c>
      <c r="B78" s="36"/>
      <c r="C78" s="36"/>
      <c r="D78" s="36"/>
      <c r="E78" s="36"/>
      <c r="F78" s="36"/>
      <c r="G78" s="36"/>
      <c r="H78" s="36"/>
      <c r="I78" s="36"/>
      <c r="J78" s="37"/>
      <c r="K78" s="37"/>
    </row>
    <row r="79" spans="1:14" ht="14" x14ac:dyDescent="0.15">
      <c r="A79" s="1">
        <v>25802925</v>
      </c>
      <c r="B79" s="10">
        <v>45915</v>
      </c>
      <c r="C79" s="1">
        <v>25802925</v>
      </c>
      <c r="D79" s="1" t="s">
        <v>13</v>
      </c>
      <c r="E79" s="7" t="s">
        <v>82</v>
      </c>
      <c r="F79" s="5">
        <v>70</v>
      </c>
      <c r="G79" s="10">
        <v>45930</v>
      </c>
      <c r="H79" s="8" t="s">
        <v>83</v>
      </c>
      <c r="I79" s="7" t="s">
        <v>16</v>
      </c>
      <c r="J79" s="13">
        <v>857.3</v>
      </c>
      <c r="K79" s="13">
        <v>857.3</v>
      </c>
      <c r="L79" s="11" t="str">
        <f t="shared" ref="L79:L80" si="21">IF(F79&lt;14,K79,"")</f>
        <v/>
      </c>
      <c r="M79" s="27"/>
      <c r="N79" s="28">
        <v>857.3</v>
      </c>
    </row>
    <row r="80" spans="1:14" ht="14" x14ac:dyDescent="0.15">
      <c r="A80" s="1">
        <v>25803254</v>
      </c>
      <c r="B80" s="10">
        <v>45964</v>
      </c>
      <c r="C80" s="1">
        <v>25803254</v>
      </c>
      <c r="D80" s="1" t="s">
        <v>13</v>
      </c>
      <c r="E80" s="7" t="s">
        <v>84</v>
      </c>
      <c r="F80" s="5">
        <v>21</v>
      </c>
      <c r="G80" s="9">
        <v>45991</v>
      </c>
      <c r="H80" s="8" t="s">
        <v>45</v>
      </c>
      <c r="I80" s="7" t="s">
        <v>16</v>
      </c>
      <c r="J80" s="13">
        <v>-762.3</v>
      </c>
      <c r="K80" s="13">
        <v>-762.3</v>
      </c>
      <c r="L80" s="11" t="str">
        <f t="shared" si="21"/>
        <v/>
      </c>
      <c r="M80" s="27"/>
      <c r="N80" s="28">
        <v>-762.3</v>
      </c>
    </row>
    <row r="81" spans="1:14" x14ac:dyDescent="0.15">
      <c r="A81" s="34" t="s">
        <v>17</v>
      </c>
      <c r="B81" s="34"/>
      <c r="C81" s="34"/>
      <c r="D81" s="34"/>
      <c r="E81" s="34"/>
      <c r="F81" s="5"/>
      <c r="G81" s="3"/>
      <c r="H81" s="3"/>
      <c r="I81" s="3"/>
      <c r="J81" s="13"/>
      <c r="K81" s="12">
        <v>95</v>
      </c>
    </row>
    <row r="82" spans="1:14" x14ac:dyDescent="0.15">
      <c r="A82" s="35" t="s">
        <v>85</v>
      </c>
      <c r="B82" s="36"/>
      <c r="C82" s="36"/>
      <c r="D82" s="36"/>
      <c r="E82" s="36"/>
      <c r="F82" s="36"/>
      <c r="G82" s="36"/>
      <c r="H82" s="36"/>
      <c r="I82" s="36"/>
      <c r="J82" s="37"/>
      <c r="K82" s="37"/>
    </row>
    <row r="83" spans="1:14" ht="14" x14ac:dyDescent="0.15">
      <c r="A83" s="1">
        <v>25803258</v>
      </c>
      <c r="B83" s="10">
        <v>45965</v>
      </c>
      <c r="C83" s="1">
        <v>25803258</v>
      </c>
      <c r="D83" s="1" t="s">
        <v>13</v>
      </c>
      <c r="E83" s="7" t="s">
        <v>86</v>
      </c>
      <c r="F83" s="5">
        <v>20</v>
      </c>
      <c r="G83" s="9">
        <v>45972</v>
      </c>
      <c r="H83" s="8" t="s">
        <v>87</v>
      </c>
      <c r="I83" s="7" t="s">
        <v>16</v>
      </c>
      <c r="J83" s="13">
        <v>3886.56</v>
      </c>
      <c r="K83" s="13">
        <v>3886.56</v>
      </c>
      <c r="L83" s="11" t="str">
        <f t="shared" ref="L83:L85" si="22">IF(F83&lt;14,K83,"")</f>
        <v/>
      </c>
      <c r="M83" s="27"/>
      <c r="N83" s="28">
        <v>3886.56</v>
      </c>
    </row>
    <row r="84" spans="1:14" ht="14" x14ac:dyDescent="0.15">
      <c r="A84" s="1">
        <v>25803263</v>
      </c>
      <c r="B84" s="10">
        <v>45965</v>
      </c>
      <c r="C84" s="1">
        <v>25803263</v>
      </c>
      <c r="D84" s="1" t="s">
        <v>13</v>
      </c>
      <c r="E84" s="7" t="s">
        <v>88</v>
      </c>
      <c r="F84" s="5">
        <v>20</v>
      </c>
      <c r="G84" s="9">
        <v>45972</v>
      </c>
      <c r="H84" s="8" t="s">
        <v>87</v>
      </c>
      <c r="I84" s="7" t="s">
        <v>16</v>
      </c>
      <c r="J84" s="13">
        <v>3512</v>
      </c>
      <c r="K84" s="13">
        <v>3512</v>
      </c>
      <c r="L84" s="11" t="str">
        <f t="shared" si="22"/>
        <v/>
      </c>
      <c r="M84" s="27"/>
      <c r="N84" s="28">
        <v>3512</v>
      </c>
    </row>
    <row r="85" spans="1:14" ht="14" x14ac:dyDescent="0.15">
      <c r="A85" s="1">
        <v>25803393</v>
      </c>
      <c r="B85" s="9">
        <v>45972</v>
      </c>
      <c r="C85" s="1">
        <v>25803393</v>
      </c>
      <c r="D85" s="1" t="s">
        <v>13</v>
      </c>
      <c r="E85" s="7" t="s">
        <v>89</v>
      </c>
      <c r="F85" s="5">
        <v>13</v>
      </c>
      <c r="G85" s="9">
        <v>45991</v>
      </c>
      <c r="H85" s="8" t="s">
        <v>29</v>
      </c>
      <c r="I85" s="7" t="s">
        <v>16</v>
      </c>
      <c r="J85" s="13">
        <v>3512</v>
      </c>
      <c r="K85" s="13">
        <v>3512</v>
      </c>
      <c r="L85" s="11">
        <f t="shared" si="22"/>
        <v>3512</v>
      </c>
      <c r="M85" s="27" t="str">
        <f t="shared" ref="M85" si="23">IF(F85&gt;15,K85,"")</f>
        <v/>
      </c>
      <c r="N85" s="28"/>
    </row>
    <row r="86" spans="1:14" x14ac:dyDescent="0.15">
      <c r="A86" s="34" t="s">
        <v>17</v>
      </c>
      <c r="B86" s="34"/>
      <c r="C86" s="34"/>
      <c r="D86" s="34"/>
      <c r="E86" s="34"/>
      <c r="F86" s="5"/>
      <c r="G86" s="3"/>
      <c r="H86" s="3"/>
      <c r="I86" s="3"/>
      <c r="J86" s="13"/>
      <c r="K86" s="12">
        <v>10910.56</v>
      </c>
    </row>
    <row r="87" spans="1:14" x14ac:dyDescent="0.15">
      <c r="A87" s="35" t="s">
        <v>90</v>
      </c>
      <c r="B87" s="36"/>
      <c r="C87" s="36"/>
      <c r="D87" s="36"/>
      <c r="E87" s="36"/>
      <c r="F87" s="36"/>
      <c r="G87" s="36"/>
      <c r="H87" s="36"/>
      <c r="I87" s="36"/>
      <c r="J87" s="37"/>
      <c r="K87" s="37"/>
    </row>
    <row r="88" spans="1:14" ht="14" x14ac:dyDescent="0.15">
      <c r="A88" s="1">
        <v>25803451</v>
      </c>
      <c r="B88" s="9">
        <v>45972</v>
      </c>
      <c r="C88" s="1">
        <v>25803451</v>
      </c>
      <c r="D88" s="1" t="s">
        <v>13</v>
      </c>
      <c r="E88" s="7" t="s">
        <v>91</v>
      </c>
      <c r="F88" s="5">
        <v>13</v>
      </c>
      <c r="G88" s="9">
        <v>45991</v>
      </c>
      <c r="H88" s="8" t="s">
        <v>92</v>
      </c>
      <c r="I88" s="7" t="s">
        <v>16</v>
      </c>
      <c r="J88" s="13">
        <v>2571.88</v>
      </c>
      <c r="K88" s="13">
        <v>2571.88</v>
      </c>
      <c r="L88" s="11">
        <f t="shared" ref="L88" si="24">IF(F88&lt;14,K88,"")</f>
        <v>2571.88</v>
      </c>
      <c r="M88" s="27" t="str">
        <f t="shared" ref="M88" si="25">IF(F88&gt;15,K88,"")</f>
        <v/>
      </c>
      <c r="N88" s="28"/>
    </row>
    <row r="89" spans="1:14" x14ac:dyDescent="0.15">
      <c r="A89" s="34" t="s">
        <v>17</v>
      </c>
      <c r="B89" s="34"/>
      <c r="C89" s="34"/>
      <c r="D89" s="34"/>
      <c r="E89" s="34"/>
      <c r="F89" s="5"/>
      <c r="G89" s="3"/>
      <c r="H89" s="3"/>
      <c r="I89" s="3"/>
      <c r="J89" s="13"/>
      <c r="K89" s="12">
        <v>2571.88</v>
      </c>
    </row>
    <row r="90" spans="1:14" x14ac:dyDescent="0.15">
      <c r="A90" s="35" t="s">
        <v>93</v>
      </c>
      <c r="B90" s="36"/>
      <c r="C90" s="36"/>
      <c r="D90" s="36"/>
      <c r="E90" s="36"/>
      <c r="F90" s="36"/>
      <c r="G90" s="36"/>
      <c r="H90" s="36"/>
      <c r="I90" s="36"/>
      <c r="J90" s="37"/>
      <c r="K90" s="37"/>
    </row>
    <row r="91" spans="1:14" ht="14" x14ac:dyDescent="0.15">
      <c r="A91" s="1">
        <v>25803352</v>
      </c>
      <c r="B91" s="9">
        <v>45972</v>
      </c>
      <c r="C91" s="1">
        <v>25803352</v>
      </c>
      <c r="D91" s="1" t="s">
        <v>13</v>
      </c>
      <c r="E91" s="7" t="s">
        <v>94</v>
      </c>
      <c r="F91" s="5">
        <v>13</v>
      </c>
      <c r="G91" s="9">
        <v>45991</v>
      </c>
      <c r="H91" s="8" t="s">
        <v>29</v>
      </c>
      <c r="I91" s="7" t="s">
        <v>16</v>
      </c>
      <c r="J91" s="13">
        <v>2666.52</v>
      </c>
      <c r="K91" s="13">
        <v>2666.52</v>
      </c>
      <c r="L91" s="11">
        <f t="shared" ref="L91:L93" si="26">IF(F91&lt;14,K91,"")</f>
        <v>2666.52</v>
      </c>
      <c r="M91" s="27" t="str">
        <f t="shared" ref="M91:M93" si="27">IF(F91&gt;15,K91,"")</f>
        <v/>
      </c>
      <c r="N91" s="28"/>
    </row>
    <row r="92" spans="1:14" ht="14" x14ac:dyDescent="0.15">
      <c r="A92" s="1">
        <v>25803489</v>
      </c>
      <c r="B92" s="9">
        <v>45972</v>
      </c>
      <c r="C92" s="1">
        <v>25803489</v>
      </c>
      <c r="D92" s="1" t="s">
        <v>13</v>
      </c>
      <c r="E92" s="7" t="s">
        <v>95</v>
      </c>
      <c r="F92" s="5">
        <v>13</v>
      </c>
      <c r="G92" s="9">
        <v>45991</v>
      </c>
      <c r="H92" s="8" t="s">
        <v>29</v>
      </c>
      <c r="I92" s="7" t="s">
        <v>16</v>
      </c>
      <c r="J92" s="13">
        <v>2524.69</v>
      </c>
      <c r="K92" s="13">
        <v>2524.69</v>
      </c>
      <c r="L92" s="11">
        <f t="shared" si="26"/>
        <v>2524.69</v>
      </c>
      <c r="M92" s="27" t="str">
        <f t="shared" si="27"/>
        <v/>
      </c>
      <c r="N92" s="28"/>
    </row>
    <row r="93" spans="1:14" ht="14" x14ac:dyDescent="0.15">
      <c r="A93" s="1">
        <v>25803554</v>
      </c>
      <c r="B93" s="9">
        <v>45979</v>
      </c>
      <c r="C93" s="1">
        <v>25803554</v>
      </c>
      <c r="D93" s="1" t="s">
        <v>13</v>
      </c>
      <c r="E93" s="7" t="s">
        <v>96</v>
      </c>
      <c r="F93" s="5">
        <v>6</v>
      </c>
      <c r="G93" s="9">
        <v>45991</v>
      </c>
      <c r="H93" s="8" t="s">
        <v>45</v>
      </c>
      <c r="I93" s="7" t="s">
        <v>16</v>
      </c>
      <c r="J93" s="13">
        <v>-2322.29</v>
      </c>
      <c r="K93" s="13">
        <v>-2322.29</v>
      </c>
      <c r="L93" s="11">
        <f t="shared" si="26"/>
        <v>-2322.29</v>
      </c>
      <c r="M93" s="27" t="str">
        <f t="shared" si="27"/>
        <v/>
      </c>
      <c r="N93" s="28"/>
    </row>
    <row r="94" spans="1:14" x14ac:dyDescent="0.15">
      <c r="A94" s="34" t="s">
        <v>17</v>
      </c>
      <c r="B94" s="34"/>
      <c r="C94" s="34"/>
      <c r="D94" s="34"/>
      <c r="E94" s="34"/>
      <c r="F94" s="5"/>
      <c r="G94" s="3"/>
      <c r="H94" s="3"/>
      <c r="I94" s="3"/>
      <c r="J94" s="13"/>
      <c r="K94" s="12">
        <v>2868.92</v>
      </c>
    </row>
    <row r="95" spans="1:14" x14ac:dyDescent="0.15">
      <c r="A95" s="35" t="s">
        <v>97</v>
      </c>
      <c r="B95" s="36"/>
      <c r="C95" s="36"/>
      <c r="D95" s="36"/>
      <c r="E95" s="36"/>
      <c r="F95" s="36"/>
      <c r="G95" s="36"/>
      <c r="H95" s="36"/>
      <c r="I95" s="36"/>
      <c r="J95" s="37"/>
      <c r="K95" s="37"/>
    </row>
    <row r="96" spans="1:14" ht="14" x14ac:dyDescent="0.15">
      <c r="A96" s="1">
        <v>25803348</v>
      </c>
      <c r="B96" s="9">
        <v>45972</v>
      </c>
      <c r="C96" s="1">
        <v>25803348</v>
      </c>
      <c r="D96" s="1" t="s">
        <v>13</v>
      </c>
      <c r="E96" s="7" t="s">
        <v>98</v>
      </c>
      <c r="F96" s="5">
        <v>13</v>
      </c>
      <c r="G96" s="9">
        <v>45991</v>
      </c>
      <c r="H96" s="8" t="s">
        <v>99</v>
      </c>
      <c r="I96" s="7" t="s">
        <v>16</v>
      </c>
      <c r="J96" s="13">
        <v>2997.5</v>
      </c>
      <c r="K96" s="13">
        <v>2997.5</v>
      </c>
      <c r="L96" s="11">
        <f t="shared" ref="L96:L97" si="28">IF(F96&lt;14,K96,"")</f>
        <v>2997.5</v>
      </c>
      <c r="M96" s="27" t="str">
        <f t="shared" ref="M96:M97" si="29">IF(F96&gt;15,K96,"")</f>
        <v/>
      </c>
      <c r="N96" s="28"/>
    </row>
    <row r="97" spans="1:14" ht="14" x14ac:dyDescent="0.15">
      <c r="A97" s="1">
        <v>25803557</v>
      </c>
      <c r="B97" s="9">
        <v>45981</v>
      </c>
      <c r="C97" s="1">
        <v>25803557</v>
      </c>
      <c r="D97" s="1" t="s">
        <v>13</v>
      </c>
      <c r="E97" s="7" t="s">
        <v>100</v>
      </c>
      <c r="F97" s="5">
        <v>4</v>
      </c>
      <c r="G97" s="9">
        <v>45991</v>
      </c>
      <c r="H97" s="8" t="s">
        <v>45</v>
      </c>
      <c r="I97" s="7" t="s">
        <v>16</v>
      </c>
      <c r="J97" s="13">
        <v>-393.25</v>
      </c>
      <c r="K97" s="13">
        <v>-393.25</v>
      </c>
      <c r="L97" s="11">
        <f t="shared" si="28"/>
        <v>-393.25</v>
      </c>
      <c r="M97" s="27" t="str">
        <f t="shared" si="29"/>
        <v/>
      </c>
      <c r="N97" s="28"/>
    </row>
    <row r="98" spans="1:14" x14ac:dyDescent="0.15">
      <c r="A98" s="34" t="s">
        <v>17</v>
      </c>
      <c r="B98" s="34"/>
      <c r="C98" s="34"/>
      <c r="D98" s="34"/>
      <c r="E98" s="34"/>
      <c r="F98" s="5"/>
      <c r="G98" s="3"/>
      <c r="H98" s="3"/>
      <c r="I98" s="3"/>
      <c r="J98" s="13"/>
      <c r="K98" s="12">
        <v>2604.25</v>
      </c>
    </row>
    <row r="99" spans="1:14" x14ac:dyDescent="0.15">
      <c r="A99" s="35" t="s">
        <v>101</v>
      </c>
      <c r="B99" s="36"/>
      <c r="C99" s="36"/>
      <c r="D99" s="36"/>
      <c r="E99" s="36"/>
      <c r="F99" s="36"/>
      <c r="G99" s="36"/>
      <c r="H99" s="36"/>
      <c r="I99" s="36"/>
      <c r="J99" s="37"/>
      <c r="K99" s="37"/>
    </row>
    <row r="100" spans="1:14" ht="14" x14ac:dyDescent="0.15">
      <c r="A100" s="1">
        <v>25803280</v>
      </c>
      <c r="B100" s="10">
        <v>45966</v>
      </c>
      <c r="C100" s="1">
        <v>25803280</v>
      </c>
      <c r="D100" s="1" t="s">
        <v>13</v>
      </c>
      <c r="E100" s="7" t="s">
        <v>102</v>
      </c>
      <c r="F100" s="5">
        <v>19</v>
      </c>
      <c r="G100" s="9">
        <v>45973</v>
      </c>
      <c r="H100" s="8" t="s">
        <v>103</v>
      </c>
      <c r="I100" s="7" t="s">
        <v>16</v>
      </c>
      <c r="J100" s="13">
        <v>4533.6400000000003</v>
      </c>
      <c r="K100" s="13">
        <v>4533.6400000000003</v>
      </c>
      <c r="L100" s="11" t="str">
        <f t="shared" ref="L100:L103" si="30">IF(F100&lt;14,K100,"")</f>
        <v/>
      </c>
      <c r="M100" s="27"/>
      <c r="N100" s="28">
        <v>4533.6400000000003</v>
      </c>
    </row>
    <row r="101" spans="1:14" ht="14" x14ac:dyDescent="0.15">
      <c r="A101" s="1">
        <v>25803299</v>
      </c>
      <c r="B101" s="9">
        <v>45972</v>
      </c>
      <c r="C101" s="1">
        <v>25803299</v>
      </c>
      <c r="D101" s="1" t="s">
        <v>13</v>
      </c>
      <c r="E101" s="7" t="s">
        <v>104</v>
      </c>
      <c r="F101" s="5">
        <v>13</v>
      </c>
      <c r="G101" s="9">
        <v>45991</v>
      </c>
      <c r="H101" s="8" t="s">
        <v>15</v>
      </c>
      <c r="I101" s="7" t="s">
        <v>16</v>
      </c>
      <c r="J101" s="13">
        <v>2858</v>
      </c>
      <c r="K101" s="13">
        <v>2858</v>
      </c>
      <c r="L101" s="11">
        <f t="shared" si="30"/>
        <v>2858</v>
      </c>
      <c r="M101" s="27" t="str">
        <f t="shared" ref="M101:M103" si="31">IF(F101&gt;15,K101,"")</f>
        <v/>
      </c>
      <c r="N101" s="28"/>
    </row>
    <row r="102" spans="1:14" ht="14" x14ac:dyDescent="0.15">
      <c r="A102" s="1">
        <v>25803459</v>
      </c>
      <c r="B102" s="9">
        <v>45972</v>
      </c>
      <c r="C102" s="1">
        <v>25803459</v>
      </c>
      <c r="D102" s="1" t="s">
        <v>13</v>
      </c>
      <c r="E102" s="7" t="s">
        <v>105</v>
      </c>
      <c r="F102" s="5">
        <v>13</v>
      </c>
      <c r="G102" s="9">
        <v>45991</v>
      </c>
      <c r="H102" s="8" t="s">
        <v>15</v>
      </c>
      <c r="I102" s="7" t="s">
        <v>16</v>
      </c>
      <c r="J102" s="13">
        <v>3409</v>
      </c>
      <c r="K102" s="13">
        <v>3409</v>
      </c>
      <c r="L102" s="11">
        <f t="shared" si="30"/>
        <v>3409</v>
      </c>
      <c r="M102" s="27" t="str">
        <f t="shared" si="31"/>
        <v/>
      </c>
      <c r="N102" s="28"/>
    </row>
    <row r="103" spans="1:14" ht="14" x14ac:dyDescent="0.15">
      <c r="A103" s="1">
        <v>25803480</v>
      </c>
      <c r="B103" s="9">
        <v>45972</v>
      </c>
      <c r="C103" s="1">
        <v>25803480</v>
      </c>
      <c r="D103" s="1" t="s">
        <v>13</v>
      </c>
      <c r="E103" s="7" t="s">
        <v>106</v>
      </c>
      <c r="F103" s="5">
        <v>13</v>
      </c>
      <c r="G103" s="9">
        <v>45991</v>
      </c>
      <c r="H103" s="8" t="s">
        <v>15</v>
      </c>
      <c r="I103" s="7" t="s">
        <v>16</v>
      </c>
      <c r="J103" s="13">
        <v>4626</v>
      </c>
      <c r="K103" s="13">
        <v>4626</v>
      </c>
      <c r="L103" s="11">
        <f t="shared" si="30"/>
        <v>4626</v>
      </c>
      <c r="M103" s="27" t="str">
        <f t="shared" si="31"/>
        <v/>
      </c>
      <c r="N103" s="28"/>
    </row>
    <row r="104" spans="1:14" x14ac:dyDescent="0.15">
      <c r="A104" s="34" t="s">
        <v>17</v>
      </c>
      <c r="B104" s="34"/>
      <c r="C104" s="34"/>
      <c r="D104" s="34"/>
      <c r="E104" s="34"/>
      <c r="F104" s="5"/>
      <c r="G104" s="3"/>
      <c r="H104" s="3"/>
      <c r="I104" s="3"/>
      <c r="J104" s="13"/>
      <c r="K104" s="12">
        <v>15426.64</v>
      </c>
    </row>
    <row r="105" spans="1:14" x14ac:dyDescent="0.15">
      <c r="A105" s="35" t="s">
        <v>107</v>
      </c>
      <c r="B105" s="36"/>
      <c r="C105" s="36"/>
      <c r="D105" s="36"/>
      <c r="E105" s="36"/>
      <c r="F105" s="36"/>
      <c r="G105" s="36"/>
      <c r="H105" s="36"/>
      <c r="I105" s="36"/>
      <c r="J105" s="37"/>
      <c r="K105" s="37"/>
    </row>
    <row r="106" spans="1:14" ht="14" x14ac:dyDescent="0.15">
      <c r="A106" s="1">
        <v>25803411</v>
      </c>
      <c r="B106" s="9">
        <v>45972</v>
      </c>
      <c r="C106" s="1">
        <v>25803411</v>
      </c>
      <c r="D106" s="1" t="s">
        <v>13</v>
      </c>
      <c r="E106" s="7" t="s">
        <v>108</v>
      </c>
      <c r="F106" s="5">
        <v>13</v>
      </c>
      <c r="G106" s="9">
        <v>45991</v>
      </c>
      <c r="H106" s="8" t="s">
        <v>77</v>
      </c>
      <c r="I106" s="7" t="s">
        <v>16</v>
      </c>
      <c r="J106" s="13">
        <v>3027.5</v>
      </c>
      <c r="K106" s="13">
        <v>3027.5</v>
      </c>
      <c r="L106" s="11">
        <f t="shared" ref="L106:L108" si="32">IF(F106&lt;14,K106,"")</f>
        <v>3027.5</v>
      </c>
      <c r="M106" s="27" t="str">
        <f t="shared" ref="M106:M108" si="33">IF(F106&gt;15,K106,"")</f>
        <v/>
      </c>
      <c r="N106" s="28"/>
    </row>
    <row r="107" spans="1:14" ht="14" x14ac:dyDescent="0.15">
      <c r="A107" s="1">
        <v>25803479</v>
      </c>
      <c r="B107" s="9">
        <v>45972</v>
      </c>
      <c r="C107" s="1">
        <v>25803479</v>
      </c>
      <c r="D107" s="1" t="s">
        <v>13</v>
      </c>
      <c r="E107" s="7" t="s">
        <v>109</v>
      </c>
      <c r="F107" s="5">
        <v>13</v>
      </c>
      <c r="G107" s="9">
        <v>45991</v>
      </c>
      <c r="H107" s="8" t="s">
        <v>77</v>
      </c>
      <c r="I107" s="7" t="s">
        <v>16</v>
      </c>
      <c r="J107" s="13">
        <v>3027.5</v>
      </c>
      <c r="K107" s="13">
        <v>3027.5</v>
      </c>
      <c r="L107" s="11">
        <f t="shared" si="32"/>
        <v>3027.5</v>
      </c>
      <c r="M107" s="27" t="str">
        <f t="shared" si="33"/>
        <v/>
      </c>
      <c r="N107" s="28"/>
    </row>
    <row r="108" spans="1:14" ht="14" x14ac:dyDescent="0.15">
      <c r="A108" s="1">
        <v>25803482</v>
      </c>
      <c r="B108" s="9">
        <v>45972</v>
      </c>
      <c r="C108" s="1">
        <v>25803482</v>
      </c>
      <c r="D108" s="1" t="s">
        <v>13</v>
      </c>
      <c r="E108" s="7" t="s">
        <v>110</v>
      </c>
      <c r="F108" s="5">
        <v>13</v>
      </c>
      <c r="G108" s="9">
        <v>45991</v>
      </c>
      <c r="H108" s="8" t="s">
        <v>77</v>
      </c>
      <c r="I108" s="7" t="s">
        <v>16</v>
      </c>
      <c r="J108" s="13">
        <v>2809.5</v>
      </c>
      <c r="K108" s="13">
        <v>2809.5</v>
      </c>
      <c r="L108" s="11">
        <f t="shared" si="32"/>
        <v>2809.5</v>
      </c>
      <c r="M108" s="27" t="str">
        <f t="shared" si="33"/>
        <v/>
      </c>
      <c r="N108" s="28"/>
    </row>
    <row r="109" spans="1:14" x14ac:dyDescent="0.15">
      <c r="A109" s="34" t="s">
        <v>17</v>
      </c>
      <c r="B109" s="34"/>
      <c r="C109" s="34"/>
      <c r="D109" s="34"/>
      <c r="E109" s="34"/>
      <c r="F109" s="5"/>
      <c r="G109" s="3"/>
      <c r="H109" s="3"/>
      <c r="I109" s="3"/>
      <c r="J109" s="13"/>
      <c r="K109" s="12">
        <v>8864.5</v>
      </c>
    </row>
    <row r="110" spans="1:14" x14ac:dyDescent="0.15">
      <c r="A110" s="35" t="s">
        <v>111</v>
      </c>
      <c r="B110" s="36"/>
      <c r="C110" s="36"/>
      <c r="D110" s="36"/>
      <c r="E110" s="36"/>
      <c r="F110" s="36"/>
      <c r="G110" s="36"/>
      <c r="H110" s="36"/>
      <c r="I110" s="36"/>
      <c r="J110" s="37"/>
      <c r="K110" s="37"/>
    </row>
    <row r="111" spans="1:14" ht="14" x14ac:dyDescent="0.15">
      <c r="A111" s="1">
        <v>25803372</v>
      </c>
      <c r="B111" s="9">
        <v>45972</v>
      </c>
      <c r="C111" s="1">
        <v>25803372</v>
      </c>
      <c r="D111" s="1" t="s">
        <v>13</v>
      </c>
      <c r="E111" s="7" t="s">
        <v>112</v>
      </c>
      <c r="F111" s="5">
        <v>13</v>
      </c>
      <c r="G111" s="9">
        <v>45991</v>
      </c>
      <c r="H111" s="8" t="s">
        <v>113</v>
      </c>
      <c r="I111" s="7" t="s">
        <v>16</v>
      </c>
      <c r="J111" s="13">
        <v>3734.95</v>
      </c>
      <c r="K111" s="13">
        <v>3734.95</v>
      </c>
      <c r="L111" s="11">
        <f t="shared" ref="L111" si="34">IF(F111&lt;14,K111,"")</f>
        <v>3734.95</v>
      </c>
      <c r="M111" s="27" t="str">
        <f t="shared" ref="M111" si="35">IF(F111&gt;15,K111,"")</f>
        <v/>
      </c>
      <c r="N111" s="28"/>
    </row>
    <row r="112" spans="1:14" x14ac:dyDescent="0.15">
      <c r="A112" s="34" t="s">
        <v>17</v>
      </c>
      <c r="B112" s="34"/>
      <c r="C112" s="34"/>
      <c r="D112" s="34"/>
      <c r="E112" s="34"/>
      <c r="F112" s="5"/>
      <c r="G112" s="3"/>
      <c r="H112" s="3"/>
      <c r="I112" s="3"/>
      <c r="J112" s="13"/>
      <c r="K112" s="12">
        <v>3734.95</v>
      </c>
    </row>
    <row r="113" spans="1:14" x14ac:dyDescent="0.15">
      <c r="A113" s="35" t="s">
        <v>114</v>
      </c>
      <c r="B113" s="36"/>
      <c r="C113" s="36"/>
      <c r="D113" s="36"/>
      <c r="E113" s="36"/>
      <c r="F113" s="36"/>
      <c r="G113" s="36"/>
      <c r="H113" s="36"/>
      <c r="I113" s="36"/>
      <c r="J113" s="37"/>
      <c r="K113" s="37"/>
    </row>
    <row r="114" spans="1:14" ht="14" x14ac:dyDescent="0.15">
      <c r="A114" s="1">
        <v>25800598</v>
      </c>
      <c r="B114" s="10">
        <v>45713</v>
      </c>
      <c r="C114" s="1">
        <v>25800598</v>
      </c>
      <c r="D114" s="1" t="s">
        <v>13</v>
      </c>
      <c r="E114" s="7" t="s">
        <v>115</v>
      </c>
      <c r="F114" s="5">
        <v>272</v>
      </c>
      <c r="G114" s="10">
        <v>45727</v>
      </c>
      <c r="H114" s="8" t="s">
        <v>116</v>
      </c>
      <c r="I114" s="7" t="s">
        <v>16</v>
      </c>
      <c r="J114" s="13">
        <v>3448.5</v>
      </c>
      <c r="K114" s="13">
        <v>3448.5</v>
      </c>
      <c r="L114" s="11" t="str">
        <f t="shared" ref="L114:L116" si="36">IF(F114&lt;14,K114,"")</f>
        <v/>
      </c>
      <c r="M114" s="27">
        <f t="shared" ref="M114:M116" si="37">IF(F114&gt;15,K114,"")</f>
        <v>3448.5</v>
      </c>
      <c r="N114" s="28"/>
    </row>
    <row r="115" spans="1:14" ht="14" x14ac:dyDescent="0.15">
      <c r="A115" s="1">
        <v>25801002</v>
      </c>
      <c r="B115" s="10">
        <v>45756</v>
      </c>
      <c r="C115" s="1">
        <v>25801002</v>
      </c>
      <c r="D115" s="1" t="s">
        <v>13</v>
      </c>
      <c r="E115" s="7" t="s">
        <v>117</v>
      </c>
      <c r="F115" s="5">
        <v>229</v>
      </c>
      <c r="G115" s="10">
        <v>45777</v>
      </c>
      <c r="H115" s="8" t="s">
        <v>118</v>
      </c>
      <c r="I115" s="7" t="s">
        <v>16</v>
      </c>
      <c r="J115" s="13">
        <v>127.99</v>
      </c>
      <c r="K115" s="13">
        <v>127.99</v>
      </c>
      <c r="L115" s="11" t="str">
        <f t="shared" si="36"/>
        <v/>
      </c>
      <c r="M115" s="27">
        <f t="shared" si="37"/>
        <v>127.99</v>
      </c>
      <c r="N115" s="28"/>
    </row>
    <row r="116" spans="1:14" ht="14" x14ac:dyDescent="0.15">
      <c r="A116" s="1">
        <v>25801604</v>
      </c>
      <c r="B116" s="10">
        <v>45811</v>
      </c>
      <c r="C116" s="1">
        <v>25801604</v>
      </c>
      <c r="D116" s="1" t="s">
        <v>13</v>
      </c>
      <c r="E116" s="7" t="s">
        <v>119</v>
      </c>
      <c r="F116" s="5">
        <v>174</v>
      </c>
      <c r="G116" s="10">
        <v>45811</v>
      </c>
      <c r="H116" s="8" t="s">
        <v>120</v>
      </c>
      <c r="I116" s="7" t="s">
        <v>16</v>
      </c>
      <c r="J116" s="13">
        <v>-481.2</v>
      </c>
      <c r="K116" s="13">
        <v>-481.2</v>
      </c>
      <c r="L116" s="11" t="str">
        <f t="shared" si="36"/>
        <v/>
      </c>
      <c r="M116" s="27">
        <f t="shared" si="37"/>
        <v>-481.2</v>
      </c>
      <c r="N116" s="28"/>
    </row>
    <row r="117" spans="1:14" x14ac:dyDescent="0.15">
      <c r="A117" s="34" t="s">
        <v>17</v>
      </c>
      <c r="B117" s="34"/>
      <c r="C117" s="34"/>
      <c r="D117" s="34"/>
      <c r="E117" s="34"/>
      <c r="F117" s="5"/>
      <c r="G117" s="3"/>
      <c r="H117" s="3"/>
      <c r="I117" s="3"/>
      <c r="J117" s="13"/>
      <c r="K117" s="12">
        <v>3095.29</v>
      </c>
    </row>
    <row r="118" spans="1:14" x14ac:dyDescent="0.15">
      <c r="A118" s="35" t="s">
        <v>121</v>
      </c>
      <c r="B118" s="36"/>
      <c r="C118" s="36"/>
      <c r="D118" s="36"/>
      <c r="E118" s="36"/>
      <c r="F118" s="36"/>
      <c r="G118" s="36"/>
      <c r="H118" s="36"/>
      <c r="I118" s="36"/>
      <c r="J118" s="37"/>
      <c r="K118" s="37"/>
    </row>
    <row r="119" spans="1:14" ht="14" x14ac:dyDescent="0.15">
      <c r="A119" s="1">
        <v>25803317</v>
      </c>
      <c r="B119" s="9">
        <v>45972</v>
      </c>
      <c r="C119" s="1">
        <v>25803317</v>
      </c>
      <c r="D119" s="1" t="s">
        <v>13</v>
      </c>
      <c r="E119" s="7" t="s">
        <v>122</v>
      </c>
      <c r="F119" s="5">
        <v>13</v>
      </c>
      <c r="G119" s="9">
        <v>45991</v>
      </c>
      <c r="H119" s="8" t="s">
        <v>29</v>
      </c>
      <c r="I119" s="7" t="s">
        <v>16</v>
      </c>
      <c r="J119" s="13">
        <v>3896.78</v>
      </c>
      <c r="K119" s="13">
        <v>3896.78</v>
      </c>
      <c r="L119" s="11">
        <f t="shared" ref="L119:L122" si="38">IF(F119&lt;14,K119,"")</f>
        <v>3896.78</v>
      </c>
      <c r="M119" s="27" t="str">
        <f t="shared" ref="M119:M122" si="39">IF(F119&gt;15,K119,"")</f>
        <v/>
      </c>
      <c r="N119" s="28"/>
    </row>
    <row r="120" spans="1:14" ht="14" x14ac:dyDescent="0.15">
      <c r="A120" s="1">
        <v>25803318</v>
      </c>
      <c r="B120" s="9">
        <v>45972</v>
      </c>
      <c r="C120" s="1">
        <v>25803318</v>
      </c>
      <c r="D120" s="1" t="s">
        <v>13</v>
      </c>
      <c r="E120" s="7" t="s">
        <v>123</v>
      </c>
      <c r="F120" s="5">
        <v>13</v>
      </c>
      <c r="G120" s="9">
        <v>45991</v>
      </c>
      <c r="H120" s="8" t="s">
        <v>29</v>
      </c>
      <c r="I120" s="7" t="s">
        <v>16</v>
      </c>
      <c r="J120" s="13">
        <v>3197</v>
      </c>
      <c r="K120" s="13">
        <v>3197</v>
      </c>
      <c r="L120" s="11">
        <f t="shared" si="38"/>
        <v>3197</v>
      </c>
      <c r="M120" s="27" t="str">
        <f t="shared" si="39"/>
        <v/>
      </c>
      <c r="N120" s="28"/>
    </row>
    <row r="121" spans="1:14" ht="14" x14ac:dyDescent="0.15">
      <c r="A121" s="1">
        <v>25803547</v>
      </c>
      <c r="B121" s="9">
        <v>45975</v>
      </c>
      <c r="C121" s="1">
        <v>25803547</v>
      </c>
      <c r="D121" s="1" t="s">
        <v>13</v>
      </c>
      <c r="E121" s="7" t="s">
        <v>124</v>
      </c>
      <c r="F121" s="5">
        <v>10</v>
      </c>
      <c r="G121" s="9">
        <v>45991</v>
      </c>
      <c r="H121" s="8" t="s">
        <v>45</v>
      </c>
      <c r="I121" s="7" t="s">
        <v>16</v>
      </c>
      <c r="J121" s="13">
        <v>-2653.17</v>
      </c>
      <c r="K121" s="13">
        <v>-2653.17</v>
      </c>
      <c r="L121" s="11">
        <f t="shared" si="38"/>
        <v>-2653.17</v>
      </c>
      <c r="M121" s="27" t="str">
        <f t="shared" si="39"/>
        <v/>
      </c>
      <c r="N121" s="28"/>
    </row>
    <row r="122" spans="1:14" ht="14" x14ac:dyDescent="0.15">
      <c r="A122" s="1">
        <v>25803573</v>
      </c>
      <c r="B122" s="9">
        <v>45981</v>
      </c>
      <c r="C122" s="1">
        <v>25803573</v>
      </c>
      <c r="D122" s="1" t="s">
        <v>13</v>
      </c>
      <c r="E122" s="7" t="s">
        <v>125</v>
      </c>
      <c r="F122" s="5">
        <v>4</v>
      </c>
      <c r="G122" s="9">
        <v>45991</v>
      </c>
      <c r="H122" s="8" t="s">
        <v>45</v>
      </c>
      <c r="I122" s="7" t="s">
        <v>16</v>
      </c>
      <c r="J122" s="13">
        <v>-453.75</v>
      </c>
      <c r="K122" s="13">
        <v>-453.75</v>
      </c>
      <c r="L122" s="11">
        <f t="shared" si="38"/>
        <v>-453.75</v>
      </c>
      <c r="M122" s="27" t="str">
        <f t="shared" si="39"/>
        <v/>
      </c>
      <c r="N122" s="28"/>
    </row>
    <row r="123" spans="1:14" x14ac:dyDescent="0.15">
      <c r="A123" s="34" t="s">
        <v>17</v>
      </c>
      <c r="B123" s="34"/>
      <c r="C123" s="34"/>
      <c r="D123" s="34"/>
      <c r="E123" s="34"/>
      <c r="F123" s="5"/>
      <c r="G123" s="3"/>
      <c r="H123" s="3"/>
      <c r="I123" s="3"/>
      <c r="J123" s="13"/>
      <c r="K123" s="12">
        <v>3986.86</v>
      </c>
    </row>
    <row r="124" spans="1:14" x14ac:dyDescent="0.15">
      <c r="A124" s="35" t="s">
        <v>126</v>
      </c>
      <c r="B124" s="36"/>
      <c r="C124" s="36"/>
      <c r="D124" s="36"/>
      <c r="E124" s="36"/>
      <c r="F124" s="36"/>
      <c r="G124" s="36"/>
      <c r="H124" s="36"/>
      <c r="I124" s="36"/>
      <c r="J124" s="37"/>
      <c r="K124" s="37"/>
    </row>
    <row r="125" spans="1:14" ht="14" x14ac:dyDescent="0.15">
      <c r="A125" s="1">
        <v>25803572</v>
      </c>
      <c r="B125" s="9">
        <v>45981</v>
      </c>
      <c r="C125" s="1">
        <v>25803572</v>
      </c>
      <c r="D125" s="1" t="s">
        <v>13</v>
      </c>
      <c r="E125" s="7" t="s">
        <v>127</v>
      </c>
      <c r="F125" s="5">
        <v>4</v>
      </c>
      <c r="G125" s="9">
        <v>45991</v>
      </c>
      <c r="H125" s="8" t="s">
        <v>45</v>
      </c>
      <c r="I125" s="7" t="s">
        <v>16</v>
      </c>
      <c r="J125" s="13">
        <v>-302.5</v>
      </c>
      <c r="K125" s="13">
        <v>-302.5</v>
      </c>
      <c r="L125" s="11">
        <f t="shared" ref="L125" si="40">IF(F125&lt;14,K125,"")</f>
        <v>-302.5</v>
      </c>
      <c r="M125" s="27" t="str">
        <f t="shared" ref="M125" si="41">IF(F125&gt;15,K125,"")</f>
        <v/>
      </c>
      <c r="N125" s="28"/>
    </row>
    <row r="126" spans="1:14" x14ac:dyDescent="0.15">
      <c r="A126" s="34" t="s">
        <v>17</v>
      </c>
      <c r="B126" s="34"/>
      <c r="C126" s="34"/>
      <c r="D126" s="34"/>
      <c r="E126" s="34"/>
      <c r="F126" s="5"/>
      <c r="G126" s="3"/>
      <c r="H126" s="3"/>
      <c r="I126" s="3"/>
      <c r="J126" s="13"/>
      <c r="K126" s="12">
        <v>-302.5</v>
      </c>
    </row>
    <row r="127" spans="1:14" x14ac:dyDescent="0.15">
      <c r="A127" s="35" t="s">
        <v>128</v>
      </c>
      <c r="B127" s="36"/>
      <c r="C127" s="36"/>
      <c r="D127" s="36"/>
      <c r="E127" s="36"/>
      <c r="F127" s="36"/>
      <c r="G127" s="36"/>
      <c r="H127" s="36"/>
      <c r="I127" s="36"/>
      <c r="J127" s="37"/>
      <c r="K127" s="37"/>
    </row>
    <row r="128" spans="1:14" ht="14" x14ac:dyDescent="0.15">
      <c r="A128" s="1">
        <v>25803457</v>
      </c>
      <c r="B128" s="9">
        <v>45972</v>
      </c>
      <c r="C128" s="1">
        <v>25803457</v>
      </c>
      <c r="D128" s="1" t="s">
        <v>13</v>
      </c>
      <c r="E128" s="7" t="s">
        <v>129</v>
      </c>
      <c r="F128" s="5">
        <v>13</v>
      </c>
      <c r="G128" s="9">
        <v>45991</v>
      </c>
      <c r="H128" s="8" t="s">
        <v>130</v>
      </c>
      <c r="I128" s="7" t="s">
        <v>16</v>
      </c>
      <c r="J128" s="13">
        <v>3351.87</v>
      </c>
      <c r="K128" s="13">
        <v>3351.87</v>
      </c>
      <c r="L128" s="11">
        <f t="shared" ref="L128:L129" si="42">IF(F128&lt;14,K128,"")</f>
        <v>3351.87</v>
      </c>
      <c r="M128" s="27" t="str">
        <f t="shared" ref="M128:M129" si="43">IF(F128&gt;15,K128,"")</f>
        <v/>
      </c>
      <c r="N128" s="28"/>
    </row>
    <row r="129" spans="1:14" ht="14" x14ac:dyDescent="0.15">
      <c r="A129" s="1">
        <v>25803481</v>
      </c>
      <c r="B129" s="9">
        <v>45972</v>
      </c>
      <c r="C129" s="1">
        <v>25803481</v>
      </c>
      <c r="D129" s="1" t="s">
        <v>13</v>
      </c>
      <c r="E129" s="7" t="s">
        <v>131</v>
      </c>
      <c r="F129" s="5">
        <v>13</v>
      </c>
      <c r="G129" s="9">
        <v>45991</v>
      </c>
      <c r="H129" s="8" t="s">
        <v>130</v>
      </c>
      <c r="I129" s="7" t="s">
        <v>16</v>
      </c>
      <c r="J129" s="13">
        <v>3025.76</v>
      </c>
      <c r="K129" s="13">
        <v>3025.76</v>
      </c>
      <c r="L129" s="11">
        <f t="shared" si="42"/>
        <v>3025.76</v>
      </c>
      <c r="M129" s="27" t="str">
        <f t="shared" si="43"/>
        <v/>
      </c>
      <c r="N129" s="28"/>
    </row>
    <row r="130" spans="1:14" x14ac:dyDescent="0.15">
      <c r="A130" s="34" t="s">
        <v>17</v>
      </c>
      <c r="B130" s="34"/>
      <c r="C130" s="34"/>
      <c r="D130" s="34"/>
      <c r="E130" s="34"/>
      <c r="F130" s="5"/>
      <c r="G130" s="3"/>
      <c r="H130" s="3"/>
      <c r="I130" s="3"/>
      <c r="J130" s="13"/>
      <c r="K130" s="12">
        <v>6377.63</v>
      </c>
    </row>
    <row r="131" spans="1:14" x14ac:dyDescent="0.15">
      <c r="A131" s="35" t="s">
        <v>132</v>
      </c>
      <c r="B131" s="36"/>
      <c r="C131" s="36"/>
      <c r="D131" s="36"/>
      <c r="E131" s="36"/>
      <c r="F131" s="36"/>
      <c r="G131" s="36"/>
      <c r="H131" s="36"/>
      <c r="I131" s="36"/>
      <c r="J131" s="37"/>
      <c r="K131" s="37"/>
    </row>
    <row r="132" spans="1:14" ht="14" x14ac:dyDescent="0.15">
      <c r="A132" s="1">
        <v>25803423</v>
      </c>
      <c r="B132" s="9">
        <v>45972</v>
      </c>
      <c r="C132" s="1">
        <v>25803423</v>
      </c>
      <c r="D132" s="1" t="s">
        <v>13</v>
      </c>
      <c r="E132" s="7" t="s">
        <v>133</v>
      </c>
      <c r="F132" s="5">
        <v>13</v>
      </c>
      <c r="G132" s="9">
        <v>45991</v>
      </c>
      <c r="H132" s="8" t="s">
        <v>134</v>
      </c>
      <c r="I132" s="7" t="s">
        <v>16</v>
      </c>
      <c r="J132" s="13">
        <v>3142.5</v>
      </c>
      <c r="K132" s="13">
        <v>3142.5</v>
      </c>
      <c r="L132" s="11">
        <f t="shared" ref="L132:L134" si="44">IF(F132&lt;14,K132,"")</f>
        <v>3142.5</v>
      </c>
      <c r="M132" s="27" t="str">
        <f t="shared" ref="M132:M134" si="45">IF(F132&gt;15,K132,"")</f>
        <v/>
      </c>
      <c r="N132" s="28"/>
    </row>
    <row r="133" spans="1:14" ht="14" x14ac:dyDescent="0.15">
      <c r="A133" s="1">
        <v>25803455</v>
      </c>
      <c r="B133" s="9">
        <v>45972</v>
      </c>
      <c r="C133" s="1">
        <v>25803455</v>
      </c>
      <c r="D133" s="1" t="s">
        <v>13</v>
      </c>
      <c r="E133" s="7" t="s">
        <v>135</v>
      </c>
      <c r="F133" s="5">
        <v>13</v>
      </c>
      <c r="G133" s="9">
        <v>45991</v>
      </c>
      <c r="H133" s="8" t="s">
        <v>134</v>
      </c>
      <c r="I133" s="7" t="s">
        <v>16</v>
      </c>
      <c r="J133" s="13">
        <v>20235.73</v>
      </c>
      <c r="K133" s="13">
        <v>20235.73</v>
      </c>
      <c r="L133" s="11">
        <f t="shared" si="44"/>
        <v>20235.73</v>
      </c>
      <c r="M133" s="27" t="str">
        <f t="shared" si="45"/>
        <v/>
      </c>
      <c r="N133" s="28"/>
    </row>
    <row r="134" spans="1:14" ht="14" x14ac:dyDescent="0.15">
      <c r="A134" s="1">
        <v>25803499</v>
      </c>
      <c r="B134" s="9">
        <v>45972</v>
      </c>
      <c r="C134" s="1">
        <v>25803499</v>
      </c>
      <c r="D134" s="1" t="s">
        <v>13</v>
      </c>
      <c r="E134" s="7" t="s">
        <v>136</v>
      </c>
      <c r="F134" s="5">
        <v>13</v>
      </c>
      <c r="G134" s="9">
        <v>45991</v>
      </c>
      <c r="H134" s="8" t="s">
        <v>134</v>
      </c>
      <c r="I134" s="7" t="s">
        <v>16</v>
      </c>
      <c r="J134" s="13">
        <v>2591.5</v>
      </c>
      <c r="K134" s="13">
        <v>2591.5</v>
      </c>
      <c r="L134" s="11">
        <f t="shared" si="44"/>
        <v>2591.5</v>
      </c>
      <c r="M134" s="27" t="str">
        <f t="shared" si="45"/>
        <v/>
      </c>
      <c r="N134" s="28"/>
    </row>
    <row r="135" spans="1:14" x14ac:dyDescent="0.15">
      <c r="A135" s="34" t="s">
        <v>17</v>
      </c>
      <c r="B135" s="34"/>
      <c r="C135" s="34"/>
      <c r="D135" s="34"/>
      <c r="E135" s="34"/>
      <c r="F135" s="5"/>
      <c r="G135" s="3"/>
      <c r="H135" s="3"/>
      <c r="I135" s="3"/>
      <c r="J135" s="13"/>
      <c r="K135" s="12">
        <v>25969.73</v>
      </c>
    </row>
    <row r="136" spans="1:14" x14ac:dyDescent="0.15">
      <c r="A136" s="35" t="s">
        <v>137</v>
      </c>
      <c r="B136" s="36"/>
      <c r="C136" s="36"/>
      <c r="D136" s="36"/>
      <c r="E136" s="36"/>
      <c r="F136" s="36"/>
      <c r="G136" s="36"/>
      <c r="H136" s="36"/>
      <c r="I136" s="36"/>
      <c r="J136" s="37"/>
      <c r="K136" s="37"/>
    </row>
    <row r="137" spans="1:14" ht="14" x14ac:dyDescent="0.15">
      <c r="A137" s="1">
        <v>25802656</v>
      </c>
      <c r="B137" s="10">
        <v>45901</v>
      </c>
      <c r="C137" s="1">
        <v>25802656</v>
      </c>
      <c r="D137" s="1" t="s">
        <v>13</v>
      </c>
      <c r="E137" s="7" t="s">
        <v>138</v>
      </c>
      <c r="F137" s="5">
        <v>84</v>
      </c>
      <c r="G137" s="10">
        <v>45915</v>
      </c>
      <c r="H137" s="8" t="s">
        <v>139</v>
      </c>
      <c r="I137" s="7" t="s">
        <v>16</v>
      </c>
      <c r="J137" s="13">
        <v>2160.71</v>
      </c>
      <c r="K137" s="13">
        <v>2160.71</v>
      </c>
      <c r="L137" s="11" t="str">
        <f t="shared" ref="L137:L140" si="46">IF(F137&lt;14,K137,"")</f>
        <v/>
      </c>
      <c r="M137" s="27">
        <f t="shared" ref="M137:M140" si="47">IF(F137&gt;15,K137,"")</f>
        <v>2160.71</v>
      </c>
      <c r="N137" s="28"/>
    </row>
    <row r="138" spans="1:14" ht="14" x14ac:dyDescent="0.15">
      <c r="A138" s="1">
        <v>25802931</v>
      </c>
      <c r="B138" s="10">
        <v>45915</v>
      </c>
      <c r="C138" s="1">
        <v>25802931</v>
      </c>
      <c r="D138" s="1" t="s">
        <v>13</v>
      </c>
      <c r="E138" s="7" t="s">
        <v>140</v>
      </c>
      <c r="F138" s="5">
        <v>70</v>
      </c>
      <c r="G138" s="10">
        <v>45930</v>
      </c>
      <c r="H138" s="8" t="s">
        <v>141</v>
      </c>
      <c r="I138" s="7" t="s">
        <v>16</v>
      </c>
      <c r="J138" s="13">
        <v>1110.03</v>
      </c>
      <c r="K138" s="13">
        <v>1110.03</v>
      </c>
      <c r="L138" s="11" t="str">
        <f t="shared" si="46"/>
        <v/>
      </c>
      <c r="M138" s="27">
        <f t="shared" si="47"/>
        <v>1110.03</v>
      </c>
      <c r="N138" s="28"/>
    </row>
    <row r="139" spans="1:14" ht="14" x14ac:dyDescent="0.15">
      <c r="A139" s="1">
        <v>25803494</v>
      </c>
      <c r="B139" s="9">
        <v>45972</v>
      </c>
      <c r="C139" s="1">
        <v>25803494</v>
      </c>
      <c r="D139" s="1" t="s">
        <v>13</v>
      </c>
      <c r="E139" s="7" t="s">
        <v>142</v>
      </c>
      <c r="F139" s="5">
        <v>13</v>
      </c>
      <c r="G139" s="9">
        <v>45991</v>
      </c>
      <c r="H139" s="8" t="s">
        <v>143</v>
      </c>
      <c r="I139" s="7" t="s">
        <v>16</v>
      </c>
      <c r="J139" s="13">
        <v>1943.7</v>
      </c>
      <c r="K139" s="13">
        <v>1943.7</v>
      </c>
      <c r="L139" s="11">
        <f t="shared" si="46"/>
        <v>1943.7</v>
      </c>
      <c r="M139" s="27" t="str">
        <f t="shared" si="47"/>
        <v/>
      </c>
      <c r="N139" s="28"/>
    </row>
    <row r="140" spans="1:14" ht="14" x14ac:dyDescent="0.15">
      <c r="A140" s="1">
        <v>25803567</v>
      </c>
      <c r="B140" s="9">
        <v>45981</v>
      </c>
      <c r="C140" s="1">
        <v>25803567</v>
      </c>
      <c r="D140" s="1" t="s">
        <v>13</v>
      </c>
      <c r="E140" s="7" t="s">
        <v>144</v>
      </c>
      <c r="F140" s="5">
        <v>4</v>
      </c>
      <c r="G140" s="9">
        <v>45991</v>
      </c>
      <c r="H140" s="8" t="s">
        <v>45</v>
      </c>
      <c r="I140" s="7" t="s">
        <v>16</v>
      </c>
      <c r="J140" s="13">
        <v>-453.75</v>
      </c>
      <c r="K140" s="13">
        <v>-453.75</v>
      </c>
      <c r="L140" s="11">
        <f t="shared" si="46"/>
        <v>-453.75</v>
      </c>
      <c r="M140" s="27" t="str">
        <f t="shared" si="47"/>
        <v/>
      </c>
      <c r="N140" s="28"/>
    </row>
    <row r="141" spans="1:14" x14ac:dyDescent="0.15">
      <c r="A141" s="34" t="s">
        <v>17</v>
      </c>
      <c r="B141" s="34"/>
      <c r="C141" s="34"/>
      <c r="D141" s="34"/>
      <c r="E141" s="34"/>
      <c r="F141" s="5"/>
      <c r="G141" s="3"/>
      <c r="H141" s="3"/>
      <c r="I141" s="3"/>
      <c r="J141" s="13"/>
      <c r="K141" s="12">
        <v>4760.6899999999996</v>
      </c>
    </row>
    <row r="142" spans="1:14" x14ac:dyDescent="0.15">
      <c r="A142" s="35" t="s">
        <v>145</v>
      </c>
      <c r="B142" s="36"/>
      <c r="C142" s="36"/>
      <c r="D142" s="36"/>
      <c r="E142" s="36"/>
      <c r="F142" s="36"/>
      <c r="G142" s="36"/>
      <c r="H142" s="36"/>
      <c r="I142" s="36"/>
      <c r="J142" s="37"/>
      <c r="K142" s="37"/>
    </row>
    <row r="143" spans="1:14" ht="14" x14ac:dyDescent="0.15">
      <c r="A143" s="1">
        <v>25803261</v>
      </c>
      <c r="B143" s="10">
        <v>45965</v>
      </c>
      <c r="C143" s="1">
        <v>25803261</v>
      </c>
      <c r="D143" s="1" t="s">
        <v>13</v>
      </c>
      <c r="E143" s="7" t="s">
        <v>146</v>
      </c>
      <c r="F143" s="5">
        <v>20</v>
      </c>
      <c r="G143" s="9">
        <v>45991</v>
      </c>
      <c r="H143" s="8" t="s">
        <v>147</v>
      </c>
      <c r="I143" s="7" t="s">
        <v>16</v>
      </c>
      <c r="J143" s="13">
        <v>259.55</v>
      </c>
      <c r="K143" s="13">
        <v>259.55</v>
      </c>
      <c r="L143" s="11" t="str">
        <f t="shared" ref="L143:L150" si="48">IF(F143&lt;14,K143,"")</f>
        <v/>
      </c>
      <c r="M143" s="27">
        <f t="shared" ref="M143:M150" si="49">IF(F143&gt;15,K143,"")</f>
        <v>259.55</v>
      </c>
      <c r="N143" s="28"/>
    </row>
    <row r="144" spans="1:14" ht="14" x14ac:dyDescent="0.15">
      <c r="A144" s="1">
        <v>25803287</v>
      </c>
      <c r="B144" s="10">
        <v>45968</v>
      </c>
      <c r="C144" s="1">
        <v>25803287</v>
      </c>
      <c r="D144" s="1" t="s">
        <v>13</v>
      </c>
      <c r="E144" s="7" t="s">
        <v>148</v>
      </c>
      <c r="F144" s="5">
        <v>17</v>
      </c>
      <c r="G144" s="9">
        <v>45991</v>
      </c>
      <c r="H144" s="8" t="s">
        <v>149</v>
      </c>
      <c r="I144" s="7" t="s">
        <v>16</v>
      </c>
      <c r="J144" s="13">
        <v>1404.85</v>
      </c>
      <c r="K144" s="13">
        <v>1404.85</v>
      </c>
      <c r="L144" s="11" t="str">
        <f t="shared" si="48"/>
        <v/>
      </c>
      <c r="M144" s="27">
        <f t="shared" si="49"/>
        <v>1404.85</v>
      </c>
      <c r="N144" s="28"/>
    </row>
    <row r="145" spans="1:14" ht="14" x14ac:dyDescent="0.15">
      <c r="A145" s="1">
        <v>25803342</v>
      </c>
      <c r="B145" s="9">
        <v>45972</v>
      </c>
      <c r="C145" s="1">
        <v>25803342</v>
      </c>
      <c r="D145" s="1" t="s">
        <v>13</v>
      </c>
      <c r="E145" s="7" t="s">
        <v>150</v>
      </c>
      <c r="F145" s="5">
        <v>13</v>
      </c>
      <c r="G145" s="9">
        <v>45991</v>
      </c>
      <c r="H145" s="8" t="s">
        <v>29</v>
      </c>
      <c r="I145" s="7" t="s">
        <v>16</v>
      </c>
      <c r="J145" s="13">
        <v>3097.7</v>
      </c>
      <c r="K145" s="13">
        <v>3097.7</v>
      </c>
      <c r="L145" s="11">
        <f t="shared" si="48"/>
        <v>3097.7</v>
      </c>
      <c r="M145" s="27" t="str">
        <f t="shared" si="49"/>
        <v/>
      </c>
      <c r="N145" s="28"/>
    </row>
    <row r="146" spans="1:14" ht="14" x14ac:dyDescent="0.15">
      <c r="A146" s="1">
        <v>25803345</v>
      </c>
      <c r="B146" s="9">
        <v>45972</v>
      </c>
      <c r="C146" s="1">
        <v>25803345</v>
      </c>
      <c r="D146" s="1" t="s">
        <v>13</v>
      </c>
      <c r="E146" s="7" t="s">
        <v>151</v>
      </c>
      <c r="F146" s="5">
        <v>13</v>
      </c>
      <c r="G146" s="9">
        <v>45991</v>
      </c>
      <c r="H146" s="8" t="s">
        <v>29</v>
      </c>
      <c r="I146" s="7" t="s">
        <v>16</v>
      </c>
      <c r="J146" s="13">
        <v>4130.2700000000004</v>
      </c>
      <c r="K146" s="13">
        <v>4130.2700000000004</v>
      </c>
      <c r="L146" s="11">
        <f t="shared" si="48"/>
        <v>4130.2700000000004</v>
      </c>
      <c r="M146" s="27" t="str">
        <f t="shared" si="49"/>
        <v/>
      </c>
      <c r="N146" s="28"/>
    </row>
    <row r="147" spans="1:14" ht="14" x14ac:dyDescent="0.15">
      <c r="A147" s="1">
        <v>25803353</v>
      </c>
      <c r="B147" s="9">
        <v>45972</v>
      </c>
      <c r="C147" s="1">
        <v>25803353</v>
      </c>
      <c r="D147" s="1" t="s">
        <v>13</v>
      </c>
      <c r="E147" s="7" t="s">
        <v>152</v>
      </c>
      <c r="F147" s="5">
        <v>13</v>
      </c>
      <c r="G147" s="9">
        <v>45991</v>
      </c>
      <c r="H147" s="8" t="s">
        <v>29</v>
      </c>
      <c r="I147" s="7" t="s">
        <v>16</v>
      </c>
      <c r="J147" s="13">
        <v>3097.7</v>
      </c>
      <c r="K147" s="13">
        <v>3097.7</v>
      </c>
      <c r="L147" s="11">
        <f t="shared" si="48"/>
        <v>3097.7</v>
      </c>
      <c r="M147" s="27" t="str">
        <f t="shared" si="49"/>
        <v/>
      </c>
      <c r="N147" s="28"/>
    </row>
    <row r="148" spans="1:14" ht="14" x14ac:dyDescent="0.15">
      <c r="A148" s="1">
        <v>25803397</v>
      </c>
      <c r="B148" s="9">
        <v>45972</v>
      </c>
      <c r="C148" s="1">
        <v>25803397</v>
      </c>
      <c r="D148" s="1" t="s">
        <v>13</v>
      </c>
      <c r="E148" s="7" t="s">
        <v>153</v>
      </c>
      <c r="F148" s="5">
        <v>13</v>
      </c>
      <c r="G148" s="9">
        <v>45991</v>
      </c>
      <c r="H148" s="8" t="s">
        <v>29</v>
      </c>
      <c r="I148" s="7" t="s">
        <v>16</v>
      </c>
      <c r="J148" s="13">
        <v>3097.7</v>
      </c>
      <c r="K148" s="13">
        <v>3097.7</v>
      </c>
      <c r="L148" s="11">
        <f t="shared" si="48"/>
        <v>3097.7</v>
      </c>
      <c r="M148" s="27" t="str">
        <f t="shared" si="49"/>
        <v/>
      </c>
      <c r="N148" s="28"/>
    </row>
    <row r="149" spans="1:14" ht="14" x14ac:dyDescent="0.15">
      <c r="A149" s="1">
        <v>25803430</v>
      </c>
      <c r="B149" s="9">
        <v>45972</v>
      </c>
      <c r="C149" s="1">
        <v>25803430</v>
      </c>
      <c r="D149" s="1" t="s">
        <v>13</v>
      </c>
      <c r="E149" s="7" t="s">
        <v>154</v>
      </c>
      <c r="F149" s="5">
        <v>13</v>
      </c>
      <c r="G149" s="9">
        <v>45991</v>
      </c>
      <c r="H149" s="8" t="s">
        <v>29</v>
      </c>
      <c r="I149" s="7" t="s">
        <v>16</v>
      </c>
      <c r="J149" s="13">
        <v>3093.23</v>
      </c>
      <c r="K149" s="13">
        <v>3093.23</v>
      </c>
      <c r="L149" s="11">
        <f t="shared" si="48"/>
        <v>3093.23</v>
      </c>
      <c r="M149" s="27" t="str">
        <f t="shared" si="49"/>
        <v/>
      </c>
      <c r="N149" s="28"/>
    </row>
    <row r="150" spans="1:14" ht="14" x14ac:dyDescent="0.15">
      <c r="A150" s="1">
        <v>25803431</v>
      </c>
      <c r="B150" s="9">
        <v>45972</v>
      </c>
      <c r="C150" s="1">
        <v>25803431</v>
      </c>
      <c r="D150" s="1" t="s">
        <v>13</v>
      </c>
      <c r="E150" s="7" t="s">
        <v>155</v>
      </c>
      <c r="F150" s="5">
        <v>13</v>
      </c>
      <c r="G150" s="9">
        <v>45991</v>
      </c>
      <c r="H150" s="8" t="s">
        <v>29</v>
      </c>
      <c r="I150" s="7" t="s">
        <v>16</v>
      </c>
      <c r="J150" s="13">
        <v>3093.23</v>
      </c>
      <c r="K150" s="13">
        <v>3093.23</v>
      </c>
      <c r="L150" s="11">
        <f t="shared" si="48"/>
        <v>3093.23</v>
      </c>
      <c r="M150" s="27" t="str">
        <f t="shared" si="49"/>
        <v/>
      </c>
      <c r="N150" s="28"/>
    </row>
    <row r="151" spans="1:14" x14ac:dyDescent="0.15">
      <c r="A151" s="34" t="s">
        <v>17</v>
      </c>
      <c r="B151" s="34"/>
      <c r="C151" s="34"/>
      <c r="D151" s="34"/>
      <c r="E151" s="34"/>
      <c r="F151" s="5"/>
      <c r="G151" s="3"/>
      <c r="H151" s="3"/>
      <c r="I151" s="3"/>
      <c r="J151" s="13"/>
      <c r="K151" s="12">
        <v>21274.23</v>
      </c>
    </row>
    <row r="152" spans="1:14" x14ac:dyDescent="0.15">
      <c r="A152" s="35" t="s">
        <v>156</v>
      </c>
      <c r="B152" s="36"/>
      <c r="C152" s="36"/>
      <c r="D152" s="36"/>
      <c r="E152" s="36"/>
      <c r="F152" s="36"/>
      <c r="G152" s="36"/>
      <c r="H152" s="36"/>
      <c r="I152" s="36"/>
      <c r="J152" s="37"/>
      <c r="K152" s="37"/>
    </row>
    <row r="153" spans="1:14" ht="14" x14ac:dyDescent="0.15">
      <c r="A153" s="1">
        <v>25803289</v>
      </c>
      <c r="B153" s="10">
        <v>45968</v>
      </c>
      <c r="C153" s="1">
        <v>25803289</v>
      </c>
      <c r="D153" s="1" t="s">
        <v>13</v>
      </c>
      <c r="E153" s="7" t="s">
        <v>157</v>
      </c>
      <c r="F153" s="5">
        <v>17</v>
      </c>
      <c r="G153" s="9">
        <v>45991</v>
      </c>
      <c r="H153" s="8" t="s">
        <v>45</v>
      </c>
      <c r="I153" s="7" t="s">
        <v>16</v>
      </c>
      <c r="J153" s="13">
        <v>-2950</v>
      </c>
      <c r="K153" s="13">
        <v>-2950</v>
      </c>
      <c r="L153" s="11">
        <v>-2950</v>
      </c>
      <c r="M153" s="27"/>
      <c r="N153" s="28"/>
    </row>
    <row r="154" spans="1:14" ht="14" x14ac:dyDescent="0.15">
      <c r="A154" s="1">
        <v>25803545</v>
      </c>
      <c r="B154" s="9">
        <v>45975</v>
      </c>
      <c r="C154" s="1">
        <v>25803545</v>
      </c>
      <c r="D154" s="1" t="s">
        <v>13</v>
      </c>
      <c r="E154" s="7" t="s">
        <v>158</v>
      </c>
      <c r="F154" s="5">
        <v>10</v>
      </c>
      <c r="G154" s="9">
        <v>45991</v>
      </c>
      <c r="H154" s="8" t="s">
        <v>159</v>
      </c>
      <c r="I154" s="7" t="s">
        <v>16</v>
      </c>
      <c r="J154" s="13">
        <v>174.6</v>
      </c>
      <c r="K154" s="13">
        <v>174.6</v>
      </c>
      <c r="L154" s="11">
        <f t="shared" ref="L154" si="50">IF(F154&lt;14,K154,"")</f>
        <v>174.6</v>
      </c>
      <c r="M154" s="27" t="str">
        <f t="shared" ref="M154" si="51">IF(F154&gt;15,K154,"")</f>
        <v/>
      </c>
      <c r="N154" s="28"/>
    </row>
    <row r="155" spans="1:14" x14ac:dyDescent="0.15">
      <c r="A155" s="34" t="s">
        <v>17</v>
      </c>
      <c r="B155" s="34"/>
      <c r="C155" s="34"/>
      <c r="D155" s="34"/>
      <c r="E155" s="34"/>
      <c r="F155" s="5"/>
      <c r="G155" s="3"/>
      <c r="H155" s="3"/>
      <c r="I155" s="3"/>
      <c r="J155" s="13"/>
      <c r="K155" s="12">
        <v>-2775.4</v>
      </c>
    </row>
    <row r="156" spans="1:14" x14ac:dyDescent="0.15">
      <c r="A156" s="35" t="s">
        <v>160</v>
      </c>
      <c r="B156" s="36"/>
      <c r="C156" s="36"/>
      <c r="D156" s="36"/>
      <c r="E156" s="36"/>
      <c r="F156" s="36"/>
      <c r="G156" s="36"/>
      <c r="H156" s="36"/>
      <c r="I156" s="36"/>
      <c r="J156" s="37"/>
      <c r="K156" s="37"/>
    </row>
    <row r="157" spans="1:14" ht="14" x14ac:dyDescent="0.15">
      <c r="A157" s="1">
        <v>24800903</v>
      </c>
      <c r="B157" s="10">
        <v>45403</v>
      </c>
      <c r="C157" s="1">
        <v>24800903</v>
      </c>
      <c r="D157" s="1" t="s">
        <v>13</v>
      </c>
      <c r="E157" s="7" t="s">
        <v>161</v>
      </c>
      <c r="F157" s="5">
        <v>582</v>
      </c>
      <c r="G157" s="10">
        <v>45407</v>
      </c>
      <c r="H157" s="8" t="s">
        <v>162</v>
      </c>
      <c r="I157" s="7" t="s">
        <v>16</v>
      </c>
      <c r="J157" s="13">
        <v>4005</v>
      </c>
      <c r="K157" s="13">
        <v>4005</v>
      </c>
      <c r="L157" s="11" t="str">
        <f t="shared" ref="L157:L159" si="52">IF(F157&lt;14,K157,"")</f>
        <v/>
      </c>
      <c r="M157" s="27"/>
      <c r="N157" s="28">
        <v>4005</v>
      </c>
    </row>
    <row r="158" spans="1:14" ht="14" x14ac:dyDescent="0.15">
      <c r="A158" s="1">
        <v>24801748</v>
      </c>
      <c r="B158" s="10">
        <v>45506</v>
      </c>
      <c r="C158" s="1">
        <v>24801748</v>
      </c>
      <c r="D158" s="1" t="s">
        <v>13</v>
      </c>
      <c r="E158" s="7" t="s">
        <v>163</v>
      </c>
      <c r="F158" s="5">
        <v>479</v>
      </c>
      <c r="G158" s="10">
        <v>45535</v>
      </c>
      <c r="H158" s="8" t="s">
        <v>164</v>
      </c>
      <c r="I158" s="7" t="s">
        <v>16</v>
      </c>
      <c r="J158" s="13">
        <v>1000</v>
      </c>
      <c r="K158" s="13">
        <v>1000</v>
      </c>
      <c r="L158" s="11" t="str">
        <f t="shared" si="52"/>
        <v/>
      </c>
      <c r="M158" s="27"/>
      <c r="N158" s="28">
        <v>1000</v>
      </c>
    </row>
    <row r="159" spans="1:14" ht="14" x14ac:dyDescent="0.15">
      <c r="A159" s="1">
        <v>25803137</v>
      </c>
      <c r="B159" s="9">
        <v>45940</v>
      </c>
      <c r="C159" s="1">
        <v>25803137</v>
      </c>
      <c r="D159" s="1" t="s">
        <v>13</v>
      </c>
      <c r="E159" s="7" t="s">
        <v>165</v>
      </c>
      <c r="F159" s="5">
        <v>45</v>
      </c>
      <c r="G159" s="9">
        <v>45961</v>
      </c>
      <c r="H159" s="8" t="s">
        <v>166</v>
      </c>
      <c r="I159" s="7" t="s">
        <v>16</v>
      </c>
      <c r="J159" s="13">
        <v>2805.08</v>
      </c>
      <c r="K159" s="13">
        <v>2805.08</v>
      </c>
      <c r="L159" s="11" t="str">
        <f t="shared" si="52"/>
        <v/>
      </c>
      <c r="M159" s="27"/>
      <c r="N159" s="28">
        <v>2805.08</v>
      </c>
    </row>
    <row r="160" spans="1:14" ht="14" x14ac:dyDescent="0.15">
      <c r="A160" s="1">
        <v>25803449</v>
      </c>
      <c r="B160" s="9">
        <v>45972</v>
      </c>
      <c r="C160" s="1">
        <v>25803449</v>
      </c>
      <c r="D160" s="1" t="s">
        <v>13</v>
      </c>
      <c r="E160" s="7" t="s">
        <v>167</v>
      </c>
      <c r="F160" s="5">
        <v>13</v>
      </c>
      <c r="G160" s="9">
        <v>45991</v>
      </c>
      <c r="H160" s="8" t="s">
        <v>168</v>
      </c>
      <c r="I160" s="7" t="s">
        <v>16</v>
      </c>
      <c r="J160" s="13">
        <v>2805.08</v>
      </c>
      <c r="K160" s="13">
        <v>2805.08</v>
      </c>
      <c r="L160" s="11"/>
      <c r="M160" s="27">
        <v>2805.08</v>
      </c>
      <c r="N160" s="28"/>
    </row>
    <row r="161" spans="1:14" x14ac:dyDescent="0.15">
      <c r="A161" s="34" t="s">
        <v>17</v>
      </c>
      <c r="B161" s="34"/>
      <c r="C161" s="34"/>
      <c r="D161" s="34"/>
      <c r="E161" s="34"/>
      <c r="F161" s="5"/>
      <c r="G161" s="3"/>
      <c r="H161" s="3"/>
      <c r="I161" s="3"/>
      <c r="J161" s="13"/>
      <c r="K161" s="12">
        <v>10615.16</v>
      </c>
    </row>
    <row r="162" spans="1:14" x14ac:dyDescent="0.15">
      <c r="A162" s="35" t="s">
        <v>169</v>
      </c>
      <c r="B162" s="36"/>
      <c r="C162" s="36"/>
      <c r="D162" s="36"/>
      <c r="E162" s="36"/>
      <c r="F162" s="36"/>
      <c r="G162" s="36"/>
      <c r="H162" s="36"/>
      <c r="I162" s="36"/>
      <c r="J162" s="37"/>
      <c r="K162" s="37"/>
    </row>
    <row r="163" spans="1:14" ht="14" x14ac:dyDescent="0.15">
      <c r="A163" s="1">
        <v>25803374</v>
      </c>
      <c r="B163" s="9">
        <v>45972</v>
      </c>
      <c r="C163" s="1">
        <v>25803374</v>
      </c>
      <c r="D163" s="1" t="s">
        <v>13</v>
      </c>
      <c r="E163" s="7" t="s">
        <v>170</v>
      </c>
      <c r="F163" s="5">
        <v>13</v>
      </c>
      <c r="G163" s="9">
        <v>45991</v>
      </c>
      <c r="H163" s="8" t="s">
        <v>171</v>
      </c>
      <c r="I163" s="7" t="s">
        <v>16</v>
      </c>
      <c r="J163" s="13">
        <v>3966</v>
      </c>
      <c r="K163" s="13">
        <v>3966</v>
      </c>
      <c r="L163" s="11">
        <f t="shared" ref="L163:L165" si="53">IF(F163&lt;14,K163,"")</f>
        <v>3966</v>
      </c>
      <c r="M163" s="27" t="str">
        <f t="shared" ref="M163:M165" si="54">IF(F163&gt;15,K163,"")</f>
        <v/>
      </c>
      <c r="N163" s="28"/>
    </row>
    <row r="164" spans="1:14" ht="14" x14ac:dyDescent="0.15">
      <c r="A164" s="1">
        <v>25803450</v>
      </c>
      <c r="B164" s="9">
        <v>45972</v>
      </c>
      <c r="C164" s="1">
        <v>25803450</v>
      </c>
      <c r="D164" s="1" t="s">
        <v>13</v>
      </c>
      <c r="E164" s="7" t="s">
        <v>172</v>
      </c>
      <c r="F164" s="5">
        <v>13</v>
      </c>
      <c r="G164" s="9">
        <v>45991</v>
      </c>
      <c r="H164" s="8" t="s">
        <v>171</v>
      </c>
      <c r="I164" s="7" t="s">
        <v>16</v>
      </c>
      <c r="J164" s="13">
        <v>1925.5</v>
      </c>
      <c r="K164" s="13">
        <v>1925.5</v>
      </c>
      <c r="L164" s="11">
        <f t="shared" si="53"/>
        <v>1925.5</v>
      </c>
      <c r="M164" s="27" t="str">
        <f t="shared" si="54"/>
        <v/>
      </c>
      <c r="N164" s="28"/>
    </row>
    <row r="165" spans="1:14" ht="14" x14ac:dyDescent="0.15">
      <c r="A165" s="1">
        <v>25803458</v>
      </c>
      <c r="B165" s="9">
        <v>45972</v>
      </c>
      <c r="C165" s="1">
        <v>25803458</v>
      </c>
      <c r="D165" s="1" t="s">
        <v>13</v>
      </c>
      <c r="E165" s="7" t="s">
        <v>173</v>
      </c>
      <c r="F165" s="5">
        <v>13</v>
      </c>
      <c r="G165" s="9">
        <v>45991</v>
      </c>
      <c r="H165" s="8" t="s">
        <v>171</v>
      </c>
      <c r="I165" s="7" t="s">
        <v>16</v>
      </c>
      <c r="J165" s="13">
        <v>2199.25</v>
      </c>
      <c r="K165" s="13">
        <v>2199.25</v>
      </c>
      <c r="L165" s="11">
        <f t="shared" si="53"/>
        <v>2199.25</v>
      </c>
      <c r="M165" s="27" t="str">
        <f t="shared" si="54"/>
        <v/>
      </c>
      <c r="N165" s="28"/>
    </row>
    <row r="166" spans="1:14" x14ac:dyDescent="0.15">
      <c r="A166" s="34" t="s">
        <v>17</v>
      </c>
      <c r="B166" s="34"/>
      <c r="C166" s="34"/>
      <c r="D166" s="34"/>
      <c r="E166" s="34"/>
      <c r="F166" s="5"/>
      <c r="G166" s="3"/>
      <c r="H166" s="3"/>
      <c r="I166" s="3"/>
      <c r="J166" s="13"/>
      <c r="K166" s="12">
        <v>8090.75</v>
      </c>
    </row>
    <row r="167" spans="1:14" x14ac:dyDescent="0.15">
      <c r="A167" s="35" t="s">
        <v>174</v>
      </c>
      <c r="B167" s="36"/>
      <c r="C167" s="36"/>
      <c r="D167" s="36"/>
      <c r="E167" s="36"/>
      <c r="F167" s="36"/>
      <c r="G167" s="36"/>
      <c r="H167" s="36"/>
      <c r="I167" s="36"/>
      <c r="J167" s="37"/>
      <c r="K167" s="37"/>
    </row>
    <row r="168" spans="1:14" ht="14" x14ac:dyDescent="0.15">
      <c r="A168" s="1">
        <v>25803453</v>
      </c>
      <c r="B168" s="9">
        <v>45972</v>
      </c>
      <c r="C168" s="1">
        <v>25803453</v>
      </c>
      <c r="D168" s="1" t="s">
        <v>13</v>
      </c>
      <c r="E168" s="7" t="s">
        <v>175</v>
      </c>
      <c r="F168" s="5">
        <v>13</v>
      </c>
      <c r="G168" s="9">
        <v>45991</v>
      </c>
      <c r="H168" s="8" t="s">
        <v>176</v>
      </c>
      <c r="I168" s="7" t="s">
        <v>16</v>
      </c>
      <c r="J168" s="13">
        <v>4408</v>
      </c>
      <c r="K168" s="13">
        <v>4408</v>
      </c>
      <c r="L168" s="11">
        <f t="shared" ref="L168:L172" si="55">IF(F168&lt;14,K168,"")</f>
        <v>4408</v>
      </c>
      <c r="M168" s="27" t="str">
        <f t="shared" ref="M168:M172" si="56">IF(F168&gt;15,K168,"")</f>
        <v/>
      </c>
      <c r="N168" s="28"/>
    </row>
    <row r="169" spans="1:14" ht="14" x14ac:dyDescent="0.15">
      <c r="A169" s="1">
        <v>25803465</v>
      </c>
      <c r="B169" s="9">
        <v>45972</v>
      </c>
      <c r="C169" s="1">
        <v>25803465</v>
      </c>
      <c r="D169" s="1" t="s">
        <v>13</v>
      </c>
      <c r="E169" s="7" t="s">
        <v>177</v>
      </c>
      <c r="F169" s="5">
        <v>13</v>
      </c>
      <c r="G169" s="9">
        <v>45991</v>
      </c>
      <c r="H169" s="8" t="s">
        <v>176</v>
      </c>
      <c r="I169" s="7" t="s">
        <v>16</v>
      </c>
      <c r="J169" s="13">
        <v>2292.02</v>
      </c>
      <c r="K169" s="13">
        <v>2292.02</v>
      </c>
      <c r="L169" s="11">
        <f t="shared" si="55"/>
        <v>2292.02</v>
      </c>
      <c r="M169" s="27" t="str">
        <f t="shared" si="56"/>
        <v/>
      </c>
      <c r="N169" s="28"/>
    </row>
    <row r="170" spans="1:14" ht="14" x14ac:dyDescent="0.15">
      <c r="A170" s="1">
        <v>25803466</v>
      </c>
      <c r="B170" s="9">
        <v>45972</v>
      </c>
      <c r="C170" s="1">
        <v>25803466</v>
      </c>
      <c r="D170" s="1" t="s">
        <v>13</v>
      </c>
      <c r="E170" s="7" t="s">
        <v>178</v>
      </c>
      <c r="F170" s="5">
        <v>13</v>
      </c>
      <c r="G170" s="9">
        <v>45991</v>
      </c>
      <c r="H170" s="8" t="s">
        <v>176</v>
      </c>
      <c r="I170" s="7" t="s">
        <v>16</v>
      </c>
      <c r="J170" s="13">
        <v>1747.37</v>
      </c>
      <c r="K170" s="13">
        <v>1747.37</v>
      </c>
      <c r="L170" s="11">
        <f t="shared" si="55"/>
        <v>1747.37</v>
      </c>
      <c r="M170" s="27" t="str">
        <f t="shared" si="56"/>
        <v/>
      </c>
      <c r="N170" s="28"/>
    </row>
    <row r="171" spans="1:14" ht="14" x14ac:dyDescent="0.15">
      <c r="A171" s="1">
        <v>25803467</v>
      </c>
      <c r="B171" s="9">
        <v>45972</v>
      </c>
      <c r="C171" s="1">
        <v>25803467</v>
      </c>
      <c r="D171" s="1" t="s">
        <v>13</v>
      </c>
      <c r="E171" s="7" t="s">
        <v>179</v>
      </c>
      <c r="F171" s="5">
        <v>13</v>
      </c>
      <c r="G171" s="9">
        <v>45991</v>
      </c>
      <c r="H171" s="8" t="s">
        <v>176</v>
      </c>
      <c r="I171" s="7" t="s">
        <v>16</v>
      </c>
      <c r="J171" s="13">
        <v>1747.37</v>
      </c>
      <c r="K171" s="13">
        <v>1747.37</v>
      </c>
      <c r="L171" s="11">
        <f t="shared" si="55"/>
        <v>1747.37</v>
      </c>
      <c r="M171" s="27" t="str">
        <f t="shared" si="56"/>
        <v/>
      </c>
      <c r="N171" s="28"/>
    </row>
    <row r="172" spans="1:14" ht="14" x14ac:dyDescent="0.15">
      <c r="A172" s="1">
        <v>25803468</v>
      </c>
      <c r="B172" s="9">
        <v>45972</v>
      </c>
      <c r="C172" s="1">
        <v>25803468</v>
      </c>
      <c r="D172" s="1" t="s">
        <v>13</v>
      </c>
      <c r="E172" s="7" t="s">
        <v>180</v>
      </c>
      <c r="F172" s="5">
        <v>13</v>
      </c>
      <c r="G172" s="9">
        <v>45991</v>
      </c>
      <c r="H172" s="8" t="s">
        <v>176</v>
      </c>
      <c r="I172" s="7" t="s">
        <v>16</v>
      </c>
      <c r="J172" s="13">
        <v>1747.37</v>
      </c>
      <c r="K172" s="13">
        <v>1747.37</v>
      </c>
      <c r="L172" s="11">
        <f t="shared" si="55"/>
        <v>1747.37</v>
      </c>
      <c r="M172" s="27" t="str">
        <f t="shared" si="56"/>
        <v/>
      </c>
      <c r="N172" s="28"/>
    </row>
    <row r="173" spans="1:14" x14ac:dyDescent="0.15">
      <c r="A173" s="34" t="s">
        <v>17</v>
      </c>
      <c r="B173" s="34"/>
      <c r="C173" s="34"/>
      <c r="D173" s="34"/>
      <c r="E173" s="34"/>
      <c r="F173" s="5"/>
      <c r="G173" s="3"/>
      <c r="H173" s="3"/>
      <c r="I173" s="3"/>
      <c r="J173" s="13"/>
      <c r="K173" s="12">
        <v>11942.13</v>
      </c>
    </row>
    <row r="174" spans="1:14" x14ac:dyDescent="0.15">
      <c r="A174" s="35" t="s">
        <v>181</v>
      </c>
      <c r="B174" s="36"/>
      <c r="C174" s="36"/>
      <c r="D174" s="36"/>
      <c r="E174" s="36"/>
      <c r="F174" s="36"/>
      <c r="G174" s="36"/>
      <c r="H174" s="36"/>
      <c r="I174" s="36"/>
      <c r="J174" s="37"/>
      <c r="K174" s="37"/>
    </row>
    <row r="175" spans="1:14" ht="14" x14ac:dyDescent="0.15">
      <c r="A175" s="1">
        <v>25803323</v>
      </c>
      <c r="B175" s="9">
        <v>45972</v>
      </c>
      <c r="C175" s="1">
        <v>25803323</v>
      </c>
      <c r="D175" s="1" t="s">
        <v>13</v>
      </c>
      <c r="E175" s="7" t="s">
        <v>182</v>
      </c>
      <c r="F175" s="5">
        <v>13</v>
      </c>
      <c r="G175" s="9">
        <v>45991</v>
      </c>
      <c r="H175" s="8" t="s">
        <v>99</v>
      </c>
      <c r="I175" s="7" t="s">
        <v>16</v>
      </c>
      <c r="J175" s="13">
        <v>3332.12</v>
      </c>
      <c r="K175" s="13">
        <v>3332.12</v>
      </c>
      <c r="L175" s="11">
        <f t="shared" ref="L175" si="57">IF(F175&lt;14,K175,"")</f>
        <v>3332.12</v>
      </c>
      <c r="M175" s="27" t="str">
        <f t="shared" ref="M175" si="58">IF(F175&gt;15,K175,"")</f>
        <v/>
      </c>
      <c r="N175" s="28"/>
    </row>
    <row r="176" spans="1:14" x14ac:dyDescent="0.15">
      <c r="A176" s="34" t="s">
        <v>17</v>
      </c>
      <c r="B176" s="34"/>
      <c r="C176" s="34"/>
      <c r="D176" s="34"/>
      <c r="E176" s="34"/>
      <c r="F176" s="5"/>
      <c r="G176" s="3"/>
      <c r="H176" s="3"/>
      <c r="I176" s="3"/>
      <c r="J176" s="13"/>
      <c r="K176" s="12">
        <v>3332.12</v>
      </c>
    </row>
    <row r="177" spans="1:14" x14ac:dyDescent="0.15">
      <c r="A177" s="35" t="s">
        <v>183</v>
      </c>
      <c r="B177" s="36"/>
      <c r="C177" s="36"/>
      <c r="D177" s="36"/>
      <c r="E177" s="36"/>
      <c r="F177" s="36"/>
      <c r="G177" s="36"/>
      <c r="H177" s="36"/>
      <c r="I177" s="36"/>
      <c r="J177" s="37"/>
      <c r="K177" s="37"/>
    </row>
    <row r="178" spans="1:14" ht="14" x14ac:dyDescent="0.15">
      <c r="A178" s="1">
        <v>25803424</v>
      </c>
      <c r="B178" s="9">
        <v>45972</v>
      </c>
      <c r="C178" s="1">
        <v>25803424</v>
      </c>
      <c r="D178" s="1" t="s">
        <v>13</v>
      </c>
      <c r="E178" s="7" t="s">
        <v>184</v>
      </c>
      <c r="F178" s="5">
        <v>13</v>
      </c>
      <c r="G178" s="9">
        <v>45991</v>
      </c>
      <c r="H178" s="8" t="s">
        <v>29</v>
      </c>
      <c r="I178" s="7" t="s">
        <v>16</v>
      </c>
      <c r="J178" s="13">
        <v>3220.57</v>
      </c>
      <c r="K178" s="13">
        <v>3220.57</v>
      </c>
      <c r="L178" s="11">
        <f t="shared" ref="L178:L180" si="59">IF(F178&lt;14,K178,"")</f>
        <v>3220.57</v>
      </c>
      <c r="M178" s="27" t="str">
        <f t="shared" ref="M178:M180" si="60">IF(F178&gt;15,K178,"")</f>
        <v/>
      </c>
      <c r="N178" s="28"/>
    </row>
    <row r="179" spans="1:14" ht="14" x14ac:dyDescent="0.15">
      <c r="A179" s="1">
        <v>25803490</v>
      </c>
      <c r="B179" s="9">
        <v>45972</v>
      </c>
      <c r="C179" s="1">
        <v>25803490</v>
      </c>
      <c r="D179" s="1" t="s">
        <v>13</v>
      </c>
      <c r="E179" s="7" t="s">
        <v>185</v>
      </c>
      <c r="F179" s="5">
        <v>13</v>
      </c>
      <c r="G179" s="9">
        <v>45991</v>
      </c>
      <c r="H179" s="8" t="s">
        <v>29</v>
      </c>
      <c r="I179" s="7" t="s">
        <v>16</v>
      </c>
      <c r="J179" s="13">
        <v>2585.5</v>
      </c>
      <c r="K179" s="13">
        <v>2585.5</v>
      </c>
      <c r="L179" s="11">
        <f t="shared" si="59"/>
        <v>2585.5</v>
      </c>
      <c r="M179" s="27" t="str">
        <f t="shared" si="60"/>
        <v/>
      </c>
      <c r="N179" s="28"/>
    </row>
    <row r="180" spans="1:14" ht="14" x14ac:dyDescent="0.15">
      <c r="A180" s="1">
        <v>25803543</v>
      </c>
      <c r="B180" s="9">
        <v>45975</v>
      </c>
      <c r="C180" s="1">
        <v>25803543</v>
      </c>
      <c r="D180" s="1" t="s">
        <v>13</v>
      </c>
      <c r="E180" s="7" t="s">
        <v>186</v>
      </c>
      <c r="F180" s="5">
        <v>10</v>
      </c>
      <c r="G180" s="9">
        <v>45991</v>
      </c>
      <c r="H180" s="8" t="s">
        <v>159</v>
      </c>
      <c r="I180" s="7" t="s">
        <v>16</v>
      </c>
      <c r="J180" s="13">
        <v>2901.86</v>
      </c>
      <c r="K180" s="13">
        <v>2901.86</v>
      </c>
      <c r="L180" s="11">
        <f t="shared" si="59"/>
        <v>2901.86</v>
      </c>
      <c r="M180" s="27" t="str">
        <f t="shared" si="60"/>
        <v/>
      </c>
      <c r="N180" s="28"/>
    </row>
    <row r="181" spans="1:14" x14ac:dyDescent="0.15">
      <c r="A181" s="34" t="s">
        <v>17</v>
      </c>
      <c r="B181" s="34"/>
      <c r="C181" s="34"/>
      <c r="D181" s="34"/>
      <c r="E181" s="34"/>
      <c r="F181" s="5"/>
      <c r="G181" s="3"/>
      <c r="H181" s="3"/>
      <c r="I181" s="3"/>
      <c r="J181" s="13"/>
      <c r="K181" s="12">
        <v>8707.93</v>
      </c>
    </row>
    <row r="182" spans="1:14" x14ac:dyDescent="0.15">
      <c r="A182" s="35" t="s">
        <v>187</v>
      </c>
      <c r="B182" s="36"/>
      <c r="C182" s="36"/>
      <c r="D182" s="36"/>
      <c r="E182" s="36"/>
      <c r="F182" s="36"/>
      <c r="G182" s="36"/>
      <c r="H182" s="36"/>
      <c r="I182" s="36"/>
      <c r="J182" s="37"/>
      <c r="K182" s="37"/>
    </row>
    <row r="183" spans="1:14" ht="14" x14ac:dyDescent="0.15">
      <c r="A183" s="1">
        <v>25803473</v>
      </c>
      <c r="B183" s="9">
        <v>45972</v>
      </c>
      <c r="C183" s="1">
        <v>25803473</v>
      </c>
      <c r="D183" s="1" t="s">
        <v>13</v>
      </c>
      <c r="E183" s="7" t="s">
        <v>188</v>
      </c>
      <c r="F183" s="5">
        <v>13</v>
      </c>
      <c r="G183" s="9">
        <v>45991</v>
      </c>
      <c r="H183" s="8" t="s">
        <v>15</v>
      </c>
      <c r="I183" s="7" t="s">
        <v>16</v>
      </c>
      <c r="J183" s="13">
        <v>2864</v>
      </c>
      <c r="K183" s="13">
        <v>2864</v>
      </c>
      <c r="L183" s="11">
        <f t="shared" ref="L183" si="61">IF(F183&lt;14,K183,"")</f>
        <v>2864</v>
      </c>
      <c r="M183" s="27" t="str">
        <f t="shared" ref="M183:M184" si="62">IF(F183&gt;15,K183,"")</f>
        <v/>
      </c>
      <c r="N183" s="28"/>
    </row>
    <row r="184" spans="1:14" ht="14" x14ac:dyDescent="0.15">
      <c r="A184" s="1">
        <v>25803544</v>
      </c>
      <c r="B184" s="9">
        <v>45975</v>
      </c>
      <c r="C184" s="1">
        <v>25803544</v>
      </c>
      <c r="D184" s="1" t="s">
        <v>13</v>
      </c>
      <c r="E184" s="7" t="s">
        <v>189</v>
      </c>
      <c r="F184" s="5">
        <v>10</v>
      </c>
      <c r="G184" s="9">
        <v>45989</v>
      </c>
      <c r="H184" s="8" t="s">
        <v>159</v>
      </c>
      <c r="I184" s="7" t="s">
        <v>16</v>
      </c>
      <c r="J184" s="13">
        <v>6283.57</v>
      </c>
      <c r="K184" s="13">
        <v>6283.57</v>
      </c>
      <c r="L184" s="11"/>
      <c r="M184" s="27" t="str">
        <f t="shared" si="62"/>
        <v/>
      </c>
      <c r="N184" s="28">
        <v>6283.57</v>
      </c>
    </row>
    <row r="185" spans="1:14" x14ac:dyDescent="0.15">
      <c r="A185" s="34" t="s">
        <v>17</v>
      </c>
      <c r="B185" s="34"/>
      <c r="C185" s="34"/>
      <c r="D185" s="34"/>
      <c r="E185" s="34"/>
      <c r="F185" s="5"/>
      <c r="G185" s="3"/>
      <c r="H185" s="3"/>
      <c r="I185" s="3"/>
      <c r="J185" s="13"/>
      <c r="K185" s="12">
        <v>9147.57</v>
      </c>
    </row>
    <row r="186" spans="1:14" x14ac:dyDescent="0.15">
      <c r="A186" s="35" t="s">
        <v>190</v>
      </c>
      <c r="B186" s="36"/>
      <c r="C186" s="36"/>
      <c r="D186" s="36"/>
      <c r="E186" s="36"/>
      <c r="F186" s="36"/>
      <c r="G186" s="36"/>
      <c r="H186" s="36"/>
      <c r="I186" s="36"/>
      <c r="J186" s="37"/>
      <c r="K186" s="37"/>
    </row>
    <row r="187" spans="1:14" ht="14" x14ac:dyDescent="0.15">
      <c r="A187" s="1">
        <v>25803326</v>
      </c>
      <c r="B187" s="9">
        <v>45972</v>
      </c>
      <c r="C187" s="1">
        <v>25803326</v>
      </c>
      <c r="D187" s="1" t="s">
        <v>13</v>
      </c>
      <c r="E187" s="7" t="s">
        <v>191</v>
      </c>
      <c r="F187" s="5">
        <v>13</v>
      </c>
      <c r="G187" s="9">
        <v>45991</v>
      </c>
      <c r="H187" s="8" t="s">
        <v>192</v>
      </c>
      <c r="I187" s="7" t="s">
        <v>16</v>
      </c>
      <c r="J187" s="13">
        <v>3627</v>
      </c>
      <c r="K187" s="13">
        <v>3627</v>
      </c>
      <c r="L187" s="11">
        <f t="shared" ref="L187" si="63">IF(F187&lt;14,K187,"")</f>
        <v>3627</v>
      </c>
      <c r="M187" s="27" t="str">
        <f t="shared" ref="M187:M189" si="64">IF(F187&gt;15,K187,"")</f>
        <v/>
      </c>
      <c r="N187" s="28"/>
    </row>
    <row r="188" spans="1:14" ht="14" x14ac:dyDescent="0.15">
      <c r="A188" s="1">
        <v>25803531</v>
      </c>
      <c r="B188" s="9">
        <v>45973</v>
      </c>
      <c r="C188" s="1">
        <v>25803531</v>
      </c>
      <c r="D188" s="1" t="s">
        <v>13</v>
      </c>
      <c r="E188" s="7" t="s">
        <v>193</v>
      </c>
      <c r="F188" s="5">
        <v>12</v>
      </c>
      <c r="G188" s="9">
        <v>46003</v>
      </c>
      <c r="H188" s="8" t="s">
        <v>29</v>
      </c>
      <c r="I188" s="7" t="s">
        <v>16</v>
      </c>
      <c r="J188" s="13">
        <v>1533.39</v>
      </c>
      <c r="K188" s="13">
        <v>1533.39</v>
      </c>
      <c r="L188" s="11"/>
      <c r="M188" s="27" t="str">
        <f t="shared" si="64"/>
        <v/>
      </c>
      <c r="N188" s="28">
        <v>1533.39</v>
      </c>
    </row>
    <row r="189" spans="1:14" ht="14" x14ac:dyDescent="0.15">
      <c r="A189" s="1">
        <v>25803532</v>
      </c>
      <c r="B189" s="9">
        <v>45973</v>
      </c>
      <c r="C189" s="1">
        <v>25803532</v>
      </c>
      <c r="D189" s="1" t="s">
        <v>13</v>
      </c>
      <c r="E189" s="7" t="s">
        <v>194</v>
      </c>
      <c r="F189" s="5">
        <v>12</v>
      </c>
      <c r="G189" s="9">
        <v>46003</v>
      </c>
      <c r="H189" s="8" t="s">
        <v>29</v>
      </c>
      <c r="I189" s="7" t="s">
        <v>16</v>
      </c>
      <c r="J189" s="13">
        <v>2450</v>
      </c>
      <c r="K189" s="13">
        <v>2450</v>
      </c>
      <c r="L189" s="11"/>
      <c r="M189" s="27" t="str">
        <f t="shared" si="64"/>
        <v/>
      </c>
      <c r="N189" s="28">
        <v>2450</v>
      </c>
    </row>
    <row r="190" spans="1:14" x14ac:dyDescent="0.15">
      <c r="A190" s="34" t="s">
        <v>17</v>
      </c>
      <c r="B190" s="34"/>
      <c r="C190" s="34"/>
      <c r="D190" s="34"/>
      <c r="E190" s="34"/>
      <c r="F190" s="5"/>
      <c r="G190" s="3"/>
      <c r="H190" s="3"/>
      <c r="I190" s="3"/>
      <c r="J190" s="13"/>
      <c r="K190" s="12">
        <v>7610.39</v>
      </c>
    </row>
    <row r="191" spans="1:14" x14ac:dyDescent="0.15">
      <c r="A191" s="35" t="s">
        <v>195</v>
      </c>
      <c r="B191" s="36"/>
      <c r="C191" s="36"/>
      <c r="D191" s="36"/>
      <c r="E191" s="36"/>
      <c r="F191" s="36"/>
      <c r="G191" s="36"/>
      <c r="H191" s="36"/>
      <c r="I191" s="36"/>
      <c r="J191" s="37"/>
      <c r="K191" s="37"/>
    </row>
    <row r="192" spans="1:14" ht="14" x14ac:dyDescent="0.15">
      <c r="A192" s="1">
        <v>25803351</v>
      </c>
      <c r="B192" s="9">
        <v>45972</v>
      </c>
      <c r="C192" s="1">
        <v>25803351</v>
      </c>
      <c r="D192" s="1" t="s">
        <v>13</v>
      </c>
      <c r="E192" s="7" t="s">
        <v>196</v>
      </c>
      <c r="F192" s="5">
        <v>13</v>
      </c>
      <c r="G192" s="9">
        <v>45991</v>
      </c>
      <c r="H192" s="8" t="s">
        <v>29</v>
      </c>
      <c r="I192" s="7" t="s">
        <v>16</v>
      </c>
      <c r="J192" s="13">
        <v>5425.43</v>
      </c>
      <c r="K192" s="13">
        <v>5425.43</v>
      </c>
      <c r="L192" s="11">
        <f t="shared" ref="L192:L193" si="65">IF(F192&lt;14,K192,"")</f>
        <v>5425.43</v>
      </c>
      <c r="M192" s="27" t="str">
        <f t="shared" ref="M192:M193" si="66">IF(F192&gt;15,K192,"")</f>
        <v/>
      </c>
      <c r="N192" s="28"/>
    </row>
    <row r="193" spans="1:15" ht="14" x14ac:dyDescent="0.15">
      <c r="A193" s="1">
        <v>25803416</v>
      </c>
      <c r="B193" s="9">
        <v>45972</v>
      </c>
      <c r="C193" s="1">
        <v>25803416</v>
      </c>
      <c r="D193" s="1" t="s">
        <v>13</v>
      </c>
      <c r="E193" s="7" t="s">
        <v>197</v>
      </c>
      <c r="F193" s="5">
        <v>13</v>
      </c>
      <c r="G193" s="9">
        <v>45991</v>
      </c>
      <c r="H193" s="8" t="s">
        <v>29</v>
      </c>
      <c r="I193" s="7" t="s">
        <v>16</v>
      </c>
      <c r="J193" s="13">
        <v>3352.06</v>
      </c>
      <c r="K193" s="13">
        <v>3352.06</v>
      </c>
      <c r="L193" s="11">
        <f t="shared" si="65"/>
        <v>3352.06</v>
      </c>
      <c r="M193" s="27" t="str">
        <f t="shared" si="66"/>
        <v/>
      </c>
      <c r="N193" s="28"/>
    </row>
    <row r="194" spans="1:15" x14ac:dyDescent="0.15">
      <c r="A194" s="34" t="s">
        <v>17</v>
      </c>
      <c r="B194" s="34"/>
      <c r="C194" s="34"/>
      <c r="D194" s="34"/>
      <c r="E194" s="34"/>
      <c r="F194" s="5"/>
      <c r="G194" s="3"/>
      <c r="H194" s="3"/>
      <c r="I194" s="3"/>
      <c r="J194" s="13"/>
      <c r="K194" s="12">
        <v>8777.49</v>
      </c>
    </row>
    <row r="195" spans="1:15" x14ac:dyDescent="0.15">
      <c r="A195" s="35" t="s">
        <v>198</v>
      </c>
      <c r="B195" s="36"/>
      <c r="C195" s="36"/>
      <c r="D195" s="36"/>
      <c r="E195" s="36"/>
      <c r="F195" s="36"/>
      <c r="G195" s="36"/>
      <c r="H195" s="36"/>
      <c r="I195" s="36"/>
      <c r="J195" s="37"/>
      <c r="K195" s="37"/>
    </row>
    <row r="196" spans="1:15" ht="14" x14ac:dyDescent="0.15">
      <c r="A196" s="1">
        <v>25803305</v>
      </c>
      <c r="B196" s="9">
        <v>45972</v>
      </c>
      <c r="C196" s="1">
        <v>25803305</v>
      </c>
      <c r="D196" s="1" t="s">
        <v>13</v>
      </c>
      <c r="E196" s="7" t="s">
        <v>199</v>
      </c>
      <c r="F196" s="5">
        <v>13</v>
      </c>
      <c r="G196" s="9">
        <v>45991</v>
      </c>
      <c r="H196" s="8" t="s">
        <v>200</v>
      </c>
      <c r="I196" s="7" t="s">
        <v>16</v>
      </c>
      <c r="J196" s="13">
        <v>2773.1</v>
      </c>
      <c r="K196" s="13">
        <v>2773.1</v>
      </c>
      <c r="L196" s="11">
        <f t="shared" ref="L196" si="67">IF(F196&lt;14,K196,"")</f>
        <v>2773.1</v>
      </c>
      <c r="M196" s="27" t="str">
        <f t="shared" ref="M196" si="68">IF(F196&gt;15,K196,"")</f>
        <v/>
      </c>
      <c r="N196" s="28"/>
    </row>
    <row r="197" spans="1:15" x14ac:dyDescent="0.15">
      <c r="A197" s="34" t="s">
        <v>17</v>
      </c>
      <c r="B197" s="34"/>
      <c r="C197" s="34"/>
      <c r="D197" s="34"/>
      <c r="E197" s="34"/>
      <c r="F197" s="5"/>
      <c r="G197" s="3"/>
      <c r="H197" s="3"/>
      <c r="I197" s="3"/>
      <c r="J197" s="13"/>
      <c r="K197" s="12">
        <v>2773.1</v>
      </c>
    </row>
    <row r="198" spans="1:15" x14ac:dyDescent="0.15">
      <c r="A198" s="35" t="s">
        <v>201</v>
      </c>
      <c r="B198" s="36"/>
      <c r="C198" s="36"/>
      <c r="D198" s="36"/>
      <c r="E198" s="36"/>
      <c r="F198" s="36"/>
      <c r="G198" s="36"/>
      <c r="H198" s="36"/>
      <c r="I198" s="36"/>
      <c r="J198" s="37"/>
      <c r="K198" s="37"/>
    </row>
    <row r="199" spans="1:15" ht="14" x14ac:dyDescent="0.15">
      <c r="A199" s="1">
        <v>25801180</v>
      </c>
      <c r="B199" s="10">
        <v>45756</v>
      </c>
      <c r="C199" s="1">
        <v>25801180</v>
      </c>
      <c r="D199" s="1" t="s">
        <v>13</v>
      </c>
      <c r="E199" s="7" t="s">
        <v>203</v>
      </c>
      <c r="F199" s="5">
        <v>229</v>
      </c>
      <c r="G199" s="10">
        <v>45777</v>
      </c>
      <c r="H199" s="8" t="s">
        <v>204</v>
      </c>
      <c r="I199" s="7" t="s">
        <v>16</v>
      </c>
      <c r="J199" s="13">
        <v>7355.08</v>
      </c>
      <c r="K199" s="13">
        <v>7355.08</v>
      </c>
      <c r="L199" s="11" t="str">
        <f t="shared" ref="L199:L207" si="69">IF(F199&lt;14,K199,"")</f>
        <v/>
      </c>
      <c r="M199" s="27"/>
      <c r="N199" s="28">
        <v>7355.08</v>
      </c>
      <c r="O199" t="s">
        <v>202</v>
      </c>
    </row>
    <row r="200" spans="1:15" ht="14" x14ac:dyDescent="0.15">
      <c r="A200" s="1">
        <v>25801921</v>
      </c>
      <c r="B200" s="10">
        <v>45832</v>
      </c>
      <c r="C200" s="1">
        <v>25801921</v>
      </c>
      <c r="D200" s="1" t="s">
        <v>13</v>
      </c>
      <c r="E200" s="7" t="s">
        <v>205</v>
      </c>
      <c r="F200" s="5">
        <v>153</v>
      </c>
      <c r="G200" s="10">
        <v>45838</v>
      </c>
      <c r="H200" s="8" t="s">
        <v>206</v>
      </c>
      <c r="I200" s="7" t="s">
        <v>16</v>
      </c>
      <c r="J200" s="13">
        <v>-2100</v>
      </c>
      <c r="K200" s="13">
        <v>-2100</v>
      </c>
      <c r="L200" s="11" t="str">
        <f t="shared" si="69"/>
        <v/>
      </c>
      <c r="M200" s="27"/>
      <c r="N200" s="28">
        <v>-2100</v>
      </c>
    </row>
    <row r="201" spans="1:15" ht="14" x14ac:dyDescent="0.15">
      <c r="A201" s="1">
        <v>25801922</v>
      </c>
      <c r="B201" s="10">
        <v>45832</v>
      </c>
      <c r="C201" s="1">
        <v>25801922</v>
      </c>
      <c r="D201" s="1" t="s">
        <v>13</v>
      </c>
      <c r="E201" s="7" t="s">
        <v>207</v>
      </c>
      <c r="F201" s="5">
        <v>153</v>
      </c>
      <c r="G201" s="10">
        <v>45838</v>
      </c>
      <c r="H201" s="8" t="s">
        <v>206</v>
      </c>
      <c r="I201" s="7" t="s">
        <v>16</v>
      </c>
      <c r="J201" s="13">
        <v>-1830</v>
      </c>
      <c r="K201" s="13">
        <v>-1830</v>
      </c>
      <c r="L201" s="11" t="str">
        <f t="shared" si="69"/>
        <v/>
      </c>
      <c r="M201" s="27"/>
      <c r="N201" s="28">
        <v>-1830</v>
      </c>
    </row>
    <row r="202" spans="1:15" ht="14" x14ac:dyDescent="0.15">
      <c r="A202" s="1">
        <v>25801952</v>
      </c>
      <c r="B202" s="10">
        <v>45842</v>
      </c>
      <c r="C202" s="1">
        <v>25801952</v>
      </c>
      <c r="D202" s="1" t="s">
        <v>13</v>
      </c>
      <c r="E202" s="7" t="s">
        <v>208</v>
      </c>
      <c r="F202" s="5">
        <v>143</v>
      </c>
      <c r="G202" s="10">
        <v>45869</v>
      </c>
      <c r="H202" s="8" t="s">
        <v>50</v>
      </c>
      <c r="I202" s="7" t="s">
        <v>16</v>
      </c>
      <c r="J202" s="13">
        <v>-595.91999999999996</v>
      </c>
      <c r="K202" s="13">
        <v>-595.91999999999996</v>
      </c>
      <c r="L202" s="11" t="str">
        <f t="shared" si="69"/>
        <v/>
      </c>
      <c r="M202" s="27"/>
      <c r="N202" s="28">
        <v>-595.91999999999996</v>
      </c>
    </row>
    <row r="203" spans="1:15" ht="14" x14ac:dyDescent="0.15">
      <c r="A203" s="1">
        <v>25801953</v>
      </c>
      <c r="B203" s="10">
        <v>45842</v>
      </c>
      <c r="C203" s="1">
        <v>25801953</v>
      </c>
      <c r="D203" s="1" t="s">
        <v>13</v>
      </c>
      <c r="E203" s="7" t="s">
        <v>208</v>
      </c>
      <c r="F203" s="5">
        <v>143</v>
      </c>
      <c r="G203" s="10">
        <v>45869</v>
      </c>
      <c r="H203" s="8" t="s">
        <v>209</v>
      </c>
      <c r="I203" s="7" t="s">
        <v>16</v>
      </c>
      <c r="J203" s="13">
        <v>464.1</v>
      </c>
      <c r="K203" s="13">
        <v>464.1</v>
      </c>
      <c r="L203" s="11" t="str">
        <f t="shared" si="69"/>
        <v/>
      </c>
      <c r="M203" s="27"/>
      <c r="N203" s="28">
        <v>464.1</v>
      </c>
    </row>
    <row r="204" spans="1:15" ht="14" x14ac:dyDescent="0.15">
      <c r="A204" s="1">
        <v>25803475</v>
      </c>
      <c r="B204" s="9">
        <v>45972</v>
      </c>
      <c r="C204" s="1">
        <v>25803475</v>
      </c>
      <c r="D204" s="1" t="s">
        <v>13</v>
      </c>
      <c r="E204" s="7" t="s">
        <v>210</v>
      </c>
      <c r="F204" s="5">
        <v>13</v>
      </c>
      <c r="G204" s="9">
        <v>45991</v>
      </c>
      <c r="H204" s="8" t="s">
        <v>29</v>
      </c>
      <c r="I204" s="7" t="s">
        <v>16</v>
      </c>
      <c r="J204" s="13">
        <v>2238.58</v>
      </c>
      <c r="K204" s="13">
        <v>2238.58</v>
      </c>
      <c r="L204" s="11">
        <f t="shared" si="69"/>
        <v>2238.58</v>
      </c>
      <c r="M204" s="27"/>
      <c r="N204" s="28"/>
    </row>
    <row r="205" spans="1:15" ht="14" x14ac:dyDescent="0.15">
      <c r="A205" s="1">
        <v>25803476</v>
      </c>
      <c r="B205" s="9">
        <v>45972</v>
      </c>
      <c r="C205" s="1">
        <v>25803476</v>
      </c>
      <c r="D205" s="1" t="s">
        <v>13</v>
      </c>
      <c r="E205" s="7" t="s">
        <v>211</v>
      </c>
      <c r="F205" s="5">
        <v>13</v>
      </c>
      <c r="G205" s="9">
        <v>45991</v>
      </c>
      <c r="H205" s="8" t="s">
        <v>29</v>
      </c>
      <c r="I205" s="7" t="s">
        <v>16</v>
      </c>
      <c r="J205" s="13">
        <v>5036.79</v>
      </c>
      <c r="K205" s="13">
        <v>5036.79</v>
      </c>
      <c r="L205" s="11">
        <f t="shared" si="69"/>
        <v>5036.79</v>
      </c>
      <c r="M205" s="27" t="str">
        <f t="shared" ref="M205:M207" si="70">IF(F205&gt;15,K205,"")</f>
        <v/>
      </c>
      <c r="N205" s="28"/>
    </row>
    <row r="206" spans="1:15" ht="14" x14ac:dyDescent="0.15">
      <c r="A206" s="1">
        <v>25803516</v>
      </c>
      <c r="B206" s="9">
        <v>45972</v>
      </c>
      <c r="C206" s="1">
        <v>25803516</v>
      </c>
      <c r="D206" s="1" t="s">
        <v>13</v>
      </c>
      <c r="E206" s="7" t="s">
        <v>212</v>
      </c>
      <c r="F206" s="5">
        <v>13</v>
      </c>
      <c r="G206" s="9">
        <v>45991</v>
      </c>
      <c r="H206" s="8" t="s">
        <v>29</v>
      </c>
      <c r="I206" s="7" t="s">
        <v>16</v>
      </c>
      <c r="J206" s="13">
        <v>3242.24</v>
      </c>
      <c r="K206" s="13">
        <v>3242.24</v>
      </c>
      <c r="L206" s="11">
        <f t="shared" si="69"/>
        <v>3242.24</v>
      </c>
      <c r="M206" s="27" t="str">
        <f t="shared" si="70"/>
        <v/>
      </c>
      <c r="N206" s="28"/>
    </row>
    <row r="207" spans="1:15" ht="14" x14ac:dyDescent="0.15">
      <c r="A207" s="1">
        <v>25803541</v>
      </c>
      <c r="B207" s="9">
        <v>45975</v>
      </c>
      <c r="C207" s="1">
        <v>25803541</v>
      </c>
      <c r="D207" s="1" t="s">
        <v>13</v>
      </c>
      <c r="E207" s="7" t="s">
        <v>213</v>
      </c>
      <c r="F207" s="5">
        <v>10</v>
      </c>
      <c r="G207" s="9">
        <v>45991</v>
      </c>
      <c r="H207" s="8" t="s">
        <v>159</v>
      </c>
      <c r="I207" s="7" t="s">
        <v>16</v>
      </c>
      <c r="J207" s="13">
        <v>838.47</v>
      </c>
      <c r="K207" s="13">
        <v>838.47</v>
      </c>
      <c r="L207" s="11">
        <f t="shared" si="69"/>
        <v>838.47</v>
      </c>
      <c r="M207" s="27" t="str">
        <f t="shared" si="70"/>
        <v/>
      </c>
      <c r="N207" s="28"/>
    </row>
    <row r="208" spans="1:15" x14ac:dyDescent="0.15">
      <c r="A208" s="34" t="s">
        <v>17</v>
      </c>
      <c r="B208" s="34"/>
      <c r="C208" s="34"/>
      <c r="D208" s="34"/>
      <c r="E208" s="34"/>
      <c r="F208" s="5"/>
      <c r="G208" s="3"/>
      <c r="H208" s="3"/>
      <c r="I208" s="3"/>
      <c r="J208" s="13"/>
      <c r="K208" s="12">
        <v>14649.34</v>
      </c>
    </row>
    <row r="209" spans="1:15" x14ac:dyDescent="0.15">
      <c r="A209" s="35" t="s">
        <v>214</v>
      </c>
      <c r="B209" s="36"/>
      <c r="C209" s="36"/>
      <c r="D209" s="36"/>
      <c r="E209" s="36"/>
      <c r="F209" s="36"/>
      <c r="G209" s="36"/>
      <c r="H209" s="36"/>
      <c r="I209" s="36"/>
      <c r="J209" s="37"/>
      <c r="K209" s="37"/>
    </row>
    <row r="210" spans="1:15" ht="14" x14ac:dyDescent="0.15">
      <c r="A210" s="1">
        <v>25803343</v>
      </c>
      <c r="B210" s="9">
        <v>45972</v>
      </c>
      <c r="C210" s="1">
        <v>25803343</v>
      </c>
      <c r="D210" s="1" t="s">
        <v>13</v>
      </c>
      <c r="E210" s="7" t="s">
        <v>215</v>
      </c>
      <c r="F210" s="5">
        <v>13</v>
      </c>
      <c r="G210" s="9">
        <v>45991</v>
      </c>
      <c r="H210" s="8" t="s">
        <v>216</v>
      </c>
      <c r="I210" s="7" t="s">
        <v>16</v>
      </c>
      <c r="J210" s="13">
        <v>2230.6</v>
      </c>
      <c r="K210" s="13">
        <v>2230.6</v>
      </c>
      <c r="L210" s="11">
        <f t="shared" ref="L210" si="71">IF(F210&lt;14,K210,"")</f>
        <v>2230.6</v>
      </c>
      <c r="M210" s="27" t="str">
        <f t="shared" ref="M210" si="72">IF(F210&gt;15,K210,"")</f>
        <v/>
      </c>
      <c r="N210" s="28"/>
    </row>
    <row r="211" spans="1:15" x14ac:dyDescent="0.15">
      <c r="A211" s="34" t="s">
        <v>17</v>
      </c>
      <c r="B211" s="34"/>
      <c r="C211" s="34"/>
      <c r="D211" s="34"/>
      <c r="E211" s="34"/>
      <c r="F211" s="5"/>
      <c r="G211" s="3"/>
      <c r="H211" s="3"/>
      <c r="I211" s="3"/>
      <c r="J211" s="13"/>
      <c r="K211" s="12">
        <v>2230.6</v>
      </c>
    </row>
    <row r="212" spans="1:15" x14ac:dyDescent="0.15">
      <c r="A212" s="35" t="s">
        <v>217</v>
      </c>
      <c r="B212" s="36"/>
      <c r="C212" s="36"/>
      <c r="D212" s="36"/>
      <c r="E212" s="36"/>
      <c r="F212" s="36"/>
      <c r="G212" s="36"/>
      <c r="H212" s="36"/>
      <c r="I212" s="36"/>
      <c r="J212" s="37"/>
      <c r="K212" s="37"/>
    </row>
    <row r="213" spans="1:15" ht="14" x14ac:dyDescent="0.15">
      <c r="A213" s="1">
        <v>25803568</v>
      </c>
      <c r="B213" s="9">
        <v>45981</v>
      </c>
      <c r="C213" s="1">
        <v>25803568</v>
      </c>
      <c r="D213" s="1" t="s">
        <v>13</v>
      </c>
      <c r="E213" s="7" t="s">
        <v>218</v>
      </c>
      <c r="F213" s="5">
        <v>4</v>
      </c>
      <c r="G213" s="9">
        <v>45991</v>
      </c>
      <c r="H213" s="8" t="s">
        <v>45</v>
      </c>
      <c r="I213" s="7" t="s">
        <v>16</v>
      </c>
      <c r="J213" s="13">
        <v>-453.75</v>
      </c>
      <c r="K213" s="13">
        <v>-453.75</v>
      </c>
      <c r="L213" s="11">
        <f t="shared" ref="L213" si="73">IF(F213&lt;14,K213,"")</f>
        <v>-453.75</v>
      </c>
      <c r="M213" s="27" t="str">
        <f t="shared" ref="M213" si="74">IF(F213&gt;15,K213,"")</f>
        <v/>
      </c>
      <c r="N213" s="28"/>
    </row>
    <row r="214" spans="1:15" x14ac:dyDescent="0.15">
      <c r="A214" s="34" t="s">
        <v>17</v>
      </c>
      <c r="B214" s="34"/>
      <c r="C214" s="34"/>
      <c r="D214" s="34"/>
      <c r="E214" s="34"/>
      <c r="F214" s="5"/>
      <c r="G214" s="3"/>
      <c r="H214" s="3"/>
      <c r="I214" s="3"/>
      <c r="J214" s="13"/>
      <c r="K214" s="12">
        <v>-453.75</v>
      </c>
    </row>
    <row r="215" spans="1:15" x14ac:dyDescent="0.15">
      <c r="A215" s="35" t="s">
        <v>219</v>
      </c>
      <c r="B215" s="36"/>
      <c r="C215" s="36"/>
      <c r="D215" s="36"/>
      <c r="E215" s="36"/>
      <c r="F215" s="36"/>
      <c r="G215" s="36"/>
      <c r="H215" s="36"/>
      <c r="I215" s="36"/>
      <c r="J215" s="37"/>
      <c r="K215" s="37"/>
    </row>
    <row r="216" spans="1:15" ht="14" x14ac:dyDescent="0.15">
      <c r="A216" s="1">
        <v>25803349</v>
      </c>
      <c r="B216" s="9">
        <v>45972</v>
      </c>
      <c r="C216" s="1">
        <v>25803349</v>
      </c>
      <c r="D216" s="1" t="s">
        <v>13</v>
      </c>
      <c r="E216" s="7" t="s">
        <v>220</v>
      </c>
      <c r="F216" s="5">
        <v>13</v>
      </c>
      <c r="G216" s="9">
        <v>45991</v>
      </c>
      <c r="H216" s="8" t="s">
        <v>29</v>
      </c>
      <c r="I216" s="7" t="s">
        <v>16</v>
      </c>
      <c r="J216" s="13">
        <v>4081</v>
      </c>
      <c r="K216" s="13">
        <v>4081</v>
      </c>
      <c r="L216" s="11">
        <f t="shared" ref="L216" si="75">IF(F216&lt;14,K216,"")</f>
        <v>4081</v>
      </c>
      <c r="M216" s="27" t="str">
        <f t="shared" ref="M216" si="76">IF(F216&gt;15,K216,"")</f>
        <v/>
      </c>
      <c r="N216" s="28"/>
    </row>
    <row r="217" spans="1:15" x14ac:dyDescent="0.15">
      <c r="A217" s="34" t="s">
        <v>17</v>
      </c>
      <c r="B217" s="34"/>
      <c r="C217" s="34"/>
      <c r="D217" s="34"/>
      <c r="E217" s="34"/>
      <c r="F217" s="5"/>
      <c r="G217" s="3"/>
      <c r="H217" s="3"/>
      <c r="I217" s="3"/>
      <c r="J217" s="13"/>
      <c r="K217" s="12">
        <v>4081</v>
      </c>
    </row>
    <row r="218" spans="1:15" x14ac:dyDescent="0.15">
      <c r="A218" s="35" t="s">
        <v>221</v>
      </c>
      <c r="B218" s="36"/>
      <c r="C218" s="36"/>
      <c r="D218" s="36"/>
      <c r="E218" s="36"/>
      <c r="F218" s="36"/>
      <c r="G218" s="36"/>
      <c r="H218" s="36"/>
      <c r="I218" s="36"/>
      <c r="J218" s="37"/>
      <c r="K218" s="37"/>
    </row>
    <row r="219" spans="1:15" ht="14" x14ac:dyDescent="0.15">
      <c r="A219" s="1">
        <v>24800843</v>
      </c>
      <c r="B219" s="10">
        <v>45399</v>
      </c>
      <c r="C219" s="1">
        <v>24800843</v>
      </c>
      <c r="D219" s="1" t="s">
        <v>13</v>
      </c>
      <c r="E219" s="7" t="s">
        <v>223</v>
      </c>
      <c r="F219" s="5">
        <v>586</v>
      </c>
      <c r="G219" s="10">
        <v>45412</v>
      </c>
      <c r="H219" s="8" t="s">
        <v>224</v>
      </c>
      <c r="I219" s="7" t="s">
        <v>16</v>
      </c>
      <c r="J219" s="13">
        <v>1251.5</v>
      </c>
      <c r="K219" s="13">
        <v>1251.5</v>
      </c>
      <c r="L219" s="11" t="str">
        <f t="shared" ref="L219:L221" si="77">IF(F219&lt;14,K219,"")</f>
        <v/>
      </c>
      <c r="M219" s="27"/>
      <c r="N219" s="28">
        <v>1251.5</v>
      </c>
      <c r="O219" t="s">
        <v>222</v>
      </c>
    </row>
    <row r="220" spans="1:15" ht="14" x14ac:dyDescent="0.15">
      <c r="A220" s="1">
        <v>24801086</v>
      </c>
      <c r="B220" s="10">
        <v>45420</v>
      </c>
      <c r="C220" s="1">
        <v>24801086</v>
      </c>
      <c r="D220" s="1" t="s">
        <v>13</v>
      </c>
      <c r="E220" s="7" t="s">
        <v>225</v>
      </c>
      <c r="F220" s="5">
        <v>565</v>
      </c>
      <c r="G220" s="10">
        <v>45443</v>
      </c>
      <c r="H220" s="8" t="s">
        <v>226</v>
      </c>
      <c r="I220" s="7" t="s">
        <v>16</v>
      </c>
      <c r="J220" s="13">
        <v>3251.5</v>
      </c>
      <c r="K220" s="13">
        <v>3251.5</v>
      </c>
      <c r="L220" s="11" t="str">
        <f t="shared" si="77"/>
        <v/>
      </c>
      <c r="M220" s="27"/>
      <c r="N220" s="28">
        <v>3251.5</v>
      </c>
    </row>
    <row r="221" spans="1:15" ht="14" x14ac:dyDescent="0.15">
      <c r="A221" s="1">
        <v>24801969</v>
      </c>
      <c r="B221" s="10">
        <v>45523</v>
      </c>
      <c r="C221" s="1">
        <v>24801969</v>
      </c>
      <c r="D221" s="1" t="s">
        <v>13</v>
      </c>
      <c r="E221" s="7" t="s">
        <v>227</v>
      </c>
      <c r="F221" s="5">
        <v>462</v>
      </c>
      <c r="G221" s="10">
        <v>45535</v>
      </c>
      <c r="H221" s="8" t="s">
        <v>228</v>
      </c>
      <c r="I221" s="7" t="s">
        <v>16</v>
      </c>
      <c r="J221" s="13">
        <v>4281.3500000000004</v>
      </c>
      <c r="K221" s="13">
        <v>4281.3500000000004</v>
      </c>
      <c r="L221" s="11" t="str">
        <f t="shared" si="77"/>
        <v/>
      </c>
      <c r="M221" s="27"/>
      <c r="N221" s="28">
        <v>4281.3500000000004</v>
      </c>
    </row>
    <row r="222" spans="1:15" x14ac:dyDescent="0.15">
      <c r="A222" s="34" t="s">
        <v>17</v>
      </c>
      <c r="B222" s="34"/>
      <c r="C222" s="34"/>
      <c r="D222" s="34"/>
      <c r="E222" s="34"/>
      <c r="F222" s="5"/>
      <c r="G222" s="3"/>
      <c r="H222" s="3"/>
      <c r="I222" s="3"/>
      <c r="J222" s="13"/>
      <c r="K222" s="12">
        <v>8784.35</v>
      </c>
    </row>
    <row r="223" spans="1:15" x14ac:dyDescent="0.15">
      <c r="A223" s="35" t="s">
        <v>229</v>
      </c>
      <c r="B223" s="36"/>
      <c r="C223" s="36"/>
      <c r="D223" s="36"/>
      <c r="E223" s="36"/>
      <c r="F223" s="36"/>
      <c r="G223" s="36"/>
      <c r="H223" s="36"/>
      <c r="I223" s="36"/>
      <c r="J223" s="37"/>
      <c r="K223" s="37"/>
    </row>
    <row r="224" spans="1:15" ht="14" x14ac:dyDescent="0.15">
      <c r="A224" s="1">
        <v>25803574</v>
      </c>
      <c r="B224" s="9">
        <v>45981</v>
      </c>
      <c r="C224" s="1">
        <v>25803574</v>
      </c>
      <c r="D224" s="1" t="s">
        <v>13</v>
      </c>
      <c r="E224" s="7" t="s">
        <v>230</v>
      </c>
      <c r="F224" s="5">
        <v>4</v>
      </c>
      <c r="G224" s="9">
        <v>45991</v>
      </c>
      <c r="H224" s="8" t="s">
        <v>45</v>
      </c>
      <c r="I224" s="7" t="s">
        <v>16</v>
      </c>
      <c r="J224" s="13">
        <v>-302.5</v>
      </c>
      <c r="K224" s="13">
        <v>-302.5</v>
      </c>
      <c r="L224" s="11">
        <f t="shared" ref="L224" si="78">IF(F224&lt;14,K224,"")</f>
        <v>-302.5</v>
      </c>
      <c r="M224" s="27" t="str">
        <f t="shared" ref="M224" si="79">IF(F224&gt;15,K224,"")</f>
        <v/>
      </c>
      <c r="N224" s="28"/>
    </row>
    <row r="225" spans="1:14" x14ac:dyDescent="0.15">
      <c r="A225" s="34" t="s">
        <v>17</v>
      </c>
      <c r="B225" s="34"/>
      <c r="C225" s="34"/>
      <c r="D225" s="34"/>
      <c r="E225" s="34"/>
      <c r="F225" s="5"/>
      <c r="G225" s="3"/>
      <c r="H225" s="3"/>
      <c r="I225" s="3"/>
      <c r="J225" s="13"/>
      <c r="K225" s="12">
        <v>-302.5</v>
      </c>
    </row>
    <row r="226" spans="1:14" x14ac:dyDescent="0.15">
      <c r="A226" s="35" t="s">
        <v>231</v>
      </c>
      <c r="B226" s="36"/>
      <c r="C226" s="36"/>
      <c r="D226" s="36"/>
      <c r="E226" s="36"/>
      <c r="F226" s="36"/>
      <c r="G226" s="36"/>
      <c r="H226" s="36"/>
      <c r="I226" s="36"/>
      <c r="J226" s="37"/>
      <c r="K226" s="37"/>
    </row>
    <row r="227" spans="1:14" ht="14" x14ac:dyDescent="0.15">
      <c r="A227" s="1">
        <v>25803381</v>
      </c>
      <c r="B227" s="9">
        <v>45972</v>
      </c>
      <c r="C227" s="1">
        <v>25803381</v>
      </c>
      <c r="D227" s="1" t="s">
        <v>13</v>
      </c>
      <c r="E227" s="7" t="s">
        <v>232</v>
      </c>
      <c r="F227" s="5">
        <v>13</v>
      </c>
      <c r="G227" s="9">
        <v>45991</v>
      </c>
      <c r="H227" s="8" t="s">
        <v>233</v>
      </c>
      <c r="I227" s="7" t="s">
        <v>16</v>
      </c>
      <c r="J227" s="13">
        <v>3082</v>
      </c>
      <c r="K227" s="13">
        <v>3082</v>
      </c>
      <c r="L227" s="11">
        <f t="shared" ref="L227:L238" si="80">IF(F227&lt;14,K227,"")</f>
        <v>3082</v>
      </c>
      <c r="M227" s="27" t="str">
        <f t="shared" ref="M227:M242" si="81">IF(F227&gt;15,K227,"")</f>
        <v/>
      </c>
      <c r="N227" s="28"/>
    </row>
    <row r="228" spans="1:14" ht="14" x14ac:dyDescent="0.15">
      <c r="A228" s="1">
        <v>25803383</v>
      </c>
      <c r="B228" s="9">
        <v>45972</v>
      </c>
      <c r="C228" s="1">
        <v>25803383</v>
      </c>
      <c r="D228" s="1" t="s">
        <v>13</v>
      </c>
      <c r="E228" s="7" t="s">
        <v>234</v>
      </c>
      <c r="F228" s="5">
        <v>13</v>
      </c>
      <c r="G228" s="9">
        <v>45991</v>
      </c>
      <c r="H228" s="8" t="s">
        <v>233</v>
      </c>
      <c r="I228" s="7" t="s">
        <v>16</v>
      </c>
      <c r="J228" s="13">
        <v>3932.75</v>
      </c>
      <c r="K228" s="13">
        <v>3932.75</v>
      </c>
      <c r="L228" s="11">
        <f t="shared" si="80"/>
        <v>3932.75</v>
      </c>
      <c r="M228" s="27" t="str">
        <f t="shared" si="81"/>
        <v/>
      </c>
      <c r="N228" s="28"/>
    </row>
    <row r="229" spans="1:14" ht="14" x14ac:dyDescent="0.15">
      <c r="A229" s="1">
        <v>25803384</v>
      </c>
      <c r="B229" s="9">
        <v>45972</v>
      </c>
      <c r="C229" s="1">
        <v>25803384</v>
      </c>
      <c r="D229" s="1" t="s">
        <v>13</v>
      </c>
      <c r="E229" s="7" t="s">
        <v>235</v>
      </c>
      <c r="F229" s="5">
        <v>13</v>
      </c>
      <c r="G229" s="9">
        <v>45991</v>
      </c>
      <c r="H229" s="8" t="s">
        <v>233</v>
      </c>
      <c r="I229" s="7" t="s">
        <v>16</v>
      </c>
      <c r="J229" s="13">
        <v>3932.75</v>
      </c>
      <c r="K229" s="13">
        <v>3932.75</v>
      </c>
      <c r="L229" s="11">
        <f t="shared" si="80"/>
        <v>3932.75</v>
      </c>
      <c r="M229" s="27" t="str">
        <f t="shared" si="81"/>
        <v/>
      </c>
      <c r="N229" s="28"/>
    </row>
    <row r="230" spans="1:14" ht="14" x14ac:dyDescent="0.15">
      <c r="A230" s="1">
        <v>25803385</v>
      </c>
      <c r="B230" s="9">
        <v>45972</v>
      </c>
      <c r="C230" s="1">
        <v>25803385</v>
      </c>
      <c r="D230" s="1" t="s">
        <v>13</v>
      </c>
      <c r="E230" s="7" t="s">
        <v>236</v>
      </c>
      <c r="F230" s="5">
        <v>13</v>
      </c>
      <c r="G230" s="9">
        <v>45991</v>
      </c>
      <c r="H230" s="8" t="s">
        <v>233</v>
      </c>
      <c r="I230" s="7" t="s">
        <v>16</v>
      </c>
      <c r="J230" s="13">
        <v>3932.75</v>
      </c>
      <c r="K230" s="13">
        <v>3932.75</v>
      </c>
      <c r="L230" s="11">
        <f t="shared" si="80"/>
        <v>3932.75</v>
      </c>
      <c r="M230" s="27" t="str">
        <f t="shared" si="81"/>
        <v/>
      </c>
      <c r="N230" s="28"/>
    </row>
    <row r="231" spans="1:14" ht="14" x14ac:dyDescent="0.15">
      <c r="A231" s="1">
        <v>25803388</v>
      </c>
      <c r="B231" s="9">
        <v>45972</v>
      </c>
      <c r="C231" s="1">
        <v>25803388</v>
      </c>
      <c r="D231" s="1" t="s">
        <v>13</v>
      </c>
      <c r="E231" s="7" t="s">
        <v>237</v>
      </c>
      <c r="F231" s="5">
        <v>13</v>
      </c>
      <c r="G231" s="9">
        <v>45991</v>
      </c>
      <c r="H231" s="8" t="s">
        <v>233</v>
      </c>
      <c r="I231" s="7" t="s">
        <v>16</v>
      </c>
      <c r="J231" s="13">
        <v>3905.5</v>
      </c>
      <c r="K231" s="13">
        <v>3905.5</v>
      </c>
      <c r="L231" s="11">
        <f t="shared" si="80"/>
        <v>3905.5</v>
      </c>
      <c r="M231" s="27" t="str">
        <f t="shared" si="81"/>
        <v/>
      </c>
      <c r="N231" s="28"/>
    </row>
    <row r="232" spans="1:14" ht="14" x14ac:dyDescent="0.15">
      <c r="A232" s="1">
        <v>25803389</v>
      </c>
      <c r="B232" s="9">
        <v>45972</v>
      </c>
      <c r="C232" s="1">
        <v>25803389</v>
      </c>
      <c r="D232" s="1" t="s">
        <v>13</v>
      </c>
      <c r="E232" s="7" t="s">
        <v>238</v>
      </c>
      <c r="F232" s="5">
        <v>13</v>
      </c>
      <c r="G232" s="9">
        <v>45991</v>
      </c>
      <c r="H232" s="8" t="s">
        <v>233</v>
      </c>
      <c r="I232" s="7" t="s">
        <v>16</v>
      </c>
      <c r="J232" s="13">
        <v>3932.75</v>
      </c>
      <c r="K232" s="13">
        <v>3932.75</v>
      </c>
      <c r="L232" s="11">
        <f t="shared" si="80"/>
        <v>3932.75</v>
      </c>
      <c r="M232" s="27" t="str">
        <f t="shared" si="81"/>
        <v/>
      </c>
      <c r="N232" s="28"/>
    </row>
    <row r="233" spans="1:14" ht="14" x14ac:dyDescent="0.15">
      <c r="A233" s="1">
        <v>25803394</v>
      </c>
      <c r="B233" s="9">
        <v>45972</v>
      </c>
      <c r="C233" s="1">
        <v>25803394</v>
      </c>
      <c r="D233" s="1" t="s">
        <v>13</v>
      </c>
      <c r="E233" s="7" t="s">
        <v>239</v>
      </c>
      <c r="F233" s="5">
        <v>13</v>
      </c>
      <c r="G233" s="9">
        <v>45991</v>
      </c>
      <c r="H233" s="8" t="s">
        <v>233</v>
      </c>
      <c r="I233" s="7" t="s">
        <v>16</v>
      </c>
      <c r="J233" s="13">
        <v>3932.75</v>
      </c>
      <c r="K233" s="13">
        <v>3932.75</v>
      </c>
      <c r="L233" s="11">
        <f t="shared" si="80"/>
        <v>3932.75</v>
      </c>
      <c r="M233" s="27" t="str">
        <f t="shared" si="81"/>
        <v/>
      </c>
      <c r="N233" s="28"/>
    </row>
    <row r="234" spans="1:14" ht="14" x14ac:dyDescent="0.15">
      <c r="A234" s="1">
        <v>25803395</v>
      </c>
      <c r="B234" s="9">
        <v>45972</v>
      </c>
      <c r="C234" s="1">
        <v>25803395</v>
      </c>
      <c r="D234" s="1" t="s">
        <v>13</v>
      </c>
      <c r="E234" s="7" t="s">
        <v>240</v>
      </c>
      <c r="F234" s="5">
        <v>13</v>
      </c>
      <c r="G234" s="9">
        <v>45991</v>
      </c>
      <c r="H234" s="8" t="s">
        <v>233</v>
      </c>
      <c r="I234" s="7" t="s">
        <v>16</v>
      </c>
      <c r="J234" s="13">
        <v>4598.75</v>
      </c>
      <c r="K234" s="13">
        <v>4598.75</v>
      </c>
      <c r="L234" s="11">
        <f t="shared" si="80"/>
        <v>4598.75</v>
      </c>
      <c r="M234" s="27" t="str">
        <f t="shared" si="81"/>
        <v/>
      </c>
      <c r="N234" s="28"/>
    </row>
    <row r="235" spans="1:14" ht="14" x14ac:dyDescent="0.15">
      <c r="A235" s="1">
        <v>25803425</v>
      </c>
      <c r="B235" s="9">
        <v>45972</v>
      </c>
      <c r="C235" s="1">
        <v>25803425</v>
      </c>
      <c r="D235" s="1" t="s">
        <v>13</v>
      </c>
      <c r="E235" s="7" t="s">
        <v>241</v>
      </c>
      <c r="F235" s="5">
        <v>13</v>
      </c>
      <c r="G235" s="9">
        <v>45991</v>
      </c>
      <c r="H235" s="8" t="s">
        <v>233</v>
      </c>
      <c r="I235" s="7" t="s">
        <v>16</v>
      </c>
      <c r="J235" s="13">
        <v>2483.02</v>
      </c>
      <c r="K235" s="13">
        <v>2483.02</v>
      </c>
      <c r="L235" s="11">
        <f t="shared" si="80"/>
        <v>2483.02</v>
      </c>
      <c r="M235" s="27" t="str">
        <f t="shared" si="81"/>
        <v/>
      </c>
      <c r="N235" s="28"/>
    </row>
    <row r="236" spans="1:14" ht="14" x14ac:dyDescent="0.15">
      <c r="A236" s="1">
        <v>25803576</v>
      </c>
      <c r="B236" s="9">
        <v>45982</v>
      </c>
      <c r="C236" s="1">
        <v>25803576</v>
      </c>
      <c r="D236" s="1" t="s">
        <v>13</v>
      </c>
      <c r="E236" s="7" t="s">
        <v>242</v>
      </c>
      <c r="F236" s="5">
        <v>3</v>
      </c>
      <c r="G236" s="9">
        <v>45991</v>
      </c>
      <c r="H236" s="8" t="s">
        <v>243</v>
      </c>
      <c r="I236" s="7" t="s">
        <v>16</v>
      </c>
      <c r="J236" s="13">
        <v>1025</v>
      </c>
      <c r="K236" s="13">
        <v>1025</v>
      </c>
      <c r="L236" s="11">
        <f t="shared" si="80"/>
        <v>1025</v>
      </c>
      <c r="M236" s="27" t="str">
        <f t="shared" si="81"/>
        <v/>
      </c>
      <c r="N236" s="28"/>
    </row>
    <row r="237" spans="1:14" ht="14" x14ac:dyDescent="0.15">
      <c r="A237" s="1">
        <v>25803577</v>
      </c>
      <c r="B237" s="9">
        <v>45982</v>
      </c>
      <c r="C237" s="1">
        <v>25803577</v>
      </c>
      <c r="D237" s="1" t="s">
        <v>13</v>
      </c>
      <c r="E237" s="7" t="s">
        <v>244</v>
      </c>
      <c r="F237" s="5">
        <v>3</v>
      </c>
      <c r="G237" s="9">
        <v>45991</v>
      </c>
      <c r="H237" s="8" t="s">
        <v>243</v>
      </c>
      <c r="I237" s="7" t="s">
        <v>16</v>
      </c>
      <c r="J237" s="13">
        <v>700</v>
      </c>
      <c r="K237" s="13">
        <v>700</v>
      </c>
      <c r="L237" s="11">
        <f t="shared" si="80"/>
        <v>700</v>
      </c>
      <c r="M237" s="27" t="str">
        <f t="shared" si="81"/>
        <v/>
      </c>
      <c r="N237" s="28"/>
    </row>
    <row r="238" spans="1:14" ht="14" x14ac:dyDescent="0.15">
      <c r="A238" s="1">
        <v>25803578</v>
      </c>
      <c r="B238" s="9">
        <v>45982</v>
      </c>
      <c r="C238" s="1">
        <v>25803578</v>
      </c>
      <c r="D238" s="1" t="s">
        <v>13</v>
      </c>
      <c r="E238" s="7" t="s">
        <v>245</v>
      </c>
      <c r="F238" s="5">
        <v>3</v>
      </c>
      <c r="G238" s="9">
        <v>45991</v>
      </c>
      <c r="H238" s="8" t="s">
        <v>243</v>
      </c>
      <c r="I238" s="7" t="s">
        <v>16</v>
      </c>
      <c r="J238" s="13">
        <v>847.86</v>
      </c>
      <c r="K238" s="13">
        <v>847.86</v>
      </c>
      <c r="L238" s="11">
        <f t="shared" si="80"/>
        <v>847.86</v>
      </c>
      <c r="M238" s="27" t="str">
        <f t="shared" si="81"/>
        <v/>
      </c>
      <c r="N238" s="28"/>
    </row>
    <row r="239" spans="1:14" ht="14" x14ac:dyDescent="0.15">
      <c r="A239" s="1">
        <v>25803581</v>
      </c>
      <c r="B239" s="9">
        <v>45982</v>
      </c>
      <c r="C239" s="1">
        <v>25803581</v>
      </c>
      <c r="D239" s="1" t="s">
        <v>13</v>
      </c>
      <c r="E239" s="7" t="s">
        <v>246</v>
      </c>
      <c r="F239" s="5">
        <v>3</v>
      </c>
      <c r="G239" s="10">
        <v>45992</v>
      </c>
      <c r="H239" s="8" t="s">
        <v>247</v>
      </c>
      <c r="I239" s="7" t="s">
        <v>16</v>
      </c>
      <c r="J239" s="13">
        <v>7281.19</v>
      </c>
      <c r="K239" s="13">
        <v>7281.19</v>
      </c>
      <c r="L239" s="11"/>
      <c r="M239" s="27" t="str">
        <f t="shared" si="81"/>
        <v/>
      </c>
      <c r="N239" s="28">
        <v>7281.19</v>
      </c>
    </row>
    <row r="240" spans="1:14" ht="14" x14ac:dyDescent="0.15">
      <c r="A240" s="1">
        <v>25803582</v>
      </c>
      <c r="B240" s="9">
        <v>45982</v>
      </c>
      <c r="C240" s="1">
        <v>25803582</v>
      </c>
      <c r="D240" s="1" t="s">
        <v>13</v>
      </c>
      <c r="E240" s="7" t="s">
        <v>248</v>
      </c>
      <c r="F240" s="5">
        <v>3</v>
      </c>
      <c r="G240" s="10">
        <v>45992</v>
      </c>
      <c r="H240" s="8" t="s">
        <v>247</v>
      </c>
      <c r="I240" s="7" t="s">
        <v>16</v>
      </c>
      <c r="J240" s="13">
        <v>5327.15</v>
      </c>
      <c r="K240" s="13">
        <v>5327.15</v>
      </c>
      <c r="L240" s="11"/>
      <c r="M240" s="27" t="str">
        <f t="shared" si="81"/>
        <v/>
      </c>
      <c r="N240" s="28">
        <v>5327.15</v>
      </c>
    </row>
    <row r="241" spans="1:14" ht="14" x14ac:dyDescent="0.15">
      <c r="A241" s="1">
        <v>25803583</v>
      </c>
      <c r="B241" s="9">
        <v>45982</v>
      </c>
      <c r="C241" s="1">
        <v>25803583</v>
      </c>
      <c r="D241" s="1" t="s">
        <v>13</v>
      </c>
      <c r="E241" s="7" t="s">
        <v>249</v>
      </c>
      <c r="F241" s="5">
        <v>3</v>
      </c>
      <c r="G241" s="9">
        <v>46003</v>
      </c>
      <c r="H241" s="8" t="s">
        <v>250</v>
      </c>
      <c r="I241" s="7" t="s">
        <v>16</v>
      </c>
      <c r="J241" s="13">
        <v>4639.28</v>
      </c>
      <c r="K241" s="13">
        <v>4639.28</v>
      </c>
      <c r="L241" s="11"/>
      <c r="M241" s="27" t="str">
        <f t="shared" si="81"/>
        <v/>
      </c>
      <c r="N241" s="28">
        <v>4639.28</v>
      </c>
    </row>
    <row r="242" spans="1:14" ht="14" x14ac:dyDescent="0.15">
      <c r="A242" s="1">
        <v>25803584</v>
      </c>
      <c r="B242" s="9">
        <v>45982</v>
      </c>
      <c r="C242" s="1">
        <v>25803584</v>
      </c>
      <c r="D242" s="1" t="s">
        <v>13</v>
      </c>
      <c r="E242" s="7" t="s">
        <v>251</v>
      </c>
      <c r="F242" s="5">
        <v>3</v>
      </c>
      <c r="G242" s="9">
        <v>46003</v>
      </c>
      <c r="H242" s="8" t="s">
        <v>250</v>
      </c>
      <c r="I242" s="7" t="s">
        <v>16</v>
      </c>
      <c r="J242" s="13">
        <v>3634.58</v>
      </c>
      <c r="K242" s="13">
        <v>3634.58</v>
      </c>
      <c r="L242" s="11"/>
      <c r="M242" s="27" t="str">
        <f t="shared" si="81"/>
        <v/>
      </c>
      <c r="N242" s="28">
        <v>3634.58</v>
      </c>
    </row>
    <row r="243" spans="1:14" x14ac:dyDescent="0.15">
      <c r="A243" s="34" t="s">
        <v>17</v>
      </c>
      <c r="B243" s="34"/>
      <c r="C243" s="34"/>
      <c r="D243" s="34"/>
      <c r="E243" s="34"/>
      <c r="F243" s="5"/>
      <c r="G243" s="3"/>
      <c r="H243" s="3"/>
      <c r="I243" s="3"/>
      <c r="J243" s="13"/>
      <c r="K243" s="12">
        <v>57188.08</v>
      </c>
    </row>
    <row r="244" spans="1:14" x14ac:dyDescent="0.15">
      <c r="A244" s="35" t="s">
        <v>252</v>
      </c>
      <c r="B244" s="36"/>
      <c r="C244" s="36"/>
      <c r="D244" s="36"/>
      <c r="E244" s="36"/>
      <c r="F244" s="36"/>
      <c r="G244" s="36"/>
      <c r="H244" s="36"/>
      <c r="I244" s="36"/>
      <c r="J244" s="37"/>
      <c r="K244" s="37"/>
    </row>
    <row r="245" spans="1:14" ht="14" x14ac:dyDescent="0.15">
      <c r="A245" s="1">
        <v>25803355</v>
      </c>
      <c r="B245" s="9">
        <v>45972</v>
      </c>
      <c r="C245" s="1">
        <v>25803355</v>
      </c>
      <c r="D245" s="1" t="s">
        <v>13</v>
      </c>
      <c r="E245" s="7" t="s">
        <v>253</v>
      </c>
      <c r="F245" s="5">
        <v>13</v>
      </c>
      <c r="G245" s="9">
        <v>45991</v>
      </c>
      <c r="H245" s="8" t="s">
        <v>29</v>
      </c>
      <c r="I245" s="7" t="s">
        <v>16</v>
      </c>
      <c r="J245" s="13">
        <v>1907.5</v>
      </c>
      <c r="K245" s="13">
        <v>1907.5</v>
      </c>
      <c r="L245" s="11">
        <f t="shared" ref="L245" si="82">IF(F245&lt;14,K245,"")</f>
        <v>1907.5</v>
      </c>
      <c r="M245" s="27" t="str">
        <f t="shared" ref="M245" si="83">IF(F245&gt;15,K245,"")</f>
        <v/>
      </c>
      <c r="N245" s="28"/>
    </row>
    <row r="246" spans="1:14" x14ac:dyDescent="0.15">
      <c r="A246" s="34" t="s">
        <v>17</v>
      </c>
      <c r="B246" s="34"/>
      <c r="C246" s="34"/>
      <c r="D246" s="34"/>
      <c r="E246" s="34"/>
      <c r="F246" s="5"/>
      <c r="G246" s="3"/>
      <c r="H246" s="3"/>
      <c r="I246" s="3"/>
      <c r="J246" s="13"/>
      <c r="K246" s="12">
        <v>1907.5</v>
      </c>
    </row>
    <row r="247" spans="1:14" x14ac:dyDescent="0.15">
      <c r="A247" s="35" t="s">
        <v>254</v>
      </c>
      <c r="B247" s="36"/>
      <c r="C247" s="36"/>
      <c r="D247" s="36"/>
      <c r="E247" s="36"/>
      <c r="F247" s="36"/>
      <c r="G247" s="36"/>
      <c r="H247" s="36"/>
      <c r="I247" s="36"/>
      <c r="J247" s="37"/>
      <c r="K247" s="37"/>
    </row>
    <row r="248" spans="1:14" ht="14" x14ac:dyDescent="0.15">
      <c r="A248" s="1">
        <v>25803396</v>
      </c>
      <c r="B248" s="9">
        <v>45972</v>
      </c>
      <c r="C248" s="1">
        <v>25803396</v>
      </c>
      <c r="D248" s="1" t="s">
        <v>13</v>
      </c>
      <c r="E248" s="7" t="s">
        <v>255</v>
      </c>
      <c r="F248" s="5">
        <v>13</v>
      </c>
      <c r="G248" s="9">
        <v>45991</v>
      </c>
      <c r="H248" s="8" t="s">
        <v>256</v>
      </c>
      <c r="I248" s="7" t="s">
        <v>16</v>
      </c>
      <c r="J248" s="13">
        <v>1986</v>
      </c>
      <c r="K248" s="13">
        <v>1986</v>
      </c>
      <c r="L248" s="11">
        <f t="shared" ref="L248:L253" si="84">IF(F248&lt;14,K248,"")</f>
        <v>1986</v>
      </c>
      <c r="M248" s="27" t="str">
        <f t="shared" ref="M248:M253" si="85">IF(F248&gt;15,K248,"")</f>
        <v/>
      </c>
      <c r="N248" s="28"/>
    </row>
    <row r="249" spans="1:14" ht="14" x14ac:dyDescent="0.15">
      <c r="A249" s="1">
        <v>25803410</v>
      </c>
      <c r="B249" s="9">
        <v>45972</v>
      </c>
      <c r="C249" s="1">
        <v>25803410</v>
      </c>
      <c r="D249" s="1" t="s">
        <v>13</v>
      </c>
      <c r="E249" s="7" t="s">
        <v>257</v>
      </c>
      <c r="F249" s="5">
        <v>13</v>
      </c>
      <c r="G249" s="9">
        <v>45991</v>
      </c>
      <c r="H249" s="8" t="s">
        <v>256</v>
      </c>
      <c r="I249" s="7" t="s">
        <v>16</v>
      </c>
      <c r="J249" s="13">
        <v>2918.5</v>
      </c>
      <c r="K249" s="13">
        <v>2918.5</v>
      </c>
      <c r="L249" s="11">
        <f t="shared" si="84"/>
        <v>2918.5</v>
      </c>
      <c r="M249" s="27" t="str">
        <f t="shared" si="85"/>
        <v/>
      </c>
      <c r="N249" s="28"/>
    </row>
    <row r="250" spans="1:14" ht="14" x14ac:dyDescent="0.15">
      <c r="A250" s="1">
        <v>25803460</v>
      </c>
      <c r="B250" s="9">
        <v>45972</v>
      </c>
      <c r="C250" s="1">
        <v>25803460</v>
      </c>
      <c r="D250" s="1" t="s">
        <v>13</v>
      </c>
      <c r="E250" s="7" t="s">
        <v>258</v>
      </c>
      <c r="F250" s="5">
        <v>13</v>
      </c>
      <c r="G250" s="9">
        <v>45991</v>
      </c>
      <c r="H250" s="8" t="s">
        <v>256</v>
      </c>
      <c r="I250" s="7" t="s">
        <v>16</v>
      </c>
      <c r="J250" s="13">
        <v>2227.71</v>
      </c>
      <c r="K250" s="13">
        <v>2227.71</v>
      </c>
      <c r="L250" s="11">
        <f t="shared" si="84"/>
        <v>2227.71</v>
      </c>
      <c r="M250" s="27" t="str">
        <f t="shared" si="85"/>
        <v/>
      </c>
      <c r="N250" s="28"/>
    </row>
    <row r="251" spans="1:14" ht="14" x14ac:dyDescent="0.15">
      <c r="A251" s="1">
        <v>25803461</v>
      </c>
      <c r="B251" s="9">
        <v>45972</v>
      </c>
      <c r="C251" s="1">
        <v>25803461</v>
      </c>
      <c r="D251" s="1" t="s">
        <v>13</v>
      </c>
      <c r="E251" s="7" t="s">
        <v>259</v>
      </c>
      <c r="F251" s="5">
        <v>13</v>
      </c>
      <c r="G251" s="9">
        <v>45991</v>
      </c>
      <c r="H251" s="8" t="s">
        <v>256</v>
      </c>
      <c r="I251" s="7" t="s">
        <v>16</v>
      </c>
      <c r="J251" s="13">
        <v>2227.71</v>
      </c>
      <c r="K251" s="13">
        <v>2227.71</v>
      </c>
      <c r="L251" s="11">
        <f t="shared" si="84"/>
        <v>2227.71</v>
      </c>
      <c r="M251" s="27" t="str">
        <f t="shared" si="85"/>
        <v/>
      </c>
      <c r="N251" s="28"/>
    </row>
    <row r="252" spans="1:14" ht="14" x14ac:dyDescent="0.15">
      <c r="A252" s="1">
        <v>25803463</v>
      </c>
      <c r="B252" s="9">
        <v>45972</v>
      </c>
      <c r="C252" s="1">
        <v>25803463</v>
      </c>
      <c r="D252" s="1" t="s">
        <v>13</v>
      </c>
      <c r="E252" s="7" t="s">
        <v>260</v>
      </c>
      <c r="F252" s="5">
        <v>13</v>
      </c>
      <c r="G252" s="9">
        <v>45991</v>
      </c>
      <c r="H252" s="8" t="s">
        <v>256</v>
      </c>
      <c r="I252" s="7" t="s">
        <v>16</v>
      </c>
      <c r="J252" s="13">
        <v>3578.5</v>
      </c>
      <c r="K252" s="13">
        <v>3578.5</v>
      </c>
      <c r="L252" s="11">
        <f t="shared" si="84"/>
        <v>3578.5</v>
      </c>
      <c r="M252" s="27" t="str">
        <f t="shared" si="85"/>
        <v/>
      </c>
      <c r="N252" s="28"/>
    </row>
    <row r="253" spans="1:14" ht="14" x14ac:dyDescent="0.15">
      <c r="A253" s="1">
        <v>25803549</v>
      </c>
      <c r="B253" s="9">
        <v>45975</v>
      </c>
      <c r="C253" s="1">
        <v>25803549</v>
      </c>
      <c r="D253" s="1" t="s">
        <v>13</v>
      </c>
      <c r="E253" s="7" t="s">
        <v>261</v>
      </c>
      <c r="F253" s="5">
        <v>10</v>
      </c>
      <c r="G253" s="9">
        <v>45991</v>
      </c>
      <c r="H253" s="8" t="s">
        <v>45</v>
      </c>
      <c r="I253" s="7" t="s">
        <v>16</v>
      </c>
      <c r="J253" s="13">
        <v>-860.05</v>
      </c>
      <c r="K253" s="13">
        <v>-860.05</v>
      </c>
      <c r="L253" s="11">
        <f t="shared" si="84"/>
        <v>-860.05</v>
      </c>
      <c r="M253" s="27" t="str">
        <f t="shared" si="85"/>
        <v/>
      </c>
      <c r="N253" s="28"/>
    </row>
    <row r="254" spans="1:14" x14ac:dyDescent="0.15">
      <c r="A254" s="34" t="s">
        <v>17</v>
      </c>
      <c r="B254" s="34"/>
      <c r="C254" s="34"/>
      <c r="D254" s="34"/>
      <c r="E254" s="34"/>
      <c r="F254" s="5"/>
      <c r="G254" s="3"/>
      <c r="H254" s="3"/>
      <c r="I254" s="3"/>
      <c r="J254" s="13"/>
      <c r="K254" s="12">
        <v>12078.37</v>
      </c>
    </row>
    <row r="255" spans="1:14" x14ac:dyDescent="0.15">
      <c r="A255" s="35" t="s">
        <v>262</v>
      </c>
      <c r="B255" s="36"/>
      <c r="C255" s="36"/>
      <c r="D255" s="36"/>
      <c r="E255" s="36"/>
      <c r="F255" s="36"/>
      <c r="G255" s="36"/>
      <c r="H255" s="36"/>
      <c r="I255" s="36"/>
      <c r="J255" s="37"/>
      <c r="K255" s="37"/>
    </row>
    <row r="256" spans="1:14" ht="14" x14ac:dyDescent="0.15">
      <c r="A256" s="1">
        <v>25803362</v>
      </c>
      <c r="B256" s="9">
        <v>45972</v>
      </c>
      <c r="C256" s="1">
        <v>25803362</v>
      </c>
      <c r="D256" s="1" t="s">
        <v>13</v>
      </c>
      <c r="E256" s="7" t="s">
        <v>263</v>
      </c>
      <c r="F256" s="5">
        <v>13</v>
      </c>
      <c r="G256" s="9">
        <v>45991</v>
      </c>
      <c r="H256" s="8" t="s">
        <v>264</v>
      </c>
      <c r="I256" s="7" t="s">
        <v>16</v>
      </c>
      <c r="J256" s="13">
        <v>2591.5</v>
      </c>
      <c r="K256" s="13">
        <v>2591.5</v>
      </c>
      <c r="L256" s="11">
        <f t="shared" ref="L256:L258" si="86">IF(F256&lt;14,K256,"")</f>
        <v>2591.5</v>
      </c>
      <c r="M256" s="27" t="str">
        <f t="shared" ref="M256:M258" si="87">IF(F256&gt;15,K256,"")</f>
        <v/>
      </c>
      <c r="N256" s="28"/>
    </row>
    <row r="257" spans="1:14" ht="14" x14ac:dyDescent="0.15">
      <c r="A257" s="1">
        <v>25803404</v>
      </c>
      <c r="B257" s="9">
        <v>45972</v>
      </c>
      <c r="C257" s="1">
        <v>25803404</v>
      </c>
      <c r="D257" s="1" t="s">
        <v>13</v>
      </c>
      <c r="E257" s="7" t="s">
        <v>265</v>
      </c>
      <c r="F257" s="5">
        <v>13</v>
      </c>
      <c r="G257" s="9">
        <v>45991</v>
      </c>
      <c r="H257" s="8" t="s">
        <v>264</v>
      </c>
      <c r="I257" s="7" t="s">
        <v>16</v>
      </c>
      <c r="J257" s="13">
        <v>3251.5</v>
      </c>
      <c r="K257" s="13">
        <v>3251.5</v>
      </c>
      <c r="L257" s="11">
        <f t="shared" si="86"/>
        <v>3251.5</v>
      </c>
      <c r="M257" s="27" t="str">
        <f t="shared" si="87"/>
        <v/>
      </c>
      <c r="N257" s="28"/>
    </row>
    <row r="258" spans="1:14" ht="14" x14ac:dyDescent="0.15">
      <c r="A258" s="1">
        <v>25803405</v>
      </c>
      <c r="B258" s="9">
        <v>45972</v>
      </c>
      <c r="C258" s="1">
        <v>25803405</v>
      </c>
      <c r="D258" s="1" t="s">
        <v>13</v>
      </c>
      <c r="E258" s="7" t="s">
        <v>266</v>
      </c>
      <c r="F258" s="5">
        <v>13</v>
      </c>
      <c r="G258" s="9">
        <v>45991</v>
      </c>
      <c r="H258" s="8" t="s">
        <v>264</v>
      </c>
      <c r="I258" s="7" t="s">
        <v>16</v>
      </c>
      <c r="J258" s="13">
        <v>2755</v>
      </c>
      <c r="K258" s="13">
        <v>2755</v>
      </c>
      <c r="L258" s="11">
        <f t="shared" si="86"/>
        <v>2755</v>
      </c>
      <c r="M258" s="27" t="str">
        <f t="shared" si="87"/>
        <v/>
      </c>
      <c r="N258" s="28"/>
    </row>
    <row r="259" spans="1:14" x14ac:dyDescent="0.15">
      <c r="A259" s="34" t="s">
        <v>17</v>
      </c>
      <c r="B259" s="34"/>
      <c r="C259" s="34"/>
      <c r="D259" s="34"/>
      <c r="E259" s="34"/>
      <c r="F259" s="5"/>
      <c r="G259" s="3"/>
      <c r="H259" s="3"/>
      <c r="I259" s="3"/>
      <c r="J259" s="13"/>
      <c r="K259" s="12">
        <v>8598</v>
      </c>
    </row>
    <row r="260" spans="1:14" x14ac:dyDescent="0.15">
      <c r="A260" s="35" t="s">
        <v>267</v>
      </c>
      <c r="B260" s="36"/>
      <c r="C260" s="36"/>
      <c r="D260" s="36"/>
      <c r="E260" s="36"/>
      <c r="F260" s="36"/>
      <c r="G260" s="36"/>
      <c r="H260" s="36"/>
      <c r="I260" s="36"/>
      <c r="J260" s="37"/>
      <c r="K260" s="37"/>
    </row>
    <row r="261" spans="1:14" ht="14" x14ac:dyDescent="0.15">
      <c r="A261" s="1">
        <v>25803319</v>
      </c>
      <c r="B261" s="9">
        <v>45972</v>
      </c>
      <c r="C261" s="1">
        <v>25803319</v>
      </c>
      <c r="D261" s="1" t="s">
        <v>13</v>
      </c>
      <c r="E261" s="7" t="s">
        <v>268</v>
      </c>
      <c r="F261" s="5">
        <v>13</v>
      </c>
      <c r="G261" s="9">
        <v>45991</v>
      </c>
      <c r="H261" s="8" t="s">
        <v>256</v>
      </c>
      <c r="I261" s="7" t="s">
        <v>16</v>
      </c>
      <c r="J261" s="13">
        <v>1994.19</v>
      </c>
      <c r="K261" s="13">
        <v>1994.19</v>
      </c>
      <c r="L261" s="11">
        <f t="shared" ref="L261:L262" si="88">IF(F261&lt;14,K261,"")</f>
        <v>1994.19</v>
      </c>
      <c r="M261" s="27" t="str">
        <f t="shared" ref="M261:M262" si="89">IF(F261&gt;15,K261,"")</f>
        <v/>
      </c>
      <c r="N261" s="28"/>
    </row>
    <row r="262" spans="1:14" ht="14" x14ac:dyDescent="0.15">
      <c r="A262" s="1">
        <v>25803447</v>
      </c>
      <c r="B262" s="9">
        <v>45972</v>
      </c>
      <c r="C262" s="1">
        <v>25803447</v>
      </c>
      <c r="D262" s="1" t="s">
        <v>13</v>
      </c>
      <c r="E262" s="7" t="s">
        <v>269</v>
      </c>
      <c r="F262" s="5">
        <v>13</v>
      </c>
      <c r="G262" s="9">
        <v>45991</v>
      </c>
      <c r="H262" s="8" t="s">
        <v>256</v>
      </c>
      <c r="I262" s="7" t="s">
        <v>16</v>
      </c>
      <c r="J262" s="13">
        <v>1994.19</v>
      </c>
      <c r="K262" s="13">
        <v>1994.19</v>
      </c>
      <c r="L262" s="11">
        <f t="shared" si="88"/>
        <v>1994.19</v>
      </c>
      <c r="M262" s="27" t="str">
        <f t="shared" si="89"/>
        <v/>
      </c>
      <c r="N262" s="28"/>
    </row>
    <row r="263" spans="1:14" x14ac:dyDescent="0.15">
      <c r="A263" s="34" t="s">
        <v>17</v>
      </c>
      <c r="B263" s="34"/>
      <c r="C263" s="34"/>
      <c r="D263" s="34"/>
      <c r="E263" s="34"/>
      <c r="F263" s="5"/>
      <c r="G263" s="3"/>
      <c r="H263" s="3"/>
      <c r="I263" s="3"/>
      <c r="J263" s="13"/>
      <c r="K263" s="12">
        <v>3988.38</v>
      </c>
    </row>
    <row r="264" spans="1:14" x14ac:dyDescent="0.15">
      <c r="A264" s="35" t="s">
        <v>270</v>
      </c>
      <c r="B264" s="36"/>
      <c r="C264" s="36"/>
      <c r="D264" s="36"/>
      <c r="E264" s="36"/>
      <c r="F264" s="36"/>
      <c r="G264" s="36"/>
      <c r="H264" s="36"/>
      <c r="I264" s="36"/>
      <c r="J264" s="37"/>
      <c r="K264" s="37"/>
    </row>
    <row r="265" spans="1:14" ht="14" x14ac:dyDescent="0.15">
      <c r="A265" s="1">
        <v>25800036</v>
      </c>
      <c r="B265" s="10">
        <v>45665</v>
      </c>
      <c r="C265" s="1">
        <v>25800036</v>
      </c>
      <c r="D265" s="1" t="s">
        <v>13</v>
      </c>
      <c r="E265" s="7" t="s">
        <v>271</v>
      </c>
      <c r="F265" s="5">
        <v>320</v>
      </c>
      <c r="G265" s="10">
        <v>45688</v>
      </c>
      <c r="H265" s="8" t="s">
        <v>272</v>
      </c>
      <c r="I265" s="7" t="s">
        <v>16</v>
      </c>
      <c r="J265" s="13">
        <v>127.05</v>
      </c>
      <c r="K265" s="13">
        <v>127.05</v>
      </c>
      <c r="L265" s="11" t="str">
        <f t="shared" ref="L265" si="90">IF(F265&lt;14,K265,"")</f>
        <v/>
      </c>
      <c r="M265" s="27"/>
      <c r="N265" s="28">
        <v>127.05</v>
      </c>
    </row>
    <row r="266" spans="1:14" x14ac:dyDescent="0.15">
      <c r="A266" s="34" t="s">
        <v>17</v>
      </c>
      <c r="B266" s="34"/>
      <c r="C266" s="34"/>
      <c r="D266" s="34"/>
      <c r="E266" s="34"/>
      <c r="F266" s="5"/>
      <c r="G266" s="3"/>
      <c r="H266" s="3"/>
      <c r="I266" s="3"/>
      <c r="J266" s="13"/>
      <c r="K266" s="12">
        <v>127.05</v>
      </c>
    </row>
    <row r="267" spans="1:14" x14ac:dyDescent="0.15">
      <c r="A267" s="35" t="s">
        <v>273</v>
      </c>
      <c r="B267" s="36"/>
      <c r="C267" s="36"/>
      <c r="D267" s="36"/>
      <c r="E267" s="36"/>
      <c r="F267" s="36"/>
      <c r="G267" s="36"/>
      <c r="H267" s="36"/>
      <c r="I267" s="36"/>
      <c r="J267" s="37"/>
      <c r="K267" s="37"/>
    </row>
    <row r="268" spans="1:14" ht="14" x14ac:dyDescent="0.15">
      <c r="A268" s="1">
        <v>24800926</v>
      </c>
      <c r="B268" s="10">
        <v>45404</v>
      </c>
      <c r="C268" s="1">
        <v>24800926</v>
      </c>
      <c r="D268" s="1" t="s">
        <v>13</v>
      </c>
      <c r="E268" s="7" t="s">
        <v>274</v>
      </c>
      <c r="F268" s="5">
        <v>581</v>
      </c>
      <c r="G268" s="10">
        <v>45412</v>
      </c>
      <c r="H268" s="8" t="s">
        <v>275</v>
      </c>
      <c r="I268" s="7" t="s">
        <v>16</v>
      </c>
      <c r="J268" s="13">
        <v>1530.51</v>
      </c>
      <c r="K268" s="13">
        <v>1530.51</v>
      </c>
      <c r="L268" s="11" t="str">
        <f t="shared" ref="L268" si="91">IF(F268&lt;14,K268,"")</f>
        <v/>
      </c>
      <c r="M268" s="27"/>
      <c r="N268" s="28">
        <v>1530.51</v>
      </c>
    </row>
    <row r="269" spans="1:14" x14ac:dyDescent="0.15">
      <c r="A269" s="34" t="s">
        <v>17</v>
      </c>
      <c r="B269" s="34"/>
      <c r="C269" s="34"/>
      <c r="D269" s="34"/>
      <c r="E269" s="34"/>
      <c r="F269" s="5"/>
      <c r="G269" s="3"/>
      <c r="H269" s="3"/>
      <c r="I269" s="3"/>
      <c r="J269" s="13"/>
      <c r="K269" s="12">
        <v>1530.51</v>
      </c>
    </row>
    <row r="270" spans="1:14" x14ac:dyDescent="0.15">
      <c r="A270" s="35" t="s">
        <v>276</v>
      </c>
      <c r="B270" s="36"/>
      <c r="C270" s="36"/>
      <c r="D270" s="36"/>
      <c r="E270" s="36"/>
      <c r="F270" s="36"/>
      <c r="G270" s="36"/>
      <c r="H270" s="36"/>
      <c r="I270" s="36"/>
      <c r="J270" s="37"/>
      <c r="K270" s="37"/>
    </row>
    <row r="271" spans="1:14" ht="14" x14ac:dyDescent="0.15">
      <c r="A271" s="1">
        <v>25803571</v>
      </c>
      <c r="B271" s="9">
        <v>45981</v>
      </c>
      <c r="C271" s="1">
        <v>25803571</v>
      </c>
      <c r="D271" s="1" t="s">
        <v>13</v>
      </c>
      <c r="E271" s="7" t="s">
        <v>277</v>
      </c>
      <c r="F271" s="5">
        <v>4</v>
      </c>
      <c r="G271" s="9">
        <v>45991</v>
      </c>
      <c r="H271" s="8" t="s">
        <v>45</v>
      </c>
      <c r="I271" s="7" t="s">
        <v>16</v>
      </c>
      <c r="J271" s="13">
        <v>-453.75</v>
      </c>
      <c r="K271" s="13">
        <v>-453.75</v>
      </c>
      <c r="L271" s="11">
        <f t="shared" ref="L271" si="92">IF(F271&lt;14,K271,"")</f>
        <v>-453.75</v>
      </c>
      <c r="M271" s="27" t="str">
        <f t="shared" ref="M271" si="93">IF(F271&gt;15,K271,"")</f>
        <v/>
      </c>
      <c r="N271" s="28"/>
    </row>
    <row r="272" spans="1:14" x14ac:dyDescent="0.15">
      <c r="A272" s="34" t="s">
        <v>17</v>
      </c>
      <c r="B272" s="34"/>
      <c r="C272" s="34"/>
      <c r="D272" s="34"/>
      <c r="E272" s="34"/>
      <c r="F272" s="5"/>
      <c r="G272" s="3"/>
      <c r="H272" s="3"/>
      <c r="I272" s="3"/>
      <c r="J272" s="13"/>
      <c r="K272" s="12">
        <v>-453.75</v>
      </c>
    </row>
    <row r="273" spans="1:15" x14ac:dyDescent="0.15">
      <c r="A273" s="35" t="s">
        <v>278</v>
      </c>
      <c r="B273" s="36"/>
      <c r="C273" s="36"/>
      <c r="D273" s="36"/>
      <c r="E273" s="36"/>
      <c r="F273" s="36"/>
      <c r="G273" s="36"/>
      <c r="H273" s="36"/>
      <c r="I273" s="36"/>
      <c r="J273" s="37"/>
      <c r="K273" s="37"/>
    </row>
    <row r="274" spans="1:15" ht="14" x14ac:dyDescent="0.15">
      <c r="A274" s="1">
        <v>25803295</v>
      </c>
      <c r="B274" s="10">
        <v>45968</v>
      </c>
      <c r="C274" s="1">
        <v>25803295</v>
      </c>
      <c r="D274" s="1" t="s">
        <v>13</v>
      </c>
      <c r="E274" s="7" t="s">
        <v>279</v>
      </c>
      <c r="F274" s="5">
        <v>17</v>
      </c>
      <c r="G274" s="9">
        <v>45991</v>
      </c>
      <c r="H274" s="8" t="s">
        <v>280</v>
      </c>
      <c r="I274" s="7" t="s">
        <v>16</v>
      </c>
      <c r="J274" s="13">
        <v>100</v>
      </c>
      <c r="K274" s="13">
        <v>100</v>
      </c>
      <c r="L274" s="11" t="str">
        <f t="shared" ref="L274" si="94">IF(F274&lt;14,K274,"")</f>
        <v/>
      </c>
      <c r="M274" s="27">
        <f t="shared" ref="M274" si="95">IF(F274&gt;15,K274,"")</f>
        <v>100</v>
      </c>
      <c r="N274" s="28"/>
    </row>
    <row r="275" spans="1:15" x14ac:dyDescent="0.15">
      <c r="A275" s="34" t="s">
        <v>17</v>
      </c>
      <c r="B275" s="34"/>
      <c r="C275" s="34"/>
      <c r="D275" s="34"/>
      <c r="E275" s="34"/>
      <c r="F275" s="5"/>
      <c r="G275" s="3"/>
      <c r="H275" s="3"/>
      <c r="I275" s="3"/>
      <c r="J275" s="13"/>
      <c r="K275" s="12">
        <v>100</v>
      </c>
    </row>
    <row r="276" spans="1:15" x14ac:dyDescent="0.15">
      <c r="A276" s="35" t="s">
        <v>281</v>
      </c>
      <c r="B276" s="36"/>
      <c r="C276" s="36"/>
      <c r="D276" s="36"/>
      <c r="E276" s="36"/>
      <c r="F276" s="36"/>
      <c r="G276" s="36"/>
      <c r="H276" s="36"/>
      <c r="I276" s="36"/>
      <c r="J276" s="37"/>
      <c r="K276" s="37"/>
    </row>
    <row r="277" spans="1:15" ht="14" x14ac:dyDescent="0.15">
      <c r="A277" s="1">
        <v>25802796</v>
      </c>
      <c r="B277" s="10">
        <v>45910</v>
      </c>
      <c r="C277" s="1">
        <v>25802796</v>
      </c>
      <c r="D277" s="1" t="s">
        <v>13</v>
      </c>
      <c r="E277" s="7" t="s">
        <v>282</v>
      </c>
      <c r="F277" s="5">
        <v>75</v>
      </c>
      <c r="G277" s="10">
        <v>45930</v>
      </c>
      <c r="H277" s="8" t="s">
        <v>283</v>
      </c>
      <c r="I277" s="7" t="s">
        <v>16</v>
      </c>
      <c r="J277" s="13">
        <v>2227.71</v>
      </c>
      <c r="K277" s="13">
        <v>2227.71</v>
      </c>
      <c r="L277" s="11" t="str">
        <f t="shared" ref="L277:L283" si="96">IF(F277&lt;14,K277,"")</f>
        <v/>
      </c>
      <c r="M277" s="27"/>
      <c r="N277" s="28">
        <v>2227.71</v>
      </c>
    </row>
    <row r="278" spans="1:15" ht="14" x14ac:dyDescent="0.15">
      <c r="A278" s="1">
        <v>25802820</v>
      </c>
      <c r="B278" s="10">
        <v>45910</v>
      </c>
      <c r="C278" s="1">
        <v>25802820</v>
      </c>
      <c r="D278" s="1" t="s">
        <v>13</v>
      </c>
      <c r="E278" s="7" t="s">
        <v>284</v>
      </c>
      <c r="F278" s="5">
        <v>75</v>
      </c>
      <c r="G278" s="10">
        <v>45930</v>
      </c>
      <c r="H278" s="8" t="s">
        <v>283</v>
      </c>
      <c r="I278" s="7" t="s">
        <v>16</v>
      </c>
      <c r="J278" s="13">
        <v>4248.18</v>
      </c>
      <c r="K278" s="13">
        <v>4248.18</v>
      </c>
      <c r="L278" s="11" t="str">
        <f t="shared" si="96"/>
        <v/>
      </c>
      <c r="M278" s="27"/>
      <c r="N278" s="28">
        <v>4248.18</v>
      </c>
    </row>
    <row r="279" spans="1:15" ht="14" x14ac:dyDescent="0.15">
      <c r="A279" s="1">
        <v>25802886</v>
      </c>
      <c r="B279" s="10">
        <v>45910</v>
      </c>
      <c r="C279" s="1">
        <v>25802886</v>
      </c>
      <c r="D279" s="1" t="s">
        <v>13</v>
      </c>
      <c r="E279" s="7" t="s">
        <v>286</v>
      </c>
      <c r="F279" s="5">
        <v>75</v>
      </c>
      <c r="G279" s="10">
        <v>45930</v>
      </c>
      <c r="H279" s="8" t="s">
        <v>283</v>
      </c>
      <c r="I279" s="7" t="s">
        <v>16</v>
      </c>
      <c r="J279" s="13">
        <v>4248.1899999999996</v>
      </c>
      <c r="K279" s="13">
        <v>4248.1899999999996</v>
      </c>
      <c r="L279" s="11" t="str">
        <f t="shared" si="96"/>
        <v/>
      </c>
      <c r="M279" s="27"/>
      <c r="N279" s="28">
        <v>4248.1899999999996</v>
      </c>
      <c r="O279" t="s">
        <v>285</v>
      </c>
    </row>
    <row r="280" spans="1:15" ht="14" x14ac:dyDescent="0.15">
      <c r="A280" s="1">
        <v>25803126</v>
      </c>
      <c r="B280" s="9">
        <v>45940</v>
      </c>
      <c r="C280" s="1">
        <v>25803126</v>
      </c>
      <c r="D280" s="1" t="s">
        <v>13</v>
      </c>
      <c r="E280" s="7" t="s">
        <v>287</v>
      </c>
      <c r="F280" s="5">
        <v>45</v>
      </c>
      <c r="G280" s="9">
        <v>45961</v>
      </c>
      <c r="H280" s="8" t="s">
        <v>288</v>
      </c>
      <c r="I280" s="7" t="s">
        <v>16</v>
      </c>
      <c r="J280" s="13">
        <v>4248.18</v>
      </c>
      <c r="K280" s="13">
        <v>4248.18</v>
      </c>
      <c r="L280" s="11" t="str">
        <f t="shared" si="96"/>
        <v/>
      </c>
      <c r="M280" s="27"/>
      <c r="N280" s="28">
        <v>4248.18</v>
      </c>
    </row>
    <row r="281" spans="1:15" ht="14" x14ac:dyDescent="0.15">
      <c r="A281" s="1">
        <v>25803185</v>
      </c>
      <c r="B281" s="9">
        <v>45940</v>
      </c>
      <c r="C281" s="1">
        <v>25803185</v>
      </c>
      <c r="D281" s="1" t="s">
        <v>13</v>
      </c>
      <c r="E281" s="7" t="s">
        <v>289</v>
      </c>
      <c r="F281" s="5">
        <v>45</v>
      </c>
      <c r="G281" s="9">
        <v>45961</v>
      </c>
      <c r="H281" s="8" t="s">
        <v>288</v>
      </c>
      <c r="I281" s="7" t="s">
        <v>16</v>
      </c>
      <c r="J281" s="13">
        <v>4248.1899999999996</v>
      </c>
      <c r="K281" s="13">
        <v>4248.1899999999996</v>
      </c>
      <c r="L281" s="11" t="str">
        <f t="shared" si="96"/>
        <v/>
      </c>
      <c r="M281" s="27"/>
      <c r="N281" s="28">
        <v>4248.1899999999996</v>
      </c>
    </row>
    <row r="282" spans="1:15" ht="14" x14ac:dyDescent="0.15">
      <c r="A282" s="1">
        <v>25803436</v>
      </c>
      <c r="B282" s="9">
        <v>45972</v>
      </c>
      <c r="C282" s="1">
        <v>25803436</v>
      </c>
      <c r="D282" s="1" t="s">
        <v>13</v>
      </c>
      <c r="E282" s="7" t="s">
        <v>290</v>
      </c>
      <c r="F282" s="5">
        <v>13</v>
      </c>
      <c r="G282" s="9">
        <v>45991</v>
      </c>
      <c r="H282" s="8" t="s">
        <v>29</v>
      </c>
      <c r="I282" s="7" t="s">
        <v>16</v>
      </c>
      <c r="J282" s="13">
        <v>4248.18</v>
      </c>
      <c r="K282" s="13">
        <v>4248.18</v>
      </c>
      <c r="L282" s="11">
        <f t="shared" si="96"/>
        <v>4248.18</v>
      </c>
      <c r="M282" s="27" t="str">
        <f t="shared" ref="M282:M283" si="97">IF(F282&gt;15,K282,"")</f>
        <v/>
      </c>
      <c r="N282" s="28"/>
    </row>
    <row r="283" spans="1:15" ht="14" x14ac:dyDescent="0.15">
      <c r="A283" s="1">
        <v>25803503</v>
      </c>
      <c r="B283" s="9">
        <v>45972</v>
      </c>
      <c r="C283" s="1">
        <v>25803503</v>
      </c>
      <c r="D283" s="1" t="s">
        <v>13</v>
      </c>
      <c r="E283" s="7" t="s">
        <v>291</v>
      </c>
      <c r="F283" s="5">
        <v>13</v>
      </c>
      <c r="G283" s="9">
        <v>45991</v>
      </c>
      <c r="H283" s="8" t="s">
        <v>29</v>
      </c>
      <c r="I283" s="7" t="s">
        <v>16</v>
      </c>
      <c r="J283" s="13">
        <v>4248.1899999999996</v>
      </c>
      <c r="K283" s="13">
        <v>4248.1899999999996</v>
      </c>
      <c r="L283" s="11">
        <f t="shared" si="96"/>
        <v>4248.1899999999996</v>
      </c>
      <c r="M283" s="27" t="str">
        <f t="shared" si="97"/>
        <v/>
      </c>
      <c r="N283" s="28"/>
    </row>
    <row r="284" spans="1:15" x14ac:dyDescent="0.15">
      <c r="A284" s="34" t="s">
        <v>17</v>
      </c>
      <c r="B284" s="34"/>
      <c r="C284" s="34"/>
      <c r="D284" s="34"/>
      <c r="E284" s="34"/>
      <c r="F284" s="5"/>
      <c r="G284" s="3"/>
      <c r="H284" s="3"/>
      <c r="I284" s="3"/>
      <c r="J284" s="13"/>
      <c r="K284" s="12">
        <v>27716.82</v>
      </c>
    </row>
    <row r="285" spans="1:15" x14ac:dyDescent="0.15">
      <c r="A285" s="35" t="s">
        <v>292</v>
      </c>
      <c r="B285" s="36"/>
      <c r="C285" s="36"/>
      <c r="D285" s="36"/>
      <c r="E285" s="36"/>
      <c r="F285" s="36"/>
      <c r="G285" s="36"/>
      <c r="H285" s="36"/>
      <c r="I285" s="36"/>
      <c r="J285" s="37"/>
      <c r="K285" s="37"/>
    </row>
    <row r="286" spans="1:15" ht="14" x14ac:dyDescent="0.15">
      <c r="A286" s="1">
        <v>25803530</v>
      </c>
      <c r="B286" s="9">
        <v>45973</v>
      </c>
      <c r="C286" s="1">
        <v>25803530</v>
      </c>
      <c r="D286" s="1" t="s">
        <v>13</v>
      </c>
      <c r="E286" s="7" t="s">
        <v>293</v>
      </c>
      <c r="F286" s="5">
        <v>12</v>
      </c>
      <c r="G286" s="9">
        <v>45991</v>
      </c>
      <c r="H286" s="8" t="s">
        <v>294</v>
      </c>
      <c r="I286" s="7" t="s">
        <v>16</v>
      </c>
      <c r="J286" s="13">
        <v>3085.5</v>
      </c>
      <c r="K286" s="13">
        <v>3085.5</v>
      </c>
      <c r="L286" s="11">
        <f t="shared" ref="L286" si="98">IF(F286&lt;14,K286,"")</f>
        <v>3085.5</v>
      </c>
      <c r="M286" s="27" t="str">
        <f t="shared" ref="M286" si="99">IF(F286&gt;15,K286,"")</f>
        <v/>
      </c>
      <c r="N286" s="28"/>
    </row>
    <row r="287" spans="1:15" x14ac:dyDescent="0.15">
      <c r="A287" s="34" t="s">
        <v>17</v>
      </c>
      <c r="B287" s="34"/>
      <c r="C287" s="34"/>
      <c r="D287" s="34"/>
      <c r="E287" s="34"/>
      <c r="F287" s="5"/>
      <c r="G287" s="3"/>
      <c r="H287" s="3"/>
      <c r="I287" s="3"/>
      <c r="J287" s="13"/>
      <c r="K287" s="12">
        <v>3085.5</v>
      </c>
    </row>
    <row r="288" spans="1:15" x14ac:dyDescent="0.15">
      <c r="A288" s="35" t="s">
        <v>295</v>
      </c>
      <c r="B288" s="36"/>
      <c r="C288" s="36"/>
      <c r="D288" s="36"/>
      <c r="E288" s="36"/>
      <c r="F288" s="36"/>
      <c r="G288" s="36"/>
      <c r="H288" s="36"/>
      <c r="I288" s="36"/>
      <c r="J288" s="37"/>
      <c r="K288" s="37"/>
    </row>
    <row r="289" spans="1:14" ht="14" x14ac:dyDescent="0.15">
      <c r="A289" s="1">
        <v>25803477</v>
      </c>
      <c r="B289" s="9">
        <v>45972</v>
      </c>
      <c r="C289" s="1">
        <v>25803477</v>
      </c>
      <c r="D289" s="1" t="s">
        <v>13</v>
      </c>
      <c r="E289" s="7" t="s">
        <v>296</v>
      </c>
      <c r="F289" s="5">
        <v>13</v>
      </c>
      <c r="G289" s="9">
        <v>45991</v>
      </c>
      <c r="H289" s="8" t="s">
        <v>29</v>
      </c>
      <c r="I289" s="7" t="s">
        <v>16</v>
      </c>
      <c r="J289" s="13">
        <v>4178</v>
      </c>
      <c r="K289" s="13">
        <v>4178</v>
      </c>
      <c r="L289" s="11">
        <f t="shared" ref="L289" si="100">IF(F289&lt;14,K289,"")</f>
        <v>4178</v>
      </c>
      <c r="M289" s="27" t="str">
        <f t="shared" ref="M289" si="101">IF(F289&gt;15,K289,"")</f>
        <v/>
      </c>
      <c r="N289" s="28"/>
    </row>
    <row r="290" spans="1:14" x14ac:dyDescent="0.15">
      <c r="A290" s="34" t="s">
        <v>17</v>
      </c>
      <c r="B290" s="34"/>
      <c r="C290" s="34"/>
      <c r="D290" s="34"/>
      <c r="E290" s="34"/>
      <c r="F290" s="5"/>
      <c r="G290" s="3"/>
      <c r="H290" s="3"/>
      <c r="I290" s="3"/>
      <c r="J290" s="13"/>
      <c r="K290" s="12">
        <v>4178</v>
      </c>
    </row>
    <row r="291" spans="1:14" x14ac:dyDescent="0.15">
      <c r="A291" s="35" t="s">
        <v>297</v>
      </c>
      <c r="B291" s="36"/>
      <c r="C291" s="36"/>
      <c r="D291" s="36"/>
      <c r="E291" s="36"/>
      <c r="F291" s="36"/>
      <c r="G291" s="36"/>
      <c r="H291" s="36"/>
      <c r="I291" s="36"/>
      <c r="J291" s="37"/>
      <c r="K291" s="37"/>
    </row>
    <row r="292" spans="1:14" ht="14" x14ac:dyDescent="0.15">
      <c r="A292" s="1">
        <v>25803294</v>
      </c>
      <c r="B292" s="10">
        <v>45968</v>
      </c>
      <c r="C292" s="1">
        <v>25803294</v>
      </c>
      <c r="D292" s="1" t="s">
        <v>13</v>
      </c>
      <c r="E292" s="7" t="s">
        <v>298</v>
      </c>
      <c r="F292" s="5">
        <v>17</v>
      </c>
      <c r="G292" s="9">
        <v>45991</v>
      </c>
      <c r="H292" s="8" t="s">
        <v>92</v>
      </c>
      <c r="I292" s="7" t="s">
        <v>16</v>
      </c>
      <c r="J292" s="13">
        <v>50</v>
      </c>
      <c r="K292" s="13">
        <v>50</v>
      </c>
      <c r="L292" s="11" t="str">
        <f t="shared" ref="L292:L302" si="102">IF(F292&lt;14,K292,"")</f>
        <v/>
      </c>
      <c r="M292" s="27">
        <f t="shared" ref="M292:M302" si="103">IF(F292&gt;15,K292,"")</f>
        <v>50</v>
      </c>
      <c r="N292" s="28"/>
    </row>
    <row r="293" spans="1:14" ht="14" x14ac:dyDescent="0.15">
      <c r="A293" s="1">
        <v>25803308</v>
      </c>
      <c r="B293" s="9">
        <v>45972</v>
      </c>
      <c r="C293" s="1">
        <v>25803308</v>
      </c>
      <c r="D293" s="1" t="s">
        <v>13</v>
      </c>
      <c r="E293" s="7" t="s">
        <v>299</v>
      </c>
      <c r="F293" s="5">
        <v>13</v>
      </c>
      <c r="G293" s="9">
        <v>45991</v>
      </c>
      <c r="H293" s="8" t="s">
        <v>300</v>
      </c>
      <c r="I293" s="7" t="s">
        <v>16</v>
      </c>
      <c r="J293" s="13">
        <v>4295.47</v>
      </c>
      <c r="K293" s="13">
        <v>4295.47</v>
      </c>
      <c r="L293" s="11">
        <f t="shared" si="102"/>
        <v>4295.47</v>
      </c>
      <c r="M293" s="27" t="str">
        <f t="shared" si="103"/>
        <v/>
      </c>
      <c r="N293" s="28"/>
    </row>
    <row r="294" spans="1:14" ht="14" x14ac:dyDescent="0.15">
      <c r="A294" s="1">
        <v>25803313</v>
      </c>
      <c r="B294" s="9">
        <v>45972</v>
      </c>
      <c r="C294" s="1">
        <v>25803313</v>
      </c>
      <c r="D294" s="1" t="s">
        <v>13</v>
      </c>
      <c r="E294" s="7" t="s">
        <v>301</v>
      </c>
      <c r="F294" s="5">
        <v>13</v>
      </c>
      <c r="G294" s="9">
        <v>45991</v>
      </c>
      <c r="H294" s="8" t="s">
        <v>300</v>
      </c>
      <c r="I294" s="7" t="s">
        <v>16</v>
      </c>
      <c r="J294" s="13">
        <v>5606.29</v>
      </c>
      <c r="K294" s="13">
        <v>5606.29</v>
      </c>
      <c r="L294" s="11">
        <f t="shared" si="102"/>
        <v>5606.29</v>
      </c>
      <c r="M294" s="27" t="str">
        <f t="shared" si="103"/>
        <v/>
      </c>
      <c r="N294" s="28"/>
    </row>
    <row r="295" spans="1:14" ht="14" x14ac:dyDescent="0.15">
      <c r="A295" s="1">
        <v>25803346</v>
      </c>
      <c r="B295" s="9">
        <v>45972</v>
      </c>
      <c r="C295" s="1">
        <v>25803346</v>
      </c>
      <c r="D295" s="1" t="s">
        <v>13</v>
      </c>
      <c r="E295" s="7" t="s">
        <v>302</v>
      </c>
      <c r="F295" s="5">
        <v>13</v>
      </c>
      <c r="G295" s="9">
        <v>45991</v>
      </c>
      <c r="H295" s="8" t="s">
        <v>300</v>
      </c>
      <c r="I295" s="7" t="s">
        <v>16</v>
      </c>
      <c r="J295" s="13">
        <v>4396.93</v>
      </c>
      <c r="K295" s="13">
        <v>4396.93</v>
      </c>
      <c r="L295" s="11">
        <f t="shared" si="102"/>
        <v>4396.93</v>
      </c>
      <c r="M295" s="27" t="str">
        <f t="shared" si="103"/>
        <v/>
      </c>
      <c r="N295" s="28"/>
    </row>
    <row r="296" spans="1:14" ht="14" x14ac:dyDescent="0.15">
      <c r="A296" s="1">
        <v>25803347</v>
      </c>
      <c r="B296" s="9">
        <v>45972</v>
      </c>
      <c r="C296" s="1">
        <v>25803347</v>
      </c>
      <c r="D296" s="1" t="s">
        <v>13</v>
      </c>
      <c r="E296" s="7" t="s">
        <v>303</v>
      </c>
      <c r="F296" s="5">
        <v>13</v>
      </c>
      <c r="G296" s="9">
        <v>45991</v>
      </c>
      <c r="H296" s="8" t="s">
        <v>300</v>
      </c>
      <c r="I296" s="7" t="s">
        <v>16</v>
      </c>
      <c r="J296" s="13">
        <v>4396.93</v>
      </c>
      <c r="K296" s="13">
        <v>4396.93</v>
      </c>
      <c r="L296" s="11">
        <f t="shared" si="102"/>
        <v>4396.93</v>
      </c>
      <c r="M296" s="27" t="str">
        <f t="shared" si="103"/>
        <v/>
      </c>
      <c r="N296" s="28"/>
    </row>
    <row r="297" spans="1:14" ht="14" x14ac:dyDescent="0.15">
      <c r="A297" s="1">
        <v>25803559</v>
      </c>
      <c r="B297" s="9">
        <v>45981</v>
      </c>
      <c r="C297" s="1">
        <v>25803559</v>
      </c>
      <c r="D297" s="1" t="s">
        <v>13</v>
      </c>
      <c r="E297" s="7" t="s">
        <v>304</v>
      </c>
      <c r="F297" s="5">
        <v>4</v>
      </c>
      <c r="G297" s="9">
        <v>45991</v>
      </c>
      <c r="H297" s="8" t="s">
        <v>45</v>
      </c>
      <c r="I297" s="7" t="s">
        <v>16</v>
      </c>
      <c r="J297" s="13">
        <v>-453.75</v>
      </c>
      <c r="K297" s="13">
        <v>-453.75</v>
      </c>
      <c r="L297" s="11">
        <f t="shared" si="102"/>
        <v>-453.75</v>
      </c>
      <c r="M297" s="27" t="str">
        <f t="shared" si="103"/>
        <v/>
      </c>
      <c r="N297" s="28"/>
    </row>
    <row r="298" spans="1:14" ht="14" x14ac:dyDescent="0.15">
      <c r="A298" s="1">
        <v>25803560</v>
      </c>
      <c r="B298" s="9">
        <v>45981</v>
      </c>
      <c r="C298" s="1">
        <v>25803560</v>
      </c>
      <c r="D298" s="1" t="s">
        <v>13</v>
      </c>
      <c r="E298" s="7" t="s">
        <v>305</v>
      </c>
      <c r="F298" s="5">
        <v>4</v>
      </c>
      <c r="G298" s="9">
        <v>45991</v>
      </c>
      <c r="H298" s="8" t="s">
        <v>45</v>
      </c>
      <c r="I298" s="7" t="s">
        <v>16</v>
      </c>
      <c r="J298" s="13">
        <v>-453.75</v>
      </c>
      <c r="K298" s="13">
        <v>-453.75</v>
      </c>
      <c r="L298" s="11">
        <f t="shared" si="102"/>
        <v>-453.75</v>
      </c>
      <c r="M298" s="27" t="str">
        <f t="shared" si="103"/>
        <v/>
      </c>
      <c r="N298" s="28"/>
    </row>
    <row r="299" spans="1:14" ht="14" x14ac:dyDescent="0.15">
      <c r="A299" s="1">
        <v>25803561</v>
      </c>
      <c r="B299" s="9">
        <v>45981</v>
      </c>
      <c r="C299" s="1">
        <v>25803561</v>
      </c>
      <c r="D299" s="1" t="s">
        <v>13</v>
      </c>
      <c r="E299" s="7" t="s">
        <v>306</v>
      </c>
      <c r="F299" s="5">
        <v>4</v>
      </c>
      <c r="G299" s="9">
        <v>45991</v>
      </c>
      <c r="H299" s="8" t="s">
        <v>45</v>
      </c>
      <c r="I299" s="7" t="s">
        <v>16</v>
      </c>
      <c r="J299" s="13">
        <v>-453.75</v>
      </c>
      <c r="K299" s="13">
        <v>-453.75</v>
      </c>
      <c r="L299" s="11">
        <f t="shared" si="102"/>
        <v>-453.75</v>
      </c>
      <c r="M299" s="27" t="str">
        <f t="shared" si="103"/>
        <v/>
      </c>
      <c r="N299" s="28"/>
    </row>
    <row r="300" spans="1:14" ht="14" x14ac:dyDescent="0.15">
      <c r="A300" s="1">
        <v>25803562</v>
      </c>
      <c r="B300" s="9">
        <v>45981</v>
      </c>
      <c r="C300" s="1">
        <v>25803562</v>
      </c>
      <c r="D300" s="1" t="s">
        <v>13</v>
      </c>
      <c r="E300" s="7" t="s">
        <v>307</v>
      </c>
      <c r="F300" s="5">
        <v>4</v>
      </c>
      <c r="G300" s="9">
        <v>45991</v>
      </c>
      <c r="H300" s="8" t="s">
        <v>45</v>
      </c>
      <c r="I300" s="7" t="s">
        <v>16</v>
      </c>
      <c r="J300" s="13">
        <v>-453.75</v>
      </c>
      <c r="K300" s="13">
        <v>-453.75</v>
      </c>
      <c r="L300" s="11">
        <f t="shared" si="102"/>
        <v>-453.75</v>
      </c>
      <c r="M300" s="27" t="str">
        <f t="shared" si="103"/>
        <v/>
      </c>
      <c r="N300" s="28"/>
    </row>
    <row r="301" spans="1:14" ht="14" x14ac:dyDescent="0.15">
      <c r="A301" s="1">
        <v>25803563</v>
      </c>
      <c r="B301" s="9">
        <v>45981</v>
      </c>
      <c r="C301" s="1">
        <v>25803563</v>
      </c>
      <c r="D301" s="1" t="s">
        <v>13</v>
      </c>
      <c r="E301" s="7" t="s">
        <v>308</v>
      </c>
      <c r="F301" s="5">
        <v>4</v>
      </c>
      <c r="G301" s="9">
        <v>45991</v>
      </c>
      <c r="H301" s="8" t="s">
        <v>45</v>
      </c>
      <c r="I301" s="7" t="s">
        <v>16</v>
      </c>
      <c r="J301" s="13">
        <v>-453.75</v>
      </c>
      <c r="K301" s="13">
        <v>-453.75</v>
      </c>
      <c r="L301" s="11">
        <f t="shared" si="102"/>
        <v>-453.75</v>
      </c>
      <c r="M301" s="27" t="str">
        <f t="shared" si="103"/>
        <v/>
      </c>
      <c r="N301" s="28"/>
    </row>
    <row r="302" spans="1:14" ht="14" x14ac:dyDescent="0.15">
      <c r="A302" s="1">
        <v>25803564</v>
      </c>
      <c r="B302" s="9">
        <v>45981</v>
      </c>
      <c r="C302" s="1">
        <v>25803564</v>
      </c>
      <c r="D302" s="1" t="s">
        <v>13</v>
      </c>
      <c r="E302" s="7" t="s">
        <v>309</v>
      </c>
      <c r="F302" s="5">
        <v>4</v>
      </c>
      <c r="G302" s="9">
        <v>45991</v>
      </c>
      <c r="H302" s="8" t="s">
        <v>45</v>
      </c>
      <c r="I302" s="7" t="s">
        <v>16</v>
      </c>
      <c r="J302" s="13">
        <v>-453.75</v>
      </c>
      <c r="K302" s="13">
        <v>-453.75</v>
      </c>
      <c r="L302" s="11">
        <f t="shared" si="102"/>
        <v>-453.75</v>
      </c>
      <c r="M302" s="27" t="str">
        <f t="shared" si="103"/>
        <v/>
      </c>
      <c r="N302" s="28"/>
    </row>
    <row r="303" spans="1:14" x14ac:dyDescent="0.15">
      <c r="A303" s="34" t="s">
        <v>17</v>
      </c>
      <c r="B303" s="34"/>
      <c r="C303" s="34"/>
      <c r="D303" s="34"/>
      <c r="E303" s="34"/>
      <c r="F303" s="5"/>
      <c r="G303" s="3"/>
      <c r="H303" s="3"/>
      <c r="I303" s="3"/>
      <c r="J303" s="13"/>
      <c r="K303" s="12">
        <v>16023.12</v>
      </c>
    </row>
    <row r="304" spans="1:14" x14ac:dyDescent="0.15">
      <c r="A304" s="35" t="s">
        <v>310</v>
      </c>
      <c r="B304" s="36"/>
      <c r="C304" s="36"/>
      <c r="D304" s="36"/>
      <c r="E304" s="36"/>
      <c r="F304" s="36"/>
      <c r="G304" s="36"/>
      <c r="H304" s="36"/>
      <c r="I304" s="36"/>
      <c r="J304" s="37"/>
      <c r="K304" s="37"/>
    </row>
    <row r="305" spans="1:14" ht="14" x14ac:dyDescent="0.15">
      <c r="A305" s="1">
        <v>25802798</v>
      </c>
      <c r="B305" s="10">
        <v>45910</v>
      </c>
      <c r="C305" s="1">
        <v>25802798</v>
      </c>
      <c r="D305" s="1" t="s">
        <v>13</v>
      </c>
      <c r="E305" s="7" t="s">
        <v>311</v>
      </c>
      <c r="F305" s="5">
        <v>75</v>
      </c>
      <c r="G305" s="10">
        <v>45914</v>
      </c>
      <c r="H305" s="8" t="s">
        <v>312</v>
      </c>
      <c r="I305" s="7" t="s">
        <v>16</v>
      </c>
      <c r="J305" s="13">
        <v>4979.93</v>
      </c>
      <c r="K305" s="13">
        <v>4979.93</v>
      </c>
      <c r="L305" s="11" t="str">
        <f t="shared" ref="L305:L310" si="104">IF(F305&lt;14,K305,"")</f>
        <v/>
      </c>
      <c r="M305" s="27"/>
      <c r="N305" s="28">
        <v>4979.93</v>
      </c>
    </row>
    <row r="306" spans="1:14" ht="14" x14ac:dyDescent="0.15">
      <c r="A306" s="1">
        <v>25802986</v>
      </c>
      <c r="B306" s="10">
        <v>45939</v>
      </c>
      <c r="C306" s="1">
        <v>25802986</v>
      </c>
      <c r="D306" s="1" t="s">
        <v>13</v>
      </c>
      <c r="E306" s="7" t="s">
        <v>313</v>
      </c>
      <c r="F306" s="5">
        <v>46</v>
      </c>
      <c r="G306" s="9">
        <v>45961</v>
      </c>
      <c r="H306" s="8" t="s">
        <v>314</v>
      </c>
      <c r="I306" s="7" t="s">
        <v>16</v>
      </c>
      <c r="J306" s="13">
        <v>9034.2099999999991</v>
      </c>
      <c r="K306" s="13">
        <v>9034.2099999999991</v>
      </c>
      <c r="L306" s="11" t="str">
        <f t="shared" si="104"/>
        <v/>
      </c>
      <c r="M306" s="27"/>
      <c r="N306" s="28">
        <v>9034.2099999999991</v>
      </c>
    </row>
    <row r="307" spans="1:14" ht="14" x14ac:dyDescent="0.15">
      <c r="A307" s="1">
        <v>25803341</v>
      </c>
      <c r="B307" s="9">
        <v>45972</v>
      </c>
      <c r="C307" s="1">
        <v>25803341</v>
      </c>
      <c r="D307" s="1" t="s">
        <v>13</v>
      </c>
      <c r="E307" s="7" t="s">
        <v>315</v>
      </c>
      <c r="F307" s="5">
        <v>13</v>
      </c>
      <c r="G307" s="9">
        <v>45991</v>
      </c>
      <c r="H307" s="8" t="s">
        <v>192</v>
      </c>
      <c r="I307" s="7" t="s">
        <v>16</v>
      </c>
      <c r="J307" s="13">
        <v>3990.24</v>
      </c>
      <c r="K307" s="13">
        <v>3990.24</v>
      </c>
      <c r="L307" s="11">
        <f t="shared" si="104"/>
        <v>3990.24</v>
      </c>
      <c r="M307" s="27" t="str">
        <f t="shared" ref="M307:M310" si="105">IF(F307&gt;15,K307,"")</f>
        <v/>
      </c>
      <c r="N307" s="28"/>
    </row>
    <row r="308" spans="1:14" ht="14" x14ac:dyDescent="0.15">
      <c r="A308" s="1">
        <v>25803420</v>
      </c>
      <c r="B308" s="9">
        <v>45972</v>
      </c>
      <c r="C308" s="1">
        <v>25803420</v>
      </c>
      <c r="D308" s="1" t="s">
        <v>13</v>
      </c>
      <c r="E308" s="7" t="s">
        <v>316</v>
      </c>
      <c r="F308" s="5">
        <v>13</v>
      </c>
      <c r="G308" s="9">
        <v>45991</v>
      </c>
      <c r="H308" s="8" t="s">
        <v>192</v>
      </c>
      <c r="I308" s="7" t="s">
        <v>16</v>
      </c>
      <c r="J308" s="13">
        <v>4979.12</v>
      </c>
      <c r="K308" s="13">
        <v>4979.12</v>
      </c>
      <c r="L308" s="11">
        <f t="shared" si="104"/>
        <v>4979.12</v>
      </c>
      <c r="M308" s="27" t="str">
        <f t="shared" si="105"/>
        <v/>
      </c>
      <c r="N308" s="28"/>
    </row>
    <row r="309" spans="1:14" ht="14" x14ac:dyDescent="0.15">
      <c r="A309" s="1">
        <v>25803539</v>
      </c>
      <c r="B309" s="9">
        <v>45973</v>
      </c>
      <c r="C309" s="1">
        <v>25803539</v>
      </c>
      <c r="D309" s="1" t="s">
        <v>13</v>
      </c>
      <c r="E309" s="7" t="s">
        <v>317</v>
      </c>
      <c r="F309" s="5">
        <v>12</v>
      </c>
      <c r="G309" s="9">
        <v>45977</v>
      </c>
      <c r="H309" s="8" t="s">
        <v>318</v>
      </c>
      <c r="I309" s="7" t="s">
        <v>16</v>
      </c>
      <c r="J309" s="13">
        <v>-3438.2</v>
      </c>
      <c r="K309" s="13">
        <v>-3438.2</v>
      </c>
      <c r="L309" s="11">
        <f t="shared" si="104"/>
        <v>-3438.2</v>
      </c>
      <c r="M309" s="27" t="str">
        <f t="shared" si="105"/>
        <v/>
      </c>
      <c r="N309" s="28"/>
    </row>
    <row r="310" spans="1:14" ht="14" x14ac:dyDescent="0.15">
      <c r="A310" s="1">
        <v>25803555</v>
      </c>
      <c r="B310" s="9">
        <v>45980</v>
      </c>
      <c r="C310" s="1">
        <v>25803555</v>
      </c>
      <c r="D310" s="1" t="s">
        <v>13</v>
      </c>
      <c r="E310" s="7" t="s">
        <v>319</v>
      </c>
      <c r="F310" s="5">
        <v>5</v>
      </c>
      <c r="G310" s="9">
        <v>45991</v>
      </c>
      <c r="H310" s="8" t="s">
        <v>45</v>
      </c>
      <c r="I310" s="7" t="s">
        <v>16</v>
      </c>
      <c r="J310" s="13">
        <v>-3635.71</v>
      </c>
      <c r="K310" s="13">
        <v>-3635.71</v>
      </c>
      <c r="L310" s="11">
        <f t="shared" si="104"/>
        <v>-3635.71</v>
      </c>
      <c r="M310" s="27" t="str">
        <f t="shared" si="105"/>
        <v/>
      </c>
      <c r="N310" s="28"/>
    </row>
    <row r="311" spans="1:14" x14ac:dyDescent="0.15">
      <c r="A311" s="34" t="s">
        <v>17</v>
      </c>
      <c r="B311" s="34"/>
      <c r="C311" s="34"/>
      <c r="D311" s="34"/>
      <c r="E311" s="34"/>
      <c r="F311" s="5"/>
      <c r="G311" s="3"/>
      <c r="H311" s="3"/>
      <c r="I311" s="3"/>
      <c r="J311" s="13"/>
      <c r="K311" s="12">
        <v>15909.59</v>
      </c>
    </row>
    <row r="312" spans="1:14" x14ac:dyDescent="0.15">
      <c r="A312" s="35" t="s">
        <v>320</v>
      </c>
      <c r="B312" s="36"/>
      <c r="C312" s="36"/>
      <c r="D312" s="36"/>
      <c r="E312" s="36"/>
      <c r="F312" s="36"/>
      <c r="G312" s="36"/>
      <c r="H312" s="36"/>
      <c r="I312" s="36"/>
      <c r="J312" s="37"/>
      <c r="K312" s="37"/>
    </row>
    <row r="313" spans="1:14" ht="14" x14ac:dyDescent="0.15">
      <c r="A313" s="1">
        <v>25803500</v>
      </c>
      <c r="B313" s="9">
        <v>45972</v>
      </c>
      <c r="C313" s="1">
        <v>25803500</v>
      </c>
      <c r="D313" s="1" t="s">
        <v>13</v>
      </c>
      <c r="E313" s="7" t="s">
        <v>321</v>
      </c>
      <c r="F313" s="5">
        <v>13</v>
      </c>
      <c r="G313" s="9">
        <v>45991</v>
      </c>
      <c r="H313" s="8" t="s">
        <v>29</v>
      </c>
      <c r="I313" s="7" t="s">
        <v>16</v>
      </c>
      <c r="J313" s="13">
        <v>2422</v>
      </c>
      <c r="K313" s="13">
        <v>2422</v>
      </c>
      <c r="L313" s="11">
        <f t="shared" ref="L313" si="106">IF(F313&lt;14,K313,"")</f>
        <v>2422</v>
      </c>
      <c r="M313" s="27" t="str">
        <f t="shared" ref="M313" si="107">IF(F313&gt;15,K313,"")</f>
        <v/>
      </c>
      <c r="N313" s="28"/>
    </row>
    <row r="314" spans="1:14" x14ac:dyDescent="0.15">
      <c r="A314" s="34" t="s">
        <v>17</v>
      </c>
      <c r="B314" s="34"/>
      <c r="C314" s="34"/>
      <c r="D314" s="34"/>
      <c r="E314" s="34"/>
      <c r="F314" s="5"/>
      <c r="G314" s="3"/>
      <c r="H314" s="3"/>
      <c r="I314" s="3"/>
      <c r="J314" s="13"/>
      <c r="K314" s="12">
        <v>2422</v>
      </c>
    </row>
    <row r="315" spans="1:14" x14ac:dyDescent="0.15">
      <c r="A315" s="35" t="s">
        <v>322</v>
      </c>
      <c r="B315" s="36"/>
      <c r="C315" s="36"/>
      <c r="D315" s="36"/>
      <c r="E315" s="36"/>
      <c r="F315" s="36"/>
      <c r="G315" s="36"/>
      <c r="H315" s="36"/>
      <c r="I315" s="36"/>
      <c r="J315" s="37"/>
      <c r="K315" s="37"/>
    </row>
    <row r="316" spans="1:14" ht="14" x14ac:dyDescent="0.15">
      <c r="A316" s="1">
        <v>25802542</v>
      </c>
      <c r="B316" s="10">
        <v>45875</v>
      </c>
      <c r="C316" s="1">
        <v>25802542</v>
      </c>
      <c r="D316" s="1" t="s">
        <v>13</v>
      </c>
      <c r="E316" s="7" t="s">
        <v>323</v>
      </c>
      <c r="F316" s="5">
        <v>110</v>
      </c>
      <c r="G316" s="10">
        <v>45879</v>
      </c>
      <c r="H316" s="8" t="s">
        <v>324</v>
      </c>
      <c r="I316" s="7" t="s">
        <v>16</v>
      </c>
      <c r="J316" s="13">
        <v>-157.30000000000001</v>
      </c>
      <c r="K316" s="13">
        <v>-157.30000000000001</v>
      </c>
      <c r="L316" s="11">
        <v>-157.30000000000001</v>
      </c>
      <c r="M316" s="27"/>
      <c r="N316" s="28"/>
    </row>
    <row r="317" spans="1:14" ht="14" x14ac:dyDescent="0.15">
      <c r="A317" s="1">
        <v>25803293</v>
      </c>
      <c r="B317" s="10">
        <v>45968</v>
      </c>
      <c r="C317" s="1">
        <v>25803293</v>
      </c>
      <c r="D317" s="1" t="s">
        <v>13</v>
      </c>
      <c r="E317" s="7" t="s">
        <v>325</v>
      </c>
      <c r="F317" s="5">
        <v>17</v>
      </c>
      <c r="G317" s="9">
        <v>45991</v>
      </c>
      <c r="H317" s="8" t="s">
        <v>149</v>
      </c>
      <c r="I317" s="7" t="s">
        <v>16</v>
      </c>
      <c r="J317" s="13">
        <v>112.14</v>
      </c>
      <c r="K317" s="13">
        <v>112.14</v>
      </c>
      <c r="L317" s="11">
        <v>112.14</v>
      </c>
      <c r="M317" s="27"/>
      <c r="N317" s="28"/>
    </row>
    <row r="318" spans="1:14" ht="14" x14ac:dyDescent="0.15">
      <c r="A318" s="1">
        <v>25803356</v>
      </c>
      <c r="B318" s="9">
        <v>45972</v>
      </c>
      <c r="C318" s="1">
        <v>25803356</v>
      </c>
      <c r="D318" s="1" t="s">
        <v>13</v>
      </c>
      <c r="E318" s="7" t="s">
        <v>326</v>
      </c>
      <c r="F318" s="5">
        <v>13</v>
      </c>
      <c r="G318" s="9">
        <v>45991</v>
      </c>
      <c r="H318" s="8" t="s">
        <v>29</v>
      </c>
      <c r="I318" s="7" t="s">
        <v>16</v>
      </c>
      <c r="J318" s="13">
        <v>4986.75</v>
      </c>
      <c r="K318" s="13">
        <v>4986.75</v>
      </c>
      <c r="L318" s="11">
        <f t="shared" ref="L318" si="108">IF(F318&lt;14,K318,"")</f>
        <v>4986.75</v>
      </c>
      <c r="M318" s="27" t="str">
        <f t="shared" ref="M318" si="109">IF(F318&gt;15,K318,"")</f>
        <v/>
      </c>
      <c r="N318" s="28"/>
    </row>
    <row r="319" spans="1:14" x14ac:dyDescent="0.15">
      <c r="A319" s="34" t="s">
        <v>17</v>
      </c>
      <c r="B319" s="34"/>
      <c r="C319" s="34"/>
      <c r="D319" s="34"/>
      <c r="E319" s="34"/>
      <c r="F319" s="5"/>
      <c r="G319" s="3"/>
      <c r="H319" s="3"/>
      <c r="I319" s="3"/>
      <c r="J319" s="13"/>
      <c r="K319" s="12">
        <v>4941.59</v>
      </c>
    </row>
    <row r="320" spans="1:14" x14ac:dyDescent="0.15">
      <c r="A320" s="35" t="s">
        <v>327</v>
      </c>
      <c r="B320" s="36"/>
      <c r="C320" s="36"/>
      <c r="D320" s="36"/>
      <c r="E320" s="36"/>
      <c r="F320" s="36"/>
      <c r="G320" s="36"/>
      <c r="H320" s="36"/>
      <c r="I320" s="36"/>
      <c r="J320" s="37"/>
      <c r="K320" s="37"/>
    </row>
    <row r="321" spans="1:14" ht="14" x14ac:dyDescent="0.15">
      <c r="A321" s="1">
        <v>25803078</v>
      </c>
      <c r="B321" s="9">
        <v>45940</v>
      </c>
      <c r="C321" s="1">
        <v>25803078</v>
      </c>
      <c r="D321" s="1" t="s">
        <v>13</v>
      </c>
      <c r="E321" s="7" t="s">
        <v>328</v>
      </c>
      <c r="F321" s="5">
        <v>45</v>
      </c>
      <c r="G321" s="9">
        <v>45961</v>
      </c>
      <c r="H321" s="8" t="s">
        <v>329</v>
      </c>
      <c r="I321" s="7" t="s">
        <v>16</v>
      </c>
      <c r="J321" s="13">
        <v>0.2</v>
      </c>
      <c r="K321" s="13">
        <v>0.2</v>
      </c>
      <c r="L321" s="11">
        <v>0.2</v>
      </c>
      <c r="M321" s="27"/>
      <c r="N321" s="28"/>
    </row>
    <row r="322" spans="1:14" ht="14" x14ac:dyDescent="0.15">
      <c r="A322" s="1">
        <v>25803136</v>
      </c>
      <c r="B322" s="9">
        <v>45940</v>
      </c>
      <c r="C322" s="1">
        <v>25803136</v>
      </c>
      <c r="D322" s="1" t="s">
        <v>13</v>
      </c>
      <c r="E322" s="7" t="s">
        <v>330</v>
      </c>
      <c r="F322" s="5">
        <v>45</v>
      </c>
      <c r="G322" s="9">
        <v>45961</v>
      </c>
      <c r="H322" s="8" t="s">
        <v>329</v>
      </c>
      <c r="I322" s="7" t="s">
        <v>16</v>
      </c>
      <c r="J322" s="13">
        <v>124.27</v>
      </c>
      <c r="K322" s="13">
        <v>124.27</v>
      </c>
      <c r="L322" s="11">
        <v>124.27</v>
      </c>
      <c r="M322" s="27"/>
      <c r="N322" s="28"/>
    </row>
    <row r="323" spans="1:14" ht="14" x14ac:dyDescent="0.15">
      <c r="A323" s="1">
        <v>25803296</v>
      </c>
      <c r="B323" s="10">
        <v>45968</v>
      </c>
      <c r="C323" s="1">
        <v>25803296</v>
      </c>
      <c r="D323" s="1" t="s">
        <v>13</v>
      </c>
      <c r="E323" s="7" t="s">
        <v>331</v>
      </c>
      <c r="F323" s="5">
        <v>17</v>
      </c>
      <c r="G323" s="9">
        <v>45991</v>
      </c>
      <c r="H323" s="8" t="s">
        <v>176</v>
      </c>
      <c r="I323" s="7" t="s">
        <v>16</v>
      </c>
      <c r="J323" s="13">
        <v>580.80999999999995</v>
      </c>
      <c r="K323" s="13">
        <v>580.80999999999995</v>
      </c>
      <c r="L323" s="11">
        <v>580.80999999999995</v>
      </c>
      <c r="M323" s="27"/>
      <c r="N323" s="28"/>
    </row>
    <row r="324" spans="1:14" ht="14" x14ac:dyDescent="0.15">
      <c r="A324" s="1">
        <v>25803548</v>
      </c>
      <c r="B324" s="9">
        <v>45975</v>
      </c>
      <c r="C324" s="1">
        <v>25803548</v>
      </c>
      <c r="D324" s="1" t="s">
        <v>13</v>
      </c>
      <c r="E324" s="7" t="s">
        <v>332</v>
      </c>
      <c r="F324" s="5">
        <v>10</v>
      </c>
      <c r="G324" s="9">
        <v>45991</v>
      </c>
      <c r="H324" s="8" t="s">
        <v>45</v>
      </c>
      <c r="I324" s="7" t="s">
        <v>16</v>
      </c>
      <c r="J324" s="13">
        <v>-4203.7</v>
      </c>
      <c r="K324" s="13">
        <v>-4203.7</v>
      </c>
      <c r="L324" s="11">
        <f t="shared" ref="L324:L325" si="110">IF(F324&lt;14,K324,"")</f>
        <v>-4203.7</v>
      </c>
      <c r="M324" s="27" t="str">
        <f t="shared" ref="M324:M325" si="111">IF(F324&gt;15,K324,"")</f>
        <v/>
      </c>
      <c r="N324" s="28"/>
    </row>
    <row r="325" spans="1:14" ht="14" x14ac:dyDescent="0.15">
      <c r="A325" s="1">
        <v>25803565</v>
      </c>
      <c r="B325" s="9">
        <v>45981</v>
      </c>
      <c r="C325" s="1">
        <v>25803565</v>
      </c>
      <c r="D325" s="1" t="s">
        <v>13</v>
      </c>
      <c r="E325" s="7" t="s">
        <v>333</v>
      </c>
      <c r="F325" s="5">
        <v>4</v>
      </c>
      <c r="G325" s="9">
        <v>45991</v>
      </c>
      <c r="H325" s="8" t="s">
        <v>45</v>
      </c>
      <c r="I325" s="7" t="s">
        <v>16</v>
      </c>
      <c r="J325" s="13">
        <v>-453.75</v>
      </c>
      <c r="K325" s="13">
        <v>-453.75</v>
      </c>
      <c r="L325" s="11">
        <f t="shared" si="110"/>
        <v>-453.75</v>
      </c>
      <c r="M325" s="27" t="str">
        <f t="shared" si="111"/>
        <v/>
      </c>
      <c r="N325" s="28"/>
    </row>
    <row r="326" spans="1:14" x14ac:dyDescent="0.15">
      <c r="A326" s="34" t="s">
        <v>17</v>
      </c>
      <c r="B326" s="34"/>
      <c r="C326" s="34"/>
      <c r="D326" s="34"/>
      <c r="E326" s="34"/>
      <c r="F326" s="5"/>
      <c r="G326" s="3"/>
      <c r="H326" s="3"/>
      <c r="I326" s="3"/>
      <c r="J326" s="13"/>
      <c r="K326" s="12">
        <v>-3952.17</v>
      </c>
    </row>
    <row r="327" spans="1:14" x14ac:dyDescent="0.15">
      <c r="A327" s="35" t="s">
        <v>334</v>
      </c>
      <c r="B327" s="36"/>
      <c r="C327" s="36"/>
      <c r="D327" s="36"/>
      <c r="E327" s="36"/>
      <c r="F327" s="36"/>
      <c r="G327" s="36"/>
      <c r="H327" s="36"/>
      <c r="I327" s="36"/>
      <c r="J327" s="37"/>
      <c r="K327" s="37"/>
    </row>
    <row r="328" spans="1:14" ht="14" x14ac:dyDescent="0.15">
      <c r="A328" s="1">
        <v>25803510</v>
      </c>
      <c r="B328" s="9">
        <v>45972</v>
      </c>
      <c r="C328" s="1">
        <v>25803510</v>
      </c>
      <c r="D328" s="1" t="s">
        <v>13</v>
      </c>
      <c r="E328" s="7" t="s">
        <v>335</v>
      </c>
      <c r="F328" s="5">
        <v>13</v>
      </c>
      <c r="G328" s="9">
        <v>45991</v>
      </c>
      <c r="H328" s="8" t="s">
        <v>336</v>
      </c>
      <c r="I328" s="7" t="s">
        <v>16</v>
      </c>
      <c r="J328" s="13">
        <v>3360.5</v>
      </c>
      <c r="K328" s="13">
        <v>3360.5</v>
      </c>
      <c r="L328" s="11">
        <f t="shared" ref="L328" si="112">IF(F328&lt;14,K328,"")</f>
        <v>3360.5</v>
      </c>
      <c r="M328" s="27" t="str">
        <f t="shared" ref="M328" si="113">IF(F328&gt;15,K328,"")</f>
        <v/>
      </c>
      <c r="N328" s="28"/>
    </row>
    <row r="329" spans="1:14" x14ac:dyDescent="0.15">
      <c r="A329" s="34" t="s">
        <v>17</v>
      </c>
      <c r="B329" s="34"/>
      <c r="C329" s="34"/>
      <c r="D329" s="34"/>
      <c r="E329" s="34"/>
      <c r="F329" s="5"/>
      <c r="G329" s="3"/>
      <c r="H329" s="3"/>
      <c r="I329" s="3"/>
      <c r="J329" s="13"/>
      <c r="K329" s="12">
        <v>3360.5</v>
      </c>
    </row>
    <row r="330" spans="1:14" x14ac:dyDescent="0.15">
      <c r="A330" s="35" t="s">
        <v>337</v>
      </c>
      <c r="B330" s="36"/>
      <c r="C330" s="36"/>
      <c r="D330" s="36"/>
      <c r="E330" s="36"/>
      <c r="F330" s="36"/>
      <c r="G330" s="36"/>
      <c r="H330" s="36"/>
      <c r="I330" s="36"/>
      <c r="J330" s="37"/>
      <c r="K330" s="37"/>
    </row>
    <row r="331" spans="1:14" ht="14" x14ac:dyDescent="0.15">
      <c r="A331" s="1">
        <v>25803267</v>
      </c>
      <c r="B331" s="10">
        <v>45965</v>
      </c>
      <c r="C331" s="1">
        <v>25803267</v>
      </c>
      <c r="D331" s="1" t="s">
        <v>13</v>
      </c>
      <c r="E331" s="7" t="s">
        <v>338</v>
      </c>
      <c r="F331" s="5">
        <v>20</v>
      </c>
      <c r="G331" s="9">
        <v>45991</v>
      </c>
      <c r="H331" s="8" t="s">
        <v>339</v>
      </c>
      <c r="I331" s="7" t="s">
        <v>16</v>
      </c>
      <c r="J331" s="13">
        <v>460.5</v>
      </c>
      <c r="K331" s="13">
        <v>460.5</v>
      </c>
      <c r="L331" s="11" t="str">
        <f t="shared" ref="L331:L332" si="114">IF(F331&lt;14,K331,"")</f>
        <v/>
      </c>
      <c r="M331" s="27">
        <f t="shared" ref="M331:M332" si="115">IF(F331&gt;15,K331,"")</f>
        <v>460.5</v>
      </c>
      <c r="N331" s="28"/>
    </row>
    <row r="332" spans="1:14" ht="14" x14ac:dyDescent="0.15">
      <c r="A332" s="1">
        <v>25803268</v>
      </c>
      <c r="B332" s="10">
        <v>45965</v>
      </c>
      <c r="C332" s="1">
        <v>25803268</v>
      </c>
      <c r="D332" s="1" t="s">
        <v>13</v>
      </c>
      <c r="E332" s="7" t="s">
        <v>340</v>
      </c>
      <c r="F332" s="5">
        <v>20</v>
      </c>
      <c r="G332" s="9">
        <v>45991</v>
      </c>
      <c r="H332" s="8" t="s">
        <v>339</v>
      </c>
      <c r="I332" s="7" t="s">
        <v>16</v>
      </c>
      <c r="J332" s="13">
        <v>308.55</v>
      </c>
      <c r="K332" s="13">
        <v>308.55</v>
      </c>
      <c r="L332" s="11" t="str">
        <f t="shared" si="114"/>
        <v/>
      </c>
      <c r="M332" s="27">
        <f t="shared" si="115"/>
        <v>308.55</v>
      </c>
      <c r="N332" s="28"/>
    </row>
    <row r="333" spans="1:14" x14ac:dyDescent="0.15">
      <c r="A333" s="34" t="s">
        <v>17</v>
      </c>
      <c r="B333" s="34"/>
      <c r="C333" s="34"/>
      <c r="D333" s="34"/>
      <c r="E333" s="34"/>
      <c r="F333" s="5"/>
      <c r="G333" s="3"/>
      <c r="H333" s="3"/>
      <c r="I333" s="3"/>
      <c r="J333" s="13"/>
      <c r="K333" s="12">
        <v>769.05</v>
      </c>
    </row>
    <row r="334" spans="1:14" x14ac:dyDescent="0.15">
      <c r="A334" s="35" t="s">
        <v>341</v>
      </c>
      <c r="B334" s="36"/>
      <c r="C334" s="36"/>
      <c r="D334" s="36"/>
      <c r="E334" s="36"/>
      <c r="F334" s="36"/>
      <c r="G334" s="36"/>
      <c r="H334" s="36"/>
      <c r="I334" s="36"/>
      <c r="J334" s="37"/>
      <c r="K334" s="37"/>
    </row>
    <row r="335" spans="1:14" ht="14" x14ac:dyDescent="0.15">
      <c r="A335" s="1">
        <v>25803491</v>
      </c>
      <c r="B335" s="9">
        <v>45972</v>
      </c>
      <c r="C335" s="1">
        <v>25803491</v>
      </c>
      <c r="D335" s="1" t="s">
        <v>13</v>
      </c>
      <c r="E335" s="7" t="s">
        <v>342</v>
      </c>
      <c r="F335" s="5">
        <v>13</v>
      </c>
      <c r="G335" s="9">
        <v>45991</v>
      </c>
      <c r="H335" s="8" t="s">
        <v>343</v>
      </c>
      <c r="I335" s="7" t="s">
        <v>16</v>
      </c>
      <c r="J335" s="13">
        <v>3404.07</v>
      </c>
      <c r="K335" s="13">
        <v>3404.07</v>
      </c>
      <c r="L335" s="11">
        <f t="shared" ref="L335:L337" si="116">IF(F335&lt;14,K335,"")</f>
        <v>3404.07</v>
      </c>
      <c r="M335" s="27" t="str">
        <f t="shared" ref="M335:M337" si="117">IF(F335&gt;15,K335,"")</f>
        <v/>
      </c>
      <c r="N335" s="28"/>
    </row>
    <row r="336" spans="1:14" ht="14" x14ac:dyDescent="0.15">
      <c r="A336" s="1">
        <v>25803505</v>
      </c>
      <c r="B336" s="9">
        <v>45972</v>
      </c>
      <c r="C336" s="1">
        <v>25803505</v>
      </c>
      <c r="D336" s="1" t="s">
        <v>13</v>
      </c>
      <c r="E336" s="7" t="s">
        <v>344</v>
      </c>
      <c r="F336" s="5">
        <v>13</v>
      </c>
      <c r="G336" s="9">
        <v>45991</v>
      </c>
      <c r="H336" s="8" t="s">
        <v>343</v>
      </c>
      <c r="I336" s="7" t="s">
        <v>16</v>
      </c>
      <c r="J336" s="13">
        <v>4047.75</v>
      </c>
      <c r="K336" s="13">
        <v>4047.75</v>
      </c>
      <c r="L336" s="11">
        <f t="shared" si="116"/>
        <v>4047.75</v>
      </c>
      <c r="M336" s="27" t="str">
        <f t="shared" si="117"/>
        <v/>
      </c>
      <c r="N336" s="28"/>
    </row>
    <row r="337" spans="1:15" ht="14" x14ac:dyDescent="0.15">
      <c r="A337" s="1">
        <v>25803509</v>
      </c>
      <c r="B337" s="9">
        <v>45972</v>
      </c>
      <c r="C337" s="1">
        <v>25803509</v>
      </c>
      <c r="D337" s="1" t="s">
        <v>13</v>
      </c>
      <c r="E337" s="7" t="s">
        <v>345</v>
      </c>
      <c r="F337" s="5">
        <v>13</v>
      </c>
      <c r="G337" s="9">
        <v>45991</v>
      </c>
      <c r="H337" s="8" t="s">
        <v>343</v>
      </c>
      <c r="I337" s="7" t="s">
        <v>16</v>
      </c>
      <c r="J337" s="13">
        <v>6448.65</v>
      </c>
      <c r="K337" s="13">
        <v>6448.65</v>
      </c>
      <c r="L337" s="11">
        <f t="shared" si="116"/>
        <v>6448.65</v>
      </c>
      <c r="M337" s="27" t="str">
        <f t="shared" si="117"/>
        <v/>
      </c>
      <c r="N337" s="28"/>
    </row>
    <row r="338" spans="1:15" x14ac:dyDescent="0.15">
      <c r="A338" s="34" t="s">
        <v>17</v>
      </c>
      <c r="B338" s="34"/>
      <c r="C338" s="34"/>
      <c r="D338" s="34"/>
      <c r="E338" s="34"/>
      <c r="F338" s="5"/>
      <c r="G338" s="3"/>
      <c r="H338" s="3"/>
      <c r="I338" s="3"/>
      <c r="J338" s="13"/>
      <c r="K338" s="12">
        <v>13900.47</v>
      </c>
    </row>
    <row r="339" spans="1:15" x14ac:dyDescent="0.15">
      <c r="A339" s="35" t="s">
        <v>346</v>
      </c>
      <c r="B339" s="36"/>
      <c r="C339" s="36"/>
      <c r="D339" s="36"/>
      <c r="E339" s="36"/>
      <c r="F339" s="36"/>
      <c r="G339" s="36"/>
      <c r="H339" s="36"/>
      <c r="I339" s="36"/>
      <c r="J339" s="37"/>
      <c r="K339" s="37"/>
    </row>
    <row r="340" spans="1:15" ht="14" x14ac:dyDescent="0.15">
      <c r="A340" s="1">
        <v>24800570</v>
      </c>
      <c r="B340" s="10">
        <v>45366</v>
      </c>
      <c r="C340" s="1">
        <v>24800570</v>
      </c>
      <c r="D340" s="1" t="s">
        <v>13</v>
      </c>
      <c r="E340" s="7" t="s">
        <v>348</v>
      </c>
      <c r="F340" s="5">
        <v>619</v>
      </c>
      <c r="G340" s="10">
        <v>45380</v>
      </c>
      <c r="H340" s="8" t="s">
        <v>349</v>
      </c>
      <c r="I340" s="7" t="s">
        <v>16</v>
      </c>
      <c r="J340" s="13">
        <v>5886</v>
      </c>
      <c r="K340" s="13">
        <v>5886</v>
      </c>
      <c r="L340" s="11" t="str">
        <f t="shared" ref="L340:L350" si="118">IF(F340&lt;14,K340,"")</f>
        <v/>
      </c>
      <c r="M340" s="27"/>
      <c r="N340" s="28">
        <v>5886</v>
      </c>
      <c r="O340" t="s">
        <v>347</v>
      </c>
    </row>
    <row r="341" spans="1:15" ht="14" x14ac:dyDescent="0.15">
      <c r="A341" s="1">
        <v>24800631</v>
      </c>
      <c r="B341" s="10">
        <v>45370</v>
      </c>
      <c r="C341" s="1">
        <v>24800631</v>
      </c>
      <c r="D341" s="1" t="s">
        <v>13</v>
      </c>
      <c r="E341" s="7" t="s">
        <v>350</v>
      </c>
      <c r="F341" s="5">
        <v>615</v>
      </c>
      <c r="G341" s="10">
        <v>45382</v>
      </c>
      <c r="H341" s="8" t="s">
        <v>351</v>
      </c>
      <c r="I341" s="7" t="s">
        <v>16</v>
      </c>
      <c r="J341" s="13">
        <v>4534.3999999999996</v>
      </c>
      <c r="K341" s="13">
        <v>4534.3999999999996</v>
      </c>
      <c r="L341" s="11" t="str">
        <f t="shared" si="118"/>
        <v/>
      </c>
      <c r="M341" s="27"/>
      <c r="N341" s="28">
        <v>4534.3999999999996</v>
      </c>
    </row>
    <row r="342" spans="1:15" ht="14" x14ac:dyDescent="0.15">
      <c r="A342" s="1">
        <v>24801018</v>
      </c>
      <c r="B342" s="10">
        <v>45420</v>
      </c>
      <c r="C342" s="1">
        <v>24801018</v>
      </c>
      <c r="D342" s="1" t="s">
        <v>13</v>
      </c>
      <c r="E342" s="7" t="s">
        <v>352</v>
      </c>
      <c r="F342" s="5">
        <v>565</v>
      </c>
      <c r="G342" s="10">
        <v>45434</v>
      </c>
      <c r="H342" s="8" t="s">
        <v>353</v>
      </c>
      <c r="I342" s="7" t="s">
        <v>16</v>
      </c>
      <c r="J342" s="13">
        <v>0.4</v>
      </c>
      <c r="K342" s="13">
        <v>0.4</v>
      </c>
      <c r="L342" s="11" t="str">
        <f t="shared" si="118"/>
        <v/>
      </c>
      <c r="M342" s="27"/>
      <c r="N342" s="28">
        <v>0.4</v>
      </c>
    </row>
    <row r="343" spans="1:15" ht="14" x14ac:dyDescent="0.15">
      <c r="A343" s="1">
        <v>24801600</v>
      </c>
      <c r="B343" s="10">
        <v>45483</v>
      </c>
      <c r="C343" s="1">
        <v>24801600</v>
      </c>
      <c r="D343" s="1" t="s">
        <v>13</v>
      </c>
      <c r="E343" s="7" t="s">
        <v>354</v>
      </c>
      <c r="F343" s="5">
        <v>502</v>
      </c>
      <c r="G343" s="10">
        <v>45497</v>
      </c>
      <c r="H343" s="8" t="s">
        <v>355</v>
      </c>
      <c r="I343" s="7" t="s">
        <v>16</v>
      </c>
      <c r="J343" s="13">
        <v>860.4</v>
      </c>
      <c r="K343" s="13">
        <v>860.4</v>
      </c>
      <c r="L343" s="11" t="str">
        <f t="shared" si="118"/>
        <v/>
      </c>
      <c r="M343" s="27"/>
      <c r="N343" s="28">
        <v>860.4</v>
      </c>
    </row>
    <row r="344" spans="1:15" ht="14" x14ac:dyDescent="0.15">
      <c r="A344" s="1">
        <v>25800400</v>
      </c>
      <c r="B344" s="10">
        <v>45705</v>
      </c>
      <c r="C344" s="1">
        <v>25800400</v>
      </c>
      <c r="D344" s="1" t="s">
        <v>13</v>
      </c>
      <c r="E344" s="7" t="s">
        <v>356</v>
      </c>
      <c r="F344" s="5">
        <v>280</v>
      </c>
      <c r="G344" s="10">
        <v>45719</v>
      </c>
      <c r="H344" s="8" t="s">
        <v>357</v>
      </c>
      <c r="I344" s="7" t="s">
        <v>16</v>
      </c>
      <c r="J344" s="13">
        <v>5886</v>
      </c>
      <c r="K344" s="13">
        <v>5886</v>
      </c>
      <c r="L344" s="11" t="str">
        <f t="shared" si="118"/>
        <v/>
      </c>
      <c r="M344" s="27"/>
      <c r="N344" s="28">
        <v>5886</v>
      </c>
    </row>
    <row r="345" spans="1:15" ht="14" x14ac:dyDescent="0.15">
      <c r="A345" s="1">
        <v>25800952</v>
      </c>
      <c r="B345" s="10">
        <v>45749</v>
      </c>
      <c r="C345" s="1">
        <v>25800952</v>
      </c>
      <c r="D345" s="1" t="s">
        <v>13</v>
      </c>
      <c r="E345" s="7" t="s">
        <v>358</v>
      </c>
      <c r="F345" s="5">
        <v>236</v>
      </c>
      <c r="G345" s="10">
        <v>45777</v>
      </c>
      <c r="H345" s="8" t="s">
        <v>48</v>
      </c>
      <c r="I345" s="7" t="s">
        <v>16</v>
      </c>
      <c r="J345" s="13">
        <v>2944.21</v>
      </c>
      <c r="K345" s="13">
        <v>2944.21</v>
      </c>
      <c r="L345" s="11" t="str">
        <f t="shared" si="118"/>
        <v/>
      </c>
      <c r="M345" s="27"/>
      <c r="N345" s="28">
        <v>2944.21</v>
      </c>
    </row>
    <row r="346" spans="1:15" ht="14" x14ac:dyDescent="0.15">
      <c r="A346" s="1">
        <v>25801562</v>
      </c>
      <c r="B346" s="10">
        <v>45791</v>
      </c>
      <c r="C346" s="1">
        <v>25801562</v>
      </c>
      <c r="D346" s="1" t="s">
        <v>13</v>
      </c>
      <c r="E346" s="7" t="s">
        <v>359</v>
      </c>
      <c r="F346" s="5">
        <v>194</v>
      </c>
      <c r="G346" s="10">
        <v>45805</v>
      </c>
      <c r="H346" s="8" t="s">
        <v>360</v>
      </c>
      <c r="I346" s="7" t="s">
        <v>16</v>
      </c>
      <c r="J346" s="13">
        <v>4570.3999999999996</v>
      </c>
      <c r="K346" s="13">
        <v>4570.3999999999996</v>
      </c>
      <c r="L346" s="11" t="str">
        <f t="shared" si="118"/>
        <v/>
      </c>
      <c r="M346" s="27"/>
      <c r="N346" s="28">
        <v>4570.3999999999996</v>
      </c>
    </row>
    <row r="347" spans="1:15" ht="14" x14ac:dyDescent="0.15">
      <c r="A347" s="1">
        <v>25802296</v>
      </c>
      <c r="B347" s="10">
        <v>45873</v>
      </c>
      <c r="C347" s="1">
        <v>25802296</v>
      </c>
      <c r="D347" s="1" t="s">
        <v>13</v>
      </c>
      <c r="E347" s="7" t="s">
        <v>361</v>
      </c>
      <c r="F347" s="5">
        <v>112</v>
      </c>
      <c r="G347" s="10">
        <v>45887</v>
      </c>
      <c r="H347" s="8" t="s">
        <v>362</v>
      </c>
      <c r="I347" s="7" t="s">
        <v>16</v>
      </c>
      <c r="J347" s="13">
        <v>133.1</v>
      </c>
      <c r="K347" s="13">
        <v>133.1</v>
      </c>
      <c r="L347" s="11" t="str">
        <f t="shared" si="118"/>
        <v/>
      </c>
      <c r="M347" s="27"/>
      <c r="N347" s="28">
        <v>133.1</v>
      </c>
    </row>
    <row r="348" spans="1:15" ht="14" x14ac:dyDescent="0.15">
      <c r="A348" s="1">
        <v>25802717</v>
      </c>
      <c r="B348" s="10">
        <v>45910</v>
      </c>
      <c r="C348" s="1">
        <v>25802717</v>
      </c>
      <c r="D348" s="1" t="s">
        <v>13</v>
      </c>
      <c r="E348" s="7" t="s">
        <v>363</v>
      </c>
      <c r="F348" s="5">
        <v>75</v>
      </c>
      <c r="G348" s="10">
        <v>45924</v>
      </c>
      <c r="H348" s="8" t="s">
        <v>364</v>
      </c>
      <c r="I348" s="7" t="s">
        <v>16</v>
      </c>
      <c r="J348" s="13">
        <v>4570.3999999999996</v>
      </c>
      <c r="K348" s="13">
        <v>4570.3999999999996</v>
      </c>
      <c r="L348" s="11" t="str">
        <f t="shared" si="118"/>
        <v/>
      </c>
      <c r="M348" s="27"/>
      <c r="N348" s="28">
        <v>4570.3999999999996</v>
      </c>
    </row>
    <row r="349" spans="1:15" ht="14" x14ac:dyDescent="0.15">
      <c r="A349" s="1">
        <v>25803026</v>
      </c>
      <c r="B349" s="9">
        <v>45940</v>
      </c>
      <c r="C349" s="1">
        <v>25803026</v>
      </c>
      <c r="D349" s="1" t="s">
        <v>13</v>
      </c>
      <c r="E349" s="7" t="s">
        <v>365</v>
      </c>
      <c r="F349" s="5">
        <v>45</v>
      </c>
      <c r="G349" s="9">
        <v>45961</v>
      </c>
      <c r="H349" s="8" t="s">
        <v>288</v>
      </c>
      <c r="I349" s="7" t="s">
        <v>16</v>
      </c>
      <c r="J349" s="13">
        <v>4570.3999999999996</v>
      </c>
      <c r="K349" s="13">
        <v>4570.3999999999996</v>
      </c>
      <c r="L349" s="11" t="str">
        <f t="shared" si="118"/>
        <v/>
      </c>
      <c r="M349" s="27"/>
      <c r="N349" s="28">
        <v>4570.3999999999996</v>
      </c>
    </row>
    <row r="350" spans="1:15" ht="14" x14ac:dyDescent="0.15">
      <c r="A350" s="1">
        <v>25803329</v>
      </c>
      <c r="B350" s="9">
        <v>45972</v>
      </c>
      <c r="C350" s="1">
        <v>25803329</v>
      </c>
      <c r="D350" s="1" t="s">
        <v>13</v>
      </c>
      <c r="E350" s="7" t="s">
        <v>366</v>
      </c>
      <c r="F350" s="5">
        <v>13</v>
      </c>
      <c r="G350" s="9">
        <v>45991</v>
      </c>
      <c r="H350" s="8" t="s">
        <v>29</v>
      </c>
      <c r="I350" s="7" t="s">
        <v>16</v>
      </c>
      <c r="J350" s="13">
        <v>4570.3999999999996</v>
      </c>
      <c r="K350" s="13">
        <v>4570.3999999999996</v>
      </c>
      <c r="L350" s="11">
        <f t="shared" si="118"/>
        <v>4570.3999999999996</v>
      </c>
      <c r="M350" s="27" t="str">
        <f t="shared" ref="M350" si="119">IF(F350&gt;15,K350,"")</f>
        <v/>
      </c>
      <c r="N350" s="28"/>
    </row>
    <row r="351" spans="1:15" x14ac:dyDescent="0.15">
      <c r="A351" s="34" t="s">
        <v>17</v>
      </c>
      <c r="B351" s="34"/>
      <c r="C351" s="34"/>
      <c r="D351" s="34"/>
      <c r="E351" s="34"/>
      <c r="F351" s="5"/>
      <c r="G351" s="3"/>
      <c r="H351" s="3"/>
      <c r="I351" s="3"/>
      <c r="J351" s="13"/>
      <c r="K351" s="12">
        <v>38526.11</v>
      </c>
    </row>
    <row r="352" spans="1:15" x14ac:dyDescent="0.15">
      <c r="A352" s="35" t="s">
        <v>367</v>
      </c>
      <c r="B352" s="36"/>
      <c r="C352" s="36"/>
      <c r="D352" s="36"/>
      <c r="E352" s="36"/>
      <c r="F352" s="36"/>
      <c r="G352" s="36"/>
      <c r="H352" s="36"/>
      <c r="I352" s="36"/>
      <c r="J352" s="37"/>
      <c r="K352" s="37"/>
    </row>
    <row r="353" spans="1:14" ht="14" x14ac:dyDescent="0.15">
      <c r="A353" s="1">
        <v>25803377</v>
      </c>
      <c r="B353" s="9">
        <v>45972</v>
      </c>
      <c r="C353" s="1">
        <v>25803377</v>
      </c>
      <c r="D353" s="1" t="s">
        <v>13</v>
      </c>
      <c r="E353" s="7" t="s">
        <v>368</v>
      </c>
      <c r="F353" s="5">
        <v>13</v>
      </c>
      <c r="G353" s="9">
        <v>45991</v>
      </c>
      <c r="H353" s="8" t="s">
        <v>29</v>
      </c>
      <c r="I353" s="7" t="s">
        <v>16</v>
      </c>
      <c r="J353" s="13">
        <v>3027.5</v>
      </c>
      <c r="K353" s="13">
        <v>3027.5</v>
      </c>
      <c r="L353" s="11">
        <f t="shared" ref="L353:L354" si="120">IF(F353&lt;14,K353,"")</f>
        <v>3027.5</v>
      </c>
      <c r="M353" s="27" t="str">
        <f t="shared" ref="M353:M354" si="121">IF(F353&gt;15,K353,"")</f>
        <v/>
      </c>
      <c r="N353" s="28"/>
    </row>
    <row r="354" spans="1:14" ht="14" x14ac:dyDescent="0.15">
      <c r="A354" s="1">
        <v>25803570</v>
      </c>
      <c r="B354" s="9">
        <v>45981</v>
      </c>
      <c r="C354" s="1">
        <v>25803570</v>
      </c>
      <c r="D354" s="1" t="s">
        <v>13</v>
      </c>
      <c r="E354" s="7" t="s">
        <v>369</v>
      </c>
      <c r="F354" s="5">
        <v>4</v>
      </c>
      <c r="G354" s="9">
        <v>45991</v>
      </c>
      <c r="H354" s="8" t="s">
        <v>45</v>
      </c>
      <c r="I354" s="7" t="s">
        <v>16</v>
      </c>
      <c r="J354" s="13">
        <v>-453.75</v>
      </c>
      <c r="K354" s="13">
        <v>-453.75</v>
      </c>
      <c r="L354" s="11">
        <f t="shared" si="120"/>
        <v>-453.75</v>
      </c>
      <c r="M354" s="27" t="str">
        <f t="shared" si="121"/>
        <v/>
      </c>
      <c r="N354" s="28"/>
    </row>
    <row r="355" spans="1:14" x14ac:dyDescent="0.15">
      <c r="A355" s="34" t="s">
        <v>17</v>
      </c>
      <c r="B355" s="34"/>
      <c r="C355" s="34"/>
      <c r="D355" s="34"/>
      <c r="E355" s="34"/>
      <c r="F355" s="5"/>
      <c r="G355" s="3"/>
      <c r="H355" s="3"/>
      <c r="I355" s="3"/>
      <c r="J355" s="13"/>
      <c r="K355" s="12">
        <v>2573.75</v>
      </c>
    </row>
    <row r="356" spans="1:14" x14ac:dyDescent="0.15">
      <c r="A356" s="35" t="s">
        <v>370</v>
      </c>
      <c r="B356" s="36"/>
      <c r="C356" s="36"/>
      <c r="D356" s="36"/>
      <c r="E356" s="36"/>
      <c r="F356" s="36"/>
      <c r="G356" s="36"/>
      <c r="H356" s="36"/>
      <c r="I356" s="36"/>
      <c r="J356" s="37"/>
      <c r="K356" s="37"/>
    </row>
    <row r="357" spans="1:14" ht="14" x14ac:dyDescent="0.15">
      <c r="A357" s="1">
        <v>25803298</v>
      </c>
      <c r="B357" s="9">
        <v>45972</v>
      </c>
      <c r="C357" s="1">
        <v>25803298</v>
      </c>
      <c r="D357" s="1" t="s">
        <v>13</v>
      </c>
      <c r="E357" s="7" t="s">
        <v>371</v>
      </c>
      <c r="F357" s="5">
        <v>13</v>
      </c>
      <c r="G357" s="9">
        <v>45991</v>
      </c>
      <c r="H357" s="8" t="s">
        <v>372</v>
      </c>
      <c r="I357" s="7" t="s">
        <v>16</v>
      </c>
      <c r="J357" s="13">
        <v>4783.5</v>
      </c>
      <c r="K357" s="13">
        <v>4783.5</v>
      </c>
      <c r="L357" s="11">
        <f t="shared" ref="L357" si="122">IF(F357&lt;14,K357,"")</f>
        <v>4783.5</v>
      </c>
      <c r="M357" s="27" t="str">
        <f t="shared" ref="M357" si="123">IF(F357&gt;15,K357,"")</f>
        <v/>
      </c>
      <c r="N357" s="28"/>
    </row>
    <row r="358" spans="1:14" x14ac:dyDescent="0.15">
      <c r="A358" s="34" t="s">
        <v>17</v>
      </c>
      <c r="B358" s="34"/>
      <c r="C358" s="34"/>
      <c r="D358" s="34"/>
      <c r="E358" s="34"/>
      <c r="F358" s="5"/>
      <c r="G358" s="3"/>
      <c r="H358" s="3"/>
      <c r="I358" s="3"/>
      <c r="J358" s="13"/>
      <c r="K358" s="12">
        <v>4783.5</v>
      </c>
    </row>
    <row r="359" spans="1:14" x14ac:dyDescent="0.15">
      <c r="A359" s="35" t="s">
        <v>373</v>
      </c>
      <c r="B359" s="36"/>
      <c r="C359" s="36"/>
      <c r="D359" s="36"/>
      <c r="E359" s="36"/>
      <c r="F359" s="36"/>
      <c r="G359" s="36"/>
      <c r="H359" s="36"/>
      <c r="I359" s="36"/>
      <c r="J359" s="37"/>
      <c r="K359" s="37"/>
    </row>
    <row r="360" spans="1:14" ht="14" x14ac:dyDescent="0.15">
      <c r="A360" s="1">
        <v>25803373</v>
      </c>
      <c r="B360" s="9">
        <v>45972</v>
      </c>
      <c r="C360" s="1">
        <v>25803373</v>
      </c>
      <c r="D360" s="1" t="s">
        <v>13</v>
      </c>
      <c r="E360" s="7" t="s">
        <v>374</v>
      </c>
      <c r="F360" s="5">
        <v>13</v>
      </c>
      <c r="G360" s="9">
        <v>45991</v>
      </c>
      <c r="H360" s="8" t="s">
        <v>29</v>
      </c>
      <c r="I360" s="7" t="s">
        <v>16</v>
      </c>
      <c r="J360" s="13">
        <v>2891.25</v>
      </c>
      <c r="K360" s="13">
        <v>2891.25</v>
      </c>
      <c r="L360" s="11">
        <f t="shared" ref="L360:L361" si="124">IF(F360&lt;14,K360,"")</f>
        <v>2891.25</v>
      </c>
      <c r="M360" s="27" t="str">
        <f t="shared" ref="M360:M361" si="125">IF(F360&gt;15,K360,"")</f>
        <v/>
      </c>
      <c r="N360" s="28"/>
    </row>
    <row r="361" spans="1:14" ht="14" x14ac:dyDescent="0.15">
      <c r="A361" s="1">
        <v>25803421</v>
      </c>
      <c r="B361" s="9">
        <v>45972</v>
      </c>
      <c r="C361" s="1">
        <v>25803421</v>
      </c>
      <c r="D361" s="1" t="s">
        <v>13</v>
      </c>
      <c r="E361" s="7" t="s">
        <v>375</v>
      </c>
      <c r="F361" s="5">
        <v>13</v>
      </c>
      <c r="G361" s="9">
        <v>45991</v>
      </c>
      <c r="H361" s="8" t="s">
        <v>29</v>
      </c>
      <c r="I361" s="7" t="s">
        <v>16</v>
      </c>
      <c r="J361" s="13">
        <v>2440.2600000000002</v>
      </c>
      <c r="K361" s="13">
        <v>2440.2600000000002</v>
      </c>
      <c r="L361" s="11">
        <f t="shared" si="124"/>
        <v>2440.2600000000002</v>
      </c>
      <c r="M361" s="27" t="str">
        <f t="shared" si="125"/>
        <v/>
      </c>
      <c r="N361" s="28"/>
    </row>
    <row r="362" spans="1:14" x14ac:dyDescent="0.15">
      <c r="A362" s="34" t="s">
        <v>17</v>
      </c>
      <c r="B362" s="34"/>
      <c r="C362" s="34"/>
      <c r="D362" s="34"/>
      <c r="E362" s="34"/>
      <c r="F362" s="5"/>
      <c r="G362" s="3"/>
      <c r="H362" s="3"/>
      <c r="I362" s="3"/>
      <c r="J362" s="13"/>
      <c r="K362" s="12">
        <v>5331.51</v>
      </c>
    </row>
    <row r="363" spans="1:14" x14ac:dyDescent="0.15">
      <c r="A363" s="35" t="s">
        <v>376</v>
      </c>
      <c r="B363" s="36"/>
      <c r="C363" s="36"/>
      <c r="D363" s="36"/>
      <c r="E363" s="36"/>
      <c r="F363" s="36"/>
      <c r="G363" s="36"/>
      <c r="H363" s="36"/>
      <c r="I363" s="36"/>
      <c r="J363" s="37"/>
      <c r="K363" s="37"/>
    </row>
    <row r="364" spans="1:14" ht="14" x14ac:dyDescent="0.15">
      <c r="A364" s="1">
        <v>25803314</v>
      </c>
      <c r="B364" s="9">
        <v>45972</v>
      </c>
      <c r="C364" s="1">
        <v>25803314</v>
      </c>
      <c r="D364" s="1" t="s">
        <v>13</v>
      </c>
      <c r="E364" s="7" t="s">
        <v>377</v>
      </c>
      <c r="F364" s="5">
        <v>13</v>
      </c>
      <c r="G364" s="9">
        <v>45991</v>
      </c>
      <c r="H364" s="8" t="s">
        <v>378</v>
      </c>
      <c r="I364" s="7" t="s">
        <v>16</v>
      </c>
      <c r="J364" s="13">
        <v>6067</v>
      </c>
      <c r="K364" s="13">
        <v>6067</v>
      </c>
      <c r="L364" s="11">
        <f t="shared" ref="L364:L371" si="126">IF(F364&lt;14,K364,"")</f>
        <v>6067</v>
      </c>
      <c r="M364" s="27" t="str">
        <f t="shared" ref="M364:M371" si="127">IF(F364&gt;15,K364,"")</f>
        <v/>
      </c>
      <c r="N364" s="28"/>
    </row>
    <row r="365" spans="1:14" ht="14" x14ac:dyDescent="0.15">
      <c r="A365" s="1">
        <v>25803350</v>
      </c>
      <c r="B365" s="9">
        <v>45972</v>
      </c>
      <c r="C365" s="1">
        <v>25803350</v>
      </c>
      <c r="D365" s="1" t="s">
        <v>13</v>
      </c>
      <c r="E365" s="7" t="s">
        <v>379</v>
      </c>
      <c r="F365" s="5">
        <v>13</v>
      </c>
      <c r="G365" s="9">
        <v>45991</v>
      </c>
      <c r="H365" s="8" t="s">
        <v>378</v>
      </c>
      <c r="I365" s="7" t="s">
        <v>16</v>
      </c>
      <c r="J365" s="13">
        <v>7176.92</v>
      </c>
      <c r="K365" s="13">
        <v>7176.92</v>
      </c>
      <c r="L365" s="11">
        <f t="shared" si="126"/>
        <v>7176.92</v>
      </c>
      <c r="M365" s="27" t="str">
        <f t="shared" si="127"/>
        <v/>
      </c>
      <c r="N365" s="28"/>
    </row>
    <row r="366" spans="1:14" ht="14" x14ac:dyDescent="0.15">
      <c r="A366" s="1">
        <v>25803524</v>
      </c>
      <c r="B366" s="9">
        <v>45972</v>
      </c>
      <c r="C366" s="1">
        <v>25803524</v>
      </c>
      <c r="D366" s="1" t="s">
        <v>13</v>
      </c>
      <c r="E366" s="7" t="s">
        <v>380</v>
      </c>
      <c r="F366" s="5">
        <v>13</v>
      </c>
      <c r="G366" s="9">
        <v>45979</v>
      </c>
      <c r="H366" s="8" t="s">
        <v>149</v>
      </c>
      <c r="I366" s="7" t="s">
        <v>16</v>
      </c>
      <c r="J366" s="13">
        <v>2543</v>
      </c>
      <c r="K366" s="13">
        <v>2543</v>
      </c>
      <c r="L366" s="11">
        <f t="shared" si="126"/>
        <v>2543</v>
      </c>
      <c r="M366" s="27" t="str">
        <f t="shared" si="127"/>
        <v/>
      </c>
      <c r="N366" s="28"/>
    </row>
    <row r="367" spans="1:14" ht="14" x14ac:dyDescent="0.15">
      <c r="A367" s="1">
        <v>25803525</v>
      </c>
      <c r="B367" s="9">
        <v>45972</v>
      </c>
      <c r="C367" s="1">
        <v>25803525</v>
      </c>
      <c r="D367" s="1" t="s">
        <v>13</v>
      </c>
      <c r="E367" s="7" t="s">
        <v>381</v>
      </c>
      <c r="F367" s="5">
        <v>13</v>
      </c>
      <c r="G367" s="9">
        <v>45979</v>
      </c>
      <c r="H367" s="8" t="s">
        <v>149</v>
      </c>
      <c r="I367" s="7" t="s">
        <v>16</v>
      </c>
      <c r="J367" s="13">
        <v>2543</v>
      </c>
      <c r="K367" s="13">
        <v>2543</v>
      </c>
      <c r="L367" s="11">
        <f t="shared" si="126"/>
        <v>2543</v>
      </c>
      <c r="M367" s="27" t="str">
        <f t="shared" si="127"/>
        <v/>
      </c>
      <c r="N367" s="28"/>
    </row>
    <row r="368" spans="1:14" ht="14" x14ac:dyDescent="0.15">
      <c r="A368" s="1">
        <v>25803526</v>
      </c>
      <c r="B368" s="9">
        <v>45972</v>
      </c>
      <c r="C368" s="1">
        <v>25803526</v>
      </c>
      <c r="D368" s="1" t="s">
        <v>13</v>
      </c>
      <c r="E368" s="7" t="s">
        <v>382</v>
      </c>
      <c r="F368" s="5">
        <v>13</v>
      </c>
      <c r="G368" s="9">
        <v>45991</v>
      </c>
      <c r="H368" s="8" t="s">
        <v>378</v>
      </c>
      <c r="I368" s="7" t="s">
        <v>16</v>
      </c>
      <c r="J368" s="13">
        <v>2543</v>
      </c>
      <c r="K368" s="13">
        <v>2543</v>
      </c>
      <c r="L368" s="11">
        <f t="shared" si="126"/>
        <v>2543</v>
      </c>
      <c r="M368" s="27" t="str">
        <f t="shared" si="127"/>
        <v/>
      </c>
      <c r="N368" s="28"/>
    </row>
    <row r="369" spans="1:14" ht="14" x14ac:dyDescent="0.15">
      <c r="A369" s="1">
        <v>25803527</v>
      </c>
      <c r="B369" s="9">
        <v>45972</v>
      </c>
      <c r="C369" s="1">
        <v>25803527</v>
      </c>
      <c r="D369" s="1" t="s">
        <v>13</v>
      </c>
      <c r="E369" s="7" t="s">
        <v>383</v>
      </c>
      <c r="F369" s="5">
        <v>13</v>
      </c>
      <c r="G369" s="9">
        <v>45979</v>
      </c>
      <c r="H369" s="8" t="s">
        <v>149</v>
      </c>
      <c r="I369" s="7" t="s">
        <v>16</v>
      </c>
      <c r="J369" s="13">
        <v>2543</v>
      </c>
      <c r="K369" s="13">
        <v>2543</v>
      </c>
      <c r="L369" s="11">
        <f t="shared" si="126"/>
        <v>2543</v>
      </c>
      <c r="M369" s="27" t="str">
        <f t="shared" si="127"/>
        <v/>
      </c>
      <c r="N369" s="28"/>
    </row>
    <row r="370" spans="1:14" ht="14" x14ac:dyDescent="0.15">
      <c r="A370" s="1">
        <v>25803553</v>
      </c>
      <c r="B370" s="9">
        <v>45979</v>
      </c>
      <c r="C370" s="1">
        <v>25803553</v>
      </c>
      <c r="D370" s="1" t="s">
        <v>13</v>
      </c>
      <c r="E370" s="7" t="s">
        <v>384</v>
      </c>
      <c r="F370" s="5">
        <v>6</v>
      </c>
      <c r="G370" s="9">
        <v>45991</v>
      </c>
      <c r="H370" s="8" t="s">
        <v>45</v>
      </c>
      <c r="I370" s="7" t="s">
        <v>16</v>
      </c>
      <c r="J370" s="13">
        <v>-2543</v>
      </c>
      <c r="K370" s="13">
        <v>-2543</v>
      </c>
      <c r="L370" s="11">
        <f t="shared" si="126"/>
        <v>-2543</v>
      </c>
      <c r="M370" s="27" t="str">
        <f t="shared" si="127"/>
        <v/>
      </c>
      <c r="N370" s="28"/>
    </row>
    <row r="371" spans="1:14" ht="14" x14ac:dyDescent="0.15">
      <c r="A371" s="1">
        <v>25803569</v>
      </c>
      <c r="B371" s="9">
        <v>45981</v>
      </c>
      <c r="C371" s="1">
        <v>25803569</v>
      </c>
      <c r="D371" s="1" t="s">
        <v>13</v>
      </c>
      <c r="E371" s="7" t="s">
        <v>385</v>
      </c>
      <c r="F371" s="5">
        <v>4</v>
      </c>
      <c r="G371" s="9">
        <v>45991</v>
      </c>
      <c r="H371" s="8" t="s">
        <v>45</v>
      </c>
      <c r="I371" s="7" t="s">
        <v>16</v>
      </c>
      <c r="J371" s="13">
        <v>-302.5</v>
      </c>
      <c r="K371" s="13">
        <v>-302.5</v>
      </c>
      <c r="L371" s="11">
        <f t="shared" si="126"/>
        <v>-302.5</v>
      </c>
      <c r="M371" s="27" t="str">
        <f t="shared" si="127"/>
        <v/>
      </c>
      <c r="N371" s="28"/>
    </row>
    <row r="372" spans="1:14" x14ac:dyDescent="0.15">
      <c r="A372" s="34" t="s">
        <v>17</v>
      </c>
      <c r="B372" s="34"/>
      <c r="C372" s="34"/>
      <c r="D372" s="34"/>
      <c r="E372" s="34"/>
      <c r="F372" s="5"/>
      <c r="G372" s="3"/>
      <c r="H372" s="3"/>
      <c r="I372" s="3"/>
      <c r="J372" s="13"/>
      <c r="K372" s="12">
        <v>20570.419999999998</v>
      </c>
    </row>
    <row r="373" spans="1:14" x14ac:dyDescent="0.15">
      <c r="A373" s="35" t="s">
        <v>386</v>
      </c>
      <c r="B373" s="36"/>
      <c r="C373" s="36"/>
      <c r="D373" s="36"/>
      <c r="E373" s="36"/>
      <c r="F373" s="36"/>
      <c r="G373" s="36"/>
      <c r="H373" s="36"/>
      <c r="I373" s="36"/>
      <c r="J373" s="37"/>
      <c r="K373" s="37"/>
    </row>
    <row r="374" spans="1:14" ht="14" x14ac:dyDescent="0.15">
      <c r="A374" s="1">
        <v>25800010</v>
      </c>
      <c r="B374" s="10">
        <v>45663</v>
      </c>
      <c r="C374" s="1">
        <v>25800010</v>
      </c>
      <c r="D374" s="1" t="s">
        <v>13</v>
      </c>
      <c r="E374" s="7" t="s">
        <v>387</v>
      </c>
      <c r="F374" s="5">
        <v>322</v>
      </c>
      <c r="G374" s="10">
        <v>45688</v>
      </c>
      <c r="H374" s="8" t="s">
        <v>388</v>
      </c>
      <c r="I374" s="7" t="s">
        <v>16</v>
      </c>
      <c r="J374" s="13">
        <v>721.05</v>
      </c>
      <c r="K374" s="13">
        <v>721.05</v>
      </c>
      <c r="L374" s="11" t="str">
        <f t="shared" ref="L374" si="128">IF(F374&lt;14,K374,"")</f>
        <v/>
      </c>
      <c r="M374" s="27"/>
      <c r="N374" s="28">
        <v>721.05</v>
      </c>
    </row>
    <row r="375" spans="1:14" x14ac:dyDescent="0.15">
      <c r="A375" s="34" t="s">
        <v>17</v>
      </c>
      <c r="B375" s="34"/>
      <c r="C375" s="34"/>
      <c r="D375" s="34"/>
      <c r="E375" s="34"/>
      <c r="F375" s="5"/>
      <c r="G375" s="3"/>
      <c r="H375" s="3"/>
      <c r="I375" s="3"/>
      <c r="J375" s="13"/>
      <c r="K375" s="12">
        <v>721.05</v>
      </c>
    </row>
    <row r="376" spans="1:14" x14ac:dyDescent="0.15">
      <c r="A376" s="35" t="s">
        <v>389</v>
      </c>
      <c r="B376" s="36"/>
      <c r="C376" s="36"/>
      <c r="D376" s="36"/>
      <c r="E376" s="36"/>
      <c r="F376" s="36"/>
      <c r="G376" s="36"/>
      <c r="H376" s="36"/>
      <c r="I376" s="36"/>
      <c r="J376" s="37"/>
      <c r="K376" s="37"/>
    </row>
    <row r="377" spans="1:14" ht="14" x14ac:dyDescent="0.15">
      <c r="A377" s="1">
        <v>25800339</v>
      </c>
      <c r="B377" s="10">
        <v>45700</v>
      </c>
      <c r="C377" s="1">
        <v>25800339</v>
      </c>
      <c r="D377" s="1" t="s">
        <v>13</v>
      </c>
      <c r="E377" s="7" t="s">
        <v>390</v>
      </c>
      <c r="F377" s="5">
        <v>285</v>
      </c>
      <c r="G377" s="10">
        <v>45716</v>
      </c>
      <c r="H377" s="8" t="s">
        <v>391</v>
      </c>
      <c r="I377" s="7" t="s">
        <v>16</v>
      </c>
      <c r="J377" s="13">
        <v>390</v>
      </c>
      <c r="K377" s="13">
        <v>390</v>
      </c>
      <c r="L377" s="11" t="str">
        <f t="shared" ref="L377:L378" si="129">IF(F377&lt;14,K377,"")</f>
        <v/>
      </c>
      <c r="M377" s="27"/>
      <c r="N377" s="28">
        <v>390</v>
      </c>
    </row>
    <row r="378" spans="1:14" ht="14" x14ac:dyDescent="0.15">
      <c r="A378" s="1">
        <v>25801007</v>
      </c>
      <c r="B378" s="10">
        <v>45756</v>
      </c>
      <c r="C378" s="1">
        <v>25801007</v>
      </c>
      <c r="D378" s="1" t="s">
        <v>13</v>
      </c>
      <c r="E378" s="7" t="s">
        <v>392</v>
      </c>
      <c r="F378" s="5">
        <v>229</v>
      </c>
      <c r="G378" s="10">
        <v>45777</v>
      </c>
      <c r="H378" s="8" t="s">
        <v>118</v>
      </c>
      <c r="I378" s="7" t="s">
        <v>16</v>
      </c>
      <c r="J378" s="13">
        <v>907.5</v>
      </c>
      <c r="K378" s="13">
        <v>907.5</v>
      </c>
      <c r="L378" s="11" t="str">
        <f t="shared" si="129"/>
        <v/>
      </c>
      <c r="M378" s="27"/>
      <c r="N378" s="28">
        <v>907.5</v>
      </c>
    </row>
    <row r="379" spans="1:14" x14ac:dyDescent="0.15">
      <c r="A379" s="34" t="s">
        <v>17</v>
      </c>
      <c r="B379" s="34"/>
      <c r="C379" s="34"/>
      <c r="D379" s="34"/>
      <c r="E379" s="34"/>
      <c r="F379" s="5"/>
      <c r="G379" s="3"/>
      <c r="H379" s="3"/>
      <c r="I379" s="3"/>
      <c r="J379" s="13"/>
      <c r="K379" s="12">
        <v>1297.5</v>
      </c>
    </row>
    <row r="380" spans="1:14" x14ac:dyDescent="0.15">
      <c r="A380" s="35" t="s">
        <v>393</v>
      </c>
      <c r="B380" s="36"/>
      <c r="C380" s="36"/>
      <c r="D380" s="36"/>
      <c r="E380" s="36"/>
      <c r="F380" s="36"/>
      <c r="G380" s="36"/>
      <c r="H380" s="36"/>
      <c r="I380" s="36"/>
      <c r="J380" s="37"/>
      <c r="K380" s="37"/>
    </row>
    <row r="381" spans="1:14" ht="14" x14ac:dyDescent="0.15">
      <c r="A381" s="1">
        <v>25803433</v>
      </c>
      <c r="B381" s="9">
        <v>45972</v>
      </c>
      <c r="C381" s="1">
        <v>25803433</v>
      </c>
      <c r="D381" s="1" t="s">
        <v>13</v>
      </c>
      <c r="E381" s="7" t="s">
        <v>394</v>
      </c>
      <c r="F381" s="5">
        <v>13</v>
      </c>
      <c r="G381" s="9">
        <v>45991</v>
      </c>
      <c r="H381" s="8" t="s">
        <v>395</v>
      </c>
      <c r="I381" s="7" t="s">
        <v>16</v>
      </c>
      <c r="J381" s="13">
        <v>1910</v>
      </c>
      <c r="K381" s="13">
        <v>1910</v>
      </c>
      <c r="L381" s="11">
        <f t="shared" ref="L381" si="130">IF(F381&lt;14,K381,"")</f>
        <v>1910</v>
      </c>
      <c r="M381" s="27" t="str">
        <f t="shared" ref="M381" si="131">IF(F381&gt;15,K381,"")</f>
        <v/>
      </c>
      <c r="N381" s="28"/>
    </row>
    <row r="382" spans="1:14" x14ac:dyDescent="0.15">
      <c r="A382" s="34" t="s">
        <v>17</v>
      </c>
      <c r="B382" s="34"/>
      <c r="C382" s="34"/>
      <c r="D382" s="34"/>
      <c r="E382" s="34"/>
      <c r="F382" s="5"/>
      <c r="G382" s="3"/>
      <c r="H382" s="3"/>
      <c r="I382" s="3"/>
      <c r="J382" s="13"/>
      <c r="K382" s="12">
        <v>1910</v>
      </c>
    </row>
    <row r="383" spans="1:14" x14ac:dyDescent="0.15">
      <c r="A383" s="35" t="s">
        <v>396</v>
      </c>
      <c r="B383" s="36"/>
      <c r="C383" s="36"/>
      <c r="D383" s="36"/>
      <c r="E383" s="36"/>
      <c r="F383" s="36"/>
      <c r="G383" s="36"/>
      <c r="H383" s="36"/>
      <c r="I383" s="36"/>
      <c r="J383" s="37"/>
      <c r="K383" s="37"/>
    </row>
    <row r="384" spans="1:14" ht="14" x14ac:dyDescent="0.15">
      <c r="A384" s="1">
        <v>25803375</v>
      </c>
      <c r="B384" s="9">
        <v>45972</v>
      </c>
      <c r="C384" s="1">
        <v>25803375</v>
      </c>
      <c r="D384" s="1" t="s">
        <v>13</v>
      </c>
      <c r="E384" s="7" t="s">
        <v>397</v>
      </c>
      <c r="F384" s="5">
        <v>13</v>
      </c>
      <c r="G384" s="9">
        <v>45991</v>
      </c>
      <c r="H384" s="8" t="s">
        <v>378</v>
      </c>
      <c r="I384" s="7" t="s">
        <v>16</v>
      </c>
      <c r="J384" s="13">
        <v>3496.75</v>
      </c>
      <c r="K384" s="13">
        <v>3496.75</v>
      </c>
      <c r="L384" s="11">
        <f t="shared" ref="L384:L386" si="132">IF(F384&lt;14,K384,"")</f>
        <v>3496.75</v>
      </c>
      <c r="M384" s="27" t="str">
        <f t="shared" ref="M384:M386" si="133">IF(F384&gt;15,K384,"")</f>
        <v/>
      </c>
      <c r="N384" s="28"/>
    </row>
    <row r="385" spans="1:14" ht="14" x14ac:dyDescent="0.15">
      <c r="A385" s="1">
        <v>25803417</v>
      </c>
      <c r="B385" s="9">
        <v>45972</v>
      </c>
      <c r="C385" s="1">
        <v>25803417</v>
      </c>
      <c r="D385" s="1" t="s">
        <v>13</v>
      </c>
      <c r="E385" s="7" t="s">
        <v>398</v>
      </c>
      <c r="F385" s="5">
        <v>13</v>
      </c>
      <c r="G385" s="9">
        <v>45991</v>
      </c>
      <c r="H385" s="8" t="s">
        <v>378</v>
      </c>
      <c r="I385" s="7" t="s">
        <v>16</v>
      </c>
      <c r="J385" s="13">
        <v>3177.13</v>
      </c>
      <c r="K385" s="13">
        <v>3177.13</v>
      </c>
      <c r="L385" s="11">
        <f t="shared" si="132"/>
        <v>3177.13</v>
      </c>
      <c r="M385" s="27" t="str">
        <f t="shared" si="133"/>
        <v/>
      </c>
      <c r="N385" s="28"/>
    </row>
    <row r="386" spans="1:14" ht="14" x14ac:dyDescent="0.15">
      <c r="A386" s="1">
        <v>25803515</v>
      </c>
      <c r="B386" s="9">
        <v>45972</v>
      </c>
      <c r="C386" s="1">
        <v>25803515</v>
      </c>
      <c r="D386" s="1" t="s">
        <v>13</v>
      </c>
      <c r="E386" s="7" t="s">
        <v>399</v>
      </c>
      <c r="F386" s="5">
        <v>13</v>
      </c>
      <c r="G386" s="9">
        <v>45991</v>
      </c>
      <c r="H386" s="8" t="s">
        <v>378</v>
      </c>
      <c r="I386" s="7" t="s">
        <v>16</v>
      </c>
      <c r="J386" s="13">
        <v>2422</v>
      </c>
      <c r="K386" s="13">
        <v>2422</v>
      </c>
      <c r="L386" s="11">
        <f t="shared" si="132"/>
        <v>2422</v>
      </c>
      <c r="M386" s="27" t="str">
        <f t="shared" si="133"/>
        <v/>
      </c>
      <c r="N386" s="28"/>
    </row>
    <row r="387" spans="1:14" x14ac:dyDescent="0.15">
      <c r="A387" s="34" t="s">
        <v>17</v>
      </c>
      <c r="B387" s="34"/>
      <c r="C387" s="34"/>
      <c r="D387" s="34"/>
      <c r="E387" s="34"/>
      <c r="F387" s="5"/>
      <c r="G387" s="3"/>
      <c r="H387" s="3"/>
      <c r="I387" s="3"/>
      <c r="J387" s="13"/>
      <c r="K387" s="12">
        <v>9095.8799999999992</v>
      </c>
    </row>
    <row r="388" spans="1:14" x14ac:dyDescent="0.15">
      <c r="A388" s="35" t="s">
        <v>400</v>
      </c>
      <c r="B388" s="36"/>
      <c r="C388" s="36"/>
      <c r="D388" s="36"/>
      <c r="E388" s="36"/>
      <c r="F388" s="36"/>
      <c r="G388" s="36"/>
      <c r="H388" s="36"/>
      <c r="I388" s="36"/>
      <c r="J388" s="37"/>
      <c r="K388" s="37"/>
    </row>
    <row r="389" spans="1:14" ht="14" x14ac:dyDescent="0.15">
      <c r="A389" s="1">
        <v>25803580</v>
      </c>
      <c r="B389" s="9">
        <v>45982</v>
      </c>
      <c r="C389" s="1">
        <v>25803580</v>
      </c>
      <c r="D389" s="1" t="s">
        <v>13</v>
      </c>
      <c r="E389" s="7" t="s">
        <v>401</v>
      </c>
      <c r="F389" s="5">
        <v>3</v>
      </c>
      <c r="G389" s="9">
        <v>45991</v>
      </c>
      <c r="H389" s="8" t="s">
        <v>243</v>
      </c>
      <c r="I389" s="7" t="s">
        <v>16</v>
      </c>
      <c r="J389" s="13">
        <v>2864</v>
      </c>
      <c r="K389" s="13">
        <v>2864</v>
      </c>
      <c r="L389" s="11">
        <f t="shared" ref="L389" si="134">IF(F389&lt;14,K389,"")</f>
        <v>2864</v>
      </c>
      <c r="M389" s="27" t="str">
        <f t="shared" ref="M389" si="135">IF(F389&gt;15,K389,"")</f>
        <v/>
      </c>
      <c r="N389" s="28"/>
    </row>
    <row r="390" spans="1:14" x14ac:dyDescent="0.15">
      <c r="A390" s="34" t="s">
        <v>17</v>
      </c>
      <c r="B390" s="34"/>
      <c r="C390" s="34"/>
      <c r="D390" s="34"/>
      <c r="E390" s="34"/>
      <c r="F390" s="5"/>
      <c r="G390" s="3"/>
      <c r="H390" s="3"/>
      <c r="I390" s="3"/>
      <c r="J390" s="13"/>
      <c r="K390" s="12">
        <v>2864</v>
      </c>
    </row>
    <row r="391" spans="1:14" x14ac:dyDescent="0.15">
      <c r="A391" s="35" t="s">
        <v>402</v>
      </c>
      <c r="B391" s="36"/>
      <c r="C391" s="36"/>
      <c r="D391" s="36"/>
      <c r="E391" s="36"/>
      <c r="F391" s="36"/>
      <c r="G391" s="36"/>
      <c r="H391" s="36"/>
      <c r="I391" s="36"/>
      <c r="J391" s="37"/>
      <c r="K391" s="37"/>
    </row>
    <row r="392" spans="1:14" ht="14" x14ac:dyDescent="0.15">
      <c r="A392" s="1">
        <v>25803486</v>
      </c>
      <c r="B392" s="9">
        <v>45972</v>
      </c>
      <c r="C392" s="1">
        <v>25803486</v>
      </c>
      <c r="D392" s="1" t="s">
        <v>13</v>
      </c>
      <c r="E392" s="7" t="s">
        <v>403</v>
      </c>
      <c r="F392" s="5">
        <v>13</v>
      </c>
      <c r="G392" s="9">
        <v>45991</v>
      </c>
      <c r="H392" s="8" t="s">
        <v>26</v>
      </c>
      <c r="I392" s="7" t="s">
        <v>16</v>
      </c>
      <c r="J392" s="13">
        <v>3217.74</v>
      </c>
      <c r="K392" s="13">
        <v>3217.74</v>
      </c>
      <c r="L392" s="11">
        <f t="shared" ref="L392" si="136">IF(F392&lt;14,K392,"")</f>
        <v>3217.74</v>
      </c>
      <c r="M392" s="27" t="str">
        <f t="shared" ref="M392" si="137">IF(F392&gt;15,K392,"")</f>
        <v/>
      </c>
      <c r="N392" s="28"/>
    </row>
    <row r="393" spans="1:14" x14ac:dyDescent="0.15">
      <c r="A393" s="34" t="s">
        <v>17</v>
      </c>
      <c r="B393" s="34"/>
      <c r="C393" s="34"/>
      <c r="D393" s="34"/>
      <c r="E393" s="34"/>
      <c r="F393" s="5"/>
      <c r="G393" s="3"/>
      <c r="H393" s="3"/>
      <c r="I393" s="3"/>
      <c r="J393" s="13"/>
      <c r="K393" s="12">
        <v>3217.74</v>
      </c>
    </row>
    <row r="394" spans="1:14" x14ac:dyDescent="0.15">
      <c r="A394" s="35" t="s">
        <v>404</v>
      </c>
      <c r="B394" s="36"/>
      <c r="C394" s="36"/>
      <c r="D394" s="36"/>
      <c r="E394" s="36"/>
      <c r="F394" s="36"/>
      <c r="G394" s="36"/>
      <c r="H394" s="36"/>
      <c r="I394" s="36"/>
      <c r="J394" s="37"/>
      <c r="K394" s="37"/>
    </row>
    <row r="395" spans="1:14" ht="14" x14ac:dyDescent="0.15">
      <c r="A395" s="1">
        <v>25803454</v>
      </c>
      <c r="B395" s="9">
        <v>45972</v>
      </c>
      <c r="C395" s="1">
        <v>25803454</v>
      </c>
      <c r="D395" s="1" t="s">
        <v>13</v>
      </c>
      <c r="E395" s="7" t="s">
        <v>405</v>
      </c>
      <c r="F395" s="5">
        <v>13</v>
      </c>
      <c r="G395" s="9">
        <v>45991</v>
      </c>
      <c r="H395" s="8" t="s">
        <v>130</v>
      </c>
      <c r="I395" s="7" t="s">
        <v>16</v>
      </c>
      <c r="J395" s="13">
        <v>2912.29</v>
      </c>
      <c r="K395" s="13">
        <v>2912.29</v>
      </c>
      <c r="L395" s="11">
        <f t="shared" ref="L395" si="138">IF(F395&lt;14,K395,"")</f>
        <v>2912.29</v>
      </c>
      <c r="M395" s="27" t="str">
        <f t="shared" ref="M395" si="139">IF(F395&gt;15,K395,"")</f>
        <v/>
      </c>
      <c r="N395" s="28"/>
    </row>
    <row r="396" spans="1:14" x14ac:dyDescent="0.15">
      <c r="A396" s="34" t="s">
        <v>17</v>
      </c>
      <c r="B396" s="34"/>
      <c r="C396" s="34"/>
      <c r="D396" s="34"/>
      <c r="E396" s="34"/>
      <c r="F396" s="5"/>
      <c r="G396" s="3"/>
      <c r="H396" s="3"/>
      <c r="I396" s="3"/>
      <c r="J396" s="13"/>
      <c r="K396" s="12">
        <v>2912.29</v>
      </c>
    </row>
    <row r="397" spans="1:14" x14ac:dyDescent="0.15">
      <c r="A397" s="35" t="s">
        <v>406</v>
      </c>
      <c r="B397" s="36"/>
      <c r="C397" s="36"/>
      <c r="D397" s="36"/>
      <c r="E397" s="36"/>
      <c r="F397" s="36"/>
      <c r="G397" s="36"/>
      <c r="H397" s="36"/>
      <c r="I397" s="36"/>
      <c r="J397" s="37"/>
      <c r="K397" s="37"/>
    </row>
    <row r="398" spans="1:14" ht="14" x14ac:dyDescent="0.15">
      <c r="A398" s="1">
        <v>25802063</v>
      </c>
      <c r="B398" s="10">
        <v>45852</v>
      </c>
      <c r="C398" s="1">
        <v>25802063</v>
      </c>
      <c r="D398" s="1" t="s">
        <v>13</v>
      </c>
      <c r="E398" s="7" t="s">
        <v>407</v>
      </c>
      <c r="F398" s="5">
        <v>133</v>
      </c>
      <c r="G398" s="10">
        <v>45869</v>
      </c>
      <c r="H398" s="8" t="s">
        <v>408</v>
      </c>
      <c r="I398" s="7" t="s">
        <v>16</v>
      </c>
      <c r="J398" s="13">
        <v>1489.71</v>
      </c>
      <c r="K398" s="13">
        <v>1489.71</v>
      </c>
      <c r="L398" s="11" t="str">
        <f t="shared" ref="L398:L417" si="140">IF(F398&lt;14,K398,"")</f>
        <v/>
      </c>
      <c r="M398" s="27">
        <f t="shared" ref="M398:M417" si="141">IF(F398&gt;15,K398,"")</f>
        <v>1489.71</v>
      </c>
      <c r="N398" s="28"/>
    </row>
    <row r="399" spans="1:14" ht="14" x14ac:dyDescent="0.15">
      <c r="A399" s="1">
        <v>25802115</v>
      </c>
      <c r="B399" s="10">
        <v>45852</v>
      </c>
      <c r="C399" s="1">
        <v>25802115</v>
      </c>
      <c r="D399" s="1" t="s">
        <v>13</v>
      </c>
      <c r="E399" s="7" t="s">
        <v>409</v>
      </c>
      <c r="F399" s="5">
        <v>133</v>
      </c>
      <c r="G399" s="10">
        <v>45866</v>
      </c>
      <c r="H399" s="8" t="s">
        <v>410</v>
      </c>
      <c r="I399" s="7" t="s">
        <v>16</v>
      </c>
      <c r="J399" s="13">
        <v>1828.9</v>
      </c>
      <c r="K399" s="13">
        <v>1828.9</v>
      </c>
      <c r="L399" s="11" t="str">
        <f t="shared" si="140"/>
        <v/>
      </c>
      <c r="M399" s="27">
        <f t="shared" si="141"/>
        <v>1828.9</v>
      </c>
      <c r="N399" s="28"/>
    </row>
    <row r="400" spans="1:14" ht="14" x14ac:dyDescent="0.15">
      <c r="A400" s="1">
        <v>25802161</v>
      </c>
      <c r="B400" s="10">
        <v>45852</v>
      </c>
      <c r="C400" s="1">
        <v>25802161</v>
      </c>
      <c r="D400" s="1" t="s">
        <v>13</v>
      </c>
      <c r="E400" s="7" t="s">
        <v>411</v>
      </c>
      <c r="F400" s="5">
        <v>133</v>
      </c>
      <c r="G400" s="10">
        <v>45869</v>
      </c>
      <c r="H400" s="8" t="s">
        <v>408</v>
      </c>
      <c r="I400" s="7" t="s">
        <v>16</v>
      </c>
      <c r="J400" s="13">
        <v>2715.9</v>
      </c>
      <c r="K400" s="13">
        <v>2715.9</v>
      </c>
      <c r="L400" s="11" t="str">
        <f t="shared" si="140"/>
        <v/>
      </c>
      <c r="M400" s="27">
        <f t="shared" si="141"/>
        <v>2715.9</v>
      </c>
      <c r="N400" s="28"/>
    </row>
    <row r="401" spans="1:14" ht="14" x14ac:dyDescent="0.15">
      <c r="A401" s="1">
        <v>25803302</v>
      </c>
      <c r="B401" s="9">
        <v>45972</v>
      </c>
      <c r="C401" s="1">
        <v>25803302</v>
      </c>
      <c r="D401" s="1" t="s">
        <v>13</v>
      </c>
      <c r="E401" s="7" t="s">
        <v>412</v>
      </c>
      <c r="F401" s="5">
        <v>13</v>
      </c>
      <c r="G401" s="9">
        <v>45991</v>
      </c>
      <c r="H401" s="8" t="s">
        <v>413</v>
      </c>
      <c r="I401" s="7" t="s">
        <v>16</v>
      </c>
      <c r="J401" s="13">
        <v>3194.31</v>
      </c>
      <c r="K401" s="13">
        <v>3194.31</v>
      </c>
      <c r="L401" s="11">
        <f t="shared" si="140"/>
        <v>3194.31</v>
      </c>
      <c r="M401" s="27" t="str">
        <f t="shared" si="141"/>
        <v/>
      </c>
      <c r="N401" s="28"/>
    </row>
    <row r="402" spans="1:14" ht="14" x14ac:dyDescent="0.15">
      <c r="A402" s="1">
        <v>25803334</v>
      </c>
      <c r="B402" s="9">
        <v>45972</v>
      </c>
      <c r="C402" s="1">
        <v>25803334</v>
      </c>
      <c r="D402" s="1" t="s">
        <v>13</v>
      </c>
      <c r="E402" s="7" t="s">
        <v>414</v>
      </c>
      <c r="F402" s="5">
        <v>13</v>
      </c>
      <c r="G402" s="9">
        <v>45991</v>
      </c>
      <c r="H402" s="8" t="s">
        <v>413</v>
      </c>
      <c r="I402" s="7" t="s">
        <v>16</v>
      </c>
      <c r="J402" s="13">
        <v>4414</v>
      </c>
      <c r="K402" s="13">
        <v>4414</v>
      </c>
      <c r="L402" s="11">
        <f t="shared" si="140"/>
        <v>4414</v>
      </c>
      <c r="M402" s="27" t="str">
        <f t="shared" si="141"/>
        <v/>
      </c>
      <c r="N402" s="28"/>
    </row>
    <row r="403" spans="1:14" ht="14" x14ac:dyDescent="0.15">
      <c r="A403" s="1">
        <v>25803335</v>
      </c>
      <c r="B403" s="9">
        <v>45972</v>
      </c>
      <c r="C403" s="1">
        <v>25803335</v>
      </c>
      <c r="D403" s="1" t="s">
        <v>13</v>
      </c>
      <c r="E403" s="7" t="s">
        <v>415</v>
      </c>
      <c r="F403" s="5">
        <v>13</v>
      </c>
      <c r="G403" s="9">
        <v>45991</v>
      </c>
      <c r="H403" s="8" t="s">
        <v>413</v>
      </c>
      <c r="I403" s="7" t="s">
        <v>16</v>
      </c>
      <c r="J403" s="13">
        <v>2360.13</v>
      </c>
      <c r="K403" s="13">
        <v>2360.13</v>
      </c>
      <c r="L403" s="11">
        <f t="shared" si="140"/>
        <v>2360.13</v>
      </c>
      <c r="M403" s="27" t="str">
        <f t="shared" si="141"/>
        <v/>
      </c>
      <c r="N403" s="28"/>
    </row>
    <row r="404" spans="1:14" ht="14" x14ac:dyDescent="0.15">
      <c r="A404" s="1">
        <v>25803337</v>
      </c>
      <c r="B404" s="9">
        <v>45972</v>
      </c>
      <c r="C404" s="1">
        <v>25803337</v>
      </c>
      <c r="D404" s="1" t="s">
        <v>13</v>
      </c>
      <c r="E404" s="7" t="s">
        <v>416</v>
      </c>
      <c r="F404" s="5">
        <v>13</v>
      </c>
      <c r="G404" s="9">
        <v>45991</v>
      </c>
      <c r="H404" s="8" t="s">
        <v>413</v>
      </c>
      <c r="I404" s="7" t="s">
        <v>16</v>
      </c>
      <c r="J404" s="13">
        <v>3106.5</v>
      </c>
      <c r="K404" s="13">
        <v>3106.5</v>
      </c>
      <c r="L404" s="11">
        <f t="shared" si="140"/>
        <v>3106.5</v>
      </c>
      <c r="M404" s="27" t="str">
        <f t="shared" si="141"/>
        <v/>
      </c>
      <c r="N404" s="28"/>
    </row>
    <row r="405" spans="1:14" ht="14" x14ac:dyDescent="0.15">
      <c r="A405" s="1">
        <v>25803340</v>
      </c>
      <c r="B405" s="9">
        <v>45972</v>
      </c>
      <c r="C405" s="1">
        <v>25803340</v>
      </c>
      <c r="D405" s="1" t="s">
        <v>13</v>
      </c>
      <c r="E405" s="7" t="s">
        <v>417</v>
      </c>
      <c r="F405" s="5">
        <v>13</v>
      </c>
      <c r="G405" s="9">
        <v>45991</v>
      </c>
      <c r="H405" s="8" t="s">
        <v>413</v>
      </c>
      <c r="I405" s="7" t="s">
        <v>16</v>
      </c>
      <c r="J405" s="13">
        <v>5831</v>
      </c>
      <c r="K405" s="13">
        <v>5831</v>
      </c>
      <c r="L405" s="11">
        <f t="shared" si="140"/>
        <v>5831</v>
      </c>
      <c r="M405" s="27" t="str">
        <f t="shared" si="141"/>
        <v/>
      </c>
      <c r="N405" s="28"/>
    </row>
    <row r="406" spans="1:14" ht="14" x14ac:dyDescent="0.15">
      <c r="A406" s="1">
        <v>25803344</v>
      </c>
      <c r="B406" s="9">
        <v>45972</v>
      </c>
      <c r="C406" s="1">
        <v>25803344</v>
      </c>
      <c r="D406" s="1" t="s">
        <v>13</v>
      </c>
      <c r="E406" s="7" t="s">
        <v>418</v>
      </c>
      <c r="F406" s="5">
        <v>13</v>
      </c>
      <c r="G406" s="9">
        <v>45991</v>
      </c>
      <c r="H406" s="8" t="s">
        <v>413</v>
      </c>
      <c r="I406" s="7" t="s">
        <v>16</v>
      </c>
      <c r="J406" s="13">
        <v>14217.12</v>
      </c>
      <c r="K406" s="13">
        <v>14217.12</v>
      </c>
      <c r="L406" s="11">
        <f t="shared" si="140"/>
        <v>14217.12</v>
      </c>
      <c r="M406" s="27" t="str">
        <f t="shared" si="141"/>
        <v/>
      </c>
      <c r="N406" s="28"/>
    </row>
    <row r="407" spans="1:14" ht="14" x14ac:dyDescent="0.15">
      <c r="A407" s="1">
        <v>25803359</v>
      </c>
      <c r="B407" s="9">
        <v>45972</v>
      </c>
      <c r="C407" s="1">
        <v>25803359</v>
      </c>
      <c r="D407" s="1" t="s">
        <v>13</v>
      </c>
      <c r="E407" s="7" t="s">
        <v>419</v>
      </c>
      <c r="F407" s="5">
        <v>13</v>
      </c>
      <c r="G407" s="9">
        <v>45991</v>
      </c>
      <c r="H407" s="8" t="s">
        <v>413</v>
      </c>
      <c r="I407" s="7" t="s">
        <v>16</v>
      </c>
      <c r="J407" s="13">
        <v>3971.42</v>
      </c>
      <c r="K407" s="13">
        <v>3971.42</v>
      </c>
      <c r="L407" s="11">
        <f t="shared" si="140"/>
        <v>3971.42</v>
      </c>
      <c r="M407" s="27" t="str">
        <f t="shared" si="141"/>
        <v/>
      </c>
      <c r="N407" s="28"/>
    </row>
    <row r="408" spans="1:14" ht="14" x14ac:dyDescent="0.15">
      <c r="A408" s="1">
        <v>25803401</v>
      </c>
      <c r="B408" s="9">
        <v>45972</v>
      </c>
      <c r="C408" s="1">
        <v>25803401</v>
      </c>
      <c r="D408" s="1" t="s">
        <v>13</v>
      </c>
      <c r="E408" s="7" t="s">
        <v>420</v>
      </c>
      <c r="F408" s="5">
        <v>13</v>
      </c>
      <c r="G408" s="9">
        <v>45991</v>
      </c>
      <c r="H408" s="8" t="s">
        <v>413</v>
      </c>
      <c r="I408" s="7" t="s">
        <v>16</v>
      </c>
      <c r="J408" s="13">
        <v>2269.38</v>
      </c>
      <c r="K408" s="13">
        <v>2269.38</v>
      </c>
      <c r="L408" s="11">
        <f t="shared" si="140"/>
        <v>2269.38</v>
      </c>
      <c r="M408" s="27" t="str">
        <f t="shared" si="141"/>
        <v/>
      </c>
      <c r="N408" s="28"/>
    </row>
    <row r="409" spans="1:14" ht="14" x14ac:dyDescent="0.15">
      <c r="A409" s="1">
        <v>25803412</v>
      </c>
      <c r="B409" s="9">
        <v>45972</v>
      </c>
      <c r="C409" s="1">
        <v>25803412</v>
      </c>
      <c r="D409" s="1" t="s">
        <v>13</v>
      </c>
      <c r="E409" s="7" t="s">
        <v>421</v>
      </c>
      <c r="F409" s="5">
        <v>13</v>
      </c>
      <c r="G409" s="9">
        <v>45991</v>
      </c>
      <c r="H409" s="8" t="s">
        <v>413</v>
      </c>
      <c r="I409" s="7" t="s">
        <v>16</v>
      </c>
      <c r="J409" s="13">
        <v>5903.5</v>
      </c>
      <c r="K409" s="13">
        <v>5903.5</v>
      </c>
      <c r="L409" s="11">
        <f t="shared" si="140"/>
        <v>5903.5</v>
      </c>
      <c r="M409" s="27" t="str">
        <f t="shared" si="141"/>
        <v/>
      </c>
      <c r="N409" s="28"/>
    </row>
    <row r="410" spans="1:14" ht="14" x14ac:dyDescent="0.15">
      <c r="A410" s="1">
        <v>25803413</v>
      </c>
      <c r="B410" s="9">
        <v>45972</v>
      </c>
      <c r="C410" s="1">
        <v>25803413</v>
      </c>
      <c r="D410" s="1" t="s">
        <v>13</v>
      </c>
      <c r="E410" s="7" t="s">
        <v>422</v>
      </c>
      <c r="F410" s="5">
        <v>13</v>
      </c>
      <c r="G410" s="9">
        <v>45991</v>
      </c>
      <c r="H410" s="8" t="s">
        <v>413</v>
      </c>
      <c r="I410" s="7" t="s">
        <v>16</v>
      </c>
      <c r="J410" s="13">
        <v>5456.04</v>
      </c>
      <c r="K410" s="13">
        <v>5456.04</v>
      </c>
      <c r="L410" s="11">
        <f t="shared" si="140"/>
        <v>5456.04</v>
      </c>
      <c r="M410" s="27" t="str">
        <f t="shared" si="141"/>
        <v/>
      </c>
      <c r="N410" s="28"/>
    </row>
    <row r="411" spans="1:14" ht="14" x14ac:dyDescent="0.15">
      <c r="A411" s="1">
        <v>25803419</v>
      </c>
      <c r="B411" s="9">
        <v>45972</v>
      </c>
      <c r="C411" s="1">
        <v>25803419</v>
      </c>
      <c r="D411" s="1" t="s">
        <v>13</v>
      </c>
      <c r="E411" s="7" t="s">
        <v>423</v>
      </c>
      <c r="F411" s="5">
        <v>13</v>
      </c>
      <c r="G411" s="9">
        <v>45991</v>
      </c>
      <c r="H411" s="8" t="s">
        <v>413</v>
      </c>
      <c r="I411" s="7" t="s">
        <v>16</v>
      </c>
      <c r="J411" s="13">
        <v>3192.27</v>
      </c>
      <c r="K411" s="13">
        <v>3192.27</v>
      </c>
      <c r="L411" s="11">
        <f t="shared" si="140"/>
        <v>3192.27</v>
      </c>
      <c r="M411" s="27" t="str">
        <f t="shared" si="141"/>
        <v/>
      </c>
      <c r="N411" s="28"/>
    </row>
    <row r="412" spans="1:14" ht="14" x14ac:dyDescent="0.15">
      <c r="A412" s="1">
        <v>25803448</v>
      </c>
      <c r="B412" s="9">
        <v>45972</v>
      </c>
      <c r="C412" s="1">
        <v>25803448</v>
      </c>
      <c r="D412" s="1" t="s">
        <v>13</v>
      </c>
      <c r="E412" s="7" t="s">
        <v>424</v>
      </c>
      <c r="F412" s="5">
        <v>13</v>
      </c>
      <c r="G412" s="9">
        <v>45991</v>
      </c>
      <c r="H412" s="8" t="s">
        <v>413</v>
      </c>
      <c r="I412" s="7" t="s">
        <v>16</v>
      </c>
      <c r="J412" s="13">
        <v>3584.5</v>
      </c>
      <c r="K412" s="13">
        <v>3584.5</v>
      </c>
      <c r="L412" s="11">
        <f t="shared" si="140"/>
        <v>3584.5</v>
      </c>
      <c r="M412" s="27" t="str">
        <f t="shared" si="141"/>
        <v/>
      </c>
      <c r="N412" s="28"/>
    </row>
    <row r="413" spans="1:14" ht="14" x14ac:dyDescent="0.15">
      <c r="A413" s="1">
        <v>25803478</v>
      </c>
      <c r="B413" s="9">
        <v>45972</v>
      </c>
      <c r="C413" s="1">
        <v>25803478</v>
      </c>
      <c r="D413" s="1" t="s">
        <v>13</v>
      </c>
      <c r="E413" s="7" t="s">
        <v>425</v>
      </c>
      <c r="F413" s="5">
        <v>13</v>
      </c>
      <c r="G413" s="9">
        <v>45991</v>
      </c>
      <c r="H413" s="8" t="s">
        <v>413</v>
      </c>
      <c r="I413" s="7" t="s">
        <v>16</v>
      </c>
      <c r="J413" s="13">
        <v>2681.58</v>
      </c>
      <c r="K413" s="13">
        <v>2681.58</v>
      </c>
      <c r="L413" s="11">
        <f t="shared" si="140"/>
        <v>2681.58</v>
      </c>
      <c r="M413" s="27" t="str">
        <f t="shared" si="141"/>
        <v/>
      </c>
      <c r="N413" s="28"/>
    </row>
    <row r="414" spans="1:14" ht="14" x14ac:dyDescent="0.15">
      <c r="A414" s="1">
        <v>25803487</v>
      </c>
      <c r="B414" s="9">
        <v>45972</v>
      </c>
      <c r="C414" s="1">
        <v>25803487</v>
      </c>
      <c r="D414" s="1" t="s">
        <v>13</v>
      </c>
      <c r="E414" s="7" t="s">
        <v>426</v>
      </c>
      <c r="F414" s="5">
        <v>13</v>
      </c>
      <c r="G414" s="9">
        <v>45991</v>
      </c>
      <c r="H414" s="8" t="s">
        <v>413</v>
      </c>
      <c r="I414" s="7" t="s">
        <v>16</v>
      </c>
      <c r="J414" s="13">
        <v>3687.74</v>
      </c>
      <c r="K414" s="13">
        <v>3687.74</v>
      </c>
      <c r="L414" s="11">
        <f t="shared" si="140"/>
        <v>3687.74</v>
      </c>
      <c r="M414" s="27" t="str">
        <f t="shared" si="141"/>
        <v/>
      </c>
      <c r="N414" s="28"/>
    </row>
    <row r="415" spans="1:14" ht="14" x14ac:dyDescent="0.15">
      <c r="A415" s="1">
        <v>25803504</v>
      </c>
      <c r="B415" s="9">
        <v>45972</v>
      </c>
      <c r="C415" s="1">
        <v>25803504</v>
      </c>
      <c r="D415" s="1" t="s">
        <v>13</v>
      </c>
      <c r="E415" s="7" t="s">
        <v>427</v>
      </c>
      <c r="F415" s="5">
        <v>13</v>
      </c>
      <c r="G415" s="9">
        <v>45991</v>
      </c>
      <c r="H415" s="8" t="s">
        <v>413</v>
      </c>
      <c r="I415" s="7" t="s">
        <v>16</v>
      </c>
      <c r="J415" s="13">
        <v>2667.8</v>
      </c>
      <c r="K415" s="13">
        <v>2667.8</v>
      </c>
      <c r="L415" s="11">
        <f t="shared" si="140"/>
        <v>2667.8</v>
      </c>
      <c r="M415" s="27" t="str">
        <f t="shared" si="141"/>
        <v/>
      </c>
      <c r="N415" s="28"/>
    </row>
    <row r="416" spans="1:14" ht="14" x14ac:dyDescent="0.15">
      <c r="A416" s="1">
        <v>25803523</v>
      </c>
      <c r="B416" s="9">
        <v>45972</v>
      </c>
      <c r="C416" s="1">
        <v>25803523</v>
      </c>
      <c r="D416" s="1" t="s">
        <v>13</v>
      </c>
      <c r="E416" s="7" t="s">
        <v>428</v>
      </c>
      <c r="F416" s="5">
        <v>13</v>
      </c>
      <c r="G416" s="9">
        <v>45991</v>
      </c>
      <c r="H416" s="8" t="s">
        <v>413</v>
      </c>
      <c r="I416" s="7" t="s">
        <v>16</v>
      </c>
      <c r="J416" s="13">
        <v>4286.8999999999996</v>
      </c>
      <c r="K416" s="13">
        <v>4286.8999999999996</v>
      </c>
      <c r="L416" s="11">
        <f t="shared" si="140"/>
        <v>4286.8999999999996</v>
      </c>
      <c r="M416" s="27" t="str">
        <f t="shared" si="141"/>
        <v/>
      </c>
      <c r="N416" s="28"/>
    </row>
    <row r="417" spans="1:14" ht="14" x14ac:dyDescent="0.15">
      <c r="A417" s="1">
        <v>25803546</v>
      </c>
      <c r="B417" s="9">
        <v>45975</v>
      </c>
      <c r="C417" s="1">
        <v>25803546</v>
      </c>
      <c r="D417" s="1" t="s">
        <v>13</v>
      </c>
      <c r="E417" s="7" t="s">
        <v>429</v>
      </c>
      <c r="F417" s="5">
        <v>10</v>
      </c>
      <c r="G417" s="9">
        <v>45991</v>
      </c>
      <c r="H417" s="8" t="s">
        <v>413</v>
      </c>
      <c r="I417" s="7" t="s">
        <v>16</v>
      </c>
      <c r="J417" s="13">
        <v>22413.360000000001</v>
      </c>
      <c r="K417" s="13">
        <v>22413.360000000001</v>
      </c>
      <c r="L417" s="11">
        <f t="shared" si="140"/>
        <v>22413.360000000001</v>
      </c>
      <c r="M417" s="27" t="str">
        <f t="shared" si="141"/>
        <v/>
      </c>
      <c r="N417" s="28"/>
    </row>
    <row r="418" spans="1:14" x14ac:dyDescent="0.15">
      <c r="A418" s="34" t="s">
        <v>17</v>
      </c>
      <c r="B418" s="34"/>
      <c r="C418" s="34"/>
      <c r="D418" s="34"/>
      <c r="E418" s="34"/>
      <c r="F418" s="5"/>
      <c r="G418" s="3"/>
      <c r="H418" s="3"/>
      <c r="I418" s="3"/>
      <c r="J418" s="13"/>
      <c r="K418" s="12">
        <v>99272.06</v>
      </c>
    </row>
    <row r="419" spans="1:14" x14ac:dyDescent="0.15">
      <c r="A419" s="35" t="s">
        <v>430</v>
      </c>
      <c r="B419" s="36"/>
      <c r="C419" s="36"/>
      <c r="D419" s="36"/>
      <c r="E419" s="36"/>
      <c r="F419" s="36"/>
      <c r="G419" s="36"/>
      <c r="H419" s="36"/>
      <c r="I419" s="36"/>
      <c r="J419" s="37"/>
      <c r="K419" s="37"/>
    </row>
    <row r="420" spans="1:14" ht="14" x14ac:dyDescent="0.15">
      <c r="A420" s="1">
        <v>25803442</v>
      </c>
      <c r="B420" s="9">
        <v>45972</v>
      </c>
      <c r="C420" s="1">
        <v>25803442</v>
      </c>
      <c r="D420" s="1" t="s">
        <v>13</v>
      </c>
      <c r="E420" s="7" t="s">
        <v>431</v>
      </c>
      <c r="F420" s="5">
        <v>13</v>
      </c>
      <c r="G420" s="9">
        <v>45991</v>
      </c>
      <c r="H420" s="8" t="s">
        <v>168</v>
      </c>
      <c r="I420" s="7" t="s">
        <v>16</v>
      </c>
      <c r="J420" s="13">
        <v>2624.85</v>
      </c>
      <c r="K420" s="13">
        <v>2624.85</v>
      </c>
      <c r="L420" s="11">
        <f t="shared" ref="L420" si="142">IF(F420&lt;14,K420,"")</f>
        <v>2624.85</v>
      </c>
      <c r="M420" s="27" t="str">
        <f t="shared" ref="M420" si="143">IF(F420&gt;15,K420,"")</f>
        <v/>
      </c>
      <c r="N420" s="28"/>
    </row>
    <row r="421" spans="1:14" x14ac:dyDescent="0.15">
      <c r="A421" s="34" t="s">
        <v>17</v>
      </c>
      <c r="B421" s="34"/>
      <c r="C421" s="34"/>
      <c r="D421" s="34"/>
      <c r="E421" s="34"/>
      <c r="F421" s="5"/>
      <c r="G421" s="3"/>
      <c r="H421" s="3"/>
      <c r="I421" s="3"/>
      <c r="J421" s="13"/>
      <c r="K421" s="12">
        <v>2624.85</v>
      </c>
    </row>
    <row r="422" spans="1:14" x14ac:dyDescent="0.15">
      <c r="A422" s="35" t="s">
        <v>432</v>
      </c>
      <c r="B422" s="36"/>
      <c r="C422" s="36"/>
      <c r="D422" s="36"/>
      <c r="E422" s="36"/>
      <c r="F422" s="36"/>
      <c r="G422" s="36"/>
      <c r="H422" s="36"/>
      <c r="I422" s="36"/>
      <c r="J422" s="37"/>
      <c r="K422" s="37"/>
    </row>
    <row r="423" spans="1:14" ht="14" x14ac:dyDescent="0.15">
      <c r="A423" s="1">
        <v>25803380</v>
      </c>
      <c r="B423" s="9">
        <v>45972</v>
      </c>
      <c r="C423" s="1">
        <v>25803380</v>
      </c>
      <c r="D423" s="1" t="s">
        <v>13</v>
      </c>
      <c r="E423" s="7" t="s">
        <v>433</v>
      </c>
      <c r="F423" s="5">
        <v>13</v>
      </c>
      <c r="G423" s="9">
        <v>45991</v>
      </c>
      <c r="H423" s="8" t="s">
        <v>29</v>
      </c>
      <c r="I423" s="7" t="s">
        <v>16</v>
      </c>
      <c r="J423" s="13">
        <v>2258.5</v>
      </c>
      <c r="K423" s="13">
        <v>2258.5</v>
      </c>
      <c r="L423" s="11">
        <f t="shared" ref="L423:L425" si="144">IF(F423&lt;14,K423,"")</f>
        <v>2258.5</v>
      </c>
      <c r="M423" s="27" t="str">
        <f t="shared" ref="M423:M425" si="145">IF(F423&gt;15,K423,"")</f>
        <v/>
      </c>
      <c r="N423" s="28"/>
    </row>
    <row r="424" spans="1:14" ht="14" x14ac:dyDescent="0.15">
      <c r="A424" s="1">
        <v>25803382</v>
      </c>
      <c r="B424" s="9">
        <v>45972</v>
      </c>
      <c r="C424" s="1">
        <v>25803382</v>
      </c>
      <c r="D424" s="1" t="s">
        <v>13</v>
      </c>
      <c r="E424" s="7" t="s">
        <v>434</v>
      </c>
      <c r="F424" s="5">
        <v>13</v>
      </c>
      <c r="G424" s="9">
        <v>45991</v>
      </c>
      <c r="H424" s="8" t="s">
        <v>29</v>
      </c>
      <c r="I424" s="7" t="s">
        <v>16</v>
      </c>
      <c r="J424" s="13">
        <v>2782.25</v>
      </c>
      <c r="K424" s="13">
        <v>2782.25</v>
      </c>
      <c r="L424" s="11">
        <f t="shared" si="144"/>
        <v>2782.25</v>
      </c>
      <c r="M424" s="27" t="str">
        <f t="shared" si="145"/>
        <v/>
      </c>
      <c r="N424" s="28"/>
    </row>
    <row r="425" spans="1:14" ht="14" x14ac:dyDescent="0.15">
      <c r="A425" s="1">
        <v>25803414</v>
      </c>
      <c r="B425" s="9">
        <v>45972</v>
      </c>
      <c r="C425" s="1">
        <v>25803414</v>
      </c>
      <c r="D425" s="1" t="s">
        <v>13</v>
      </c>
      <c r="E425" s="7" t="s">
        <v>435</v>
      </c>
      <c r="F425" s="5">
        <v>13</v>
      </c>
      <c r="G425" s="9">
        <v>45991</v>
      </c>
      <c r="H425" s="8" t="s">
        <v>29</v>
      </c>
      <c r="I425" s="7" t="s">
        <v>16</v>
      </c>
      <c r="J425" s="13">
        <v>3191</v>
      </c>
      <c r="K425" s="13">
        <v>3191</v>
      </c>
      <c r="L425" s="11">
        <f t="shared" si="144"/>
        <v>3191</v>
      </c>
      <c r="M425" s="27" t="str">
        <f t="shared" si="145"/>
        <v/>
      </c>
      <c r="N425" s="28"/>
    </row>
    <row r="426" spans="1:14" x14ac:dyDescent="0.15">
      <c r="A426" s="34" t="s">
        <v>17</v>
      </c>
      <c r="B426" s="34"/>
      <c r="C426" s="34"/>
      <c r="D426" s="34"/>
      <c r="E426" s="34"/>
      <c r="F426" s="5"/>
      <c r="G426" s="3"/>
      <c r="H426" s="3"/>
      <c r="I426" s="3"/>
      <c r="J426" s="13"/>
      <c r="K426" s="12">
        <v>8231.75</v>
      </c>
    </row>
    <row r="427" spans="1:14" x14ac:dyDescent="0.15">
      <c r="A427" s="35" t="s">
        <v>436</v>
      </c>
      <c r="B427" s="36"/>
      <c r="C427" s="36"/>
      <c r="D427" s="36"/>
      <c r="E427" s="36"/>
      <c r="F427" s="36"/>
      <c r="G427" s="36"/>
      <c r="H427" s="36"/>
      <c r="I427" s="36"/>
      <c r="J427" s="37"/>
      <c r="K427" s="37"/>
    </row>
    <row r="428" spans="1:14" ht="14" x14ac:dyDescent="0.15">
      <c r="A428" s="1">
        <v>25803246</v>
      </c>
      <c r="B428" s="9">
        <v>45952</v>
      </c>
      <c r="C428" s="1">
        <v>25803246</v>
      </c>
      <c r="D428" s="1" t="s">
        <v>13</v>
      </c>
      <c r="E428" s="7" t="s">
        <v>437</v>
      </c>
      <c r="F428" s="5">
        <v>33</v>
      </c>
      <c r="G428" s="9">
        <v>45961</v>
      </c>
      <c r="H428" s="8" t="s">
        <v>438</v>
      </c>
      <c r="I428" s="7" t="s">
        <v>16</v>
      </c>
      <c r="J428" s="13">
        <v>3693.04</v>
      </c>
      <c r="K428" s="13">
        <v>3693.04</v>
      </c>
      <c r="L428" s="11" t="str">
        <f t="shared" ref="L428:L439" si="146">IF(F428&lt;14,K428,"")</f>
        <v/>
      </c>
      <c r="M428" s="27"/>
      <c r="N428" s="28">
        <v>3693.04</v>
      </c>
    </row>
    <row r="429" spans="1:14" ht="14" x14ac:dyDescent="0.15">
      <c r="A429" s="1">
        <v>25803247</v>
      </c>
      <c r="B429" s="9">
        <v>45952</v>
      </c>
      <c r="C429" s="1">
        <v>25803247</v>
      </c>
      <c r="D429" s="1" t="s">
        <v>13</v>
      </c>
      <c r="E429" s="7" t="s">
        <v>439</v>
      </c>
      <c r="F429" s="5">
        <v>33</v>
      </c>
      <c r="G429" s="9">
        <v>45961</v>
      </c>
      <c r="H429" s="8" t="s">
        <v>438</v>
      </c>
      <c r="I429" s="7" t="s">
        <v>16</v>
      </c>
      <c r="J429" s="13">
        <v>2918.5</v>
      </c>
      <c r="K429" s="13">
        <v>2918.5</v>
      </c>
      <c r="L429" s="11" t="str">
        <f t="shared" si="146"/>
        <v/>
      </c>
      <c r="M429" s="27"/>
      <c r="N429" s="28">
        <v>2918.5</v>
      </c>
    </row>
    <row r="430" spans="1:14" ht="14" x14ac:dyDescent="0.15">
      <c r="A430" s="1">
        <v>25803300</v>
      </c>
      <c r="B430" s="9">
        <v>45972</v>
      </c>
      <c r="C430" s="1">
        <v>25803300</v>
      </c>
      <c r="D430" s="1" t="s">
        <v>13</v>
      </c>
      <c r="E430" s="7" t="s">
        <v>440</v>
      </c>
      <c r="F430" s="5">
        <v>13</v>
      </c>
      <c r="G430" s="9">
        <v>45991</v>
      </c>
      <c r="H430" s="8" t="s">
        <v>441</v>
      </c>
      <c r="I430" s="7" t="s">
        <v>16</v>
      </c>
      <c r="J430" s="13">
        <v>2803.5</v>
      </c>
      <c r="K430" s="13">
        <v>2803.5</v>
      </c>
      <c r="L430" s="11">
        <f t="shared" si="146"/>
        <v>2803.5</v>
      </c>
      <c r="M430" s="27" t="str">
        <f t="shared" ref="M430:M439" si="147">IF(F430&gt;15,K430,"")</f>
        <v/>
      </c>
      <c r="N430" s="28"/>
    </row>
    <row r="431" spans="1:14" ht="14" x14ac:dyDescent="0.15">
      <c r="A431" s="1">
        <v>25803301</v>
      </c>
      <c r="B431" s="9">
        <v>45972</v>
      </c>
      <c r="C431" s="1">
        <v>25803301</v>
      </c>
      <c r="D431" s="1" t="s">
        <v>13</v>
      </c>
      <c r="E431" s="7" t="s">
        <v>442</v>
      </c>
      <c r="F431" s="5">
        <v>13</v>
      </c>
      <c r="G431" s="9">
        <v>45991</v>
      </c>
      <c r="H431" s="8" t="s">
        <v>441</v>
      </c>
      <c r="I431" s="7" t="s">
        <v>16</v>
      </c>
      <c r="J431" s="13">
        <v>1986</v>
      </c>
      <c r="K431" s="13">
        <v>1986</v>
      </c>
      <c r="L431" s="11">
        <f t="shared" si="146"/>
        <v>1986</v>
      </c>
      <c r="M431" s="27" t="str">
        <f t="shared" si="147"/>
        <v/>
      </c>
      <c r="N431" s="28"/>
    </row>
    <row r="432" spans="1:14" ht="14" x14ac:dyDescent="0.15">
      <c r="A432" s="1">
        <v>25803358</v>
      </c>
      <c r="B432" s="9">
        <v>45972</v>
      </c>
      <c r="C432" s="1">
        <v>25803358</v>
      </c>
      <c r="D432" s="1" t="s">
        <v>13</v>
      </c>
      <c r="E432" s="7" t="s">
        <v>443</v>
      </c>
      <c r="F432" s="5">
        <v>13</v>
      </c>
      <c r="G432" s="9">
        <v>45991</v>
      </c>
      <c r="H432" s="8" t="s">
        <v>441</v>
      </c>
      <c r="I432" s="7" t="s">
        <v>16</v>
      </c>
      <c r="J432" s="13">
        <v>3033.5</v>
      </c>
      <c r="K432" s="13">
        <v>3033.5</v>
      </c>
      <c r="L432" s="11">
        <f t="shared" si="146"/>
        <v>3033.5</v>
      </c>
      <c r="M432" s="27" t="str">
        <f t="shared" si="147"/>
        <v/>
      </c>
      <c r="N432" s="28"/>
    </row>
    <row r="433" spans="1:14" ht="14" x14ac:dyDescent="0.15">
      <c r="A433" s="1">
        <v>25803376</v>
      </c>
      <c r="B433" s="9">
        <v>45972</v>
      </c>
      <c r="C433" s="1">
        <v>25803376</v>
      </c>
      <c r="D433" s="1" t="s">
        <v>13</v>
      </c>
      <c r="E433" s="7" t="s">
        <v>444</v>
      </c>
      <c r="F433" s="5">
        <v>13</v>
      </c>
      <c r="G433" s="9">
        <v>45991</v>
      </c>
      <c r="H433" s="8" t="s">
        <v>441</v>
      </c>
      <c r="I433" s="7" t="s">
        <v>16</v>
      </c>
      <c r="J433" s="13">
        <v>4892.5</v>
      </c>
      <c r="K433" s="13">
        <v>4892.5</v>
      </c>
      <c r="L433" s="11">
        <f t="shared" si="146"/>
        <v>4892.5</v>
      </c>
      <c r="M433" s="27" t="str">
        <f t="shared" si="147"/>
        <v/>
      </c>
      <c r="N433" s="28"/>
    </row>
    <row r="434" spans="1:14" ht="14" x14ac:dyDescent="0.15">
      <c r="A434" s="1">
        <v>25803517</v>
      </c>
      <c r="B434" s="9">
        <v>45972</v>
      </c>
      <c r="C434" s="1">
        <v>25803517</v>
      </c>
      <c r="D434" s="1" t="s">
        <v>13</v>
      </c>
      <c r="E434" s="7" t="s">
        <v>445</v>
      </c>
      <c r="F434" s="5">
        <v>13</v>
      </c>
      <c r="G434" s="9">
        <v>45991</v>
      </c>
      <c r="H434" s="8" t="s">
        <v>441</v>
      </c>
      <c r="I434" s="7" t="s">
        <v>16</v>
      </c>
      <c r="J434" s="13">
        <v>2755</v>
      </c>
      <c r="K434" s="13">
        <v>2755</v>
      </c>
      <c r="L434" s="11">
        <f t="shared" si="146"/>
        <v>2755</v>
      </c>
      <c r="M434" s="27" t="str">
        <f t="shared" si="147"/>
        <v/>
      </c>
      <c r="N434" s="28"/>
    </row>
    <row r="435" spans="1:14" ht="14" x14ac:dyDescent="0.15">
      <c r="A435" s="1">
        <v>25803518</v>
      </c>
      <c r="B435" s="9">
        <v>45972</v>
      </c>
      <c r="C435" s="1">
        <v>25803518</v>
      </c>
      <c r="D435" s="1" t="s">
        <v>13</v>
      </c>
      <c r="E435" s="7" t="s">
        <v>446</v>
      </c>
      <c r="F435" s="5">
        <v>13</v>
      </c>
      <c r="G435" s="9">
        <v>45991</v>
      </c>
      <c r="H435" s="8" t="s">
        <v>441</v>
      </c>
      <c r="I435" s="7" t="s">
        <v>16</v>
      </c>
      <c r="J435" s="13">
        <v>1762</v>
      </c>
      <c r="K435" s="13">
        <v>1762</v>
      </c>
      <c r="L435" s="11">
        <f t="shared" si="146"/>
        <v>1762</v>
      </c>
      <c r="M435" s="27" t="str">
        <f t="shared" si="147"/>
        <v/>
      </c>
      <c r="N435" s="28"/>
    </row>
    <row r="436" spans="1:14" ht="14" x14ac:dyDescent="0.15">
      <c r="A436" s="1">
        <v>25803535</v>
      </c>
      <c r="B436" s="9">
        <v>45973</v>
      </c>
      <c r="C436" s="1">
        <v>25803535</v>
      </c>
      <c r="D436" s="1" t="s">
        <v>13</v>
      </c>
      <c r="E436" s="7" t="s">
        <v>447</v>
      </c>
      <c r="F436" s="5">
        <v>12</v>
      </c>
      <c r="G436" s="9">
        <v>45991</v>
      </c>
      <c r="H436" s="8" t="s">
        <v>45</v>
      </c>
      <c r="I436" s="7" t="s">
        <v>16</v>
      </c>
      <c r="J436" s="13">
        <v>-3693.04</v>
      </c>
      <c r="K436" s="13">
        <v>-3693.04</v>
      </c>
      <c r="L436" s="11">
        <f t="shared" si="146"/>
        <v>-3693.04</v>
      </c>
      <c r="M436" s="27" t="str">
        <f t="shared" si="147"/>
        <v/>
      </c>
      <c r="N436" s="28"/>
    </row>
    <row r="437" spans="1:14" ht="14" x14ac:dyDescent="0.15">
      <c r="A437" s="1">
        <v>25803536</v>
      </c>
      <c r="B437" s="9">
        <v>45973</v>
      </c>
      <c r="C437" s="1">
        <v>25803536</v>
      </c>
      <c r="D437" s="1" t="s">
        <v>13</v>
      </c>
      <c r="E437" s="7" t="s">
        <v>448</v>
      </c>
      <c r="F437" s="5">
        <v>12</v>
      </c>
      <c r="G437" s="9">
        <v>45991</v>
      </c>
      <c r="H437" s="8" t="s">
        <v>45</v>
      </c>
      <c r="I437" s="7" t="s">
        <v>16</v>
      </c>
      <c r="J437" s="13">
        <v>-2918.5</v>
      </c>
      <c r="K437" s="13">
        <v>-2918.5</v>
      </c>
      <c r="L437" s="11">
        <f t="shared" si="146"/>
        <v>-2918.5</v>
      </c>
      <c r="M437" s="27" t="str">
        <f t="shared" si="147"/>
        <v/>
      </c>
      <c r="N437" s="28"/>
    </row>
    <row r="438" spans="1:14" ht="14" x14ac:dyDescent="0.15">
      <c r="A438" s="1">
        <v>25803537</v>
      </c>
      <c r="B438" s="9">
        <v>45973</v>
      </c>
      <c r="C438" s="1">
        <v>25803537</v>
      </c>
      <c r="D438" s="1" t="s">
        <v>13</v>
      </c>
      <c r="E438" s="7" t="s">
        <v>439</v>
      </c>
      <c r="F438" s="5">
        <v>12</v>
      </c>
      <c r="G438" s="9">
        <v>45991</v>
      </c>
      <c r="H438" s="8" t="s">
        <v>243</v>
      </c>
      <c r="I438" s="7" t="s">
        <v>16</v>
      </c>
      <c r="J438" s="13">
        <v>1558.96</v>
      </c>
      <c r="K438" s="13">
        <v>1558.96</v>
      </c>
      <c r="L438" s="11">
        <f t="shared" si="146"/>
        <v>1558.96</v>
      </c>
      <c r="M438" s="27" t="str">
        <f t="shared" si="147"/>
        <v/>
      </c>
      <c r="N438" s="28"/>
    </row>
    <row r="439" spans="1:14" ht="14" x14ac:dyDescent="0.15">
      <c r="A439" s="1">
        <v>25803538</v>
      </c>
      <c r="B439" s="9">
        <v>45973</v>
      </c>
      <c r="C439" s="1">
        <v>25803538</v>
      </c>
      <c r="D439" s="1" t="s">
        <v>13</v>
      </c>
      <c r="E439" s="7" t="s">
        <v>449</v>
      </c>
      <c r="F439" s="5">
        <v>12</v>
      </c>
      <c r="G439" s="9">
        <v>45991</v>
      </c>
      <c r="H439" s="8" t="s">
        <v>45</v>
      </c>
      <c r="I439" s="7" t="s">
        <v>16</v>
      </c>
      <c r="J439" s="13">
        <v>-1900</v>
      </c>
      <c r="K439" s="13">
        <v>-1900</v>
      </c>
      <c r="L439" s="11">
        <f t="shared" si="146"/>
        <v>-1900</v>
      </c>
      <c r="M439" s="27" t="str">
        <f t="shared" si="147"/>
        <v/>
      </c>
      <c r="N439" s="28"/>
    </row>
    <row r="440" spans="1:14" x14ac:dyDescent="0.15">
      <c r="A440" s="34" t="s">
        <v>17</v>
      </c>
      <c r="B440" s="34"/>
      <c r="C440" s="34"/>
      <c r="D440" s="34"/>
      <c r="E440" s="34"/>
      <c r="F440" s="5"/>
      <c r="G440" s="3"/>
      <c r="H440" s="3"/>
      <c r="I440" s="3"/>
      <c r="J440" s="13"/>
      <c r="K440" s="12">
        <v>16891.46</v>
      </c>
    </row>
    <row r="441" spans="1:14" x14ac:dyDescent="0.15">
      <c r="A441" s="35" t="s">
        <v>450</v>
      </c>
      <c r="B441" s="36"/>
      <c r="C441" s="36"/>
      <c r="D441" s="36"/>
      <c r="E441" s="36"/>
      <c r="F441" s="36"/>
      <c r="G441" s="36"/>
      <c r="H441" s="36"/>
      <c r="I441" s="36"/>
      <c r="J441" s="37"/>
      <c r="K441" s="37"/>
    </row>
    <row r="442" spans="1:14" ht="14" x14ac:dyDescent="0.15">
      <c r="A442" s="1">
        <v>25803303</v>
      </c>
      <c r="B442" s="9">
        <v>45972</v>
      </c>
      <c r="C442" s="1">
        <v>25803303</v>
      </c>
      <c r="D442" s="1" t="s">
        <v>13</v>
      </c>
      <c r="E442" s="7" t="s">
        <v>451</v>
      </c>
      <c r="F442" s="5">
        <v>13</v>
      </c>
      <c r="G442" s="9">
        <v>45991</v>
      </c>
      <c r="H442" s="8" t="s">
        <v>395</v>
      </c>
      <c r="I442" s="7" t="s">
        <v>16</v>
      </c>
      <c r="J442" s="13">
        <v>4164.68</v>
      </c>
      <c r="K442" s="13">
        <v>4164.68</v>
      </c>
      <c r="L442" s="11">
        <f t="shared" ref="L442:L447" si="148">IF(F442&lt;14,K442,"")</f>
        <v>4164.68</v>
      </c>
      <c r="M442" s="27" t="str">
        <f t="shared" ref="M442:M447" si="149">IF(F442&gt;15,K442,"")</f>
        <v/>
      </c>
      <c r="N442" s="28"/>
    </row>
    <row r="443" spans="1:14" ht="14" x14ac:dyDescent="0.15">
      <c r="A443" s="1">
        <v>25803338</v>
      </c>
      <c r="B443" s="9">
        <v>45972</v>
      </c>
      <c r="C443" s="1">
        <v>25803338</v>
      </c>
      <c r="D443" s="1" t="s">
        <v>13</v>
      </c>
      <c r="E443" s="7" t="s">
        <v>452</v>
      </c>
      <c r="F443" s="5">
        <v>13</v>
      </c>
      <c r="G443" s="9">
        <v>45991</v>
      </c>
      <c r="H443" s="8" t="s">
        <v>395</v>
      </c>
      <c r="I443" s="7" t="s">
        <v>16</v>
      </c>
      <c r="J443" s="13">
        <v>2171.19</v>
      </c>
      <c r="K443" s="13">
        <v>2171.19</v>
      </c>
      <c r="L443" s="11">
        <f t="shared" si="148"/>
        <v>2171.19</v>
      </c>
      <c r="M443" s="27" t="str">
        <f t="shared" si="149"/>
        <v/>
      </c>
      <c r="N443" s="28"/>
    </row>
    <row r="444" spans="1:14" ht="14" x14ac:dyDescent="0.15">
      <c r="A444" s="1">
        <v>25803339</v>
      </c>
      <c r="B444" s="9">
        <v>45972</v>
      </c>
      <c r="C444" s="1">
        <v>25803339</v>
      </c>
      <c r="D444" s="1" t="s">
        <v>13</v>
      </c>
      <c r="E444" s="7" t="s">
        <v>453</v>
      </c>
      <c r="F444" s="5">
        <v>13</v>
      </c>
      <c r="G444" s="9">
        <v>45991</v>
      </c>
      <c r="H444" s="8" t="s">
        <v>395</v>
      </c>
      <c r="I444" s="7" t="s">
        <v>16</v>
      </c>
      <c r="J444" s="13">
        <v>2083.85</v>
      </c>
      <c r="K444" s="13">
        <v>2083.85</v>
      </c>
      <c r="L444" s="11">
        <f t="shared" si="148"/>
        <v>2083.85</v>
      </c>
      <c r="M444" s="27" t="str">
        <f t="shared" si="149"/>
        <v/>
      </c>
      <c r="N444" s="28"/>
    </row>
    <row r="445" spans="1:14" ht="14" x14ac:dyDescent="0.15">
      <c r="A445" s="1">
        <v>25803366</v>
      </c>
      <c r="B445" s="9">
        <v>45972</v>
      </c>
      <c r="C445" s="1">
        <v>25803366</v>
      </c>
      <c r="D445" s="1" t="s">
        <v>13</v>
      </c>
      <c r="E445" s="7" t="s">
        <v>454</v>
      </c>
      <c r="F445" s="5">
        <v>13</v>
      </c>
      <c r="G445" s="9">
        <v>45991</v>
      </c>
      <c r="H445" s="8" t="s">
        <v>395</v>
      </c>
      <c r="I445" s="7" t="s">
        <v>16</v>
      </c>
      <c r="J445" s="13">
        <v>2686.27</v>
      </c>
      <c r="K445" s="13">
        <v>2686.27</v>
      </c>
      <c r="L445" s="11">
        <f t="shared" si="148"/>
        <v>2686.27</v>
      </c>
      <c r="M445" s="27" t="str">
        <f t="shared" si="149"/>
        <v/>
      </c>
      <c r="N445" s="28"/>
    </row>
    <row r="446" spans="1:14" ht="14" x14ac:dyDescent="0.15">
      <c r="A446" s="1">
        <v>25803485</v>
      </c>
      <c r="B446" s="9">
        <v>45972</v>
      </c>
      <c r="C446" s="1">
        <v>25803485</v>
      </c>
      <c r="D446" s="1" t="s">
        <v>13</v>
      </c>
      <c r="E446" s="7" t="s">
        <v>455</v>
      </c>
      <c r="F446" s="5">
        <v>13</v>
      </c>
      <c r="G446" s="9">
        <v>45991</v>
      </c>
      <c r="H446" s="8" t="s">
        <v>395</v>
      </c>
      <c r="I446" s="7" t="s">
        <v>16</v>
      </c>
      <c r="J446" s="13">
        <v>3205.64</v>
      </c>
      <c r="K446" s="13">
        <v>3205.64</v>
      </c>
      <c r="L446" s="11">
        <f t="shared" si="148"/>
        <v>3205.64</v>
      </c>
      <c r="M446" s="27" t="str">
        <f t="shared" si="149"/>
        <v/>
      </c>
      <c r="N446" s="28"/>
    </row>
    <row r="447" spans="1:14" ht="14" x14ac:dyDescent="0.15">
      <c r="A447" s="1">
        <v>25803493</v>
      </c>
      <c r="B447" s="9">
        <v>45972</v>
      </c>
      <c r="C447" s="1">
        <v>25803493</v>
      </c>
      <c r="D447" s="1" t="s">
        <v>13</v>
      </c>
      <c r="E447" s="7" t="s">
        <v>456</v>
      </c>
      <c r="F447" s="5">
        <v>13</v>
      </c>
      <c r="G447" s="9">
        <v>45991</v>
      </c>
      <c r="H447" s="8" t="s">
        <v>395</v>
      </c>
      <c r="I447" s="7" t="s">
        <v>16</v>
      </c>
      <c r="J447" s="13">
        <v>2435.38</v>
      </c>
      <c r="K447" s="13">
        <v>2435.38</v>
      </c>
      <c r="L447" s="11">
        <f t="shared" si="148"/>
        <v>2435.38</v>
      </c>
      <c r="M447" s="27" t="str">
        <f t="shared" si="149"/>
        <v/>
      </c>
      <c r="N447" s="28"/>
    </row>
    <row r="448" spans="1:14" x14ac:dyDescent="0.15">
      <c r="A448" s="34" t="s">
        <v>17</v>
      </c>
      <c r="B448" s="34"/>
      <c r="C448" s="34"/>
      <c r="D448" s="34"/>
      <c r="E448" s="34"/>
      <c r="F448" s="5"/>
      <c r="G448" s="3"/>
      <c r="H448" s="3"/>
      <c r="I448" s="3"/>
      <c r="J448" s="13"/>
      <c r="K448" s="12">
        <v>16747.009999999998</v>
      </c>
    </row>
    <row r="449" spans="1:14" x14ac:dyDescent="0.15">
      <c r="A449" s="35" t="s">
        <v>457</v>
      </c>
      <c r="B449" s="36"/>
      <c r="C449" s="36"/>
      <c r="D449" s="36"/>
      <c r="E449" s="36"/>
      <c r="F449" s="36"/>
      <c r="G449" s="36"/>
      <c r="H449" s="36"/>
      <c r="I449" s="36"/>
      <c r="J449" s="37"/>
      <c r="K449" s="37"/>
    </row>
    <row r="450" spans="1:14" ht="14" x14ac:dyDescent="0.15">
      <c r="A450" s="1">
        <v>25803273</v>
      </c>
      <c r="B450" s="10">
        <v>45966</v>
      </c>
      <c r="C450" s="1">
        <v>25803273</v>
      </c>
      <c r="D450" s="1" t="s">
        <v>13</v>
      </c>
      <c r="E450" s="7" t="s">
        <v>458</v>
      </c>
      <c r="F450" s="5">
        <v>19</v>
      </c>
      <c r="G450" s="9">
        <v>45991</v>
      </c>
      <c r="H450" s="8" t="s">
        <v>459</v>
      </c>
      <c r="I450" s="7" t="s">
        <v>16</v>
      </c>
      <c r="J450" s="13">
        <v>1058.4000000000001</v>
      </c>
      <c r="K450" s="13">
        <v>1058.4000000000001</v>
      </c>
      <c r="L450" s="11" t="str">
        <f t="shared" ref="L450" si="150">IF(F450&lt;14,K450,"")</f>
        <v/>
      </c>
      <c r="M450" s="27"/>
      <c r="N450" s="28">
        <v>1058.4000000000001</v>
      </c>
    </row>
    <row r="451" spans="1:14" x14ac:dyDescent="0.15">
      <c r="A451" s="34" t="s">
        <v>17</v>
      </c>
      <c r="B451" s="34"/>
      <c r="C451" s="34"/>
      <c r="D451" s="34"/>
      <c r="E451" s="34"/>
      <c r="F451" s="5"/>
      <c r="G451" s="3"/>
      <c r="H451" s="3"/>
      <c r="I451" s="3"/>
      <c r="J451" s="13"/>
      <c r="K451" s="12">
        <v>1058.4000000000001</v>
      </c>
    </row>
    <row r="452" spans="1:14" x14ac:dyDescent="0.15">
      <c r="A452" s="35" t="s">
        <v>460</v>
      </c>
      <c r="B452" s="36"/>
      <c r="C452" s="36"/>
      <c r="D452" s="36"/>
      <c r="E452" s="36"/>
      <c r="F452" s="36"/>
      <c r="G452" s="36"/>
      <c r="H452" s="36"/>
      <c r="I452" s="36"/>
      <c r="J452" s="37"/>
      <c r="K452" s="37"/>
    </row>
    <row r="453" spans="1:14" ht="14" x14ac:dyDescent="0.15">
      <c r="A453" s="1">
        <v>25803367</v>
      </c>
      <c r="B453" s="9">
        <v>45972</v>
      </c>
      <c r="C453" s="1">
        <v>25803367</v>
      </c>
      <c r="D453" s="1" t="s">
        <v>13</v>
      </c>
      <c r="E453" s="7" t="s">
        <v>461</v>
      </c>
      <c r="F453" s="5">
        <v>13</v>
      </c>
      <c r="G453" s="9">
        <v>45991</v>
      </c>
      <c r="H453" s="8" t="s">
        <v>29</v>
      </c>
      <c r="I453" s="7" t="s">
        <v>16</v>
      </c>
      <c r="J453" s="13">
        <v>6636.3</v>
      </c>
      <c r="K453" s="13">
        <v>6636.3</v>
      </c>
      <c r="L453" s="11">
        <f t="shared" ref="L453" si="151">IF(F453&lt;14,K453,"")</f>
        <v>6636.3</v>
      </c>
      <c r="M453" s="27" t="str">
        <f t="shared" ref="M453" si="152">IF(F453&gt;15,K453,"")</f>
        <v/>
      </c>
      <c r="N453" s="28"/>
    </row>
    <row r="454" spans="1:14" x14ac:dyDescent="0.15">
      <c r="A454" s="34" t="s">
        <v>17</v>
      </c>
      <c r="B454" s="34"/>
      <c r="C454" s="34"/>
      <c r="D454" s="34"/>
      <c r="E454" s="34"/>
      <c r="F454" s="5"/>
      <c r="G454" s="3"/>
      <c r="H454" s="3"/>
      <c r="I454" s="3"/>
      <c r="J454" s="13"/>
      <c r="K454" s="12">
        <v>6636.3</v>
      </c>
    </row>
    <row r="455" spans="1:14" x14ac:dyDescent="0.15">
      <c r="A455" s="35" t="s">
        <v>462</v>
      </c>
      <c r="B455" s="36"/>
      <c r="C455" s="36"/>
      <c r="D455" s="36"/>
      <c r="E455" s="36"/>
      <c r="F455" s="36"/>
      <c r="G455" s="36"/>
      <c r="H455" s="36"/>
      <c r="I455" s="36"/>
      <c r="J455" s="37"/>
      <c r="K455" s="37"/>
    </row>
    <row r="456" spans="1:14" ht="14" x14ac:dyDescent="0.15">
      <c r="A456" s="1">
        <v>25803556</v>
      </c>
      <c r="B456" s="9">
        <v>45980</v>
      </c>
      <c r="C456" s="1">
        <v>25803556</v>
      </c>
      <c r="D456" s="1" t="s">
        <v>13</v>
      </c>
      <c r="E456" s="7" t="s">
        <v>463</v>
      </c>
      <c r="F456" s="5">
        <v>5</v>
      </c>
      <c r="G456" s="9">
        <v>45991</v>
      </c>
      <c r="H456" s="8" t="s">
        <v>464</v>
      </c>
      <c r="I456" s="7" t="s">
        <v>16</v>
      </c>
      <c r="J456" s="13">
        <v>3548.63</v>
      </c>
      <c r="K456" s="13">
        <v>3548.63</v>
      </c>
      <c r="L456" s="11">
        <f t="shared" ref="L456" si="153">IF(F456&lt;14,K456,"")</f>
        <v>3548.63</v>
      </c>
      <c r="M456" s="27" t="str">
        <f t="shared" ref="M456" si="154">IF(F456&gt;15,K456,"")</f>
        <v/>
      </c>
      <c r="N456" s="28"/>
    </row>
    <row r="457" spans="1:14" x14ac:dyDescent="0.15">
      <c r="A457" s="34" t="s">
        <v>17</v>
      </c>
      <c r="B457" s="34"/>
      <c r="C457" s="34"/>
      <c r="D457" s="34"/>
      <c r="E457" s="34"/>
      <c r="F457" s="5"/>
      <c r="G457" s="3"/>
      <c r="H457" s="3"/>
      <c r="I457" s="3"/>
      <c r="J457" s="13"/>
      <c r="K457" s="12">
        <v>3548.63</v>
      </c>
    </row>
    <row r="458" spans="1:14" x14ac:dyDescent="0.15">
      <c r="A458" s="35" t="s">
        <v>465</v>
      </c>
      <c r="B458" s="36"/>
      <c r="C458" s="36"/>
      <c r="D458" s="36"/>
      <c r="E458" s="36"/>
      <c r="F458" s="36"/>
      <c r="G458" s="36"/>
      <c r="H458" s="36"/>
      <c r="I458" s="36"/>
      <c r="J458" s="37"/>
      <c r="K458" s="37"/>
    </row>
    <row r="459" spans="1:14" ht="14" x14ac:dyDescent="0.15">
      <c r="A459" s="1">
        <v>25802257</v>
      </c>
      <c r="B459" s="10">
        <v>45861</v>
      </c>
      <c r="C459" s="1">
        <v>25802257</v>
      </c>
      <c r="D459" s="1" t="s">
        <v>13</v>
      </c>
      <c r="E459" s="7" t="s">
        <v>466</v>
      </c>
      <c r="F459" s="5">
        <v>124</v>
      </c>
      <c r="G459" s="10">
        <v>45869</v>
      </c>
      <c r="H459" s="8" t="s">
        <v>467</v>
      </c>
      <c r="I459" s="7" t="s">
        <v>16</v>
      </c>
      <c r="J459" s="13">
        <v>139.15</v>
      </c>
      <c r="K459" s="13">
        <v>139.15</v>
      </c>
      <c r="L459" s="11" t="str">
        <f t="shared" ref="L459:L470" si="155">IF(F459&lt;14,K459,"")</f>
        <v/>
      </c>
      <c r="M459" s="27"/>
      <c r="N459" s="28">
        <v>139.15</v>
      </c>
    </row>
    <row r="460" spans="1:14" ht="14" x14ac:dyDescent="0.15">
      <c r="A460" s="1">
        <v>25802944</v>
      </c>
      <c r="B460" s="10">
        <v>45916</v>
      </c>
      <c r="C460" s="1">
        <v>25802944</v>
      </c>
      <c r="D460" s="1" t="s">
        <v>13</v>
      </c>
      <c r="E460" s="7" t="s">
        <v>468</v>
      </c>
      <c r="F460" s="5">
        <v>69</v>
      </c>
      <c r="G460" s="10">
        <v>45930</v>
      </c>
      <c r="H460" s="8" t="s">
        <v>469</v>
      </c>
      <c r="I460" s="7" t="s">
        <v>16</v>
      </c>
      <c r="J460" s="13">
        <v>1040.5999999999999</v>
      </c>
      <c r="K460" s="13">
        <v>1040.5999999999999</v>
      </c>
      <c r="L460" s="11" t="str">
        <f t="shared" si="155"/>
        <v/>
      </c>
      <c r="M460" s="27"/>
      <c r="N460" s="28">
        <v>1040.5999999999999</v>
      </c>
    </row>
    <row r="461" spans="1:14" ht="14" x14ac:dyDescent="0.15">
      <c r="A461" s="1">
        <v>25803325</v>
      </c>
      <c r="B461" s="9">
        <v>45972</v>
      </c>
      <c r="C461" s="1">
        <v>25803325</v>
      </c>
      <c r="D461" s="1" t="s">
        <v>13</v>
      </c>
      <c r="E461" s="7" t="s">
        <v>470</v>
      </c>
      <c r="F461" s="5">
        <v>13</v>
      </c>
      <c r="G461" s="9">
        <v>45991</v>
      </c>
      <c r="H461" s="8" t="s">
        <v>29</v>
      </c>
      <c r="I461" s="7" t="s">
        <v>16</v>
      </c>
      <c r="J461" s="13">
        <v>5580.67</v>
      </c>
      <c r="K461" s="13">
        <v>5580.67</v>
      </c>
      <c r="L461" s="11">
        <f t="shared" si="155"/>
        <v>5580.67</v>
      </c>
      <c r="M461" s="27" t="str">
        <f t="shared" ref="M461:M470" si="156">IF(F461&gt;15,K461,"")</f>
        <v/>
      </c>
      <c r="N461" s="28"/>
    </row>
    <row r="462" spans="1:14" ht="14" x14ac:dyDescent="0.15">
      <c r="A462" s="1">
        <v>25803429</v>
      </c>
      <c r="B462" s="9">
        <v>45972</v>
      </c>
      <c r="C462" s="1">
        <v>25803429</v>
      </c>
      <c r="D462" s="1" t="s">
        <v>13</v>
      </c>
      <c r="E462" s="7" t="s">
        <v>471</v>
      </c>
      <c r="F462" s="5">
        <v>13</v>
      </c>
      <c r="G462" s="9">
        <v>45991</v>
      </c>
      <c r="H462" s="8" t="s">
        <v>29</v>
      </c>
      <c r="I462" s="7" t="s">
        <v>16</v>
      </c>
      <c r="J462" s="13">
        <v>3025.91</v>
      </c>
      <c r="K462" s="13">
        <v>3025.91</v>
      </c>
      <c r="L462" s="11">
        <f t="shared" si="155"/>
        <v>3025.91</v>
      </c>
      <c r="M462" s="27" t="str">
        <f t="shared" si="156"/>
        <v/>
      </c>
      <c r="N462" s="28"/>
    </row>
    <row r="463" spans="1:14" ht="14" x14ac:dyDescent="0.15">
      <c r="A463" s="1">
        <v>25803432</v>
      </c>
      <c r="B463" s="9">
        <v>45972</v>
      </c>
      <c r="C463" s="1">
        <v>25803432</v>
      </c>
      <c r="D463" s="1" t="s">
        <v>13</v>
      </c>
      <c r="E463" s="7" t="s">
        <v>472</v>
      </c>
      <c r="F463" s="5">
        <v>13</v>
      </c>
      <c r="G463" s="9">
        <v>45991</v>
      </c>
      <c r="H463" s="8" t="s">
        <v>29</v>
      </c>
      <c r="I463" s="7" t="s">
        <v>16</v>
      </c>
      <c r="J463" s="13">
        <v>10421.879999999999</v>
      </c>
      <c r="K463" s="13">
        <v>10421.879999999999</v>
      </c>
      <c r="L463" s="11">
        <f t="shared" si="155"/>
        <v>10421.879999999999</v>
      </c>
      <c r="M463" s="27" t="str">
        <f t="shared" si="156"/>
        <v/>
      </c>
      <c r="N463" s="28"/>
    </row>
    <row r="464" spans="1:14" ht="14" x14ac:dyDescent="0.15">
      <c r="A464" s="1">
        <v>25803434</v>
      </c>
      <c r="B464" s="9">
        <v>45972</v>
      </c>
      <c r="C464" s="1">
        <v>25803434</v>
      </c>
      <c r="D464" s="1" t="s">
        <v>13</v>
      </c>
      <c r="E464" s="7" t="s">
        <v>473</v>
      </c>
      <c r="F464" s="5">
        <v>13</v>
      </c>
      <c r="G464" s="9">
        <v>45991</v>
      </c>
      <c r="H464" s="8" t="s">
        <v>29</v>
      </c>
      <c r="I464" s="7" t="s">
        <v>16</v>
      </c>
      <c r="J464" s="13">
        <v>3025.91</v>
      </c>
      <c r="K464" s="13">
        <v>3025.91</v>
      </c>
      <c r="L464" s="11">
        <f t="shared" si="155"/>
        <v>3025.91</v>
      </c>
      <c r="M464" s="27" t="str">
        <f t="shared" si="156"/>
        <v/>
      </c>
      <c r="N464" s="28"/>
    </row>
    <row r="465" spans="1:14" ht="14" x14ac:dyDescent="0.15">
      <c r="A465" s="1">
        <v>25803435</v>
      </c>
      <c r="B465" s="9">
        <v>45972</v>
      </c>
      <c r="C465" s="1">
        <v>25803435</v>
      </c>
      <c r="D465" s="1" t="s">
        <v>13</v>
      </c>
      <c r="E465" s="7" t="s">
        <v>474</v>
      </c>
      <c r="F465" s="5">
        <v>13</v>
      </c>
      <c r="G465" s="9">
        <v>45991</v>
      </c>
      <c r="H465" s="8" t="s">
        <v>29</v>
      </c>
      <c r="I465" s="7" t="s">
        <v>16</v>
      </c>
      <c r="J465" s="13">
        <v>3025.91</v>
      </c>
      <c r="K465" s="13">
        <v>3025.91</v>
      </c>
      <c r="L465" s="11">
        <f t="shared" si="155"/>
        <v>3025.91</v>
      </c>
      <c r="M465" s="27" t="str">
        <f t="shared" si="156"/>
        <v/>
      </c>
      <c r="N465" s="28"/>
    </row>
    <row r="466" spans="1:14" ht="14" x14ac:dyDescent="0.15">
      <c r="A466" s="1">
        <v>25803444</v>
      </c>
      <c r="B466" s="9">
        <v>45972</v>
      </c>
      <c r="C466" s="1">
        <v>25803444</v>
      </c>
      <c r="D466" s="1" t="s">
        <v>13</v>
      </c>
      <c r="E466" s="7" t="s">
        <v>475</v>
      </c>
      <c r="F466" s="5">
        <v>13</v>
      </c>
      <c r="G466" s="9">
        <v>45991</v>
      </c>
      <c r="H466" s="8" t="s">
        <v>29</v>
      </c>
      <c r="I466" s="7" t="s">
        <v>16</v>
      </c>
      <c r="J466" s="13">
        <v>2149.5</v>
      </c>
      <c r="K466" s="13">
        <v>2149.5</v>
      </c>
      <c r="L466" s="11">
        <f t="shared" si="155"/>
        <v>2149.5</v>
      </c>
      <c r="M466" s="27" t="str">
        <f t="shared" si="156"/>
        <v/>
      </c>
      <c r="N466" s="28"/>
    </row>
    <row r="467" spans="1:14" ht="14" x14ac:dyDescent="0.15">
      <c r="A467" s="1">
        <v>25803445</v>
      </c>
      <c r="B467" s="9">
        <v>45972</v>
      </c>
      <c r="C467" s="1">
        <v>25803445</v>
      </c>
      <c r="D467" s="1" t="s">
        <v>13</v>
      </c>
      <c r="E467" s="7" t="s">
        <v>476</v>
      </c>
      <c r="F467" s="5">
        <v>13</v>
      </c>
      <c r="G467" s="9">
        <v>45991</v>
      </c>
      <c r="H467" s="8" t="s">
        <v>29</v>
      </c>
      <c r="I467" s="7" t="s">
        <v>16</v>
      </c>
      <c r="J467" s="13">
        <v>2149.5</v>
      </c>
      <c r="K467" s="13">
        <v>2149.5</v>
      </c>
      <c r="L467" s="11">
        <f t="shared" si="155"/>
        <v>2149.5</v>
      </c>
      <c r="M467" s="27" t="str">
        <f t="shared" si="156"/>
        <v/>
      </c>
      <c r="N467" s="28"/>
    </row>
    <row r="468" spans="1:14" ht="14" x14ac:dyDescent="0.15">
      <c r="A468" s="1">
        <v>25803446</v>
      </c>
      <c r="B468" s="9">
        <v>45972</v>
      </c>
      <c r="C468" s="1">
        <v>25803446</v>
      </c>
      <c r="D468" s="1" t="s">
        <v>13</v>
      </c>
      <c r="E468" s="7" t="s">
        <v>477</v>
      </c>
      <c r="F468" s="5">
        <v>13</v>
      </c>
      <c r="G468" s="9">
        <v>45991</v>
      </c>
      <c r="H468" s="8" t="s">
        <v>29</v>
      </c>
      <c r="I468" s="7" t="s">
        <v>16</v>
      </c>
      <c r="J468" s="13">
        <v>2149.5</v>
      </c>
      <c r="K468" s="13">
        <v>2149.5</v>
      </c>
      <c r="L468" s="11">
        <f t="shared" si="155"/>
        <v>2149.5</v>
      </c>
      <c r="M468" s="27" t="str">
        <f t="shared" si="156"/>
        <v/>
      </c>
      <c r="N468" s="28"/>
    </row>
    <row r="469" spans="1:14" ht="14" x14ac:dyDescent="0.15">
      <c r="A469" s="1">
        <v>25803501</v>
      </c>
      <c r="B469" s="9">
        <v>45972</v>
      </c>
      <c r="C469" s="1">
        <v>25803501</v>
      </c>
      <c r="D469" s="1" t="s">
        <v>13</v>
      </c>
      <c r="E469" s="7" t="s">
        <v>478</v>
      </c>
      <c r="F469" s="5">
        <v>13</v>
      </c>
      <c r="G469" s="9">
        <v>45991</v>
      </c>
      <c r="H469" s="8" t="s">
        <v>29</v>
      </c>
      <c r="I469" s="7" t="s">
        <v>16</v>
      </c>
      <c r="J469" s="13">
        <v>2911.53</v>
      </c>
      <c r="K469" s="13">
        <v>2911.53</v>
      </c>
      <c r="L469" s="11">
        <f t="shared" si="155"/>
        <v>2911.53</v>
      </c>
      <c r="M469" s="27" t="str">
        <f t="shared" si="156"/>
        <v/>
      </c>
      <c r="N469" s="28"/>
    </row>
    <row r="470" spans="1:14" ht="14" x14ac:dyDescent="0.15">
      <c r="A470" s="1">
        <v>25803502</v>
      </c>
      <c r="B470" s="9">
        <v>45972</v>
      </c>
      <c r="C470" s="1">
        <v>25803502</v>
      </c>
      <c r="D470" s="1" t="s">
        <v>13</v>
      </c>
      <c r="E470" s="7" t="s">
        <v>479</v>
      </c>
      <c r="F470" s="5">
        <v>13</v>
      </c>
      <c r="G470" s="9">
        <v>45991</v>
      </c>
      <c r="H470" s="8" t="s">
        <v>29</v>
      </c>
      <c r="I470" s="7" t="s">
        <v>16</v>
      </c>
      <c r="J470" s="13">
        <v>2911.53</v>
      </c>
      <c r="K470" s="13">
        <v>2911.53</v>
      </c>
      <c r="L470" s="11">
        <f t="shared" si="155"/>
        <v>2911.53</v>
      </c>
      <c r="M470" s="27" t="str">
        <f t="shared" si="156"/>
        <v/>
      </c>
      <c r="N470" s="28"/>
    </row>
    <row r="471" spans="1:14" x14ac:dyDescent="0.15">
      <c r="A471" s="34" t="s">
        <v>17</v>
      </c>
      <c r="B471" s="34"/>
      <c r="C471" s="34"/>
      <c r="D471" s="34"/>
      <c r="E471" s="34"/>
      <c r="F471" s="5"/>
      <c r="G471" s="3"/>
      <c r="H471" s="3"/>
      <c r="I471" s="3"/>
      <c r="J471" s="13"/>
      <c r="K471" s="12">
        <v>38531.589999999997</v>
      </c>
    </row>
    <row r="472" spans="1:14" x14ac:dyDescent="0.15">
      <c r="A472" s="35" t="s">
        <v>480</v>
      </c>
      <c r="B472" s="36"/>
      <c r="C472" s="36"/>
      <c r="D472" s="36"/>
      <c r="E472" s="36"/>
      <c r="F472" s="36"/>
      <c r="G472" s="36"/>
      <c r="H472" s="36"/>
      <c r="I472" s="36"/>
      <c r="J472" s="37"/>
      <c r="K472" s="37"/>
    </row>
    <row r="473" spans="1:14" ht="14" x14ac:dyDescent="0.15">
      <c r="A473" s="1">
        <v>25803320</v>
      </c>
      <c r="B473" s="9">
        <v>45972</v>
      </c>
      <c r="C473" s="1">
        <v>25803320</v>
      </c>
      <c r="D473" s="1" t="s">
        <v>13</v>
      </c>
      <c r="E473" s="7" t="s">
        <v>481</v>
      </c>
      <c r="F473" s="5">
        <v>13</v>
      </c>
      <c r="G473" s="9">
        <v>45991</v>
      </c>
      <c r="H473" s="8" t="s">
        <v>482</v>
      </c>
      <c r="I473" s="7" t="s">
        <v>16</v>
      </c>
      <c r="J473" s="13">
        <v>2693.47</v>
      </c>
      <c r="K473" s="13">
        <v>2693.47</v>
      </c>
      <c r="L473" s="11">
        <f t="shared" ref="L473:L476" si="157">IF(F473&lt;14,K473,"")</f>
        <v>2693.47</v>
      </c>
      <c r="M473" s="27" t="str">
        <f t="shared" ref="M473:M476" si="158">IF(F473&gt;15,K473,"")</f>
        <v/>
      </c>
      <c r="N473" s="28"/>
    </row>
    <row r="474" spans="1:14" ht="14" x14ac:dyDescent="0.15">
      <c r="A474" s="1">
        <v>25803324</v>
      </c>
      <c r="B474" s="9">
        <v>45972</v>
      </c>
      <c r="C474" s="1">
        <v>25803324</v>
      </c>
      <c r="D474" s="1" t="s">
        <v>13</v>
      </c>
      <c r="E474" s="7" t="s">
        <v>483</v>
      </c>
      <c r="F474" s="5">
        <v>13</v>
      </c>
      <c r="G474" s="9">
        <v>45991</v>
      </c>
      <c r="H474" s="8" t="s">
        <v>482</v>
      </c>
      <c r="I474" s="7" t="s">
        <v>16</v>
      </c>
      <c r="J474" s="13">
        <v>2244.56</v>
      </c>
      <c r="K474" s="13">
        <v>2244.56</v>
      </c>
      <c r="L474" s="11">
        <f t="shared" si="157"/>
        <v>2244.56</v>
      </c>
      <c r="M474" s="27" t="str">
        <f t="shared" si="158"/>
        <v/>
      </c>
      <c r="N474" s="28"/>
    </row>
    <row r="475" spans="1:14" ht="14" x14ac:dyDescent="0.15">
      <c r="A475" s="1">
        <v>25803361</v>
      </c>
      <c r="B475" s="9">
        <v>45972</v>
      </c>
      <c r="C475" s="1">
        <v>25803361</v>
      </c>
      <c r="D475" s="1" t="s">
        <v>13</v>
      </c>
      <c r="E475" s="7" t="s">
        <v>484</v>
      </c>
      <c r="F475" s="5">
        <v>13</v>
      </c>
      <c r="G475" s="9">
        <v>45991</v>
      </c>
      <c r="H475" s="8" t="s">
        <v>482</v>
      </c>
      <c r="I475" s="7" t="s">
        <v>16</v>
      </c>
      <c r="J475" s="13">
        <v>5370.7</v>
      </c>
      <c r="K475" s="13">
        <v>5370.7</v>
      </c>
      <c r="L475" s="11">
        <f t="shared" si="157"/>
        <v>5370.7</v>
      </c>
      <c r="M475" s="27" t="str">
        <f t="shared" si="158"/>
        <v/>
      </c>
      <c r="N475" s="28"/>
    </row>
    <row r="476" spans="1:14" ht="14" x14ac:dyDescent="0.15">
      <c r="A476" s="1">
        <v>25803443</v>
      </c>
      <c r="B476" s="9">
        <v>45972</v>
      </c>
      <c r="C476" s="1">
        <v>25803443</v>
      </c>
      <c r="D476" s="1" t="s">
        <v>13</v>
      </c>
      <c r="E476" s="7" t="s">
        <v>485</v>
      </c>
      <c r="F476" s="5">
        <v>13</v>
      </c>
      <c r="G476" s="9">
        <v>45991</v>
      </c>
      <c r="H476" s="8" t="s">
        <v>482</v>
      </c>
      <c r="I476" s="7" t="s">
        <v>16</v>
      </c>
      <c r="J476" s="13">
        <v>2727.28</v>
      </c>
      <c r="K476" s="13">
        <v>2727.28</v>
      </c>
      <c r="L476" s="11">
        <f t="shared" si="157"/>
        <v>2727.28</v>
      </c>
      <c r="M476" s="27" t="str">
        <f t="shared" si="158"/>
        <v/>
      </c>
      <c r="N476" s="28"/>
    </row>
    <row r="477" spans="1:14" x14ac:dyDescent="0.15">
      <c r="A477" s="34" t="s">
        <v>17</v>
      </c>
      <c r="B477" s="34"/>
      <c r="C477" s="34"/>
      <c r="D477" s="34"/>
      <c r="E477" s="34"/>
      <c r="F477" s="5"/>
      <c r="G477" s="3"/>
      <c r="H477" s="3"/>
      <c r="I477" s="3"/>
      <c r="J477" s="13"/>
      <c r="K477" s="12">
        <v>13036.01</v>
      </c>
    </row>
    <row r="478" spans="1:14" x14ac:dyDescent="0.15">
      <c r="A478" s="35" t="s">
        <v>486</v>
      </c>
      <c r="B478" s="36"/>
      <c r="C478" s="36"/>
      <c r="D478" s="36"/>
      <c r="E478" s="36"/>
      <c r="F478" s="36"/>
      <c r="G478" s="36"/>
      <c r="H478" s="36"/>
      <c r="I478" s="36"/>
      <c r="J478" s="37"/>
      <c r="K478" s="37"/>
    </row>
    <row r="479" spans="1:14" ht="14" x14ac:dyDescent="0.15">
      <c r="A479" s="1">
        <v>25803483</v>
      </c>
      <c r="B479" s="9">
        <v>45972</v>
      </c>
      <c r="C479" s="1">
        <v>25803483</v>
      </c>
      <c r="D479" s="1" t="s">
        <v>13</v>
      </c>
      <c r="E479" s="7" t="s">
        <v>487</v>
      </c>
      <c r="F479" s="5">
        <v>13</v>
      </c>
      <c r="G479" s="9">
        <v>45991</v>
      </c>
      <c r="H479" s="8" t="s">
        <v>233</v>
      </c>
      <c r="I479" s="7" t="s">
        <v>16</v>
      </c>
      <c r="J479" s="13">
        <v>5022.76</v>
      </c>
      <c r="K479" s="13">
        <v>5022.76</v>
      </c>
      <c r="L479" s="11">
        <f t="shared" ref="L479" si="159">IF(F479&lt;14,K479,"")</f>
        <v>5022.76</v>
      </c>
      <c r="M479" s="27" t="str">
        <f t="shared" ref="M479" si="160">IF(F479&gt;15,K479,"")</f>
        <v/>
      </c>
      <c r="N479" s="28"/>
    </row>
    <row r="480" spans="1:14" x14ac:dyDescent="0.15">
      <c r="A480" s="34" t="s">
        <v>17</v>
      </c>
      <c r="B480" s="34"/>
      <c r="C480" s="34"/>
      <c r="D480" s="34"/>
      <c r="E480" s="34"/>
      <c r="F480" s="5"/>
      <c r="G480" s="3"/>
      <c r="H480" s="3"/>
      <c r="I480" s="3"/>
      <c r="J480" s="13"/>
      <c r="K480" s="12">
        <v>5022.76</v>
      </c>
    </row>
    <row r="481" spans="1:14" x14ac:dyDescent="0.15">
      <c r="A481" s="35" t="s">
        <v>488</v>
      </c>
      <c r="B481" s="36"/>
      <c r="C481" s="36"/>
      <c r="D481" s="36"/>
      <c r="E481" s="36"/>
      <c r="F481" s="36"/>
      <c r="G481" s="36"/>
      <c r="H481" s="36"/>
      <c r="I481" s="36"/>
      <c r="J481" s="37"/>
      <c r="K481" s="37"/>
    </row>
    <row r="482" spans="1:14" ht="14" x14ac:dyDescent="0.15">
      <c r="A482" s="1">
        <v>25802629</v>
      </c>
      <c r="B482" s="10">
        <v>45894</v>
      </c>
      <c r="C482" s="1">
        <v>25802629</v>
      </c>
      <c r="D482" s="1" t="s">
        <v>13</v>
      </c>
      <c r="E482" s="7" t="s">
        <v>489</v>
      </c>
      <c r="F482" s="5">
        <v>91</v>
      </c>
      <c r="G482" s="10">
        <v>45900</v>
      </c>
      <c r="H482" s="8" t="s">
        <v>490</v>
      </c>
      <c r="I482" s="7" t="s">
        <v>16</v>
      </c>
      <c r="J482" s="13">
        <v>-26.38</v>
      </c>
      <c r="K482" s="13">
        <v>-26.38</v>
      </c>
      <c r="L482" s="11" t="str">
        <f t="shared" ref="L482:L489" si="161">IF(F482&lt;14,K482,"")</f>
        <v/>
      </c>
      <c r="M482" s="27">
        <f t="shared" ref="M482:M489" si="162">IF(F482&gt;15,K482,"")</f>
        <v>-26.38</v>
      </c>
      <c r="N482" s="28"/>
    </row>
    <row r="483" spans="1:14" ht="14" x14ac:dyDescent="0.15">
      <c r="A483" s="1">
        <v>25803330</v>
      </c>
      <c r="B483" s="9">
        <v>45972</v>
      </c>
      <c r="C483" s="1">
        <v>25803330</v>
      </c>
      <c r="D483" s="1" t="s">
        <v>13</v>
      </c>
      <c r="E483" s="7" t="s">
        <v>491</v>
      </c>
      <c r="F483" s="5">
        <v>13</v>
      </c>
      <c r="G483" s="9">
        <v>45991</v>
      </c>
      <c r="H483" s="8" t="s">
        <v>492</v>
      </c>
      <c r="I483" s="7" t="s">
        <v>16</v>
      </c>
      <c r="J483" s="13">
        <v>4401.46</v>
      </c>
      <c r="K483" s="13">
        <v>4401.46</v>
      </c>
      <c r="L483" s="11">
        <f t="shared" si="161"/>
        <v>4401.46</v>
      </c>
      <c r="M483" s="27" t="str">
        <f t="shared" si="162"/>
        <v/>
      </c>
      <c r="N483" s="28"/>
    </row>
    <row r="484" spans="1:14" ht="14" x14ac:dyDescent="0.15">
      <c r="A484" s="1">
        <v>25803379</v>
      </c>
      <c r="B484" s="9">
        <v>45972</v>
      </c>
      <c r="C484" s="1">
        <v>25803379</v>
      </c>
      <c r="D484" s="1" t="s">
        <v>13</v>
      </c>
      <c r="E484" s="7" t="s">
        <v>493</v>
      </c>
      <c r="F484" s="5">
        <v>13</v>
      </c>
      <c r="G484" s="9">
        <v>45991</v>
      </c>
      <c r="H484" s="8" t="s">
        <v>492</v>
      </c>
      <c r="I484" s="7" t="s">
        <v>16</v>
      </c>
      <c r="J484" s="13">
        <v>2313</v>
      </c>
      <c r="K484" s="13">
        <v>2313</v>
      </c>
      <c r="L484" s="11">
        <f t="shared" si="161"/>
        <v>2313</v>
      </c>
      <c r="M484" s="27" t="str">
        <f t="shared" si="162"/>
        <v/>
      </c>
      <c r="N484" s="28"/>
    </row>
    <row r="485" spans="1:14" ht="14" x14ac:dyDescent="0.15">
      <c r="A485" s="1">
        <v>25803391</v>
      </c>
      <c r="B485" s="9">
        <v>45972</v>
      </c>
      <c r="C485" s="1">
        <v>25803391</v>
      </c>
      <c r="D485" s="1" t="s">
        <v>13</v>
      </c>
      <c r="E485" s="7" t="s">
        <v>494</v>
      </c>
      <c r="F485" s="5">
        <v>13</v>
      </c>
      <c r="G485" s="9">
        <v>45991</v>
      </c>
      <c r="H485" s="8" t="s">
        <v>492</v>
      </c>
      <c r="I485" s="7" t="s">
        <v>16</v>
      </c>
      <c r="J485" s="13">
        <v>4053.75</v>
      </c>
      <c r="K485" s="13">
        <v>4053.75</v>
      </c>
      <c r="L485" s="11">
        <f t="shared" si="161"/>
        <v>4053.75</v>
      </c>
      <c r="M485" s="27" t="str">
        <f t="shared" si="162"/>
        <v/>
      </c>
      <c r="N485" s="28"/>
    </row>
    <row r="486" spans="1:14" ht="14" x14ac:dyDescent="0.15">
      <c r="A486" s="1">
        <v>25803392</v>
      </c>
      <c r="B486" s="9">
        <v>45972</v>
      </c>
      <c r="C486" s="1">
        <v>25803392</v>
      </c>
      <c r="D486" s="1" t="s">
        <v>13</v>
      </c>
      <c r="E486" s="7" t="s">
        <v>495</v>
      </c>
      <c r="F486" s="5">
        <v>13</v>
      </c>
      <c r="G486" s="9">
        <v>45991</v>
      </c>
      <c r="H486" s="8" t="s">
        <v>492</v>
      </c>
      <c r="I486" s="7" t="s">
        <v>16</v>
      </c>
      <c r="J486" s="13">
        <v>4026.5</v>
      </c>
      <c r="K486" s="13">
        <v>4026.5</v>
      </c>
      <c r="L486" s="11">
        <f t="shared" si="161"/>
        <v>4026.5</v>
      </c>
      <c r="M486" s="27" t="str">
        <f t="shared" si="162"/>
        <v/>
      </c>
      <c r="N486" s="28"/>
    </row>
    <row r="487" spans="1:14" ht="14" x14ac:dyDescent="0.15">
      <c r="A487" s="1">
        <v>25803418</v>
      </c>
      <c r="B487" s="9">
        <v>45972</v>
      </c>
      <c r="C487" s="1">
        <v>25803418</v>
      </c>
      <c r="D487" s="1" t="s">
        <v>13</v>
      </c>
      <c r="E487" s="7" t="s">
        <v>496</v>
      </c>
      <c r="F487" s="5">
        <v>13</v>
      </c>
      <c r="G487" s="9">
        <v>45991</v>
      </c>
      <c r="H487" s="8" t="s">
        <v>492</v>
      </c>
      <c r="I487" s="7" t="s">
        <v>16</v>
      </c>
      <c r="J487" s="13">
        <v>3971.42</v>
      </c>
      <c r="K487" s="13">
        <v>3971.42</v>
      </c>
      <c r="L487" s="11">
        <f t="shared" si="161"/>
        <v>3971.42</v>
      </c>
      <c r="M487" s="27" t="str">
        <f t="shared" si="162"/>
        <v/>
      </c>
      <c r="N487" s="28"/>
    </row>
    <row r="488" spans="1:14" ht="14" x14ac:dyDescent="0.15">
      <c r="A488" s="1">
        <v>25803471</v>
      </c>
      <c r="B488" s="9">
        <v>45972</v>
      </c>
      <c r="C488" s="1">
        <v>25803471</v>
      </c>
      <c r="D488" s="1" t="s">
        <v>13</v>
      </c>
      <c r="E488" s="7" t="s">
        <v>497</v>
      </c>
      <c r="F488" s="5">
        <v>13</v>
      </c>
      <c r="G488" s="9">
        <v>45991</v>
      </c>
      <c r="H488" s="8" t="s">
        <v>492</v>
      </c>
      <c r="I488" s="7" t="s">
        <v>16</v>
      </c>
      <c r="J488" s="13">
        <v>3415</v>
      </c>
      <c r="K488" s="13">
        <v>3415</v>
      </c>
      <c r="L488" s="11">
        <f t="shared" si="161"/>
        <v>3415</v>
      </c>
      <c r="M488" s="27" t="str">
        <f t="shared" si="162"/>
        <v/>
      </c>
      <c r="N488" s="28"/>
    </row>
    <row r="489" spans="1:14" ht="14" x14ac:dyDescent="0.15">
      <c r="A489" s="1">
        <v>25803540</v>
      </c>
      <c r="B489" s="9">
        <v>45974</v>
      </c>
      <c r="C489" s="1">
        <v>25803540</v>
      </c>
      <c r="D489" s="1" t="s">
        <v>13</v>
      </c>
      <c r="E489" s="7" t="s">
        <v>498</v>
      </c>
      <c r="F489" s="5">
        <v>11</v>
      </c>
      <c r="G489" s="9">
        <v>45991</v>
      </c>
      <c r="H489" s="8" t="s">
        <v>482</v>
      </c>
      <c r="I489" s="7" t="s">
        <v>16</v>
      </c>
      <c r="J489" s="13">
        <v>50</v>
      </c>
      <c r="K489" s="13">
        <v>50</v>
      </c>
      <c r="L489" s="11">
        <f t="shared" si="161"/>
        <v>50</v>
      </c>
      <c r="M489" s="27" t="str">
        <f t="shared" si="162"/>
        <v/>
      </c>
      <c r="N489" s="28"/>
    </row>
    <row r="490" spans="1:14" x14ac:dyDescent="0.15">
      <c r="A490" s="34" t="s">
        <v>17</v>
      </c>
      <c r="B490" s="34"/>
      <c r="C490" s="34"/>
      <c r="D490" s="34"/>
      <c r="E490" s="34"/>
      <c r="F490" s="5"/>
      <c r="G490" s="3"/>
      <c r="H490" s="3"/>
      <c r="I490" s="3"/>
      <c r="J490" s="13"/>
      <c r="K490" s="12">
        <v>22204.75</v>
      </c>
    </row>
    <row r="491" spans="1:14" x14ac:dyDescent="0.15">
      <c r="A491" s="35" t="s">
        <v>499</v>
      </c>
      <c r="B491" s="36"/>
      <c r="C491" s="36"/>
      <c r="D491" s="36"/>
      <c r="E491" s="36"/>
      <c r="F491" s="36"/>
      <c r="G491" s="36"/>
      <c r="H491" s="36"/>
      <c r="I491" s="36"/>
      <c r="J491" s="37"/>
      <c r="K491" s="37"/>
    </row>
    <row r="492" spans="1:14" ht="14" x14ac:dyDescent="0.15">
      <c r="A492" s="1">
        <v>25803283</v>
      </c>
      <c r="B492" s="10">
        <v>45968</v>
      </c>
      <c r="C492" s="1">
        <v>25803283</v>
      </c>
      <c r="D492" s="1" t="s">
        <v>13</v>
      </c>
      <c r="E492" s="7" t="s">
        <v>500</v>
      </c>
      <c r="F492" s="5">
        <v>17</v>
      </c>
      <c r="G492" s="9">
        <v>45991</v>
      </c>
      <c r="H492" s="8" t="s">
        <v>501</v>
      </c>
      <c r="I492" s="7" t="s">
        <v>16</v>
      </c>
      <c r="J492" s="13">
        <v>327</v>
      </c>
      <c r="K492" s="13">
        <v>327</v>
      </c>
      <c r="L492" s="11" t="str">
        <f t="shared" ref="L492" si="163">IF(F492&lt;14,K492,"")</f>
        <v/>
      </c>
      <c r="M492" s="27">
        <f t="shared" ref="M492" si="164">IF(F492&gt;15,K492,"")</f>
        <v>327</v>
      </c>
      <c r="N492" s="28"/>
    </row>
    <row r="493" spans="1:14" x14ac:dyDescent="0.15">
      <c r="A493" s="34" t="s">
        <v>17</v>
      </c>
      <c r="B493" s="34"/>
      <c r="C493" s="34"/>
      <c r="D493" s="34"/>
      <c r="E493" s="34"/>
      <c r="F493" s="5"/>
      <c r="G493" s="3"/>
      <c r="H493" s="3"/>
      <c r="I493" s="3"/>
      <c r="J493" s="13"/>
      <c r="K493" s="12">
        <v>327</v>
      </c>
    </row>
    <row r="494" spans="1:14" x14ac:dyDescent="0.15">
      <c r="A494" s="35" t="s">
        <v>502</v>
      </c>
      <c r="B494" s="36"/>
      <c r="C494" s="36"/>
      <c r="D494" s="36"/>
      <c r="E494" s="36"/>
      <c r="F494" s="36"/>
      <c r="G494" s="36"/>
      <c r="H494" s="36"/>
      <c r="I494" s="36"/>
      <c r="J494" s="37"/>
      <c r="K494" s="37"/>
    </row>
    <row r="495" spans="1:14" ht="14" x14ac:dyDescent="0.15">
      <c r="A495" s="1">
        <v>25803370</v>
      </c>
      <c r="B495" s="9">
        <v>45972</v>
      </c>
      <c r="C495" s="1">
        <v>25803370</v>
      </c>
      <c r="D495" s="1" t="s">
        <v>13</v>
      </c>
      <c r="E495" s="7" t="s">
        <v>503</v>
      </c>
      <c r="F495" s="5">
        <v>13</v>
      </c>
      <c r="G495" s="9">
        <v>45991</v>
      </c>
      <c r="H495" s="8" t="s">
        <v>504</v>
      </c>
      <c r="I495" s="7" t="s">
        <v>16</v>
      </c>
      <c r="J495" s="13">
        <v>2553.0500000000002</v>
      </c>
      <c r="K495" s="13">
        <v>2553.0500000000002</v>
      </c>
      <c r="L495" s="11">
        <f t="shared" ref="L495" si="165">IF(F495&lt;14,K495,"")</f>
        <v>2553.0500000000002</v>
      </c>
      <c r="M495" s="27" t="str">
        <f t="shared" ref="M495" si="166">IF(F495&gt;15,K495,"")</f>
        <v/>
      </c>
      <c r="N495" s="28"/>
    </row>
    <row r="496" spans="1:14" x14ac:dyDescent="0.15">
      <c r="A496" s="34" t="s">
        <v>17</v>
      </c>
      <c r="B496" s="34"/>
      <c r="C496" s="34"/>
      <c r="D496" s="34"/>
      <c r="E496" s="34"/>
      <c r="F496" s="5"/>
      <c r="G496" s="3"/>
      <c r="H496" s="3"/>
      <c r="I496" s="3"/>
      <c r="J496" s="13"/>
      <c r="K496" s="12">
        <v>2553.0500000000002</v>
      </c>
    </row>
    <row r="497" spans="1:14" x14ac:dyDescent="0.15">
      <c r="A497" s="35" t="s">
        <v>505</v>
      </c>
      <c r="B497" s="36"/>
      <c r="C497" s="36"/>
      <c r="D497" s="36"/>
      <c r="E497" s="36"/>
      <c r="F497" s="36"/>
      <c r="G497" s="36"/>
      <c r="H497" s="36"/>
      <c r="I497" s="36"/>
      <c r="J497" s="37"/>
      <c r="K497" s="37"/>
    </row>
    <row r="498" spans="1:14" ht="14" x14ac:dyDescent="0.15">
      <c r="A498" s="1">
        <v>25803406</v>
      </c>
      <c r="B498" s="9">
        <v>45972</v>
      </c>
      <c r="C498" s="1">
        <v>25803406</v>
      </c>
      <c r="D498" s="1" t="s">
        <v>13</v>
      </c>
      <c r="E498" s="7" t="s">
        <v>506</v>
      </c>
      <c r="F498" s="5">
        <v>13</v>
      </c>
      <c r="G498" s="9">
        <v>45991</v>
      </c>
      <c r="H498" s="8" t="s">
        <v>507</v>
      </c>
      <c r="I498" s="7" t="s">
        <v>16</v>
      </c>
      <c r="J498" s="13">
        <v>5025.5</v>
      </c>
      <c r="K498" s="13">
        <v>5025.5</v>
      </c>
      <c r="L498" s="11">
        <f t="shared" ref="L498" si="167">IF(F498&lt;14,K498,"")</f>
        <v>5025.5</v>
      </c>
      <c r="M498" s="27" t="str">
        <f t="shared" ref="M498" si="168">IF(F498&gt;15,K498,"")</f>
        <v/>
      </c>
      <c r="N498" s="28"/>
    </row>
    <row r="499" spans="1:14" ht="14" x14ac:dyDescent="0.15">
      <c r="A499" s="1">
        <v>25803470</v>
      </c>
      <c r="B499" s="9">
        <v>45972</v>
      </c>
      <c r="C499" s="1">
        <v>25803470</v>
      </c>
      <c r="D499" s="1" t="s">
        <v>13</v>
      </c>
      <c r="E499" s="7" t="s">
        <v>508</v>
      </c>
      <c r="F499" s="5">
        <v>13</v>
      </c>
      <c r="G499" s="9">
        <v>45991</v>
      </c>
      <c r="H499" s="8" t="s">
        <v>507</v>
      </c>
      <c r="I499" s="7" t="s">
        <v>16</v>
      </c>
      <c r="J499" s="13">
        <v>2809.5</v>
      </c>
      <c r="K499" s="13">
        <v>2809.5</v>
      </c>
      <c r="L499" s="11">
        <f t="shared" ref="L499" si="169">IF(F499&lt;14,K499,"")</f>
        <v>2809.5</v>
      </c>
      <c r="M499" s="27" t="str">
        <f t="shared" ref="M499" si="170">IF(F499&gt;15,K499,"")</f>
        <v/>
      </c>
      <c r="N499" s="28"/>
    </row>
    <row r="500" spans="1:14" x14ac:dyDescent="0.15">
      <c r="A500" s="34" t="s">
        <v>17</v>
      </c>
      <c r="B500" s="34"/>
      <c r="C500" s="34"/>
      <c r="D500" s="34"/>
      <c r="E500" s="34"/>
      <c r="F500" s="5"/>
      <c r="G500" s="3"/>
      <c r="H500" s="3"/>
      <c r="I500" s="3"/>
      <c r="J500" s="13"/>
      <c r="K500" s="12">
        <v>7835</v>
      </c>
    </row>
    <row r="501" spans="1:14" x14ac:dyDescent="0.15">
      <c r="A501" s="35" t="s">
        <v>509</v>
      </c>
      <c r="B501" s="36"/>
      <c r="C501" s="36"/>
      <c r="D501" s="36"/>
      <c r="E501" s="36"/>
      <c r="F501" s="36"/>
      <c r="G501" s="36"/>
      <c r="H501" s="36"/>
      <c r="I501" s="36"/>
      <c r="J501" s="37"/>
      <c r="K501" s="37"/>
    </row>
    <row r="502" spans="1:14" ht="14" x14ac:dyDescent="0.15">
      <c r="A502" s="1">
        <v>25802535</v>
      </c>
      <c r="B502" s="10">
        <v>45875</v>
      </c>
      <c r="C502" s="1">
        <v>25802535</v>
      </c>
      <c r="D502" s="1" t="s">
        <v>13</v>
      </c>
      <c r="E502" s="7" t="s">
        <v>510</v>
      </c>
      <c r="F502" s="5">
        <v>110</v>
      </c>
      <c r="G502" s="10">
        <v>45900</v>
      </c>
      <c r="H502" s="8" t="s">
        <v>511</v>
      </c>
      <c r="I502" s="7" t="s">
        <v>16</v>
      </c>
      <c r="J502" s="13">
        <v>245.81</v>
      </c>
      <c r="K502" s="13">
        <v>245.81</v>
      </c>
      <c r="L502" s="11" t="str">
        <f t="shared" ref="L502" si="171">IF(F502&lt;14,K502,"")</f>
        <v/>
      </c>
      <c r="M502" s="27"/>
      <c r="N502" s="28">
        <v>245.81</v>
      </c>
    </row>
    <row r="503" spans="1:14" x14ac:dyDescent="0.15">
      <c r="A503" s="34" t="s">
        <v>17</v>
      </c>
      <c r="B503" s="34"/>
      <c r="C503" s="34"/>
      <c r="D503" s="34"/>
      <c r="E503" s="34"/>
      <c r="F503" s="5"/>
      <c r="G503" s="3"/>
      <c r="H503" s="3"/>
      <c r="I503" s="3"/>
      <c r="J503" s="13"/>
      <c r="K503" s="12">
        <v>245.81</v>
      </c>
    </row>
    <row r="504" spans="1:14" ht="17" x14ac:dyDescent="0.2">
      <c r="A504" s="34" t="s">
        <v>512</v>
      </c>
      <c r="B504" s="34"/>
      <c r="C504" s="34"/>
      <c r="D504" s="34"/>
      <c r="E504" s="34"/>
      <c r="F504" s="5"/>
      <c r="G504" s="3"/>
      <c r="H504" s="30" t="s">
        <v>521</v>
      </c>
      <c r="I504" s="31"/>
      <c r="J504" s="32">
        <f>SUM(J14:J503)</f>
        <v>823884.22000000079</v>
      </c>
      <c r="K504" s="32">
        <f>SUM(K14:K503)/2</f>
        <v>823884.21999999951</v>
      </c>
      <c r="L504" s="32">
        <f>SUM(L14:L503)</f>
        <v>661194.28000000026</v>
      </c>
      <c r="M504" s="32">
        <f>SUM(M14:M503)</f>
        <v>19154.249999999996</v>
      </c>
      <c r="N504" s="32">
        <f>SUM(N14:N503)</f>
        <v>143535.68999999997</v>
      </c>
    </row>
    <row r="505" spans="1:14" x14ac:dyDescent="0.15">
      <c r="L505" s="33"/>
    </row>
    <row r="507" spans="1:14" x14ac:dyDescent="0.15">
      <c r="L507" s="33"/>
    </row>
  </sheetData>
  <mergeCells count="287">
    <mergeCell ref="A1:E1"/>
    <mergeCell ref="A2:E2"/>
    <mergeCell ref="A7:D7"/>
    <mergeCell ref="C8:D8"/>
    <mergeCell ref="A14:I14"/>
    <mergeCell ref="J14:K14"/>
    <mergeCell ref="A16:E16"/>
    <mergeCell ref="A17:I17"/>
    <mergeCell ref="J17:K17"/>
    <mergeCell ref="A19:E19"/>
    <mergeCell ref="A20:I20"/>
    <mergeCell ref="J20:K20"/>
    <mergeCell ref="A22:E22"/>
    <mergeCell ref="A23:I23"/>
    <mergeCell ref="J23:K23"/>
    <mergeCell ref="A25:E25"/>
    <mergeCell ref="A26:I26"/>
    <mergeCell ref="J26:K26"/>
    <mergeCell ref="A29:E29"/>
    <mergeCell ref="A30:I30"/>
    <mergeCell ref="J30:K30"/>
    <mergeCell ref="A38:E38"/>
    <mergeCell ref="A39:I39"/>
    <mergeCell ref="J39:K39"/>
    <mergeCell ref="A43:E43"/>
    <mergeCell ref="A44:I44"/>
    <mergeCell ref="J44:K44"/>
    <mergeCell ref="A51:E51"/>
    <mergeCell ref="A52:I52"/>
    <mergeCell ref="J52:K52"/>
    <mergeCell ref="A55:E55"/>
    <mergeCell ref="A56:I56"/>
    <mergeCell ref="J56:K56"/>
    <mergeCell ref="A58:E58"/>
    <mergeCell ref="A59:I59"/>
    <mergeCell ref="J59:K59"/>
    <mergeCell ref="A61:E61"/>
    <mergeCell ref="A62:I62"/>
    <mergeCell ref="J62:K62"/>
    <mergeCell ref="A64:E64"/>
    <mergeCell ref="A65:I65"/>
    <mergeCell ref="J65:K65"/>
    <mergeCell ref="A71:E71"/>
    <mergeCell ref="A72:I72"/>
    <mergeCell ref="J72:K72"/>
    <mergeCell ref="A74:E74"/>
    <mergeCell ref="A75:I75"/>
    <mergeCell ref="J75:K75"/>
    <mergeCell ref="A77:E77"/>
    <mergeCell ref="A78:I78"/>
    <mergeCell ref="J78:K78"/>
    <mergeCell ref="A81:E81"/>
    <mergeCell ref="A82:I82"/>
    <mergeCell ref="J82:K82"/>
    <mergeCell ref="A86:E86"/>
    <mergeCell ref="A87:I87"/>
    <mergeCell ref="J87:K87"/>
    <mergeCell ref="A89:E89"/>
    <mergeCell ref="A90:I90"/>
    <mergeCell ref="J90:K90"/>
    <mergeCell ref="A94:E94"/>
    <mergeCell ref="A95:I95"/>
    <mergeCell ref="J95:K95"/>
    <mergeCell ref="A98:E98"/>
    <mergeCell ref="A99:I99"/>
    <mergeCell ref="J99:K99"/>
    <mergeCell ref="A104:E104"/>
    <mergeCell ref="A105:I105"/>
    <mergeCell ref="J105:K105"/>
    <mergeCell ref="A109:E109"/>
    <mergeCell ref="A110:I110"/>
    <mergeCell ref="J110:K110"/>
    <mergeCell ref="A112:E112"/>
    <mergeCell ref="A113:I113"/>
    <mergeCell ref="J113:K113"/>
    <mergeCell ref="A117:E117"/>
    <mergeCell ref="A118:I118"/>
    <mergeCell ref="J118:K118"/>
    <mergeCell ref="A123:E123"/>
    <mergeCell ref="A124:I124"/>
    <mergeCell ref="J124:K124"/>
    <mergeCell ref="A126:E126"/>
    <mergeCell ref="A127:I127"/>
    <mergeCell ref="J127:K127"/>
    <mergeCell ref="A130:E130"/>
    <mergeCell ref="A131:I131"/>
    <mergeCell ref="J131:K131"/>
    <mergeCell ref="A135:E135"/>
    <mergeCell ref="A136:I136"/>
    <mergeCell ref="J136:K136"/>
    <mergeCell ref="A141:E141"/>
    <mergeCell ref="A142:I142"/>
    <mergeCell ref="J142:K142"/>
    <mergeCell ref="A151:E151"/>
    <mergeCell ref="A152:I152"/>
    <mergeCell ref="J152:K152"/>
    <mergeCell ref="A155:E155"/>
    <mergeCell ref="A156:I156"/>
    <mergeCell ref="J156:K156"/>
    <mergeCell ref="A161:E161"/>
    <mergeCell ref="A162:I162"/>
    <mergeCell ref="J162:K162"/>
    <mergeCell ref="A166:E166"/>
    <mergeCell ref="A167:I167"/>
    <mergeCell ref="J167:K167"/>
    <mergeCell ref="A173:E173"/>
    <mergeCell ref="A174:I174"/>
    <mergeCell ref="J174:K174"/>
    <mergeCell ref="A176:E176"/>
    <mergeCell ref="A177:I177"/>
    <mergeCell ref="J177:K177"/>
    <mergeCell ref="A181:E181"/>
    <mergeCell ref="A182:I182"/>
    <mergeCell ref="J182:K182"/>
    <mergeCell ref="A185:E185"/>
    <mergeCell ref="A186:I186"/>
    <mergeCell ref="J186:K186"/>
    <mergeCell ref="A190:E190"/>
    <mergeCell ref="A191:I191"/>
    <mergeCell ref="J191:K191"/>
    <mergeCell ref="A194:E194"/>
    <mergeCell ref="A195:I195"/>
    <mergeCell ref="J195:K195"/>
    <mergeCell ref="A197:E197"/>
    <mergeCell ref="A198:I198"/>
    <mergeCell ref="J198:K198"/>
    <mergeCell ref="A208:E208"/>
    <mergeCell ref="A209:I209"/>
    <mergeCell ref="J209:K209"/>
    <mergeCell ref="A211:E211"/>
    <mergeCell ref="A212:I212"/>
    <mergeCell ref="J212:K212"/>
    <mergeCell ref="A214:E214"/>
    <mergeCell ref="A215:I215"/>
    <mergeCell ref="J215:K215"/>
    <mergeCell ref="A217:E217"/>
    <mergeCell ref="A218:I218"/>
    <mergeCell ref="J218:K218"/>
    <mergeCell ref="A222:E222"/>
    <mergeCell ref="A223:I223"/>
    <mergeCell ref="J223:K223"/>
    <mergeCell ref="A225:E225"/>
    <mergeCell ref="A226:I226"/>
    <mergeCell ref="J226:K226"/>
    <mergeCell ref="A243:E243"/>
    <mergeCell ref="A244:I244"/>
    <mergeCell ref="J244:K244"/>
    <mergeCell ref="A246:E246"/>
    <mergeCell ref="A247:I247"/>
    <mergeCell ref="J247:K247"/>
    <mergeCell ref="A254:E254"/>
    <mergeCell ref="A255:I255"/>
    <mergeCell ref="J255:K255"/>
    <mergeCell ref="A259:E259"/>
    <mergeCell ref="A260:I260"/>
    <mergeCell ref="J260:K260"/>
    <mergeCell ref="A263:E263"/>
    <mergeCell ref="A264:I264"/>
    <mergeCell ref="J264:K264"/>
    <mergeCell ref="A266:E266"/>
    <mergeCell ref="A267:I267"/>
    <mergeCell ref="J267:K267"/>
    <mergeCell ref="A269:E269"/>
    <mergeCell ref="A270:I270"/>
    <mergeCell ref="J270:K270"/>
    <mergeCell ref="A272:E272"/>
    <mergeCell ref="A273:I273"/>
    <mergeCell ref="J273:K273"/>
    <mergeCell ref="A275:E275"/>
    <mergeCell ref="A276:I276"/>
    <mergeCell ref="J276:K276"/>
    <mergeCell ref="A284:E284"/>
    <mergeCell ref="A285:I285"/>
    <mergeCell ref="J285:K285"/>
    <mergeCell ref="A287:E287"/>
    <mergeCell ref="A288:I288"/>
    <mergeCell ref="J288:K288"/>
    <mergeCell ref="A290:E290"/>
    <mergeCell ref="A291:I291"/>
    <mergeCell ref="J291:K291"/>
    <mergeCell ref="A303:E303"/>
    <mergeCell ref="A304:I304"/>
    <mergeCell ref="J304:K304"/>
    <mergeCell ref="A311:E311"/>
    <mergeCell ref="A312:I312"/>
    <mergeCell ref="J312:K312"/>
    <mergeCell ref="A314:E314"/>
    <mergeCell ref="A315:I315"/>
    <mergeCell ref="J315:K315"/>
    <mergeCell ref="A319:E319"/>
    <mergeCell ref="A320:I320"/>
    <mergeCell ref="J320:K320"/>
    <mergeCell ref="A326:E326"/>
    <mergeCell ref="A327:I327"/>
    <mergeCell ref="J327:K327"/>
    <mergeCell ref="A329:E329"/>
    <mergeCell ref="A330:I330"/>
    <mergeCell ref="J330:K330"/>
    <mergeCell ref="A333:E333"/>
    <mergeCell ref="A334:I334"/>
    <mergeCell ref="J334:K334"/>
    <mergeCell ref="A338:E338"/>
    <mergeCell ref="A339:I339"/>
    <mergeCell ref="J339:K339"/>
    <mergeCell ref="A351:E351"/>
    <mergeCell ref="A352:I352"/>
    <mergeCell ref="J352:K352"/>
    <mergeCell ref="A355:E355"/>
    <mergeCell ref="A356:I356"/>
    <mergeCell ref="J356:K356"/>
    <mergeCell ref="A358:E358"/>
    <mergeCell ref="A359:I359"/>
    <mergeCell ref="J359:K359"/>
    <mergeCell ref="A362:E362"/>
    <mergeCell ref="A363:I363"/>
    <mergeCell ref="J363:K363"/>
    <mergeCell ref="A372:E372"/>
    <mergeCell ref="A373:I373"/>
    <mergeCell ref="J373:K373"/>
    <mergeCell ref="A375:E375"/>
    <mergeCell ref="A376:I376"/>
    <mergeCell ref="J376:K376"/>
    <mergeCell ref="A379:E379"/>
    <mergeCell ref="A380:I380"/>
    <mergeCell ref="J380:K380"/>
    <mergeCell ref="A382:E382"/>
    <mergeCell ref="A383:I383"/>
    <mergeCell ref="J383:K383"/>
    <mergeCell ref="A387:E387"/>
    <mergeCell ref="A388:I388"/>
    <mergeCell ref="J388:K388"/>
    <mergeCell ref="A390:E390"/>
    <mergeCell ref="A391:I391"/>
    <mergeCell ref="J391:K391"/>
    <mergeCell ref="A393:E393"/>
    <mergeCell ref="A394:I394"/>
    <mergeCell ref="J394:K394"/>
    <mergeCell ref="A396:E396"/>
    <mergeCell ref="A397:I397"/>
    <mergeCell ref="J397:K397"/>
    <mergeCell ref="A418:E418"/>
    <mergeCell ref="A419:I419"/>
    <mergeCell ref="J419:K419"/>
    <mergeCell ref="A421:E421"/>
    <mergeCell ref="A422:I422"/>
    <mergeCell ref="J422:K422"/>
    <mergeCell ref="A426:E426"/>
    <mergeCell ref="A427:I427"/>
    <mergeCell ref="J427:K427"/>
    <mergeCell ref="A440:E440"/>
    <mergeCell ref="A441:I441"/>
    <mergeCell ref="J441:K441"/>
    <mergeCell ref="A448:E448"/>
    <mergeCell ref="A449:I449"/>
    <mergeCell ref="J449:K449"/>
    <mergeCell ref="A451:E451"/>
    <mergeCell ref="A452:I452"/>
    <mergeCell ref="J452:K452"/>
    <mergeCell ref="A454:E454"/>
    <mergeCell ref="A455:I455"/>
    <mergeCell ref="J455:K455"/>
    <mergeCell ref="A457:E457"/>
    <mergeCell ref="A458:I458"/>
    <mergeCell ref="J458:K458"/>
    <mergeCell ref="A471:E471"/>
    <mergeCell ref="A472:I472"/>
    <mergeCell ref="J472:K472"/>
    <mergeCell ref="A477:E477"/>
    <mergeCell ref="A478:I478"/>
    <mergeCell ref="J478:K478"/>
    <mergeCell ref="A496:E496"/>
    <mergeCell ref="A497:I497"/>
    <mergeCell ref="J497:K497"/>
    <mergeCell ref="A500:E500"/>
    <mergeCell ref="A501:I501"/>
    <mergeCell ref="J501:K501"/>
    <mergeCell ref="A503:E503"/>
    <mergeCell ref="A504:E504"/>
    <mergeCell ref="A480:E480"/>
    <mergeCell ref="A481:I481"/>
    <mergeCell ref="J481:K481"/>
    <mergeCell ref="A490:E490"/>
    <mergeCell ref="A491:I491"/>
    <mergeCell ref="J491:K491"/>
    <mergeCell ref="A493:E493"/>
    <mergeCell ref="A494:I494"/>
    <mergeCell ref="J494:K494"/>
  </mergeCells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355c1c-7229-4758-ac60-95053fa0120f">
      <Terms xmlns="http://schemas.microsoft.com/office/infopath/2007/PartnerControls"/>
    </lcf76f155ced4ddcb4097134ff3c332f>
    <TaxCatchAll xmlns="1a501f3c-40e3-492d-8944-ccdfbedef7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A889523F73E47939A54E6C685B051" ma:contentTypeVersion="15" ma:contentTypeDescription="Een nieuw document maken." ma:contentTypeScope="" ma:versionID="6d97353809a34c9638347f369f99a29e">
  <xsd:schema xmlns:xsd="http://www.w3.org/2001/XMLSchema" xmlns:xs="http://www.w3.org/2001/XMLSchema" xmlns:p="http://schemas.microsoft.com/office/2006/metadata/properties" xmlns:ns2="49355c1c-7229-4758-ac60-95053fa0120f" xmlns:ns3="1a501f3c-40e3-492d-8944-ccdfbedef7fb" targetNamespace="http://schemas.microsoft.com/office/2006/metadata/properties" ma:root="true" ma:fieldsID="313be6b2b12b2200d0df0bc9010d4524" ns2:_="" ns3:_="">
    <xsd:import namespace="49355c1c-7229-4758-ac60-95053fa0120f"/>
    <xsd:import namespace="1a501f3c-40e3-492d-8944-ccdfbedef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55c1c-7229-4758-ac60-95053fa012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5f29922b-bc8b-44be-bee2-c343b708f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01f3c-40e3-492d-8944-ccdfbedef7f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b345bf7-7679-490d-81d4-8ed84514c24a}" ma:internalName="TaxCatchAll" ma:showField="CatchAllData" ma:web="1a501f3c-40e3-492d-8944-ccdfbedef7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81DDDE-5772-440D-B782-9BA5EE7153E6}">
  <ds:schemaRefs>
    <ds:schemaRef ds:uri="http://schemas.microsoft.com/office/2006/metadata/properties"/>
    <ds:schemaRef ds:uri="http://schemas.microsoft.com/office/infopath/2007/PartnerControls"/>
    <ds:schemaRef ds:uri="49355c1c-7229-4758-ac60-95053fa0120f"/>
    <ds:schemaRef ds:uri="1a501f3c-40e3-492d-8944-ccdfbedef7fb"/>
  </ds:schemaRefs>
</ds:datastoreItem>
</file>

<file path=customXml/itemProps2.xml><?xml version="1.0" encoding="utf-8"?>
<ds:datastoreItem xmlns:ds="http://schemas.openxmlformats.org/officeDocument/2006/customXml" ds:itemID="{C4DF2E5F-E8E5-4720-87F7-A02F4ED63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076ED6-DBF1-4691-B643-6330A62CEE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55c1c-7229-4758-ac60-95053fa0120f"/>
    <ds:schemaRef ds:uri="1a501f3c-40e3-492d-8944-ccdfbedef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Openstaande posten: Te vorderen&lt;/title&gt;</dc:title>
  <dc:subject/>
  <dc:creator>Michel Stouthart</dc:creator>
  <cp:keywords/>
  <dc:description/>
  <cp:lastModifiedBy>Aljereau Marten</cp:lastModifiedBy>
  <dcterms:created xsi:type="dcterms:W3CDTF">2025-11-24T08:16:32Z</dcterms:created>
  <dcterms:modified xsi:type="dcterms:W3CDTF">2025-12-04T14:59:20Z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0x010100BF4A889523F73E47939A54E6C685B051</vt:lpwstr>
  </property>
</Properties>
</file>