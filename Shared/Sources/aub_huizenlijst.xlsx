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22" documentId="8_{BBAF9F8C-8115-D145-B462-64EF9272AD98}" xr6:coauthVersionLast="47" xr6:coauthVersionMax="47" xr10:uidLastSave="{C15A1295-DE63-E84F-BA0D-784450D71A50}"/>
  <bookViews>
    <workbookView xWindow="-2220" yWindow="-21100" windowWidth="38400" windowHeight="21100" xr2:uid="{0AA87CA2-DCAE-3845-8A9A-48F9A34B61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1" i="1" l="1"/>
  <c r="AE21" i="1"/>
  <c r="AI20" i="1"/>
  <c r="AI15" i="1"/>
  <c r="AG15" i="1"/>
  <c r="AE15" i="1"/>
  <c r="AI14" i="1"/>
  <c r="AI13" i="1"/>
  <c r="AI12" i="1"/>
  <c r="AE12" i="1"/>
  <c r="AI11" i="1"/>
  <c r="AE9" i="1"/>
  <c r="AE7" i="1"/>
  <c r="AE6" i="1"/>
  <c r="AE5" i="1"/>
  <c r="AI4" i="1"/>
  <c r="AE4" i="1"/>
  <c r="AE3" i="1"/>
  <c r="A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Jeroen Scholtes | AUB van Bergen</author>
  </authors>
  <commentList>
    <comment ref="D15" authorId="0" shapeId="0" xr:uid="{4DA7C670-2EFF-C64C-9130-F8A6666F7830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1400 Jan Vink
620 Denise Vink
</t>
        </r>
      </text>
    </comment>
    <comment ref="M15" authorId="0" shapeId="0" xr:uid="{7860C7E4-9E42-0D42-A518-570B7F716354}">
      <text>
        <r>
          <rPr>
            <b/>
            <sz val="9"/>
            <color indexed="81"/>
            <rFont val="Tahoma"/>
            <family val="2"/>
          </rPr>
          <t>Jeroen Scholtes | AUB van Bergen:</t>
        </r>
        <r>
          <rPr>
            <sz val="9"/>
            <color indexed="81"/>
            <rFont val="Tahoma"/>
            <family val="2"/>
          </rPr>
          <t xml:space="preserve">
€ 1400 naar 5094
€ 620 naar 5095</t>
        </r>
      </text>
    </comment>
    <comment ref="D21" authorId="0" shapeId="0" xr:uid="{3A0B66F6-C424-344C-BE6A-9753019E9F02}">
      <text>
        <r>
          <rPr>
            <b/>
            <sz val="9"/>
            <color rgb="FF000000"/>
            <rFont val="Tahoma"/>
            <family val="2"/>
          </rPr>
          <t>Jeroen Scholtes | AUB van Bergen: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Vanaf 1/1-24 4% verhoging van € 1,500,- naar € 1.560,-</t>
        </r>
      </text>
    </comment>
  </commentList>
</comments>
</file>

<file path=xl/sharedStrings.xml><?xml version="1.0" encoding="utf-8"?>
<sst xmlns="http://schemas.openxmlformats.org/spreadsheetml/2006/main" count="522" uniqueCount="262">
  <si>
    <t>object_id</t>
  </si>
  <si>
    <t xml:space="preserve">Huis </t>
  </si>
  <si>
    <t>Postcode</t>
  </si>
  <si>
    <t xml:space="preserve">Huur p/m </t>
  </si>
  <si>
    <t>Ontv. Huur p/w incl</t>
  </si>
  <si>
    <t>Eigenaar</t>
  </si>
  <si>
    <t>Contactpersoon</t>
  </si>
  <si>
    <t>Adres</t>
  </si>
  <si>
    <t>Woonplaats</t>
  </si>
  <si>
    <t>Telefoon</t>
  </si>
  <si>
    <t xml:space="preserve">Mail </t>
  </si>
  <si>
    <t>Rekeningnr</t>
  </si>
  <si>
    <t xml:space="preserve">Bedden </t>
  </si>
  <si>
    <t>Kamers</t>
  </si>
  <si>
    <t xml:space="preserve">Tekening </t>
  </si>
  <si>
    <t xml:space="preserve">Lijst meters </t>
  </si>
  <si>
    <t>Energie Gas</t>
  </si>
  <si>
    <t>Leverancier Gas</t>
  </si>
  <si>
    <t>Tarief Gas</t>
  </si>
  <si>
    <t>Energie Electra</t>
  </si>
  <si>
    <t>Leverancier Electra</t>
  </si>
  <si>
    <t>Tarief E Enkel</t>
  </si>
  <si>
    <t>Tarief E Hoog</t>
  </si>
  <si>
    <t>Tarief E Laag</t>
  </si>
  <si>
    <t>Energie Water</t>
  </si>
  <si>
    <t>Leverancier Water</t>
  </si>
  <si>
    <t>Contractduur</t>
  </si>
  <si>
    <t>Begindatum contract</t>
  </si>
  <si>
    <t>Einddatum contract</t>
  </si>
  <si>
    <t>voorschot glw</t>
  </si>
  <si>
    <t>G/L/W verbruik</t>
  </si>
  <si>
    <t>Belastingen p/m</t>
  </si>
  <si>
    <t>Container</t>
  </si>
  <si>
    <t>Tarief container</t>
  </si>
  <si>
    <t>container info</t>
  </si>
  <si>
    <t>Internet</t>
  </si>
  <si>
    <t>Tarief internet</t>
  </si>
  <si>
    <t>contract</t>
  </si>
  <si>
    <t xml:space="preserve">borg </t>
  </si>
  <si>
    <t>Begin huur</t>
  </si>
  <si>
    <t>Eind Huur</t>
  </si>
  <si>
    <t>Opzegtermijn</t>
  </si>
  <si>
    <t>opmerking</t>
  </si>
  <si>
    <t>Bovendijk, 59 , Kwintsheul</t>
  </si>
  <si>
    <t>2295 RW</t>
  </si>
  <si>
    <t>M. Nottet</t>
  </si>
  <si>
    <t>Kapittelland 16</t>
  </si>
  <si>
    <t>3151 ZB</t>
  </si>
  <si>
    <t>Hoek van Holland</t>
  </si>
  <si>
    <t>06-50502637</t>
  </si>
  <si>
    <t>mnottet@caiway.nl</t>
  </si>
  <si>
    <t>NL60RABO0323282903</t>
  </si>
  <si>
    <t>ja</t>
  </si>
  <si>
    <t>ComCam</t>
  </si>
  <si>
    <t>Engie</t>
  </si>
  <si>
    <t>Exclusief</t>
  </si>
  <si>
    <t>Evides</t>
  </si>
  <si>
    <t xml:space="preserve">MSN </t>
  </si>
  <si>
    <t>1x 500 ltr / 1x pw / vrijdag</t>
  </si>
  <si>
    <t>BICT</t>
  </si>
  <si>
    <t>nb</t>
  </si>
  <si>
    <t>2 maanden</t>
  </si>
  <si>
    <t>Bovendijk,61,  Kwintsheul</t>
  </si>
  <si>
    <t>Burgemeester Cramerlaan, 82, De Lier</t>
  </si>
  <si>
    <t>2678 AN</t>
  </si>
  <si>
    <t>P. van den Berg</t>
  </si>
  <si>
    <t>Piet van den Berg</t>
  </si>
  <si>
    <t>Burgemeester Cramerlaan 17</t>
  </si>
  <si>
    <t>2678 AL</t>
  </si>
  <si>
    <t>De Lier</t>
  </si>
  <si>
    <t>06-38765032</t>
  </si>
  <si>
    <t>info@vandenbergdelier.nl</t>
  </si>
  <si>
    <t>NL29ABNA0472271989</t>
  </si>
  <si>
    <t>Renewi / Gemeente</t>
  </si>
  <si>
    <t>1x 660 ltr 1x pw di  // Grijs (OW) groen ( EW) donderdag</t>
  </si>
  <si>
    <t>3 maanden</t>
  </si>
  <si>
    <t>stroom via tuin eigenaar</t>
  </si>
  <si>
    <t>Burgemeester Crezeelaan, 76,  De Lier</t>
  </si>
  <si>
    <t>2678 KZ</t>
  </si>
  <si>
    <t>K. Zuidgeest</t>
  </si>
  <si>
    <t>Oudecampsweg 7</t>
  </si>
  <si>
    <t>2678 NN</t>
  </si>
  <si>
    <t>06-26146636</t>
  </si>
  <si>
    <t xml:space="preserve">KoosZuidgeest@zuidkoop.nl / k.zuidgeest@hetnet.nl </t>
  </si>
  <si>
    <t>NL05RABO0336208367</t>
  </si>
  <si>
    <t xml:space="preserve">ja </t>
  </si>
  <si>
    <t>1x 1100 ltr / 1x pw / woensdag</t>
  </si>
  <si>
    <t>Fenacoliuslaan, 56b, Maassluis</t>
  </si>
  <si>
    <t>3143AB</t>
  </si>
  <si>
    <t>P.H. Jagt</t>
  </si>
  <si>
    <t>Peter Jagt</t>
  </si>
  <si>
    <t>Haakweg 33</t>
  </si>
  <si>
    <t>3151 XD</t>
  </si>
  <si>
    <t>06-51609632</t>
  </si>
  <si>
    <t>peter@westhoekmakelaars.nl</t>
  </si>
  <si>
    <t>NL60KNAB0257738010</t>
  </si>
  <si>
    <t>Gemeente</t>
  </si>
  <si>
    <t>ondergrondse containers</t>
  </si>
  <si>
    <t>6maanden</t>
  </si>
  <si>
    <t>15 april  ipv 5 maart aangevangen</t>
  </si>
  <si>
    <t>Haagkamp, 11,  Honselersdijk</t>
  </si>
  <si>
    <t>2675 SK</t>
  </si>
  <si>
    <t>v.o.f. J.C. Mulder</t>
  </si>
  <si>
    <t>Jan Mulder</t>
  </si>
  <si>
    <t>Nieuwe Tuinen 7B</t>
  </si>
  <si>
    <t>2675 SE</t>
  </si>
  <si>
    <t>Honselersdijk</t>
  </si>
  <si>
    <t>06-53690859</t>
  </si>
  <si>
    <t>janmul54@gmail.com</t>
  </si>
  <si>
    <t>NL08RABO0343659077</t>
  </si>
  <si>
    <t>Inclusief met VS</t>
  </si>
  <si>
    <t>Inclusief</t>
  </si>
  <si>
    <t>Gemeente &amp; Renewi</t>
  </si>
  <si>
    <t>Grijs (OW), Groen (EW) / Dinsdag (1x pw), Blauw laatste maandag vd maand / 1x 660 ltr 1x pw dinsdag</t>
  </si>
  <si>
    <t>incl</t>
  </si>
  <si>
    <t>Karel Doormanlaan, 21a,  De Lier</t>
  </si>
  <si>
    <t xml:space="preserve">2678 EX </t>
  </si>
  <si>
    <t>De Rembrandt B.V.</t>
  </si>
  <si>
    <t>Flip van Adrichem</t>
  </si>
  <si>
    <t>Langestraat 48</t>
  </si>
  <si>
    <t>2691 BH</t>
  </si>
  <si>
    <t>s-Gravenzande</t>
  </si>
  <si>
    <t>06-41372342</t>
  </si>
  <si>
    <t>flip@eetcafedewitte.nl</t>
  </si>
  <si>
    <t>NL21RABO0156104105</t>
  </si>
  <si>
    <t>nee</t>
  </si>
  <si>
    <t>1 X 660 ltr/ 1x pw / woensdag</t>
  </si>
  <si>
    <t xml:space="preserve">incl </t>
  </si>
  <si>
    <t>OT</t>
  </si>
  <si>
    <t>1 maand</t>
  </si>
  <si>
    <t>Koperwerf, 28, Den Haag (kamers)</t>
  </si>
  <si>
    <t>2544 EN</t>
  </si>
  <si>
    <t>Lammertink Projecten B.V.</t>
  </si>
  <si>
    <t>Hans Lammertink</t>
  </si>
  <si>
    <t>Schietlood 2</t>
  </si>
  <si>
    <t>2495 AN</t>
  </si>
  <si>
    <t>Den Haag</t>
  </si>
  <si>
    <t xml:space="preserve">085-2739900 </t>
  </si>
  <si>
    <t>Dennis Baak 06-24313837 (schoonzoon) / dbaak@l-groep.nl</t>
  </si>
  <si>
    <t>NL83INGB0677182783</t>
  </si>
  <si>
    <t>dunea</t>
  </si>
  <si>
    <t>Omega</t>
  </si>
  <si>
    <t>Omega 4x 1000ltr 2x p/w</t>
  </si>
  <si>
    <t>Dennis Baak 06-24313837 (schoonzoon)</t>
  </si>
  <si>
    <t>Koperwerf, 28, Den Haag (trefpunt)</t>
  </si>
  <si>
    <t>gedurende jaar</t>
  </si>
  <si>
    <t>incl.</t>
  </si>
  <si>
    <t>Lange Broekweg, 46,  Naaldwijk</t>
  </si>
  <si>
    <t>2671 DV</t>
  </si>
  <si>
    <t>G. Hofland</t>
  </si>
  <si>
    <t>Goos Hofland</t>
  </si>
  <si>
    <t>Lange Broekweg 46</t>
  </si>
  <si>
    <t>Naaldwijk</t>
  </si>
  <si>
    <t>0174-625887</t>
  </si>
  <si>
    <t>goos@hoflandfloweringplants.nl</t>
  </si>
  <si>
    <t>NL27RABO0343661063</t>
  </si>
  <si>
    <t xml:space="preserve">Renewi   </t>
  </si>
  <si>
    <t>1x 500 ltr / 1x pw / dinsdag</t>
  </si>
  <si>
    <t>per maand</t>
  </si>
  <si>
    <t>2022 € 5.200,- huur vermindering</t>
  </si>
  <si>
    <t>Molenweg,3A,  Monster</t>
  </si>
  <si>
    <t>2681 RD</t>
  </si>
  <si>
    <t>M.J.W. van den Enden &amp; B.M. van den Enden</t>
  </si>
  <si>
    <t>Barbara van den Enden</t>
  </si>
  <si>
    <t>Bospolder 4a</t>
  </si>
  <si>
    <t>2675 BL</t>
  </si>
  <si>
    <t>06-51611737 Barbara / 06-54398790 Maup</t>
  </si>
  <si>
    <t>endem3@caiway.nl</t>
  </si>
  <si>
    <t>NL81INGB0112509347</t>
  </si>
  <si>
    <t>Grijs (EW), Groen (OW) / dinsdag, Blauw 1e woensdag vd maand / Rol 500ltr dinsdag (OW)</t>
  </si>
  <si>
    <t>Molenweg, 3 B,  Monster</t>
  </si>
  <si>
    <t>Madeweg, 25 C,  Monster</t>
  </si>
  <si>
    <t>2681 PJ</t>
  </si>
  <si>
    <t>H. van Leeuwen</t>
  </si>
  <si>
    <t>Petra</t>
  </si>
  <si>
    <t>Postbus 170</t>
  </si>
  <si>
    <t>2680 AD</t>
  </si>
  <si>
    <t>Monster</t>
  </si>
  <si>
    <t>06-51262904 / 0174-248804</t>
  </si>
  <si>
    <t>petra@huubvanleeuwen.nl</t>
  </si>
  <si>
    <t>NL96RABO0375644504</t>
  </si>
  <si>
    <t>Renewi</t>
  </si>
  <si>
    <t>1x 500 ltr / 1x pw / maandag</t>
  </si>
  <si>
    <t>Madeweg, 35 A, Monster</t>
  </si>
  <si>
    <t>2681 PK</t>
  </si>
  <si>
    <t>J.S. Vink Vastgoed</t>
  </si>
  <si>
    <t>Denise Vink</t>
  </si>
  <si>
    <t>Boomaweg 27</t>
  </si>
  <si>
    <t xml:space="preserve">2681 RH </t>
  </si>
  <si>
    <t>06-23615767 (denise) 06-53505331 (jan)</t>
  </si>
  <si>
    <t>info@jsvink.nl / d.j.vink@hotmail.com</t>
  </si>
  <si>
    <t>NL14RABO3291687140 en NL20RABO0129949140</t>
  </si>
  <si>
    <t>1x 500 ltr / 1x pw / donderdag</t>
  </si>
  <si>
    <t>Poeldijkseweg, 27, Monster</t>
  </si>
  <si>
    <t>2681 LT</t>
  </si>
  <si>
    <t>P.C. Vijverberg</t>
  </si>
  <si>
    <t>Piet Vijverberg</t>
  </si>
  <si>
    <t>Van Koppenweg 24</t>
  </si>
  <si>
    <t>2672 EH</t>
  </si>
  <si>
    <t>06-53299575</t>
  </si>
  <si>
    <t>piet@pietvijverberg.nl</t>
  </si>
  <si>
    <t>NL95RABO0142277460</t>
  </si>
  <si>
    <t>1x 660 ltr / 1x pw / donderdag</t>
  </si>
  <si>
    <t>Poeldijkseweg, 29, Monster</t>
  </si>
  <si>
    <t>Contract van 2 jaar is inmiddels verlengd voor 2e keer</t>
  </si>
  <si>
    <t>Rietdijkstraat, 56a, Hoek van Holland</t>
  </si>
  <si>
    <t>3151 GJ</t>
  </si>
  <si>
    <t>S.A. van Bergen Vastgoed B.V.</t>
  </si>
  <si>
    <t>S.A. van Bergen</t>
  </si>
  <si>
    <t>Strandweg 25</t>
  </si>
  <si>
    <t>3151 HV</t>
  </si>
  <si>
    <t>Hoek van holland</t>
  </si>
  <si>
    <t>06-30412153</t>
  </si>
  <si>
    <t>bas.vanbergen@aubvanbergen.nl</t>
  </si>
  <si>
    <t>NL11RABO0318502364</t>
  </si>
  <si>
    <t>Rietdijkstraat, 56b, Hoek van Holland</t>
  </si>
  <si>
    <t>Rijpstraat, 24, Hoek van Holland</t>
  </si>
  <si>
    <t>3151 BV</t>
  </si>
  <si>
    <t>F.A.S. van Bergen</t>
  </si>
  <si>
    <t>J. v. Bergen</t>
  </si>
  <si>
    <t>Rijpstraat 22</t>
  </si>
  <si>
    <t>06-53739975</t>
  </si>
  <si>
    <t>jetvbergen@gmail.com</t>
  </si>
  <si>
    <t>NL44ABNA0620327766</t>
  </si>
  <si>
    <t xml:space="preserve">Total  </t>
  </si>
  <si>
    <t>1x 660 ltr   / 1x2 pw / donderdag/ O-W</t>
  </si>
  <si>
    <t>Waellandweg, 12,  Monster</t>
  </si>
  <si>
    <t>2681 LV</t>
  </si>
  <si>
    <t>T. Olsthoorn</t>
  </si>
  <si>
    <t>Ton Olsthoorn</t>
  </si>
  <si>
    <t>Ravellaan 8</t>
  </si>
  <si>
    <t>2671 VT</t>
  </si>
  <si>
    <t>06-22413459</t>
  </si>
  <si>
    <t>tonolsthoorn@kpnmail.nl</t>
  </si>
  <si>
    <t>NL92RABO0342957031</t>
  </si>
  <si>
    <t>0288</t>
  </si>
  <si>
    <t>Zekkenstraat,33 A, Hoek van Holland</t>
  </si>
  <si>
    <t>3151 XP</t>
  </si>
  <si>
    <t>Stichting MCM</t>
  </si>
  <si>
    <t>NL39RABO0334435080</t>
  </si>
  <si>
    <t>In P4F bekend onder 31A en 31B</t>
  </si>
  <si>
    <t>0289</t>
  </si>
  <si>
    <t>Zekkenstraat, 33 B, Hoek van Holland</t>
  </si>
  <si>
    <t>0280</t>
  </si>
  <si>
    <t>0281</t>
  </si>
  <si>
    <t>0276</t>
  </si>
  <si>
    <t>0275</t>
  </si>
  <si>
    <t>0273</t>
  </si>
  <si>
    <t>0279</t>
  </si>
  <si>
    <t>0274</t>
  </si>
  <si>
    <t>0291</t>
  </si>
  <si>
    <t>0278</t>
  </si>
  <si>
    <t>0284</t>
  </si>
  <si>
    <t>0335</t>
  </si>
  <si>
    <t>0282</t>
  </si>
  <si>
    <t>0283</t>
  </si>
  <si>
    <t>0285</t>
  </si>
  <si>
    <t>0378</t>
  </si>
  <si>
    <t>0363</t>
  </si>
  <si>
    <t>0364</t>
  </si>
  <si>
    <t>0377</t>
  </si>
  <si>
    <t>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</si>
</sst>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_ &quot;€&quot;\ * #,##0.00000_ ;_ &quot;€&quot;\ * \-#,##0.00000_ ;_ &quot;€&quot;\ * &quot;-&quot;?????_ ;_ @_ "/>
  </numFmts>
  <fonts count="11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44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3" fillId="0" borderId="0" xfId="3" applyProtection="1"/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left" vertical="center"/>
    </xf>
    <xf numFmtId="44" fontId="0" fillId="0" borderId="0" xfId="0" applyNumberFormat="1" applyAlignment="1">
      <alignment horizontal="left"/>
    </xf>
    <xf numFmtId="14" fontId="0" fillId="5" borderId="0" xfId="0" applyNumberFormat="1" applyFill="1"/>
    <xf numFmtId="0" fontId="0" fillId="0" borderId="0" xfId="0" quotePrefix="1" applyAlignment="1">
      <alignment horizontal="left" vertical="center" wrapText="1"/>
    </xf>
    <xf numFmtId="14" fontId="3" fillId="0" borderId="0" xfId="3" applyNumberFormat="1" applyProtection="1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4" fontId="0" fillId="5" borderId="0" xfId="0" applyNumberFormat="1" applyFill="1"/>
    <xf numFmtId="0" fontId="0" fillId="5" borderId="0" xfId="0" applyFill="1"/>
    <xf numFmtId="0" fontId="2" fillId="3" borderId="0" xfId="2" applyProtection="1"/>
    <xf numFmtId="14" fontId="5" fillId="5" borderId="0" xfId="1" applyNumberFormat="1" applyFont="1" applyFill="1" applyProtection="1"/>
    <xf numFmtId="0" fontId="5" fillId="5" borderId="0" xfId="1" applyFont="1" applyFill="1" applyProtection="1"/>
    <xf numFmtId="0" fontId="0" fillId="0" borderId="0" xfId="0" quotePrefix="1"/>
    <xf numFmtId="0" fontId="0" fillId="6" borderId="0" xfId="0" applyFill="1"/>
    <xf numFmtId="0" fontId="0" fillId="6" borderId="0" xfId="0" applyFill="1" applyAlignment="1">
      <alignment horizontal="left"/>
    </xf>
    <xf numFmtId="44" fontId="5" fillId="6" borderId="0" xfId="0" applyNumberFormat="1" applyFont="1" applyFill="1"/>
    <xf numFmtId="44" fontId="0" fillId="6" borderId="0" xfId="0" applyNumberFormat="1" applyFill="1"/>
    <xf numFmtId="0" fontId="0" fillId="6" borderId="0" xfId="0" quotePrefix="1" applyFill="1"/>
    <xf numFmtId="0" fontId="3" fillId="6" borderId="0" xfId="3" applyFill="1" applyAlignment="1" applyProtection="1">
      <alignment vertical="center"/>
    </xf>
    <xf numFmtId="164" fontId="0" fillId="7" borderId="0" xfId="0" applyNumberFormat="1" applyFill="1" applyAlignment="1">
      <alignment horizontal="center"/>
    </xf>
    <xf numFmtId="44" fontId="0" fillId="4" borderId="0" xfId="0" applyNumberFormat="1" applyFill="1" applyAlignment="1">
      <alignment vertical="center"/>
    </xf>
    <xf numFmtId="14" fontId="0" fillId="0" borderId="0" xfId="0" applyNumberFormat="1"/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44" fontId="0" fillId="0" borderId="0" xfId="0" applyNumberFormat="1" applyAlignment="1">
      <alignment vertical="center"/>
    </xf>
    <xf numFmtId="44" fontId="0" fillId="4" borderId="0" xfId="0" applyNumberFormat="1" applyFill="1"/>
    <xf numFmtId="0" fontId="0" fillId="1" borderId="0" xfId="0" applyFill="1" applyAlignment="1">
      <alignment horizontal="center"/>
    </xf>
    <xf numFmtId="14" fontId="0" fillId="1" borderId="0" xfId="0" applyNumberFormat="1" applyFill="1" applyAlignment="1">
      <alignment horizontal="center"/>
    </xf>
    <xf numFmtId="0" fontId="0" fillId="0" borderId="0" xfId="0" quotePrefix="1" applyAlignment="1">
      <alignment horizontal="left"/>
    </xf>
    <xf numFmtId="0" fontId="6" fillId="0" borderId="0" xfId="0" quotePrefix="1" applyFont="1" applyAlignment="1">
      <alignment horizontal="left"/>
    </xf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dem3@caiway.nl" TargetMode="External"/><Relationship Id="rId3" Type="http://schemas.openxmlformats.org/officeDocument/2006/relationships/hyperlink" Target="mailto:bas.vanbergen@aubvanbergen.nl" TargetMode="External"/><Relationship Id="rId7" Type="http://schemas.openxmlformats.org/officeDocument/2006/relationships/hyperlink" Target="mailto:piet@pietvijverberg.nl" TargetMode="External"/><Relationship Id="rId2" Type="http://schemas.openxmlformats.org/officeDocument/2006/relationships/hyperlink" Target="mailto:goos@hoflandfloweringplants.nl" TargetMode="External"/><Relationship Id="rId1" Type="http://schemas.openxmlformats.org/officeDocument/2006/relationships/hyperlink" Target="mailto:info@jsvink.nl" TargetMode="External"/><Relationship Id="rId6" Type="http://schemas.openxmlformats.org/officeDocument/2006/relationships/hyperlink" Target="mailto:janmul54@gmail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piet@pietvijverberg.nl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bas.vanbergen@aubvanbergen.nl" TargetMode="External"/><Relationship Id="rId9" Type="http://schemas.openxmlformats.org/officeDocument/2006/relationships/hyperlink" Target="mailto:endem3@caiway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0335-F73E-E948-90F0-C23178DD6B5A}">
  <dimension ref="A1:AR23"/>
  <sheetViews>
    <sheetView tabSelected="1" workbookViewId="0">
      <selection activeCell="A23" sqref="A23"/>
    </sheetView>
  </sheetViews>
  <sheetFormatPr baseColWidth="10" defaultRowHeight="16" x14ac:dyDescent="0.2"/>
  <cols>
    <col min="2" max="2" width="32.5" bestFit="1" customWidth="1"/>
    <col min="5" max="5" width="16.6640625" bestFit="1" customWidth="1"/>
    <col min="6" max="6" width="36.33203125" bestFit="1" customWidth="1"/>
    <col min="7" max="7" width="19.6640625" bestFit="1" customWidth="1"/>
    <col min="8" max="8" width="25.1640625" bestFit="1" customWidth="1"/>
    <col min="9" max="9" width="8.5" bestFit="1" customWidth="1"/>
    <col min="10" max="10" width="15.1640625" bestFit="1" customWidth="1"/>
    <col min="11" max="11" width="36.1640625" bestFit="1" customWidth="1"/>
    <col min="12" max="12" width="50.1640625" bestFit="1" customWidth="1"/>
    <col min="13" max="13" width="42.5" bestFit="1" customWidth="1"/>
    <col min="14" max="14" width="7.5" bestFit="1" customWidth="1"/>
    <col min="15" max="15" width="7" bestFit="1" customWidth="1"/>
    <col min="16" max="16" width="8.5" bestFit="1" customWidth="1"/>
    <col min="18" max="18" width="10.33203125" bestFit="1" customWidth="1"/>
    <col min="19" max="19" width="13.5" bestFit="1" customWidth="1"/>
    <col min="20" max="20" width="9.83203125" bestFit="1" customWidth="1"/>
    <col min="21" max="21" width="13.83203125" bestFit="1" customWidth="1"/>
    <col min="22" max="22" width="16.33203125" bestFit="1" customWidth="1"/>
    <col min="23" max="23" width="12.1640625" bestFit="1" customWidth="1"/>
    <col min="24" max="24" width="11.83203125" bestFit="1" customWidth="1"/>
    <col min="25" max="25" width="11.1640625" bestFit="1" customWidth="1"/>
    <col min="26" max="26" width="12.1640625" bestFit="1" customWidth="1"/>
    <col min="27" max="27" width="15.33203125" bestFit="1" customWidth="1"/>
    <col min="28" max="28" width="11.6640625" bestFit="1" customWidth="1"/>
    <col min="29" max="29" width="17.5" bestFit="1" customWidth="1"/>
    <col min="30" max="30" width="16.6640625" bestFit="1" customWidth="1"/>
    <col min="31" max="31" width="12.5" bestFit="1" customWidth="1"/>
    <col min="32" max="32" width="13.5" bestFit="1" customWidth="1"/>
    <col min="33" max="33" width="14.5" bestFit="1" customWidth="1"/>
    <col min="34" max="34" width="17.6640625" bestFit="1" customWidth="1"/>
    <col min="35" max="35" width="14" bestFit="1" customWidth="1"/>
    <col min="36" max="36" width="83.6640625" bestFit="1" customWidth="1"/>
    <col min="37" max="37" width="7.6640625" bestFit="1" customWidth="1"/>
    <col min="38" max="38" width="13" bestFit="1" customWidth="1"/>
    <col min="39" max="39" width="7.6640625" bestFit="1" customWidth="1"/>
    <col min="40" max="42" width="10.5" bestFit="1" customWidth="1"/>
    <col min="43" max="43" width="11.83203125" bestFit="1" customWidth="1"/>
    <col min="44" max="44" width="44.5" bestFit="1" customWidth="1"/>
  </cols>
  <sheetData>
    <row r="1" spans="1:44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2" t="s">
        <v>13</v>
      </c>
      <c r="P1" s="1" t="s">
        <v>14</v>
      </c>
      <c r="Q1" s="1" t="s">
        <v>15</v>
      </c>
      <c r="R1" s="4" t="s">
        <v>16</v>
      </c>
      <c r="S1" s="6" t="s">
        <v>17</v>
      </c>
      <c r="T1" s="7" t="s">
        <v>18</v>
      </c>
      <c r="U1" s="4" t="s">
        <v>19</v>
      </c>
      <c r="V1" s="6" t="s">
        <v>20</v>
      </c>
      <c r="W1" s="7" t="s">
        <v>21</v>
      </c>
      <c r="X1" s="7" t="s">
        <v>22</v>
      </c>
      <c r="Y1" s="7" t="s">
        <v>23</v>
      </c>
      <c r="Z1" s="6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8" t="s">
        <v>29</v>
      </c>
      <c r="AF1" s="8" t="s">
        <v>30</v>
      </c>
      <c r="AG1" s="8" t="s">
        <v>31</v>
      </c>
      <c r="AH1" s="2" t="s">
        <v>32</v>
      </c>
      <c r="AI1" s="3" t="s">
        <v>33</v>
      </c>
      <c r="AJ1" s="2" t="s">
        <v>34</v>
      </c>
      <c r="AK1" s="2" t="s">
        <v>35</v>
      </c>
      <c r="AL1" s="9" t="s">
        <v>36</v>
      </c>
      <c r="AM1" s="4" t="s">
        <v>37</v>
      </c>
      <c r="AN1" s="3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2">
      <c r="A2" s="47" t="s">
        <v>243</v>
      </c>
      <c r="B2" t="s">
        <v>43</v>
      </c>
      <c r="C2" s="10" t="s">
        <v>44</v>
      </c>
      <c r="D2" s="11">
        <v>1375</v>
      </c>
      <c r="E2" s="11">
        <v>119</v>
      </c>
      <c r="F2" t="s">
        <v>45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s="13" t="s">
        <v>50</v>
      </c>
      <c r="M2" s="10" t="s">
        <v>51</v>
      </c>
      <c r="N2" s="10">
        <v>5</v>
      </c>
      <c r="O2" s="10">
        <v>3</v>
      </c>
      <c r="P2" t="s">
        <v>52</v>
      </c>
      <c r="Q2" t="s">
        <v>52</v>
      </c>
      <c r="R2" s="12" t="s">
        <v>53</v>
      </c>
      <c r="S2" s="12" t="s">
        <v>54</v>
      </c>
      <c r="T2" s="14">
        <v>1.46</v>
      </c>
      <c r="U2" s="12" t="s">
        <v>53</v>
      </c>
      <c r="V2" s="12" t="s">
        <v>54</v>
      </c>
      <c r="W2" s="14">
        <v>0</v>
      </c>
      <c r="X2" s="15">
        <v>0.1145</v>
      </c>
      <c r="Y2" s="15">
        <v>0.11013000000000001</v>
      </c>
      <c r="Z2" s="12" t="s">
        <v>55</v>
      </c>
      <c r="AA2" s="12" t="s">
        <v>56</v>
      </c>
      <c r="AB2" s="12">
        <v>4</v>
      </c>
      <c r="AC2" s="16">
        <v>44835</v>
      </c>
      <c r="AD2" s="16">
        <v>46082</v>
      </c>
      <c r="AE2" s="17">
        <f>10.97+13.65+25.39+25.32+47.09</f>
        <v>122.42000000000002</v>
      </c>
      <c r="AF2" s="17">
        <v>0</v>
      </c>
      <c r="AG2" s="17">
        <v>66.36</v>
      </c>
      <c r="AH2" s="18" t="s">
        <v>57</v>
      </c>
      <c r="AI2" s="19">
        <v>115.76</v>
      </c>
      <c r="AJ2" s="18" t="s">
        <v>58</v>
      </c>
      <c r="AK2" s="10" t="s">
        <v>59</v>
      </c>
      <c r="AL2" s="20">
        <v>79</v>
      </c>
      <c r="AM2" s="12" t="s">
        <v>52</v>
      </c>
      <c r="AN2" s="11"/>
      <c r="AO2" s="21">
        <v>41791</v>
      </c>
      <c r="AP2" t="s">
        <v>60</v>
      </c>
      <c r="AQ2" t="s">
        <v>61</v>
      </c>
    </row>
    <row r="3" spans="1:44" ht="17" x14ac:dyDescent="0.2">
      <c r="A3" s="22" t="s">
        <v>244</v>
      </c>
      <c r="B3" t="s">
        <v>62</v>
      </c>
      <c r="C3" s="10" t="s">
        <v>44</v>
      </c>
      <c r="D3" s="11">
        <v>2625</v>
      </c>
      <c r="E3" s="11">
        <v>119</v>
      </c>
      <c r="F3" t="s">
        <v>45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s="13" t="s">
        <v>50</v>
      </c>
      <c r="M3" s="10" t="s">
        <v>51</v>
      </c>
      <c r="N3" s="10">
        <v>8</v>
      </c>
      <c r="O3" s="10">
        <v>5</v>
      </c>
      <c r="P3" t="s">
        <v>52</v>
      </c>
      <c r="Q3" t="s">
        <v>52</v>
      </c>
      <c r="R3" s="12" t="s">
        <v>53</v>
      </c>
      <c r="S3" s="12" t="s">
        <v>54</v>
      </c>
      <c r="T3" s="14">
        <v>1.46</v>
      </c>
      <c r="U3" s="12" t="s">
        <v>53</v>
      </c>
      <c r="V3" s="12" t="s">
        <v>54</v>
      </c>
      <c r="W3" s="14">
        <v>0</v>
      </c>
      <c r="X3" s="15">
        <v>0.1145</v>
      </c>
      <c r="Y3" s="15">
        <v>0.11013000000000001</v>
      </c>
      <c r="Z3" s="12" t="s">
        <v>55</v>
      </c>
      <c r="AA3" s="12" t="s">
        <v>56</v>
      </c>
      <c r="AB3" s="12">
        <v>4</v>
      </c>
      <c r="AC3" s="16">
        <v>44835</v>
      </c>
      <c r="AD3" s="16">
        <v>46082</v>
      </c>
      <c r="AE3" s="17">
        <f>10.97+30.1+5.04+28.1+55.98+46.04+85.64</f>
        <v>261.87</v>
      </c>
      <c r="AF3" s="17">
        <v>0</v>
      </c>
      <c r="AG3" s="17">
        <v>66.36</v>
      </c>
      <c r="AH3" s="18"/>
      <c r="AI3" s="18"/>
      <c r="AJ3" s="18"/>
      <c r="AK3" s="10" t="s">
        <v>59</v>
      </c>
      <c r="AL3" s="20">
        <v>79</v>
      </c>
      <c r="AM3" s="12" t="s">
        <v>52</v>
      </c>
      <c r="AN3" s="11"/>
      <c r="AO3" s="21">
        <v>41791</v>
      </c>
      <c r="AP3" t="s">
        <v>60</v>
      </c>
      <c r="AQ3" t="s">
        <v>61</v>
      </c>
    </row>
    <row r="4" spans="1:44" x14ac:dyDescent="0.2">
      <c r="A4" s="47" t="s">
        <v>245</v>
      </c>
      <c r="B4" t="s">
        <v>63</v>
      </c>
      <c r="C4" s="10" t="s">
        <v>64</v>
      </c>
      <c r="D4" s="11">
        <v>1450</v>
      </c>
      <c r="E4" s="11">
        <v>119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s="23" t="s">
        <v>71</v>
      </c>
      <c r="M4" s="10" t="s">
        <v>72</v>
      </c>
      <c r="N4" s="24">
        <v>6</v>
      </c>
      <c r="O4" s="10">
        <v>4</v>
      </c>
      <c r="P4" t="s">
        <v>52</v>
      </c>
      <c r="Q4" t="s">
        <v>52</v>
      </c>
      <c r="R4" s="12" t="s">
        <v>53</v>
      </c>
      <c r="S4" s="25" t="s">
        <v>54</v>
      </c>
      <c r="T4" s="14">
        <v>0.80162</v>
      </c>
      <c r="U4" s="12" t="s">
        <v>53</v>
      </c>
      <c r="V4" s="25" t="s">
        <v>54</v>
      </c>
      <c r="W4" s="14">
        <v>0</v>
      </c>
      <c r="X4" s="15">
        <v>0.29319000000000001</v>
      </c>
      <c r="Y4" s="15">
        <v>0.16794000000000001</v>
      </c>
      <c r="Z4" s="25" t="s">
        <v>55</v>
      </c>
      <c r="AA4" s="12" t="s">
        <v>56</v>
      </c>
      <c r="AB4" s="12">
        <v>4</v>
      </c>
      <c r="AC4" s="16">
        <v>44621</v>
      </c>
      <c r="AD4" s="16">
        <v>46082</v>
      </c>
      <c r="AE4" s="17">
        <f>34.33+437.42+34.58+41.63+41.63</f>
        <v>589.59</v>
      </c>
      <c r="AF4" s="17">
        <v>0</v>
      </c>
      <c r="AG4" s="17">
        <v>36.24</v>
      </c>
      <c r="AH4" s="10" t="s">
        <v>73</v>
      </c>
      <c r="AI4" s="11">
        <f>407.55/3</f>
        <v>135.85</v>
      </c>
      <c r="AJ4" s="10" t="s">
        <v>74</v>
      </c>
      <c r="AK4" s="10" t="s">
        <v>59</v>
      </c>
      <c r="AL4" s="20">
        <v>79</v>
      </c>
      <c r="AM4" s="12" t="s">
        <v>52</v>
      </c>
      <c r="AN4" s="26">
        <v>1200</v>
      </c>
      <c r="AO4" s="21">
        <v>43466</v>
      </c>
      <c r="AP4" s="21">
        <v>44196</v>
      </c>
      <c r="AQ4" s="27" t="s">
        <v>75</v>
      </c>
      <c r="AR4" t="s">
        <v>76</v>
      </c>
    </row>
    <row r="5" spans="1:44" x14ac:dyDescent="0.2">
      <c r="A5" s="47" t="s">
        <v>246</v>
      </c>
      <c r="B5" t="s">
        <v>77</v>
      </c>
      <c r="C5" s="10" t="s">
        <v>78</v>
      </c>
      <c r="D5" s="11">
        <v>1400</v>
      </c>
      <c r="E5" s="11">
        <v>119</v>
      </c>
      <c r="F5" t="s">
        <v>79</v>
      </c>
      <c r="G5" t="s">
        <v>79</v>
      </c>
      <c r="H5" t="s">
        <v>80</v>
      </c>
      <c r="I5" t="s">
        <v>81</v>
      </c>
      <c r="J5" t="s">
        <v>69</v>
      </c>
      <c r="K5" t="s">
        <v>82</v>
      </c>
      <c r="L5" s="23" t="s">
        <v>83</v>
      </c>
      <c r="M5" s="10" t="s">
        <v>84</v>
      </c>
      <c r="N5" s="10">
        <v>8</v>
      </c>
      <c r="O5" s="10">
        <v>4</v>
      </c>
      <c r="P5" t="s">
        <v>85</v>
      </c>
      <c r="Q5" t="s">
        <v>52</v>
      </c>
      <c r="R5" s="12" t="s">
        <v>53</v>
      </c>
      <c r="S5" s="25" t="s">
        <v>54</v>
      </c>
      <c r="T5" s="14">
        <v>0.80162</v>
      </c>
      <c r="U5" s="12" t="s">
        <v>53</v>
      </c>
      <c r="V5" s="25" t="s">
        <v>54</v>
      </c>
      <c r="W5" s="14">
        <v>0</v>
      </c>
      <c r="X5" s="15">
        <v>0.29319000000000001</v>
      </c>
      <c r="Y5" s="15">
        <v>0.16794000000000001</v>
      </c>
      <c r="Z5" s="25" t="s">
        <v>55</v>
      </c>
      <c r="AA5" s="12" t="s">
        <v>56</v>
      </c>
      <c r="AB5" s="12">
        <v>4</v>
      </c>
      <c r="AC5" s="16">
        <v>44621</v>
      </c>
      <c r="AD5" s="16">
        <v>46082</v>
      </c>
      <c r="AE5" s="17">
        <f>32.66+235.17+186.52+101.06+346.93</f>
        <v>902.34000000000015</v>
      </c>
      <c r="AF5" s="17">
        <v>0</v>
      </c>
      <c r="AG5" s="17">
        <v>99.53</v>
      </c>
      <c r="AH5" s="10" t="s">
        <v>57</v>
      </c>
      <c r="AI5" s="11">
        <v>173.26</v>
      </c>
      <c r="AJ5" s="10" t="s">
        <v>86</v>
      </c>
      <c r="AK5" s="10" t="s">
        <v>59</v>
      </c>
      <c r="AL5" s="20">
        <v>0</v>
      </c>
      <c r="AM5" s="12"/>
      <c r="AN5" s="26">
        <v>2300</v>
      </c>
      <c r="AO5" s="21">
        <v>41239</v>
      </c>
      <c r="AP5" t="s">
        <v>60</v>
      </c>
      <c r="AQ5" t="s">
        <v>61</v>
      </c>
    </row>
    <row r="6" spans="1:44" x14ac:dyDescent="0.2">
      <c r="A6" s="47" t="s">
        <v>247</v>
      </c>
      <c r="B6" t="s">
        <v>87</v>
      </c>
      <c r="C6" s="10" t="s">
        <v>88</v>
      </c>
      <c r="D6" s="11">
        <v>2227</v>
      </c>
      <c r="E6" s="11">
        <v>119</v>
      </c>
      <c r="F6" t="s">
        <v>89</v>
      </c>
      <c r="G6" t="s">
        <v>90</v>
      </c>
      <c r="H6" t="s">
        <v>91</v>
      </c>
      <c r="I6" t="s">
        <v>92</v>
      </c>
      <c r="J6" t="s">
        <v>48</v>
      </c>
      <c r="K6" t="s">
        <v>93</v>
      </c>
      <c r="L6" s="13" t="s">
        <v>94</v>
      </c>
      <c r="M6" s="10" t="s">
        <v>95</v>
      </c>
      <c r="N6" s="24">
        <v>8</v>
      </c>
      <c r="O6" s="10">
        <v>4</v>
      </c>
      <c r="P6" t="s">
        <v>52</v>
      </c>
      <c r="Q6" t="s">
        <v>52</v>
      </c>
      <c r="R6" s="12" t="s">
        <v>53</v>
      </c>
      <c r="S6" s="25" t="s">
        <v>54</v>
      </c>
      <c r="T6" s="14">
        <v>0.80162</v>
      </c>
      <c r="U6" s="12" t="s">
        <v>53</v>
      </c>
      <c r="V6" s="25" t="s">
        <v>54</v>
      </c>
      <c r="W6" s="14">
        <v>0</v>
      </c>
      <c r="X6" s="15">
        <v>0.29319000000000001</v>
      </c>
      <c r="Y6" s="15">
        <v>0.16794000000000001</v>
      </c>
      <c r="Z6" s="25" t="s">
        <v>55</v>
      </c>
      <c r="AA6" s="12" t="s">
        <v>56</v>
      </c>
      <c r="AB6" s="12">
        <v>4</v>
      </c>
      <c r="AC6" s="16">
        <v>44621</v>
      </c>
      <c r="AD6" s="16">
        <v>46082</v>
      </c>
      <c r="AE6" s="17">
        <f>6.98+30.3+93.93+26.62+56.36+174.71</f>
        <v>388.9</v>
      </c>
      <c r="AF6" s="17">
        <v>0</v>
      </c>
      <c r="AG6" s="17">
        <v>0</v>
      </c>
      <c r="AH6" s="10" t="s">
        <v>96</v>
      </c>
      <c r="AI6" s="11">
        <v>0</v>
      </c>
      <c r="AJ6" s="10" t="s">
        <v>97</v>
      </c>
      <c r="AK6" s="10" t="s">
        <v>59</v>
      </c>
      <c r="AL6" s="20">
        <v>79</v>
      </c>
      <c r="AM6" s="12" t="s">
        <v>52</v>
      </c>
      <c r="AN6" s="26">
        <v>2150</v>
      </c>
      <c r="AO6" s="21">
        <v>43896</v>
      </c>
      <c r="AP6" s="21">
        <v>44261</v>
      </c>
      <c r="AQ6" s="28" t="s">
        <v>98</v>
      </c>
      <c r="AR6" t="s">
        <v>99</v>
      </c>
    </row>
    <row r="7" spans="1:44" x14ac:dyDescent="0.2">
      <c r="A7" s="47" t="s">
        <v>248</v>
      </c>
      <c r="B7" t="s">
        <v>100</v>
      </c>
      <c r="C7" s="10" t="s">
        <v>101</v>
      </c>
      <c r="D7" s="11">
        <v>1950</v>
      </c>
      <c r="E7" s="11">
        <v>119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s="13" t="s">
        <v>108</v>
      </c>
      <c r="M7" s="10" t="s">
        <v>109</v>
      </c>
      <c r="N7" s="10">
        <v>6</v>
      </c>
      <c r="O7" s="10">
        <v>3</v>
      </c>
      <c r="P7" t="s">
        <v>52</v>
      </c>
      <c r="Q7" t="s">
        <v>52</v>
      </c>
      <c r="R7" s="12" t="s">
        <v>53</v>
      </c>
      <c r="S7" s="25" t="s">
        <v>54</v>
      </c>
      <c r="T7" s="14">
        <v>0.80162</v>
      </c>
      <c r="U7" s="12" t="s">
        <v>110</v>
      </c>
      <c r="V7" s="12" t="s">
        <v>110</v>
      </c>
      <c r="W7" s="14">
        <v>0</v>
      </c>
      <c r="X7" s="15">
        <v>0</v>
      </c>
      <c r="Y7" s="15">
        <v>0</v>
      </c>
      <c r="Z7" s="12" t="s">
        <v>111</v>
      </c>
      <c r="AA7" s="12" t="s">
        <v>111</v>
      </c>
      <c r="AB7" s="12">
        <v>1</v>
      </c>
      <c r="AC7" s="16">
        <v>44621</v>
      </c>
      <c r="AD7" s="16">
        <v>46082</v>
      </c>
      <c r="AE7" s="17">
        <f>2592.78-2163.42</f>
        <v>429.36000000000013</v>
      </c>
      <c r="AF7" s="17">
        <v>0</v>
      </c>
      <c r="AG7" s="17">
        <v>53.34</v>
      </c>
      <c r="AH7" s="10" t="s">
        <v>112</v>
      </c>
      <c r="AI7" s="11">
        <v>134.88</v>
      </c>
      <c r="AJ7" s="10" t="s">
        <v>113</v>
      </c>
      <c r="AK7" s="10" t="s">
        <v>114</v>
      </c>
      <c r="AL7" s="20">
        <v>0</v>
      </c>
      <c r="AM7" s="12" t="s">
        <v>52</v>
      </c>
      <c r="AN7" s="11"/>
      <c r="AO7" s="21">
        <v>41239</v>
      </c>
      <c r="AP7" s="29">
        <v>44197</v>
      </c>
      <c r="AQ7" s="30" t="s">
        <v>75</v>
      </c>
    </row>
    <row r="8" spans="1:44" x14ac:dyDescent="0.2">
      <c r="A8" s="47" t="s">
        <v>249</v>
      </c>
      <c r="B8" t="s">
        <v>115</v>
      </c>
      <c r="C8" s="10" t="s">
        <v>116</v>
      </c>
      <c r="D8" s="11">
        <v>1150</v>
      </c>
      <c r="E8" s="11">
        <v>119</v>
      </c>
      <c r="F8" t="s">
        <v>117</v>
      </c>
      <c r="G8" t="s">
        <v>118</v>
      </c>
      <c r="H8" t="s">
        <v>119</v>
      </c>
      <c r="I8" t="s">
        <v>120</v>
      </c>
      <c r="J8" s="31" t="s">
        <v>121</v>
      </c>
      <c r="K8" t="s">
        <v>122</v>
      </c>
      <c r="L8" s="13" t="s">
        <v>123</v>
      </c>
      <c r="M8" s="10" t="s">
        <v>124</v>
      </c>
      <c r="N8" s="24">
        <v>4</v>
      </c>
      <c r="O8" s="10">
        <v>2</v>
      </c>
      <c r="P8" t="s">
        <v>52</v>
      </c>
      <c r="Q8" t="s">
        <v>125</v>
      </c>
      <c r="R8" s="12" t="s">
        <v>111</v>
      </c>
      <c r="S8" s="25" t="s">
        <v>111</v>
      </c>
      <c r="T8" s="14">
        <v>0</v>
      </c>
      <c r="U8" s="25" t="s">
        <v>111</v>
      </c>
      <c r="V8" s="25" t="s">
        <v>111</v>
      </c>
      <c r="W8" s="14">
        <v>0</v>
      </c>
      <c r="X8" s="15">
        <v>0</v>
      </c>
      <c r="Y8" s="15">
        <v>0</v>
      </c>
      <c r="Z8" s="25" t="s">
        <v>111</v>
      </c>
      <c r="AA8" s="25" t="s">
        <v>111</v>
      </c>
      <c r="AB8" s="12"/>
      <c r="AC8" s="12"/>
      <c r="AD8" s="12"/>
      <c r="AE8" s="17">
        <v>0</v>
      </c>
      <c r="AF8" s="17">
        <v>0</v>
      </c>
      <c r="AG8" s="17">
        <v>95.43</v>
      </c>
      <c r="AH8" s="10" t="s">
        <v>57</v>
      </c>
      <c r="AI8" s="11">
        <v>134.88</v>
      </c>
      <c r="AJ8" s="10" t="s">
        <v>126</v>
      </c>
      <c r="AK8" s="10" t="s">
        <v>127</v>
      </c>
      <c r="AL8" s="20">
        <v>0</v>
      </c>
      <c r="AM8" s="12" t="s">
        <v>52</v>
      </c>
      <c r="AN8" s="26">
        <v>1000</v>
      </c>
      <c r="AO8" s="21">
        <v>43160</v>
      </c>
      <c r="AP8" t="s">
        <v>128</v>
      </c>
      <c r="AQ8" s="27" t="s">
        <v>129</v>
      </c>
    </row>
    <row r="9" spans="1:44" x14ac:dyDescent="0.2">
      <c r="A9" s="48" t="s">
        <v>250</v>
      </c>
      <c r="B9" s="32" t="s">
        <v>130</v>
      </c>
      <c r="C9" s="33" t="s">
        <v>131</v>
      </c>
      <c r="D9" s="34">
        <v>41710</v>
      </c>
      <c r="E9" s="35">
        <v>119</v>
      </c>
      <c r="F9" s="32" t="s">
        <v>132</v>
      </c>
      <c r="G9" s="32" t="s">
        <v>133</v>
      </c>
      <c r="H9" s="32" t="s">
        <v>134</v>
      </c>
      <c r="I9" s="32" t="s">
        <v>135</v>
      </c>
      <c r="J9" s="36" t="s">
        <v>136</v>
      </c>
      <c r="K9" s="32" t="s">
        <v>137</v>
      </c>
      <c r="L9" s="37" t="s">
        <v>138</v>
      </c>
      <c r="M9" s="10" t="s">
        <v>139</v>
      </c>
      <c r="N9" s="24">
        <v>150</v>
      </c>
      <c r="O9" s="10">
        <v>86</v>
      </c>
      <c r="P9" t="s">
        <v>52</v>
      </c>
      <c r="Q9" t="s">
        <v>52</v>
      </c>
      <c r="R9" s="12" t="s">
        <v>53</v>
      </c>
      <c r="S9" s="12" t="s">
        <v>54</v>
      </c>
      <c r="T9" s="38"/>
      <c r="U9" s="12" t="s">
        <v>53</v>
      </c>
      <c r="V9" s="25" t="s">
        <v>54</v>
      </c>
      <c r="W9" s="14">
        <v>0</v>
      </c>
      <c r="X9" s="15">
        <v>0.15779000000000001</v>
      </c>
      <c r="Y9" s="15">
        <v>0.12237000000000001</v>
      </c>
      <c r="Z9" s="12" t="s">
        <v>55</v>
      </c>
      <c r="AA9" s="12" t="s">
        <v>140</v>
      </c>
      <c r="AB9" s="12">
        <v>4</v>
      </c>
      <c r="AC9" s="16">
        <v>44621</v>
      </c>
      <c r="AD9" s="16">
        <v>46082</v>
      </c>
      <c r="AE9" s="17">
        <f>85654.07-71675.57</f>
        <v>13978.5</v>
      </c>
      <c r="AF9" s="17">
        <v>0</v>
      </c>
      <c r="AG9" s="17">
        <v>207.61</v>
      </c>
      <c r="AH9" s="10" t="s">
        <v>141</v>
      </c>
      <c r="AI9" s="39">
        <v>845.56</v>
      </c>
      <c r="AJ9" s="18" t="s">
        <v>142</v>
      </c>
      <c r="AK9" s="10" t="s">
        <v>59</v>
      </c>
      <c r="AL9" s="20">
        <v>237</v>
      </c>
      <c r="AM9" s="12"/>
      <c r="AN9" s="11"/>
      <c r="AO9" s="21">
        <v>43591</v>
      </c>
      <c r="AP9" s="40">
        <v>45396</v>
      </c>
      <c r="AR9" s="41" t="s">
        <v>143</v>
      </c>
    </row>
    <row r="10" spans="1:44" x14ac:dyDescent="0.2">
      <c r="A10" s="48" t="s">
        <v>250</v>
      </c>
      <c r="B10" s="32" t="s">
        <v>144</v>
      </c>
      <c r="C10" s="33" t="s">
        <v>131</v>
      </c>
      <c r="D10" s="34">
        <v>1500</v>
      </c>
      <c r="E10" s="35">
        <v>119</v>
      </c>
      <c r="F10" s="32" t="s">
        <v>132</v>
      </c>
      <c r="G10" s="32" t="s">
        <v>133</v>
      </c>
      <c r="H10" s="32" t="s">
        <v>134</v>
      </c>
      <c r="I10" s="32" t="s">
        <v>135</v>
      </c>
      <c r="J10" s="36" t="s">
        <v>136</v>
      </c>
      <c r="K10" s="32" t="s">
        <v>137</v>
      </c>
      <c r="L10" s="42"/>
      <c r="M10" s="10" t="s">
        <v>139</v>
      </c>
      <c r="N10" s="24"/>
      <c r="O10" s="10"/>
      <c r="P10" t="s">
        <v>52</v>
      </c>
      <c r="Q10" t="s">
        <v>52</v>
      </c>
      <c r="R10" s="12" t="s">
        <v>53</v>
      </c>
      <c r="S10" s="12" t="s">
        <v>54</v>
      </c>
      <c r="T10" s="38"/>
      <c r="U10" s="12" t="s">
        <v>53</v>
      </c>
      <c r="V10" s="25" t="s">
        <v>54</v>
      </c>
      <c r="W10" s="14">
        <v>0</v>
      </c>
      <c r="X10" s="15">
        <v>0.15779000000000001</v>
      </c>
      <c r="Y10" s="15">
        <v>0.12237000000000001</v>
      </c>
      <c r="Z10" s="12" t="s">
        <v>55</v>
      </c>
      <c r="AA10" s="25" t="s">
        <v>140</v>
      </c>
      <c r="AB10" s="12">
        <v>4</v>
      </c>
      <c r="AC10" s="16" t="s">
        <v>145</v>
      </c>
      <c r="AD10" s="16">
        <v>46082</v>
      </c>
      <c r="AE10" s="17">
        <v>0</v>
      </c>
      <c r="AF10" s="17">
        <v>0</v>
      </c>
      <c r="AG10" s="17">
        <v>0</v>
      </c>
      <c r="AH10" s="10" t="s">
        <v>146</v>
      </c>
      <c r="AI10" s="41"/>
      <c r="AJ10" s="18"/>
      <c r="AK10" s="10" t="s">
        <v>59</v>
      </c>
      <c r="AL10" s="20">
        <v>395</v>
      </c>
      <c r="AM10" s="12"/>
      <c r="AN10" s="11"/>
      <c r="AO10" s="21">
        <v>43891</v>
      </c>
      <c r="AP10" s="40">
        <v>45396</v>
      </c>
      <c r="AR10" s="41"/>
    </row>
    <row r="11" spans="1:44" x14ac:dyDescent="0.2">
      <c r="A11" s="47" t="s">
        <v>251</v>
      </c>
      <c r="B11" t="s">
        <v>147</v>
      </c>
      <c r="C11" s="10" t="s">
        <v>148</v>
      </c>
      <c r="D11" s="11">
        <v>1825</v>
      </c>
      <c r="E11" s="11">
        <v>119</v>
      </c>
      <c r="F11" t="s">
        <v>149</v>
      </c>
      <c r="G11" t="s">
        <v>150</v>
      </c>
      <c r="H11" t="s">
        <v>151</v>
      </c>
      <c r="I11" t="s">
        <v>148</v>
      </c>
      <c r="J11" t="s">
        <v>152</v>
      </c>
      <c r="K11" t="s">
        <v>153</v>
      </c>
      <c r="L11" s="13" t="s">
        <v>154</v>
      </c>
      <c r="M11" t="s">
        <v>155</v>
      </c>
      <c r="N11" s="10">
        <v>8</v>
      </c>
      <c r="O11" s="10">
        <v>5</v>
      </c>
      <c r="P11" t="s">
        <v>52</v>
      </c>
      <c r="Q11" t="s">
        <v>125</v>
      </c>
      <c r="R11" s="12" t="s">
        <v>111</v>
      </c>
      <c r="S11" s="12" t="s">
        <v>111</v>
      </c>
      <c r="T11" s="14">
        <v>0</v>
      </c>
      <c r="U11" s="12" t="s">
        <v>111</v>
      </c>
      <c r="V11" s="12" t="s">
        <v>111</v>
      </c>
      <c r="W11" s="14">
        <v>0</v>
      </c>
      <c r="X11" s="15">
        <v>0</v>
      </c>
      <c r="Y11" s="15">
        <v>0</v>
      </c>
      <c r="Z11" s="12" t="s">
        <v>111</v>
      </c>
      <c r="AA11" s="12" t="s">
        <v>111</v>
      </c>
      <c r="AB11" s="12"/>
      <c r="AC11" s="12"/>
      <c r="AD11" s="12"/>
      <c r="AE11" s="17">
        <v>0</v>
      </c>
      <c r="AF11" s="17">
        <v>0</v>
      </c>
      <c r="AG11" s="17">
        <v>22.83</v>
      </c>
      <c r="AH11" s="10" t="s">
        <v>156</v>
      </c>
      <c r="AI11" s="11">
        <f>377.66/3</f>
        <v>125.88666666666667</v>
      </c>
      <c r="AJ11" s="10" t="s">
        <v>157</v>
      </c>
      <c r="AK11" s="10" t="s">
        <v>59</v>
      </c>
      <c r="AL11" s="20">
        <v>79</v>
      </c>
      <c r="AM11" s="12" t="s">
        <v>52</v>
      </c>
      <c r="AN11" s="26">
        <v>1750</v>
      </c>
      <c r="AO11" s="21">
        <v>43079</v>
      </c>
      <c r="AP11" t="s">
        <v>60</v>
      </c>
      <c r="AQ11" t="s">
        <v>158</v>
      </c>
      <c r="AR11" t="s">
        <v>159</v>
      </c>
    </row>
    <row r="12" spans="1:44" x14ac:dyDescent="0.2">
      <c r="A12" s="47" t="s">
        <v>252</v>
      </c>
      <c r="B12" t="s">
        <v>160</v>
      </c>
      <c r="C12" s="10" t="s">
        <v>161</v>
      </c>
      <c r="D12" s="11">
        <v>1800</v>
      </c>
      <c r="E12" s="11">
        <v>119</v>
      </c>
      <c r="F12" t="s">
        <v>162</v>
      </c>
      <c r="G12" t="s">
        <v>163</v>
      </c>
      <c r="H12" t="s">
        <v>164</v>
      </c>
      <c r="I12" t="s">
        <v>165</v>
      </c>
      <c r="J12" t="s">
        <v>106</v>
      </c>
      <c r="K12" t="s">
        <v>166</v>
      </c>
      <c r="L12" s="13" t="s">
        <v>167</v>
      </c>
      <c r="M12" s="10" t="s">
        <v>168</v>
      </c>
      <c r="N12" s="10">
        <v>7</v>
      </c>
      <c r="O12" s="10">
        <v>4</v>
      </c>
      <c r="P12" t="s">
        <v>85</v>
      </c>
      <c r="Q12" t="s">
        <v>52</v>
      </c>
      <c r="R12" s="12" t="s">
        <v>53</v>
      </c>
      <c r="S12" s="25" t="s">
        <v>54</v>
      </c>
      <c r="T12" s="14">
        <v>0.80162</v>
      </c>
      <c r="U12" s="12" t="s">
        <v>53</v>
      </c>
      <c r="V12" s="25" t="s">
        <v>54</v>
      </c>
      <c r="W12" s="14">
        <v>0</v>
      </c>
      <c r="X12" s="15">
        <v>0.29319000000000001</v>
      </c>
      <c r="Y12" s="15">
        <v>0.16794000000000001</v>
      </c>
      <c r="Z12" s="25" t="s">
        <v>55</v>
      </c>
      <c r="AA12" s="12" t="s">
        <v>56</v>
      </c>
      <c r="AB12" s="12">
        <v>4</v>
      </c>
      <c r="AC12" s="16">
        <v>44621</v>
      </c>
      <c r="AD12" s="16">
        <v>46082</v>
      </c>
      <c r="AE12" s="17">
        <f>3780.09-3170.42</f>
        <v>609.67000000000007</v>
      </c>
      <c r="AF12" s="17">
        <v>0</v>
      </c>
      <c r="AG12" s="17">
        <v>97.4</v>
      </c>
      <c r="AH12" s="10" t="s">
        <v>73</v>
      </c>
      <c r="AI12" s="11">
        <f>188.85/3</f>
        <v>62.949999999999996</v>
      </c>
      <c r="AJ12" s="10" t="s">
        <v>169</v>
      </c>
      <c r="AK12" s="10" t="s">
        <v>59</v>
      </c>
      <c r="AL12" s="20">
        <v>79</v>
      </c>
      <c r="AM12" s="12" t="s">
        <v>52</v>
      </c>
      <c r="AN12" s="11"/>
      <c r="AO12" s="21">
        <v>41239</v>
      </c>
      <c r="AP12" t="s">
        <v>60</v>
      </c>
    </row>
    <row r="13" spans="1:44" ht="17" x14ac:dyDescent="0.2">
      <c r="A13" s="22" t="s">
        <v>253</v>
      </c>
      <c r="B13" t="s">
        <v>170</v>
      </c>
      <c r="C13" s="10" t="s">
        <v>161</v>
      </c>
      <c r="D13" s="11">
        <v>1800</v>
      </c>
      <c r="E13" s="11">
        <v>119</v>
      </c>
      <c r="F13" t="s">
        <v>162</v>
      </c>
      <c r="G13" t="s">
        <v>163</v>
      </c>
      <c r="H13" t="s">
        <v>164</v>
      </c>
      <c r="I13" t="s">
        <v>165</v>
      </c>
      <c r="J13" t="s">
        <v>106</v>
      </c>
      <c r="K13" t="s">
        <v>166</v>
      </c>
      <c r="L13" s="13" t="s">
        <v>167</v>
      </c>
      <c r="M13" s="10" t="s">
        <v>168</v>
      </c>
      <c r="N13" s="10">
        <v>5</v>
      </c>
      <c r="O13" s="10">
        <v>3</v>
      </c>
      <c r="R13" s="12" t="s">
        <v>111</v>
      </c>
      <c r="S13" s="25"/>
      <c r="T13" s="14"/>
      <c r="U13" s="12" t="s">
        <v>110</v>
      </c>
      <c r="V13" s="25" t="s">
        <v>110</v>
      </c>
      <c r="W13" s="14"/>
      <c r="X13" s="15"/>
      <c r="Y13" s="15"/>
      <c r="Z13" s="25"/>
      <c r="AA13" s="12"/>
      <c r="AB13" s="12"/>
      <c r="AC13" s="16">
        <v>45659</v>
      </c>
      <c r="AD13" s="16"/>
      <c r="AE13" s="17">
        <v>200</v>
      </c>
      <c r="AF13" s="17"/>
      <c r="AG13" s="17"/>
      <c r="AH13" s="10" t="s">
        <v>73</v>
      </c>
      <c r="AI13" s="11">
        <f>188.85/3</f>
        <v>62.949999999999996</v>
      </c>
      <c r="AJ13" s="10"/>
      <c r="AK13" s="10" t="s">
        <v>59</v>
      </c>
      <c r="AL13" s="20">
        <v>79</v>
      </c>
      <c r="AM13" s="12" t="s">
        <v>52</v>
      </c>
      <c r="AN13" s="11">
        <v>3600</v>
      </c>
      <c r="AO13" s="21">
        <v>45659</v>
      </c>
    </row>
    <row r="14" spans="1:44" x14ac:dyDescent="0.2">
      <c r="A14" s="47" t="s">
        <v>254</v>
      </c>
      <c r="B14" t="s">
        <v>171</v>
      </c>
      <c r="C14" s="10" t="s">
        <v>172</v>
      </c>
      <c r="D14" s="11">
        <v>2600</v>
      </c>
      <c r="E14" s="11">
        <v>119</v>
      </c>
      <c r="F14" t="s">
        <v>173</v>
      </c>
      <c r="G14" t="s">
        <v>174</v>
      </c>
      <c r="H14" t="s">
        <v>175</v>
      </c>
      <c r="I14" t="s">
        <v>176</v>
      </c>
      <c r="J14" t="s">
        <v>177</v>
      </c>
      <c r="K14" t="s">
        <v>178</v>
      </c>
      <c r="L14" s="23" t="s">
        <v>179</v>
      </c>
      <c r="M14" s="10" t="s">
        <v>180</v>
      </c>
      <c r="N14" s="10">
        <v>8</v>
      </c>
      <c r="O14" s="10">
        <v>4</v>
      </c>
      <c r="P14" t="s">
        <v>52</v>
      </c>
      <c r="Q14" t="s">
        <v>125</v>
      </c>
      <c r="R14" s="12" t="s">
        <v>111</v>
      </c>
      <c r="S14" s="12" t="s">
        <v>111</v>
      </c>
      <c r="T14" s="14">
        <v>0</v>
      </c>
      <c r="U14" s="12" t="s">
        <v>111</v>
      </c>
      <c r="V14" s="12" t="s">
        <v>111</v>
      </c>
      <c r="W14" s="14">
        <v>0</v>
      </c>
      <c r="X14" s="15">
        <v>0</v>
      </c>
      <c r="Y14" s="15">
        <v>0</v>
      </c>
      <c r="Z14" s="12" t="s">
        <v>111</v>
      </c>
      <c r="AA14" s="12" t="s">
        <v>111</v>
      </c>
      <c r="AB14" s="12"/>
      <c r="AC14" s="12"/>
      <c r="AD14" s="12"/>
      <c r="AE14" s="17">
        <v>0</v>
      </c>
      <c r="AF14" s="17">
        <v>0</v>
      </c>
      <c r="AG14" s="17">
        <v>77.459999999999994</v>
      </c>
      <c r="AH14" s="10" t="s">
        <v>181</v>
      </c>
      <c r="AI14" s="11">
        <f>377.66/3</f>
        <v>125.88666666666667</v>
      </c>
      <c r="AJ14" s="10" t="s">
        <v>182</v>
      </c>
      <c r="AK14" s="10" t="s">
        <v>59</v>
      </c>
      <c r="AL14" s="20">
        <v>79</v>
      </c>
      <c r="AM14" s="12"/>
      <c r="AN14" s="11"/>
      <c r="AO14" s="40">
        <v>42826</v>
      </c>
      <c r="AP14" t="s">
        <v>60</v>
      </c>
    </row>
    <row r="15" spans="1:44" ht="17" x14ac:dyDescent="0.2">
      <c r="A15" s="22" t="s">
        <v>255</v>
      </c>
      <c r="B15" t="s">
        <v>183</v>
      </c>
      <c r="C15" s="10" t="s">
        <v>184</v>
      </c>
      <c r="D15" s="11">
        <v>2020</v>
      </c>
      <c r="E15" s="11">
        <v>119</v>
      </c>
      <c r="F15" t="s">
        <v>185</v>
      </c>
      <c r="G15" t="s">
        <v>186</v>
      </c>
      <c r="H15" t="s">
        <v>187</v>
      </c>
      <c r="I15" t="s">
        <v>188</v>
      </c>
      <c r="J15" t="s">
        <v>177</v>
      </c>
      <c r="K15" t="s">
        <v>189</v>
      </c>
      <c r="L15" s="23" t="s">
        <v>190</v>
      </c>
      <c r="M15" s="10" t="s">
        <v>191</v>
      </c>
      <c r="N15" s="10">
        <v>7</v>
      </c>
      <c r="O15" s="10">
        <v>4</v>
      </c>
      <c r="P15" t="s">
        <v>52</v>
      </c>
      <c r="Q15" t="s">
        <v>52</v>
      </c>
      <c r="R15" s="12" t="s">
        <v>53</v>
      </c>
      <c r="S15" s="25" t="s">
        <v>54</v>
      </c>
      <c r="T15" s="14">
        <v>0.80162</v>
      </c>
      <c r="U15" s="12" t="s">
        <v>53</v>
      </c>
      <c r="V15" s="12" t="s">
        <v>54</v>
      </c>
      <c r="W15" s="14">
        <v>0</v>
      </c>
      <c r="X15" s="15">
        <v>0.29319000000000001</v>
      </c>
      <c r="Y15" s="15">
        <v>0.16794000000000001</v>
      </c>
      <c r="Z15" s="12" t="s">
        <v>111</v>
      </c>
      <c r="AA15" s="12" t="s">
        <v>111</v>
      </c>
      <c r="AB15" s="12">
        <v>4</v>
      </c>
      <c r="AC15" s="16">
        <v>44621</v>
      </c>
      <c r="AD15" s="16">
        <v>46082</v>
      </c>
      <c r="AE15" s="17">
        <f>6129.86-5496.99</f>
        <v>632.86999999999989</v>
      </c>
      <c r="AF15" s="17">
        <v>0</v>
      </c>
      <c r="AG15" s="17">
        <f>32.11+15.37</f>
        <v>47.48</v>
      </c>
      <c r="AH15" s="10" t="s">
        <v>181</v>
      </c>
      <c r="AI15" s="11">
        <f>377.66/3</f>
        <v>125.88666666666667</v>
      </c>
      <c r="AJ15" s="10" t="s">
        <v>192</v>
      </c>
      <c r="AK15" s="10"/>
      <c r="AL15" s="20">
        <v>79</v>
      </c>
      <c r="AM15" s="12"/>
      <c r="AN15" s="11"/>
      <c r="AO15" s="40">
        <v>44256</v>
      </c>
    </row>
    <row r="16" spans="1:44" x14ac:dyDescent="0.2">
      <c r="A16" s="47" t="s">
        <v>256</v>
      </c>
      <c r="B16" t="s">
        <v>193</v>
      </c>
      <c r="C16" s="10" t="s">
        <v>194</v>
      </c>
      <c r="D16" s="11">
        <v>850</v>
      </c>
      <c r="E16" s="11">
        <v>119</v>
      </c>
      <c r="F16" t="s">
        <v>195</v>
      </c>
      <c r="G16" t="s">
        <v>196</v>
      </c>
      <c r="H16" t="s">
        <v>197</v>
      </c>
      <c r="I16" t="s">
        <v>198</v>
      </c>
      <c r="J16" t="s">
        <v>152</v>
      </c>
      <c r="K16" t="s">
        <v>199</v>
      </c>
      <c r="L16" s="23" t="s">
        <v>200</v>
      </c>
      <c r="M16" s="10" t="s">
        <v>201</v>
      </c>
      <c r="N16" s="24"/>
      <c r="O16" s="10"/>
      <c r="R16" s="12"/>
      <c r="S16" s="25"/>
      <c r="T16" s="14"/>
      <c r="U16" s="12"/>
      <c r="V16" s="12"/>
      <c r="W16" s="14"/>
      <c r="X16" s="15"/>
      <c r="Y16" s="15"/>
      <c r="Z16" s="12"/>
      <c r="AA16" s="12"/>
      <c r="AB16" s="12"/>
      <c r="AC16" s="16"/>
      <c r="AD16" s="16"/>
      <c r="AE16" s="17"/>
      <c r="AF16" s="17"/>
      <c r="AG16" s="17"/>
      <c r="AH16" s="10"/>
      <c r="AI16" s="43">
        <v>138.19999999999999</v>
      </c>
      <c r="AJ16" s="18" t="s">
        <v>202</v>
      </c>
      <c r="AK16" s="10"/>
      <c r="AL16" s="20"/>
      <c r="AM16" s="12"/>
      <c r="AN16" s="11"/>
      <c r="AO16" s="40">
        <v>45231</v>
      </c>
      <c r="AP16" s="40">
        <v>45961</v>
      </c>
      <c r="AQ16" t="s">
        <v>129</v>
      </c>
    </row>
    <row r="17" spans="1:44" ht="17" x14ac:dyDescent="0.2">
      <c r="A17" s="22" t="s">
        <v>257</v>
      </c>
      <c r="B17" t="s">
        <v>203</v>
      </c>
      <c r="C17" s="10" t="s">
        <v>194</v>
      </c>
      <c r="D17" s="11">
        <v>1500</v>
      </c>
      <c r="E17" s="11">
        <v>119</v>
      </c>
      <c r="F17" t="s">
        <v>195</v>
      </c>
      <c r="G17" t="s">
        <v>196</v>
      </c>
      <c r="H17" t="s">
        <v>197</v>
      </c>
      <c r="I17" t="s">
        <v>198</v>
      </c>
      <c r="J17" t="s">
        <v>152</v>
      </c>
      <c r="K17" t="s">
        <v>199</v>
      </c>
      <c r="L17" s="23" t="s">
        <v>200</v>
      </c>
      <c r="M17" s="10" t="s">
        <v>201</v>
      </c>
      <c r="N17" s="10"/>
      <c r="O17" s="10"/>
      <c r="R17" s="12"/>
      <c r="S17" s="25"/>
      <c r="T17" s="14"/>
      <c r="U17" s="12"/>
      <c r="V17" s="12"/>
      <c r="W17" s="14"/>
      <c r="X17" s="15"/>
      <c r="Y17" s="15"/>
      <c r="Z17" s="12"/>
      <c r="AA17" s="12"/>
      <c r="AB17" s="12"/>
      <c r="AC17" s="16"/>
      <c r="AD17" s="16"/>
      <c r="AE17" s="17">
        <v>0</v>
      </c>
      <c r="AF17" s="17"/>
      <c r="AG17" s="17"/>
      <c r="AH17" s="10" t="s">
        <v>57</v>
      </c>
      <c r="AI17" s="41"/>
      <c r="AJ17" s="18"/>
      <c r="AK17" s="10"/>
      <c r="AL17" s="20"/>
      <c r="AM17" s="12"/>
      <c r="AN17" s="11"/>
      <c r="AO17" s="40">
        <v>45108</v>
      </c>
      <c r="AP17" s="40">
        <v>46568</v>
      </c>
      <c r="AQ17" t="s">
        <v>129</v>
      </c>
      <c r="AR17" t="s">
        <v>204</v>
      </c>
    </row>
    <row r="18" spans="1:44" ht="17" x14ac:dyDescent="0.2">
      <c r="A18" s="22" t="s">
        <v>258</v>
      </c>
      <c r="B18" t="s">
        <v>205</v>
      </c>
      <c r="C18" s="10" t="s">
        <v>206</v>
      </c>
      <c r="D18" s="11">
        <v>1300</v>
      </c>
      <c r="E18" s="11">
        <v>119</v>
      </c>
      <c r="F18" t="s">
        <v>207</v>
      </c>
      <c r="G18" t="s">
        <v>208</v>
      </c>
      <c r="H18" t="s">
        <v>209</v>
      </c>
      <c r="I18" t="s">
        <v>210</v>
      </c>
      <c r="J18" s="31" t="s">
        <v>211</v>
      </c>
      <c r="K18" t="s">
        <v>212</v>
      </c>
      <c r="L18" s="13" t="s">
        <v>213</v>
      </c>
      <c r="M18" s="10" t="s">
        <v>214</v>
      </c>
      <c r="N18" s="10">
        <v>4</v>
      </c>
      <c r="O18" s="10">
        <v>2</v>
      </c>
      <c r="P18" t="s">
        <v>52</v>
      </c>
      <c r="R18" s="12" t="s">
        <v>53</v>
      </c>
      <c r="S18" s="25" t="s">
        <v>54</v>
      </c>
      <c r="T18" s="14">
        <v>1.4824900000000001</v>
      </c>
      <c r="U18" s="12" t="s">
        <v>53</v>
      </c>
      <c r="V18" s="25" t="s">
        <v>54</v>
      </c>
      <c r="W18" s="14">
        <v>0</v>
      </c>
      <c r="X18" s="15">
        <v>0.28377999999999998</v>
      </c>
      <c r="Y18" s="15">
        <v>0.24836</v>
      </c>
      <c r="Z18" s="25" t="s">
        <v>55</v>
      </c>
      <c r="AA18" s="12" t="s">
        <v>56</v>
      </c>
      <c r="AB18" s="12">
        <v>4</v>
      </c>
      <c r="AC18" s="16">
        <v>44958</v>
      </c>
      <c r="AD18" s="16">
        <v>46082</v>
      </c>
      <c r="AE18" s="17">
        <v>6.7</v>
      </c>
      <c r="AF18" s="17">
        <v>0</v>
      </c>
      <c r="AG18" s="17">
        <v>0</v>
      </c>
      <c r="AH18" s="10"/>
      <c r="AI18" s="11">
        <v>0</v>
      </c>
      <c r="AJ18" s="10"/>
      <c r="AK18" s="10"/>
      <c r="AL18" s="20"/>
      <c r="AM18" s="12" t="s">
        <v>52</v>
      </c>
      <c r="AN18" s="11">
        <v>1300</v>
      </c>
      <c r="AO18" s="21">
        <v>44927</v>
      </c>
      <c r="AP18" s="40">
        <v>45291</v>
      </c>
      <c r="AQ18" t="s">
        <v>129</v>
      </c>
    </row>
    <row r="19" spans="1:44" ht="17" x14ac:dyDescent="0.2">
      <c r="A19" s="22" t="s">
        <v>259</v>
      </c>
      <c r="B19" t="s">
        <v>215</v>
      </c>
      <c r="C19" s="10" t="s">
        <v>206</v>
      </c>
      <c r="D19" s="11">
        <v>1950</v>
      </c>
      <c r="E19" s="11">
        <v>119</v>
      </c>
      <c r="F19" t="s">
        <v>207</v>
      </c>
      <c r="G19" t="s">
        <v>208</v>
      </c>
      <c r="H19" t="s">
        <v>209</v>
      </c>
      <c r="I19" t="s">
        <v>210</v>
      </c>
      <c r="J19" s="31" t="s">
        <v>211</v>
      </c>
      <c r="K19" t="s">
        <v>212</v>
      </c>
      <c r="L19" s="13" t="s">
        <v>213</v>
      </c>
      <c r="M19" s="10" t="s">
        <v>214</v>
      </c>
      <c r="N19" s="10">
        <v>6</v>
      </c>
      <c r="O19" s="10">
        <v>3</v>
      </c>
      <c r="P19" t="s">
        <v>52</v>
      </c>
      <c r="R19" s="12" t="s">
        <v>53</v>
      </c>
      <c r="S19" s="25" t="s">
        <v>54</v>
      </c>
      <c r="T19" s="14">
        <v>1.4824900000000001</v>
      </c>
      <c r="U19" s="12" t="s">
        <v>53</v>
      </c>
      <c r="V19" s="25" t="s">
        <v>54</v>
      </c>
      <c r="W19" s="14">
        <v>0</v>
      </c>
      <c r="X19" s="15">
        <v>0.28377999999999998</v>
      </c>
      <c r="Y19" s="15">
        <v>0.24836</v>
      </c>
      <c r="Z19" s="25" t="s">
        <v>55</v>
      </c>
      <c r="AA19" s="12" t="s">
        <v>56</v>
      </c>
      <c r="AB19" s="12">
        <v>4</v>
      </c>
      <c r="AC19" s="16">
        <v>44958</v>
      </c>
      <c r="AD19" s="16">
        <v>46082</v>
      </c>
      <c r="AE19" s="17">
        <v>6.7</v>
      </c>
      <c r="AF19" s="17">
        <v>0</v>
      </c>
      <c r="AG19" s="17">
        <v>0</v>
      </c>
      <c r="AH19" s="10"/>
      <c r="AI19" s="11">
        <v>0</v>
      </c>
      <c r="AJ19" s="10"/>
      <c r="AK19" s="10"/>
      <c r="AL19" s="20"/>
      <c r="AM19" s="12" t="s">
        <v>52</v>
      </c>
      <c r="AN19" s="11">
        <v>1950</v>
      </c>
      <c r="AO19" s="21">
        <v>44927</v>
      </c>
      <c r="AP19" s="40">
        <v>45291</v>
      </c>
      <c r="AQ19" t="s">
        <v>129</v>
      </c>
    </row>
    <row r="20" spans="1:44" ht="17" x14ac:dyDescent="0.2">
      <c r="A20" s="22" t="s">
        <v>260</v>
      </c>
      <c r="B20" t="s">
        <v>216</v>
      </c>
      <c r="C20" s="10" t="s">
        <v>217</v>
      </c>
      <c r="D20" s="11">
        <v>1733.3333333333333</v>
      </c>
      <c r="E20" s="11">
        <v>119</v>
      </c>
      <c r="F20" t="s">
        <v>218</v>
      </c>
      <c r="G20" t="s">
        <v>219</v>
      </c>
      <c r="H20" t="s">
        <v>220</v>
      </c>
      <c r="I20" t="s">
        <v>217</v>
      </c>
      <c r="J20" t="s">
        <v>48</v>
      </c>
      <c r="K20" t="s">
        <v>221</v>
      </c>
      <c r="L20" s="13" t="s">
        <v>222</v>
      </c>
      <c r="M20" t="s">
        <v>223</v>
      </c>
      <c r="N20" s="24">
        <v>4</v>
      </c>
      <c r="O20" s="10">
        <v>2</v>
      </c>
      <c r="P20" t="s">
        <v>52</v>
      </c>
      <c r="Q20" t="s">
        <v>52</v>
      </c>
      <c r="R20" s="12" t="s">
        <v>55</v>
      </c>
      <c r="S20" s="25" t="s">
        <v>224</v>
      </c>
      <c r="T20" s="14">
        <v>0.17602000000000001</v>
      </c>
      <c r="U20" s="12" t="s">
        <v>55</v>
      </c>
      <c r="V20" s="25" t="s">
        <v>224</v>
      </c>
      <c r="W20" s="14">
        <v>4.8300000000000003E-2</v>
      </c>
      <c r="X20" s="15">
        <v>5.4030000000000002E-2</v>
      </c>
      <c r="Y20" s="15">
        <v>4.2009999999999999E-2</v>
      </c>
      <c r="Z20" s="25" t="s">
        <v>55</v>
      </c>
      <c r="AA20" s="12" t="s">
        <v>56</v>
      </c>
      <c r="AB20" s="12">
        <v>5</v>
      </c>
      <c r="AC20" s="16">
        <v>44197</v>
      </c>
      <c r="AD20" s="16">
        <v>46022</v>
      </c>
      <c r="AE20" s="17">
        <v>0</v>
      </c>
      <c r="AF20" s="17">
        <v>0</v>
      </c>
      <c r="AG20" s="17">
        <v>43.58</v>
      </c>
      <c r="AH20" s="10" t="s">
        <v>73</v>
      </c>
      <c r="AI20" s="44">
        <f>166.43/3</f>
        <v>55.476666666666667</v>
      </c>
      <c r="AJ20" s="10" t="s">
        <v>225</v>
      </c>
      <c r="AK20" s="10" t="s">
        <v>146</v>
      </c>
      <c r="AL20" s="20">
        <v>0</v>
      </c>
      <c r="AM20" s="12"/>
      <c r="AN20" s="11"/>
      <c r="AO20" s="29">
        <v>43600</v>
      </c>
      <c r="AP20" s="29">
        <v>44695</v>
      </c>
      <c r="AQ20" s="27" t="s">
        <v>129</v>
      </c>
    </row>
    <row r="21" spans="1:44" x14ac:dyDescent="0.2">
      <c r="A21" s="47" t="s">
        <v>261</v>
      </c>
      <c r="B21" t="s">
        <v>226</v>
      </c>
      <c r="C21" s="10" t="s">
        <v>227</v>
      </c>
      <c r="D21" s="11">
        <v>2000</v>
      </c>
      <c r="E21" s="11">
        <v>119</v>
      </c>
      <c r="F21" t="s">
        <v>228</v>
      </c>
      <c r="G21" t="s">
        <v>229</v>
      </c>
      <c r="H21" t="s">
        <v>230</v>
      </c>
      <c r="I21" t="s">
        <v>231</v>
      </c>
      <c r="J21" t="s">
        <v>152</v>
      </c>
      <c r="K21" t="s">
        <v>232</v>
      </c>
      <c r="L21" s="13" t="s">
        <v>233</v>
      </c>
      <c r="M21" s="10" t="s">
        <v>234</v>
      </c>
      <c r="N21" s="10">
        <v>7</v>
      </c>
      <c r="O21" s="10">
        <v>4</v>
      </c>
      <c r="P21" t="s">
        <v>52</v>
      </c>
      <c r="Q21" t="s">
        <v>52</v>
      </c>
      <c r="R21" s="12" t="s">
        <v>53</v>
      </c>
      <c r="S21" s="25" t="s">
        <v>54</v>
      </c>
      <c r="T21" s="14">
        <v>0.80162</v>
      </c>
      <c r="U21" s="12" t="s">
        <v>53</v>
      </c>
      <c r="V21" s="25" t="s">
        <v>54</v>
      </c>
      <c r="W21" s="14">
        <v>0</v>
      </c>
      <c r="X21" s="15">
        <v>0.29319000000000001</v>
      </c>
      <c r="Y21" s="15">
        <v>0.16794000000000001</v>
      </c>
      <c r="Z21" s="25" t="s">
        <v>55</v>
      </c>
      <c r="AA21" s="12" t="s">
        <v>56</v>
      </c>
      <c r="AB21" s="12">
        <v>4</v>
      </c>
      <c r="AC21" s="16">
        <v>44621</v>
      </c>
      <c r="AD21" s="16">
        <v>46082</v>
      </c>
      <c r="AE21" s="17">
        <f>3800.87-3167.11</f>
        <v>633.75999999999976</v>
      </c>
      <c r="AF21" s="17">
        <v>0</v>
      </c>
      <c r="AG21" s="17">
        <f>26.79+65.44</f>
        <v>92.22999999999999</v>
      </c>
      <c r="AH21" s="10" t="s">
        <v>181</v>
      </c>
      <c r="AI21" s="11">
        <v>377.66</v>
      </c>
      <c r="AJ21" s="10" t="s">
        <v>182</v>
      </c>
      <c r="AK21" s="10" t="s">
        <v>59</v>
      </c>
      <c r="AL21" s="20">
        <v>79</v>
      </c>
      <c r="AM21" s="12"/>
      <c r="AN21" s="26">
        <v>1400</v>
      </c>
      <c r="AO21" s="21">
        <v>41239</v>
      </c>
      <c r="AP21" t="s">
        <v>60</v>
      </c>
    </row>
    <row r="22" spans="1:44" ht="17" x14ac:dyDescent="0.2">
      <c r="A22" s="22" t="s">
        <v>235</v>
      </c>
      <c r="B22" t="s">
        <v>236</v>
      </c>
      <c r="C22" s="10" t="s">
        <v>237</v>
      </c>
      <c r="D22" s="11">
        <v>2500</v>
      </c>
      <c r="E22" s="11">
        <v>119</v>
      </c>
      <c r="F22" t="s">
        <v>238</v>
      </c>
      <c r="G22" t="s">
        <v>219</v>
      </c>
      <c r="H22" t="s">
        <v>220</v>
      </c>
      <c r="I22" t="s">
        <v>217</v>
      </c>
      <c r="J22" s="31" t="s">
        <v>48</v>
      </c>
      <c r="K22" t="s">
        <v>221</v>
      </c>
      <c r="L22" s="13" t="s">
        <v>222</v>
      </c>
      <c r="M22" s="10" t="s">
        <v>239</v>
      </c>
      <c r="N22" s="10">
        <v>7</v>
      </c>
      <c r="O22" s="10">
        <v>4</v>
      </c>
      <c r="P22" t="s">
        <v>52</v>
      </c>
      <c r="Q22" s="10" t="s">
        <v>125</v>
      </c>
      <c r="R22" s="12" t="s">
        <v>111</v>
      </c>
      <c r="S22" s="12" t="s">
        <v>111</v>
      </c>
      <c r="T22" s="14">
        <v>0</v>
      </c>
      <c r="U22" s="12" t="s">
        <v>111</v>
      </c>
      <c r="V22" s="12" t="s">
        <v>111</v>
      </c>
      <c r="W22" s="14">
        <v>0</v>
      </c>
      <c r="X22" s="15">
        <v>0</v>
      </c>
      <c r="Y22" s="15">
        <v>0</v>
      </c>
      <c r="Z22" s="25" t="s">
        <v>55</v>
      </c>
      <c r="AA22" s="12" t="s">
        <v>56</v>
      </c>
      <c r="AB22" s="45">
        <v>5</v>
      </c>
      <c r="AC22" s="46">
        <v>44197</v>
      </c>
      <c r="AD22" s="46">
        <v>46022</v>
      </c>
      <c r="AE22" s="17">
        <v>48.21</v>
      </c>
      <c r="AF22" s="17">
        <v>0</v>
      </c>
      <c r="AG22" s="17">
        <v>63.99</v>
      </c>
      <c r="AH22" s="10"/>
      <c r="AI22" s="43">
        <v>373.6</v>
      </c>
      <c r="AJ22" s="10"/>
      <c r="AK22" s="10"/>
      <c r="AL22" s="20">
        <v>0</v>
      </c>
      <c r="AM22" s="12"/>
      <c r="AN22" s="11"/>
      <c r="AO22" s="21">
        <v>44927</v>
      </c>
      <c r="AP22" s="40">
        <v>46022</v>
      </c>
      <c r="AR22" s="41" t="s">
        <v>240</v>
      </c>
    </row>
    <row r="23" spans="1:44" ht="17" x14ac:dyDescent="0.2">
      <c r="A23" s="22" t="s">
        <v>241</v>
      </c>
      <c r="B23" t="s">
        <v>242</v>
      </c>
      <c r="C23" s="10" t="s">
        <v>237</v>
      </c>
      <c r="D23" s="11">
        <v>2500</v>
      </c>
      <c r="E23" s="11">
        <v>119</v>
      </c>
      <c r="F23" t="s">
        <v>238</v>
      </c>
      <c r="G23" t="s">
        <v>219</v>
      </c>
      <c r="H23" t="s">
        <v>220</v>
      </c>
      <c r="I23" t="s">
        <v>217</v>
      </c>
      <c r="J23" s="31" t="s">
        <v>48</v>
      </c>
      <c r="K23" t="s">
        <v>221</v>
      </c>
      <c r="L23" s="13" t="s">
        <v>222</v>
      </c>
      <c r="M23" s="10" t="s">
        <v>239</v>
      </c>
      <c r="N23" s="10">
        <v>8</v>
      </c>
      <c r="O23" s="10">
        <v>4</v>
      </c>
      <c r="P23" t="s">
        <v>52</v>
      </c>
      <c r="Q23" s="10" t="s">
        <v>125</v>
      </c>
      <c r="R23" s="12" t="s">
        <v>111</v>
      </c>
      <c r="S23" s="12" t="s">
        <v>111</v>
      </c>
      <c r="T23" s="14">
        <v>0</v>
      </c>
      <c r="U23" s="12" t="s">
        <v>111</v>
      </c>
      <c r="V23" s="12" t="s">
        <v>111</v>
      </c>
      <c r="W23" s="14">
        <v>0</v>
      </c>
      <c r="X23" s="15">
        <v>0</v>
      </c>
      <c r="Y23" s="15">
        <v>0</v>
      </c>
      <c r="Z23" s="25" t="s">
        <v>55</v>
      </c>
      <c r="AA23" s="12" t="s">
        <v>56</v>
      </c>
      <c r="AB23" s="45">
        <v>5</v>
      </c>
      <c r="AC23" s="46">
        <v>44197</v>
      </c>
      <c r="AD23" s="46">
        <v>46022</v>
      </c>
      <c r="AE23" s="17">
        <v>0</v>
      </c>
      <c r="AF23" s="17">
        <v>0</v>
      </c>
      <c r="AG23" s="17">
        <v>0</v>
      </c>
      <c r="AH23" s="10"/>
      <c r="AI23" s="41"/>
      <c r="AJ23" s="10"/>
      <c r="AK23" s="10"/>
      <c r="AL23" s="20">
        <v>0</v>
      </c>
      <c r="AM23" s="12"/>
      <c r="AN23" s="11"/>
      <c r="AO23" s="21">
        <v>44927</v>
      </c>
      <c r="AP23" s="40">
        <v>46022</v>
      </c>
      <c r="AR23" s="41"/>
    </row>
  </sheetData>
  <mergeCells count="11">
    <mergeCell ref="AR9:AR10"/>
    <mergeCell ref="AI16:AI17"/>
    <mergeCell ref="AJ16:AJ17"/>
    <mergeCell ref="AI22:AI23"/>
    <mergeCell ref="AR22:AR23"/>
    <mergeCell ref="AH2:AH3"/>
    <mergeCell ref="AI2:AI3"/>
    <mergeCell ref="AJ2:AJ3"/>
    <mergeCell ref="L9:L10"/>
    <mergeCell ref="AI9:AI10"/>
    <mergeCell ref="AJ9:AJ10"/>
  </mergeCells>
  <hyperlinks>
    <hyperlink ref="L15" r:id="rId1" display="info@jsvink.nl" xr:uid="{9956C1C6-45AC-BC42-ACAB-E6316502D871}"/>
    <hyperlink ref="L11" r:id="rId2" xr:uid="{0905B78A-697B-7342-BFC9-35F5DB8B8A34}"/>
    <hyperlink ref="L18" r:id="rId3" xr:uid="{31F8D260-D83A-9942-B341-532B4631E3FD}"/>
    <hyperlink ref="L19" r:id="rId4" xr:uid="{BDF6C886-3898-B14E-9951-C9FFF60C2E9F}"/>
    <hyperlink ref="L17" r:id="rId5" xr:uid="{6F824ECD-6F44-3845-BEB8-BF0927C09069}"/>
    <hyperlink ref="L7" r:id="rId6" xr:uid="{54509BEE-0BCF-484E-9C78-32BAAE038E42}"/>
    <hyperlink ref="L16" r:id="rId7" xr:uid="{504C5287-B249-D043-AF38-F6A5CC452140}"/>
    <hyperlink ref="L12" r:id="rId8" xr:uid="{1E4F1C47-F38C-664F-A4CC-89DE5E35C2FC}"/>
    <hyperlink ref="L13" r:id="rId9" xr:uid="{22A541D5-1F2A-354A-8FB6-F8B7D4A676AB}"/>
  </hyperlinks>
  <pageMargins left="0.7" right="0.7" top="0.75" bottom="0.75" header="0.3" footer="0.3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2026-01-07T10:47:34Z</dcterms:created>
  <dcterms:modified xsi:type="dcterms:W3CDTF">2026-01-07T11:03:03Z</dcterms:modified>
</cp:coreProperties>
</file>