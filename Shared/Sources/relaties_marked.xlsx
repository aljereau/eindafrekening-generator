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" documentId="8_{68FDA216-9897-2B47-8700-179000DFF8AC}" xr6:coauthVersionLast="47" xr6:coauthVersionMax="47" xr10:uidLastSave="{9CE6333B-9851-FB42-871B-7E0C422F1941}"/>
  <bookViews>
    <workbookView xWindow="-2220" yWindow="-21100" windowWidth="38400" windowHeight="21100" activeTab="2" xr2:uid="{51631D37-6C8E-B44F-B2DC-DF485558C479}"/>
  </bookViews>
  <sheets>
    <sheet name="relaties_export_2026-01-12_1609" sheetId="1" r:id="rId1"/>
    <sheet name="Sheet1" sheetId="2" r:id="rId2"/>
    <sheet name="relaties_marked" sheetId="3" r:id="rId3"/>
  </sheets>
  <externalReferences>
    <externalReference r:id="rId4"/>
  </externalReferences>
  <definedNames>
    <definedName name="_xlnm._FilterDatabase" localSheetId="1" hidden="1">Sheet1!$A$2:$BI$295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2" l="1"/>
  <c r="AA30" i="2" s="1"/>
  <c r="Z282" i="2"/>
  <c r="AA282" i="2" s="1"/>
  <c r="Z187" i="2"/>
  <c r="Z108" i="2"/>
  <c r="AA108" i="2" s="1"/>
  <c r="Z106" i="2"/>
  <c r="AA106" i="2" s="1"/>
  <c r="Z9" i="2"/>
  <c r="AA9" i="2" s="1"/>
  <c r="Z8" i="2"/>
  <c r="AA8" i="2" s="1"/>
  <c r="Z4" i="2"/>
  <c r="AA4" i="2" s="1"/>
  <c r="AA5" i="2"/>
  <c r="AA6" i="2"/>
  <c r="AA7" i="2"/>
  <c r="Z10" i="2"/>
  <c r="AA10" i="2" s="1"/>
  <c r="Z11" i="2"/>
  <c r="AA11" i="2" s="1"/>
  <c r="Z12" i="2"/>
  <c r="AA12" i="2" s="1"/>
  <c r="Z13" i="2"/>
  <c r="AA13" i="2" s="1"/>
  <c r="Z14" i="2"/>
  <c r="AA14" i="2" s="1"/>
  <c r="Z15" i="2"/>
  <c r="AA15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1" i="2"/>
  <c r="AA31" i="2" s="1"/>
  <c r="Z32" i="2"/>
  <c r="AA32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Z47" i="2"/>
  <c r="AA47" i="2" s="1"/>
  <c r="Z48" i="2"/>
  <c r="AA48" i="2" s="1"/>
  <c r="Z49" i="2"/>
  <c r="AA49" i="2" s="1"/>
  <c r="Z50" i="2"/>
  <c r="AA50" i="2" s="1"/>
  <c r="AA51" i="2"/>
  <c r="Z52" i="2"/>
  <c r="AA52" i="2" s="1"/>
  <c r="Z53" i="2"/>
  <c r="AA53" i="2" s="1"/>
  <c r="Z54" i="2"/>
  <c r="AA54" i="2" s="1"/>
  <c r="Z55" i="2"/>
  <c r="AA55" i="2" s="1"/>
  <c r="Z56" i="2"/>
  <c r="AA56" i="2" s="1"/>
  <c r="Z57" i="2"/>
  <c r="AA57" i="2" s="1"/>
  <c r="Z58" i="2"/>
  <c r="AA58" i="2" s="1"/>
  <c r="Z59" i="2"/>
  <c r="AA59" i="2" s="1"/>
  <c r="Z60" i="2"/>
  <c r="AA60" i="2" s="1"/>
  <c r="Z61" i="2"/>
  <c r="AA61" i="2" s="1"/>
  <c r="Z62" i="2"/>
  <c r="AA62" i="2" s="1"/>
  <c r="Z63" i="2"/>
  <c r="AA63" i="2" s="1"/>
  <c r="Z64" i="2"/>
  <c r="AA64" i="2" s="1"/>
  <c r="Z65" i="2"/>
  <c r="AA65" i="2" s="1"/>
  <c r="Z66" i="2"/>
  <c r="AA66" i="2" s="1"/>
  <c r="Z67" i="2"/>
  <c r="AA67" i="2" s="1"/>
  <c r="Z68" i="2"/>
  <c r="AA68" i="2" s="1"/>
  <c r="Z69" i="2"/>
  <c r="AA69" i="2" s="1"/>
  <c r="Z70" i="2"/>
  <c r="AA70" i="2" s="1"/>
  <c r="Z71" i="2"/>
  <c r="AA71" i="2" s="1"/>
  <c r="Z72" i="2"/>
  <c r="AA72" i="2" s="1"/>
  <c r="Z73" i="2"/>
  <c r="AA73" i="2" s="1"/>
  <c r="AA74" i="2"/>
  <c r="Z75" i="2"/>
  <c r="AA75" i="2" s="1"/>
  <c r="Z76" i="2"/>
  <c r="AA76" i="2" s="1"/>
  <c r="Z77" i="2"/>
  <c r="AA77" i="2" s="1"/>
  <c r="Z78" i="2"/>
  <c r="AA78" i="2" s="1"/>
  <c r="Z79" i="2"/>
  <c r="AA79" i="2" s="1"/>
  <c r="Z80" i="2"/>
  <c r="AA80" i="2" s="1"/>
  <c r="AA81" i="2"/>
  <c r="Z82" i="2"/>
  <c r="AA82" i="2" s="1"/>
  <c r="Z83" i="2"/>
  <c r="AA83" i="2" s="1"/>
  <c r="Z84" i="2"/>
  <c r="AA84" i="2" s="1"/>
  <c r="Z85" i="2"/>
  <c r="AA85" i="2" s="1"/>
  <c r="Z86" i="2"/>
  <c r="AA86" i="2" s="1"/>
  <c r="Z87" i="2"/>
  <c r="AA87" i="2" s="1"/>
  <c r="Z88" i="2"/>
  <c r="AA88" i="2" s="1"/>
  <c r="Z89" i="2"/>
  <c r="AA89" i="2" s="1"/>
  <c r="Z90" i="2"/>
  <c r="AA90" i="2" s="1"/>
  <c r="Z91" i="2"/>
  <c r="AA91" i="2" s="1"/>
  <c r="Z92" i="2"/>
  <c r="AA92" i="2" s="1"/>
  <c r="Z93" i="2"/>
  <c r="AA93" i="2" s="1"/>
  <c r="AA94" i="2"/>
  <c r="Z95" i="2"/>
  <c r="AA95" i="2" s="1"/>
  <c r="Z96" i="2"/>
  <c r="AA96" i="2" s="1"/>
  <c r="Z97" i="2"/>
  <c r="AA97" i="2" s="1"/>
  <c r="Z98" i="2"/>
  <c r="AA98" i="2" s="1"/>
  <c r="AA99" i="2"/>
  <c r="Z100" i="2"/>
  <c r="AA100" i="2" s="1"/>
  <c r="Z101" i="2"/>
  <c r="AA101" i="2" s="1"/>
  <c r="Z102" i="2"/>
  <c r="AA102" i="2" s="1"/>
  <c r="Z103" i="2"/>
  <c r="AA103" i="2" s="1"/>
  <c r="Z104" i="2"/>
  <c r="AA104" i="2" s="1"/>
  <c r="Z105" i="2"/>
  <c r="AA105" i="2" s="1"/>
  <c r="Z107" i="2"/>
  <c r="AA107" i="2" s="1"/>
  <c r="AA109" i="2"/>
  <c r="Z110" i="2"/>
  <c r="AA110" i="2" s="1"/>
  <c r="Z111" i="2"/>
  <c r="AA111" i="2" s="1"/>
  <c r="Z112" i="2"/>
  <c r="AA112" i="2" s="1"/>
  <c r="Z113" i="2"/>
  <c r="AA113" i="2" s="1"/>
  <c r="Z114" i="2"/>
  <c r="AA114" i="2" s="1"/>
  <c r="Z115" i="2"/>
  <c r="AA115" i="2" s="1"/>
  <c r="Z116" i="2"/>
  <c r="AA116" i="2" s="1"/>
  <c r="Z117" i="2"/>
  <c r="AA117" i="2" s="1"/>
  <c r="Z118" i="2"/>
  <c r="AA118" i="2" s="1"/>
  <c r="Z119" i="2"/>
  <c r="AA119" i="2" s="1"/>
  <c r="Z120" i="2"/>
  <c r="AA120" i="2" s="1"/>
  <c r="Z121" i="2"/>
  <c r="AA121" i="2" s="1"/>
  <c r="Z122" i="2"/>
  <c r="AA122" i="2" s="1"/>
  <c r="Z123" i="2"/>
  <c r="AA123" i="2" s="1"/>
  <c r="Z124" i="2"/>
  <c r="AA124" i="2" s="1"/>
  <c r="Z125" i="2"/>
  <c r="AA125" i="2" s="1"/>
  <c r="Z126" i="2"/>
  <c r="AA126" i="2" s="1"/>
  <c r="Z127" i="2"/>
  <c r="AA127" i="2" s="1"/>
  <c r="Z128" i="2"/>
  <c r="AA128" i="2" s="1"/>
  <c r="Z129" i="2"/>
  <c r="AA129" i="2" s="1"/>
  <c r="AA130" i="2"/>
  <c r="Z131" i="2"/>
  <c r="AA131" i="2" s="1"/>
  <c r="Z132" i="2"/>
  <c r="AA132" i="2" s="1"/>
  <c r="Z133" i="2"/>
  <c r="AA133" i="2" s="1"/>
  <c r="Z134" i="2"/>
  <c r="AA134" i="2" s="1"/>
  <c r="Z135" i="2"/>
  <c r="AA135" i="2" s="1"/>
  <c r="Z136" i="2"/>
  <c r="AA136" i="2" s="1"/>
  <c r="Z137" i="2"/>
  <c r="AA137" i="2" s="1"/>
  <c r="Z138" i="2"/>
  <c r="AA138" i="2" s="1"/>
  <c r="Z139" i="2"/>
  <c r="AA139" i="2" s="1"/>
  <c r="Z140" i="2"/>
  <c r="AA140" i="2" s="1"/>
  <c r="Z141" i="2"/>
  <c r="AA141" i="2" s="1"/>
  <c r="Z142" i="2"/>
  <c r="AA142" i="2" s="1"/>
  <c r="Z143" i="2"/>
  <c r="AA143" i="2" s="1"/>
  <c r="Z144" i="2"/>
  <c r="AA144" i="2" s="1"/>
  <c r="Z145" i="2"/>
  <c r="AA145" i="2" s="1"/>
  <c r="Z146" i="2"/>
  <c r="AA146" i="2" s="1"/>
  <c r="Z147" i="2"/>
  <c r="AA147" i="2" s="1"/>
  <c r="Z148" i="2"/>
  <c r="AA148" i="2" s="1"/>
  <c r="Z149" i="2"/>
  <c r="AA149" i="2" s="1"/>
  <c r="Z150" i="2"/>
  <c r="AA150" i="2" s="1"/>
  <c r="Z151" i="2"/>
  <c r="AA151" i="2" s="1"/>
  <c r="Z152" i="2"/>
  <c r="AA152" i="2" s="1"/>
  <c r="Z153" i="2"/>
  <c r="AA153" i="2" s="1"/>
  <c r="Z154" i="2"/>
  <c r="AA154" i="2" s="1"/>
  <c r="Z155" i="2"/>
  <c r="AA155" i="2" s="1"/>
  <c r="Z156" i="2"/>
  <c r="AA156" i="2" s="1"/>
  <c r="Z157" i="2"/>
  <c r="AA157" i="2" s="1"/>
  <c r="Z158" i="2"/>
  <c r="AA158" i="2" s="1"/>
  <c r="Z159" i="2"/>
  <c r="AA159" i="2" s="1"/>
  <c r="AA160" i="2"/>
  <c r="Z161" i="2"/>
  <c r="AA161" i="2" s="1"/>
  <c r="Z162" i="2"/>
  <c r="AA162" i="2" s="1"/>
  <c r="Z163" i="2"/>
  <c r="AA163" i="2" s="1"/>
  <c r="Z164" i="2"/>
  <c r="AA164" i="2" s="1"/>
  <c r="Z165" i="2"/>
  <c r="AA165" i="2" s="1"/>
  <c r="Z166" i="2"/>
  <c r="AA166" i="2" s="1"/>
  <c r="Z167" i="2"/>
  <c r="AA167" i="2" s="1"/>
  <c r="Z168" i="2"/>
  <c r="AA168" i="2" s="1"/>
  <c r="Z169" i="2"/>
  <c r="AA169" i="2" s="1"/>
  <c r="Z170" i="2"/>
  <c r="AA170" i="2" s="1"/>
  <c r="Z171" i="2"/>
  <c r="AA171" i="2" s="1"/>
  <c r="Z172" i="2"/>
  <c r="AA172" i="2" s="1"/>
  <c r="Z173" i="2"/>
  <c r="AA173" i="2" s="1"/>
  <c r="Z174" i="2"/>
  <c r="AA174" i="2" s="1"/>
  <c r="Z175" i="2"/>
  <c r="AA175" i="2" s="1"/>
  <c r="Z176" i="2"/>
  <c r="AA176" i="2" s="1"/>
  <c r="Z177" i="2"/>
  <c r="AA177" i="2" s="1"/>
  <c r="Z178" i="2"/>
  <c r="AA178" i="2" s="1"/>
  <c r="Z179" i="2"/>
  <c r="AA179" i="2" s="1"/>
  <c r="Z180" i="2"/>
  <c r="AA180" i="2" s="1"/>
  <c r="AA181" i="2"/>
  <c r="Z182" i="2"/>
  <c r="AA182" i="2" s="1"/>
  <c r="Z183" i="2"/>
  <c r="AA183" i="2" s="1"/>
  <c r="Z184" i="2"/>
  <c r="AA184" i="2" s="1"/>
  <c r="Z185" i="2"/>
  <c r="AA185" i="2" s="1"/>
  <c r="AA186" i="2"/>
  <c r="AA187" i="2"/>
  <c r="Z188" i="2"/>
  <c r="AA188" i="2" s="1"/>
  <c r="Z189" i="2"/>
  <c r="AA189" i="2" s="1"/>
  <c r="Z190" i="2"/>
  <c r="AA190" i="2" s="1"/>
  <c r="AA191" i="2"/>
  <c r="Z192" i="2"/>
  <c r="AA192" i="2" s="1"/>
  <c r="Z193" i="2"/>
  <c r="AA193" i="2" s="1"/>
  <c r="Z194" i="2"/>
  <c r="AA194" i="2" s="1"/>
  <c r="Z195" i="2"/>
  <c r="AA195" i="2" s="1"/>
  <c r="Z196" i="2"/>
  <c r="AA196" i="2" s="1"/>
  <c r="Z197" i="2"/>
  <c r="AA197" i="2" s="1"/>
  <c r="Z198" i="2"/>
  <c r="AA198" i="2" s="1"/>
  <c r="Z199" i="2"/>
  <c r="AA199" i="2" s="1"/>
  <c r="Z200" i="2"/>
  <c r="AA200" i="2" s="1"/>
  <c r="Z201" i="2"/>
  <c r="AA201" i="2" s="1"/>
  <c r="Z202" i="2"/>
  <c r="AA202" i="2" s="1"/>
  <c r="Z203" i="2"/>
  <c r="AA203" i="2" s="1"/>
  <c r="Z204" i="2"/>
  <c r="AA204" i="2" s="1"/>
  <c r="Z205" i="2"/>
  <c r="AA205" i="2" s="1"/>
  <c r="Z206" i="2"/>
  <c r="AA206" i="2" s="1"/>
  <c r="Z207" i="2"/>
  <c r="AA207" i="2" s="1"/>
  <c r="Z208" i="2"/>
  <c r="AA208" i="2" s="1"/>
  <c r="Z209" i="2"/>
  <c r="AA209" i="2" s="1"/>
  <c r="Z210" i="2"/>
  <c r="AA210" i="2" s="1"/>
  <c r="Z211" i="2"/>
  <c r="AA211" i="2" s="1"/>
  <c r="Z212" i="2"/>
  <c r="AA212" i="2" s="1"/>
  <c r="Z213" i="2"/>
  <c r="AA213" i="2" s="1"/>
  <c r="Z214" i="2"/>
  <c r="AA214" i="2" s="1"/>
  <c r="Z215" i="2"/>
  <c r="AA215" i="2" s="1"/>
  <c r="Z216" i="2"/>
  <c r="AA216" i="2" s="1"/>
  <c r="Z217" i="2"/>
  <c r="AA217" i="2" s="1"/>
  <c r="Z218" i="2"/>
  <c r="AA218" i="2" s="1"/>
  <c r="Z219" i="2"/>
  <c r="AA219" i="2" s="1"/>
  <c r="Z220" i="2"/>
  <c r="AA220" i="2" s="1"/>
  <c r="Z221" i="2"/>
  <c r="AA221" i="2" s="1"/>
  <c r="Z222" i="2"/>
  <c r="AA222" i="2" s="1"/>
  <c r="Z223" i="2"/>
  <c r="AA223" i="2" s="1"/>
  <c r="Z224" i="2"/>
  <c r="AA224" i="2" s="1"/>
  <c r="Z225" i="2"/>
  <c r="AA225" i="2" s="1"/>
  <c r="Z226" i="2"/>
  <c r="AA226" i="2" s="1"/>
  <c r="Z227" i="2"/>
  <c r="AA227" i="2" s="1"/>
  <c r="Z228" i="2"/>
  <c r="AA228" i="2" s="1"/>
  <c r="AA229" i="2"/>
  <c r="Z230" i="2"/>
  <c r="AA230" i="2" s="1"/>
  <c r="Z231" i="2"/>
  <c r="AA231" i="2" s="1"/>
  <c r="Z232" i="2"/>
  <c r="AA232" i="2" s="1"/>
  <c r="Z233" i="2"/>
  <c r="AA233" i="2" s="1"/>
  <c r="Z234" i="2"/>
  <c r="AA234" i="2" s="1"/>
  <c r="Z235" i="2"/>
  <c r="AA235" i="2" s="1"/>
  <c r="AA236" i="2"/>
  <c r="Z237" i="2"/>
  <c r="AA237" i="2" s="1"/>
  <c r="Z238" i="2"/>
  <c r="AA238" i="2" s="1"/>
  <c r="Z239" i="2"/>
  <c r="AA239" i="2" s="1"/>
  <c r="Z240" i="2"/>
  <c r="AA240" i="2" s="1"/>
  <c r="Z241" i="2"/>
  <c r="AA241" i="2" s="1"/>
  <c r="Z242" i="2"/>
  <c r="AA242" i="2" s="1"/>
  <c r="Z243" i="2"/>
  <c r="AA243" i="2" s="1"/>
  <c r="Z244" i="2"/>
  <c r="AA244" i="2" s="1"/>
  <c r="Z245" i="2"/>
  <c r="AA245" i="2" s="1"/>
  <c r="Z246" i="2"/>
  <c r="AA246" i="2" s="1"/>
  <c r="Z247" i="2"/>
  <c r="AA247" i="2" s="1"/>
  <c r="Z248" i="2"/>
  <c r="AA248" i="2" s="1"/>
  <c r="Z249" i="2"/>
  <c r="AA249" i="2" s="1"/>
  <c r="Z250" i="2"/>
  <c r="AA250" i="2" s="1"/>
  <c r="Z251" i="2"/>
  <c r="AA251" i="2" s="1"/>
  <c r="Z252" i="2"/>
  <c r="AA252" i="2" s="1"/>
  <c r="Z253" i="2"/>
  <c r="AA253" i="2" s="1"/>
  <c r="Z254" i="2"/>
  <c r="AA254" i="2" s="1"/>
  <c r="Z255" i="2"/>
  <c r="AA255" i="2" s="1"/>
  <c r="Z256" i="2"/>
  <c r="AA256" i="2" s="1"/>
  <c r="Z257" i="2"/>
  <c r="AA257" i="2" s="1"/>
  <c r="Z258" i="2"/>
  <c r="AA258" i="2" s="1"/>
  <c r="AA259" i="2"/>
  <c r="Z260" i="2"/>
  <c r="AA260" i="2" s="1"/>
  <c r="Z261" i="2"/>
  <c r="AA261" i="2" s="1"/>
  <c r="AA262" i="2"/>
  <c r="Z263" i="2"/>
  <c r="AA263" i="2" s="1"/>
  <c r="Z264" i="2"/>
  <c r="AA264" i="2" s="1"/>
  <c r="Z265" i="2"/>
  <c r="AA265" i="2" s="1"/>
  <c r="Z266" i="2"/>
  <c r="AA266" i="2" s="1"/>
  <c r="Z267" i="2"/>
  <c r="AA267" i="2" s="1"/>
  <c r="Z268" i="2"/>
  <c r="AA268" i="2" s="1"/>
  <c r="Z269" i="2"/>
  <c r="AA269" i="2" s="1"/>
  <c r="Z270" i="2"/>
  <c r="AA270" i="2" s="1"/>
  <c r="Z271" i="2"/>
  <c r="AA271" i="2" s="1"/>
  <c r="AA272" i="2"/>
  <c r="Z273" i="2"/>
  <c r="AA273" i="2" s="1"/>
  <c r="Z274" i="2"/>
  <c r="AA274" i="2" s="1"/>
  <c r="Z275" i="2"/>
  <c r="AA275" i="2" s="1"/>
  <c r="Z276" i="2"/>
  <c r="AA276" i="2" s="1"/>
  <c r="Z277" i="2"/>
  <c r="AA277" i="2" s="1"/>
  <c r="Z278" i="2"/>
  <c r="AA278" i="2" s="1"/>
  <c r="Z279" i="2"/>
  <c r="AA279" i="2" s="1"/>
  <c r="Z280" i="2"/>
  <c r="AA280" i="2" s="1"/>
  <c r="Z281" i="2"/>
  <c r="AA281" i="2" s="1"/>
  <c r="Z283" i="2"/>
  <c r="AA283" i="2" s="1"/>
  <c r="AA284" i="2"/>
  <c r="Z285" i="2"/>
  <c r="AA285" i="2" s="1"/>
  <c r="AA286" i="2"/>
  <c r="Z287" i="2"/>
  <c r="AA287" i="2" s="1"/>
  <c r="Z288" i="2"/>
  <c r="AA288" i="2" s="1"/>
  <c r="Z289" i="2"/>
  <c r="AA289" i="2" s="1"/>
  <c r="Z290" i="2"/>
  <c r="AA290" i="2" s="1"/>
  <c r="Z291" i="2"/>
  <c r="AA291" i="2" s="1"/>
  <c r="Z292" i="2"/>
  <c r="AA292" i="2" s="1"/>
  <c r="AA293" i="2"/>
  <c r="Z294" i="2"/>
  <c r="AA294" i="2" s="1"/>
  <c r="Z295" i="2"/>
  <c r="AA295" i="2" s="1"/>
  <c r="Z3" i="2"/>
  <c r="AA3" i="2" s="1"/>
  <c r="M61" i="2"/>
  <c r="N61" i="2" s="1"/>
  <c r="N71" i="2"/>
  <c r="M93" i="2"/>
  <c r="N93" i="2" s="1"/>
  <c r="M99" i="2"/>
  <c r="N99" i="2" s="1"/>
  <c r="M106" i="2"/>
  <c r="N106" i="2" s="1"/>
  <c r="N110" i="2"/>
  <c r="M142" i="2"/>
  <c r="N142" i="2" s="1"/>
  <c r="N155" i="2"/>
  <c r="M185" i="2"/>
  <c r="N185" i="2" s="1"/>
  <c r="M187" i="2"/>
  <c r="N187" i="2" s="1"/>
  <c r="M210" i="2"/>
  <c r="N210" i="2" s="1"/>
  <c r="M229" i="2"/>
  <c r="N229" i="2" s="1"/>
  <c r="N235" i="2"/>
  <c r="M237" i="2"/>
  <c r="N237" i="2" s="1"/>
  <c r="N242" i="2"/>
  <c r="N250" i="2"/>
  <c r="N253" i="2"/>
  <c r="N264" i="2"/>
  <c r="M274" i="2"/>
  <c r="N274" i="2" s="1"/>
  <c r="N277" i="2"/>
  <c r="N76" i="2"/>
  <c r="N67" i="2"/>
  <c r="M40" i="2"/>
  <c r="N40" i="2" s="1"/>
  <c r="M287" i="2"/>
  <c r="N287" i="2" s="1"/>
  <c r="M36" i="2"/>
  <c r="N36" i="2" s="1"/>
  <c r="M272" i="2"/>
  <c r="N272" i="2" s="1"/>
  <c r="M273" i="2"/>
  <c r="N273" i="2" s="1"/>
  <c r="M196" i="2"/>
  <c r="N196" i="2" s="1"/>
  <c r="M195" i="2"/>
  <c r="N195" i="2" s="1"/>
  <c r="M194" i="2"/>
  <c r="N194" i="2" s="1"/>
  <c r="M180" i="2"/>
  <c r="N180" i="2" s="1"/>
  <c r="M179" i="2"/>
  <c r="N179" i="2" s="1"/>
  <c r="M177" i="2"/>
  <c r="N177" i="2" s="1"/>
  <c r="M176" i="2"/>
  <c r="N176" i="2" s="1"/>
  <c r="M175" i="2"/>
  <c r="N175" i="2" s="1"/>
  <c r="M172" i="2"/>
  <c r="N172" i="2" s="1"/>
  <c r="M4" i="2"/>
  <c r="N4" i="2" s="1"/>
  <c r="M5" i="2"/>
  <c r="N5" i="2" s="1"/>
  <c r="M6" i="2"/>
  <c r="N6" i="2" s="1"/>
  <c r="M7" i="2"/>
  <c r="N7" i="2" s="1"/>
  <c r="M8" i="2"/>
  <c r="N8" i="2" s="1"/>
  <c r="N9" i="2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7" i="2"/>
  <c r="N37" i="2" s="1"/>
  <c r="M38" i="2"/>
  <c r="N38" i="2" s="1"/>
  <c r="M39" i="2"/>
  <c r="N39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2" i="2"/>
  <c r="N62" i="2" s="1"/>
  <c r="M63" i="2"/>
  <c r="N63" i="2" s="1"/>
  <c r="M64" i="2"/>
  <c r="N64" i="2" s="1"/>
  <c r="M65" i="2"/>
  <c r="N65" i="2" s="1"/>
  <c r="M66" i="2"/>
  <c r="N66" i="2" s="1"/>
  <c r="M68" i="2"/>
  <c r="N68" i="2" s="1"/>
  <c r="M69" i="2"/>
  <c r="N69" i="2" s="1"/>
  <c r="M70" i="2"/>
  <c r="N70" i="2" s="1"/>
  <c r="M72" i="2"/>
  <c r="N72" i="2" s="1"/>
  <c r="M73" i="2"/>
  <c r="N73" i="2" s="1"/>
  <c r="M74" i="2"/>
  <c r="N74" i="2" s="1"/>
  <c r="M75" i="2"/>
  <c r="N75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4" i="2"/>
  <c r="N94" i="2" s="1"/>
  <c r="M95" i="2"/>
  <c r="N95" i="2" s="1"/>
  <c r="M96" i="2"/>
  <c r="N96" i="2" s="1"/>
  <c r="M97" i="2"/>
  <c r="N97" i="2" s="1"/>
  <c r="M98" i="2"/>
  <c r="N98" i="2" s="1"/>
  <c r="M100" i="2"/>
  <c r="N100" i="2" s="1"/>
  <c r="M101" i="2"/>
  <c r="N101" i="2" s="1"/>
  <c r="M102" i="2"/>
  <c r="N102" i="2" s="1"/>
  <c r="M103" i="2"/>
  <c r="N103" i="2" s="1"/>
  <c r="M104" i="2"/>
  <c r="N104" i="2" s="1"/>
  <c r="M105" i="2"/>
  <c r="N105" i="2" s="1"/>
  <c r="M107" i="2"/>
  <c r="N107" i="2" s="1"/>
  <c r="M108" i="2"/>
  <c r="N108" i="2" s="1"/>
  <c r="M109" i="2"/>
  <c r="N109" i="2" s="1"/>
  <c r="M111" i="2"/>
  <c r="N111" i="2" s="1"/>
  <c r="M112" i="2"/>
  <c r="N112" i="2" s="1"/>
  <c r="M113" i="2"/>
  <c r="N113" i="2" s="1"/>
  <c r="M114" i="2"/>
  <c r="N114" i="2" s="1"/>
  <c r="M115" i="2"/>
  <c r="N115" i="2" s="1"/>
  <c r="M116" i="2"/>
  <c r="N116" i="2" s="1"/>
  <c r="M117" i="2"/>
  <c r="N117" i="2" s="1"/>
  <c r="M118" i="2"/>
  <c r="N118" i="2" s="1"/>
  <c r="M119" i="2"/>
  <c r="N119" i="2" s="1"/>
  <c r="M120" i="2"/>
  <c r="N120" i="2" s="1"/>
  <c r="M121" i="2"/>
  <c r="N121" i="2" s="1"/>
  <c r="M122" i="2"/>
  <c r="N122" i="2" s="1"/>
  <c r="M123" i="2"/>
  <c r="N123" i="2" s="1"/>
  <c r="M124" i="2"/>
  <c r="N124" i="2" s="1"/>
  <c r="M125" i="2"/>
  <c r="N125" i="2" s="1"/>
  <c r="M126" i="2"/>
  <c r="N126" i="2" s="1"/>
  <c r="M127" i="2"/>
  <c r="N127" i="2" s="1"/>
  <c r="M128" i="2"/>
  <c r="N128" i="2" s="1"/>
  <c r="M129" i="2"/>
  <c r="N129" i="2" s="1"/>
  <c r="M130" i="2"/>
  <c r="N130" i="2" s="1"/>
  <c r="M131" i="2"/>
  <c r="N131" i="2" s="1"/>
  <c r="M132" i="2"/>
  <c r="N132" i="2" s="1"/>
  <c r="M133" i="2"/>
  <c r="N133" i="2" s="1"/>
  <c r="M134" i="2"/>
  <c r="N134" i="2" s="1"/>
  <c r="M135" i="2"/>
  <c r="N135" i="2" s="1"/>
  <c r="M136" i="2"/>
  <c r="N136" i="2" s="1"/>
  <c r="M137" i="2"/>
  <c r="N137" i="2" s="1"/>
  <c r="M138" i="2"/>
  <c r="N138" i="2" s="1"/>
  <c r="M139" i="2"/>
  <c r="N139" i="2" s="1"/>
  <c r="M140" i="2"/>
  <c r="N140" i="2" s="1"/>
  <c r="M141" i="2"/>
  <c r="N141" i="2" s="1"/>
  <c r="M143" i="2"/>
  <c r="N143" i="2" s="1"/>
  <c r="M144" i="2"/>
  <c r="N144" i="2" s="1"/>
  <c r="M145" i="2"/>
  <c r="N145" i="2" s="1"/>
  <c r="M146" i="2"/>
  <c r="N146" i="2" s="1"/>
  <c r="M147" i="2"/>
  <c r="N147" i="2" s="1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6" i="2"/>
  <c r="N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N163" i="2" s="1"/>
  <c r="M164" i="2"/>
  <c r="N164" i="2" s="1"/>
  <c r="M165" i="2"/>
  <c r="N165" i="2" s="1"/>
  <c r="M166" i="2"/>
  <c r="N166" i="2" s="1"/>
  <c r="M167" i="2"/>
  <c r="N167" i="2" s="1"/>
  <c r="M168" i="2"/>
  <c r="N168" i="2" s="1"/>
  <c r="M169" i="2"/>
  <c r="N169" i="2" s="1"/>
  <c r="M170" i="2"/>
  <c r="N170" i="2" s="1"/>
  <c r="M171" i="2"/>
  <c r="N171" i="2" s="1"/>
  <c r="M173" i="2"/>
  <c r="N173" i="2" s="1"/>
  <c r="M174" i="2"/>
  <c r="N174" i="2" s="1"/>
  <c r="M178" i="2"/>
  <c r="N178" i="2" s="1"/>
  <c r="M181" i="2"/>
  <c r="N181" i="2" s="1"/>
  <c r="M182" i="2"/>
  <c r="N182" i="2" s="1"/>
  <c r="M183" i="2"/>
  <c r="N183" i="2" s="1"/>
  <c r="M184" i="2"/>
  <c r="N184" i="2" s="1"/>
  <c r="M186" i="2"/>
  <c r="N186" i="2" s="1"/>
  <c r="M188" i="2"/>
  <c r="N188" i="2" s="1"/>
  <c r="M189" i="2"/>
  <c r="N189" i="2" s="1"/>
  <c r="M190" i="2"/>
  <c r="N190" i="2" s="1"/>
  <c r="M191" i="2"/>
  <c r="N191" i="2" s="1"/>
  <c r="N192" i="2"/>
  <c r="M193" i="2"/>
  <c r="N193" i="2" s="1"/>
  <c r="M197" i="2"/>
  <c r="N197" i="2" s="1"/>
  <c r="M198" i="2"/>
  <c r="N198" i="2" s="1"/>
  <c r="M199" i="2"/>
  <c r="N199" i="2" s="1"/>
  <c r="M200" i="2"/>
  <c r="N200" i="2" s="1"/>
  <c r="N201" i="2"/>
  <c r="M202" i="2"/>
  <c r="N202" i="2" s="1"/>
  <c r="M203" i="2"/>
  <c r="N203" i="2" s="1"/>
  <c r="M204" i="2"/>
  <c r="N204" i="2" s="1"/>
  <c r="M205" i="2"/>
  <c r="N205" i="2" s="1"/>
  <c r="M206" i="2"/>
  <c r="N206" i="2" s="1"/>
  <c r="M207" i="2"/>
  <c r="N207" i="2" s="1"/>
  <c r="M208" i="2"/>
  <c r="N208" i="2" s="1"/>
  <c r="M209" i="2"/>
  <c r="N209" i="2" s="1"/>
  <c r="M211" i="2"/>
  <c r="N211" i="2" s="1"/>
  <c r="M212" i="2"/>
  <c r="N212" i="2" s="1"/>
  <c r="M213" i="2"/>
  <c r="N213" i="2" s="1"/>
  <c r="M214" i="2"/>
  <c r="N214" i="2" s="1"/>
  <c r="M215" i="2"/>
  <c r="N215" i="2" s="1"/>
  <c r="M216" i="2"/>
  <c r="N216" i="2" s="1"/>
  <c r="M217" i="2"/>
  <c r="N217" i="2" s="1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N224" i="2" s="1"/>
  <c r="M225" i="2"/>
  <c r="N225" i="2" s="1"/>
  <c r="M226" i="2"/>
  <c r="N226" i="2" s="1"/>
  <c r="M227" i="2"/>
  <c r="N227" i="2" s="1"/>
  <c r="M228" i="2"/>
  <c r="N228" i="2" s="1"/>
  <c r="M230" i="2"/>
  <c r="N230" i="2" s="1"/>
  <c r="M231" i="2"/>
  <c r="N231" i="2" s="1"/>
  <c r="M232" i="2"/>
  <c r="N232" i="2" s="1"/>
  <c r="M233" i="2"/>
  <c r="N233" i="2" s="1"/>
  <c r="M234" i="2"/>
  <c r="N234" i="2" s="1"/>
  <c r="M236" i="2"/>
  <c r="N236" i="2" s="1"/>
  <c r="M238" i="2"/>
  <c r="N238" i="2" s="1"/>
  <c r="M239" i="2"/>
  <c r="N239" i="2" s="1"/>
  <c r="M240" i="2"/>
  <c r="N240" i="2" s="1"/>
  <c r="M241" i="2"/>
  <c r="N241" i="2" s="1"/>
  <c r="M243" i="2"/>
  <c r="N243" i="2" s="1"/>
  <c r="M244" i="2"/>
  <c r="N244" i="2" s="1"/>
  <c r="M245" i="2"/>
  <c r="N245" i="2" s="1"/>
  <c r="M246" i="2"/>
  <c r="N246" i="2" s="1"/>
  <c r="M247" i="2"/>
  <c r="N247" i="2" s="1"/>
  <c r="M248" i="2"/>
  <c r="N248" i="2" s="1"/>
  <c r="M249" i="2"/>
  <c r="N249" i="2" s="1"/>
  <c r="M251" i="2"/>
  <c r="N251" i="2" s="1"/>
  <c r="M252" i="2"/>
  <c r="N252" i="2" s="1"/>
  <c r="M254" i="2"/>
  <c r="N254" i="2" s="1"/>
  <c r="M255" i="2"/>
  <c r="N255" i="2" s="1"/>
  <c r="M256" i="2"/>
  <c r="N256" i="2" s="1"/>
  <c r="M257" i="2"/>
  <c r="N257" i="2" s="1"/>
  <c r="M258" i="2"/>
  <c r="N258" i="2" s="1"/>
  <c r="M259" i="2"/>
  <c r="N259" i="2" s="1"/>
  <c r="M260" i="2"/>
  <c r="N260" i="2" s="1"/>
  <c r="M261" i="2"/>
  <c r="N261" i="2" s="1"/>
  <c r="M262" i="2"/>
  <c r="N262" i="2" s="1"/>
  <c r="M263" i="2"/>
  <c r="N263" i="2" s="1"/>
  <c r="M265" i="2"/>
  <c r="N265" i="2" s="1"/>
  <c r="M266" i="2"/>
  <c r="N266" i="2" s="1"/>
  <c r="M267" i="2"/>
  <c r="N267" i="2" s="1"/>
  <c r="M268" i="2"/>
  <c r="N268" i="2" s="1"/>
  <c r="M269" i="2"/>
  <c r="N269" i="2" s="1"/>
  <c r="M270" i="2"/>
  <c r="N270" i="2" s="1"/>
  <c r="M271" i="2"/>
  <c r="N271" i="2" s="1"/>
  <c r="M275" i="2"/>
  <c r="N275" i="2" s="1"/>
  <c r="N276" i="2"/>
  <c r="N278" i="2"/>
  <c r="M279" i="2"/>
  <c r="N279" i="2" s="1"/>
  <c r="M280" i="2"/>
  <c r="N280" i="2" s="1"/>
  <c r="M281" i="2"/>
  <c r="N281" i="2" s="1"/>
  <c r="M282" i="2"/>
  <c r="N282" i="2" s="1"/>
  <c r="M283" i="2"/>
  <c r="N283" i="2" s="1"/>
  <c r="M284" i="2"/>
  <c r="N284" i="2" s="1"/>
  <c r="M285" i="2"/>
  <c r="N285" i="2" s="1"/>
  <c r="M286" i="2"/>
  <c r="N286" i="2" s="1"/>
  <c r="M288" i="2"/>
  <c r="N288" i="2" s="1"/>
  <c r="M289" i="2"/>
  <c r="N289" i="2" s="1"/>
  <c r="M290" i="2"/>
  <c r="N290" i="2" s="1"/>
  <c r="M291" i="2"/>
  <c r="N291" i="2" s="1"/>
  <c r="M292" i="2"/>
  <c r="N292" i="2" s="1"/>
  <c r="M293" i="2"/>
  <c r="N293" i="2" s="1"/>
  <c r="M294" i="2"/>
  <c r="N294" i="2" s="1"/>
  <c r="M295" i="2"/>
  <c r="N295" i="2" s="1"/>
  <c r="M3" i="2"/>
  <c r="N3" i="2" s="1"/>
  <c r="P307" i="2"/>
  <c r="P306" i="2"/>
  <c r="P305" i="2"/>
  <c r="P304" i="2"/>
  <c r="P303" i="2"/>
  <c r="P302" i="2"/>
  <c r="P301" i="2"/>
  <c r="P300" i="2"/>
  <c r="P299" i="2"/>
  <c r="P298" i="2"/>
  <c r="P297" i="2"/>
  <c r="P295" i="2"/>
  <c r="H294" i="2"/>
  <c r="G294" i="2"/>
  <c r="AF293" i="2"/>
  <c r="R293" i="2"/>
  <c r="P293" i="2" s="1"/>
  <c r="Q293" i="2"/>
  <c r="B293" i="2" a="1"/>
  <c r="B293" i="2" s="1"/>
  <c r="AF292" i="2"/>
  <c r="AC292" i="2"/>
  <c r="R292" i="2"/>
  <c r="S292" i="2" s="1"/>
  <c r="Q292" i="2"/>
  <c r="B292" i="2"/>
  <c r="AF291" i="2"/>
  <c r="R291" i="2"/>
  <c r="P291" i="2" s="1"/>
  <c r="Q291" i="2"/>
  <c r="B291" i="2"/>
  <c r="B290" i="2"/>
  <c r="AF289" i="2"/>
  <c r="R289" i="2"/>
  <c r="S289" i="2" s="1"/>
  <c r="Q289" i="2"/>
  <c r="B289" i="2"/>
  <c r="AF288" i="2"/>
  <c r="P288" i="2"/>
  <c r="B288" i="2"/>
  <c r="AF287" i="2"/>
  <c r="R287" i="2"/>
  <c r="S287" i="2" s="1"/>
  <c r="Q287" i="2"/>
  <c r="B287" i="2"/>
  <c r="AF286" i="2"/>
  <c r="R286" i="2"/>
  <c r="S286" i="2" s="1"/>
  <c r="Q286" i="2"/>
  <c r="B286" i="2"/>
  <c r="AF285" i="2"/>
  <c r="R285" i="2"/>
  <c r="P285" i="2" s="1"/>
  <c r="Q285" i="2"/>
  <c r="B285" i="2"/>
  <c r="AF284" i="2"/>
  <c r="R284" i="2"/>
  <c r="S284" i="2" s="1"/>
  <c r="Q284" i="2"/>
  <c r="B284" i="2"/>
  <c r="AF283" i="2"/>
  <c r="AC283" i="2"/>
  <c r="R283" i="2"/>
  <c r="S283" i="2" s="1"/>
  <c r="Q283" i="2"/>
  <c r="B283" i="2"/>
  <c r="AF282" i="2"/>
  <c r="R282" i="2"/>
  <c r="P282" i="2" s="1"/>
  <c r="Q282" i="2"/>
  <c r="B282" i="2"/>
  <c r="AF281" i="2"/>
  <c r="R281" i="2"/>
  <c r="S281" i="2" s="1"/>
  <c r="Q281" i="2"/>
  <c r="B281" i="2" a="1"/>
  <c r="B281" i="2" s="1"/>
  <c r="AF280" i="2"/>
  <c r="R280" i="2"/>
  <c r="P280" i="2" s="1"/>
  <c r="Q280" i="2"/>
  <c r="AF279" i="2"/>
  <c r="R279" i="2"/>
  <c r="S279" i="2" s="1"/>
  <c r="Q279" i="2"/>
  <c r="P278" i="2"/>
  <c r="AF277" i="2"/>
  <c r="P277" i="2"/>
  <c r="B277" i="2" a="1"/>
  <c r="B277" i="2" s="1"/>
  <c r="P276" i="2"/>
  <c r="AF275" i="2"/>
  <c r="AC275" i="2"/>
  <c r="R275" i="2"/>
  <c r="S275" i="2" s="1"/>
  <c r="Q275" i="2"/>
  <c r="B275" i="2"/>
  <c r="AF274" i="2"/>
  <c r="R274" i="2"/>
  <c r="S274" i="2" s="1"/>
  <c r="Q274" i="2"/>
  <c r="B274" i="2"/>
  <c r="AF273" i="2"/>
  <c r="R273" i="2"/>
  <c r="P273" i="2" s="1"/>
  <c r="Q273" i="2"/>
  <c r="B273" i="2"/>
  <c r="AF272" i="2"/>
  <c r="R272" i="2"/>
  <c r="S272" i="2" s="1"/>
  <c r="Q272" i="2"/>
  <c r="B272" i="2"/>
  <c r="AF271" i="2"/>
  <c r="P271" i="2"/>
  <c r="B271" i="2"/>
  <c r="AF270" i="2"/>
  <c r="R270" i="2"/>
  <c r="S270" i="2" s="1"/>
  <c r="Q270" i="2"/>
  <c r="B270" i="2"/>
  <c r="AF269" i="2"/>
  <c r="R269" i="2"/>
  <c r="S269" i="2" s="1"/>
  <c r="Q269" i="2"/>
  <c r="B269" i="2"/>
  <c r="AF268" i="2"/>
  <c r="R268" i="2"/>
  <c r="P268" i="2" s="1"/>
  <c r="Q268" i="2"/>
  <c r="B268" i="2"/>
  <c r="AF267" i="2"/>
  <c r="R267" i="2"/>
  <c r="P267" i="2" s="1"/>
  <c r="Q267" i="2"/>
  <c r="AF266" i="2"/>
  <c r="R266" i="2"/>
  <c r="S266" i="2" s="1"/>
  <c r="Q266" i="2"/>
  <c r="AF265" i="2"/>
  <c r="R265" i="2"/>
  <c r="P265" i="2" s="1"/>
  <c r="Q265" i="2"/>
  <c r="P264" i="2"/>
  <c r="B264" i="2"/>
  <c r="AF263" i="2"/>
  <c r="AC263" i="2"/>
  <c r="R263" i="2"/>
  <c r="S263" i="2" s="1"/>
  <c r="Q263" i="2"/>
  <c r="B263" i="2"/>
  <c r="B262" i="2"/>
  <c r="AF261" i="2"/>
  <c r="R261" i="2"/>
  <c r="S261" i="2" s="1"/>
  <c r="Q261" i="2"/>
  <c r="B261" i="2"/>
  <c r="AF260" i="2"/>
  <c r="R260" i="2"/>
  <c r="S260" i="2" s="1"/>
  <c r="Q260" i="2"/>
  <c r="B260" i="2"/>
  <c r="AF259" i="2"/>
  <c r="AC259" i="2"/>
  <c r="R259" i="2"/>
  <c r="S259" i="2" s="1"/>
  <c r="Q259" i="2"/>
  <c r="B259" i="2"/>
  <c r="AF258" i="2"/>
  <c r="R258" i="2"/>
  <c r="S258" i="2" s="1"/>
  <c r="Q258" i="2"/>
  <c r="B258" i="2"/>
  <c r="AF257" i="2"/>
  <c r="R257" i="2"/>
  <c r="P257" i="2" s="1"/>
  <c r="Q257" i="2"/>
  <c r="B257" i="2"/>
  <c r="AF256" i="2"/>
  <c r="R256" i="2"/>
  <c r="P256" i="2" s="1"/>
  <c r="Q256" i="2"/>
  <c r="B256" i="2"/>
  <c r="AF255" i="2"/>
  <c r="R255" i="2"/>
  <c r="S255" i="2" s="1"/>
  <c r="Q255" i="2"/>
  <c r="B255" i="2"/>
  <c r="B254" i="2"/>
  <c r="AF253" i="2"/>
  <c r="R253" i="2"/>
  <c r="S253" i="2" s="1"/>
  <c r="Q253" i="2"/>
  <c r="B253" i="2"/>
  <c r="AF252" i="2"/>
  <c r="R252" i="2"/>
  <c r="S252" i="2" s="1"/>
  <c r="Q252" i="2"/>
  <c r="B252" i="2"/>
  <c r="AC251" i="2"/>
  <c r="B251" i="2"/>
  <c r="AF250" i="2"/>
  <c r="AE250" i="2"/>
  <c r="R250" i="2"/>
  <c r="P250" i="2" s="1"/>
  <c r="Q250" i="2"/>
  <c r="B250" i="2"/>
  <c r="B249" i="2"/>
  <c r="AF248" i="2"/>
  <c r="R248" i="2"/>
  <c r="P248" i="2" s="1"/>
  <c r="Q248" i="2"/>
  <c r="B248" i="2"/>
  <c r="AF247" i="2"/>
  <c r="P247" i="2"/>
  <c r="B247" i="2"/>
  <c r="AF246" i="2"/>
  <c r="R246" i="2"/>
  <c r="S246" i="2" s="1"/>
  <c r="Q246" i="2"/>
  <c r="B246" i="2"/>
  <c r="B245" i="2"/>
  <c r="AF244" i="2"/>
  <c r="AC244" i="2"/>
  <c r="R244" i="2"/>
  <c r="S244" i="2" s="1"/>
  <c r="Q244" i="2"/>
  <c r="B244" i="2"/>
  <c r="AF243" i="2"/>
  <c r="AC243" i="2"/>
  <c r="R243" i="2"/>
  <c r="S243" i="2" s="1"/>
  <c r="Q243" i="2"/>
  <c r="B243" i="2" a="1"/>
  <c r="B243" i="2" s="1"/>
  <c r="AF242" i="2"/>
  <c r="AC242" i="2"/>
  <c r="R242" i="2"/>
  <c r="S242" i="2" s="1"/>
  <c r="Q242" i="2"/>
  <c r="B242" i="2"/>
  <c r="AF241" i="2"/>
  <c r="AC241" i="2"/>
  <c r="R241" i="2"/>
  <c r="S241" i="2" s="1"/>
  <c r="Q241" i="2"/>
  <c r="B241" i="2"/>
  <c r="AF240" i="2"/>
  <c r="AC240" i="2"/>
  <c r="R240" i="2"/>
  <c r="S240" i="2" s="1"/>
  <c r="Q240" i="2"/>
  <c r="B240" i="2"/>
  <c r="AF239" i="2"/>
  <c r="R239" i="2"/>
  <c r="S239" i="2" s="1"/>
  <c r="Q239" i="2"/>
  <c r="B239" i="2"/>
  <c r="B238" i="2"/>
  <c r="AF237" i="2"/>
  <c r="AC237" i="2"/>
  <c r="S237" i="2"/>
  <c r="Q237" i="2"/>
  <c r="P237" i="2"/>
  <c r="B237" i="2"/>
  <c r="AF236" i="2"/>
  <c r="R236" i="2"/>
  <c r="S236" i="2" s="1"/>
  <c r="Q236" i="2"/>
  <c r="B236" i="2" a="1"/>
  <c r="B236" i="2" s="1"/>
  <c r="AF235" i="2"/>
  <c r="R235" i="2"/>
  <c r="S235" i="2" s="1"/>
  <c r="Q235" i="2"/>
  <c r="B235" i="2"/>
  <c r="AF234" i="2"/>
  <c r="AC234" i="2"/>
  <c r="R234" i="2"/>
  <c r="P234" i="2" s="1"/>
  <c r="Q234" i="2"/>
  <c r="B234" i="2"/>
  <c r="AF233" i="2"/>
  <c r="R233" i="2"/>
  <c r="P233" i="2" s="1"/>
  <c r="Q233" i="2"/>
  <c r="AF232" i="2"/>
  <c r="R232" i="2"/>
  <c r="S232" i="2" s="1"/>
  <c r="Q232" i="2"/>
  <c r="AF231" i="2"/>
  <c r="R231" i="2"/>
  <c r="S231" i="2" s="1"/>
  <c r="Q231" i="2"/>
  <c r="AF230" i="2"/>
  <c r="R230" i="2"/>
  <c r="S230" i="2" s="1"/>
  <c r="Q230" i="2"/>
  <c r="B230" i="2" a="1"/>
  <c r="B230" i="2" s="1"/>
  <c r="AF229" i="2"/>
  <c r="R229" i="2"/>
  <c r="P229" i="2" s="1"/>
  <c r="Q229" i="2"/>
  <c r="B229" i="2"/>
  <c r="AF228" i="2"/>
  <c r="R228" i="2"/>
  <c r="P228" i="2" s="1"/>
  <c r="Q228" i="2"/>
  <c r="B228" i="2"/>
  <c r="AF227" i="2"/>
  <c r="AC227" i="2"/>
  <c r="R227" i="2"/>
  <c r="S227" i="2" s="1"/>
  <c r="Q227" i="2"/>
  <c r="B227" i="2"/>
  <c r="AF226" i="2"/>
  <c r="R226" i="2"/>
  <c r="P226" i="2" s="1"/>
  <c r="Q226" i="2"/>
  <c r="AF225" i="2"/>
  <c r="R225" i="2"/>
  <c r="S225" i="2" s="1"/>
  <c r="Q225" i="2"/>
  <c r="B225" i="2" a="1"/>
  <c r="B225" i="2" s="1"/>
  <c r="P224" i="2"/>
  <c r="B224" i="2"/>
  <c r="AF223" i="2"/>
  <c r="R223" i="2"/>
  <c r="P223" i="2" s="1"/>
  <c r="Q223" i="2"/>
  <c r="AF222" i="2"/>
  <c r="R222" i="2"/>
  <c r="P222" i="2" s="1"/>
  <c r="Q222" i="2"/>
  <c r="B222" i="2"/>
  <c r="AF221" i="2"/>
  <c r="R221" i="2"/>
  <c r="S221" i="2" s="1"/>
  <c r="Q221" i="2"/>
  <c r="B221" i="2"/>
  <c r="AF220" i="2"/>
  <c r="R220" i="2"/>
  <c r="S220" i="2" s="1"/>
  <c r="Q220" i="2"/>
  <c r="B220" i="2"/>
  <c r="AF219" i="2"/>
  <c r="S219" i="2"/>
  <c r="P219" i="2"/>
  <c r="B219" i="2"/>
  <c r="AF218" i="2"/>
  <c r="R218" i="2"/>
  <c r="S218" i="2" s="1"/>
  <c r="Q218" i="2"/>
  <c r="B218" i="2"/>
  <c r="AF217" i="2"/>
  <c r="R217" i="2"/>
  <c r="S217" i="2" s="1"/>
  <c r="Q217" i="2"/>
  <c r="B217" i="2"/>
  <c r="AF216" i="2"/>
  <c r="R216" i="2"/>
  <c r="P216" i="2" s="1"/>
  <c r="Q216" i="2"/>
  <c r="B216" i="2"/>
  <c r="AF215" i="2"/>
  <c r="R215" i="2"/>
  <c r="S215" i="2" s="1"/>
  <c r="Q215" i="2"/>
  <c r="B215" i="2"/>
  <c r="AF214" i="2"/>
  <c r="R214" i="2"/>
  <c r="S214" i="2" s="1"/>
  <c r="Q214" i="2"/>
  <c r="B214" i="2"/>
  <c r="AF213" i="2"/>
  <c r="R213" i="2"/>
  <c r="P213" i="2" s="1"/>
  <c r="Q213" i="2"/>
  <c r="B213" i="2"/>
  <c r="AF212" i="2"/>
  <c r="R212" i="2"/>
  <c r="P212" i="2" s="1"/>
  <c r="Q212" i="2"/>
  <c r="B212" i="2"/>
  <c r="AF211" i="2"/>
  <c r="R211" i="2"/>
  <c r="S211" i="2" s="1"/>
  <c r="Q211" i="2"/>
  <c r="B211" i="2"/>
  <c r="AF210" i="2"/>
  <c r="R210" i="2"/>
  <c r="P210" i="2" s="1"/>
  <c r="Q210" i="2"/>
  <c r="B210" i="2"/>
  <c r="AF209" i="2"/>
  <c r="R209" i="2"/>
  <c r="S209" i="2" s="1"/>
  <c r="Q209" i="2"/>
  <c r="B208" i="2"/>
  <c r="AF207" i="2"/>
  <c r="R207" i="2"/>
  <c r="S207" i="2" s="1"/>
  <c r="Q207" i="2"/>
  <c r="B207" i="2"/>
  <c r="AF206" i="2"/>
  <c r="R206" i="2"/>
  <c r="S206" i="2" s="1"/>
  <c r="Q206" i="2"/>
  <c r="B206" i="2"/>
  <c r="AF205" i="2"/>
  <c r="R205" i="2"/>
  <c r="P205" i="2" s="1"/>
  <c r="Q205" i="2"/>
  <c r="B205" i="2"/>
  <c r="B204" i="2" a="1"/>
  <c r="B204" i="2" s="1"/>
  <c r="AF203" i="2"/>
  <c r="R203" i="2"/>
  <c r="S203" i="2" s="1"/>
  <c r="Q203" i="2"/>
  <c r="B203" i="2" a="1"/>
  <c r="B203" i="2" s="1"/>
  <c r="AF202" i="2"/>
  <c r="R202" i="2"/>
  <c r="S202" i="2" s="1"/>
  <c r="Q202" i="2"/>
  <c r="AF201" i="2"/>
  <c r="P201" i="2"/>
  <c r="B201" i="2"/>
  <c r="B200" i="2"/>
  <c r="AF199" i="2"/>
  <c r="S199" i="2"/>
  <c r="P199" i="2"/>
  <c r="B199" i="2"/>
  <c r="AF198" i="2"/>
  <c r="R198" i="2"/>
  <c r="P198" i="2" s="1"/>
  <c r="Q198" i="2"/>
  <c r="B198" i="2"/>
  <c r="AF196" i="2"/>
  <c r="R196" i="2"/>
  <c r="S196" i="2" s="1"/>
  <c r="Q196" i="2"/>
  <c r="B196" i="2"/>
  <c r="AF195" i="2"/>
  <c r="R195" i="2"/>
  <c r="S195" i="2" s="1"/>
  <c r="Q195" i="2"/>
  <c r="B195" i="2"/>
  <c r="AF194" i="2"/>
  <c r="R194" i="2"/>
  <c r="S194" i="2" s="1"/>
  <c r="Q194" i="2"/>
  <c r="B194" i="2"/>
  <c r="AF193" i="2"/>
  <c r="R193" i="2"/>
  <c r="S193" i="2" s="1"/>
  <c r="Q193" i="2"/>
  <c r="AF192" i="2"/>
  <c r="R192" i="2"/>
  <c r="S192" i="2" s="1"/>
  <c r="Q192" i="2"/>
  <c r="B192" i="2"/>
  <c r="AF191" i="2"/>
  <c r="R191" i="2"/>
  <c r="S191" i="2" s="1"/>
  <c r="Q191" i="2"/>
  <c r="B191" i="2"/>
  <c r="AF190" i="2"/>
  <c r="R190" i="2"/>
  <c r="P190" i="2" s="1"/>
  <c r="Q190" i="2"/>
  <c r="B190" i="2"/>
  <c r="AF189" i="2"/>
  <c r="R189" i="2"/>
  <c r="S189" i="2" s="1"/>
  <c r="Q189" i="2"/>
  <c r="AF188" i="2"/>
  <c r="R188" i="2"/>
  <c r="P188" i="2" s="1"/>
  <c r="Q188" i="2"/>
  <c r="B188" i="2"/>
  <c r="AF187" i="2"/>
  <c r="R187" i="2"/>
  <c r="S187" i="2" s="1"/>
  <c r="Q187" i="2"/>
  <c r="B187" i="2"/>
  <c r="AF186" i="2"/>
  <c r="R186" i="2"/>
  <c r="S186" i="2" s="1"/>
  <c r="Q186" i="2"/>
  <c r="B186" i="2"/>
  <c r="AF185" i="2"/>
  <c r="R185" i="2"/>
  <c r="P185" i="2" s="1"/>
  <c r="Q185" i="2"/>
  <c r="B185" i="2"/>
  <c r="B184" i="2"/>
  <c r="B183" i="2"/>
  <c r="R182" i="2"/>
  <c r="S182" i="2" s="1"/>
  <c r="Q182" i="2"/>
  <c r="B182" i="2"/>
  <c r="AF181" i="2"/>
  <c r="R181" i="2"/>
  <c r="P181" i="2" s="1"/>
  <c r="Q181" i="2"/>
  <c r="B181" i="2"/>
  <c r="AF180" i="2"/>
  <c r="AC180" i="2"/>
  <c r="R180" i="2"/>
  <c r="S180" i="2" s="1"/>
  <c r="Q180" i="2"/>
  <c r="B180" i="2"/>
  <c r="AF179" i="2"/>
  <c r="AC179" i="2"/>
  <c r="R179" i="2"/>
  <c r="P179" i="2" s="1"/>
  <c r="Q179" i="2"/>
  <c r="B179" i="2"/>
  <c r="AF178" i="2"/>
  <c r="AC178" i="2"/>
  <c r="R178" i="2"/>
  <c r="S178" i="2" s="1"/>
  <c r="Q178" i="2"/>
  <c r="B178" i="2"/>
  <c r="AF177" i="2"/>
  <c r="AC177" i="2"/>
  <c r="R177" i="2"/>
  <c r="P177" i="2" s="1"/>
  <c r="Q177" i="2"/>
  <c r="B177" i="2"/>
  <c r="AF176" i="2"/>
  <c r="AC176" i="2"/>
  <c r="R176" i="2"/>
  <c r="P176" i="2" s="1"/>
  <c r="Q176" i="2"/>
  <c r="B176" i="2"/>
  <c r="AF175" i="2"/>
  <c r="AC175" i="2"/>
  <c r="R175" i="2"/>
  <c r="P175" i="2" s="1"/>
  <c r="Q175" i="2"/>
  <c r="B175" i="2"/>
  <c r="AF174" i="2"/>
  <c r="AC174" i="2"/>
  <c r="R174" i="2"/>
  <c r="S174" i="2" s="1"/>
  <c r="Q174" i="2"/>
  <c r="B174" i="2"/>
  <c r="AF173" i="2"/>
  <c r="AC173" i="2"/>
  <c r="R173" i="2"/>
  <c r="P173" i="2" s="1"/>
  <c r="Q173" i="2"/>
  <c r="B173" i="2"/>
  <c r="AF172" i="2"/>
  <c r="AC172" i="2"/>
  <c r="R172" i="2"/>
  <c r="S172" i="2" s="1"/>
  <c r="Q172" i="2"/>
  <c r="B172" i="2"/>
  <c r="B171" i="2"/>
  <c r="AF170" i="2"/>
  <c r="R170" i="2"/>
  <c r="P170" i="2" s="1"/>
  <c r="Q170" i="2"/>
  <c r="B170" i="2"/>
  <c r="AF169" i="2"/>
  <c r="R169" i="2"/>
  <c r="S169" i="2" s="1"/>
  <c r="Q169" i="2"/>
  <c r="B169" i="2"/>
  <c r="B168" i="2"/>
  <c r="AF167" i="2"/>
  <c r="R167" i="2"/>
  <c r="S167" i="2" s="1"/>
  <c r="Q167" i="2"/>
  <c r="B167" i="2"/>
  <c r="AF166" i="2"/>
  <c r="R166" i="2"/>
  <c r="P166" i="2" s="1"/>
  <c r="Q166" i="2"/>
  <c r="B166" i="2"/>
  <c r="AF165" i="2"/>
  <c r="R165" i="2"/>
  <c r="S165" i="2" s="1"/>
  <c r="Q165" i="2"/>
  <c r="B165" i="2" a="1"/>
  <c r="B165" i="2" s="1"/>
  <c r="AF164" i="2"/>
  <c r="R164" i="2"/>
  <c r="S164" i="2" s="1"/>
  <c r="Q164" i="2"/>
  <c r="B164" i="2"/>
  <c r="AF163" i="2"/>
  <c r="R163" i="2"/>
  <c r="P163" i="2" s="1"/>
  <c r="Q163" i="2"/>
  <c r="B163" i="2"/>
  <c r="AF162" i="2"/>
  <c r="R162" i="2"/>
  <c r="S162" i="2" s="1"/>
  <c r="Q162" i="2"/>
  <c r="B162" i="2"/>
  <c r="B161" i="2"/>
  <c r="B160" i="2"/>
  <c r="AF159" i="2"/>
  <c r="AE159" i="2"/>
  <c r="AC159" i="2"/>
  <c r="R159" i="2"/>
  <c r="S159" i="2" s="1"/>
  <c r="Q159" i="2"/>
  <c r="B159" i="2"/>
  <c r="AF158" i="2"/>
  <c r="R158" i="2"/>
  <c r="P158" i="2" s="1"/>
  <c r="Q158" i="2"/>
  <c r="B158" i="2"/>
  <c r="AF157" i="2"/>
  <c r="R157" i="2"/>
  <c r="P157" i="2" s="1"/>
  <c r="Q157" i="2"/>
  <c r="B157" i="2"/>
  <c r="AF156" i="2"/>
  <c r="R156" i="2"/>
  <c r="P156" i="2" s="1"/>
  <c r="Q156" i="2"/>
  <c r="B156" i="2"/>
  <c r="AF155" i="2"/>
  <c r="R155" i="2"/>
  <c r="S155" i="2" s="1"/>
  <c r="Q155" i="2"/>
  <c r="B155" i="2"/>
  <c r="AF154" i="2"/>
  <c r="R154" i="2"/>
  <c r="S154" i="2" s="1"/>
  <c r="Q154" i="2"/>
  <c r="B154" i="2"/>
  <c r="AF153" i="2"/>
  <c r="R153" i="2"/>
  <c r="S153" i="2" s="1"/>
  <c r="Q153" i="2"/>
  <c r="B153" i="2"/>
  <c r="B152" i="2"/>
  <c r="AF151" i="2"/>
  <c r="R151" i="2"/>
  <c r="S151" i="2" s="1"/>
  <c r="Q151" i="2"/>
  <c r="B151" i="2"/>
  <c r="AF150" i="2"/>
  <c r="R150" i="2"/>
  <c r="S150" i="2" s="1"/>
  <c r="Q150" i="2"/>
  <c r="B150" i="2"/>
  <c r="AF149" i="2"/>
  <c r="AC149" i="2"/>
  <c r="R149" i="2"/>
  <c r="S149" i="2" s="1"/>
  <c r="Q149" i="2"/>
  <c r="B149" i="2"/>
  <c r="AF148" i="2"/>
  <c r="AC148" i="2"/>
  <c r="R148" i="2"/>
  <c r="S148" i="2" s="1"/>
  <c r="Q148" i="2"/>
  <c r="B148" i="2"/>
  <c r="AF147" i="2"/>
  <c r="R147" i="2"/>
  <c r="P147" i="2" s="1"/>
  <c r="Q147" i="2"/>
  <c r="B147" i="2"/>
  <c r="B146" i="2"/>
  <c r="AF145" i="2"/>
  <c r="R145" i="2"/>
  <c r="S145" i="2" s="1"/>
  <c r="Q145" i="2"/>
  <c r="B145" i="2"/>
  <c r="AF144" i="2"/>
  <c r="R144" i="2"/>
  <c r="S144" i="2" s="1"/>
  <c r="Q144" i="2"/>
  <c r="B144" i="2"/>
  <c r="AF143" i="2"/>
  <c r="R143" i="2"/>
  <c r="P143" i="2" s="1"/>
  <c r="Q143" i="2"/>
  <c r="B143" i="2"/>
  <c r="AF142" i="2"/>
  <c r="P142" i="2"/>
  <c r="B142" i="2"/>
  <c r="AF141" i="2"/>
  <c r="AC141" i="2"/>
  <c r="R141" i="2"/>
  <c r="S141" i="2" s="1"/>
  <c r="Q141" i="2"/>
  <c r="B141" i="2"/>
  <c r="AF140" i="2"/>
  <c r="R140" i="2"/>
  <c r="S140" i="2" s="1"/>
  <c r="Q140" i="2"/>
  <c r="B140" i="2"/>
  <c r="AF139" i="2"/>
  <c r="R139" i="2"/>
  <c r="S139" i="2" s="1"/>
  <c r="Q139" i="2"/>
  <c r="B139" i="2"/>
  <c r="AF138" i="2"/>
  <c r="R138" i="2"/>
  <c r="P138" i="2" s="1"/>
  <c r="Q138" i="2"/>
  <c r="B138" i="2"/>
  <c r="AF137" i="2"/>
  <c r="S137" i="2"/>
  <c r="Q137" i="2"/>
  <c r="P137" i="2"/>
  <c r="AF136" i="2"/>
  <c r="R136" i="2"/>
  <c r="S136" i="2" s="1"/>
  <c r="Q136" i="2"/>
  <c r="B136" i="2"/>
  <c r="AF135" i="2"/>
  <c r="R135" i="2"/>
  <c r="S135" i="2" s="1"/>
  <c r="Q135" i="2"/>
  <c r="AF134" i="2"/>
  <c r="R134" i="2"/>
  <c r="S134" i="2" s="1"/>
  <c r="Q134" i="2"/>
  <c r="B134" i="2"/>
  <c r="AF133" i="2"/>
  <c r="R133" i="2"/>
  <c r="P133" i="2" s="1"/>
  <c r="Q133" i="2"/>
  <c r="B133" i="2"/>
  <c r="AF132" i="2"/>
  <c r="R132" i="2"/>
  <c r="S132" i="2" s="1"/>
  <c r="Q132" i="2"/>
  <c r="B132" i="2"/>
  <c r="AF131" i="2"/>
  <c r="R131" i="2"/>
  <c r="S131" i="2" s="1"/>
  <c r="Q131" i="2"/>
  <c r="B131" i="2"/>
  <c r="AF130" i="2"/>
  <c r="R130" i="2"/>
  <c r="S130" i="2" s="1"/>
  <c r="Q130" i="2"/>
  <c r="AF129" i="2"/>
  <c r="R129" i="2"/>
  <c r="S129" i="2" s="1"/>
  <c r="Q129" i="2"/>
  <c r="AD128" i="2"/>
  <c r="AF128" i="2" s="1"/>
  <c r="R128" i="2"/>
  <c r="Q128" i="2"/>
  <c r="AF127" i="2"/>
  <c r="R127" i="2"/>
  <c r="S127" i="2" s="1"/>
  <c r="Q127" i="2"/>
  <c r="AD126" i="2"/>
  <c r="AF126" i="2" s="1"/>
  <c r="R126" i="2"/>
  <c r="S126" i="2" s="1"/>
  <c r="Q126" i="2"/>
  <c r="AF125" i="2"/>
  <c r="R125" i="2"/>
  <c r="S125" i="2" s="1"/>
  <c r="Q125" i="2"/>
  <c r="AF124" i="2"/>
  <c r="S124" i="2"/>
  <c r="P124" i="2"/>
  <c r="AF123" i="2"/>
  <c r="R123" i="2"/>
  <c r="S123" i="2" s="1"/>
  <c r="Q123" i="2"/>
  <c r="AD122" i="2"/>
  <c r="AF122" i="2" s="1"/>
  <c r="R122" i="2"/>
  <c r="S122" i="2" s="1"/>
  <c r="Q122" i="2"/>
  <c r="AF121" i="2"/>
  <c r="R121" i="2"/>
  <c r="S121" i="2" s="1"/>
  <c r="Q121" i="2"/>
  <c r="AF120" i="2"/>
  <c r="R120" i="2"/>
  <c r="S120" i="2" s="1"/>
  <c r="Q120" i="2"/>
  <c r="AF119" i="2"/>
  <c r="R119" i="2"/>
  <c r="S119" i="2" s="1"/>
  <c r="Q119" i="2"/>
  <c r="AF118" i="2"/>
  <c r="S118" i="2"/>
  <c r="Q118" i="2"/>
  <c r="P118" i="2"/>
  <c r="AF117" i="2"/>
  <c r="S117" i="2"/>
  <c r="Q117" i="2"/>
  <c r="P117" i="2"/>
  <c r="AF116" i="2"/>
  <c r="R116" i="2"/>
  <c r="S116" i="2" s="1"/>
  <c r="Q116" i="2"/>
  <c r="AF115" i="2"/>
  <c r="R115" i="2"/>
  <c r="S115" i="2" s="1"/>
  <c r="Q115" i="2"/>
  <c r="AF114" i="2"/>
  <c r="R114" i="2"/>
  <c r="S114" i="2" s="1"/>
  <c r="Q114" i="2"/>
  <c r="AF113" i="2"/>
  <c r="R113" i="2"/>
  <c r="P113" i="2" s="1"/>
  <c r="Q113" i="2"/>
  <c r="AF112" i="2"/>
  <c r="S112" i="2"/>
  <c r="Q112" i="2"/>
  <c r="P112" i="2"/>
  <c r="B112" i="2"/>
  <c r="AF110" i="2"/>
  <c r="R110" i="2"/>
  <c r="P110" i="2" s="1"/>
  <c r="Q110" i="2"/>
  <c r="B110" i="2"/>
  <c r="AF109" i="2"/>
  <c r="R109" i="2"/>
  <c r="S109" i="2" s="1"/>
  <c r="Q109" i="2"/>
  <c r="B109" i="2"/>
  <c r="AF108" i="2"/>
  <c r="R108" i="2"/>
  <c r="S108" i="2" s="1"/>
  <c r="Q108" i="2"/>
  <c r="B108" i="2"/>
  <c r="AF107" i="2"/>
  <c r="R107" i="2"/>
  <c r="S107" i="2" s="1"/>
  <c r="Q107" i="2"/>
  <c r="B107" i="2" a="1"/>
  <c r="B107" i="2" s="1"/>
  <c r="AF106" i="2"/>
  <c r="R106" i="2"/>
  <c r="S106" i="2" s="1"/>
  <c r="Q106" i="2"/>
  <c r="B106" i="2"/>
  <c r="B105" i="2"/>
  <c r="B104" i="2"/>
  <c r="AF103" i="2"/>
  <c r="R103" i="2"/>
  <c r="S103" i="2" s="1"/>
  <c r="Q103" i="2"/>
  <c r="B103" i="2"/>
  <c r="AF102" i="2"/>
  <c r="AC102" i="2"/>
  <c r="R102" i="2"/>
  <c r="S102" i="2" s="1"/>
  <c r="Q102" i="2"/>
  <c r="B102" i="2" a="1"/>
  <c r="B102" i="2" s="1"/>
  <c r="AF101" i="2"/>
  <c r="R101" i="2"/>
  <c r="S101" i="2" s="1"/>
  <c r="Q101" i="2"/>
  <c r="B101" i="2" a="1"/>
  <c r="B101" i="2" s="1"/>
  <c r="AF100" i="2"/>
  <c r="R100" i="2"/>
  <c r="S100" i="2" s="1"/>
  <c r="Q100" i="2"/>
  <c r="B100" i="2"/>
  <c r="AF99" i="2"/>
  <c r="R99" i="2"/>
  <c r="S99" i="2" s="1"/>
  <c r="Q99" i="2"/>
  <c r="B99" i="2"/>
  <c r="AF98" i="2"/>
  <c r="AC98" i="2"/>
  <c r="P98" i="2"/>
  <c r="B98" i="2"/>
  <c r="AF97" i="2"/>
  <c r="R97" i="2"/>
  <c r="S97" i="2" s="1"/>
  <c r="Q97" i="2"/>
  <c r="B97" i="2"/>
  <c r="AF96" i="2"/>
  <c r="R96" i="2"/>
  <c r="P96" i="2" s="1"/>
  <c r="Q96" i="2"/>
  <c r="B96" i="2"/>
  <c r="AF95" i="2"/>
  <c r="R95" i="2"/>
  <c r="S95" i="2" s="1"/>
  <c r="Q95" i="2"/>
  <c r="B95" i="2" a="1"/>
  <c r="B95" i="2" s="1"/>
  <c r="B94" i="2"/>
  <c r="AF93" i="2"/>
  <c r="R93" i="2"/>
  <c r="S93" i="2" s="1"/>
  <c r="Q93" i="2"/>
  <c r="B93" i="2"/>
  <c r="AF92" i="2"/>
  <c r="R92" i="2"/>
  <c r="S92" i="2" s="1"/>
  <c r="Q92" i="2"/>
  <c r="B92" i="2"/>
  <c r="AF91" i="2"/>
  <c r="R91" i="2"/>
  <c r="S91" i="2" s="1"/>
  <c r="Q91" i="2"/>
  <c r="B91" i="2"/>
  <c r="AF90" i="2"/>
  <c r="AC90" i="2"/>
  <c r="B90" i="2"/>
  <c r="AF88" i="2"/>
  <c r="R88" i="2"/>
  <c r="S88" i="2" s="1"/>
  <c r="Q88" i="2"/>
  <c r="B88" i="2"/>
  <c r="AF87" i="2"/>
  <c r="R87" i="2"/>
  <c r="P87" i="2" s="1"/>
  <c r="Q87" i="2"/>
  <c r="B87" i="2"/>
  <c r="AF86" i="2"/>
  <c r="R86" i="2"/>
  <c r="P86" i="2" s="1"/>
  <c r="Q86" i="2"/>
  <c r="B86" i="2"/>
  <c r="AF85" i="2"/>
  <c r="S85" i="2"/>
  <c r="P85" i="2"/>
  <c r="B85" i="2"/>
  <c r="AF84" i="2"/>
  <c r="R84" i="2"/>
  <c r="S84" i="2" s="1"/>
  <c r="Q84" i="2"/>
  <c r="B84" i="2"/>
  <c r="AF82" i="2"/>
  <c r="R82" i="2"/>
  <c r="S82" i="2" s="1"/>
  <c r="Q82" i="2"/>
  <c r="B82" i="2"/>
  <c r="AF81" i="2"/>
  <c r="R81" i="2"/>
  <c r="S81" i="2" s="1"/>
  <c r="Q81" i="2"/>
  <c r="B81" i="2"/>
  <c r="AF80" i="2"/>
  <c r="R80" i="2"/>
  <c r="P80" i="2" s="1"/>
  <c r="Q80" i="2"/>
  <c r="B80" i="2"/>
  <c r="AF78" i="2"/>
  <c r="R78" i="2"/>
  <c r="S78" i="2" s="1"/>
  <c r="Q78" i="2"/>
  <c r="B78" i="2"/>
  <c r="AF77" i="2"/>
  <c r="R77" i="2"/>
  <c r="S77" i="2" s="1"/>
  <c r="Q77" i="2"/>
  <c r="B77" i="2"/>
  <c r="AF76" i="2"/>
  <c r="R76" i="2"/>
  <c r="P76" i="2" s="1"/>
  <c r="Q76" i="2"/>
  <c r="B76" i="2"/>
  <c r="AF75" i="2"/>
  <c r="AC75" i="2"/>
  <c r="R75" i="2"/>
  <c r="S75" i="2" s="1"/>
  <c r="Q75" i="2"/>
  <c r="B75" i="2"/>
  <c r="B74" i="2" a="1"/>
  <c r="B74" i="2" s="1"/>
  <c r="AF73" i="2"/>
  <c r="R73" i="2"/>
  <c r="P73" i="2" s="1"/>
  <c r="Q73" i="2"/>
  <c r="B73" i="2" a="1"/>
  <c r="B73" i="2" s="1"/>
  <c r="AF72" i="2"/>
  <c r="R72" i="2"/>
  <c r="S72" i="2" s="1"/>
  <c r="Q72" i="2"/>
  <c r="B72" i="2"/>
  <c r="AF71" i="2"/>
  <c r="AC71" i="2"/>
  <c r="R71" i="2"/>
  <c r="P71" i="2" s="1"/>
  <c r="Q71" i="2"/>
  <c r="B71" i="2"/>
  <c r="AE70" i="2"/>
  <c r="AD70" i="2"/>
  <c r="P70" i="2" s="1"/>
  <c r="S70" i="2"/>
  <c r="Q70" i="2"/>
  <c r="B70" i="2" a="1"/>
  <c r="B70" i="2" s="1"/>
  <c r="AF69" i="2"/>
  <c r="S69" i="2"/>
  <c r="P69" i="2"/>
  <c r="B69" i="2"/>
  <c r="AF68" i="2"/>
  <c r="R68" i="2"/>
  <c r="S68" i="2" s="1"/>
  <c r="Q68" i="2"/>
  <c r="AF67" i="2"/>
  <c r="R67" i="2"/>
  <c r="S67" i="2" s="1"/>
  <c r="Q67" i="2"/>
  <c r="B67" i="2"/>
  <c r="AH66" i="2"/>
  <c r="AG66" i="2"/>
  <c r="AF66" i="2"/>
  <c r="S66" i="2"/>
  <c r="Q66" i="2"/>
  <c r="P66" i="2"/>
  <c r="B66" i="2"/>
  <c r="AF65" i="2"/>
  <c r="R65" i="2"/>
  <c r="S65" i="2" s="1"/>
  <c r="Q65" i="2"/>
  <c r="AF64" i="2"/>
  <c r="R64" i="2"/>
  <c r="P64" i="2" s="1"/>
  <c r="Q64" i="2"/>
  <c r="B64" i="2" a="1"/>
  <c r="B64" i="2" s="1"/>
  <c r="AF63" i="2"/>
  <c r="AC63" i="2"/>
  <c r="R63" i="2"/>
  <c r="S63" i="2" s="1"/>
  <c r="Q63" i="2"/>
  <c r="B63" i="2"/>
  <c r="AF62" i="2"/>
  <c r="T62" i="2"/>
  <c r="T294" i="2" s="1"/>
  <c r="S62" i="2"/>
  <c r="P62" i="2"/>
  <c r="AF61" i="2"/>
  <c r="R61" i="2"/>
  <c r="S61" i="2" s="1"/>
  <c r="Q61" i="2"/>
  <c r="B61" i="2"/>
  <c r="B60" i="2"/>
  <c r="AF59" i="2"/>
  <c r="AC59" i="2"/>
  <c r="R59" i="2"/>
  <c r="P59" i="2" s="1"/>
  <c r="Q59" i="2"/>
  <c r="B59" i="2"/>
  <c r="AF58" i="2"/>
  <c r="R58" i="2"/>
  <c r="S58" i="2" s="1"/>
  <c r="Q58" i="2"/>
  <c r="B58" i="2"/>
  <c r="AF57" i="2"/>
  <c r="R57" i="2"/>
  <c r="S57" i="2" s="1"/>
  <c r="Q57" i="2"/>
  <c r="B57" i="2" a="1"/>
  <c r="B57" i="2" s="1"/>
  <c r="AF56" i="2"/>
  <c r="R56" i="2"/>
  <c r="S56" i="2" s="1"/>
  <c r="Q56" i="2"/>
  <c r="B56" i="2"/>
  <c r="AF55" i="2"/>
  <c r="R55" i="2"/>
  <c r="S55" i="2" s="1"/>
  <c r="Q55" i="2"/>
  <c r="B55" i="2"/>
  <c r="P54" i="2"/>
  <c r="B54" i="2"/>
  <c r="AF53" i="2"/>
  <c r="R53" i="2"/>
  <c r="S53" i="2" s="1"/>
  <c r="Q53" i="2"/>
  <c r="B53" i="2"/>
  <c r="AF52" i="2"/>
  <c r="R52" i="2"/>
  <c r="S52" i="2" s="1"/>
  <c r="Q52" i="2"/>
  <c r="B51" i="2"/>
  <c r="AF50" i="2"/>
  <c r="R50" i="2"/>
  <c r="S50" i="2" s="1"/>
  <c r="Q50" i="2"/>
  <c r="B50" i="2"/>
  <c r="AF49" i="2"/>
  <c r="R49" i="2"/>
  <c r="S49" i="2" s="1"/>
  <c r="Q49" i="2"/>
  <c r="B49" i="2"/>
  <c r="AF48" i="2"/>
  <c r="R48" i="2"/>
  <c r="P48" i="2" s="1"/>
  <c r="Q48" i="2"/>
  <c r="B48" i="2"/>
  <c r="B47" i="2"/>
  <c r="B46" i="2"/>
  <c r="AF45" i="2"/>
  <c r="R45" i="2"/>
  <c r="S45" i="2" s="1"/>
  <c r="Q45" i="2"/>
  <c r="B45" i="2"/>
  <c r="AF44" i="2"/>
  <c r="AC44" i="2"/>
  <c r="R44" i="2"/>
  <c r="P44" i="2" s="1"/>
  <c r="Q44" i="2"/>
  <c r="B44" i="2"/>
  <c r="AF43" i="2"/>
  <c r="AC43" i="2"/>
  <c r="R43" i="2"/>
  <c r="S43" i="2" s="1"/>
  <c r="Q43" i="2"/>
  <c r="B43" i="2"/>
  <c r="AF42" i="2"/>
  <c r="R42" i="2"/>
  <c r="P42" i="2" s="1"/>
  <c r="Q42" i="2"/>
  <c r="B42" i="2"/>
  <c r="AF41" i="2"/>
  <c r="R41" i="2"/>
  <c r="S41" i="2" s="1"/>
  <c r="Q41" i="2"/>
  <c r="B41" i="2"/>
  <c r="P40" i="2"/>
  <c r="B40" i="2"/>
  <c r="AF39" i="2"/>
  <c r="P39" i="2"/>
  <c r="B39" i="2"/>
  <c r="AF38" i="2"/>
  <c r="R38" i="2"/>
  <c r="P38" i="2" s="1"/>
  <c r="Q38" i="2"/>
  <c r="B38" i="2"/>
  <c r="AF37" i="2"/>
  <c r="R37" i="2"/>
  <c r="S37" i="2" s="1"/>
  <c r="Q37" i="2"/>
  <c r="B37" i="2"/>
  <c r="AF36" i="2"/>
  <c r="R36" i="2"/>
  <c r="P36" i="2" s="1"/>
  <c r="Q36" i="2"/>
  <c r="B36" i="2"/>
  <c r="AF35" i="2"/>
  <c r="R35" i="2"/>
  <c r="S35" i="2" s="1"/>
  <c r="Q35" i="2"/>
  <c r="B35" i="2"/>
  <c r="AF34" i="2"/>
  <c r="R34" i="2"/>
  <c r="P34" i="2" s="1"/>
  <c r="Q34" i="2"/>
  <c r="B34" i="2"/>
  <c r="AF33" i="2"/>
  <c r="R33" i="2"/>
  <c r="S33" i="2" s="1"/>
  <c r="Q33" i="2"/>
  <c r="B33" i="2" a="1"/>
  <c r="B33" i="2" s="1"/>
  <c r="AF32" i="2"/>
  <c r="R32" i="2"/>
  <c r="S32" i="2" s="1"/>
  <c r="Q32" i="2"/>
  <c r="AF31" i="2"/>
  <c r="R31" i="2"/>
  <c r="S31" i="2" s="1"/>
  <c r="Q31" i="2"/>
  <c r="B31" i="2"/>
  <c r="AF30" i="2"/>
  <c r="R30" i="2"/>
  <c r="S30" i="2" s="1"/>
  <c r="Q30" i="2"/>
  <c r="B30" i="2"/>
  <c r="AF29" i="2"/>
  <c r="R29" i="2"/>
  <c r="P29" i="2" s="1"/>
  <c r="Q29" i="2"/>
  <c r="AF28" i="2"/>
  <c r="R28" i="2"/>
  <c r="S28" i="2" s="1"/>
  <c r="Q28" i="2"/>
  <c r="P27" i="2"/>
  <c r="AF26" i="2"/>
  <c r="R26" i="2"/>
  <c r="S26" i="2" s="1"/>
  <c r="Q26" i="2"/>
  <c r="AF25" i="2"/>
  <c r="P25" i="2"/>
  <c r="AF24" i="2"/>
  <c r="P24" i="2"/>
  <c r="AF23" i="2"/>
  <c r="R23" i="2"/>
  <c r="S23" i="2" s="1"/>
  <c r="Q23" i="2"/>
  <c r="AF22" i="2"/>
  <c r="R22" i="2"/>
  <c r="S22" i="2" s="1"/>
  <c r="Q22" i="2"/>
  <c r="AF21" i="2"/>
  <c r="P21" i="2"/>
  <c r="AF20" i="2"/>
  <c r="R20" i="2"/>
  <c r="S20" i="2" s="1"/>
  <c r="Q20" i="2"/>
  <c r="AF19" i="2"/>
  <c r="S19" i="2"/>
  <c r="Q19" i="2"/>
  <c r="P19" i="2"/>
  <c r="AF18" i="2"/>
  <c r="R18" i="2"/>
  <c r="P18" i="2" s="1"/>
  <c r="Q18" i="2"/>
  <c r="AF17" i="2"/>
  <c r="AC17" i="2"/>
  <c r="R17" i="2"/>
  <c r="S17" i="2" s="1"/>
  <c r="Q17" i="2"/>
  <c r="AF16" i="2"/>
  <c r="AC16" i="2"/>
  <c r="S16" i="2"/>
  <c r="Q16" i="2"/>
  <c r="P16" i="2"/>
  <c r="AF15" i="2"/>
  <c r="R15" i="2"/>
  <c r="S15" i="2" s="1"/>
  <c r="Q15" i="2"/>
  <c r="AF14" i="2"/>
  <c r="R14" i="2"/>
  <c r="S14" i="2" s="1"/>
  <c r="Q14" i="2"/>
  <c r="AF13" i="2"/>
  <c r="AC13" i="2"/>
  <c r="R13" i="2"/>
  <c r="P13" i="2" s="1"/>
  <c r="Q13" i="2"/>
  <c r="B13" i="2" a="1"/>
  <c r="B13" i="2" s="1"/>
  <c r="AF12" i="2"/>
  <c r="R12" i="2"/>
  <c r="S12" i="2" s="1"/>
  <c r="Q12" i="2"/>
  <c r="P11" i="2"/>
  <c r="AF10" i="2"/>
  <c r="R10" i="2"/>
  <c r="S10" i="2" s="1"/>
  <c r="Q10" i="2"/>
  <c r="B10" i="2"/>
  <c r="AF9" i="2"/>
  <c r="R9" i="2"/>
  <c r="S9" i="2" s="1"/>
  <c r="Q9" i="2"/>
  <c r="B9" i="2"/>
  <c r="AF8" i="2"/>
  <c r="R8" i="2"/>
  <c r="P8" i="2" s="1"/>
  <c r="Q8" i="2"/>
  <c r="B8" i="2"/>
  <c r="B7" i="2"/>
  <c r="B6" i="2"/>
  <c r="B5" i="2"/>
  <c r="AF4" i="2"/>
  <c r="R4" i="2"/>
  <c r="S4" i="2" s="1"/>
  <c r="Q4" i="2"/>
  <c r="B4" i="2"/>
  <c r="AF3" i="2"/>
  <c r="R3" i="2"/>
  <c r="S3" i="2" s="1"/>
  <c r="Q3" i="2"/>
  <c r="B3" i="2"/>
  <c r="P274" i="2" l="1"/>
  <c r="AC70" i="2"/>
  <c r="P128" i="2"/>
  <c r="AF70" i="2"/>
  <c r="P33" i="2"/>
  <c r="P28" i="2"/>
  <c r="P30" i="2"/>
  <c r="P10" i="2"/>
  <c r="P14" i="2"/>
  <c r="P22" i="2"/>
  <c r="P31" i="2"/>
  <c r="S229" i="2"/>
  <c r="P81" i="2"/>
  <c r="P123" i="2"/>
  <c r="P65" i="2"/>
  <c r="P242" i="2"/>
  <c r="P172" i="2"/>
  <c r="P58" i="2"/>
  <c r="P231" i="2"/>
  <c r="P178" i="2"/>
  <c r="P236" i="2"/>
  <c r="P270" i="2"/>
  <c r="P194" i="2"/>
  <c r="P263" i="2"/>
  <c r="P17" i="2"/>
  <c r="P41" i="2"/>
  <c r="P67" i="2"/>
  <c r="P103" i="2"/>
  <c r="P136" i="2"/>
  <c r="P106" i="2"/>
  <c r="P114" i="2"/>
  <c r="P164" i="2"/>
  <c r="P196" i="2"/>
  <c r="P93" i="2"/>
  <c r="P230" i="2"/>
  <c r="P126" i="2"/>
  <c r="P130" i="2"/>
  <c r="P100" i="2"/>
  <c r="P149" i="2"/>
  <c r="P209" i="2"/>
  <c r="P239" i="2"/>
  <c r="S212" i="2"/>
  <c r="P15" i="2"/>
  <c r="P95" i="2"/>
  <c r="P217" i="2"/>
  <c r="P243" i="2"/>
  <c r="P259" i="2"/>
  <c r="P32" i="2"/>
  <c r="P84" i="2"/>
  <c r="P92" i="2"/>
  <c r="P151" i="2"/>
  <c r="P155" i="2"/>
  <c r="P221" i="2"/>
  <c r="P182" i="2"/>
  <c r="P107" i="2"/>
  <c r="P115" i="2"/>
  <c r="P260" i="2"/>
  <c r="S113" i="2"/>
  <c r="S147" i="2"/>
  <c r="S177" i="2"/>
  <c r="P180" i="2"/>
  <c r="P240" i="2"/>
  <c r="S293" i="2"/>
  <c r="S285" i="2"/>
  <c r="S13" i="2"/>
  <c r="S210" i="2"/>
  <c r="S216" i="2"/>
  <c r="S222" i="2"/>
  <c r="S87" i="2"/>
  <c r="P23" i="2"/>
  <c r="P119" i="2"/>
  <c r="P246" i="2"/>
  <c r="P258" i="2"/>
  <c r="P287" i="2"/>
  <c r="P75" i="2"/>
  <c r="P193" i="2"/>
  <c r="P235" i="2"/>
  <c r="P255" i="2"/>
  <c r="P269" i="2"/>
  <c r="P159" i="2"/>
  <c r="P241" i="2"/>
  <c r="P4" i="2"/>
  <c r="P20" i="2"/>
  <c r="P52" i="2"/>
  <c r="P153" i="2"/>
  <c r="S163" i="2"/>
  <c r="S223" i="2"/>
  <c r="S250" i="2"/>
  <c r="S267" i="2"/>
  <c r="S273" i="2"/>
  <c r="S96" i="2"/>
  <c r="S157" i="2"/>
  <c r="S173" i="2"/>
  <c r="S190" i="2"/>
  <c r="P3" i="2"/>
  <c r="P12" i="2"/>
  <c r="P26" i="2"/>
  <c r="P68" i="2"/>
  <c r="P131" i="2"/>
  <c r="P134" i="2"/>
  <c r="P162" i="2"/>
  <c r="P174" i="2"/>
  <c r="P202" i="2"/>
  <c r="P225" i="2"/>
  <c r="P261" i="2"/>
  <c r="P292" i="2"/>
  <c r="P50" i="2"/>
  <c r="S248" i="2"/>
  <c r="S256" i="2"/>
  <c r="P275" i="2"/>
  <c r="P289" i="2"/>
  <c r="S8" i="2"/>
  <c r="S38" i="2"/>
  <c r="S59" i="2"/>
  <c r="S158" i="2"/>
  <c r="S176" i="2"/>
  <c r="S188" i="2"/>
  <c r="S234" i="2"/>
  <c r="S265" i="2"/>
  <c r="P121" i="2"/>
  <c r="P141" i="2"/>
  <c r="P148" i="2"/>
  <c r="P150" i="2"/>
  <c r="P165" i="2"/>
  <c r="S36" i="2"/>
  <c r="P57" i="2"/>
  <c r="P78" i="2"/>
  <c r="P88" i="2"/>
  <c r="P101" i="2"/>
  <c r="S110" i="2"/>
  <c r="P192" i="2"/>
  <c r="P286" i="2"/>
  <c r="P37" i="2"/>
  <c r="P55" i="2"/>
  <c r="P61" i="2"/>
  <c r="P82" i="2"/>
  <c r="P108" i="2"/>
  <c r="P154" i="2"/>
  <c r="S179" i="2"/>
  <c r="S226" i="2"/>
  <c r="P284" i="2"/>
  <c r="AC294" i="2"/>
  <c r="S34" i="2"/>
  <c r="S86" i="2"/>
  <c r="S181" i="2"/>
  <c r="S175" i="2"/>
  <c r="S291" i="2"/>
  <c r="S76" i="2"/>
  <c r="S166" i="2"/>
  <c r="S170" i="2"/>
  <c r="S29" i="2"/>
  <c r="S80" i="2"/>
  <c r="S133" i="2"/>
  <c r="S44" i="2"/>
  <c r="P97" i="2"/>
  <c r="P120" i="2"/>
  <c r="P191" i="2"/>
  <c r="P279" i="2"/>
  <c r="S282" i="2"/>
  <c r="P167" i="2"/>
  <c r="P195" i="2"/>
  <c r="P211" i="2"/>
  <c r="P218" i="2"/>
  <c r="S18" i="2"/>
  <c r="S42" i="2"/>
  <c r="S48" i="2"/>
  <c r="S64" i="2"/>
  <c r="S71" i="2"/>
  <c r="S73" i="2"/>
  <c r="S128" i="2"/>
  <c r="S138" i="2"/>
  <c r="S143" i="2"/>
  <c r="S185" i="2"/>
  <c r="S198" i="2"/>
  <c r="S205" i="2"/>
  <c r="S213" i="2"/>
  <c r="S228" i="2"/>
  <c r="S233" i="2"/>
  <c r="P252" i="2"/>
  <c r="S257" i="2"/>
  <c r="P266" i="2"/>
  <c r="S268" i="2"/>
  <c r="S280" i="2"/>
  <c r="AD294" i="2"/>
  <c r="P283" i="2"/>
  <c r="P43" i="2"/>
  <c r="P45" i="2"/>
  <c r="P49" i="2"/>
  <c r="P63" i="2"/>
  <c r="P129" i="2"/>
  <c r="P139" i="2"/>
  <c r="P144" i="2"/>
  <c r="P186" i="2"/>
  <c r="P203" i="2"/>
  <c r="P206" i="2"/>
  <c r="P214" i="2"/>
  <c r="P35" i="2"/>
  <c r="P72" i="2"/>
  <c r="P77" i="2"/>
  <c r="P227" i="2"/>
  <c r="P272" i="2"/>
  <c r="P281" i="2"/>
  <c r="P109" i="2"/>
  <c r="P127" i="2"/>
  <c r="P132" i="2"/>
  <c r="P169" i="2"/>
  <c r="P189" i="2"/>
  <c r="P232" i="2"/>
  <c r="P253" i="2"/>
  <c r="P9" i="2"/>
  <c r="P53" i="2"/>
  <c r="P56" i="2"/>
  <c r="P91" i="2"/>
  <c r="P99" i="2"/>
  <c r="P116" i="2"/>
  <c r="P122" i="2"/>
  <c r="P125" i="2"/>
  <c r="P135" i="2"/>
  <c r="P140" i="2"/>
  <c r="P145" i="2"/>
  <c r="P187" i="2"/>
  <c r="P207" i="2"/>
  <c r="P215" i="2"/>
  <c r="P220" i="2"/>
  <c r="P244" i="2"/>
  <c r="R294" i="2"/>
  <c r="Q62" i="2"/>
  <c r="Q294" i="2" s="1"/>
  <c r="S294" i="2" l="1"/>
  <c r="P29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<sst xmlns="http://schemas.openxmlformats.org/spreadsheetml/2006/main" count="8057" uniqueCount="3898">
  <si>
    <t>id</t>
  </si>
  <si>
    <t>naam</t>
  </si>
  <si>
    <t>type</t>
  </si>
  <si>
    <t>contactpersoon</t>
  </si>
  <si>
    <t>email</t>
  </si>
  <si>
    <t>telefoonnummer</t>
  </si>
  <si>
    <t>adres</t>
  </si>
  <si>
    <t>postcode</t>
  </si>
  <si>
    <t>plaats</t>
  </si>
  <si>
    <t>land</t>
  </si>
  <si>
    <t>kvk_nummer</t>
  </si>
  <si>
    <t>btw_nummer</t>
  </si>
  <si>
    <t>iban</t>
  </si>
  <si>
    <t>is_klant</t>
  </si>
  <si>
    <t>is_leverancier</t>
  </si>
  <si>
    <t>is_eigenaar</t>
  </si>
  <si>
    <t>marge_max</t>
  </si>
  <si>
    <t>created_at</t>
  </si>
  <si>
    <t>M.C. Claassen</t>
  </si>
  <si>
    <t>bureau</t>
  </si>
  <si>
    <t>mcc.2006@hotmail.com</t>
  </si>
  <si>
    <t>Camino Viejo de Valencia 8 1e izq</t>
  </si>
  <si>
    <t>Nederland</t>
  </si>
  <si>
    <t>NL05 RABO 0383 7113 04</t>
  </si>
  <si>
    <t>Bright Home Rentals B.V.</t>
  </si>
  <si>
    <t>administratie@brighthomerentals.nl</t>
  </si>
  <si>
    <t>Ebweg 73</t>
  </si>
  <si>
    <t>BARENDRECHT</t>
  </si>
  <si>
    <t>66838452.0</t>
  </si>
  <si>
    <t>NL62 RABO 0312 8075 46</t>
  </si>
  <si>
    <t>T.A. van der Burg</t>
  </si>
  <si>
    <t>vanderburgron@gmail.com</t>
  </si>
  <si>
    <t>Heeswijk 113</t>
  </si>
  <si>
    <t>Montfoort</t>
  </si>
  <si>
    <t>53093623.0</t>
  </si>
  <si>
    <t>NL67 INGB 0795 2367 27</t>
  </si>
  <si>
    <t>Randstad Wonen</t>
  </si>
  <si>
    <t>info@randstadwonen.nl</t>
  </si>
  <si>
    <t>Ruva Vastgoed B.V.</t>
  </si>
  <si>
    <t>zakelijk</t>
  </si>
  <si>
    <t>beheer@ruvavastgoed.nl</t>
  </si>
  <si>
    <t>Burgemeester van Campenhoutstraat 2</t>
  </si>
  <si>
    <t>MADE</t>
  </si>
  <si>
    <t>52768384.0</t>
  </si>
  <si>
    <t>NL93 RABO 0116 6871 50</t>
  </si>
  <si>
    <t>GOTI Verhuur B.V.</t>
  </si>
  <si>
    <t>info@gotiverhuur.nl</t>
  </si>
  <si>
    <t>Noorderhaven 63</t>
  </si>
  <si>
    <t>Harlingen</t>
  </si>
  <si>
    <t>1098148.0</t>
  </si>
  <si>
    <t>NL94 INGB 0665 1314 02</t>
  </si>
  <si>
    <t>Maatschap J.W. Meershoek &amp; W.M. Meershoek</t>
  </si>
  <si>
    <t>j.meershoek1@chello.nl</t>
  </si>
  <si>
    <t>Grootzand 11</t>
  </si>
  <si>
    <t>HOEK VAN HOLLAND</t>
  </si>
  <si>
    <t>NL37 ABNA 0406 1514 07</t>
  </si>
  <si>
    <t>Joost de Jong Holding B.V.</t>
  </si>
  <si>
    <t>particulier</t>
  </si>
  <si>
    <t>jcdejong@aol.nl</t>
  </si>
  <si>
    <t>Wetterkrite 49</t>
  </si>
  <si>
    <t>Goutum</t>
  </si>
  <si>
    <t>63936070.0</t>
  </si>
  <si>
    <t>NL70 INGB 0007 1264 17</t>
  </si>
  <si>
    <t>H.C. van Os - Remeeus</t>
  </si>
  <si>
    <t>marcel@cohousingnederland.nl</t>
  </si>
  <si>
    <t>Iependaal 19</t>
  </si>
  <si>
    <t>ROZENBURG</t>
  </si>
  <si>
    <t>NL60 RABO 0369 8896 57</t>
  </si>
  <si>
    <t>Klaas Bos</t>
  </si>
  <si>
    <t>klaas.bos@example.com</t>
  </si>
  <si>
    <t>Finest Housing B.V.</t>
  </si>
  <si>
    <t>backoffice@finesthousing.nl</t>
  </si>
  <si>
    <t>John F. Kennedylaan 246</t>
  </si>
  <si>
    <t>PANNINGEN</t>
  </si>
  <si>
    <t>75080060.0</t>
  </si>
  <si>
    <t>NL57 RABO 0342 8897 61</t>
  </si>
  <si>
    <t>M.J. van Os</t>
  </si>
  <si>
    <t>marcelvanos0@gmail.com</t>
  </si>
  <si>
    <t>Burg Letteweg 31</t>
  </si>
  <si>
    <t>OOSTVOORNE</t>
  </si>
  <si>
    <t>NL21 INGB 0664 8003 94</t>
  </si>
  <si>
    <t>United Homes B.V.</t>
  </si>
  <si>
    <t>administratie@unitedhomes.eu</t>
  </si>
  <si>
    <t>Van Vollenhovenstraat 10</t>
  </si>
  <si>
    <t>Rotterdam</t>
  </si>
  <si>
    <t>NL85 RABO 0131 3612 60</t>
  </si>
  <si>
    <t>Edy Comert BV</t>
  </si>
  <si>
    <t>office@edycom.ro</t>
  </si>
  <si>
    <t>Bergerweg 61</t>
  </si>
  <si>
    <t>Sittard</t>
  </si>
  <si>
    <t>51124769.0</t>
  </si>
  <si>
    <t>Flexcraft SSC BV</t>
  </si>
  <si>
    <t>huisvesting@flexcraft.eu</t>
  </si>
  <si>
    <t>Einsteinstraat 9 B</t>
  </si>
  <si>
    <t>Gorinchem</t>
  </si>
  <si>
    <t>67541690.0</t>
  </si>
  <si>
    <t>Vaktec BV</t>
  </si>
  <si>
    <t>j.deboer@vaktec.nl</t>
  </si>
  <si>
    <t>Kielerbocht 29A</t>
  </si>
  <si>
    <t>Groningen</t>
  </si>
  <si>
    <t>Tradiro Services B.V.</t>
  </si>
  <si>
    <t>facturen@tradiro.nl</t>
  </si>
  <si>
    <t>Honderdland 960</t>
  </si>
  <si>
    <t>Maasdijk</t>
  </si>
  <si>
    <t>59979135.0</t>
  </si>
  <si>
    <t>NL05 RABO 0154 0739 89</t>
  </si>
  <si>
    <t>Sagius Uitzenders B.V.</t>
  </si>
  <si>
    <t>facturen@sagiusuitzenders.nl</t>
  </si>
  <si>
    <t>Bleiswijkseweg 43</t>
  </si>
  <si>
    <t>ZOETERMEER</t>
  </si>
  <si>
    <t>NL41 RABO 0145 8741 25</t>
  </si>
  <si>
    <t>Groene Hart Service Detachering B.V.</t>
  </si>
  <si>
    <t>facturatie@groenehartservice.nl</t>
  </si>
  <si>
    <t>Fokkerstraat 5</t>
  </si>
  <si>
    <t>REEUWIJK</t>
  </si>
  <si>
    <t>NL41 INGB 0650 5389 00</t>
  </si>
  <si>
    <t>S. Dolstra</t>
  </si>
  <si>
    <t>dolstra@yahoo.com</t>
  </si>
  <si>
    <t>Molenweg 10 a</t>
  </si>
  <si>
    <t>KRUISLAND</t>
  </si>
  <si>
    <t>NL51 RABO 0194 3333 02</t>
  </si>
  <si>
    <t>The Housing Guild B.V.</t>
  </si>
  <si>
    <t>r.nijboer@degildegroep.nl</t>
  </si>
  <si>
    <t>Blankenstein 136</t>
  </si>
  <si>
    <t>MEPPEL</t>
  </si>
  <si>
    <t>NL81 ABNA 0823 0941 54</t>
  </si>
  <si>
    <t>J. Hermans</t>
  </si>
  <si>
    <t>frankjolanda@online.nl</t>
  </si>
  <si>
    <t>Meedhuizerweg 5</t>
  </si>
  <si>
    <t>MEEDHUIZEN</t>
  </si>
  <si>
    <t>NL92 RABO 0154 3249 14</t>
  </si>
  <si>
    <t>S. Bakker OPH Verhuur</t>
  </si>
  <si>
    <t>Hoofdweg 7</t>
  </si>
  <si>
    <t>Hitzum</t>
  </si>
  <si>
    <t>NL85 INGB 0102 8401 21</t>
  </si>
  <si>
    <t>V.O.F. Groepsaccommodaties Drenthe</t>
  </si>
  <si>
    <t>Westeind 12</t>
  </si>
  <si>
    <t>Norg</t>
  </si>
  <si>
    <t>67963692.0</t>
  </si>
  <si>
    <t>O.J.P Soc Constru√ß√µes</t>
  </si>
  <si>
    <t>romeu.ferreira@ojp.pt</t>
  </si>
  <si>
    <t>Rua Quinta da Tapada 20 R C</t>
  </si>
  <si>
    <t>Portugal</t>
  </si>
  <si>
    <t>PT50 0010 0000 5582 3720 0019 1</t>
  </si>
  <si>
    <t>Vivir Wonen</t>
  </si>
  <si>
    <t>info@vivirwonen.nl</t>
  </si>
  <si>
    <t>Postbus 811</t>
  </si>
  <si>
    <t>58693807.0</t>
  </si>
  <si>
    <t>NL52 RABO 0106 0699 77</t>
  </si>
  <si>
    <t>Global Accomodation Solutions (Incassobureau)</t>
  </si>
  <si>
    <t>info@globalaccommodation.solutions</t>
  </si>
  <si>
    <t>Jan Pietersz. Coenstraat 7</t>
  </si>
  <si>
    <t>'S-GRAVENHAGE</t>
  </si>
  <si>
    <t>78155797.0</t>
  </si>
  <si>
    <t>NL76 INGB 0008 9801 73</t>
  </si>
  <si>
    <t>Alis Vastgoed B.V.</t>
  </si>
  <si>
    <t>rifat@prokonak.nl</t>
  </si>
  <si>
    <t>Fruitweg 25</t>
  </si>
  <si>
    <t>Resource One B.V.</t>
  </si>
  <si>
    <t>info@qualityhomerentals.nl</t>
  </si>
  <si>
    <t>Nobelstraat 76</t>
  </si>
  <si>
    <t>BRIELLE</t>
  </si>
  <si>
    <t>74887068.0</t>
  </si>
  <si>
    <t>NL95 KNAB 0259 2344 78</t>
  </si>
  <si>
    <t>Team Home Rentals B.V.</t>
  </si>
  <si>
    <t>administratie@teamhomerentals.nl</t>
  </si>
  <si>
    <t>Dopplerweg1</t>
  </si>
  <si>
    <t>Spijkenisse</t>
  </si>
  <si>
    <t>71523561.0</t>
  </si>
  <si>
    <t>NL61 RABO 0330 2631 02</t>
  </si>
  <si>
    <t>Direct Rendement B.V.</t>
  </si>
  <si>
    <t>info@directrendement.nl</t>
  </si>
  <si>
    <t>Kortedijk 57</t>
  </si>
  <si>
    <t>VLAARDINGEN</t>
  </si>
  <si>
    <t>72724382.0</t>
  </si>
  <si>
    <t>NL09 INGB 0008 5322 69</t>
  </si>
  <si>
    <t>Interim Jobs B.V.</t>
  </si>
  <si>
    <t>e.ozel@interimjobs.nl</t>
  </si>
  <si>
    <t>Vlierwerf 3 d</t>
  </si>
  <si>
    <t>ROOSENDAAL</t>
  </si>
  <si>
    <t>67044360.0</t>
  </si>
  <si>
    <t>NL83 RABO 0313 5561 05</t>
  </si>
  <si>
    <t>L.M. Schilstra</t>
  </si>
  <si>
    <t>Adres onbekend</t>
  </si>
  <si>
    <t>NL17 RABO 0158 8674 16</t>
  </si>
  <si>
    <t>Employ</t>
  </si>
  <si>
    <t>Best@Work B.V.</t>
  </si>
  <si>
    <t>info@bestatwork.nl</t>
  </si>
  <si>
    <t>Industrieweg 74-76</t>
  </si>
  <si>
    <t>WAALWIJK</t>
  </si>
  <si>
    <t>74210025.0</t>
  </si>
  <si>
    <t>WS Detachering BV</t>
  </si>
  <si>
    <t>administratie@workstead.nl</t>
  </si>
  <si>
    <t>Barneveldsestraat 44</t>
  </si>
  <si>
    <t>Renswoude</t>
  </si>
  <si>
    <t>Flowerhill B.V.</t>
  </si>
  <si>
    <t>jb.heuvel@quicknet.nl</t>
  </si>
  <si>
    <t>Prinses Marijkestraat 36</t>
  </si>
  <si>
    <t>Andijk</t>
  </si>
  <si>
    <t>69891478.0</t>
  </si>
  <si>
    <t>J.D. Jongsma</t>
  </si>
  <si>
    <t>jand.jongsma@icloud.com</t>
  </si>
  <si>
    <t>Tamboerstraat 16</t>
  </si>
  <si>
    <t>LOON OP ZAND</t>
  </si>
  <si>
    <t>NL88 INGB 0794 4823 68</t>
  </si>
  <si>
    <t>Multiserwis SP z o.o.</t>
  </si>
  <si>
    <t>karol.pastucha@bilfinger.com</t>
  </si>
  <si>
    <t>ul. Prudnicka 40</t>
  </si>
  <si>
    <t>Krapkowise</t>
  </si>
  <si>
    <t>Polen</t>
  </si>
  <si>
    <t>120630.0</t>
  </si>
  <si>
    <t>DE81 7007 0010 0206 0184 00</t>
  </si>
  <si>
    <t>A.W.N. Alkemade</t>
  </si>
  <si>
    <t>melkveebedrijfalkemade@kpnmail.nl</t>
  </si>
  <si>
    <t>Laan van Pluymestein 36</t>
  </si>
  <si>
    <t>WASSENAAR</t>
  </si>
  <si>
    <t>NL80 ABNA 0608 8189 41</t>
  </si>
  <si>
    <t>HBBwonen.nu B.V.</t>
  </si>
  <si>
    <t>info@hbbwonen.nu</t>
  </si>
  <si>
    <t>Stationsstraat 13</t>
  </si>
  <si>
    <t>ROSMALEN</t>
  </si>
  <si>
    <t>70532222.0</t>
  </si>
  <si>
    <t>NL79 INGB 0006 8359 34</t>
  </si>
  <si>
    <t>S. Meijer</t>
  </si>
  <si>
    <t>siebmeijer@msn.com</t>
  </si>
  <si>
    <t>Zevenhuizen 2</t>
  </si>
  <si>
    <t>FRANEKER</t>
  </si>
  <si>
    <t>NL76 INGB 0679 9560 42</t>
  </si>
  <si>
    <t>De Pagter Vastgoed B.V.</t>
  </si>
  <si>
    <t>info@depagtervastgoed.nl</t>
  </si>
  <si>
    <t>Molenwater 2</t>
  </si>
  <si>
    <t>MIDDELBURG</t>
  </si>
  <si>
    <t>22033473.0</t>
  </si>
  <si>
    <t>NL91 INGB 0650 5095 79</t>
  </si>
  <si>
    <t>Marco is Vastgoed B.V.</t>
  </si>
  <si>
    <t>marco@dewitteaap.nl</t>
  </si>
  <si>
    <t>Lombardkade 29 C</t>
  </si>
  <si>
    <t>ROTTERDAM</t>
  </si>
  <si>
    <t>NL33 RABO 0349 6595 32</t>
  </si>
  <si>
    <t>Kiose Yacht Finishing</t>
  </si>
  <si>
    <t>metinkiose@yahoo.co.uk</t>
  </si>
  <si>
    <t>Kiou 6</t>
  </si>
  <si>
    <t>Keatsini  Athens</t>
  </si>
  <si>
    <t>Griekenland</t>
  </si>
  <si>
    <t>European Business Brokers</t>
  </si>
  <si>
    <t>daniel@reppz.com</t>
  </si>
  <si>
    <t>Dr. Duyvendakhof 32</t>
  </si>
  <si>
    <t>Oud Beijerland</t>
  </si>
  <si>
    <t>Global Expatriate Services SL</t>
  </si>
  <si>
    <t>lodewijk@globexs.com</t>
  </si>
  <si>
    <t>Calle Del Pintor Salvador Abril 35</t>
  </si>
  <si>
    <t>Valencia</t>
  </si>
  <si>
    <t>Spanje</t>
  </si>
  <si>
    <t>ES59 0049 0621 1228 1065 0833</t>
  </si>
  <si>
    <t>Light Personeelsdiensten</t>
  </si>
  <si>
    <t>Pol Flex B.V.</t>
  </si>
  <si>
    <t>administratie@polflexbv.nl</t>
  </si>
  <si>
    <t>Ouddeelstraat 7 a</t>
  </si>
  <si>
    <t>LEEUWARDEN</t>
  </si>
  <si>
    <t>73251127.0</t>
  </si>
  <si>
    <t>NL22 SNSB 0267 9799 16</t>
  </si>
  <si>
    <t>I.I. Bhaggoe</t>
  </si>
  <si>
    <t>Jan Campertlaan 8</t>
  </si>
  <si>
    <t>SPIJKENISSE</t>
  </si>
  <si>
    <t>NL56 INGB 0671 6016 95</t>
  </si>
  <si>
    <t>De Borgmeren B.V.</t>
  </si>
  <si>
    <t>borgmeren@live.nl</t>
  </si>
  <si>
    <t>Hoofdweg 34</t>
  </si>
  <si>
    <t>SCHARMER</t>
  </si>
  <si>
    <t>NL54 RABO 0366 9535 75</t>
  </si>
  <si>
    <t>van Heeswijk</t>
  </si>
  <si>
    <t>verhuur@reham.nl</t>
  </si>
  <si>
    <t>NL32 INGB 0007 1086 71</t>
  </si>
  <si>
    <t>Business Housing</t>
  </si>
  <si>
    <t>eliane@zamens.nl</t>
  </si>
  <si>
    <t>Oosteinde 26</t>
  </si>
  <si>
    <t>Oud Alblas</t>
  </si>
  <si>
    <t>69861846.0</t>
  </si>
  <si>
    <t>NL50 RABO 0323 5939 68</t>
  </si>
  <si>
    <t>Finishing De Luxe GmbH</t>
  </si>
  <si>
    <t>katja.korotchenko@finishing-deluxe.com</t>
  </si>
  <si>
    <t>Burgermeister Schade Strasse 20</t>
  </si>
  <si>
    <t>SCHONKIRCHEN</t>
  </si>
  <si>
    <t>Zeeland Housing Facility B.V.</t>
  </si>
  <si>
    <t>info@housingzeeland.nl</t>
  </si>
  <si>
    <t>Prinsenhove 168</t>
  </si>
  <si>
    <t>Middelburg</t>
  </si>
  <si>
    <t>75463547.0</t>
  </si>
  <si>
    <t>MvB Services</t>
  </si>
  <si>
    <t>driver@meindertvanbuuren.com</t>
  </si>
  <si>
    <t>Windgatseweg 2</t>
  </si>
  <si>
    <t>ROCKANJE</t>
  </si>
  <si>
    <t>70892865.0</t>
  </si>
  <si>
    <t>NL70 RABO 0327 4853 45</t>
  </si>
  <si>
    <t>Vleesbewerking van der Pijl B.V.</t>
  </si>
  <si>
    <t>facturen@vleesbewerkingvanderpijl.nl</t>
  </si>
  <si>
    <t>Cypresbaan 6a</t>
  </si>
  <si>
    <t>CAPELLE AAN DEN IJSSEL</t>
  </si>
  <si>
    <t>70437769.0</t>
  </si>
  <si>
    <t>City Estate B.V.</t>
  </si>
  <si>
    <t>huren@cityestate.nl</t>
  </si>
  <si>
    <t>Oudegracht 312</t>
  </si>
  <si>
    <t>UTRECHT</t>
  </si>
  <si>
    <t>77525027.0</t>
  </si>
  <si>
    <t>NL95 INGB 0006 7773 49</t>
  </si>
  <si>
    <t>A.Y. Nicolai</t>
  </si>
  <si>
    <t>famnicolai@hotmail.com</t>
  </si>
  <si>
    <t>De Setangel 14</t>
  </si>
  <si>
    <t>GROU</t>
  </si>
  <si>
    <t>NL44 INGB 0006 4538 99</t>
  </si>
  <si>
    <t>M. Poel</t>
  </si>
  <si>
    <t>monique_pruijsen@hotmail.com</t>
  </si>
  <si>
    <t>Esdoornlaan 64</t>
  </si>
  <si>
    <t>NL96 RABO 0138 5699 08</t>
  </si>
  <si>
    <t>Space4U B.V.</t>
  </si>
  <si>
    <t>info@space4ubv.nl</t>
  </si>
  <si>
    <t>Kastelenplein 4</t>
  </si>
  <si>
    <t>EINDHOVEN</t>
  </si>
  <si>
    <t>77266099.0</t>
  </si>
  <si>
    <t>NL44 INGB 0007 4063 42</t>
  </si>
  <si>
    <t>S. Marinus (zie 50200)</t>
  </si>
  <si>
    <t>'t Deel 29</t>
  </si>
  <si>
    <t>Drachten</t>
  </si>
  <si>
    <t>NL16 RABO 0348 0756 34</t>
  </si>
  <si>
    <t>J. van Heeswijk</t>
  </si>
  <si>
    <t>Kortrijksesteenweg 1004</t>
  </si>
  <si>
    <t>V.B.A. Beheer B.V.</t>
  </si>
  <si>
    <t>vbabv@outlook.com</t>
  </si>
  <si>
    <t>Ouddeelstraat 9</t>
  </si>
  <si>
    <t>Leeuwarden</t>
  </si>
  <si>
    <t>60392525.0</t>
  </si>
  <si>
    <t>NL72 ABNA 0508 0206 62</t>
  </si>
  <si>
    <t>Quality Home Rentals</t>
  </si>
  <si>
    <t>Vlinderslag 4</t>
  </si>
  <si>
    <t>76436357.0</t>
  </si>
  <si>
    <t>NL19 KNAB 0259 8013 56</t>
  </si>
  <si>
    <t>P. Gryspeerdt</t>
  </si>
  <si>
    <t>Klimopstraat 1</t>
  </si>
  <si>
    <t>A. Verschueren</t>
  </si>
  <si>
    <t>Mangelbeekstraat 1</t>
  </si>
  <si>
    <t>Langweer Vastgoed B.V.</t>
  </si>
  <si>
    <t>jan@wassenaarvastgoed.nl</t>
  </si>
  <si>
    <t>Buorren 15</t>
  </si>
  <si>
    <t>LANGWEER</t>
  </si>
  <si>
    <t>NL64 RABO 0312 3429 77</t>
  </si>
  <si>
    <t>A. Dzaka</t>
  </si>
  <si>
    <t>adisa-kemo@hotmail.com</t>
  </si>
  <si>
    <t>Merwedepad 29</t>
  </si>
  <si>
    <t>Rozenburg ZH</t>
  </si>
  <si>
    <t>M.A. Pronk</t>
  </si>
  <si>
    <t>mp64@hotmail.com</t>
  </si>
  <si>
    <t>Oosteinde 102</t>
  </si>
  <si>
    <t>BERKHOUT</t>
  </si>
  <si>
    <t>NL31 INGB 0799 7542 77</t>
  </si>
  <si>
    <t>HJC Service</t>
  </si>
  <si>
    <t>benhanan010@gmail.com</t>
  </si>
  <si>
    <t>Maarland Zuidzijde 27</t>
  </si>
  <si>
    <t>Brielle</t>
  </si>
  <si>
    <t>71585737.0</t>
  </si>
  <si>
    <t>NL78 SNSB 0786 0245 77</t>
  </si>
  <si>
    <t>StayProjects Group Netherlands B.V.</t>
  </si>
  <si>
    <t>sametkaya@staysolutions.com</t>
  </si>
  <si>
    <t>Bijdorpplein 9 - 11</t>
  </si>
  <si>
    <t>20160652.0</t>
  </si>
  <si>
    <t>NL34 RABO 0152 5813 16</t>
  </si>
  <si>
    <t>Vast-PS Housing</t>
  </si>
  <si>
    <t>info@vast-ps.nl</t>
  </si>
  <si>
    <t>Verlaatsweg 33</t>
  </si>
  <si>
    <t>SPIERDIJK</t>
  </si>
  <si>
    <t>NL79 RABO 0335 3714 77</t>
  </si>
  <si>
    <t>Edy Comert SRL</t>
  </si>
  <si>
    <t>Strada Rapsodiei 47</t>
  </si>
  <si>
    <t>Constanta</t>
  </si>
  <si>
    <t>Roemeni√´</t>
  </si>
  <si>
    <t>RO73 BACX 0000 0008 7210 3014</t>
  </si>
  <si>
    <t>Frysl√¢n Homes</t>
  </si>
  <si>
    <t>backoffice@fryslanhomes.frl</t>
  </si>
  <si>
    <t>Struikheide 6</t>
  </si>
  <si>
    <t>Heerenveen</t>
  </si>
  <si>
    <t>63969823.0</t>
  </si>
  <si>
    <t>K-Power Netherlands Kft</t>
  </si>
  <si>
    <t>Wetering Oost 48</t>
  </si>
  <si>
    <t>Wetering</t>
  </si>
  <si>
    <t>A.P.W. Koedooder</t>
  </si>
  <si>
    <t>apwkoedooder@gmail.com</t>
  </si>
  <si>
    <t>Isaac Beeckmanhof 1</t>
  </si>
  <si>
    <t>NL21 INGB 0006 8135 04</t>
  </si>
  <si>
    <t>Gridin's Group LT</t>
  </si>
  <si>
    <t>a.kozlova@gridins.com</t>
  </si>
  <si>
    <t>Tomo g. 20-2</t>
  </si>
  <si>
    <t>Klaipeda</t>
  </si>
  <si>
    <t>Litouwen</t>
  </si>
  <si>
    <t>L. Keizer</t>
  </si>
  <si>
    <t>leendertkeizer@hotmail.com</t>
  </si>
  <si>
    <t>Rettichlaan 8</t>
  </si>
  <si>
    <t>'S-GRAVENZANDE</t>
  </si>
  <si>
    <t>NL16 INGB 0675 4147 09</t>
  </si>
  <si>
    <t>Flex House Renting B.V.</t>
  </si>
  <si>
    <t>78002222.0</t>
  </si>
  <si>
    <t>NL35 INGB 0008 0442 79</t>
  </si>
  <si>
    <t>T.A. Middelkoop</t>
  </si>
  <si>
    <t>tunny.10@hotmail.com</t>
  </si>
  <si>
    <t>Vlietskade 9015</t>
  </si>
  <si>
    <t>ARKEL</t>
  </si>
  <si>
    <t>NL70 RABO 0397 2182 57</t>
  </si>
  <si>
    <t>Crown Uitzendgroep</t>
  </si>
  <si>
    <t>UAB Toromega</t>
  </si>
  <si>
    <t>Orange Investments Group</t>
  </si>
  <si>
    <t>4 Homes B.V.</t>
  </si>
  <si>
    <t>Eastmen</t>
  </si>
  <si>
    <t>Industrial Technical Services Srl</t>
  </si>
  <si>
    <t>Housing en Transport Facilities BV</t>
  </si>
  <si>
    <t>Stay21</t>
  </si>
  <si>
    <t>Marseille Bax Van Maanen Rotterdamse account.</t>
  </si>
  <si>
    <t>Molenweg 11-13</t>
  </si>
  <si>
    <t>Rozenburg</t>
  </si>
  <si>
    <t>24220887.0</t>
  </si>
  <si>
    <t>NL39 ABNA 0800 7349 55</t>
  </si>
  <si>
    <t>Autobedrijf W. Bronder</t>
  </si>
  <si>
    <t>k.bronder@outlook.com</t>
  </si>
  <si>
    <t>Boomweg 17</t>
  </si>
  <si>
    <t>Rockanje</t>
  </si>
  <si>
    <t>24234431.0</t>
  </si>
  <si>
    <t>NL22 RABO 0350 2406 63</t>
  </si>
  <si>
    <t>DNACC B.V. / Rolbakkie</t>
  </si>
  <si>
    <t>Aziehavenweg 18</t>
  </si>
  <si>
    <t>Amsterdam</t>
  </si>
  <si>
    <t>37155744.0</t>
  </si>
  <si>
    <t>NL94 INGB 0007 2004 81</t>
  </si>
  <si>
    <t>Dynalinx B.V.</t>
  </si>
  <si>
    <t>Pascalweg 15</t>
  </si>
  <si>
    <t>Hellevoetsluis</t>
  </si>
  <si>
    <t>6092423.0</t>
  </si>
  <si>
    <t>NL70 RABO 0351 6436 80</t>
  </si>
  <si>
    <t>Furniture Lease</t>
  </si>
  <si>
    <t>Sint Walburg 20 b</t>
  </si>
  <si>
    <t>Zetten</t>
  </si>
  <si>
    <t>73701297.0</t>
  </si>
  <si>
    <t>NL67 RABO 0133 9564 31</t>
  </si>
  <si>
    <t>Hiltermann Lease B.V.</t>
  </si>
  <si>
    <t>Diamantlaan 6</t>
  </si>
  <si>
    <t>Hoofddorp</t>
  </si>
  <si>
    <t>34216188.0</t>
  </si>
  <si>
    <t>NL32 ABNA 0633 0060 76</t>
  </si>
  <si>
    <t>Kadaster</t>
  </si>
  <si>
    <t>George Hintzenweg 77</t>
  </si>
  <si>
    <t>8215619.0</t>
  </si>
  <si>
    <t>NL42 INGB 0006 3919 52</t>
  </si>
  <si>
    <t>Keypro B.V.</t>
  </si>
  <si>
    <t>Suikerlaan 15</t>
  </si>
  <si>
    <t>52688844.0</t>
  </si>
  <si>
    <t>NL76 INGB 0007 4343 81</t>
  </si>
  <si>
    <t>Lago Personeelshuisvesting B.V.</t>
  </si>
  <si>
    <t>facturen@lagopersoneelshuisvesting.nl</t>
  </si>
  <si>
    <t>Kwinkweerd 100A</t>
  </si>
  <si>
    <t>Lochem</t>
  </si>
  <si>
    <t>67649815.0</t>
  </si>
  <si>
    <t>TOTAL Nederland N.V.</t>
  </si>
  <si>
    <t>Bezuidenhoutseweg 273</t>
  </si>
  <si>
    <t>'s-Gravenhage</t>
  </si>
  <si>
    <t>24106171.0</t>
  </si>
  <si>
    <t>NL83 DEUT 0265 2210 48</t>
  </si>
  <si>
    <t>Van der Wal Bedrijfshuisvesting B.V.</t>
  </si>
  <si>
    <t>Beeldsweg 6 a</t>
  </si>
  <si>
    <t>24243929.0</t>
  </si>
  <si>
    <t>NL46 RABO 0166 3751 79</t>
  </si>
  <si>
    <t>YaY</t>
  </si>
  <si>
    <t>yolanda@youronlineassociate.nl</t>
  </si>
  <si>
    <t>Kikkerveen 217</t>
  </si>
  <si>
    <t>74545191.0</t>
  </si>
  <si>
    <t>NL33 KNAB 0259 4355 11</t>
  </si>
  <si>
    <t>LZ Auto- en Motorservice B.V.</t>
  </si>
  <si>
    <t>lz@lzautoservice.nl</t>
  </si>
  <si>
    <t>Dwarsweg 32</t>
  </si>
  <si>
    <t>64117367.0</t>
  </si>
  <si>
    <t>Verkeersschool Nobel</t>
  </si>
  <si>
    <t>info@verkeersschoolnobel.nl</t>
  </si>
  <si>
    <t>Oostdijk 37</t>
  </si>
  <si>
    <t>OGSS BV</t>
  </si>
  <si>
    <t>administratie@ooijkaas.nl</t>
  </si>
  <si>
    <t>Hoofdstraat 127A</t>
  </si>
  <si>
    <t>Schiedam</t>
  </si>
  <si>
    <t>Bator V.O.F.</t>
  </si>
  <si>
    <t>Jacob Marisstraat 37</t>
  </si>
  <si>
    <t>Zwijndrecht</t>
  </si>
  <si>
    <t>53286634.0</t>
  </si>
  <si>
    <t>NL19 INGB 0006 0624 69</t>
  </si>
  <si>
    <t>Homekeur B.V.</t>
  </si>
  <si>
    <t>Gieterijstraat 82</t>
  </si>
  <si>
    <t>Ridderkerk</t>
  </si>
  <si>
    <t>67431496.0</t>
  </si>
  <si>
    <t>NL71 INGB 0007 6493 26</t>
  </si>
  <si>
    <t>Reham Verhuur B.V.</t>
  </si>
  <si>
    <t>Terneuzensestraat 10</t>
  </si>
  <si>
    <t>Zaamslag</t>
  </si>
  <si>
    <t>74947087.0</t>
  </si>
  <si>
    <t>Verhuur en onderhoudsbedrijf Hilaard</t>
  </si>
  <si>
    <t>verhuurenonderhoudsbedrijfhilaard@outlook.com</t>
  </si>
  <si>
    <t>Hilaerdermieden 1</t>
  </si>
  <si>
    <t>HILAARD</t>
  </si>
  <si>
    <t>77467442.0</t>
  </si>
  <si>
    <t>NL56 INGB 0009 0228 25</t>
  </si>
  <si>
    <t>Oxrooms</t>
  </si>
  <si>
    <t>info@ox-rooms.nl</t>
  </si>
  <si>
    <t>Antwerpsestraat 62</t>
  </si>
  <si>
    <t>PUTTE</t>
  </si>
  <si>
    <t>77559355.0</t>
  </si>
  <si>
    <t>NL02 INGB 0008 3414 02</t>
  </si>
  <si>
    <t>Vaktec B.V.</t>
  </si>
  <si>
    <t>inkoopfacturen@vaktec.nl</t>
  </si>
  <si>
    <t>Kieler Bocht 29 a</t>
  </si>
  <si>
    <t>GRONINGEN</t>
  </si>
  <si>
    <t>1134291.0</t>
  </si>
  <si>
    <t>NL93 ABNA 0244 7895 41</t>
  </si>
  <si>
    <t>Hugo Vastgoed B.V.</t>
  </si>
  <si>
    <t>administratie@hemobeheer.nl</t>
  </si>
  <si>
    <t>Academiesingel 37 A</t>
  </si>
  <si>
    <t>BREDA</t>
  </si>
  <si>
    <t>81215169.0</t>
  </si>
  <si>
    <t>NL06 ABNA 0889 9369 43</t>
  </si>
  <si>
    <t>Plural Albufeira S.R.L.</t>
  </si>
  <si>
    <t>office@plural.ro</t>
  </si>
  <si>
    <t>Strada SLT. POPA, NR 7, Bloc 17, Scara 2, Etaj 4, Ap. 38</t>
  </si>
  <si>
    <t>Bucuresti Sectorul 5</t>
  </si>
  <si>
    <t>ERGO Construction doo</t>
  </si>
  <si>
    <t>ergo.const@gmail.com</t>
  </si>
  <si>
    <t>Frana Supila 6</t>
  </si>
  <si>
    <t>Rijeka</t>
  </si>
  <si>
    <t>Kroati√´</t>
  </si>
  <si>
    <t>Flex Pons B.V.</t>
  </si>
  <si>
    <t>f.tuncer@flexpons.nl</t>
  </si>
  <si>
    <t>Boschstraat 43</t>
  </si>
  <si>
    <t>60580364.0</t>
  </si>
  <si>
    <t>NL31 INGB 0006 2037 76</t>
  </si>
  <si>
    <t>A. Ghali</t>
  </si>
  <si>
    <t>Rooseveltlaan 956</t>
  </si>
  <si>
    <t>Utrecht</t>
  </si>
  <si>
    <t>NL11 ABNA 0560 7581 38</t>
  </si>
  <si>
    <t>DB Beheer B.V.</t>
  </si>
  <si>
    <t>info@dbwork.com</t>
  </si>
  <si>
    <t>Sportlaan 257</t>
  </si>
  <si>
    <t>SLIEDRECHT</t>
  </si>
  <si>
    <t>62123440.0</t>
  </si>
  <si>
    <t>United Homes Inhouse B.V.</t>
  </si>
  <si>
    <t>82140030.0</t>
  </si>
  <si>
    <t>NL65 RABO 0367 7098 80</t>
  </si>
  <si>
    <t>A. Blaszcak</t>
  </si>
  <si>
    <t>info@aneta.nl</t>
  </si>
  <si>
    <t>Prof. Kernkampstraat 24</t>
  </si>
  <si>
    <t>Tilburg</t>
  </si>
  <si>
    <t>NL22 ABNA 0425 7631 37</t>
  </si>
  <si>
    <t>Level 5 Assetmanagement B.V.</t>
  </si>
  <si>
    <t>Edisonweg 12</t>
  </si>
  <si>
    <t>ALBLASSERDAM</t>
  </si>
  <si>
    <t>80486142.0</t>
  </si>
  <si>
    <t>NL78 INGB 0006 3405 73</t>
  </si>
  <si>
    <t>Stichting Bewaring PRMD</t>
  </si>
  <si>
    <t>finance1@prmd.nl</t>
  </si>
  <si>
    <t>Kranenburgweg 131</t>
  </si>
  <si>
    <t>64066703.0</t>
  </si>
  <si>
    <t>CB-Homes B.V.</t>
  </si>
  <si>
    <t>info@cb-homes.nl</t>
  </si>
  <si>
    <t>Langeweg 3 a</t>
  </si>
  <si>
    <t>78756081.0</t>
  </si>
  <si>
    <t>NL61 INGB 0006 7055 02</t>
  </si>
  <si>
    <t>Interwel Oost B.V.</t>
  </si>
  <si>
    <t>facturen@interwel.nl</t>
  </si>
  <si>
    <t>Rollecate 71</t>
  </si>
  <si>
    <t>NIEUWLEUSEN</t>
  </si>
  <si>
    <t>4067303.0</t>
  </si>
  <si>
    <t>NL13 ABNA 0627 7737 53</t>
  </si>
  <si>
    <t>OJP B.V.</t>
  </si>
  <si>
    <t>rita.guimaraes@ojp.pt</t>
  </si>
  <si>
    <t>Marten Meesweg 25G</t>
  </si>
  <si>
    <t>84474432.0</t>
  </si>
  <si>
    <t>NL10 INGB 0674 8358 24</t>
  </si>
  <si>
    <t>AmDor Projecten B.V.</t>
  </si>
  <si>
    <t>invoice@amdorprojecten.nl</t>
  </si>
  <si>
    <t>Maarsseveensevaart 92</t>
  </si>
  <si>
    <t>MAARSSEN</t>
  </si>
  <si>
    <t>72342315.0</t>
  </si>
  <si>
    <t>NL51 INGB 0009 3373 89</t>
  </si>
  <si>
    <t>Vondellaan Vastgoed Beheer B.V.</t>
  </si>
  <si>
    <t>Apeldoornseweg 43</t>
  </si>
  <si>
    <t>ARNHEM</t>
  </si>
  <si>
    <t>34217369.0</t>
  </si>
  <si>
    <t>NL51 REVO 2865 8489 57</t>
  </si>
  <si>
    <t>EU Facility Services</t>
  </si>
  <si>
    <t>inkoopfacturen@houseofcovebo.nl</t>
  </si>
  <si>
    <t>Ambachtsstraat 13</t>
  </si>
  <si>
    <t>NIJKERK</t>
  </si>
  <si>
    <t>32110787.0</t>
  </si>
  <si>
    <t>NL94 ABNA 0254 3837 93</t>
  </si>
  <si>
    <t>IFC B.V.</t>
  </si>
  <si>
    <t>administratie@ifc.nl</t>
  </si>
  <si>
    <t>Fruiteniersstraat 12</t>
  </si>
  <si>
    <t>ZWIJNDRECHT</t>
  </si>
  <si>
    <t>63659832.0</t>
  </si>
  <si>
    <t>NL67 ABNA 0446 9231 68</t>
  </si>
  <si>
    <t>Profectus Staffing Solutions</t>
  </si>
  <si>
    <t>u.tevkir@carriere.com</t>
  </si>
  <si>
    <t>Gastelseweg 144 F</t>
  </si>
  <si>
    <t>83528865.0</t>
  </si>
  <si>
    <t>NL31 RABO 0371 5511 10</t>
  </si>
  <si>
    <t>J. Luijsterburg</t>
  </si>
  <si>
    <t>j.luijsterburg@planet.nl</t>
  </si>
  <si>
    <t>Nassaulaan 39</t>
  </si>
  <si>
    <t>Steenbergen NB</t>
  </si>
  <si>
    <t>NL21 INGB 0008 3555 13</t>
  </si>
  <si>
    <t>Jan Luijsterburg Beheer B.V.</t>
  </si>
  <si>
    <t>STEENBERGEN</t>
  </si>
  <si>
    <t>20149379.0</t>
  </si>
  <si>
    <t>J. Kuipers</t>
  </si>
  <si>
    <t>kuipers.jordi@gmail.com</t>
  </si>
  <si>
    <t>Luytkemeer 11</t>
  </si>
  <si>
    <t>NL43 RABO 0330 9122 59</t>
  </si>
  <si>
    <t>T. van de Moosdijk</t>
  </si>
  <si>
    <t>tvandemoosdijk@gmail.com</t>
  </si>
  <si>
    <t>Fliere 8</t>
  </si>
  <si>
    <t>Gemert</t>
  </si>
  <si>
    <t>NL87 BUNQ 2059 0465 99</t>
  </si>
  <si>
    <t>D. Walma</t>
  </si>
  <si>
    <t>info@timmerbedrijfwalma.nl</t>
  </si>
  <si>
    <t>Ceresweg 46-C</t>
  </si>
  <si>
    <t>NL08 RABO 0374 0135 78</t>
  </si>
  <si>
    <t>G.D. Dijkstra</t>
  </si>
  <si>
    <t>info@wijzerinwonen.nl</t>
  </si>
  <si>
    <t>Zuurstukken 86</t>
  </si>
  <si>
    <t>Eelde</t>
  </si>
  <si>
    <t>NL76 INGB 0662 5063 24</t>
  </si>
  <si>
    <t>B. Bosch</t>
  </si>
  <si>
    <t>brucebosch@live.nl</t>
  </si>
  <si>
    <t>Stuartweg 29</t>
  </si>
  <si>
    <t>Vianen</t>
  </si>
  <si>
    <t>NL18 INGB 0796 0357 25</t>
  </si>
  <si>
    <t>H.T.C. Facility Services B.V.</t>
  </si>
  <si>
    <t>inkoop@htcfacilityservices.nl</t>
  </si>
  <si>
    <t>Rivium Quadrant 2</t>
  </si>
  <si>
    <t>Capelle aan den IJssel</t>
  </si>
  <si>
    <t>70962499.0</t>
  </si>
  <si>
    <t>NL43 RABO 0358 2186 32</t>
  </si>
  <si>
    <t>DB woonruimtebemiddeling</t>
  </si>
  <si>
    <t>uren@dbgroup.nl</t>
  </si>
  <si>
    <t>Vonderweg 29</t>
  </si>
  <si>
    <t>ENTER</t>
  </si>
  <si>
    <t>8108140.0</t>
  </si>
  <si>
    <t>NL67 ABNA 0400 8375 95</t>
  </si>
  <si>
    <t>IC Idea Complex Sp. Z.o.o.</t>
  </si>
  <si>
    <t>invoice@ideacomplex.eu</t>
  </si>
  <si>
    <t>ul. Oleska 97H/4</t>
  </si>
  <si>
    <t>Opole</t>
  </si>
  <si>
    <t>PL87 1050 1504 1000 0090 8038 5108</t>
  </si>
  <si>
    <t>W.T. Bosgraaf en E. Stam</t>
  </si>
  <si>
    <t>info@nerom-industrial.nl</t>
  </si>
  <si>
    <t>Eerste Weteringdwarsstraat 75</t>
  </si>
  <si>
    <t>NL50 ABNA 0106 0406 42</t>
  </si>
  <si>
    <t>Autodaxx B.V.</t>
  </si>
  <si>
    <t>inkoopfactuur@autodaxx.nl</t>
  </si>
  <si>
    <t>Argon 21</t>
  </si>
  <si>
    <t>OUD GASTEL</t>
  </si>
  <si>
    <t>58795928.0</t>
  </si>
  <si>
    <t>NL24 INGB 0008 6453 92</t>
  </si>
  <si>
    <t>H. Molla Farajzadeh</t>
  </si>
  <si>
    <t>habibmf@2ops.nl</t>
  </si>
  <si>
    <t>Juttepeer 60</t>
  </si>
  <si>
    <t>Den Hoorn ZH</t>
  </si>
  <si>
    <t>NL45 ABNA 0599 1094 83</t>
  </si>
  <si>
    <t>Easyjob People</t>
  </si>
  <si>
    <t>administratie@easyjobpeople.nl</t>
  </si>
  <si>
    <t>Laanweg 6</t>
  </si>
  <si>
    <t>24372176.0</t>
  </si>
  <si>
    <t>NL23 RABO 0351 6588 82</t>
  </si>
  <si>
    <t>Robert L.P. de Jonge</t>
  </si>
  <si>
    <t>robertdejonge@ziggo.nl</t>
  </si>
  <si>
    <t>Noolseweg 23</t>
  </si>
  <si>
    <t>Blaricum</t>
  </si>
  <si>
    <t>NL48 RABO 0334 9161 35</t>
  </si>
  <si>
    <t>Eizema Heerenveen Vastgoed b.v.</t>
  </si>
  <si>
    <t>administratie@eizema-vastgoed.nl</t>
  </si>
  <si>
    <t>Burgemeester Falkenaweg 36</t>
  </si>
  <si>
    <t>HEERENVEEN</t>
  </si>
  <si>
    <t>1114324.0</t>
  </si>
  <si>
    <t>NL58 INGB 0660 8505 67</t>
  </si>
  <si>
    <t>dockHolland Huisvesting B.V.</t>
  </si>
  <si>
    <t>inkoopfacturen@dockholland.com</t>
  </si>
  <si>
    <t>Industrieweg 130A</t>
  </si>
  <si>
    <t>24255227.0</t>
  </si>
  <si>
    <t>NL65 ABNA 0892 0134 27</t>
  </si>
  <si>
    <t>Fam. Derwig</t>
  </si>
  <si>
    <t>hans.derwig@dunlopcb.com</t>
  </si>
  <si>
    <t>Hooizolder 188</t>
  </si>
  <si>
    <t>NL90 INGB 0001 0215 56</t>
  </si>
  <si>
    <t>T. Hoolhorst</t>
  </si>
  <si>
    <t>t.hoolhorst@gmail.com</t>
  </si>
  <si>
    <t>Leliestraat 21</t>
  </si>
  <si>
    <t>NL13 KNAB 0405 5294 14</t>
  </si>
  <si>
    <t>E.C. Laus (Landsteinerhof 68)</t>
  </si>
  <si>
    <t>NL35 RABO 0199 2573 10</t>
  </si>
  <si>
    <t>Werckpost Service B.V.</t>
  </si>
  <si>
    <t>facturen@werckpost.nl</t>
  </si>
  <si>
    <t>Het Rif 1</t>
  </si>
  <si>
    <t>URK</t>
  </si>
  <si>
    <t>64653986.0</t>
  </si>
  <si>
    <t>A.I.G. Lukkien</t>
  </si>
  <si>
    <t>Achterstekamp 28</t>
  </si>
  <si>
    <t>Stadskanaal</t>
  </si>
  <si>
    <t>NL79 ABNA 0625 3594 96</t>
  </si>
  <si>
    <t>Dutch Shipyard B.V.</t>
  </si>
  <si>
    <t>info@dutchshipyard.eu</t>
  </si>
  <si>
    <t>Bollenmarkt 6 C</t>
  </si>
  <si>
    <t>ZWAAGDIJK-OOST</t>
  </si>
  <si>
    <t>69474907.0</t>
  </si>
  <si>
    <t>Meerdervoort Queda Real B.V.</t>
  </si>
  <si>
    <t>chris@L-5.nl</t>
  </si>
  <si>
    <t>68918593.0</t>
  </si>
  <si>
    <t>Nerom Industrial Flex B.V.</t>
  </si>
  <si>
    <t>Bouwkamp 9</t>
  </si>
  <si>
    <t>NIEUWEHORNE</t>
  </si>
  <si>
    <t>80543901.0</t>
  </si>
  <si>
    <t>NL54 INGB 0006 7051 43</t>
  </si>
  <si>
    <t>InAxtion Vastgoed B.V.</t>
  </si>
  <si>
    <t>Invoice.vastgoed@inaxtion.com</t>
  </si>
  <si>
    <t>Wijnstraat 123</t>
  </si>
  <si>
    <t>Dordrecht</t>
  </si>
  <si>
    <t>16074829.0</t>
  </si>
  <si>
    <t>NL68 ABNA 0427 9222 08</t>
  </si>
  <si>
    <t>TNM Vastgoed B.V.</t>
  </si>
  <si>
    <t>84774401.0</t>
  </si>
  <si>
    <t>NL48 RABO 0397 2183 62</t>
  </si>
  <si>
    <t>St. Zakelijke Beh.rek. Dijkstra Vastgoedbeh.</t>
  </si>
  <si>
    <t>Berglaan 14</t>
  </si>
  <si>
    <t>DRACHTEN</t>
  </si>
  <si>
    <t>82743398.0</t>
  </si>
  <si>
    <t>NL28 RABO 0368 1239 60</t>
  </si>
  <si>
    <t>DS People B.V.</t>
  </si>
  <si>
    <t>Facturen@dspeople.nl</t>
  </si>
  <si>
    <t>Deltageul 13</t>
  </si>
  <si>
    <t>STELLENDAM</t>
  </si>
  <si>
    <t>63134462.0</t>
  </si>
  <si>
    <t>Dhr. A. Ros</t>
  </si>
  <si>
    <t>invoice-alex@hotmail.com</t>
  </si>
  <si>
    <t>Slenerbrink 96</t>
  </si>
  <si>
    <t>Emmen</t>
  </si>
  <si>
    <t>NL06 ABNA 0476 9393 64</t>
  </si>
  <si>
    <t>O.Vasiutina</t>
  </si>
  <si>
    <t>olga.vasiutina@asml.com</t>
  </si>
  <si>
    <t>Molenstraat 16</t>
  </si>
  <si>
    <t>Waalre</t>
  </si>
  <si>
    <t>NL75 INGB 0747 8086 27</t>
  </si>
  <si>
    <t>O.P.H. Verhuur B.V. / Eigenaar.nl</t>
  </si>
  <si>
    <t>info@eigenaar.nl</t>
  </si>
  <si>
    <t>Willemskade 3</t>
  </si>
  <si>
    <t>73003069.0</t>
  </si>
  <si>
    <t>NL08 INGB 0390 6302 25</t>
  </si>
  <si>
    <t>Dhr. B. Vlastuin</t>
  </si>
  <si>
    <t>bartvlastuin@gmail.com</t>
  </si>
  <si>
    <t>Reebaa 24</t>
  </si>
  <si>
    <t>Scherpenzeel GL</t>
  </si>
  <si>
    <t>NL47 KNAB 0614 0994 63</t>
  </si>
  <si>
    <t>Dhr. SWJ Colpaert en Mevr. J. Michielsen</t>
  </si>
  <si>
    <t>info@jettymichielsen.com</t>
  </si>
  <si>
    <t>Wilhelmina Druckerstraat 68</t>
  </si>
  <si>
    <t>Coevorden</t>
  </si>
  <si>
    <t>NL56 INGB 0652 0926 67</t>
  </si>
  <si>
    <t>Joyce Bakker Advies</t>
  </si>
  <si>
    <t>joyce@joycebakker.nl</t>
  </si>
  <si>
    <t>Mient 110</t>
  </si>
  <si>
    <t>60240156.0</t>
  </si>
  <si>
    <t>Dhr. R. Bekken</t>
  </si>
  <si>
    <t>renzo.bekken@gmail.com</t>
  </si>
  <si>
    <t>Roemer Visscherlaan 57</t>
  </si>
  <si>
    <t>Zeist</t>
  </si>
  <si>
    <t>NL62 BUNQ 2070 7468 01</t>
  </si>
  <si>
    <t>Habroko B.V.</t>
  </si>
  <si>
    <t>fdenbroeder@upcmail.nl</t>
  </si>
  <si>
    <t>Valkenlaan 37</t>
  </si>
  <si>
    <t>86020625.0</t>
  </si>
  <si>
    <t>NL67 HAND 0785 1044 10</t>
  </si>
  <si>
    <t>De Witte Brigade B.V.</t>
  </si>
  <si>
    <t>administratie@wittebrigade.nl</t>
  </si>
  <si>
    <t>Admiraliteitskade 79</t>
  </si>
  <si>
    <t>67474950.0</t>
  </si>
  <si>
    <t>NL64 INGB 0007 5538 10</t>
  </si>
  <si>
    <t>H.A. Samsom &amp; M.E.P. Knaap</t>
  </si>
  <si>
    <t>office@inmotionvastgoed.nl</t>
  </si>
  <si>
    <t>Klokkenberg 88</t>
  </si>
  <si>
    <t>Breda</t>
  </si>
  <si>
    <t>NL47 ABNA 0822 9350 07</t>
  </si>
  <si>
    <t>F. Veurink en P. Neleman</t>
  </si>
  <si>
    <t>Dorresteinseweg 18</t>
  </si>
  <si>
    <t>Amersfoort</t>
  </si>
  <si>
    <t>NL62 INGB 0654 9954 78</t>
  </si>
  <si>
    <t>Lion Trading</t>
  </si>
  <si>
    <t>i.asadi@liontrading.nl</t>
  </si>
  <si>
    <t>Tonneboerstraat 33</t>
  </si>
  <si>
    <t>72344849.0</t>
  </si>
  <si>
    <t>Eastmen Human Resources B.V.</t>
  </si>
  <si>
    <t>facturen@eastmen.eu</t>
  </si>
  <si>
    <t>Papendorpseweg 99</t>
  </si>
  <si>
    <t>1117168.0</t>
  </si>
  <si>
    <t>NL11 INGB 0669 4409 57</t>
  </si>
  <si>
    <t>Central Job Facilities B.V.</t>
  </si>
  <si>
    <t>invoice@centraljob.nl</t>
  </si>
  <si>
    <t>Hoofdweg 649</t>
  </si>
  <si>
    <t>HOOFDDORP</t>
  </si>
  <si>
    <t>64022994.0</t>
  </si>
  <si>
    <t>NL82 INGB 0007 0419 08</t>
  </si>
  <si>
    <t>Flexvesting B.V.</t>
  </si>
  <si>
    <t>administratie@flexvesting.com</t>
  </si>
  <si>
    <t>Wiekenweg 50b</t>
  </si>
  <si>
    <t>83276491.0</t>
  </si>
  <si>
    <t>NL51 RABO 0370 7195 57</t>
  </si>
  <si>
    <t>'t Werkt B.V.</t>
  </si>
  <si>
    <t>finance@twerkt.nl</t>
  </si>
  <si>
    <t>Burgemeester Meslaan 98</t>
  </si>
  <si>
    <t>TIEL</t>
  </si>
  <si>
    <t>30234790.0</t>
  </si>
  <si>
    <t>NL73 INGB 0674 0477 29</t>
  </si>
  <si>
    <t>24/7 drive</t>
  </si>
  <si>
    <t>factuur@247drive.nl</t>
  </si>
  <si>
    <t>Ekkersrijt 7025</t>
  </si>
  <si>
    <t>SON EN BREUGEL</t>
  </si>
  <si>
    <t>17187408.0</t>
  </si>
  <si>
    <t>Dhr. J.L. Meerding</t>
  </si>
  <si>
    <t>jlmeerding@gmai.com</t>
  </si>
  <si>
    <t>Mauvezand 6</t>
  </si>
  <si>
    <t>Laren NH</t>
  </si>
  <si>
    <t>NL29 ABNA 0416 0042 29</t>
  </si>
  <si>
    <t>Dhr. J.M.R. Boringa</t>
  </si>
  <si>
    <t>rob@rohanvastgoed.nl</t>
  </si>
  <si>
    <t>Willem Lodewijklaan 63</t>
  </si>
  <si>
    <t>NL02 ABNA 0249 4453 36</t>
  </si>
  <si>
    <t>J. J. van Veen</t>
  </si>
  <si>
    <t>jack@obend.nl</t>
  </si>
  <si>
    <t>Detaconcept Uitzendgroep B.V.</t>
  </si>
  <si>
    <t>'s-Gravenzandseweg 6</t>
  </si>
  <si>
    <t>WATERINGEN</t>
  </si>
  <si>
    <t>65815726.0</t>
  </si>
  <si>
    <t>Detaconcept Services B.V.</t>
  </si>
  <si>
    <t>paul@detaconcept.nl</t>
  </si>
  <si>
    <t>'s-Gravenzandseweg 4</t>
  </si>
  <si>
    <t>72041749.0</t>
  </si>
  <si>
    <t>NL35 INGB 0008 3668 04</t>
  </si>
  <si>
    <t>Mw. M. Hyllested Poulsen en Dhr. S. Crull</t>
  </si>
  <si>
    <t>maria-sander@outlook.com</t>
  </si>
  <si>
    <t>Ina Boudier-Bakkerhof 18</t>
  </si>
  <si>
    <t>NL95 ABNA 0102 0651 60</t>
  </si>
  <si>
    <t>Vlot Vastgoed B.V.</t>
  </si>
  <si>
    <t>Pontdyk 8 c</t>
  </si>
  <si>
    <t>61769193.0</t>
  </si>
  <si>
    <t>NL36 RABO 0312 3427 05</t>
  </si>
  <si>
    <t>Y. K. Bos</t>
  </si>
  <si>
    <t>Europaplein 49</t>
  </si>
  <si>
    <t>NL62 RABO 0354 1315 83</t>
  </si>
  <si>
    <t>E.C. Laus / K. van Elk Landsteinerhof</t>
  </si>
  <si>
    <t>eva_laus@hotmail.com</t>
  </si>
  <si>
    <t>Landsteinerhof 68</t>
  </si>
  <si>
    <t>Hoogeveen</t>
  </si>
  <si>
    <t>NL48 ABNA 0562 3643 74</t>
  </si>
  <si>
    <t>Dhr. M. Moeilijker</t>
  </si>
  <si>
    <t>mmoeilijker@gmail.com</t>
  </si>
  <si>
    <t>Hoofdstraat 77</t>
  </si>
  <si>
    <t>Ovezande</t>
  </si>
  <si>
    <t>NL66 RABO 0346 0186 25</t>
  </si>
  <si>
    <t>Dhr. R. J. Beking</t>
  </si>
  <si>
    <t>rjbeking@icloud.com</t>
  </si>
  <si>
    <t>Dauwbraam 31</t>
  </si>
  <si>
    <t>KATWIJK</t>
  </si>
  <si>
    <t>NL32 RABO 0331 8091 25</t>
  </si>
  <si>
    <t>Dhr. R Verspui</t>
  </si>
  <si>
    <t>rverspui@hotmail.com</t>
  </si>
  <si>
    <t>Peursumseweg 119a</t>
  </si>
  <si>
    <t>Giessenburg</t>
  </si>
  <si>
    <t>NL51 RABO 0321 7135 08</t>
  </si>
  <si>
    <t>D Blommers</t>
  </si>
  <si>
    <t>d_blommers@hotmail.com</t>
  </si>
  <si>
    <t>NL91 TRIO 0391 0901 78</t>
  </si>
  <si>
    <t>Dhr. A. Dorin</t>
  </si>
  <si>
    <t>rasinfra@hotmail.com</t>
  </si>
  <si>
    <t>de Dulf 69</t>
  </si>
  <si>
    <t>MBS Services B.V.</t>
  </si>
  <si>
    <t>info@mbs-services.nl</t>
  </si>
  <si>
    <t>Dwarsweg 34</t>
  </si>
  <si>
    <t>73615889.0</t>
  </si>
  <si>
    <t>a.bilge@vastgoedspijkenisse.nl</t>
  </si>
  <si>
    <t>Theemsweg 85</t>
  </si>
  <si>
    <t>53388917.0</t>
  </si>
  <si>
    <t>Gemeente Waadhoeke</t>
  </si>
  <si>
    <t>info@waadhoeke.nl</t>
  </si>
  <si>
    <t>Harlingerweg 18</t>
  </si>
  <si>
    <t>Franeker</t>
  </si>
  <si>
    <t>70528586.0</t>
  </si>
  <si>
    <t>BDR Uitzendbureau B.V.</t>
  </si>
  <si>
    <t>muratbayka@gmail.com</t>
  </si>
  <si>
    <t>Sint-Andriesstraat 222</t>
  </si>
  <si>
    <t>24408919.0</t>
  </si>
  <si>
    <t>NL14 INGB 0008 2350 68</t>
  </si>
  <si>
    <t>Nerom Flex B.V.</t>
  </si>
  <si>
    <t>administratie@nerom-bv.nl</t>
  </si>
  <si>
    <t>Bouw Service International B.V.</t>
  </si>
  <si>
    <t>bouwserviceinternational@gmail.com</t>
  </si>
  <si>
    <t>Kanaal Noord 446</t>
  </si>
  <si>
    <t>BEEMTE BROEKLAND</t>
  </si>
  <si>
    <t>78258901.0</t>
  </si>
  <si>
    <t>Mooswijk T.R. &amp; Plugers R.</t>
  </si>
  <si>
    <t>NL88 INGB 0626 5496 63</t>
  </si>
  <si>
    <t>STANA d.o.o.</t>
  </si>
  <si>
    <t>stana2@telemach.net</t>
  </si>
  <si>
    <t>Razlagova 11</t>
  </si>
  <si>
    <t>Maribor</t>
  </si>
  <si>
    <t>Sloveni√´</t>
  </si>
  <si>
    <t>SI56 0700 0000 3563 191</t>
  </si>
  <si>
    <t>Dhr D. Pronk en Mw y. Pronk - Dijkhuizen</t>
  </si>
  <si>
    <t>familiepronk-dijkhuizen@ziggo.nl</t>
  </si>
  <si>
    <t>Aronskelkweg 70</t>
  </si>
  <si>
    <t>NL93 INGB 0388 7726 97</t>
  </si>
  <si>
    <t>RyanRent B.V.</t>
  </si>
  <si>
    <t>facturen@ryanrent.nl</t>
  </si>
  <si>
    <t>Energieweg 22 c</t>
  </si>
  <si>
    <t>87946653.0</t>
  </si>
  <si>
    <t>NL50 RABO 0339 0738 10</t>
  </si>
  <si>
    <t>Tempsteel B.V.</t>
  </si>
  <si>
    <t>m.matelis@tempsteel.eu</t>
  </si>
  <si>
    <t>Paul Krugerstraat 12 H</t>
  </si>
  <si>
    <t>83196641.0</t>
  </si>
  <si>
    <t>Marco van Beek B.V.</t>
  </si>
  <si>
    <t>Ruxveenseweg 6</t>
  </si>
  <si>
    <t>STEENWIJK</t>
  </si>
  <si>
    <t>5070965.0</t>
  </si>
  <si>
    <t>Euromontur Asemblies SL.</t>
  </si>
  <si>
    <t>ana.gomez@euromontur.net</t>
  </si>
  <si>
    <t>Merindad Castilla La Vieja 27</t>
  </si>
  <si>
    <t>ES38 2085 4891 8203 3358 3866</t>
  </si>
  <si>
    <t>Eigenaren van Dieptol 63</t>
  </si>
  <si>
    <t>prkapper@gmail.com,judithdijkgraaf@hotmail.com</t>
  </si>
  <si>
    <t>Dieptol 63</t>
  </si>
  <si>
    <t>Steenwijk</t>
  </si>
  <si>
    <t>NL76 KNAB 0516 2255 53</t>
  </si>
  <si>
    <t>Koens T. Dhr.</t>
  </si>
  <si>
    <t>tommykoens@gmail.com</t>
  </si>
  <si>
    <t>Krijnenweg 3</t>
  </si>
  <si>
    <t>Bussum</t>
  </si>
  <si>
    <t>NL71 INGB 0652 0479 71</t>
  </si>
  <si>
    <t>Fix Personeelsdiensten</t>
  </si>
  <si>
    <t>admin@teamfix.nl</t>
  </si>
  <si>
    <t>Leemidden 22</t>
  </si>
  <si>
    <t>DE LIER</t>
  </si>
  <si>
    <t>22065411.0</t>
  </si>
  <si>
    <t>NL05 RABO 0312 4652 89</t>
  </si>
  <si>
    <t>ZaMens R.I.A. B.V.</t>
  </si>
  <si>
    <t>facturen@zamens.nl</t>
  </si>
  <si>
    <t>Parmentierplein 20</t>
  </si>
  <si>
    <t>11069235.0</t>
  </si>
  <si>
    <t>Dhr. T. Roestenberg en Mw. Roestenberg - Hustinx</t>
  </si>
  <si>
    <t>timoroestenberg@hotmail.com</t>
  </si>
  <si>
    <t>De Haarmansenk 7</t>
  </si>
  <si>
    <t>Schalkhaar</t>
  </si>
  <si>
    <t>NL42 ASNB 8832 1748 71</t>
  </si>
  <si>
    <t>Valkenet Vastgoed B.V.</t>
  </si>
  <si>
    <t>Perkinsbaan 15 A</t>
  </si>
  <si>
    <t>NIEUWEGEIN</t>
  </si>
  <si>
    <t>69246025.0</t>
  </si>
  <si>
    <t>NL61 INGB 0008 0361 48</t>
  </si>
  <si>
    <t>M@tchm@kers International B.V.</t>
  </si>
  <si>
    <t>hello@matchmakers.nu</t>
  </si>
  <si>
    <t>Wichard van Pontlaan 86</t>
  </si>
  <si>
    <t>ZALTBOMMEL</t>
  </si>
  <si>
    <t>87011549.0</t>
  </si>
  <si>
    <t>NL16 ABNA 0124 8353 92</t>
  </si>
  <si>
    <t>KODE Staffhousing B.V.</t>
  </si>
  <si>
    <t>administratie@kodere.nl</t>
  </si>
  <si>
    <t>Economiestraat 16</t>
  </si>
  <si>
    <t>89585798.0</t>
  </si>
  <si>
    <t>NL48 INGB 0389 9935 73</t>
  </si>
  <si>
    <t>DIT en Larex Vakpersoneel B.V.</t>
  </si>
  <si>
    <t>factuur@ditenlarexvakpersoneel.nl</t>
  </si>
  <si>
    <t>Maagdenburgstraat 10</t>
  </si>
  <si>
    <t>DEVENTER</t>
  </si>
  <si>
    <t>8116290.0</t>
  </si>
  <si>
    <t>NL17 RABO 0320 0278 72</t>
  </si>
  <si>
    <t>Homescout21 B.V.</t>
  </si>
  <si>
    <t>rene@homescout21.com</t>
  </si>
  <si>
    <t>Keizerstraat 28 1</t>
  </si>
  <si>
    <t>82780242.0</t>
  </si>
  <si>
    <t>NL22 ABNA 0101 0258 58</t>
  </si>
  <si>
    <t>TecFlex B.V.</t>
  </si>
  <si>
    <t>jkoning@tecflex.nl</t>
  </si>
  <si>
    <t>Emdenweg 3</t>
  </si>
  <si>
    <t>Employ Facilitair B.V.</t>
  </si>
  <si>
    <t>facilitair@employ.nl</t>
  </si>
  <si>
    <t>Industrieweg 1</t>
  </si>
  <si>
    <t>HOOGEVEEN</t>
  </si>
  <si>
    <t>68292449.0</t>
  </si>
  <si>
    <t>NL28 RABO 0317 3858 79</t>
  </si>
  <si>
    <t>Alpha Workforce Aps</t>
  </si>
  <si>
    <t>operations@alphaworkforce.net</t>
  </si>
  <si>
    <t>Priory Hall</t>
  </si>
  <si>
    <t>Dublin</t>
  </si>
  <si>
    <t>Ierland</t>
  </si>
  <si>
    <t>Hiway Operational Company B.V.</t>
  </si>
  <si>
    <t>lea@alphaworkforce.net</t>
  </si>
  <si>
    <t>Kerkenbos 1075 W</t>
  </si>
  <si>
    <t>NIJMEGEN</t>
  </si>
  <si>
    <t>80604250.0</t>
  </si>
  <si>
    <t>ICS Impianti S.R.L.</t>
  </si>
  <si>
    <t>info@icsimpiantisrl.com</t>
  </si>
  <si>
    <t>President Kennedylaan 19</t>
  </si>
  <si>
    <t>Suricare B.V.</t>
  </si>
  <si>
    <t>arie.degroot@carevisie.nl</t>
  </si>
  <si>
    <t>Kastanjelaan 8</t>
  </si>
  <si>
    <t>VELP</t>
  </si>
  <si>
    <t>83481699.0</t>
  </si>
  <si>
    <t>Eemsdelta Housing B.V.</t>
  </si>
  <si>
    <t>facturen@eemsdelta-housing.nl</t>
  </si>
  <si>
    <t>Weereweg 25 A</t>
  </si>
  <si>
    <t>TJUCHEM</t>
  </si>
  <si>
    <t>80302246.0</t>
  </si>
  <si>
    <t>NL22 INGB 0007 7428 43</t>
  </si>
  <si>
    <t>De Uitlener B.V.</t>
  </si>
  <si>
    <t>facturen@deuitlener.nl</t>
  </si>
  <si>
    <t>Larenseweg 30</t>
  </si>
  <si>
    <t>LOCHEM</t>
  </si>
  <si>
    <t>60382694.0</t>
  </si>
  <si>
    <t>Impes Service S.p.A.</t>
  </si>
  <si>
    <t>fatture.olanda@impesservice.it, Nicola.pisani@impesservice.it</t>
  </si>
  <si>
    <t>R&amp;E Services</t>
  </si>
  <si>
    <t>administratie@rebv.nl</t>
  </si>
  <si>
    <t>Rhijnspoor 225 B</t>
  </si>
  <si>
    <t>NL53 ABNA 0640 1561 50</t>
  </si>
  <si>
    <t>PersoneelDirectFriesland</t>
  </si>
  <si>
    <t>info@personeeldirectfriesland.nl</t>
  </si>
  <si>
    <t>Zenegroen 129</t>
  </si>
  <si>
    <t>81961324.0</t>
  </si>
  <si>
    <t>Autobedrijf Voorne</t>
  </si>
  <si>
    <t>info@autobedrijfvoorne.nl</t>
  </si>
  <si>
    <t>Langeweg 3</t>
  </si>
  <si>
    <t>Dhr I.B. Stefan</t>
  </si>
  <si>
    <t>alexandrudorin93@gmail.com</t>
  </si>
  <si>
    <t>Jong de SAW Dhr</t>
  </si>
  <si>
    <t>De Tolve 34</t>
  </si>
  <si>
    <t>NL26 RABO 0111 5750 01</t>
  </si>
  <si>
    <t>Bosch B Dhr (Scheepjesbrug 814 Meerkerk)</t>
  </si>
  <si>
    <t>Nolweg 9</t>
  </si>
  <si>
    <t>Schelluinen</t>
  </si>
  <si>
    <t>NL47 BUNQ 2053 5805 93</t>
  </si>
  <si>
    <t>Houvast Estates B.V.</t>
  </si>
  <si>
    <t>hershihoffman22@gmail.com</t>
  </si>
  <si>
    <t>Consciencestraat 47</t>
  </si>
  <si>
    <t>Antwerpen</t>
  </si>
  <si>
    <t>Belgi√´</t>
  </si>
  <si>
    <t>Heijdra Dhr. H.M.</t>
  </si>
  <si>
    <t>h.heijdra@outlook.com</t>
  </si>
  <si>
    <t>Lauwersmeer 22</t>
  </si>
  <si>
    <t>Barendrecht</t>
  </si>
  <si>
    <t>NL81 INGB 0671 1964 64</t>
  </si>
  <si>
    <t>Maatschap Van Driel - Vd Vlist</t>
  </si>
  <si>
    <t>drielvlist@gmail.com</t>
  </si>
  <si>
    <t>Hekendorpse Buurt 24</t>
  </si>
  <si>
    <t>HEKENDORP</t>
  </si>
  <si>
    <t>85563943.0</t>
  </si>
  <si>
    <t>NL24 KNAB 0416 5382 31</t>
  </si>
  <si>
    <t>Leen Bakker Nederland B.V.</t>
  </si>
  <si>
    <t>Karperweg 3</t>
  </si>
  <si>
    <t>RAAMSDONKSVEER</t>
  </si>
  <si>
    <t>18118971.0</t>
  </si>
  <si>
    <t>NL72 RABO 0320 2430 95</t>
  </si>
  <si>
    <t>H. van den Berg</t>
  </si>
  <si>
    <t>martijnbergvanden@gmail.com</t>
  </si>
  <si>
    <t>Marconistraat 12</t>
  </si>
  <si>
    <t>Huizen</t>
  </si>
  <si>
    <t>NL72 BUNQ 2036 4253 05</t>
  </si>
  <si>
    <t>FlexState B.V.</t>
  </si>
  <si>
    <t>customer-success@hiway-mail.com</t>
  </si>
  <si>
    <t>Ras R.A. Dhr.</t>
  </si>
  <si>
    <t>ron.ras1999@outlook.com</t>
  </si>
  <si>
    <t>Laan van Nieuw Blankenburg 328</t>
  </si>
  <si>
    <t>NL80 RABO 0356 6418 13</t>
  </si>
  <si>
    <t>Labour Housing BV</t>
  </si>
  <si>
    <t>crediteuren@ottoworkforce.eu</t>
  </si>
  <si>
    <t>Postbus 5145</t>
  </si>
  <si>
    <t>VENRAY</t>
  </si>
  <si>
    <t>NL84 ABNA 0405 8514 13</t>
  </si>
  <si>
    <t>THS EU B.V.</t>
  </si>
  <si>
    <t>invoices@tecline.com</t>
  </si>
  <si>
    <t>Paasheuvelweg 34 A</t>
  </si>
  <si>
    <t>AMSTERDAM</t>
  </si>
  <si>
    <t>2333810.0</t>
  </si>
  <si>
    <t>NL Realty B.V.</t>
  </si>
  <si>
    <t>administratie@nl-jobs.com</t>
  </si>
  <si>
    <t>Honderdland 1</t>
  </si>
  <si>
    <t>MAASDIJK</t>
  </si>
  <si>
    <t>NL90 RABO 0346 4019 25</t>
  </si>
  <si>
    <t>AKT Autoschade</t>
  </si>
  <si>
    <t>facturen@aktautoschade.com</t>
  </si>
  <si>
    <t>Goirkekanaaldijk 211-18</t>
  </si>
  <si>
    <t>MPC Energy B.V.</t>
  </si>
  <si>
    <t>randolf@hollandhousing.work</t>
  </si>
  <si>
    <t>Franse Akker 8</t>
  </si>
  <si>
    <t>74896482.0</t>
  </si>
  <si>
    <t>M van den Berg e/o H van den Berg</t>
  </si>
  <si>
    <t>NL61 BUNQ 2100 6227 22</t>
  </si>
  <si>
    <t>Impianti Industriala S.P.A. NEDERLAND BRANCH</t>
  </si>
  <si>
    <t>vendors@sitie.it</t>
  </si>
  <si>
    <t>Poortland 66</t>
  </si>
  <si>
    <t>BJ Bakker</t>
  </si>
  <si>
    <t>bjbakker85@hotmail.com</t>
  </si>
  <si>
    <t>Spiens 3</t>
  </si>
  <si>
    <t>Dokkum</t>
  </si>
  <si>
    <t>NL36 RABO 0302 0165 70</t>
  </si>
  <si>
    <t>AKRION ADMINISTRATION</t>
  </si>
  <si>
    <t>info@interm-project.com</t>
  </si>
  <si>
    <t>Corn. Speelmanstraat 77</t>
  </si>
  <si>
    <t>Techvisie Personeelsdiensten Centraal B.V.</t>
  </si>
  <si>
    <t>facturen@techvisie.nl</t>
  </si>
  <si>
    <t>UAB Baltic Contracting Group</t>
  </si>
  <si>
    <t>Kristina.domarkaite@baltcontract.eu</t>
  </si>
  <si>
    <t>UAB ‚ÄûLaivsta‚Äú/ JSC ‚ÄûLaivsta‚Äú, Part of Litana Group</t>
  </si>
  <si>
    <t>aleksej.frolov@litana-group.com</t>
  </si>
  <si>
    <t>Verslo str. 6</t>
  </si>
  <si>
    <t>Klaipeda, Lithuania</t>
  </si>
  <si>
    <t>Housing en Transport Facilities B.V.</t>
  </si>
  <si>
    <t>Aelbers Flexibele Personeels Diensten B.V.</t>
  </si>
  <si>
    <t>facturen@aelberspersoneel.nl</t>
  </si>
  <si>
    <t>Grutbroek 15</t>
  </si>
  <si>
    <t>Doetinchem</t>
  </si>
  <si>
    <t>NL65 INGB 0662 8126 54</t>
  </si>
  <si>
    <t>Karadeniz Diensten</t>
  </si>
  <si>
    <t>info@karadenizdiensten.nl</t>
  </si>
  <si>
    <t>Bomendijk 10</t>
  </si>
  <si>
    <t>Adecco Group</t>
  </si>
  <si>
    <t>crediteurenadministratie@adecco.nl</t>
  </si>
  <si>
    <t>Zaltbommel</t>
  </si>
  <si>
    <t>ABC Bedrijfsservice B.V</t>
  </si>
  <si>
    <t>randy@abc-jobs.eu</t>
  </si>
  <si>
    <t>Sint Canisiussingel 36</t>
  </si>
  <si>
    <t>Nijmegen</t>
  </si>
  <si>
    <t>NL04 RABO 0344 4836 49</t>
  </si>
  <si>
    <t>D Kleijweg</t>
  </si>
  <si>
    <t>devinkleijweg@hotmail.com</t>
  </si>
  <si>
    <t>NL48 RABO 0358 2190 27</t>
  </si>
  <si>
    <t>Maytree Invest</t>
  </si>
  <si>
    <t>leon@maytreeme.nl</t>
  </si>
  <si>
    <t>NL17 INGB 0006 9360 87</t>
  </si>
  <si>
    <t>Facili Flex BV</t>
  </si>
  <si>
    <t>invoice@ifj.nl</t>
  </si>
  <si>
    <t>Legmeerdijk 313</t>
  </si>
  <si>
    <t>Aalsmeer</t>
  </si>
  <si>
    <t>NL68 RABO 0330 6682 42</t>
  </si>
  <si>
    <t>Transport People B.V.</t>
  </si>
  <si>
    <t>facturenaalsmeer@transportpeople.nl</t>
  </si>
  <si>
    <t>Tiendweg 24</t>
  </si>
  <si>
    <t>Naaldwijk</t>
  </si>
  <si>
    <t>J. Hogervorst</t>
  </si>
  <si>
    <t>jan@hoger.demon.nl</t>
  </si>
  <si>
    <t>Molendijk 3</t>
  </si>
  <si>
    <t>Pijnacker</t>
  </si>
  <si>
    <t>NL46 RABO 0354 4717 59</t>
  </si>
  <si>
    <t>Dumanli</t>
  </si>
  <si>
    <t>NL10 INGB 0637 6346 75</t>
  </si>
  <si>
    <t>Lievaart B.V.</t>
  </si>
  <si>
    <t>vl-beheer@outlook.com</t>
  </si>
  <si>
    <t>NL52 KNAB 0512 2396 73</t>
  </si>
  <si>
    <t>Parkwonen</t>
  </si>
  <si>
    <t>info@parkwonen.nl</t>
  </si>
  <si>
    <t>Kruisplein 488A</t>
  </si>
  <si>
    <t>NL04 RABO 0307 5644 79</t>
  </si>
  <si>
    <t>Gap Costruzioni Dutch Branch</t>
  </si>
  <si>
    <t>invoice@gapcostruzioni.it</t>
  </si>
  <si>
    <t>Posthoornstraat 11</t>
  </si>
  <si>
    <t>IT29 E030 6984 6201 0000 0011 940</t>
  </si>
  <si>
    <t>Looije Facilities B.V.</t>
  </si>
  <si>
    <t>Factuur@nwg.nl</t>
  </si>
  <si>
    <t>Verburghlaan 24 a</t>
  </si>
  <si>
    <t>Poeldijk</t>
  </si>
  <si>
    <t>Head Vastgoed B.V.</t>
  </si>
  <si>
    <t>administratie@headstaffing.nl</t>
  </si>
  <si>
    <t>Edisonbaan 12</t>
  </si>
  <si>
    <t>Nieuwegein</t>
  </si>
  <si>
    <t>NL72 RABO 0313 2276 67</t>
  </si>
  <si>
    <t>Feel Flex B.V.</t>
  </si>
  <si>
    <t>factuur@feelflex.nl</t>
  </si>
  <si>
    <t>Doornhoek 3842</t>
  </si>
  <si>
    <t>Veghel</t>
  </si>
  <si>
    <t>Orange Investments Group B.V.</t>
  </si>
  <si>
    <t>crediteuren@peopledirekt.nl</t>
  </si>
  <si>
    <t>Leehove 80</t>
  </si>
  <si>
    <t>De Lier</t>
  </si>
  <si>
    <t>NL43 RABO 0197 7933 39</t>
  </si>
  <si>
    <t>MC Mostert prive</t>
  </si>
  <si>
    <t>arie@tradiro.nl</t>
  </si>
  <si>
    <t>NL55 RABO 0318 2923 43</t>
  </si>
  <si>
    <t>Betterway BV</t>
  </si>
  <si>
    <t>rbecker@fbaivastgoed.com</t>
  </si>
  <si>
    <t>Nijverheidsweg-Noord 81</t>
  </si>
  <si>
    <t>Flextalent4u Uitzenden B.V.</t>
  </si>
  <si>
    <t>administratie@flextalent4u.nl</t>
  </si>
  <si>
    <t>Manmakerweg 23</t>
  </si>
  <si>
    <t>Bleskensgraaf Ca</t>
  </si>
  <si>
    <t>A. Brouwers en S. Brouwers- van Weert</t>
  </si>
  <si>
    <t>Dokter Barentsenstraat 42</t>
  </si>
  <si>
    <t>Bergeyk</t>
  </si>
  <si>
    <t>NL36 BUNQ 2101 3885 02</t>
  </si>
  <si>
    <t>People21 Services BV</t>
  </si>
  <si>
    <t>administratie@people21.eu</t>
  </si>
  <si>
    <t>Westfrankelandsedijk 7</t>
  </si>
  <si>
    <t>Works Personeelsdiensten</t>
  </si>
  <si>
    <t>info@works.jobs</t>
  </si>
  <si>
    <t>Kerkenbos 1051</t>
  </si>
  <si>
    <t>WILL Vakkrachten B. V.</t>
  </si>
  <si>
    <t>administratie@wilgroep.nl</t>
  </si>
  <si>
    <t>Streekweg 22</t>
  </si>
  <si>
    <t>Houses2Rent</t>
  </si>
  <si>
    <t>info@houses2rent.nl</t>
  </si>
  <si>
    <t>Stellingmolen 42</t>
  </si>
  <si>
    <t>Maassluis</t>
  </si>
  <si>
    <t>NL17 INGB 0390 7692 58</t>
  </si>
  <si>
    <t>Bouius</t>
  </si>
  <si>
    <t>r.bouius@hotmail.com</t>
  </si>
  <si>
    <t>Jan van Scorelstraat 50</t>
  </si>
  <si>
    <t>NL25 RABO 0310 2297 58</t>
  </si>
  <si>
    <t>JPJ Stoel</t>
  </si>
  <si>
    <t>jpstoel@gmail.com</t>
  </si>
  <si>
    <t>Celesta 16</t>
  </si>
  <si>
    <t>Kampen</t>
  </si>
  <si>
    <t>NL60 HAND 0787 3890 80</t>
  </si>
  <si>
    <t>GSI B.V.</t>
  </si>
  <si>
    <t>maurice@teamwanted.nl</t>
  </si>
  <si>
    <t>Koperslagersstraat 88</t>
  </si>
  <si>
    <t>Sneek</t>
  </si>
  <si>
    <t>Desa Construction NL BV</t>
  </si>
  <si>
    <t>invoices.nl@desacons.eu</t>
  </si>
  <si>
    <t>Lange Kleiweg 26e</t>
  </si>
  <si>
    <t>Rijswijk ZH</t>
  </si>
  <si>
    <t>EG Facility &amp; Services BV</t>
  </si>
  <si>
    <t>facturen@egfs.nl</t>
  </si>
  <si>
    <t>Velsenstraat 6A</t>
  </si>
  <si>
    <t>Werkendam</t>
  </si>
  <si>
    <t>88802957.0</t>
  </si>
  <si>
    <t>NL69 RABO 0359 9345 79</t>
  </si>
  <si>
    <t>PMM Workforce Management Ltd</t>
  </si>
  <si>
    <t>d.soare@pmm-group.eu , accounting@pmm-group.eu</t>
  </si>
  <si>
    <t>Triq ix-Xatt 154, Level 2, Office A</t>
  </si>
  <si>
    <t>Gzira</t>
  </si>
  <si>
    <t>Malta</t>
  </si>
  <si>
    <t>Dunaj Projekty SRO</t>
  </si>
  <si>
    <t>pim.stroo@dunajprojekty.eu</t>
  </si>
  <si>
    <t>Velkoblahosvska cesta 1063/5 929 01</t>
  </si>
  <si>
    <t>Dunajska Streda</t>
  </si>
  <si>
    <t>Slowakije</t>
  </si>
  <si>
    <t>GMC KOVI Global Metal Construction</t>
  </si>
  <si>
    <t>emina.dzelilovic@gmcgroup.ba</t>
  </si>
  <si>
    <t>Maistrova ulica 16</t>
  </si>
  <si>
    <t>Kanik</t>
  </si>
  <si>
    <t>Team Technical Services BV</t>
  </si>
  <si>
    <t>robert@team-ts.nl</t>
  </si>
  <si>
    <t>Marrewijklaan 11</t>
  </si>
  <si>
    <t>EWLIT Sp.Z.O.O.SP.K</t>
  </si>
  <si>
    <t>Michal.wierzchowski@ewl.com.pl</t>
  </si>
  <si>
    <t>ul. Kilinskiego 16/6</t>
  </si>
  <si>
    <t>Piaseczno</t>
  </si>
  <si>
    <t>Mavi Vastgoed</t>
  </si>
  <si>
    <t>invoice@mavivastgoed.nl</t>
  </si>
  <si>
    <t>Havenstraat 20</t>
  </si>
  <si>
    <t>Gastvrijaanzee.nl</t>
  </si>
  <si>
    <t>rekening@getstay.nl</t>
  </si>
  <si>
    <t>Mosselaan 53</t>
  </si>
  <si>
    <t>Egmond aan den Hoef</t>
  </si>
  <si>
    <t>NL78 INGB 0006 3933 41</t>
  </si>
  <si>
    <t>Van Bergen Personeelsdiensten B.V.</t>
  </si>
  <si>
    <t>facturen@aubvanbergen.nl</t>
  </si>
  <si>
    <t>Oranjegroep Vastgoed B.V.</t>
  </si>
  <si>
    <t>inkoopfacturen@oranjegroepvastgoed.nl</t>
  </si>
  <si>
    <t>van Vollenhovenstraat 10</t>
  </si>
  <si>
    <t>Team Unica B.V.</t>
  </si>
  <si>
    <t>facturen@teamunica.nl</t>
  </si>
  <si>
    <t>Langeweg 15B</t>
  </si>
  <si>
    <t>Oostvoorne</t>
  </si>
  <si>
    <t>dovydas.j@toromega.eu</t>
  </si>
  <si>
    <t>Danes g.6</t>
  </si>
  <si>
    <t>C-Flex B.V.</t>
  </si>
  <si>
    <t>administratie@cflexbv.nl</t>
  </si>
  <si>
    <t>house of work</t>
  </si>
  <si>
    <t>rob.jansen@houseofwork.nl</t>
  </si>
  <si>
    <t>Stoelmatter 38</t>
  </si>
  <si>
    <t>Wateringen</t>
  </si>
  <si>
    <t>Focuzop-eu</t>
  </si>
  <si>
    <t>administratie@focuzop-eu.com</t>
  </si>
  <si>
    <t>Amperestraat 7-14</t>
  </si>
  <si>
    <t>Harderwijk</t>
  </si>
  <si>
    <t>Johan van der Burg</t>
  </si>
  <si>
    <t>johanvanderburg87@gmail.com</t>
  </si>
  <si>
    <t>NL74 RABO 0134 5913 64</t>
  </si>
  <si>
    <t>Mediterranean Careers Netherlands B.V.</t>
  </si>
  <si>
    <t>finance@mcareers.eu</t>
  </si>
  <si>
    <t>Bredaseweg 185</t>
  </si>
  <si>
    <t>Etten-Leur</t>
  </si>
  <si>
    <t>Soul inn B.B B.V</t>
  </si>
  <si>
    <t>ed@edwinroos.com</t>
  </si>
  <si>
    <t>Oude Delft</t>
  </si>
  <si>
    <t>Delft</t>
  </si>
  <si>
    <t>Maria</t>
  </si>
  <si>
    <t>calinmariana@rambler.ru</t>
  </si>
  <si>
    <t>Sparrendreef 15</t>
  </si>
  <si>
    <t>Vlaardingen</t>
  </si>
  <si>
    <t>In Stijl Totaalbouw BV</t>
  </si>
  <si>
    <t>info@instijltotaalbouw.nl</t>
  </si>
  <si>
    <t>Burgemeester Freijterslaan 1</t>
  </si>
  <si>
    <t>Roosendaal</t>
  </si>
  <si>
    <t>MDI Techniek B.V.</t>
  </si>
  <si>
    <t>wendy@mditechniek.nl</t>
  </si>
  <si>
    <t>Parallelweg 31</t>
  </si>
  <si>
    <t>Neede</t>
  </si>
  <si>
    <t>NL89 RABO 0136 1461 98</t>
  </si>
  <si>
    <t>JC Kemp</t>
  </si>
  <si>
    <t>Spijksesteeg 1</t>
  </si>
  <si>
    <t>Spijk Gem Lingewaal</t>
  </si>
  <si>
    <t>NL53 RABO 0322 2526 95</t>
  </si>
  <si>
    <t>Uitzendbureau Bakker B.V.</t>
  </si>
  <si>
    <t>administratie@bedrijvenbakker.nl</t>
  </si>
  <si>
    <t>Albertjoachimkade 33H</t>
  </si>
  <si>
    <t>Goes</t>
  </si>
  <si>
    <t>I.T.S. SR.L. (INDUSTRIAL TECHNICAL SERVICES), BRAN</t>
  </si>
  <si>
    <t>salvotringali@hotmail.it , dballotta@itsservices.it</t>
  </si>
  <si>
    <t>Schepenenweg 35</t>
  </si>
  <si>
    <t>oostvoorne</t>
  </si>
  <si>
    <t>JES Funding &amp; Beheer B.V.</t>
  </si>
  <si>
    <t>info@jesbeheer.com</t>
  </si>
  <si>
    <t>NL79 INGB 0008 0477 55</t>
  </si>
  <si>
    <t>Thuisvesting B.V.</t>
  </si>
  <si>
    <t>facturen@thuisvesting.com</t>
  </si>
  <si>
    <t>A.H.S. Willemsen</t>
  </si>
  <si>
    <t>huurwoningarnhem@gmail.com</t>
  </si>
  <si>
    <t>NL90 ABNA 0861 1395 26</t>
  </si>
  <si>
    <t>JJM Personeel B.V.</t>
  </si>
  <si>
    <t>Facturen@jjmpersoneel.nl</t>
  </si>
  <si>
    <t>van Leeuwenhoekweg 6</t>
  </si>
  <si>
    <t>Schijndel</t>
  </si>
  <si>
    <t>NL77 RABO 0329 2174 45</t>
  </si>
  <si>
    <t>Royal DS Personeel-service</t>
  </si>
  <si>
    <t>m.langeveld@royalds.nl</t>
  </si>
  <si>
    <t>Ambachtsweg 57</t>
  </si>
  <si>
    <t>VALO Facilities B.V.</t>
  </si>
  <si>
    <t>invoices.facilities@valo-group.eu</t>
  </si>
  <si>
    <t>Bruistensingel 400</t>
  </si>
  <si>
    <t>'s-Hertogenbosch</t>
  </si>
  <si>
    <t>Jacco Maat</t>
  </si>
  <si>
    <t>jacco@jtvastgoed.nl</t>
  </si>
  <si>
    <t>Holland Chalet Park</t>
  </si>
  <si>
    <t>Receptie@hollandchaletpark.nl</t>
  </si>
  <si>
    <t>Kerkweg 9a</t>
  </si>
  <si>
    <t>Hensbroek</t>
  </si>
  <si>
    <t>NL28 INGB 0000 0643 12</t>
  </si>
  <si>
    <t>Europe-jobs B.V.</t>
  </si>
  <si>
    <t>info@europe-jobs.nl</t>
  </si>
  <si>
    <t>Oude Terborgseweg 288</t>
  </si>
  <si>
    <t>NL42 INGB 0674 8319 50</t>
  </si>
  <si>
    <t>WIL International B.V.</t>
  </si>
  <si>
    <t>international@wilgroep.nl</t>
  </si>
  <si>
    <t>HousingWell B.V.</t>
  </si>
  <si>
    <t>info@housingwell.nl</t>
  </si>
  <si>
    <t>Tinstraat 7b</t>
  </si>
  <si>
    <t>P. Nederstigt</t>
  </si>
  <si>
    <t>p.nederstigt@casema.nl</t>
  </si>
  <si>
    <t>Frans Halsstraat 67</t>
  </si>
  <si>
    <t>Lisse</t>
  </si>
  <si>
    <t>NL30 ABNA 0401 3982 42</t>
  </si>
  <si>
    <t>Welcome Housing B.V.</t>
  </si>
  <si>
    <t>Invoices@hobij.nl</t>
  </si>
  <si>
    <t>Heilig Hartplein 1</t>
  </si>
  <si>
    <t>Verlangen Finance BV</t>
  </si>
  <si>
    <t>info@verlangenfinance.nl</t>
  </si>
  <si>
    <t>Touwbaan 1</t>
  </si>
  <si>
    <t>G.K. Stoel</t>
  </si>
  <si>
    <t>rolfstoel@hotmail.com</t>
  </si>
  <si>
    <t>Patrijsstraat 39</t>
  </si>
  <si>
    <t>Papendrecht</t>
  </si>
  <si>
    <t>Timing Uitzendteam BV</t>
  </si>
  <si>
    <t>inkoopfacturen@timing.nl</t>
  </si>
  <si>
    <t>Deventerstraat 15-2</t>
  </si>
  <si>
    <t>Apeldoorn</t>
  </si>
  <si>
    <t>NL48 INGB 0651 8897 90</t>
  </si>
  <si>
    <t>SS Kara Yacht Painters LLP</t>
  </si>
  <si>
    <t>sskarayaght23@gmail.com</t>
  </si>
  <si>
    <t>Omonias 77</t>
  </si>
  <si>
    <t>Kavala</t>
  </si>
  <si>
    <t>E Rebel</t>
  </si>
  <si>
    <t>erebel@ziggo.nl</t>
  </si>
  <si>
    <t>NL66 INGB 0004 1170 64</t>
  </si>
  <si>
    <t>Dutch Ink</t>
  </si>
  <si>
    <t>Info@dutchink.nl</t>
  </si>
  <si>
    <t>George Stephensonweg 21m</t>
  </si>
  <si>
    <t>IPS Industrial Plant Solutions Kft.</t>
  </si>
  <si>
    <t>loretta.hanoder@ipsolutions.hu</t>
  </si>
  <si>
    <t>Lage Mosten 49</t>
  </si>
  <si>
    <t>Estra Logistics Systems B.V.</t>
  </si>
  <si>
    <t>finance@cruisr.nl</t>
  </si>
  <si>
    <t>Zuid Hollandiaan 7</t>
  </si>
  <si>
    <t>Fareon Z Nederland</t>
  </si>
  <si>
    <t>nancy@fareon.nl</t>
  </si>
  <si>
    <t>Lange Amerikaweg 67</t>
  </si>
  <si>
    <t>NL50 ABNA 0838 0539 55</t>
  </si>
  <si>
    <t>Horus Team Sp. Z.o.o.</t>
  </si>
  <si>
    <t>administration@horusteam.net</t>
  </si>
  <si>
    <t>≈öwiƒôty Marcin 29/8</t>
  </si>
  <si>
    <t>Poznan</t>
  </si>
  <si>
    <t>Kleijweg projects</t>
  </si>
  <si>
    <t>Info@kleijweginvestments.nl</t>
  </si>
  <si>
    <t>Zwedenstraat 12</t>
  </si>
  <si>
    <t>Multiservizi Romania SRL</t>
  </si>
  <si>
    <t>amministrazionepythagoras@gmail.com</t>
  </si>
  <si>
    <t>Sector 1 str academiei nr 35-37 scb et2</t>
  </si>
  <si>
    <t>Bucuresti</t>
  </si>
  <si>
    <t>FGM Solar Renewable S.R.L.</t>
  </si>
  <si>
    <t>edeny2002@gmail.com</t>
  </si>
  <si>
    <t>Str. Nufarului, Nr. 28E, Et. 3</t>
  </si>
  <si>
    <t>Oradea</t>
  </si>
  <si>
    <t>S. Kleiren</t>
  </si>
  <si>
    <t>sabine.kleiren@gmail.com</t>
  </si>
  <si>
    <t>NL20 RABO 0103 8768 98</t>
  </si>
  <si>
    <t>factuur@4homes.nl</t>
  </si>
  <si>
    <t>Prins Reinierstraat 18a</t>
  </si>
  <si>
    <t>Steenbergen</t>
  </si>
  <si>
    <t>NL30 RABO 0120 4592 56</t>
  </si>
  <si>
    <t>Twins BV</t>
  </si>
  <si>
    <t>info@twinsbv.com</t>
  </si>
  <si>
    <t>Burgemeester Letteweg 31</t>
  </si>
  <si>
    <t>NL79 INGB 0107 5053 47</t>
  </si>
  <si>
    <t>RNDV Industries</t>
  </si>
  <si>
    <t>laura.brackiene@rndv.eu</t>
  </si>
  <si>
    <t>Taikos pr. 52C</t>
  </si>
  <si>
    <t>Klipeda</t>
  </si>
  <si>
    <t>UAB Techsome</t>
  </si>
  <si>
    <t>info@techsoma.lt</t>
  </si>
  <si>
    <t>≈†ƒótos g. 116-311</t>
  </si>
  <si>
    <t>Kƒódainiai</t>
  </si>
  <si>
    <t>95342265.0</t>
  </si>
  <si>
    <t>LT80 7300 0101 8868 2143</t>
  </si>
  <si>
    <t>Light Personeelsdiensten BV</t>
  </si>
  <si>
    <t>facturen@lightpersoneelsdiensten.nl</t>
  </si>
  <si>
    <t>Selma Lagerl√∂fweg 63</t>
  </si>
  <si>
    <t>Van Mossel Rotterdam</t>
  </si>
  <si>
    <t>simon.beumer@vanmossel.nl</t>
  </si>
  <si>
    <t>Driemanssteeweg 690A</t>
  </si>
  <si>
    <t>Lilit Home Makelaardij</t>
  </si>
  <si>
    <t>info@lilithome.nl</t>
  </si>
  <si>
    <t>Strevelsweg 72A-74A</t>
  </si>
  <si>
    <t>MB Kewal</t>
  </si>
  <si>
    <t>mireldak@hotmail.com</t>
  </si>
  <si>
    <t>Sweelinckplein 15</t>
  </si>
  <si>
    <t>NL83 ASNB 0932 1139 90</t>
  </si>
  <si>
    <t>PRP Solutions Flex Sp. Z.O.O</t>
  </si>
  <si>
    <t>costs@prpsolutions.eu</t>
  </si>
  <si>
    <t>Dobrzynska 36</t>
  </si>
  <si>
    <t>Plock</t>
  </si>
  <si>
    <t>MK Contracting BV</t>
  </si>
  <si>
    <t>info@mkcontracting.nl</t>
  </si>
  <si>
    <t>Van Gijnstraat 19</t>
  </si>
  <si>
    <t>NL80 INGB 0008 5110 09</t>
  </si>
  <si>
    <t>Workforce Housing Holland B.V.</t>
  </si>
  <si>
    <t>invoices@w-hi.com</t>
  </si>
  <si>
    <t>Keizersgracht 209</t>
  </si>
  <si>
    <t>Fasttravel Taxi</t>
  </si>
  <si>
    <t>iacovachem@gmail.com</t>
  </si>
  <si>
    <t>Kerkweg 9A</t>
  </si>
  <si>
    <t>RNVD Industries</t>
  </si>
  <si>
    <t>Flexbo B.V.</t>
  </si>
  <si>
    <t>info@flexbo.nl</t>
  </si>
  <si>
    <t>NL34 INGB 0105 4807 97</t>
  </si>
  <si>
    <t>Bw-engineering</t>
  </si>
  <si>
    <t>r.adelaar@bw-engineering.nl</t>
  </si>
  <si>
    <t>van Brakelstraat 66</t>
  </si>
  <si>
    <t>NL74 ABNA 0554 0784 57</t>
  </si>
  <si>
    <t>SHGJ Ribbink</t>
  </si>
  <si>
    <t>SHGJ.Ribbink@gmail.com</t>
  </si>
  <si>
    <t>Gagelstraat 109</t>
  </si>
  <si>
    <t>Eindhoven</t>
  </si>
  <si>
    <t>Uitzendwerk B.V.</t>
  </si>
  <si>
    <t>facturen@uitzendwerk.eu</t>
  </si>
  <si>
    <t>Edisonstraat 2H</t>
  </si>
  <si>
    <t>Showtuin Nederland B.V.</t>
  </si>
  <si>
    <t>info@showtuinnederland.nl</t>
  </si>
  <si>
    <t>Pollaan 50</t>
  </si>
  <si>
    <t>Zutphen</t>
  </si>
  <si>
    <t>Buurman Vastgoed E B.V.</t>
  </si>
  <si>
    <t>admin@inexho.com</t>
  </si>
  <si>
    <t>Westerweg 291</t>
  </si>
  <si>
    <t>Alkmaar</t>
  </si>
  <si>
    <t>FISSH B.V.</t>
  </si>
  <si>
    <t>administratie@fissh.nl</t>
  </si>
  <si>
    <t>Copernicusstraat 18</t>
  </si>
  <si>
    <t>Wijchen</t>
  </si>
  <si>
    <t>MNA Proud Facilities B.V.</t>
  </si>
  <si>
    <t>Recep@prokonak.nl</t>
  </si>
  <si>
    <t>Tomatenlaan 29</t>
  </si>
  <si>
    <t>NL59 RABO 0366 0069 59</t>
  </si>
  <si>
    <t>Shtan Vitaliy</t>
  </si>
  <si>
    <t>Vitalij.shtan@gmail.com</t>
  </si>
  <si>
    <t>Trakt Lubelski 397</t>
  </si>
  <si>
    <t>Warszawa</t>
  </si>
  <si>
    <t>Key4work B.V.</t>
  </si>
  <si>
    <t>facturen@key4work.com</t>
  </si>
  <si>
    <t>Smaragdstraat 14</t>
  </si>
  <si>
    <t>Hengelo OV</t>
  </si>
  <si>
    <t>NL04 INGB 0006 3999 11</t>
  </si>
  <si>
    <t>CASS Construction and Steel Structures Sp. z o.o</t>
  </si>
  <si>
    <t>p.samborski@cass.com.pl</t>
  </si>
  <si>
    <t>Grzyb√≥w 78</t>
  </si>
  <si>
    <t>Stasz√≥w</t>
  </si>
  <si>
    <t>CB Construction UAB</t>
  </si>
  <si>
    <t>info@cbconstruction.eu</t>
  </si>
  <si>
    <t>Chemijos g.27c-62</t>
  </si>
  <si>
    <t>Kaunas</t>
  </si>
  <si>
    <t>Optima Uitzendbureau B.V.</t>
  </si>
  <si>
    <t>Financieel@optimauitzendburo.nl</t>
  </si>
  <si>
    <t>Kade 40</t>
  </si>
  <si>
    <t>Hardinxveld Giessendam</t>
  </si>
  <si>
    <t>24403530.0</t>
  </si>
  <si>
    <t>Demeter BV</t>
  </si>
  <si>
    <t>Factuur.demeter@knoppertamaryllis.nl</t>
  </si>
  <si>
    <t>Madeweg 27A</t>
  </si>
  <si>
    <t>Monster</t>
  </si>
  <si>
    <t>LogIQ Barendrecht B.V.</t>
  </si>
  <si>
    <t>facturen0180@logiq.nl</t>
  </si>
  <si>
    <t>Ebweg 12</t>
  </si>
  <si>
    <t>Oostkracht Bemiddeling B.V.</t>
  </si>
  <si>
    <t>info@ok-groep.nl</t>
  </si>
  <si>
    <t>Zeppelinstraat 21</t>
  </si>
  <si>
    <t>Berkel en Rodenrijs</t>
  </si>
  <si>
    <t>85593087.0</t>
  </si>
  <si>
    <t>Z Yilmaz</t>
  </si>
  <si>
    <t>z.yilmaz@yilmazradijs.nl</t>
  </si>
  <si>
    <t>tomatenlaan 10a</t>
  </si>
  <si>
    <t>NL11 RABO 0115 2819 32</t>
  </si>
  <si>
    <t>administratie@i-housingvastgoedbeheer.nl</t>
  </si>
  <si>
    <t>Eusebiusbuitensingel 32-2</t>
  </si>
  <si>
    <t>Arnhem</t>
  </si>
  <si>
    <t>81783604.0</t>
  </si>
  <si>
    <t>NL89 RABO 0366 5365 24</t>
  </si>
  <si>
    <t>Kwekerij Stef Kleijweg</t>
  </si>
  <si>
    <t>Stefkleijweg@gmail.com</t>
  </si>
  <si>
    <t>Woudselaan 14</t>
  </si>
  <si>
    <t>Duijndam Personeelsdiensten B.V.</t>
  </si>
  <si>
    <t>facturen@duijndamworks.nl</t>
  </si>
  <si>
    <t>Honderdland 241</t>
  </si>
  <si>
    <t>54370914.0</t>
  </si>
  <si>
    <t>S Kleijweg</t>
  </si>
  <si>
    <t>Milieu Service Brabant</t>
  </si>
  <si>
    <t>Schouwrooij 8</t>
  </si>
  <si>
    <t>Boxtel</t>
  </si>
  <si>
    <t>16067309.0</t>
  </si>
  <si>
    <t>NL87 INGB 0674 7847 74</t>
  </si>
  <si>
    <t>Workforce Housing International B.V</t>
  </si>
  <si>
    <t>Keizersgracht 241</t>
  </si>
  <si>
    <t>NL37 INGB 0395 8388 94</t>
  </si>
  <si>
    <t>E.C. Koornneef</t>
  </si>
  <si>
    <t>info@hollandhuisvesting.nl</t>
  </si>
  <si>
    <t>Holwerdalaan 3</t>
  </si>
  <si>
    <t>Kapitein &amp; Personeel B.V</t>
  </si>
  <si>
    <t>klaas@kapiteinpersoneel.nl</t>
  </si>
  <si>
    <t>Marsdiep 16a</t>
  </si>
  <si>
    <t>Urk</t>
  </si>
  <si>
    <t>83620494.0</t>
  </si>
  <si>
    <t>C. van Winsen</t>
  </si>
  <si>
    <t>coenvanwinsen@gmail.com</t>
  </si>
  <si>
    <t>Emmastraat 10</t>
  </si>
  <si>
    <t>Noordwijkerhout</t>
  </si>
  <si>
    <t>NL30 RABO 0189 1515 52</t>
  </si>
  <si>
    <t>Kapitan Workers Sp. Z.o.o.</t>
  </si>
  <si>
    <t>kapitanworkers@outlook.com</t>
  </si>
  <si>
    <t>Szosa Chelminska 26</t>
  </si>
  <si>
    <t>Torun</t>
  </si>
  <si>
    <t>Kajuit</t>
  </si>
  <si>
    <t>info@kajuitbv.nl</t>
  </si>
  <si>
    <t>85828904.0</t>
  </si>
  <si>
    <t>JT Glazenwasserij en Schoonmaakdiensten</t>
  </si>
  <si>
    <t>info@jtschoonmaak.nl</t>
  </si>
  <si>
    <t>Turbinestraat 8M</t>
  </si>
  <si>
    <t>Veenendaal</t>
  </si>
  <si>
    <t>66378753.0</t>
  </si>
  <si>
    <t>NL44 INGB 0006 8898 17</t>
  </si>
  <si>
    <t>Odido Netherlands</t>
  </si>
  <si>
    <t>Waldorpstraat 60</t>
  </si>
  <si>
    <t>33265679.0</t>
  </si>
  <si>
    <t>NL03 COBA 0733 9597 17</t>
  </si>
  <si>
    <t>R. Bassil</t>
  </si>
  <si>
    <t>rogerbassil@outlook.com</t>
  </si>
  <si>
    <t>Professor Poelslaan 58A</t>
  </si>
  <si>
    <t>NL21 ABNA 0455 7876 62</t>
  </si>
  <si>
    <t>N2people B.V.</t>
  </si>
  <si>
    <t>invoice@n2people.nl</t>
  </si>
  <si>
    <t>Mandenmakerstraat 11</t>
  </si>
  <si>
    <t>Uden</t>
  </si>
  <si>
    <t>17206030.0</t>
  </si>
  <si>
    <t>P. Ter Haar-Ros</t>
  </si>
  <si>
    <t>prkapper@gmail.com</t>
  </si>
  <si>
    <t>Utrechtseweg 242</t>
  </si>
  <si>
    <t>GAP Costruzioni S.r.l.</t>
  </si>
  <si>
    <t>Viale Italia 110</t>
  </si>
  <si>
    <t>Augusta</t>
  </si>
  <si>
    <t>Itali√´</t>
  </si>
  <si>
    <t>B. van Abeelen</t>
  </si>
  <si>
    <t>vanabeelenstucadoorsbedrijf@gmail.com</t>
  </si>
  <si>
    <t>Blauwloop 2</t>
  </si>
  <si>
    <t>Loon op Zand</t>
  </si>
  <si>
    <t>NL95 INGB 0113 3306 85</t>
  </si>
  <si>
    <t>TM Hendriks - van Balen</t>
  </si>
  <si>
    <t>Frans Halsstraat 16b</t>
  </si>
  <si>
    <t>Steneker Verhuur</t>
  </si>
  <si>
    <t>Kempenaerlaan 13</t>
  </si>
  <si>
    <t>St. Nicolaasga</t>
  </si>
  <si>
    <t>NL Housing B.V.</t>
  </si>
  <si>
    <t>Fivelpoort 10 c</t>
  </si>
  <si>
    <t>Appingedam</t>
  </si>
  <si>
    <t>75191806.0</t>
  </si>
  <si>
    <t>NL07 RABO 0344 4145 31</t>
  </si>
  <si>
    <t>Rowork</t>
  </si>
  <si>
    <t>Dahliastraat 12 B</t>
  </si>
  <si>
    <t>70118817.0</t>
  </si>
  <si>
    <t>CS Vastgoedbeheer B.V.</t>
  </si>
  <si>
    <t>Nispensestraat 72</t>
  </si>
  <si>
    <t>64548937.0</t>
  </si>
  <si>
    <t>Maxx Leeuwarden</t>
  </si>
  <si>
    <t>Stationsweg 19</t>
  </si>
  <si>
    <t>NL04 INGB 0701 7558 57</t>
  </si>
  <si>
    <t>S. de Gooijer</t>
  </si>
  <si>
    <t>Toussaint + Van Wijk woning - bedrijfsmak.</t>
  </si>
  <si>
    <t>61686638.0</t>
  </si>
  <si>
    <t>WitteWoning Makelaars</t>
  </si>
  <si>
    <t>73068926.0</t>
  </si>
  <si>
    <t>Pinbetalingen/I-deal</t>
  </si>
  <si>
    <t>Advocatenkantoor de Boorder</t>
  </si>
  <si>
    <t>Benoordenhoutseweg 23</t>
  </si>
  <si>
    <t>Den Haag</t>
  </si>
  <si>
    <t>Arval</t>
  </si>
  <si>
    <t>Duwboot 10</t>
  </si>
  <si>
    <t>Houten</t>
  </si>
  <si>
    <t>30139084.0</t>
  </si>
  <si>
    <t>NL04 ABNA 0484 1745 33</t>
  </si>
  <si>
    <t>Athlon Beheer Nederland B.V.</t>
  </si>
  <si>
    <t>Veluwezoom 4</t>
  </si>
  <si>
    <t>Almere</t>
  </si>
  <si>
    <t>34071478.0</t>
  </si>
  <si>
    <t>NL41 BNPA 0227 7017 71</t>
  </si>
  <si>
    <t>Auto Center Oostvoorne</t>
  </si>
  <si>
    <t>Langeweg 5</t>
  </si>
  <si>
    <t>24406857.0</t>
  </si>
  <si>
    <t>NL60 RABO 0126 5836 84</t>
  </si>
  <si>
    <t>Auto de Boer</t>
  </si>
  <si>
    <t>Auto Raggers</t>
  </si>
  <si>
    <t>Autoschoonmaakbedrijf Total Clean</t>
  </si>
  <si>
    <t>Pascalweg 7</t>
  </si>
  <si>
    <t>56201796.0</t>
  </si>
  <si>
    <t>NL34 RABO 0344 8432 70</t>
  </si>
  <si>
    <t>BeursBulletin Alerts B.V.</t>
  </si>
  <si>
    <t>Rokebrandlaan 2</t>
  </si>
  <si>
    <t>34244390.0</t>
  </si>
  <si>
    <t>BFW B.V.</t>
  </si>
  <si>
    <t>Van Aylvawei 18</t>
  </si>
  <si>
    <t>Rinsumageast</t>
  </si>
  <si>
    <t>73355976.0</t>
  </si>
  <si>
    <t>NL42 RABO 0336 5683 47</t>
  </si>
  <si>
    <t>BNP Paribas Leasing Solutions N.V.</t>
  </si>
  <si>
    <t>Hambakenwetering 4</t>
  </si>
  <si>
    <t>'S-Hertogenbosch</t>
  </si>
  <si>
    <t>24271429.0</t>
  </si>
  <si>
    <t>NL69 BNPA 0227 6520 88</t>
  </si>
  <si>
    <t>Brixx Metafoor Vastgoed en Software B.V.</t>
  </si>
  <si>
    <t>Eskimolaan 13</t>
  </si>
  <si>
    <t>Dronten</t>
  </si>
  <si>
    <t>39082342.0</t>
  </si>
  <si>
    <t>NL86 INGB 0663 7083 62</t>
  </si>
  <si>
    <t>Brother International (Nederland) B.V.</t>
  </si>
  <si>
    <t>Zanderij 25 27</t>
  </si>
  <si>
    <t>Amstelveen</t>
  </si>
  <si>
    <t>33124324.0</t>
  </si>
  <si>
    <t>Business Software Haaglanden B.V.</t>
  </si>
  <si>
    <t>Sportlaan 528</t>
  </si>
  <si>
    <t>27287021.0</t>
  </si>
  <si>
    <t>NL89 ABNA 0408 1063 79</t>
  </si>
  <si>
    <t>CBR</t>
  </si>
  <si>
    <t>Rijswijk</t>
  </si>
  <si>
    <t>Digital Revolution B.V.</t>
  </si>
  <si>
    <t>Nieuw Walden 56</t>
  </si>
  <si>
    <t>Nederhorst den Berg</t>
  </si>
  <si>
    <t>33267823.0</t>
  </si>
  <si>
    <t>Essent Retail Energie B.V.</t>
  </si>
  <si>
    <t>Postbus 1024</t>
  </si>
  <si>
    <t>13041611.0</t>
  </si>
  <si>
    <t>NL32 ABNA 0242 2447 77</t>
  </si>
  <si>
    <t>Evides Waterbedrijf</t>
  </si>
  <si>
    <t>Exact Netherlands B.V.</t>
  </si>
  <si>
    <t>Molengraaffsingel 33</t>
  </si>
  <si>
    <t>61876992.0</t>
  </si>
  <si>
    <t>NL08 ABNA 0484 9873 21</t>
  </si>
  <si>
    <t>Expert</t>
  </si>
  <si>
    <t>brielle</t>
  </si>
  <si>
    <t>Financial Lease.NL</t>
  </si>
  <si>
    <t>Gem Rotterdam</t>
  </si>
  <si>
    <t>NL97 ABNA 0644 5121 13</t>
  </si>
  <si>
    <t>GGN van Mastrigt &amp; Partners</t>
  </si>
  <si>
    <t>Willemsplein 489</t>
  </si>
  <si>
    <t>17240971.0</t>
  </si>
  <si>
    <t>Goed in Vastgoedbeleggingen</t>
  </si>
  <si>
    <t>hallo,</t>
  </si>
  <si>
    <t>50755609.0</t>
  </si>
  <si>
    <t>NL66 RABO 0161 3073 45</t>
  </si>
  <si>
    <t>HD logistics</t>
  </si>
  <si>
    <t>Burgemeester Sweenslaan 39</t>
  </si>
  <si>
    <t>Leidschendam</t>
  </si>
  <si>
    <t>73302384.0</t>
  </si>
  <si>
    <t>hemdvoorhem.nl B.V.</t>
  </si>
  <si>
    <t>Jadelaan 25</t>
  </si>
  <si>
    <t>64100367.0</t>
  </si>
  <si>
    <t>IKEA B.V.</t>
  </si>
  <si>
    <t>Laan Van Decima 1 Service Offi</t>
  </si>
  <si>
    <t>Haarlem</t>
  </si>
  <si>
    <t>33166333.0</t>
  </si>
  <si>
    <t>NL17 BNPA 8012 0001 21</t>
  </si>
  <si>
    <t>Inquar</t>
  </si>
  <si>
    <t>Installatiebureau Kon</t>
  </si>
  <si>
    <t>Sluisweg 2 C</t>
  </si>
  <si>
    <t>Hardinxveld-Giessendam</t>
  </si>
  <si>
    <t>66341272.0</t>
  </si>
  <si>
    <t>JInniy Tel</t>
  </si>
  <si>
    <t>Mimosastraat 100</t>
  </si>
  <si>
    <t>Kaarten en Atlassen</t>
  </si>
  <si>
    <t>LANDSMEER</t>
  </si>
  <si>
    <t>Keizer Hoveniersbedrijf</t>
  </si>
  <si>
    <t>Vinkseweg 8</t>
  </si>
  <si>
    <t>59593350.0</t>
  </si>
  <si>
    <t>NL67 RABO 0381 8320 74</t>
  </si>
  <si>
    <t>KGV B.V.</t>
  </si>
  <si>
    <t>James Wattweg 2 b</t>
  </si>
  <si>
    <t>52454576.0</t>
  </si>
  <si>
    <t>KOK GLAS</t>
  </si>
  <si>
    <t>NL33 ABNA 0860 1110 91</t>
  </si>
  <si>
    <t>Kpn</t>
  </si>
  <si>
    <t>Wilhelminakade 123</t>
  </si>
  <si>
    <t>27124701.0</t>
  </si>
  <si>
    <t>NL83 INGB 0000 3255 13</t>
  </si>
  <si>
    <t>Kuwait Petroleum</t>
  </si>
  <si>
    <t>La Marina</t>
  </si>
  <si>
    <t>Javea</t>
  </si>
  <si>
    <t>LeasePlan Nederland N.V.</t>
  </si>
  <si>
    <t>P.J. Oudweg 4</t>
  </si>
  <si>
    <t>39037163.0</t>
  </si>
  <si>
    <t>NL24 ABNA 0515 1700 38</t>
  </si>
  <si>
    <t>Lidl</t>
  </si>
  <si>
    <t>Havenstraat 71</t>
  </si>
  <si>
    <t>32061446.0</t>
  </si>
  <si>
    <t>Luxury Floors</t>
  </si>
  <si>
    <t>Haatlanderdijk 6-D</t>
  </si>
  <si>
    <t>Stomerij Mauriks CohousingNL</t>
  </si>
  <si>
    <t>Moleneindplein 29</t>
  </si>
  <si>
    <t>Vught</t>
  </si>
  <si>
    <t>16041667.0</t>
  </si>
  <si>
    <t>NL86 RABO 0175 4167 02</t>
  </si>
  <si>
    <t>Maxd'Oro B.V.</t>
  </si>
  <si>
    <t>Vanadiumweg 11 L</t>
  </si>
  <si>
    <t>32117532.0</t>
  </si>
  <si>
    <t>Mediamarkt</t>
  </si>
  <si>
    <t>Meubelzorg B.V.</t>
  </si>
  <si>
    <t>W.M. Dudokweg 50</t>
  </si>
  <si>
    <t>Heerhugowaard</t>
  </si>
  <si>
    <t>69723389.0</t>
  </si>
  <si>
    <t>MIB Verwarmingsbedrijf</t>
  </si>
  <si>
    <t>'t Woud 35 F</t>
  </si>
  <si>
    <t>24391341.0</t>
  </si>
  <si>
    <t>NL91 RABO 0161 9621 30</t>
  </si>
  <si>
    <t>Motoport</t>
  </si>
  <si>
    <t>Nespresso</t>
  </si>
  <si>
    <t>Notariskant Zuijdgeest BV</t>
  </si>
  <si>
    <t>Open Guard</t>
  </si>
  <si>
    <t>Broeklaan 72</t>
  </si>
  <si>
    <t>59819197.0</t>
  </si>
  <si>
    <t>NL36 RABO 0348 6667 80</t>
  </si>
  <si>
    <t>Ouwendijk Service Bouwmarkt</t>
  </si>
  <si>
    <t>Emmastraat 52</t>
  </si>
  <si>
    <t>24284204.0</t>
  </si>
  <si>
    <t>NL61 INGB 0001 3257 85</t>
  </si>
  <si>
    <t>Oxigo B.V.</t>
  </si>
  <si>
    <t>Groeneweg 162 l</t>
  </si>
  <si>
    <t>Bunnik</t>
  </si>
  <si>
    <t>72010827.0</t>
  </si>
  <si>
    <t>P.M.F. Otten Deurwaarder Heerlen B.V.</t>
  </si>
  <si>
    <t>Schinkelstraat 5</t>
  </si>
  <si>
    <t>Heerlen</t>
  </si>
  <si>
    <t>14089801.0</t>
  </si>
  <si>
    <t>Parfumerie Douglas</t>
  </si>
  <si>
    <t>Binnenhof 2</t>
  </si>
  <si>
    <t>10005918.0</t>
  </si>
  <si>
    <t>PickThisUp B.V.</t>
  </si>
  <si>
    <t>Johan Huizingalaan 763 A 1e verdiep</t>
  </si>
  <si>
    <t>63337444.0</t>
  </si>
  <si>
    <t>Proviced Holding B.V.</t>
  </si>
  <si>
    <t>Bedrijvenweg 9 A</t>
  </si>
  <si>
    <t>Leiderdorp</t>
  </si>
  <si>
    <t>75653109.0</t>
  </si>
  <si>
    <t>NL36 RABO 0339 9178 65</t>
  </si>
  <si>
    <t>RAS</t>
  </si>
  <si>
    <t>Basisweg 30</t>
  </si>
  <si>
    <t>Renewi Nederland B.V.</t>
  </si>
  <si>
    <t>17089397.0</t>
  </si>
  <si>
    <t>NL74 KRED 0633 0007 60</t>
  </si>
  <si>
    <t>Reshift Digital B.V.</t>
  </si>
  <si>
    <t>Richard Holkade 8</t>
  </si>
  <si>
    <t>58687076.0</t>
  </si>
  <si>
    <t>SKDC</t>
  </si>
  <si>
    <t>Hoogeveenenweg 110</t>
  </si>
  <si>
    <t>Nieuwerkerk ad IJssel</t>
  </si>
  <si>
    <t>63499258.0</t>
  </si>
  <si>
    <t>St.BTPF v.h. Schoonmaak- en Glazenwassersbedr</t>
  </si>
  <si>
    <t>Basisweg 10</t>
  </si>
  <si>
    <t>41177936.0</t>
  </si>
  <si>
    <t>Start Home Rentals</t>
  </si>
  <si>
    <t>Stofzuigzakken.nu</t>
  </si>
  <si>
    <t>Straetus Incasso Friesland B.V.</t>
  </si>
  <si>
    <t>56600518.0</t>
  </si>
  <si>
    <t>SVHW</t>
  </si>
  <si>
    <t>Klaaswaal</t>
  </si>
  <si>
    <t>Synofit Europe B.V.</t>
  </si>
  <si>
    <t>Koninginneweg 11</t>
  </si>
  <si>
    <t>Hilversum</t>
  </si>
  <si>
    <t>51516128.0</t>
  </si>
  <si>
    <t>Threeforce</t>
  </si>
  <si>
    <t>Tinke Assuranti√´n B.V.</t>
  </si>
  <si>
    <t>Zwolseweg 17</t>
  </si>
  <si>
    <t>24264808.0</t>
  </si>
  <si>
    <t>NL04 INGB 0680 9086 17</t>
  </si>
  <si>
    <t>TOP Schoonmaakartikelen</t>
  </si>
  <si>
    <t>Turien &amp; Co. Assuradeuren B.V.</t>
  </si>
  <si>
    <t>James Wattstraat 11</t>
  </si>
  <si>
    <t>37101244.0</t>
  </si>
  <si>
    <t>United Parcel Service Nederland B.V.</t>
  </si>
  <si>
    <t>Zandsteen 22</t>
  </si>
  <si>
    <t>34089270.0</t>
  </si>
  <si>
    <t>Vast-ps Cleaning B.V.</t>
  </si>
  <si>
    <t>Spierdijk</t>
  </si>
  <si>
    <t>73216046.0</t>
  </si>
  <si>
    <t>Visma</t>
  </si>
  <si>
    <t>HJE Wenckebachweg 200</t>
  </si>
  <si>
    <t>Vitens N.V.</t>
  </si>
  <si>
    <t>Oude Veerweg 1</t>
  </si>
  <si>
    <t>Zwolle</t>
  </si>
  <si>
    <t>5069581.0</t>
  </si>
  <si>
    <t>NL94 INGB 0000 8690 00</t>
  </si>
  <si>
    <t>VoipLinX</t>
  </si>
  <si>
    <t>50230840.0</t>
  </si>
  <si>
    <t>Vroegh &amp; Hobbel B.V.</t>
  </si>
  <si>
    <t>De Pinnepot 21 c</t>
  </si>
  <si>
    <t>24368270.0</t>
  </si>
  <si>
    <t>W.H. Lagendijk Onderhoudsbedrijf</t>
  </si>
  <si>
    <t>Kruisdijk 85</t>
  </si>
  <si>
    <t>Poortugaal</t>
  </si>
  <si>
    <t>24393155.0</t>
  </si>
  <si>
    <t>Wasgoed.com</t>
  </si>
  <si>
    <t>Schenkenschans 3 d</t>
  </si>
  <si>
    <t>1117807.0</t>
  </si>
  <si>
    <t>NL37 RABO 0326 7672 66</t>
  </si>
  <si>
    <t>Witgoed Hellevoetsluis</t>
  </si>
  <si>
    <t>Moriaanseweg West 20 A</t>
  </si>
  <si>
    <t>24251690.0</t>
  </si>
  <si>
    <t>NL63 INGB 0007 3100 67</t>
  </si>
  <si>
    <t>WP Advocaten</t>
  </si>
  <si>
    <t>De Schoof 94</t>
  </si>
  <si>
    <t>HENDRIK-IDO-AMBACHT</t>
  </si>
  <si>
    <t>56270933.0</t>
  </si>
  <si>
    <t>NL63 ABNA 0492 2707 40</t>
  </si>
  <si>
    <t>XS4ALL Internet B.V.</t>
  </si>
  <si>
    <t>Teleportboulevard 121</t>
  </si>
  <si>
    <t>33287534.0</t>
  </si>
  <si>
    <t>Yellowbrick</t>
  </si>
  <si>
    <t>NL13 ABNA 0243 1853 40</t>
  </si>
  <si>
    <t>Rijnaarts</t>
  </si>
  <si>
    <t>Havenkade 72</t>
  </si>
  <si>
    <t>NL11 INGB 0693 4464 20</t>
  </si>
  <si>
    <t>Alpha Star Finance</t>
  </si>
  <si>
    <t>Grote Vos 47</t>
  </si>
  <si>
    <t>'S-Gravenzande</t>
  </si>
  <si>
    <t>72998245.0</t>
  </si>
  <si>
    <t>NL97 KNAB 0257 9316 35</t>
  </si>
  <si>
    <t>Centraal Justitieel Incassobureau</t>
  </si>
  <si>
    <t>Tesselschadestraat 55</t>
  </si>
  <si>
    <t>1176224.0</t>
  </si>
  <si>
    <t>NL56 INGB 0705 0051 00</t>
  </si>
  <si>
    <t>Why not NL?!</t>
  </si>
  <si>
    <t>Info@whynotnl.com</t>
  </si>
  <si>
    <t>Strausspad 42</t>
  </si>
  <si>
    <t>72138920.0</t>
  </si>
  <si>
    <t>NL42 ABNA 0834 5431 84</t>
  </si>
  <si>
    <t>N.van Dijk Bouwservice</t>
  </si>
  <si>
    <t>Ln Van Nieuw Blankenburg 362</t>
  </si>
  <si>
    <t>Rozenburg Zh</t>
  </si>
  <si>
    <t>81240910.0</t>
  </si>
  <si>
    <t>NL97 INGB 0006 9412 43</t>
  </si>
  <si>
    <t>HB Housing</t>
  </si>
  <si>
    <t>Sloterkade 182</t>
  </si>
  <si>
    <t>55417760.0</t>
  </si>
  <si>
    <t>NL44 RABO 0134 1169 92</t>
  </si>
  <si>
    <t>Buwalda Multiservice Nederland B.V.</t>
  </si>
  <si>
    <t>De Wieken 31</t>
  </si>
  <si>
    <t>57661782.0</t>
  </si>
  <si>
    <t>NL83 ABNA 0825 4758 56</t>
  </si>
  <si>
    <t>Stichting Normering Flexwonen</t>
  </si>
  <si>
    <t>Reitseplein 1</t>
  </si>
  <si>
    <t>58049940.0</t>
  </si>
  <si>
    <t>NL63 INGB 0651 4353 66</t>
  </si>
  <si>
    <t>SKG-IKOB Certificatie B.V.</t>
  </si>
  <si>
    <t>Poppenbouwing 56</t>
  </si>
  <si>
    <t>Geldermalsen</t>
  </si>
  <si>
    <t>24164317.0</t>
  </si>
  <si>
    <t>NL82 ABNA 0440 7601 00</t>
  </si>
  <si>
    <t>Bol.com</t>
  </si>
  <si>
    <t>Papendorpseweg 100</t>
  </si>
  <si>
    <t>32147382.0</t>
  </si>
  <si>
    <t>Belastingdienst</t>
  </si>
  <si>
    <t>NL86 INGB 0002 4455 88</t>
  </si>
  <si>
    <t>Co. Elektro</t>
  </si>
  <si>
    <t>Lepelaarstraat 65</t>
  </si>
  <si>
    <t>60075759.0</t>
  </si>
  <si>
    <t>NL41 INGB 0006 4758 75</t>
  </si>
  <si>
    <t>RINSUMAGEAST</t>
  </si>
  <si>
    <t>M. van Happen Transport B.V.</t>
  </si>
  <si>
    <t>Weijerbeemd 10</t>
  </si>
  <si>
    <t>17053881.0</t>
  </si>
  <si>
    <t>NL55 INGB 0662 9650 27</t>
  </si>
  <si>
    <t>J. Schoemaker</t>
  </si>
  <si>
    <t>Kruisweg 1</t>
  </si>
  <si>
    <t>KRABBENDIJKE</t>
  </si>
  <si>
    <t>23091591.0</t>
  </si>
  <si>
    <t>NL63 ABNA 0605 8140 90</t>
  </si>
  <si>
    <t>123wonen Bergen op Zoom</t>
  </si>
  <si>
    <t>Zuidzijde Haven 39 a</t>
  </si>
  <si>
    <t>BERGEN OP ZOOM</t>
  </si>
  <si>
    <t>67010318.0</t>
  </si>
  <si>
    <t>NL78 INGB 0007 5683 99</t>
  </si>
  <si>
    <t>Maxx Aanhuurmakelaars Leeuwarden</t>
  </si>
  <si>
    <t>Willemskade 27</t>
  </si>
  <si>
    <t>5070577.0</t>
  </si>
  <si>
    <t>B.A.D. Loodgietersbedrijf B.V.</t>
  </si>
  <si>
    <t>Dwarsweg 24</t>
  </si>
  <si>
    <t>73968145.0</t>
  </si>
  <si>
    <t>NL87 INGB 0008 9639 70</t>
  </si>
  <si>
    <t>L.M.J.D. B.V.</t>
  </si>
  <si>
    <t>Leonard Springerlaan 7</t>
  </si>
  <si>
    <t>69118205.0</t>
  </si>
  <si>
    <t>NL56 RABO 0321 1700 24</t>
  </si>
  <si>
    <t>Goed In Vastgoed Belegging B.V.</t>
  </si>
  <si>
    <t>GOUTUM</t>
  </si>
  <si>
    <t>NL96 INGB 0009 1278 35</t>
  </si>
  <si>
    <t>Voys B.V.</t>
  </si>
  <si>
    <t>Lubeckweg 2</t>
  </si>
  <si>
    <t>50161113.0</t>
  </si>
  <si>
    <t>NL11 RABO 0121 3943 87</t>
  </si>
  <si>
    <t>The Voip Company</t>
  </si>
  <si>
    <t>Plesmanstraat 6 Unit B</t>
  </si>
  <si>
    <t>LEUSDEN</t>
  </si>
  <si>
    <t>8064597.0</t>
  </si>
  <si>
    <t>Polmai Brandbeveiliging B.V.</t>
  </si>
  <si>
    <t>Oosteinde 14</t>
  </si>
  <si>
    <t>24110810.0</t>
  </si>
  <si>
    <t>NL32 INGB 0695 0616 74</t>
  </si>
  <si>
    <t>Elabo B.V.</t>
  </si>
  <si>
    <t>Landdrostlaan 51</t>
  </si>
  <si>
    <t>APELDOORN</t>
  </si>
  <si>
    <t>8098960.0</t>
  </si>
  <si>
    <t>NL66 INGB 0009 0743 46</t>
  </si>
  <si>
    <t>Bureau Cicero B.V.</t>
  </si>
  <si>
    <t>Dokter van Deenweg 162</t>
  </si>
  <si>
    <t>ZWOLLE</t>
  </si>
  <si>
    <t>39092300.0</t>
  </si>
  <si>
    <t>NL35 RABO 0102 4230 83</t>
  </si>
  <si>
    <t>KIV-Noord B.V.</t>
  </si>
  <si>
    <t>Industrieweg 4 A</t>
  </si>
  <si>
    <t>HARLINGEN</t>
  </si>
  <si>
    <t>58754512.0</t>
  </si>
  <si>
    <t>NL93 ABNA 0813 5547 64</t>
  </si>
  <si>
    <t>RefurnZ B.V.</t>
  </si>
  <si>
    <t>facturen@refurnz.nl</t>
  </si>
  <si>
    <t>Postbus 1</t>
  </si>
  <si>
    <t>73380822.0</t>
  </si>
  <si>
    <t>NL07 INGB 0008 6952 65</t>
  </si>
  <si>
    <t>Multiservice bedrijf Sandra</t>
  </si>
  <si>
    <t>It Spul 4</t>
  </si>
  <si>
    <t>WITMARSUM</t>
  </si>
  <si>
    <t>76767930.0</t>
  </si>
  <si>
    <t>NL68 ABNA 0867 8839 44</t>
  </si>
  <si>
    <t>Maeva Services</t>
  </si>
  <si>
    <t>1e Weteringdwarsstraat 75</t>
  </si>
  <si>
    <t>82131325.0</t>
  </si>
  <si>
    <t>NL34 KNAB 0405 7088 74</t>
  </si>
  <si>
    <t>Handmatige crediteuren</t>
  </si>
  <si>
    <t>Spoorlaan 18</t>
  </si>
  <si>
    <t>De Blesse</t>
  </si>
  <si>
    <t>1171685.0</t>
  </si>
  <si>
    <t>NL61 RABO 0102 6415 44</t>
  </si>
  <si>
    <t>123Wonen Vastgoedbeheer B.V.</t>
  </si>
  <si>
    <t>beheer@123wonen.nl</t>
  </si>
  <si>
    <t>Twekkeler Es 42</t>
  </si>
  <si>
    <t>ENSCHEDE</t>
  </si>
  <si>
    <t>67067247.0</t>
  </si>
  <si>
    <t>NL72 RABO 0306 4372 79</t>
  </si>
  <si>
    <t>Vegter Installatietechniek</t>
  </si>
  <si>
    <t>info@vegterinstallatietechniek.nl</t>
  </si>
  <si>
    <t>Zijlvest 18</t>
  </si>
  <si>
    <t>FARMSUM</t>
  </si>
  <si>
    <t>78492300.0</t>
  </si>
  <si>
    <t>NL15 RABO 0327 9871 46</t>
  </si>
  <si>
    <t>Home Rentals Groep B.V.</t>
  </si>
  <si>
    <t>Krammer 8</t>
  </si>
  <si>
    <t>85998524.0</t>
  </si>
  <si>
    <t>NL87 INGB 0008 5592 86</t>
  </si>
  <si>
    <t>Aluxa Vastgoed B.V.</t>
  </si>
  <si>
    <t>info@aluxa.nl</t>
  </si>
  <si>
    <t>Bedrijvenpark Twente 147 g</t>
  </si>
  <si>
    <t>ALMELO</t>
  </si>
  <si>
    <t>72729791.0</t>
  </si>
  <si>
    <t>NL13 RABO 0333 5906 78</t>
  </si>
  <si>
    <t>Helden van . Nu B.V.</t>
  </si>
  <si>
    <t>info@heldenvan.nu</t>
  </si>
  <si>
    <t>Binnenweg 14</t>
  </si>
  <si>
    <t>34264245.0</t>
  </si>
  <si>
    <t>NL92 RABO 0160 7561 11</t>
  </si>
  <si>
    <t>CH Brandbeveiliging BV</t>
  </si>
  <si>
    <t>Steenhouwer 34</t>
  </si>
  <si>
    <t>STADSKANAAL</t>
  </si>
  <si>
    <t>69077355.0</t>
  </si>
  <si>
    <t>NL33 RABO 0307 6871 47</t>
  </si>
  <si>
    <t>Colors@Home Budding</t>
  </si>
  <si>
    <t>info@buddingschilders.nl</t>
  </si>
  <si>
    <t>Emmastraat 11</t>
  </si>
  <si>
    <t>24227498.0</t>
  </si>
  <si>
    <t>NL68 RABO 0356 6061 39</t>
  </si>
  <si>
    <t>T√úV Nederland QA B.V.</t>
  </si>
  <si>
    <t>Ekkersrijt 4401</t>
  </si>
  <si>
    <t>17091102.0</t>
  </si>
  <si>
    <t>NL10 RABO 0118 3950 68</t>
  </si>
  <si>
    <t>DELTA Fiber Nederland B.V.</t>
  </si>
  <si>
    <t>zakelijk@deltafiber.nl</t>
  </si>
  <si>
    <t>Overschieseweg 203</t>
  </si>
  <si>
    <t>SCHIEDAM</t>
  </si>
  <si>
    <t>22051676.0</t>
  </si>
  <si>
    <t>Installatieprofi</t>
  </si>
  <si>
    <t>Vlagtwedderstraat 95</t>
  </si>
  <si>
    <t>Bourtange</t>
  </si>
  <si>
    <t>77789490.0</t>
  </si>
  <si>
    <t>NL84 RABO 0353 3409 28</t>
  </si>
  <si>
    <t>Quality Home Solutions</t>
  </si>
  <si>
    <t>Abelenlaan 3</t>
  </si>
  <si>
    <t>84386851.0</t>
  </si>
  <si>
    <t>NL84 INGB 0674 6370 97</t>
  </si>
  <si>
    <t>Power Home Rentals</t>
  </si>
  <si>
    <t>86347136.0</t>
  </si>
  <si>
    <t>NL22 RABO 0350 2604 51</t>
  </si>
  <si>
    <t>Zien! B.V.</t>
  </si>
  <si>
    <t>Fascinatio Boulevard 522</t>
  </si>
  <si>
    <t>56838638.0</t>
  </si>
  <si>
    <t>NL30 RABO 0156 5705 13</t>
  </si>
  <si>
    <t>OBC Winters</t>
  </si>
  <si>
    <t>Steenwijkerweg 227</t>
  </si>
  <si>
    <t>WITTE PAARDEN</t>
  </si>
  <si>
    <t>85040487.0</t>
  </si>
  <si>
    <t>NL83 RABO 0128 2542 89</t>
  </si>
  <si>
    <t>ECE Brand- en Inbraakbeveiliging B.V.</t>
  </si>
  <si>
    <t>info@ecebv.nl</t>
  </si>
  <si>
    <t>Celsiusbaan 6 A</t>
  </si>
  <si>
    <t>75283875.0</t>
  </si>
  <si>
    <t>NL53 RABO 0394 4227 32</t>
  </si>
  <si>
    <t>Daan Advies en Installatiebedrijf</t>
  </si>
  <si>
    <t>Harmen Sytstrastraat 20</t>
  </si>
  <si>
    <t>84426985.0</t>
  </si>
  <si>
    <t>NL69 RABO 0374 5380 26</t>
  </si>
  <si>
    <t>Glasservice en Timmerwerken D.Stukje</t>
  </si>
  <si>
    <t>Lageweg 38A</t>
  </si>
  <si>
    <t>Wedde</t>
  </si>
  <si>
    <t>70328471.0</t>
  </si>
  <si>
    <t>NL03 RABO 0325 5181 30</t>
  </si>
  <si>
    <t>Stichting 123inkt-huismerk Klanten</t>
  </si>
  <si>
    <t>info@123inkt.nl</t>
  </si>
  <si>
    <t>Nieuw Walden 70</t>
  </si>
  <si>
    <t>Nederhorst Den Berg</t>
  </si>
  <si>
    <t>66938821.0</t>
  </si>
  <si>
    <t>NL27 RABO 0304 5133 18</t>
  </si>
  <si>
    <t>Shortstay Facilities B.V.</t>
  </si>
  <si>
    <t>Vlietskade 9034</t>
  </si>
  <si>
    <t>86233335.0</t>
  </si>
  <si>
    <t>NL90 INGB 0675 8096 22</t>
  </si>
  <si>
    <t>BO-Rent B.V.</t>
  </si>
  <si>
    <t>Eerste Oosterparkstraat 51 D</t>
  </si>
  <si>
    <t>33256507.0</t>
  </si>
  <si>
    <t>PreZero Nederland</t>
  </si>
  <si>
    <t>klantenservicezuid.nl@prezero.com</t>
  </si>
  <si>
    <t>Ankerkade 21</t>
  </si>
  <si>
    <t>MAASTRICHT</t>
  </si>
  <si>
    <t>9046820.0</t>
  </si>
  <si>
    <t>Versteeg Schoenmakerij</t>
  </si>
  <si>
    <t>Raadhuisplein 6</t>
  </si>
  <si>
    <t>72000961.0</t>
  </si>
  <si>
    <t>NL86 RABO 0147 8709 33</t>
  </si>
  <si>
    <t>Alpha Housing B.V.</t>
  </si>
  <si>
    <t>66836522.0</t>
  </si>
  <si>
    <t>De Griekse Makelaar</t>
  </si>
  <si>
    <t>Ringdijk 181</t>
  </si>
  <si>
    <t>Lelystad</t>
  </si>
  <si>
    <t>Ziggo Services B.V.</t>
  </si>
  <si>
    <t>Boven Vredenburgpassage 128</t>
  </si>
  <si>
    <t>62393944.0</t>
  </si>
  <si>
    <t>Plus Oostvoorne</t>
  </si>
  <si>
    <t>Rakkerweg 15</t>
  </si>
  <si>
    <t>NL24 RABO 0314 3617 82</t>
  </si>
  <si>
    <t>BookThat Solutions B.V.</t>
  </si>
  <si>
    <t>Westerstraat 69</t>
  </si>
  <si>
    <t>AMERSFOORT</t>
  </si>
  <si>
    <t>83277668.0</t>
  </si>
  <si>
    <t>NL71 RABO 0370 7185 18</t>
  </si>
  <si>
    <t>Matex Trading B.V.</t>
  </si>
  <si>
    <t>Stoelerij 8</t>
  </si>
  <si>
    <t>ZEVENBERGEN</t>
  </si>
  <si>
    <t>17033570.0</t>
  </si>
  <si>
    <t>NL95 ABNA 0130 5378 61</t>
  </si>
  <si>
    <t>Kamer van Koophandel</t>
  </si>
  <si>
    <t>St.-Jacobsstraat 300</t>
  </si>
  <si>
    <t>59581883.0</t>
  </si>
  <si>
    <t>BCC Elektro-speciaalzaken B.V.</t>
  </si>
  <si>
    <t>Van der Madeweg 13</t>
  </si>
  <si>
    <t>AMSTERDAM-DUIVENDRECHT</t>
  </si>
  <si>
    <t>33156765.0</t>
  </si>
  <si>
    <t>NL19 INGB 0663 8672 90</t>
  </si>
  <si>
    <t>Vattenfall</t>
  </si>
  <si>
    <t>Postbus 40021</t>
  </si>
  <si>
    <t>9105542.0</t>
  </si>
  <si>
    <t>NL54 INGB 0000 0005 03</t>
  </si>
  <si>
    <t>Van A tot Z</t>
  </si>
  <si>
    <t>Ohmweg 2B</t>
  </si>
  <si>
    <t>54781310.0</t>
  </si>
  <si>
    <t>NL44 RABO 0304 9755 08</t>
  </si>
  <si>
    <t>Maatschap van Driel vd Vlist</t>
  </si>
  <si>
    <t>Bas Eefting</t>
  </si>
  <si>
    <t>Korhoenweg 9</t>
  </si>
  <si>
    <t>KLUNDERT</t>
  </si>
  <si>
    <t>NL10 INGB 0006 5920 57</t>
  </si>
  <si>
    <t>Installatiebedrijf Jonkers BV</t>
  </si>
  <si>
    <t>Henric de Cranestraat 47</t>
  </si>
  <si>
    <t>KUINRE</t>
  </si>
  <si>
    <t>NL80 INGB 0001 5745 39</t>
  </si>
  <si>
    <t>oasen nv</t>
  </si>
  <si>
    <t>Postbus 122</t>
  </si>
  <si>
    <t>GOUDA</t>
  </si>
  <si>
    <t>NL42 INGB 0000 0312 74</t>
  </si>
  <si>
    <t>Slotenzaak.nl</t>
  </si>
  <si>
    <t>NL70 RABO 0350 5015 05</t>
  </si>
  <si>
    <t>Lekdetectiecentrale</t>
  </si>
  <si>
    <t>NL39 INGB 0006 4214 94</t>
  </si>
  <si>
    <t>gbtwente</t>
  </si>
  <si>
    <t>NL72 BNGH 0285 1412 28</t>
  </si>
  <si>
    <t>wmd water</t>
  </si>
  <si>
    <t>NL58 RABO 0302 8995 53</t>
  </si>
  <si>
    <t>marc de vries</t>
  </si>
  <si>
    <t>RRS Nederland BV</t>
  </si>
  <si>
    <t>NL93 RABO 0102 3536 54</t>
  </si>
  <si>
    <t>Joop Leeuwis</t>
  </si>
  <si>
    <t>NL20 RABO 0321 7596 56</t>
  </si>
  <si>
    <t>Mevr V de Kovel</t>
  </si>
  <si>
    <t>Koolweg 46</t>
  </si>
  <si>
    <t>OUDDORP</t>
  </si>
  <si>
    <t>NL47 INGB 0009 6438 84</t>
  </si>
  <si>
    <t>Hopmans Flexstay</t>
  </si>
  <si>
    <t>NL93 RABO 0318 1254 98</t>
  </si>
  <si>
    <t>hotel Rozenburg</t>
  </si>
  <si>
    <t>Emmastraat 26</t>
  </si>
  <si>
    <t>NL37 INGB 0009 1713 83</t>
  </si>
  <si>
    <t>Autoschadebedrijf Carpoort</t>
  </si>
  <si>
    <t>NL51 INGB 0004 6028 19</t>
  </si>
  <si>
    <t>Sebrechts</t>
  </si>
  <si>
    <t>NL73 RABO 0148 8293 33</t>
  </si>
  <si>
    <t>Kozijn Service Nederland</t>
  </si>
  <si>
    <t>NL61 INGB 0674 5329 45</t>
  </si>
  <si>
    <t>Holland Housing</t>
  </si>
  <si>
    <t>Seggeweg 63</t>
  </si>
  <si>
    <t>Vierpolders</t>
  </si>
  <si>
    <t>NL36 ABNA 0107 1323 38</t>
  </si>
  <si>
    <t>Service en Zo</t>
  </si>
  <si>
    <t>NL16 KNAB 0405 2272 05</t>
  </si>
  <si>
    <t>reedijk wheels and tyres</t>
  </si>
  <si>
    <t>NL91 RABO 0326 8969 53</t>
  </si>
  <si>
    <t>Kempers en Koppenol</t>
  </si>
  <si>
    <t>NL33 RABO 0344 8164 19</t>
  </si>
  <si>
    <t>spaa materials</t>
  </si>
  <si>
    <t>NL43 RABO 0344 5650 09</t>
  </si>
  <si>
    <t>flexcraft</t>
  </si>
  <si>
    <t>NL53 RABO 0348 9158 61</t>
  </si>
  <si>
    <t>Samson Airconditioning</t>
  </si>
  <si>
    <t>NL36 INGB 0004 6424 71</t>
  </si>
  <si>
    <t>Barstarz BV</t>
  </si>
  <si>
    <t>Adminiraliteitskade 17B</t>
  </si>
  <si>
    <t>NL63 ABNA 0476 1829 99</t>
  </si>
  <si>
    <t>All Safety</t>
  </si>
  <si>
    <t>Mandenmakerstraat 41</t>
  </si>
  <si>
    <t>Hoogvliet Rotterdam</t>
  </si>
  <si>
    <t>SE18 1200 0000 0124 1016 6350</t>
  </si>
  <si>
    <t>Yur Advocaten B.V.</t>
  </si>
  <si>
    <t>Oostmaaslaan 71</t>
  </si>
  <si>
    <t>NL22 RABO 0380 8447 45</t>
  </si>
  <si>
    <t>Blue 10 B.V.</t>
  </si>
  <si>
    <t>Oude Middenweg 17</t>
  </si>
  <si>
    <t>NL06 INGB 0683 4968 32</t>
  </si>
  <si>
    <t>Strijbosch</t>
  </si>
  <si>
    <t>Heescheweg 29</t>
  </si>
  <si>
    <t>Nistelrode</t>
  </si>
  <si>
    <t>NL46 RABO 0140 4115 77</t>
  </si>
  <si>
    <t>van Gastel Notarissen</t>
  </si>
  <si>
    <t>Westlandseweg 260</t>
  </si>
  <si>
    <t>NL44 INGB 0688 9137 92</t>
  </si>
  <si>
    <t>Royal Safety</t>
  </si>
  <si>
    <t>Dalweg 24</t>
  </si>
  <si>
    <t>NL21 KNAB 0256 3994 33</t>
  </si>
  <si>
    <t>Chaletpark de Wierde</t>
  </si>
  <si>
    <t>chris@chaletparkdewierde.nl</t>
  </si>
  <si>
    <t>Akkerweg 41</t>
  </si>
  <si>
    <t>Den Oever</t>
  </si>
  <si>
    <t>NL53 INGB 0004 4656 25</t>
  </si>
  <si>
    <t>Wittkamp Trading</t>
  </si>
  <si>
    <t>NL30 RABO 0351 1026 55</t>
  </si>
  <si>
    <t>B2Mobility</t>
  </si>
  <si>
    <t>T van der Pols Machineverhuur BV</t>
  </si>
  <si>
    <t>NL63 RABO 0375 9565 65</t>
  </si>
  <si>
    <t>Transformatiehaven B.V.</t>
  </si>
  <si>
    <t>info@huurkracht.nl</t>
  </si>
  <si>
    <t>Kamerlingh Onnesweg 2</t>
  </si>
  <si>
    <t>NL55 INGB 0008 4174 66</t>
  </si>
  <si>
    <t>Murat Dogan</t>
  </si>
  <si>
    <t>NL91 INGB 0007 2888 05</t>
  </si>
  <si>
    <t>Fastgoed makelaars</t>
  </si>
  <si>
    <t>NL49 KNAB 0507 4890 55</t>
  </si>
  <si>
    <t>PFw Jaspers</t>
  </si>
  <si>
    <t>NL44 ABNA 0124 8213 08</t>
  </si>
  <si>
    <t>Quadrant Vastgoed B.V.</t>
  </si>
  <si>
    <t>NL47 RABO 0379 6025 98</t>
  </si>
  <si>
    <t>Detron</t>
  </si>
  <si>
    <t>NL67 ABNA 0106 9533 97</t>
  </si>
  <si>
    <t>Pluimakers eo Eenshuistra</t>
  </si>
  <si>
    <t>NL38 RABO 0319 8121 54</t>
  </si>
  <si>
    <t>PPP diensten</t>
  </si>
  <si>
    <t>NL83 INGB 0008 2927 05</t>
  </si>
  <si>
    <t>Risa Beheer B.V.</t>
  </si>
  <si>
    <t>NL32 RABO 0363 4098 82</t>
  </si>
  <si>
    <t>Verknocht</t>
  </si>
  <si>
    <t>NL41 ABNA 0456 3688 17</t>
  </si>
  <si>
    <t>Verkocht</t>
  </si>
  <si>
    <t>4 Homes</t>
  </si>
  <si>
    <t>B Renkema</t>
  </si>
  <si>
    <t>NL82 RABO 0315 3768 13</t>
  </si>
  <si>
    <t>W van Straalen</t>
  </si>
  <si>
    <t>NL18 RABO 0342 9411 94</t>
  </si>
  <si>
    <t>Van Mossel Bedijfwagencentrum</t>
  </si>
  <si>
    <t>NL65 RABO 0312 3767 15</t>
  </si>
  <si>
    <t>Webciters</t>
  </si>
  <si>
    <t>NL27 ABNA 0604 4446 13</t>
  </si>
  <si>
    <t>Gemeente Voorne aan Zee</t>
  </si>
  <si>
    <t>NL34 BNGH 0285 1856 59</t>
  </si>
  <si>
    <t>Wooninq</t>
  </si>
  <si>
    <t>NL02 ABNA 0119 1673 52</t>
  </si>
  <si>
    <t>Rentokill Initial</t>
  </si>
  <si>
    <t>NL03 INGB 0007 9716 20</t>
  </si>
  <si>
    <t>de Verhuurder vastgoedbemiddeling</t>
  </si>
  <si>
    <t>NL11 INGB 0007 0642 35</t>
  </si>
  <si>
    <t>Onderhoudsbedrijf AG Wolters</t>
  </si>
  <si>
    <t>NL85 RABO 0184 1494 36</t>
  </si>
  <si>
    <t>Tonen</t>
  </si>
  <si>
    <t>tonen222@gmail.com</t>
  </si>
  <si>
    <t>Kobelaan 294</t>
  </si>
  <si>
    <t>NL71 INGB 0796 4294 64</t>
  </si>
  <si>
    <t>VTM Services</t>
  </si>
  <si>
    <t>NL08 RABO 0135 5704 09</t>
  </si>
  <si>
    <t>Holiday Chaletpark</t>
  </si>
  <si>
    <t>Van Dijk Wijnhandel</t>
  </si>
  <si>
    <t>NL47 INGB 0003 1984 28</t>
  </si>
  <si>
    <t>Digo Real Estate BV</t>
  </si>
  <si>
    <t>NL68 RABO 0364 3051 26</t>
  </si>
  <si>
    <t>B Verstegen en K Maas</t>
  </si>
  <si>
    <t>NL65 TRIO 0320 9580 94</t>
  </si>
  <si>
    <t>DH Service en Onderhoud</t>
  </si>
  <si>
    <t>NL16 KNAB 0503 6604 77</t>
  </si>
  <si>
    <t>BICT Groep</t>
  </si>
  <si>
    <t>NL66 RABO 0170 8351 70</t>
  </si>
  <si>
    <t>Riofix</t>
  </si>
  <si>
    <t>NL60 RABO 0189 8495 09</t>
  </si>
  <si>
    <t>SchadeNet</t>
  </si>
  <si>
    <t>NL03 ABNA 0574 0199 28</t>
  </si>
  <si>
    <t>Van Mossel Car Solutions</t>
  </si>
  <si>
    <t>NL17 RABO 0307 8372 03</t>
  </si>
  <si>
    <t>Bosch</t>
  </si>
  <si>
    <t>Evo Vastgoedonderhoud</t>
  </si>
  <si>
    <t>NL12 RABO 0371 3427 08</t>
  </si>
  <si>
    <t>Sabewa Zeeland</t>
  </si>
  <si>
    <t>NL45 BNGH 0285 1605 32</t>
  </si>
  <si>
    <t>GJ Bergwerff</t>
  </si>
  <si>
    <t>NL37 RABO 0336 2428 08</t>
  </si>
  <si>
    <t>Byfin bv</t>
  </si>
  <si>
    <t>NL52 INGB 0103 8679 45</t>
  </si>
  <si>
    <t>Westhavendomein BV</t>
  </si>
  <si>
    <t>NL07 INGB 0000 0151 23</t>
  </si>
  <si>
    <t>Liander</t>
  </si>
  <si>
    <t>NL95 INGB 0000 0055 85</t>
  </si>
  <si>
    <t>Groen Holding BV</t>
  </si>
  <si>
    <t>NL85 RABO 0352 3067 93</t>
  </si>
  <si>
    <t>Rekad BV</t>
  </si>
  <si>
    <t>NL84 INGB 0664 4279 44</t>
  </si>
  <si>
    <t>FD Cursus</t>
  </si>
  <si>
    <t>NL23 INGB 0008 5055 36</t>
  </si>
  <si>
    <t>M en M Hendriks</t>
  </si>
  <si>
    <t>mark.e.hendriks@gmail.com</t>
  </si>
  <si>
    <t>Drs. J.L. Moonenstraat 24</t>
  </si>
  <si>
    <t>NL73 RABO 0332 1313 00</t>
  </si>
  <si>
    <t>Jef van Mierop</t>
  </si>
  <si>
    <t>BE53 7330 7293 6653</t>
  </si>
  <si>
    <t>Blok Interrek B.V.</t>
  </si>
  <si>
    <t>Giessenweg 67-69</t>
  </si>
  <si>
    <t>NL76 RABO 0125 4357 89</t>
  </si>
  <si>
    <t>WML Waterlieding Maatschappij Limburg</t>
  </si>
  <si>
    <t>Brabant Water NV</t>
  </si>
  <si>
    <t>ANWB</t>
  </si>
  <si>
    <t>Klusman Simon</t>
  </si>
  <si>
    <t>NL02 INGB 0007 3276 55</t>
  </si>
  <si>
    <t>Enexis Netbeheer BV</t>
  </si>
  <si>
    <t>NL04 RABO 0307 5125 84</t>
  </si>
  <si>
    <t>Easypark</t>
  </si>
  <si>
    <t>Pestec Ongediertebestrijding</t>
  </si>
  <si>
    <t>NL63 ABNA 0126 4121 54</t>
  </si>
  <si>
    <t>Van Bergen Personeelsdiensten BV</t>
  </si>
  <si>
    <t>NL76 RABO 0328 7743 67</t>
  </si>
  <si>
    <t>I. Verbeek</t>
  </si>
  <si>
    <t>irene.verbeek@icloud.com</t>
  </si>
  <si>
    <t>NL22 INGB 0007 7361 50</t>
  </si>
  <si>
    <t>Kaplan</t>
  </si>
  <si>
    <t>NL22 RABO 0116 5377 87</t>
  </si>
  <si>
    <t>Holland Warmte Verwarming</t>
  </si>
  <si>
    <t>NL85 RABO 0347 4013 09</t>
  </si>
  <si>
    <t>Sancus Bouw en infro</t>
  </si>
  <si>
    <t>NL68 RABO 0354 7322 93</t>
  </si>
  <si>
    <t>Tecline</t>
  </si>
  <si>
    <t>NL94 RABO 0166 2979 76</t>
  </si>
  <si>
    <t>Maxxy Vastgoed</t>
  </si>
  <si>
    <t>Maaslandseweg 5</t>
  </si>
  <si>
    <t>NL51 INGB 0008 1222 70</t>
  </si>
  <si>
    <t>Gelecon Schoonmaak</t>
  </si>
  <si>
    <t>NL51 INGB 0661 0307 25</t>
  </si>
  <si>
    <t>Franks Kluus Service FP van der Hooft</t>
  </si>
  <si>
    <t>NL67 RABO 0147 9282 14</t>
  </si>
  <si>
    <t>Digidentity</t>
  </si>
  <si>
    <t>Pens.com</t>
  </si>
  <si>
    <t>NL92 BOFA 0266 5977 18</t>
  </si>
  <si>
    <t>Born Management en Beheer</t>
  </si>
  <si>
    <t>bornmenb@bornmail.nl</t>
  </si>
  <si>
    <t>Parkweg 1b 248</t>
  </si>
  <si>
    <t>NL08 RABO 0118 3742 49</t>
  </si>
  <si>
    <t>Jan Luijsterburg Beheer BV</t>
  </si>
  <si>
    <t>J. van der Linde</t>
  </si>
  <si>
    <t>NL90 RABO 0352 2550 99</t>
  </si>
  <si>
    <t>HBM Machines B.V.</t>
  </si>
  <si>
    <t>info@hbm-machines.com</t>
  </si>
  <si>
    <t>Louis Dobbelmannweg 12</t>
  </si>
  <si>
    <t>Waddinxveen</t>
  </si>
  <si>
    <t>NL61 ABNA 0869 7940 00</t>
  </si>
  <si>
    <t>Maatschap vd Vlist Teuben</t>
  </si>
  <si>
    <t>NL66 KNAB 0775 4675 45</t>
  </si>
  <si>
    <t>Mast Allround</t>
  </si>
  <si>
    <t>NL48 INGB 0105 2759 72</t>
  </si>
  <si>
    <t>R Stoel</t>
  </si>
  <si>
    <t>NL14 ABNA 0892 7907 33</t>
  </si>
  <si>
    <t>Dunea</t>
  </si>
  <si>
    <t>Stedin Netbeheer BV</t>
  </si>
  <si>
    <t>Blaak 8</t>
  </si>
  <si>
    <t>NL23 ABNA 0640 0805 45</t>
  </si>
  <si>
    <t>Van Mossel MB Vans en Trucks BV</t>
  </si>
  <si>
    <t>NL43 RABO 0121 9173 20</t>
  </si>
  <si>
    <t>Yearth Academy</t>
  </si>
  <si>
    <t>NL92 ABNA 0594 6027 93</t>
  </si>
  <si>
    <t>value+</t>
  </si>
  <si>
    <t>NL10 INGB 0521 6438 21</t>
  </si>
  <si>
    <t>Wensing Meubelen BV</t>
  </si>
  <si>
    <t>NL42 RABO 0114 8555 44</t>
  </si>
  <si>
    <t>In Control</t>
  </si>
  <si>
    <t>NL72 RABO 0119 6705 69</t>
  </si>
  <si>
    <t>Ko-Tech Kozijntechniek BV</t>
  </si>
  <si>
    <t>NL51 RABO 0117 7812 90</t>
  </si>
  <si>
    <t>Student Housing Holland B.V.</t>
  </si>
  <si>
    <t>service@studenthousingholland.com</t>
  </si>
  <si>
    <t>NL38 INGB 0006 1827 95</t>
  </si>
  <si>
    <t>J.G. van Pieterson</t>
  </si>
  <si>
    <t>C.G. Roosweg 28</t>
  </si>
  <si>
    <t>Schoonhoven</t>
  </si>
  <si>
    <t>NL82 ABNA 0886 0378 24</t>
  </si>
  <si>
    <t>Normec VRO</t>
  </si>
  <si>
    <t>NL20 INGB 0007 4352 92</t>
  </si>
  <si>
    <t>Maxaro BV</t>
  </si>
  <si>
    <t>Joop Kuipers Riool ontstopping</t>
  </si>
  <si>
    <t>NL83 KNAB 0414 6949 45</t>
  </si>
  <si>
    <t>Joost de Jong Beheer</t>
  </si>
  <si>
    <t>NL56 RABO 0306 7918 11</t>
  </si>
  <si>
    <t>EP Paardekooper holding B.V.</t>
  </si>
  <si>
    <t>NL86 INGB 0103 0932 73</t>
  </si>
  <si>
    <t>Installatie Service Robert ISR</t>
  </si>
  <si>
    <t>NL06 ABNA 0406 6809 06</t>
  </si>
  <si>
    <t>TOW Ontstopping</t>
  </si>
  <si>
    <t>NL22 RABO 0160 9243 08</t>
  </si>
  <si>
    <t>Arjan de Wit</t>
  </si>
  <si>
    <t>NL69 RABO 0112 1630 17</t>
  </si>
  <si>
    <t>Roegiers Glas</t>
  </si>
  <si>
    <t>NL58 RABO 0385 3660 43</t>
  </si>
  <si>
    <t>M Kathiravelu</t>
  </si>
  <si>
    <t>NL62 RABO 0320 3485 20</t>
  </si>
  <si>
    <t>Parc Merwede / Miven BV</t>
  </si>
  <si>
    <t>NL58 RABO 0147 9705 71</t>
  </si>
  <si>
    <t>Uitzendburo Tradiro B.V.</t>
  </si>
  <si>
    <t>NL47 RABO 0128 6245 07</t>
  </si>
  <si>
    <t>Flake</t>
  </si>
  <si>
    <t>Van Brakelstraat 8</t>
  </si>
  <si>
    <t>NL44 KNAB 0775 9672 97</t>
  </si>
  <si>
    <t>De Ramentinter</t>
  </si>
  <si>
    <t>NL95 RABO 0346 9081 75</t>
  </si>
  <si>
    <t>Centraal Beheer</t>
  </si>
  <si>
    <t>TS Onderhoud</t>
  </si>
  <si>
    <t>NL57 KNAB 0606 1925 22</t>
  </si>
  <si>
    <t>Oscar van Ham</t>
  </si>
  <si>
    <t>NL71 ASNB 0950 4719 41</t>
  </si>
  <si>
    <t>Europlan</t>
  </si>
  <si>
    <t>ZILXX</t>
  </si>
  <si>
    <t>I.C.Y. BV</t>
  </si>
  <si>
    <t>NL51 SNSB 0904 4262 70</t>
  </si>
  <si>
    <t>SS Rotterdam</t>
  </si>
  <si>
    <t>NL50 INGB 0006 6131 62</t>
  </si>
  <si>
    <t>MWT Loodgieters</t>
  </si>
  <si>
    <t>NL16 BUNQ 2110 9692 61</t>
  </si>
  <si>
    <t>Huurwoning in Rotterdam VOF</t>
  </si>
  <si>
    <t>info@huurwoninginrotterdam.nl</t>
  </si>
  <si>
    <t>Noordsingel 34A</t>
  </si>
  <si>
    <t>Vastgoed Beheer Zuid.</t>
  </si>
  <si>
    <t>info@huureenwoonruimte.nl</t>
  </si>
  <si>
    <t>Groeneweg12B</t>
  </si>
  <si>
    <t>Roermond</t>
  </si>
  <si>
    <t>NL85 RABO 0358 8757 30</t>
  </si>
  <si>
    <t>Hureninvlissingen.nl Lampert</t>
  </si>
  <si>
    <t>NL84 RABO 0108 4706 36</t>
  </si>
  <si>
    <t>Gemeente Nissewaard</t>
  </si>
  <si>
    <t>NL08 BNGH 0285 1835 08</t>
  </si>
  <si>
    <t>TH. Mungroop</t>
  </si>
  <si>
    <t>tmungroop@gmail.com</t>
  </si>
  <si>
    <t>De Clercqstraat 54-1</t>
  </si>
  <si>
    <t>NL09 BUNQ 2112 6685 36</t>
  </si>
  <si>
    <t>Profoma B.V.</t>
  </si>
  <si>
    <t>NL34 ABNA 0139 8382 52</t>
  </si>
  <si>
    <t>Paalman</t>
  </si>
  <si>
    <t>rjpaalman@gmail.com</t>
  </si>
  <si>
    <t>Sleedoornlaan 26</t>
  </si>
  <si>
    <t>NL95 KNAB 0256 8915 40</t>
  </si>
  <si>
    <t>van der Meij Interieurs</t>
  </si>
  <si>
    <t>vandermeijinterieurs@outlook.com</t>
  </si>
  <si>
    <t>NL70 RABO 0365 5956 75</t>
  </si>
  <si>
    <t>L&amp;T B.V.</t>
  </si>
  <si>
    <t>NL67 INGB 0109 4448 84</t>
  </si>
  <si>
    <t>E Beukema</t>
  </si>
  <si>
    <t>e.r.beukema@gmail.com</t>
  </si>
  <si>
    <t>NL03 RABO 0136 7409 01</t>
  </si>
  <si>
    <t>CR Valk</t>
  </si>
  <si>
    <t>T Perron 3</t>
  </si>
  <si>
    <t>NL11 RABO 0325 3673 45</t>
  </si>
  <si>
    <t>Dar klusbedrijf</t>
  </si>
  <si>
    <t>Ruitwagen 149</t>
  </si>
  <si>
    <t>NL09 INGB 0111 4934 04</t>
  </si>
  <si>
    <t>Aperta Estate Management</t>
  </si>
  <si>
    <t>Gildekamp 21</t>
  </si>
  <si>
    <t>Cuijk</t>
  </si>
  <si>
    <t>NL42 ABNA 0114 1649 24</t>
  </si>
  <si>
    <t>Barry Elektrotechniek B.V. (Oosterhout)</t>
  </si>
  <si>
    <t>Dr. Janssenslaan 17</t>
  </si>
  <si>
    <t>Oosterhout</t>
  </si>
  <si>
    <t>91698227.0</t>
  </si>
  <si>
    <t>NL49 ABNA 0450 6623 57</t>
  </si>
  <si>
    <t>Edward Bosch</t>
  </si>
  <si>
    <t>NL03 ABNA 0867 0942 73</t>
  </si>
  <si>
    <t>PJAJ Verhoef</t>
  </si>
  <si>
    <t>piet-verhoef@outlook.com</t>
  </si>
  <si>
    <t>Dahliastraat 44</t>
  </si>
  <si>
    <t>Made</t>
  </si>
  <si>
    <t>NL87 RABO 0105 8987 24</t>
  </si>
  <si>
    <t>Tetering en Martens</t>
  </si>
  <si>
    <t>NL07 RBRB 8836 2755 32</t>
  </si>
  <si>
    <t>RNR Riooltechniek</t>
  </si>
  <si>
    <t>NL30 INGB 0110 3294 14</t>
  </si>
  <si>
    <t>Gravis Beheer BV</t>
  </si>
  <si>
    <t>Westeinderhof 10</t>
  </si>
  <si>
    <t>Moordrecht</t>
  </si>
  <si>
    <t>NL86 KNAB 0256 4946 81</t>
  </si>
  <si>
    <t>S Isaku</t>
  </si>
  <si>
    <t>NL27 ABNA 0601 9929 38</t>
  </si>
  <si>
    <t>Daem Renovaties B.V.</t>
  </si>
  <si>
    <t>Lange dreef 21</t>
  </si>
  <si>
    <t>Borculo</t>
  </si>
  <si>
    <t>91722438.0</t>
  </si>
  <si>
    <t>NL25 BUNQ 2099 6810 15</t>
  </si>
  <si>
    <t>Shahin Bouw (Leeuwarden)</t>
  </si>
  <si>
    <t>Starterstraat 15</t>
  </si>
  <si>
    <t>90205502.0</t>
  </si>
  <si>
    <t>NL96 BUNQ 2031 9620 00</t>
  </si>
  <si>
    <t>DEEZ BV</t>
  </si>
  <si>
    <t>lieven@vdhbvba.be</t>
  </si>
  <si>
    <t>SCHANKER 70/ B000</t>
  </si>
  <si>
    <t>ESSEN</t>
  </si>
  <si>
    <t>778777069.0</t>
  </si>
  <si>
    <t>BE78 7340 5713 1086</t>
  </si>
  <si>
    <t>Ongedierte Bestrijding Westland (Naaldwijk)</t>
  </si>
  <si>
    <t>Secretaris Harmansstraat 15</t>
  </si>
  <si>
    <t>50246186.0</t>
  </si>
  <si>
    <t>NL96 RABO 0129 3704 28</t>
  </si>
  <si>
    <t>DBR Bouw</t>
  </si>
  <si>
    <t>info@dbrbouw.nl</t>
  </si>
  <si>
    <t>Kerklaan 7</t>
  </si>
  <si>
    <t>61857378.0</t>
  </si>
  <si>
    <t>NL92 INGB 0006 6883 57</t>
  </si>
  <si>
    <t>Van Delft Beveiligingen B.V.</t>
  </si>
  <si>
    <t>info@slotenmaker.nu</t>
  </si>
  <si>
    <t>Kompasstraat 28</t>
  </si>
  <si>
    <t>69939888.0</t>
  </si>
  <si>
    <t>NL96 RABO 0137 9434 82</t>
  </si>
  <si>
    <t>RM Coatings B.V.</t>
  </si>
  <si>
    <t>denhaag@rmcoatings.nl</t>
  </si>
  <si>
    <t>Zichtenburglaan 28</t>
  </si>
  <si>
    <t>24413838.0</t>
  </si>
  <si>
    <t>NL40 ABNA 0412 8348 47</t>
  </si>
  <si>
    <t>The Happy Company (Apeldoorn)</t>
  </si>
  <si>
    <t>Het Rietveld 55</t>
  </si>
  <si>
    <t>92503667.0</t>
  </si>
  <si>
    <t>NL92 RABO 0379 5950 95</t>
  </si>
  <si>
    <t>NMI Techniek</t>
  </si>
  <si>
    <t>NL91 ABNA 0471 5581 17</t>
  </si>
  <si>
    <t>Van Mossel Nissan Amsterdam (Amsterdam)</t>
  </si>
  <si>
    <t>Schepenbergweg 43</t>
  </si>
  <si>
    <t>11012244.0</t>
  </si>
  <si>
    <t>NL89 RABO 0312 3102 26</t>
  </si>
  <si>
    <t>Westland Autoschade (De Lier)</t>
  </si>
  <si>
    <t>De Hondert Margen 9</t>
  </si>
  <si>
    <t>67254195.0</t>
  </si>
  <si>
    <t>NL57 INGB 0105 5176 31</t>
  </si>
  <si>
    <t>Wasco</t>
  </si>
  <si>
    <t>NL43 INGB 0675 8759 43</t>
  </si>
  <si>
    <t>SB Electronics B.V.</t>
  </si>
  <si>
    <t>Heescheweg 17</t>
  </si>
  <si>
    <t>72087714.0</t>
  </si>
  <si>
    <t>NL75 RABO 0331 3079 28</t>
  </si>
  <si>
    <t>Ok Gas B.V.</t>
  </si>
  <si>
    <t>30037038.0</t>
  </si>
  <si>
    <t>NL72 INGB 0663 7123 00</t>
  </si>
  <si>
    <t>Fransen Vastgoed / Holland Huisvesting B.V.</t>
  </si>
  <si>
    <t>info@fransenvastgoed.nl</t>
  </si>
  <si>
    <t>Lekdreef 2</t>
  </si>
  <si>
    <t>Krimpen aan de Lek</t>
  </si>
  <si>
    <t>NL80 RABO 0190 7126 43</t>
  </si>
  <si>
    <t>Housing Solutions</t>
  </si>
  <si>
    <t>Breedstraat 15</t>
  </si>
  <si>
    <t>Zuidland</t>
  </si>
  <si>
    <t>NL10 INGB 0651 0123 33</t>
  </si>
  <si>
    <t>Campos Bouw</t>
  </si>
  <si>
    <t>Krabbendijksestraat 35</t>
  </si>
  <si>
    <t>NL81 ABNA 0807 4986 88</t>
  </si>
  <si>
    <t>De Haij van der Wende</t>
  </si>
  <si>
    <t>Barbizonlaan 82</t>
  </si>
  <si>
    <t>NL21 INGB 0653 3909 63</t>
  </si>
  <si>
    <t>Laadkompas</t>
  </si>
  <si>
    <t>info@laadkompas.nl</t>
  </si>
  <si>
    <t>Koperstraat 1A</t>
  </si>
  <si>
    <t>NL72 ABNA 0114 4249 26</t>
  </si>
  <si>
    <t>Hoveniersbedrijf Tichelaar</t>
  </si>
  <si>
    <t>Kanaaleg 80</t>
  </si>
  <si>
    <t>50197894.0</t>
  </si>
  <si>
    <t>NL52 ABNA 0550 3913 98</t>
  </si>
  <si>
    <t>Van Mossel Renault Dacia Rotterdam</t>
  </si>
  <si>
    <t>debiteuren.rdn@vanmossel.nl</t>
  </si>
  <si>
    <t>Koperstraat 16</t>
  </si>
  <si>
    <t>11014764.0</t>
  </si>
  <si>
    <t>NL93 RABO 0158 7820 46</t>
  </si>
  <si>
    <t>Hubo Oud-Beijerland</t>
  </si>
  <si>
    <t>oud-beijerland@hubo.nl</t>
  </si>
  <si>
    <t>Rembrandtstraat 7</t>
  </si>
  <si>
    <t>23050770.0</t>
  </si>
  <si>
    <t>NL76 ABNA 0505 7142 21</t>
  </si>
  <si>
    <t>RBZ Rioolreiniging VOF</t>
  </si>
  <si>
    <t>info@RBZrioolreiniging.nl</t>
  </si>
  <si>
    <t>Kreeft 9</t>
  </si>
  <si>
    <t>Yerseke</t>
  </si>
  <si>
    <t>73549819.0</t>
  </si>
  <si>
    <t>NL72 ABNA 0837 4056 96</t>
  </si>
  <si>
    <t>Waterbedrijf Groningen</t>
  </si>
  <si>
    <t>Griffeweg 99</t>
  </si>
  <si>
    <t>2008621.0</t>
  </si>
  <si>
    <t>NL07 INGB 0000 8051 88</t>
  </si>
  <si>
    <t>Alvast Antikraak</t>
  </si>
  <si>
    <t>NL57 ABNA 0108 9280 12</t>
  </si>
  <si>
    <t>O. van Eldert</t>
  </si>
  <si>
    <t>o.v.e.onderhoud@outlook.com</t>
  </si>
  <si>
    <t>Singel 53A</t>
  </si>
  <si>
    <t>87053039.0</t>
  </si>
  <si>
    <t>NL66 INGB 0104 4615 27</t>
  </si>
  <si>
    <t>Verjong Vastgoed</t>
  </si>
  <si>
    <t>info@verjongvastgoed.nl</t>
  </si>
  <si>
    <t>Dirk Smeetslaan 14</t>
  </si>
  <si>
    <t>92350429.0</t>
  </si>
  <si>
    <t>NL37 RABO 0101 6107 69</t>
  </si>
  <si>
    <t>LogiQ Barendrecht BV</t>
  </si>
  <si>
    <t>info@logiq.nl</t>
  </si>
  <si>
    <t>NL22 ABNA 0885 7890 32</t>
  </si>
  <si>
    <t>Atta Zaken</t>
  </si>
  <si>
    <t>attaverhuisliften@gmail.com</t>
  </si>
  <si>
    <t>Kasteellaan 591</t>
  </si>
  <si>
    <t>72387513.0</t>
  </si>
  <si>
    <t>NL13 ABNA 0828 3560 76</t>
  </si>
  <si>
    <t>Groenedag Installaties</t>
  </si>
  <si>
    <t>Ernst Casmirstraat 5</t>
  </si>
  <si>
    <t>NL91 INGB 0650 4744 65</t>
  </si>
  <si>
    <t>RX Group</t>
  </si>
  <si>
    <t>Wolfswater 9A</t>
  </si>
  <si>
    <t>MOVE-IZI</t>
  </si>
  <si>
    <t>contact@move-izi.nl</t>
  </si>
  <si>
    <t>Van Deventerlaan 31</t>
  </si>
  <si>
    <t>89173651.0</t>
  </si>
  <si>
    <t>Belastingsamenwerking West-Brabant</t>
  </si>
  <si>
    <t>Bredaseweg 211</t>
  </si>
  <si>
    <t>NL86 BNGH 0285 1542 65</t>
  </si>
  <si>
    <t>Hotel aan de Linge</t>
  </si>
  <si>
    <t>info@hotelaandelinge.nl</t>
  </si>
  <si>
    <t>Lingedijk 2</t>
  </si>
  <si>
    <t>Kedichem</t>
  </si>
  <si>
    <t>66924650.0</t>
  </si>
  <si>
    <t>NL23 RABO 0312 6539 21</t>
  </si>
  <si>
    <t>Van Houwelingen Gerechtsdeurwaarders</t>
  </si>
  <si>
    <t>info@houwelingen-partners.nl</t>
  </si>
  <si>
    <t>Hendrik Ido Ambacht</t>
  </si>
  <si>
    <t>78703875.0</t>
  </si>
  <si>
    <t>Arbo centrum</t>
  </si>
  <si>
    <t>debiteurenbeheer@arbocentrum.nl</t>
  </si>
  <si>
    <t>Galvanistraat 14-1</t>
  </si>
  <si>
    <t>Ede GL</t>
  </si>
  <si>
    <t>62925202.0</t>
  </si>
  <si>
    <t>NL95 INGB 0006 8054 79</t>
  </si>
  <si>
    <t>kerstpakkettenplaza.nl</t>
  </si>
  <si>
    <t>klantenservice@kerstpakkettenplaza.nl</t>
  </si>
  <si>
    <t>Gildeplein 5</t>
  </si>
  <si>
    <t>Niftrik</t>
  </si>
  <si>
    <t>17280883.0</t>
  </si>
  <si>
    <t>NL44 RABO 0112 3597 95</t>
  </si>
  <si>
    <t>PWN Waterleidingbedrijf Noord-Holland</t>
  </si>
  <si>
    <t>Rijksweg 501</t>
  </si>
  <si>
    <t>Velserbroek</t>
  </si>
  <si>
    <t>34072007.0</t>
  </si>
  <si>
    <t>Onbekend</t>
  </si>
  <si>
    <t>Cris</t>
  </si>
  <si>
    <t>Westhavendomein</t>
  </si>
  <si>
    <t>Roestenberg</t>
  </si>
  <si>
    <t>Lammertink Projecten B.V.</t>
  </si>
  <si>
    <t>HomeScout (Rene van der Kruijf)</t>
  </si>
  <si>
    <t>Orange Invesments Group</t>
  </si>
  <si>
    <t>H. Heijdra</t>
  </si>
  <si>
    <t>J.S. Vink Vastgoed</t>
  </si>
  <si>
    <t>T. Eenhuistra/J. Pluimakers</t>
  </si>
  <si>
    <t>C. van Driel e/o B.M. Verdouw</t>
  </si>
  <si>
    <t>M. Farajzadeh</t>
  </si>
  <si>
    <t>K. Zuidgeest</t>
  </si>
  <si>
    <t>G.J. Bergwerff</t>
  </si>
  <si>
    <t>Johan ven der Burg</t>
  </si>
  <si>
    <t>T. Olsthoorn</t>
  </si>
  <si>
    <t>MvB Services BV (Meindert van Buuren)</t>
  </si>
  <si>
    <t>Eva Laus</t>
  </si>
  <si>
    <t>Tradiro</t>
  </si>
  <si>
    <t>H. Samson</t>
  </si>
  <si>
    <t>Beking</t>
  </si>
  <si>
    <t>Crul</t>
  </si>
  <si>
    <t>J.P. Stoel</t>
  </si>
  <si>
    <t>TwinsBV</t>
  </si>
  <si>
    <t>W. van Straalen</t>
  </si>
  <si>
    <t>Sill Marinus Dijkstra Vastgoedbeheer)</t>
  </si>
  <si>
    <t>Z. Yilmaz</t>
  </si>
  <si>
    <t>L. Schilstra / Eigenaar.nl</t>
  </si>
  <si>
    <t>P. Ter Haar - Ros</t>
  </si>
  <si>
    <t>Maatschap vd Vlist -Teuben</t>
  </si>
  <si>
    <t>M&amp;M Hendriks</t>
  </si>
  <si>
    <t>Veurink</t>
  </si>
  <si>
    <t>TH Mungroop</t>
  </si>
  <si>
    <t>Value+ Vastgoedmanagement</t>
  </si>
  <si>
    <t>M.C. Mostert</t>
  </si>
  <si>
    <t>Bart Vlastuin</t>
  </si>
  <si>
    <t>B. Bakker</t>
  </si>
  <si>
    <t>Robert de Jonge</t>
  </si>
  <si>
    <t>M. Koolhaas</t>
  </si>
  <si>
    <t>M. Dogan</t>
  </si>
  <si>
    <t>HBB Wonen (Danielle Hanegraaf)</t>
  </si>
  <si>
    <t>Hopmans</t>
  </si>
  <si>
    <t>E. Rebel</t>
  </si>
  <si>
    <t>Dockholland</t>
  </si>
  <si>
    <t>J.L. Meerding</t>
  </si>
  <si>
    <t>HC van Os - Remeeus</t>
  </si>
  <si>
    <t>R. Ras</t>
  </si>
  <si>
    <t>Vondellaan vastgoed</t>
  </si>
  <si>
    <t>R. Paalman</t>
  </si>
  <si>
    <t>M.B. Kewal</t>
  </si>
  <si>
    <t>City Estate (Reinier Derksen)</t>
  </si>
  <si>
    <t>Vivir wonen (Mendy)</t>
  </si>
  <si>
    <t>D. Kleijweg</t>
  </si>
  <si>
    <t>D. tonen</t>
  </si>
  <si>
    <t>J.S. Vink</t>
  </si>
  <si>
    <t>Stef Kleijweg</t>
  </si>
  <si>
    <t xml:space="preserve">R. Boringa </t>
  </si>
  <si>
    <t>Transformatiehaven BV</t>
  </si>
  <si>
    <t>Meershoek</t>
  </si>
  <si>
    <t>R. Basil</t>
  </si>
  <si>
    <t>S. Raats (123Wonen)</t>
  </si>
  <si>
    <t>Digo Real Estate</t>
  </si>
  <si>
    <t>HollandHousing Rental BV</t>
  </si>
  <si>
    <t>Sjoerd Dolstra</t>
  </si>
  <si>
    <t>E. Beukema</t>
  </si>
  <si>
    <t>A. Brouwers &amp; S. Brouwers- van Weert</t>
  </si>
  <si>
    <t>J, van de Linde</t>
  </si>
  <si>
    <t>Groen Holding / van Vliet</t>
  </si>
  <si>
    <t>C. van Winsen"</t>
  </si>
  <si>
    <t>Jetty Michielsen</t>
  </si>
  <si>
    <t>M. Moeilijker</t>
  </si>
  <si>
    <t>S. Bakker / Eigenaar.nl</t>
  </si>
  <si>
    <t>Hugo Vastgoed</t>
  </si>
  <si>
    <t>Leendert Keizer</t>
  </si>
  <si>
    <t>Derwig</t>
  </si>
  <si>
    <t>R. Bouius</t>
  </si>
  <si>
    <t>Chalet Park Holiday</t>
  </si>
  <si>
    <t>M. Kathiravelu</t>
  </si>
  <si>
    <t>Huurwoning in Rotterdam</t>
  </si>
  <si>
    <t>R. Verspui</t>
  </si>
  <si>
    <t>Jes Funding &amp; Beheer</t>
  </si>
  <si>
    <t>C.R. Valk &amp; H.J. Valk</t>
  </si>
  <si>
    <t>L&amp;T BV</t>
  </si>
  <si>
    <t>CB-Homes</t>
  </si>
  <si>
    <t>R. Bekken</t>
  </si>
  <si>
    <t>P.H. Jagt</t>
  </si>
  <si>
    <t>v.o.f. J.C. Mulder</t>
  </si>
  <si>
    <t>M. Nottet</t>
  </si>
  <si>
    <t>mnottet@caiway.nl</t>
  </si>
  <si>
    <t>06-50502637</t>
  </si>
  <si>
    <t>NL60RABO0323282903</t>
  </si>
  <si>
    <t>P. van den Berg</t>
  </si>
  <si>
    <t>Piet van den Berg</t>
  </si>
  <si>
    <t>info@vandenbergdelier.nl</t>
  </si>
  <si>
    <t>06-38765032</t>
  </si>
  <si>
    <t>NL29ABNA0472271989</t>
  </si>
  <si>
    <t>De Rembrandt B.V.</t>
  </si>
  <si>
    <t>Flip van Adrichem</t>
  </si>
  <si>
    <t>flip@eetcafedewitte.nl</t>
  </si>
  <si>
    <t>06-41372342</t>
  </si>
  <si>
    <t>NL21RABO0156104105</t>
  </si>
  <si>
    <t>G. Hofland</t>
  </si>
  <si>
    <t>Goos Hofland</t>
  </si>
  <si>
    <t>goos@hoflandfloweringplants.nl</t>
  </si>
  <si>
    <t>0174-625887</t>
  </si>
  <si>
    <t>NL27RABO0343661063</t>
  </si>
  <si>
    <t>M.J.W. van den Enden &amp; B.M. van den Enden</t>
  </si>
  <si>
    <t>Barbara van den Enden</t>
  </si>
  <si>
    <t>endem3@caiway.nl</t>
  </si>
  <si>
    <t>06-51611737 Barbara / 06-54398790 Maup</t>
  </si>
  <si>
    <t>NL81INGB0112509347</t>
  </si>
  <si>
    <t>H. van Leeuwen</t>
  </si>
  <si>
    <t>Petra</t>
  </si>
  <si>
    <t>petra@huubvanleeuwen.nl</t>
  </si>
  <si>
    <t>06-51262904 / 0174-248804</t>
  </si>
  <si>
    <t>NL96RABO0375644504</t>
  </si>
  <si>
    <t>P.C. Vijverberg</t>
  </si>
  <si>
    <t>Piet Vijverberg</t>
  </si>
  <si>
    <t>piet@pietvijverberg.nl</t>
  </si>
  <si>
    <t>06-53299575</t>
  </si>
  <si>
    <t>NL95RABO0142277460</t>
  </si>
  <si>
    <t>S.A. van Bergen Vastgoed B.V.</t>
  </si>
  <si>
    <t>S.A. van Bergen</t>
  </si>
  <si>
    <t>bas.vanbergen@aubvanbergen.nl</t>
  </si>
  <si>
    <t>06-30412153</t>
  </si>
  <si>
    <t>NL11RABO0318502364</t>
  </si>
  <si>
    <t>F.A.S. van Bergen</t>
  </si>
  <si>
    <t>J. v. Bergen</t>
  </si>
  <si>
    <t>jetvbergen@gmail.com</t>
  </si>
  <si>
    <t>06-53739975</t>
  </si>
  <si>
    <t>NL44ABNA0620327766</t>
  </si>
  <si>
    <t>Stichting MCM</t>
  </si>
  <si>
    <t>NL39RABO0334435080</t>
  </si>
  <si>
    <t>Overzicht woningen RyanRent BV</t>
  </si>
  <si>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</si>
  <si>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</si>
  <si>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</si>
  <si>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</si>
  <si>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</si>
  <si>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</si>
  <si>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</si>
  <si>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</si>
  <si>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</si>
  <si>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Huurder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</si>
  <si>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</si>
  <si>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</si>
  <si>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</si>
  <si>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</si>
  <si>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</si>
  <si>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</si>
  <si>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</si>
  <si>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</si>
  <si>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</si>
  <si>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</si>
  <si>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</si>
  <si>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</si>
  <si>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</si>
  <si>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</si>
  <si>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</si>
  <si>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</si>
  <si>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</si>
  <si>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</si>
  <si>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</si>
  <si>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</si>
  <si>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</si>
  <si>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</si>
  <si>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</si>
  <si>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</si>
  <si>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</si>
  <si>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</si>
  <si>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Factuur</t>
  </si>
  <si>
    <t>1e Middellandstraat 104A</t>
  </si>
  <si>
    <t>3021BH</t>
  </si>
  <si>
    <t>Bakker</t>
  </si>
  <si>
    <t>0174-504792</t>
  </si>
  <si>
    <t>2e van Leydengaelstraat 6</t>
  </si>
  <si>
    <t>3134 LL</t>
  </si>
  <si>
    <t>DS</t>
  </si>
  <si>
    <t>2e Maasbosstraat 2 a</t>
  </si>
  <si>
    <t>3134XJ</t>
  </si>
  <si>
    <t>A.J. Maat</t>
  </si>
  <si>
    <t>2e Maasbosstraat 2 b</t>
  </si>
  <si>
    <t>2e Maasbosstraat 2 c</t>
  </si>
  <si>
    <t>Acacia 2</t>
  </si>
  <si>
    <t>3224EB</t>
  </si>
  <si>
    <t>United Homes</t>
  </si>
  <si>
    <t>06-23234296</t>
  </si>
  <si>
    <t>Achterdijk 47a</t>
  </si>
  <si>
    <t>4243 TM</t>
  </si>
  <si>
    <t>Nieuwland</t>
  </si>
  <si>
    <t>Dock Holland</t>
  </si>
  <si>
    <t xml:space="preserve"> </t>
  </si>
  <si>
    <t>06-12333496</t>
  </si>
  <si>
    <t>Adriaan Baasstraat 34</t>
  </si>
  <si>
    <t>7902HN</t>
  </si>
  <si>
    <t>06-12707279</t>
  </si>
  <si>
    <t>0341</t>
  </si>
  <si>
    <t xml:space="preserve">Akkerweg 41 [huis 10] </t>
  </si>
  <si>
    <t>1779GJ</t>
  </si>
  <si>
    <t>NL Realty</t>
  </si>
  <si>
    <t>06-4537722</t>
  </si>
  <si>
    <t>0372</t>
  </si>
  <si>
    <t xml:space="preserve">Akkerweg 41 [huis 11] </t>
  </si>
  <si>
    <t>Verhuisd naar huis 10</t>
  </si>
  <si>
    <t>Akkerweg 41 [huis 14]</t>
  </si>
  <si>
    <t>Terug naar eigenaar 31-12</t>
  </si>
  <si>
    <t>0294</t>
  </si>
  <si>
    <t xml:space="preserve">Akkerweg 41 [huis 15] 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</si>
  <si>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</si>
  <si>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</si>
  <si>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</si>
  <si>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</si>
  <si>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</si>
  <si>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</si>
  <si>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</si>
  <si>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0350</t>
  </si>
  <si>
    <t xml:space="preserve">Akkerweg 41 [huis 35] 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</si>
  <si>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</si>
  <si>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</si>
  <si>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</si>
  <si>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</si>
  <si>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</si>
  <si>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</si>
  <si>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</si>
  <si>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</si>
  <si>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</si>
  <si>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</si>
  <si>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</si>
  <si>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</si>
  <si>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</si>
  <si>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</si>
  <si>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</si>
  <si>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</si>
  <si>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</si>
  <si>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</si>
  <si>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</si>
  <si>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</si>
  <si>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</si>
  <si>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</si>
  <si>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</si>
  <si>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</si>
  <si>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</si>
  <si>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</si>
  <si>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0307</t>
  </si>
  <si>
    <t>Akkerweg 41 [huis 75]</t>
  </si>
  <si>
    <t>Allard Piersonlaan 142</t>
  </si>
  <si>
    <t>2522 MT</t>
  </si>
  <si>
    <t>Looije</t>
  </si>
  <si>
    <t>R. Paltan</t>
  </si>
  <si>
    <t>Amperelaan 23</t>
  </si>
  <si>
    <t>8451BW</t>
  </si>
  <si>
    <t>Oudeschoot</t>
  </si>
  <si>
    <t>06-22487252</t>
  </si>
  <si>
    <t>0135</t>
  </si>
  <si>
    <t>Amperestraat 36A</t>
  </si>
  <si>
    <t>3112MD</t>
  </si>
  <si>
    <t>Archimedesstraat 6B</t>
  </si>
  <si>
    <t>3112DB</t>
  </si>
  <si>
    <t>OBT</t>
  </si>
  <si>
    <t>06-20877085</t>
  </si>
  <si>
    <t>Baanhoek 139</t>
  </si>
  <si>
    <t>3361 GC</t>
  </si>
  <si>
    <t>Sliedrecht</t>
  </si>
  <si>
    <t>HousingWell</t>
  </si>
  <si>
    <t>06-22268830</t>
  </si>
  <si>
    <t>Baarlelaan 27</t>
  </si>
  <si>
    <t>7906GB</t>
  </si>
  <si>
    <t>Baarsveen 197</t>
  </si>
  <si>
    <t>3205 BB</t>
  </si>
  <si>
    <t>BBTS (Vastgoed Spijkenisse)</t>
  </si>
  <si>
    <t>06-53714776</t>
  </si>
  <si>
    <t>Beatrixstraat 3</t>
  </si>
  <si>
    <t>3181GA</t>
  </si>
  <si>
    <t>Impes Service</t>
  </si>
  <si>
    <t>Nieuw per 10-10-25</t>
  </si>
  <si>
    <t>0045-28180001</t>
  </si>
  <si>
    <t>5--5-2024</t>
  </si>
  <si>
    <t>Beeklaan 294</t>
  </si>
  <si>
    <t>2562AV</t>
  </si>
  <si>
    <t xml:space="preserve">Den Haag </t>
  </si>
  <si>
    <t>Bettingeslag 10</t>
  </si>
  <si>
    <t>7824HD</t>
  </si>
  <si>
    <t>CB Construction</t>
  </si>
  <si>
    <t>Gaat eruit 28-12</t>
  </si>
  <si>
    <t>06-40896047</t>
  </si>
  <si>
    <t>Beukenlaan 53</t>
  </si>
  <si>
    <t>3181XA</t>
  </si>
  <si>
    <t>Terug naar eigenaar per 31-12</t>
  </si>
  <si>
    <t>Bisschopstraat 68</t>
  </si>
  <si>
    <t>8325BD</t>
  </si>
  <si>
    <t>Vollenhove</t>
  </si>
  <si>
    <t>Werckpost</t>
  </si>
  <si>
    <t>06-10656043</t>
  </si>
  <si>
    <t>Bliek 41</t>
  </si>
  <si>
    <t>3225XB</t>
  </si>
  <si>
    <t>06-34970003</t>
  </si>
  <si>
    <t>Boogertstraat 5A</t>
  </si>
  <si>
    <t>3141VN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</si>
  <si>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</si>
  <si>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</si>
  <si>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</si>
  <si>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</si>
  <si>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</si>
  <si>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</si>
  <si>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</si>
  <si>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Nieuw per 21-11-2025</t>
  </si>
  <si>
    <t>06-41557847</t>
  </si>
  <si>
    <t>Bovendijk 59</t>
  </si>
  <si>
    <t>Kwintsheul</t>
  </si>
  <si>
    <t>Bovendijk 61</t>
  </si>
  <si>
    <t>Broekweg 25</t>
  </si>
  <si>
    <t>3131 HC</t>
  </si>
  <si>
    <t>Buizerdstraat 210</t>
  </si>
  <si>
    <t>3145 AD</t>
  </si>
  <si>
    <t>Burchstraat 16A</t>
  </si>
  <si>
    <t>4501 BJ</t>
  </si>
  <si>
    <t>Oostburg</t>
  </si>
  <si>
    <t>06-20061294</t>
  </si>
  <si>
    <t>Chopinstraat 33C</t>
  </si>
  <si>
    <t>In Stones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</si>
  <si>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</si>
  <si>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</si>
  <si>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</si>
  <si>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</si>
  <si>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</si>
  <si>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</si>
  <si>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</si>
  <si>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</si>
  <si>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</si>
  <si>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0167-745023</t>
  </si>
  <si>
    <t>Coehoorn van Scheltingaweg 12</t>
  </si>
  <si>
    <t>8442EX</t>
  </si>
  <si>
    <t>0512-541400</t>
  </si>
  <si>
    <t>Coehoorn van Scheltingaweg 66</t>
  </si>
  <si>
    <t>8442GA</t>
  </si>
  <si>
    <t>Cubalaan 25</t>
  </si>
  <si>
    <t>2685 LA</t>
  </si>
  <si>
    <t>06-19418327</t>
  </si>
  <si>
    <t xml:space="preserve">Curcumastraat 39 </t>
  </si>
  <si>
    <t>3193XA</t>
  </si>
  <si>
    <t>Hoogvliet</t>
  </si>
  <si>
    <t>OJP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</si>
  <si>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</si>
  <si>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</si>
  <si>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</si>
  <si>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</si>
  <si>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</si>
  <si>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</si>
  <si>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</si>
  <si>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</si>
  <si>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 xml:space="preserve">inhuur contract aanpassen </t>
  </si>
  <si>
    <t>Datheenstraat 255</t>
  </si>
  <si>
    <t>3132PG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</si>
  <si>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</si>
  <si>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</si>
  <si>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</si>
  <si>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</si>
  <si>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</si>
  <si>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</si>
  <si>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</si>
  <si>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085-1306475 / 06-16913859</t>
  </si>
  <si>
    <t xml:space="preserve">14 maanden </t>
  </si>
  <si>
    <t>1 maand</t>
  </si>
  <si>
    <t xml:space="preserve">eigenaar bellen + nieuwe contracten </t>
  </si>
  <si>
    <t>0371</t>
  </si>
  <si>
    <t>De Zwingel 8B</t>
  </si>
  <si>
    <t>4926DC</t>
  </si>
  <si>
    <t>Lage Zwaluwe</t>
  </si>
  <si>
    <t>nog invullen</t>
  </si>
  <si>
    <t>06-23368727 / 06-11270302</t>
  </si>
  <si>
    <t>Deensestraat 6A2</t>
  </si>
  <si>
    <t>3028GH</t>
  </si>
  <si>
    <t>Desiree Geerartstraat 1B</t>
  </si>
  <si>
    <t>5111CH</t>
  </si>
  <si>
    <t>Baarle-Nassau</t>
  </si>
  <si>
    <t>06-30085250</t>
  </si>
  <si>
    <t>0024</t>
  </si>
  <si>
    <t>Desiree Geerartstraat 1C</t>
  </si>
  <si>
    <t>Deugenweerd 18</t>
  </si>
  <si>
    <t>7271XT</t>
  </si>
  <si>
    <t>06-19914413</t>
  </si>
  <si>
    <t>8332BK</t>
  </si>
  <si>
    <t xml:space="preserve">Steenwijk </t>
  </si>
  <si>
    <t>Kapitan workers</t>
  </si>
  <si>
    <t>Nieuw per 04-10-2025</t>
  </si>
  <si>
    <t>06-51117154 / 06-27036919</t>
  </si>
  <si>
    <t xml:space="preserve">Donze visserstraat </t>
  </si>
  <si>
    <t>4531BA</t>
  </si>
  <si>
    <t>Terneuzen</t>
  </si>
  <si>
    <t>Nieuw per 15-12-2025</t>
  </si>
  <si>
    <t>Dorpsstraat 48</t>
  </si>
  <si>
    <t>2445AN</t>
  </si>
  <si>
    <t>Aarlanderveen</t>
  </si>
  <si>
    <t>terug naar eigenaar 03-10-2025</t>
  </si>
  <si>
    <t>0297-389680</t>
  </si>
  <si>
    <t>Dorpsstraat 73</t>
  </si>
  <si>
    <t>2841 BH</t>
  </si>
  <si>
    <t xml:space="preserve">Dwarsweg 44 </t>
  </si>
  <si>
    <t>3181HG</t>
  </si>
  <si>
    <t xml:space="preserve">Impianti Industriala S.P.A.  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</si>
  <si>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</si>
  <si>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</si>
  <si>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</si>
  <si>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</si>
  <si>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</si>
  <si>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</si>
  <si>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aanbieden per 1-8</t>
  </si>
  <si>
    <t>Elisadonk 220</t>
  </si>
  <si>
    <t>4707ER</t>
  </si>
  <si>
    <t>06-57885442</t>
  </si>
  <si>
    <t>Energieweg 40</t>
  </si>
  <si>
    <t>3133EC</t>
  </si>
  <si>
    <t>Engelsestraat 16L1</t>
  </si>
  <si>
    <t>3028CG</t>
  </si>
  <si>
    <t>Engelsestraat 16L3</t>
  </si>
  <si>
    <t>Enk 6</t>
  </si>
  <si>
    <t>7621ES</t>
  </si>
  <si>
    <t>Borne</t>
  </si>
  <si>
    <t>-</t>
  </si>
  <si>
    <t>Lago perseelshuisvesting</t>
  </si>
  <si>
    <t>06-28555669</t>
  </si>
  <si>
    <t>Enschotsestraat 163</t>
  </si>
  <si>
    <t>5014 DD</t>
  </si>
  <si>
    <t>Optima</t>
  </si>
  <si>
    <t xml:space="preserve">Esdoornlaan 68 </t>
  </si>
  <si>
    <t>3181XD</t>
  </si>
  <si>
    <t>06-24555909</t>
  </si>
  <si>
    <t xml:space="preserve">1 maand </t>
  </si>
  <si>
    <t xml:space="preserve">3 maanden </t>
  </si>
  <si>
    <t>3 kalendermaand</t>
  </si>
  <si>
    <t>M. van Os</t>
  </si>
  <si>
    <t>Europalaan 50</t>
  </si>
  <si>
    <t>Sas van Gent</t>
  </si>
  <si>
    <t>All In Rentals</t>
  </si>
  <si>
    <t>085-0606351</t>
  </si>
  <si>
    <t>Flankstraat 11</t>
  </si>
  <si>
    <t>4551AR</t>
  </si>
  <si>
    <t>06-22146488</t>
  </si>
  <si>
    <t>Franz Liszstraat 5</t>
  </si>
  <si>
    <t>4536EA</t>
  </si>
  <si>
    <t>085-0441816</t>
  </si>
  <si>
    <t>G.A. Brederolaan 75B</t>
  </si>
  <si>
    <t>3141 CD</t>
  </si>
  <si>
    <t>Galgeweg 48A</t>
  </si>
  <si>
    <t>s-Gravenzande</t>
  </si>
  <si>
    <t>THEM</t>
  </si>
  <si>
    <t>Geldersestraat 91</t>
  </si>
  <si>
    <t>4191BB</t>
  </si>
  <si>
    <t>06-23666051</t>
  </si>
  <si>
    <t>Geleenstraat 1</t>
  </si>
  <si>
    <t xml:space="preserve">6133XK </t>
  </si>
  <si>
    <t>06-29862823</t>
  </si>
  <si>
    <t>Goudestein 30</t>
  </si>
  <si>
    <t>3085 DB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</si>
  <si>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</si>
  <si>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</si>
  <si>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</si>
  <si>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</si>
  <si>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</si>
  <si>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</si>
  <si>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</si>
  <si>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</si>
  <si>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</si>
  <si>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</si>
  <si>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</si>
  <si>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</si>
  <si>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</si>
  <si>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</si>
  <si>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</si>
  <si>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</si>
  <si>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</si>
  <si>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035-5335822 / 06-53253144</t>
  </si>
  <si>
    <t>Hendrik Deddenstraat 26</t>
  </si>
  <si>
    <t>8395PX</t>
  </si>
  <si>
    <t>Steggerda</t>
  </si>
  <si>
    <t>06-20498826</t>
  </si>
  <si>
    <t>Hendriklaan 49</t>
  </si>
  <si>
    <t>6043 BN</t>
  </si>
  <si>
    <t>06-47075677</t>
  </si>
  <si>
    <t xml:space="preserve">Herautpad 22 </t>
  </si>
  <si>
    <t>Herenpad 20A</t>
  </si>
  <si>
    <t>3111 LP</t>
  </si>
  <si>
    <t>010-2477477</t>
  </si>
  <si>
    <t>Hoefslag 8</t>
  </si>
  <si>
    <t>8391BJ</t>
  </si>
  <si>
    <t>Noordwolde</t>
  </si>
  <si>
    <t>Hogenbanweg 331</t>
  </si>
  <si>
    <t>3112 CK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</si>
  <si>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</si>
  <si>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</si>
  <si>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</si>
  <si>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</si>
  <si>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</si>
  <si>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</si>
  <si>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073-2089102 / 06-33886674</t>
  </si>
  <si>
    <t xml:space="preserve">4 maanden </t>
  </si>
  <si>
    <t xml:space="preserve">facturatie checken + 2 man GHS </t>
  </si>
  <si>
    <t>Hooizolder 6</t>
  </si>
  <si>
    <t>9205 CA</t>
  </si>
  <si>
    <t>Hugo de Grootstraat 72A&amp;B</t>
  </si>
  <si>
    <t>2518 EG</t>
  </si>
  <si>
    <t>per 1-8 GWE op eigen naam</t>
  </si>
  <si>
    <t>Risa Beheer</t>
  </si>
  <si>
    <t>Industriestraat 9</t>
  </si>
  <si>
    <t>5107NC</t>
  </si>
  <si>
    <t>Dongen</t>
  </si>
  <si>
    <t>06-22949577</t>
  </si>
  <si>
    <t>Inundatiestraat 3</t>
  </si>
  <si>
    <t>4551VE</t>
  </si>
  <si>
    <t>RNDV</t>
  </si>
  <si>
    <t>06-25053339</t>
  </si>
  <si>
    <t>Jacob van Lennepstraat 13 A</t>
  </si>
  <si>
    <t>3117SH</t>
  </si>
  <si>
    <t>Kolpa VVS</t>
  </si>
  <si>
    <t>Jacob van Lennepstraat 13 B</t>
  </si>
  <si>
    <t>Jasmijnring 37</t>
  </si>
  <si>
    <t>4881HT</t>
  </si>
  <si>
    <t>Zundert</t>
  </si>
  <si>
    <t>Johan Willen Frisostraat 36</t>
  </si>
  <si>
    <t>8606CW</t>
  </si>
  <si>
    <t>Team Home Rentals</t>
  </si>
  <si>
    <t>06-13658480</t>
  </si>
  <si>
    <t>Kanaal van Steenenhoek Z.Z. 10</t>
  </si>
  <si>
    <t>4202LS</t>
  </si>
  <si>
    <t>Kapershoek 11</t>
  </si>
  <si>
    <t>3085ED</t>
  </si>
  <si>
    <t>Nieuw per 12-12-25</t>
  </si>
  <si>
    <t>Jes Funding en Beheer</t>
  </si>
  <si>
    <t>06-54615625</t>
  </si>
  <si>
    <t>Kastanjelaan 232</t>
  </si>
  <si>
    <t>4621HM</t>
  </si>
  <si>
    <t>Bergen op Zoom</t>
  </si>
  <si>
    <t>PRP Solutions Flex Sp. Z.O.O.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</si>
  <si>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</si>
  <si>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</si>
  <si>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</si>
  <si>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</si>
  <si>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</si>
  <si>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</si>
  <si>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</si>
  <si>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06-52310895 / 06-57552917</t>
  </si>
  <si>
    <t xml:space="preserve">eenmans </t>
  </si>
  <si>
    <t>0308</t>
  </si>
  <si>
    <t>Kerkweg 9a [huis 135]</t>
  </si>
  <si>
    <t>1711RR</t>
  </si>
  <si>
    <t>06-11068727</t>
  </si>
  <si>
    <t>0309</t>
  </si>
  <si>
    <t>Kerkweg 9a [huis 137]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</si>
  <si>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</si>
  <si>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</si>
  <si>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</si>
  <si>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</si>
  <si>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</si>
  <si>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</si>
  <si>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</si>
  <si>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</si>
  <si>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</si>
  <si>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</si>
  <si>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</si>
  <si>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</si>
  <si>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</si>
  <si>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</si>
  <si>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</si>
  <si>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</si>
  <si>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</si>
  <si>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</si>
  <si>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</si>
  <si>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</si>
  <si>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</si>
  <si>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</si>
  <si>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</si>
  <si>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</si>
  <si>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</si>
  <si>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</si>
  <si>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</si>
  <si>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</si>
  <si>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</si>
  <si>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</si>
  <si>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</si>
  <si>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</si>
  <si>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</si>
  <si>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</si>
  <si>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</si>
  <si>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</si>
  <si>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</si>
  <si>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</si>
  <si>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</si>
  <si>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</si>
  <si>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</si>
  <si>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</si>
  <si>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</si>
  <si>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0333</t>
  </si>
  <si>
    <t>Kethelweg 66D</t>
  </si>
  <si>
    <t>Kethelweg 68A</t>
  </si>
  <si>
    <t>Kierkegaardhof 54</t>
  </si>
  <si>
    <t>1277 AL</t>
  </si>
  <si>
    <t>Estra Logistics Systems</t>
  </si>
  <si>
    <t>Nieuw per 14-11</t>
  </si>
  <si>
    <t>06-11781973</t>
  </si>
  <si>
    <t>Kimbrenoord 15</t>
  </si>
  <si>
    <t>3079 KC</t>
  </si>
  <si>
    <t>Kimbrenoord 49</t>
  </si>
  <si>
    <t>06-11660085</t>
  </si>
  <si>
    <t>Kleine Beer 60</t>
  </si>
  <si>
    <t>7904 LV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</si>
  <si>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</si>
  <si>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</si>
  <si>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</si>
  <si>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</si>
  <si>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</si>
  <si>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</si>
  <si>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</si>
  <si>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</si>
  <si>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</si>
  <si>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</si>
  <si>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</si>
  <si>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</si>
  <si>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</si>
  <si>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</si>
  <si>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</si>
  <si>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</si>
  <si>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</si>
  <si>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</si>
  <si>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</si>
  <si>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</si>
  <si>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</si>
  <si>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</si>
  <si>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</si>
  <si>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</si>
  <si>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</si>
  <si>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</si>
  <si>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</si>
  <si>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</si>
  <si>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</si>
  <si>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</si>
  <si>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</si>
  <si>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</si>
  <si>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</si>
  <si>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06-53525041</t>
  </si>
  <si>
    <t xml:space="preserve">onbepaalde tijd </t>
  </si>
  <si>
    <t xml:space="preserve">36 maanden </t>
  </si>
  <si>
    <t>Geen get. Contract</t>
  </si>
  <si>
    <t xml:space="preserve">BHR contacteren </t>
  </si>
  <si>
    <t xml:space="preserve">3181AM </t>
  </si>
  <si>
    <t>651930527</t>
  </si>
  <si>
    <t>7908 BC</t>
  </si>
  <si>
    <t>Lange Brink 3</t>
  </si>
  <si>
    <t>8315AH</t>
  </si>
  <si>
    <t>Luttelgeest</t>
  </si>
  <si>
    <t>06-16004237</t>
  </si>
  <si>
    <t>Lange kruisweg 12</t>
  </si>
  <si>
    <t>2676 BL</t>
  </si>
  <si>
    <t>Lavendelpad 6</t>
  </si>
  <si>
    <t>S-GRAVENZANDE</t>
  </si>
  <si>
    <t>Flexvesting</t>
  </si>
  <si>
    <t>06-58995200</t>
  </si>
  <si>
    <t>Lorentzstraat 73</t>
  </si>
  <si>
    <t>Caner Duman</t>
  </si>
  <si>
    <t>Maasdijk 206</t>
  </si>
  <si>
    <t>Gebr. Van der Voort</t>
  </si>
  <si>
    <t>06-53332887</t>
  </si>
  <si>
    <t>Madeliefstraat 46C</t>
  </si>
  <si>
    <t>3083TJ</t>
  </si>
  <si>
    <t>06-20940262</t>
  </si>
  <si>
    <t>Marathonlaan 26</t>
  </si>
  <si>
    <t>2807BB</t>
  </si>
  <si>
    <t>Gouda</t>
  </si>
  <si>
    <t>Marnixstraat 32</t>
  </si>
  <si>
    <t>7553LC</t>
  </si>
  <si>
    <t>Hengelo</t>
  </si>
  <si>
    <t xml:space="preserve">Flexvesting </t>
  </si>
  <si>
    <t>06-16700180</t>
  </si>
  <si>
    <t>Mathenesserdijk 261 C03</t>
  </si>
  <si>
    <t>3027AK</t>
  </si>
  <si>
    <t>Meester G. Groen van Prinsterlaan 313</t>
  </si>
  <si>
    <t>1181TV</t>
  </si>
  <si>
    <t>06-42186940</t>
  </si>
  <si>
    <t>Melis Stokezijde 94</t>
  </si>
  <si>
    <t>2543GG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</si>
  <si>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</si>
  <si>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</si>
  <si>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</si>
  <si>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</si>
  <si>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</si>
  <si>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</si>
  <si>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</si>
  <si>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</si>
  <si>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</si>
  <si>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</si>
  <si>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</si>
  <si>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</si>
  <si>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</si>
  <si>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</si>
  <si>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</si>
  <si>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</si>
  <si>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</si>
  <si>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</t>
  </si>
  <si>
    <t>Middenbaan Noord 22B</t>
  </si>
  <si>
    <t xml:space="preserve">Middenbaan Noord 22C </t>
  </si>
  <si>
    <t>Middelrode 8</t>
  </si>
  <si>
    <t>3085CR</t>
  </si>
  <si>
    <t>Miltonstraat 55</t>
  </si>
  <si>
    <t>3076TG</t>
  </si>
  <si>
    <t>Molenstraat 10</t>
  </si>
  <si>
    <t>WM. Vd Haak Beheer</t>
  </si>
  <si>
    <t>Molenstraat 23</t>
  </si>
  <si>
    <t>Molendijk 4</t>
  </si>
  <si>
    <t>3255AL</t>
  </si>
  <si>
    <t>Oude-Tonge</t>
  </si>
  <si>
    <t>06-53542455</t>
  </si>
  <si>
    <t>Molenweg 135</t>
  </si>
  <si>
    <t>3181AW</t>
  </si>
  <si>
    <t>06-29214204</t>
  </si>
  <si>
    <t>Moureauveld 8</t>
  </si>
  <si>
    <t>4702MA</t>
  </si>
  <si>
    <t>Nieuw per 05-12</t>
  </si>
  <si>
    <t>Mr. Troelstrastraat 37</t>
  </si>
  <si>
    <t>3131 HR</t>
  </si>
  <si>
    <t>0103</t>
  </si>
  <si>
    <t>Narcissenstraat 23</t>
  </si>
  <si>
    <t>3181 WT</t>
  </si>
  <si>
    <t>Narcissenstraat 37</t>
  </si>
  <si>
    <t>3181WT</t>
  </si>
  <si>
    <t>06-50128055</t>
  </si>
  <si>
    <t xml:space="preserve">0 maanden </t>
  </si>
  <si>
    <t>Narcissenstraat 9</t>
  </si>
  <si>
    <t>aanbieden 1-7</t>
  </si>
  <si>
    <t>Nieuwenhoornstraat 46B</t>
  </si>
  <si>
    <t>3082 VJ</t>
  </si>
  <si>
    <t>UAB Techsoma</t>
  </si>
  <si>
    <t>06-41657315</t>
  </si>
  <si>
    <t>0166</t>
  </si>
  <si>
    <t>Nieuwkerkstraat 78</t>
  </si>
  <si>
    <t>3311TK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</si>
  <si>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</si>
  <si>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</si>
  <si>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</si>
  <si>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</si>
  <si>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</si>
  <si>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</si>
  <si>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</si>
  <si>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</si>
  <si>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</si>
  <si>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</si>
  <si>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</si>
  <si>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</si>
  <si>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</si>
  <si>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</si>
  <si>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</si>
  <si>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</si>
  <si>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</si>
  <si>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</si>
  <si>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</si>
  <si>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</si>
  <si>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</si>
  <si>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</si>
  <si>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</si>
  <si>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</si>
  <si>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</si>
  <si>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</si>
  <si>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0623219973</t>
  </si>
  <si>
    <t>Oudewerfslaan 84</t>
  </si>
  <si>
    <t>9675 EW</t>
  </si>
  <si>
    <t>Winschoten</t>
  </si>
  <si>
    <t>06-54272321</t>
  </si>
  <si>
    <t>Parallelweg 98B</t>
  </si>
  <si>
    <t>Ceysun Akbasogla</t>
  </si>
  <si>
    <t>Parallelweg 110A</t>
  </si>
  <si>
    <t>3131 DK</t>
  </si>
  <si>
    <t>Parallelweg 114C</t>
  </si>
  <si>
    <t>3131DL</t>
  </si>
  <si>
    <t>Parallelweg 134B</t>
  </si>
  <si>
    <t>Pasteursingel 61</t>
  </si>
  <si>
    <t>Direct-Housing BV</t>
  </si>
  <si>
    <t>0344</t>
  </si>
  <si>
    <t>Pastoor Gilisstraat 81-A</t>
  </si>
  <si>
    <t>5121CC</t>
  </si>
  <si>
    <t>Rijen</t>
  </si>
  <si>
    <t>3353AZ</t>
  </si>
  <si>
    <t>06-14901449</t>
  </si>
  <si>
    <t>Persoonsdam 176</t>
  </si>
  <si>
    <t>3071EE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</si>
  <si>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</si>
  <si>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</si>
  <si>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</si>
  <si>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</si>
  <si>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</si>
  <si>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</si>
  <si>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</si>
  <si>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</si>
  <si>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</si>
  <si>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</t>
  </si>
  <si>
    <t>Eruit 17-1</t>
  </si>
  <si>
    <t>Persoonsdam 198</t>
  </si>
  <si>
    <t>Peursumseweg 119A</t>
  </si>
  <si>
    <t>3381 KV</t>
  </si>
  <si>
    <t>Flextalent4u</t>
  </si>
  <si>
    <t>Piersonstraat 8</t>
  </si>
  <si>
    <t>3119RG</t>
  </si>
  <si>
    <t>Nieuw per 19-12-25</t>
  </si>
  <si>
    <t>06-51128328</t>
  </si>
  <si>
    <t>nieuw contract</t>
  </si>
  <si>
    <t>0120</t>
  </si>
  <si>
    <t>Plaats 10</t>
  </si>
  <si>
    <t>3417EC</t>
  </si>
  <si>
    <t>Platostraat 80</t>
  </si>
  <si>
    <t>3076BP</t>
  </si>
  <si>
    <t>Pleinweg 101a</t>
  </si>
  <si>
    <t>3081JH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</si>
  <si>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</si>
  <si>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</si>
  <si>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</si>
  <si>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</si>
  <si>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</si>
  <si>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</si>
  <si>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</si>
  <si>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</si>
  <si>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06-44332993</t>
  </si>
  <si>
    <t>Poppestraat 59</t>
  </si>
  <si>
    <t>4711EW</t>
  </si>
  <si>
    <t>St. Willebrord</t>
  </si>
  <si>
    <t>088-7009901 / 06-81128792</t>
  </si>
  <si>
    <t>Professor Kamerlingh Onneslaan 134A</t>
  </si>
  <si>
    <t>3112 VL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</si>
  <si>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</si>
  <si>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</si>
  <si>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</si>
  <si>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</si>
  <si>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</si>
  <si>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</si>
  <si>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</si>
  <si>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</si>
  <si>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</si>
  <si>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06-17054156</t>
  </si>
  <si>
    <t>Prunuslaan 36</t>
  </si>
  <si>
    <t>9944AT</t>
  </si>
  <si>
    <t>Nieuwolda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</si>
  <si>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</si>
  <si>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</si>
  <si>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</si>
  <si>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</si>
  <si>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</si>
  <si>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aanbieden per 1-7</t>
  </si>
  <si>
    <t xml:space="preserve">VH contract gemaild </t>
  </si>
  <si>
    <t>Punter 22 34</t>
  </si>
  <si>
    <t>8242DT</t>
  </si>
  <si>
    <t>Putter 42</t>
  </si>
  <si>
    <t>4872 PB</t>
  </si>
  <si>
    <t>Rembrandtstraat 20B</t>
  </si>
  <si>
    <t>WM vd Haak beheer</t>
  </si>
  <si>
    <t>Ringbaan Oost 327</t>
  </si>
  <si>
    <t>5014 GG</t>
  </si>
  <si>
    <t>06-38641646</t>
  </si>
  <si>
    <t>Rivierdijk 793</t>
  </si>
  <si>
    <t>3371EM</t>
  </si>
  <si>
    <t>Hardinxveld - Giessendam</t>
  </si>
  <si>
    <t>06-53700528</t>
  </si>
  <si>
    <t>Rivierdijk 794</t>
  </si>
  <si>
    <t>Rooseveltlaan 185</t>
  </si>
  <si>
    <t>4624DM</t>
  </si>
  <si>
    <t>N2 People</t>
  </si>
  <si>
    <t>Nieuw per 7-11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</si>
  <si>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</si>
  <si>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</si>
  <si>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</si>
  <si>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</si>
  <si>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</si>
  <si>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</si>
  <si>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</si>
  <si>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</si>
  <si>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</si>
  <si>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</si>
  <si>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</si>
  <si>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</si>
  <si>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06-39495916</t>
  </si>
  <si>
    <t>Scheepjesbrug 814</t>
  </si>
  <si>
    <t>Eruit per 31-12</t>
  </si>
  <si>
    <t>Schoonegge 110</t>
  </si>
  <si>
    <t>3085CZ</t>
  </si>
  <si>
    <t>S.H.M. de Swart</t>
  </si>
  <si>
    <t>Sint-Annalandstraat 116</t>
  </si>
  <si>
    <t>3086TG</t>
  </si>
  <si>
    <t>Sint Josephstraat 61</t>
  </si>
  <si>
    <t>5017GD</t>
  </si>
  <si>
    <t>Welcome Housing BV</t>
  </si>
  <si>
    <t>Sint Liduinastraat 80A</t>
  </si>
  <si>
    <t>3117CV</t>
  </si>
  <si>
    <t>Pactum Vastgoed</t>
  </si>
  <si>
    <t>0152131170</t>
  </si>
  <si>
    <t>Snecanusstraat 12</t>
  </si>
  <si>
    <t>8607BK</t>
  </si>
  <si>
    <t>Snoekenveen 242</t>
  </si>
  <si>
    <t>3205CN</t>
  </si>
  <si>
    <t>United homes</t>
  </si>
  <si>
    <t>overleg Sjoerd</t>
  </si>
  <si>
    <t>Stal 355</t>
  </si>
  <si>
    <t>9205AN</t>
  </si>
  <si>
    <t xml:space="preserve">Drachten </t>
  </si>
  <si>
    <t>06-31641070</t>
  </si>
  <si>
    <t>Steenen Dijck 87</t>
  </si>
  <si>
    <t>3146 BX</t>
  </si>
  <si>
    <t>06-82855000</t>
  </si>
  <si>
    <t>Struitenweg 19b</t>
  </si>
  <si>
    <t>3082WP</t>
  </si>
  <si>
    <t>06-10147431</t>
  </si>
  <si>
    <t>Tesselschadelaan 45</t>
  </si>
  <si>
    <t>4707CJ</t>
  </si>
  <si>
    <t>06-55500307</t>
  </si>
  <si>
    <t xml:space="preserve">6 maanden 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</si>
  <si>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</si>
  <si>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</si>
  <si>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</si>
  <si>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</si>
  <si>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</si>
  <si>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</si>
  <si>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06-46212928</t>
  </si>
  <si>
    <t>Vaartweg 106C</t>
  </si>
  <si>
    <t>3131 HV</t>
  </si>
  <si>
    <t>Eigenaar erste contract</t>
  </si>
  <si>
    <t>van der Werffstraat 166</t>
  </si>
  <si>
    <t>3132WG</t>
  </si>
  <si>
    <t>In stones</t>
  </si>
  <si>
    <t>Van Langedonckstraat 80</t>
  </si>
  <si>
    <t>3076 SM</t>
  </si>
  <si>
    <t>Van Maanenstraat 14A</t>
  </si>
  <si>
    <t>3038 CZ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</si>
  <si>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</si>
  <si>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</si>
  <si>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</si>
  <si>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</si>
  <si>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</si>
  <si>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</si>
  <si>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</si>
  <si>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</si>
  <si>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</si>
  <si>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</si>
  <si>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</si>
  <si>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</si>
  <si>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</si>
  <si>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</si>
  <si>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06-31077111</t>
  </si>
  <si>
    <t xml:space="preserve">Verschansing 21 </t>
  </si>
  <si>
    <t>3181NG</t>
  </si>
  <si>
    <t>Vierambachtsstraat 32-B01</t>
  </si>
  <si>
    <t>3023AN</t>
  </si>
  <si>
    <t>Eruit per 08-01</t>
  </si>
  <si>
    <t>Visartstraat 31</t>
  </si>
  <si>
    <t>4541BA</t>
  </si>
  <si>
    <t xml:space="preserve">Sluiskil </t>
  </si>
  <si>
    <t>B. Verstegen &amp; K. Maas</t>
  </si>
  <si>
    <t>06-58852569</t>
  </si>
  <si>
    <t>Vogelschorstraat 24</t>
  </si>
  <si>
    <t>4541AZ</t>
  </si>
  <si>
    <t>Sluiskil</t>
  </si>
  <si>
    <t>06-20805474</t>
  </si>
  <si>
    <t>Voorstraat 10</t>
  </si>
  <si>
    <t>3255AX</t>
  </si>
  <si>
    <t>Voorstraat 25</t>
  </si>
  <si>
    <t>3135HV</t>
  </si>
  <si>
    <t>A-0121</t>
  </si>
  <si>
    <t>Waterstraat 4</t>
  </si>
  <si>
    <t>Delfzijl</t>
  </si>
  <si>
    <t>PRMD</t>
  </si>
  <si>
    <t>Wedderweg 3A</t>
  </si>
  <si>
    <t>9699 RA</t>
  </si>
  <si>
    <t>Vriescheloo</t>
  </si>
  <si>
    <t>Eruit per 31-10</t>
  </si>
  <si>
    <t>A-0108</t>
  </si>
  <si>
    <t>Westendorpweg 13</t>
  </si>
  <si>
    <t>Losdorp</t>
  </si>
  <si>
    <t>0138</t>
  </si>
  <si>
    <t>Westercluft</t>
  </si>
  <si>
    <t>8332 AH</t>
  </si>
  <si>
    <t>06-24524308</t>
  </si>
  <si>
    <t>0139</t>
  </si>
  <si>
    <t>Westfrankelandsestraat 106</t>
  </si>
  <si>
    <t>3117 AW</t>
  </si>
  <si>
    <t>Westfrankelandsestraat 108B</t>
  </si>
  <si>
    <t>Wieldraaierstraat 39</t>
  </si>
  <si>
    <t>4204EW</t>
  </si>
  <si>
    <t>Wijdstraat 13</t>
  </si>
  <si>
    <t>3421 AJ</t>
  </si>
  <si>
    <t>Wijngaard 66</t>
  </si>
  <si>
    <t>8212 CD</t>
  </si>
  <si>
    <t>Nieuw per 16-01-2026</t>
  </si>
  <si>
    <t xml:space="preserve">Wilgensingel 63 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</si>
  <si>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</si>
  <si>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</si>
  <si>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</si>
  <si>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</si>
  <si>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</si>
  <si>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</si>
  <si>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06 29 38 61 34</t>
  </si>
  <si>
    <t>7741 RM</t>
  </si>
  <si>
    <t>29-2-25</t>
  </si>
  <si>
    <t>06-22187382</t>
  </si>
  <si>
    <t>Wilhelminastraat 8</t>
  </si>
  <si>
    <t>4696 BS</t>
  </si>
  <si>
    <t>Stavenisse</t>
  </si>
  <si>
    <t xml:space="preserve">088-7009901 </t>
  </si>
  <si>
    <t>Willem Lodewijkstraat 8</t>
  </si>
  <si>
    <t>8801EL</t>
  </si>
  <si>
    <t>085-1306475 / 06-42722586</t>
  </si>
  <si>
    <t>Woutersweg 20</t>
  </si>
  <si>
    <t>Wouwbaan 230</t>
  </si>
  <si>
    <t>4703TA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</si>
  <si>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</si>
  <si>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</si>
  <si>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</si>
  <si>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</si>
  <si>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</si>
  <si>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</si>
  <si>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</si>
  <si>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</si>
  <si>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</si>
  <si>
    <t xml:space="preserve"> (nieuw per 17-05)</t>
  </si>
  <si>
    <t>I-Housing Vastgoed Beheer B.V.</t>
  </si>
  <si>
    <t>relatie_id</t>
  </si>
  <si>
    <t>relatie</t>
  </si>
  <si>
    <t>0388</t>
  </si>
  <si>
    <t>0022</t>
  </si>
  <si>
    <t>0148</t>
  </si>
  <si>
    <t>0149</t>
  </si>
  <si>
    <t>0150</t>
  </si>
  <si>
    <t>0003</t>
  </si>
  <si>
    <t>0190</t>
  </si>
  <si>
    <t>0007</t>
  </si>
  <si>
    <t>0293</t>
  </si>
  <si>
    <t>0002</t>
  </si>
  <si>
    <t>0043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</si>
  <si>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</si>
  <si>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</si>
  <si>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</si>
  <si>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</si>
  <si>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</si>
  <si>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</si>
  <si>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</si>
  <si>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</si>
  <si>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</si>
  <si>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</si>
  <si>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0397</t>
  </si>
  <si>
    <t>0398</t>
  </si>
  <si>
    <t>0049</t>
  </si>
  <si>
    <t>0280</t>
  </si>
  <si>
    <t>0281</t>
  </si>
  <si>
    <t>0004</t>
  </si>
  <si>
    <t>0027</t>
  </si>
  <si>
    <t>0097</t>
  </si>
  <si>
    <t>0160</t>
  </si>
  <si>
    <t>0026</t>
  </si>
  <si>
    <t>0370</t>
  </si>
  <si>
    <t>0051</t>
  </si>
  <si>
    <t>0052</t>
  </si>
  <si>
    <t>0375</t>
  </si>
  <si>
    <t>0053</t>
  </si>
  <si>
    <t>0151</t>
  </si>
  <si>
    <t>0165</t>
  </si>
  <si>
    <t>0056</t>
  </si>
  <si>
    <t>0153</t>
  </si>
  <si>
    <t>0023</t>
  </si>
  <si>
    <t>0058</t>
  </si>
  <si>
    <t>0059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</si>
  <si>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</si>
  <si>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</si>
  <si>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</si>
  <si>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</si>
  <si>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</si>
  <si>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</si>
  <si>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</si>
  <si>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</si>
  <si>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</si>
  <si>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</si>
  <si>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</si>
  <si>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</si>
  <si>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</si>
  <si>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</si>
  <si>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</si>
  <si>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</si>
  <si>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</si>
  <si>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0396</t>
  </si>
  <si>
    <t>0072</t>
  </si>
  <si>
    <t>0073</t>
  </si>
  <si>
    <t>0325</t>
  </si>
  <si>
    <t>0176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</si>
  <si>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</si>
  <si>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</si>
  <si>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</si>
  <si>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</si>
  <si>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</si>
  <si>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</si>
  <si>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</si>
  <si>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</si>
  <si>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</si>
  <si>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0187</t>
  </si>
  <si>
    <t>0188</t>
  </si>
  <si>
    <t>0087</t>
  </si>
  <si>
    <t>0146</t>
  </si>
  <si>
    <t>0082</t>
  </si>
  <si>
    <t>0193</t>
  </si>
  <si>
    <t>0159</t>
  </si>
  <si>
    <t>0084</t>
  </si>
  <si>
    <t>0199</t>
  </si>
  <si>
    <t>0010</t>
  </si>
  <si>
    <t>0011</t>
  </si>
  <si>
    <t>0088</t>
  </si>
  <si>
    <t>0033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</si>
  <si>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</si>
  <si>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</si>
  <si>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</si>
  <si>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</si>
  <si>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</si>
  <si>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</si>
  <si>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</si>
  <si>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</si>
  <si>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0205</t>
  </si>
  <si>
    <t>0389</t>
  </si>
  <si>
    <t>0206</t>
  </si>
  <si>
    <t>0360</t>
  </si>
  <si>
    <t>0337</t>
  </si>
  <si>
    <t>0382</t>
  </si>
  <si>
    <t>0207</t>
  </si>
  <si>
    <t>0365</t>
  </si>
  <si>
    <t>0090</t>
  </si>
  <si>
    <t>0185</t>
  </si>
  <si>
    <t>0091</t>
  </si>
  <si>
    <t>0092</t>
  </si>
  <si>
    <t>0028</t>
  </si>
  <si>
    <t>0385</t>
  </si>
  <si>
    <t>0210</t>
  </si>
  <si>
    <t>0211</t>
  </si>
  <si>
    <t>0029</t>
  </si>
  <si>
    <t>0118</t>
  </si>
  <si>
    <t>0323</t>
  </si>
  <si>
    <t>0184</t>
  </si>
  <si>
    <t>0018</t>
  </si>
  <si>
    <t>0098</t>
  </si>
  <si>
    <t/>
  </si>
  <si>
    <t>0035</t>
  </si>
  <si>
    <t>0036</t>
  </si>
  <si>
    <t>0074</t>
  </si>
  <si>
    <t>0252</t>
  </si>
  <si>
    <t>0253</t>
  </si>
  <si>
    <t>0254</t>
  </si>
  <si>
    <t>0255</t>
  </si>
  <si>
    <t>0256</t>
  </si>
  <si>
    <t>0257</t>
  </si>
  <si>
    <t>0258</t>
  </si>
  <si>
    <t>0259</t>
  </si>
  <si>
    <t>0217</t>
  </si>
  <si>
    <t>0219</t>
  </si>
  <si>
    <t>0221</t>
  </si>
  <si>
    <t>0222</t>
  </si>
  <si>
    <t>0076</t>
  </si>
  <si>
    <t>0100</t>
  </si>
  <si>
    <t>0101</t>
  </si>
  <si>
    <t>0020</t>
  </si>
  <si>
    <t>0104</t>
  </si>
  <si>
    <t>0102</t>
  </si>
  <si>
    <t>0046</t>
  </si>
  <si>
    <t>0328</t>
  </si>
  <si>
    <t>0329</t>
  </si>
  <si>
    <t>0330</t>
  </si>
  <si>
    <t>0001</t>
  </si>
  <si>
    <t>0336</t>
  </si>
  <si>
    <t>0227</t>
  </si>
  <si>
    <t>0110</t>
  </si>
  <si>
    <t>0112</t>
  </si>
  <si>
    <t>0042</t>
  </si>
  <si>
    <t>0380</t>
  </si>
  <si>
    <t>0381</t>
  </si>
  <si>
    <t>0230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</si>
  <si>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</si>
  <si>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</si>
  <si>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</si>
  <si>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</si>
  <si>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</si>
  <si>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</si>
  <si>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</si>
  <si>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</si>
  <si>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</si>
  <si>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</si>
  <si>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</si>
  <si>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</si>
  <si>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</si>
  <si>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0231</t>
  </si>
  <si>
    <t>0044</t>
  </si>
  <si>
    <t>0079</t>
  </si>
  <si>
    <t>0386</t>
  </si>
  <si>
    <t>0115</t>
  </si>
  <si>
    <t>0269</t>
  </si>
  <si>
    <t>0340</t>
  </si>
  <si>
    <t>0117</t>
  </si>
  <si>
    <t>0204</t>
  </si>
  <si>
    <t>0233</t>
  </si>
  <si>
    <t>0005</t>
  </si>
  <si>
    <t>0226</t>
  </si>
  <si>
    <t>0121</t>
  </si>
  <si>
    <t>0179</t>
  </si>
  <si>
    <t>0154</t>
  </si>
  <si>
    <t>0362</t>
  </si>
  <si>
    <t>0236</t>
  </si>
  <si>
    <t>0144</t>
  </si>
  <si>
    <t>0197</t>
  </si>
  <si>
    <t>0239</t>
  </si>
  <si>
    <t>0164</t>
  </si>
  <si>
    <t>0050</t>
  </si>
  <si>
    <t>0243</t>
  </si>
  <si>
    <t>0123</t>
  </si>
  <si>
    <t>0124</t>
  </si>
  <si>
    <t>0399</t>
  </si>
  <si>
    <t>0200</t>
  </si>
  <si>
    <t>0099</t>
  </si>
  <si>
    <t>0127</t>
  </si>
  <si>
    <t>0128</t>
  </si>
  <si>
    <t>0249</t>
  </si>
  <si>
    <t>0129</t>
  </si>
  <si>
    <t>0021</t>
  </si>
  <si>
    <t>0241</t>
  </si>
  <si>
    <t>0130</t>
  </si>
  <si>
    <t>0089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</si>
  <si>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</si>
  <si>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</si>
  <si>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</si>
  <si>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</si>
  <si>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</si>
  <si>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</si>
  <si>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</si>
  <si>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</si>
  <si>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</si>
  <si>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0037</t>
  </si>
  <si>
    <t>0105</t>
  </si>
  <si>
    <t>0171</t>
  </si>
  <si>
    <t>0212</t>
  </si>
  <si>
    <t>0140</t>
  </si>
  <si>
    <t>0142</t>
  </si>
  <si>
    <t>0141</t>
  </si>
  <si>
    <t>0143</t>
  </si>
  <si>
    <t>0186</t>
  </si>
  <si>
    <t>0145</t>
  </si>
  <si>
    <t>0232</t>
  </si>
  <si>
    <t>0376</t>
  </si>
  <si>
    <t>eigenaar</t>
  </si>
  <si>
    <t>huurder</t>
  </si>
  <si>
    <t>Object_id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</si>
</sst>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color rgb="FFFF0000"/>
      <name val="Calibri (Body)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.4"/>
      <color rgb="FF37415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28" fillId="0" borderId="0" applyFont="0" applyFill="0" applyBorder="0" applyAlignment="0" applyProtection="0"/>
  </cellStyleXfs>
  <cellXfs count="221">
    <xf numFmtId="0" fontId="0" fillId="0" borderId="0" xfId="0"/>
    <xf numFmtId="22" fontId="0" fillId="0" borderId="0" xfId="0" applyNumberFormat="1"/>
    <xf numFmtId="0" fontId="18" fillId="33" borderId="10" xfId="0" applyFont="1" applyFill="1" applyBorder="1"/>
    <xf numFmtId="0" fontId="19" fillId="33" borderId="10" xfId="0" applyFont="1" applyFill="1" applyBorder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44" fontId="20" fillId="33" borderId="10" xfId="1" applyFont="1" applyFill="1" applyBorder="1"/>
    <xf numFmtId="0" fontId="0" fillId="33" borderId="10" xfId="0" applyFill="1" applyBorder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44" fontId="0" fillId="33" borderId="0" xfId="1" applyFont="1" applyFill="1"/>
    <xf numFmtId="0" fontId="0" fillId="33" borderId="0" xfId="0" applyFill="1"/>
    <xf numFmtId="0" fontId="21" fillId="0" borderId="11" xfId="0" applyFont="1" applyBorder="1"/>
    <xf numFmtId="2" fontId="21" fillId="0" borderId="12" xfId="0" applyNumberFormat="1" applyFont="1" applyBorder="1"/>
    <xf numFmtId="0" fontId="21" fillId="0" borderId="12" xfId="0" applyFont="1" applyBorder="1"/>
    <xf numFmtId="0" fontId="21" fillId="0" borderId="13" xfId="0" applyFont="1" applyBorder="1" applyAlignment="1">
      <alignment horizontal="left"/>
    </xf>
    <xf numFmtId="0" fontId="21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21" fillId="0" borderId="14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44" fontId="21" fillId="0" borderId="13" xfId="1" applyFont="1" applyBorder="1" applyAlignment="1">
      <alignment horizontal="center" vertical="center" wrapText="1"/>
    </xf>
    <xf numFmtId="44" fontId="21" fillId="0" borderId="15" xfId="1" applyFont="1" applyBorder="1" applyAlignment="1">
      <alignment horizontal="center" vertical="center" wrapText="1"/>
    </xf>
    <xf numFmtId="0" fontId="21" fillId="34" borderId="15" xfId="0" applyFont="1" applyFill="1" applyBorder="1"/>
    <xf numFmtId="0" fontId="21" fillId="0" borderId="11" xfId="0" applyFont="1" applyBorder="1" applyAlignment="1">
      <alignment horizontal="center"/>
    </xf>
    <xf numFmtId="44" fontId="21" fillId="0" borderId="13" xfId="1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0" borderId="0" xfId="0" applyFont="1"/>
    <xf numFmtId="0" fontId="21" fillId="35" borderId="0" xfId="0" applyFont="1" applyFill="1"/>
    <xf numFmtId="0" fontId="22" fillId="0" borderId="0" xfId="0" applyFont="1"/>
    <xf numFmtId="0" fontId="22" fillId="36" borderId="16" xfId="0" applyFont="1" applyFill="1" applyBorder="1" applyAlignment="1">
      <alignment horizontal="center"/>
    </xf>
    <xf numFmtId="2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17" xfId="0" applyFont="1" applyBorder="1" applyAlignment="1">
      <alignment horizontal="left"/>
    </xf>
    <xf numFmtId="0" fontId="22" fillId="0" borderId="17" xfId="0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/>
    </xf>
    <xf numFmtId="14" fontId="22" fillId="0" borderId="17" xfId="0" applyNumberFormat="1" applyFont="1" applyBorder="1" applyAlignment="1">
      <alignment horizontal="center" wrapText="1"/>
    </xf>
    <xf numFmtId="164" fontId="22" fillId="0" borderId="17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22" fillId="37" borderId="19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/>
    </xf>
    <xf numFmtId="44" fontId="22" fillId="0" borderId="21" xfId="0" applyNumberFormat="1" applyFont="1" applyBorder="1" applyAlignment="1">
      <alignment horizontal="center" vertical="center"/>
    </xf>
    <xf numFmtId="44" fontId="22" fillId="0" borderId="17" xfId="0" applyNumberFormat="1" applyFont="1" applyBorder="1" applyAlignment="1">
      <alignment horizontal="center" vertical="center"/>
    </xf>
    <xf numFmtId="44" fontId="22" fillId="0" borderId="20" xfId="0" applyNumberFormat="1" applyFont="1" applyBorder="1" applyAlignment="1">
      <alignment horizontal="center" vertical="center"/>
    </xf>
    <xf numFmtId="44" fontId="22" fillId="0" borderId="21" xfId="1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44" fontId="2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2" fillId="0" borderId="16" xfId="0" applyFont="1" applyBorder="1" applyAlignment="1">
      <alignment horizontal="left" vertical="center"/>
    </xf>
    <xf numFmtId="0" fontId="23" fillId="0" borderId="0" xfId="0" quotePrefix="1" applyFont="1" applyAlignment="1">
      <alignment horizontal="center"/>
    </xf>
    <xf numFmtId="0" fontId="22" fillId="0" borderId="17" xfId="0" applyFont="1" applyBorder="1" applyAlignment="1">
      <alignment horizontal="center" wrapText="1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left" vertical="center"/>
    </xf>
    <xf numFmtId="44" fontId="22" fillId="0" borderId="17" xfId="1" applyFont="1" applyFill="1" applyBorder="1" applyAlignment="1">
      <alignment horizontal="center" wrapText="1"/>
    </xf>
    <xf numFmtId="44" fontId="22" fillId="0" borderId="21" xfId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35" borderId="0" xfId="0" applyFont="1" applyFill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14" fontId="22" fillId="0" borderId="17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 wrapText="1"/>
    </xf>
    <xf numFmtId="2" fontId="22" fillId="0" borderId="0" xfId="0" quotePrefix="1" applyNumberFormat="1" applyFont="1" applyAlignment="1">
      <alignment horizontal="center"/>
    </xf>
    <xf numFmtId="44" fontId="22" fillId="0" borderId="0" xfId="1" quotePrefix="1" applyFont="1" applyAlignment="1">
      <alignment horizontal="center" vertical="center"/>
    </xf>
    <xf numFmtId="0" fontId="22" fillId="38" borderId="16" xfId="0" applyFont="1" applyFill="1" applyBorder="1" applyAlignment="1">
      <alignment horizontal="left" vertical="center"/>
    </xf>
    <xf numFmtId="44" fontId="22" fillId="0" borderId="0" xfId="1" quotePrefix="1" applyFont="1" applyBorder="1" applyAlignment="1">
      <alignment horizontal="center" vertical="center"/>
    </xf>
    <xf numFmtId="0" fontId="22" fillId="39" borderId="20" xfId="0" applyFont="1" applyFill="1" applyBorder="1" applyAlignment="1">
      <alignment horizontal="left" vertical="center" wrapText="1"/>
    </xf>
    <xf numFmtId="44" fontId="22" fillId="0" borderId="21" xfId="1" quotePrefix="1" applyFont="1" applyBorder="1" applyAlignment="1">
      <alignment horizontal="center" vertical="center"/>
    </xf>
    <xf numFmtId="44" fontId="22" fillId="0" borderId="0" xfId="1" applyFont="1" applyBorder="1" applyAlignment="1">
      <alignment horizontal="center" vertical="center"/>
    </xf>
    <xf numFmtId="0" fontId="22" fillId="39" borderId="16" xfId="0" applyFont="1" applyFill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21" xfId="0" applyFont="1" applyBorder="1" applyAlignment="1">
      <alignment horizontal="center"/>
    </xf>
    <xf numFmtId="0" fontId="22" fillId="0" borderId="0" xfId="0" quotePrefix="1" applyFont="1"/>
    <xf numFmtId="14" fontId="24" fillId="0" borderId="17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14" fontId="0" fillId="0" borderId="0" xfId="0" applyNumberFormat="1"/>
    <xf numFmtId="14" fontId="22" fillId="0" borderId="0" xfId="0" applyNumberFormat="1" applyFont="1"/>
    <xf numFmtId="0" fontId="22" fillId="40" borderId="0" xfId="0" applyFont="1" applyFill="1"/>
    <xf numFmtId="0" fontId="22" fillId="0" borderId="22" xfId="0" applyFont="1" applyBorder="1" applyAlignment="1">
      <alignment horizontal="left" vertical="center"/>
    </xf>
    <xf numFmtId="0" fontId="22" fillId="38" borderId="2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2" fillId="41" borderId="0" xfId="0" applyFont="1" applyFill="1"/>
    <xf numFmtId="0" fontId="22" fillId="0" borderId="2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164" fontId="24" fillId="0" borderId="23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/>
    </xf>
    <xf numFmtId="44" fontId="22" fillId="0" borderId="25" xfId="0" applyNumberFormat="1" applyFont="1" applyBorder="1" applyAlignment="1">
      <alignment horizontal="center" vertical="center"/>
    </xf>
    <xf numFmtId="0" fontId="22" fillId="39" borderId="16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39" borderId="0" xfId="0" applyFont="1" applyFill="1"/>
    <xf numFmtId="0" fontId="22" fillId="38" borderId="0" xfId="0" applyFont="1" applyFill="1"/>
    <xf numFmtId="0" fontId="25" fillId="0" borderId="0" xfId="0" applyFont="1" applyAlignment="1">
      <alignment vertical="center"/>
    </xf>
    <xf numFmtId="0" fontId="22" fillId="0" borderId="26" xfId="0" applyFont="1" applyBorder="1" applyAlignment="1">
      <alignment horizontal="left" vertical="center"/>
    </xf>
    <xf numFmtId="0" fontId="22" fillId="42" borderId="0" xfId="0" applyFont="1" applyFill="1" applyAlignment="1">
      <alignment horizontal="center" vertical="center"/>
    </xf>
    <xf numFmtId="0" fontId="22" fillId="42" borderId="21" xfId="0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left" vertical="center" wrapText="1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22" fillId="0" borderId="21" xfId="0" applyFont="1" applyBorder="1"/>
    <xf numFmtId="0" fontId="22" fillId="0" borderId="0" xfId="0" applyFont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164" fontId="22" fillId="0" borderId="21" xfId="0" applyNumberFormat="1" applyFont="1" applyBorder="1" applyAlignment="1">
      <alignment horizontal="center" vertical="center" wrapText="1"/>
    </xf>
    <xf numFmtId="44" fontId="22" fillId="0" borderId="0" xfId="0" applyNumberFormat="1" applyFont="1" applyAlignment="1">
      <alignment horizontal="center" vertical="center" wrapText="1"/>
    </xf>
    <xf numFmtId="0" fontId="22" fillId="0" borderId="0" xfId="0" quotePrefix="1" applyFont="1" applyAlignment="1">
      <alignment horizontal="center"/>
    </xf>
    <xf numFmtId="0" fontId="22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2" fillId="0" borderId="2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39" borderId="0" xfId="0" applyFont="1" applyFill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22" fillId="38" borderId="20" xfId="0" applyFont="1" applyFill="1" applyBorder="1" applyAlignment="1">
      <alignment horizontal="left" vertical="center"/>
    </xf>
    <xf numFmtId="0" fontId="22" fillId="39" borderId="20" xfId="0" applyFont="1" applyFill="1" applyBorder="1" applyAlignment="1">
      <alignment horizontal="left" vertical="center"/>
    </xf>
    <xf numFmtId="0" fontId="0" fillId="0" borderId="21" xfId="0" applyBorder="1"/>
    <xf numFmtId="44" fontId="22" fillId="0" borderId="21" xfId="1" applyFont="1" applyFill="1" applyBorder="1" applyAlignment="1">
      <alignment horizontal="center" vertical="center"/>
    </xf>
    <xf numFmtId="164" fontId="22" fillId="42" borderId="21" xfId="0" applyNumberFormat="1" applyFont="1" applyFill="1" applyBorder="1" applyAlignment="1">
      <alignment horizontal="center" vertical="center"/>
    </xf>
    <xf numFmtId="44" fontId="22" fillId="33" borderId="21" xfId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4" fontId="22" fillId="0" borderId="21" xfId="0" applyNumberFormat="1" applyFont="1" applyBorder="1" applyAlignment="1">
      <alignment horizontal="center" vertical="center" wrapText="1"/>
    </xf>
    <xf numFmtId="0" fontId="22" fillId="0" borderId="23" xfId="0" quotePrefix="1" applyFont="1" applyBorder="1" applyAlignment="1">
      <alignment horizontal="left" vertical="center"/>
    </xf>
    <xf numFmtId="0" fontId="23" fillId="43" borderId="0" xfId="0" applyFont="1" applyFill="1" applyAlignment="1">
      <alignment horizontal="center"/>
    </xf>
    <xf numFmtId="0" fontId="22" fillId="43" borderId="0" xfId="0" applyFont="1" applyFill="1" applyAlignment="1">
      <alignment horizontal="left" vertical="center" wrapText="1"/>
    </xf>
    <xf numFmtId="0" fontId="22" fillId="43" borderId="0" xfId="0" applyFont="1" applyFill="1" applyAlignment="1">
      <alignment horizontal="center" vertical="center" wrapText="1"/>
    </xf>
    <xf numFmtId="0" fontId="22" fillId="43" borderId="21" xfId="0" applyFont="1" applyFill="1" applyBorder="1" applyAlignment="1">
      <alignment horizontal="left" vertical="center"/>
    </xf>
    <xf numFmtId="0" fontId="22" fillId="43" borderId="21" xfId="0" applyFont="1" applyFill="1" applyBorder="1" applyAlignment="1">
      <alignment horizontal="center" vertical="center" wrapText="1"/>
    </xf>
    <xf numFmtId="164" fontId="22" fillId="43" borderId="21" xfId="0" applyNumberFormat="1" applyFont="1" applyFill="1" applyBorder="1" applyAlignment="1">
      <alignment horizontal="center" vertical="center"/>
    </xf>
    <xf numFmtId="0" fontId="22" fillId="43" borderId="22" xfId="0" applyFont="1" applyFill="1" applyBorder="1" applyAlignment="1">
      <alignment horizontal="left" vertical="center"/>
    </xf>
    <xf numFmtId="0" fontId="22" fillId="43" borderId="20" xfId="0" applyFont="1" applyFill="1" applyBorder="1" applyAlignment="1">
      <alignment horizontal="left" vertical="center"/>
    </xf>
    <xf numFmtId="0" fontId="22" fillId="33" borderId="20" xfId="0" applyFont="1" applyFill="1" applyBorder="1" applyAlignment="1">
      <alignment horizontal="left" vertical="center"/>
    </xf>
    <xf numFmtId="0" fontId="21" fillId="0" borderId="20" xfId="0" applyFont="1" applyBorder="1" applyAlignment="1">
      <alignment horizontal="left" vertical="center"/>
    </xf>
    <xf numFmtId="0" fontId="21" fillId="0" borderId="21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44" fontId="22" fillId="0" borderId="23" xfId="0" applyNumberFormat="1" applyFont="1" applyBorder="1" applyAlignment="1">
      <alignment horizontal="center" vertical="center"/>
    </xf>
    <xf numFmtId="44" fontId="22" fillId="44" borderId="21" xfId="1" applyFont="1" applyFill="1" applyBorder="1" applyAlignment="1">
      <alignment horizontal="center" vertical="center"/>
    </xf>
    <xf numFmtId="0" fontId="22" fillId="0" borderId="21" xfId="0" quotePrefix="1" applyFont="1" applyBorder="1" applyAlignment="1">
      <alignment horizontal="left" vertical="center"/>
    </xf>
    <xf numFmtId="0" fontId="27" fillId="0" borderId="21" xfId="0" applyFont="1" applyBorder="1" applyAlignment="1">
      <alignment horizontal="center"/>
    </xf>
    <xf numFmtId="14" fontId="27" fillId="0" borderId="21" xfId="0" applyNumberFormat="1" applyFont="1" applyBorder="1" applyAlignment="1">
      <alignment horizontal="center" vertical="center"/>
    </xf>
    <xf numFmtId="14" fontId="27" fillId="0" borderId="21" xfId="0" applyNumberFormat="1" applyFont="1" applyBorder="1" applyAlignment="1">
      <alignment horizontal="center"/>
    </xf>
    <xf numFmtId="0" fontId="27" fillId="45" borderId="21" xfId="0" applyFont="1" applyFill="1" applyBorder="1"/>
    <xf numFmtId="0" fontId="27" fillId="0" borderId="22" xfId="0" applyFont="1" applyBorder="1"/>
    <xf numFmtId="0" fontId="27" fillId="0" borderId="20" xfId="0" applyFont="1" applyBorder="1"/>
    <xf numFmtId="8" fontId="27" fillId="0" borderId="20" xfId="0" applyNumberFormat="1" applyFont="1" applyBorder="1"/>
    <xf numFmtId="8" fontId="27" fillId="0" borderId="20" xfId="0" applyNumberFormat="1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64" fontId="22" fillId="0" borderId="25" xfId="0" applyNumberFormat="1" applyFont="1" applyBorder="1" applyAlignment="1">
      <alignment horizontal="center" vertical="center"/>
    </xf>
    <xf numFmtId="164" fontId="24" fillId="0" borderId="25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164" fontId="22" fillId="0" borderId="25" xfId="0" applyNumberFormat="1" applyFont="1" applyBorder="1" applyAlignment="1">
      <alignment horizontal="center" vertical="center" wrapText="1"/>
    </xf>
    <xf numFmtId="0" fontId="22" fillId="0" borderId="27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42" borderId="20" xfId="0" applyFont="1" applyFill="1" applyBorder="1" applyAlignment="1">
      <alignment horizontal="left" vertical="center"/>
    </xf>
    <xf numFmtId="44" fontId="22" fillId="42" borderId="20" xfId="0" applyNumberFormat="1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wrapText="1"/>
    </xf>
    <xf numFmtId="14" fontId="22" fillId="0" borderId="21" xfId="0" applyNumberFormat="1" applyFont="1" applyBorder="1" applyAlignment="1">
      <alignment horizontal="center"/>
    </xf>
    <xf numFmtId="14" fontId="22" fillId="0" borderId="21" xfId="0" applyNumberFormat="1" applyFont="1" applyBorder="1" applyAlignment="1">
      <alignment horizontal="center" wrapText="1"/>
    </xf>
    <xf numFmtId="44" fontId="22" fillId="0" borderId="20" xfId="1" applyFont="1" applyFill="1" applyBorder="1" applyAlignment="1">
      <alignment horizontal="center" wrapText="1"/>
    </xf>
    <xf numFmtId="44" fontId="22" fillId="0" borderId="21" xfId="1" applyFont="1" applyBorder="1" applyAlignment="1">
      <alignment horizontal="center" wrapText="1"/>
    </xf>
    <xf numFmtId="0" fontId="22" fillId="0" borderId="0" xfId="0" quotePrefix="1" applyFont="1" applyAlignment="1">
      <alignment horizontal="center" vertical="center"/>
    </xf>
    <xf numFmtId="14" fontId="22" fillId="38" borderId="0" xfId="0" applyNumberFormat="1" applyFont="1" applyFill="1" applyAlignment="1">
      <alignment horizontal="center"/>
    </xf>
    <xf numFmtId="164" fontId="22" fillId="0" borderId="22" xfId="0" applyNumberFormat="1" applyFont="1" applyBorder="1" applyAlignment="1">
      <alignment horizontal="left" vertical="center"/>
    </xf>
    <xf numFmtId="0" fontId="22" fillId="0" borderId="21" xfId="0" quotePrefix="1" applyFont="1" applyBorder="1" applyAlignment="1">
      <alignment horizontal="center"/>
    </xf>
    <xf numFmtId="44" fontId="22" fillId="0" borderId="21" xfId="44" applyFont="1" applyBorder="1" applyAlignment="1">
      <alignment horizontal="center" vertical="center"/>
    </xf>
    <xf numFmtId="0" fontId="22" fillId="0" borderId="22" xfId="0" quotePrefix="1" applyFont="1" applyBorder="1" applyAlignment="1">
      <alignment horizontal="left" vertical="center" wrapText="1"/>
    </xf>
    <xf numFmtId="164" fontId="22" fillId="42" borderId="21" xfId="0" applyNumberFormat="1" applyFont="1" applyFill="1" applyBorder="1" applyAlignment="1">
      <alignment horizontal="center" vertical="center" wrapText="1"/>
    </xf>
    <xf numFmtId="164" fontId="29" fillId="0" borderId="21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164" fontId="22" fillId="0" borderId="23" xfId="0" applyNumberFormat="1" applyFont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 wrapText="1"/>
    </xf>
    <xf numFmtId="0" fontId="22" fillId="39" borderId="21" xfId="0" applyFont="1" applyFill="1" applyBorder="1" applyAlignment="1">
      <alignment horizontal="center" vertical="center" wrapText="1"/>
    </xf>
    <xf numFmtId="164" fontId="22" fillId="39" borderId="21" xfId="0" applyNumberFormat="1" applyFont="1" applyFill="1" applyBorder="1" applyAlignment="1">
      <alignment horizontal="center" vertical="center" wrapText="1"/>
    </xf>
    <xf numFmtId="164" fontId="22" fillId="39" borderId="21" xfId="0" applyNumberFormat="1" applyFont="1" applyFill="1" applyBorder="1" applyAlignment="1">
      <alignment horizontal="center" vertical="center"/>
    </xf>
    <xf numFmtId="0" fontId="22" fillId="39" borderId="22" xfId="0" applyFont="1" applyFill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21" fillId="46" borderId="23" xfId="0" applyFont="1" applyFill="1" applyBorder="1" applyAlignment="1">
      <alignment horizontal="left" vertical="center"/>
    </xf>
    <xf numFmtId="0" fontId="22" fillId="46" borderId="23" xfId="0" applyFont="1" applyFill="1" applyBorder="1" applyAlignment="1">
      <alignment horizontal="center" vertical="center"/>
    </xf>
    <xf numFmtId="0" fontId="22" fillId="46" borderId="24" xfId="0" applyFont="1" applyFill="1" applyBorder="1" applyAlignment="1">
      <alignment horizontal="left" vertical="center"/>
    </xf>
    <xf numFmtId="0" fontId="22" fillId="37" borderId="19" xfId="0" applyFont="1" applyFill="1" applyBorder="1" applyAlignment="1">
      <alignment horizontal="left" vertical="center"/>
    </xf>
    <xf numFmtId="0" fontId="22" fillId="46" borderId="25" xfId="0" applyFont="1" applyFill="1" applyBorder="1" applyAlignment="1">
      <alignment horizontal="left" vertical="center"/>
    </xf>
    <xf numFmtId="44" fontId="22" fillId="46" borderId="21" xfId="0" applyNumberFormat="1" applyFont="1" applyFill="1" applyBorder="1" applyAlignment="1">
      <alignment horizontal="center" vertical="center"/>
    </xf>
    <xf numFmtId="44" fontId="22" fillId="46" borderId="23" xfId="0" applyNumberFormat="1" applyFont="1" applyFill="1" applyBorder="1" applyAlignment="1">
      <alignment horizontal="center" vertical="center"/>
    </xf>
    <xf numFmtId="44" fontId="22" fillId="46" borderId="20" xfId="0" applyNumberFormat="1" applyFont="1" applyFill="1" applyBorder="1" applyAlignment="1">
      <alignment horizontal="center" vertical="center"/>
    </xf>
    <xf numFmtId="44" fontId="22" fillId="46" borderId="21" xfId="1" applyFont="1" applyFill="1" applyBorder="1" applyAlignment="1">
      <alignment horizontal="center" vertical="center"/>
    </xf>
    <xf numFmtId="0" fontId="22" fillId="46" borderId="15" xfId="0" applyFont="1" applyFill="1" applyBorder="1" applyAlignment="1">
      <alignment horizontal="center" vertical="center"/>
    </xf>
    <xf numFmtId="0" fontId="22" fillId="46" borderId="21" xfId="0" applyFont="1" applyFill="1" applyBorder="1" applyAlignment="1">
      <alignment horizontal="center"/>
    </xf>
    <xf numFmtId="0" fontId="22" fillId="46" borderId="21" xfId="0" applyFont="1" applyFill="1" applyBorder="1" applyAlignment="1">
      <alignment horizontal="left" vertical="center"/>
    </xf>
    <xf numFmtId="44" fontId="22" fillId="46" borderId="21" xfId="0" applyNumberFormat="1" applyFont="1" applyFill="1" applyBorder="1" applyAlignment="1">
      <alignment horizontal="left" vertical="center"/>
    </xf>
    <xf numFmtId="9" fontId="22" fillId="0" borderId="21" xfId="2" applyFont="1" applyBorder="1" applyAlignment="1">
      <alignment horizontal="center" vertical="center"/>
    </xf>
    <xf numFmtId="0" fontId="21" fillId="34" borderId="21" xfId="0" applyFont="1" applyFill="1" applyBorder="1"/>
    <xf numFmtId="0" fontId="22" fillId="34" borderId="0" xfId="0" applyFont="1" applyFill="1" applyAlignment="1">
      <alignment horizontal="center" vertical="center"/>
    </xf>
    <xf numFmtId="0" fontId="22" fillId="37" borderId="19" xfId="0" applyFont="1" applyFill="1" applyBorder="1" applyAlignment="1">
      <alignment horizontal="left"/>
    </xf>
    <xf numFmtId="44" fontId="22" fillId="0" borderId="0" xfId="1" applyFont="1"/>
    <xf numFmtId="44" fontId="22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44" fontId="22" fillId="0" borderId="0" xfId="0" applyNumberFormat="1" applyFont="1" applyAlignment="1">
      <alignment horizontal="center"/>
    </xf>
    <xf numFmtId="44" fontId="22" fillId="0" borderId="0" xfId="0" applyNumberFormat="1" applyFont="1"/>
    <xf numFmtId="0" fontId="21" fillId="0" borderId="0" xfId="0" applyFont="1" applyAlignment="1">
      <alignment horizontal="center"/>
    </xf>
    <xf numFmtId="44" fontId="2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7" borderId="19" xfId="0" applyFill="1" applyBorder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2" fontId="0" fillId="0" borderId="0" xfId="0" applyNumberFormat="1"/>
    <xf numFmtId="0" fontId="31" fillId="0" borderId="0" xfId="0" applyFont="1"/>
    <xf numFmtId="0" fontId="21" fillId="0" borderId="12" xfId="0" applyFont="1" applyBorder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Valuta 4" xfId="44" xr:uid="{DF89AE5A-76D8-D041-8B51-7AD44D9450F4}"/>
    <cellStyle name="Warning Text" xfId="16" builtinId="11" customBuiltin="1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yanrent.sharepoint.com/sites/RyanRent/Gedeelde%20documenten/General/01_RyanRent&amp;Co/Overzicht%20woningen%20RyanRent&amp;Co.xlsx" TargetMode="External"/><Relationship Id="rId1" Type="http://schemas.openxmlformats.org/officeDocument/2006/relationships/externalLinkPath" Target="/sites/RyanRent/Gedeelde%20documenten/General/01_RyanRent&amp;Co/Overzicht%20woningen%20RyanRent&amp;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R"/>
      <sheetName val="GWE Voorschot "/>
      <sheetName val="Sleutelplan nieuw"/>
      <sheetName val="RR TIS"/>
      <sheetName val="Uitchecks"/>
      <sheetName val="Sheet1"/>
      <sheetName val="Leverancier lijst"/>
      <sheetName val="Afwikkelen"/>
      <sheetName val="Verhogingen"/>
      <sheetName val="Brieven Verhoging 2025 NL"/>
      <sheetName val="Brieven Verhoging 2025 ENG"/>
      <sheetName val="Routers"/>
      <sheetName val="Borgen Retour"/>
      <sheetName val="Tuin onderhoud"/>
      <sheetName val="SIMA kamers"/>
    </sheetNames>
    <sheetDataSet>
      <sheetData sheetId="0"/>
      <sheetData sheetId="1"/>
      <sheetData sheetId="2">
        <row r="1">
          <cell r="A1" t="str">
            <v>OBJECT</v>
          </cell>
          <cell r="B1" t="str">
            <v>Straat en huisnummer</v>
          </cell>
        </row>
        <row r="2">
          <cell r="A2" t="str">
            <v>0001</v>
          </cell>
          <cell r="B2" t="str">
            <v>Nunspeetlaan 14</v>
          </cell>
        </row>
        <row r="3">
          <cell r="A3" t="str">
            <v>0002</v>
          </cell>
          <cell r="B3" t="str">
            <v>Allard Piersonlaan 142</v>
          </cell>
        </row>
        <row r="4">
          <cell r="A4" t="str">
            <v>0003</v>
          </cell>
          <cell r="B4" t="str">
            <v>Acacia 2</v>
          </cell>
        </row>
        <row r="5">
          <cell r="A5" t="str">
            <v>0004</v>
          </cell>
          <cell r="B5" t="str">
            <v>Broekweg 25</v>
          </cell>
        </row>
        <row r="6">
          <cell r="A6" t="str">
            <v>0005</v>
          </cell>
          <cell r="B6" t="str">
            <v>Ringbaan Oost 327</v>
          </cell>
        </row>
        <row r="7">
          <cell r="A7" t="str">
            <v>0006</v>
          </cell>
          <cell r="B7" t="str">
            <v>Enschotsestraat 163</v>
          </cell>
        </row>
        <row r="8">
          <cell r="A8" t="str">
            <v>0007</v>
          </cell>
          <cell r="B8" t="str">
            <v>Adriaan Baasstraat 34</v>
          </cell>
        </row>
        <row r="9">
          <cell r="A9" t="str">
            <v>0008</v>
          </cell>
          <cell r="B9" t="str">
            <v>Arkelse Onderweg 24a</v>
          </cell>
        </row>
        <row r="10">
          <cell r="A10" t="str">
            <v>0009</v>
          </cell>
          <cell r="B10" t="str">
            <v>Galgeweg 48-A</v>
          </cell>
        </row>
        <row r="11">
          <cell r="A11" t="str">
            <v>0010</v>
          </cell>
          <cell r="B11" t="str">
            <v>Kethelweg 1B</v>
          </cell>
        </row>
        <row r="12">
          <cell r="A12" t="str">
            <v>0011</v>
          </cell>
          <cell r="B12" t="str">
            <v>Kethelweg 1C</v>
          </cell>
        </row>
        <row r="13">
          <cell r="A13" t="str">
            <v>0012</v>
          </cell>
          <cell r="B13" t="str">
            <v>Baarlelaan 27</v>
          </cell>
        </row>
        <row r="14">
          <cell r="A14" t="str">
            <v>0013</v>
          </cell>
          <cell r="B14" t="str">
            <v>Baarsveen 197</v>
          </cell>
        </row>
        <row r="15">
          <cell r="A15" t="str">
            <v>0014</v>
          </cell>
          <cell r="B15" t="str">
            <v>Abelenlaan 143</v>
          </cell>
        </row>
        <row r="16">
          <cell r="A16" t="str">
            <v>0015</v>
          </cell>
          <cell r="B16" t="str">
            <v xml:space="preserve">Maasdijk 69 </v>
          </cell>
        </row>
        <row r="17">
          <cell r="A17" t="str">
            <v>0016</v>
          </cell>
          <cell r="B17" t="str">
            <v>van Scorelstraat 73</v>
          </cell>
        </row>
        <row r="18">
          <cell r="A18" t="str">
            <v>0017</v>
          </cell>
          <cell r="B18" t="str">
            <v>G.A. Brederolaan 75B</v>
          </cell>
        </row>
        <row r="19">
          <cell r="A19" t="str">
            <v>0018</v>
          </cell>
          <cell r="B19" t="str">
            <v>Meester G. Groen van Prinsterlaan 313</v>
          </cell>
        </row>
        <row r="20">
          <cell r="A20" t="str">
            <v>0019</v>
          </cell>
          <cell r="B20" t="str">
            <v>Franselaan 273B</v>
          </cell>
        </row>
        <row r="21">
          <cell r="A21" t="str">
            <v>0020</v>
          </cell>
          <cell r="B21" t="str">
            <v>Mr. Troelstrastraat 37</v>
          </cell>
        </row>
        <row r="22">
          <cell r="A22" t="str">
            <v>0021</v>
          </cell>
          <cell r="B22" t="str">
            <v>Vaartweg 106C</v>
          </cell>
        </row>
        <row r="23">
          <cell r="A23" t="str">
            <v>0022</v>
          </cell>
          <cell r="B23" t="str">
            <v>2e van Leydengaelstraat 6</v>
          </cell>
        </row>
        <row r="24">
          <cell r="A24" t="str">
            <v>0023</v>
          </cell>
          <cell r="B24" t="str">
            <v>Desiree Geeraertstraat 1 B</v>
          </cell>
        </row>
        <row r="25">
          <cell r="A25" t="str">
            <v>0024</v>
          </cell>
          <cell r="B25" t="str">
            <v>Desiree Geeraertstraat 1 C</v>
          </cell>
        </row>
        <row r="26">
          <cell r="A26" t="str">
            <v>0025</v>
          </cell>
          <cell r="B26" t="str">
            <v>Groenelaan 30B</v>
          </cell>
        </row>
        <row r="27">
          <cell r="A27" t="str">
            <v>0026</v>
          </cell>
          <cell r="B27" t="str">
            <v>Chopinstraat 39C</v>
          </cell>
        </row>
        <row r="28">
          <cell r="A28" t="str">
            <v>0027</v>
          </cell>
          <cell r="B28" t="str">
            <v>Buizerdstraat 210</v>
          </cell>
        </row>
        <row r="29">
          <cell r="A29" t="str">
            <v>0028</v>
          </cell>
          <cell r="B29" t="str">
            <v>Lange kruisweg 12</v>
          </cell>
        </row>
        <row r="30">
          <cell r="A30" t="str">
            <v>0029</v>
          </cell>
          <cell r="B30" t="str">
            <v>Madeliefstraat 46c</v>
          </cell>
        </row>
        <row r="31">
          <cell r="A31" t="str">
            <v>0030</v>
          </cell>
          <cell r="B31" t="str">
            <v>Curacaolaan 88</v>
          </cell>
        </row>
        <row r="32">
          <cell r="A32" t="str">
            <v>0031</v>
          </cell>
          <cell r="B32" t="str">
            <v>Hogenbanweg 331</v>
          </cell>
        </row>
        <row r="33">
          <cell r="A33" t="str">
            <v>0032</v>
          </cell>
          <cell r="B33" t="str">
            <v>Jacob van offwegenlaan 26</v>
          </cell>
        </row>
        <row r="34">
          <cell r="A34" t="str">
            <v>0033</v>
          </cell>
          <cell r="B34" t="str">
            <v>Kethelweg 66C</v>
          </cell>
        </row>
        <row r="35">
          <cell r="A35" t="str">
            <v>0034</v>
          </cell>
          <cell r="B35" t="str">
            <v>Kethelweg 68A</v>
          </cell>
        </row>
        <row r="36">
          <cell r="A36" t="str">
            <v>0035</v>
          </cell>
          <cell r="B36" t="str">
            <v>Messchaertplein 39</v>
          </cell>
        </row>
        <row r="37">
          <cell r="A37" t="str">
            <v>0036</v>
          </cell>
          <cell r="B37" t="str">
            <v>Messchaertplein 40</v>
          </cell>
        </row>
        <row r="38">
          <cell r="A38" t="str">
            <v>0037</v>
          </cell>
          <cell r="B38" t="str">
            <v>Westfrankelandsestraat 106</v>
          </cell>
        </row>
        <row r="39">
          <cell r="A39" t="str">
            <v>0038</v>
          </cell>
          <cell r="B39" t="str">
            <v>Westfrankelandsestraat 108</v>
          </cell>
        </row>
        <row r="40">
          <cell r="A40" t="str">
            <v>0039</v>
          </cell>
          <cell r="B40" t="str">
            <v>Inundatiestraat 3</v>
          </cell>
        </row>
        <row r="41">
          <cell r="A41" t="str">
            <v>0040</v>
          </cell>
          <cell r="B41" t="str">
            <v>Beatrixstraat 3</v>
          </cell>
        </row>
        <row r="42">
          <cell r="A42" t="str">
            <v>0041</v>
          </cell>
          <cell r="B42" t="str">
            <v>Nunspeetlaan 53</v>
          </cell>
        </row>
        <row r="43">
          <cell r="A43" t="str">
            <v>0042</v>
          </cell>
          <cell r="B43" t="str">
            <v>Parallelweg 110A</v>
          </cell>
        </row>
        <row r="44">
          <cell r="A44" t="str">
            <v>0043</v>
          </cell>
          <cell r="B44" t="str">
            <v>Amperelaan 23</v>
          </cell>
        </row>
        <row r="45">
          <cell r="A45" t="str">
            <v>0044</v>
          </cell>
          <cell r="B45" t="str">
            <v>Pleinweg 101 A</v>
          </cell>
        </row>
        <row r="46">
          <cell r="A46" t="str">
            <v>0045</v>
          </cell>
          <cell r="B46" t="str">
            <v>Pleinweg 101 B</v>
          </cell>
        </row>
        <row r="47">
          <cell r="A47" t="str">
            <v>0046</v>
          </cell>
          <cell r="B47" t="str">
            <v>Nieuwenhoornstraat 46B</v>
          </cell>
        </row>
        <row r="48">
          <cell r="A48" t="str">
            <v>0047</v>
          </cell>
          <cell r="B48" t="str">
            <v>Bisschopstraat 68</v>
          </cell>
        </row>
        <row r="49">
          <cell r="A49" t="str">
            <v>0048</v>
          </cell>
          <cell r="B49" t="str">
            <v>Bliek 41</v>
          </cell>
        </row>
        <row r="50">
          <cell r="A50" t="str">
            <v>0049</v>
          </cell>
          <cell r="B50" t="str">
            <v>Bornerbroeksestraat 129A</v>
          </cell>
        </row>
        <row r="51">
          <cell r="A51" t="str">
            <v>0050</v>
          </cell>
          <cell r="B51" t="str">
            <v>Sint Josephstraat 61</v>
          </cell>
        </row>
        <row r="52">
          <cell r="A52" t="str">
            <v>0051</v>
          </cell>
          <cell r="B52" t="str">
            <v>Coehoorn van Scheltingaweg 12</v>
          </cell>
        </row>
        <row r="53">
          <cell r="A53" t="str">
            <v>0052</v>
          </cell>
          <cell r="B53" t="str">
            <v>Coehoorn van Scheltingaweg 66</v>
          </cell>
        </row>
        <row r="54">
          <cell r="A54" t="str">
            <v>0053</v>
          </cell>
          <cell r="B54" t="str">
            <v xml:space="preserve">Curcumastraat 39 </v>
          </cell>
        </row>
        <row r="55">
          <cell r="A55" t="str">
            <v>0054</v>
          </cell>
          <cell r="B55" t="str">
            <v>De Gasperistraat 11</v>
          </cell>
        </row>
        <row r="56">
          <cell r="A56" t="str">
            <v>0055</v>
          </cell>
          <cell r="B56" t="str">
            <v>Baanhoek 139</v>
          </cell>
        </row>
        <row r="57">
          <cell r="A57" t="str">
            <v>0056</v>
          </cell>
          <cell r="B57" t="str">
            <v>De Hooidollen 606</v>
          </cell>
        </row>
        <row r="58">
          <cell r="A58" t="str">
            <v>0057</v>
          </cell>
          <cell r="B58" t="str">
            <v xml:space="preserve">Markt 5 </v>
          </cell>
        </row>
        <row r="59">
          <cell r="A59" t="str">
            <v>0058</v>
          </cell>
          <cell r="B59" t="str">
            <v>Deugenweerd 18</v>
          </cell>
        </row>
        <row r="60">
          <cell r="A60" t="str">
            <v>0059</v>
          </cell>
          <cell r="B60" t="str">
            <v>Dieptol 63</v>
          </cell>
        </row>
        <row r="61">
          <cell r="A61" t="str">
            <v>0060</v>
          </cell>
          <cell r="B61" t="str">
            <v>Besterdring 6</v>
          </cell>
        </row>
        <row r="62">
          <cell r="A62" t="str">
            <v>0061</v>
          </cell>
          <cell r="B62" t="str">
            <v xml:space="preserve">Dwarsweg 44 </v>
          </cell>
        </row>
        <row r="63">
          <cell r="A63" t="str">
            <v>0062</v>
          </cell>
          <cell r="B63" t="str">
            <v>Eendrachtstraat 22</v>
          </cell>
        </row>
        <row r="64">
          <cell r="A64" t="str">
            <v>0063</v>
          </cell>
          <cell r="B64" t="str">
            <v xml:space="preserve">Energieweg 40 </v>
          </cell>
        </row>
        <row r="65">
          <cell r="A65" t="str">
            <v>0064</v>
          </cell>
          <cell r="B65" t="str">
            <v>Enk 6</v>
          </cell>
        </row>
        <row r="66">
          <cell r="A66" t="str">
            <v>0065</v>
          </cell>
          <cell r="B66" t="str">
            <v xml:space="preserve">Esdoornlaan 68 </v>
          </cell>
        </row>
        <row r="67">
          <cell r="A67" t="str">
            <v>0066</v>
          </cell>
          <cell r="B67" t="str">
            <v xml:space="preserve">Dorpsstraat 73 </v>
          </cell>
        </row>
        <row r="68">
          <cell r="A68" t="str">
            <v>0067</v>
          </cell>
          <cell r="B68" t="str">
            <v>Franz Liszstraat 5</v>
          </cell>
        </row>
        <row r="69">
          <cell r="A69" t="str">
            <v>0068</v>
          </cell>
          <cell r="B69" t="str">
            <v>F.Erensstraat 21</v>
          </cell>
        </row>
        <row r="70">
          <cell r="A70" t="str">
            <v>0069</v>
          </cell>
          <cell r="B70" t="str">
            <v>Gaffelaar 3</v>
          </cell>
        </row>
        <row r="71">
          <cell r="A71" t="str">
            <v>0070</v>
          </cell>
          <cell r="B71" t="str">
            <v>Geleenstraat 1</v>
          </cell>
        </row>
        <row r="72">
          <cell r="A72" t="str">
            <v>0071</v>
          </cell>
          <cell r="B72" t="str">
            <v>H. Algraplein 25</v>
          </cell>
        </row>
        <row r="73">
          <cell r="A73" t="str">
            <v>0072</v>
          </cell>
          <cell r="B73" t="str">
            <v>Heemskerkstraat 19</v>
          </cell>
        </row>
        <row r="74">
          <cell r="A74" t="str">
            <v>0073</v>
          </cell>
          <cell r="B74" t="str">
            <v>Hendrik Deddenstraat 26</v>
          </cell>
        </row>
        <row r="75">
          <cell r="A75" t="str">
            <v>0074</v>
          </cell>
          <cell r="B75" t="str">
            <v>Mgr. W.M. Bekkerslaan 34</v>
          </cell>
        </row>
        <row r="76">
          <cell r="A76" t="str">
            <v>0075</v>
          </cell>
          <cell r="B76" t="str">
            <v>Hoofdstraat 110</v>
          </cell>
        </row>
        <row r="77">
          <cell r="A77" t="str">
            <v>0076</v>
          </cell>
          <cell r="B77" t="str">
            <v>Molendijk 4</v>
          </cell>
        </row>
        <row r="78">
          <cell r="A78" t="str">
            <v>0077</v>
          </cell>
          <cell r="B78" t="str">
            <v>Voorstraat 10</v>
          </cell>
        </row>
        <row r="79">
          <cell r="A79" t="str">
            <v>0078</v>
          </cell>
          <cell r="B79" t="str">
            <v>Hooizolder 6</v>
          </cell>
        </row>
        <row r="80">
          <cell r="A80" t="str">
            <v>0079</v>
          </cell>
          <cell r="B80" t="str">
            <v>Ploegstraat 2a</v>
          </cell>
        </row>
        <row r="81">
          <cell r="A81" t="str">
            <v>0080</v>
          </cell>
          <cell r="B81" t="str">
            <v>Voorstraat 25</v>
          </cell>
        </row>
        <row r="82">
          <cell r="A82" t="str">
            <v>0081</v>
          </cell>
          <cell r="B82" t="str">
            <v>Patrijsstraat 39</v>
          </cell>
        </row>
        <row r="83">
          <cell r="A83" t="str">
            <v>0082</v>
          </cell>
          <cell r="B83" t="str">
            <v>Kanaal van Steenenhoek Z.Z. 10</v>
          </cell>
        </row>
        <row r="84">
          <cell r="A84" t="str">
            <v>0083</v>
          </cell>
          <cell r="B84" t="str">
            <v>Pastoriedijk 89</v>
          </cell>
        </row>
        <row r="85">
          <cell r="A85" t="str">
            <v>0084</v>
          </cell>
          <cell r="B85" t="str">
            <v>Kerkdreef 42</v>
          </cell>
        </row>
        <row r="86">
          <cell r="A86" t="str">
            <v>0085</v>
          </cell>
          <cell r="B86" t="str">
            <v>Kierkegaardhof 54</v>
          </cell>
        </row>
        <row r="87">
          <cell r="A87" t="str">
            <v>0086</v>
          </cell>
          <cell r="B87" t="str">
            <v>Kleine Beer 60</v>
          </cell>
        </row>
        <row r="88">
          <cell r="A88" t="str">
            <v>0087</v>
          </cell>
          <cell r="B88" t="str">
            <v>Jasmijnring 37</v>
          </cell>
        </row>
        <row r="89">
          <cell r="A89" t="str">
            <v>0088</v>
          </cell>
          <cell r="B89" t="str">
            <v>Kethelweg 66A</v>
          </cell>
        </row>
        <row r="90">
          <cell r="A90" t="str">
            <v>0089</v>
          </cell>
          <cell r="B90" t="str">
            <v>Van Maanenstraat 14A</v>
          </cell>
        </row>
        <row r="91">
          <cell r="A91" t="str">
            <v>0090</v>
          </cell>
          <cell r="B91" t="str">
            <v>Laan van Nieuw Blankenburg 278</v>
          </cell>
        </row>
        <row r="92">
          <cell r="A92" t="str">
            <v>0091</v>
          </cell>
          <cell r="B92" t="str">
            <v>Landsteinerhof 68</v>
          </cell>
        </row>
        <row r="93">
          <cell r="A93" t="str">
            <v>0092</v>
          </cell>
          <cell r="B93" t="str">
            <v>Lange Brink 3</v>
          </cell>
        </row>
        <row r="94">
          <cell r="A94" t="str">
            <v>0093</v>
          </cell>
          <cell r="B94" t="str">
            <v>Fabristraat 34A</v>
          </cell>
        </row>
        <row r="95">
          <cell r="A95" t="str">
            <v>0094</v>
          </cell>
          <cell r="B95" t="str">
            <v>Fabristraat 34B</v>
          </cell>
        </row>
        <row r="96">
          <cell r="A96" t="str">
            <v>0095</v>
          </cell>
          <cell r="B96" t="str">
            <v>Engelsestraat 16L3</v>
          </cell>
        </row>
        <row r="97">
          <cell r="A97" t="str">
            <v>0096</v>
          </cell>
          <cell r="B97" t="str">
            <v>Loggerstraat 3</v>
          </cell>
        </row>
        <row r="98">
          <cell r="A98" t="str">
            <v>0097</v>
          </cell>
          <cell r="B98" t="str">
            <v>Burchstraat 16A</v>
          </cell>
        </row>
        <row r="99">
          <cell r="A99" t="str">
            <v>0098</v>
          </cell>
          <cell r="B99" t="str">
            <v>Melis Stokezijde 94</v>
          </cell>
        </row>
        <row r="100">
          <cell r="A100" t="str">
            <v>0099</v>
          </cell>
          <cell r="B100" t="str">
            <v>Steenen Dijck 87</v>
          </cell>
        </row>
        <row r="101">
          <cell r="A101" t="str">
            <v>0100</v>
          </cell>
          <cell r="B101" t="str">
            <v>Molenweg 135</v>
          </cell>
        </row>
        <row r="102">
          <cell r="A102" t="str">
            <v>0101</v>
          </cell>
          <cell r="B102" t="str">
            <v>Moureauveld 8</v>
          </cell>
        </row>
        <row r="103">
          <cell r="A103" t="str">
            <v>0102</v>
          </cell>
          <cell r="B103" t="str">
            <v>Narcissenstraat 9</v>
          </cell>
        </row>
        <row r="104">
          <cell r="A104" t="str">
            <v>0103</v>
          </cell>
          <cell r="B104" t="str">
            <v xml:space="preserve">Narcissenstraat 23 </v>
          </cell>
        </row>
        <row r="105">
          <cell r="A105" t="str">
            <v>0104</v>
          </cell>
          <cell r="B105" t="str">
            <v>Narcissenstraat 37</v>
          </cell>
        </row>
        <row r="106">
          <cell r="A106" t="str">
            <v>0105</v>
          </cell>
          <cell r="B106" t="str">
            <v>Wieldraaierstraat 39</v>
          </cell>
        </row>
        <row r="107">
          <cell r="A107" t="str">
            <v>0106</v>
          </cell>
          <cell r="B107" t="str">
            <v>Prinses Wilhelminastraat 9</v>
          </cell>
        </row>
        <row r="108">
          <cell r="A108" t="str">
            <v>0107</v>
          </cell>
          <cell r="B108" t="str">
            <v>Hoefslag 8</v>
          </cell>
        </row>
        <row r="109">
          <cell r="A109" t="str">
            <v>0108</v>
          </cell>
          <cell r="B109" t="str">
            <v>Nieuwe Zeedijk 1K 308</v>
          </cell>
        </row>
        <row r="110">
          <cell r="A110" t="str">
            <v>0109</v>
          </cell>
          <cell r="B110" t="str">
            <v>Geldersestraat 91</v>
          </cell>
        </row>
        <row r="111">
          <cell r="A111" t="str">
            <v>0110</v>
          </cell>
          <cell r="B111" t="str">
            <v>Opaal 9</v>
          </cell>
        </row>
        <row r="112">
          <cell r="A112" t="str">
            <v>0111</v>
          </cell>
          <cell r="B112" t="str">
            <v>Oosterstraat 89</v>
          </cell>
        </row>
        <row r="113">
          <cell r="A113" t="str">
            <v>0112</v>
          </cell>
          <cell r="B113" t="str">
            <v>Oudewefslaan 84</v>
          </cell>
        </row>
        <row r="114">
          <cell r="A114" t="str">
            <v>0113</v>
          </cell>
          <cell r="B114" t="str">
            <v>Peursumseweg 119A</v>
          </cell>
        </row>
        <row r="115">
          <cell r="A115" t="str">
            <v>0114</v>
          </cell>
          <cell r="B115" t="str">
            <v>Piersonstraat 8</v>
          </cell>
        </row>
        <row r="116">
          <cell r="A116" t="str">
            <v>0115</v>
          </cell>
          <cell r="B116" t="str">
            <v>Poppestraat 59</v>
          </cell>
        </row>
        <row r="117">
          <cell r="A117" t="str">
            <v>0116</v>
          </cell>
          <cell r="B117" t="str">
            <v>Prins Bernhardstraat 40</v>
          </cell>
        </row>
        <row r="118">
          <cell r="A118" t="str">
            <v>0117</v>
          </cell>
          <cell r="B118" t="str">
            <v>Prunuslaan 36</v>
          </cell>
        </row>
        <row r="119">
          <cell r="A119" t="str">
            <v>0118</v>
          </cell>
          <cell r="B119" t="str">
            <v>Marathonlaan 26</v>
          </cell>
        </row>
        <row r="120">
          <cell r="A120" t="str">
            <v>0119</v>
          </cell>
          <cell r="B120" t="str">
            <v>Koningin Julianastraat 27</v>
          </cell>
        </row>
        <row r="121">
          <cell r="A121" t="str">
            <v>0120</v>
          </cell>
          <cell r="B121" t="str">
            <v>De Plaats 10</v>
          </cell>
        </row>
        <row r="122">
          <cell r="A122" t="str">
            <v>0121</v>
          </cell>
          <cell r="B122" t="str">
            <v>Rivierdijk 794</v>
          </cell>
        </row>
        <row r="123">
          <cell r="A123" t="str">
            <v>0122</v>
          </cell>
          <cell r="B123" t="str">
            <v xml:space="preserve">Kethelweg 66B </v>
          </cell>
        </row>
        <row r="124">
          <cell r="A124" t="str">
            <v>0123</v>
          </cell>
          <cell r="B124" t="str">
            <v>Snecanusstraat 12</v>
          </cell>
        </row>
        <row r="125">
          <cell r="A125" t="str">
            <v>0124</v>
          </cell>
          <cell r="B125" t="str">
            <v>Snoekenveen 242</v>
          </cell>
        </row>
        <row r="126">
          <cell r="A126" t="str">
            <v>0125</v>
          </cell>
          <cell r="B126" t="str">
            <v>Korte Singelstraat 21-3</v>
          </cell>
        </row>
        <row r="127">
          <cell r="A127" t="str">
            <v>0126</v>
          </cell>
          <cell r="B127" t="str">
            <v>Korte Singelstraat 21-2</v>
          </cell>
        </row>
        <row r="128">
          <cell r="A128" t="str">
            <v>0127</v>
          </cell>
          <cell r="B128" t="str">
            <v>Struitenweg 19b</v>
          </cell>
        </row>
        <row r="129">
          <cell r="A129" t="str">
            <v>0128</v>
          </cell>
          <cell r="B129" t="str">
            <v>Tesselschadelaan 45</v>
          </cell>
        </row>
        <row r="130">
          <cell r="A130" t="str">
            <v>0129</v>
          </cell>
          <cell r="B130" t="str">
            <v xml:space="preserve">Utrechtse straatweg 7 </v>
          </cell>
        </row>
        <row r="131">
          <cell r="A131" t="str">
            <v>0130</v>
          </cell>
          <cell r="B131" t="str">
            <v>Van Langedonckstraat 80</v>
          </cell>
        </row>
        <row r="132">
          <cell r="A132" t="str">
            <v>0131</v>
          </cell>
          <cell r="B132" t="str">
            <v xml:space="preserve">Chopinstraat 35A </v>
          </cell>
        </row>
        <row r="133">
          <cell r="A133" t="str">
            <v>0132</v>
          </cell>
          <cell r="B133" t="str">
            <v>Voeghoutenstraat 236</v>
          </cell>
        </row>
        <row r="134">
          <cell r="A134" t="str">
            <v>0133</v>
          </cell>
          <cell r="B134" t="str">
            <v>Herenpad 20 A</v>
          </cell>
        </row>
        <row r="135">
          <cell r="A135" t="str">
            <v>0134</v>
          </cell>
          <cell r="B135" t="str">
            <v>Herenpad 20 B</v>
          </cell>
        </row>
        <row r="136">
          <cell r="A136" t="str">
            <v>0135</v>
          </cell>
          <cell r="B136" t="str">
            <v>Ampèrestraat 36A</v>
          </cell>
        </row>
        <row r="137">
          <cell r="A137" t="str">
            <v>0136</v>
          </cell>
          <cell r="B137" t="str">
            <v>Elisadonk 220</v>
          </cell>
        </row>
        <row r="138">
          <cell r="A138" t="str">
            <v>0137</v>
          </cell>
          <cell r="B138" t="str">
            <v>Venkelstraat 29A</v>
          </cell>
        </row>
        <row r="139">
          <cell r="A139" t="str">
            <v>0138</v>
          </cell>
          <cell r="B139" t="str">
            <v>Westercluft 134</v>
          </cell>
        </row>
        <row r="140">
          <cell r="A140" t="str">
            <v>0139</v>
          </cell>
          <cell r="B140" t="str">
            <v xml:space="preserve">Wilgensingel 63 </v>
          </cell>
        </row>
        <row r="141">
          <cell r="A141" t="str">
            <v>0140</v>
          </cell>
          <cell r="B141" t="str">
            <v>Wilgenstraat 37</v>
          </cell>
        </row>
        <row r="142">
          <cell r="A142" t="str">
            <v>0141</v>
          </cell>
          <cell r="B142" t="str">
            <v>Wilhelminastraat 8</v>
          </cell>
        </row>
        <row r="143">
          <cell r="A143" t="str">
            <v>0142</v>
          </cell>
          <cell r="B143" t="str">
            <v>Wilhelmina Druckerstraat 68</v>
          </cell>
        </row>
        <row r="144">
          <cell r="A144" t="str">
            <v>0143</v>
          </cell>
          <cell r="B144" t="str">
            <v>Willem Lodewijkstraat 8</v>
          </cell>
        </row>
        <row r="145">
          <cell r="A145" t="str">
            <v>0144</v>
          </cell>
          <cell r="B145" t="str">
            <v>Scheepjesbrug 433</v>
          </cell>
        </row>
        <row r="146">
          <cell r="A146" t="str">
            <v>0145</v>
          </cell>
          <cell r="B146" t="str">
            <v>Wouwbaan 230</v>
          </cell>
        </row>
        <row r="147">
          <cell r="A147" t="str">
            <v>0146</v>
          </cell>
          <cell r="B147" t="str">
            <v>Johan Willem Frisostraat 36</v>
          </cell>
        </row>
        <row r="148">
          <cell r="A148" t="str">
            <v>0147</v>
          </cell>
          <cell r="B148" t="str">
            <v>Hugo de Grootstraat 72A &amp; B</v>
          </cell>
        </row>
        <row r="149">
          <cell r="A149" t="str">
            <v>0148</v>
          </cell>
          <cell r="B149" t="str">
            <v>2e Maasbosstraat 2 a</v>
          </cell>
        </row>
        <row r="150">
          <cell r="A150" t="str">
            <v>0149</v>
          </cell>
          <cell r="B150" t="str">
            <v>2e Maasbosstraat 2 b</v>
          </cell>
        </row>
        <row r="151">
          <cell r="A151" t="str">
            <v>0150</v>
          </cell>
          <cell r="B151" t="str">
            <v>2e Maasbosstraat 2 c</v>
          </cell>
        </row>
        <row r="152">
          <cell r="A152" t="str">
            <v>0151</v>
          </cell>
          <cell r="B152" t="str">
            <v>Datheenstraat 255</v>
          </cell>
        </row>
        <row r="153">
          <cell r="A153" t="str">
            <v>0152</v>
          </cell>
          <cell r="B153" t="str">
            <v>Beeklaan 294</v>
          </cell>
        </row>
        <row r="154">
          <cell r="A154" t="str">
            <v>0153</v>
          </cell>
          <cell r="B154" t="str">
            <v>Deensestraat 6A2</v>
          </cell>
        </row>
        <row r="155">
          <cell r="A155" t="str">
            <v>0154</v>
          </cell>
          <cell r="B155" t="str">
            <v>Rubensplein 6B3</v>
          </cell>
        </row>
        <row r="156">
          <cell r="A156" t="str">
            <v>0155</v>
          </cell>
          <cell r="B156" t="str">
            <v>Broersveld 150A</v>
          </cell>
        </row>
        <row r="157">
          <cell r="A157" t="str">
            <v>0156</v>
          </cell>
          <cell r="B157" t="str">
            <v>Broersvest 74 c</v>
          </cell>
        </row>
        <row r="158">
          <cell r="A158" t="str">
            <v>0157</v>
          </cell>
          <cell r="B158" t="str">
            <v>Kuipers-Rietbergpad 15</v>
          </cell>
        </row>
        <row r="159">
          <cell r="A159" t="str">
            <v>0158</v>
          </cell>
          <cell r="B159" t="str">
            <v>Visartstraat 31</v>
          </cell>
        </row>
        <row r="160">
          <cell r="A160" t="str">
            <v>0159</v>
          </cell>
          <cell r="B160" t="str">
            <v>Kastanjelaan 232</v>
          </cell>
        </row>
        <row r="161">
          <cell r="A161" t="str">
            <v>0160</v>
          </cell>
          <cell r="B161" t="str">
            <v>Chopinstraat 33C</v>
          </cell>
        </row>
        <row r="162">
          <cell r="A162" t="str">
            <v>0161</v>
          </cell>
          <cell r="B162" t="str">
            <v>Willem de Rijkelaan 134</v>
          </cell>
        </row>
        <row r="163">
          <cell r="A163" t="str">
            <v>0162</v>
          </cell>
          <cell r="B163" t="str">
            <v xml:space="preserve">Coornhertstraat 95 </v>
          </cell>
        </row>
        <row r="164">
          <cell r="A164" t="str">
            <v>0163</v>
          </cell>
          <cell r="B164" t="str">
            <v>Curacaolaan 24</v>
          </cell>
        </row>
        <row r="165">
          <cell r="A165" t="str">
            <v>0164</v>
          </cell>
          <cell r="B165" t="str">
            <v>Sint-Annalandstraat 116</v>
          </cell>
        </row>
        <row r="166">
          <cell r="A166" t="str">
            <v>0165</v>
          </cell>
          <cell r="B166" t="str">
            <v>De Driesprong 17</v>
          </cell>
        </row>
        <row r="167">
          <cell r="A167" t="str">
            <v>0166</v>
          </cell>
          <cell r="B167" t="str">
            <v>Nieuwkerstraat 78</v>
          </cell>
        </row>
        <row r="168">
          <cell r="A168" t="str">
            <v>0167</v>
          </cell>
          <cell r="B168" t="str">
            <v>Vogelschorstraat 24</v>
          </cell>
        </row>
        <row r="169">
          <cell r="A169" t="str">
            <v>0168</v>
          </cell>
          <cell r="B169" t="str">
            <v>Engelsestraat 16L1</v>
          </cell>
        </row>
        <row r="170">
          <cell r="A170" t="str">
            <v>0169</v>
          </cell>
          <cell r="B170" t="str">
            <v>de Genestetstraat 32</v>
          </cell>
        </row>
        <row r="171">
          <cell r="A171" t="str">
            <v>0170</v>
          </cell>
          <cell r="B171" t="str">
            <v>Goudestein 30</v>
          </cell>
        </row>
        <row r="172">
          <cell r="A172" t="str">
            <v>0171</v>
          </cell>
          <cell r="B172" t="str">
            <v>Wijdstraat 13</v>
          </cell>
        </row>
        <row r="173">
          <cell r="A173" t="str">
            <v>0172</v>
          </cell>
          <cell r="B173" t="str">
            <v>Groeneweg 127</v>
          </cell>
        </row>
        <row r="174">
          <cell r="A174" t="str">
            <v>0173</v>
          </cell>
          <cell r="B174" t="str">
            <v xml:space="preserve">Groeneweg 71 </v>
          </cell>
        </row>
        <row r="175">
          <cell r="A175" t="str">
            <v>0174</v>
          </cell>
          <cell r="B175" t="str">
            <v>Groeneweg 74</v>
          </cell>
        </row>
        <row r="176">
          <cell r="A176" t="str">
            <v>0175</v>
          </cell>
          <cell r="B176" t="str">
            <v>Hagastraat 8</v>
          </cell>
        </row>
        <row r="177">
          <cell r="A177" t="str">
            <v>0176</v>
          </cell>
          <cell r="B177" t="str">
            <v xml:space="preserve">Herautpad 22 </v>
          </cell>
        </row>
        <row r="178">
          <cell r="A178" t="str">
            <v>0177</v>
          </cell>
          <cell r="B178" t="str">
            <v>Hoge Noordweg 27B</v>
          </cell>
        </row>
        <row r="179">
          <cell r="A179" t="str">
            <v>0178</v>
          </cell>
          <cell r="B179" t="str">
            <v>Hoge Noordweg 28</v>
          </cell>
        </row>
        <row r="180">
          <cell r="A180" t="str">
            <v>0179</v>
          </cell>
          <cell r="B180" t="str">
            <v>Rooseveltlaan 185</v>
          </cell>
        </row>
        <row r="181">
          <cell r="A181" t="str">
            <v>0180</v>
          </cell>
          <cell r="B181" t="str">
            <v>Liesveld 100</v>
          </cell>
        </row>
        <row r="182">
          <cell r="A182" t="str">
            <v>0181</v>
          </cell>
          <cell r="B182" t="str">
            <v>Hontenissestraat 124</v>
          </cell>
        </row>
        <row r="183">
          <cell r="A183" t="str">
            <v>0182</v>
          </cell>
          <cell r="B183" t="str">
            <v>Malzwin 34</v>
          </cell>
        </row>
        <row r="184">
          <cell r="A184" t="str">
            <v>0183</v>
          </cell>
          <cell r="B184" t="str">
            <v xml:space="preserve">Hugo de Vriesstraat 54 </v>
          </cell>
        </row>
        <row r="185">
          <cell r="A185" t="str">
            <v>0184</v>
          </cell>
          <cell r="B185" t="str">
            <v>Mathenesserdijk 261-C03</v>
          </cell>
        </row>
        <row r="186">
          <cell r="A186" t="str">
            <v>0185</v>
          </cell>
          <cell r="B186" t="str">
            <v>Laan van Nieuw Blankenburg 328</v>
          </cell>
        </row>
        <row r="187">
          <cell r="A187" t="str">
            <v>0186</v>
          </cell>
          <cell r="B187" t="str">
            <v xml:space="preserve">Woutersweg 20 </v>
          </cell>
        </row>
        <row r="188">
          <cell r="A188" t="str">
            <v>0187</v>
          </cell>
          <cell r="B188" t="str">
            <v>Jacob van Lennepstraat 13 A</v>
          </cell>
        </row>
        <row r="189">
          <cell r="A189" t="str">
            <v>0188</v>
          </cell>
          <cell r="B189" t="str">
            <v>Jacob van Lennepstraat 13 b</v>
          </cell>
        </row>
        <row r="190">
          <cell r="A190" t="str">
            <v>0189</v>
          </cell>
          <cell r="B190" t="str">
            <v>Jacob van Lennepstraat 34</v>
          </cell>
        </row>
        <row r="191">
          <cell r="A191" t="str">
            <v>0190</v>
          </cell>
          <cell r="B191" t="str">
            <v>Achterdijk 47A</v>
          </cell>
        </row>
        <row r="192">
          <cell r="A192" t="str">
            <v>0191</v>
          </cell>
          <cell r="B192" t="str">
            <v>Jan van Arkelstraat 118</v>
          </cell>
        </row>
        <row r="193">
          <cell r="A193" t="str">
            <v>0192</v>
          </cell>
          <cell r="B193" t="str">
            <v xml:space="preserve">Kaapsebos 11 </v>
          </cell>
        </row>
        <row r="194">
          <cell r="A194" t="str">
            <v>0193</v>
          </cell>
          <cell r="B194" t="str">
            <v>Kapershoek 11</v>
          </cell>
        </row>
        <row r="195">
          <cell r="A195" t="str">
            <v>0194</v>
          </cell>
          <cell r="B195" t="str">
            <v>Keesomstraat 22</v>
          </cell>
        </row>
        <row r="196">
          <cell r="A196" t="str">
            <v>0195</v>
          </cell>
          <cell r="B196" t="str">
            <v xml:space="preserve">Keesomstraat 50 </v>
          </cell>
        </row>
        <row r="197">
          <cell r="A197" t="str">
            <v>0196</v>
          </cell>
          <cell r="B197" t="str">
            <v>Keesomstraat 54</v>
          </cell>
        </row>
        <row r="198">
          <cell r="A198" t="str">
            <v>0197</v>
          </cell>
          <cell r="B198" t="str">
            <v>Scheepjesbrug 814</v>
          </cell>
        </row>
        <row r="199">
          <cell r="A199" t="str">
            <v>0198</v>
          </cell>
          <cell r="B199" t="str">
            <v>Krabbendijkestraat 456</v>
          </cell>
        </row>
        <row r="200">
          <cell r="A200" t="str">
            <v>0199</v>
          </cell>
          <cell r="B200" t="str">
            <v>Kerstendijk 125</v>
          </cell>
        </row>
        <row r="201">
          <cell r="A201" t="str">
            <v>0200</v>
          </cell>
          <cell r="B201" t="str">
            <v>Stal 355</v>
          </cell>
        </row>
        <row r="202">
          <cell r="A202" t="str">
            <v>0201</v>
          </cell>
          <cell r="B202" t="str">
            <v>Amberberg 14</v>
          </cell>
        </row>
        <row r="203">
          <cell r="A203" t="str">
            <v>0202</v>
          </cell>
          <cell r="B203" t="str">
            <v>Kimbrenoord 15</v>
          </cell>
        </row>
        <row r="204">
          <cell r="A204" t="str">
            <v>0203</v>
          </cell>
          <cell r="B204" t="str">
            <v>Dorpstraat 48</v>
          </cell>
        </row>
        <row r="205">
          <cell r="A205" t="str">
            <v>0204</v>
          </cell>
          <cell r="B205" t="str">
            <v xml:space="preserve">Punter 22 34 </v>
          </cell>
        </row>
        <row r="206">
          <cell r="A206" t="str">
            <v>0205</v>
          </cell>
          <cell r="B206" t="str">
            <v xml:space="preserve">Kreekrug 1 </v>
          </cell>
        </row>
        <row r="207">
          <cell r="A207" t="str">
            <v>0206</v>
          </cell>
          <cell r="B207" t="str">
            <v>Kruiningenstraat 152</v>
          </cell>
        </row>
        <row r="208">
          <cell r="A208" t="str">
            <v>0207</v>
          </cell>
          <cell r="B208" t="str">
            <v>Kwikstaartweg 45</v>
          </cell>
        </row>
        <row r="209">
          <cell r="A209" t="str">
            <v>0208</v>
          </cell>
          <cell r="B209" t="str">
            <v>Mr. L.A. Kesperweg 31A</v>
          </cell>
        </row>
        <row r="210">
          <cell r="A210" t="str">
            <v>0209</v>
          </cell>
          <cell r="B210" t="str">
            <v>Laan van Adrichem 12</v>
          </cell>
        </row>
        <row r="211">
          <cell r="A211" t="str">
            <v>0210</v>
          </cell>
          <cell r="B211" t="str">
            <v>Lorentzstraat 73</v>
          </cell>
        </row>
        <row r="212">
          <cell r="A212" t="str">
            <v>0211</v>
          </cell>
          <cell r="B212" t="str">
            <v xml:space="preserve">Maasdijk 206 </v>
          </cell>
        </row>
        <row r="213">
          <cell r="A213" t="str">
            <v>0212</v>
          </cell>
          <cell r="B213" t="str">
            <v>Wijngaard 66</v>
          </cell>
        </row>
        <row r="214">
          <cell r="A214" t="str">
            <v>0213</v>
          </cell>
          <cell r="B214" t="str">
            <v>Mr. Troelstrastraat 11</v>
          </cell>
        </row>
        <row r="215">
          <cell r="A215" t="str">
            <v>0214</v>
          </cell>
          <cell r="B215" t="str">
            <v>Mendelssohnplein 13D</v>
          </cell>
        </row>
        <row r="216">
          <cell r="A216" t="str">
            <v>0215</v>
          </cell>
          <cell r="B216" t="str">
            <v>Mendelssohnplein 10C</v>
          </cell>
        </row>
        <row r="217">
          <cell r="A217" t="str">
            <v>0216</v>
          </cell>
          <cell r="B217" t="str">
            <v>Mendelssohnplein 46a</v>
          </cell>
        </row>
        <row r="218">
          <cell r="A218" t="str">
            <v>0217</v>
          </cell>
          <cell r="B218" t="str">
            <v>Middelrode 8</v>
          </cell>
        </row>
        <row r="219">
          <cell r="A219" t="str">
            <v>0218</v>
          </cell>
          <cell r="B219" t="str">
            <v>P.F. Catsstraat 8</v>
          </cell>
        </row>
        <row r="220">
          <cell r="A220" t="str">
            <v>0219</v>
          </cell>
          <cell r="B220" t="str">
            <v>Miltonstraat 55</v>
          </cell>
        </row>
        <row r="221">
          <cell r="A221" t="str">
            <v>0220</v>
          </cell>
          <cell r="B221" t="str">
            <v>Miltonstraat 85</v>
          </cell>
        </row>
        <row r="222">
          <cell r="A222" t="str">
            <v>0221</v>
          </cell>
          <cell r="B222" t="str">
            <v>Molenstraat 10</v>
          </cell>
        </row>
        <row r="223">
          <cell r="A223" t="str">
            <v>0222</v>
          </cell>
          <cell r="B223" t="str">
            <v>Molenstraat 23</v>
          </cell>
        </row>
        <row r="224">
          <cell r="A224" t="str">
            <v>0223</v>
          </cell>
          <cell r="B224" t="str">
            <v>Acacialaan 9</v>
          </cell>
        </row>
        <row r="225">
          <cell r="A225" t="str">
            <v>0224</v>
          </cell>
          <cell r="B225" t="str">
            <v>Nicolaas Beetsstraat 29</v>
          </cell>
        </row>
        <row r="226">
          <cell r="A226" t="str">
            <v>0225</v>
          </cell>
          <cell r="B226" t="str">
            <v>Kerkwerversingel 127</v>
          </cell>
        </row>
        <row r="227">
          <cell r="A227" t="str">
            <v>0226</v>
          </cell>
          <cell r="B227" t="str">
            <v>Rivierdijk 793</v>
          </cell>
        </row>
        <row r="228">
          <cell r="A228" t="str">
            <v>0227</v>
          </cell>
          <cell r="B228" t="str">
            <v xml:space="preserve">Oostlaan 3 </v>
          </cell>
        </row>
        <row r="229">
          <cell r="A229" t="str">
            <v>0228</v>
          </cell>
          <cell r="B229" t="str">
            <v xml:space="preserve">Parallelweg 122A </v>
          </cell>
        </row>
        <row r="230">
          <cell r="A230" t="str">
            <v>0229</v>
          </cell>
          <cell r="B230" t="str">
            <v>Parallelweg 98B</v>
          </cell>
        </row>
        <row r="231">
          <cell r="A231" t="str">
            <v>0230</v>
          </cell>
          <cell r="B231" t="str">
            <v>Pasteursingel 61B</v>
          </cell>
        </row>
        <row r="232">
          <cell r="A232" t="str">
            <v>0231</v>
          </cell>
          <cell r="B232" t="str">
            <v>Platostraat 80</v>
          </cell>
        </row>
        <row r="233">
          <cell r="A233" t="str">
            <v>0232</v>
          </cell>
          <cell r="B233" t="str">
            <v>Zuidhoek 209D</v>
          </cell>
        </row>
        <row r="234">
          <cell r="A234" t="str">
            <v>0233</v>
          </cell>
          <cell r="B234" t="str">
            <v>Rembrandtstraat 20B</v>
          </cell>
        </row>
        <row r="235">
          <cell r="A235" t="str">
            <v>0234</v>
          </cell>
          <cell r="B235" t="str">
            <v>Rotterdamsedijk 154B</v>
          </cell>
        </row>
        <row r="236">
          <cell r="A236" t="str">
            <v>0235</v>
          </cell>
          <cell r="B236" t="str">
            <v>Rubensplein 3 B</v>
          </cell>
        </row>
        <row r="237">
          <cell r="A237" t="str">
            <v>0236</v>
          </cell>
          <cell r="B237" t="str">
            <v xml:space="preserve">Schalkeroord 389 </v>
          </cell>
        </row>
        <row r="238">
          <cell r="A238" t="str">
            <v>0237</v>
          </cell>
          <cell r="B238" t="str">
            <v>Schere 238</v>
          </cell>
        </row>
        <row r="239">
          <cell r="A239" t="str">
            <v>0238</v>
          </cell>
          <cell r="B239" t="str">
            <v xml:space="preserve">Van der Werffstraat 370 </v>
          </cell>
        </row>
        <row r="240">
          <cell r="A240" t="str">
            <v>0239</v>
          </cell>
          <cell r="B240" t="str">
            <v>Schoonegge 110</v>
          </cell>
        </row>
        <row r="241">
          <cell r="A241" t="str">
            <v>0240</v>
          </cell>
          <cell r="B241" t="str">
            <v>Schoonegge 84</v>
          </cell>
        </row>
        <row r="242">
          <cell r="A242" t="str">
            <v>0241</v>
          </cell>
          <cell r="B242" t="str">
            <v>van der Werffstraat 166</v>
          </cell>
        </row>
        <row r="243">
          <cell r="A243" t="str">
            <v>0242</v>
          </cell>
          <cell r="B243" t="str">
            <v>Sint Liduinastraat 76 A</v>
          </cell>
        </row>
        <row r="244">
          <cell r="A244" t="str">
            <v>0243</v>
          </cell>
          <cell r="B244" t="str">
            <v>Sint Liduinastraat 80A</v>
          </cell>
        </row>
        <row r="245">
          <cell r="A245" t="str">
            <v>0244</v>
          </cell>
          <cell r="B245" t="str">
            <v>Sint Liduinastraat 80B</v>
          </cell>
        </row>
        <row r="246">
          <cell r="A246" t="str">
            <v>0245</v>
          </cell>
          <cell r="B246" t="str">
            <v>van der Werffstraat 240</v>
          </cell>
        </row>
        <row r="247">
          <cell r="A247" t="str">
            <v>0246</v>
          </cell>
          <cell r="B247" t="str">
            <v>Socratesstraat 168</v>
          </cell>
        </row>
        <row r="248">
          <cell r="A248" t="str">
            <v>0247</v>
          </cell>
          <cell r="B248" t="str">
            <v>Spoorsingel 154b</v>
          </cell>
        </row>
        <row r="249">
          <cell r="A249">
            <v>248</v>
          </cell>
          <cell r="B249" t="str">
            <v>van der Waalsstraat 16</v>
          </cell>
        </row>
        <row r="250">
          <cell r="A250" t="str">
            <v>0249</v>
          </cell>
          <cell r="B250" t="str">
            <v>Tholenstraat 114</v>
          </cell>
        </row>
        <row r="251">
          <cell r="A251" t="str">
            <v>0250</v>
          </cell>
          <cell r="B251" t="str">
            <v>van der Waalsstraat 70</v>
          </cell>
        </row>
        <row r="252">
          <cell r="A252" t="str">
            <v>0251</v>
          </cell>
          <cell r="B252" t="str">
            <v>Pasteursingel 61B</v>
          </cell>
        </row>
        <row r="253">
          <cell r="A253" t="str">
            <v>0252</v>
          </cell>
          <cell r="B253" t="str">
            <v xml:space="preserve">Middenbaan Noord 18B </v>
          </cell>
        </row>
        <row r="254">
          <cell r="A254" t="str">
            <v>0253</v>
          </cell>
          <cell r="B254" t="str">
            <v>Middenbaan Noord 18C</v>
          </cell>
        </row>
        <row r="255">
          <cell r="A255" t="str">
            <v>0254</v>
          </cell>
          <cell r="B255" t="str">
            <v>Middenbaan Noord 20A</v>
          </cell>
        </row>
        <row r="256">
          <cell r="A256" t="str">
            <v>0255</v>
          </cell>
          <cell r="B256" t="str">
            <v>Middenbaan Noord 20B</v>
          </cell>
        </row>
        <row r="257">
          <cell r="A257" t="str">
            <v>0256</v>
          </cell>
          <cell r="B257" t="str">
            <v>Middenbaan Noord 20C</v>
          </cell>
        </row>
        <row r="258">
          <cell r="A258" t="str">
            <v>0257</v>
          </cell>
          <cell r="B258" t="str">
            <v>Middenbaan Noord 22A</v>
          </cell>
        </row>
        <row r="259">
          <cell r="A259" t="str">
            <v>0258</v>
          </cell>
          <cell r="B259" t="str">
            <v>Middenbaan Noord 22B</v>
          </cell>
        </row>
        <row r="260">
          <cell r="A260" t="str">
            <v>0259</v>
          </cell>
          <cell r="B260" t="str">
            <v xml:space="preserve">Middenbaan Noord 22C </v>
          </cell>
        </row>
        <row r="261">
          <cell r="A261" t="str">
            <v>0260</v>
          </cell>
          <cell r="B261" t="str">
            <v>Persoonsdam 176</v>
          </cell>
        </row>
        <row r="262">
          <cell r="A262" t="str">
            <v>0261</v>
          </cell>
          <cell r="B262" t="str">
            <v>Persoonsdam 177</v>
          </cell>
        </row>
        <row r="263">
          <cell r="A263" t="str">
            <v>0262</v>
          </cell>
          <cell r="B263" t="str">
            <v>Persoonsdam 178</v>
          </cell>
        </row>
        <row r="264">
          <cell r="A264" t="str">
            <v>0263</v>
          </cell>
          <cell r="B264" t="str">
            <v>Persoonsdam 179</v>
          </cell>
        </row>
        <row r="265">
          <cell r="A265" t="str">
            <v>0264</v>
          </cell>
          <cell r="B265" t="str">
            <v>Persoonsdam 180</v>
          </cell>
        </row>
        <row r="266">
          <cell r="A266" t="str">
            <v>0265</v>
          </cell>
          <cell r="B266" t="str">
            <v>Persoonsdam 181</v>
          </cell>
        </row>
        <row r="267">
          <cell r="A267" t="str">
            <v>0266</v>
          </cell>
          <cell r="B267" t="str">
            <v>Persoonsdam 182</v>
          </cell>
        </row>
        <row r="268">
          <cell r="A268" t="str">
            <v>0267</v>
          </cell>
          <cell r="B268" t="str">
            <v>Persoonsdam 194</v>
          </cell>
        </row>
        <row r="269">
          <cell r="A269" t="str">
            <v>0268</v>
          </cell>
          <cell r="B269" t="str">
            <v>Persoonsdam 198</v>
          </cell>
        </row>
        <row r="270">
          <cell r="A270" t="str">
            <v>0269</v>
          </cell>
          <cell r="B270" t="str">
            <v>Professor Kamerlingh Onneslaan 134 A</v>
          </cell>
        </row>
        <row r="271">
          <cell r="A271" t="str">
            <v>0270</v>
          </cell>
          <cell r="B271" t="str">
            <v>Professor Kamerlingh Onneslaan 134 B1</v>
          </cell>
        </row>
        <row r="272">
          <cell r="A272" t="str">
            <v>0271</v>
          </cell>
          <cell r="B272" t="str">
            <v>Professor Kamerlingh Onneslaan 134 B2</v>
          </cell>
        </row>
        <row r="273">
          <cell r="A273" t="str">
            <v>0272</v>
          </cell>
          <cell r="B273" t="str">
            <v>Professor Kamerlingh Onneslaan 134 B3</v>
          </cell>
        </row>
        <row r="274">
          <cell r="A274" t="str">
            <v>0273</v>
          </cell>
          <cell r="B274" t="str">
            <v>Fenacoliuslaan 56B</v>
          </cell>
        </row>
        <row r="275">
          <cell r="A275" t="str">
            <v>0274</v>
          </cell>
          <cell r="B275" t="str">
            <v>Karel Doormanlaan 21A</v>
          </cell>
        </row>
        <row r="276">
          <cell r="A276" t="str">
            <v>0275</v>
          </cell>
          <cell r="B276" t="str">
            <v>Burgemeester Crezeelaan 76</v>
          </cell>
        </row>
        <row r="277">
          <cell r="A277" t="str">
            <v>0276</v>
          </cell>
          <cell r="B277" t="str">
            <v>Burgemeester Cramerlaan 82</v>
          </cell>
        </row>
        <row r="278">
          <cell r="A278" t="str">
            <v>0277</v>
          </cell>
          <cell r="B278" t="str">
            <v>Gerberalaan 113</v>
          </cell>
        </row>
        <row r="279">
          <cell r="A279" t="str">
            <v>0278</v>
          </cell>
          <cell r="B279" t="str">
            <v>Lange Broekweg 46</v>
          </cell>
        </row>
        <row r="280">
          <cell r="A280" t="str">
            <v>0279</v>
          </cell>
          <cell r="B280" t="str">
            <v>Haagkamp 11</v>
          </cell>
        </row>
        <row r="281">
          <cell r="A281" t="str">
            <v>0280</v>
          </cell>
          <cell r="B281" t="str">
            <v>Bovendijk 59</v>
          </cell>
        </row>
        <row r="282">
          <cell r="A282" t="str">
            <v>0281</v>
          </cell>
          <cell r="B282" t="str">
            <v>Bovendijk 61</v>
          </cell>
        </row>
        <row r="283">
          <cell r="A283" t="str">
            <v>0282</v>
          </cell>
          <cell r="B283" t="str">
            <v>Madeweg 25C</v>
          </cell>
        </row>
        <row r="284">
          <cell r="A284" t="str">
            <v>0283</v>
          </cell>
          <cell r="B284" t="str">
            <v>Madeweg 35A</v>
          </cell>
        </row>
        <row r="285">
          <cell r="A285" t="str">
            <v>0284</v>
          </cell>
          <cell r="B285" t="str">
            <v>Molenweg 3A</v>
          </cell>
        </row>
        <row r="286">
          <cell r="A286" t="str">
            <v>0285</v>
          </cell>
          <cell r="B286" t="str">
            <v>Poeldijkseweg 27</v>
          </cell>
        </row>
        <row r="287">
          <cell r="A287" t="str">
            <v>0286</v>
          </cell>
          <cell r="B287" t="str">
            <v>Waellandweg 12</v>
          </cell>
        </row>
        <row r="288">
          <cell r="A288" t="str">
            <v>0287</v>
          </cell>
          <cell r="B288" t="str">
            <v>Prins Willemweg 2</v>
          </cell>
        </row>
        <row r="289">
          <cell r="A289" t="str">
            <v>0288</v>
          </cell>
          <cell r="B289" t="str">
            <v>De Haak, Zekkenstraat 31A</v>
          </cell>
        </row>
        <row r="290">
          <cell r="A290" t="str">
            <v>0289</v>
          </cell>
          <cell r="B290" t="str">
            <v>De Haak, Zekkenstraat 31B</v>
          </cell>
        </row>
        <row r="291">
          <cell r="A291" t="str">
            <v>0290</v>
          </cell>
          <cell r="B291" t="str">
            <v>De Haak, Zekkenstraat 56</v>
          </cell>
        </row>
        <row r="292">
          <cell r="A292" t="str">
            <v>0291</v>
          </cell>
          <cell r="B292" t="str">
            <v>Koperwerf 28</v>
          </cell>
        </row>
        <row r="293">
          <cell r="A293" t="str">
            <v>0292</v>
          </cell>
          <cell r="B293" t="str">
            <v>Burgemeester Stulemeijerlaan 71</v>
          </cell>
        </row>
        <row r="294">
          <cell r="A294" t="str">
            <v>0293</v>
          </cell>
          <cell r="B294" t="str">
            <v>Akkerweg 41 [014]</v>
          </cell>
        </row>
        <row r="295">
          <cell r="A295" t="str">
            <v>0294</v>
          </cell>
          <cell r="B295" t="str">
            <v>Akkerweg 41 [015]</v>
          </cell>
        </row>
        <row r="296">
          <cell r="A296" t="str">
            <v>0295</v>
          </cell>
          <cell r="B296" t="str">
            <v>Lorentzstraat 73</v>
          </cell>
        </row>
        <row r="297">
          <cell r="A297" t="str">
            <v>0296</v>
          </cell>
          <cell r="B297" t="str">
            <v>Akkerweg 41 [022]</v>
          </cell>
        </row>
        <row r="298">
          <cell r="A298" t="str">
            <v>0297</v>
          </cell>
          <cell r="B298" t="str">
            <v>Akkerweg 41 [026]</v>
          </cell>
        </row>
        <row r="299">
          <cell r="A299" t="str">
            <v>0298</v>
          </cell>
          <cell r="B299" t="str">
            <v>Akkerweg 41 [031]</v>
          </cell>
        </row>
        <row r="300">
          <cell r="A300" t="str">
            <v>0299</v>
          </cell>
          <cell r="B300" t="str">
            <v>Akkerweg 41 [037]</v>
          </cell>
        </row>
        <row r="301">
          <cell r="A301" t="str">
            <v>0300</v>
          </cell>
          <cell r="B301" t="str">
            <v>Akkerweg 41 [040]</v>
          </cell>
        </row>
        <row r="302">
          <cell r="A302" t="str">
            <v>0301</v>
          </cell>
          <cell r="B302" t="str">
            <v>Akkerweg 41 [041]</v>
          </cell>
        </row>
        <row r="303">
          <cell r="A303" t="str">
            <v>0302</v>
          </cell>
          <cell r="B303" t="str">
            <v>Akkerweg 41 [042]</v>
          </cell>
        </row>
        <row r="304">
          <cell r="A304" t="str">
            <v>0303</v>
          </cell>
          <cell r="B304" t="str">
            <v>Akkerweg 41 [055]</v>
          </cell>
        </row>
        <row r="305">
          <cell r="A305" t="str">
            <v>0304</v>
          </cell>
          <cell r="B305" t="str">
            <v>Akkerweg 41 [056]</v>
          </cell>
        </row>
        <row r="306">
          <cell r="A306" t="str">
            <v>0305</v>
          </cell>
          <cell r="B306" t="str">
            <v>Akkerweg 41 [057]</v>
          </cell>
        </row>
        <row r="307">
          <cell r="A307" t="str">
            <v>0306</v>
          </cell>
          <cell r="B307" t="str">
            <v>Akkerweg 41 [059]</v>
          </cell>
        </row>
        <row r="308">
          <cell r="A308" t="str">
            <v>0307</v>
          </cell>
          <cell r="B308" t="str">
            <v>Akkerweg 41 [075]</v>
          </cell>
        </row>
        <row r="309">
          <cell r="A309" t="str">
            <v>0308</v>
          </cell>
          <cell r="B309" t="str">
            <v>Kerkweg 9a [135]</v>
          </cell>
        </row>
        <row r="310">
          <cell r="A310" t="str">
            <v>0309</v>
          </cell>
          <cell r="B310" t="str">
            <v xml:space="preserve">Kerkweg 9a [137] </v>
          </cell>
        </row>
        <row r="311">
          <cell r="A311" t="str">
            <v>0310</v>
          </cell>
          <cell r="B311" t="str">
            <v>Kerkweg 9a [210]</v>
          </cell>
        </row>
        <row r="312">
          <cell r="A312" t="str">
            <v>0311</v>
          </cell>
          <cell r="B312" t="str">
            <v>Kerkweg 9a [269]</v>
          </cell>
        </row>
        <row r="313">
          <cell r="A313" t="str">
            <v>0312</v>
          </cell>
          <cell r="B313" t="str">
            <v>Kerkweg 9A [333]</v>
          </cell>
        </row>
        <row r="314">
          <cell r="A314" t="str">
            <v>0313</v>
          </cell>
          <cell r="B314" t="str">
            <v>Kerkweg 9A [334]</v>
          </cell>
        </row>
        <row r="315">
          <cell r="A315" t="str">
            <v>0314</v>
          </cell>
          <cell r="B315" t="str">
            <v>Kerkweg 9A [338]</v>
          </cell>
        </row>
        <row r="316">
          <cell r="A316" t="str">
            <v>0315</v>
          </cell>
          <cell r="B316" t="str">
            <v>Kerkweg 9a [342]</v>
          </cell>
        </row>
        <row r="317">
          <cell r="A317" t="str">
            <v>0316</v>
          </cell>
          <cell r="B317" t="str">
            <v>Kerkweg 9a [346]</v>
          </cell>
        </row>
        <row r="318">
          <cell r="A318" t="str">
            <v>0317</v>
          </cell>
          <cell r="B318" t="str">
            <v>Kerkweg 9A [347]</v>
          </cell>
        </row>
        <row r="319">
          <cell r="A319" t="str">
            <v>0318</v>
          </cell>
          <cell r="B319" t="str">
            <v>Kerkweg 9a [349]</v>
          </cell>
        </row>
        <row r="320">
          <cell r="A320" t="str">
            <v>0319</v>
          </cell>
          <cell r="B320" t="str">
            <v>Kerkweg 9a [356]</v>
          </cell>
        </row>
        <row r="321">
          <cell r="A321" t="str">
            <v>0320</v>
          </cell>
          <cell r="B321" t="str">
            <v>Kerkweg 9a [359]</v>
          </cell>
        </row>
        <row r="322">
          <cell r="A322" t="str">
            <v>0321</v>
          </cell>
          <cell r="B322" t="str">
            <v>Kerkweg 9a [453]</v>
          </cell>
        </row>
        <row r="323">
          <cell r="A323" t="str">
            <v>0322</v>
          </cell>
          <cell r="B323" t="str">
            <v>Bettingeslag 10</v>
          </cell>
        </row>
        <row r="324">
          <cell r="A324" t="str">
            <v>0323</v>
          </cell>
          <cell r="B324" t="str">
            <v>Marnixstraat 32</v>
          </cell>
        </row>
        <row r="325">
          <cell r="A325" t="str">
            <v>0324</v>
          </cell>
          <cell r="B325" t="str">
            <v>Van Swinderenstraat 21</v>
          </cell>
        </row>
        <row r="326">
          <cell r="A326" t="str">
            <v>0325</v>
          </cell>
          <cell r="B326" t="str">
            <v>Hendriklaan 49</v>
          </cell>
        </row>
        <row r="327">
          <cell r="A327" t="str">
            <v>0326</v>
          </cell>
          <cell r="B327" t="str">
            <v>Akkerweg 41 [068]</v>
          </cell>
        </row>
        <row r="328">
          <cell r="A328" t="str">
            <v>0327</v>
          </cell>
          <cell r="B328" t="str">
            <v>Putter 42</v>
          </cell>
        </row>
        <row r="329">
          <cell r="A329" t="str">
            <v>0328</v>
          </cell>
          <cell r="B329" t="str">
            <v>Noordmolenstraat 36a</v>
          </cell>
        </row>
        <row r="330">
          <cell r="A330" t="str">
            <v>0329</v>
          </cell>
          <cell r="B330" t="str">
            <v>Noordmolenstraat 36b</v>
          </cell>
        </row>
        <row r="331">
          <cell r="A331" t="str">
            <v>0330</v>
          </cell>
          <cell r="B331" t="str">
            <v>Noordmolenstraat 36c</v>
          </cell>
        </row>
        <row r="332">
          <cell r="A332" t="str">
            <v>0331</v>
          </cell>
          <cell r="B332" t="str">
            <v>Flankstraat 11</v>
          </cell>
        </row>
        <row r="333">
          <cell r="A333" t="str">
            <v>0332</v>
          </cell>
          <cell r="B333" t="str">
            <v>Kerkweg 9a [340]</v>
          </cell>
        </row>
        <row r="334">
          <cell r="A334" t="str">
            <v>0333</v>
          </cell>
          <cell r="B334" t="str">
            <v>Kethelweg 66 D</v>
          </cell>
        </row>
        <row r="335">
          <cell r="A335" t="str">
            <v>0334</v>
          </cell>
          <cell r="B335" t="str">
            <v>Hof van zeeland 2</v>
          </cell>
        </row>
        <row r="336">
          <cell r="A336" t="str">
            <v>0335</v>
          </cell>
          <cell r="B336" t="str">
            <v>Molenweg 3B</v>
          </cell>
        </row>
        <row r="337">
          <cell r="A337" t="str">
            <v>0336</v>
          </cell>
          <cell r="B337" t="str">
            <v>Ofwegen 1A</v>
          </cell>
        </row>
        <row r="338">
          <cell r="A338" t="str">
            <v>0337</v>
          </cell>
          <cell r="B338" t="str">
            <v>Kruisweg 16</v>
          </cell>
        </row>
        <row r="339">
          <cell r="A339" t="str">
            <v>0338</v>
          </cell>
          <cell r="B339" t="str">
            <v>Kerkweg 9a [348]</v>
          </cell>
        </row>
        <row r="340">
          <cell r="A340" t="str">
            <v>0339</v>
          </cell>
          <cell r="B340" t="str">
            <v>Kerkweg 9a [357]</v>
          </cell>
        </row>
        <row r="341">
          <cell r="A341" t="str">
            <v>0340</v>
          </cell>
          <cell r="B341" t="str">
            <v>Professor Poelslaan 58C</v>
          </cell>
        </row>
        <row r="342">
          <cell r="A342" t="str">
            <v>0341</v>
          </cell>
          <cell r="B342" t="str">
            <v>Akkerweg 41 [010]</v>
          </cell>
        </row>
        <row r="343">
          <cell r="A343" t="str">
            <v>0342</v>
          </cell>
          <cell r="B343" t="str">
            <v>Akkerweg 41 [016]</v>
          </cell>
        </row>
        <row r="344">
          <cell r="A344" t="str">
            <v>0343</v>
          </cell>
          <cell r="B344" t="str">
            <v>Akkerweg 41 [019]</v>
          </cell>
        </row>
        <row r="345">
          <cell r="A345" t="str">
            <v>0344</v>
          </cell>
          <cell r="B345" t="str">
            <v>Pastoor Gillisstraat 81-A</v>
          </cell>
        </row>
        <row r="346">
          <cell r="A346" t="str">
            <v>0345</v>
          </cell>
          <cell r="B346" t="str">
            <v>Compierekade 15</v>
          </cell>
        </row>
        <row r="347">
          <cell r="A347" t="str">
            <v>0346</v>
          </cell>
          <cell r="B347" t="str">
            <v>Beukenlaan 53</v>
          </cell>
        </row>
        <row r="348">
          <cell r="A348" t="str">
            <v>0347</v>
          </cell>
          <cell r="B348" t="str">
            <v>Van Ruijsdaellaan 72 A</v>
          </cell>
        </row>
        <row r="349">
          <cell r="A349" t="str">
            <v>0348</v>
          </cell>
          <cell r="B349" t="str">
            <v>Wagenstraat 70</v>
          </cell>
        </row>
        <row r="350">
          <cell r="A350" t="str">
            <v>0349</v>
          </cell>
          <cell r="B350" t="str">
            <v>Persoonsdam 196</v>
          </cell>
        </row>
        <row r="351">
          <cell r="A351" t="str">
            <v>0350</v>
          </cell>
          <cell r="B351" t="str">
            <v>Akkerweg 41 [035]</v>
          </cell>
        </row>
        <row r="352">
          <cell r="A352" t="str">
            <v>0351</v>
          </cell>
          <cell r="B352" t="str">
            <v>Van Ruijsdaellaan 72 B</v>
          </cell>
        </row>
        <row r="353">
          <cell r="A353" t="str">
            <v>0352</v>
          </cell>
          <cell r="B353" t="str">
            <v>Van Ruijsdaellaan 72 C</v>
          </cell>
        </row>
        <row r="354">
          <cell r="A354" t="str">
            <v>0353</v>
          </cell>
          <cell r="B354" t="str">
            <v>Archimedesstraat 6 B</v>
          </cell>
        </row>
        <row r="355">
          <cell r="A355" t="str">
            <v>0354</v>
          </cell>
          <cell r="B355" t="str">
            <v>Dorpsstraat 48</v>
          </cell>
        </row>
        <row r="356">
          <cell r="A356" t="str">
            <v>0355</v>
          </cell>
          <cell r="B356" t="str">
            <v>Van Hoofsweg 4</v>
          </cell>
        </row>
        <row r="357">
          <cell r="A357" t="str">
            <v>0356</v>
          </cell>
          <cell r="B357" t="str">
            <v>Akkerweg 41 [036]</v>
          </cell>
        </row>
        <row r="358">
          <cell r="A358" t="str">
            <v>0357</v>
          </cell>
          <cell r="B358" t="str">
            <v>Akkerweg 41 [038]</v>
          </cell>
        </row>
        <row r="359">
          <cell r="A359" t="str">
            <v>0358</v>
          </cell>
          <cell r="B359" t="str">
            <v>Monsterseweg 26A</v>
          </cell>
        </row>
        <row r="360">
          <cell r="A360" t="str">
            <v>0359</v>
          </cell>
          <cell r="B360" t="str">
            <v>Kimbrenoord 49</v>
          </cell>
        </row>
        <row r="361">
          <cell r="A361" t="str">
            <v>0360</v>
          </cell>
          <cell r="B361" t="str">
            <v>Kruiningenstraat 185</v>
          </cell>
        </row>
        <row r="362">
          <cell r="A362" t="str">
            <v>0361</v>
          </cell>
          <cell r="B362" t="str">
            <v>Putsebocht 136 B01</v>
          </cell>
        </row>
        <row r="363">
          <cell r="A363" t="str">
            <v>0362</v>
          </cell>
          <cell r="B363" t="str">
            <v>Ruigenhoek 69</v>
          </cell>
        </row>
        <row r="364">
          <cell r="A364" t="str">
            <v>0363</v>
          </cell>
          <cell r="B364" t="str">
            <v>Rietdijkstraat 56A</v>
          </cell>
        </row>
        <row r="365">
          <cell r="A365" t="str">
            <v>0364</v>
          </cell>
          <cell r="B365" t="str">
            <v>Rietdijkstraat 56B</v>
          </cell>
        </row>
        <row r="366">
          <cell r="A366" t="str">
            <v>0365</v>
          </cell>
          <cell r="B366" t="str">
            <v>Laan op Zuid 949</v>
          </cell>
        </row>
        <row r="367">
          <cell r="A367" t="str">
            <v>0366</v>
          </cell>
          <cell r="B367" t="str">
            <v>Lekdijk 14</v>
          </cell>
        </row>
        <row r="368">
          <cell r="A368" t="str">
            <v>0367</v>
          </cell>
          <cell r="B368" t="str">
            <v>Baanhoek 137</v>
          </cell>
        </row>
        <row r="369">
          <cell r="A369" t="str">
            <v>0368</v>
          </cell>
          <cell r="B369" t="str">
            <v>Wedderweg 3</v>
          </cell>
        </row>
        <row r="370">
          <cell r="A370" t="str">
            <v>0369</v>
          </cell>
          <cell r="B370" t="str">
            <v>Oranjestraat 63</v>
          </cell>
        </row>
        <row r="371">
          <cell r="A371" t="str">
            <v>0370</v>
          </cell>
          <cell r="B371" t="str">
            <v>Cloosterstraat 23A</v>
          </cell>
        </row>
        <row r="372">
          <cell r="A372" t="str">
            <v>0371</v>
          </cell>
          <cell r="B372" t="str">
            <v>Zwingel 8B</v>
          </cell>
        </row>
        <row r="373">
          <cell r="A373" t="str">
            <v>0372</v>
          </cell>
          <cell r="B373" t="str">
            <v>Akkerweg 41 [011]</v>
          </cell>
        </row>
        <row r="374">
          <cell r="A374" t="str">
            <v>0373</v>
          </cell>
          <cell r="B374" t="str">
            <v>Akkerweg 41 [017]</v>
          </cell>
        </row>
        <row r="375">
          <cell r="A375" t="str">
            <v>0374</v>
          </cell>
          <cell r="B375" t="str">
            <v>Vierambachtsstraat 32-B01</v>
          </cell>
        </row>
        <row r="376">
          <cell r="A376" t="str">
            <v>0375</v>
          </cell>
          <cell r="B376" t="str">
            <v xml:space="preserve">Cubalaan 25 </v>
          </cell>
        </row>
        <row r="377">
          <cell r="A377" t="str">
            <v>0376</v>
          </cell>
          <cell r="B377" t="str">
            <v>Zwethkade Zuid 30A</v>
          </cell>
        </row>
        <row r="378">
          <cell r="A378" t="str">
            <v>0377</v>
          </cell>
          <cell r="B378" t="str">
            <v>Rijpstraat 24</v>
          </cell>
        </row>
        <row r="379">
          <cell r="A379" t="str">
            <v>0378</v>
          </cell>
          <cell r="B379" t="str">
            <v>Poeldijkseweg 29</v>
          </cell>
        </row>
        <row r="380">
          <cell r="A380" t="str">
            <v>0379</v>
          </cell>
          <cell r="B380" t="str">
            <v>Akkerweg 41 [074]</v>
          </cell>
        </row>
        <row r="381">
          <cell r="A381" t="str">
            <v>0380</v>
          </cell>
          <cell r="B381" t="str">
            <v>Parallelweg 114C</v>
          </cell>
        </row>
        <row r="382">
          <cell r="A382" t="str">
            <v>0381</v>
          </cell>
          <cell r="B382" t="str">
            <v>Parallelweg 134B</v>
          </cell>
        </row>
        <row r="383">
          <cell r="A383" t="str">
            <v>0382</v>
          </cell>
          <cell r="B383" t="str">
            <v xml:space="preserve">Kwekerslaan 7 </v>
          </cell>
        </row>
        <row r="384">
          <cell r="A384" t="str">
            <v>0383</v>
          </cell>
          <cell r="B384" t="str">
            <v>Akkerweg 41 [020]</v>
          </cell>
        </row>
        <row r="385">
          <cell r="A385" t="str">
            <v>0384</v>
          </cell>
          <cell r="B385" t="str">
            <v>Akkerweg 41 [058]</v>
          </cell>
        </row>
        <row r="386">
          <cell r="A386" t="str">
            <v>0385</v>
          </cell>
          <cell r="B386" t="str">
            <v>Lavendelpad 6</v>
          </cell>
        </row>
        <row r="387">
          <cell r="A387" t="str">
            <v>0386</v>
          </cell>
          <cell r="B387" t="str">
            <v>Poolsestraat 29A</v>
          </cell>
        </row>
        <row r="388">
          <cell r="A388" t="str">
            <v>0387</v>
          </cell>
          <cell r="B388" t="str">
            <v xml:space="preserve">Verschansing 21 </v>
          </cell>
        </row>
        <row r="389">
          <cell r="A389" t="str">
            <v>0388</v>
          </cell>
          <cell r="B389" t="str">
            <v>1e Middellandstraat 104A</v>
          </cell>
        </row>
        <row r="390">
          <cell r="A390" t="str">
            <v>0389</v>
          </cell>
          <cell r="B390" t="str">
            <v>Kritostraat 54</v>
          </cell>
        </row>
        <row r="391">
          <cell r="A391" t="str">
            <v>0390</v>
          </cell>
          <cell r="B391" t="str">
            <v>Roerdompstraat 4B</v>
          </cell>
        </row>
        <row r="392">
          <cell r="A392" t="str">
            <v>0391</v>
          </cell>
          <cell r="B392" t="str">
            <v>Industriestraat 9</v>
          </cell>
        </row>
        <row r="393">
          <cell r="A393" t="str">
            <v>0392</v>
          </cell>
          <cell r="B393" t="str">
            <v>Waterkant 54</v>
          </cell>
        </row>
        <row r="394">
          <cell r="A394" t="str">
            <v>0393</v>
          </cell>
          <cell r="B394" t="str">
            <v>Donze Visserstraat 13</v>
          </cell>
        </row>
        <row r="395">
          <cell r="A395" t="str">
            <v>0394</v>
          </cell>
          <cell r="B395" t="str">
            <v>Zegwaardseweg 54</v>
          </cell>
        </row>
        <row r="396">
          <cell r="A396" t="str">
            <v>0395</v>
          </cell>
          <cell r="B396" t="str">
            <v>Pastoriedijk 325</v>
          </cell>
        </row>
        <row r="397">
          <cell r="A397" t="str">
            <v>0396</v>
          </cell>
          <cell r="B397" t="str">
            <v>Haven 24</v>
          </cell>
        </row>
        <row r="398">
          <cell r="A398" t="str">
            <v>0397</v>
          </cell>
          <cell r="B398" t="str">
            <v>Boogertstraat 5A</v>
          </cell>
        </row>
        <row r="399">
          <cell r="A399" t="str">
            <v>0398</v>
          </cell>
          <cell r="B399" t="str">
            <v>Boogertstraat 7A</v>
          </cell>
        </row>
        <row r="400">
          <cell r="A400" t="str">
            <v>0399</v>
          </cell>
        </row>
        <row r="401">
          <cell r="A401" t="str">
            <v>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68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E215-154C-8643-A06D-F07D46C3C11E}">
  <dimension ref="A1:R963"/>
  <sheetViews>
    <sheetView topLeftCell="A563" workbookViewId="0">
      <selection activeCell="B587" sqref="A1:XFD1048576"/>
    </sheetView>
  </sheetViews>
  <sheetFormatPr baseColWidth="10" defaultRowHeight="16" x14ac:dyDescent="0.2"/>
  <cols>
    <col min="1" max="1" width="13.1640625" bestFit="1" customWidth="1"/>
    <col min="2" max="2" width="48.5" customWidth="1"/>
    <col min="3" max="3" width="9.6640625" bestFit="1" customWidth="1"/>
    <col min="4" max="4" width="19.6640625" bestFit="1" customWidth="1"/>
    <col min="5" max="5" width="53.5" bestFit="1" customWidth="1"/>
    <col min="6" max="6" width="36.1640625" bestFit="1" customWidth="1"/>
    <col min="7" max="7" width="45" bestFit="1" customWidth="1"/>
    <col min="8" max="8" width="8.6640625" bestFit="1" customWidth="1"/>
    <col min="9" max="9" width="25.83203125" bestFit="1" customWidth="1"/>
    <col min="10" max="10" width="11" bestFit="1" customWidth="1"/>
    <col min="11" max="12" width="11.6640625" bestFit="1" customWidth="1"/>
    <col min="13" max="13" width="31.5" bestFit="1" customWidth="1"/>
    <col min="14" max="14" width="7.33203125" bestFit="1" customWidth="1"/>
    <col min="15" max="15" width="12.5" bestFit="1" customWidth="1"/>
    <col min="16" max="16" width="10.33203125" bestFit="1" customWidth="1"/>
    <col min="17" max="18" width="15.3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t="s">
        <v>19</v>
      </c>
      <c r="E2" t="s">
        <v>20</v>
      </c>
      <c r="G2" t="s">
        <v>21</v>
      </c>
      <c r="J2" t="s">
        <v>22</v>
      </c>
      <c r="M2" t="s">
        <v>23</v>
      </c>
      <c r="N2">
        <v>1</v>
      </c>
      <c r="O2">
        <v>0</v>
      </c>
      <c r="P2">
        <v>0</v>
      </c>
      <c r="R2" s="1">
        <v>46034.625150462962</v>
      </c>
    </row>
    <row r="3" spans="1:18" x14ac:dyDescent="0.2">
      <c r="A3">
        <v>2</v>
      </c>
      <c r="B3" t="s">
        <v>24</v>
      </c>
      <c r="C3" t="s">
        <v>19</v>
      </c>
      <c r="E3" t="s">
        <v>25</v>
      </c>
      <c r="G3" t="s">
        <v>26</v>
      </c>
      <c r="I3" t="s">
        <v>27</v>
      </c>
      <c r="J3" t="s">
        <v>22</v>
      </c>
      <c r="K3" t="s">
        <v>28</v>
      </c>
      <c r="M3" t="s">
        <v>29</v>
      </c>
      <c r="N3">
        <v>1</v>
      </c>
      <c r="O3">
        <v>1</v>
      </c>
      <c r="P3">
        <v>0</v>
      </c>
      <c r="R3" s="1">
        <v>46034.625150462962</v>
      </c>
    </row>
    <row r="4" spans="1:18" x14ac:dyDescent="0.2">
      <c r="A4">
        <v>3</v>
      </c>
      <c r="B4" t="s">
        <v>30</v>
      </c>
      <c r="C4" t="s">
        <v>19</v>
      </c>
      <c r="E4" t="s">
        <v>31</v>
      </c>
      <c r="G4" t="s">
        <v>32</v>
      </c>
      <c r="I4" t="s">
        <v>33</v>
      </c>
      <c r="J4" t="s">
        <v>22</v>
      </c>
      <c r="K4" t="s">
        <v>34</v>
      </c>
      <c r="M4" t="s">
        <v>35</v>
      </c>
      <c r="N4">
        <v>1</v>
      </c>
      <c r="O4">
        <v>1</v>
      </c>
      <c r="P4">
        <v>0</v>
      </c>
      <c r="R4" s="1">
        <v>46034.625150462962</v>
      </c>
    </row>
    <row r="5" spans="1:18" x14ac:dyDescent="0.2">
      <c r="A5">
        <v>4</v>
      </c>
      <c r="B5" t="s">
        <v>36</v>
      </c>
      <c r="C5" t="s">
        <v>19</v>
      </c>
      <c r="E5" t="s">
        <v>37</v>
      </c>
      <c r="N5">
        <v>1</v>
      </c>
      <c r="O5">
        <v>0</v>
      </c>
      <c r="P5">
        <v>0</v>
      </c>
      <c r="R5" s="1">
        <v>46034.625150462962</v>
      </c>
    </row>
    <row r="6" spans="1:18" x14ac:dyDescent="0.2">
      <c r="A6">
        <v>5</v>
      </c>
      <c r="B6" t="s">
        <v>38</v>
      </c>
      <c r="C6" t="s">
        <v>39</v>
      </c>
      <c r="E6" t="s">
        <v>40</v>
      </c>
      <c r="G6" t="s">
        <v>41</v>
      </c>
      <c r="I6" t="s">
        <v>42</v>
      </c>
      <c r="J6" t="s">
        <v>22</v>
      </c>
      <c r="K6" t="s">
        <v>43</v>
      </c>
      <c r="M6" t="s">
        <v>44</v>
      </c>
      <c r="N6">
        <v>1</v>
      </c>
      <c r="O6">
        <v>1</v>
      </c>
      <c r="P6">
        <v>0</v>
      </c>
      <c r="R6" s="1">
        <v>46034.625150462962</v>
      </c>
    </row>
    <row r="7" spans="1:18" x14ac:dyDescent="0.2">
      <c r="A7">
        <v>6</v>
      </c>
      <c r="B7" t="s">
        <v>45</v>
      </c>
      <c r="C7" t="s">
        <v>39</v>
      </c>
      <c r="E7" t="s">
        <v>46</v>
      </c>
      <c r="G7" t="s">
        <v>47</v>
      </c>
      <c r="I7" t="s">
        <v>48</v>
      </c>
      <c r="J7" t="s">
        <v>22</v>
      </c>
      <c r="K7" t="s">
        <v>49</v>
      </c>
      <c r="M7" t="s">
        <v>50</v>
      </c>
      <c r="N7">
        <v>1</v>
      </c>
      <c r="O7">
        <v>1</v>
      </c>
      <c r="P7">
        <v>0</v>
      </c>
      <c r="R7" s="1">
        <v>46034.625150462962</v>
      </c>
    </row>
    <row r="8" spans="1:18" x14ac:dyDescent="0.2">
      <c r="A8">
        <v>7</v>
      </c>
      <c r="B8" t="s">
        <v>51</v>
      </c>
      <c r="C8" t="s">
        <v>39</v>
      </c>
      <c r="E8" t="s">
        <v>52</v>
      </c>
      <c r="G8" t="s">
        <v>53</v>
      </c>
      <c r="I8" t="s">
        <v>54</v>
      </c>
      <c r="J8" t="s">
        <v>22</v>
      </c>
      <c r="M8" t="s">
        <v>55</v>
      </c>
      <c r="N8">
        <v>1</v>
      </c>
      <c r="O8">
        <v>1</v>
      </c>
      <c r="P8">
        <v>0</v>
      </c>
      <c r="R8" s="1">
        <v>46034.625150462962</v>
      </c>
    </row>
    <row r="9" spans="1:18" x14ac:dyDescent="0.2">
      <c r="A9">
        <v>8</v>
      </c>
      <c r="B9" t="s">
        <v>56</v>
      </c>
      <c r="C9" t="s">
        <v>57</v>
      </c>
      <c r="E9" t="s">
        <v>58</v>
      </c>
      <c r="G9" t="s">
        <v>59</v>
      </c>
      <c r="I9" t="s">
        <v>60</v>
      </c>
      <c r="J9" t="s">
        <v>22</v>
      </c>
      <c r="K9" t="s">
        <v>61</v>
      </c>
      <c r="M9" t="s">
        <v>62</v>
      </c>
      <c r="N9">
        <v>1</v>
      </c>
      <c r="O9">
        <v>1</v>
      </c>
      <c r="P9">
        <v>0</v>
      </c>
      <c r="R9" s="1">
        <v>46034.625150462962</v>
      </c>
    </row>
    <row r="10" spans="1:18" x14ac:dyDescent="0.2">
      <c r="A10">
        <v>9</v>
      </c>
      <c r="B10" t="s">
        <v>63</v>
      </c>
      <c r="C10" t="s">
        <v>57</v>
      </c>
      <c r="E10" t="s">
        <v>64</v>
      </c>
      <c r="G10" t="s">
        <v>65</v>
      </c>
      <c r="I10" t="s">
        <v>66</v>
      </c>
      <c r="J10" t="s">
        <v>22</v>
      </c>
      <c r="M10" t="s">
        <v>67</v>
      </c>
      <c r="N10">
        <v>1</v>
      </c>
      <c r="O10">
        <v>1</v>
      </c>
      <c r="P10">
        <v>0</v>
      </c>
      <c r="R10" s="1">
        <v>46034.625150462962</v>
      </c>
    </row>
    <row r="11" spans="1:18" x14ac:dyDescent="0.2">
      <c r="A11">
        <v>10</v>
      </c>
      <c r="B11" t="s">
        <v>68</v>
      </c>
      <c r="C11" t="s">
        <v>57</v>
      </c>
      <c r="E11" t="s">
        <v>69</v>
      </c>
      <c r="N11">
        <v>1</v>
      </c>
      <c r="O11">
        <v>0</v>
      </c>
      <c r="P11">
        <v>0</v>
      </c>
      <c r="R11" s="1">
        <v>46034.625150462962</v>
      </c>
    </row>
    <row r="12" spans="1:18" x14ac:dyDescent="0.2">
      <c r="A12">
        <v>11</v>
      </c>
      <c r="B12" t="s">
        <v>70</v>
      </c>
      <c r="C12" t="s">
        <v>57</v>
      </c>
      <c r="E12" t="s">
        <v>71</v>
      </c>
      <c r="G12" t="s">
        <v>72</v>
      </c>
      <c r="I12" t="s">
        <v>73</v>
      </c>
      <c r="J12" t="s">
        <v>22</v>
      </c>
      <c r="K12" t="s">
        <v>74</v>
      </c>
      <c r="M12" t="s">
        <v>75</v>
      </c>
      <c r="N12">
        <v>1</v>
      </c>
      <c r="O12">
        <v>1</v>
      </c>
      <c r="P12">
        <v>0</v>
      </c>
      <c r="R12" s="1">
        <v>46034.625150462962</v>
      </c>
    </row>
    <row r="13" spans="1:18" x14ac:dyDescent="0.2">
      <c r="A13">
        <v>12</v>
      </c>
      <c r="B13" t="s">
        <v>76</v>
      </c>
      <c r="C13" t="s">
        <v>57</v>
      </c>
      <c r="E13" t="s">
        <v>77</v>
      </c>
      <c r="G13" t="s">
        <v>78</v>
      </c>
      <c r="I13" t="s">
        <v>79</v>
      </c>
      <c r="J13" t="s">
        <v>22</v>
      </c>
      <c r="M13" t="s">
        <v>80</v>
      </c>
      <c r="N13">
        <v>1</v>
      </c>
      <c r="O13">
        <v>0</v>
      </c>
      <c r="P13">
        <v>0</v>
      </c>
      <c r="R13" s="1">
        <v>46034.625150462962</v>
      </c>
    </row>
    <row r="14" spans="1:18" x14ac:dyDescent="0.2">
      <c r="A14">
        <v>13</v>
      </c>
      <c r="B14" t="s">
        <v>81</v>
      </c>
      <c r="C14" t="s">
        <v>57</v>
      </c>
      <c r="E14" t="s">
        <v>82</v>
      </c>
      <c r="G14" t="s">
        <v>83</v>
      </c>
      <c r="I14" t="s">
        <v>84</v>
      </c>
      <c r="J14" t="s">
        <v>22</v>
      </c>
      <c r="M14" t="s">
        <v>85</v>
      </c>
      <c r="N14">
        <v>1</v>
      </c>
      <c r="O14">
        <v>1</v>
      </c>
      <c r="P14">
        <v>0</v>
      </c>
      <c r="R14" s="1">
        <v>46034.625150462962</v>
      </c>
    </row>
    <row r="15" spans="1:18" x14ac:dyDescent="0.2">
      <c r="A15">
        <v>14</v>
      </c>
      <c r="B15" t="s">
        <v>86</v>
      </c>
      <c r="C15" t="s">
        <v>57</v>
      </c>
      <c r="E15" t="s">
        <v>87</v>
      </c>
      <c r="G15" t="s">
        <v>88</v>
      </c>
      <c r="I15" t="s">
        <v>89</v>
      </c>
      <c r="J15" t="s">
        <v>22</v>
      </c>
      <c r="K15" t="s">
        <v>90</v>
      </c>
      <c r="N15">
        <v>1</v>
      </c>
      <c r="O15">
        <v>0</v>
      </c>
      <c r="P15">
        <v>0</v>
      </c>
      <c r="R15" s="1">
        <v>46034.625150462962</v>
      </c>
    </row>
    <row r="16" spans="1:18" x14ac:dyDescent="0.2">
      <c r="A16">
        <v>15</v>
      </c>
      <c r="B16" t="s">
        <v>91</v>
      </c>
      <c r="C16" t="s">
        <v>57</v>
      </c>
      <c r="E16" t="s">
        <v>92</v>
      </c>
      <c r="G16" t="s">
        <v>93</v>
      </c>
      <c r="I16" t="s">
        <v>94</v>
      </c>
      <c r="J16" t="s">
        <v>22</v>
      </c>
      <c r="K16" t="s">
        <v>95</v>
      </c>
      <c r="N16">
        <v>1</v>
      </c>
      <c r="O16">
        <v>0</v>
      </c>
      <c r="P16">
        <v>0</v>
      </c>
      <c r="R16" s="1">
        <v>46034.625150462962</v>
      </c>
    </row>
    <row r="17" spans="1:18" x14ac:dyDescent="0.2">
      <c r="A17">
        <v>16</v>
      </c>
      <c r="B17" t="s">
        <v>96</v>
      </c>
      <c r="C17" t="s">
        <v>57</v>
      </c>
      <c r="E17" t="s">
        <v>97</v>
      </c>
      <c r="G17" t="s">
        <v>98</v>
      </c>
      <c r="I17" t="s">
        <v>99</v>
      </c>
      <c r="J17" t="s">
        <v>22</v>
      </c>
      <c r="N17">
        <v>1</v>
      </c>
      <c r="O17">
        <v>0</v>
      </c>
      <c r="P17">
        <v>0</v>
      </c>
      <c r="R17" s="1">
        <v>46034.625150462962</v>
      </c>
    </row>
    <row r="18" spans="1:18" x14ac:dyDescent="0.2">
      <c r="A18">
        <v>17</v>
      </c>
      <c r="B18" t="s">
        <v>100</v>
      </c>
      <c r="C18" t="s">
        <v>57</v>
      </c>
      <c r="E18" t="s">
        <v>101</v>
      </c>
      <c r="G18" t="s">
        <v>102</v>
      </c>
      <c r="I18" t="s">
        <v>103</v>
      </c>
      <c r="J18" t="s">
        <v>22</v>
      </c>
      <c r="K18" t="s">
        <v>104</v>
      </c>
      <c r="M18" t="s">
        <v>105</v>
      </c>
      <c r="N18">
        <v>1</v>
      </c>
      <c r="O18">
        <v>1</v>
      </c>
      <c r="P18">
        <v>0</v>
      </c>
      <c r="R18" s="1">
        <v>46034.625150462962</v>
      </c>
    </row>
    <row r="19" spans="1:18" x14ac:dyDescent="0.2">
      <c r="A19">
        <v>18</v>
      </c>
      <c r="B19" t="s">
        <v>106</v>
      </c>
      <c r="C19" t="s">
        <v>57</v>
      </c>
      <c r="E19" t="s">
        <v>107</v>
      </c>
      <c r="G19" t="s">
        <v>108</v>
      </c>
      <c r="I19" t="s">
        <v>109</v>
      </c>
      <c r="J19" t="s">
        <v>22</v>
      </c>
      <c r="M19" t="s">
        <v>110</v>
      </c>
      <c r="N19">
        <v>1</v>
      </c>
      <c r="O19">
        <v>0</v>
      </c>
      <c r="P19">
        <v>0</v>
      </c>
      <c r="R19" s="1">
        <v>46034.625150462962</v>
      </c>
    </row>
    <row r="20" spans="1:18" x14ac:dyDescent="0.2">
      <c r="A20">
        <v>19</v>
      </c>
      <c r="B20" t="s">
        <v>111</v>
      </c>
      <c r="C20" t="s">
        <v>19</v>
      </c>
      <c r="E20" t="s">
        <v>112</v>
      </c>
      <c r="G20" t="s">
        <v>113</v>
      </c>
      <c r="I20" t="s">
        <v>114</v>
      </c>
      <c r="J20" t="s">
        <v>22</v>
      </c>
      <c r="M20" t="s">
        <v>115</v>
      </c>
      <c r="N20">
        <v>1</v>
      </c>
      <c r="O20">
        <v>1</v>
      </c>
      <c r="P20">
        <v>0</v>
      </c>
      <c r="R20" s="1">
        <v>46034.625150462962</v>
      </c>
    </row>
    <row r="21" spans="1:18" x14ac:dyDescent="0.2">
      <c r="A21">
        <v>20</v>
      </c>
      <c r="B21" t="s">
        <v>116</v>
      </c>
      <c r="C21" t="s">
        <v>57</v>
      </c>
      <c r="E21" t="s">
        <v>117</v>
      </c>
      <c r="G21" t="s">
        <v>118</v>
      </c>
      <c r="I21" t="s">
        <v>119</v>
      </c>
      <c r="J21" t="s">
        <v>22</v>
      </c>
      <c r="M21" t="s">
        <v>120</v>
      </c>
      <c r="N21">
        <v>1</v>
      </c>
      <c r="O21">
        <v>1</v>
      </c>
      <c r="P21">
        <v>0</v>
      </c>
      <c r="R21" s="1">
        <v>46034.625150462962</v>
      </c>
    </row>
    <row r="22" spans="1:18" x14ac:dyDescent="0.2">
      <c r="A22">
        <v>21</v>
      </c>
      <c r="B22" t="s">
        <v>121</v>
      </c>
      <c r="C22" t="s">
        <v>57</v>
      </c>
      <c r="E22" t="s">
        <v>122</v>
      </c>
      <c r="G22" t="s">
        <v>123</v>
      </c>
      <c r="I22" t="s">
        <v>124</v>
      </c>
      <c r="J22" t="s">
        <v>22</v>
      </c>
      <c r="M22" t="s">
        <v>125</v>
      </c>
      <c r="N22">
        <v>1</v>
      </c>
      <c r="O22">
        <v>0</v>
      </c>
      <c r="P22">
        <v>0</v>
      </c>
      <c r="R22" s="1">
        <v>46034.625150462962</v>
      </c>
    </row>
    <row r="23" spans="1:18" x14ac:dyDescent="0.2">
      <c r="A23">
        <v>22</v>
      </c>
      <c r="B23" t="s">
        <v>126</v>
      </c>
      <c r="C23" t="s">
        <v>57</v>
      </c>
      <c r="E23" t="s">
        <v>127</v>
      </c>
      <c r="G23" t="s">
        <v>128</v>
      </c>
      <c r="I23" t="s">
        <v>129</v>
      </c>
      <c r="J23" t="s">
        <v>22</v>
      </c>
      <c r="M23" t="s">
        <v>130</v>
      </c>
      <c r="N23">
        <v>1</v>
      </c>
      <c r="O23">
        <v>0</v>
      </c>
      <c r="P23">
        <v>0</v>
      </c>
      <c r="R23" s="1">
        <v>46034.625150462962</v>
      </c>
    </row>
    <row r="24" spans="1:18" x14ac:dyDescent="0.2">
      <c r="A24">
        <v>23</v>
      </c>
      <c r="B24" t="s">
        <v>131</v>
      </c>
      <c r="C24" t="s">
        <v>57</v>
      </c>
      <c r="G24" t="s">
        <v>132</v>
      </c>
      <c r="I24" t="s">
        <v>133</v>
      </c>
      <c r="J24" t="s">
        <v>22</v>
      </c>
      <c r="M24" t="s">
        <v>134</v>
      </c>
      <c r="N24">
        <v>1</v>
      </c>
      <c r="O24">
        <v>1</v>
      </c>
      <c r="P24">
        <v>0</v>
      </c>
      <c r="R24" s="1">
        <v>46034.625150462962</v>
      </c>
    </row>
    <row r="25" spans="1:18" x14ac:dyDescent="0.2">
      <c r="A25">
        <v>24</v>
      </c>
      <c r="B25" t="s">
        <v>135</v>
      </c>
      <c r="C25" t="s">
        <v>57</v>
      </c>
      <c r="G25" t="s">
        <v>136</v>
      </c>
      <c r="I25" t="s">
        <v>137</v>
      </c>
      <c r="J25" t="s">
        <v>22</v>
      </c>
      <c r="K25" t="s">
        <v>138</v>
      </c>
      <c r="N25">
        <v>1</v>
      </c>
      <c r="O25">
        <v>0</v>
      </c>
      <c r="P25">
        <v>0</v>
      </c>
      <c r="R25" s="1">
        <v>46034.625150462962</v>
      </c>
    </row>
    <row r="26" spans="1:18" x14ac:dyDescent="0.2">
      <c r="A26">
        <v>25</v>
      </c>
      <c r="B26" t="s">
        <v>139</v>
      </c>
      <c r="C26" t="s">
        <v>57</v>
      </c>
      <c r="E26" t="s">
        <v>140</v>
      </c>
      <c r="G26" t="s">
        <v>141</v>
      </c>
      <c r="J26" t="s">
        <v>142</v>
      </c>
      <c r="M26" t="s">
        <v>143</v>
      </c>
      <c r="N26">
        <v>1</v>
      </c>
      <c r="O26">
        <v>0</v>
      </c>
      <c r="P26">
        <v>0</v>
      </c>
      <c r="R26" s="1">
        <v>46034.625150462962</v>
      </c>
    </row>
    <row r="27" spans="1:18" x14ac:dyDescent="0.2">
      <c r="A27">
        <v>26</v>
      </c>
      <c r="B27" t="s">
        <v>144</v>
      </c>
      <c r="C27" t="s">
        <v>57</v>
      </c>
      <c r="E27" t="s">
        <v>145</v>
      </c>
      <c r="G27" t="s">
        <v>146</v>
      </c>
      <c r="I27" t="s">
        <v>94</v>
      </c>
      <c r="J27" t="s">
        <v>22</v>
      </c>
      <c r="K27" t="s">
        <v>147</v>
      </c>
      <c r="M27" t="s">
        <v>148</v>
      </c>
      <c r="N27">
        <v>1</v>
      </c>
      <c r="O27">
        <v>1</v>
      </c>
      <c r="P27">
        <v>0</v>
      </c>
      <c r="R27" s="1">
        <v>46034.625150462962</v>
      </c>
    </row>
    <row r="28" spans="1:18" x14ac:dyDescent="0.2">
      <c r="A28">
        <v>27</v>
      </c>
      <c r="B28" t="s">
        <v>149</v>
      </c>
      <c r="C28" t="s">
        <v>57</v>
      </c>
      <c r="E28" t="s">
        <v>150</v>
      </c>
      <c r="G28" t="s">
        <v>151</v>
      </c>
      <c r="I28" t="s">
        <v>152</v>
      </c>
      <c r="J28" t="s">
        <v>22</v>
      </c>
      <c r="K28" t="s">
        <v>153</v>
      </c>
      <c r="M28" t="s">
        <v>154</v>
      </c>
      <c r="N28">
        <v>1</v>
      </c>
      <c r="O28">
        <v>0</v>
      </c>
      <c r="P28">
        <v>0</v>
      </c>
      <c r="R28" s="1">
        <v>46034.625150462962</v>
      </c>
    </row>
    <row r="29" spans="1:18" x14ac:dyDescent="0.2">
      <c r="A29">
        <v>28</v>
      </c>
      <c r="B29" t="s">
        <v>155</v>
      </c>
      <c r="C29" t="s">
        <v>57</v>
      </c>
      <c r="E29" t="s">
        <v>156</v>
      </c>
      <c r="G29" t="s">
        <v>157</v>
      </c>
      <c r="I29" t="s">
        <v>152</v>
      </c>
      <c r="J29" t="s">
        <v>22</v>
      </c>
      <c r="N29">
        <v>1</v>
      </c>
      <c r="O29">
        <v>1</v>
      </c>
      <c r="P29">
        <v>0</v>
      </c>
      <c r="R29" s="1">
        <v>46034.625150462962</v>
      </c>
    </row>
    <row r="30" spans="1:18" x14ac:dyDescent="0.2">
      <c r="A30">
        <v>29</v>
      </c>
      <c r="B30" t="s">
        <v>158</v>
      </c>
      <c r="C30" t="s">
        <v>57</v>
      </c>
      <c r="E30" t="s">
        <v>159</v>
      </c>
      <c r="G30" t="s">
        <v>160</v>
      </c>
      <c r="I30" t="s">
        <v>161</v>
      </c>
      <c r="J30" t="s">
        <v>22</v>
      </c>
      <c r="K30" t="s">
        <v>162</v>
      </c>
      <c r="M30" t="s">
        <v>163</v>
      </c>
      <c r="N30">
        <v>1</v>
      </c>
      <c r="O30">
        <v>1</v>
      </c>
      <c r="P30">
        <v>0</v>
      </c>
      <c r="R30" s="1">
        <v>46034.625150462962</v>
      </c>
    </row>
    <row r="31" spans="1:18" x14ac:dyDescent="0.2">
      <c r="A31">
        <v>30</v>
      </c>
      <c r="B31" t="s">
        <v>164</v>
      </c>
      <c r="C31" t="s">
        <v>57</v>
      </c>
      <c r="E31" t="s">
        <v>165</v>
      </c>
      <c r="G31" t="s">
        <v>166</v>
      </c>
      <c r="I31" t="s">
        <v>167</v>
      </c>
      <c r="J31" t="s">
        <v>22</v>
      </c>
      <c r="K31" t="s">
        <v>168</v>
      </c>
      <c r="M31" t="s">
        <v>169</v>
      </c>
      <c r="N31">
        <v>1</v>
      </c>
      <c r="O31">
        <v>1</v>
      </c>
      <c r="P31">
        <v>0</v>
      </c>
      <c r="R31" s="1">
        <v>46034.625150462962</v>
      </c>
    </row>
    <row r="32" spans="1:18" x14ac:dyDescent="0.2">
      <c r="A32">
        <v>31</v>
      </c>
      <c r="B32" t="s">
        <v>170</v>
      </c>
      <c r="C32" t="s">
        <v>57</v>
      </c>
      <c r="E32" t="s">
        <v>171</v>
      </c>
      <c r="G32" t="s">
        <v>172</v>
      </c>
      <c r="I32" t="s">
        <v>173</v>
      </c>
      <c r="J32" t="s">
        <v>22</v>
      </c>
      <c r="K32" t="s">
        <v>174</v>
      </c>
      <c r="M32" t="s">
        <v>175</v>
      </c>
      <c r="N32">
        <v>1</v>
      </c>
      <c r="O32">
        <v>1</v>
      </c>
      <c r="P32">
        <v>0</v>
      </c>
      <c r="R32" s="1">
        <v>46034.625150462962</v>
      </c>
    </row>
    <row r="33" spans="1:18" x14ac:dyDescent="0.2">
      <c r="A33">
        <v>32</v>
      </c>
      <c r="B33" t="s">
        <v>176</v>
      </c>
      <c r="C33" t="s">
        <v>57</v>
      </c>
      <c r="E33" t="s">
        <v>177</v>
      </c>
      <c r="G33" t="s">
        <v>178</v>
      </c>
      <c r="I33" t="s">
        <v>179</v>
      </c>
      <c r="J33" t="s">
        <v>22</v>
      </c>
      <c r="K33" t="s">
        <v>180</v>
      </c>
      <c r="M33" t="s">
        <v>181</v>
      </c>
      <c r="N33">
        <v>1</v>
      </c>
      <c r="O33">
        <v>1</v>
      </c>
      <c r="P33">
        <v>0</v>
      </c>
      <c r="R33" s="1">
        <v>46034.625150462962</v>
      </c>
    </row>
    <row r="34" spans="1:18" x14ac:dyDescent="0.2">
      <c r="A34">
        <v>33</v>
      </c>
      <c r="B34" t="s">
        <v>182</v>
      </c>
      <c r="C34" t="s">
        <v>57</v>
      </c>
      <c r="G34" t="s">
        <v>183</v>
      </c>
      <c r="J34" t="s">
        <v>22</v>
      </c>
      <c r="M34" t="s">
        <v>184</v>
      </c>
      <c r="N34">
        <v>1</v>
      </c>
      <c r="O34">
        <v>1</v>
      </c>
      <c r="P34">
        <v>0</v>
      </c>
      <c r="R34" s="1">
        <v>46034.625150462962</v>
      </c>
    </row>
    <row r="35" spans="1:18" x14ac:dyDescent="0.2">
      <c r="A35">
        <v>34</v>
      </c>
      <c r="B35" t="s">
        <v>185</v>
      </c>
      <c r="C35" t="s">
        <v>57</v>
      </c>
      <c r="N35">
        <v>1</v>
      </c>
      <c r="O35">
        <v>0</v>
      </c>
      <c r="P35">
        <v>0</v>
      </c>
      <c r="R35" s="1">
        <v>46034.625150462962</v>
      </c>
    </row>
    <row r="36" spans="1:18" x14ac:dyDescent="0.2">
      <c r="A36">
        <v>35</v>
      </c>
      <c r="B36" t="s">
        <v>186</v>
      </c>
      <c r="C36" t="s">
        <v>57</v>
      </c>
      <c r="E36" t="s">
        <v>187</v>
      </c>
      <c r="G36" t="s">
        <v>188</v>
      </c>
      <c r="I36" t="s">
        <v>189</v>
      </c>
      <c r="J36" t="s">
        <v>22</v>
      </c>
      <c r="K36" t="s">
        <v>190</v>
      </c>
      <c r="N36">
        <v>1</v>
      </c>
      <c r="O36">
        <v>0</v>
      </c>
      <c r="P36">
        <v>0</v>
      </c>
      <c r="R36" s="1">
        <v>46034.625150462962</v>
      </c>
    </row>
    <row r="37" spans="1:18" x14ac:dyDescent="0.2">
      <c r="A37">
        <v>36</v>
      </c>
      <c r="B37" t="s">
        <v>191</v>
      </c>
      <c r="C37" t="s">
        <v>57</v>
      </c>
      <c r="E37" t="s">
        <v>192</v>
      </c>
      <c r="G37" t="s">
        <v>193</v>
      </c>
      <c r="I37" t="s">
        <v>194</v>
      </c>
      <c r="J37" t="s">
        <v>22</v>
      </c>
      <c r="N37">
        <v>1</v>
      </c>
      <c r="O37">
        <v>0</v>
      </c>
      <c r="P37">
        <v>0</v>
      </c>
      <c r="R37" s="1">
        <v>46034.625150462962</v>
      </c>
    </row>
    <row r="38" spans="1:18" x14ac:dyDescent="0.2">
      <c r="A38">
        <v>37</v>
      </c>
      <c r="B38" t="s">
        <v>195</v>
      </c>
      <c r="C38" t="s">
        <v>19</v>
      </c>
      <c r="E38" t="s">
        <v>196</v>
      </c>
      <c r="G38" t="s">
        <v>197</v>
      </c>
      <c r="I38" t="s">
        <v>198</v>
      </c>
      <c r="J38" t="s">
        <v>22</v>
      </c>
      <c r="K38" t="s">
        <v>199</v>
      </c>
      <c r="N38">
        <v>1</v>
      </c>
      <c r="O38">
        <v>0</v>
      </c>
      <c r="P38">
        <v>0</v>
      </c>
      <c r="R38" s="1">
        <v>46034.625150462962</v>
      </c>
    </row>
    <row r="39" spans="1:18" x14ac:dyDescent="0.2">
      <c r="A39">
        <v>38</v>
      </c>
      <c r="B39" t="s">
        <v>200</v>
      </c>
      <c r="C39" t="s">
        <v>57</v>
      </c>
      <c r="E39" t="s">
        <v>201</v>
      </c>
      <c r="G39" t="s">
        <v>202</v>
      </c>
      <c r="I39" t="s">
        <v>203</v>
      </c>
      <c r="J39" t="s">
        <v>22</v>
      </c>
      <c r="M39" t="s">
        <v>204</v>
      </c>
      <c r="N39">
        <v>1</v>
      </c>
      <c r="O39">
        <v>0</v>
      </c>
      <c r="P39">
        <v>0</v>
      </c>
      <c r="R39" s="1">
        <v>46034.625150462962</v>
      </c>
    </row>
    <row r="40" spans="1:18" x14ac:dyDescent="0.2">
      <c r="A40">
        <v>39</v>
      </c>
      <c r="B40" t="s">
        <v>205</v>
      </c>
      <c r="C40" t="s">
        <v>57</v>
      </c>
      <c r="E40" t="s">
        <v>206</v>
      </c>
      <c r="G40" t="s">
        <v>207</v>
      </c>
      <c r="I40" t="s">
        <v>208</v>
      </c>
      <c r="J40" t="s">
        <v>209</v>
      </c>
      <c r="K40" t="s">
        <v>210</v>
      </c>
      <c r="M40" t="s">
        <v>211</v>
      </c>
      <c r="N40">
        <v>1</v>
      </c>
      <c r="O40">
        <v>0</v>
      </c>
      <c r="P40">
        <v>0</v>
      </c>
      <c r="R40" s="1">
        <v>46034.625150462962</v>
      </c>
    </row>
    <row r="41" spans="1:18" x14ac:dyDescent="0.2">
      <c r="A41">
        <v>40</v>
      </c>
      <c r="B41" t="s">
        <v>212</v>
      </c>
      <c r="C41" t="s">
        <v>57</v>
      </c>
      <c r="E41" t="s">
        <v>213</v>
      </c>
      <c r="G41" t="s">
        <v>214</v>
      </c>
      <c r="I41" t="s">
        <v>215</v>
      </c>
      <c r="J41" t="s">
        <v>22</v>
      </c>
      <c r="M41" t="s">
        <v>216</v>
      </c>
      <c r="N41">
        <v>1</v>
      </c>
      <c r="O41">
        <v>0</v>
      </c>
      <c r="P41">
        <v>0</v>
      </c>
      <c r="R41" s="1">
        <v>46034.625150462962</v>
      </c>
    </row>
    <row r="42" spans="1:18" x14ac:dyDescent="0.2">
      <c r="A42">
        <v>41</v>
      </c>
      <c r="B42" t="s">
        <v>217</v>
      </c>
      <c r="C42" t="s">
        <v>57</v>
      </c>
      <c r="E42" t="s">
        <v>218</v>
      </c>
      <c r="G42" t="s">
        <v>219</v>
      </c>
      <c r="I42" t="s">
        <v>220</v>
      </c>
      <c r="J42" t="s">
        <v>22</v>
      </c>
      <c r="K42" t="s">
        <v>221</v>
      </c>
      <c r="M42" t="s">
        <v>222</v>
      </c>
      <c r="N42">
        <v>1</v>
      </c>
      <c r="O42">
        <v>1</v>
      </c>
      <c r="P42">
        <v>0</v>
      </c>
      <c r="R42" s="1">
        <v>46034.625150462962</v>
      </c>
    </row>
    <row r="43" spans="1:18" x14ac:dyDescent="0.2">
      <c r="A43">
        <v>42</v>
      </c>
      <c r="B43" t="s">
        <v>223</v>
      </c>
      <c r="C43" t="s">
        <v>57</v>
      </c>
      <c r="E43" t="s">
        <v>224</v>
      </c>
      <c r="G43" t="s">
        <v>225</v>
      </c>
      <c r="I43" t="s">
        <v>226</v>
      </c>
      <c r="J43" t="s">
        <v>22</v>
      </c>
      <c r="M43" t="s">
        <v>227</v>
      </c>
      <c r="N43">
        <v>1</v>
      </c>
      <c r="O43">
        <v>1</v>
      </c>
      <c r="P43">
        <v>0</v>
      </c>
      <c r="R43" s="1">
        <v>46034.625150462962</v>
      </c>
    </row>
    <row r="44" spans="1:18" x14ac:dyDescent="0.2">
      <c r="A44">
        <v>43</v>
      </c>
      <c r="B44" t="s">
        <v>228</v>
      </c>
      <c r="C44" t="s">
        <v>57</v>
      </c>
      <c r="E44" t="s">
        <v>229</v>
      </c>
      <c r="G44" t="s">
        <v>230</v>
      </c>
      <c r="I44" t="s">
        <v>231</v>
      </c>
      <c r="J44" t="s">
        <v>22</v>
      </c>
      <c r="K44" t="s">
        <v>232</v>
      </c>
      <c r="M44" t="s">
        <v>233</v>
      </c>
      <c r="N44">
        <v>1</v>
      </c>
      <c r="O44">
        <v>1</v>
      </c>
      <c r="P44">
        <v>0</v>
      </c>
      <c r="R44" s="1">
        <v>46034.625150462962</v>
      </c>
    </row>
    <row r="45" spans="1:18" x14ac:dyDescent="0.2">
      <c r="A45">
        <v>44</v>
      </c>
      <c r="B45" t="s">
        <v>234</v>
      </c>
      <c r="C45" t="s">
        <v>57</v>
      </c>
      <c r="E45" t="s">
        <v>235</v>
      </c>
      <c r="G45" t="s">
        <v>236</v>
      </c>
      <c r="I45" t="s">
        <v>237</v>
      </c>
      <c r="J45" t="s">
        <v>22</v>
      </c>
      <c r="M45" t="s">
        <v>238</v>
      </c>
      <c r="N45">
        <v>1</v>
      </c>
      <c r="O45">
        <v>1</v>
      </c>
      <c r="P45">
        <v>0</v>
      </c>
      <c r="R45" s="1">
        <v>46034.625150462962</v>
      </c>
    </row>
    <row r="46" spans="1:18" x14ac:dyDescent="0.2">
      <c r="A46">
        <v>45</v>
      </c>
      <c r="B46" t="s">
        <v>239</v>
      </c>
      <c r="C46" t="s">
        <v>57</v>
      </c>
      <c r="E46" t="s">
        <v>240</v>
      </c>
      <c r="G46" t="s">
        <v>241</v>
      </c>
      <c r="I46" t="s">
        <v>242</v>
      </c>
      <c r="J46" t="s">
        <v>243</v>
      </c>
      <c r="N46">
        <v>1</v>
      </c>
      <c r="O46">
        <v>0</v>
      </c>
      <c r="P46">
        <v>0</v>
      </c>
      <c r="R46" s="1">
        <v>46034.625150462962</v>
      </c>
    </row>
    <row r="47" spans="1:18" x14ac:dyDescent="0.2">
      <c r="A47">
        <v>46</v>
      </c>
      <c r="B47" t="s">
        <v>244</v>
      </c>
      <c r="C47" t="s">
        <v>57</v>
      </c>
      <c r="E47" t="s">
        <v>245</v>
      </c>
      <c r="G47" t="s">
        <v>246</v>
      </c>
      <c r="I47" t="s">
        <v>247</v>
      </c>
      <c r="J47" t="s">
        <v>22</v>
      </c>
      <c r="N47">
        <v>1</v>
      </c>
      <c r="O47">
        <v>0</v>
      </c>
      <c r="P47">
        <v>0</v>
      </c>
      <c r="R47" s="1">
        <v>46034.625150462962</v>
      </c>
    </row>
    <row r="48" spans="1:18" x14ac:dyDescent="0.2">
      <c r="A48">
        <v>47</v>
      </c>
      <c r="B48" t="s">
        <v>248</v>
      </c>
      <c r="C48" t="s">
        <v>57</v>
      </c>
      <c r="E48" t="s">
        <v>249</v>
      </c>
      <c r="G48" t="s">
        <v>250</v>
      </c>
      <c r="I48" t="s">
        <v>251</v>
      </c>
      <c r="J48" t="s">
        <v>252</v>
      </c>
      <c r="M48" t="s">
        <v>253</v>
      </c>
      <c r="N48">
        <v>1</v>
      </c>
      <c r="O48">
        <v>1</v>
      </c>
      <c r="P48">
        <v>0</v>
      </c>
      <c r="R48" s="1">
        <v>46034.625150462962</v>
      </c>
    </row>
    <row r="49" spans="1:18" x14ac:dyDescent="0.2">
      <c r="A49">
        <v>48</v>
      </c>
      <c r="B49" t="s">
        <v>254</v>
      </c>
      <c r="C49" t="s">
        <v>57</v>
      </c>
      <c r="N49">
        <v>1</v>
      </c>
      <c r="O49">
        <v>0</v>
      </c>
      <c r="P49">
        <v>0</v>
      </c>
      <c r="R49" s="1">
        <v>46034.625150462962</v>
      </c>
    </row>
    <row r="50" spans="1:18" x14ac:dyDescent="0.2">
      <c r="A50">
        <v>49</v>
      </c>
      <c r="B50" t="s">
        <v>255</v>
      </c>
      <c r="C50" t="s">
        <v>19</v>
      </c>
      <c r="E50" t="s">
        <v>256</v>
      </c>
      <c r="G50" t="s">
        <v>257</v>
      </c>
      <c r="I50" t="s">
        <v>258</v>
      </c>
      <c r="J50" t="s">
        <v>22</v>
      </c>
      <c r="K50" t="s">
        <v>259</v>
      </c>
      <c r="M50" t="s">
        <v>260</v>
      </c>
      <c r="N50">
        <v>1</v>
      </c>
      <c r="O50">
        <v>0</v>
      </c>
      <c r="P50">
        <v>0</v>
      </c>
      <c r="R50" s="1">
        <v>46034.625150462962</v>
      </c>
    </row>
    <row r="51" spans="1:18" x14ac:dyDescent="0.2">
      <c r="A51">
        <v>50</v>
      </c>
      <c r="B51" t="s">
        <v>261</v>
      </c>
      <c r="C51" t="s">
        <v>57</v>
      </c>
      <c r="G51" t="s">
        <v>262</v>
      </c>
      <c r="I51" t="s">
        <v>263</v>
      </c>
      <c r="J51" t="s">
        <v>22</v>
      </c>
      <c r="M51" t="s">
        <v>264</v>
      </c>
      <c r="N51">
        <v>1</v>
      </c>
      <c r="O51">
        <v>0</v>
      </c>
      <c r="P51">
        <v>0</v>
      </c>
      <c r="R51" s="1">
        <v>46034.625150462962</v>
      </c>
    </row>
    <row r="52" spans="1:18" x14ac:dyDescent="0.2">
      <c r="A52">
        <v>51</v>
      </c>
      <c r="B52" t="s">
        <v>265</v>
      </c>
      <c r="C52" t="s">
        <v>57</v>
      </c>
      <c r="E52" t="s">
        <v>266</v>
      </c>
      <c r="G52" t="s">
        <v>267</v>
      </c>
      <c r="I52" t="s">
        <v>268</v>
      </c>
      <c r="J52" t="s">
        <v>22</v>
      </c>
      <c r="M52" t="s">
        <v>269</v>
      </c>
      <c r="N52">
        <v>1</v>
      </c>
      <c r="O52">
        <v>1</v>
      </c>
      <c r="P52">
        <v>0</v>
      </c>
      <c r="R52" s="1">
        <v>46034.625150462962</v>
      </c>
    </row>
    <row r="53" spans="1:18" x14ac:dyDescent="0.2">
      <c r="A53">
        <v>52</v>
      </c>
      <c r="B53" t="s">
        <v>270</v>
      </c>
      <c r="C53" t="s">
        <v>57</v>
      </c>
      <c r="E53" t="s">
        <v>271</v>
      </c>
      <c r="G53" t="s">
        <v>183</v>
      </c>
      <c r="J53" t="s">
        <v>22</v>
      </c>
      <c r="M53" t="s">
        <v>272</v>
      </c>
      <c r="N53">
        <v>1</v>
      </c>
      <c r="O53">
        <v>0</v>
      </c>
      <c r="P53">
        <v>0</v>
      </c>
      <c r="R53" s="1">
        <v>46034.625150462962</v>
      </c>
    </row>
    <row r="54" spans="1:18" x14ac:dyDescent="0.2">
      <c r="A54">
        <v>53</v>
      </c>
      <c r="B54" t="s">
        <v>273</v>
      </c>
      <c r="C54" t="s">
        <v>57</v>
      </c>
      <c r="E54" t="s">
        <v>274</v>
      </c>
      <c r="G54" t="s">
        <v>275</v>
      </c>
      <c r="I54" t="s">
        <v>276</v>
      </c>
      <c r="J54" t="s">
        <v>22</v>
      </c>
      <c r="K54" t="s">
        <v>277</v>
      </c>
      <c r="M54" t="s">
        <v>278</v>
      </c>
      <c r="N54">
        <v>1</v>
      </c>
      <c r="O54">
        <v>1</v>
      </c>
      <c r="P54">
        <v>0</v>
      </c>
      <c r="R54" s="1">
        <v>46034.625150462962</v>
      </c>
    </row>
    <row r="55" spans="1:18" x14ac:dyDescent="0.2">
      <c r="A55">
        <v>54</v>
      </c>
      <c r="B55" t="s">
        <v>279</v>
      </c>
      <c r="C55" t="s">
        <v>57</v>
      </c>
      <c r="E55" t="s">
        <v>280</v>
      </c>
      <c r="G55" t="s">
        <v>281</v>
      </c>
      <c r="I55" t="s">
        <v>282</v>
      </c>
      <c r="J55" t="s">
        <v>22</v>
      </c>
      <c r="N55">
        <v>1</v>
      </c>
      <c r="O55">
        <v>0</v>
      </c>
      <c r="P55">
        <v>0</v>
      </c>
      <c r="R55" s="1">
        <v>46034.625150462962</v>
      </c>
    </row>
    <row r="56" spans="1:18" x14ac:dyDescent="0.2">
      <c r="A56">
        <v>55</v>
      </c>
      <c r="B56" t="s">
        <v>283</v>
      </c>
      <c r="C56" t="s">
        <v>57</v>
      </c>
      <c r="E56" t="s">
        <v>284</v>
      </c>
      <c r="G56" t="s">
        <v>285</v>
      </c>
      <c r="I56" t="s">
        <v>286</v>
      </c>
      <c r="J56" t="s">
        <v>22</v>
      </c>
      <c r="K56" t="s">
        <v>287</v>
      </c>
      <c r="N56">
        <v>1</v>
      </c>
      <c r="O56">
        <v>0</v>
      </c>
      <c r="P56">
        <v>0</v>
      </c>
      <c r="R56" s="1">
        <v>46034.625150462962</v>
      </c>
    </row>
    <row r="57" spans="1:18" x14ac:dyDescent="0.2">
      <c r="A57">
        <v>56</v>
      </c>
      <c r="B57" t="s">
        <v>288</v>
      </c>
      <c r="C57" t="s">
        <v>57</v>
      </c>
      <c r="E57" t="s">
        <v>289</v>
      </c>
      <c r="G57" t="s">
        <v>290</v>
      </c>
      <c r="I57" t="s">
        <v>291</v>
      </c>
      <c r="J57" t="s">
        <v>22</v>
      </c>
      <c r="K57" t="s">
        <v>292</v>
      </c>
      <c r="M57" t="s">
        <v>293</v>
      </c>
      <c r="N57">
        <v>1</v>
      </c>
      <c r="O57">
        <v>1</v>
      </c>
      <c r="P57">
        <v>0</v>
      </c>
      <c r="R57" s="1">
        <v>46034.625150462962</v>
      </c>
    </row>
    <row r="58" spans="1:18" x14ac:dyDescent="0.2">
      <c r="A58">
        <v>57</v>
      </c>
      <c r="B58" t="s">
        <v>294</v>
      </c>
      <c r="C58" t="s">
        <v>57</v>
      </c>
      <c r="E58" t="s">
        <v>295</v>
      </c>
      <c r="G58" t="s">
        <v>296</v>
      </c>
      <c r="I58" t="s">
        <v>297</v>
      </c>
      <c r="J58" t="s">
        <v>22</v>
      </c>
      <c r="K58" t="s">
        <v>298</v>
      </c>
      <c r="N58">
        <v>1</v>
      </c>
      <c r="O58">
        <v>0</v>
      </c>
      <c r="P58">
        <v>0</v>
      </c>
      <c r="R58" s="1">
        <v>46034.625150462962</v>
      </c>
    </row>
    <row r="59" spans="1:18" x14ac:dyDescent="0.2">
      <c r="A59">
        <v>58</v>
      </c>
      <c r="B59" t="s">
        <v>299</v>
      </c>
      <c r="C59" t="s">
        <v>57</v>
      </c>
      <c r="E59" t="s">
        <v>300</v>
      </c>
      <c r="G59" t="s">
        <v>301</v>
      </c>
      <c r="I59" t="s">
        <v>302</v>
      </c>
      <c r="J59" t="s">
        <v>22</v>
      </c>
      <c r="K59" t="s">
        <v>303</v>
      </c>
      <c r="M59" t="s">
        <v>304</v>
      </c>
      <c r="N59">
        <v>1</v>
      </c>
      <c r="O59">
        <v>1</v>
      </c>
      <c r="P59">
        <v>0</v>
      </c>
      <c r="R59" s="1">
        <v>46034.625150462962</v>
      </c>
    </row>
    <row r="60" spans="1:18" x14ac:dyDescent="0.2">
      <c r="A60">
        <v>59</v>
      </c>
      <c r="B60" t="s">
        <v>305</v>
      </c>
      <c r="C60" t="s">
        <v>57</v>
      </c>
      <c r="E60" t="s">
        <v>306</v>
      </c>
      <c r="G60" t="s">
        <v>307</v>
      </c>
      <c r="I60" t="s">
        <v>308</v>
      </c>
      <c r="J60" t="s">
        <v>22</v>
      </c>
      <c r="M60" t="s">
        <v>309</v>
      </c>
      <c r="N60">
        <v>1</v>
      </c>
      <c r="O60">
        <v>0</v>
      </c>
      <c r="P60">
        <v>0</v>
      </c>
      <c r="R60" s="1">
        <v>46034.625150462962</v>
      </c>
    </row>
    <row r="61" spans="1:18" x14ac:dyDescent="0.2">
      <c r="A61">
        <v>60</v>
      </c>
      <c r="B61" t="s">
        <v>310</v>
      </c>
      <c r="C61" t="s">
        <v>19</v>
      </c>
      <c r="E61" t="s">
        <v>311</v>
      </c>
      <c r="G61" t="s">
        <v>312</v>
      </c>
      <c r="I61" t="s">
        <v>66</v>
      </c>
      <c r="J61" t="s">
        <v>22</v>
      </c>
      <c r="M61" t="s">
        <v>313</v>
      </c>
      <c r="N61">
        <v>1</v>
      </c>
      <c r="O61">
        <v>1</v>
      </c>
      <c r="P61">
        <v>0</v>
      </c>
      <c r="R61" s="1">
        <v>46034.625150462962</v>
      </c>
    </row>
    <row r="62" spans="1:18" x14ac:dyDescent="0.2">
      <c r="A62">
        <v>61</v>
      </c>
      <c r="B62" t="s">
        <v>314</v>
      </c>
      <c r="C62" t="s">
        <v>57</v>
      </c>
      <c r="E62" t="s">
        <v>315</v>
      </c>
      <c r="G62" t="s">
        <v>316</v>
      </c>
      <c r="I62" t="s">
        <v>317</v>
      </c>
      <c r="J62" t="s">
        <v>22</v>
      </c>
      <c r="K62" t="s">
        <v>318</v>
      </c>
      <c r="M62" t="s">
        <v>319</v>
      </c>
      <c r="N62">
        <v>1</v>
      </c>
      <c r="O62">
        <v>1</v>
      </c>
      <c r="P62">
        <v>0</v>
      </c>
      <c r="R62" s="1">
        <v>46034.625150462962</v>
      </c>
    </row>
    <row r="63" spans="1:18" x14ac:dyDescent="0.2">
      <c r="A63">
        <v>62</v>
      </c>
      <c r="B63" t="s">
        <v>320</v>
      </c>
      <c r="C63" t="s">
        <v>57</v>
      </c>
      <c r="G63" t="s">
        <v>321</v>
      </c>
      <c r="I63" t="s">
        <v>322</v>
      </c>
      <c r="J63" t="s">
        <v>22</v>
      </c>
      <c r="M63" t="s">
        <v>323</v>
      </c>
      <c r="N63">
        <v>1</v>
      </c>
      <c r="O63">
        <v>0</v>
      </c>
      <c r="P63">
        <v>0</v>
      </c>
      <c r="R63" s="1">
        <v>46034.625150462962</v>
      </c>
    </row>
    <row r="64" spans="1:18" x14ac:dyDescent="0.2">
      <c r="A64">
        <v>63</v>
      </c>
      <c r="B64" t="s">
        <v>324</v>
      </c>
      <c r="C64" t="s">
        <v>57</v>
      </c>
      <c r="E64" t="s">
        <v>271</v>
      </c>
      <c r="G64" t="s">
        <v>325</v>
      </c>
      <c r="J64" t="s">
        <v>22</v>
      </c>
      <c r="M64" t="s">
        <v>272</v>
      </c>
      <c r="N64">
        <v>1</v>
      </c>
      <c r="O64">
        <v>0</v>
      </c>
      <c r="P64">
        <v>0</v>
      </c>
      <c r="R64" s="1">
        <v>46034.625150462962</v>
      </c>
    </row>
    <row r="65" spans="1:18" x14ac:dyDescent="0.2">
      <c r="A65">
        <v>64</v>
      </c>
      <c r="B65" t="s">
        <v>326</v>
      </c>
      <c r="C65" t="s">
        <v>57</v>
      </c>
      <c r="E65" t="s">
        <v>327</v>
      </c>
      <c r="G65" t="s">
        <v>328</v>
      </c>
      <c r="I65" t="s">
        <v>329</v>
      </c>
      <c r="J65" t="s">
        <v>22</v>
      </c>
      <c r="K65" t="s">
        <v>330</v>
      </c>
      <c r="M65" t="s">
        <v>331</v>
      </c>
      <c r="N65">
        <v>1</v>
      </c>
      <c r="O65">
        <v>1</v>
      </c>
      <c r="P65">
        <v>0</v>
      </c>
      <c r="R65" s="1">
        <v>46034.625150462962</v>
      </c>
    </row>
    <row r="66" spans="1:18" x14ac:dyDescent="0.2">
      <c r="A66">
        <v>65</v>
      </c>
      <c r="B66" t="s">
        <v>332</v>
      </c>
      <c r="C66" t="s">
        <v>57</v>
      </c>
      <c r="E66" t="s">
        <v>159</v>
      </c>
      <c r="G66" t="s">
        <v>333</v>
      </c>
      <c r="I66" t="s">
        <v>79</v>
      </c>
      <c r="J66" t="s">
        <v>22</v>
      </c>
      <c r="K66" t="s">
        <v>334</v>
      </c>
      <c r="M66" t="s">
        <v>335</v>
      </c>
      <c r="N66">
        <v>1</v>
      </c>
      <c r="O66">
        <v>1</v>
      </c>
      <c r="P66">
        <v>0</v>
      </c>
      <c r="R66" s="1">
        <v>46034.625150462962</v>
      </c>
    </row>
    <row r="67" spans="1:18" x14ac:dyDescent="0.2">
      <c r="A67">
        <v>66</v>
      </c>
      <c r="B67" t="s">
        <v>336</v>
      </c>
      <c r="C67" t="s">
        <v>57</v>
      </c>
      <c r="E67" t="s">
        <v>271</v>
      </c>
      <c r="G67" t="s">
        <v>337</v>
      </c>
      <c r="J67" t="s">
        <v>22</v>
      </c>
      <c r="M67" t="s">
        <v>272</v>
      </c>
      <c r="N67">
        <v>1</v>
      </c>
      <c r="O67">
        <v>0</v>
      </c>
      <c r="P67">
        <v>0</v>
      </c>
      <c r="R67" s="1">
        <v>46034.625150462962</v>
      </c>
    </row>
    <row r="68" spans="1:18" x14ac:dyDescent="0.2">
      <c r="A68">
        <v>67</v>
      </c>
      <c r="B68" t="s">
        <v>338</v>
      </c>
      <c r="C68" t="s">
        <v>57</v>
      </c>
      <c r="E68" t="s">
        <v>271</v>
      </c>
      <c r="G68" t="s">
        <v>339</v>
      </c>
      <c r="J68" t="s">
        <v>22</v>
      </c>
      <c r="M68" t="s">
        <v>272</v>
      </c>
      <c r="N68">
        <v>1</v>
      </c>
      <c r="O68">
        <v>0</v>
      </c>
      <c r="P68">
        <v>0</v>
      </c>
      <c r="R68" s="1">
        <v>46034.625150462962</v>
      </c>
    </row>
    <row r="69" spans="1:18" x14ac:dyDescent="0.2">
      <c r="A69">
        <v>68</v>
      </c>
      <c r="B69" t="s">
        <v>340</v>
      </c>
      <c r="C69" t="s">
        <v>57</v>
      </c>
      <c r="E69" t="s">
        <v>341</v>
      </c>
      <c r="G69" t="s">
        <v>342</v>
      </c>
      <c r="I69" t="s">
        <v>343</v>
      </c>
      <c r="J69" t="s">
        <v>22</v>
      </c>
      <c r="M69" t="s">
        <v>344</v>
      </c>
      <c r="N69">
        <v>1</v>
      </c>
      <c r="O69">
        <v>1</v>
      </c>
      <c r="P69">
        <v>0</v>
      </c>
      <c r="R69" s="1">
        <v>46034.625150462962</v>
      </c>
    </row>
    <row r="70" spans="1:18" x14ac:dyDescent="0.2">
      <c r="A70">
        <v>69</v>
      </c>
      <c r="B70" t="s">
        <v>345</v>
      </c>
      <c r="C70" t="s">
        <v>19</v>
      </c>
      <c r="E70" t="s">
        <v>346</v>
      </c>
      <c r="G70" t="s">
        <v>347</v>
      </c>
      <c r="I70" t="s">
        <v>348</v>
      </c>
      <c r="J70" t="s">
        <v>22</v>
      </c>
      <c r="N70">
        <v>1</v>
      </c>
      <c r="O70">
        <v>0</v>
      </c>
      <c r="P70">
        <v>0</v>
      </c>
      <c r="R70" s="1">
        <v>46034.625150462962</v>
      </c>
    </row>
    <row r="71" spans="1:18" x14ac:dyDescent="0.2">
      <c r="A71">
        <v>70</v>
      </c>
      <c r="B71" t="s">
        <v>349</v>
      </c>
      <c r="C71" t="s">
        <v>57</v>
      </c>
      <c r="E71" t="s">
        <v>350</v>
      </c>
      <c r="G71" t="s">
        <v>351</v>
      </c>
      <c r="I71" t="s">
        <v>352</v>
      </c>
      <c r="J71" t="s">
        <v>22</v>
      </c>
      <c r="M71" t="s">
        <v>353</v>
      </c>
      <c r="N71">
        <v>1</v>
      </c>
      <c r="O71">
        <v>0</v>
      </c>
      <c r="P71">
        <v>0</v>
      </c>
      <c r="R71" s="1">
        <v>46034.625150462962</v>
      </c>
    </row>
    <row r="72" spans="1:18" x14ac:dyDescent="0.2">
      <c r="A72">
        <v>71</v>
      </c>
      <c r="B72" t="s">
        <v>354</v>
      </c>
      <c r="C72" t="s">
        <v>57</v>
      </c>
      <c r="E72" t="s">
        <v>355</v>
      </c>
      <c r="G72" t="s">
        <v>356</v>
      </c>
      <c r="I72" t="s">
        <v>357</v>
      </c>
      <c r="J72" t="s">
        <v>22</v>
      </c>
      <c r="K72" t="s">
        <v>358</v>
      </c>
      <c r="M72" t="s">
        <v>359</v>
      </c>
      <c r="N72">
        <v>1</v>
      </c>
      <c r="O72">
        <v>1</v>
      </c>
      <c r="P72">
        <v>0</v>
      </c>
      <c r="R72" s="1">
        <v>46034.625150462962</v>
      </c>
    </row>
    <row r="73" spans="1:18" x14ac:dyDescent="0.2">
      <c r="A73">
        <v>72</v>
      </c>
      <c r="B73" t="s">
        <v>360</v>
      </c>
      <c r="C73" t="s">
        <v>57</v>
      </c>
      <c r="E73" t="s">
        <v>361</v>
      </c>
      <c r="G73" t="s">
        <v>362</v>
      </c>
      <c r="I73" t="s">
        <v>27</v>
      </c>
      <c r="J73" t="s">
        <v>22</v>
      </c>
      <c r="K73" t="s">
        <v>363</v>
      </c>
      <c r="M73" t="s">
        <v>364</v>
      </c>
      <c r="N73">
        <v>1</v>
      </c>
      <c r="O73">
        <v>1</v>
      </c>
      <c r="P73">
        <v>0</v>
      </c>
      <c r="R73" s="1">
        <v>46034.625150462962</v>
      </c>
    </row>
    <row r="74" spans="1:18" x14ac:dyDescent="0.2">
      <c r="A74">
        <v>73</v>
      </c>
      <c r="B74" t="s">
        <v>365</v>
      </c>
      <c r="C74" t="s">
        <v>19</v>
      </c>
      <c r="E74" t="s">
        <v>366</v>
      </c>
      <c r="G74" t="s">
        <v>367</v>
      </c>
      <c r="I74" t="s">
        <v>368</v>
      </c>
      <c r="J74" t="s">
        <v>22</v>
      </c>
      <c r="M74" t="s">
        <v>369</v>
      </c>
      <c r="N74">
        <v>1</v>
      </c>
      <c r="O74">
        <v>1</v>
      </c>
      <c r="P74">
        <v>0</v>
      </c>
      <c r="R74" s="1">
        <v>46034.625150462962</v>
      </c>
    </row>
    <row r="75" spans="1:18" x14ac:dyDescent="0.2">
      <c r="A75">
        <v>74</v>
      </c>
      <c r="B75" t="s">
        <v>370</v>
      </c>
      <c r="C75" t="s">
        <v>57</v>
      </c>
      <c r="E75" t="s">
        <v>87</v>
      </c>
      <c r="G75" t="s">
        <v>371</v>
      </c>
      <c r="I75" t="s">
        <v>372</v>
      </c>
      <c r="J75" t="s">
        <v>373</v>
      </c>
      <c r="M75" t="s">
        <v>374</v>
      </c>
      <c r="N75">
        <v>1</v>
      </c>
      <c r="O75">
        <v>0</v>
      </c>
      <c r="P75">
        <v>0</v>
      </c>
      <c r="R75" s="1">
        <v>46034.625150462962</v>
      </c>
    </row>
    <row r="76" spans="1:18" x14ac:dyDescent="0.2">
      <c r="A76">
        <v>75</v>
      </c>
      <c r="B76" t="s">
        <v>375</v>
      </c>
      <c r="C76" t="s">
        <v>19</v>
      </c>
      <c r="E76" t="s">
        <v>376</v>
      </c>
      <c r="G76" t="s">
        <v>377</v>
      </c>
      <c r="I76" t="s">
        <v>378</v>
      </c>
      <c r="J76" t="s">
        <v>22</v>
      </c>
      <c r="K76" t="s">
        <v>379</v>
      </c>
      <c r="M76" t="s">
        <v>309</v>
      </c>
      <c r="N76">
        <v>1</v>
      </c>
      <c r="O76">
        <v>1</v>
      </c>
      <c r="P76">
        <v>0</v>
      </c>
      <c r="R76" s="1">
        <v>46034.625150462962</v>
      </c>
    </row>
    <row r="77" spans="1:18" x14ac:dyDescent="0.2">
      <c r="A77">
        <v>76</v>
      </c>
      <c r="B77" t="s">
        <v>380</v>
      </c>
      <c r="C77" t="s">
        <v>57</v>
      </c>
      <c r="G77" t="s">
        <v>381</v>
      </c>
      <c r="I77" t="s">
        <v>382</v>
      </c>
      <c r="J77" t="s">
        <v>22</v>
      </c>
      <c r="N77">
        <v>1</v>
      </c>
      <c r="O77">
        <v>0</v>
      </c>
      <c r="P77">
        <v>0</v>
      </c>
      <c r="R77" s="1">
        <v>46034.625150462962</v>
      </c>
    </row>
    <row r="78" spans="1:18" x14ac:dyDescent="0.2">
      <c r="A78">
        <v>77</v>
      </c>
      <c r="B78" t="s">
        <v>383</v>
      </c>
      <c r="C78" t="s">
        <v>57</v>
      </c>
      <c r="E78" t="s">
        <v>384</v>
      </c>
      <c r="G78" t="s">
        <v>385</v>
      </c>
      <c r="I78" t="s">
        <v>237</v>
      </c>
      <c r="J78" t="s">
        <v>22</v>
      </c>
      <c r="M78" t="s">
        <v>386</v>
      </c>
      <c r="N78">
        <v>1</v>
      </c>
      <c r="O78">
        <v>1</v>
      </c>
      <c r="P78">
        <v>0</v>
      </c>
      <c r="R78" s="1">
        <v>46034.625150462962</v>
      </c>
    </row>
    <row r="79" spans="1:18" x14ac:dyDescent="0.2">
      <c r="A79">
        <v>78</v>
      </c>
      <c r="B79" t="s">
        <v>387</v>
      </c>
      <c r="C79" t="s">
        <v>57</v>
      </c>
      <c r="E79" t="s">
        <v>388</v>
      </c>
      <c r="G79" t="s">
        <v>389</v>
      </c>
      <c r="I79" t="s">
        <v>390</v>
      </c>
      <c r="J79" t="s">
        <v>391</v>
      </c>
      <c r="N79">
        <v>1</v>
      </c>
      <c r="O79">
        <v>0</v>
      </c>
      <c r="P79">
        <v>0</v>
      </c>
      <c r="R79" s="1">
        <v>46034.625150462962</v>
      </c>
    </row>
    <row r="80" spans="1:18" x14ac:dyDescent="0.2">
      <c r="A80">
        <v>79</v>
      </c>
      <c r="B80" t="s">
        <v>392</v>
      </c>
      <c r="C80" t="s">
        <v>39</v>
      </c>
      <c r="E80" t="s">
        <v>393</v>
      </c>
      <c r="G80" t="s">
        <v>394</v>
      </c>
      <c r="I80" t="s">
        <v>395</v>
      </c>
      <c r="J80" t="s">
        <v>22</v>
      </c>
      <c r="M80" t="s">
        <v>396</v>
      </c>
      <c r="N80">
        <v>1</v>
      </c>
      <c r="O80">
        <v>1</v>
      </c>
      <c r="P80">
        <v>0</v>
      </c>
      <c r="R80" s="1">
        <v>46034.625150462962</v>
      </c>
    </row>
    <row r="81" spans="1:18" x14ac:dyDescent="0.2">
      <c r="A81">
        <v>80</v>
      </c>
      <c r="B81" t="s">
        <v>397</v>
      </c>
      <c r="C81" t="s">
        <v>39</v>
      </c>
      <c r="E81" t="s">
        <v>177</v>
      </c>
      <c r="G81" t="s">
        <v>178</v>
      </c>
      <c r="I81" t="s">
        <v>179</v>
      </c>
      <c r="J81" t="s">
        <v>22</v>
      </c>
      <c r="K81" t="s">
        <v>398</v>
      </c>
      <c r="M81" t="s">
        <v>399</v>
      </c>
      <c r="N81">
        <v>1</v>
      </c>
      <c r="O81">
        <v>0</v>
      </c>
      <c r="P81">
        <v>0</v>
      </c>
      <c r="R81" s="1">
        <v>46034.625150462962</v>
      </c>
    </row>
    <row r="82" spans="1:18" x14ac:dyDescent="0.2">
      <c r="A82">
        <v>81</v>
      </c>
      <c r="B82" t="s">
        <v>400</v>
      </c>
      <c r="C82" t="s">
        <v>39</v>
      </c>
      <c r="E82" t="s">
        <v>401</v>
      </c>
      <c r="G82" t="s">
        <v>402</v>
      </c>
      <c r="I82" t="s">
        <v>403</v>
      </c>
      <c r="J82" t="s">
        <v>22</v>
      </c>
      <c r="M82" t="s">
        <v>404</v>
      </c>
      <c r="N82">
        <v>1</v>
      </c>
      <c r="O82">
        <v>1</v>
      </c>
      <c r="P82">
        <v>0</v>
      </c>
      <c r="R82" s="1">
        <v>46034.625150462962</v>
      </c>
    </row>
    <row r="83" spans="1:18" x14ac:dyDescent="0.2">
      <c r="A83">
        <v>82</v>
      </c>
      <c r="B83" t="s">
        <v>405</v>
      </c>
      <c r="C83" t="s">
        <v>39</v>
      </c>
      <c r="N83">
        <v>1</v>
      </c>
      <c r="O83">
        <v>0</v>
      </c>
      <c r="P83">
        <v>0</v>
      </c>
      <c r="R83" s="1">
        <v>46034.625150462962</v>
      </c>
    </row>
    <row r="84" spans="1:18" x14ac:dyDescent="0.2">
      <c r="A84">
        <v>83</v>
      </c>
      <c r="B84" t="s">
        <v>406</v>
      </c>
      <c r="C84" t="s">
        <v>39</v>
      </c>
      <c r="N84">
        <v>1</v>
      </c>
      <c r="O84">
        <v>0</v>
      </c>
      <c r="P84">
        <v>0</v>
      </c>
      <c r="R84" s="1">
        <v>46034.625150462962</v>
      </c>
    </row>
    <row r="85" spans="1:18" x14ac:dyDescent="0.2">
      <c r="A85">
        <v>84</v>
      </c>
      <c r="B85" t="s">
        <v>407</v>
      </c>
      <c r="C85" t="s">
        <v>39</v>
      </c>
      <c r="N85">
        <v>1</v>
      </c>
      <c r="O85">
        <v>0</v>
      </c>
      <c r="P85">
        <v>0</v>
      </c>
      <c r="R85" s="1">
        <v>46034.625150462962</v>
      </c>
    </row>
    <row r="86" spans="1:18" x14ac:dyDescent="0.2">
      <c r="A86">
        <v>85</v>
      </c>
      <c r="B86" t="s">
        <v>408</v>
      </c>
      <c r="C86" t="s">
        <v>39</v>
      </c>
      <c r="N86">
        <v>1</v>
      </c>
      <c r="O86">
        <v>0</v>
      </c>
      <c r="P86">
        <v>0</v>
      </c>
      <c r="R86" s="1">
        <v>46034.625150462962</v>
      </c>
    </row>
    <row r="87" spans="1:18" x14ac:dyDescent="0.2">
      <c r="A87">
        <v>86</v>
      </c>
      <c r="B87" t="s">
        <v>409</v>
      </c>
      <c r="C87" t="s">
        <v>39</v>
      </c>
      <c r="N87">
        <v>1</v>
      </c>
      <c r="O87">
        <v>0</v>
      </c>
      <c r="P87">
        <v>0</v>
      </c>
      <c r="R87" s="1">
        <v>46034.625150462962</v>
      </c>
    </row>
    <row r="88" spans="1:18" x14ac:dyDescent="0.2">
      <c r="A88">
        <v>87</v>
      </c>
      <c r="B88" t="s">
        <v>410</v>
      </c>
      <c r="C88" t="s">
        <v>39</v>
      </c>
      <c r="N88">
        <v>1</v>
      </c>
      <c r="O88">
        <v>0</v>
      </c>
      <c r="P88">
        <v>0</v>
      </c>
      <c r="R88" s="1">
        <v>46034.625150462962</v>
      </c>
    </row>
    <row r="89" spans="1:18" x14ac:dyDescent="0.2">
      <c r="A89">
        <v>88</v>
      </c>
      <c r="B89" t="s">
        <v>411</v>
      </c>
      <c r="C89" t="s">
        <v>39</v>
      </c>
      <c r="N89">
        <v>1</v>
      </c>
      <c r="O89">
        <v>0</v>
      </c>
      <c r="P89">
        <v>0</v>
      </c>
      <c r="R89" s="1">
        <v>46034.625150462962</v>
      </c>
    </row>
    <row r="90" spans="1:18" x14ac:dyDescent="0.2">
      <c r="A90">
        <v>89</v>
      </c>
      <c r="B90" t="s">
        <v>412</v>
      </c>
      <c r="C90" t="s">
        <v>39</v>
      </c>
      <c r="N90">
        <v>1</v>
      </c>
      <c r="O90">
        <v>0</v>
      </c>
      <c r="P90">
        <v>0</v>
      </c>
      <c r="R90" s="1">
        <v>46034.625150462962</v>
      </c>
    </row>
    <row r="91" spans="1:18" x14ac:dyDescent="0.2">
      <c r="A91">
        <v>90</v>
      </c>
      <c r="B91" t="s">
        <v>413</v>
      </c>
      <c r="C91" t="s">
        <v>57</v>
      </c>
      <c r="G91" t="s">
        <v>414</v>
      </c>
      <c r="I91" t="s">
        <v>415</v>
      </c>
      <c r="J91" t="s">
        <v>22</v>
      </c>
      <c r="K91" t="s">
        <v>416</v>
      </c>
      <c r="M91" t="s">
        <v>417</v>
      </c>
      <c r="N91">
        <v>1</v>
      </c>
      <c r="O91">
        <v>1</v>
      </c>
      <c r="P91">
        <v>0</v>
      </c>
      <c r="R91" s="1">
        <v>46034.625150462962</v>
      </c>
    </row>
    <row r="92" spans="1:18" x14ac:dyDescent="0.2">
      <c r="A92">
        <v>91</v>
      </c>
      <c r="B92" t="s">
        <v>418</v>
      </c>
      <c r="C92" t="s">
        <v>57</v>
      </c>
      <c r="E92" t="s">
        <v>419</v>
      </c>
      <c r="G92" t="s">
        <v>420</v>
      </c>
      <c r="I92" t="s">
        <v>421</v>
      </c>
      <c r="J92" t="s">
        <v>22</v>
      </c>
      <c r="K92" t="s">
        <v>422</v>
      </c>
      <c r="M92" t="s">
        <v>423</v>
      </c>
      <c r="N92">
        <v>1</v>
      </c>
      <c r="O92">
        <v>1</v>
      </c>
      <c r="P92">
        <v>0</v>
      </c>
      <c r="R92" s="1">
        <v>46034.625150462962</v>
      </c>
    </row>
    <row r="93" spans="1:18" x14ac:dyDescent="0.2">
      <c r="A93">
        <v>92</v>
      </c>
      <c r="B93" t="s">
        <v>424</v>
      </c>
      <c r="C93" t="s">
        <v>57</v>
      </c>
      <c r="G93" t="s">
        <v>425</v>
      </c>
      <c r="I93" t="s">
        <v>426</v>
      </c>
      <c r="J93" t="s">
        <v>22</v>
      </c>
      <c r="K93" t="s">
        <v>427</v>
      </c>
      <c r="M93" t="s">
        <v>428</v>
      </c>
      <c r="N93">
        <v>1</v>
      </c>
      <c r="O93">
        <v>1</v>
      </c>
      <c r="P93">
        <v>0</v>
      </c>
      <c r="R93" s="1">
        <v>46034.625150462962</v>
      </c>
    </row>
    <row r="94" spans="1:18" x14ac:dyDescent="0.2">
      <c r="A94">
        <v>93</v>
      </c>
      <c r="B94" t="s">
        <v>429</v>
      </c>
      <c r="C94" t="s">
        <v>57</v>
      </c>
      <c r="G94" t="s">
        <v>430</v>
      </c>
      <c r="I94" t="s">
        <v>431</v>
      </c>
      <c r="J94" t="s">
        <v>22</v>
      </c>
      <c r="K94" t="s">
        <v>432</v>
      </c>
      <c r="M94" t="s">
        <v>433</v>
      </c>
      <c r="N94">
        <v>1</v>
      </c>
      <c r="O94">
        <v>1</v>
      </c>
      <c r="P94">
        <v>0</v>
      </c>
      <c r="R94" s="1">
        <v>46034.625150462962</v>
      </c>
    </row>
    <row r="95" spans="1:18" x14ac:dyDescent="0.2">
      <c r="A95">
        <v>94</v>
      </c>
      <c r="B95" t="s">
        <v>434</v>
      </c>
      <c r="C95" t="s">
        <v>57</v>
      </c>
      <c r="G95" t="s">
        <v>435</v>
      </c>
      <c r="I95" t="s">
        <v>436</v>
      </c>
      <c r="J95" t="s">
        <v>22</v>
      </c>
      <c r="K95" t="s">
        <v>437</v>
      </c>
      <c r="M95" t="s">
        <v>438</v>
      </c>
      <c r="N95">
        <v>1</v>
      </c>
      <c r="O95">
        <v>1</v>
      </c>
      <c r="P95">
        <v>0</v>
      </c>
      <c r="R95" s="1">
        <v>46034.625150462962</v>
      </c>
    </row>
    <row r="96" spans="1:18" x14ac:dyDescent="0.2">
      <c r="A96">
        <v>95</v>
      </c>
      <c r="B96" t="s">
        <v>439</v>
      </c>
      <c r="C96" t="s">
        <v>57</v>
      </c>
      <c r="G96" t="s">
        <v>440</v>
      </c>
      <c r="I96" t="s">
        <v>441</v>
      </c>
      <c r="J96" t="s">
        <v>22</v>
      </c>
      <c r="K96" t="s">
        <v>442</v>
      </c>
      <c r="M96" t="s">
        <v>443</v>
      </c>
      <c r="N96">
        <v>1</v>
      </c>
      <c r="O96">
        <v>1</v>
      </c>
      <c r="P96">
        <v>0</v>
      </c>
      <c r="R96" s="1">
        <v>46034.625150462962</v>
      </c>
    </row>
    <row r="97" spans="1:18" x14ac:dyDescent="0.2">
      <c r="A97">
        <v>96</v>
      </c>
      <c r="B97" t="s">
        <v>444</v>
      </c>
      <c r="C97" t="s">
        <v>57</v>
      </c>
      <c r="G97" t="s">
        <v>445</v>
      </c>
      <c r="I97" t="s">
        <v>84</v>
      </c>
      <c r="J97" t="s">
        <v>22</v>
      </c>
      <c r="K97" t="s">
        <v>446</v>
      </c>
      <c r="M97" t="s">
        <v>447</v>
      </c>
      <c r="N97">
        <v>1</v>
      </c>
      <c r="O97">
        <v>1</v>
      </c>
      <c r="P97">
        <v>0</v>
      </c>
      <c r="R97" s="1">
        <v>46034.625150462962</v>
      </c>
    </row>
    <row r="98" spans="1:18" x14ac:dyDescent="0.2">
      <c r="A98">
        <v>97</v>
      </c>
      <c r="B98" t="s">
        <v>448</v>
      </c>
      <c r="C98" t="s">
        <v>57</v>
      </c>
      <c r="G98" t="s">
        <v>449</v>
      </c>
      <c r="I98" t="s">
        <v>99</v>
      </c>
      <c r="J98" t="s">
        <v>22</v>
      </c>
      <c r="K98" t="s">
        <v>450</v>
      </c>
      <c r="M98" t="s">
        <v>451</v>
      </c>
      <c r="N98">
        <v>1</v>
      </c>
      <c r="O98">
        <v>1</v>
      </c>
      <c r="P98">
        <v>0</v>
      </c>
      <c r="R98" s="1">
        <v>46034.625150462962</v>
      </c>
    </row>
    <row r="99" spans="1:18" x14ac:dyDescent="0.2">
      <c r="A99">
        <v>98</v>
      </c>
      <c r="B99" t="s">
        <v>452</v>
      </c>
      <c r="C99" t="s">
        <v>57</v>
      </c>
      <c r="E99" t="s">
        <v>453</v>
      </c>
      <c r="G99" t="s">
        <v>454</v>
      </c>
      <c r="I99" t="s">
        <v>455</v>
      </c>
      <c r="J99" t="s">
        <v>22</v>
      </c>
      <c r="K99" t="s">
        <v>456</v>
      </c>
      <c r="N99">
        <v>1</v>
      </c>
      <c r="O99">
        <v>1</v>
      </c>
      <c r="P99">
        <v>0</v>
      </c>
      <c r="R99" s="1">
        <v>46034.625150462962</v>
      </c>
    </row>
    <row r="100" spans="1:18" x14ac:dyDescent="0.2">
      <c r="A100">
        <v>99</v>
      </c>
      <c r="B100" t="s">
        <v>457</v>
      </c>
      <c r="C100" t="s">
        <v>57</v>
      </c>
      <c r="G100" t="s">
        <v>458</v>
      </c>
      <c r="I100" t="s">
        <v>459</v>
      </c>
      <c r="J100" t="s">
        <v>22</v>
      </c>
      <c r="K100" t="s">
        <v>460</v>
      </c>
      <c r="M100" t="s">
        <v>461</v>
      </c>
      <c r="N100">
        <v>1</v>
      </c>
      <c r="O100">
        <v>1</v>
      </c>
      <c r="P100">
        <v>0</v>
      </c>
      <c r="R100" s="1">
        <v>46034.625150462962</v>
      </c>
    </row>
    <row r="101" spans="1:18" x14ac:dyDescent="0.2">
      <c r="A101">
        <v>100</v>
      </c>
      <c r="B101" t="s">
        <v>462</v>
      </c>
      <c r="C101" t="s">
        <v>57</v>
      </c>
      <c r="G101" t="s">
        <v>463</v>
      </c>
      <c r="J101" t="s">
        <v>22</v>
      </c>
      <c r="K101" t="s">
        <v>464</v>
      </c>
      <c r="M101" t="s">
        <v>465</v>
      </c>
      <c r="N101">
        <v>1</v>
      </c>
      <c r="O101">
        <v>1</v>
      </c>
      <c r="P101">
        <v>0</v>
      </c>
      <c r="R101" s="1">
        <v>46034.625150462962</v>
      </c>
    </row>
    <row r="102" spans="1:18" x14ac:dyDescent="0.2">
      <c r="A102">
        <v>101</v>
      </c>
      <c r="B102" t="s">
        <v>466</v>
      </c>
      <c r="C102" t="s">
        <v>57</v>
      </c>
      <c r="E102" t="s">
        <v>467</v>
      </c>
      <c r="G102" t="s">
        <v>468</v>
      </c>
      <c r="I102" t="s">
        <v>167</v>
      </c>
      <c r="J102" t="s">
        <v>22</v>
      </c>
      <c r="K102" t="s">
        <v>469</v>
      </c>
      <c r="M102" t="s">
        <v>470</v>
      </c>
      <c r="N102">
        <v>1</v>
      </c>
      <c r="O102">
        <v>1</v>
      </c>
      <c r="P102">
        <v>0</v>
      </c>
      <c r="R102" s="1">
        <v>46034.625150462962</v>
      </c>
    </row>
    <row r="103" spans="1:18" x14ac:dyDescent="0.2">
      <c r="A103">
        <v>102</v>
      </c>
      <c r="B103" t="s">
        <v>471</v>
      </c>
      <c r="C103" t="s">
        <v>57</v>
      </c>
      <c r="E103" t="s">
        <v>472</v>
      </c>
      <c r="G103" t="s">
        <v>473</v>
      </c>
      <c r="I103" t="s">
        <v>415</v>
      </c>
      <c r="J103" t="s">
        <v>22</v>
      </c>
      <c r="K103" t="s">
        <v>474</v>
      </c>
      <c r="N103">
        <v>1</v>
      </c>
      <c r="O103">
        <v>0</v>
      </c>
      <c r="P103">
        <v>0</v>
      </c>
      <c r="R103" s="1">
        <v>46034.625150462962</v>
      </c>
    </row>
    <row r="104" spans="1:18" x14ac:dyDescent="0.2">
      <c r="A104">
        <v>103</v>
      </c>
      <c r="B104" t="s">
        <v>475</v>
      </c>
      <c r="C104" t="s">
        <v>57</v>
      </c>
      <c r="E104" t="s">
        <v>476</v>
      </c>
      <c r="G104" t="s">
        <v>477</v>
      </c>
      <c r="I104" t="s">
        <v>431</v>
      </c>
      <c r="J104" t="s">
        <v>22</v>
      </c>
      <c r="N104">
        <v>1</v>
      </c>
      <c r="O104">
        <v>1</v>
      </c>
      <c r="P104">
        <v>0</v>
      </c>
      <c r="R104" s="1">
        <v>46034.625150462962</v>
      </c>
    </row>
    <row r="105" spans="1:18" x14ac:dyDescent="0.2">
      <c r="A105">
        <v>104</v>
      </c>
      <c r="B105" t="s">
        <v>478</v>
      </c>
      <c r="C105" t="s">
        <v>57</v>
      </c>
      <c r="E105" t="s">
        <v>479</v>
      </c>
      <c r="G105" t="s">
        <v>480</v>
      </c>
      <c r="I105" t="s">
        <v>481</v>
      </c>
      <c r="J105" t="s">
        <v>22</v>
      </c>
      <c r="N105">
        <v>1</v>
      </c>
      <c r="O105">
        <v>0</v>
      </c>
      <c r="P105">
        <v>0</v>
      </c>
      <c r="R105" s="1">
        <v>46034.625150462962</v>
      </c>
    </row>
    <row r="106" spans="1:18" x14ac:dyDescent="0.2">
      <c r="A106">
        <v>105</v>
      </c>
      <c r="B106" t="s">
        <v>482</v>
      </c>
      <c r="C106" t="s">
        <v>57</v>
      </c>
      <c r="G106" t="s">
        <v>483</v>
      </c>
      <c r="I106" t="s">
        <v>484</v>
      </c>
      <c r="J106" t="s">
        <v>22</v>
      </c>
      <c r="K106" t="s">
        <v>485</v>
      </c>
      <c r="M106" t="s">
        <v>486</v>
      </c>
      <c r="N106">
        <v>1</v>
      </c>
      <c r="O106">
        <v>1</v>
      </c>
      <c r="P106">
        <v>0</v>
      </c>
      <c r="R106" s="1">
        <v>46034.625150462962</v>
      </c>
    </row>
    <row r="107" spans="1:18" x14ac:dyDescent="0.2">
      <c r="A107">
        <v>106</v>
      </c>
      <c r="B107" t="s">
        <v>487</v>
      </c>
      <c r="C107" t="s">
        <v>57</v>
      </c>
      <c r="G107" t="s">
        <v>488</v>
      </c>
      <c r="I107" t="s">
        <v>489</v>
      </c>
      <c r="J107" t="s">
        <v>22</v>
      </c>
      <c r="K107" t="s">
        <v>490</v>
      </c>
      <c r="M107" t="s">
        <v>491</v>
      </c>
      <c r="N107">
        <v>1</v>
      </c>
      <c r="O107">
        <v>1</v>
      </c>
      <c r="P107">
        <v>0</v>
      </c>
      <c r="R107" s="1">
        <v>46034.625150462962</v>
      </c>
    </row>
    <row r="108" spans="1:18" x14ac:dyDescent="0.2">
      <c r="A108">
        <v>107</v>
      </c>
      <c r="B108" t="s">
        <v>492</v>
      </c>
      <c r="C108" t="s">
        <v>57</v>
      </c>
      <c r="G108" t="s">
        <v>493</v>
      </c>
      <c r="I108" t="s">
        <v>494</v>
      </c>
      <c r="J108" t="s">
        <v>22</v>
      </c>
      <c r="K108" t="s">
        <v>495</v>
      </c>
      <c r="M108" t="s">
        <v>272</v>
      </c>
      <c r="N108">
        <v>1</v>
      </c>
      <c r="O108">
        <v>1</v>
      </c>
      <c r="P108">
        <v>0</v>
      </c>
      <c r="R108" s="1">
        <v>46034.625150462962</v>
      </c>
    </row>
    <row r="109" spans="1:18" x14ac:dyDescent="0.2">
      <c r="A109">
        <v>108</v>
      </c>
      <c r="B109" t="s">
        <v>496</v>
      </c>
      <c r="C109" t="s">
        <v>57</v>
      </c>
      <c r="E109" t="s">
        <v>497</v>
      </c>
      <c r="G109" t="s">
        <v>498</v>
      </c>
      <c r="I109" t="s">
        <v>499</v>
      </c>
      <c r="J109" t="s">
        <v>22</v>
      </c>
      <c r="K109" t="s">
        <v>500</v>
      </c>
      <c r="M109" t="s">
        <v>501</v>
      </c>
      <c r="N109">
        <v>1</v>
      </c>
      <c r="O109">
        <v>0</v>
      </c>
      <c r="P109">
        <v>0</v>
      </c>
      <c r="R109" s="1">
        <v>46034.625150462962</v>
      </c>
    </row>
    <row r="110" spans="1:18" x14ac:dyDescent="0.2">
      <c r="A110">
        <v>109</v>
      </c>
      <c r="B110" t="s">
        <v>502</v>
      </c>
      <c r="C110" t="s">
        <v>57</v>
      </c>
      <c r="E110" t="s">
        <v>503</v>
      </c>
      <c r="G110" t="s">
        <v>504</v>
      </c>
      <c r="I110" t="s">
        <v>505</v>
      </c>
      <c r="J110" t="s">
        <v>22</v>
      </c>
      <c r="K110" t="s">
        <v>506</v>
      </c>
      <c r="M110" t="s">
        <v>507</v>
      </c>
      <c r="N110">
        <v>1</v>
      </c>
      <c r="O110">
        <v>1</v>
      </c>
      <c r="P110">
        <v>0</v>
      </c>
      <c r="R110" s="1">
        <v>46034.625150462962</v>
      </c>
    </row>
    <row r="111" spans="1:18" x14ac:dyDescent="0.2">
      <c r="A111">
        <v>110</v>
      </c>
      <c r="B111" t="s">
        <v>508</v>
      </c>
      <c r="C111" t="s">
        <v>57</v>
      </c>
      <c r="E111" t="s">
        <v>509</v>
      </c>
      <c r="G111" t="s">
        <v>510</v>
      </c>
      <c r="I111" t="s">
        <v>511</v>
      </c>
      <c r="J111" t="s">
        <v>22</v>
      </c>
      <c r="K111" t="s">
        <v>512</v>
      </c>
      <c r="M111" t="s">
        <v>513</v>
      </c>
      <c r="N111">
        <v>1</v>
      </c>
      <c r="O111">
        <v>0</v>
      </c>
      <c r="P111">
        <v>0</v>
      </c>
      <c r="R111" s="1">
        <v>46034.625150462962</v>
      </c>
    </row>
    <row r="112" spans="1:18" x14ac:dyDescent="0.2">
      <c r="A112">
        <v>111</v>
      </c>
      <c r="B112" t="s">
        <v>514</v>
      </c>
      <c r="C112" t="s">
        <v>57</v>
      </c>
      <c r="E112" t="s">
        <v>515</v>
      </c>
      <c r="G112" t="s">
        <v>516</v>
      </c>
      <c r="I112" t="s">
        <v>517</v>
      </c>
      <c r="J112" t="s">
        <v>22</v>
      </c>
      <c r="K112" t="s">
        <v>518</v>
      </c>
      <c r="M112" t="s">
        <v>519</v>
      </c>
      <c r="N112">
        <v>1</v>
      </c>
      <c r="O112">
        <v>1</v>
      </c>
      <c r="P112">
        <v>0</v>
      </c>
      <c r="R112" s="1">
        <v>46034.625150462962</v>
      </c>
    </row>
    <row r="113" spans="1:18" x14ac:dyDescent="0.2">
      <c r="A113">
        <v>112</v>
      </c>
      <c r="B113" t="s">
        <v>520</v>
      </c>
      <c r="C113" t="s">
        <v>57</v>
      </c>
      <c r="E113" t="s">
        <v>521</v>
      </c>
      <c r="G113" t="s">
        <v>522</v>
      </c>
      <c r="I113" t="s">
        <v>523</v>
      </c>
      <c r="J113" t="s">
        <v>373</v>
      </c>
      <c r="N113">
        <v>1</v>
      </c>
      <c r="O113">
        <v>0</v>
      </c>
      <c r="P113">
        <v>0</v>
      </c>
      <c r="R113" s="1">
        <v>46034.625150462962</v>
      </c>
    </row>
    <row r="114" spans="1:18" x14ac:dyDescent="0.2">
      <c r="A114">
        <v>113</v>
      </c>
      <c r="B114" t="s">
        <v>524</v>
      </c>
      <c r="C114" t="s">
        <v>57</v>
      </c>
      <c r="E114" t="s">
        <v>525</v>
      </c>
      <c r="G114" t="s">
        <v>526</v>
      </c>
      <c r="I114" t="s">
        <v>527</v>
      </c>
      <c r="J114" t="s">
        <v>528</v>
      </c>
      <c r="N114">
        <v>1</v>
      </c>
      <c r="O114">
        <v>0</v>
      </c>
      <c r="P114">
        <v>0</v>
      </c>
      <c r="R114" s="1">
        <v>46034.625150462962</v>
      </c>
    </row>
    <row r="115" spans="1:18" x14ac:dyDescent="0.2">
      <c r="A115">
        <v>114</v>
      </c>
      <c r="B115" t="s">
        <v>529</v>
      </c>
      <c r="C115" t="s">
        <v>57</v>
      </c>
      <c r="E115" t="s">
        <v>530</v>
      </c>
      <c r="G115" t="s">
        <v>531</v>
      </c>
      <c r="I115" t="s">
        <v>517</v>
      </c>
      <c r="J115" t="s">
        <v>22</v>
      </c>
      <c r="K115" t="s">
        <v>532</v>
      </c>
      <c r="M115" t="s">
        <v>533</v>
      </c>
      <c r="N115">
        <v>1</v>
      </c>
      <c r="O115">
        <v>1</v>
      </c>
      <c r="P115">
        <v>0</v>
      </c>
      <c r="R115" s="1">
        <v>46034.625150462962</v>
      </c>
    </row>
    <row r="116" spans="1:18" x14ac:dyDescent="0.2">
      <c r="A116">
        <v>115</v>
      </c>
      <c r="B116" t="s">
        <v>534</v>
      </c>
      <c r="C116" t="s">
        <v>57</v>
      </c>
      <c r="G116" t="s">
        <v>535</v>
      </c>
      <c r="I116" t="s">
        <v>536</v>
      </c>
      <c r="J116" t="s">
        <v>22</v>
      </c>
      <c r="M116" t="s">
        <v>537</v>
      </c>
      <c r="N116">
        <v>1</v>
      </c>
      <c r="O116">
        <v>1</v>
      </c>
      <c r="P116">
        <v>0</v>
      </c>
      <c r="R116" s="1">
        <v>46034.625150462962</v>
      </c>
    </row>
    <row r="117" spans="1:18" x14ac:dyDescent="0.2">
      <c r="A117">
        <v>116</v>
      </c>
      <c r="B117" t="s">
        <v>538</v>
      </c>
      <c r="C117" t="s">
        <v>57</v>
      </c>
      <c r="E117" t="s">
        <v>539</v>
      </c>
      <c r="G117" t="s">
        <v>540</v>
      </c>
      <c r="I117" t="s">
        <v>541</v>
      </c>
      <c r="J117" t="s">
        <v>22</v>
      </c>
      <c r="K117" t="s">
        <v>542</v>
      </c>
      <c r="N117">
        <v>1</v>
      </c>
      <c r="O117">
        <v>0</v>
      </c>
      <c r="P117">
        <v>0</v>
      </c>
      <c r="R117" s="1">
        <v>46034.625150462962</v>
      </c>
    </row>
    <row r="118" spans="1:18" x14ac:dyDescent="0.2">
      <c r="A118">
        <v>117</v>
      </c>
      <c r="B118" t="s">
        <v>543</v>
      </c>
      <c r="C118" t="s">
        <v>57</v>
      </c>
      <c r="E118" t="s">
        <v>82</v>
      </c>
      <c r="G118" t="s">
        <v>83</v>
      </c>
      <c r="I118" t="s">
        <v>84</v>
      </c>
      <c r="J118" t="s">
        <v>22</v>
      </c>
      <c r="K118" t="s">
        <v>544</v>
      </c>
      <c r="M118" t="s">
        <v>545</v>
      </c>
      <c r="N118">
        <v>1</v>
      </c>
      <c r="O118">
        <v>1</v>
      </c>
      <c r="P118">
        <v>0</v>
      </c>
      <c r="R118" s="1">
        <v>46034.625150462962</v>
      </c>
    </row>
    <row r="119" spans="1:18" x14ac:dyDescent="0.2">
      <c r="A119">
        <v>118</v>
      </c>
      <c r="B119" t="s">
        <v>546</v>
      </c>
      <c r="C119" t="s">
        <v>57</v>
      </c>
      <c r="E119" t="s">
        <v>547</v>
      </c>
      <c r="G119" t="s">
        <v>548</v>
      </c>
      <c r="I119" t="s">
        <v>549</v>
      </c>
      <c r="J119" t="s">
        <v>22</v>
      </c>
      <c r="M119" t="s">
        <v>550</v>
      </c>
      <c r="N119">
        <v>1</v>
      </c>
      <c r="O119">
        <v>1</v>
      </c>
      <c r="P119">
        <v>0</v>
      </c>
      <c r="R119" s="1">
        <v>46034.625150462962</v>
      </c>
    </row>
    <row r="120" spans="1:18" x14ac:dyDescent="0.2">
      <c r="A120">
        <v>119</v>
      </c>
      <c r="B120" t="s">
        <v>551</v>
      </c>
      <c r="C120" t="s">
        <v>57</v>
      </c>
      <c r="G120" t="s">
        <v>552</v>
      </c>
      <c r="I120" t="s">
        <v>553</v>
      </c>
      <c r="J120" t="s">
        <v>22</v>
      </c>
      <c r="K120" t="s">
        <v>554</v>
      </c>
      <c r="M120" t="s">
        <v>555</v>
      </c>
      <c r="N120">
        <v>1</v>
      </c>
      <c r="O120">
        <v>0</v>
      </c>
      <c r="P120">
        <v>0</v>
      </c>
      <c r="R120" s="1">
        <v>46034.625150462962</v>
      </c>
    </row>
    <row r="121" spans="1:18" x14ac:dyDescent="0.2">
      <c r="A121">
        <v>120</v>
      </c>
      <c r="B121" t="s">
        <v>556</v>
      </c>
      <c r="C121" t="s">
        <v>57</v>
      </c>
      <c r="E121" t="s">
        <v>557</v>
      </c>
      <c r="G121" t="s">
        <v>558</v>
      </c>
      <c r="I121" t="s">
        <v>152</v>
      </c>
      <c r="J121" t="s">
        <v>22</v>
      </c>
      <c r="K121" t="s">
        <v>559</v>
      </c>
      <c r="M121" t="s">
        <v>555</v>
      </c>
      <c r="N121">
        <v>1</v>
      </c>
      <c r="O121">
        <v>1</v>
      </c>
      <c r="P121">
        <v>0</v>
      </c>
      <c r="R121" s="1">
        <v>46034.625150462962</v>
      </c>
    </row>
    <row r="122" spans="1:18" x14ac:dyDescent="0.2">
      <c r="A122">
        <v>121</v>
      </c>
      <c r="B122" t="s">
        <v>560</v>
      </c>
      <c r="C122" t="s">
        <v>57</v>
      </c>
      <c r="E122" t="s">
        <v>561</v>
      </c>
      <c r="G122" t="s">
        <v>562</v>
      </c>
      <c r="I122" t="s">
        <v>79</v>
      </c>
      <c r="J122" t="s">
        <v>22</v>
      </c>
      <c r="K122" t="s">
        <v>563</v>
      </c>
      <c r="M122" t="s">
        <v>564</v>
      </c>
      <c r="N122">
        <v>1</v>
      </c>
      <c r="O122">
        <v>1</v>
      </c>
      <c r="P122">
        <v>0</v>
      </c>
      <c r="R122" s="1">
        <v>46034.625150462962</v>
      </c>
    </row>
    <row r="123" spans="1:18" x14ac:dyDescent="0.2">
      <c r="A123">
        <v>122</v>
      </c>
      <c r="B123" t="s">
        <v>565</v>
      </c>
      <c r="C123" t="s">
        <v>57</v>
      </c>
      <c r="E123" t="s">
        <v>566</v>
      </c>
      <c r="G123" t="s">
        <v>567</v>
      </c>
      <c r="I123" t="s">
        <v>568</v>
      </c>
      <c r="J123" t="s">
        <v>22</v>
      </c>
      <c r="K123" t="s">
        <v>569</v>
      </c>
      <c r="M123" t="s">
        <v>570</v>
      </c>
      <c r="N123">
        <v>1</v>
      </c>
      <c r="O123">
        <v>0</v>
      </c>
      <c r="P123">
        <v>0</v>
      </c>
      <c r="R123" s="1">
        <v>46034.625150462962</v>
      </c>
    </row>
    <row r="124" spans="1:18" x14ac:dyDescent="0.2">
      <c r="A124">
        <v>123</v>
      </c>
      <c r="B124" t="s">
        <v>571</v>
      </c>
      <c r="C124" t="s">
        <v>57</v>
      </c>
      <c r="E124" t="s">
        <v>572</v>
      </c>
      <c r="G124" t="s">
        <v>573</v>
      </c>
      <c r="I124" t="s">
        <v>84</v>
      </c>
      <c r="J124" t="s">
        <v>22</v>
      </c>
      <c r="K124" t="s">
        <v>574</v>
      </c>
      <c r="M124" t="s">
        <v>575</v>
      </c>
      <c r="N124">
        <v>1</v>
      </c>
      <c r="O124">
        <v>1</v>
      </c>
      <c r="P124">
        <v>0</v>
      </c>
      <c r="R124" s="1">
        <v>46034.625150462962</v>
      </c>
    </row>
    <row r="125" spans="1:18" x14ac:dyDescent="0.2">
      <c r="A125">
        <v>124</v>
      </c>
      <c r="B125" t="s">
        <v>576</v>
      </c>
      <c r="C125" t="s">
        <v>57</v>
      </c>
      <c r="E125" t="s">
        <v>577</v>
      </c>
      <c r="G125" t="s">
        <v>578</v>
      </c>
      <c r="I125" t="s">
        <v>579</v>
      </c>
      <c r="J125" t="s">
        <v>22</v>
      </c>
      <c r="K125" t="s">
        <v>580</v>
      </c>
      <c r="M125" t="s">
        <v>581</v>
      </c>
      <c r="N125">
        <v>1</v>
      </c>
      <c r="O125">
        <v>1</v>
      </c>
      <c r="P125">
        <v>0</v>
      </c>
      <c r="R125" s="1">
        <v>46034.625150462962</v>
      </c>
    </row>
    <row r="126" spans="1:18" x14ac:dyDescent="0.2">
      <c r="A126">
        <v>125</v>
      </c>
      <c r="B126" t="s">
        <v>582</v>
      </c>
      <c r="C126" t="s">
        <v>57</v>
      </c>
      <c r="G126" t="s">
        <v>583</v>
      </c>
      <c r="I126" t="s">
        <v>584</v>
      </c>
      <c r="J126" t="s">
        <v>22</v>
      </c>
      <c r="K126" t="s">
        <v>585</v>
      </c>
      <c r="M126" t="s">
        <v>586</v>
      </c>
      <c r="N126">
        <v>1</v>
      </c>
      <c r="O126">
        <v>1</v>
      </c>
      <c r="P126">
        <v>0</v>
      </c>
      <c r="R126" s="1">
        <v>46034.625150462962</v>
      </c>
    </row>
    <row r="127" spans="1:18" x14ac:dyDescent="0.2">
      <c r="A127">
        <v>126</v>
      </c>
      <c r="B127" t="s">
        <v>587</v>
      </c>
      <c r="C127" t="s">
        <v>57</v>
      </c>
      <c r="E127" t="s">
        <v>588</v>
      </c>
      <c r="G127" t="s">
        <v>589</v>
      </c>
      <c r="I127" t="s">
        <v>590</v>
      </c>
      <c r="J127" t="s">
        <v>22</v>
      </c>
      <c r="K127" t="s">
        <v>591</v>
      </c>
      <c r="M127" t="s">
        <v>592</v>
      </c>
      <c r="N127">
        <v>1</v>
      </c>
      <c r="O127">
        <v>1</v>
      </c>
      <c r="P127">
        <v>0</v>
      </c>
      <c r="R127" s="1">
        <v>46034.625150462962</v>
      </c>
    </row>
    <row r="128" spans="1:18" x14ac:dyDescent="0.2">
      <c r="A128">
        <v>127</v>
      </c>
      <c r="B128" t="s">
        <v>593</v>
      </c>
      <c r="C128" t="s">
        <v>57</v>
      </c>
      <c r="E128" t="s">
        <v>594</v>
      </c>
      <c r="G128" t="s">
        <v>595</v>
      </c>
      <c r="I128" t="s">
        <v>596</v>
      </c>
      <c r="J128" t="s">
        <v>22</v>
      </c>
      <c r="K128" t="s">
        <v>597</v>
      </c>
      <c r="M128" t="s">
        <v>598</v>
      </c>
      <c r="N128">
        <v>1</v>
      </c>
      <c r="O128">
        <v>0</v>
      </c>
      <c r="P128">
        <v>0</v>
      </c>
      <c r="R128" s="1">
        <v>46034.625150462962</v>
      </c>
    </row>
    <row r="129" spans="1:18" x14ac:dyDescent="0.2">
      <c r="A129">
        <v>128</v>
      </c>
      <c r="B129" t="s">
        <v>599</v>
      </c>
      <c r="C129" t="s">
        <v>57</v>
      </c>
      <c r="E129" t="s">
        <v>600</v>
      </c>
      <c r="G129" t="s">
        <v>601</v>
      </c>
      <c r="I129" t="s">
        <v>179</v>
      </c>
      <c r="J129" t="s">
        <v>22</v>
      </c>
      <c r="K129" t="s">
        <v>602</v>
      </c>
      <c r="M129" t="s">
        <v>603</v>
      </c>
      <c r="N129">
        <v>1</v>
      </c>
      <c r="O129">
        <v>0</v>
      </c>
      <c r="P129">
        <v>0</v>
      </c>
      <c r="R129" s="1">
        <v>46034.625150462962</v>
      </c>
    </row>
    <row r="130" spans="1:18" x14ac:dyDescent="0.2">
      <c r="A130">
        <v>129</v>
      </c>
      <c r="B130" t="s">
        <v>604</v>
      </c>
      <c r="C130" t="s">
        <v>57</v>
      </c>
      <c r="E130" t="s">
        <v>605</v>
      </c>
      <c r="G130" t="s">
        <v>606</v>
      </c>
      <c r="I130" t="s">
        <v>607</v>
      </c>
      <c r="J130" t="s">
        <v>22</v>
      </c>
      <c r="M130" t="s">
        <v>608</v>
      </c>
      <c r="N130">
        <v>1</v>
      </c>
      <c r="O130">
        <v>1</v>
      </c>
      <c r="P130">
        <v>0</v>
      </c>
      <c r="R130" s="1">
        <v>46034.625150462962</v>
      </c>
    </row>
    <row r="131" spans="1:18" x14ac:dyDescent="0.2">
      <c r="A131">
        <v>130</v>
      </c>
      <c r="B131" t="s">
        <v>609</v>
      </c>
      <c r="C131" t="s">
        <v>57</v>
      </c>
      <c r="E131" t="s">
        <v>605</v>
      </c>
      <c r="G131" t="s">
        <v>606</v>
      </c>
      <c r="I131" t="s">
        <v>610</v>
      </c>
      <c r="J131" t="s">
        <v>22</v>
      </c>
      <c r="K131" t="s">
        <v>611</v>
      </c>
      <c r="M131" t="s">
        <v>608</v>
      </c>
      <c r="N131">
        <v>1</v>
      </c>
      <c r="O131">
        <v>0</v>
      </c>
      <c r="P131">
        <v>0</v>
      </c>
      <c r="R131" s="1">
        <v>46034.625150462962</v>
      </c>
    </row>
    <row r="132" spans="1:18" x14ac:dyDescent="0.2">
      <c r="A132">
        <v>131</v>
      </c>
      <c r="B132" t="s">
        <v>612</v>
      </c>
      <c r="C132" t="s">
        <v>57</v>
      </c>
      <c r="E132" t="s">
        <v>613</v>
      </c>
      <c r="G132" t="s">
        <v>614</v>
      </c>
      <c r="I132" t="s">
        <v>378</v>
      </c>
      <c r="J132" t="s">
        <v>22</v>
      </c>
      <c r="M132" t="s">
        <v>615</v>
      </c>
      <c r="N132">
        <v>1</v>
      </c>
      <c r="O132">
        <v>0</v>
      </c>
      <c r="P132">
        <v>0</v>
      </c>
      <c r="R132" s="1">
        <v>46034.625150462962</v>
      </c>
    </row>
    <row r="133" spans="1:18" x14ac:dyDescent="0.2">
      <c r="A133">
        <v>132</v>
      </c>
      <c r="B133" t="s">
        <v>616</v>
      </c>
      <c r="C133" t="s">
        <v>57</v>
      </c>
      <c r="E133" t="s">
        <v>617</v>
      </c>
      <c r="G133" t="s">
        <v>618</v>
      </c>
      <c r="I133" t="s">
        <v>619</v>
      </c>
      <c r="J133" t="s">
        <v>22</v>
      </c>
      <c r="M133" t="s">
        <v>620</v>
      </c>
      <c r="N133">
        <v>1</v>
      </c>
      <c r="O133">
        <v>1</v>
      </c>
      <c r="P133">
        <v>0</v>
      </c>
      <c r="R133" s="1">
        <v>46034.625150462962</v>
      </c>
    </row>
    <row r="134" spans="1:18" x14ac:dyDescent="0.2">
      <c r="A134">
        <v>133</v>
      </c>
      <c r="B134" t="s">
        <v>621</v>
      </c>
      <c r="C134" t="s">
        <v>57</v>
      </c>
      <c r="E134" t="s">
        <v>622</v>
      </c>
      <c r="G134" t="s">
        <v>623</v>
      </c>
      <c r="I134" t="s">
        <v>329</v>
      </c>
      <c r="J134" t="s">
        <v>22</v>
      </c>
      <c r="M134" t="s">
        <v>624</v>
      </c>
      <c r="N134">
        <v>1</v>
      </c>
      <c r="O134">
        <v>0</v>
      </c>
      <c r="P134">
        <v>0</v>
      </c>
      <c r="R134" s="1">
        <v>46034.625150462962</v>
      </c>
    </row>
    <row r="135" spans="1:18" x14ac:dyDescent="0.2">
      <c r="A135">
        <v>134</v>
      </c>
      <c r="B135" t="s">
        <v>625</v>
      </c>
      <c r="C135" t="s">
        <v>57</v>
      </c>
      <c r="E135" t="s">
        <v>626</v>
      </c>
      <c r="G135" t="s">
        <v>627</v>
      </c>
      <c r="I135" t="s">
        <v>628</v>
      </c>
      <c r="J135" t="s">
        <v>22</v>
      </c>
      <c r="M135" t="s">
        <v>629</v>
      </c>
      <c r="N135">
        <v>1</v>
      </c>
      <c r="O135">
        <v>0</v>
      </c>
      <c r="P135">
        <v>0</v>
      </c>
      <c r="R135" s="1">
        <v>46034.625150462962</v>
      </c>
    </row>
    <row r="136" spans="1:18" x14ac:dyDescent="0.2">
      <c r="A136">
        <v>135</v>
      </c>
      <c r="B136" t="s">
        <v>630</v>
      </c>
      <c r="C136" t="s">
        <v>57</v>
      </c>
      <c r="E136" t="s">
        <v>631</v>
      </c>
      <c r="G136" t="s">
        <v>632</v>
      </c>
      <c r="I136" t="s">
        <v>633</v>
      </c>
      <c r="J136" t="s">
        <v>22</v>
      </c>
      <c r="M136" t="s">
        <v>634</v>
      </c>
      <c r="N136">
        <v>1</v>
      </c>
      <c r="O136">
        <v>1</v>
      </c>
      <c r="P136">
        <v>0</v>
      </c>
      <c r="R136" s="1">
        <v>46034.625150462962</v>
      </c>
    </row>
    <row r="137" spans="1:18" x14ac:dyDescent="0.2">
      <c r="A137">
        <v>136</v>
      </c>
      <c r="B137" t="s">
        <v>635</v>
      </c>
      <c r="C137" t="s">
        <v>57</v>
      </c>
      <c r="E137" t="s">
        <v>636</v>
      </c>
      <c r="G137" t="s">
        <v>637</v>
      </c>
      <c r="I137" t="s">
        <v>638</v>
      </c>
      <c r="J137" t="s">
        <v>22</v>
      </c>
      <c r="K137" t="s">
        <v>639</v>
      </c>
      <c r="M137" t="s">
        <v>640</v>
      </c>
      <c r="N137">
        <v>1</v>
      </c>
      <c r="O137">
        <v>0</v>
      </c>
      <c r="P137">
        <v>0</v>
      </c>
      <c r="R137" s="1">
        <v>46034.625150462962</v>
      </c>
    </row>
    <row r="138" spans="1:18" x14ac:dyDescent="0.2">
      <c r="A138">
        <v>137</v>
      </c>
      <c r="B138" t="s">
        <v>641</v>
      </c>
      <c r="C138" t="s">
        <v>57</v>
      </c>
      <c r="E138" t="s">
        <v>642</v>
      </c>
      <c r="G138" t="s">
        <v>643</v>
      </c>
      <c r="I138" t="s">
        <v>644</v>
      </c>
      <c r="J138" t="s">
        <v>22</v>
      </c>
      <c r="K138" t="s">
        <v>645</v>
      </c>
      <c r="M138" t="s">
        <v>646</v>
      </c>
      <c r="N138">
        <v>1</v>
      </c>
      <c r="O138">
        <v>0</v>
      </c>
      <c r="P138">
        <v>0</v>
      </c>
      <c r="R138" s="1">
        <v>46034.625150462962</v>
      </c>
    </row>
    <row r="139" spans="1:18" x14ac:dyDescent="0.2">
      <c r="A139">
        <v>138</v>
      </c>
      <c r="B139" t="s">
        <v>647</v>
      </c>
      <c r="C139" t="s">
        <v>57</v>
      </c>
      <c r="E139" t="s">
        <v>648</v>
      </c>
      <c r="G139" t="s">
        <v>649</v>
      </c>
      <c r="I139" t="s">
        <v>650</v>
      </c>
      <c r="J139" t="s">
        <v>209</v>
      </c>
      <c r="M139" t="s">
        <v>651</v>
      </c>
      <c r="N139">
        <v>1</v>
      </c>
      <c r="O139">
        <v>0</v>
      </c>
      <c r="P139">
        <v>0</v>
      </c>
      <c r="R139" s="1">
        <v>46034.625150462962</v>
      </c>
    </row>
    <row r="140" spans="1:18" x14ac:dyDescent="0.2">
      <c r="A140">
        <v>139</v>
      </c>
      <c r="B140" t="s">
        <v>652</v>
      </c>
      <c r="C140" t="s">
        <v>57</v>
      </c>
      <c r="E140" t="s">
        <v>653</v>
      </c>
      <c r="G140" t="s">
        <v>654</v>
      </c>
      <c r="I140" t="s">
        <v>426</v>
      </c>
      <c r="J140" t="s">
        <v>22</v>
      </c>
      <c r="M140" t="s">
        <v>655</v>
      </c>
      <c r="N140">
        <v>1</v>
      </c>
      <c r="O140">
        <v>1</v>
      </c>
      <c r="P140">
        <v>0</v>
      </c>
      <c r="R140" s="1">
        <v>46034.625150462962</v>
      </c>
    </row>
    <row r="141" spans="1:18" x14ac:dyDescent="0.2">
      <c r="A141">
        <v>140</v>
      </c>
      <c r="B141" t="s">
        <v>656</v>
      </c>
      <c r="C141" t="s">
        <v>57</v>
      </c>
      <c r="E141" t="s">
        <v>657</v>
      </c>
      <c r="G141" t="s">
        <v>658</v>
      </c>
      <c r="I141" t="s">
        <v>659</v>
      </c>
      <c r="J141" t="s">
        <v>22</v>
      </c>
      <c r="K141" t="s">
        <v>660</v>
      </c>
      <c r="M141" t="s">
        <v>661</v>
      </c>
      <c r="N141">
        <v>1</v>
      </c>
      <c r="O141">
        <v>0</v>
      </c>
      <c r="P141">
        <v>0</v>
      </c>
      <c r="R141" s="1">
        <v>46034.625150462962</v>
      </c>
    </row>
    <row r="142" spans="1:18" x14ac:dyDescent="0.2">
      <c r="A142">
        <v>141</v>
      </c>
      <c r="B142" t="s">
        <v>662</v>
      </c>
      <c r="C142" t="s">
        <v>57</v>
      </c>
      <c r="E142" t="s">
        <v>663</v>
      </c>
      <c r="G142" t="s">
        <v>664</v>
      </c>
      <c r="I142" t="s">
        <v>665</v>
      </c>
      <c r="J142" t="s">
        <v>22</v>
      </c>
      <c r="M142" t="s">
        <v>666</v>
      </c>
      <c r="N142">
        <v>1</v>
      </c>
      <c r="O142">
        <v>1</v>
      </c>
      <c r="P142">
        <v>0</v>
      </c>
      <c r="R142" s="1">
        <v>46034.625150462962</v>
      </c>
    </row>
    <row r="143" spans="1:18" x14ac:dyDescent="0.2">
      <c r="A143">
        <v>142</v>
      </c>
      <c r="B143" t="s">
        <v>667</v>
      </c>
      <c r="C143" t="s">
        <v>57</v>
      </c>
      <c r="E143" t="s">
        <v>668</v>
      </c>
      <c r="G143" t="s">
        <v>669</v>
      </c>
      <c r="I143" t="s">
        <v>263</v>
      </c>
      <c r="J143" t="s">
        <v>22</v>
      </c>
      <c r="K143" t="s">
        <v>670</v>
      </c>
      <c r="M143" t="s">
        <v>671</v>
      </c>
      <c r="N143">
        <v>1</v>
      </c>
      <c r="O143">
        <v>1</v>
      </c>
      <c r="P143">
        <v>0</v>
      </c>
      <c r="R143" s="1">
        <v>46034.625150462962</v>
      </c>
    </row>
    <row r="144" spans="1:18" x14ac:dyDescent="0.2">
      <c r="A144">
        <v>143</v>
      </c>
      <c r="B144" t="s">
        <v>672</v>
      </c>
      <c r="C144" t="s">
        <v>57</v>
      </c>
      <c r="E144" t="s">
        <v>673</v>
      </c>
      <c r="G144" t="s">
        <v>674</v>
      </c>
      <c r="I144" t="s">
        <v>675</v>
      </c>
      <c r="J144" t="s">
        <v>22</v>
      </c>
      <c r="M144" t="s">
        <v>676</v>
      </c>
      <c r="N144">
        <v>1</v>
      </c>
      <c r="O144">
        <v>1</v>
      </c>
      <c r="P144">
        <v>0</v>
      </c>
      <c r="R144" s="1">
        <v>46034.625150462962</v>
      </c>
    </row>
    <row r="145" spans="1:18" x14ac:dyDescent="0.2">
      <c r="A145">
        <v>144</v>
      </c>
      <c r="B145" t="s">
        <v>677</v>
      </c>
      <c r="C145" t="s">
        <v>57</v>
      </c>
      <c r="E145" t="s">
        <v>678</v>
      </c>
      <c r="G145" t="s">
        <v>679</v>
      </c>
      <c r="I145" t="s">
        <v>680</v>
      </c>
      <c r="J145" t="s">
        <v>22</v>
      </c>
      <c r="K145" t="s">
        <v>681</v>
      </c>
      <c r="M145" t="s">
        <v>682</v>
      </c>
      <c r="N145">
        <v>1</v>
      </c>
      <c r="O145">
        <v>1</v>
      </c>
      <c r="P145">
        <v>0</v>
      </c>
      <c r="R145" s="1">
        <v>46034.625150462962</v>
      </c>
    </row>
    <row r="146" spans="1:18" x14ac:dyDescent="0.2">
      <c r="A146">
        <v>145</v>
      </c>
      <c r="B146" t="s">
        <v>683</v>
      </c>
      <c r="C146" t="s">
        <v>57</v>
      </c>
      <c r="E146" t="s">
        <v>684</v>
      </c>
      <c r="G146" t="s">
        <v>685</v>
      </c>
      <c r="I146" t="s">
        <v>84</v>
      </c>
      <c r="J146" t="s">
        <v>22</v>
      </c>
      <c r="K146" t="s">
        <v>686</v>
      </c>
      <c r="M146" t="s">
        <v>687</v>
      </c>
      <c r="N146">
        <v>1</v>
      </c>
      <c r="O146">
        <v>1</v>
      </c>
      <c r="P146">
        <v>0</v>
      </c>
      <c r="R146" s="1">
        <v>46034.625150462962</v>
      </c>
    </row>
    <row r="147" spans="1:18" x14ac:dyDescent="0.2">
      <c r="A147">
        <v>146</v>
      </c>
      <c r="B147" t="s">
        <v>688</v>
      </c>
      <c r="C147" t="s">
        <v>57</v>
      </c>
      <c r="E147" t="s">
        <v>689</v>
      </c>
      <c r="G147" t="s">
        <v>690</v>
      </c>
      <c r="I147" t="s">
        <v>322</v>
      </c>
      <c r="J147" t="s">
        <v>22</v>
      </c>
      <c r="M147" t="s">
        <v>691</v>
      </c>
      <c r="N147">
        <v>1</v>
      </c>
      <c r="O147">
        <v>1</v>
      </c>
      <c r="P147">
        <v>0</v>
      </c>
      <c r="R147" s="1">
        <v>46034.625150462962</v>
      </c>
    </row>
    <row r="148" spans="1:18" x14ac:dyDescent="0.2">
      <c r="A148">
        <v>147</v>
      </c>
      <c r="B148" t="s">
        <v>692</v>
      </c>
      <c r="C148" t="s">
        <v>57</v>
      </c>
      <c r="E148" t="s">
        <v>693</v>
      </c>
      <c r="G148" t="s">
        <v>694</v>
      </c>
      <c r="I148" t="s">
        <v>536</v>
      </c>
      <c r="J148" t="s">
        <v>22</v>
      </c>
      <c r="M148" t="s">
        <v>695</v>
      </c>
      <c r="N148">
        <v>1</v>
      </c>
      <c r="O148">
        <v>1</v>
      </c>
      <c r="P148">
        <v>0</v>
      </c>
      <c r="R148" s="1">
        <v>46034.625150462962</v>
      </c>
    </row>
    <row r="149" spans="1:18" x14ac:dyDescent="0.2">
      <c r="A149">
        <v>148</v>
      </c>
      <c r="B149" t="s">
        <v>696</v>
      </c>
      <c r="C149" t="s">
        <v>57</v>
      </c>
      <c r="J149" t="s">
        <v>22</v>
      </c>
      <c r="M149" t="s">
        <v>697</v>
      </c>
      <c r="N149">
        <v>1</v>
      </c>
      <c r="O149">
        <v>1</v>
      </c>
      <c r="P149">
        <v>0</v>
      </c>
      <c r="R149" s="1">
        <v>46034.625150462962</v>
      </c>
    </row>
    <row r="150" spans="1:18" x14ac:dyDescent="0.2">
      <c r="A150">
        <v>149</v>
      </c>
      <c r="B150" t="s">
        <v>698</v>
      </c>
      <c r="C150" t="s">
        <v>57</v>
      </c>
      <c r="E150" t="s">
        <v>699</v>
      </c>
      <c r="G150" t="s">
        <v>700</v>
      </c>
      <c r="I150" t="s">
        <v>701</v>
      </c>
      <c r="J150" t="s">
        <v>22</v>
      </c>
      <c r="K150" t="s">
        <v>702</v>
      </c>
      <c r="N150">
        <v>1</v>
      </c>
      <c r="O150">
        <v>0</v>
      </c>
      <c r="P150">
        <v>0</v>
      </c>
      <c r="R150" s="1">
        <v>46034.625150462962</v>
      </c>
    </row>
    <row r="151" spans="1:18" x14ac:dyDescent="0.2">
      <c r="A151">
        <v>150</v>
      </c>
      <c r="B151" t="s">
        <v>703</v>
      </c>
      <c r="C151" t="s">
        <v>57</v>
      </c>
      <c r="G151" t="s">
        <v>704</v>
      </c>
      <c r="I151" t="s">
        <v>705</v>
      </c>
      <c r="J151" t="s">
        <v>22</v>
      </c>
      <c r="M151" t="s">
        <v>706</v>
      </c>
      <c r="N151">
        <v>1</v>
      </c>
      <c r="O151">
        <v>1</v>
      </c>
      <c r="P151">
        <v>0</v>
      </c>
      <c r="R151" s="1">
        <v>46034.625150462962</v>
      </c>
    </row>
    <row r="152" spans="1:18" x14ac:dyDescent="0.2">
      <c r="A152">
        <v>151</v>
      </c>
      <c r="B152" t="s">
        <v>707</v>
      </c>
      <c r="C152" t="s">
        <v>57</v>
      </c>
      <c r="E152" t="s">
        <v>708</v>
      </c>
      <c r="G152" t="s">
        <v>709</v>
      </c>
      <c r="I152" t="s">
        <v>710</v>
      </c>
      <c r="J152" t="s">
        <v>22</v>
      </c>
      <c r="K152" t="s">
        <v>711</v>
      </c>
      <c r="N152">
        <v>1</v>
      </c>
      <c r="O152">
        <v>0</v>
      </c>
      <c r="P152">
        <v>0</v>
      </c>
      <c r="R152" s="1">
        <v>46034.625150462962</v>
      </c>
    </row>
    <row r="153" spans="1:18" x14ac:dyDescent="0.2">
      <c r="A153">
        <v>152</v>
      </c>
      <c r="B153" t="s">
        <v>712</v>
      </c>
      <c r="C153" t="s">
        <v>57</v>
      </c>
      <c r="E153" t="s">
        <v>713</v>
      </c>
      <c r="G153" t="s">
        <v>558</v>
      </c>
      <c r="I153" t="s">
        <v>152</v>
      </c>
      <c r="J153" t="s">
        <v>22</v>
      </c>
      <c r="K153" t="s">
        <v>714</v>
      </c>
      <c r="N153">
        <v>1</v>
      </c>
      <c r="O153">
        <v>0</v>
      </c>
      <c r="P153">
        <v>0</v>
      </c>
      <c r="R153" s="1">
        <v>46034.625150462962</v>
      </c>
    </row>
    <row r="154" spans="1:18" x14ac:dyDescent="0.2">
      <c r="A154">
        <v>153</v>
      </c>
      <c r="B154" t="s">
        <v>715</v>
      </c>
      <c r="C154" t="s">
        <v>57</v>
      </c>
      <c r="E154" t="s">
        <v>653</v>
      </c>
      <c r="G154" t="s">
        <v>716</v>
      </c>
      <c r="I154" t="s">
        <v>717</v>
      </c>
      <c r="J154" t="s">
        <v>22</v>
      </c>
      <c r="K154" t="s">
        <v>718</v>
      </c>
      <c r="M154" t="s">
        <v>719</v>
      </c>
      <c r="N154">
        <v>1</v>
      </c>
      <c r="O154">
        <v>0</v>
      </c>
      <c r="P154">
        <v>0</v>
      </c>
      <c r="R154" s="1">
        <v>46034.625150462962</v>
      </c>
    </row>
    <row r="155" spans="1:18" x14ac:dyDescent="0.2">
      <c r="A155">
        <v>154</v>
      </c>
      <c r="B155" t="s">
        <v>720</v>
      </c>
      <c r="C155" t="s">
        <v>57</v>
      </c>
      <c r="E155" t="s">
        <v>721</v>
      </c>
      <c r="G155" t="s">
        <v>722</v>
      </c>
      <c r="I155" t="s">
        <v>723</v>
      </c>
      <c r="J155" t="s">
        <v>22</v>
      </c>
      <c r="K155" t="s">
        <v>724</v>
      </c>
      <c r="M155" t="s">
        <v>725</v>
      </c>
      <c r="N155">
        <v>1</v>
      </c>
      <c r="O155">
        <v>0</v>
      </c>
      <c r="P155">
        <v>0</v>
      </c>
      <c r="R155" s="1">
        <v>46034.625150462962</v>
      </c>
    </row>
    <row r="156" spans="1:18" x14ac:dyDescent="0.2">
      <c r="A156">
        <v>155</v>
      </c>
      <c r="B156" t="s">
        <v>726</v>
      </c>
      <c r="C156" t="s">
        <v>57</v>
      </c>
      <c r="E156" t="s">
        <v>401</v>
      </c>
      <c r="G156" t="s">
        <v>402</v>
      </c>
      <c r="I156" t="s">
        <v>403</v>
      </c>
      <c r="J156" t="s">
        <v>22</v>
      </c>
      <c r="K156" t="s">
        <v>727</v>
      </c>
      <c r="M156" t="s">
        <v>728</v>
      </c>
      <c r="N156">
        <v>1</v>
      </c>
      <c r="O156">
        <v>1</v>
      </c>
      <c r="P156">
        <v>0</v>
      </c>
      <c r="R156" s="1">
        <v>46034.625150462962</v>
      </c>
    </row>
    <row r="157" spans="1:18" x14ac:dyDescent="0.2">
      <c r="A157">
        <v>156</v>
      </c>
      <c r="B157" t="s">
        <v>729</v>
      </c>
      <c r="C157" t="s">
        <v>57</v>
      </c>
      <c r="G157" t="s">
        <v>730</v>
      </c>
      <c r="I157" t="s">
        <v>731</v>
      </c>
      <c r="J157" t="s">
        <v>22</v>
      </c>
      <c r="K157" t="s">
        <v>732</v>
      </c>
      <c r="M157" t="s">
        <v>733</v>
      </c>
      <c r="N157">
        <v>1</v>
      </c>
      <c r="O157">
        <v>1</v>
      </c>
      <c r="P157">
        <v>0</v>
      </c>
      <c r="R157" s="1">
        <v>46034.625150462962</v>
      </c>
    </row>
    <row r="158" spans="1:18" x14ac:dyDescent="0.2">
      <c r="A158">
        <v>157</v>
      </c>
      <c r="B158" t="s">
        <v>734</v>
      </c>
      <c r="C158" t="s">
        <v>57</v>
      </c>
      <c r="E158" t="s">
        <v>735</v>
      </c>
      <c r="G158" t="s">
        <v>736</v>
      </c>
      <c r="I158" t="s">
        <v>737</v>
      </c>
      <c r="J158" t="s">
        <v>22</v>
      </c>
      <c r="K158" t="s">
        <v>738</v>
      </c>
      <c r="N158">
        <v>1</v>
      </c>
      <c r="O158">
        <v>0</v>
      </c>
      <c r="P158">
        <v>0</v>
      </c>
      <c r="R158" s="1">
        <v>46034.625150462962</v>
      </c>
    </row>
    <row r="159" spans="1:18" x14ac:dyDescent="0.2">
      <c r="A159">
        <v>158</v>
      </c>
      <c r="B159" t="s">
        <v>739</v>
      </c>
      <c r="C159" t="s">
        <v>57</v>
      </c>
      <c r="E159" t="s">
        <v>740</v>
      </c>
      <c r="G159" t="s">
        <v>741</v>
      </c>
      <c r="I159" t="s">
        <v>742</v>
      </c>
      <c r="J159" t="s">
        <v>22</v>
      </c>
      <c r="M159" t="s">
        <v>743</v>
      </c>
      <c r="N159">
        <v>1</v>
      </c>
      <c r="O159">
        <v>0</v>
      </c>
      <c r="P159">
        <v>0</v>
      </c>
      <c r="R159" s="1">
        <v>46034.625150462962</v>
      </c>
    </row>
    <row r="160" spans="1:18" x14ac:dyDescent="0.2">
      <c r="A160">
        <v>159</v>
      </c>
      <c r="B160" t="s">
        <v>744</v>
      </c>
      <c r="C160" t="s">
        <v>57</v>
      </c>
      <c r="E160" t="s">
        <v>745</v>
      </c>
      <c r="G160" t="s">
        <v>746</v>
      </c>
      <c r="I160" t="s">
        <v>747</v>
      </c>
      <c r="J160" t="s">
        <v>22</v>
      </c>
      <c r="M160" t="s">
        <v>748</v>
      </c>
      <c r="N160">
        <v>1</v>
      </c>
      <c r="O160">
        <v>1</v>
      </c>
      <c r="P160">
        <v>0</v>
      </c>
      <c r="R160" s="1">
        <v>46034.625150462962</v>
      </c>
    </row>
    <row r="161" spans="1:18" x14ac:dyDescent="0.2">
      <c r="A161">
        <v>160</v>
      </c>
      <c r="B161" t="s">
        <v>749</v>
      </c>
      <c r="C161" t="s">
        <v>57</v>
      </c>
      <c r="E161" t="s">
        <v>750</v>
      </c>
      <c r="G161" t="s">
        <v>751</v>
      </c>
      <c r="I161" t="s">
        <v>258</v>
      </c>
      <c r="J161" t="s">
        <v>22</v>
      </c>
      <c r="K161" t="s">
        <v>752</v>
      </c>
      <c r="M161" t="s">
        <v>753</v>
      </c>
      <c r="N161">
        <v>1</v>
      </c>
      <c r="O161">
        <v>1</v>
      </c>
      <c r="P161">
        <v>0</v>
      </c>
      <c r="R161" s="1">
        <v>46034.625150462962</v>
      </c>
    </row>
    <row r="162" spans="1:18" x14ac:dyDescent="0.2">
      <c r="A162">
        <v>161</v>
      </c>
      <c r="B162" t="s">
        <v>754</v>
      </c>
      <c r="C162" t="s">
        <v>57</v>
      </c>
      <c r="E162" t="s">
        <v>755</v>
      </c>
      <c r="G162" t="s">
        <v>756</v>
      </c>
      <c r="I162" t="s">
        <v>757</v>
      </c>
      <c r="J162" t="s">
        <v>22</v>
      </c>
      <c r="M162" t="s">
        <v>758</v>
      </c>
      <c r="N162">
        <v>1</v>
      </c>
      <c r="O162">
        <v>1</v>
      </c>
      <c r="P162">
        <v>0</v>
      </c>
      <c r="R162" s="1">
        <v>46034.625150462962</v>
      </c>
    </row>
    <row r="163" spans="1:18" x14ac:dyDescent="0.2">
      <c r="A163">
        <v>162</v>
      </c>
      <c r="B163" t="s">
        <v>759</v>
      </c>
      <c r="C163" t="s">
        <v>57</v>
      </c>
      <c r="E163" t="s">
        <v>760</v>
      </c>
      <c r="G163" t="s">
        <v>761</v>
      </c>
      <c r="I163" t="s">
        <v>762</v>
      </c>
      <c r="J163" t="s">
        <v>22</v>
      </c>
      <c r="M163" t="s">
        <v>763</v>
      </c>
      <c r="N163">
        <v>1</v>
      </c>
      <c r="O163">
        <v>1</v>
      </c>
      <c r="P163">
        <v>0</v>
      </c>
      <c r="R163" s="1">
        <v>46034.625150462962</v>
      </c>
    </row>
    <row r="164" spans="1:18" x14ac:dyDescent="0.2">
      <c r="A164">
        <v>163</v>
      </c>
      <c r="B164" t="s">
        <v>764</v>
      </c>
      <c r="C164" t="s">
        <v>57</v>
      </c>
      <c r="E164" t="s">
        <v>765</v>
      </c>
      <c r="G164" t="s">
        <v>766</v>
      </c>
      <c r="I164" t="s">
        <v>459</v>
      </c>
      <c r="J164" t="s">
        <v>22</v>
      </c>
      <c r="K164" t="s">
        <v>767</v>
      </c>
      <c r="N164">
        <v>1</v>
      </c>
      <c r="O164">
        <v>0</v>
      </c>
      <c r="P164">
        <v>0</v>
      </c>
      <c r="R164" s="1">
        <v>46034.625150462962</v>
      </c>
    </row>
    <row r="165" spans="1:18" x14ac:dyDescent="0.2">
      <c r="A165">
        <v>164</v>
      </c>
      <c r="B165" t="s">
        <v>768</v>
      </c>
      <c r="C165" t="s">
        <v>57</v>
      </c>
      <c r="E165" t="s">
        <v>769</v>
      </c>
      <c r="G165" t="s">
        <v>770</v>
      </c>
      <c r="I165" t="s">
        <v>771</v>
      </c>
      <c r="J165" t="s">
        <v>22</v>
      </c>
      <c r="M165" t="s">
        <v>772</v>
      </c>
      <c r="N165">
        <v>1</v>
      </c>
      <c r="O165">
        <v>1</v>
      </c>
      <c r="P165">
        <v>0</v>
      </c>
      <c r="R165" s="1">
        <v>46034.625150462962</v>
      </c>
    </row>
    <row r="166" spans="1:18" x14ac:dyDescent="0.2">
      <c r="A166">
        <v>165</v>
      </c>
      <c r="B166" t="s">
        <v>773</v>
      </c>
      <c r="C166" t="s">
        <v>57</v>
      </c>
      <c r="E166" t="s">
        <v>774</v>
      </c>
      <c r="G166" t="s">
        <v>775</v>
      </c>
      <c r="I166" t="s">
        <v>79</v>
      </c>
      <c r="J166" t="s">
        <v>22</v>
      </c>
      <c r="K166" t="s">
        <v>776</v>
      </c>
      <c r="M166" t="s">
        <v>777</v>
      </c>
      <c r="N166">
        <v>1</v>
      </c>
      <c r="O166">
        <v>1</v>
      </c>
      <c r="P166">
        <v>0</v>
      </c>
      <c r="R166" s="1">
        <v>46034.625150462962</v>
      </c>
    </row>
    <row r="167" spans="1:18" x14ac:dyDescent="0.2">
      <c r="A167">
        <v>166</v>
      </c>
      <c r="B167" t="s">
        <v>778</v>
      </c>
      <c r="C167" t="s">
        <v>57</v>
      </c>
      <c r="E167" t="s">
        <v>779</v>
      </c>
      <c r="G167" t="s">
        <v>780</v>
      </c>
      <c r="I167" t="s">
        <v>237</v>
      </c>
      <c r="J167" t="s">
        <v>22</v>
      </c>
      <c r="K167" t="s">
        <v>781</v>
      </c>
      <c r="M167" t="s">
        <v>782</v>
      </c>
      <c r="N167">
        <v>1</v>
      </c>
      <c r="O167">
        <v>0</v>
      </c>
      <c r="P167">
        <v>0</v>
      </c>
      <c r="R167" s="1">
        <v>46034.625150462962</v>
      </c>
    </row>
    <row r="168" spans="1:18" x14ac:dyDescent="0.2">
      <c r="A168">
        <v>167</v>
      </c>
      <c r="B168" t="s">
        <v>783</v>
      </c>
      <c r="C168" t="s">
        <v>57</v>
      </c>
      <c r="E168" t="s">
        <v>784</v>
      </c>
      <c r="G168" t="s">
        <v>785</v>
      </c>
      <c r="I168" t="s">
        <v>786</v>
      </c>
      <c r="J168" t="s">
        <v>22</v>
      </c>
      <c r="M168" t="s">
        <v>787</v>
      </c>
      <c r="N168">
        <v>1</v>
      </c>
      <c r="O168">
        <v>1</v>
      </c>
      <c r="P168">
        <v>0</v>
      </c>
      <c r="R168" s="1">
        <v>46034.625150462962</v>
      </c>
    </row>
    <row r="169" spans="1:18" x14ac:dyDescent="0.2">
      <c r="A169">
        <v>168</v>
      </c>
      <c r="B169" t="s">
        <v>788</v>
      </c>
      <c r="C169" t="s">
        <v>57</v>
      </c>
      <c r="G169" t="s">
        <v>789</v>
      </c>
      <c r="I169" t="s">
        <v>790</v>
      </c>
      <c r="J169" t="s">
        <v>22</v>
      </c>
      <c r="M169" t="s">
        <v>791</v>
      </c>
      <c r="N169">
        <v>1</v>
      </c>
      <c r="O169">
        <v>1</v>
      </c>
      <c r="P169">
        <v>0</v>
      </c>
      <c r="R169" s="1">
        <v>46034.625150462962</v>
      </c>
    </row>
    <row r="170" spans="1:18" x14ac:dyDescent="0.2">
      <c r="A170">
        <v>169</v>
      </c>
      <c r="B170" t="s">
        <v>792</v>
      </c>
      <c r="C170" t="s">
        <v>57</v>
      </c>
      <c r="E170" t="s">
        <v>793</v>
      </c>
      <c r="G170" t="s">
        <v>794</v>
      </c>
      <c r="I170" t="s">
        <v>291</v>
      </c>
      <c r="J170" t="s">
        <v>22</v>
      </c>
      <c r="K170" t="s">
        <v>795</v>
      </c>
      <c r="N170">
        <v>1</v>
      </c>
      <c r="O170">
        <v>0</v>
      </c>
      <c r="P170">
        <v>0</v>
      </c>
      <c r="R170" s="1">
        <v>46034.625150462962</v>
      </c>
    </row>
    <row r="171" spans="1:18" x14ac:dyDescent="0.2">
      <c r="A171">
        <v>170</v>
      </c>
      <c r="B171" t="s">
        <v>796</v>
      </c>
      <c r="C171" t="s">
        <v>57</v>
      </c>
      <c r="E171" t="s">
        <v>797</v>
      </c>
      <c r="G171" t="s">
        <v>798</v>
      </c>
      <c r="I171" t="s">
        <v>536</v>
      </c>
      <c r="J171" t="s">
        <v>22</v>
      </c>
      <c r="K171" t="s">
        <v>799</v>
      </c>
      <c r="M171" t="s">
        <v>800</v>
      </c>
      <c r="N171">
        <v>1</v>
      </c>
      <c r="O171">
        <v>0</v>
      </c>
      <c r="P171">
        <v>0</v>
      </c>
      <c r="R171" s="1">
        <v>46034.625150462962</v>
      </c>
    </row>
    <row r="172" spans="1:18" x14ac:dyDescent="0.2">
      <c r="A172">
        <v>171</v>
      </c>
      <c r="B172" t="s">
        <v>801</v>
      </c>
      <c r="C172" t="s">
        <v>57</v>
      </c>
      <c r="E172" t="s">
        <v>802</v>
      </c>
      <c r="G172" t="s">
        <v>803</v>
      </c>
      <c r="I172" t="s">
        <v>804</v>
      </c>
      <c r="J172" t="s">
        <v>22</v>
      </c>
      <c r="K172" t="s">
        <v>805</v>
      </c>
      <c r="M172" t="s">
        <v>806</v>
      </c>
      <c r="N172">
        <v>1</v>
      </c>
      <c r="O172">
        <v>0</v>
      </c>
      <c r="P172">
        <v>0</v>
      </c>
      <c r="R172" s="1">
        <v>46034.625150462962</v>
      </c>
    </row>
    <row r="173" spans="1:18" x14ac:dyDescent="0.2">
      <c r="A173">
        <v>172</v>
      </c>
      <c r="B173" t="s">
        <v>807</v>
      </c>
      <c r="C173" t="s">
        <v>57</v>
      </c>
      <c r="E173" t="s">
        <v>808</v>
      </c>
      <c r="G173" t="s">
        <v>809</v>
      </c>
      <c r="I173" t="s">
        <v>790</v>
      </c>
      <c r="J173" t="s">
        <v>22</v>
      </c>
      <c r="K173" t="s">
        <v>810</v>
      </c>
      <c r="M173" t="s">
        <v>811</v>
      </c>
      <c r="N173">
        <v>1</v>
      </c>
      <c r="O173">
        <v>1</v>
      </c>
      <c r="P173">
        <v>0</v>
      </c>
      <c r="R173" s="1">
        <v>46034.625150462962</v>
      </c>
    </row>
    <row r="174" spans="1:18" x14ac:dyDescent="0.2">
      <c r="A174">
        <v>173</v>
      </c>
      <c r="B174" t="s">
        <v>812</v>
      </c>
      <c r="C174" t="s">
        <v>57</v>
      </c>
      <c r="E174" t="s">
        <v>813</v>
      </c>
      <c r="G174" t="s">
        <v>814</v>
      </c>
      <c r="I174" t="s">
        <v>815</v>
      </c>
      <c r="J174" t="s">
        <v>22</v>
      </c>
      <c r="K174" t="s">
        <v>816</v>
      </c>
      <c r="M174" t="s">
        <v>817</v>
      </c>
      <c r="N174">
        <v>1</v>
      </c>
      <c r="O174">
        <v>0</v>
      </c>
      <c r="P174">
        <v>0</v>
      </c>
      <c r="R174" s="1">
        <v>46034.625150462962</v>
      </c>
    </row>
    <row r="175" spans="1:18" x14ac:dyDescent="0.2">
      <c r="A175">
        <v>174</v>
      </c>
      <c r="B175" t="s">
        <v>818</v>
      </c>
      <c r="C175" t="s">
        <v>57</v>
      </c>
      <c r="E175" t="s">
        <v>819</v>
      </c>
      <c r="G175" t="s">
        <v>820</v>
      </c>
      <c r="I175" t="s">
        <v>821</v>
      </c>
      <c r="J175" t="s">
        <v>22</v>
      </c>
      <c r="K175" t="s">
        <v>822</v>
      </c>
      <c r="N175">
        <v>1</v>
      </c>
      <c r="O175">
        <v>0</v>
      </c>
      <c r="P175">
        <v>0</v>
      </c>
      <c r="R175" s="1">
        <v>46034.625150462962</v>
      </c>
    </row>
    <row r="176" spans="1:18" x14ac:dyDescent="0.2">
      <c r="A176">
        <v>175</v>
      </c>
      <c r="B176" t="s">
        <v>823</v>
      </c>
      <c r="C176" t="s">
        <v>57</v>
      </c>
      <c r="E176" t="s">
        <v>824</v>
      </c>
      <c r="G176" t="s">
        <v>825</v>
      </c>
      <c r="I176" t="s">
        <v>826</v>
      </c>
      <c r="J176" t="s">
        <v>22</v>
      </c>
      <c r="M176" t="s">
        <v>827</v>
      </c>
      <c r="N176">
        <v>1</v>
      </c>
      <c r="O176">
        <v>1</v>
      </c>
      <c r="P176">
        <v>0</v>
      </c>
      <c r="R176" s="1">
        <v>46034.625150462962</v>
      </c>
    </row>
    <row r="177" spans="1:18" x14ac:dyDescent="0.2">
      <c r="A177">
        <v>176</v>
      </c>
      <c r="B177" t="s">
        <v>828</v>
      </c>
      <c r="C177" t="s">
        <v>57</v>
      </c>
      <c r="E177" t="s">
        <v>829</v>
      </c>
      <c r="G177" t="s">
        <v>830</v>
      </c>
      <c r="I177" t="s">
        <v>378</v>
      </c>
      <c r="J177" t="s">
        <v>22</v>
      </c>
      <c r="M177" t="s">
        <v>831</v>
      </c>
      <c r="N177">
        <v>1</v>
      </c>
      <c r="O177">
        <v>1</v>
      </c>
      <c r="P177">
        <v>0</v>
      </c>
      <c r="R177" s="1">
        <v>46034.625150462962</v>
      </c>
    </row>
    <row r="178" spans="1:18" x14ac:dyDescent="0.2">
      <c r="A178">
        <v>177</v>
      </c>
      <c r="B178" t="s">
        <v>832</v>
      </c>
      <c r="C178" t="s">
        <v>57</v>
      </c>
      <c r="E178" t="s">
        <v>833</v>
      </c>
      <c r="J178" t="s">
        <v>22</v>
      </c>
      <c r="N178">
        <v>1</v>
      </c>
      <c r="O178">
        <v>0</v>
      </c>
      <c r="P178">
        <v>0</v>
      </c>
      <c r="R178" s="1">
        <v>46034.625150462962</v>
      </c>
    </row>
    <row r="179" spans="1:18" x14ac:dyDescent="0.2">
      <c r="A179">
        <v>178</v>
      </c>
      <c r="B179" t="s">
        <v>834</v>
      </c>
      <c r="C179" t="s">
        <v>57</v>
      </c>
      <c r="G179" t="s">
        <v>835</v>
      </c>
      <c r="I179" t="s">
        <v>836</v>
      </c>
      <c r="J179" t="s">
        <v>22</v>
      </c>
      <c r="K179" t="s">
        <v>837</v>
      </c>
      <c r="N179">
        <v>1</v>
      </c>
      <c r="O179">
        <v>0</v>
      </c>
      <c r="P179">
        <v>0</v>
      </c>
      <c r="R179" s="1">
        <v>46034.625150462962</v>
      </c>
    </row>
    <row r="180" spans="1:18" x14ac:dyDescent="0.2">
      <c r="A180">
        <v>179</v>
      </c>
      <c r="B180" t="s">
        <v>838</v>
      </c>
      <c r="C180" t="s">
        <v>57</v>
      </c>
      <c r="E180" t="s">
        <v>839</v>
      </c>
      <c r="G180" t="s">
        <v>840</v>
      </c>
      <c r="I180" t="s">
        <v>836</v>
      </c>
      <c r="J180" t="s">
        <v>22</v>
      </c>
      <c r="K180" t="s">
        <v>841</v>
      </c>
      <c r="M180" t="s">
        <v>842</v>
      </c>
      <c r="N180">
        <v>1</v>
      </c>
      <c r="O180">
        <v>0</v>
      </c>
      <c r="P180">
        <v>0</v>
      </c>
      <c r="R180" s="1">
        <v>46034.625150462962</v>
      </c>
    </row>
    <row r="181" spans="1:18" x14ac:dyDescent="0.2">
      <c r="A181">
        <v>180</v>
      </c>
      <c r="B181" t="s">
        <v>843</v>
      </c>
      <c r="C181" t="s">
        <v>57</v>
      </c>
      <c r="E181" t="s">
        <v>844</v>
      </c>
      <c r="G181" t="s">
        <v>845</v>
      </c>
      <c r="I181" t="s">
        <v>536</v>
      </c>
      <c r="J181" t="s">
        <v>22</v>
      </c>
      <c r="M181" t="s">
        <v>846</v>
      </c>
      <c r="N181">
        <v>1</v>
      </c>
      <c r="O181">
        <v>1</v>
      </c>
      <c r="P181">
        <v>0</v>
      </c>
      <c r="R181" s="1">
        <v>46034.625150462962</v>
      </c>
    </row>
    <row r="182" spans="1:18" x14ac:dyDescent="0.2">
      <c r="A182">
        <v>181</v>
      </c>
      <c r="B182" t="s">
        <v>847</v>
      </c>
      <c r="C182" t="s">
        <v>57</v>
      </c>
      <c r="E182" t="s">
        <v>341</v>
      </c>
      <c r="G182" t="s">
        <v>848</v>
      </c>
      <c r="I182" t="s">
        <v>343</v>
      </c>
      <c r="J182" t="s">
        <v>22</v>
      </c>
      <c r="K182" t="s">
        <v>849</v>
      </c>
      <c r="M182" t="s">
        <v>850</v>
      </c>
      <c r="N182">
        <v>1</v>
      </c>
      <c r="O182">
        <v>1</v>
      </c>
      <c r="P182">
        <v>0</v>
      </c>
      <c r="R182" s="1">
        <v>46034.625150462962</v>
      </c>
    </row>
    <row r="183" spans="1:18" x14ac:dyDescent="0.2">
      <c r="A183">
        <v>182</v>
      </c>
      <c r="B183" t="s">
        <v>851</v>
      </c>
      <c r="C183" t="s">
        <v>57</v>
      </c>
      <c r="G183" t="s">
        <v>852</v>
      </c>
      <c r="I183" t="s">
        <v>705</v>
      </c>
      <c r="J183" t="s">
        <v>22</v>
      </c>
      <c r="M183" t="s">
        <v>853</v>
      </c>
      <c r="N183">
        <v>1</v>
      </c>
      <c r="O183">
        <v>1</v>
      </c>
      <c r="P183">
        <v>0</v>
      </c>
      <c r="R183" s="1">
        <v>46034.625150462962</v>
      </c>
    </row>
    <row r="184" spans="1:18" x14ac:dyDescent="0.2">
      <c r="A184">
        <v>183</v>
      </c>
      <c r="B184" t="s">
        <v>854</v>
      </c>
      <c r="C184" t="s">
        <v>57</v>
      </c>
      <c r="E184" t="s">
        <v>855</v>
      </c>
      <c r="G184" t="s">
        <v>856</v>
      </c>
      <c r="I184" t="s">
        <v>857</v>
      </c>
      <c r="J184" t="s">
        <v>22</v>
      </c>
      <c r="M184" t="s">
        <v>858</v>
      </c>
      <c r="N184">
        <v>1</v>
      </c>
      <c r="O184">
        <v>1</v>
      </c>
      <c r="P184">
        <v>0</v>
      </c>
      <c r="R184" s="1">
        <v>46034.625150462962</v>
      </c>
    </row>
    <row r="185" spans="1:18" x14ac:dyDescent="0.2">
      <c r="A185">
        <v>184</v>
      </c>
      <c r="B185" t="s">
        <v>859</v>
      </c>
      <c r="C185" t="s">
        <v>57</v>
      </c>
      <c r="E185" t="s">
        <v>860</v>
      </c>
      <c r="G185" t="s">
        <v>861</v>
      </c>
      <c r="I185" t="s">
        <v>862</v>
      </c>
      <c r="J185" t="s">
        <v>22</v>
      </c>
      <c r="M185" t="s">
        <v>863</v>
      </c>
      <c r="N185">
        <v>1</v>
      </c>
      <c r="O185">
        <v>1</v>
      </c>
      <c r="P185">
        <v>0</v>
      </c>
      <c r="R185" s="1">
        <v>46034.625150462962</v>
      </c>
    </row>
    <row r="186" spans="1:18" x14ac:dyDescent="0.2">
      <c r="A186">
        <v>185</v>
      </c>
      <c r="B186" t="s">
        <v>864</v>
      </c>
      <c r="C186" t="s">
        <v>57</v>
      </c>
      <c r="E186" t="s">
        <v>865</v>
      </c>
      <c r="G186" t="s">
        <v>866</v>
      </c>
      <c r="I186" t="s">
        <v>867</v>
      </c>
      <c r="J186" t="s">
        <v>22</v>
      </c>
      <c r="M186" t="s">
        <v>868</v>
      </c>
      <c r="N186">
        <v>1</v>
      </c>
      <c r="O186">
        <v>1</v>
      </c>
      <c r="P186">
        <v>0</v>
      </c>
      <c r="R186" s="1">
        <v>46034.625150462962</v>
      </c>
    </row>
    <row r="187" spans="1:18" x14ac:dyDescent="0.2">
      <c r="A187">
        <v>186</v>
      </c>
      <c r="B187" t="s">
        <v>869</v>
      </c>
      <c r="C187" t="s">
        <v>57</v>
      </c>
      <c r="E187" t="s">
        <v>870</v>
      </c>
      <c r="G187" t="s">
        <v>871</v>
      </c>
      <c r="I187" t="s">
        <v>872</v>
      </c>
      <c r="J187" t="s">
        <v>22</v>
      </c>
      <c r="M187" t="s">
        <v>873</v>
      </c>
      <c r="N187">
        <v>1</v>
      </c>
      <c r="O187">
        <v>1</v>
      </c>
      <c r="P187">
        <v>0</v>
      </c>
      <c r="R187" s="1">
        <v>46034.625150462962</v>
      </c>
    </row>
    <row r="188" spans="1:18" x14ac:dyDescent="0.2">
      <c r="A188">
        <v>187</v>
      </c>
      <c r="B188" t="s">
        <v>874</v>
      </c>
      <c r="C188" t="s">
        <v>57</v>
      </c>
      <c r="E188" t="s">
        <v>875</v>
      </c>
      <c r="J188" t="s">
        <v>22</v>
      </c>
      <c r="M188" t="s">
        <v>876</v>
      </c>
      <c r="N188">
        <v>1</v>
      </c>
      <c r="O188">
        <v>1</v>
      </c>
      <c r="P188">
        <v>0</v>
      </c>
      <c r="R188" s="1">
        <v>46034.625150462962</v>
      </c>
    </row>
    <row r="189" spans="1:18" x14ac:dyDescent="0.2">
      <c r="A189">
        <v>188</v>
      </c>
      <c r="B189" t="s">
        <v>877</v>
      </c>
      <c r="C189" t="s">
        <v>57</v>
      </c>
      <c r="E189" t="s">
        <v>878</v>
      </c>
      <c r="G189" t="s">
        <v>879</v>
      </c>
      <c r="I189" t="s">
        <v>258</v>
      </c>
      <c r="J189" t="s">
        <v>22</v>
      </c>
      <c r="N189">
        <v>1</v>
      </c>
      <c r="O189">
        <v>0</v>
      </c>
      <c r="P189">
        <v>0</v>
      </c>
      <c r="R189" s="1">
        <v>46034.625150462962</v>
      </c>
    </row>
    <row r="190" spans="1:18" x14ac:dyDescent="0.2">
      <c r="A190">
        <v>189</v>
      </c>
      <c r="B190" t="s">
        <v>880</v>
      </c>
      <c r="C190" t="s">
        <v>57</v>
      </c>
      <c r="E190" t="s">
        <v>881</v>
      </c>
      <c r="G190" t="s">
        <v>882</v>
      </c>
      <c r="I190" t="s">
        <v>66</v>
      </c>
      <c r="J190" t="s">
        <v>22</v>
      </c>
      <c r="K190" t="s">
        <v>883</v>
      </c>
      <c r="N190">
        <v>1</v>
      </c>
      <c r="O190">
        <v>0</v>
      </c>
      <c r="P190">
        <v>0</v>
      </c>
      <c r="R190" s="1">
        <v>46034.625150462962</v>
      </c>
    </row>
    <row r="191" spans="1:18" x14ac:dyDescent="0.2">
      <c r="A191">
        <v>190</v>
      </c>
      <c r="B191" t="s">
        <v>2923</v>
      </c>
      <c r="C191" t="s">
        <v>57</v>
      </c>
      <c r="E191" t="s">
        <v>884</v>
      </c>
      <c r="G191" t="s">
        <v>885</v>
      </c>
      <c r="I191" t="s">
        <v>167</v>
      </c>
      <c r="J191" t="s">
        <v>22</v>
      </c>
      <c r="K191" t="s">
        <v>886</v>
      </c>
      <c r="N191">
        <v>1</v>
      </c>
      <c r="O191">
        <v>0</v>
      </c>
      <c r="P191">
        <v>0</v>
      </c>
      <c r="R191" s="1">
        <v>46034.625150462962</v>
      </c>
    </row>
    <row r="192" spans="1:18" x14ac:dyDescent="0.2">
      <c r="A192">
        <v>191</v>
      </c>
      <c r="B192" t="s">
        <v>887</v>
      </c>
      <c r="C192" t="s">
        <v>57</v>
      </c>
      <c r="E192" t="s">
        <v>888</v>
      </c>
      <c r="G192" t="s">
        <v>889</v>
      </c>
      <c r="I192" t="s">
        <v>890</v>
      </c>
      <c r="J192" t="s">
        <v>22</v>
      </c>
      <c r="K192" t="s">
        <v>891</v>
      </c>
      <c r="N192">
        <v>1</v>
      </c>
      <c r="O192">
        <v>1</v>
      </c>
      <c r="P192">
        <v>0</v>
      </c>
      <c r="R192" s="1">
        <v>46034.625150462962</v>
      </c>
    </row>
    <row r="193" spans="1:18" x14ac:dyDescent="0.2">
      <c r="A193">
        <v>192</v>
      </c>
      <c r="B193" t="s">
        <v>892</v>
      </c>
      <c r="C193" t="s">
        <v>57</v>
      </c>
      <c r="E193" t="s">
        <v>893</v>
      </c>
      <c r="G193" t="s">
        <v>894</v>
      </c>
      <c r="I193" t="s">
        <v>237</v>
      </c>
      <c r="J193" t="s">
        <v>22</v>
      </c>
      <c r="K193" t="s">
        <v>895</v>
      </c>
      <c r="M193" t="s">
        <v>896</v>
      </c>
      <c r="N193">
        <v>1</v>
      </c>
      <c r="O193">
        <v>0</v>
      </c>
      <c r="P193">
        <v>0</v>
      </c>
      <c r="R193" s="1">
        <v>46034.625150462962</v>
      </c>
    </row>
    <row r="194" spans="1:18" x14ac:dyDescent="0.2">
      <c r="A194">
        <v>193</v>
      </c>
      <c r="B194" t="s">
        <v>897</v>
      </c>
      <c r="C194" t="s">
        <v>57</v>
      </c>
      <c r="E194" t="s">
        <v>898</v>
      </c>
      <c r="G194" t="s">
        <v>716</v>
      </c>
      <c r="I194" t="s">
        <v>717</v>
      </c>
      <c r="J194" t="s">
        <v>22</v>
      </c>
      <c r="K194" t="s">
        <v>718</v>
      </c>
      <c r="M194" t="s">
        <v>719</v>
      </c>
      <c r="N194">
        <v>1</v>
      </c>
      <c r="O194">
        <v>0</v>
      </c>
      <c r="P194">
        <v>0</v>
      </c>
      <c r="R194" s="1">
        <v>46034.625150462962</v>
      </c>
    </row>
    <row r="195" spans="1:18" x14ac:dyDescent="0.2">
      <c r="A195">
        <v>194</v>
      </c>
      <c r="B195" t="s">
        <v>899</v>
      </c>
      <c r="C195" t="s">
        <v>57</v>
      </c>
      <c r="E195" t="s">
        <v>900</v>
      </c>
      <c r="G195" t="s">
        <v>901</v>
      </c>
      <c r="I195" t="s">
        <v>902</v>
      </c>
      <c r="J195" t="s">
        <v>22</v>
      </c>
      <c r="K195" t="s">
        <v>903</v>
      </c>
      <c r="N195">
        <v>1</v>
      </c>
      <c r="O195">
        <v>0</v>
      </c>
      <c r="P195">
        <v>0</v>
      </c>
      <c r="R195" s="1">
        <v>46034.625150462962</v>
      </c>
    </row>
    <row r="196" spans="1:18" x14ac:dyDescent="0.2">
      <c r="A196">
        <v>195</v>
      </c>
      <c r="B196" t="s">
        <v>904</v>
      </c>
      <c r="C196" t="s">
        <v>57</v>
      </c>
      <c r="E196" t="s">
        <v>617</v>
      </c>
      <c r="G196" t="s">
        <v>618</v>
      </c>
      <c r="I196" t="s">
        <v>619</v>
      </c>
      <c r="J196" t="s">
        <v>22</v>
      </c>
      <c r="M196" t="s">
        <v>905</v>
      </c>
      <c r="N196">
        <v>1</v>
      </c>
      <c r="O196">
        <v>1</v>
      </c>
      <c r="P196">
        <v>0</v>
      </c>
      <c r="R196" s="1">
        <v>46034.625150462962</v>
      </c>
    </row>
    <row r="197" spans="1:18" x14ac:dyDescent="0.2">
      <c r="A197">
        <v>196</v>
      </c>
      <c r="B197" t="s">
        <v>906</v>
      </c>
      <c r="C197" t="s">
        <v>57</v>
      </c>
      <c r="E197" t="s">
        <v>907</v>
      </c>
      <c r="G197" t="s">
        <v>908</v>
      </c>
      <c r="I197" t="s">
        <v>909</v>
      </c>
      <c r="J197" t="s">
        <v>910</v>
      </c>
      <c r="M197" t="s">
        <v>911</v>
      </c>
      <c r="N197">
        <v>1</v>
      </c>
      <c r="O197">
        <v>0</v>
      </c>
      <c r="P197">
        <v>0</v>
      </c>
      <c r="R197" s="1">
        <v>46034.625150462962</v>
      </c>
    </row>
    <row r="198" spans="1:18" x14ac:dyDescent="0.2">
      <c r="A198">
        <v>197</v>
      </c>
      <c r="B198" t="s">
        <v>912</v>
      </c>
      <c r="C198" t="s">
        <v>57</v>
      </c>
      <c r="E198" t="s">
        <v>913</v>
      </c>
      <c r="G198" t="s">
        <v>914</v>
      </c>
      <c r="I198" t="s">
        <v>459</v>
      </c>
      <c r="J198" t="s">
        <v>22</v>
      </c>
      <c r="M198" t="s">
        <v>915</v>
      </c>
      <c r="N198">
        <v>1</v>
      </c>
      <c r="O198">
        <v>1</v>
      </c>
      <c r="P198">
        <v>0</v>
      </c>
      <c r="R198" s="1">
        <v>46034.625150462962</v>
      </c>
    </row>
    <row r="199" spans="1:18" x14ac:dyDescent="0.2">
      <c r="A199">
        <v>198</v>
      </c>
      <c r="B199" t="s">
        <v>916</v>
      </c>
      <c r="C199" t="s">
        <v>57</v>
      </c>
      <c r="E199" t="s">
        <v>917</v>
      </c>
      <c r="G199" t="s">
        <v>918</v>
      </c>
      <c r="I199" t="s">
        <v>173</v>
      </c>
      <c r="J199" t="s">
        <v>22</v>
      </c>
      <c r="K199" t="s">
        <v>919</v>
      </c>
      <c r="M199" t="s">
        <v>920</v>
      </c>
      <c r="N199">
        <v>1</v>
      </c>
      <c r="O199">
        <v>1</v>
      </c>
      <c r="P199">
        <v>0</v>
      </c>
      <c r="R199" s="1">
        <v>46034.625150462962</v>
      </c>
    </row>
    <row r="200" spans="1:18" x14ac:dyDescent="0.2">
      <c r="A200">
        <v>199</v>
      </c>
      <c r="B200" t="s">
        <v>921</v>
      </c>
      <c r="C200" t="s">
        <v>57</v>
      </c>
      <c r="E200" t="s">
        <v>922</v>
      </c>
      <c r="G200" t="s">
        <v>923</v>
      </c>
      <c r="I200" t="s">
        <v>237</v>
      </c>
      <c r="J200" t="s">
        <v>22</v>
      </c>
      <c r="K200" t="s">
        <v>924</v>
      </c>
      <c r="N200">
        <v>1</v>
      </c>
      <c r="O200">
        <v>0</v>
      </c>
      <c r="P200">
        <v>0</v>
      </c>
      <c r="R200" s="1">
        <v>46034.625150462962</v>
      </c>
    </row>
    <row r="201" spans="1:18" x14ac:dyDescent="0.2">
      <c r="A201">
        <v>200</v>
      </c>
      <c r="B201" t="s">
        <v>925</v>
      </c>
      <c r="C201" t="s">
        <v>57</v>
      </c>
      <c r="G201" t="s">
        <v>926</v>
      </c>
      <c r="I201" t="s">
        <v>927</v>
      </c>
      <c r="J201" t="s">
        <v>22</v>
      </c>
      <c r="K201" t="s">
        <v>928</v>
      </c>
      <c r="N201">
        <v>1</v>
      </c>
      <c r="O201">
        <v>0</v>
      </c>
      <c r="P201">
        <v>0</v>
      </c>
      <c r="R201" s="1">
        <v>46034.625150462962</v>
      </c>
    </row>
    <row r="202" spans="1:18" x14ac:dyDescent="0.2">
      <c r="A202">
        <v>201</v>
      </c>
      <c r="B202" t="s">
        <v>929</v>
      </c>
      <c r="C202" t="s">
        <v>57</v>
      </c>
      <c r="E202" t="s">
        <v>930</v>
      </c>
      <c r="G202" t="s">
        <v>931</v>
      </c>
      <c r="I202" t="s">
        <v>252</v>
      </c>
      <c r="J202" t="s">
        <v>22</v>
      </c>
      <c r="M202" t="s">
        <v>932</v>
      </c>
      <c r="N202">
        <v>1</v>
      </c>
      <c r="O202">
        <v>0</v>
      </c>
      <c r="P202">
        <v>0</v>
      </c>
      <c r="R202" s="1">
        <v>46034.625150462962</v>
      </c>
    </row>
    <row r="203" spans="1:18" x14ac:dyDescent="0.2">
      <c r="A203">
        <v>202</v>
      </c>
      <c r="B203" t="s">
        <v>933</v>
      </c>
      <c r="C203" t="s">
        <v>57</v>
      </c>
      <c r="E203" t="s">
        <v>934</v>
      </c>
      <c r="G203" t="s">
        <v>935</v>
      </c>
      <c r="I203" t="s">
        <v>936</v>
      </c>
      <c r="J203" t="s">
        <v>22</v>
      </c>
      <c r="M203" t="s">
        <v>937</v>
      </c>
      <c r="N203">
        <v>1</v>
      </c>
      <c r="O203">
        <v>1</v>
      </c>
      <c r="P203">
        <v>0</v>
      </c>
      <c r="R203" s="1">
        <v>46034.625150462962</v>
      </c>
    </row>
    <row r="204" spans="1:18" x14ac:dyDescent="0.2">
      <c r="A204">
        <v>203</v>
      </c>
      <c r="B204" t="s">
        <v>938</v>
      </c>
      <c r="C204" t="s">
        <v>57</v>
      </c>
      <c r="E204" t="s">
        <v>939</v>
      </c>
      <c r="G204" t="s">
        <v>940</v>
      </c>
      <c r="I204" t="s">
        <v>941</v>
      </c>
      <c r="J204" t="s">
        <v>22</v>
      </c>
      <c r="M204" t="s">
        <v>942</v>
      </c>
      <c r="N204">
        <v>1</v>
      </c>
      <c r="O204">
        <v>1</v>
      </c>
      <c r="P204">
        <v>0</v>
      </c>
      <c r="R204" s="1">
        <v>46034.625150462962</v>
      </c>
    </row>
    <row r="205" spans="1:18" x14ac:dyDescent="0.2">
      <c r="A205">
        <v>204</v>
      </c>
      <c r="B205" t="s">
        <v>943</v>
      </c>
      <c r="C205" t="s">
        <v>57</v>
      </c>
      <c r="E205" t="s">
        <v>944</v>
      </c>
      <c r="G205" t="s">
        <v>945</v>
      </c>
      <c r="I205" t="s">
        <v>946</v>
      </c>
      <c r="J205" t="s">
        <v>22</v>
      </c>
      <c r="K205" t="s">
        <v>947</v>
      </c>
      <c r="M205" t="s">
        <v>948</v>
      </c>
      <c r="N205">
        <v>1</v>
      </c>
      <c r="O205">
        <v>0</v>
      </c>
      <c r="P205">
        <v>0</v>
      </c>
      <c r="R205" s="1">
        <v>46034.625150462962</v>
      </c>
    </row>
    <row r="206" spans="1:18" x14ac:dyDescent="0.2">
      <c r="A206">
        <v>205</v>
      </c>
      <c r="B206" t="s">
        <v>949</v>
      </c>
      <c r="C206" t="s">
        <v>57</v>
      </c>
      <c r="E206" t="s">
        <v>950</v>
      </c>
      <c r="G206" t="s">
        <v>951</v>
      </c>
      <c r="I206" t="s">
        <v>237</v>
      </c>
      <c r="J206" t="s">
        <v>22</v>
      </c>
      <c r="K206" t="s">
        <v>952</v>
      </c>
      <c r="N206">
        <v>1</v>
      </c>
      <c r="O206">
        <v>0</v>
      </c>
      <c r="P206">
        <v>0</v>
      </c>
      <c r="R206" s="1">
        <v>46034.625150462962</v>
      </c>
    </row>
    <row r="207" spans="1:18" x14ac:dyDescent="0.2">
      <c r="A207">
        <v>206</v>
      </c>
      <c r="B207" t="s">
        <v>953</v>
      </c>
      <c r="C207" t="s">
        <v>57</v>
      </c>
      <c r="E207" t="s">
        <v>954</v>
      </c>
      <c r="G207" t="s">
        <v>955</v>
      </c>
      <c r="I207" t="s">
        <v>956</v>
      </c>
      <c r="J207" t="s">
        <v>22</v>
      </c>
      <c r="M207" t="s">
        <v>957</v>
      </c>
      <c r="N207">
        <v>1</v>
      </c>
      <c r="O207">
        <v>1</v>
      </c>
      <c r="P207">
        <v>0</v>
      </c>
      <c r="R207" s="1">
        <v>46034.625150462962</v>
      </c>
    </row>
    <row r="208" spans="1:18" x14ac:dyDescent="0.2">
      <c r="A208">
        <v>207</v>
      </c>
      <c r="B208" t="s">
        <v>958</v>
      </c>
      <c r="C208" t="s">
        <v>57</v>
      </c>
      <c r="G208" t="s">
        <v>959</v>
      </c>
      <c r="I208" t="s">
        <v>960</v>
      </c>
      <c r="J208" t="s">
        <v>22</v>
      </c>
      <c r="K208" t="s">
        <v>961</v>
      </c>
      <c r="M208" t="s">
        <v>962</v>
      </c>
      <c r="N208">
        <v>1</v>
      </c>
      <c r="O208">
        <v>1</v>
      </c>
      <c r="P208">
        <v>0</v>
      </c>
      <c r="R208" s="1">
        <v>46034.625150462962</v>
      </c>
    </row>
    <row r="209" spans="1:18" x14ac:dyDescent="0.2">
      <c r="A209">
        <v>208</v>
      </c>
      <c r="B209" t="s">
        <v>963</v>
      </c>
      <c r="C209" t="s">
        <v>57</v>
      </c>
      <c r="E209" t="s">
        <v>964</v>
      </c>
      <c r="G209" t="s">
        <v>965</v>
      </c>
      <c r="I209" t="s">
        <v>966</v>
      </c>
      <c r="J209" t="s">
        <v>22</v>
      </c>
      <c r="K209" t="s">
        <v>967</v>
      </c>
      <c r="M209" t="s">
        <v>968</v>
      </c>
      <c r="N209">
        <v>1</v>
      </c>
      <c r="O209">
        <v>1</v>
      </c>
      <c r="P209">
        <v>0</v>
      </c>
      <c r="R209" s="1">
        <v>46034.625150462962</v>
      </c>
    </row>
    <row r="210" spans="1:18" x14ac:dyDescent="0.2">
      <c r="A210">
        <v>209</v>
      </c>
      <c r="B210" t="s">
        <v>969</v>
      </c>
      <c r="C210" t="s">
        <v>57</v>
      </c>
      <c r="E210" t="s">
        <v>970</v>
      </c>
      <c r="G210" t="s">
        <v>971</v>
      </c>
      <c r="I210" t="s">
        <v>89</v>
      </c>
      <c r="J210" t="s">
        <v>22</v>
      </c>
      <c r="K210" t="s">
        <v>972</v>
      </c>
      <c r="M210" t="s">
        <v>973</v>
      </c>
      <c r="N210">
        <v>1</v>
      </c>
      <c r="O210">
        <v>1</v>
      </c>
      <c r="P210">
        <v>0</v>
      </c>
      <c r="R210" s="1">
        <v>46034.625150462962</v>
      </c>
    </row>
    <row r="211" spans="1:18" x14ac:dyDescent="0.2">
      <c r="A211">
        <v>210</v>
      </c>
      <c r="B211" t="s">
        <v>974</v>
      </c>
      <c r="C211" t="s">
        <v>57</v>
      </c>
      <c r="E211" t="s">
        <v>975</v>
      </c>
      <c r="G211" t="s">
        <v>976</v>
      </c>
      <c r="I211" t="s">
        <v>977</v>
      </c>
      <c r="J211" t="s">
        <v>22</v>
      </c>
      <c r="K211" t="s">
        <v>978</v>
      </c>
      <c r="M211" t="s">
        <v>979</v>
      </c>
      <c r="N211">
        <v>1</v>
      </c>
      <c r="O211">
        <v>1</v>
      </c>
      <c r="P211">
        <v>0</v>
      </c>
      <c r="R211" s="1">
        <v>46034.625150462962</v>
      </c>
    </row>
    <row r="212" spans="1:18" x14ac:dyDescent="0.2">
      <c r="A212">
        <v>211</v>
      </c>
      <c r="B212" t="s">
        <v>980</v>
      </c>
      <c r="C212" t="s">
        <v>57</v>
      </c>
      <c r="E212" t="s">
        <v>981</v>
      </c>
      <c r="G212" t="s">
        <v>982</v>
      </c>
      <c r="I212" t="s">
        <v>152</v>
      </c>
      <c r="J212" t="s">
        <v>22</v>
      </c>
      <c r="K212" t="s">
        <v>983</v>
      </c>
      <c r="M212" t="s">
        <v>984</v>
      </c>
      <c r="N212">
        <v>1</v>
      </c>
      <c r="O212">
        <v>1</v>
      </c>
      <c r="P212">
        <v>0</v>
      </c>
      <c r="R212" s="1">
        <v>46034.625150462962</v>
      </c>
    </row>
    <row r="213" spans="1:18" x14ac:dyDescent="0.2">
      <c r="A213">
        <v>212</v>
      </c>
      <c r="B213" t="s">
        <v>985</v>
      </c>
      <c r="C213" t="s">
        <v>57</v>
      </c>
      <c r="E213" t="s">
        <v>986</v>
      </c>
      <c r="G213" t="s">
        <v>987</v>
      </c>
      <c r="I213" t="s">
        <v>511</v>
      </c>
      <c r="J213" t="s">
        <v>22</v>
      </c>
      <c r="N213">
        <v>1</v>
      </c>
      <c r="O213">
        <v>0</v>
      </c>
      <c r="P213">
        <v>0</v>
      </c>
      <c r="R213" s="1">
        <v>46034.625150462962</v>
      </c>
    </row>
    <row r="214" spans="1:18" x14ac:dyDescent="0.2">
      <c r="A214">
        <v>213</v>
      </c>
      <c r="B214" t="s">
        <v>988</v>
      </c>
      <c r="C214" t="s">
        <v>57</v>
      </c>
      <c r="E214" t="s">
        <v>989</v>
      </c>
      <c r="G214" t="s">
        <v>990</v>
      </c>
      <c r="I214" t="s">
        <v>991</v>
      </c>
      <c r="J214" t="s">
        <v>22</v>
      </c>
      <c r="K214" t="s">
        <v>992</v>
      </c>
      <c r="M214" t="s">
        <v>993</v>
      </c>
      <c r="N214">
        <v>1</v>
      </c>
      <c r="O214">
        <v>0</v>
      </c>
      <c r="P214">
        <v>0</v>
      </c>
      <c r="R214" s="1">
        <v>46034.625150462962</v>
      </c>
    </row>
    <row r="215" spans="1:18" x14ac:dyDescent="0.2">
      <c r="A215">
        <v>214</v>
      </c>
      <c r="B215" t="s">
        <v>994</v>
      </c>
      <c r="C215" t="s">
        <v>57</v>
      </c>
      <c r="E215" t="s">
        <v>995</v>
      </c>
      <c r="G215" t="s">
        <v>996</v>
      </c>
      <c r="I215" t="s">
        <v>997</v>
      </c>
      <c r="J215" t="s">
        <v>998</v>
      </c>
      <c r="N215">
        <v>1</v>
      </c>
      <c r="O215">
        <v>0</v>
      </c>
      <c r="P215">
        <v>0</v>
      </c>
      <c r="R215" s="1">
        <v>46034.625150462962</v>
      </c>
    </row>
    <row r="216" spans="1:18" x14ac:dyDescent="0.2">
      <c r="A216">
        <v>215</v>
      </c>
      <c r="B216" t="s">
        <v>999</v>
      </c>
      <c r="C216" t="s">
        <v>57</v>
      </c>
      <c r="E216" t="s">
        <v>1000</v>
      </c>
      <c r="G216" t="s">
        <v>1001</v>
      </c>
      <c r="I216" t="s">
        <v>1002</v>
      </c>
      <c r="J216" t="s">
        <v>22</v>
      </c>
      <c r="K216" t="s">
        <v>1003</v>
      </c>
      <c r="N216">
        <v>1</v>
      </c>
      <c r="O216">
        <v>0</v>
      </c>
      <c r="P216">
        <v>0</v>
      </c>
      <c r="R216" s="1">
        <v>46034.625150462962</v>
      </c>
    </row>
    <row r="217" spans="1:18" x14ac:dyDescent="0.2">
      <c r="A217">
        <v>216</v>
      </c>
      <c r="B217" t="s">
        <v>1004</v>
      </c>
      <c r="C217" t="s">
        <v>57</v>
      </c>
      <c r="E217" t="s">
        <v>1005</v>
      </c>
      <c r="G217" t="s">
        <v>1006</v>
      </c>
      <c r="I217" t="s">
        <v>152</v>
      </c>
      <c r="J217" t="s">
        <v>22</v>
      </c>
      <c r="N217">
        <v>1</v>
      </c>
      <c r="O217">
        <v>0</v>
      </c>
      <c r="P217">
        <v>0</v>
      </c>
      <c r="R217" s="1">
        <v>46034.625150462962</v>
      </c>
    </row>
    <row r="218" spans="1:18" x14ac:dyDescent="0.2">
      <c r="A218">
        <v>217</v>
      </c>
      <c r="B218" t="s">
        <v>1007</v>
      </c>
      <c r="C218" t="s">
        <v>57</v>
      </c>
      <c r="E218" t="s">
        <v>1008</v>
      </c>
      <c r="G218" t="s">
        <v>1009</v>
      </c>
      <c r="I218" t="s">
        <v>1010</v>
      </c>
      <c r="J218" t="s">
        <v>22</v>
      </c>
      <c r="K218" t="s">
        <v>1011</v>
      </c>
      <c r="N218">
        <v>1</v>
      </c>
      <c r="O218">
        <v>0</v>
      </c>
      <c r="P218">
        <v>0</v>
      </c>
      <c r="R218" s="1">
        <v>46034.625150462962</v>
      </c>
    </row>
    <row r="219" spans="1:18" x14ac:dyDescent="0.2">
      <c r="A219">
        <v>218</v>
      </c>
      <c r="B219" t="s">
        <v>1012</v>
      </c>
      <c r="C219" t="s">
        <v>57</v>
      </c>
      <c r="E219" t="s">
        <v>1013</v>
      </c>
      <c r="G219" t="s">
        <v>1014</v>
      </c>
      <c r="I219" t="s">
        <v>1015</v>
      </c>
      <c r="J219" t="s">
        <v>22</v>
      </c>
      <c r="K219" t="s">
        <v>1016</v>
      </c>
      <c r="M219" t="s">
        <v>1017</v>
      </c>
      <c r="N219">
        <v>1</v>
      </c>
      <c r="O219">
        <v>0</v>
      </c>
      <c r="P219">
        <v>0</v>
      </c>
      <c r="R219" s="1">
        <v>46034.625150462962</v>
      </c>
    </row>
    <row r="220" spans="1:18" x14ac:dyDescent="0.2">
      <c r="A220">
        <v>219</v>
      </c>
      <c r="B220" t="s">
        <v>1018</v>
      </c>
      <c r="C220" t="s">
        <v>57</v>
      </c>
      <c r="E220" t="s">
        <v>1019</v>
      </c>
      <c r="G220" t="s">
        <v>1020</v>
      </c>
      <c r="I220" t="s">
        <v>1021</v>
      </c>
      <c r="J220" t="s">
        <v>22</v>
      </c>
      <c r="K220" t="s">
        <v>1022</v>
      </c>
      <c r="N220">
        <v>1</v>
      </c>
      <c r="O220">
        <v>0</v>
      </c>
      <c r="P220">
        <v>0</v>
      </c>
      <c r="R220" s="1">
        <v>46034.625150462962</v>
      </c>
    </row>
    <row r="221" spans="1:18" x14ac:dyDescent="0.2">
      <c r="A221">
        <v>220</v>
      </c>
      <c r="B221" t="s">
        <v>1023</v>
      </c>
      <c r="C221" t="s">
        <v>57</v>
      </c>
      <c r="E221" t="s">
        <v>1024</v>
      </c>
      <c r="G221" t="s">
        <v>1006</v>
      </c>
      <c r="I221" t="s">
        <v>459</v>
      </c>
      <c r="J221" t="s">
        <v>22</v>
      </c>
      <c r="N221">
        <v>1</v>
      </c>
      <c r="O221">
        <v>0</v>
      </c>
      <c r="P221">
        <v>0</v>
      </c>
      <c r="R221" s="1">
        <v>46034.625150462962</v>
      </c>
    </row>
    <row r="222" spans="1:18" x14ac:dyDescent="0.2">
      <c r="A222">
        <v>221</v>
      </c>
      <c r="B222" t="s">
        <v>1025</v>
      </c>
      <c r="C222" t="s">
        <v>57</v>
      </c>
      <c r="E222" t="s">
        <v>1026</v>
      </c>
      <c r="G222" t="s">
        <v>1027</v>
      </c>
      <c r="I222" t="s">
        <v>297</v>
      </c>
      <c r="J222" t="s">
        <v>22</v>
      </c>
      <c r="M222" t="s">
        <v>1028</v>
      </c>
      <c r="N222">
        <v>1</v>
      </c>
      <c r="O222">
        <v>0</v>
      </c>
      <c r="P222">
        <v>0</v>
      </c>
      <c r="R222" s="1">
        <v>46034.625150462962</v>
      </c>
    </row>
    <row r="223" spans="1:18" x14ac:dyDescent="0.2">
      <c r="A223">
        <v>222</v>
      </c>
      <c r="B223" t="s">
        <v>1029</v>
      </c>
      <c r="C223" t="s">
        <v>57</v>
      </c>
      <c r="E223" t="s">
        <v>1030</v>
      </c>
      <c r="G223" t="s">
        <v>1031</v>
      </c>
      <c r="I223" t="s">
        <v>258</v>
      </c>
      <c r="J223" t="s">
        <v>22</v>
      </c>
      <c r="K223" t="s">
        <v>1032</v>
      </c>
      <c r="N223">
        <v>1</v>
      </c>
      <c r="O223">
        <v>0</v>
      </c>
      <c r="P223">
        <v>0</v>
      </c>
      <c r="R223" s="1">
        <v>46034.625150462962</v>
      </c>
    </row>
    <row r="224" spans="1:18" x14ac:dyDescent="0.2">
      <c r="A224">
        <v>223</v>
      </c>
      <c r="B224" t="s">
        <v>1033</v>
      </c>
      <c r="C224" t="s">
        <v>57</v>
      </c>
      <c r="E224" t="s">
        <v>1034</v>
      </c>
      <c r="G224" t="s">
        <v>1035</v>
      </c>
      <c r="I224" t="s">
        <v>79</v>
      </c>
      <c r="J224" t="s">
        <v>22</v>
      </c>
      <c r="N224">
        <v>1</v>
      </c>
      <c r="O224">
        <v>1</v>
      </c>
      <c r="P224">
        <v>0</v>
      </c>
      <c r="R224" s="1">
        <v>46034.625150462962</v>
      </c>
    </row>
    <row r="225" spans="1:18" x14ac:dyDescent="0.2">
      <c r="A225">
        <v>224</v>
      </c>
      <c r="B225" t="s">
        <v>1036</v>
      </c>
      <c r="C225" t="s">
        <v>57</v>
      </c>
      <c r="E225" t="s">
        <v>1037</v>
      </c>
      <c r="G225" t="s">
        <v>879</v>
      </c>
      <c r="I225" t="s">
        <v>258</v>
      </c>
      <c r="J225" t="s">
        <v>22</v>
      </c>
      <c r="N225">
        <v>1</v>
      </c>
      <c r="O225">
        <v>0</v>
      </c>
      <c r="P225">
        <v>0</v>
      </c>
      <c r="R225" s="1">
        <v>46034.625150462962</v>
      </c>
    </row>
    <row r="226" spans="1:18" x14ac:dyDescent="0.2">
      <c r="A226">
        <v>225</v>
      </c>
      <c r="B226" t="s">
        <v>1038</v>
      </c>
      <c r="C226" t="s">
        <v>57</v>
      </c>
      <c r="E226" t="s">
        <v>58</v>
      </c>
      <c r="G226" t="s">
        <v>1039</v>
      </c>
      <c r="I226" t="s">
        <v>60</v>
      </c>
      <c r="J226" t="s">
        <v>22</v>
      </c>
      <c r="M226" t="s">
        <v>1040</v>
      </c>
      <c r="N226">
        <v>1</v>
      </c>
      <c r="O226">
        <v>1</v>
      </c>
      <c r="P226">
        <v>0</v>
      </c>
      <c r="R226" s="1">
        <v>46034.625150462962</v>
      </c>
    </row>
    <row r="227" spans="1:18" x14ac:dyDescent="0.2">
      <c r="A227">
        <v>226</v>
      </c>
      <c r="B227" t="s">
        <v>1041</v>
      </c>
      <c r="C227" t="s">
        <v>57</v>
      </c>
      <c r="E227" t="s">
        <v>631</v>
      </c>
      <c r="G227" t="s">
        <v>1042</v>
      </c>
      <c r="I227" t="s">
        <v>1043</v>
      </c>
      <c r="J227" t="s">
        <v>22</v>
      </c>
      <c r="M227" t="s">
        <v>1044</v>
      </c>
      <c r="N227">
        <v>1</v>
      </c>
      <c r="O227">
        <v>1</v>
      </c>
      <c r="P227">
        <v>0</v>
      </c>
      <c r="R227" s="1">
        <v>46034.625150462962</v>
      </c>
    </row>
    <row r="228" spans="1:18" x14ac:dyDescent="0.2">
      <c r="A228">
        <v>227</v>
      </c>
      <c r="B228" t="s">
        <v>1045</v>
      </c>
      <c r="C228" t="s">
        <v>57</v>
      </c>
      <c r="E228" t="s">
        <v>1046</v>
      </c>
      <c r="G228" t="s">
        <v>1047</v>
      </c>
      <c r="I228" t="s">
        <v>1048</v>
      </c>
      <c r="J228" t="s">
        <v>1049</v>
      </c>
      <c r="N228">
        <v>1</v>
      </c>
      <c r="O228">
        <v>0</v>
      </c>
      <c r="P228">
        <v>0</v>
      </c>
      <c r="R228" s="1">
        <v>46034.625150462962</v>
      </c>
    </row>
    <row r="229" spans="1:18" x14ac:dyDescent="0.2">
      <c r="A229">
        <v>228</v>
      </c>
      <c r="B229" t="s">
        <v>1050</v>
      </c>
      <c r="C229" t="s">
        <v>57</v>
      </c>
      <c r="E229" t="s">
        <v>1051</v>
      </c>
      <c r="G229" t="s">
        <v>1052</v>
      </c>
      <c r="I229" t="s">
        <v>1053</v>
      </c>
      <c r="J229" t="s">
        <v>22</v>
      </c>
      <c r="M229" t="s">
        <v>1054</v>
      </c>
      <c r="N229">
        <v>1</v>
      </c>
      <c r="O229">
        <v>1</v>
      </c>
      <c r="P229">
        <v>0</v>
      </c>
      <c r="R229" s="1">
        <v>46034.625150462962</v>
      </c>
    </row>
    <row r="230" spans="1:18" x14ac:dyDescent="0.2">
      <c r="A230">
        <v>229</v>
      </c>
      <c r="B230" t="s">
        <v>1055</v>
      </c>
      <c r="C230" t="s">
        <v>57</v>
      </c>
      <c r="E230" t="s">
        <v>1056</v>
      </c>
      <c r="G230" t="s">
        <v>1057</v>
      </c>
      <c r="I230" t="s">
        <v>1058</v>
      </c>
      <c r="J230" t="s">
        <v>22</v>
      </c>
      <c r="K230" t="s">
        <v>1059</v>
      </c>
      <c r="M230" t="s">
        <v>1060</v>
      </c>
      <c r="N230">
        <v>1</v>
      </c>
      <c r="O230">
        <v>0</v>
      </c>
      <c r="P230">
        <v>0</v>
      </c>
      <c r="R230" s="1">
        <v>46034.625150462962</v>
      </c>
    </row>
    <row r="231" spans="1:18" x14ac:dyDescent="0.2">
      <c r="A231">
        <v>230</v>
      </c>
      <c r="B231" t="s">
        <v>1061</v>
      </c>
      <c r="C231" t="s">
        <v>57</v>
      </c>
      <c r="G231" t="s">
        <v>1062</v>
      </c>
      <c r="I231" t="s">
        <v>1063</v>
      </c>
      <c r="J231" t="s">
        <v>22</v>
      </c>
      <c r="K231" t="s">
        <v>1064</v>
      </c>
      <c r="M231" t="s">
        <v>1065</v>
      </c>
      <c r="N231">
        <v>1</v>
      </c>
      <c r="O231">
        <v>1</v>
      </c>
      <c r="P231">
        <v>0</v>
      </c>
      <c r="R231" s="1">
        <v>46034.625150462962</v>
      </c>
    </row>
    <row r="232" spans="1:18" x14ac:dyDescent="0.2">
      <c r="A232">
        <v>231</v>
      </c>
      <c r="B232" t="s">
        <v>1066</v>
      </c>
      <c r="C232" t="s">
        <v>57</v>
      </c>
      <c r="E232" t="s">
        <v>1067</v>
      </c>
      <c r="G232" t="s">
        <v>1068</v>
      </c>
      <c r="I232" t="s">
        <v>1069</v>
      </c>
      <c r="J232" t="s">
        <v>22</v>
      </c>
      <c r="M232" t="s">
        <v>1070</v>
      </c>
      <c r="N232">
        <v>1</v>
      </c>
      <c r="O232">
        <v>1</v>
      </c>
      <c r="P232">
        <v>0</v>
      </c>
      <c r="R232" s="1">
        <v>46034.625150462962</v>
      </c>
    </row>
    <row r="233" spans="1:18" x14ac:dyDescent="0.2">
      <c r="A233">
        <v>232</v>
      </c>
      <c r="B233" t="s">
        <v>1071</v>
      </c>
      <c r="C233" t="s">
        <v>57</v>
      </c>
      <c r="E233" t="s">
        <v>1072</v>
      </c>
      <c r="G233" t="s">
        <v>1001</v>
      </c>
      <c r="I233" t="s">
        <v>1002</v>
      </c>
      <c r="J233" t="s">
        <v>22</v>
      </c>
      <c r="N233">
        <v>1</v>
      </c>
      <c r="O233">
        <v>0</v>
      </c>
      <c r="P233">
        <v>0</v>
      </c>
      <c r="R233" s="1">
        <v>46034.625150462962</v>
      </c>
    </row>
    <row r="234" spans="1:18" x14ac:dyDescent="0.2">
      <c r="A234">
        <v>233</v>
      </c>
      <c r="B234" t="s">
        <v>1073</v>
      </c>
      <c r="C234" t="s">
        <v>57</v>
      </c>
      <c r="E234" t="s">
        <v>1074</v>
      </c>
      <c r="G234" t="s">
        <v>1075</v>
      </c>
      <c r="I234" t="s">
        <v>348</v>
      </c>
      <c r="J234" t="s">
        <v>22</v>
      </c>
      <c r="M234" t="s">
        <v>1076</v>
      </c>
      <c r="N234">
        <v>1</v>
      </c>
      <c r="O234">
        <v>1</v>
      </c>
      <c r="P234">
        <v>0</v>
      </c>
      <c r="R234" s="1">
        <v>46034.625150462962</v>
      </c>
    </row>
    <row r="235" spans="1:18" x14ac:dyDescent="0.2">
      <c r="A235">
        <v>234</v>
      </c>
      <c r="B235" t="s">
        <v>1077</v>
      </c>
      <c r="C235" t="s">
        <v>57</v>
      </c>
      <c r="E235" t="s">
        <v>1078</v>
      </c>
      <c r="G235" t="s">
        <v>1079</v>
      </c>
      <c r="I235" t="s">
        <v>1080</v>
      </c>
      <c r="J235" t="s">
        <v>22</v>
      </c>
      <c r="M235" t="s">
        <v>1081</v>
      </c>
      <c r="N235">
        <v>1</v>
      </c>
      <c r="O235">
        <v>0</v>
      </c>
      <c r="P235">
        <v>0</v>
      </c>
      <c r="R235" s="1">
        <v>46034.625150462962</v>
      </c>
    </row>
    <row r="236" spans="1:18" x14ac:dyDescent="0.2">
      <c r="A236">
        <v>235</v>
      </c>
      <c r="B236" t="s">
        <v>1082</v>
      </c>
      <c r="C236" t="s">
        <v>57</v>
      </c>
      <c r="E236" t="s">
        <v>1083</v>
      </c>
      <c r="G236" t="s">
        <v>1084</v>
      </c>
      <c r="I236" t="s">
        <v>1085</v>
      </c>
      <c r="J236" t="s">
        <v>22</v>
      </c>
      <c r="K236" t="s">
        <v>1086</v>
      </c>
      <c r="N236">
        <v>1</v>
      </c>
      <c r="O236">
        <v>0</v>
      </c>
      <c r="P236">
        <v>0</v>
      </c>
      <c r="R236" s="1">
        <v>46034.625150462962</v>
      </c>
    </row>
    <row r="237" spans="1:18" x14ac:dyDescent="0.2">
      <c r="A237">
        <v>236</v>
      </c>
      <c r="B237" t="s">
        <v>1087</v>
      </c>
      <c r="C237" t="s">
        <v>57</v>
      </c>
      <c r="E237" t="s">
        <v>1088</v>
      </c>
      <c r="G237" t="s">
        <v>1089</v>
      </c>
      <c r="I237" t="s">
        <v>1090</v>
      </c>
      <c r="J237" t="s">
        <v>22</v>
      </c>
      <c r="M237" t="s">
        <v>1091</v>
      </c>
      <c r="N237">
        <v>1</v>
      </c>
      <c r="O237">
        <v>0</v>
      </c>
      <c r="P237">
        <v>0</v>
      </c>
      <c r="R237" s="1">
        <v>46034.625150462962</v>
      </c>
    </row>
    <row r="238" spans="1:18" x14ac:dyDescent="0.2">
      <c r="A238">
        <v>237</v>
      </c>
      <c r="B238" t="s">
        <v>1092</v>
      </c>
      <c r="C238" t="s">
        <v>57</v>
      </c>
      <c r="E238" t="s">
        <v>1093</v>
      </c>
      <c r="G238" t="s">
        <v>1094</v>
      </c>
      <c r="I238" t="s">
        <v>549</v>
      </c>
      <c r="J238" t="s">
        <v>22</v>
      </c>
      <c r="N238">
        <v>1</v>
      </c>
      <c r="O238">
        <v>0</v>
      </c>
      <c r="P238">
        <v>0</v>
      </c>
      <c r="R238" s="1">
        <v>46034.625150462962</v>
      </c>
    </row>
    <row r="239" spans="1:18" x14ac:dyDescent="0.2">
      <c r="A239">
        <v>238</v>
      </c>
      <c r="B239" t="s">
        <v>1095</v>
      </c>
      <c r="C239" t="s">
        <v>57</v>
      </c>
      <c r="E239" t="s">
        <v>1096</v>
      </c>
      <c r="G239" t="s">
        <v>1097</v>
      </c>
      <c r="I239" t="s">
        <v>517</v>
      </c>
      <c r="J239" t="s">
        <v>22</v>
      </c>
      <c r="K239" t="s">
        <v>1098</v>
      </c>
      <c r="N239">
        <v>1</v>
      </c>
      <c r="O239">
        <v>0</v>
      </c>
      <c r="P239">
        <v>0</v>
      </c>
      <c r="R239" s="1">
        <v>46034.625150462962</v>
      </c>
    </row>
    <row r="240" spans="1:18" x14ac:dyDescent="0.2">
      <c r="A240">
        <v>239</v>
      </c>
      <c r="B240" t="s">
        <v>1099</v>
      </c>
      <c r="C240" t="s">
        <v>57</v>
      </c>
      <c r="E240" t="s">
        <v>1067</v>
      </c>
      <c r="J240" t="s">
        <v>22</v>
      </c>
      <c r="M240" t="s">
        <v>1100</v>
      </c>
      <c r="N240">
        <v>1</v>
      </c>
      <c r="O240">
        <v>1</v>
      </c>
      <c r="P240">
        <v>0</v>
      </c>
      <c r="R240" s="1">
        <v>46034.625150462962</v>
      </c>
    </row>
    <row r="241" spans="1:18" x14ac:dyDescent="0.2">
      <c r="A241">
        <v>240</v>
      </c>
      <c r="B241" t="s">
        <v>1101</v>
      </c>
      <c r="C241" t="s">
        <v>57</v>
      </c>
      <c r="E241" t="s">
        <v>1102</v>
      </c>
      <c r="G241" t="s">
        <v>1103</v>
      </c>
      <c r="I241" t="s">
        <v>426</v>
      </c>
      <c r="J241" t="s">
        <v>22</v>
      </c>
      <c r="N241">
        <v>1</v>
      </c>
      <c r="O241">
        <v>0</v>
      </c>
      <c r="P241">
        <v>0</v>
      </c>
      <c r="R241" s="1">
        <v>46034.625150462962</v>
      </c>
    </row>
    <row r="242" spans="1:18" x14ac:dyDescent="0.2">
      <c r="A242">
        <v>241</v>
      </c>
      <c r="B242" t="s">
        <v>1104</v>
      </c>
      <c r="C242" t="s">
        <v>57</v>
      </c>
      <c r="E242" t="s">
        <v>1105</v>
      </c>
      <c r="G242" t="s">
        <v>1106</v>
      </c>
      <c r="I242" t="s">
        <v>1107</v>
      </c>
      <c r="J242" t="s">
        <v>22</v>
      </c>
      <c r="M242" t="s">
        <v>1108</v>
      </c>
      <c r="N242">
        <v>1</v>
      </c>
      <c r="O242">
        <v>1</v>
      </c>
      <c r="P242">
        <v>0</v>
      </c>
      <c r="R242" s="1">
        <v>46034.625150462962</v>
      </c>
    </row>
    <row r="243" spans="1:18" x14ac:dyDescent="0.2">
      <c r="A243">
        <v>242</v>
      </c>
      <c r="B243" t="s">
        <v>1109</v>
      </c>
      <c r="C243" t="s">
        <v>57</v>
      </c>
      <c r="E243" t="s">
        <v>1110</v>
      </c>
      <c r="G243" t="s">
        <v>1111</v>
      </c>
      <c r="I243" t="s">
        <v>459</v>
      </c>
      <c r="J243" t="s">
        <v>22</v>
      </c>
      <c r="N243">
        <v>1</v>
      </c>
      <c r="O243">
        <v>0</v>
      </c>
      <c r="P243">
        <v>0</v>
      </c>
      <c r="R243" s="1">
        <v>46034.625150462962</v>
      </c>
    </row>
    <row r="244" spans="1:18" x14ac:dyDescent="0.2">
      <c r="A244">
        <v>243</v>
      </c>
      <c r="B244" t="s">
        <v>1112</v>
      </c>
      <c r="C244" t="s">
        <v>57</v>
      </c>
      <c r="E244" t="s">
        <v>1113</v>
      </c>
      <c r="J244" t="s">
        <v>22</v>
      </c>
      <c r="N244">
        <v>1</v>
      </c>
      <c r="O244">
        <v>0</v>
      </c>
      <c r="P244">
        <v>0</v>
      </c>
      <c r="R244" s="1">
        <v>46034.625150462962</v>
      </c>
    </row>
    <row r="245" spans="1:18" x14ac:dyDescent="0.2">
      <c r="A245">
        <v>244</v>
      </c>
      <c r="B245" t="s">
        <v>1114</v>
      </c>
      <c r="C245" t="s">
        <v>57</v>
      </c>
      <c r="E245" t="s">
        <v>1115</v>
      </c>
      <c r="J245" t="s">
        <v>22</v>
      </c>
      <c r="N245">
        <v>1</v>
      </c>
      <c r="O245">
        <v>0</v>
      </c>
      <c r="P245">
        <v>0</v>
      </c>
      <c r="R245" s="1">
        <v>46034.625150462962</v>
      </c>
    </row>
    <row r="246" spans="1:18" x14ac:dyDescent="0.2">
      <c r="A246">
        <v>245</v>
      </c>
      <c r="B246" t="s">
        <v>1116</v>
      </c>
      <c r="C246" t="s">
        <v>57</v>
      </c>
      <c r="E246" t="s">
        <v>1117</v>
      </c>
      <c r="G246" t="s">
        <v>1118</v>
      </c>
      <c r="I246" t="s">
        <v>1119</v>
      </c>
      <c r="J246" t="s">
        <v>391</v>
      </c>
      <c r="N246">
        <v>1</v>
      </c>
      <c r="O246">
        <v>0</v>
      </c>
      <c r="P246">
        <v>0</v>
      </c>
      <c r="R246" s="1">
        <v>46034.625150462962</v>
      </c>
    </row>
    <row r="247" spans="1:18" x14ac:dyDescent="0.2">
      <c r="A247">
        <v>246</v>
      </c>
      <c r="B247" t="s">
        <v>1120</v>
      </c>
      <c r="C247" t="s">
        <v>57</v>
      </c>
      <c r="E247" t="s">
        <v>588</v>
      </c>
      <c r="J247" t="s">
        <v>22</v>
      </c>
      <c r="N247">
        <v>1</v>
      </c>
      <c r="O247">
        <v>0</v>
      </c>
      <c r="P247">
        <v>0</v>
      </c>
      <c r="R247" s="1">
        <v>46034.625150462962</v>
      </c>
    </row>
    <row r="248" spans="1:18" x14ac:dyDescent="0.2">
      <c r="A248">
        <v>247</v>
      </c>
      <c r="B248" t="s">
        <v>1121</v>
      </c>
      <c r="C248" t="s">
        <v>57</v>
      </c>
      <c r="E248" t="s">
        <v>1122</v>
      </c>
      <c r="G248" t="s">
        <v>1123</v>
      </c>
      <c r="I248" t="s">
        <v>1124</v>
      </c>
      <c r="J248" t="s">
        <v>22</v>
      </c>
      <c r="M248" t="s">
        <v>1125</v>
      </c>
      <c r="N248">
        <v>1</v>
      </c>
      <c r="O248">
        <v>0</v>
      </c>
      <c r="P248">
        <v>0</v>
      </c>
      <c r="R248" s="1">
        <v>46034.625150462962</v>
      </c>
    </row>
    <row r="249" spans="1:18" x14ac:dyDescent="0.2">
      <c r="A249">
        <v>248</v>
      </c>
      <c r="B249" t="s">
        <v>1126</v>
      </c>
      <c r="C249" t="s">
        <v>57</v>
      </c>
      <c r="E249" t="s">
        <v>1127</v>
      </c>
      <c r="G249" t="s">
        <v>1128</v>
      </c>
      <c r="I249" t="s">
        <v>348</v>
      </c>
      <c r="J249" t="s">
        <v>22</v>
      </c>
      <c r="N249">
        <v>1</v>
      </c>
      <c r="O249">
        <v>0</v>
      </c>
      <c r="P249">
        <v>0</v>
      </c>
      <c r="R249" s="1">
        <v>46034.625150462962</v>
      </c>
    </row>
    <row r="250" spans="1:18" x14ac:dyDescent="0.2">
      <c r="A250">
        <v>249</v>
      </c>
      <c r="B250" t="s">
        <v>1129</v>
      </c>
      <c r="C250" t="s">
        <v>57</v>
      </c>
      <c r="E250" t="s">
        <v>1130</v>
      </c>
      <c r="I250" t="s">
        <v>1131</v>
      </c>
      <c r="J250" t="s">
        <v>22</v>
      </c>
      <c r="N250">
        <v>1</v>
      </c>
      <c r="O250">
        <v>0</v>
      </c>
      <c r="P250">
        <v>0</v>
      </c>
      <c r="R250" s="1">
        <v>46034.625150462962</v>
      </c>
    </row>
    <row r="251" spans="1:18" x14ac:dyDescent="0.2">
      <c r="A251">
        <v>250</v>
      </c>
      <c r="B251" t="s">
        <v>1132</v>
      </c>
      <c r="C251" t="s">
        <v>57</v>
      </c>
      <c r="E251" t="s">
        <v>1133</v>
      </c>
      <c r="G251" t="s">
        <v>1134</v>
      </c>
      <c r="I251" t="s">
        <v>1135</v>
      </c>
      <c r="J251" t="s">
        <v>22</v>
      </c>
      <c r="M251" t="s">
        <v>1136</v>
      </c>
      <c r="N251">
        <v>1</v>
      </c>
      <c r="O251">
        <v>0</v>
      </c>
      <c r="P251">
        <v>0</v>
      </c>
      <c r="R251" s="1">
        <v>46034.625150462962</v>
      </c>
    </row>
    <row r="252" spans="1:18" x14ac:dyDescent="0.2">
      <c r="A252">
        <v>251</v>
      </c>
      <c r="B252" t="s">
        <v>1137</v>
      </c>
      <c r="C252" t="s">
        <v>57</v>
      </c>
      <c r="E252" t="s">
        <v>1138</v>
      </c>
      <c r="J252" t="s">
        <v>22</v>
      </c>
      <c r="M252" t="s">
        <v>1139</v>
      </c>
      <c r="N252">
        <v>1</v>
      </c>
      <c r="O252">
        <v>1</v>
      </c>
      <c r="P252">
        <v>0</v>
      </c>
      <c r="R252" s="1">
        <v>46034.625150462962</v>
      </c>
    </row>
    <row r="253" spans="1:18" x14ac:dyDescent="0.2">
      <c r="A253">
        <v>252</v>
      </c>
      <c r="B253" t="s">
        <v>1140</v>
      </c>
      <c r="C253" t="s">
        <v>57</v>
      </c>
      <c r="E253" t="s">
        <v>1141</v>
      </c>
      <c r="J253" t="s">
        <v>22</v>
      </c>
      <c r="M253" t="s">
        <v>1142</v>
      </c>
      <c r="N253">
        <v>1</v>
      </c>
      <c r="O253">
        <v>1</v>
      </c>
      <c r="P253">
        <v>0</v>
      </c>
      <c r="R253" s="1">
        <v>46034.625150462962</v>
      </c>
    </row>
    <row r="254" spans="1:18" x14ac:dyDescent="0.2">
      <c r="A254">
        <v>253</v>
      </c>
      <c r="B254" t="s">
        <v>1143</v>
      </c>
      <c r="C254" t="s">
        <v>57</v>
      </c>
      <c r="E254" t="s">
        <v>1144</v>
      </c>
      <c r="G254" t="s">
        <v>1145</v>
      </c>
      <c r="I254" t="s">
        <v>1146</v>
      </c>
      <c r="J254" t="s">
        <v>22</v>
      </c>
      <c r="M254" t="s">
        <v>1147</v>
      </c>
      <c r="N254">
        <v>1</v>
      </c>
      <c r="O254">
        <v>1</v>
      </c>
      <c r="P254">
        <v>0</v>
      </c>
      <c r="R254" s="1">
        <v>46034.625150462962</v>
      </c>
    </row>
    <row r="255" spans="1:18" x14ac:dyDescent="0.2">
      <c r="A255">
        <v>254</v>
      </c>
      <c r="B255" t="s">
        <v>1148</v>
      </c>
      <c r="C255" t="s">
        <v>57</v>
      </c>
      <c r="E255" t="s">
        <v>1149</v>
      </c>
      <c r="G255" t="s">
        <v>1150</v>
      </c>
      <c r="I255" t="s">
        <v>1151</v>
      </c>
      <c r="J255" t="s">
        <v>22</v>
      </c>
      <c r="N255">
        <v>1</v>
      </c>
      <c r="O255">
        <v>0</v>
      </c>
      <c r="P255">
        <v>0</v>
      </c>
      <c r="R255" s="1">
        <v>46034.625150462962</v>
      </c>
    </row>
    <row r="256" spans="1:18" x14ac:dyDescent="0.2">
      <c r="A256">
        <v>255</v>
      </c>
      <c r="B256" t="s">
        <v>1152</v>
      </c>
      <c r="C256" t="s">
        <v>57</v>
      </c>
      <c r="E256" t="s">
        <v>1153</v>
      </c>
      <c r="G256" t="s">
        <v>1154</v>
      </c>
      <c r="I256" t="s">
        <v>1155</v>
      </c>
      <c r="J256" t="s">
        <v>22</v>
      </c>
      <c r="M256" t="s">
        <v>1156</v>
      </c>
      <c r="N256">
        <v>1</v>
      </c>
      <c r="O256">
        <v>1</v>
      </c>
      <c r="P256">
        <v>0</v>
      </c>
      <c r="R256" s="1">
        <v>46034.625150462962</v>
      </c>
    </row>
    <row r="257" spans="1:18" x14ac:dyDescent="0.2">
      <c r="A257">
        <v>256</v>
      </c>
      <c r="B257" t="s">
        <v>1157</v>
      </c>
      <c r="C257" t="s">
        <v>57</v>
      </c>
      <c r="J257" t="s">
        <v>22</v>
      </c>
      <c r="M257" t="s">
        <v>1158</v>
      </c>
      <c r="N257">
        <v>1</v>
      </c>
      <c r="O257">
        <v>1</v>
      </c>
      <c r="P257">
        <v>0</v>
      </c>
      <c r="R257" s="1">
        <v>46034.625150462962</v>
      </c>
    </row>
    <row r="258" spans="1:18" x14ac:dyDescent="0.2">
      <c r="A258">
        <v>257</v>
      </c>
      <c r="B258" t="s">
        <v>1159</v>
      </c>
      <c r="C258" t="s">
        <v>57</v>
      </c>
      <c r="E258" t="s">
        <v>1160</v>
      </c>
      <c r="J258" t="s">
        <v>22</v>
      </c>
      <c r="M258" t="s">
        <v>1161</v>
      </c>
      <c r="N258">
        <v>1</v>
      </c>
      <c r="O258">
        <v>1</v>
      </c>
      <c r="P258">
        <v>0</v>
      </c>
      <c r="R258" s="1">
        <v>46034.625150462962</v>
      </c>
    </row>
    <row r="259" spans="1:18" x14ac:dyDescent="0.2">
      <c r="A259">
        <v>258</v>
      </c>
      <c r="B259" t="s">
        <v>1162</v>
      </c>
      <c r="C259" t="s">
        <v>57</v>
      </c>
      <c r="E259" t="s">
        <v>1163</v>
      </c>
      <c r="G259" t="s">
        <v>1164</v>
      </c>
      <c r="I259" t="s">
        <v>84</v>
      </c>
      <c r="J259" t="s">
        <v>22</v>
      </c>
      <c r="M259" t="s">
        <v>1165</v>
      </c>
      <c r="N259">
        <v>1</v>
      </c>
      <c r="O259">
        <v>1</v>
      </c>
      <c r="P259">
        <v>0</v>
      </c>
      <c r="R259" s="1">
        <v>46034.625150462962</v>
      </c>
    </row>
    <row r="260" spans="1:18" x14ac:dyDescent="0.2">
      <c r="A260">
        <v>259</v>
      </c>
      <c r="B260" t="s">
        <v>1166</v>
      </c>
      <c r="C260" t="s">
        <v>57</v>
      </c>
      <c r="E260" t="s">
        <v>1167</v>
      </c>
      <c r="G260" t="s">
        <v>1168</v>
      </c>
      <c r="I260" t="s">
        <v>84</v>
      </c>
      <c r="J260" t="s">
        <v>22</v>
      </c>
      <c r="M260" t="s">
        <v>1169</v>
      </c>
      <c r="N260">
        <v>1</v>
      </c>
      <c r="O260">
        <v>0</v>
      </c>
      <c r="P260">
        <v>0</v>
      </c>
      <c r="R260" s="1">
        <v>46034.625150462962</v>
      </c>
    </row>
    <row r="261" spans="1:18" x14ac:dyDescent="0.2">
      <c r="A261">
        <v>260</v>
      </c>
      <c r="B261" t="s">
        <v>1170</v>
      </c>
      <c r="C261" t="s">
        <v>57</v>
      </c>
      <c r="E261" t="s">
        <v>1171</v>
      </c>
      <c r="G261" t="s">
        <v>1172</v>
      </c>
      <c r="I261" t="s">
        <v>1173</v>
      </c>
      <c r="J261" t="s">
        <v>22</v>
      </c>
      <c r="N261">
        <v>1</v>
      </c>
      <c r="O261">
        <v>0</v>
      </c>
      <c r="P261">
        <v>0</v>
      </c>
      <c r="R261" s="1">
        <v>46034.625150462962</v>
      </c>
    </row>
    <row r="262" spans="1:18" x14ac:dyDescent="0.2">
      <c r="A262">
        <v>261</v>
      </c>
      <c r="B262" t="s">
        <v>1174</v>
      </c>
      <c r="C262" t="s">
        <v>57</v>
      </c>
      <c r="E262" t="s">
        <v>1175</v>
      </c>
      <c r="G262" t="s">
        <v>1176</v>
      </c>
      <c r="I262" t="s">
        <v>1177</v>
      </c>
      <c r="J262" t="s">
        <v>22</v>
      </c>
      <c r="M262" t="s">
        <v>1178</v>
      </c>
      <c r="N262">
        <v>1</v>
      </c>
      <c r="O262">
        <v>0</v>
      </c>
      <c r="P262">
        <v>0</v>
      </c>
      <c r="R262" s="1">
        <v>46034.625150462962</v>
      </c>
    </row>
    <row r="263" spans="1:18" x14ac:dyDescent="0.2">
      <c r="A263">
        <v>262</v>
      </c>
      <c r="B263" t="s">
        <v>1179</v>
      </c>
      <c r="C263" t="s">
        <v>57</v>
      </c>
      <c r="E263" t="s">
        <v>1180</v>
      </c>
      <c r="G263" t="s">
        <v>1181</v>
      </c>
      <c r="I263" t="s">
        <v>1182</v>
      </c>
      <c r="J263" t="s">
        <v>22</v>
      </c>
      <c r="N263">
        <v>1</v>
      </c>
      <c r="O263">
        <v>0</v>
      </c>
      <c r="P263">
        <v>0</v>
      </c>
      <c r="R263" s="1">
        <v>46034.625150462962</v>
      </c>
    </row>
    <row r="264" spans="1:18" x14ac:dyDescent="0.2">
      <c r="A264">
        <v>263</v>
      </c>
      <c r="B264" t="s">
        <v>1183</v>
      </c>
      <c r="C264" t="s">
        <v>57</v>
      </c>
      <c r="E264" t="s">
        <v>1184</v>
      </c>
      <c r="G264" t="s">
        <v>1185</v>
      </c>
      <c r="I264" t="s">
        <v>1186</v>
      </c>
      <c r="J264" t="s">
        <v>22</v>
      </c>
      <c r="M264" t="s">
        <v>1187</v>
      </c>
      <c r="N264">
        <v>1</v>
      </c>
      <c r="O264">
        <v>1</v>
      </c>
      <c r="P264">
        <v>0</v>
      </c>
      <c r="R264" s="1">
        <v>46034.625150462962</v>
      </c>
    </row>
    <row r="265" spans="1:18" x14ac:dyDescent="0.2">
      <c r="A265">
        <v>264</v>
      </c>
      <c r="B265" t="s">
        <v>1188</v>
      </c>
      <c r="C265" t="s">
        <v>57</v>
      </c>
      <c r="E265" t="s">
        <v>1189</v>
      </c>
      <c r="J265" t="s">
        <v>22</v>
      </c>
      <c r="M265" t="s">
        <v>1190</v>
      </c>
      <c r="N265">
        <v>1</v>
      </c>
      <c r="O265">
        <v>1</v>
      </c>
      <c r="P265">
        <v>0</v>
      </c>
      <c r="R265" s="1">
        <v>46034.625150462962</v>
      </c>
    </row>
    <row r="266" spans="1:18" x14ac:dyDescent="0.2">
      <c r="A266">
        <v>265</v>
      </c>
      <c r="B266" t="s">
        <v>1191</v>
      </c>
      <c r="C266" t="s">
        <v>57</v>
      </c>
      <c r="E266" t="s">
        <v>1192</v>
      </c>
      <c r="G266" t="s">
        <v>1193</v>
      </c>
      <c r="I266" t="s">
        <v>790</v>
      </c>
      <c r="J266" t="s">
        <v>22</v>
      </c>
      <c r="N266">
        <v>1</v>
      </c>
      <c r="O266">
        <v>0</v>
      </c>
      <c r="P266">
        <v>0</v>
      </c>
      <c r="R266" s="1">
        <v>46034.625150462962</v>
      </c>
    </row>
    <row r="267" spans="1:18" x14ac:dyDescent="0.2">
      <c r="A267">
        <v>266</v>
      </c>
      <c r="B267" t="s">
        <v>1194</v>
      </c>
      <c r="C267" t="s">
        <v>57</v>
      </c>
      <c r="E267" t="s">
        <v>1195</v>
      </c>
      <c r="G267" t="s">
        <v>1196</v>
      </c>
      <c r="I267" t="s">
        <v>1197</v>
      </c>
      <c r="J267" t="s">
        <v>22</v>
      </c>
      <c r="N267">
        <v>1</v>
      </c>
      <c r="O267">
        <v>0</v>
      </c>
      <c r="P267">
        <v>0</v>
      </c>
      <c r="R267" s="1">
        <v>46034.625150462962</v>
      </c>
    </row>
    <row r="268" spans="1:18" x14ac:dyDescent="0.2">
      <c r="A268">
        <v>267</v>
      </c>
      <c r="B268" t="s">
        <v>1198</v>
      </c>
      <c r="C268" t="s">
        <v>57</v>
      </c>
      <c r="G268" t="s">
        <v>1199</v>
      </c>
      <c r="I268" t="s">
        <v>1200</v>
      </c>
      <c r="J268" t="s">
        <v>22</v>
      </c>
      <c r="M268" t="s">
        <v>1201</v>
      </c>
      <c r="N268">
        <v>1</v>
      </c>
      <c r="O268">
        <v>1</v>
      </c>
      <c r="P268">
        <v>0</v>
      </c>
      <c r="R268" s="1">
        <v>46034.625150462962</v>
      </c>
    </row>
    <row r="269" spans="1:18" x14ac:dyDescent="0.2">
      <c r="A269">
        <v>268</v>
      </c>
      <c r="B269" t="s">
        <v>1202</v>
      </c>
      <c r="C269" t="s">
        <v>57</v>
      </c>
      <c r="E269" t="s">
        <v>1203</v>
      </c>
      <c r="G269" t="s">
        <v>1204</v>
      </c>
      <c r="I269" t="s">
        <v>481</v>
      </c>
      <c r="J269" t="s">
        <v>22</v>
      </c>
      <c r="N269">
        <v>1</v>
      </c>
      <c r="O269">
        <v>0</v>
      </c>
      <c r="P269">
        <v>0</v>
      </c>
      <c r="R269" s="1">
        <v>46034.625150462962</v>
      </c>
    </row>
    <row r="270" spans="1:18" x14ac:dyDescent="0.2">
      <c r="A270">
        <v>269</v>
      </c>
      <c r="B270" t="s">
        <v>1205</v>
      </c>
      <c r="C270" t="s">
        <v>57</v>
      </c>
      <c r="E270" t="s">
        <v>1206</v>
      </c>
      <c r="G270" t="s">
        <v>1207</v>
      </c>
      <c r="I270" t="s">
        <v>1135</v>
      </c>
      <c r="J270" t="s">
        <v>22</v>
      </c>
      <c r="N270">
        <v>1</v>
      </c>
      <c r="O270">
        <v>0</v>
      </c>
      <c r="P270">
        <v>0</v>
      </c>
      <c r="R270" s="1">
        <v>46034.625150462962</v>
      </c>
    </row>
    <row r="271" spans="1:18" x14ac:dyDescent="0.2">
      <c r="A271">
        <v>270</v>
      </c>
      <c r="B271" t="s">
        <v>1208</v>
      </c>
      <c r="C271" t="s">
        <v>57</v>
      </c>
      <c r="E271" t="s">
        <v>1209</v>
      </c>
      <c r="G271" t="s">
        <v>1210</v>
      </c>
      <c r="I271" t="s">
        <v>1135</v>
      </c>
      <c r="J271" t="s">
        <v>22</v>
      </c>
      <c r="N271">
        <v>1</v>
      </c>
      <c r="O271">
        <v>0</v>
      </c>
      <c r="P271">
        <v>0</v>
      </c>
      <c r="R271" s="1">
        <v>46034.625150462962</v>
      </c>
    </row>
    <row r="272" spans="1:18" x14ac:dyDescent="0.2">
      <c r="A272">
        <v>271</v>
      </c>
      <c r="B272" t="s">
        <v>1211</v>
      </c>
      <c r="C272" t="s">
        <v>57</v>
      </c>
      <c r="E272" t="s">
        <v>1212</v>
      </c>
      <c r="G272" t="s">
        <v>1213</v>
      </c>
      <c r="I272" t="s">
        <v>1214</v>
      </c>
      <c r="J272" t="s">
        <v>22</v>
      </c>
      <c r="M272" t="s">
        <v>1215</v>
      </c>
      <c r="N272">
        <v>1</v>
      </c>
      <c r="O272">
        <v>1</v>
      </c>
      <c r="P272">
        <v>0</v>
      </c>
      <c r="R272" s="1">
        <v>46034.625150462962</v>
      </c>
    </row>
    <row r="273" spans="1:18" x14ac:dyDescent="0.2">
      <c r="A273">
        <v>272</v>
      </c>
      <c r="B273" t="s">
        <v>1216</v>
      </c>
      <c r="C273" t="s">
        <v>57</v>
      </c>
      <c r="E273" t="s">
        <v>1217</v>
      </c>
      <c r="G273" t="s">
        <v>1218</v>
      </c>
      <c r="I273" t="s">
        <v>329</v>
      </c>
      <c r="J273" t="s">
        <v>22</v>
      </c>
      <c r="M273" t="s">
        <v>1219</v>
      </c>
      <c r="N273">
        <v>1</v>
      </c>
      <c r="O273">
        <v>1</v>
      </c>
      <c r="P273">
        <v>0</v>
      </c>
      <c r="R273" s="1">
        <v>46034.625150462962</v>
      </c>
    </row>
    <row r="274" spans="1:18" x14ac:dyDescent="0.2">
      <c r="A274">
        <v>273</v>
      </c>
      <c r="B274" t="s">
        <v>1220</v>
      </c>
      <c r="C274" t="s">
        <v>57</v>
      </c>
      <c r="E274" t="s">
        <v>1221</v>
      </c>
      <c r="G274" t="s">
        <v>1222</v>
      </c>
      <c r="I274" t="s">
        <v>1223</v>
      </c>
      <c r="J274" t="s">
        <v>22</v>
      </c>
      <c r="M274" t="s">
        <v>1224</v>
      </c>
      <c r="N274">
        <v>1</v>
      </c>
      <c r="O274">
        <v>1</v>
      </c>
      <c r="P274">
        <v>0</v>
      </c>
      <c r="R274" s="1">
        <v>46034.625150462962</v>
      </c>
    </row>
    <row r="275" spans="1:18" x14ac:dyDescent="0.2">
      <c r="A275">
        <v>274</v>
      </c>
      <c r="B275" t="s">
        <v>1225</v>
      </c>
      <c r="C275" t="s">
        <v>57</v>
      </c>
      <c r="E275" t="s">
        <v>1226</v>
      </c>
      <c r="G275" t="s">
        <v>1227</v>
      </c>
      <c r="I275" t="s">
        <v>1228</v>
      </c>
      <c r="J275" t="s">
        <v>22</v>
      </c>
      <c r="N275">
        <v>1</v>
      </c>
      <c r="O275">
        <v>0</v>
      </c>
      <c r="P275">
        <v>0</v>
      </c>
      <c r="R275" s="1">
        <v>46034.625150462962</v>
      </c>
    </row>
    <row r="276" spans="1:18" x14ac:dyDescent="0.2">
      <c r="A276">
        <v>275</v>
      </c>
      <c r="B276" t="s">
        <v>1229</v>
      </c>
      <c r="C276" t="s">
        <v>57</v>
      </c>
      <c r="E276" t="s">
        <v>1230</v>
      </c>
      <c r="G276" t="s">
        <v>1231</v>
      </c>
      <c r="I276" t="s">
        <v>1232</v>
      </c>
      <c r="J276" t="s">
        <v>22</v>
      </c>
      <c r="N276">
        <v>1</v>
      </c>
      <c r="O276">
        <v>0</v>
      </c>
      <c r="P276">
        <v>0</v>
      </c>
      <c r="R276" s="1">
        <v>46034.625150462962</v>
      </c>
    </row>
    <row r="277" spans="1:18" x14ac:dyDescent="0.2">
      <c r="A277">
        <v>276</v>
      </c>
      <c r="B277" t="s">
        <v>1233</v>
      </c>
      <c r="C277" t="s">
        <v>57</v>
      </c>
      <c r="E277" t="s">
        <v>1234</v>
      </c>
      <c r="G277" t="s">
        <v>1235</v>
      </c>
      <c r="I277" t="s">
        <v>1236</v>
      </c>
      <c r="J277" t="s">
        <v>22</v>
      </c>
      <c r="K277" t="s">
        <v>1237</v>
      </c>
      <c r="M277" t="s">
        <v>1238</v>
      </c>
      <c r="N277">
        <v>1</v>
      </c>
      <c r="O277">
        <v>1</v>
      </c>
      <c r="P277">
        <v>0</v>
      </c>
      <c r="R277" s="1">
        <v>46034.625150462962</v>
      </c>
    </row>
    <row r="278" spans="1:18" x14ac:dyDescent="0.2">
      <c r="A278">
        <v>277</v>
      </c>
      <c r="B278" t="s">
        <v>1239</v>
      </c>
      <c r="C278" t="s">
        <v>57</v>
      </c>
      <c r="E278" t="s">
        <v>1240</v>
      </c>
      <c r="G278" t="s">
        <v>1241</v>
      </c>
      <c r="I278" t="s">
        <v>1242</v>
      </c>
      <c r="J278" t="s">
        <v>1243</v>
      </c>
      <c r="N278">
        <v>1</v>
      </c>
      <c r="O278">
        <v>0</v>
      </c>
      <c r="P278">
        <v>0</v>
      </c>
      <c r="R278" s="1">
        <v>46034.625150462962</v>
      </c>
    </row>
    <row r="279" spans="1:18" x14ac:dyDescent="0.2">
      <c r="A279">
        <v>278</v>
      </c>
      <c r="B279" t="s">
        <v>1244</v>
      </c>
      <c r="C279" t="s">
        <v>57</v>
      </c>
      <c r="E279" t="s">
        <v>1245</v>
      </c>
      <c r="G279" t="s">
        <v>1246</v>
      </c>
      <c r="I279" t="s">
        <v>1247</v>
      </c>
      <c r="J279" t="s">
        <v>1248</v>
      </c>
      <c r="N279">
        <v>1</v>
      </c>
      <c r="O279">
        <v>0</v>
      </c>
      <c r="P279">
        <v>0</v>
      </c>
      <c r="R279" s="1">
        <v>46034.625150462962</v>
      </c>
    </row>
    <row r="280" spans="1:18" x14ac:dyDescent="0.2">
      <c r="A280">
        <v>279</v>
      </c>
      <c r="B280" t="s">
        <v>1249</v>
      </c>
      <c r="C280" t="s">
        <v>57</v>
      </c>
      <c r="E280" t="s">
        <v>1250</v>
      </c>
      <c r="G280" t="s">
        <v>1251</v>
      </c>
      <c r="I280" t="s">
        <v>1252</v>
      </c>
      <c r="J280" t="s">
        <v>910</v>
      </c>
      <c r="N280">
        <v>1</v>
      </c>
      <c r="O280">
        <v>0</v>
      </c>
      <c r="P280">
        <v>0</v>
      </c>
      <c r="R280" s="1">
        <v>46034.625150462962</v>
      </c>
    </row>
    <row r="281" spans="1:18" x14ac:dyDescent="0.2">
      <c r="A281">
        <v>280</v>
      </c>
      <c r="B281" t="s">
        <v>1253</v>
      </c>
      <c r="C281" t="s">
        <v>57</v>
      </c>
      <c r="E281" t="s">
        <v>1254</v>
      </c>
      <c r="G281" t="s">
        <v>1255</v>
      </c>
      <c r="I281" t="s">
        <v>167</v>
      </c>
      <c r="J281" t="s">
        <v>22</v>
      </c>
      <c r="N281">
        <v>1</v>
      </c>
      <c r="O281">
        <v>0</v>
      </c>
      <c r="P281">
        <v>0</v>
      </c>
      <c r="R281" s="1">
        <v>46034.625150462962</v>
      </c>
    </row>
    <row r="282" spans="1:18" x14ac:dyDescent="0.2">
      <c r="A282">
        <v>281</v>
      </c>
      <c r="B282" t="s">
        <v>1256</v>
      </c>
      <c r="C282" t="s">
        <v>57</v>
      </c>
      <c r="E282" t="s">
        <v>1257</v>
      </c>
      <c r="G282" t="s">
        <v>1258</v>
      </c>
      <c r="I282" t="s">
        <v>1259</v>
      </c>
      <c r="J282" t="s">
        <v>209</v>
      </c>
      <c r="N282">
        <v>1</v>
      </c>
      <c r="O282">
        <v>0</v>
      </c>
      <c r="P282">
        <v>0</v>
      </c>
      <c r="R282" s="1">
        <v>46034.625150462962</v>
      </c>
    </row>
    <row r="283" spans="1:18" x14ac:dyDescent="0.2">
      <c r="A283">
        <v>282</v>
      </c>
      <c r="B283" t="s">
        <v>1260</v>
      </c>
      <c r="C283" t="s">
        <v>57</v>
      </c>
      <c r="E283" t="s">
        <v>1261</v>
      </c>
      <c r="G283" t="s">
        <v>1262</v>
      </c>
      <c r="I283" t="s">
        <v>489</v>
      </c>
      <c r="J283" t="s">
        <v>22</v>
      </c>
      <c r="N283">
        <v>1</v>
      </c>
      <c r="O283">
        <v>0</v>
      </c>
      <c r="P283">
        <v>0</v>
      </c>
      <c r="R283" s="1">
        <v>46034.625150462962</v>
      </c>
    </row>
    <row r="284" spans="1:18" x14ac:dyDescent="0.2">
      <c r="A284">
        <v>283</v>
      </c>
      <c r="B284" t="s">
        <v>1263</v>
      </c>
      <c r="C284" t="s">
        <v>57</v>
      </c>
      <c r="E284" t="s">
        <v>1264</v>
      </c>
      <c r="G284" t="s">
        <v>1265</v>
      </c>
      <c r="I284" t="s">
        <v>1266</v>
      </c>
      <c r="J284" t="s">
        <v>22</v>
      </c>
      <c r="M284" t="s">
        <v>1267</v>
      </c>
      <c r="N284">
        <v>1</v>
      </c>
      <c r="O284">
        <v>1</v>
      </c>
      <c r="P284">
        <v>0</v>
      </c>
      <c r="R284" s="1">
        <v>46034.625150462962</v>
      </c>
    </row>
    <row r="285" spans="1:18" x14ac:dyDescent="0.2">
      <c r="A285">
        <v>284</v>
      </c>
      <c r="B285" t="s">
        <v>1268</v>
      </c>
      <c r="C285" t="s">
        <v>57</v>
      </c>
      <c r="E285" t="s">
        <v>1269</v>
      </c>
      <c r="G285" t="s">
        <v>102</v>
      </c>
      <c r="I285" t="s">
        <v>103</v>
      </c>
      <c r="J285" t="s">
        <v>22</v>
      </c>
      <c r="N285">
        <v>1</v>
      </c>
      <c r="O285">
        <v>0</v>
      </c>
      <c r="P285">
        <v>0</v>
      </c>
      <c r="R285" s="1">
        <v>46034.625150462962</v>
      </c>
    </row>
    <row r="286" spans="1:18" x14ac:dyDescent="0.2">
      <c r="A286">
        <v>285</v>
      </c>
      <c r="B286" t="s">
        <v>1270</v>
      </c>
      <c r="C286" t="s">
        <v>57</v>
      </c>
      <c r="E286" t="s">
        <v>1271</v>
      </c>
      <c r="G286" t="s">
        <v>1272</v>
      </c>
      <c r="I286" t="s">
        <v>84</v>
      </c>
      <c r="J286" t="s">
        <v>22</v>
      </c>
      <c r="N286">
        <v>1</v>
      </c>
      <c r="O286">
        <v>0</v>
      </c>
      <c r="P286">
        <v>0</v>
      </c>
      <c r="R286" s="1">
        <v>46034.625150462962</v>
      </c>
    </row>
    <row r="287" spans="1:18" x14ac:dyDescent="0.2">
      <c r="A287">
        <v>286</v>
      </c>
      <c r="B287" t="s">
        <v>1273</v>
      </c>
      <c r="C287" t="s">
        <v>57</v>
      </c>
      <c r="E287" t="s">
        <v>1274</v>
      </c>
      <c r="G287" t="s">
        <v>1275</v>
      </c>
      <c r="I287" t="s">
        <v>1276</v>
      </c>
      <c r="J287" t="s">
        <v>22</v>
      </c>
      <c r="N287">
        <v>1</v>
      </c>
      <c r="O287">
        <v>0</v>
      </c>
      <c r="P287">
        <v>0</v>
      </c>
      <c r="R287" s="1">
        <v>46034.625150462962</v>
      </c>
    </row>
    <row r="288" spans="1:18" x14ac:dyDescent="0.2">
      <c r="A288">
        <v>287</v>
      </c>
      <c r="B288" t="s">
        <v>406</v>
      </c>
      <c r="C288" t="s">
        <v>57</v>
      </c>
      <c r="E288" t="s">
        <v>1277</v>
      </c>
      <c r="G288" t="s">
        <v>1278</v>
      </c>
      <c r="I288" t="s">
        <v>390</v>
      </c>
      <c r="J288" t="s">
        <v>391</v>
      </c>
      <c r="N288">
        <v>1</v>
      </c>
      <c r="O288">
        <v>0</v>
      </c>
      <c r="P288">
        <v>0</v>
      </c>
      <c r="R288" s="1">
        <v>46034.625150462962</v>
      </c>
    </row>
    <row r="289" spans="1:18" x14ac:dyDescent="0.2">
      <c r="A289">
        <v>288</v>
      </c>
      <c r="B289" t="s">
        <v>1279</v>
      </c>
      <c r="C289" t="s">
        <v>57</v>
      </c>
      <c r="E289" t="s">
        <v>1280</v>
      </c>
      <c r="G289" t="s">
        <v>1207</v>
      </c>
      <c r="I289" t="s">
        <v>1135</v>
      </c>
      <c r="J289" t="s">
        <v>22</v>
      </c>
      <c r="N289">
        <v>1</v>
      </c>
      <c r="O289">
        <v>0</v>
      </c>
      <c r="P289">
        <v>0</v>
      </c>
      <c r="R289" s="1">
        <v>46034.625150462962</v>
      </c>
    </row>
    <row r="290" spans="1:18" x14ac:dyDescent="0.2">
      <c r="A290">
        <v>289</v>
      </c>
      <c r="B290" t="s">
        <v>1281</v>
      </c>
      <c r="C290" t="s">
        <v>57</v>
      </c>
      <c r="E290" t="s">
        <v>1282</v>
      </c>
      <c r="G290" t="s">
        <v>1283</v>
      </c>
      <c r="I290" t="s">
        <v>1284</v>
      </c>
      <c r="J290" t="s">
        <v>22</v>
      </c>
      <c r="N290">
        <v>1</v>
      </c>
      <c r="O290">
        <v>0</v>
      </c>
      <c r="P290">
        <v>0</v>
      </c>
      <c r="R290" s="1">
        <v>46034.625150462962</v>
      </c>
    </row>
    <row r="291" spans="1:18" x14ac:dyDescent="0.2">
      <c r="A291">
        <v>290</v>
      </c>
      <c r="B291" t="s">
        <v>1285</v>
      </c>
      <c r="C291" t="s">
        <v>57</v>
      </c>
      <c r="E291" t="s">
        <v>1286</v>
      </c>
      <c r="G291" t="s">
        <v>1287</v>
      </c>
      <c r="I291" t="s">
        <v>1288</v>
      </c>
      <c r="J291" t="s">
        <v>22</v>
      </c>
      <c r="N291">
        <v>1</v>
      </c>
      <c r="O291">
        <v>0</v>
      </c>
      <c r="P291">
        <v>0</v>
      </c>
      <c r="R291" s="1">
        <v>46034.625150462962</v>
      </c>
    </row>
    <row r="292" spans="1:18" x14ac:dyDescent="0.2">
      <c r="A292">
        <v>291</v>
      </c>
      <c r="B292" t="s">
        <v>1289</v>
      </c>
      <c r="C292" t="s">
        <v>57</v>
      </c>
      <c r="E292" t="s">
        <v>1290</v>
      </c>
      <c r="J292" t="s">
        <v>22</v>
      </c>
      <c r="M292" t="s">
        <v>1291</v>
      </c>
      <c r="N292">
        <v>1</v>
      </c>
      <c r="O292">
        <v>1</v>
      </c>
      <c r="P292">
        <v>0</v>
      </c>
      <c r="R292" s="1">
        <v>46034.625150462962</v>
      </c>
    </row>
    <row r="293" spans="1:18" x14ac:dyDescent="0.2">
      <c r="A293">
        <v>292</v>
      </c>
      <c r="B293" t="s">
        <v>1292</v>
      </c>
      <c r="C293" t="s">
        <v>57</v>
      </c>
      <c r="E293" t="s">
        <v>1293</v>
      </c>
      <c r="G293" t="s">
        <v>1294</v>
      </c>
      <c r="I293" t="s">
        <v>1295</v>
      </c>
      <c r="J293" t="s">
        <v>22</v>
      </c>
      <c r="N293">
        <v>1</v>
      </c>
      <c r="O293">
        <v>0</v>
      </c>
      <c r="P293">
        <v>0</v>
      </c>
      <c r="R293" s="1">
        <v>46034.625150462962</v>
      </c>
    </row>
    <row r="294" spans="1:18" x14ac:dyDescent="0.2">
      <c r="A294">
        <v>293</v>
      </c>
      <c r="B294" t="s">
        <v>1296</v>
      </c>
      <c r="C294" t="s">
        <v>57</v>
      </c>
      <c r="E294" t="s">
        <v>1297</v>
      </c>
      <c r="G294" t="s">
        <v>1298</v>
      </c>
      <c r="I294" t="s">
        <v>1299</v>
      </c>
      <c r="J294" t="s">
        <v>22</v>
      </c>
      <c r="N294">
        <v>1</v>
      </c>
      <c r="O294">
        <v>0</v>
      </c>
      <c r="P294">
        <v>0</v>
      </c>
      <c r="R294" s="1">
        <v>46034.625150462962</v>
      </c>
    </row>
    <row r="295" spans="1:18" x14ac:dyDescent="0.2">
      <c r="A295">
        <v>294</v>
      </c>
      <c r="B295" t="s">
        <v>1300</v>
      </c>
      <c r="C295" t="s">
        <v>57</v>
      </c>
      <c r="E295" t="s">
        <v>1301</v>
      </c>
      <c r="G295" t="s">
        <v>1302</v>
      </c>
      <c r="I295" t="s">
        <v>1303</v>
      </c>
      <c r="J295" t="s">
        <v>22</v>
      </c>
      <c r="N295">
        <v>1</v>
      </c>
      <c r="O295">
        <v>0</v>
      </c>
      <c r="P295">
        <v>0</v>
      </c>
      <c r="R295" s="1">
        <v>46034.625150462962</v>
      </c>
    </row>
    <row r="296" spans="1:18" x14ac:dyDescent="0.2">
      <c r="A296">
        <v>295</v>
      </c>
      <c r="B296" t="s">
        <v>1304</v>
      </c>
      <c r="C296" t="s">
        <v>57</v>
      </c>
      <c r="E296" t="s">
        <v>1305</v>
      </c>
      <c r="G296" t="s">
        <v>1306</v>
      </c>
      <c r="I296" t="s">
        <v>1307</v>
      </c>
      <c r="J296" t="s">
        <v>22</v>
      </c>
      <c r="N296">
        <v>1</v>
      </c>
      <c r="O296">
        <v>0</v>
      </c>
      <c r="P296">
        <v>0</v>
      </c>
      <c r="R296" s="1">
        <v>46034.625150462962</v>
      </c>
    </row>
    <row r="297" spans="1:18" x14ac:dyDescent="0.2">
      <c r="A297">
        <v>296</v>
      </c>
      <c r="B297" t="s">
        <v>1308</v>
      </c>
      <c r="C297" t="s">
        <v>57</v>
      </c>
      <c r="E297" t="s">
        <v>1309</v>
      </c>
      <c r="G297" t="s">
        <v>1310</v>
      </c>
      <c r="I297" t="s">
        <v>1311</v>
      </c>
      <c r="J297" t="s">
        <v>22</v>
      </c>
      <c r="M297" t="s">
        <v>1312</v>
      </c>
      <c r="N297">
        <v>1</v>
      </c>
      <c r="O297">
        <v>0</v>
      </c>
      <c r="P297">
        <v>0</v>
      </c>
      <c r="R297" s="1">
        <v>46034.625150462962</v>
      </c>
    </row>
    <row r="298" spans="1:18" x14ac:dyDescent="0.2">
      <c r="A298">
        <v>297</v>
      </c>
      <c r="B298" t="s">
        <v>1313</v>
      </c>
      <c r="C298" t="s">
        <v>57</v>
      </c>
      <c r="G298" t="s">
        <v>1314</v>
      </c>
      <c r="I298" t="s">
        <v>1315</v>
      </c>
      <c r="J298" t="s">
        <v>22</v>
      </c>
      <c r="M298" t="s">
        <v>1316</v>
      </c>
      <c r="N298">
        <v>1</v>
      </c>
      <c r="O298">
        <v>1</v>
      </c>
      <c r="P298">
        <v>0</v>
      </c>
      <c r="R298" s="1">
        <v>46034.625150462962</v>
      </c>
    </row>
    <row r="299" spans="1:18" x14ac:dyDescent="0.2">
      <c r="A299">
        <v>298</v>
      </c>
      <c r="B299" t="s">
        <v>1317</v>
      </c>
      <c r="C299" t="s">
        <v>57</v>
      </c>
      <c r="E299" t="s">
        <v>1318</v>
      </c>
      <c r="G299" t="s">
        <v>1319</v>
      </c>
      <c r="I299" t="s">
        <v>1320</v>
      </c>
      <c r="J299" t="s">
        <v>22</v>
      </c>
      <c r="N299">
        <v>1</v>
      </c>
      <c r="O299">
        <v>0</v>
      </c>
      <c r="P299">
        <v>0</v>
      </c>
      <c r="R299" s="1">
        <v>46034.625150462962</v>
      </c>
    </row>
    <row r="300" spans="1:18" x14ac:dyDescent="0.2">
      <c r="A300">
        <v>299</v>
      </c>
      <c r="B300" t="s">
        <v>1321</v>
      </c>
      <c r="C300" t="s">
        <v>57</v>
      </c>
      <c r="E300" t="s">
        <v>1322</v>
      </c>
      <c r="G300" t="s">
        <v>1323</v>
      </c>
      <c r="I300" t="s">
        <v>1324</v>
      </c>
      <c r="J300" t="s">
        <v>22</v>
      </c>
      <c r="N300">
        <v>1</v>
      </c>
      <c r="O300">
        <v>0</v>
      </c>
      <c r="P300">
        <v>0</v>
      </c>
      <c r="R300" s="1">
        <v>46034.625150462962</v>
      </c>
    </row>
    <row r="301" spans="1:18" x14ac:dyDescent="0.2">
      <c r="A301">
        <v>300</v>
      </c>
      <c r="B301" t="s">
        <v>1325</v>
      </c>
      <c r="C301" t="s">
        <v>57</v>
      </c>
      <c r="E301" t="s">
        <v>1326</v>
      </c>
      <c r="J301" t="s">
        <v>22</v>
      </c>
      <c r="M301" t="s">
        <v>1327</v>
      </c>
      <c r="N301">
        <v>1</v>
      </c>
      <c r="O301">
        <v>1</v>
      </c>
      <c r="P301">
        <v>0</v>
      </c>
      <c r="R301" s="1">
        <v>46034.625150462962</v>
      </c>
    </row>
    <row r="302" spans="1:18" x14ac:dyDescent="0.2">
      <c r="A302">
        <v>301</v>
      </c>
      <c r="B302" t="s">
        <v>1328</v>
      </c>
      <c r="C302" t="s">
        <v>57</v>
      </c>
      <c r="E302" t="s">
        <v>1329</v>
      </c>
      <c r="G302" t="s">
        <v>193</v>
      </c>
      <c r="I302" t="s">
        <v>194</v>
      </c>
      <c r="J302" t="s">
        <v>22</v>
      </c>
      <c r="N302">
        <v>1</v>
      </c>
      <c r="O302">
        <v>0</v>
      </c>
      <c r="P302">
        <v>0</v>
      </c>
      <c r="R302" s="1">
        <v>46034.625150462962</v>
      </c>
    </row>
    <row r="303" spans="1:18" x14ac:dyDescent="0.2">
      <c r="A303">
        <v>302</v>
      </c>
      <c r="B303" t="s">
        <v>1330</v>
      </c>
      <c r="C303" t="s">
        <v>57</v>
      </c>
      <c r="E303" t="s">
        <v>1331</v>
      </c>
      <c r="J303" t="s">
        <v>22</v>
      </c>
      <c r="M303" t="s">
        <v>1332</v>
      </c>
      <c r="N303">
        <v>1</v>
      </c>
      <c r="O303">
        <v>1</v>
      </c>
      <c r="P303">
        <v>0</v>
      </c>
      <c r="R303" s="1">
        <v>46034.625150462962</v>
      </c>
    </row>
    <row r="304" spans="1:18" x14ac:dyDescent="0.2">
      <c r="A304">
        <v>303</v>
      </c>
      <c r="B304" t="s">
        <v>1333</v>
      </c>
      <c r="C304" t="s">
        <v>57</v>
      </c>
      <c r="E304" t="s">
        <v>1334</v>
      </c>
      <c r="G304" t="s">
        <v>1335</v>
      </c>
      <c r="I304" t="s">
        <v>1336</v>
      </c>
      <c r="J304" t="s">
        <v>22</v>
      </c>
      <c r="M304" t="s">
        <v>1337</v>
      </c>
      <c r="N304">
        <v>1</v>
      </c>
      <c r="O304">
        <v>0</v>
      </c>
      <c r="P304">
        <v>0</v>
      </c>
      <c r="R304" s="1">
        <v>46034.625150462962</v>
      </c>
    </row>
    <row r="305" spans="1:18" x14ac:dyDescent="0.2">
      <c r="A305">
        <v>304</v>
      </c>
      <c r="B305" t="s">
        <v>1338</v>
      </c>
      <c r="C305" t="s">
        <v>57</v>
      </c>
      <c r="E305" t="s">
        <v>1339</v>
      </c>
      <c r="G305" t="s">
        <v>1340</v>
      </c>
      <c r="I305" t="s">
        <v>1135</v>
      </c>
      <c r="J305" t="s">
        <v>22</v>
      </c>
      <c r="N305">
        <v>1</v>
      </c>
      <c r="O305">
        <v>0</v>
      </c>
      <c r="P305">
        <v>0</v>
      </c>
      <c r="R305" s="1">
        <v>46034.625150462962</v>
      </c>
    </row>
    <row r="306" spans="1:18" x14ac:dyDescent="0.2">
      <c r="A306">
        <v>305</v>
      </c>
      <c r="B306" t="s">
        <v>1341</v>
      </c>
      <c r="C306" t="s">
        <v>57</v>
      </c>
      <c r="E306" t="s">
        <v>1342</v>
      </c>
      <c r="G306" t="s">
        <v>1343</v>
      </c>
      <c r="I306" t="s">
        <v>1344</v>
      </c>
      <c r="J306" t="s">
        <v>22</v>
      </c>
      <c r="N306">
        <v>1</v>
      </c>
      <c r="O306">
        <v>0</v>
      </c>
      <c r="P306">
        <v>0</v>
      </c>
      <c r="R306" s="1">
        <v>46034.625150462962</v>
      </c>
    </row>
    <row r="307" spans="1:18" x14ac:dyDescent="0.2">
      <c r="A307">
        <v>306</v>
      </c>
      <c r="B307" t="s">
        <v>1345</v>
      </c>
      <c r="C307" t="s">
        <v>57</v>
      </c>
      <c r="E307" t="s">
        <v>1346</v>
      </c>
      <c r="J307" t="s">
        <v>22</v>
      </c>
      <c r="N307">
        <v>1</v>
      </c>
      <c r="O307">
        <v>0</v>
      </c>
      <c r="P307">
        <v>0</v>
      </c>
      <c r="R307" s="1">
        <v>46034.625150462962</v>
      </c>
    </row>
    <row r="308" spans="1:18" x14ac:dyDescent="0.2">
      <c r="A308">
        <v>307</v>
      </c>
      <c r="B308" t="s">
        <v>1347</v>
      </c>
      <c r="C308" t="s">
        <v>57</v>
      </c>
      <c r="E308" t="s">
        <v>1348</v>
      </c>
      <c r="G308" t="s">
        <v>1349</v>
      </c>
      <c r="I308" t="s">
        <v>1350</v>
      </c>
      <c r="J308" t="s">
        <v>22</v>
      </c>
      <c r="M308" t="s">
        <v>1351</v>
      </c>
      <c r="N308">
        <v>1</v>
      </c>
      <c r="O308">
        <v>1</v>
      </c>
      <c r="P308">
        <v>0</v>
      </c>
      <c r="R308" s="1">
        <v>46034.625150462962</v>
      </c>
    </row>
    <row r="309" spans="1:18" x14ac:dyDescent="0.2">
      <c r="A309">
        <v>308</v>
      </c>
      <c r="B309" t="s">
        <v>1352</v>
      </c>
      <c r="C309" t="s">
        <v>57</v>
      </c>
      <c r="E309" t="s">
        <v>1353</v>
      </c>
      <c r="G309" t="s">
        <v>1354</v>
      </c>
      <c r="I309" t="s">
        <v>1124</v>
      </c>
      <c r="J309" t="s">
        <v>22</v>
      </c>
      <c r="M309" t="s">
        <v>1355</v>
      </c>
      <c r="N309">
        <v>1</v>
      </c>
      <c r="O309">
        <v>0</v>
      </c>
      <c r="P309">
        <v>0</v>
      </c>
      <c r="R309" s="1">
        <v>46034.625150462962</v>
      </c>
    </row>
    <row r="310" spans="1:18" x14ac:dyDescent="0.2">
      <c r="A310">
        <v>309</v>
      </c>
      <c r="B310" t="s">
        <v>1356</v>
      </c>
      <c r="C310" t="s">
        <v>57</v>
      </c>
      <c r="E310" t="s">
        <v>1357</v>
      </c>
      <c r="G310" t="s">
        <v>1210</v>
      </c>
      <c r="I310" t="s">
        <v>1135</v>
      </c>
      <c r="J310" t="s">
        <v>22</v>
      </c>
      <c r="N310">
        <v>1</v>
      </c>
      <c r="O310">
        <v>0</v>
      </c>
      <c r="P310">
        <v>0</v>
      </c>
      <c r="R310" s="1">
        <v>46034.625150462962</v>
      </c>
    </row>
    <row r="311" spans="1:18" x14ac:dyDescent="0.2">
      <c r="A311">
        <v>310</v>
      </c>
      <c r="B311" t="s">
        <v>1358</v>
      </c>
      <c r="C311" t="s">
        <v>57</v>
      </c>
      <c r="E311" t="s">
        <v>1359</v>
      </c>
      <c r="G311" t="s">
        <v>1360</v>
      </c>
      <c r="I311" t="s">
        <v>489</v>
      </c>
      <c r="J311" t="s">
        <v>22</v>
      </c>
      <c r="N311">
        <v>1</v>
      </c>
      <c r="O311">
        <v>0</v>
      </c>
      <c r="P311">
        <v>0</v>
      </c>
      <c r="R311" s="1">
        <v>46034.625150462962</v>
      </c>
    </row>
    <row r="312" spans="1:18" x14ac:dyDescent="0.2">
      <c r="A312">
        <v>311</v>
      </c>
      <c r="B312" t="s">
        <v>1361</v>
      </c>
      <c r="C312" t="s">
        <v>57</v>
      </c>
      <c r="E312" t="s">
        <v>1362</v>
      </c>
      <c r="G312" t="s">
        <v>1363</v>
      </c>
      <c r="I312" t="s">
        <v>1364</v>
      </c>
      <c r="J312" t="s">
        <v>22</v>
      </c>
      <c r="M312" t="s">
        <v>1365</v>
      </c>
      <c r="N312">
        <v>1</v>
      </c>
      <c r="O312">
        <v>1</v>
      </c>
      <c r="P312">
        <v>0</v>
      </c>
      <c r="R312" s="1">
        <v>46034.625150462962</v>
      </c>
    </row>
    <row r="313" spans="1:18" x14ac:dyDescent="0.2">
      <c r="A313">
        <v>312</v>
      </c>
      <c r="B313" t="s">
        <v>1366</v>
      </c>
      <c r="C313" t="s">
        <v>57</v>
      </c>
      <c r="E313" t="s">
        <v>1367</v>
      </c>
      <c r="G313" t="s">
        <v>1368</v>
      </c>
      <c r="I313" t="s">
        <v>1182</v>
      </c>
      <c r="J313" t="s">
        <v>22</v>
      </c>
      <c r="N313">
        <v>1</v>
      </c>
      <c r="O313">
        <v>0</v>
      </c>
      <c r="P313">
        <v>0</v>
      </c>
      <c r="R313" s="1">
        <v>46034.625150462962</v>
      </c>
    </row>
    <row r="314" spans="1:18" x14ac:dyDescent="0.2">
      <c r="A314">
        <v>313</v>
      </c>
      <c r="B314" t="s">
        <v>1369</v>
      </c>
      <c r="C314" t="s">
        <v>57</v>
      </c>
      <c r="E314" t="s">
        <v>1370</v>
      </c>
      <c r="G314" t="s">
        <v>1371</v>
      </c>
      <c r="I314" t="s">
        <v>94</v>
      </c>
      <c r="J314" t="s">
        <v>22</v>
      </c>
      <c r="N314">
        <v>1</v>
      </c>
      <c r="O314">
        <v>0</v>
      </c>
      <c r="P314">
        <v>0</v>
      </c>
      <c r="R314" s="1">
        <v>46034.625150462962</v>
      </c>
    </row>
    <row r="315" spans="1:18" x14ac:dyDescent="0.2">
      <c r="A315">
        <v>314</v>
      </c>
      <c r="B315" t="s">
        <v>1372</v>
      </c>
      <c r="C315" t="s">
        <v>57</v>
      </c>
      <c r="E315" t="s">
        <v>1373</v>
      </c>
      <c r="G315" t="s">
        <v>1374</v>
      </c>
      <c r="I315" t="s">
        <v>1375</v>
      </c>
      <c r="J315" t="s">
        <v>22</v>
      </c>
      <c r="N315">
        <v>1</v>
      </c>
      <c r="O315">
        <v>1</v>
      </c>
      <c r="P315">
        <v>0</v>
      </c>
      <c r="R315" s="1">
        <v>46034.625150462962</v>
      </c>
    </row>
    <row r="316" spans="1:18" x14ac:dyDescent="0.2">
      <c r="A316">
        <v>315</v>
      </c>
      <c r="B316" t="s">
        <v>1376</v>
      </c>
      <c r="C316" t="s">
        <v>57</v>
      </c>
      <c r="E316" t="s">
        <v>1377</v>
      </c>
      <c r="G316" t="s">
        <v>1378</v>
      </c>
      <c r="I316" t="s">
        <v>1379</v>
      </c>
      <c r="J316" t="s">
        <v>22</v>
      </c>
      <c r="M316" t="s">
        <v>1380</v>
      </c>
      <c r="N316">
        <v>1</v>
      </c>
      <c r="O316">
        <v>0</v>
      </c>
      <c r="P316">
        <v>0</v>
      </c>
      <c r="R316" s="1">
        <v>46034.625150462962</v>
      </c>
    </row>
    <row r="317" spans="1:18" x14ac:dyDescent="0.2">
      <c r="A317">
        <v>316</v>
      </c>
      <c r="B317" t="s">
        <v>1381</v>
      </c>
      <c r="C317" t="s">
        <v>57</v>
      </c>
      <c r="E317" t="s">
        <v>1382</v>
      </c>
      <c r="G317" t="s">
        <v>1383</v>
      </c>
      <c r="I317" t="s">
        <v>1384</v>
      </c>
      <c r="J317" t="s">
        <v>243</v>
      </c>
      <c r="N317">
        <v>1</v>
      </c>
      <c r="O317">
        <v>0</v>
      </c>
      <c r="P317">
        <v>0</v>
      </c>
      <c r="R317" s="1">
        <v>46034.625150462962</v>
      </c>
    </row>
    <row r="318" spans="1:18" x14ac:dyDescent="0.2">
      <c r="A318">
        <v>317</v>
      </c>
      <c r="B318" t="s">
        <v>1385</v>
      </c>
      <c r="C318" t="s">
        <v>57</v>
      </c>
      <c r="E318" t="s">
        <v>1386</v>
      </c>
      <c r="J318" t="s">
        <v>22</v>
      </c>
      <c r="M318" t="s">
        <v>1387</v>
      </c>
      <c r="N318">
        <v>1</v>
      </c>
      <c r="O318">
        <v>1</v>
      </c>
      <c r="P318">
        <v>0</v>
      </c>
      <c r="R318" s="1">
        <v>46034.625150462962</v>
      </c>
    </row>
    <row r="319" spans="1:18" x14ac:dyDescent="0.2">
      <c r="A319">
        <v>318</v>
      </c>
      <c r="B319" t="s">
        <v>1388</v>
      </c>
      <c r="C319" t="s">
        <v>57</v>
      </c>
      <c r="E319" t="s">
        <v>1389</v>
      </c>
      <c r="G319" t="s">
        <v>1390</v>
      </c>
      <c r="I319" t="s">
        <v>1303</v>
      </c>
      <c r="J319" t="s">
        <v>22</v>
      </c>
      <c r="N319">
        <v>1</v>
      </c>
      <c r="O319">
        <v>0</v>
      </c>
      <c r="P319">
        <v>0</v>
      </c>
      <c r="R319" s="1">
        <v>46034.625150462962</v>
      </c>
    </row>
    <row r="320" spans="1:18" x14ac:dyDescent="0.2">
      <c r="A320">
        <v>319</v>
      </c>
      <c r="B320" t="s">
        <v>1391</v>
      </c>
      <c r="C320" t="s">
        <v>57</v>
      </c>
      <c r="E320" t="s">
        <v>1392</v>
      </c>
      <c r="G320" t="s">
        <v>1393</v>
      </c>
      <c r="I320" t="s">
        <v>786</v>
      </c>
      <c r="J320" t="s">
        <v>22</v>
      </c>
      <c r="N320">
        <v>1</v>
      </c>
      <c r="O320">
        <v>0</v>
      </c>
      <c r="P320">
        <v>0</v>
      </c>
      <c r="R320" s="1">
        <v>46034.625150462962</v>
      </c>
    </row>
    <row r="321" spans="1:18" x14ac:dyDescent="0.2">
      <c r="A321">
        <v>320</v>
      </c>
      <c r="B321" t="s">
        <v>1394</v>
      </c>
      <c r="C321" t="s">
        <v>57</v>
      </c>
      <c r="E321" t="s">
        <v>1395</v>
      </c>
      <c r="G321" t="s">
        <v>1396</v>
      </c>
      <c r="I321" t="s">
        <v>459</v>
      </c>
      <c r="J321" t="s">
        <v>22</v>
      </c>
      <c r="N321">
        <v>1</v>
      </c>
      <c r="O321">
        <v>0</v>
      </c>
      <c r="P321">
        <v>0</v>
      </c>
      <c r="R321" s="1">
        <v>46034.625150462962</v>
      </c>
    </row>
    <row r="322" spans="1:18" x14ac:dyDescent="0.2">
      <c r="A322">
        <v>321</v>
      </c>
      <c r="B322" t="s">
        <v>1397</v>
      </c>
      <c r="C322" t="s">
        <v>57</v>
      </c>
      <c r="E322" t="s">
        <v>1398</v>
      </c>
      <c r="G322" t="s">
        <v>1399</v>
      </c>
      <c r="I322" t="s">
        <v>1379</v>
      </c>
      <c r="J322" t="s">
        <v>22</v>
      </c>
      <c r="M322" t="s">
        <v>1400</v>
      </c>
      <c r="N322">
        <v>1</v>
      </c>
      <c r="O322">
        <v>0</v>
      </c>
      <c r="P322">
        <v>0</v>
      </c>
      <c r="R322" s="1">
        <v>46034.625150462962</v>
      </c>
    </row>
    <row r="323" spans="1:18" x14ac:dyDescent="0.2">
      <c r="A323">
        <v>322</v>
      </c>
      <c r="B323" t="s">
        <v>1401</v>
      </c>
      <c r="C323" t="s">
        <v>57</v>
      </c>
      <c r="E323" t="s">
        <v>1402</v>
      </c>
      <c r="G323" t="s">
        <v>1403</v>
      </c>
      <c r="I323" t="s">
        <v>1404</v>
      </c>
      <c r="J323" t="s">
        <v>209</v>
      </c>
      <c r="N323">
        <v>1</v>
      </c>
      <c r="O323">
        <v>0</v>
      </c>
      <c r="P323">
        <v>0</v>
      </c>
      <c r="R323" s="1">
        <v>46034.625150462962</v>
      </c>
    </row>
    <row r="324" spans="1:18" x14ac:dyDescent="0.2">
      <c r="A324">
        <v>323</v>
      </c>
      <c r="B324" t="s">
        <v>1405</v>
      </c>
      <c r="C324" t="s">
        <v>57</v>
      </c>
      <c r="E324" t="s">
        <v>1406</v>
      </c>
      <c r="G324" t="s">
        <v>1407</v>
      </c>
      <c r="I324" t="s">
        <v>1186</v>
      </c>
      <c r="J324" t="s">
        <v>22</v>
      </c>
      <c r="N324">
        <v>1</v>
      </c>
      <c r="O324">
        <v>0</v>
      </c>
      <c r="P324">
        <v>0</v>
      </c>
      <c r="R324" s="1">
        <v>46034.625150462962</v>
      </c>
    </row>
    <row r="325" spans="1:18" x14ac:dyDescent="0.2">
      <c r="A325">
        <v>324</v>
      </c>
      <c r="B325" t="s">
        <v>1408</v>
      </c>
      <c r="C325" t="s">
        <v>57</v>
      </c>
      <c r="E325" t="s">
        <v>1409</v>
      </c>
      <c r="G325" t="s">
        <v>1410</v>
      </c>
      <c r="I325" t="s">
        <v>1411</v>
      </c>
      <c r="J325" t="s">
        <v>373</v>
      </c>
      <c r="N325">
        <v>1</v>
      </c>
      <c r="O325">
        <v>0</v>
      </c>
      <c r="P325">
        <v>0</v>
      </c>
      <c r="R325" s="1">
        <v>46034.625150462962</v>
      </c>
    </row>
    <row r="326" spans="1:18" x14ac:dyDescent="0.2">
      <c r="A326">
        <v>325</v>
      </c>
      <c r="B326" t="s">
        <v>1412</v>
      </c>
      <c r="C326" t="s">
        <v>57</v>
      </c>
      <c r="E326" t="s">
        <v>1413</v>
      </c>
      <c r="G326" t="s">
        <v>1414</v>
      </c>
      <c r="I326" t="s">
        <v>1415</v>
      </c>
      <c r="J326" t="s">
        <v>373</v>
      </c>
      <c r="N326">
        <v>1</v>
      </c>
      <c r="O326">
        <v>0</v>
      </c>
      <c r="P326">
        <v>0</v>
      </c>
      <c r="R326" s="1">
        <v>46034.625150462962</v>
      </c>
    </row>
    <row r="327" spans="1:18" x14ac:dyDescent="0.2">
      <c r="A327">
        <v>326</v>
      </c>
      <c r="B327" t="s">
        <v>1416</v>
      </c>
      <c r="C327" t="s">
        <v>57</v>
      </c>
      <c r="E327" t="s">
        <v>1417</v>
      </c>
      <c r="J327" t="s">
        <v>22</v>
      </c>
      <c r="M327" t="s">
        <v>1418</v>
      </c>
      <c r="N327">
        <v>1</v>
      </c>
      <c r="O327">
        <v>1</v>
      </c>
      <c r="P327">
        <v>0</v>
      </c>
      <c r="R327" s="1">
        <v>46034.625150462962</v>
      </c>
    </row>
    <row r="328" spans="1:18" x14ac:dyDescent="0.2">
      <c r="A328">
        <v>327</v>
      </c>
      <c r="B328" t="s">
        <v>408</v>
      </c>
      <c r="C328" t="s">
        <v>57</v>
      </c>
      <c r="E328" t="s">
        <v>1419</v>
      </c>
      <c r="G328" t="s">
        <v>1420</v>
      </c>
      <c r="I328" t="s">
        <v>1421</v>
      </c>
      <c r="J328" t="s">
        <v>22</v>
      </c>
      <c r="M328" t="s">
        <v>1422</v>
      </c>
      <c r="N328">
        <v>1</v>
      </c>
      <c r="O328">
        <v>0</v>
      </c>
      <c r="P328">
        <v>0</v>
      </c>
      <c r="R328" s="1">
        <v>46034.625150462962</v>
      </c>
    </row>
    <row r="329" spans="1:18" x14ac:dyDescent="0.2">
      <c r="A329">
        <v>328</v>
      </c>
      <c r="B329" t="s">
        <v>1423</v>
      </c>
      <c r="C329" t="s">
        <v>57</v>
      </c>
      <c r="E329" t="s">
        <v>1424</v>
      </c>
      <c r="G329" t="s">
        <v>1425</v>
      </c>
      <c r="I329" t="s">
        <v>1276</v>
      </c>
      <c r="J329" t="s">
        <v>22</v>
      </c>
      <c r="M329" t="s">
        <v>1426</v>
      </c>
      <c r="N329">
        <v>1</v>
      </c>
      <c r="O329">
        <v>1</v>
      </c>
      <c r="P329">
        <v>0</v>
      </c>
      <c r="R329" s="1">
        <v>46034.625150462962</v>
      </c>
    </row>
    <row r="330" spans="1:18" x14ac:dyDescent="0.2">
      <c r="A330">
        <v>329</v>
      </c>
      <c r="B330" t="s">
        <v>1427</v>
      </c>
      <c r="C330" t="s">
        <v>57</v>
      </c>
      <c r="E330" t="s">
        <v>1428</v>
      </c>
      <c r="G330" t="s">
        <v>1429</v>
      </c>
      <c r="I330" t="s">
        <v>1430</v>
      </c>
      <c r="J330" t="s">
        <v>391</v>
      </c>
      <c r="N330">
        <v>1</v>
      </c>
      <c r="O330">
        <v>0</v>
      </c>
      <c r="P330">
        <v>0</v>
      </c>
      <c r="R330" s="1">
        <v>46034.625150462962</v>
      </c>
    </row>
    <row r="331" spans="1:18" x14ac:dyDescent="0.2">
      <c r="A331">
        <v>330</v>
      </c>
      <c r="B331" t="s">
        <v>1431</v>
      </c>
      <c r="C331" t="s">
        <v>57</v>
      </c>
      <c r="E331" t="s">
        <v>1432</v>
      </c>
      <c r="G331" t="s">
        <v>1433</v>
      </c>
      <c r="I331" t="s">
        <v>1434</v>
      </c>
      <c r="J331" t="s">
        <v>391</v>
      </c>
      <c r="K331" t="s">
        <v>1435</v>
      </c>
      <c r="M331" t="s">
        <v>1436</v>
      </c>
      <c r="N331">
        <v>1</v>
      </c>
      <c r="O331">
        <v>0</v>
      </c>
      <c r="P331">
        <v>0</v>
      </c>
      <c r="R331" s="1">
        <v>46034.625150462962</v>
      </c>
    </row>
    <row r="332" spans="1:18" x14ac:dyDescent="0.2">
      <c r="A332">
        <v>331</v>
      </c>
      <c r="B332" t="s">
        <v>1437</v>
      </c>
      <c r="C332" t="s">
        <v>57</v>
      </c>
      <c r="E332" t="s">
        <v>1438</v>
      </c>
      <c r="G332" t="s">
        <v>1439</v>
      </c>
      <c r="I332" t="s">
        <v>84</v>
      </c>
      <c r="J332" t="s">
        <v>22</v>
      </c>
      <c r="N332">
        <v>1</v>
      </c>
      <c r="O332">
        <v>0</v>
      </c>
      <c r="P332">
        <v>0</v>
      </c>
      <c r="R332" s="1">
        <v>46034.625150462962</v>
      </c>
    </row>
    <row r="333" spans="1:18" x14ac:dyDescent="0.2">
      <c r="A333">
        <v>332</v>
      </c>
      <c r="B333" t="s">
        <v>1440</v>
      </c>
      <c r="C333" t="s">
        <v>57</v>
      </c>
      <c r="E333" t="s">
        <v>1441</v>
      </c>
      <c r="G333" t="s">
        <v>1442</v>
      </c>
      <c r="I333" t="s">
        <v>84</v>
      </c>
      <c r="J333" t="s">
        <v>22</v>
      </c>
      <c r="N333">
        <v>1</v>
      </c>
      <c r="O333">
        <v>0</v>
      </c>
      <c r="P333">
        <v>0</v>
      </c>
      <c r="R333" s="1">
        <v>46034.625150462962</v>
      </c>
    </row>
    <row r="334" spans="1:18" x14ac:dyDescent="0.2">
      <c r="A334">
        <v>333</v>
      </c>
      <c r="B334" t="s">
        <v>1341</v>
      </c>
      <c r="C334" t="s">
        <v>57</v>
      </c>
      <c r="E334" t="s">
        <v>1342</v>
      </c>
      <c r="G334" t="s">
        <v>1343</v>
      </c>
      <c r="I334" t="s">
        <v>1344</v>
      </c>
      <c r="J334" t="s">
        <v>22</v>
      </c>
      <c r="N334">
        <v>1</v>
      </c>
      <c r="O334">
        <v>0</v>
      </c>
      <c r="P334">
        <v>0</v>
      </c>
      <c r="R334" s="1">
        <v>46034.625150462962</v>
      </c>
    </row>
    <row r="335" spans="1:18" x14ac:dyDescent="0.2">
      <c r="A335">
        <v>334</v>
      </c>
      <c r="B335" t="s">
        <v>1443</v>
      </c>
      <c r="C335" t="s">
        <v>57</v>
      </c>
      <c r="E335" t="s">
        <v>1444</v>
      </c>
      <c r="G335" t="s">
        <v>1445</v>
      </c>
      <c r="I335" t="s">
        <v>84</v>
      </c>
      <c r="J335" t="s">
        <v>22</v>
      </c>
      <c r="N335">
        <v>1</v>
      </c>
      <c r="O335">
        <v>0</v>
      </c>
      <c r="P335">
        <v>0</v>
      </c>
      <c r="R335" s="1">
        <v>46034.625150462962</v>
      </c>
    </row>
    <row r="336" spans="1:18" x14ac:dyDescent="0.2">
      <c r="A336">
        <v>335</v>
      </c>
      <c r="B336" t="s">
        <v>1446</v>
      </c>
      <c r="C336" t="s">
        <v>57</v>
      </c>
      <c r="E336" t="s">
        <v>1447</v>
      </c>
      <c r="G336" t="s">
        <v>1448</v>
      </c>
      <c r="I336" t="s">
        <v>459</v>
      </c>
      <c r="J336" t="s">
        <v>22</v>
      </c>
      <c r="M336" t="s">
        <v>1449</v>
      </c>
      <c r="N336">
        <v>1</v>
      </c>
      <c r="O336">
        <v>1</v>
      </c>
      <c r="P336">
        <v>0</v>
      </c>
      <c r="R336" s="1">
        <v>46034.625150462962</v>
      </c>
    </row>
    <row r="337" spans="1:18" x14ac:dyDescent="0.2">
      <c r="A337">
        <v>336</v>
      </c>
      <c r="B337" t="s">
        <v>1450</v>
      </c>
      <c r="C337" t="s">
        <v>57</v>
      </c>
      <c r="E337" t="s">
        <v>1451</v>
      </c>
      <c r="G337" t="s">
        <v>1452</v>
      </c>
      <c r="I337" t="s">
        <v>1453</v>
      </c>
      <c r="J337" t="s">
        <v>209</v>
      </c>
      <c r="N337">
        <v>1</v>
      </c>
      <c r="O337">
        <v>0</v>
      </c>
      <c r="P337">
        <v>0</v>
      </c>
      <c r="R337" s="1">
        <v>46034.625150462962</v>
      </c>
    </row>
    <row r="338" spans="1:18" x14ac:dyDescent="0.2">
      <c r="A338">
        <v>337</v>
      </c>
      <c r="B338" t="s">
        <v>1454</v>
      </c>
      <c r="C338" t="s">
        <v>57</v>
      </c>
      <c r="E338" t="s">
        <v>1455</v>
      </c>
      <c r="G338" t="s">
        <v>1456</v>
      </c>
      <c r="I338" t="s">
        <v>1232</v>
      </c>
      <c r="J338" t="s">
        <v>22</v>
      </c>
      <c r="M338" t="s">
        <v>1457</v>
      </c>
      <c r="N338">
        <v>1</v>
      </c>
      <c r="O338">
        <v>0</v>
      </c>
      <c r="P338">
        <v>0</v>
      </c>
      <c r="R338" s="1">
        <v>46034.625150462962</v>
      </c>
    </row>
    <row r="339" spans="1:18" x14ac:dyDescent="0.2">
      <c r="A339">
        <v>338</v>
      </c>
      <c r="B339" t="s">
        <v>1458</v>
      </c>
      <c r="C339" t="s">
        <v>57</v>
      </c>
      <c r="E339" t="s">
        <v>1459</v>
      </c>
      <c r="G339" t="s">
        <v>1460</v>
      </c>
      <c r="I339" t="s">
        <v>426</v>
      </c>
      <c r="J339" t="s">
        <v>22</v>
      </c>
      <c r="N339">
        <v>1</v>
      </c>
      <c r="O339">
        <v>0</v>
      </c>
      <c r="P339">
        <v>0</v>
      </c>
      <c r="R339" s="1">
        <v>46034.625150462962</v>
      </c>
    </row>
    <row r="340" spans="1:18" x14ac:dyDescent="0.2">
      <c r="A340">
        <v>339</v>
      </c>
      <c r="B340" t="s">
        <v>1461</v>
      </c>
      <c r="C340" t="s">
        <v>57</v>
      </c>
      <c r="E340" t="s">
        <v>1462</v>
      </c>
      <c r="G340" t="s">
        <v>1463</v>
      </c>
      <c r="I340" t="s">
        <v>1350</v>
      </c>
      <c r="J340" t="s">
        <v>22</v>
      </c>
      <c r="N340">
        <v>1</v>
      </c>
      <c r="O340">
        <v>0</v>
      </c>
      <c r="P340">
        <v>0</v>
      </c>
      <c r="R340" s="1">
        <v>46034.625150462962</v>
      </c>
    </row>
    <row r="341" spans="1:18" x14ac:dyDescent="0.2">
      <c r="A341">
        <v>340</v>
      </c>
      <c r="B341" t="s">
        <v>1464</v>
      </c>
      <c r="C341" t="s">
        <v>57</v>
      </c>
      <c r="E341" t="s">
        <v>1428</v>
      </c>
      <c r="G341" t="s">
        <v>1429</v>
      </c>
      <c r="I341" t="s">
        <v>390</v>
      </c>
      <c r="J341" t="s">
        <v>391</v>
      </c>
      <c r="N341">
        <v>1</v>
      </c>
      <c r="O341">
        <v>0</v>
      </c>
      <c r="P341">
        <v>0</v>
      </c>
      <c r="R341" s="1">
        <v>46034.625150462962</v>
      </c>
    </row>
    <row r="342" spans="1:18" x14ac:dyDescent="0.2">
      <c r="A342">
        <v>341</v>
      </c>
      <c r="B342" t="s">
        <v>1465</v>
      </c>
      <c r="C342" t="s">
        <v>57</v>
      </c>
      <c r="E342" t="s">
        <v>1466</v>
      </c>
      <c r="G342" t="s">
        <v>1168</v>
      </c>
      <c r="I342" t="s">
        <v>84</v>
      </c>
      <c r="J342" t="s">
        <v>22</v>
      </c>
      <c r="M342" t="s">
        <v>1467</v>
      </c>
      <c r="N342">
        <v>1</v>
      </c>
      <c r="O342">
        <v>0</v>
      </c>
      <c r="P342">
        <v>0</v>
      </c>
      <c r="R342" s="1">
        <v>46034.625150462962</v>
      </c>
    </row>
    <row r="343" spans="1:18" x14ac:dyDescent="0.2">
      <c r="A343">
        <v>342</v>
      </c>
      <c r="B343" t="s">
        <v>1468</v>
      </c>
      <c r="C343" t="s">
        <v>57</v>
      </c>
      <c r="E343" t="s">
        <v>1469</v>
      </c>
      <c r="G343" t="s">
        <v>1470</v>
      </c>
      <c r="I343" t="s">
        <v>84</v>
      </c>
      <c r="J343" t="s">
        <v>22</v>
      </c>
      <c r="M343" t="s">
        <v>1471</v>
      </c>
      <c r="N343">
        <v>1</v>
      </c>
      <c r="O343">
        <v>0</v>
      </c>
      <c r="P343">
        <v>0</v>
      </c>
      <c r="R343" s="1">
        <v>46034.625150462962</v>
      </c>
    </row>
    <row r="344" spans="1:18" x14ac:dyDescent="0.2">
      <c r="A344">
        <v>343</v>
      </c>
      <c r="B344" t="s">
        <v>1472</v>
      </c>
      <c r="C344" t="s">
        <v>57</v>
      </c>
      <c r="E344" t="s">
        <v>1473</v>
      </c>
      <c r="G344" t="s">
        <v>1474</v>
      </c>
      <c r="I344" t="s">
        <v>1475</v>
      </c>
      <c r="J344" t="s">
        <v>22</v>
      </c>
      <c r="N344">
        <v>1</v>
      </c>
      <c r="O344">
        <v>0</v>
      </c>
      <c r="P344">
        <v>0</v>
      </c>
      <c r="R344" s="1">
        <v>46034.625150462962</v>
      </c>
    </row>
    <row r="345" spans="1:18" x14ac:dyDescent="0.2">
      <c r="A345">
        <v>344</v>
      </c>
      <c r="B345" t="s">
        <v>1476</v>
      </c>
      <c r="C345" t="s">
        <v>57</v>
      </c>
      <c r="E345" t="s">
        <v>1477</v>
      </c>
      <c r="G345" t="s">
        <v>1478</v>
      </c>
      <c r="I345" t="s">
        <v>742</v>
      </c>
      <c r="J345" t="s">
        <v>22</v>
      </c>
      <c r="N345">
        <v>1</v>
      </c>
      <c r="O345">
        <v>0</v>
      </c>
      <c r="P345">
        <v>0</v>
      </c>
      <c r="R345" s="1">
        <v>46034.625150462962</v>
      </c>
    </row>
    <row r="346" spans="1:18" x14ac:dyDescent="0.2">
      <c r="A346">
        <v>345</v>
      </c>
      <c r="B346" t="s">
        <v>1479</v>
      </c>
      <c r="C346" t="s">
        <v>57</v>
      </c>
      <c r="E346" t="s">
        <v>1480</v>
      </c>
      <c r="G346" t="s">
        <v>1481</v>
      </c>
      <c r="I346" t="s">
        <v>1482</v>
      </c>
      <c r="J346" t="s">
        <v>22</v>
      </c>
      <c r="N346">
        <v>1</v>
      </c>
      <c r="O346">
        <v>0</v>
      </c>
      <c r="P346">
        <v>0</v>
      </c>
      <c r="R346" s="1">
        <v>46034.625150462962</v>
      </c>
    </row>
    <row r="347" spans="1:18" x14ac:dyDescent="0.2">
      <c r="A347">
        <v>346</v>
      </c>
      <c r="B347" t="s">
        <v>1483</v>
      </c>
      <c r="C347" t="s">
        <v>57</v>
      </c>
      <c r="E347" t="s">
        <v>1484</v>
      </c>
      <c r="G347" t="s">
        <v>1485</v>
      </c>
      <c r="I347" t="s">
        <v>1486</v>
      </c>
      <c r="J347" t="s">
        <v>22</v>
      </c>
      <c r="N347">
        <v>1</v>
      </c>
      <c r="O347">
        <v>0</v>
      </c>
      <c r="P347">
        <v>0</v>
      </c>
      <c r="R347" s="1">
        <v>46034.625150462962</v>
      </c>
    </row>
    <row r="348" spans="1:18" x14ac:dyDescent="0.2">
      <c r="A348">
        <v>347</v>
      </c>
      <c r="B348" t="s">
        <v>1487</v>
      </c>
      <c r="C348" t="s">
        <v>57</v>
      </c>
      <c r="E348" t="s">
        <v>1488</v>
      </c>
      <c r="G348" t="s">
        <v>1489</v>
      </c>
      <c r="I348" t="s">
        <v>1490</v>
      </c>
      <c r="J348" t="s">
        <v>22</v>
      </c>
      <c r="N348">
        <v>1</v>
      </c>
      <c r="O348">
        <v>0</v>
      </c>
      <c r="P348">
        <v>0</v>
      </c>
      <c r="R348" s="1">
        <v>46034.625150462962</v>
      </c>
    </row>
    <row r="349" spans="1:18" x14ac:dyDescent="0.2">
      <c r="A349">
        <v>348</v>
      </c>
      <c r="B349" t="s">
        <v>1491</v>
      </c>
      <c r="C349" t="s">
        <v>57</v>
      </c>
      <c r="E349" t="s">
        <v>1492</v>
      </c>
      <c r="G349" t="s">
        <v>1493</v>
      </c>
      <c r="I349" t="s">
        <v>459</v>
      </c>
      <c r="J349" t="s">
        <v>22</v>
      </c>
      <c r="M349" t="s">
        <v>1494</v>
      </c>
      <c r="N349">
        <v>1</v>
      </c>
      <c r="O349">
        <v>0</v>
      </c>
      <c r="P349">
        <v>0</v>
      </c>
      <c r="R349" s="1">
        <v>46034.625150462962</v>
      </c>
    </row>
    <row r="350" spans="1:18" x14ac:dyDescent="0.2">
      <c r="A350">
        <v>349</v>
      </c>
      <c r="B350" t="s">
        <v>1495</v>
      </c>
      <c r="C350" t="s">
        <v>57</v>
      </c>
      <c r="E350" t="s">
        <v>1496</v>
      </c>
      <c r="G350" t="s">
        <v>1497</v>
      </c>
      <c r="I350" t="s">
        <v>1498</v>
      </c>
      <c r="J350" t="s">
        <v>209</v>
      </c>
      <c r="N350">
        <v>1</v>
      </c>
      <c r="O350">
        <v>0</v>
      </c>
      <c r="P350">
        <v>0</v>
      </c>
      <c r="R350" s="1">
        <v>46034.625150462962</v>
      </c>
    </row>
    <row r="351" spans="1:18" x14ac:dyDescent="0.2">
      <c r="A351">
        <v>350</v>
      </c>
      <c r="B351" t="s">
        <v>1499</v>
      </c>
      <c r="C351" t="s">
        <v>57</v>
      </c>
      <c r="E351" t="s">
        <v>1500</v>
      </c>
      <c r="G351" t="s">
        <v>1501</v>
      </c>
      <c r="I351" t="s">
        <v>1502</v>
      </c>
      <c r="J351" t="s">
        <v>22</v>
      </c>
      <c r="M351" t="s">
        <v>1503</v>
      </c>
      <c r="N351">
        <v>1</v>
      </c>
      <c r="O351">
        <v>0</v>
      </c>
      <c r="P351">
        <v>0</v>
      </c>
      <c r="R351" s="1">
        <v>46034.625150462962</v>
      </c>
    </row>
    <row r="352" spans="1:18" x14ac:dyDescent="0.2">
      <c r="A352">
        <v>351</v>
      </c>
      <c r="B352" t="s">
        <v>1504</v>
      </c>
      <c r="C352" t="s">
        <v>57</v>
      </c>
      <c r="E352" t="s">
        <v>1505</v>
      </c>
      <c r="G352" t="s">
        <v>1506</v>
      </c>
      <c r="I352" t="s">
        <v>1507</v>
      </c>
      <c r="J352" t="s">
        <v>209</v>
      </c>
      <c r="N352">
        <v>1</v>
      </c>
      <c r="O352">
        <v>0</v>
      </c>
      <c r="P352">
        <v>0</v>
      </c>
      <c r="R352" s="1">
        <v>46034.625150462962</v>
      </c>
    </row>
    <row r="353" spans="1:18" x14ac:dyDescent="0.2">
      <c r="A353">
        <v>352</v>
      </c>
      <c r="B353" t="s">
        <v>1508</v>
      </c>
      <c r="C353" t="s">
        <v>57</v>
      </c>
      <c r="E353" t="s">
        <v>1509</v>
      </c>
      <c r="G353" t="s">
        <v>1510</v>
      </c>
      <c r="I353" t="s">
        <v>1511</v>
      </c>
      <c r="J353" t="s">
        <v>391</v>
      </c>
      <c r="N353">
        <v>1</v>
      </c>
      <c r="O353">
        <v>0</v>
      </c>
      <c r="P353">
        <v>0</v>
      </c>
      <c r="R353" s="1">
        <v>46034.625150462962</v>
      </c>
    </row>
    <row r="354" spans="1:18" x14ac:dyDescent="0.2">
      <c r="A354">
        <v>353</v>
      </c>
      <c r="B354" t="s">
        <v>1512</v>
      </c>
      <c r="C354" t="s">
        <v>57</v>
      </c>
      <c r="E354" t="s">
        <v>1513</v>
      </c>
      <c r="G354" t="s">
        <v>1514</v>
      </c>
      <c r="I354" t="s">
        <v>1515</v>
      </c>
      <c r="J354" t="s">
        <v>22</v>
      </c>
      <c r="K354" t="s">
        <v>1516</v>
      </c>
      <c r="N354">
        <v>1</v>
      </c>
      <c r="O354">
        <v>0</v>
      </c>
      <c r="P354">
        <v>0</v>
      </c>
      <c r="R354" s="1">
        <v>46034.625150462962</v>
      </c>
    </row>
    <row r="355" spans="1:18" x14ac:dyDescent="0.2">
      <c r="A355">
        <v>354</v>
      </c>
      <c r="B355" t="s">
        <v>1517</v>
      </c>
      <c r="C355" t="s">
        <v>57</v>
      </c>
      <c r="E355" t="s">
        <v>1518</v>
      </c>
      <c r="G355" t="s">
        <v>1519</v>
      </c>
      <c r="I355" t="s">
        <v>1520</v>
      </c>
      <c r="J355" t="s">
        <v>22</v>
      </c>
      <c r="N355">
        <v>1</v>
      </c>
      <c r="O355">
        <v>0</v>
      </c>
      <c r="P355">
        <v>0</v>
      </c>
      <c r="R355" s="1">
        <v>46034.625150462962</v>
      </c>
    </row>
    <row r="356" spans="1:18" x14ac:dyDescent="0.2">
      <c r="A356">
        <v>355</v>
      </c>
      <c r="B356" t="s">
        <v>1521</v>
      </c>
      <c r="C356" t="s">
        <v>57</v>
      </c>
      <c r="E356" t="s">
        <v>1522</v>
      </c>
      <c r="G356" t="s">
        <v>1523</v>
      </c>
      <c r="I356" t="s">
        <v>1053</v>
      </c>
      <c r="J356" t="s">
        <v>22</v>
      </c>
      <c r="N356">
        <v>1</v>
      </c>
      <c r="O356">
        <v>0</v>
      </c>
      <c r="P356">
        <v>0</v>
      </c>
      <c r="R356" s="1">
        <v>46034.625150462962</v>
      </c>
    </row>
    <row r="357" spans="1:18" x14ac:dyDescent="0.2">
      <c r="A357">
        <v>356</v>
      </c>
      <c r="B357" t="s">
        <v>1524</v>
      </c>
      <c r="C357" t="s">
        <v>57</v>
      </c>
      <c r="E357" t="s">
        <v>1525</v>
      </c>
      <c r="G357" t="s">
        <v>1526</v>
      </c>
      <c r="I357" t="s">
        <v>1527</v>
      </c>
      <c r="J357" t="s">
        <v>22</v>
      </c>
      <c r="K357" t="s">
        <v>1528</v>
      </c>
      <c r="N357">
        <v>1</v>
      </c>
      <c r="O357">
        <v>0</v>
      </c>
      <c r="P357">
        <v>0</v>
      </c>
      <c r="R357" s="1">
        <v>46034.625150462962</v>
      </c>
    </row>
    <row r="358" spans="1:18" x14ac:dyDescent="0.2">
      <c r="A358">
        <v>357</v>
      </c>
      <c r="B358" t="s">
        <v>1529</v>
      </c>
      <c r="C358" t="s">
        <v>57</v>
      </c>
      <c r="E358" t="s">
        <v>1530</v>
      </c>
      <c r="G358" t="s">
        <v>1531</v>
      </c>
      <c r="I358" t="s">
        <v>459</v>
      </c>
      <c r="J358" t="s">
        <v>22</v>
      </c>
      <c r="M358" t="s">
        <v>1532</v>
      </c>
      <c r="N358">
        <v>1</v>
      </c>
      <c r="O358">
        <v>1</v>
      </c>
      <c r="P358">
        <v>0</v>
      </c>
      <c r="R358" s="1">
        <v>46034.625150462962</v>
      </c>
    </row>
    <row r="359" spans="1:18" x14ac:dyDescent="0.2">
      <c r="A359">
        <v>358</v>
      </c>
      <c r="B359" t="s">
        <v>3670</v>
      </c>
      <c r="C359" t="s">
        <v>57</v>
      </c>
      <c r="E359" t="s">
        <v>1533</v>
      </c>
      <c r="G359" t="s">
        <v>1534</v>
      </c>
      <c r="I359" t="s">
        <v>1535</v>
      </c>
      <c r="J359" t="s">
        <v>22</v>
      </c>
      <c r="K359" t="s">
        <v>1536</v>
      </c>
      <c r="M359" t="s">
        <v>1537</v>
      </c>
      <c r="N359">
        <v>1</v>
      </c>
      <c r="O359">
        <v>1</v>
      </c>
      <c r="P359">
        <v>0</v>
      </c>
      <c r="R359" s="1">
        <v>46034.625150462962</v>
      </c>
    </row>
    <row r="360" spans="1:18" x14ac:dyDescent="0.2">
      <c r="A360">
        <v>359</v>
      </c>
      <c r="B360" t="s">
        <v>1538</v>
      </c>
      <c r="C360" t="s">
        <v>57</v>
      </c>
      <c r="E360" t="s">
        <v>1539</v>
      </c>
      <c r="G360" t="s">
        <v>1540</v>
      </c>
      <c r="I360" t="s">
        <v>665</v>
      </c>
      <c r="J360" t="s">
        <v>22</v>
      </c>
      <c r="N360">
        <v>1</v>
      </c>
      <c r="O360">
        <v>0</v>
      </c>
      <c r="P360">
        <v>0</v>
      </c>
      <c r="R360" s="1">
        <v>46034.625150462962</v>
      </c>
    </row>
    <row r="361" spans="1:18" x14ac:dyDescent="0.2">
      <c r="A361">
        <v>360</v>
      </c>
      <c r="B361" t="s">
        <v>1541</v>
      </c>
      <c r="C361" t="s">
        <v>57</v>
      </c>
      <c r="E361" t="s">
        <v>1542</v>
      </c>
      <c r="G361" t="s">
        <v>1543</v>
      </c>
      <c r="I361" t="s">
        <v>103</v>
      </c>
      <c r="J361" t="s">
        <v>22</v>
      </c>
      <c r="K361" t="s">
        <v>1544</v>
      </c>
      <c r="N361">
        <v>1</v>
      </c>
      <c r="O361">
        <v>0</v>
      </c>
      <c r="P361">
        <v>0</v>
      </c>
      <c r="R361" s="1">
        <v>46034.625150462962</v>
      </c>
    </row>
    <row r="362" spans="1:18" x14ac:dyDescent="0.2">
      <c r="A362">
        <v>361</v>
      </c>
      <c r="B362" t="s">
        <v>1545</v>
      </c>
      <c r="C362" t="s">
        <v>57</v>
      </c>
      <c r="J362" t="s">
        <v>22</v>
      </c>
      <c r="M362" t="s">
        <v>640</v>
      </c>
      <c r="N362">
        <v>1</v>
      </c>
      <c r="O362">
        <v>1</v>
      </c>
      <c r="P362">
        <v>0</v>
      </c>
      <c r="R362" s="1">
        <v>46034.625150462962</v>
      </c>
    </row>
    <row r="363" spans="1:18" x14ac:dyDescent="0.2">
      <c r="A363">
        <v>362</v>
      </c>
      <c r="B363" t="s">
        <v>1546</v>
      </c>
      <c r="C363" t="s">
        <v>57</v>
      </c>
      <c r="G363" t="s">
        <v>1547</v>
      </c>
      <c r="I363" t="s">
        <v>1548</v>
      </c>
      <c r="J363" t="s">
        <v>22</v>
      </c>
      <c r="K363" t="s">
        <v>1549</v>
      </c>
      <c r="M363" t="s">
        <v>1550</v>
      </c>
      <c r="N363">
        <v>1</v>
      </c>
      <c r="O363">
        <v>1</v>
      </c>
      <c r="P363">
        <v>0</v>
      </c>
      <c r="R363" s="1">
        <v>46034.625150462962</v>
      </c>
    </row>
    <row r="364" spans="1:18" x14ac:dyDescent="0.2">
      <c r="A364">
        <v>363</v>
      </c>
      <c r="B364" t="s">
        <v>1551</v>
      </c>
      <c r="C364" t="s">
        <v>57</v>
      </c>
      <c r="E364" t="s">
        <v>1459</v>
      </c>
      <c r="G364" t="s">
        <v>1552</v>
      </c>
      <c r="I364" t="s">
        <v>426</v>
      </c>
      <c r="J364" t="s">
        <v>22</v>
      </c>
      <c r="M364" t="s">
        <v>1553</v>
      </c>
      <c r="N364">
        <v>1</v>
      </c>
      <c r="O364">
        <v>0</v>
      </c>
      <c r="P364">
        <v>0</v>
      </c>
      <c r="R364" s="1">
        <v>46034.625150462962</v>
      </c>
    </row>
    <row r="365" spans="1:18" x14ac:dyDescent="0.2">
      <c r="A365">
        <v>364</v>
      </c>
      <c r="B365" t="s">
        <v>1554</v>
      </c>
      <c r="C365" t="s">
        <v>57</v>
      </c>
      <c r="E365" t="s">
        <v>1555</v>
      </c>
      <c r="G365" t="s">
        <v>1556</v>
      </c>
      <c r="I365" t="s">
        <v>1151</v>
      </c>
      <c r="J365" t="s">
        <v>22</v>
      </c>
      <c r="N365">
        <v>1</v>
      </c>
      <c r="O365">
        <v>0</v>
      </c>
      <c r="P365">
        <v>0</v>
      </c>
      <c r="R365" s="1">
        <v>46034.625150462962</v>
      </c>
    </row>
    <row r="366" spans="1:18" x14ac:dyDescent="0.2">
      <c r="A366">
        <v>365</v>
      </c>
      <c r="B366" t="s">
        <v>1557</v>
      </c>
      <c r="C366" t="s">
        <v>57</v>
      </c>
      <c r="E366" t="s">
        <v>1558</v>
      </c>
      <c r="G366" t="s">
        <v>1559</v>
      </c>
      <c r="I366" t="s">
        <v>1560</v>
      </c>
      <c r="J366" t="s">
        <v>22</v>
      </c>
      <c r="K366" t="s">
        <v>1561</v>
      </c>
      <c r="N366">
        <v>1</v>
      </c>
      <c r="O366">
        <v>0</v>
      </c>
      <c r="P366">
        <v>0</v>
      </c>
      <c r="R366" s="1">
        <v>46034.625150462962</v>
      </c>
    </row>
    <row r="367" spans="1:18" x14ac:dyDescent="0.2">
      <c r="A367">
        <v>366</v>
      </c>
      <c r="B367" t="s">
        <v>1562</v>
      </c>
      <c r="C367" t="s">
        <v>57</v>
      </c>
      <c r="E367" t="s">
        <v>1563</v>
      </c>
      <c r="G367" t="s">
        <v>1564</v>
      </c>
      <c r="I367" t="s">
        <v>1565</v>
      </c>
      <c r="J367" t="s">
        <v>22</v>
      </c>
      <c r="M367" t="s">
        <v>1566</v>
      </c>
      <c r="N367">
        <v>1</v>
      </c>
      <c r="O367">
        <v>1</v>
      </c>
      <c r="P367">
        <v>0</v>
      </c>
      <c r="R367" s="1">
        <v>46034.625150462962</v>
      </c>
    </row>
    <row r="368" spans="1:18" x14ac:dyDescent="0.2">
      <c r="A368">
        <v>367</v>
      </c>
      <c r="B368" t="s">
        <v>1567</v>
      </c>
      <c r="C368" t="s">
        <v>57</v>
      </c>
      <c r="E368" t="s">
        <v>1568</v>
      </c>
      <c r="G368" t="s">
        <v>1569</v>
      </c>
      <c r="I368" t="s">
        <v>1570</v>
      </c>
      <c r="J368" t="s">
        <v>209</v>
      </c>
      <c r="N368">
        <v>1</v>
      </c>
      <c r="O368">
        <v>0</v>
      </c>
      <c r="P368">
        <v>0</v>
      </c>
      <c r="R368" s="1">
        <v>46034.625150462962</v>
      </c>
    </row>
    <row r="369" spans="1:18" x14ac:dyDescent="0.2">
      <c r="A369">
        <v>368</v>
      </c>
      <c r="B369" t="s">
        <v>1571</v>
      </c>
      <c r="C369" t="s">
        <v>57</v>
      </c>
      <c r="E369" t="s">
        <v>1572</v>
      </c>
      <c r="G369" t="s">
        <v>1559</v>
      </c>
      <c r="I369" t="s">
        <v>1560</v>
      </c>
      <c r="J369" t="s">
        <v>22</v>
      </c>
      <c r="K369" t="s">
        <v>1573</v>
      </c>
      <c r="N369">
        <v>1</v>
      </c>
      <c r="O369">
        <v>0</v>
      </c>
      <c r="P369">
        <v>0</v>
      </c>
      <c r="R369" s="1">
        <v>46034.625150462962</v>
      </c>
    </row>
    <row r="370" spans="1:18" x14ac:dyDescent="0.2">
      <c r="A370">
        <v>369</v>
      </c>
      <c r="B370" t="s">
        <v>1574</v>
      </c>
      <c r="C370" t="s">
        <v>57</v>
      </c>
      <c r="E370" t="s">
        <v>1575</v>
      </c>
      <c r="G370" t="s">
        <v>1576</v>
      </c>
      <c r="I370" t="s">
        <v>1577</v>
      </c>
      <c r="J370" t="s">
        <v>22</v>
      </c>
      <c r="K370" t="s">
        <v>1578</v>
      </c>
      <c r="M370" t="s">
        <v>1579</v>
      </c>
      <c r="N370">
        <v>1</v>
      </c>
      <c r="O370">
        <v>1</v>
      </c>
      <c r="P370">
        <v>0</v>
      </c>
      <c r="R370" s="1">
        <v>46034.625150462962</v>
      </c>
    </row>
    <row r="371" spans="1:18" x14ac:dyDescent="0.2">
      <c r="A371">
        <v>370</v>
      </c>
      <c r="B371" t="s">
        <v>1580</v>
      </c>
      <c r="C371" t="s">
        <v>57</v>
      </c>
      <c r="G371" t="s">
        <v>1581</v>
      </c>
      <c r="I371" t="s">
        <v>459</v>
      </c>
      <c r="J371" t="s">
        <v>22</v>
      </c>
      <c r="K371" t="s">
        <v>1582</v>
      </c>
      <c r="M371" t="s">
        <v>1583</v>
      </c>
      <c r="N371">
        <v>1</v>
      </c>
      <c r="O371">
        <v>1</v>
      </c>
      <c r="P371">
        <v>0</v>
      </c>
      <c r="R371" s="1">
        <v>46034.625150462962</v>
      </c>
    </row>
    <row r="372" spans="1:18" x14ac:dyDescent="0.2">
      <c r="A372">
        <v>371</v>
      </c>
      <c r="B372" t="s">
        <v>1584</v>
      </c>
      <c r="C372" t="s">
        <v>57</v>
      </c>
      <c r="E372" t="s">
        <v>1585</v>
      </c>
      <c r="G372" t="s">
        <v>1586</v>
      </c>
      <c r="I372" t="s">
        <v>84</v>
      </c>
      <c r="J372" t="s">
        <v>22</v>
      </c>
      <c r="M372" t="s">
        <v>1587</v>
      </c>
      <c r="N372">
        <v>1</v>
      </c>
      <c r="O372">
        <v>1</v>
      </c>
      <c r="P372">
        <v>0</v>
      </c>
      <c r="R372" s="1">
        <v>46034.625150462962</v>
      </c>
    </row>
    <row r="373" spans="1:18" x14ac:dyDescent="0.2">
      <c r="A373">
        <v>372</v>
      </c>
      <c r="B373" t="s">
        <v>1588</v>
      </c>
      <c r="C373" t="s">
        <v>57</v>
      </c>
      <c r="E373" t="s">
        <v>1589</v>
      </c>
      <c r="G373" t="s">
        <v>1590</v>
      </c>
      <c r="I373" t="s">
        <v>1591</v>
      </c>
      <c r="J373" t="s">
        <v>22</v>
      </c>
      <c r="K373" t="s">
        <v>1592</v>
      </c>
      <c r="N373">
        <v>1</v>
      </c>
      <c r="O373">
        <v>0</v>
      </c>
      <c r="P373">
        <v>0</v>
      </c>
      <c r="R373" s="1">
        <v>46034.625150462962</v>
      </c>
    </row>
    <row r="374" spans="1:18" x14ac:dyDescent="0.2">
      <c r="A374">
        <v>373</v>
      </c>
      <c r="B374" t="s">
        <v>1593</v>
      </c>
      <c r="C374" t="s">
        <v>57</v>
      </c>
      <c r="E374" t="s">
        <v>1594</v>
      </c>
      <c r="G374" t="s">
        <v>1595</v>
      </c>
      <c r="I374" t="s">
        <v>790</v>
      </c>
      <c r="J374" t="s">
        <v>22</v>
      </c>
      <c r="N374">
        <v>1</v>
      </c>
      <c r="O374">
        <v>0</v>
      </c>
      <c r="P374">
        <v>0</v>
      </c>
      <c r="R374" s="1">
        <v>46034.625150462962</v>
      </c>
    </row>
    <row r="375" spans="1:18" x14ac:dyDescent="0.2">
      <c r="A375">
        <v>374</v>
      </c>
      <c r="B375" t="s">
        <v>1596</v>
      </c>
      <c r="C375" t="s">
        <v>57</v>
      </c>
      <c r="E375" t="s">
        <v>1167</v>
      </c>
      <c r="G375" t="s">
        <v>1597</v>
      </c>
      <c r="I375" t="s">
        <v>1598</v>
      </c>
      <c r="J375" t="s">
        <v>1599</v>
      </c>
      <c r="M375" t="s">
        <v>1169</v>
      </c>
      <c r="N375">
        <v>1</v>
      </c>
      <c r="O375">
        <v>0</v>
      </c>
      <c r="P375">
        <v>0</v>
      </c>
      <c r="R375" s="1">
        <v>46034.625150462962</v>
      </c>
    </row>
    <row r="376" spans="1:18" x14ac:dyDescent="0.2">
      <c r="A376">
        <v>375</v>
      </c>
      <c r="B376" t="s">
        <v>1600</v>
      </c>
      <c r="C376" t="s">
        <v>57</v>
      </c>
      <c r="E376" t="s">
        <v>1601</v>
      </c>
      <c r="G376" t="s">
        <v>1602</v>
      </c>
      <c r="I376" t="s">
        <v>1603</v>
      </c>
      <c r="J376" t="s">
        <v>22</v>
      </c>
      <c r="M376" t="s">
        <v>1604</v>
      </c>
      <c r="N376">
        <v>1</v>
      </c>
      <c r="O376">
        <v>1</v>
      </c>
      <c r="P376">
        <v>0</v>
      </c>
      <c r="R376" s="1">
        <v>46034.625150462962</v>
      </c>
    </row>
    <row r="377" spans="1:18" x14ac:dyDescent="0.2">
      <c r="A377">
        <v>376</v>
      </c>
      <c r="B377" t="s">
        <v>1605</v>
      </c>
      <c r="C377" t="s">
        <v>19</v>
      </c>
      <c r="G377" t="s">
        <v>1606</v>
      </c>
      <c r="I377" t="s">
        <v>167</v>
      </c>
      <c r="J377" t="s">
        <v>22</v>
      </c>
      <c r="N377">
        <v>0</v>
      </c>
      <c r="O377">
        <v>1</v>
      </c>
      <c r="P377">
        <v>0</v>
      </c>
      <c r="R377" s="1">
        <v>46034.625150462962</v>
      </c>
    </row>
    <row r="378" spans="1:18" x14ac:dyDescent="0.2">
      <c r="A378">
        <v>377</v>
      </c>
      <c r="B378" t="s">
        <v>1607</v>
      </c>
      <c r="C378" t="s">
        <v>57</v>
      </c>
      <c r="G378" t="s">
        <v>1608</v>
      </c>
      <c r="I378" t="s">
        <v>1609</v>
      </c>
      <c r="J378" t="s">
        <v>22</v>
      </c>
      <c r="N378">
        <v>0</v>
      </c>
      <c r="O378">
        <v>1</v>
      </c>
      <c r="P378">
        <v>0</v>
      </c>
      <c r="R378" s="1">
        <v>46034.625150462962</v>
      </c>
    </row>
    <row r="379" spans="1:18" x14ac:dyDescent="0.2">
      <c r="A379">
        <v>378</v>
      </c>
      <c r="B379" t="s">
        <v>1610</v>
      </c>
      <c r="C379" t="s">
        <v>57</v>
      </c>
      <c r="G379" t="s">
        <v>1611</v>
      </c>
      <c r="I379" t="s">
        <v>1612</v>
      </c>
      <c r="J379" t="s">
        <v>22</v>
      </c>
      <c r="K379" t="s">
        <v>1613</v>
      </c>
      <c r="M379" t="s">
        <v>1614</v>
      </c>
      <c r="N379">
        <v>0</v>
      </c>
      <c r="O379">
        <v>1</v>
      </c>
      <c r="P379">
        <v>0</v>
      </c>
      <c r="R379" s="1">
        <v>46034.625150462962</v>
      </c>
    </row>
    <row r="380" spans="1:18" x14ac:dyDescent="0.2">
      <c r="A380">
        <v>379</v>
      </c>
      <c r="B380" t="s">
        <v>1615</v>
      </c>
      <c r="C380" t="s">
        <v>57</v>
      </c>
      <c r="G380" t="s">
        <v>1616</v>
      </c>
      <c r="I380" t="s">
        <v>84</v>
      </c>
      <c r="J380" t="s">
        <v>22</v>
      </c>
      <c r="K380" t="s">
        <v>1617</v>
      </c>
      <c r="N380">
        <v>0</v>
      </c>
      <c r="O380">
        <v>1</v>
      </c>
      <c r="P380">
        <v>0</v>
      </c>
      <c r="R380" s="1">
        <v>46034.625150462962</v>
      </c>
    </row>
    <row r="381" spans="1:18" x14ac:dyDescent="0.2">
      <c r="A381">
        <v>380</v>
      </c>
      <c r="B381" t="s">
        <v>1618</v>
      </c>
      <c r="C381" t="s">
        <v>19</v>
      </c>
      <c r="G381" t="s">
        <v>1619</v>
      </c>
      <c r="I381" t="s">
        <v>1307</v>
      </c>
      <c r="J381" t="s">
        <v>22</v>
      </c>
      <c r="K381" t="s">
        <v>1620</v>
      </c>
      <c r="N381">
        <v>0</v>
      </c>
      <c r="O381">
        <v>1</v>
      </c>
      <c r="P381">
        <v>0</v>
      </c>
      <c r="R381" s="1">
        <v>46034.625150462962</v>
      </c>
    </row>
    <row r="382" spans="1:18" x14ac:dyDescent="0.2">
      <c r="A382">
        <v>381</v>
      </c>
      <c r="B382" t="s">
        <v>1621</v>
      </c>
      <c r="C382" t="s">
        <v>19</v>
      </c>
      <c r="G382" t="s">
        <v>1622</v>
      </c>
      <c r="I382" t="s">
        <v>329</v>
      </c>
      <c r="J382" t="s">
        <v>22</v>
      </c>
      <c r="M382" t="s">
        <v>1623</v>
      </c>
      <c r="N382">
        <v>0</v>
      </c>
      <c r="O382">
        <v>1</v>
      </c>
      <c r="P382">
        <v>0</v>
      </c>
      <c r="R382" s="1">
        <v>46034.625150462962</v>
      </c>
    </row>
    <row r="383" spans="1:18" x14ac:dyDescent="0.2">
      <c r="A383">
        <v>382</v>
      </c>
      <c r="B383" t="s">
        <v>1624</v>
      </c>
      <c r="C383" t="s">
        <v>57</v>
      </c>
      <c r="G383" t="s">
        <v>47</v>
      </c>
      <c r="I383" t="s">
        <v>48</v>
      </c>
      <c r="J383" t="s">
        <v>22</v>
      </c>
      <c r="N383">
        <v>0</v>
      </c>
      <c r="O383">
        <v>1</v>
      </c>
      <c r="P383">
        <v>0</v>
      </c>
      <c r="R383" s="1">
        <v>46034.625150462962</v>
      </c>
    </row>
    <row r="384" spans="1:18" x14ac:dyDescent="0.2">
      <c r="A384">
        <v>383</v>
      </c>
      <c r="B384" t="s">
        <v>1625</v>
      </c>
      <c r="C384" t="s">
        <v>57</v>
      </c>
      <c r="G384" t="s">
        <v>262</v>
      </c>
      <c r="I384" t="s">
        <v>167</v>
      </c>
      <c r="J384" t="s">
        <v>22</v>
      </c>
      <c r="K384" t="s">
        <v>1626</v>
      </c>
      <c r="M384" t="s">
        <v>264</v>
      </c>
      <c r="N384">
        <v>0</v>
      </c>
      <c r="O384">
        <v>1</v>
      </c>
      <c r="P384">
        <v>0</v>
      </c>
      <c r="R384" s="1">
        <v>46034.625150462962</v>
      </c>
    </row>
    <row r="385" spans="1:18" x14ac:dyDescent="0.2">
      <c r="A385">
        <v>384</v>
      </c>
      <c r="B385" t="s">
        <v>1627</v>
      </c>
      <c r="C385" t="s">
        <v>19</v>
      </c>
      <c r="G385" t="s">
        <v>1622</v>
      </c>
      <c r="I385" t="s">
        <v>329</v>
      </c>
      <c r="J385" t="s">
        <v>22</v>
      </c>
      <c r="K385" t="s">
        <v>1628</v>
      </c>
      <c r="N385">
        <v>0</v>
      </c>
      <c r="O385">
        <v>1</v>
      </c>
      <c r="P385">
        <v>0</v>
      </c>
      <c r="R385" s="1">
        <v>46034.625150462962</v>
      </c>
    </row>
    <row r="386" spans="1:18" x14ac:dyDescent="0.2">
      <c r="A386">
        <v>385</v>
      </c>
      <c r="B386" t="s">
        <v>1629</v>
      </c>
      <c r="C386" t="s">
        <v>57</v>
      </c>
      <c r="J386" t="s">
        <v>22</v>
      </c>
      <c r="N386">
        <v>0</v>
      </c>
      <c r="O386">
        <v>1</v>
      </c>
      <c r="P386">
        <v>0</v>
      </c>
      <c r="R386" s="1">
        <v>46034.625150462962</v>
      </c>
    </row>
    <row r="387" spans="1:18" x14ac:dyDescent="0.2">
      <c r="A387">
        <v>386</v>
      </c>
      <c r="B387" t="s">
        <v>1630</v>
      </c>
      <c r="C387" t="s">
        <v>57</v>
      </c>
      <c r="G387" t="s">
        <v>1631</v>
      </c>
      <c r="I387" t="s">
        <v>1632</v>
      </c>
      <c r="J387" t="s">
        <v>22</v>
      </c>
      <c r="N387">
        <v>0</v>
      </c>
      <c r="O387">
        <v>1</v>
      </c>
      <c r="P387">
        <v>0</v>
      </c>
      <c r="R387" s="1">
        <v>46034.625150462962</v>
      </c>
    </row>
    <row r="388" spans="1:18" x14ac:dyDescent="0.2">
      <c r="A388">
        <v>387</v>
      </c>
      <c r="B388" t="s">
        <v>1633</v>
      </c>
      <c r="C388" t="s">
        <v>57</v>
      </c>
      <c r="G388" t="s">
        <v>1634</v>
      </c>
      <c r="I388" t="s">
        <v>1635</v>
      </c>
      <c r="J388" t="s">
        <v>22</v>
      </c>
      <c r="K388" t="s">
        <v>1636</v>
      </c>
      <c r="M388" t="s">
        <v>1637</v>
      </c>
      <c r="N388">
        <v>0</v>
      </c>
      <c r="O388">
        <v>1</v>
      </c>
      <c r="P388">
        <v>0</v>
      </c>
      <c r="R388" s="1">
        <v>46034.625150462962</v>
      </c>
    </row>
    <row r="389" spans="1:18" x14ac:dyDescent="0.2">
      <c r="A389">
        <v>388</v>
      </c>
      <c r="B389" t="s">
        <v>1638</v>
      </c>
      <c r="C389" t="s">
        <v>57</v>
      </c>
      <c r="G389" t="s">
        <v>1639</v>
      </c>
      <c r="I389" t="s">
        <v>1640</v>
      </c>
      <c r="J389" t="s">
        <v>22</v>
      </c>
      <c r="K389" t="s">
        <v>1641</v>
      </c>
      <c r="M389" t="s">
        <v>1642</v>
      </c>
      <c r="N389">
        <v>0</v>
      </c>
      <c r="O389">
        <v>1</v>
      </c>
      <c r="P389">
        <v>0</v>
      </c>
      <c r="R389" s="1">
        <v>46034.625150462962</v>
      </c>
    </row>
    <row r="390" spans="1:18" x14ac:dyDescent="0.2">
      <c r="A390">
        <v>389</v>
      </c>
      <c r="B390" t="s">
        <v>1643</v>
      </c>
      <c r="C390" t="s">
        <v>57</v>
      </c>
      <c r="G390" t="s">
        <v>1644</v>
      </c>
      <c r="I390" t="s">
        <v>1276</v>
      </c>
      <c r="J390" t="s">
        <v>22</v>
      </c>
      <c r="K390" t="s">
        <v>1645</v>
      </c>
      <c r="M390" t="s">
        <v>1646</v>
      </c>
      <c r="N390">
        <v>0</v>
      </c>
      <c r="O390">
        <v>1</v>
      </c>
      <c r="P390">
        <v>0</v>
      </c>
      <c r="R390" s="1">
        <v>46034.625150462962</v>
      </c>
    </row>
    <row r="391" spans="1:18" x14ac:dyDescent="0.2">
      <c r="A391">
        <v>390</v>
      </c>
      <c r="B391" t="s">
        <v>1647</v>
      </c>
      <c r="C391" t="s">
        <v>57</v>
      </c>
      <c r="J391" t="s">
        <v>22</v>
      </c>
      <c r="N391">
        <v>0</v>
      </c>
      <c r="O391">
        <v>1</v>
      </c>
      <c r="P391">
        <v>0</v>
      </c>
      <c r="R391" s="1">
        <v>46034.625150462962</v>
      </c>
    </row>
    <row r="392" spans="1:18" x14ac:dyDescent="0.2">
      <c r="A392">
        <v>391</v>
      </c>
      <c r="B392" t="s">
        <v>1648</v>
      </c>
      <c r="C392" t="s">
        <v>57</v>
      </c>
      <c r="J392" t="s">
        <v>22</v>
      </c>
      <c r="N392">
        <v>0</v>
      </c>
      <c r="O392">
        <v>1</v>
      </c>
      <c r="P392">
        <v>0</v>
      </c>
      <c r="R392" s="1">
        <v>46034.625150462962</v>
      </c>
    </row>
    <row r="393" spans="1:18" x14ac:dyDescent="0.2">
      <c r="A393">
        <v>392</v>
      </c>
      <c r="B393" t="s">
        <v>1649</v>
      </c>
      <c r="C393" t="s">
        <v>57</v>
      </c>
      <c r="G393" t="s">
        <v>1650</v>
      </c>
      <c r="I393" t="s">
        <v>167</v>
      </c>
      <c r="J393" t="s">
        <v>22</v>
      </c>
      <c r="K393" t="s">
        <v>1651</v>
      </c>
      <c r="M393" t="s">
        <v>1652</v>
      </c>
      <c r="N393">
        <v>0</v>
      </c>
      <c r="O393">
        <v>1</v>
      </c>
      <c r="P393">
        <v>0</v>
      </c>
      <c r="R393" s="1">
        <v>46034.625150462962</v>
      </c>
    </row>
    <row r="394" spans="1:18" x14ac:dyDescent="0.2">
      <c r="A394">
        <v>393</v>
      </c>
      <c r="B394" t="s">
        <v>1653</v>
      </c>
      <c r="C394" t="s">
        <v>57</v>
      </c>
      <c r="G394" t="s">
        <v>1654</v>
      </c>
      <c r="I394" t="s">
        <v>675</v>
      </c>
      <c r="J394" t="s">
        <v>22</v>
      </c>
      <c r="K394" t="s">
        <v>1655</v>
      </c>
      <c r="N394">
        <v>0</v>
      </c>
      <c r="O394">
        <v>1</v>
      </c>
      <c r="P394">
        <v>0</v>
      </c>
      <c r="R394" s="1">
        <v>46034.625150462962</v>
      </c>
    </row>
    <row r="395" spans="1:18" x14ac:dyDescent="0.2">
      <c r="A395">
        <v>394</v>
      </c>
      <c r="B395" t="s">
        <v>1656</v>
      </c>
      <c r="C395" t="s">
        <v>57</v>
      </c>
      <c r="G395" t="s">
        <v>1657</v>
      </c>
      <c r="I395" t="s">
        <v>1658</v>
      </c>
      <c r="J395" t="s">
        <v>22</v>
      </c>
      <c r="K395" t="s">
        <v>1659</v>
      </c>
      <c r="M395" t="s">
        <v>1660</v>
      </c>
      <c r="N395">
        <v>0</v>
      </c>
      <c r="O395">
        <v>1</v>
      </c>
      <c r="P395">
        <v>0</v>
      </c>
      <c r="R395" s="1">
        <v>46034.625150462962</v>
      </c>
    </row>
    <row r="396" spans="1:18" x14ac:dyDescent="0.2">
      <c r="A396">
        <v>395</v>
      </c>
      <c r="B396" t="s">
        <v>1661</v>
      </c>
      <c r="C396" t="s">
        <v>57</v>
      </c>
      <c r="G396" t="s">
        <v>1662</v>
      </c>
      <c r="I396" t="s">
        <v>1663</v>
      </c>
      <c r="J396" t="s">
        <v>22</v>
      </c>
      <c r="K396" t="s">
        <v>1664</v>
      </c>
      <c r="M396" t="s">
        <v>1665</v>
      </c>
      <c r="N396">
        <v>0</v>
      </c>
      <c r="O396">
        <v>1</v>
      </c>
      <c r="P396">
        <v>0</v>
      </c>
      <c r="R396" s="1">
        <v>46034.625150462962</v>
      </c>
    </row>
    <row r="397" spans="1:18" x14ac:dyDescent="0.2">
      <c r="A397">
        <v>396</v>
      </c>
      <c r="B397" t="s">
        <v>1666</v>
      </c>
      <c r="C397" t="s">
        <v>57</v>
      </c>
      <c r="G397" t="s">
        <v>1667</v>
      </c>
      <c r="I397" t="s">
        <v>1668</v>
      </c>
      <c r="J397" t="s">
        <v>22</v>
      </c>
      <c r="K397" t="s">
        <v>1669</v>
      </c>
      <c r="M397" t="s">
        <v>1670</v>
      </c>
      <c r="N397">
        <v>0</v>
      </c>
      <c r="O397">
        <v>1</v>
      </c>
      <c r="P397">
        <v>0</v>
      </c>
      <c r="R397" s="1">
        <v>46034.625150462962</v>
      </c>
    </row>
    <row r="398" spans="1:18" x14ac:dyDescent="0.2">
      <c r="A398">
        <v>397</v>
      </c>
      <c r="B398" t="s">
        <v>1671</v>
      </c>
      <c r="C398" t="s">
        <v>57</v>
      </c>
      <c r="G398" t="s">
        <v>1672</v>
      </c>
      <c r="I398" t="s">
        <v>1673</v>
      </c>
      <c r="J398" t="s">
        <v>22</v>
      </c>
      <c r="K398" t="s">
        <v>1674</v>
      </c>
      <c r="N398">
        <v>0</v>
      </c>
      <c r="O398">
        <v>1</v>
      </c>
      <c r="P398">
        <v>0</v>
      </c>
      <c r="R398" s="1">
        <v>46034.625150462962</v>
      </c>
    </row>
    <row r="399" spans="1:18" x14ac:dyDescent="0.2">
      <c r="A399">
        <v>398</v>
      </c>
      <c r="B399" t="s">
        <v>1675</v>
      </c>
      <c r="C399" t="s">
        <v>57</v>
      </c>
      <c r="G399" t="s">
        <v>1676</v>
      </c>
      <c r="I399" t="s">
        <v>152</v>
      </c>
      <c r="J399" t="s">
        <v>22</v>
      </c>
      <c r="K399" t="s">
        <v>1677</v>
      </c>
      <c r="M399" t="s">
        <v>1678</v>
      </c>
      <c r="N399">
        <v>0</v>
      </c>
      <c r="O399">
        <v>1</v>
      </c>
      <c r="P399">
        <v>0</v>
      </c>
      <c r="R399" s="1">
        <v>46034.625150462962</v>
      </c>
    </row>
    <row r="400" spans="1:18" x14ac:dyDescent="0.2">
      <c r="A400">
        <v>399</v>
      </c>
      <c r="B400" t="s">
        <v>1679</v>
      </c>
      <c r="C400" t="s">
        <v>57</v>
      </c>
      <c r="I400" t="s">
        <v>1680</v>
      </c>
      <c r="J400" t="s">
        <v>22</v>
      </c>
      <c r="N400">
        <v>0</v>
      </c>
      <c r="O400">
        <v>1</v>
      </c>
      <c r="P400">
        <v>0</v>
      </c>
      <c r="R400" s="1">
        <v>46034.625150462962</v>
      </c>
    </row>
    <row r="401" spans="1:18" x14ac:dyDescent="0.2">
      <c r="A401">
        <v>400</v>
      </c>
      <c r="B401" t="s">
        <v>1681</v>
      </c>
      <c r="C401" t="s">
        <v>57</v>
      </c>
      <c r="G401" t="s">
        <v>1682</v>
      </c>
      <c r="I401" t="s">
        <v>1683</v>
      </c>
      <c r="J401" t="s">
        <v>22</v>
      </c>
      <c r="K401" t="s">
        <v>1684</v>
      </c>
      <c r="N401">
        <v>0</v>
      </c>
      <c r="O401">
        <v>1</v>
      </c>
      <c r="P401">
        <v>0</v>
      </c>
      <c r="R401" s="1">
        <v>46034.625150462962</v>
      </c>
    </row>
    <row r="402" spans="1:18" x14ac:dyDescent="0.2">
      <c r="A402">
        <v>401</v>
      </c>
      <c r="B402" t="s">
        <v>1685</v>
      </c>
      <c r="C402" t="s">
        <v>57</v>
      </c>
      <c r="G402" t="s">
        <v>1686</v>
      </c>
      <c r="I402" t="s">
        <v>1344</v>
      </c>
      <c r="J402" t="s">
        <v>22</v>
      </c>
      <c r="K402" t="s">
        <v>1687</v>
      </c>
      <c r="M402" t="s">
        <v>1688</v>
      </c>
      <c r="N402">
        <v>0</v>
      </c>
      <c r="O402">
        <v>1</v>
      </c>
      <c r="P402">
        <v>0</v>
      </c>
      <c r="R402" s="1">
        <v>46034.625150462962</v>
      </c>
    </row>
    <row r="403" spans="1:18" x14ac:dyDescent="0.2">
      <c r="A403">
        <v>402</v>
      </c>
      <c r="B403" t="s">
        <v>1689</v>
      </c>
      <c r="C403" t="s">
        <v>57</v>
      </c>
      <c r="J403" t="s">
        <v>22</v>
      </c>
      <c r="N403">
        <v>0</v>
      </c>
      <c r="O403">
        <v>1</v>
      </c>
      <c r="P403">
        <v>0</v>
      </c>
      <c r="R403" s="1">
        <v>46034.625150462962</v>
      </c>
    </row>
    <row r="404" spans="1:18" x14ac:dyDescent="0.2">
      <c r="A404">
        <v>403</v>
      </c>
      <c r="B404" t="s">
        <v>1690</v>
      </c>
      <c r="C404" t="s">
        <v>57</v>
      </c>
      <c r="G404" t="s">
        <v>1691</v>
      </c>
      <c r="I404" t="s">
        <v>1299</v>
      </c>
      <c r="J404" t="s">
        <v>22</v>
      </c>
      <c r="K404" t="s">
        <v>1692</v>
      </c>
      <c r="M404" t="s">
        <v>1693</v>
      </c>
      <c r="N404">
        <v>0</v>
      </c>
      <c r="O404">
        <v>1</v>
      </c>
      <c r="P404">
        <v>0</v>
      </c>
      <c r="R404" s="1">
        <v>46034.625150462962</v>
      </c>
    </row>
    <row r="405" spans="1:18" x14ac:dyDescent="0.2">
      <c r="A405">
        <v>404</v>
      </c>
      <c r="B405" t="s">
        <v>1694</v>
      </c>
      <c r="C405" t="s">
        <v>57</v>
      </c>
      <c r="I405" t="s">
        <v>1695</v>
      </c>
      <c r="J405" t="s">
        <v>22</v>
      </c>
      <c r="N405">
        <v>0</v>
      </c>
      <c r="O405">
        <v>1</v>
      </c>
      <c r="P405">
        <v>0</v>
      </c>
      <c r="R405" s="1">
        <v>46034.625150462962</v>
      </c>
    </row>
    <row r="406" spans="1:18" x14ac:dyDescent="0.2">
      <c r="A406">
        <v>405</v>
      </c>
      <c r="B406" t="s">
        <v>1696</v>
      </c>
      <c r="C406" t="s">
        <v>57</v>
      </c>
      <c r="G406" t="s">
        <v>440</v>
      </c>
      <c r="I406" t="s">
        <v>804</v>
      </c>
      <c r="J406" t="s">
        <v>22</v>
      </c>
      <c r="N406">
        <v>0</v>
      </c>
      <c r="O406">
        <v>1</v>
      </c>
      <c r="P406">
        <v>0</v>
      </c>
      <c r="R406" s="1">
        <v>46034.625150462962</v>
      </c>
    </row>
    <row r="407" spans="1:18" x14ac:dyDescent="0.2">
      <c r="A407">
        <v>406</v>
      </c>
      <c r="B407" t="s">
        <v>1697</v>
      </c>
      <c r="C407" t="s">
        <v>57</v>
      </c>
      <c r="J407" t="s">
        <v>22</v>
      </c>
      <c r="M407" t="s">
        <v>1698</v>
      </c>
      <c r="N407">
        <v>0</v>
      </c>
      <c r="O407">
        <v>1</v>
      </c>
      <c r="P407">
        <v>0</v>
      </c>
      <c r="R407" s="1">
        <v>46034.625150462962</v>
      </c>
    </row>
    <row r="408" spans="1:18" x14ac:dyDescent="0.2">
      <c r="A408">
        <v>407</v>
      </c>
      <c r="B408" t="s">
        <v>1699</v>
      </c>
      <c r="C408" t="s">
        <v>57</v>
      </c>
      <c r="G408" t="s">
        <v>1700</v>
      </c>
      <c r="I408" t="s">
        <v>84</v>
      </c>
      <c r="J408" t="s">
        <v>22</v>
      </c>
      <c r="K408" t="s">
        <v>1701</v>
      </c>
      <c r="N408">
        <v>0</v>
      </c>
      <c r="O408">
        <v>1</v>
      </c>
      <c r="P408">
        <v>0</v>
      </c>
      <c r="R408" s="1">
        <v>46034.625150462962</v>
      </c>
    </row>
    <row r="409" spans="1:18" x14ac:dyDescent="0.2">
      <c r="A409">
        <v>408</v>
      </c>
      <c r="B409" t="s">
        <v>1702</v>
      </c>
      <c r="C409" t="s">
        <v>57</v>
      </c>
      <c r="J409" t="s">
        <v>22</v>
      </c>
      <c r="N409">
        <v>0</v>
      </c>
      <c r="O409">
        <v>1</v>
      </c>
      <c r="P409">
        <v>0</v>
      </c>
      <c r="R409" s="1">
        <v>46034.625150462962</v>
      </c>
    </row>
    <row r="410" spans="1:18" x14ac:dyDescent="0.2">
      <c r="A410">
        <v>409</v>
      </c>
      <c r="B410" t="s">
        <v>1703</v>
      </c>
      <c r="C410" t="s">
        <v>57</v>
      </c>
      <c r="J410" t="s">
        <v>22</v>
      </c>
      <c r="K410" t="s">
        <v>1704</v>
      </c>
      <c r="M410" t="s">
        <v>1705</v>
      </c>
      <c r="N410">
        <v>0</v>
      </c>
      <c r="O410">
        <v>1</v>
      </c>
      <c r="P410">
        <v>0</v>
      </c>
      <c r="R410" s="1">
        <v>46034.625150462962</v>
      </c>
    </row>
    <row r="411" spans="1:18" x14ac:dyDescent="0.2">
      <c r="A411">
        <v>410</v>
      </c>
      <c r="B411" t="s">
        <v>1706</v>
      </c>
      <c r="C411" t="s">
        <v>57</v>
      </c>
      <c r="G411" t="s">
        <v>1707</v>
      </c>
      <c r="I411" t="s">
        <v>1708</v>
      </c>
      <c r="J411" t="s">
        <v>22</v>
      </c>
      <c r="K411" t="s">
        <v>1709</v>
      </c>
      <c r="N411">
        <v>0</v>
      </c>
      <c r="O411">
        <v>1</v>
      </c>
      <c r="P411">
        <v>0</v>
      </c>
      <c r="R411" s="1">
        <v>46034.625150462962</v>
      </c>
    </row>
    <row r="412" spans="1:18" x14ac:dyDescent="0.2">
      <c r="A412">
        <v>411</v>
      </c>
      <c r="B412" t="s">
        <v>1710</v>
      </c>
      <c r="C412" t="s">
        <v>57</v>
      </c>
      <c r="G412" t="s">
        <v>1711</v>
      </c>
      <c r="I412" t="s">
        <v>441</v>
      </c>
      <c r="J412" t="s">
        <v>22</v>
      </c>
      <c r="K412" t="s">
        <v>1712</v>
      </c>
      <c r="N412">
        <v>0</v>
      </c>
      <c r="O412">
        <v>1</v>
      </c>
      <c r="P412">
        <v>0</v>
      </c>
      <c r="R412" s="1">
        <v>46034.625150462962</v>
      </c>
    </row>
    <row r="413" spans="1:18" x14ac:dyDescent="0.2">
      <c r="A413">
        <v>412</v>
      </c>
      <c r="B413" t="s">
        <v>1713</v>
      </c>
      <c r="C413" t="s">
        <v>57</v>
      </c>
      <c r="G413" t="s">
        <v>1714</v>
      </c>
      <c r="I413" t="s">
        <v>1715</v>
      </c>
      <c r="J413" t="s">
        <v>22</v>
      </c>
      <c r="K413" t="s">
        <v>1716</v>
      </c>
      <c r="M413" t="s">
        <v>1717</v>
      </c>
      <c r="N413">
        <v>0</v>
      </c>
      <c r="O413">
        <v>1</v>
      </c>
      <c r="P413">
        <v>0</v>
      </c>
      <c r="R413" s="1">
        <v>46034.625150462962</v>
      </c>
    </row>
    <row r="414" spans="1:18" x14ac:dyDescent="0.2">
      <c r="A414">
        <v>413</v>
      </c>
      <c r="B414" t="s">
        <v>1718</v>
      </c>
      <c r="C414" t="s">
        <v>57</v>
      </c>
      <c r="J414" t="s">
        <v>22</v>
      </c>
      <c r="N414">
        <v>0</v>
      </c>
      <c r="O414">
        <v>1</v>
      </c>
      <c r="P414">
        <v>0</v>
      </c>
      <c r="R414" s="1">
        <v>46034.625150462962</v>
      </c>
    </row>
    <row r="415" spans="1:18" x14ac:dyDescent="0.2">
      <c r="A415">
        <v>414</v>
      </c>
      <c r="B415" t="s">
        <v>1719</v>
      </c>
      <c r="C415" t="s">
        <v>57</v>
      </c>
      <c r="G415" t="s">
        <v>1720</v>
      </c>
      <c r="I415" t="s">
        <v>1721</v>
      </c>
      <c r="J415" t="s">
        <v>22</v>
      </c>
      <c r="K415" t="s">
        <v>1722</v>
      </c>
      <c r="N415">
        <v>0</v>
      </c>
      <c r="O415">
        <v>1</v>
      </c>
      <c r="P415">
        <v>0</v>
      </c>
      <c r="R415" s="1">
        <v>46034.625150462962</v>
      </c>
    </row>
    <row r="416" spans="1:18" x14ac:dyDescent="0.2">
      <c r="A416">
        <v>415</v>
      </c>
      <c r="B416" t="s">
        <v>1723</v>
      </c>
      <c r="C416" t="s">
        <v>57</v>
      </c>
      <c r="G416" t="s">
        <v>1724</v>
      </c>
      <c r="I416" t="s">
        <v>1214</v>
      </c>
      <c r="J416" t="s">
        <v>22</v>
      </c>
      <c r="N416">
        <v>0</v>
      </c>
      <c r="O416">
        <v>1</v>
      </c>
      <c r="P416">
        <v>0</v>
      </c>
      <c r="R416" s="1">
        <v>46034.625150462962</v>
      </c>
    </row>
    <row r="417" spans="1:18" x14ac:dyDescent="0.2">
      <c r="A417">
        <v>416</v>
      </c>
      <c r="B417" t="s">
        <v>1725</v>
      </c>
      <c r="C417" t="s">
        <v>57</v>
      </c>
      <c r="I417" t="s">
        <v>1726</v>
      </c>
      <c r="J417" t="s">
        <v>22</v>
      </c>
      <c r="N417">
        <v>0</v>
      </c>
      <c r="O417">
        <v>1</v>
      </c>
      <c r="P417">
        <v>0</v>
      </c>
      <c r="R417" s="1">
        <v>46034.625150462962</v>
      </c>
    </row>
    <row r="418" spans="1:18" x14ac:dyDescent="0.2">
      <c r="A418">
        <v>417</v>
      </c>
      <c r="B418" t="s">
        <v>1727</v>
      </c>
      <c r="C418" t="s">
        <v>57</v>
      </c>
      <c r="G418" t="s">
        <v>1728</v>
      </c>
      <c r="I418" t="s">
        <v>415</v>
      </c>
      <c r="J418" t="s">
        <v>22</v>
      </c>
      <c r="K418" t="s">
        <v>1729</v>
      </c>
      <c r="M418" t="s">
        <v>1730</v>
      </c>
      <c r="N418">
        <v>0</v>
      </c>
      <c r="O418">
        <v>1</v>
      </c>
      <c r="P418">
        <v>0</v>
      </c>
      <c r="R418" s="1">
        <v>46034.625150462962</v>
      </c>
    </row>
    <row r="419" spans="1:18" x14ac:dyDescent="0.2">
      <c r="A419">
        <v>418</v>
      </c>
      <c r="B419" t="s">
        <v>1731</v>
      </c>
      <c r="C419" t="s">
        <v>57</v>
      </c>
      <c r="G419" t="s">
        <v>1732</v>
      </c>
      <c r="I419" t="s">
        <v>1303</v>
      </c>
      <c r="J419" t="s">
        <v>22</v>
      </c>
      <c r="K419" t="s">
        <v>1733</v>
      </c>
      <c r="N419">
        <v>0</v>
      </c>
      <c r="O419">
        <v>1</v>
      </c>
      <c r="P419">
        <v>0</v>
      </c>
      <c r="R419" s="1">
        <v>46034.625150462962</v>
      </c>
    </row>
    <row r="420" spans="1:18" x14ac:dyDescent="0.2">
      <c r="A420">
        <v>419</v>
      </c>
      <c r="B420" t="s">
        <v>1734</v>
      </c>
      <c r="C420" t="s">
        <v>57</v>
      </c>
      <c r="G420" t="s">
        <v>1732</v>
      </c>
      <c r="I420" t="s">
        <v>173</v>
      </c>
      <c r="J420" t="s">
        <v>22</v>
      </c>
      <c r="M420" t="s">
        <v>1735</v>
      </c>
      <c r="N420">
        <v>0</v>
      </c>
      <c r="O420">
        <v>1</v>
      </c>
      <c r="P420">
        <v>0</v>
      </c>
      <c r="R420" s="1">
        <v>46034.625150462962</v>
      </c>
    </row>
    <row r="421" spans="1:18" x14ac:dyDescent="0.2">
      <c r="A421">
        <v>420</v>
      </c>
      <c r="B421" t="s">
        <v>1736</v>
      </c>
      <c r="C421" t="s">
        <v>57</v>
      </c>
      <c r="G421" t="s">
        <v>1737</v>
      </c>
      <c r="I421" t="s">
        <v>84</v>
      </c>
      <c r="J421" t="s">
        <v>22</v>
      </c>
      <c r="K421" t="s">
        <v>1738</v>
      </c>
      <c r="M421" t="s">
        <v>1739</v>
      </c>
      <c r="N421">
        <v>0</v>
      </c>
      <c r="O421">
        <v>1</v>
      </c>
      <c r="P421">
        <v>0</v>
      </c>
      <c r="R421" s="1">
        <v>46034.625150462962</v>
      </c>
    </row>
    <row r="422" spans="1:18" x14ac:dyDescent="0.2">
      <c r="A422">
        <v>421</v>
      </c>
      <c r="B422" t="s">
        <v>1740</v>
      </c>
      <c r="C422" t="s">
        <v>57</v>
      </c>
      <c r="J422" t="s">
        <v>22</v>
      </c>
      <c r="N422">
        <v>0</v>
      </c>
      <c r="O422">
        <v>1</v>
      </c>
      <c r="P422">
        <v>0</v>
      </c>
      <c r="R422" s="1">
        <v>46034.625150462962</v>
      </c>
    </row>
    <row r="423" spans="1:18" x14ac:dyDescent="0.2">
      <c r="A423">
        <v>422</v>
      </c>
      <c r="B423" t="s">
        <v>1741</v>
      </c>
      <c r="C423" t="s">
        <v>57</v>
      </c>
      <c r="I423" t="s">
        <v>1742</v>
      </c>
      <c r="J423" t="s">
        <v>22</v>
      </c>
      <c r="N423">
        <v>0</v>
      </c>
      <c r="O423">
        <v>1</v>
      </c>
      <c r="P423">
        <v>0</v>
      </c>
      <c r="R423" s="1">
        <v>46034.625150462962</v>
      </c>
    </row>
    <row r="424" spans="1:18" x14ac:dyDescent="0.2">
      <c r="A424">
        <v>423</v>
      </c>
      <c r="B424" t="s">
        <v>1743</v>
      </c>
      <c r="C424" t="s">
        <v>57</v>
      </c>
      <c r="G424" t="s">
        <v>1744</v>
      </c>
      <c r="I424" t="s">
        <v>1640</v>
      </c>
      <c r="J424" t="s">
        <v>22</v>
      </c>
      <c r="K424" t="s">
        <v>1745</v>
      </c>
      <c r="M424" t="s">
        <v>1746</v>
      </c>
      <c r="N424">
        <v>0</v>
      </c>
      <c r="O424">
        <v>1</v>
      </c>
      <c r="P424">
        <v>0</v>
      </c>
      <c r="R424" s="1">
        <v>46034.625150462962</v>
      </c>
    </row>
    <row r="425" spans="1:18" x14ac:dyDescent="0.2">
      <c r="A425">
        <v>424</v>
      </c>
      <c r="B425" t="s">
        <v>1747</v>
      </c>
      <c r="C425" t="s">
        <v>57</v>
      </c>
      <c r="G425" t="s">
        <v>1748</v>
      </c>
      <c r="I425" t="s">
        <v>1069</v>
      </c>
      <c r="J425" t="s">
        <v>22</v>
      </c>
      <c r="K425" t="s">
        <v>1749</v>
      </c>
      <c r="N425">
        <v>0</v>
      </c>
      <c r="O425">
        <v>1</v>
      </c>
      <c r="P425">
        <v>0</v>
      </c>
      <c r="R425" s="1">
        <v>46034.625150462962</v>
      </c>
    </row>
    <row r="426" spans="1:18" x14ac:dyDescent="0.2">
      <c r="A426">
        <v>425</v>
      </c>
      <c r="B426" t="s">
        <v>1750</v>
      </c>
      <c r="C426" t="s">
        <v>57</v>
      </c>
      <c r="G426" t="s">
        <v>1751</v>
      </c>
      <c r="I426" t="s">
        <v>1223</v>
      </c>
      <c r="J426" t="s">
        <v>22</v>
      </c>
      <c r="N426">
        <v>0</v>
      </c>
      <c r="O426">
        <v>1</v>
      </c>
      <c r="P426">
        <v>0</v>
      </c>
      <c r="R426" s="1">
        <v>46034.625150462962</v>
      </c>
    </row>
    <row r="427" spans="1:18" x14ac:dyDescent="0.2">
      <c r="A427">
        <v>426</v>
      </c>
      <c r="B427" t="s">
        <v>1752</v>
      </c>
      <c r="C427" t="s">
        <v>57</v>
      </c>
      <c r="G427" t="s">
        <v>1753</v>
      </c>
      <c r="I427" t="s">
        <v>1754</v>
      </c>
      <c r="J427" t="s">
        <v>22</v>
      </c>
      <c r="K427" t="s">
        <v>1755</v>
      </c>
      <c r="M427" t="s">
        <v>1756</v>
      </c>
      <c r="N427">
        <v>0</v>
      </c>
      <c r="O427">
        <v>1</v>
      </c>
      <c r="P427">
        <v>0</v>
      </c>
      <c r="R427" s="1">
        <v>46034.625150462962</v>
      </c>
    </row>
    <row r="428" spans="1:18" x14ac:dyDescent="0.2">
      <c r="A428">
        <v>427</v>
      </c>
      <c r="B428" t="s">
        <v>1757</v>
      </c>
      <c r="C428" t="s">
        <v>57</v>
      </c>
      <c r="G428" t="s">
        <v>1758</v>
      </c>
      <c r="I428" t="s">
        <v>790</v>
      </c>
      <c r="J428" t="s">
        <v>22</v>
      </c>
      <c r="K428" t="s">
        <v>1759</v>
      </c>
      <c r="N428">
        <v>0</v>
      </c>
      <c r="O428">
        <v>1</v>
      </c>
      <c r="P428">
        <v>0</v>
      </c>
      <c r="R428" s="1">
        <v>46034.625150462962</v>
      </c>
    </row>
    <row r="429" spans="1:18" x14ac:dyDescent="0.2">
      <c r="A429">
        <v>428</v>
      </c>
      <c r="B429" t="s">
        <v>1760</v>
      </c>
      <c r="C429" t="s">
        <v>57</v>
      </c>
      <c r="J429" t="s">
        <v>22</v>
      </c>
      <c r="N429">
        <v>0</v>
      </c>
      <c r="O429">
        <v>1</v>
      </c>
      <c r="P429">
        <v>0</v>
      </c>
      <c r="R429" s="1">
        <v>46034.625150462962</v>
      </c>
    </row>
    <row r="430" spans="1:18" x14ac:dyDescent="0.2">
      <c r="A430">
        <v>429</v>
      </c>
      <c r="B430" t="s">
        <v>1761</v>
      </c>
      <c r="C430" t="s">
        <v>57</v>
      </c>
      <c r="G430" t="s">
        <v>1762</v>
      </c>
      <c r="I430" t="s">
        <v>1763</v>
      </c>
      <c r="J430" t="s">
        <v>22</v>
      </c>
      <c r="K430" t="s">
        <v>1764</v>
      </c>
      <c r="N430">
        <v>0</v>
      </c>
      <c r="O430">
        <v>1</v>
      </c>
      <c r="P430">
        <v>0</v>
      </c>
      <c r="R430" s="1">
        <v>46034.625150462962</v>
      </c>
    </row>
    <row r="431" spans="1:18" x14ac:dyDescent="0.2">
      <c r="A431">
        <v>430</v>
      </c>
      <c r="B431" t="s">
        <v>1765</v>
      </c>
      <c r="C431" t="s">
        <v>57</v>
      </c>
      <c r="G431" t="s">
        <v>1766</v>
      </c>
      <c r="I431" t="s">
        <v>357</v>
      </c>
      <c r="J431" t="s">
        <v>22</v>
      </c>
      <c r="K431" t="s">
        <v>1767</v>
      </c>
      <c r="M431" t="s">
        <v>1768</v>
      </c>
      <c r="N431">
        <v>0</v>
      </c>
      <c r="O431">
        <v>1</v>
      </c>
      <c r="P431">
        <v>0</v>
      </c>
      <c r="R431" s="1">
        <v>46034.625150462962</v>
      </c>
    </row>
    <row r="432" spans="1:18" x14ac:dyDescent="0.2">
      <c r="A432">
        <v>431</v>
      </c>
      <c r="B432" t="s">
        <v>1769</v>
      </c>
      <c r="C432" t="s">
        <v>57</v>
      </c>
      <c r="I432" t="s">
        <v>421</v>
      </c>
      <c r="J432" t="s">
        <v>22</v>
      </c>
      <c r="N432">
        <v>0</v>
      </c>
      <c r="O432">
        <v>1</v>
      </c>
      <c r="P432">
        <v>0</v>
      </c>
      <c r="R432" s="1">
        <v>46034.625150462962</v>
      </c>
    </row>
    <row r="433" spans="1:18" x14ac:dyDescent="0.2">
      <c r="A433">
        <v>432</v>
      </c>
      <c r="B433" t="s">
        <v>1770</v>
      </c>
      <c r="C433" t="s">
        <v>57</v>
      </c>
      <c r="J433" t="s">
        <v>22</v>
      </c>
      <c r="N433">
        <v>0</v>
      </c>
      <c r="O433">
        <v>1</v>
      </c>
      <c r="P433">
        <v>0</v>
      </c>
      <c r="R433" s="1">
        <v>46034.625150462962</v>
      </c>
    </row>
    <row r="434" spans="1:18" x14ac:dyDescent="0.2">
      <c r="A434">
        <v>433</v>
      </c>
      <c r="B434" t="s">
        <v>1771</v>
      </c>
      <c r="C434" t="s">
        <v>57</v>
      </c>
      <c r="I434" t="s">
        <v>1299</v>
      </c>
      <c r="J434" t="s">
        <v>22</v>
      </c>
      <c r="N434">
        <v>0</v>
      </c>
      <c r="O434">
        <v>1</v>
      </c>
      <c r="P434">
        <v>0</v>
      </c>
      <c r="R434" s="1">
        <v>46034.625150462962</v>
      </c>
    </row>
    <row r="435" spans="1:18" x14ac:dyDescent="0.2">
      <c r="A435">
        <v>434</v>
      </c>
      <c r="B435" t="s">
        <v>1772</v>
      </c>
      <c r="C435" t="s">
        <v>57</v>
      </c>
      <c r="G435" t="s">
        <v>1773</v>
      </c>
      <c r="I435" t="s">
        <v>1288</v>
      </c>
      <c r="J435" t="s">
        <v>22</v>
      </c>
      <c r="K435" t="s">
        <v>1774</v>
      </c>
      <c r="M435" t="s">
        <v>1775</v>
      </c>
      <c r="N435">
        <v>0</v>
      </c>
      <c r="O435">
        <v>1</v>
      </c>
      <c r="P435">
        <v>0</v>
      </c>
      <c r="R435" s="1">
        <v>46034.625150462962</v>
      </c>
    </row>
    <row r="436" spans="1:18" x14ac:dyDescent="0.2">
      <c r="A436">
        <v>435</v>
      </c>
      <c r="B436" t="s">
        <v>1776</v>
      </c>
      <c r="C436" t="s">
        <v>57</v>
      </c>
      <c r="G436" t="s">
        <v>1777</v>
      </c>
      <c r="I436" t="s">
        <v>415</v>
      </c>
      <c r="J436" t="s">
        <v>22</v>
      </c>
      <c r="K436" t="s">
        <v>1778</v>
      </c>
      <c r="M436" t="s">
        <v>1779</v>
      </c>
      <c r="N436">
        <v>0</v>
      </c>
      <c r="O436">
        <v>1</v>
      </c>
      <c r="P436">
        <v>0</v>
      </c>
      <c r="R436" s="1">
        <v>46034.625150462962</v>
      </c>
    </row>
    <row r="437" spans="1:18" x14ac:dyDescent="0.2">
      <c r="A437">
        <v>436</v>
      </c>
      <c r="B437" t="s">
        <v>1780</v>
      </c>
      <c r="C437" t="s">
        <v>57</v>
      </c>
      <c r="G437" t="s">
        <v>1781</v>
      </c>
      <c r="I437" t="s">
        <v>1782</v>
      </c>
      <c r="J437" t="s">
        <v>22</v>
      </c>
      <c r="K437" t="s">
        <v>1783</v>
      </c>
      <c r="N437">
        <v>0</v>
      </c>
      <c r="O437">
        <v>1</v>
      </c>
      <c r="P437">
        <v>0</v>
      </c>
      <c r="R437" s="1">
        <v>46034.625150462962</v>
      </c>
    </row>
    <row r="438" spans="1:18" x14ac:dyDescent="0.2">
      <c r="A438">
        <v>437</v>
      </c>
      <c r="B438" t="s">
        <v>1784</v>
      </c>
      <c r="C438" t="s">
        <v>57</v>
      </c>
      <c r="G438" t="s">
        <v>1785</v>
      </c>
      <c r="I438" t="s">
        <v>1786</v>
      </c>
      <c r="J438" t="s">
        <v>22</v>
      </c>
      <c r="K438" t="s">
        <v>1787</v>
      </c>
      <c r="N438">
        <v>0</v>
      </c>
      <c r="O438">
        <v>1</v>
      </c>
      <c r="P438">
        <v>0</v>
      </c>
      <c r="R438" s="1">
        <v>46034.625150462962</v>
      </c>
    </row>
    <row r="439" spans="1:18" x14ac:dyDescent="0.2">
      <c r="A439">
        <v>438</v>
      </c>
      <c r="B439" t="s">
        <v>1788</v>
      </c>
      <c r="C439" t="s">
        <v>57</v>
      </c>
      <c r="G439" t="s">
        <v>1789</v>
      </c>
      <c r="I439" t="s">
        <v>1673</v>
      </c>
      <c r="J439" t="s">
        <v>22</v>
      </c>
      <c r="K439" t="s">
        <v>1790</v>
      </c>
      <c r="N439">
        <v>0</v>
      </c>
      <c r="O439">
        <v>1</v>
      </c>
      <c r="P439">
        <v>0</v>
      </c>
      <c r="R439" s="1">
        <v>46034.625150462962</v>
      </c>
    </row>
    <row r="440" spans="1:18" x14ac:dyDescent="0.2">
      <c r="A440">
        <v>439</v>
      </c>
      <c r="B440" t="s">
        <v>1791</v>
      </c>
      <c r="C440" t="s">
        <v>57</v>
      </c>
      <c r="G440" t="s">
        <v>1792</v>
      </c>
      <c r="I440" t="s">
        <v>426</v>
      </c>
      <c r="J440" t="s">
        <v>22</v>
      </c>
      <c r="K440" t="s">
        <v>1793</v>
      </c>
      <c r="N440">
        <v>0</v>
      </c>
      <c r="O440">
        <v>1</v>
      </c>
      <c r="P440">
        <v>0</v>
      </c>
      <c r="R440" s="1">
        <v>46034.625150462962</v>
      </c>
    </row>
    <row r="441" spans="1:18" x14ac:dyDescent="0.2">
      <c r="A441">
        <v>440</v>
      </c>
      <c r="B441" t="s">
        <v>1794</v>
      </c>
      <c r="C441" t="s">
        <v>57</v>
      </c>
      <c r="G441" t="s">
        <v>1795</v>
      </c>
      <c r="I441" t="s">
        <v>1796</v>
      </c>
      <c r="J441" t="s">
        <v>22</v>
      </c>
      <c r="K441" t="s">
        <v>1797</v>
      </c>
      <c r="M441" t="s">
        <v>1798</v>
      </c>
      <c r="N441">
        <v>0</v>
      </c>
      <c r="O441">
        <v>1</v>
      </c>
      <c r="P441">
        <v>0</v>
      </c>
      <c r="R441" s="1">
        <v>46034.625150462962</v>
      </c>
    </row>
    <row r="442" spans="1:18" x14ac:dyDescent="0.2">
      <c r="A442">
        <v>441</v>
      </c>
      <c r="B442" t="s">
        <v>1799</v>
      </c>
      <c r="C442" t="s">
        <v>57</v>
      </c>
      <c r="G442" t="s">
        <v>1800</v>
      </c>
      <c r="I442" t="s">
        <v>1085</v>
      </c>
      <c r="J442" t="s">
        <v>22</v>
      </c>
      <c r="N442">
        <v>0</v>
      </c>
      <c r="O442">
        <v>1</v>
      </c>
      <c r="P442">
        <v>0</v>
      </c>
      <c r="R442" s="1">
        <v>46034.625150462962</v>
      </c>
    </row>
    <row r="443" spans="1:18" x14ac:dyDescent="0.2">
      <c r="A443">
        <v>442</v>
      </c>
      <c r="B443" t="s">
        <v>1801</v>
      </c>
      <c r="C443" t="s">
        <v>57</v>
      </c>
      <c r="J443" t="s">
        <v>22</v>
      </c>
      <c r="K443" t="s">
        <v>1802</v>
      </c>
      <c r="M443" t="s">
        <v>1803</v>
      </c>
      <c r="N443">
        <v>0</v>
      </c>
      <c r="O443">
        <v>1</v>
      </c>
      <c r="P443">
        <v>0</v>
      </c>
      <c r="R443" s="1">
        <v>46034.625150462962</v>
      </c>
    </row>
    <row r="444" spans="1:18" x14ac:dyDescent="0.2">
      <c r="A444">
        <v>443</v>
      </c>
      <c r="B444" t="s">
        <v>1804</v>
      </c>
      <c r="C444" t="s">
        <v>57</v>
      </c>
      <c r="G444" t="s">
        <v>1805</v>
      </c>
      <c r="I444" t="s">
        <v>1715</v>
      </c>
      <c r="J444" t="s">
        <v>22</v>
      </c>
      <c r="K444" t="s">
        <v>1806</v>
      </c>
      <c r="N444">
        <v>0</v>
      </c>
      <c r="O444">
        <v>1</v>
      </c>
      <c r="P444">
        <v>0</v>
      </c>
      <c r="R444" s="1">
        <v>46034.625150462962</v>
      </c>
    </row>
    <row r="445" spans="1:18" x14ac:dyDescent="0.2">
      <c r="A445">
        <v>444</v>
      </c>
      <c r="B445" t="s">
        <v>1807</v>
      </c>
      <c r="C445" t="s">
        <v>57</v>
      </c>
      <c r="G445" t="s">
        <v>1808</v>
      </c>
      <c r="I445" t="s">
        <v>1809</v>
      </c>
      <c r="J445" t="s">
        <v>22</v>
      </c>
      <c r="K445" t="s">
        <v>1810</v>
      </c>
      <c r="N445">
        <v>0</v>
      </c>
      <c r="O445">
        <v>1</v>
      </c>
      <c r="P445">
        <v>0</v>
      </c>
      <c r="R445" s="1">
        <v>46034.625150462962</v>
      </c>
    </row>
    <row r="446" spans="1:18" x14ac:dyDescent="0.2">
      <c r="A446">
        <v>445</v>
      </c>
      <c r="B446" t="s">
        <v>1811</v>
      </c>
      <c r="C446" t="s">
        <v>57</v>
      </c>
      <c r="G446" t="s">
        <v>1812</v>
      </c>
      <c r="I446" t="s">
        <v>426</v>
      </c>
      <c r="J446" t="s">
        <v>22</v>
      </c>
      <c r="K446" t="s">
        <v>1813</v>
      </c>
      <c r="N446">
        <v>0</v>
      </c>
      <c r="O446">
        <v>1</v>
      </c>
      <c r="P446">
        <v>0</v>
      </c>
      <c r="R446" s="1">
        <v>46034.625150462962</v>
      </c>
    </row>
    <row r="447" spans="1:18" x14ac:dyDescent="0.2">
      <c r="A447">
        <v>446</v>
      </c>
      <c r="B447" t="s">
        <v>1814</v>
      </c>
      <c r="C447" t="s">
        <v>57</v>
      </c>
      <c r="J447" t="s">
        <v>22</v>
      </c>
      <c r="N447">
        <v>0</v>
      </c>
      <c r="O447">
        <v>1</v>
      </c>
      <c r="P447">
        <v>0</v>
      </c>
      <c r="R447" s="1">
        <v>46034.625150462962</v>
      </c>
    </row>
    <row r="448" spans="1:18" x14ac:dyDescent="0.2">
      <c r="A448">
        <v>447</v>
      </c>
      <c r="B448" t="s">
        <v>1815</v>
      </c>
      <c r="C448" t="s">
        <v>57</v>
      </c>
      <c r="J448" t="s">
        <v>22</v>
      </c>
      <c r="N448">
        <v>0</v>
      </c>
      <c r="O448">
        <v>1</v>
      </c>
      <c r="P448">
        <v>0</v>
      </c>
      <c r="R448" s="1">
        <v>46034.625150462962</v>
      </c>
    </row>
    <row r="449" spans="1:18" x14ac:dyDescent="0.2">
      <c r="A449">
        <v>448</v>
      </c>
      <c r="B449" t="s">
        <v>1816</v>
      </c>
      <c r="C449" t="s">
        <v>57</v>
      </c>
      <c r="G449" t="s">
        <v>751</v>
      </c>
      <c r="I449" t="s">
        <v>329</v>
      </c>
      <c r="J449" t="s">
        <v>22</v>
      </c>
      <c r="K449" t="s">
        <v>1817</v>
      </c>
      <c r="N449">
        <v>0</v>
      </c>
      <c r="O449">
        <v>1</v>
      </c>
      <c r="P449">
        <v>0</v>
      </c>
      <c r="R449" s="1">
        <v>46034.625150462962</v>
      </c>
    </row>
    <row r="450" spans="1:18" x14ac:dyDescent="0.2">
      <c r="A450">
        <v>449</v>
      </c>
      <c r="B450" t="s">
        <v>1818</v>
      </c>
      <c r="C450" t="s">
        <v>57</v>
      </c>
      <c r="I450" t="s">
        <v>1819</v>
      </c>
      <c r="J450" t="s">
        <v>22</v>
      </c>
      <c r="N450">
        <v>0</v>
      </c>
      <c r="O450">
        <v>1</v>
      </c>
      <c r="P450">
        <v>0</v>
      </c>
      <c r="R450" s="1">
        <v>46034.625150462962</v>
      </c>
    </row>
    <row r="451" spans="1:18" x14ac:dyDescent="0.2">
      <c r="A451">
        <v>450</v>
      </c>
      <c r="B451" t="s">
        <v>1820</v>
      </c>
      <c r="C451" t="s">
        <v>57</v>
      </c>
      <c r="G451" t="s">
        <v>1821</v>
      </c>
      <c r="I451" t="s">
        <v>1822</v>
      </c>
      <c r="J451" t="s">
        <v>22</v>
      </c>
      <c r="K451" t="s">
        <v>1823</v>
      </c>
      <c r="N451">
        <v>0</v>
      </c>
      <c r="O451">
        <v>1</v>
      </c>
      <c r="P451">
        <v>0</v>
      </c>
      <c r="R451" s="1">
        <v>46034.625150462962</v>
      </c>
    </row>
    <row r="452" spans="1:18" x14ac:dyDescent="0.2">
      <c r="A452">
        <v>451</v>
      </c>
      <c r="B452" t="s">
        <v>1824</v>
      </c>
      <c r="C452" t="s">
        <v>57</v>
      </c>
      <c r="J452" t="s">
        <v>22</v>
      </c>
      <c r="N452">
        <v>0</v>
      </c>
      <c r="O452">
        <v>1</v>
      </c>
      <c r="P452">
        <v>0</v>
      </c>
      <c r="R452" s="1">
        <v>46034.625150462962</v>
      </c>
    </row>
    <row r="453" spans="1:18" x14ac:dyDescent="0.2">
      <c r="A453">
        <v>452</v>
      </c>
      <c r="B453" t="s">
        <v>1825</v>
      </c>
      <c r="C453" t="s">
        <v>57</v>
      </c>
      <c r="G453" t="s">
        <v>1826</v>
      </c>
      <c r="I453" t="s">
        <v>1053</v>
      </c>
      <c r="J453" t="s">
        <v>22</v>
      </c>
      <c r="K453" t="s">
        <v>1827</v>
      </c>
      <c r="M453" t="s">
        <v>1828</v>
      </c>
      <c r="N453">
        <v>0</v>
      </c>
      <c r="O453">
        <v>1</v>
      </c>
      <c r="P453">
        <v>0</v>
      </c>
      <c r="R453" s="1">
        <v>46034.625150462962</v>
      </c>
    </row>
    <row r="454" spans="1:18" x14ac:dyDescent="0.2">
      <c r="A454">
        <v>453</v>
      </c>
      <c r="B454" t="s">
        <v>1829</v>
      </c>
      <c r="C454" t="s">
        <v>57</v>
      </c>
      <c r="J454" t="s">
        <v>22</v>
      </c>
      <c r="N454">
        <v>0</v>
      </c>
      <c r="O454">
        <v>1</v>
      </c>
      <c r="P454">
        <v>0</v>
      </c>
      <c r="R454" s="1">
        <v>46034.625150462962</v>
      </c>
    </row>
    <row r="455" spans="1:18" x14ac:dyDescent="0.2">
      <c r="A455">
        <v>454</v>
      </c>
      <c r="B455" t="s">
        <v>1830</v>
      </c>
      <c r="C455" t="s">
        <v>57</v>
      </c>
      <c r="G455" t="s">
        <v>1831</v>
      </c>
      <c r="I455" t="s">
        <v>1486</v>
      </c>
      <c r="J455" t="s">
        <v>22</v>
      </c>
      <c r="K455" t="s">
        <v>1832</v>
      </c>
      <c r="N455">
        <v>0</v>
      </c>
      <c r="O455">
        <v>1</v>
      </c>
      <c r="P455">
        <v>0</v>
      </c>
      <c r="R455" s="1">
        <v>46034.625150462962</v>
      </c>
    </row>
    <row r="456" spans="1:18" x14ac:dyDescent="0.2">
      <c r="A456">
        <v>455</v>
      </c>
      <c r="B456" t="s">
        <v>1833</v>
      </c>
      <c r="C456" t="s">
        <v>57</v>
      </c>
      <c r="G456" t="s">
        <v>1834</v>
      </c>
      <c r="I456" t="s">
        <v>441</v>
      </c>
      <c r="J456" t="s">
        <v>22</v>
      </c>
      <c r="K456" t="s">
        <v>1835</v>
      </c>
      <c r="N456">
        <v>0</v>
      </c>
      <c r="O456">
        <v>1</v>
      </c>
      <c r="P456">
        <v>0</v>
      </c>
      <c r="R456" s="1">
        <v>46034.625150462962</v>
      </c>
    </row>
    <row r="457" spans="1:18" x14ac:dyDescent="0.2">
      <c r="A457">
        <v>456</v>
      </c>
      <c r="B457" t="s">
        <v>1836</v>
      </c>
      <c r="C457" t="s">
        <v>57</v>
      </c>
      <c r="G457" t="s">
        <v>367</v>
      </c>
      <c r="I457" t="s">
        <v>1837</v>
      </c>
      <c r="J457" t="s">
        <v>22</v>
      </c>
      <c r="K457" t="s">
        <v>1838</v>
      </c>
      <c r="N457">
        <v>0</v>
      </c>
      <c r="O457">
        <v>1</v>
      </c>
      <c r="P457">
        <v>0</v>
      </c>
      <c r="R457" s="1">
        <v>46034.625150462962</v>
      </c>
    </row>
    <row r="458" spans="1:18" x14ac:dyDescent="0.2">
      <c r="A458">
        <v>457</v>
      </c>
      <c r="B458" t="s">
        <v>1839</v>
      </c>
      <c r="C458" t="s">
        <v>57</v>
      </c>
      <c r="G458" t="s">
        <v>1840</v>
      </c>
      <c r="I458" t="s">
        <v>426</v>
      </c>
      <c r="J458" t="s">
        <v>22</v>
      </c>
      <c r="N458">
        <v>0</v>
      </c>
      <c r="O458">
        <v>1</v>
      </c>
      <c r="P458">
        <v>0</v>
      </c>
      <c r="R458" s="1">
        <v>46034.625150462962</v>
      </c>
    </row>
    <row r="459" spans="1:18" x14ac:dyDescent="0.2">
      <c r="A459">
        <v>458</v>
      </c>
      <c r="B459" t="s">
        <v>1841</v>
      </c>
      <c r="C459" t="s">
        <v>57</v>
      </c>
      <c r="G459" t="s">
        <v>1842</v>
      </c>
      <c r="I459" t="s">
        <v>1843</v>
      </c>
      <c r="J459" t="s">
        <v>22</v>
      </c>
      <c r="K459" t="s">
        <v>1844</v>
      </c>
      <c r="M459" t="s">
        <v>1845</v>
      </c>
      <c r="N459">
        <v>0</v>
      </c>
      <c r="O459">
        <v>1</v>
      </c>
      <c r="P459">
        <v>0</v>
      </c>
      <c r="R459" s="1">
        <v>46034.625150462962</v>
      </c>
    </row>
    <row r="460" spans="1:18" x14ac:dyDescent="0.2">
      <c r="A460">
        <v>459</v>
      </c>
      <c r="B460" t="s">
        <v>1846</v>
      </c>
      <c r="C460" t="s">
        <v>57</v>
      </c>
      <c r="G460" t="s">
        <v>430</v>
      </c>
      <c r="I460" t="s">
        <v>431</v>
      </c>
      <c r="J460" t="s">
        <v>22</v>
      </c>
      <c r="K460" t="s">
        <v>1847</v>
      </c>
      <c r="N460">
        <v>0</v>
      </c>
      <c r="O460">
        <v>1</v>
      </c>
      <c r="P460">
        <v>0</v>
      </c>
      <c r="R460" s="1">
        <v>46034.625150462962</v>
      </c>
    </row>
    <row r="461" spans="1:18" x14ac:dyDescent="0.2">
      <c r="A461">
        <v>460</v>
      </c>
      <c r="B461" t="s">
        <v>1848</v>
      </c>
      <c r="C461" t="s">
        <v>57</v>
      </c>
      <c r="G461" t="s">
        <v>1849</v>
      </c>
      <c r="I461" t="s">
        <v>1276</v>
      </c>
      <c r="J461" t="s">
        <v>22</v>
      </c>
      <c r="K461" t="s">
        <v>1850</v>
      </c>
      <c r="N461">
        <v>0</v>
      </c>
      <c r="O461">
        <v>1</v>
      </c>
      <c r="P461">
        <v>0</v>
      </c>
      <c r="R461" s="1">
        <v>46034.625150462962</v>
      </c>
    </row>
    <row r="462" spans="1:18" x14ac:dyDescent="0.2">
      <c r="A462">
        <v>461</v>
      </c>
      <c r="B462" t="s">
        <v>1851</v>
      </c>
      <c r="C462" t="s">
        <v>57</v>
      </c>
      <c r="G462" t="s">
        <v>1852</v>
      </c>
      <c r="I462" t="s">
        <v>1853</v>
      </c>
      <c r="J462" t="s">
        <v>22</v>
      </c>
      <c r="K462" t="s">
        <v>1854</v>
      </c>
      <c r="N462">
        <v>0</v>
      </c>
      <c r="O462">
        <v>1</v>
      </c>
      <c r="P462">
        <v>0</v>
      </c>
      <c r="R462" s="1">
        <v>46034.625150462962</v>
      </c>
    </row>
    <row r="463" spans="1:18" x14ac:dyDescent="0.2">
      <c r="A463">
        <v>462</v>
      </c>
      <c r="B463" t="s">
        <v>1855</v>
      </c>
      <c r="C463" t="s">
        <v>57</v>
      </c>
      <c r="G463" t="s">
        <v>1856</v>
      </c>
      <c r="I463" t="s">
        <v>329</v>
      </c>
      <c r="J463" t="s">
        <v>22</v>
      </c>
      <c r="K463" t="s">
        <v>1857</v>
      </c>
      <c r="M463" t="s">
        <v>1858</v>
      </c>
      <c r="N463">
        <v>0</v>
      </c>
      <c r="O463">
        <v>1</v>
      </c>
      <c r="P463">
        <v>0</v>
      </c>
      <c r="R463" s="1">
        <v>46034.625150462962</v>
      </c>
    </row>
    <row r="464" spans="1:18" x14ac:dyDescent="0.2">
      <c r="A464">
        <v>463</v>
      </c>
      <c r="B464" t="s">
        <v>1859</v>
      </c>
      <c r="C464" t="s">
        <v>57</v>
      </c>
      <c r="G464" t="s">
        <v>1860</v>
      </c>
      <c r="I464" t="s">
        <v>431</v>
      </c>
      <c r="J464" t="s">
        <v>22</v>
      </c>
      <c r="K464" t="s">
        <v>1861</v>
      </c>
      <c r="M464" t="s">
        <v>1862</v>
      </c>
      <c r="N464">
        <v>0</v>
      </c>
      <c r="O464">
        <v>1</v>
      </c>
      <c r="P464">
        <v>0</v>
      </c>
      <c r="R464" s="1">
        <v>46034.625150462962</v>
      </c>
    </row>
    <row r="465" spans="1:18" x14ac:dyDescent="0.2">
      <c r="A465">
        <v>464</v>
      </c>
      <c r="B465" t="s">
        <v>1863</v>
      </c>
      <c r="C465" t="s">
        <v>57</v>
      </c>
      <c r="G465" t="s">
        <v>1864</v>
      </c>
      <c r="I465" t="s">
        <v>1865</v>
      </c>
      <c r="J465" t="s">
        <v>22</v>
      </c>
      <c r="K465" t="s">
        <v>1866</v>
      </c>
      <c r="M465" t="s">
        <v>1867</v>
      </c>
      <c r="N465">
        <v>0</v>
      </c>
      <c r="O465">
        <v>1</v>
      </c>
      <c r="P465">
        <v>0</v>
      </c>
      <c r="R465" s="1">
        <v>46034.625150462962</v>
      </c>
    </row>
    <row r="466" spans="1:18" x14ac:dyDescent="0.2">
      <c r="A466">
        <v>465</v>
      </c>
      <c r="B466" t="s">
        <v>1868</v>
      </c>
      <c r="C466" t="s">
        <v>57</v>
      </c>
      <c r="G466" t="s">
        <v>1869</v>
      </c>
      <c r="I466" t="s">
        <v>426</v>
      </c>
      <c r="J466" t="s">
        <v>22</v>
      </c>
      <c r="K466" t="s">
        <v>1870</v>
      </c>
      <c r="N466">
        <v>0</v>
      </c>
      <c r="O466">
        <v>1</v>
      </c>
      <c r="P466">
        <v>0</v>
      </c>
      <c r="R466" s="1">
        <v>46034.625150462962</v>
      </c>
    </row>
    <row r="467" spans="1:18" x14ac:dyDescent="0.2">
      <c r="A467">
        <v>466</v>
      </c>
      <c r="B467" t="s">
        <v>1871</v>
      </c>
      <c r="C467" t="s">
        <v>57</v>
      </c>
      <c r="J467" t="s">
        <v>22</v>
      </c>
      <c r="M467" t="s">
        <v>1872</v>
      </c>
      <c r="N467">
        <v>0</v>
      </c>
      <c r="O467">
        <v>1</v>
      </c>
      <c r="P467">
        <v>0</v>
      </c>
      <c r="R467" s="1">
        <v>46034.625150462962</v>
      </c>
    </row>
    <row r="468" spans="1:18" x14ac:dyDescent="0.2">
      <c r="A468">
        <v>467</v>
      </c>
      <c r="B468" t="s">
        <v>1873</v>
      </c>
      <c r="C468" t="s">
        <v>57</v>
      </c>
      <c r="G468" t="s">
        <v>1874</v>
      </c>
      <c r="I468" t="s">
        <v>167</v>
      </c>
      <c r="J468" t="s">
        <v>22</v>
      </c>
      <c r="M468" t="s">
        <v>1875</v>
      </c>
      <c r="N468">
        <v>0</v>
      </c>
      <c r="O468">
        <v>1</v>
      </c>
      <c r="P468">
        <v>0</v>
      </c>
      <c r="R468" s="1">
        <v>46034.625150462962</v>
      </c>
    </row>
    <row r="469" spans="1:18" x14ac:dyDescent="0.2">
      <c r="A469">
        <v>468</v>
      </c>
      <c r="B469" t="s">
        <v>1876</v>
      </c>
      <c r="C469" t="s">
        <v>57</v>
      </c>
      <c r="G469" t="s">
        <v>1877</v>
      </c>
      <c r="I469" t="s">
        <v>1878</v>
      </c>
      <c r="J469" t="s">
        <v>22</v>
      </c>
      <c r="K469" t="s">
        <v>1879</v>
      </c>
      <c r="M469" t="s">
        <v>1880</v>
      </c>
      <c r="N469">
        <v>0</v>
      </c>
      <c r="O469">
        <v>1</v>
      </c>
      <c r="P469">
        <v>0</v>
      </c>
      <c r="R469" s="1">
        <v>46034.625150462962</v>
      </c>
    </row>
    <row r="470" spans="1:18" x14ac:dyDescent="0.2">
      <c r="A470">
        <v>469</v>
      </c>
      <c r="B470" t="s">
        <v>1881</v>
      </c>
      <c r="C470" t="s">
        <v>57</v>
      </c>
      <c r="G470" t="s">
        <v>1882</v>
      </c>
      <c r="I470" t="s">
        <v>258</v>
      </c>
      <c r="J470" t="s">
        <v>22</v>
      </c>
      <c r="K470" t="s">
        <v>1883</v>
      </c>
      <c r="M470" t="s">
        <v>1884</v>
      </c>
      <c r="N470">
        <v>0</v>
      </c>
      <c r="O470">
        <v>1</v>
      </c>
      <c r="P470">
        <v>0</v>
      </c>
      <c r="R470" s="1">
        <v>46034.625150462962</v>
      </c>
    </row>
    <row r="471" spans="1:18" x14ac:dyDescent="0.2">
      <c r="A471">
        <v>470</v>
      </c>
      <c r="B471" t="s">
        <v>1885</v>
      </c>
      <c r="C471" t="s">
        <v>57</v>
      </c>
      <c r="E471" t="s">
        <v>1886</v>
      </c>
      <c r="G471" t="s">
        <v>1887</v>
      </c>
      <c r="I471" t="s">
        <v>167</v>
      </c>
      <c r="J471" t="s">
        <v>22</v>
      </c>
      <c r="K471" t="s">
        <v>1888</v>
      </c>
      <c r="M471" t="s">
        <v>1889</v>
      </c>
      <c r="N471">
        <v>0</v>
      </c>
      <c r="O471">
        <v>1</v>
      </c>
      <c r="P471">
        <v>0</v>
      </c>
      <c r="R471" s="1">
        <v>46034.625150462962</v>
      </c>
    </row>
    <row r="472" spans="1:18" x14ac:dyDescent="0.2">
      <c r="A472">
        <v>471</v>
      </c>
      <c r="B472" t="s">
        <v>1890</v>
      </c>
      <c r="C472" t="s">
        <v>57</v>
      </c>
      <c r="G472" t="s">
        <v>1891</v>
      </c>
      <c r="I472" t="s">
        <v>1892</v>
      </c>
      <c r="J472" t="s">
        <v>22</v>
      </c>
      <c r="K472" t="s">
        <v>1893</v>
      </c>
      <c r="M472" t="s">
        <v>1894</v>
      </c>
      <c r="N472">
        <v>0</v>
      </c>
      <c r="O472">
        <v>1</v>
      </c>
      <c r="P472">
        <v>0</v>
      </c>
      <c r="R472" s="1">
        <v>46034.625150462962</v>
      </c>
    </row>
    <row r="473" spans="1:18" x14ac:dyDescent="0.2">
      <c r="A473">
        <v>472</v>
      </c>
      <c r="B473" t="s">
        <v>1895</v>
      </c>
      <c r="C473" t="s">
        <v>57</v>
      </c>
      <c r="G473" t="s">
        <v>1896</v>
      </c>
      <c r="I473" t="s">
        <v>426</v>
      </c>
      <c r="J473" t="s">
        <v>22</v>
      </c>
      <c r="K473" t="s">
        <v>1897</v>
      </c>
      <c r="M473" t="s">
        <v>1898</v>
      </c>
      <c r="N473">
        <v>0</v>
      </c>
      <c r="O473">
        <v>1</v>
      </c>
      <c r="P473">
        <v>0</v>
      </c>
      <c r="R473" s="1">
        <v>46034.625150462962</v>
      </c>
    </row>
    <row r="474" spans="1:18" x14ac:dyDescent="0.2">
      <c r="A474">
        <v>473</v>
      </c>
      <c r="B474" t="s">
        <v>1899</v>
      </c>
      <c r="C474" t="s">
        <v>57</v>
      </c>
      <c r="G474" t="s">
        <v>1900</v>
      </c>
      <c r="I474" t="s">
        <v>890</v>
      </c>
      <c r="J474" t="s">
        <v>22</v>
      </c>
      <c r="K474" t="s">
        <v>1901</v>
      </c>
      <c r="M474" t="s">
        <v>1902</v>
      </c>
      <c r="N474">
        <v>0</v>
      </c>
      <c r="O474">
        <v>1</v>
      </c>
      <c r="P474">
        <v>0</v>
      </c>
      <c r="R474" s="1">
        <v>46034.625150462962</v>
      </c>
    </row>
    <row r="475" spans="1:18" x14ac:dyDescent="0.2">
      <c r="A475">
        <v>474</v>
      </c>
      <c r="B475" t="s">
        <v>1903</v>
      </c>
      <c r="C475" t="s">
        <v>57</v>
      </c>
      <c r="G475" t="s">
        <v>1904</v>
      </c>
      <c r="I475" t="s">
        <v>549</v>
      </c>
      <c r="J475" t="s">
        <v>22</v>
      </c>
      <c r="K475" t="s">
        <v>1905</v>
      </c>
      <c r="M475" t="s">
        <v>1906</v>
      </c>
      <c r="N475">
        <v>0</v>
      </c>
      <c r="O475">
        <v>1</v>
      </c>
      <c r="P475">
        <v>0</v>
      </c>
      <c r="R475" s="1">
        <v>46034.625150462962</v>
      </c>
    </row>
    <row r="476" spans="1:18" x14ac:dyDescent="0.2">
      <c r="A476">
        <v>475</v>
      </c>
      <c r="B476" t="s">
        <v>1907</v>
      </c>
      <c r="C476" t="s">
        <v>57</v>
      </c>
      <c r="G476" t="s">
        <v>1908</v>
      </c>
      <c r="I476" t="s">
        <v>1909</v>
      </c>
      <c r="J476" t="s">
        <v>22</v>
      </c>
      <c r="K476" t="s">
        <v>1910</v>
      </c>
      <c r="M476" t="s">
        <v>1911</v>
      </c>
      <c r="N476">
        <v>0</v>
      </c>
      <c r="O476">
        <v>1</v>
      </c>
      <c r="P476">
        <v>0</v>
      </c>
      <c r="R476" s="1">
        <v>46034.625150462962</v>
      </c>
    </row>
    <row r="477" spans="1:18" x14ac:dyDescent="0.2">
      <c r="A477">
        <v>476</v>
      </c>
      <c r="B477" t="s">
        <v>1912</v>
      </c>
      <c r="C477" t="s">
        <v>57</v>
      </c>
      <c r="G477" t="s">
        <v>1913</v>
      </c>
      <c r="I477" t="s">
        <v>536</v>
      </c>
      <c r="J477" t="s">
        <v>22</v>
      </c>
      <c r="K477" t="s">
        <v>1914</v>
      </c>
      <c r="N477">
        <v>0</v>
      </c>
      <c r="O477">
        <v>1</v>
      </c>
      <c r="P477">
        <v>0</v>
      </c>
      <c r="R477" s="1">
        <v>46034.625150462962</v>
      </c>
    </row>
    <row r="478" spans="1:18" x14ac:dyDescent="0.2">
      <c r="A478">
        <v>477</v>
      </c>
      <c r="B478" t="s">
        <v>1915</v>
      </c>
      <c r="C478" t="s">
        <v>57</v>
      </c>
      <c r="J478" t="s">
        <v>22</v>
      </c>
      <c r="M478" t="s">
        <v>1916</v>
      </c>
      <c r="N478">
        <v>0</v>
      </c>
      <c r="O478">
        <v>1</v>
      </c>
      <c r="P478">
        <v>0</v>
      </c>
      <c r="R478" s="1">
        <v>46034.625150462962</v>
      </c>
    </row>
    <row r="479" spans="1:18" x14ac:dyDescent="0.2">
      <c r="A479">
        <v>478</v>
      </c>
      <c r="B479" t="s">
        <v>1917</v>
      </c>
      <c r="C479" t="s">
        <v>57</v>
      </c>
      <c r="G479" t="s">
        <v>1918</v>
      </c>
      <c r="I479" t="s">
        <v>66</v>
      </c>
      <c r="J479" t="s">
        <v>22</v>
      </c>
      <c r="K479" t="s">
        <v>1919</v>
      </c>
      <c r="M479" t="s">
        <v>1920</v>
      </c>
      <c r="N479">
        <v>0</v>
      </c>
      <c r="O479">
        <v>1</v>
      </c>
      <c r="P479">
        <v>0</v>
      </c>
      <c r="R479" s="1">
        <v>46034.625150462962</v>
      </c>
    </row>
    <row r="480" spans="1:18" x14ac:dyDescent="0.2">
      <c r="A480">
        <v>479</v>
      </c>
      <c r="B480" t="s">
        <v>1656</v>
      </c>
      <c r="C480" t="s">
        <v>57</v>
      </c>
      <c r="G480" t="s">
        <v>1657</v>
      </c>
      <c r="I480" t="s">
        <v>1921</v>
      </c>
      <c r="J480" t="s">
        <v>22</v>
      </c>
      <c r="K480" t="s">
        <v>1659</v>
      </c>
      <c r="M480" t="s">
        <v>1660</v>
      </c>
      <c r="N480">
        <v>0</v>
      </c>
      <c r="O480">
        <v>1</v>
      </c>
      <c r="P480">
        <v>0</v>
      </c>
      <c r="R480" s="1">
        <v>46034.625150462962</v>
      </c>
    </row>
    <row r="481" spans="1:18" x14ac:dyDescent="0.2">
      <c r="A481">
        <v>480</v>
      </c>
      <c r="B481" t="s">
        <v>1922</v>
      </c>
      <c r="C481" t="s">
        <v>57</v>
      </c>
      <c r="G481" t="s">
        <v>1923</v>
      </c>
      <c r="I481" t="s">
        <v>317</v>
      </c>
      <c r="J481" t="s">
        <v>22</v>
      </c>
      <c r="K481" t="s">
        <v>1924</v>
      </c>
      <c r="M481" t="s">
        <v>1925</v>
      </c>
      <c r="N481">
        <v>0</v>
      </c>
      <c r="O481">
        <v>1</v>
      </c>
      <c r="P481">
        <v>0</v>
      </c>
      <c r="R481" s="1">
        <v>46034.625150462962</v>
      </c>
    </row>
    <row r="482" spans="1:18" x14ac:dyDescent="0.2">
      <c r="A482">
        <v>481</v>
      </c>
      <c r="B482" t="s">
        <v>1926</v>
      </c>
      <c r="C482" t="s">
        <v>57</v>
      </c>
      <c r="G482" t="s">
        <v>1927</v>
      </c>
      <c r="I482" t="s">
        <v>1928</v>
      </c>
      <c r="J482" t="s">
        <v>22</v>
      </c>
      <c r="K482" t="s">
        <v>1929</v>
      </c>
      <c r="M482" t="s">
        <v>1930</v>
      </c>
      <c r="N482">
        <v>0</v>
      </c>
      <c r="O482">
        <v>1</v>
      </c>
      <c r="P482">
        <v>0</v>
      </c>
      <c r="R482" s="1">
        <v>46034.625150462962</v>
      </c>
    </row>
    <row r="483" spans="1:18" x14ac:dyDescent="0.2">
      <c r="A483">
        <v>482</v>
      </c>
      <c r="B483" t="s">
        <v>1931</v>
      </c>
      <c r="C483" t="s">
        <v>57</v>
      </c>
      <c r="G483" t="s">
        <v>1932</v>
      </c>
      <c r="I483" t="s">
        <v>1933</v>
      </c>
      <c r="J483" t="s">
        <v>22</v>
      </c>
      <c r="K483" t="s">
        <v>1934</v>
      </c>
      <c r="M483" t="s">
        <v>1935</v>
      </c>
      <c r="N483">
        <v>0</v>
      </c>
      <c r="O483">
        <v>1</v>
      </c>
      <c r="P483">
        <v>0</v>
      </c>
      <c r="R483" s="1">
        <v>46034.625150462962</v>
      </c>
    </row>
    <row r="484" spans="1:18" x14ac:dyDescent="0.2">
      <c r="A484">
        <v>483</v>
      </c>
      <c r="B484" t="s">
        <v>1936</v>
      </c>
      <c r="C484" t="s">
        <v>57</v>
      </c>
      <c r="G484" t="s">
        <v>1937</v>
      </c>
      <c r="I484" t="s">
        <v>1843</v>
      </c>
      <c r="J484" t="s">
        <v>22</v>
      </c>
      <c r="K484" t="s">
        <v>1938</v>
      </c>
      <c r="M484" t="s">
        <v>1623</v>
      </c>
      <c r="N484">
        <v>0</v>
      </c>
      <c r="O484">
        <v>1</v>
      </c>
      <c r="P484">
        <v>0</v>
      </c>
      <c r="R484" s="1">
        <v>46034.625150462962</v>
      </c>
    </row>
    <row r="485" spans="1:18" x14ac:dyDescent="0.2">
      <c r="A485">
        <v>484</v>
      </c>
      <c r="B485" t="s">
        <v>1939</v>
      </c>
      <c r="C485" t="s">
        <v>57</v>
      </c>
      <c r="G485" t="s">
        <v>1940</v>
      </c>
      <c r="I485" t="s">
        <v>66</v>
      </c>
      <c r="J485" t="s">
        <v>22</v>
      </c>
      <c r="K485" t="s">
        <v>1941</v>
      </c>
      <c r="M485" t="s">
        <v>1942</v>
      </c>
      <c r="N485">
        <v>0</v>
      </c>
      <c r="O485">
        <v>1</v>
      </c>
      <c r="P485">
        <v>0</v>
      </c>
      <c r="R485" s="1">
        <v>46034.625150462962</v>
      </c>
    </row>
    <row r="486" spans="1:18" x14ac:dyDescent="0.2">
      <c r="A486">
        <v>485</v>
      </c>
      <c r="B486" t="s">
        <v>1943</v>
      </c>
      <c r="C486" t="s">
        <v>57</v>
      </c>
      <c r="G486" t="s">
        <v>1944</v>
      </c>
      <c r="I486" t="s">
        <v>511</v>
      </c>
      <c r="J486" t="s">
        <v>22</v>
      </c>
      <c r="K486" t="s">
        <v>1945</v>
      </c>
      <c r="M486" t="s">
        <v>1946</v>
      </c>
      <c r="N486">
        <v>0</v>
      </c>
      <c r="O486">
        <v>1</v>
      </c>
      <c r="P486">
        <v>0</v>
      </c>
      <c r="R486" s="1">
        <v>46034.625150462962</v>
      </c>
    </row>
    <row r="487" spans="1:18" x14ac:dyDescent="0.2">
      <c r="A487">
        <v>486</v>
      </c>
      <c r="B487" t="s">
        <v>1947</v>
      </c>
      <c r="C487" t="s">
        <v>57</v>
      </c>
      <c r="G487" t="s">
        <v>59</v>
      </c>
      <c r="I487" t="s">
        <v>1948</v>
      </c>
      <c r="J487" t="s">
        <v>22</v>
      </c>
      <c r="K487" t="s">
        <v>1628</v>
      </c>
      <c r="M487" t="s">
        <v>1949</v>
      </c>
      <c r="N487">
        <v>0</v>
      </c>
      <c r="O487">
        <v>1</v>
      </c>
      <c r="P487">
        <v>0</v>
      </c>
      <c r="R487" s="1">
        <v>46034.625150462962</v>
      </c>
    </row>
    <row r="488" spans="1:18" x14ac:dyDescent="0.2">
      <c r="A488">
        <v>487</v>
      </c>
      <c r="B488" t="s">
        <v>1950</v>
      </c>
      <c r="C488" t="s">
        <v>57</v>
      </c>
      <c r="G488" t="s">
        <v>1951</v>
      </c>
      <c r="I488" t="s">
        <v>511</v>
      </c>
      <c r="J488" t="s">
        <v>22</v>
      </c>
      <c r="K488" t="s">
        <v>1952</v>
      </c>
      <c r="M488" t="s">
        <v>1953</v>
      </c>
      <c r="N488">
        <v>0</v>
      </c>
      <c r="O488">
        <v>1</v>
      </c>
      <c r="P488">
        <v>0</v>
      </c>
      <c r="R488" s="1">
        <v>46034.625150462962</v>
      </c>
    </row>
    <row r="489" spans="1:18" x14ac:dyDescent="0.2">
      <c r="A489">
        <v>488</v>
      </c>
      <c r="B489" t="s">
        <v>1954</v>
      </c>
      <c r="C489" t="s">
        <v>57</v>
      </c>
      <c r="G489" t="s">
        <v>1955</v>
      </c>
      <c r="I489" t="s">
        <v>1956</v>
      </c>
      <c r="J489" t="s">
        <v>22</v>
      </c>
      <c r="K489" t="s">
        <v>1957</v>
      </c>
      <c r="N489">
        <v>0</v>
      </c>
      <c r="O489">
        <v>1</v>
      </c>
      <c r="P489">
        <v>0</v>
      </c>
      <c r="R489" s="1">
        <v>46034.625150462962</v>
      </c>
    </row>
    <row r="490" spans="1:18" x14ac:dyDescent="0.2">
      <c r="A490">
        <v>489</v>
      </c>
      <c r="B490" t="s">
        <v>1958</v>
      </c>
      <c r="C490" t="s">
        <v>57</v>
      </c>
      <c r="G490" t="s">
        <v>1959</v>
      </c>
      <c r="I490" t="s">
        <v>27</v>
      </c>
      <c r="J490" t="s">
        <v>22</v>
      </c>
      <c r="K490" t="s">
        <v>1960</v>
      </c>
      <c r="M490" t="s">
        <v>1961</v>
      </c>
      <c r="N490">
        <v>0</v>
      </c>
      <c r="O490">
        <v>1</v>
      </c>
      <c r="P490">
        <v>0</v>
      </c>
      <c r="R490" s="1">
        <v>46034.625150462962</v>
      </c>
    </row>
    <row r="491" spans="1:18" x14ac:dyDescent="0.2">
      <c r="A491">
        <v>490</v>
      </c>
      <c r="B491" t="s">
        <v>1962</v>
      </c>
      <c r="C491" t="s">
        <v>57</v>
      </c>
      <c r="G491" t="s">
        <v>1963</v>
      </c>
      <c r="I491" t="s">
        <v>1964</v>
      </c>
      <c r="J491" t="s">
        <v>22</v>
      </c>
      <c r="K491" t="s">
        <v>1965</v>
      </c>
      <c r="M491" t="s">
        <v>1966</v>
      </c>
      <c r="N491">
        <v>0</v>
      </c>
      <c r="O491">
        <v>1</v>
      </c>
      <c r="P491">
        <v>0</v>
      </c>
      <c r="R491" s="1">
        <v>46034.625150462962</v>
      </c>
    </row>
    <row r="492" spans="1:18" x14ac:dyDescent="0.2">
      <c r="A492">
        <v>491</v>
      </c>
      <c r="B492" t="s">
        <v>1967</v>
      </c>
      <c r="C492" t="s">
        <v>57</v>
      </c>
      <c r="G492" t="s">
        <v>1968</v>
      </c>
      <c r="I492" t="s">
        <v>1969</v>
      </c>
      <c r="J492" t="s">
        <v>22</v>
      </c>
      <c r="K492" t="s">
        <v>1970</v>
      </c>
      <c r="M492" t="s">
        <v>1971</v>
      </c>
      <c r="N492">
        <v>0</v>
      </c>
      <c r="O492">
        <v>1</v>
      </c>
      <c r="P492">
        <v>0</v>
      </c>
      <c r="R492" s="1">
        <v>46034.625150462962</v>
      </c>
    </row>
    <row r="493" spans="1:18" x14ac:dyDescent="0.2">
      <c r="A493">
        <v>492</v>
      </c>
      <c r="B493" t="s">
        <v>1972</v>
      </c>
      <c r="C493" t="s">
        <v>57</v>
      </c>
      <c r="G493" t="s">
        <v>1973</v>
      </c>
      <c r="I493" t="s">
        <v>1974</v>
      </c>
      <c r="J493" t="s">
        <v>22</v>
      </c>
      <c r="K493" t="s">
        <v>1975</v>
      </c>
      <c r="M493" t="s">
        <v>1976</v>
      </c>
      <c r="N493">
        <v>0</v>
      </c>
      <c r="O493">
        <v>1</v>
      </c>
      <c r="P493">
        <v>0</v>
      </c>
      <c r="R493" s="1">
        <v>46034.625150462962</v>
      </c>
    </row>
    <row r="494" spans="1:18" x14ac:dyDescent="0.2">
      <c r="A494">
        <v>493</v>
      </c>
      <c r="B494" t="s">
        <v>1977</v>
      </c>
      <c r="C494" t="s">
        <v>57</v>
      </c>
      <c r="E494" t="s">
        <v>1978</v>
      </c>
      <c r="G494" t="s">
        <v>1979</v>
      </c>
      <c r="I494" t="s">
        <v>1021</v>
      </c>
      <c r="J494" t="s">
        <v>22</v>
      </c>
      <c r="K494" t="s">
        <v>1980</v>
      </c>
      <c r="M494" t="s">
        <v>1981</v>
      </c>
      <c r="N494">
        <v>0</v>
      </c>
      <c r="O494">
        <v>1</v>
      </c>
      <c r="P494">
        <v>0</v>
      </c>
      <c r="R494" s="1">
        <v>46034.625150462962</v>
      </c>
    </row>
    <row r="495" spans="1:18" x14ac:dyDescent="0.2">
      <c r="A495">
        <v>494</v>
      </c>
      <c r="B495" t="s">
        <v>1982</v>
      </c>
      <c r="C495" t="s">
        <v>57</v>
      </c>
      <c r="G495" t="s">
        <v>1983</v>
      </c>
      <c r="I495" t="s">
        <v>1984</v>
      </c>
      <c r="J495" t="s">
        <v>22</v>
      </c>
      <c r="K495" t="s">
        <v>1985</v>
      </c>
      <c r="M495" t="s">
        <v>1986</v>
      </c>
      <c r="N495">
        <v>0</v>
      </c>
      <c r="O495">
        <v>1</v>
      </c>
      <c r="P495">
        <v>0</v>
      </c>
      <c r="R495" s="1">
        <v>46034.625150462962</v>
      </c>
    </row>
    <row r="496" spans="1:18" x14ac:dyDescent="0.2">
      <c r="A496">
        <v>495</v>
      </c>
      <c r="B496" t="s">
        <v>1987</v>
      </c>
      <c r="C496" t="s">
        <v>57</v>
      </c>
      <c r="G496" t="s">
        <v>1988</v>
      </c>
      <c r="I496" t="s">
        <v>1085</v>
      </c>
      <c r="J496" t="s">
        <v>22</v>
      </c>
      <c r="K496" t="s">
        <v>1989</v>
      </c>
      <c r="M496" t="s">
        <v>1990</v>
      </c>
      <c r="N496">
        <v>0</v>
      </c>
      <c r="O496">
        <v>1</v>
      </c>
      <c r="P496">
        <v>0</v>
      </c>
      <c r="R496" s="1">
        <v>46034.625150462962</v>
      </c>
    </row>
    <row r="497" spans="1:18" x14ac:dyDescent="0.2">
      <c r="A497">
        <v>496</v>
      </c>
      <c r="B497" t="s">
        <v>1991</v>
      </c>
      <c r="C497" t="s">
        <v>57</v>
      </c>
      <c r="G497" t="s">
        <v>1992</v>
      </c>
      <c r="I497" t="s">
        <v>1993</v>
      </c>
      <c r="J497" t="s">
        <v>22</v>
      </c>
      <c r="K497" t="s">
        <v>1994</v>
      </c>
      <c r="M497" t="s">
        <v>1995</v>
      </c>
      <c r="N497">
        <v>0</v>
      </c>
      <c r="O497">
        <v>1</v>
      </c>
      <c r="P497">
        <v>0</v>
      </c>
      <c r="R497" s="1">
        <v>46034.625150462962</v>
      </c>
    </row>
    <row r="498" spans="1:18" x14ac:dyDescent="0.2">
      <c r="A498">
        <v>497</v>
      </c>
      <c r="B498" t="s">
        <v>1996</v>
      </c>
      <c r="C498" t="s">
        <v>57</v>
      </c>
      <c r="E498" t="s">
        <v>1997</v>
      </c>
      <c r="G498" t="s">
        <v>1998</v>
      </c>
      <c r="I498" t="s">
        <v>1999</v>
      </c>
      <c r="J498" t="s">
        <v>22</v>
      </c>
      <c r="K498" t="s">
        <v>2000</v>
      </c>
      <c r="M498" t="s">
        <v>2001</v>
      </c>
      <c r="N498">
        <v>0</v>
      </c>
      <c r="O498">
        <v>1</v>
      </c>
      <c r="P498">
        <v>0</v>
      </c>
      <c r="R498" s="1">
        <v>46034.625150462962</v>
      </c>
    </row>
    <row r="499" spans="1:18" x14ac:dyDescent="0.2">
      <c r="A499">
        <v>498</v>
      </c>
      <c r="B499" t="s">
        <v>2002</v>
      </c>
      <c r="C499" t="s">
        <v>57</v>
      </c>
      <c r="E499" t="s">
        <v>2003</v>
      </c>
      <c r="G499" t="s">
        <v>2004</v>
      </c>
      <c r="I499" t="s">
        <v>2005</v>
      </c>
      <c r="J499" t="s">
        <v>22</v>
      </c>
      <c r="K499" t="s">
        <v>2006</v>
      </c>
      <c r="M499" t="s">
        <v>2007</v>
      </c>
      <c r="N499">
        <v>0</v>
      </c>
      <c r="O499">
        <v>1</v>
      </c>
      <c r="P499">
        <v>0</v>
      </c>
      <c r="R499" s="1">
        <v>46034.625150462962</v>
      </c>
    </row>
    <row r="500" spans="1:18" x14ac:dyDescent="0.2">
      <c r="A500">
        <v>499</v>
      </c>
      <c r="B500" t="s">
        <v>2008</v>
      </c>
      <c r="C500" t="s">
        <v>57</v>
      </c>
      <c r="G500" t="s">
        <v>2009</v>
      </c>
      <c r="I500" t="s">
        <v>161</v>
      </c>
      <c r="J500" t="s">
        <v>22</v>
      </c>
      <c r="K500" t="s">
        <v>2010</v>
      </c>
      <c r="M500" t="s">
        <v>2011</v>
      </c>
      <c r="N500">
        <v>0</v>
      </c>
      <c r="O500">
        <v>1</v>
      </c>
      <c r="P500">
        <v>0</v>
      </c>
      <c r="R500" s="1">
        <v>46034.625150462962</v>
      </c>
    </row>
    <row r="501" spans="1:18" x14ac:dyDescent="0.2">
      <c r="A501">
        <v>500</v>
      </c>
      <c r="B501" t="s">
        <v>2012</v>
      </c>
      <c r="C501" t="s">
        <v>57</v>
      </c>
      <c r="E501" t="s">
        <v>2013</v>
      </c>
      <c r="G501" t="s">
        <v>2014</v>
      </c>
      <c r="I501" t="s">
        <v>2015</v>
      </c>
      <c r="J501" t="s">
        <v>22</v>
      </c>
      <c r="K501" t="s">
        <v>2016</v>
      </c>
      <c r="M501" t="s">
        <v>2017</v>
      </c>
      <c r="N501">
        <v>0</v>
      </c>
      <c r="O501">
        <v>1</v>
      </c>
      <c r="P501">
        <v>0</v>
      </c>
      <c r="R501" s="1">
        <v>46034.625150462962</v>
      </c>
    </row>
    <row r="502" spans="1:18" x14ac:dyDescent="0.2">
      <c r="A502">
        <v>501</v>
      </c>
      <c r="B502" t="s">
        <v>2018</v>
      </c>
      <c r="C502" t="s">
        <v>57</v>
      </c>
      <c r="E502" t="s">
        <v>2019</v>
      </c>
      <c r="G502" t="s">
        <v>2020</v>
      </c>
      <c r="I502" t="s">
        <v>804</v>
      </c>
      <c r="J502" t="s">
        <v>22</v>
      </c>
      <c r="K502" t="s">
        <v>2021</v>
      </c>
      <c r="M502" t="s">
        <v>2022</v>
      </c>
      <c r="N502">
        <v>0</v>
      </c>
      <c r="O502">
        <v>1</v>
      </c>
      <c r="P502">
        <v>0</v>
      </c>
      <c r="R502" s="1">
        <v>46034.625150462962</v>
      </c>
    </row>
    <row r="503" spans="1:18" x14ac:dyDescent="0.2">
      <c r="A503">
        <v>502</v>
      </c>
      <c r="B503" t="s">
        <v>2023</v>
      </c>
      <c r="C503" t="s">
        <v>57</v>
      </c>
      <c r="G503" t="s">
        <v>2024</v>
      </c>
      <c r="I503" t="s">
        <v>2025</v>
      </c>
      <c r="J503" t="s">
        <v>22</v>
      </c>
      <c r="K503" t="s">
        <v>2026</v>
      </c>
      <c r="M503" t="s">
        <v>2027</v>
      </c>
      <c r="N503">
        <v>0</v>
      </c>
      <c r="O503">
        <v>1</v>
      </c>
      <c r="P503">
        <v>0</v>
      </c>
      <c r="R503" s="1">
        <v>46034.625150462962</v>
      </c>
    </row>
    <row r="504" spans="1:18" x14ac:dyDescent="0.2">
      <c r="A504">
        <v>503</v>
      </c>
      <c r="B504" t="s">
        <v>2028</v>
      </c>
      <c r="C504" t="s">
        <v>57</v>
      </c>
      <c r="E504" t="s">
        <v>2029</v>
      </c>
      <c r="G504" t="s">
        <v>2030</v>
      </c>
      <c r="I504" t="s">
        <v>66</v>
      </c>
      <c r="J504" t="s">
        <v>22</v>
      </c>
      <c r="K504" t="s">
        <v>2031</v>
      </c>
      <c r="M504" t="s">
        <v>2032</v>
      </c>
      <c r="N504">
        <v>0</v>
      </c>
      <c r="O504">
        <v>1</v>
      </c>
      <c r="P504">
        <v>0</v>
      </c>
      <c r="R504" s="1">
        <v>46034.625150462962</v>
      </c>
    </row>
    <row r="505" spans="1:18" x14ac:dyDescent="0.2">
      <c r="A505">
        <v>504</v>
      </c>
      <c r="B505" t="s">
        <v>2033</v>
      </c>
      <c r="C505" t="s">
        <v>57</v>
      </c>
      <c r="G505" t="s">
        <v>2034</v>
      </c>
      <c r="I505" t="s">
        <v>821</v>
      </c>
      <c r="J505" t="s">
        <v>22</v>
      </c>
      <c r="K505" t="s">
        <v>2035</v>
      </c>
      <c r="M505" t="s">
        <v>2036</v>
      </c>
      <c r="N505">
        <v>0</v>
      </c>
      <c r="O505">
        <v>1</v>
      </c>
      <c r="P505">
        <v>0</v>
      </c>
      <c r="R505" s="1">
        <v>46034.625150462962</v>
      </c>
    </row>
    <row r="506" spans="1:18" x14ac:dyDescent="0.2">
      <c r="A506">
        <v>505</v>
      </c>
      <c r="B506" t="s">
        <v>2037</v>
      </c>
      <c r="C506" t="s">
        <v>57</v>
      </c>
      <c r="E506" t="s">
        <v>2038</v>
      </c>
      <c r="G506" t="s">
        <v>2039</v>
      </c>
      <c r="I506" t="s">
        <v>2040</v>
      </c>
      <c r="J506" t="s">
        <v>22</v>
      </c>
      <c r="K506" t="s">
        <v>2041</v>
      </c>
      <c r="N506">
        <v>0</v>
      </c>
      <c r="O506">
        <v>1</v>
      </c>
      <c r="P506">
        <v>0</v>
      </c>
      <c r="R506" s="1">
        <v>46034.625150462962</v>
      </c>
    </row>
    <row r="507" spans="1:18" x14ac:dyDescent="0.2">
      <c r="A507">
        <v>506</v>
      </c>
      <c r="B507" t="s">
        <v>2042</v>
      </c>
      <c r="C507" t="s">
        <v>57</v>
      </c>
      <c r="G507" t="s">
        <v>2043</v>
      </c>
      <c r="I507" t="s">
        <v>2044</v>
      </c>
      <c r="J507" t="s">
        <v>22</v>
      </c>
      <c r="K507" t="s">
        <v>2045</v>
      </c>
      <c r="M507" t="s">
        <v>2046</v>
      </c>
      <c r="N507">
        <v>0</v>
      </c>
      <c r="O507">
        <v>1</v>
      </c>
      <c r="P507">
        <v>0</v>
      </c>
      <c r="R507" s="1">
        <v>46034.625150462962</v>
      </c>
    </row>
    <row r="508" spans="1:18" x14ac:dyDescent="0.2">
      <c r="A508">
        <v>507</v>
      </c>
      <c r="B508" t="s">
        <v>2047</v>
      </c>
      <c r="C508" t="s">
        <v>57</v>
      </c>
      <c r="G508" t="s">
        <v>2048</v>
      </c>
      <c r="I508" t="s">
        <v>79</v>
      </c>
      <c r="J508" t="s">
        <v>22</v>
      </c>
      <c r="K508" t="s">
        <v>2049</v>
      </c>
      <c r="M508" t="s">
        <v>2050</v>
      </c>
      <c r="N508">
        <v>0</v>
      </c>
      <c r="O508">
        <v>1</v>
      </c>
      <c r="P508">
        <v>0</v>
      </c>
      <c r="R508" s="1">
        <v>46034.625150462962</v>
      </c>
    </row>
    <row r="509" spans="1:18" x14ac:dyDescent="0.2">
      <c r="A509">
        <v>508</v>
      </c>
      <c r="B509" t="s">
        <v>2051</v>
      </c>
      <c r="C509" t="s">
        <v>57</v>
      </c>
      <c r="G509" t="s">
        <v>333</v>
      </c>
      <c r="I509" t="s">
        <v>79</v>
      </c>
      <c r="J509" t="s">
        <v>22</v>
      </c>
      <c r="K509" t="s">
        <v>2052</v>
      </c>
      <c r="M509" t="s">
        <v>2053</v>
      </c>
      <c r="N509">
        <v>0</v>
      </c>
      <c r="O509">
        <v>1</v>
      </c>
      <c r="P509">
        <v>0</v>
      </c>
      <c r="R509" s="1">
        <v>46034.625150462962</v>
      </c>
    </row>
    <row r="510" spans="1:18" x14ac:dyDescent="0.2">
      <c r="A510">
        <v>509</v>
      </c>
      <c r="B510" t="s">
        <v>2054</v>
      </c>
      <c r="C510" t="s">
        <v>57</v>
      </c>
      <c r="G510" t="s">
        <v>2055</v>
      </c>
      <c r="I510" t="s">
        <v>297</v>
      </c>
      <c r="J510" t="s">
        <v>22</v>
      </c>
      <c r="K510" t="s">
        <v>2056</v>
      </c>
      <c r="M510" t="s">
        <v>2057</v>
      </c>
      <c r="N510">
        <v>0</v>
      </c>
      <c r="O510">
        <v>1</v>
      </c>
      <c r="P510">
        <v>0</v>
      </c>
      <c r="R510" s="1">
        <v>46034.625150462962</v>
      </c>
    </row>
    <row r="511" spans="1:18" x14ac:dyDescent="0.2">
      <c r="A511">
        <v>510</v>
      </c>
      <c r="B511" t="s">
        <v>2058</v>
      </c>
      <c r="C511" t="s">
        <v>57</v>
      </c>
      <c r="G511" t="s">
        <v>2059</v>
      </c>
      <c r="I511" t="s">
        <v>2060</v>
      </c>
      <c r="J511" t="s">
        <v>22</v>
      </c>
      <c r="K511" t="s">
        <v>2061</v>
      </c>
      <c r="M511" t="s">
        <v>2062</v>
      </c>
      <c r="N511">
        <v>0</v>
      </c>
      <c r="O511">
        <v>1</v>
      </c>
      <c r="P511">
        <v>0</v>
      </c>
      <c r="R511" s="1">
        <v>46034.625150462962</v>
      </c>
    </row>
    <row r="512" spans="1:18" x14ac:dyDescent="0.2">
      <c r="A512">
        <v>511</v>
      </c>
      <c r="B512" t="s">
        <v>2063</v>
      </c>
      <c r="C512" t="s">
        <v>57</v>
      </c>
      <c r="E512" t="s">
        <v>2064</v>
      </c>
      <c r="G512" t="s">
        <v>2065</v>
      </c>
      <c r="I512" t="s">
        <v>960</v>
      </c>
      <c r="J512" t="s">
        <v>22</v>
      </c>
      <c r="K512" t="s">
        <v>2066</v>
      </c>
      <c r="M512" t="s">
        <v>2067</v>
      </c>
      <c r="N512">
        <v>0</v>
      </c>
      <c r="O512">
        <v>1</v>
      </c>
      <c r="P512">
        <v>0</v>
      </c>
      <c r="R512" s="1">
        <v>46034.625150462962</v>
      </c>
    </row>
    <row r="513" spans="1:18" x14ac:dyDescent="0.2">
      <c r="A513">
        <v>512</v>
      </c>
      <c r="B513" t="s">
        <v>2068</v>
      </c>
      <c r="C513" t="s">
        <v>57</v>
      </c>
      <c r="G513" t="s">
        <v>2069</v>
      </c>
      <c r="I513" t="s">
        <v>1228</v>
      </c>
      <c r="J513" t="s">
        <v>22</v>
      </c>
      <c r="K513" t="s">
        <v>2070</v>
      </c>
      <c r="M513" t="s">
        <v>2071</v>
      </c>
      <c r="N513">
        <v>0</v>
      </c>
      <c r="O513">
        <v>1</v>
      </c>
      <c r="P513">
        <v>0</v>
      </c>
      <c r="R513" s="1">
        <v>46034.625150462962</v>
      </c>
    </row>
    <row r="514" spans="1:18" x14ac:dyDescent="0.2">
      <c r="A514">
        <v>513</v>
      </c>
      <c r="B514" t="s">
        <v>2072</v>
      </c>
      <c r="C514" t="s">
        <v>57</v>
      </c>
      <c r="G514" t="s">
        <v>2073</v>
      </c>
      <c r="I514" t="s">
        <v>2074</v>
      </c>
      <c r="J514" t="s">
        <v>22</v>
      </c>
      <c r="K514" t="s">
        <v>2075</v>
      </c>
      <c r="M514" t="s">
        <v>2076</v>
      </c>
      <c r="N514">
        <v>0</v>
      </c>
      <c r="O514">
        <v>1</v>
      </c>
      <c r="P514">
        <v>0</v>
      </c>
      <c r="R514" s="1">
        <v>46034.625150462962</v>
      </c>
    </row>
    <row r="515" spans="1:18" x14ac:dyDescent="0.2">
      <c r="A515">
        <v>514</v>
      </c>
      <c r="B515" t="s">
        <v>2077</v>
      </c>
      <c r="C515" t="s">
        <v>57</v>
      </c>
      <c r="E515" t="s">
        <v>2078</v>
      </c>
      <c r="G515" t="s">
        <v>2079</v>
      </c>
      <c r="I515" t="s">
        <v>2080</v>
      </c>
      <c r="J515" t="s">
        <v>22</v>
      </c>
      <c r="K515" t="s">
        <v>2081</v>
      </c>
      <c r="M515" t="s">
        <v>2082</v>
      </c>
      <c r="N515">
        <v>0</v>
      </c>
      <c r="O515">
        <v>1</v>
      </c>
      <c r="P515">
        <v>0</v>
      </c>
      <c r="R515" s="1">
        <v>46034.625150462962</v>
      </c>
    </row>
    <row r="516" spans="1:18" x14ac:dyDescent="0.2">
      <c r="A516">
        <v>515</v>
      </c>
      <c r="B516" t="s">
        <v>2083</v>
      </c>
      <c r="C516" t="s">
        <v>57</v>
      </c>
      <c r="G516" t="s">
        <v>2084</v>
      </c>
      <c r="I516" t="s">
        <v>403</v>
      </c>
      <c r="J516" t="s">
        <v>22</v>
      </c>
      <c r="K516" t="s">
        <v>2085</v>
      </c>
      <c r="M516" t="s">
        <v>2086</v>
      </c>
      <c r="N516">
        <v>0</v>
      </c>
      <c r="O516">
        <v>1</v>
      </c>
      <c r="P516">
        <v>0</v>
      </c>
      <c r="R516" s="1">
        <v>46034.625150462962</v>
      </c>
    </row>
    <row r="517" spans="1:18" x14ac:dyDescent="0.2">
      <c r="A517">
        <v>516</v>
      </c>
      <c r="B517" t="s">
        <v>2087</v>
      </c>
      <c r="C517" t="s">
        <v>57</v>
      </c>
      <c r="G517" t="s">
        <v>2088</v>
      </c>
      <c r="I517" t="s">
        <v>1085</v>
      </c>
      <c r="J517" t="s">
        <v>22</v>
      </c>
      <c r="K517" t="s">
        <v>2089</v>
      </c>
      <c r="N517">
        <v>0</v>
      </c>
      <c r="O517">
        <v>1</v>
      </c>
      <c r="P517">
        <v>0</v>
      </c>
      <c r="R517" s="1">
        <v>46034.625150462962</v>
      </c>
    </row>
    <row r="518" spans="1:18" x14ac:dyDescent="0.2">
      <c r="A518">
        <v>517</v>
      </c>
      <c r="B518" t="s">
        <v>2090</v>
      </c>
      <c r="C518" t="s">
        <v>57</v>
      </c>
      <c r="E518" t="s">
        <v>2091</v>
      </c>
      <c r="G518" t="s">
        <v>2092</v>
      </c>
      <c r="I518" t="s">
        <v>2093</v>
      </c>
      <c r="J518" t="s">
        <v>22</v>
      </c>
      <c r="K518" t="s">
        <v>2094</v>
      </c>
      <c r="N518">
        <v>0</v>
      </c>
      <c r="O518">
        <v>1</v>
      </c>
      <c r="P518">
        <v>0</v>
      </c>
      <c r="R518" s="1">
        <v>46034.625150462962</v>
      </c>
    </row>
    <row r="519" spans="1:18" x14ac:dyDescent="0.2">
      <c r="A519">
        <v>518</v>
      </c>
      <c r="B519" t="s">
        <v>1903</v>
      </c>
      <c r="C519" t="s">
        <v>57</v>
      </c>
      <c r="G519" t="s">
        <v>1904</v>
      </c>
      <c r="I519" t="s">
        <v>549</v>
      </c>
      <c r="J519" t="s">
        <v>22</v>
      </c>
      <c r="K519" t="s">
        <v>1905</v>
      </c>
      <c r="N519">
        <v>0</v>
      </c>
      <c r="O519">
        <v>1</v>
      </c>
      <c r="P519">
        <v>0</v>
      </c>
      <c r="R519" s="1">
        <v>46034.625150462962</v>
      </c>
    </row>
    <row r="520" spans="1:18" x14ac:dyDescent="0.2">
      <c r="A520">
        <v>519</v>
      </c>
      <c r="B520" t="s">
        <v>2095</v>
      </c>
      <c r="C520" t="s">
        <v>57</v>
      </c>
      <c r="G520" t="s">
        <v>2096</v>
      </c>
      <c r="I520" t="s">
        <v>890</v>
      </c>
      <c r="J520" t="s">
        <v>22</v>
      </c>
      <c r="K520" t="s">
        <v>2097</v>
      </c>
      <c r="M520" t="s">
        <v>2098</v>
      </c>
      <c r="N520">
        <v>0</v>
      </c>
      <c r="O520">
        <v>1</v>
      </c>
      <c r="P520">
        <v>0</v>
      </c>
      <c r="R520" s="1">
        <v>46034.625150462962</v>
      </c>
    </row>
    <row r="521" spans="1:18" x14ac:dyDescent="0.2">
      <c r="A521">
        <v>520</v>
      </c>
      <c r="B521" t="s">
        <v>2099</v>
      </c>
      <c r="C521" t="s">
        <v>57</v>
      </c>
      <c r="G521" t="s">
        <v>945</v>
      </c>
      <c r="I521" t="s">
        <v>1186</v>
      </c>
      <c r="J521" t="s">
        <v>22</v>
      </c>
      <c r="K521" t="s">
        <v>2100</v>
      </c>
      <c r="M521" t="s">
        <v>948</v>
      </c>
      <c r="N521">
        <v>0</v>
      </c>
      <c r="O521">
        <v>1</v>
      </c>
      <c r="P521">
        <v>0</v>
      </c>
      <c r="R521" s="1">
        <v>46034.625150462962</v>
      </c>
    </row>
    <row r="522" spans="1:18" x14ac:dyDescent="0.2">
      <c r="A522">
        <v>521</v>
      </c>
      <c r="B522" t="s">
        <v>2101</v>
      </c>
      <c r="C522" t="s">
        <v>57</v>
      </c>
      <c r="G522" t="s">
        <v>2102</v>
      </c>
      <c r="I522" t="s">
        <v>2103</v>
      </c>
      <c r="J522" t="s">
        <v>22</v>
      </c>
      <c r="N522">
        <v>0</v>
      </c>
      <c r="O522">
        <v>1</v>
      </c>
      <c r="P522">
        <v>0</v>
      </c>
      <c r="R522" s="1">
        <v>46034.625150462962</v>
      </c>
    </row>
    <row r="523" spans="1:18" x14ac:dyDescent="0.2">
      <c r="A523">
        <v>522</v>
      </c>
      <c r="B523" t="s">
        <v>2104</v>
      </c>
      <c r="C523" t="s">
        <v>57</v>
      </c>
      <c r="G523" t="s">
        <v>2105</v>
      </c>
      <c r="I523" t="s">
        <v>302</v>
      </c>
      <c r="J523" t="s">
        <v>22</v>
      </c>
      <c r="K523" t="s">
        <v>2106</v>
      </c>
      <c r="N523">
        <v>0</v>
      </c>
      <c r="O523">
        <v>1</v>
      </c>
      <c r="P523">
        <v>0</v>
      </c>
      <c r="R523" s="1">
        <v>46034.625150462962</v>
      </c>
    </row>
    <row r="524" spans="1:18" x14ac:dyDescent="0.2">
      <c r="A524">
        <v>523</v>
      </c>
      <c r="B524" t="s">
        <v>2107</v>
      </c>
      <c r="C524" t="s">
        <v>57</v>
      </c>
      <c r="G524" t="s">
        <v>2108</v>
      </c>
      <c r="I524" t="s">
        <v>1276</v>
      </c>
      <c r="J524" t="s">
        <v>22</v>
      </c>
      <c r="M524" t="s">
        <v>2109</v>
      </c>
      <c r="N524">
        <v>0</v>
      </c>
      <c r="O524">
        <v>1</v>
      </c>
      <c r="P524">
        <v>0</v>
      </c>
      <c r="R524" s="1">
        <v>46034.625150462962</v>
      </c>
    </row>
    <row r="525" spans="1:18" x14ac:dyDescent="0.2">
      <c r="A525">
        <v>524</v>
      </c>
      <c r="B525" t="s">
        <v>2110</v>
      </c>
      <c r="C525" t="s">
        <v>57</v>
      </c>
      <c r="G525" t="s">
        <v>2111</v>
      </c>
      <c r="I525" t="s">
        <v>2112</v>
      </c>
      <c r="J525" t="s">
        <v>22</v>
      </c>
      <c r="K525" t="s">
        <v>2113</v>
      </c>
      <c r="M525" t="s">
        <v>2114</v>
      </c>
      <c r="N525">
        <v>0</v>
      </c>
      <c r="O525">
        <v>1</v>
      </c>
      <c r="P525">
        <v>0</v>
      </c>
      <c r="R525" s="1">
        <v>46034.625150462962</v>
      </c>
    </row>
    <row r="526" spans="1:18" x14ac:dyDescent="0.2">
      <c r="A526">
        <v>525</v>
      </c>
      <c r="B526" t="s">
        <v>2115</v>
      </c>
      <c r="C526" t="s">
        <v>57</v>
      </c>
      <c r="G526" t="s">
        <v>2116</v>
      </c>
      <c r="I526" t="s">
        <v>2117</v>
      </c>
      <c r="J526" t="s">
        <v>22</v>
      </c>
      <c r="K526" t="s">
        <v>2118</v>
      </c>
      <c r="M526" t="s">
        <v>2119</v>
      </c>
      <c r="N526">
        <v>0</v>
      </c>
      <c r="O526">
        <v>1</v>
      </c>
      <c r="P526">
        <v>0</v>
      </c>
      <c r="R526" s="1">
        <v>46034.625150462962</v>
      </c>
    </row>
    <row r="527" spans="1:18" x14ac:dyDescent="0.2">
      <c r="A527">
        <v>526</v>
      </c>
      <c r="B527" t="s">
        <v>2120</v>
      </c>
      <c r="C527" t="s">
        <v>57</v>
      </c>
      <c r="G527" t="s">
        <v>2121</v>
      </c>
      <c r="I527" t="s">
        <v>302</v>
      </c>
      <c r="J527" t="s">
        <v>22</v>
      </c>
      <c r="K527" t="s">
        <v>2122</v>
      </c>
      <c r="N527">
        <v>0</v>
      </c>
      <c r="O527">
        <v>1</v>
      </c>
      <c r="P527">
        <v>0</v>
      </c>
      <c r="R527" s="1">
        <v>46034.625150462962</v>
      </c>
    </row>
    <row r="528" spans="1:18" x14ac:dyDescent="0.2">
      <c r="A528">
        <v>527</v>
      </c>
      <c r="B528" t="s">
        <v>2123</v>
      </c>
      <c r="C528" t="s">
        <v>57</v>
      </c>
      <c r="G528" t="s">
        <v>2124</v>
      </c>
      <c r="I528" t="s">
        <v>2125</v>
      </c>
      <c r="J528" t="s">
        <v>22</v>
      </c>
      <c r="K528" t="s">
        <v>2126</v>
      </c>
      <c r="M528" t="s">
        <v>2127</v>
      </c>
      <c r="N528">
        <v>0</v>
      </c>
      <c r="O528">
        <v>1</v>
      </c>
      <c r="P528">
        <v>0</v>
      </c>
      <c r="R528" s="1">
        <v>46034.625150462962</v>
      </c>
    </row>
    <row r="529" spans="1:18" x14ac:dyDescent="0.2">
      <c r="A529">
        <v>528</v>
      </c>
      <c r="B529" t="s">
        <v>2128</v>
      </c>
      <c r="C529" t="s">
        <v>57</v>
      </c>
      <c r="G529" t="s">
        <v>2129</v>
      </c>
      <c r="I529" t="s">
        <v>1535</v>
      </c>
      <c r="J529" t="s">
        <v>22</v>
      </c>
      <c r="K529" t="s">
        <v>2130</v>
      </c>
      <c r="M529" t="s">
        <v>2131</v>
      </c>
      <c r="N529">
        <v>0</v>
      </c>
      <c r="O529">
        <v>1</v>
      </c>
      <c r="P529">
        <v>0</v>
      </c>
      <c r="R529" s="1">
        <v>46034.625150462962</v>
      </c>
    </row>
    <row r="530" spans="1:18" x14ac:dyDescent="0.2">
      <c r="A530">
        <v>529</v>
      </c>
      <c r="B530" t="s">
        <v>2132</v>
      </c>
      <c r="C530" t="s">
        <v>57</v>
      </c>
      <c r="G530" t="s">
        <v>2133</v>
      </c>
      <c r="I530" t="s">
        <v>167</v>
      </c>
      <c r="J530" t="s">
        <v>22</v>
      </c>
      <c r="K530" t="s">
        <v>2134</v>
      </c>
      <c r="M530" t="s">
        <v>2135</v>
      </c>
      <c r="N530">
        <v>0</v>
      </c>
      <c r="O530">
        <v>1</v>
      </c>
      <c r="P530">
        <v>0</v>
      </c>
      <c r="R530" s="1">
        <v>46034.625150462962</v>
      </c>
    </row>
    <row r="531" spans="1:18" x14ac:dyDescent="0.2">
      <c r="A531">
        <v>530</v>
      </c>
      <c r="B531" t="s">
        <v>2136</v>
      </c>
      <c r="C531" t="s">
        <v>57</v>
      </c>
      <c r="G531" t="s">
        <v>1057</v>
      </c>
      <c r="I531" t="s">
        <v>1058</v>
      </c>
      <c r="J531" t="s">
        <v>22</v>
      </c>
      <c r="M531" t="s">
        <v>1060</v>
      </c>
      <c r="N531">
        <v>0</v>
      </c>
      <c r="O531">
        <v>1</v>
      </c>
      <c r="P531">
        <v>0</v>
      </c>
      <c r="R531" s="1">
        <v>46034.625150462962</v>
      </c>
    </row>
    <row r="532" spans="1:18" x14ac:dyDescent="0.2">
      <c r="A532">
        <v>531</v>
      </c>
      <c r="B532" t="s">
        <v>2137</v>
      </c>
      <c r="C532" t="s">
        <v>57</v>
      </c>
      <c r="G532" t="s">
        <v>2138</v>
      </c>
      <c r="I532" t="s">
        <v>2139</v>
      </c>
      <c r="J532" t="s">
        <v>22</v>
      </c>
      <c r="M532" t="s">
        <v>2140</v>
      </c>
      <c r="N532">
        <v>0</v>
      </c>
      <c r="O532">
        <v>1</v>
      </c>
      <c r="P532">
        <v>0</v>
      </c>
      <c r="R532" s="1">
        <v>46034.625150462962</v>
      </c>
    </row>
    <row r="533" spans="1:18" x14ac:dyDescent="0.2">
      <c r="A533">
        <v>532</v>
      </c>
      <c r="B533" t="s">
        <v>2141</v>
      </c>
      <c r="C533" t="s">
        <v>57</v>
      </c>
      <c r="G533" t="s">
        <v>2142</v>
      </c>
      <c r="I533" t="s">
        <v>2143</v>
      </c>
      <c r="J533" t="s">
        <v>22</v>
      </c>
      <c r="M533" t="s">
        <v>2144</v>
      </c>
      <c r="N533">
        <v>0</v>
      </c>
      <c r="O533">
        <v>1</v>
      </c>
      <c r="P533">
        <v>0</v>
      </c>
      <c r="R533" s="1">
        <v>46034.625150462962</v>
      </c>
    </row>
    <row r="534" spans="1:18" x14ac:dyDescent="0.2">
      <c r="A534">
        <v>533</v>
      </c>
      <c r="B534" t="s">
        <v>2145</v>
      </c>
      <c r="C534" t="s">
        <v>57</v>
      </c>
      <c r="G534" t="s">
        <v>2146</v>
      </c>
      <c r="I534" t="s">
        <v>2147</v>
      </c>
      <c r="J534" t="s">
        <v>22</v>
      </c>
      <c r="M534" t="s">
        <v>2148</v>
      </c>
      <c r="N534">
        <v>0</v>
      </c>
      <c r="O534">
        <v>1</v>
      </c>
      <c r="P534">
        <v>0</v>
      </c>
      <c r="R534" s="1">
        <v>46034.625150462962</v>
      </c>
    </row>
    <row r="535" spans="1:18" x14ac:dyDescent="0.2">
      <c r="A535">
        <v>534</v>
      </c>
      <c r="B535" t="s">
        <v>2149</v>
      </c>
      <c r="C535" t="s">
        <v>57</v>
      </c>
      <c r="J535" t="s">
        <v>22</v>
      </c>
      <c r="M535" t="s">
        <v>2150</v>
      </c>
      <c r="N535">
        <v>0</v>
      </c>
      <c r="O535">
        <v>1</v>
      </c>
      <c r="P535">
        <v>0</v>
      </c>
      <c r="R535" s="1">
        <v>46034.625150462962</v>
      </c>
    </row>
    <row r="536" spans="1:18" x14ac:dyDescent="0.2">
      <c r="A536">
        <v>535</v>
      </c>
      <c r="B536" t="s">
        <v>2151</v>
      </c>
      <c r="C536" t="s">
        <v>57</v>
      </c>
      <c r="J536" t="s">
        <v>22</v>
      </c>
      <c r="M536" t="s">
        <v>2152</v>
      </c>
      <c r="N536">
        <v>0</v>
      </c>
      <c r="O536">
        <v>1</v>
      </c>
      <c r="P536">
        <v>0</v>
      </c>
      <c r="R536" s="1">
        <v>46034.625150462962</v>
      </c>
    </row>
    <row r="537" spans="1:18" x14ac:dyDescent="0.2">
      <c r="A537">
        <v>536</v>
      </c>
      <c r="B537" t="s">
        <v>2153</v>
      </c>
      <c r="C537" t="s">
        <v>57</v>
      </c>
      <c r="J537" t="s">
        <v>22</v>
      </c>
      <c r="M537" t="s">
        <v>2154</v>
      </c>
      <c r="N537">
        <v>0</v>
      </c>
      <c r="O537">
        <v>1</v>
      </c>
      <c r="P537">
        <v>0</v>
      </c>
      <c r="R537" s="1">
        <v>46034.625150462962</v>
      </c>
    </row>
    <row r="538" spans="1:18" x14ac:dyDescent="0.2">
      <c r="A538">
        <v>537</v>
      </c>
      <c r="B538" t="s">
        <v>2155</v>
      </c>
      <c r="C538" t="s">
        <v>57</v>
      </c>
      <c r="J538" t="s">
        <v>22</v>
      </c>
      <c r="M538" t="s">
        <v>2156</v>
      </c>
      <c r="N538">
        <v>0</v>
      </c>
      <c r="O538">
        <v>1</v>
      </c>
      <c r="P538">
        <v>0</v>
      </c>
      <c r="R538" s="1">
        <v>46034.625150462962</v>
      </c>
    </row>
    <row r="539" spans="1:18" x14ac:dyDescent="0.2">
      <c r="A539">
        <v>538</v>
      </c>
      <c r="B539" t="s">
        <v>2157</v>
      </c>
      <c r="C539" t="s">
        <v>57</v>
      </c>
      <c r="J539" t="s">
        <v>22</v>
      </c>
      <c r="M539" t="s">
        <v>2053</v>
      </c>
      <c r="N539">
        <v>0</v>
      </c>
      <c r="O539">
        <v>1</v>
      </c>
      <c r="P539">
        <v>0</v>
      </c>
      <c r="R539" s="1">
        <v>46034.625150462962</v>
      </c>
    </row>
    <row r="540" spans="1:18" x14ac:dyDescent="0.2">
      <c r="A540">
        <v>539</v>
      </c>
      <c r="B540" t="s">
        <v>2158</v>
      </c>
      <c r="C540" t="s">
        <v>57</v>
      </c>
      <c r="J540" t="s">
        <v>22</v>
      </c>
      <c r="M540" t="s">
        <v>2159</v>
      </c>
      <c r="N540">
        <v>0</v>
      </c>
      <c r="O540">
        <v>1</v>
      </c>
      <c r="P540">
        <v>0</v>
      </c>
      <c r="R540" s="1">
        <v>46034.625150462962</v>
      </c>
    </row>
    <row r="541" spans="1:18" x14ac:dyDescent="0.2">
      <c r="A541">
        <v>540</v>
      </c>
      <c r="B541" t="s">
        <v>2160</v>
      </c>
      <c r="C541" t="s">
        <v>57</v>
      </c>
      <c r="J541" t="s">
        <v>22</v>
      </c>
      <c r="M541" t="s">
        <v>2161</v>
      </c>
      <c r="N541">
        <v>0</v>
      </c>
      <c r="O541">
        <v>1</v>
      </c>
      <c r="P541">
        <v>0</v>
      </c>
      <c r="R541" s="1">
        <v>46034.625150462962</v>
      </c>
    </row>
    <row r="542" spans="1:18" x14ac:dyDescent="0.2">
      <c r="A542">
        <v>541</v>
      </c>
      <c r="B542" t="s">
        <v>2162</v>
      </c>
      <c r="C542" t="s">
        <v>57</v>
      </c>
      <c r="G542" t="s">
        <v>2163</v>
      </c>
      <c r="I542" t="s">
        <v>2164</v>
      </c>
      <c r="J542" t="s">
        <v>22</v>
      </c>
      <c r="M542" t="s">
        <v>2165</v>
      </c>
      <c r="N542">
        <v>0</v>
      </c>
      <c r="O542">
        <v>1</v>
      </c>
      <c r="P542">
        <v>0</v>
      </c>
      <c r="R542" s="1">
        <v>46034.625150462962</v>
      </c>
    </row>
    <row r="543" spans="1:18" x14ac:dyDescent="0.2">
      <c r="A543">
        <v>542</v>
      </c>
      <c r="B543" t="s">
        <v>2166</v>
      </c>
      <c r="C543" t="s">
        <v>57</v>
      </c>
      <c r="J543" t="s">
        <v>22</v>
      </c>
      <c r="M543" t="s">
        <v>2167</v>
      </c>
      <c r="N543">
        <v>0</v>
      </c>
      <c r="O543">
        <v>1</v>
      </c>
      <c r="P543">
        <v>0</v>
      </c>
      <c r="R543" s="1">
        <v>46034.625150462962</v>
      </c>
    </row>
    <row r="544" spans="1:18" x14ac:dyDescent="0.2">
      <c r="A544">
        <v>543</v>
      </c>
      <c r="B544" t="s">
        <v>2168</v>
      </c>
      <c r="C544" t="s">
        <v>57</v>
      </c>
      <c r="G544" t="s">
        <v>2169</v>
      </c>
      <c r="J544" t="s">
        <v>22</v>
      </c>
      <c r="M544" t="s">
        <v>2170</v>
      </c>
      <c r="N544">
        <v>0</v>
      </c>
      <c r="O544">
        <v>1</v>
      </c>
      <c r="P544">
        <v>0</v>
      </c>
      <c r="R544" s="1">
        <v>46034.625150462962</v>
      </c>
    </row>
    <row r="545" spans="1:18" x14ac:dyDescent="0.2">
      <c r="A545">
        <v>544</v>
      </c>
      <c r="B545" t="s">
        <v>2171</v>
      </c>
      <c r="C545" t="s">
        <v>57</v>
      </c>
      <c r="J545" t="s">
        <v>22</v>
      </c>
      <c r="M545" t="s">
        <v>2172</v>
      </c>
      <c r="N545">
        <v>0</v>
      </c>
      <c r="O545">
        <v>1</v>
      </c>
      <c r="P545">
        <v>0</v>
      </c>
      <c r="R545" s="1">
        <v>46034.625150462962</v>
      </c>
    </row>
    <row r="546" spans="1:18" x14ac:dyDescent="0.2">
      <c r="A546">
        <v>545</v>
      </c>
      <c r="B546" t="s">
        <v>2173</v>
      </c>
      <c r="C546" t="s">
        <v>57</v>
      </c>
      <c r="J546" t="s">
        <v>22</v>
      </c>
      <c r="M546" t="s">
        <v>2174</v>
      </c>
      <c r="N546">
        <v>0</v>
      </c>
      <c r="O546">
        <v>1</v>
      </c>
      <c r="P546">
        <v>0</v>
      </c>
      <c r="R546" s="1">
        <v>46034.625150462962</v>
      </c>
    </row>
    <row r="547" spans="1:18" x14ac:dyDescent="0.2">
      <c r="A547">
        <v>546</v>
      </c>
      <c r="B547" t="s">
        <v>2175</v>
      </c>
      <c r="C547" t="s">
        <v>57</v>
      </c>
      <c r="J547" t="s">
        <v>22</v>
      </c>
      <c r="M547" t="s">
        <v>2176</v>
      </c>
      <c r="N547">
        <v>0</v>
      </c>
      <c r="O547">
        <v>1</v>
      </c>
      <c r="P547">
        <v>0</v>
      </c>
      <c r="R547" s="1">
        <v>46034.625150462962</v>
      </c>
    </row>
    <row r="548" spans="1:18" x14ac:dyDescent="0.2">
      <c r="A548">
        <v>547</v>
      </c>
      <c r="B548" t="s">
        <v>2177</v>
      </c>
      <c r="C548" t="s">
        <v>57</v>
      </c>
      <c r="G548" t="s">
        <v>2178</v>
      </c>
      <c r="I548" t="s">
        <v>2179</v>
      </c>
      <c r="J548" t="s">
        <v>22</v>
      </c>
      <c r="M548" t="s">
        <v>2180</v>
      </c>
      <c r="N548">
        <v>0</v>
      </c>
      <c r="O548">
        <v>1</v>
      </c>
      <c r="P548">
        <v>0</v>
      </c>
      <c r="R548" s="1">
        <v>46034.625150462962</v>
      </c>
    </row>
    <row r="549" spans="1:18" x14ac:dyDescent="0.2">
      <c r="A549">
        <v>548</v>
      </c>
      <c r="B549" t="s">
        <v>2181</v>
      </c>
      <c r="C549" t="s">
        <v>57</v>
      </c>
      <c r="J549" t="s">
        <v>22</v>
      </c>
      <c r="M549" t="s">
        <v>2182</v>
      </c>
      <c r="N549">
        <v>0</v>
      </c>
      <c r="O549">
        <v>1</v>
      </c>
      <c r="P549">
        <v>0</v>
      </c>
      <c r="R549" s="1">
        <v>46034.625150462962</v>
      </c>
    </row>
    <row r="550" spans="1:18" x14ac:dyDescent="0.2">
      <c r="A550">
        <v>549</v>
      </c>
      <c r="B550" t="s">
        <v>2183</v>
      </c>
      <c r="C550" t="s">
        <v>57</v>
      </c>
      <c r="J550" t="s">
        <v>22</v>
      </c>
      <c r="M550" t="s">
        <v>2184</v>
      </c>
      <c r="N550">
        <v>0</v>
      </c>
      <c r="O550">
        <v>1</v>
      </c>
      <c r="P550">
        <v>0</v>
      </c>
      <c r="R550" s="1">
        <v>46034.625150462962</v>
      </c>
    </row>
    <row r="551" spans="1:18" x14ac:dyDescent="0.2">
      <c r="A551">
        <v>550</v>
      </c>
      <c r="B551" t="s">
        <v>2185</v>
      </c>
      <c r="C551" t="s">
        <v>57</v>
      </c>
      <c r="J551" t="s">
        <v>22</v>
      </c>
      <c r="M551" t="s">
        <v>2186</v>
      </c>
      <c r="N551">
        <v>0</v>
      </c>
      <c r="O551">
        <v>1</v>
      </c>
      <c r="P551">
        <v>0</v>
      </c>
      <c r="R551" s="1">
        <v>46034.625150462962</v>
      </c>
    </row>
    <row r="552" spans="1:18" x14ac:dyDescent="0.2">
      <c r="A552">
        <v>551</v>
      </c>
      <c r="B552" t="s">
        <v>2187</v>
      </c>
      <c r="C552" t="s">
        <v>57</v>
      </c>
      <c r="J552" t="s">
        <v>22</v>
      </c>
      <c r="M552" t="s">
        <v>2188</v>
      </c>
      <c r="N552">
        <v>0</v>
      </c>
      <c r="O552">
        <v>1</v>
      </c>
      <c r="P552">
        <v>0</v>
      </c>
      <c r="R552" s="1">
        <v>46034.625150462962</v>
      </c>
    </row>
    <row r="553" spans="1:18" x14ac:dyDescent="0.2">
      <c r="A553">
        <v>552</v>
      </c>
      <c r="B553" t="s">
        <v>2189</v>
      </c>
      <c r="C553" t="s">
        <v>57</v>
      </c>
      <c r="J553" t="s">
        <v>22</v>
      </c>
      <c r="M553" t="s">
        <v>2190</v>
      </c>
      <c r="N553">
        <v>0</v>
      </c>
      <c r="O553">
        <v>1</v>
      </c>
      <c r="P553">
        <v>0</v>
      </c>
      <c r="R553" s="1">
        <v>46034.625150462962</v>
      </c>
    </row>
    <row r="554" spans="1:18" x14ac:dyDescent="0.2">
      <c r="A554">
        <v>553</v>
      </c>
      <c r="B554" t="s">
        <v>2191</v>
      </c>
      <c r="C554" t="s">
        <v>57</v>
      </c>
      <c r="J554" t="s">
        <v>22</v>
      </c>
      <c r="M554" t="s">
        <v>2192</v>
      </c>
      <c r="N554">
        <v>0</v>
      </c>
      <c r="O554">
        <v>1</v>
      </c>
      <c r="P554">
        <v>0</v>
      </c>
      <c r="R554" s="1">
        <v>46034.625150462962</v>
      </c>
    </row>
    <row r="555" spans="1:18" x14ac:dyDescent="0.2">
      <c r="A555">
        <v>554</v>
      </c>
      <c r="B555" t="s">
        <v>2193</v>
      </c>
      <c r="C555" t="s">
        <v>57</v>
      </c>
      <c r="G555" t="s">
        <v>2194</v>
      </c>
      <c r="I555" t="s">
        <v>84</v>
      </c>
      <c r="J555" t="s">
        <v>22</v>
      </c>
      <c r="M555" t="s">
        <v>2195</v>
      </c>
      <c r="N555">
        <v>0</v>
      </c>
      <c r="O555">
        <v>1</v>
      </c>
      <c r="P555">
        <v>0</v>
      </c>
      <c r="R555" s="1">
        <v>46034.625150462962</v>
      </c>
    </row>
    <row r="556" spans="1:18" x14ac:dyDescent="0.2">
      <c r="A556">
        <v>555</v>
      </c>
      <c r="B556" t="s">
        <v>2196</v>
      </c>
      <c r="C556" t="s">
        <v>57</v>
      </c>
      <c r="G556" t="s">
        <v>2197</v>
      </c>
      <c r="I556" t="s">
        <v>2198</v>
      </c>
      <c r="J556" t="s">
        <v>22</v>
      </c>
      <c r="M556" t="s">
        <v>2199</v>
      </c>
      <c r="N556">
        <v>0</v>
      </c>
      <c r="O556">
        <v>1</v>
      </c>
      <c r="P556">
        <v>0</v>
      </c>
      <c r="R556" s="1">
        <v>46034.625150462962</v>
      </c>
    </row>
    <row r="557" spans="1:18" x14ac:dyDescent="0.2">
      <c r="A557">
        <v>556</v>
      </c>
      <c r="B557" t="s">
        <v>2200</v>
      </c>
      <c r="C557" t="s">
        <v>57</v>
      </c>
      <c r="G557" t="s">
        <v>2201</v>
      </c>
      <c r="I557" t="s">
        <v>84</v>
      </c>
      <c r="J557" t="s">
        <v>22</v>
      </c>
      <c r="M557" t="s">
        <v>2202</v>
      </c>
      <c r="N557">
        <v>0</v>
      </c>
      <c r="O557">
        <v>1</v>
      </c>
      <c r="P557">
        <v>0</v>
      </c>
      <c r="R557" s="1">
        <v>46034.625150462962</v>
      </c>
    </row>
    <row r="558" spans="1:18" x14ac:dyDescent="0.2">
      <c r="A558">
        <v>557</v>
      </c>
      <c r="B558" t="s">
        <v>2203</v>
      </c>
      <c r="C558" t="s">
        <v>57</v>
      </c>
      <c r="G558" t="s">
        <v>2204</v>
      </c>
      <c r="I558" t="s">
        <v>459</v>
      </c>
      <c r="J558" t="s">
        <v>22</v>
      </c>
      <c r="M558" t="s">
        <v>2205</v>
      </c>
      <c r="N558">
        <v>0</v>
      </c>
      <c r="O558">
        <v>1</v>
      </c>
      <c r="P558">
        <v>0</v>
      </c>
      <c r="R558" s="1">
        <v>46034.625150462962</v>
      </c>
    </row>
    <row r="559" spans="1:18" x14ac:dyDescent="0.2">
      <c r="A559">
        <v>558</v>
      </c>
      <c r="B559" t="s">
        <v>2206</v>
      </c>
      <c r="C559" t="s">
        <v>57</v>
      </c>
      <c r="G559" t="s">
        <v>2207</v>
      </c>
      <c r="I559" t="s">
        <v>2208</v>
      </c>
      <c r="J559" t="s">
        <v>22</v>
      </c>
      <c r="M559" t="s">
        <v>2209</v>
      </c>
      <c r="N559">
        <v>0</v>
      </c>
      <c r="O559">
        <v>1</v>
      </c>
      <c r="P559">
        <v>0</v>
      </c>
      <c r="R559" s="1">
        <v>46034.625150462962</v>
      </c>
    </row>
    <row r="560" spans="1:18" x14ac:dyDescent="0.2">
      <c r="A560">
        <v>559</v>
      </c>
      <c r="B560" t="s">
        <v>2210</v>
      </c>
      <c r="C560" t="s">
        <v>57</v>
      </c>
      <c r="G560" t="s">
        <v>2211</v>
      </c>
      <c r="I560" t="s">
        <v>1303</v>
      </c>
      <c r="J560" t="s">
        <v>22</v>
      </c>
      <c r="M560" t="s">
        <v>2212</v>
      </c>
      <c r="N560">
        <v>0</v>
      </c>
      <c r="O560">
        <v>1</v>
      </c>
      <c r="P560">
        <v>0</v>
      </c>
      <c r="R560" s="1">
        <v>46034.625150462962</v>
      </c>
    </row>
    <row r="561" spans="1:18" x14ac:dyDescent="0.2">
      <c r="A561">
        <v>560</v>
      </c>
      <c r="B561" t="s">
        <v>2213</v>
      </c>
      <c r="C561" t="s">
        <v>57</v>
      </c>
      <c r="G561" t="s">
        <v>2214</v>
      </c>
      <c r="I561" t="s">
        <v>1276</v>
      </c>
      <c r="J561" t="s">
        <v>22</v>
      </c>
      <c r="M561" t="s">
        <v>2215</v>
      </c>
      <c r="N561">
        <v>0</v>
      </c>
      <c r="O561">
        <v>1</v>
      </c>
      <c r="P561">
        <v>0</v>
      </c>
      <c r="R561" s="1">
        <v>46034.625150462962</v>
      </c>
    </row>
    <row r="562" spans="1:18" x14ac:dyDescent="0.2">
      <c r="A562">
        <v>561</v>
      </c>
      <c r="B562" t="s">
        <v>2216</v>
      </c>
      <c r="C562" t="s">
        <v>57</v>
      </c>
      <c r="E562" t="s">
        <v>2217</v>
      </c>
      <c r="G562" t="s">
        <v>2218</v>
      </c>
      <c r="I562" t="s">
        <v>2219</v>
      </c>
      <c r="J562" t="s">
        <v>22</v>
      </c>
      <c r="M562" t="s">
        <v>2220</v>
      </c>
      <c r="N562">
        <v>0</v>
      </c>
      <c r="O562">
        <v>1</v>
      </c>
      <c r="P562">
        <v>0</v>
      </c>
      <c r="R562" s="1">
        <v>46034.625150462962</v>
      </c>
    </row>
    <row r="563" spans="1:18" x14ac:dyDescent="0.2">
      <c r="A563">
        <v>562</v>
      </c>
      <c r="B563" t="s">
        <v>2221</v>
      </c>
      <c r="C563" t="s">
        <v>57</v>
      </c>
      <c r="J563" t="s">
        <v>22</v>
      </c>
      <c r="M563" t="s">
        <v>2222</v>
      </c>
      <c r="N563">
        <v>0</v>
      </c>
      <c r="O563">
        <v>1</v>
      </c>
      <c r="P563">
        <v>0</v>
      </c>
      <c r="R563" s="1">
        <v>46034.625150462962</v>
      </c>
    </row>
    <row r="564" spans="1:18" x14ac:dyDescent="0.2">
      <c r="A564">
        <v>563</v>
      </c>
      <c r="B564" t="s">
        <v>2223</v>
      </c>
      <c r="C564" t="s">
        <v>57</v>
      </c>
      <c r="J564" t="s">
        <v>22</v>
      </c>
      <c r="N564">
        <v>0</v>
      </c>
      <c r="O564">
        <v>1</v>
      </c>
      <c r="P564">
        <v>0</v>
      </c>
      <c r="R564" s="1">
        <v>46034.625150462962</v>
      </c>
    </row>
    <row r="565" spans="1:18" x14ac:dyDescent="0.2">
      <c r="A565">
        <v>564</v>
      </c>
      <c r="B565" t="s">
        <v>2224</v>
      </c>
      <c r="C565" t="s">
        <v>57</v>
      </c>
      <c r="J565" t="s">
        <v>22</v>
      </c>
      <c r="M565" t="s">
        <v>2225</v>
      </c>
      <c r="N565">
        <v>0</v>
      </c>
      <c r="O565">
        <v>1</v>
      </c>
      <c r="P565">
        <v>0</v>
      </c>
      <c r="R565" s="1">
        <v>46034.625150462962</v>
      </c>
    </row>
    <row r="566" spans="1:18" x14ac:dyDescent="0.2">
      <c r="A566">
        <v>565</v>
      </c>
      <c r="B566" t="s">
        <v>2226</v>
      </c>
      <c r="C566" t="s">
        <v>57</v>
      </c>
      <c r="E566" t="s">
        <v>2227</v>
      </c>
      <c r="G566" t="s">
        <v>2228</v>
      </c>
      <c r="I566" t="s">
        <v>723</v>
      </c>
      <c r="J566" t="s">
        <v>22</v>
      </c>
      <c r="M566" t="s">
        <v>2229</v>
      </c>
      <c r="N566">
        <v>0</v>
      </c>
      <c r="O566">
        <v>1</v>
      </c>
      <c r="P566">
        <v>0</v>
      </c>
      <c r="R566" s="1">
        <v>46034.625150462962</v>
      </c>
    </row>
    <row r="567" spans="1:18" x14ac:dyDescent="0.2">
      <c r="A567">
        <v>566</v>
      </c>
      <c r="B567" t="s">
        <v>2230</v>
      </c>
      <c r="C567" t="s">
        <v>57</v>
      </c>
      <c r="J567" t="s">
        <v>22</v>
      </c>
      <c r="M567" t="s">
        <v>2231</v>
      </c>
      <c r="N567">
        <v>0</v>
      </c>
      <c r="O567">
        <v>1</v>
      </c>
      <c r="P567">
        <v>0</v>
      </c>
      <c r="R567" s="1">
        <v>46034.625150462962</v>
      </c>
    </row>
    <row r="568" spans="1:18" x14ac:dyDescent="0.2">
      <c r="A568">
        <v>567</v>
      </c>
      <c r="B568" t="s">
        <v>2232</v>
      </c>
      <c r="C568" t="s">
        <v>57</v>
      </c>
      <c r="J568" t="s">
        <v>22</v>
      </c>
      <c r="M568" t="s">
        <v>2233</v>
      </c>
      <c r="N568">
        <v>0</v>
      </c>
      <c r="O568">
        <v>1</v>
      </c>
      <c r="P568">
        <v>0</v>
      </c>
      <c r="R568" s="1">
        <v>46034.625150462962</v>
      </c>
    </row>
    <row r="569" spans="1:18" x14ac:dyDescent="0.2">
      <c r="A569">
        <v>568</v>
      </c>
      <c r="B569" t="s">
        <v>2234</v>
      </c>
      <c r="C569" t="s">
        <v>57</v>
      </c>
      <c r="J569" t="s">
        <v>22</v>
      </c>
      <c r="M569" t="s">
        <v>2235</v>
      </c>
      <c r="N569">
        <v>0</v>
      </c>
      <c r="O569">
        <v>1</v>
      </c>
      <c r="P569">
        <v>0</v>
      </c>
      <c r="R569" s="1">
        <v>46034.625150462962</v>
      </c>
    </row>
    <row r="570" spans="1:18" x14ac:dyDescent="0.2">
      <c r="A570">
        <v>569</v>
      </c>
      <c r="B570" t="s">
        <v>2236</v>
      </c>
      <c r="C570" t="s">
        <v>57</v>
      </c>
      <c r="J570" t="s">
        <v>22</v>
      </c>
      <c r="M570" t="s">
        <v>2237</v>
      </c>
      <c r="N570">
        <v>0</v>
      </c>
      <c r="O570">
        <v>1</v>
      </c>
      <c r="P570">
        <v>0</v>
      </c>
      <c r="R570" s="1">
        <v>46034.625150462962</v>
      </c>
    </row>
    <row r="571" spans="1:18" x14ac:dyDescent="0.2">
      <c r="A571">
        <v>570</v>
      </c>
      <c r="B571" t="s">
        <v>2238</v>
      </c>
      <c r="C571" t="s">
        <v>57</v>
      </c>
      <c r="J571" t="s">
        <v>22</v>
      </c>
      <c r="M571" t="s">
        <v>2239</v>
      </c>
      <c r="N571">
        <v>0</v>
      </c>
      <c r="O571">
        <v>1</v>
      </c>
      <c r="P571">
        <v>0</v>
      </c>
      <c r="R571" s="1">
        <v>46034.625150462962</v>
      </c>
    </row>
    <row r="572" spans="1:18" x14ac:dyDescent="0.2">
      <c r="A572">
        <v>571</v>
      </c>
      <c r="B572" t="s">
        <v>2240</v>
      </c>
      <c r="C572" t="s">
        <v>57</v>
      </c>
      <c r="J572" t="s">
        <v>22</v>
      </c>
      <c r="M572" t="s">
        <v>2241</v>
      </c>
      <c r="N572">
        <v>0</v>
      </c>
      <c r="O572">
        <v>1</v>
      </c>
      <c r="P572">
        <v>0</v>
      </c>
      <c r="R572" s="1">
        <v>46034.625150462962</v>
      </c>
    </row>
    <row r="573" spans="1:18" x14ac:dyDescent="0.2">
      <c r="A573">
        <v>572</v>
      </c>
      <c r="B573" t="s">
        <v>2242</v>
      </c>
      <c r="C573" t="s">
        <v>57</v>
      </c>
      <c r="J573" t="s">
        <v>22</v>
      </c>
      <c r="M573" t="s">
        <v>2243</v>
      </c>
      <c r="N573">
        <v>0</v>
      </c>
      <c r="O573">
        <v>1</v>
      </c>
      <c r="P573">
        <v>0</v>
      </c>
      <c r="R573" s="1">
        <v>46034.625150462962</v>
      </c>
    </row>
    <row r="574" spans="1:18" x14ac:dyDescent="0.2">
      <c r="A574">
        <v>573</v>
      </c>
      <c r="B574" t="s">
        <v>2244</v>
      </c>
      <c r="C574" t="s">
        <v>57</v>
      </c>
      <c r="J574" t="s">
        <v>22</v>
      </c>
      <c r="M574" t="s">
        <v>2245</v>
      </c>
      <c r="N574">
        <v>0</v>
      </c>
      <c r="O574">
        <v>1</v>
      </c>
      <c r="P574">
        <v>0</v>
      </c>
      <c r="R574" s="1">
        <v>46034.625150462962</v>
      </c>
    </row>
    <row r="575" spans="1:18" x14ac:dyDescent="0.2">
      <c r="A575">
        <v>574</v>
      </c>
      <c r="B575" t="s">
        <v>2246</v>
      </c>
      <c r="C575" t="s">
        <v>57</v>
      </c>
      <c r="J575" t="s">
        <v>22</v>
      </c>
      <c r="M575" t="s">
        <v>2247</v>
      </c>
      <c r="N575">
        <v>0</v>
      </c>
      <c r="O575">
        <v>1</v>
      </c>
      <c r="P575">
        <v>0</v>
      </c>
      <c r="R575" s="1">
        <v>46034.625150462962</v>
      </c>
    </row>
    <row r="576" spans="1:18" x14ac:dyDescent="0.2">
      <c r="A576">
        <v>575</v>
      </c>
      <c r="B576" t="s">
        <v>2248</v>
      </c>
      <c r="C576" t="s">
        <v>57</v>
      </c>
      <c r="J576" t="s">
        <v>22</v>
      </c>
      <c r="M576" t="s">
        <v>2247</v>
      </c>
      <c r="N576">
        <v>0</v>
      </c>
      <c r="O576">
        <v>1</v>
      </c>
      <c r="P576">
        <v>0</v>
      </c>
      <c r="R576" s="1">
        <v>46034.625150462962</v>
      </c>
    </row>
    <row r="577" spans="1:18" x14ac:dyDescent="0.2">
      <c r="A577">
        <v>576</v>
      </c>
      <c r="B577" t="s">
        <v>2249</v>
      </c>
      <c r="C577" t="s">
        <v>57</v>
      </c>
      <c r="J577" t="s">
        <v>22</v>
      </c>
      <c r="M577" t="s">
        <v>1422</v>
      </c>
      <c r="N577">
        <v>0</v>
      </c>
      <c r="O577">
        <v>1</v>
      </c>
      <c r="P577">
        <v>0</v>
      </c>
      <c r="R577" s="1">
        <v>46034.625150462962</v>
      </c>
    </row>
    <row r="578" spans="1:18" x14ac:dyDescent="0.2">
      <c r="A578">
        <v>577</v>
      </c>
      <c r="B578" t="s">
        <v>2250</v>
      </c>
      <c r="C578" t="s">
        <v>57</v>
      </c>
      <c r="J578" t="s">
        <v>22</v>
      </c>
      <c r="M578" t="s">
        <v>2251</v>
      </c>
      <c r="N578">
        <v>0</v>
      </c>
      <c r="O578">
        <v>1</v>
      </c>
      <c r="P578">
        <v>0</v>
      </c>
      <c r="R578" s="1">
        <v>46034.625150462962</v>
      </c>
    </row>
    <row r="579" spans="1:18" x14ac:dyDescent="0.2">
      <c r="A579">
        <v>578</v>
      </c>
      <c r="B579" t="s">
        <v>2252</v>
      </c>
      <c r="C579" t="s">
        <v>57</v>
      </c>
      <c r="J579" t="s">
        <v>22</v>
      </c>
      <c r="M579" t="s">
        <v>2253</v>
      </c>
      <c r="N579">
        <v>0</v>
      </c>
      <c r="O579">
        <v>1</v>
      </c>
      <c r="P579">
        <v>0</v>
      </c>
      <c r="R579" s="1">
        <v>46034.625150462962</v>
      </c>
    </row>
    <row r="580" spans="1:18" x14ac:dyDescent="0.2">
      <c r="A580">
        <v>579</v>
      </c>
      <c r="B580" t="s">
        <v>2254</v>
      </c>
      <c r="C580" t="s">
        <v>57</v>
      </c>
      <c r="J580" t="s">
        <v>22</v>
      </c>
      <c r="M580" t="s">
        <v>2255</v>
      </c>
      <c r="N580">
        <v>0</v>
      </c>
      <c r="O580">
        <v>1</v>
      </c>
      <c r="P580">
        <v>0</v>
      </c>
      <c r="R580" s="1">
        <v>46034.625150462962</v>
      </c>
    </row>
    <row r="581" spans="1:18" x14ac:dyDescent="0.2">
      <c r="A581">
        <v>580</v>
      </c>
      <c r="B581" t="s">
        <v>2256</v>
      </c>
      <c r="C581" t="s">
        <v>57</v>
      </c>
      <c r="J581" t="s">
        <v>22</v>
      </c>
      <c r="M581" t="s">
        <v>2257</v>
      </c>
      <c r="N581">
        <v>0</v>
      </c>
      <c r="O581">
        <v>1</v>
      </c>
      <c r="P581">
        <v>0</v>
      </c>
      <c r="R581" s="1">
        <v>46034.625150462962</v>
      </c>
    </row>
    <row r="582" spans="1:18" x14ac:dyDescent="0.2">
      <c r="A582">
        <v>581</v>
      </c>
      <c r="B582" t="s">
        <v>2258</v>
      </c>
      <c r="C582" t="s">
        <v>57</v>
      </c>
      <c r="J582" t="s">
        <v>22</v>
      </c>
      <c r="M582" t="s">
        <v>2259</v>
      </c>
      <c r="N582">
        <v>0</v>
      </c>
      <c r="O582">
        <v>1</v>
      </c>
      <c r="P582">
        <v>0</v>
      </c>
      <c r="R582" s="1">
        <v>46034.625150462962</v>
      </c>
    </row>
    <row r="583" spans="1:18" x14ac:dyDescent="0.2">
      <c r="A583">
        <v>582</v>
      </c>
      <c r="B583" t="s">
        <v>2260</v>
      </c>
      <c r="C583" t="s">
        <v>57</v>
      </c>
      <c r="J583" t="s">
        <v>22</v>
      </c>
      <c r="M583" t="s">
        <v>2261</v>
      </c>
      <c r="N583">
        <v>0</v>
      </c>
      <c r="O583">
        <v>1</v>
      </c>
      <c r="P583">
        <v>0</v>
      </c>
      <c r="R583" s="1">
        <v>46034.625150462962</v>
      </c>
    </row>
    <row r="584" spans="1:18" x14ac:dyDescent="0.2">
      <c r="A584">
        <v>583</v>
      </c>
      <c r="B584" t="s">
        <v>2262</v>
      </c>
      <c r="C584" t="s">
        <v>57</v>
      </c>
      <c r="J584" t="s">
        <v>22</v>
      </c>
      <c r="M584" t="s">
        <v>2263</v>
      </c>
      <c r="N584">
        <v>0</v>
      </c>
      <c r="O584">
        <v>1</v>
      </c>
      <c r="P584">
        <v>0</v>
      </c>
      <c r="R584" s="1">
        <v>46034.625150462962</v>
      </c>
    </row>
    <row r="585" spans="1:18" x14ac:dyDescent="0.2">
      <c r="A585">
        <v>584</v>
      </c>
      <c r="B585" t="s">
        <v>2264</v>
      </c>
      <c r="C585" t="s">
        <v>57</v>
      </c>
      <c r="J585" t="s">
        <v>22</v>
      </c>
      <c r="M585" t="s">
        <v>2265</v>
      </c>
      <c r="N585">
        <v>0</v>
      </c>
      <c r="O585">
        <v>1</v>
      </c>
      <c r="P585">
        <v>0</v>
      </c>
      <c r="R585" s="1">
        <v>46034.625150462962</v>
      </c>
    </row>
    <row r="586" spans="1:18" x14ac:dyDescent="0.2">
      <c r="A586">
        <v>585</v>
      </c>
      <c r="B586" t="s">
        <v>2266</v>
      </c>
      <c r="C586" t="s">
        <v>57</v>
      </c>
      <c r="J586" t="s">
        <v>22</v>
      </c>
      <c r="M586" t="s">
        <v>2267</v>
      </c>
      <c r="N586">
        <v>0</v>
      </c>
      <c r="O586">
        <v>1</v>
      </c>
      <c r="P586">
        <v>0</v>
      </c>
      <c r="R586" s="1">
        <v>46034.625150462962</v>
      </c>
    </row>
    <row r="587" spans="1:18" x14ac:dyDescent="0.2">
      <c r="A587">
        <v>586</v>
      </c>
      <c r="B587" t="s">
        <v>2268</v>
      </c>
      <c r="C587" t="s">
        <v>57</v>
      </c>
      <c r="E587" t="s">
        <v>2269</v>
      </c>
      <c r="G587" t="s">
        <v>2270</v>
      </c>
      <c r="I587" t="s">
        <v>84</v>
      </c>
      <c r="J587" t="s">
        <v>22</v>
      </c>
      <c r="M587" t="s">
        <v>2271</v>
      </c>
      <c r="N587">
        <v>0</v>
      </c>
      <c r="O587">
        <v>1</v>
      </c>
      <c r="P587">
        <v>0</v>
      </c>
      <c r="R587" s="1">
        <v>46034.625150462962</v>
      </c>
    </row>
    <row r="588" spans="1:18" x14ac:dyDescent="0.2">
      <c r="A588">
        <v>587</v>
      </c>
      <c r="B588" t="s">
        <v>2272</v>
      </c>
      <c r="C588" t="s">
        <v>57</v>
      </c>
      <c r="J588" t="s">
        <v>22</v>
      </c>
      <c r="M588" t="s">
        <v>2273</v>
      </c>
      <c r="N588">
        <v>0</v>
      </c>
      <c r="O588">
        <v>1</v>
      </c>
      <c r="P588">
        <v>0</v>
      </c>
      <c r="R588" s="1">
        <v>46034.625150462962</v>
      </c>
    </row>
    <row r="589" spans="1:18" x14ac:dyDescent="0.2">
      <c r="A589">
        <v>588</v>
      </c>
      <c r="B589" t="s">
        <v>2274</v>
      </c>
      <c r="C589" t="s">
        <v>57</v>
      </c>
      <c r="J589" t="s">
        <v>22</v>
      </c>
      <c r="M589" t="s">
        <v>1351</v>
      </c>
      <c r="N589">
        <v>0</v>
      </c>
      <c r="O589">
        <v>1</v>
      </c>
      <c r="P589">
        <v>0</v>
      </c>
      <c r="R589" s="1">
        <v>46034.625150462962</v>
      </c>
    </row>
    <row r="590" spans="1:18" x14ac:dyDescent="0.2">
      <c r="A590">
        <v>589</v>
      </c>
      <c r="B590" t="s">
        <v>2275</v>
      </c>
      <c r="C590" t="s">
        <v>57</v>
      </c>
      <c r="J590" t="s">
        <v>22</v>
      </c>
      <c r="M590" t="s">
        <v>2276</v>
      </c>
      <c r="N590">
        <v>0</v>
      </c>
      <c r="O590">
        <v>1</v>
      </c>
      <c r="P590">
        <v>0</v>
      </c>
      <c r="R590" s="1">
        <v>46034.625150462962</v>
      </c>
    </row>
    <row r="591" spans="1:18" x14ac:dyDescent="0.2">
      <c r="A591">
        <v>590</v>
      </c>
      <c r="B591" t="s">
        <v>2277</v>
      </c>
      <c r="C591" t="s">
        <v>57</v>
      </c>
      <c r="J591" t="s">
        <v>22</v>
      </c>
      <c r="M591" t="s">
        <v>2278</v>
      </c>
      <c r="N591">
        <v>0</v>
      </c>
      <c r="O591">
        <v>1</v>
      </c>
      <c r="P591">
        <v>0</v>
      </c>
      <c r="R591" s="1">
        <v>46034.625150462962</v>
      </c>
    </row>
    <row r="592" spans="1:18" x14ac:dyDescent="0.2">
      <c r="A592">
        <v>591</v>
      </c>
      <c r="B592" t="s">
        <v>2279</v>
      </c>
      <c r="C592" t="s">
        <v>57</v>
      </c>
      <c r="J592" t="s">
        <v>22</v>
      </c>
      <c r="M592" t="s">
        <v>2280</v>
      </c>
      <c r="N592">
        <v>0</v>
      </c>
      <c r="O592">
        <v>1</v>
      </c>
      <c r="P592">
        <v>0</v>
      </c>
      <c r="R592" s="1">
        <v>46034.625150462962</v>
      </c>
    </row>
    <row r="593" spans="1:18" x14ac:dyDescent="0.2">
      <c r="A593">
        <v>592</v>
      </c>
      <c r="B593" t="s">
        <v>2281</v>
      </c>
      <c r="C593" t="s">
        <v>57</v>
      </c>
      <c r="J593" t="s">
        <v>22</v>
      </c>
      <c r="M593" t="s">
        <v>2282</v>
      </c>
      <c r="N593">
        <v>0</v>
      </c>
      <c r="O593">
        <v>1</v>
      </c>
      <c r="P593">
        <v>0</v>
      </c>
      <c r="R593" s="1">
        <v>46034.625150462962</v>
      </c>
    </row>
    <row r="594" spans="1:18" x14ac:dyDescent="0.2">
      <c r="A594">
        <v>593</v>
      </c>
      <c r="B594" t="s">
        <v>2283</v>
      </c>
      <c r="C594" t="s">
        <v>57</v>
      </c>
      <c r="J594" t="s">
        <v>22</v>
      </c>
      <c r="M594" t="s">
        <v>2284</v>
      </c>
      <c r="N594">
        <v>0</v>
      </c>
      <c r="O594">
        <v>1</v>
      </c>
      <c r="P594">
        <v>0</v>
      </c>
      <c r="R594" s="1">
        <v>46034.625150462962</v>
      </c>
    </row>
    <row r="595" spans="1:18" x14ac:dyDescent="0.2">
      <c r="A595">
        <v>594</v>
      </c>
      <c r="B595" t="s">
        <v>2285</v>
      </c>
      <c r="C595" t="s">
        <v>57</v>
      </c>
      <c r="J595" t="s">
        <v>22</v>
      </c>
      <c r="M595" t="s">
        <v>2286</v>
      </c>
      <c r="N595">
        <v>0</v>
      </c>
      <c r="O595">
        <v>1</v>
      </c>
      <c r="P595">
        <v>0</v>
      </c>
      <c r="R595" s="1">
        <v>46034.625150462962</v>
      </c>
    </row>
    <row r="596" spans="1:18" x14ac:dyDescent="0.2">
      <c r="A596">
        <v>595</v>
      </c>
      <c r="B596" t="s">
        <v>2287</v>
      </c>
      <c r="C596" t="s">
        <v>57</v>
      </c>
      <c r="J596" t="s">
        <v>22</v>
      </c>
      <c r="M596" t="s">
        <v>2288</v>
      </c>
      <c r="N596">
        <v>0</v>
      </c>
      <c r="O596">
        <v>1</v>
      </c>
      <c r="P596">
        <v>0</v>
      </c>
      <c r="R596" s="1">
        <v>46034.625150462962</v>
      </c>
    </row>
    <row r="597" spans="1:18" x14ac:dyDescent="0.2">
      <c r="A597">
        <v>596</v>
      </c>
      <c r="B597" t="s">
        <v>2289</v>
      </c>
      <c r="C597" t="s">
        <v>57</v>
      </c>
      <c r="J597" t="s">
        <v>22</v>
      </c>
      <c r="M597" t="s">
        <v>2290</v>
      </c>
      <c r="N597">
        <v>0</v>
      </c>
      <c r="O597">
        <v>1</v>
      </c>
      <c r="P597">
        <v>0</v>
      </c>
      <c r="R597" s="1">
        <v>46034.625150462962</v>
      </c>
    </row>
    <row r="598" spans="1:18" x14ac:dyDescent="0.2">
      <c r="A598">
        <v>597</v>
      </c>
      <c r="B598" t="s">
        <v>2291</v>
      </c>
      <c r="C598" t="s">
        <v>57</v>
      </c>
      <c r="G598" t="s">
        <v>1042</v>
      </c>
      <c r="I598" t="s">
        <v>1043</v>
      </c>
      <c r="J598" t="s">
        <v>22</v>
      </c>
      <c r="M598" t="s">
        <v>1044</v>
      </c>
      <c r="N598">
        <v>0</v>
      </c>
      <c r="O598">
        <v>1</v>
      </c>
      <c r="P598">
        <v>0</v>
      </c>
      <c r="R598" s="1">
        <v>46034.625150462962</v>
      </c>
    </row>
    <row r="599" spans="1:18" x14ac:dyDescent="0.2">
      <c r="A599">
        <v>598</v>
      </c>
      <c r="B599" t="s">
        <v>2292</v>
      </c>
      <c r="C599" t="s">
        <v>57</v>
      </c>
      <c r="J599" t="s">
        <v>22</v>
      </c>
      <c r="M599" t="s">
        <v>2293</v>
      </c>
      <c r="N599">
        <v>0</v>
      </c>
      <c r="O599">
        <v>1</v>
      </c>
      <c r="P599">
        <v>0</v>
      </c>
      <c r="R599" s="1">
        <v>46034.625150462962</v>
      </c>
    </row>
    <row r="600" spans="1:18" x14ac:dyDescent="0.2">
      <c r="A600">
        <v>599</v>
      </c>
      <c r="B600" t="s">
        <v>2294</v>
      </c>
      <c r="C600" t="s">
        <v>57</v>
      </c>
      <c r="J600" t="s">
        <v>22</v>
      </c>
      <c r="M600" t="s">
        <v>2295</v>
      </c>
      <c r="N600">
        <v>0</v>
      </c>
      <c r="O600">
        <v>1</v>
      </c>
      <c r="P600">
        <v>0</v>
      </c>
      <c r="R600" s="1">
        <v>46034.625150462962</v>
      </c>
    </row>
    <row r="601" spans="1:18" x14ac:dyDescent="0.2">
      <c r="A601">
        <v>600</v>
      </c>
      <c r="B601" t="s">
        <v>2296</v>
      </c>
      <c r="C601" t="s">
        <v>57</v>
      </c>
      <c r="J601" t="s">
        <v>22</v>
      </c>
      <c r="M601" t="s">
        <v>2297</v>
      </c>
      <c r="N601">
        <v>0</v>
      </c>
      <c r="O601">
        <v>1</v>
      </c>
      <c r="P601">
        <v>0</v>
      </c>
      <c r="R601" s="1">
        <v>46034.625150462962</v>
      </c>
    </row>
    <row r="602" spans="1:18" x14ac:dyDescent="0.2">
      <c r="A602">
        <v>601</v>
      </c>
      <c r="B602" t="s">
        <v>2298</v>
      </c>
      <c r="C602" t="s">
        <v>57</v>
      </c>
      <c r="J602" t="s">
        <v>22</v>
      </c>
      <c r="M602" t="s">
        <v>2299</v>
      </c>
      <c r="N602">
        <v>0</v>
      </c>
      <c r="O602">
        <v>1</v>
      </c>
      <c r="P602">
        <v>0</v>
      </c>
      <c r="R602" s="1">
        <v>46034.625150462962</v>
      </c>
    </row>
    <row r="603" spans="1:18" x14ac:dyDescent="0.2">
      <c r="A603">
        <v>602</v>
      </c>
      <c r="B603" t="s">
        <v>2300</v>
      </c>
      <c r="C603" t="s">
        <v>57</v>
      </c>
      <c r="J603" t="s">
        <v>22</v>
      </c>
      <c r="M603" t="s">
        <v>2301</v>
      </c>
      <c r="N603">
        <v>0</v>
      </c>
      <c r="O603">
        <v>1</v>
      </c>
      <c r="P603">
        <v>0</v>
      </c>
      <c r="R603" s="1">
        <v>46034.625150462962</v>
      </c>
    </row>
    <row r="604" spans="1:18" x14ac:dyDescent="0.2">
      <c r="A604">
        <v>603</v>
      </c>
      <c r="B604" t="s">
        <v>2302</v>
      </c>
      <c r="C604" t="s">
        <v>57</v>
      </c>
      <c r="J604" t="s">
        <v>22</v>
      </c>
      <c r="M604" t="s">
        <v>2303</v>
      </c>
      <c r="N604">
        <v>0</v>
      </c>
      <c r="O604">
        <v>1</v>
      </c>
      <c r="P604">
        <v>0</v>
      </c>
      <c r="R604" s="1">
        <v>46034.625150462962</v>
      </c>
    </row>
    <row r="605" spans="1:18" x14ac:dyDescent="0.2">
      <c r="A605">
        <v>604</v>
      </c>
      <c r="B605" t="s">
        <v>2304</v>
      </c>
      <c r="C605" t="s">
        <v>57</v>
      </c>
      <c r="J605" t="s">
        <v>22</v>
      </c>
      <c r="M605" t="s">
        <v>2305</v>
      </c>
      <c r="N605">
        <v>0</v>
      </c>
      <c r="O605">
        <v>1</v>
      </c>
      <c r="P605">
        <v>0</v>
      </c>
      <c r="R605" s="1">
        <v>46034.625150462962</v>
      </c>
    </row>
    <row r="606" spans="1:18" x14ac:dyDescent="0.2">
      <c r="A606">
        <v>605</v>
      </c>
      <c r="B606" t="s">
        <v>2306</v>
      </c>
      <c r="C606" t="s">
        <v>57</v>
      </c>
      <c r="J606" t="s">
        <v>22</v>
      </c>
      <c r="M606" t="s">
        <v>2307</v>
      </c>
      <c r="N606">
        <v>0</v>
      </c>
      <c r="O606">
        <v>1</v>
      </c>
      <c r="P606">
        <v>0</v>
      </c>
      <c r="R606" s="1">
        <v>46034.625150462962</v>
      </c>
    </row>
    <row r="607" spans="1:18" x14ac:dyDescent="0.2">
      <c r="A607">
        <v>606</v>
      </c>
      <c r="B607" t="s">
        <v>2308</v>
      </c>
      <c r="C607" t="s">
        <v>57</v>
      </c>
      <c r="J607" t="s">
        <v>22</v>
      </c>
      <c r="M607" t="s">
        <v>2309</v>
      </c>
      <c r="N607">
        <v>0</v>
      </c>
      <c r="O607">
        <v>1</v>
      </c>
      <c r="P607">
        <v>0</v>
      </c>
      <c r="R607" s="1">
        <v>46034.625150462962</v>
      </c>
    </row>
    <row r="608" spans="1:18" x14ac:dyDescent="0.2">
      <c r="A608">
        <v>607</v>
      </c>
      <c r="B608" t="s">
        <v>2310</v>
      </c>
      <c r="C608" t="s">
        <v>57</v>
      </c>
      <c r="E608" t="s">
        <v>2311</v>
      </c>
      <c r="G608" t="s">
        <v>2312</v>
      </c>
      <c r="J608" t="s">
        <v>22</v>
      </c>
      <c r="M608" t="s">
        <v>2313</v>
      </c>
      <c r="N608">
        <v>0</v>
      </c>
      <c r="O608">
        <v>1</v>
      </c>
      <c r="P608">
        <v>0</v>
      </c>
      <c r="R608" s="1">
        <v>46034.625150462962</v>
      </c>
    </row>
    <row r="609" spans="1:18" x14ac:dyDescent="0.2">
      <c r="A609">
        <v>608</v>
      </c>
      <c r="B609" t="s">
        <v>2314</v>
      </c>
      <c r="C609" t="s">
        <v>57</v>
      </c>
      <c r="J609" t="s">
        <v>1049</v>
      </c>
      <c r="M609" t="s">
        <v>2315</v>
      </c>
      <c r="N609">
        <v>0</v>
      </c>
      <c r="O609">
        <v>1</v>
      </c>
      <c r="P609">
        <v>0</v>
      </c>
      <c r="R609" s="1">
        <v>46034.625150462962</v>
      </c>
    </row>
    <row r="610" spans="1:18" x14ac:dyDescent="0.2">
      <c r="A610">
        <v>609</v>
      </c>
      <c r="B610" t="s">
        <v>2316</v>
      </c>
      <c r="C610" t="s">
        <v>57</v>
      </c>
      <c r="G610" t="s">
        <v>2317</v>
      </c>
      <c r="I610" t="s">
        <v>84</v>
      </c>
      <c r="J610" t="s">
        <v>22</v>
      </c>
      <c r="M610" t="s">
        <v>2318</v>
      </c>
      <c r="N610">
        <v>0</v>
      </c>
      <c r="O610">
        <v>1</v>
      </c>
      <c r="P610">
        <v>0</v>
      </c>
      <c r="R610" s="1">
        <v>46034.625150462962</v>
      </c>
    </row>
    <row r="611" spans="1:18" x14ac:dyDescent="0.2">
      <c r="A611">
        <v>610</v>
      </c>
      <c r="B611" t="s">
        <v>2319</v>
      </c>
      <c r="C611" t="s">
        <v>57</v>
      </c>
      <c r="J611" t="s">
        <v>22</v>
      </c>
      <c r="N611">
        <v>0</v>
      </c>
      <c r="O611">
        <v>1</v>
      </c>
      <c r="P611">
        <v>0</v>
      </c>
      <c r="R611" s="1">
        <v>46034.625150462962</v>
      </c>
    </row>
    <row r="612" spans="1:18" x14ac:dyDescent="0.2">
      <c r="A612">
        <v>611</v>
      </c>
      <c r="B612" t="s">
        <v>2320</v>
      </c>
      <c r="C612" t="s">
        <v>57</v>
      </c>
      <c r="J612" t="s">
        <v>22</v>
      </c>
      <c r="N612">
        <v>0</v>
      </c>
      <c r="O612">
        <v>1</v>
      </c>
      <c r="P612">
        <v>0</v>
      </c>
      <c r="R612" s="1">
        <v>46034.625150462962</v>
      </c>
    </row>
    <row r="613" spans="1:18" x14ac:dyDescent="0.2">
      <c r="A613">
        <v>612</v>
      </c>
      <c r="B613" t="s">
        <v>2321</v>
      </c>
      <c r="C613" t="s">
        <v>57</v>
      </c>
      <c r="J613" t="s">
        <v>22</v>
      </c>
      <c r="N613">
        <v>0</v>
      </c>
      <c r="O613">
        <v>1</v>
      </c>
      <c r="P613">
        <v>0</v>
      </c>
      <c r="R613" s="1">
        <v>46034.625150462962</v>
      </c>
    </row>
    <row r="614" spans="1:18" x14ac:dyDescent="0.2">
      <c r="A614">
        <v>613</v>
      </c>
      <c r="B614" t="s">
        <v>2322</v>
      </c>
      <c r="C614" t="s">
        <v>57</v>
      </c>
      <c r="J614" t="s">
        <v>22</v>
      </c>
      <c r="M614" t="s">
        <v>2323</v>
      </c>
      <c r="N614">
        <v>0</v>
      </c>
      <c r="O614">
        <v>1</v>
      </c>
      <c r="P614">
        <v>0</v>
      </c>
      <c r="R614" s="1">
        <v>46034.625150462962</v>
      </c>
    </row>
    <row r="615" spans="1:18" x14ac:dyDescent="0.2">
      <c r="A615">
        <v>614</v>
      </c>
      <c r="B615" t="s">
        <v>2324</v>
      </c>
      <c r="C615" t="s">
        <v>57</v>
      </c>
      <c r="J615" t="s">
        <v>22</v>
      </c>
      <c r="M615" t="s">
        <v>2325</v>
      </c>
      <c r="N615">
        <v>0</v>
      </c>
      <c r="O615">
        <v>1</v>
      </c>
      <c r="P615">
        <v>0</v>
      </c>
      <c r="R615" s="1">
        <v>46034.625150462962</v>
      </c>
    </row>
    <row r="616" spans="1:18" x14ac:dyDescent="0.2">
      <c r="A616">
        <v>615</v>
      </c>
      <c r="B616" t="s">
        <v>2326</v>
      </c>
      <c r="C616" t="s">
        <v>57</v>
      </c>
      <c r="J616" t="s">
        <v>22</v>
      </c>
      <c r="N616">
        <v>0</v>
      </c>
      <c r="O616">
        <v>1</v>
      </c>
      <c r="P616">
        <v>0</v>
      </c>
      <c r="R616" s="1">
        <v>46034.625150462962</v>
      </c>
    </row>
    <row r="617" spans="1:18" x14ac:dyDescent="0.2">
      <c r="A617">
        <v>616</v>
      </c>
      <c r="B617" t="s">
        <v>2327</v>
      </c>
      <c r="C617" t="s">
        <v>57</v>
      </c>
      <c r="J617" t="s">
        <v>22</v>
      </c>
      <c r="M617" t="s">
        <v>2328</v>
      </c>
      <c r="N617">
        <v>0</v>
      </c>
      <c r="O617">
        <v>1</v>
      </c>
      <c r="P617">
        <v>0</v>
      </c>
      <c r="R617" s="1">
        <v>46034.625150462962</v>
      </c>
    </row>
    <row r="618" spans="1:18" x14ac:dyDescent="0.2">
      <c r="A618">
        <v>617</v>
      </c>
      <c r="B618" t="s">
        <v>2329</v>
      </c>
      <c r="C618" t="s">
        <v>57</v>
      </c>
      <c r="J618" t="s">
        <v>22</v>
      </c>
      <c r="M618" t="s">
        <v>2330</v>
      </c>
      <c r="N618">
        <v>0</v>
      </c>
      <c r="O618">
        <v>1</v>
      </c>
      <c r="P618">
        <v>0</v>
      </c>
      <c r="R618" s="1">
        <v>46034.625150462962</v>
      </c>
    </row>
    <row r="619" spans="1:18" x14ac:dyDescent="0.2">
      <c r="A619">
        <v>618</v>
      </c>
      <c r="B619" t="s">
        <v>2331</v>
      </c>
      <c r="C619" t="s">
        <v>57</v>
      </c>
      <c r="E619" t="s">
        <v>2332</v>
      </c>
      <c r="J619" t="s">
        <v>22</v>
      </c>
      <c r="M619" t="s">
        <v>2333</v>
      </c>
      <c r="N619">
        <v>0</v>
      </c>
      <c r="O619">
        <v>1</v>
      </c>
      <c r="P619">
        <v>0</v>
      </c>
      <c r="R619" s="1">
        <v>46034.625150462962</v>
      </c>
    </row>
    <row r="620" spans="1:18" x14ac:dyDescent="0.2">
      <c r="A620">
        <v>619</v>
      </c>
      <c r="B620" t="s">
        <v>2334</v>
      </c>
      <c r="C620" t="s">
        <v>57</v>
      </c>
      <c r="J620" t="s">
        <v>22</v>
      </c>
      <c r="M620" t="s">
        <v>2335</v>
      </c>
      <c r="N620">
        <v>0</v>
      </c>
      <c r="O620">
        <v>1</v>
      </c>
      <c r="P620">
        <v>0</v>
      </c>
      <c r="R620" s="1">
        <v>46034.625150462962</v>
      </c>
    </row>
    <row r="621" spans="1:18" x14ac:dyDescent="0.2">
      <c r="A621">
        <v>620</v>
      </c>
      <c r="B621" t="s">
        <v>2336</v>
      </c>
      <c r="C621" t="s">
        <v>57</v>
      </c>
      <c r="J621" t="s">
        <v>22</v>
      </c>
      <c r="M621" t="s">
        <v>2337</v>
      </c>
      <c r="N621">
        <v>0</v>
      </c>
      <c r="O621">
        <v>1</v>
      </c>
      <c r="P621">
        <v>0</v>
      </c>
      <c r="R621" s="1">
        <v>46034.625150462962</v>
      </c>
    </row>
    <row r="622" spans="1:18" x14ac:dyDescent="0.2">
      <c r="A622">
        <v>621</v>
      </c>
      <c r="B622" t="s">
        <v>2338</v>
      </c>
      <c r="C622" t="s">
        <v>57</v>
      </c>
      <c r="J622" t="s">
        <v>22</v>
      </c>
      <c r="M622" t="s">
        <v>2339</v>
      </c>
      <c r="N622">
        <v>0</v>
      </c>
      <c r="O622">
        <v>1</v>
      </c>
      <c r="P622">
        <v>0</v>
      </c>
      <c r="R622" s="1">
        <v>46034.625150462962</v>
      </c>
    </row>
    <row r="623" spans="1:18" x14ac:dyDescent="0.2">
      <c r="A623">
        <v>622</v>
      </c>
      <c r="B623" t="s">
        <v>2340</v>
      </c>
      <c r="C623" t="s">
        <v>57</v>
      </c>
      <c r="J623" t="s">
        <v>22</v>
      </c>
      <c r="M623" t="s">
        <v>2341</v>
      </c>
      <c r="N623">
        <v>0</v>
      </c>
      <c r="O623">
        <v>1</v>
      </c>
      <c r="P623">
        <v>0</v>
      </c>
      <c r="R623" s="1">
        <v>46034.625150462962</v>
      </c>
    </row>
    <row r="624" spans="1:18" x14ac:dyDescent="0.2">
      <c r="A624">
        <v>623</v>
      </c>
      <c r="B624" t="s">
        <v>2342</v>
      </c>
      <c r="C624" t="s">
        <v>57</v>
      </c>
      <c r="G624" t="s">
        <v>2343</v>
      </c>
      <c r="I624" t="s">
        <v>1284</v>
      </c>
      <c r="J624" t="s">
        <v>22</v>
      </c>
      <c r="M624" t="s">
        <v>2344</v>
      </c>
      <c r="N624">
        <v>0</v>
      </c>
      <c r="O624">
        <v>1</v>
      </c>
      <c r="P624">
        <v>0</v>
      </c>
      <c r="R624" s="1">
        <v>46034.625150462962</v>
      </c>
    </row>
    <row r="625" spans="1:18" x14ac:dyDescent="0.2">
      <c r="A625">
        <v>624</v>
      </c>
      <c r="B625" t="s">
        <v>2345</v>
      </c>
      <c r="C625" t="s">
        <v>57</v>
      </c>
      <c r="J625" t="s">
        <v>22</v>
      </c>
      <c r="M625" t="s">
        <v>2346</v>
      </c>
      <c r="N625">
        <v>0</v>
      </c>
      <c r="O625">
        <v>1</v>
      </c>
      <c r="P625">
        <v>0</v>
      </c>
      <c r="R625" s="1">
        <v>46034.625150462962</v>
      </c>
    </row>
    <row r="626" spans="1:18" x14ac:dyDescent="0.2">
      <c r="A626">
        <v>625</v>
      </c>
      <c r="B626" t="s">
        <v>2347</v>
      </c>
      <c r="C626" t="s">
        <v>57</v>
      </c>
      <c r="J626" t="s">
        <v>22</v>
      </c>
      <c r="M626" t="s">
        <v>2348</v>
      </c>
      <c r="N626">
        <v>0</v>
      </c>
      <c r="O626">
        <v>1</v>
      </c>
      <c r="P626">
        <v>0</v>
      </c>
      <c r="R626" s="1">
        <v>46034.625150462962</v>
      </c>
    </row>
    <row r="627" spans="1:18" x14ac:dyDescent="0.2">
      <c r="A627">
        <v>626</v>
      </c>
      <c r="B627" t="s">
        <v>2349</v>
      </c>
      <c r="C627" t="s">
        <v>57</v>
      </c>
      <c r="J627" t="s">
        <v>22</v>
      </c>
      <c r="N627">
        <v>0</v>
      </c>
      <c r="O627">
        <v>1</v>
      </c>
      <c r="P627">
        <v>0</v>
      </c>
      <c r="R627" s="1">
        <v>46034.625150462962</v>
      </c>
    </row>
    <row r="628" spans="1:18" x14ac:dyDescent="0.2">
      <c r="A628">
        <v>627</v>
      </c>
      <c r="B628" t="s">
        <v>2350</v>
      </c>
      <c r="C628" t="s">
        <v>57</v>
      </c>
      <c r="J628" t="s">
        <v>22</v>
      </c>
      <c r="M628" t="s">
        <v>2351</v>
      </c>
      <c r="N628">
        <v>0</v>
      </c>
      <c r="O628">
        <v>1</v>
      </c>
      <c r="P628">
        <v>0</v>
      </c>
      <c r="R628" s="1">
        <v>46034.625150462962</v>
      </c>
    </row>
    <row r="629" spans="1:18" x14ac:dyDescent="0.2">
      <c r="A629">
        <v>628</v>
      </c>
      <c r="B629" t="s">
        <v>2352</v>
      </c>
      <c r="C629" t="s">
        <v>57</v>
      </c>
      <c r="E629" t="s">
        <v>2353</v>
      </c>
      <c r="G629" t="s">
        <v>2354</v>
      </c>
      <c r="I629" t="s">
        <v>431</v>
      </c>
      <c r="J629" t="s">
        <v>22</v>
      </c>
      <c r="M629" t="s">
        <v>2355</v>
      </c>
      <c r="N629">
        <v>0</v>
      </c>
      <c r="O629">
        <v>1</v>
      </c>
      <c r="P629">
        <v>0</v>
      </c>
      <c r="R629" s="1">
        <v>46034.625150462962</v>
      </c>
    </row>
    <row r="630" spans="1:18" x14ac:dyDescent="0.2">
      <c r="A630">
        <v>629</v>
      </c>
      <c r="B630" t="s">
        <v>2356</v>
      </c>
      <c r="C630" t="s">
        <v>57</v>
      </c>
      <c r="J630" t="s">
        <v>22</v>
      </c>
      <c r="M630" t="s">
        <v>608</v>
      </c>
      <c r="N630">
        <v>0</v>
      </c>
      <c r="O630">
        <v>1</v>
      </c>
      <c r="P630">
        <v>0</v>
      </c>
      <c r="R630" s="1">
        <v>46034.625150462962</v>
      </c>
    </row>
    <row r="631" spans="1:18" x14ac:dyDescent="0.2">
      <c r="A631">
        <v>630</v>
      </c>
      <c r="B631" t="s">
        <v>2357</v>
      </c>
      <c r="C631" t="s">
        <v>57</v>
      </c>
      <c r="J631" t="s">
        <v>22</v>
      </c>
      <c r="M631" t="s">
        <v>2358</v>
      </c>
      <c r="N631">
        <v>0</v>
      </c>
      <c r="O631">
        <v>1</v>
      </c>
      <c r="P631">
        <v>0</v>
      </c>
      <c r="R631" s="1">
        <v>46034.625150462962</v>
      </c>
    </row>
    <row r="632" spans="1:18" x14ac:dyDescent="0.2">
      <c r="A632">
        <v>631</v>
      </c>
      <c r="B632" t="s">
        <v>2359</v>
      </c>
      <c r="C632" t="s">
        <v>57</v>
      </c>
      <c r="E632" t="s">
        <v>2360</v>
      </c>
      <c r="G632" t="s">
        <v>2361</v>
      </c>
      <c r="I632" t="s">
        <v>2362</v>
      </c>
      <c r="J632" t="s">
        <v>22</v>
      </c>
      <c r="M632" t="s">
        <v>2363</v>
      </c>
      <c r="N632">
        <v>0</v>
      </c>
      <c r="O632">
        <v>1</v>
      </c>
      <c r="P632">
        <v>0</v>
      </c>
      <c r="R632" s="1">
        <v>46034.625150462962</v>
      </c>
    </row>
    <row r="633" spans="1:18" x14ac:dyDescent="0.2">
      <c r="A633">
        <v>632</v>
      </c>
      <c r="B633" t="s">
        <v>2364</v>
      </c>
      <c r="C633" t="s">
        <v>57</v>
      </c>
      <c r="J633" t="s">
        <v>22</v>
      </c>
      <c r="M633" t="s">
        <v>2365</v>
      </c>
      <c r="N633">
        <v>0</v>
      </c>
      <c r="O633">
        <v>1</v>
      </c>
      <c r="P633">
        <v>0</v>
      </c>
      <c r="R633" s="1">
        <v>46034.625150462962</v>
      </c>
    </row>
    <row r="634" spans="1:18" x14ac:dyDescent="0.2">
      <c r="A634">
        <v>633</v>
      </c>
      <c r="B634" t="s">
        <v>2366</v>
      </c>
      <c r="C634" t="s">
        <v>57</v>
      </c>
      <c r="J634" t="s">
        <v>22</v>
      </c>
      <c r="M634" t="s">
        <v>2367</v>
      </c>
      <c r="N634">
        <v>0</v>
      </c>
      <c r="O634">
        <v>1</v>
      </c>
      <c r="P634">
        <v>0</v>
      </c>
      <c r="R634" s="1">
        <v>46034.625150462962</v>
      </c>
    </row>
    <row r="635" spans="1:18" x14ac:dyDescent="0.2">
      <c r="A635">
        <v>634</v>
      </c>
      <c r="B635" t="s">
        <v>2368</v>
      </c>
      <c r="C635" t="s">
        <v>57</v>
      </c>
      <c r="J635" t="s">
        <v>22</v>
      </c>
      <c r="M635" t="s">
        <v>2369</v>
      </c>
      <c r="N635">
        <v>0</v>
      </c>
      <c r="O635">
        <v>1</v>
      </c>
      <c r="P635">
        <v>0</v>
      </c>
      <c r="R635" s="1">
        <v>46034.625150462962</v>
      </c>
    </row>
    <row r="636" spans="1:18" x14ac:dyDescent="0.2">
      <c r="A636">
        <v>635</v>
      </c>
      <c r="B636" t="s">
        <v>2370</v>
      </c>
      <c r="C636" t="s">
        <v>57</v>
      </c>
      <c r="J636" t="s">
        <v>22</v>
      </c>
      <c r="N636">
        <v>0</v>
      </c>
      <c r="O636">
        <v>1</v>
      </c>
      <c r="P636">
        <v>0</v>
      </c>
      <c r="R636" s="1">
        <v>46034.625150462962</v>
      </c>
    </row>
    <row r="637" spans="1:18" x14ac:dyDescent="0.2">
      <c r="A637">
        <v>636</v>
      </c>
      <c r="B637" t="s">
        <v>2371</v>
      </c>
      <c r="C637" t="s">
        <v>57</v>
      </c>
      <c r="G637" t="s">
        <v>2372</v>
      </c>
      <c r="I637" t="s">
        <v>84</v>
      </c>
      <c r="J637" t="s">
        <v>22</v>
      </c>
      <c r="M637" t="s">
        <v>2373</v>
      </c>
      <c r="N637">
        <v>0</v>
      </c>
      <c r="O637">
        <v>1</v>
      </c>
      <c r="P637">
        <v>0</v>
      </c>
      <c r="R637" s="1">
        <v>46034.625150462962</v>
      </c>
    </row>
    <row r="638" spans="1:18" x14ac:dyDescent="0.2">
      <c r="A638">
        <v>637</v>
      </c>
      <c r="B638" t="s">
        <v>2374</v>
      </c>
      <c r="C638" t="s">
        <v>57</v>
      </c>
      <c r="J638" t="s">
        <v>22</v>
      </c>
      <c r="M638" t="s">
        <v>2375</v>
      </c>
      <c r="N638">
        <v>0</v>
      </c>
      <c r="O638">
        <v>1</v>
      </c>
      <c r="P638">
        <v>0</v>
      </c>
      <c r="R638" s="1">
        <v>46034.625150462962</v>
      </c>
    </row>
    <row r="639" spans="1:18" x14ac:dyDescent="0.2">
      <c r="A639">
        <v>638</v>
      </c>
      <c r="B639" t="s">
        <v>2376</v>
      </c>
      <c r="C639" t="s">
        <v>57</v>
      </c>
      <c r="J639" t="s">
        <v>22</v>
      </c>
      <c r="M639" t="s">
        <v>2377</v>
      </c>
      <c r="N639">
        <v>0</v>
      </c>
      <c r="O639">
        <v>1</v>
      </c>
      <c r="P639">
        <v>0</v>
      </c>
      <c r="R639" s="1">
        <v>46034.625150462962</v>
      </c>
    </row>
    <row r="640" spans="1:18" x14ac:dyDescent="0.2">
      <c r="A640">
        <v>639</v>
      </c>
      <c r="B640" t="s">
        <v>2378</v>
      </c>
      <c r="C640" t="s">
        <v>57</v>
      </c>
      <c r="J640" t="s">
        <v>22</v>
      </c>
      <c r="M640" t="s">
        <v>2379</v>
      </c>
      <c r="N640">
        <v>0</v>
      </c>
      <c r="O640">
        <v>1</v>
      </c>
      <c r="P640">
        <v>0</v>
      </c>
      <c r="R640" s="1">
        <v>46034.625150462962</v>
      </c>
    </row>
    <row r="641" spans="1:18" x14ac:dyDescent="0.2">
      <c r="A641">
        <v>640</v>
      </c>
      <c r="B641" t="s">
        <v>2380</v>
      </c>
      <c r="C641" t="s">
        <v>57</v>
      </c>
      <c r="J641" t="s">
        <v>22</v>
      </c>
      <c r="M641" t="s">
        <v>2381</v>
      </c>
      <c r="N641">
        <v>0</v>
      </c>
      <c r="O641">
        <v>1</v>
      </c>
      <c r="P641">
        <v>0</v>
      </c>
      <c r="R641" s="1">
        <v>46034.625150462962</v>
      </c>
    </row>
    <row r="642" spans="1:18" x14ac:dyDescent="0.2">
      <c r="A642">
        <v>641</v>
      </c>
      <c r="B642" t="s">
        <v>2382</v>
      </c>
      <c r="C642" t="s">
        <v>57</v>
      </c>
      <c r="J642" t="s">
        <v>22</v>
      </c>
      <c r="M642" t="s">
        <v>2383</v>
      </c>
      <c r="N642">
        <v>0</v>
      </c>
      <c r="O642">
        <v>1</v>
      </c>
      <c r="P642">
        <v>0</v>
      </c>
      <c r="R642" s="1">
        <v>46034.625150462962</v>
      </c>
    </row>
    <row r="643" spans="1:18" x14ac:dyDescent="0.2">
      <c r="A643">
        <v>642</v>
      </c>
      <c r="B643" t="s">
        <v>2384</v>
      </c>
      <c r="C643" t="s">
        <v>57</v>
      </c>
      <c r="J643" t="s">
        <v>22</v>
      </c>
      <c r="M643" t="s">
        <v>2385</v>
      </c>
      <c r="N643">
        <v>0</v>
      </c>
      <c r="O643">
        <v>1</v>
      </c>
      <c r="P643">
        <v>0</v>
      </c>
      <c r="R643" s="1">
        <v>46034.625150462962</v>
      </c>
    </row>
    <row r="644" spans="1:18" x14ac:dyDescent="0.2">
      <c r="A644">
        <v>643</v>
      </c>
      <c r="B644" t="s">
        <v>2386</v>
      </c>
      <c r="C644" t="s">
        <v>57</v>
      </c>
      <c r="E644" t="s">
        <v>2387</v>
      </c>
      <c r="J644" t="s">
        <v>22</v>
      </c>
      <c r="M644" t="s">
        <v>2388</v>
      </c>
      <c r="N644">
        <v>0</v>
      </c>
      <c r="O644">
        <v>1</v>
      </c>
      <c r="P644">
        <v>0</v>
      </c>
      <c r="R644" s="1">
        <v>46034.625150462962</v>
      </c>
    </row>
    <row r="645" spans="1:18" x14ac:dyDescent="0.2">
      <c r="A645">
        <v>644</v>
      </c>
      <c r="B645" t="s">
        <v>2389</v>
      </c>
      <c r="C645" t="s">
        <v>57</v>
      </c>
      <c r="G645" t="s">
        <v>2390</v>
      </c>
      <c r="I645" t="s">
        <v>2391</v>
      </c>
      <c r="J645" t="s">
        <v>22</v>
      </c>
      <c r="M645" t="s">
        <v>2392</v>
      </c>
      <c r="N645">
        <v>0</v>
      </c>
      <c r="O645">
        <v>1</v>
      </c>
      <c r="P645">
        <v>0</v>
      </c>
      <c r="R645" s="1">
        <v>46034.625150462962</v>
      </c>
    </row>
    <row r="646" spans="1:18" x14ac:dyDescent="0.2">
      <c r="A646">
        <v>645</v>
      </c>
      <c r="B646" t="s">
        <v>2393</v>
      </c>
      <c r="C646" t="s">
        <v>57</v>
      </c>
      <c r="J646" t="s">
        <v>22</v>
      </c>
      <c r="M646" t="s">
        <v>2394</v>
      </c>
      <c r="N646">
        <v>0</v>
      </c>
      <c r="O646">
        <v>1</v>
      </c>
      <c r="P646">
        <v>0</v>
      </c>
      <c r="R646" s="1">
        <v>46034.625150462962</v>
      </c>
    </row>
    <row r="647" spans="1:18" x14ac:dyDescent="0.2">
      <c r="A647">
        <v>646</v>
      </c>
      <c r="B647" t="s">
        <v>2395</v>
      </c>
      <c r="C647" t="s">
        <v>57</v>
      </c>
      <c r="J647" t="s">
        <v>22</v>
      </c>
      <c r="N647">
        <v>0</v>
      </c>
      <c r="O647">
        <v>1</v>
      </c>
      <c r="P647">
        <v>0</v>
      </c>
      <c r="R647" s="1">
        <v>46034.625150462962</v>
      </c>
    </row>
    <row r="648" spans="1:18" x14ac:dyDescent="0.2">
      <c r="A648">
        <v>647</v>
      </c>
      <c r="B648" t="s">
        <v>2396</v>
      </c>
      <c r="C648" t="s">
        <v>57</v>
      </c>
      <c r="J648" t="s">
        <v>22</v>
      </c>
      <c r="M648" t="s">
        <v>2397</v>
      </c>
      <c r="N648">
        <v>0</v>
      </c>
      <c r="O648">
        <v>1</v>
      </c>
      <c r="P648">
        <v>0</v>
      </c>
      <c r="R648" s="1">
        <v>46034.625150462962</v>
      </c>
    </row>
    <row r="649" spans="1:18" x14ac:dyDescent="0.2">
      <c r="A649">
        <v>648</v>
      </c>
      <c r="B649" t="s">
        <v>2398</v>
      </c>
      <c r="C649" t="s">
        <v>57</v>
      </c>
      <c r="J649" t="s">
        <v>22</v>
      </c>
      <c r="M649" t="s">
        <v>2399</v>
      </c>
      <c r="N649">
        <v>0</v>
      </c>
      <c r="O649">
        <v>1</v>
      </c>
      <c r="P649">
        <v>0</v>
      </c>
      <c r="R649" s="1">
        <v>46034.625150462962</v>
      </c>
    </row>
    <row r="650" spans="1:18" x14ac:dyDescent="0.2">
      <c r="A650">
        <v>649</v>
      </c>
      <c r="B650" t="s">
        <v>2400</v>
      </c>
      <c r="C650" t="s">
        <v>57</v>
      </c>
      <c r="J650" t="s">
        <v>22</v>
      </c>
      <c r="M650" t="s">
        <v>2401</v>
      </c>
      <c r="N650">
        <v>0</v>
      </c>
      <c r="O650">
        <v>1</v>
      </c>
      <c r="P650">
        <v>0</v>
      </c>
      <c r="R650" s="1">
        <v>46034.625150462962</v>
      </c>
    </row>
    <row r="651" spans="1:18" x14ac:dyDescent="0.2">
      <c r="A651">
        <v>650</v>
      </c>
      <c r="B651" t="s">
        <v>2402</v>
      </c>
      <c r="C651" t="s">
        <v>57</v>
      </c>
      <c r="J651" t="s">
        <v>22</v>
      </c>
      <c r="M651" t="s">
        <v>2403</v>
      </c>
      <c r="N651">
        <v>0</v>
      </c>
      <c r="O651">
        <v>1</v>
      </c>
      <c r="P651">
        <v>0</v>
      </c>
      <c r="R651" s="1">
        <v>46034.625150462962</v>
      </c>
    </row>
    <row r="652" spans="1:18" x14ac:dyDescent="0.2">
      <c r="A652">
        <v>651</v>
      </c>
      <c r="B652" t="s">
        <v>2404</v>
      </c>
      <c r="C652" t="s">
        <v>57</v>
      </c>
      <c r="J652" t="s">
        <v>22</v>
      </c>
      <c r="M652" t="s">
        <v>2405</v>
      </c>
      <c r="N652">
        <v>0</v>
      </c>
      <c r="O652">
        <v>1</v>
      </c>
      <c r="P652">
        <v>0</v>
      </c>
      <c r="R652" s="1">
        <v>46034.625150462962</v>
      </c>
    </row>
    <row r="653" spans="1:18" x14ac:dyDescent="0.2">
      <c r="A653">
        <v>652</v>
      </c>
      <c r="B653" t="s">
        <v>2406</v>
      </c>
      <c r="C653" t="s">
        <v>57</v>
      </c>
      <c r="J653" t="s">
        <v>22</v>
      </c>
      <c r="M653" t="s">
        <v>2407</v>
      </c>
      <c r="N653">
        <v>0</v>
      </c>
      <c r="O653">
        <v>1</v>
      </c>
      <c r="P653">
        <v>0</v>
      </c>
      <c r="R653" s="1">
        <v>46034.625150462962</v>
      </c>
    </row>
    <row r="654" spans="1:18" x14ac:dyDescent="0.2">
      <c r="A654">
        <v>653</v>
      </c>
      <c r="B654" t="s">
        <v>2408</v>
      </c>
      <c r="C654" t="s">
        <v>57</v>
      </c>
      <c r="J654" t="s">
        <v>22</v>
      </c>
      <c r="M654" t="s">
        <v>2409</v>
      </c>
      <c r="N654">
        <v>0</v>
      </c>
      <c r="O654">
        <v>1</v>
      </c>
      <c r="P654">
        <v>0</v>
      </c>
      <c r="R654" s="1">
        <v>46034.625150462962</v>
      </c>
    </row>
    <row r="655" spans="1:18" x14ac:dyDescent="0.2">
      <c r="A655">
        <v>654</v>
      </c>
      <c r="B655" t="s">
        <v>2410</v>
      </c>
      <c r="C655" t="s">
        <v>57</v>
      </c>
      <c r="J655" t="s">
        <v>22</v>
      </c>
      <c r="M655" t="s">
        <v>2411</v>
      </c>
      <c r="N655">
        <v>0</v>
      </c>
      <c r="O655">
        <v>1</v>
      </c>
      <c r="P655">
        <v>0</v>
      </c>
      <c r="R655" s="1">
        <v>46034.625150462962</v>
      </c>
    </row>
    <row r="656" spans="1:18" x14ac:dyDescent="0.2">
      <c r="A656">
        <v>655</v>
      </c>
      <c r="B656" t="s">
        <v>2412</v>
      </c>
      <c r="C656" t="s">
        <v>57</v>
      </c>
      <c r="J656" t="s">
        <v>22</v>
      </c>
      <c r="M656" t="s">
        <v>2413</v>
      </c>
      <c r="N656">
        <v>0</v>
      </c>
      <c r="O656">
        <v>1</v>
      </c>
      <c r="P656">
        <v>0</v>
      </c>
      <c r="R656" s="1">
        <v>46034.625150462962</v>
      </c>
    </row>
    <row r="657" spans="1:18" x14ac:dyDescent="0.2">
      <c r="A657">
        <v>656</v>
      </c>
      <c r="B657" t="s">
        <v>2414</v>
      </c>
      <c r="C657" t="s">
        <v>57</v>
      </c>
      <c r="J657" t="s">
        <v>22</v>
      </c>
      <c r="M657" t="s">
        <v>2415</v>
      </c>
      <c r="N657">
        <v>0</v>
      </c>
      <c r="O657">
        <v>1</v>
      </c>
      <c r="P657">
        <v>0</v>
      </c>
      <c r="R657" s="1">
        <v>46034.625150462962</v>
      </c>
    </row>
    <row r="658" spans="1:18" x14ac:dyDescent="0.2">
      <c r="A658">
        <v>657</v>
      </c>
      <c r="B658" t="s">
        <v>2416</v>
      </c>
      <c r="C658" t="s">
        <v>57</v>
      </c>
      <c r="G658" t="s">
        <v>2417</v>
      </c>
      <c r="I658" t="s">
        <v>459</v>
      </c>
      <c r="J658" t="s">
        <v>22</v>
      </c>
      <c r="M658" t="s">
        <v>2418</v>
      </c>
      <c r="N658">
        <v>0</v>
      </c>
      <c r="O658">
        <v>1</v>
      </c>
      <c r="P658">
        <v>0</v>
      </c>
      <c r="R658" s="1">
        <v>46034.625150462962</v>
      </c>
    </row>
    <row r="659" spans="1:18" x14ac:dyDescent="0.2">
      <c r="A659">
        <v>658</v>
      </c>
      <c r="B659" t="s">
        <v>2419</v>
      </c>
      <c r="C659" t="s">
        <v>57</v>
      </c>
      <c r="J659" t="s">
        <v>22</v>
      </c>
      <c r="M659" t="s">
        <v>2420</v>
      </c>
      <c r="N659">
        <v>0</v>
      </c>
      <c r="O659">
        <v>1</v>
      </c>
      <c r="P659">
        <v>0</v>
      </c>
      <c r="R659" s="1">
        <v>46034.625150462962</v>
      </c>
    </row>
    <row r="660" spans="1:18" x14ac:dyDescent="0.2">
      <c r="A660">
        <v>659</v>
      </c>
      <c r="B660" t="s">
        <v>2421</v>
      </c>
      <c r="C660" t="s">
        <v>57</v>
      </c>
      <c r="J660" t="s">
        <v>22</v>
      </c>
      <c r="N660">
        <v>0</v>
      </c>
      <c r="O660">
        <v>1</v>
      </c>
      <c r="P660">
        <v>0</v>
      </c>
      <c r="R660" s="1">
        <v>46034.625150462962</v>
      </c>
    </row>
    <row r="661" spans="1:18" x14ac:dyDescent="0.2">
      <c r="A661">
        <v>660</v>
      </c>
      <c r="B661" t="s">
        <v>2422</v>
      </c>
      <c r="C661" t="s">
        <v>57</v>
      </c>
      <c r="J661" t="s">
        <v>22</v>
      </c>
      <c r="M661" t="s">
        <v>2423</v>
      </c>
      <c r="N661">
        <v>0</v>
      </c>
      <c r="O661">
        <v>1</v>
      </c>
      <c r="P661">
        <v>0</v>
      </c>
      <c r="R661" s="1">
        <v>46034.625150462962</v>
      </c>
    </row>
    <row r="662" spans="1:18" x14ac:dyDescent="0.2">
      <c r="A662">
        <v>661</v>
      </c>
      <c r="B662" t="s">
        <v>2424</v>
      </c>
      <c r="C662" t="s">
        <v>57</v>
      </c>
      <c r="J662" t="s">
        <v>22</v>
      </c>
      <c r="M662" t="s">
        <v>2425</v>
      </c>
      <c r="N662">
        <v>0</v>
      </c>
      <c r="O662">
        <v>1</v>
      </c>
      <c r="P662">
        <v>0</v>
      </c>
      <c r="R662" s="1">
        <v>46034.625150462962</v>
      </c>
    </row>
    <row r="663" spans="1:18" x14ac:dyDescent="0.2">
      <c r="A663">
        <v>662</v>
      </c>
      <c r="B663" t="s">
        <v>2426</v>
      </c>
      <c r="C663" t="s">
        <v>57</v>
      </c>
      <c r="J663" t="s">
        <v>22</v>
      </c>
      <c r="N663">
        <v>0</v>
      </c>
      <c r="O663">
        <v>1</v>
      </c>
      <c r="P663">
        <v>0</v>
      </c>
      <c r="R663" s="1">
        <v>46034.625150462962</v>
      </c>
    </row>
    <row r="664" spans="1:18" x14ac:dyDescent="0.2">
      <c r="A664">
        <v>663</v>
      </c>
      <c r="B664" t="s">
        <v>2427</v>
      </c>
      <c r="C664" t="s">
        <v>57</v>
      </c>
      <c r="J664" t="s">
        <v>22</v>
      </c>
      <c r="N664">
        <v>0</v>
      </c>
      <c r="O664">
        <v>1</v>
      </c>
      <c r="P664">
        <v>0</v>
      </c>
      <c r="R664" s="1">
        <v>46034.625150462962</v>
      </c>
    </row>
    <row r="665" spans="1:18" x14ac:dyDescent="0.2">
      <c r="A665">
        <v>664</v>
      </c>
      <c r="B665" t="s">
        <v>2428</v>
      </c>
      <c r="C665" t="s">
        <v>57</v>
      </c>
      <c r="J665" t="s">
        <v>22</v>
      </c>
      <c r="M665" t="s">
        <v>2429</v>
      </c>
      <c r="N665">
        <v>0</v>
      </c>
      <c r="O665">
        <v>1</v>
      </c>
      <c r="P665">
        <v>0</v>
      </c>
      <c r="R665" s="1">
        <v>46034.625150462962</v>
      </c>
    </row>
    <row r="666" spans="1:18" x14ac:dyDescent="0.2">
      <c r="A666">
        <v>665</v>
      </c>
      <c r="B666" t="s">
        <v>2430</v>
      </c>
      <c r="C666" t="s">
        <v>57</v>
      </c>
      <c r="J666" t="s">
        <v>22</v>
      </c>
      <c r="M666" t="s">
        <v>2431</v>
      </c>
      <c r="N666">
        <v>0</v>
      </c>
      <c r="O666">
        <v>1</v>
      </c>
      <c r="P666">
        <v>0</v>
      </c>
      <c r="R666" s="1">
        <v>46034.625150462962</v>
      </c>
    </row>
    <row r="667" spans="1:18" x14ac:dyDescent="0.2">
      <c r="A667">
        <v>666</v>
      </c>
      <c r="B667" t="s">
        <v>2432</v>
      </c>
      <c r="C667" t="s">
        <v>57</v>
      </c>
      <c r="J667" t="s">
        <v>22</v>
      </c>
      <c r="M667" t="s">
        <v>2433</v>
      </c>
      <c r="N667">
        <v>0</v>
      </c>
      <c r="O667">
        <v>1</v>
      </c>
      <c r="P667">
        <v>0</v>
      </c>
      <c r="R667" s="1">
        <v>46034.625150462962</v>
      </c>
    </row>
    <row r="668" spans="1:18" x14ac:dyDescent="0.2">
      <c r="A668">
        <v>667</v>
      </c>
      <c r="B668" t="s">
        <v>2434</v>
      </c>
      <c r="C668" t="s">
        <v>57</v>
      </c>
      <c r="E668" t="s">
        <v>2435</v>
      </c>
      <c r="G668" t="s">
        <v>2436</v>
      </c>
      <c r="I668" t="s">
        <v>84</v>
      </c>
      <c r="J668" t="s">
        <v>22</v>
      </c>
      <c r="M668" t="s">
        <v>2237</v>
      </c>
      <c r="N668">
        <v>0</v>
      </c>
      <c r="O668">
        <v>1</v>
      </c>
      <c r="P668">
        <v>0</v>
      </c>
      <c r="R668" s="1">
        <v>46034.625150462962</v>
      </c>
    </row>
    <row r="669" spans="1:18" x14ac:dyDescent="0.2">
      <c r="A669">
        <v>668</v>
      </c>
      <c r="B669" t="s">
        <v>2437</v>
      </c>
      <c r="C669" t="s">
        <v>57</v>
      </c>
      <c r="E669" t="s">
        <v>2438</v>
      </c>
      <c r="G669" t="s">
        <v>2439</v>
      </c>
      <c r="I669" t="s">
        <v>2440</v>
      </c>
      <c r="J669" t="s">
        <v>22</v>
      </c>
      <c r="M669" t="s">
        <v>2441</v>
      </c>
      <c r="N669">
        <v>0</v>
      </c>
      <c r="O669">
        <v>1</v>
      </c>
      <c r="P669">
        <v>0</v>
      </c>
      <c r="R669" s="1">
        <v>46034.625150462962</v>
      </c>
    </row>
    <row r="670" spans="1:18" x14ac:dyDescent="0.2">
      <c r="A670">
        <v>669</v>
      </c>
      <c r="B670" t="s">
        <v>2442</v>
      </c>
      <c r="C670" t="s">
        <v>57</v>
      </c>
      <c r="J670" t="s">
        <v>22</v>
      </c>
      <c r="M670" t="s">
        <v>2443</v>
      </c>
      <c r="N670">
        <v>0</v>
      </c>
      <c r="O670">
        <v>1</v>
      </c>
      <c r="P670">
        <v>0</v>
      </c>
      <c r="R670" s="1">
        <v>46034.625150462962</v>
      </c>
    </row>
    <row r="671" spans="1:18" x14ac:dyDescent="0.2">
      <c r="A671">
        <v>670</v>
      </c>
      <c r="B671" t="s">
        <v>2444</v>
      </c>
      <c r="C671" t="s">
        <v>57</v>
      </c>
      <c r="J671" t="s">
        <v>22</v>
      </c>
      <c r="M671" t="s">
        <v>2445</v>
      </c>
      <c r="N671">
        <v>0</v>
      </c>
      <c r="O671">
        <v>1</v>
      </c>
      <c r="P671">
        <v>0</v>
      </c>
      <c r="R671" s="1">
        <v>46034.625150462962</v>
      </c>
    </row>
    <row r="672" spans="1:18" x14ac:dyDescent="0.2">
      <c r="A672">
        <v>671</v>
      </c>
      <c r="B672" t="s">
        <v>2446</v>
      </c>
      <c r="C672" t="s">
        <v>57</v>
      </c>
      <c r="E672" t="s">
        <v>2447</v>
      </c>
      <c r="G672" t="s">
        <v>2448</v>
      </c>
      <c r="I672" t="s">
        <v>426</v>
      </c>
      <c r="J672" t="s">
        <v>22</v>
      </c>
      <c r="M672" t="s">
        <v>2449</v>
      </c>
      <c r="N672">
        <v>0</v>
      </c>
      <c r="O672">
        <v>1</v>
      </c>
      <c r="P672">
        <v>0</v>
      </c>
      <c r="R672" s="1">
        <v>46034.625150462962</v>
      </c>
    </row>
    <row r="673" spans="1:18" x14ac:dyDescent="0.2">
      <c r="A673">
        <v>672</v>
      </c>
      <c r="B673" t="s">
        <v>2450</v>
      </c>
      <c r="C673" t="s">
        <v>57</v>
      </c>
      <c r="J673" t="s">
        <v>22</v>
      </c>
      <c r="M673" t="s">
        <v>2451</v>
      </c>
      <c r="N673">
        <v>0</v>
      </c>
      <c r="O673">
        <v>1</v>
      </c>
      <c r="P673">
        <v>0</v>
      </c>
      <c r="R673" s="1">
        <v>46034.625150462962</v>
      </c>
    </row>
    <row r="674" spans="1:18" x14ac:dyDescent="0.2">
      <c r="A674">
        <v>673</v>
      </c>
      <c r="B674" t="s">
        <v>2452</v>
      </c>
      <c r="C674" t="s">
        <v>57</v>
      </c>
      <c r="E674" t="s">
        <v>2453</v>
      </c>
      <c r="G674" t="s">
        <v>2454</v>
      </c>
      <c r="I674" t="s">
        <v>1535</v>
      </c>
      <c r="J674" t="s">
        <v>22</v>
      </c>
      <c r="M674" t="s">
        <v>2455</v>
      </c>
      <c r="N674">
        <v>0</v>
      </c>
      <c r="O674">
        <v>1</v>
      </c>
      <c r="P674">
        <v>0</v>
      </c>
      <c r="R674" s="1">
        <v>46034.625150462962</v>
      </c>
    </row>
    <row r="675" spans="1:18" x14ac:dyDescent="0.2">
      <c r="A675">
        <v>674</v>
      </c>
      <c r="B675" t="s">
        <v>2456</v>
      </c>
      <c r="C675" t="s">
        <v>57</v>
      </c>
      <c r="E675" t="s">
        <v>2457</v>
      </c>
      <c r="J675" t="s">
        <v>22</v>
      </c>
      <c r="M675" t="s">
        <v>2458</v>
      </c>
      <c r="N675">
        <v>0</v>
      </c>
      <c r="O675">
        <v>1</v>
      </c>
      <c r="P675">
        <v>0</v>
      </c>
      <c r="R675" s="1">
        <v>46034.625150462962</v>
      </c>
    </row>
    <row r="676" spans="1:18" x14ac:dyDescent="0.2">
      <c r="A676">
        <v>675</v>
      </c>
      <c r="B676" t="s">
        <v>2459</v>
      </c>
      <c r="C676" t="s">
        <v>57</v>
      </c>
      <c r="J676" t="s">
        <v>22</v>
      </c>
      <c r="M676" t="s">
        <v>2460</v>
      </c>
      <c r="N676">
        <v>0</v>
      </c>
      <c r="O676">
        <v>1</v>
      </c>
      <c r="P676">
        <v>0</v>
      </c>
      <c r="R676" s="1">
        <v>46034.625150462962</v>
      </c>
    </row>
    <row r="677" spans="1:18" x14ac:dyDescent="0.2">
      <c r="A677">
        <v>676</v>
      </c>
      <c r="B677" t="s">
        <v>2461</v>
      </c>
      <c r="C677" t="s">
        <v>57</v>
      </c>
      <c r="E677" t="s">
        <v>2462</v>
      </c>
      <c r="J677" t="s">
        <v>22</v>
      </c>
      <c r="M677" t="s">
        <v>2463</v>
      </c>
      <c r="N677">
        <v>0</v>
      </c>
      <c r="O677">
        <v>1</v>
      </c>
      <c r="P677">
        <v>0</v>
      </c>
      <c r="R677" s="1">
        <v>46034.625150462962</v>
      </c>
    </row>
    <row r="678" spans="1:18" x14ac:dyDescent="0.2">
      <c r="A678">
        <v>677</v>
      </c>
      <c r="B678" t="s">
        <v>2464</v>
      </c>
      <c r="C678" t="s">
        <v>57</v>
      </c>
      <c r="G678" t="s">
        <v>2465</v>
      </c>
      <c r="I678" t="s">
        <v>1186</v>
      </c>
      <c r="J678" t="s">
        <v>22</v>
      </c>
      <c r="M678" t="s">
        <v>2466</v>
      </c>
      <c r="N678">
        <v>0</v>
      </c>
      <c r="O678">
        <v>1</v>
      </c>
      <c r="P678">
        <v>0</v>
      </c>
      <c r="R678" s="1">
        <v>46034.625150462962</v>
      </c>
    </row>
    <row r="679" spans="1:18" x14ac:dyDescent="0.2">
      <c r="A679">
        <v>678</v>
      </c>
      <c r="B679" t="s">
        <v>2467</v>
      </c>
      <c r="C679" t="s">
        <v>57</v>
      </c>
      <c r="G679" t="s">
        <v>2468</v>
      </c>
      <c r="I679" t="s">
        <v>2198</v>
      </c>
      <c r="J679" t="s">
        <v>22</v>
      </c>
      <c r="M679" t="s">
        <v>2469</v>
      </c>
      <c r="N679">
        <v>0</v>
      </c>
      <c r="O679">
        <v>1</v>
      </c>
      <c r="P679">
        <v>0</v>
      </c>
      <c r="R679" s="1">
        <v>46034.625150462962</v>
      </c>
    </row>
    <row r="680" spans="1:18" x14ac:dyDescent="0.2">
      <c r="A680">
        <v>679</v>
      </c>
      <c r="B680" t="s">
        <v>2470</v>
      </c>
      <c r="C680" t="s">
        <v>57</v>
      </c>
      <c r="G680" t="s">
        <v>2471</v>
      </c>
      <c r="I680" t="s">
        <v>2472</v>
      </c>
      <c r="J680" t="s">
        <v>22</v>
      </c>
      <c r="M680" t="s">
        <v>2473</v>
      </c>
      <c r="N680">
        <v>0</v>
      </c>
      <c r="O680">
        <v>1</v>
      </c>
      <c r="P680">
        <v>0</v>
      </c>
      <c r="R680" s="1">
        <v>46034.625150462962</v>
      </c>
    </row>
    <row r="681" spans="1:18" x14ac:dyDescent="0.2">
      <c r="A681">
        <v>680</v>
      </c>
      <c r="B681" t="s">
        <v>2474</v>
      </c>
      <c r="C681" t="s">
        <v>57</v>
      </c>
      <c r="G681" t="s">
        <v>2475</v>
      </c>
      <c r="I681" t="s">
        <v>2476</v>
      </c>
      <c r="J681" t="s">
        <v>22</v>
      </c>
      <c r="K681" t="s">
        <v>2477</v>
      </c>
      <c r="M681" t="s">
        <v>2478</v>
      </c>
      <c r="N681">
        <v>0</v>
      </c>
      <c r="O681">
        <v>1</v>
      </c>
      <c r="P681">
        <v>0</v>
      </c>
      <c r="R681" s="1">
        <v>46034.625150462962</v>
      </c>
    </row>
    <row r="682" spans="1:18" x14ac:dyDescent="0.2">
      <c r="A682">
        <v>681</v>
      </c>
      <c r="B682" t="s">
        <v>2479</v>
      </c>
      <c r="C682" t="s">
        <v>57</v>
      </c>
      <c r="J682" t="s">
        <v>22</v>
      </c>
      <c r="M682" t="s">
        <v>2480</v>
      </c>
      <c r="N682">
        <v>0</v>
      </c>
      <c r="O682">
        <v>1</v>
      </c>
      <c r="P682">
        <v>0</v>
      </c>
      <c r="R682" s="1">
        <v>46034.625150462962</v>
      </c>
    </row>
    <row r="683" spans="1:18" x14ac:dyDescent="0.2">
      <c r="A683">
        <v>682</v>
      </c>
      <c r="B683" t="s">
        <v>2481</v>
      </c>
      <c r="C683" t="s">
        <v>57</v>
      </c>
      <c r="E683" t="s">
        <v>2482</v>
      </c>
      <c r="G683" t="s">
        <v>2483</v>
      </c>
      <c r="I683" t="s">
        <v>2484</v>
      </c>
      <c r="J683" t="s">
        <v>22</v>
      </c>
      <c r="M683" t="s">
        <v>2485</v>
      </c>
      <c r="N683">
        <v>0</v>
      </c>
      <c r="O683">
        <v>1</v>
      </c>
      <c r="P683">
        <v>0</v>
      </c>
      <c r="R683" s="1">
        <v>46034.625150462962</v>
      </c>
    </row>
    <row r="684" spans="1:18" x14ac:dyDescent="0.2">
      <c r="A684">
        <v>683</v>
      </c>
      <c r="B684" t="s">
        <v>2486</v>
      </c>
      <c r="C684" t="s">
        <v>57</v>
      </c>
      <c r="J684" t="s">
        <v>22</v>
      </c>
      <c r="M684" t="s">
        <v>2487</v>
      </c>
      <c r="N684">
        <v>0</v>
      </c>
      <c r="O684">
        <v>1</v>
      </c>
      <c r="P684">
        <v>0</v>
      </c>
      <c r="R684" s="1">
        <v>46034.625150462962</v>
      </c>
    </row>
    <row r="685" spans="1:18" x14ac:dyDescent="0.2">
      <c r="A685">
        <v>684</v>
      </c>
      <c r="B685" t="s">
        <v>2488</v>
      </c>
      <c r="C685" t="s">
        <v>57</v>
      </c>
      <c r="J685" t="s">
        <v>22</v>
      </c>
      <c r="M685" t="s">
        <v>2489</v>
      </c>
      <c r="N685">
        <v>0</v>
      </c>
      <c r="O685">
        <v>1</v>
      </c>
      <c r="P685">
        <v>0</v>
      </c>
      <c r="R685" s="1">
        <v>46034.625150462962</v>
      </c>
    </row>
    <row r="686" spans="1:18" x14ac:dyDescent="0.2">
      <c r="A686">
        <v>685</v>
      </c>
      <c r="B686" t="s">
        <v>2490</v>
      </c>
      <c r="C686" t="s">
        <v>57</v>
      </c>
      <c r="G686" t="s">
        <v>2491</v>
      </c>
      <c r="I686" t="s">
        <v>2492</v>
      </c>
      <c r="J686" t="s">
        <v>22</v>
      </c>
      <c r="M686" t="s">
        <v>2493</v>
      </c>
      <c r="N686">
        <v>0</v>
      </c>
      <c r="O686">
        <v>1</v>
      </c>
      <c r="P686">
        <v>0</v>
      </c>
      <c r="R686" s="1">
        <v>46034.625150462962</v>
      </c>
    </row>
    <row r="687" spans="1:18" x14ac:dyDescent="0.2">
      <c r="A687">
        <v>686</v>
      </c>
      <c r="B687" t="s">
        <v>2494</v>
      </c>
      <c r="C687" t="s">
        <v>57</v>
      </c>
      <c r="J687" t="s">
        <v>22</v>
      </c>
      <c r="M687" t="s">
        <v>2495</v>
      </c>
      <c r="N687">
        <v>0</v>
      </c>
      <c r="O687">
        <v>1</v>
      </c>
      <c r="P687">
        <v>0</v>
      </c>
      <c r="R687" s="1">
        <v>46034.625150462962</v>
      </c>
    </row>
    <row r="688" spans="1:18" x14ac:dyDescent="0.2">
      <c r="A688">
        <v>687</v>
      </c>
      <c r="B688" t="s">
        <v>2496</v>
      </c>
      <c r="C688" t="s">
        <v>57</v>
      </c>
      <c r="G688" t="s">
        <v>2497</v>
      </c>
      <c r="I688" t="s">
        <v>2498</v>
      </c>
      <c r="J688" t="s">
        <v>22</v>
      </c>
      <c r="K688" t="s">
        <v>2499</v>
      </c>
      <c r="M688" t="s">
        <v>2500</v>
      </c>
      <c r="N688">
        <v>0</v>
      </c>
      <c r="O688">
        <v>1</v>
      </c>
      <c r="P688">
        <v>0</v>
      </c>
      <c r="R688" s="1">
        <v>46034.625150462962</v>
      </c>
    </row>
    <row r="689" spans="1:18" x14ac:dyDescent="0.2">
      <c r="A689">
        <v>688</v>
      </c>
      <c r="B689" t="s">
        <v>2501</v>
      </c>
      <c r="C689" t="s">
        <v>57</v>
      </c>
      <c r="G689" t="s">
        <v>2502</v>
      </c>
      <c r="I689" t="s">
        <v>329</v>
      </c>
      <c r="J689" t="s">
        <v>22</v>
      </c>
      <c r="K689" t="s">
        <v>2503</v>
      </c>
      <c r="M689" t="s">
        <v>2504</v>
      </c>
      <c r="N689">
        <v>0</v>
      </c>
      <c r="O689">
        <v>1</v>
      </c>
      <c r="P689">
        <v>0</v>
      </c>
      <c r="R689" s="1">
        <v>46034.625150462962</v>
      </c>
    </row>
    <row r="690" spans="1:18" x14ac:dyDescent="0.2">
      <c r="A690">
        <v>689</v>
      </c>
      <c r="B690" t="s">
        <v>2505</v>
      </c>
      <c r="C690" t="s">
        <v>57</v>
      </c>
      <c r="E690" t="s">
        <v>2506</v>
      </c>
      <c r="G690" t="s">
        <v>2507</v>
      </c>
      <c r="I690" t="s">
        <v>2508</v>
      </c>
      <c r="J690" t="s">
        <v>22</v>
      </c>
      <c r="K690" t="s">
        <v>2509</v>
      </c>
      <c r="M690" t="s">
        <v>2510</v>
      </c>
      <c r="N690">
        <v>0</v>
      </c>
      <c r="O690">
        <v>1</v>
      </c>
      <c r="P690">
        <v>0</v>
      </c>
      <c r="R690" s="1">
        <v>46034.625150462962</v>
      </c>
    </row>
    <row r="691" spans="1:18" x14ac:dyDescent="0.2">
      <c r="A691">
        <v>690</v>
      </c>
      <c r="B691" t="s">
        <v>2511</v>
      </c>
      <c r="C691" t="s">
        <v>57</v>
      </c>
      <c r="G691" t="s">
        <v>2512</v>
      </c>
      <c r="I691" t="s">
        <v>1151</v>
      </c>
      <c r="J691" t="s">
        <v>22</v>
      </c>
      <c r="K691" t="s">
        <v>2513</v>
      </c>
      <c r="M691" t="s">
        <v>2514</v>
      </c>
      <c r="N691">
        <v>0</v>
      </c>
      <c r="O691">
        <v>1</v>
      </c>
      <c r="P691">
        <v>0</v>
      </c>
      <c r="R691" s="1">
        <v>46034.625150462962</v>
      </c>
    </row>
    <row r="692" spans="1:18" x14ac:dyDescent="0.2">
      <c r="A692">
        <v>691</v>
      </c>
      <c r="B692" t="s">
        <v>2515</v>
      </c>
      <c r="C692" t="s">
        <v>57</v>
      </c>
      <c r="E692" t="s">
        <v>2516</v>
      </c>
      <c r="G692" t="s">
        <v>2517</v>
      </c>
      <c r="I692" t="s">
        <v>481</v>
      </c>
      <c r="J692" t="s">
        <v>22</v>
      </c>
      <c r="K692" t="s">
        <v>2518</v>
      </c>
      <c r="M692" t="s">
        <v>2519</v>
      </c>
      <c r="N692">
        <v>0</v>
      </c>
      <c r="O692">
        <v>1</v>
      </c>
      <c r="P692">
        <v>0</v>
      </c>
      <c r="R692" s="1">
        <v>46034.625150462962</v>
      </c>
    </row>
    <row r="693" spans="1:18" x14ac:dyDescent="0.2">
      <c r="A693">
        <v>692</v>
      </c>
      <c r="B693" t="s">
        <v>2520</v>
      </c>
      <c r="C693" t="s">
        <v>57</v>
      </c>
      <c r="E693" t="s">
        <v>2521</v>
      </c>
      <c r="G693" t="s">
        <v>2522</v>
      </c>
      <c r="I693" t="s">
        <v>638</v>
      </c>
      <c r="J693" t="s">
        <v>22</v>
      </c>
      <c r="K693" t="s">
        <v>2523</v>
      </c>
      <c r="M693" t="s">
        <v>2524</v>
      </c>
      <c r="N693">
        <v>0</v>
      </c>
      <c r="O693">
        <v>1</v>
      </c>
      <c r="P693">
        <v>0</v>
      </c>
      <c r="R693" s="1">
        <v>46034.625150462962</v>
      </c>
    </row>
    <row r="694" spans="1:18" x14ac:dyDescent="0.2">
      <c r="A694">
        <v>693</v>
      </c>
      <c r="B694" t="s">
        <v>2525</v>
      </c>
      <c r="C694" t="s">
        <v>57</v>
      </c>
      <c r="E694" t="s">
        <v>2526</v>
      </c>
      <c r="G694" t="s">
        <v>2527</v>
      </c>
      <c r="I694" t="s">
        <v>1632</v>
      </c>
      <c r="J694" t="s">
        <v>22</v>
      </c>
      <c r="K694" t="s">
        <v>2528</v>
      </c>
      <c r="M694" t="s">
        <v>2529</v>
      </c>
      <c r="N694">
        <v>0</v>
      </c>
      <c r="O694">
        <v>1</v>
      </c>
      <c r="P694">
        <v>0</v>
      </c>
      <c r="R694" s="1">
        <v>46034.625150462962</v>
      </c>
    </row>
    <row r="695" spans="1:18" x14ac:dyDescent="0.2">
      <c r="A695">
        <v>694</v>
      </c>
      <c r="B695" t="s">
        <v>2530</v>
      </c>
      <c r="C695" t="s">
        <v>57</v>
      </c>
      <c r="G695" t="s">
        <v>2531</v>
      </c>
      <c r="I695" t="s">
        <v>1379</v>
      </c>
      <c r="J695" t="s">
        <v>22</v>
      </c>
      <c r="K695" t="s">
        <v>2532</v>
      </c>
      <c r="M695" t="s">
        <v>2533</v>
      </c>
      <c r="N695">
        <v>0</v>
      </c>
      <c r="O695">
        <v>1</v>
      </c>
      <c r="P695">
        <v>0</v>
      </c>
      <c r="R695" s="1">
        <v>46034.625150462962</v>
      </c>
    </row>
    <row r="696" spans="1:18" x14ac:dyDescent="0.2">
      <c r="A696">
        <v>695</v>
      </c>
      <c r="B696" t="s">
        <v>2534</v>
      </c>
      <c r="C696" t="s">
        <v>57</v>
      </c>
      <c r="J696" t="s">
        <v>22</v>
      </c>
      <c r="M696" t="s">
        <v>2535</v>
      </c>
      <c r="N696">
        <v>0</v>
      </c>
      <c r="O696">
        <v>1</v>
      </c>
      <c r="P696">
        <v>0</v>
      </c>
      <c r="R696" s="1">
        <v>46034.625150462962</v>
      </c>
    </row>
    <row r="697" spans="1:18" x14ac:dyDescent="0.2">
      <c r="A697">
        <v>696</v>
      </c>
      <c r="B697" t="s">
        <v>2536</v>
      </c>
      <c r="C697" t="s">
        <v>57</v>
      </c>
      <c r="G697" t="s">
        <v>2537</v>
      </c>
      <c r="I697" t="s">
        <v>426</v>
      </c>
      <c r="J697" t="s">
        <v>22</v>
      </c>
      <c r="K697" t="s">
        <v>2538</v>
      </c>
      <c r="M697" t="s">
        <v>2539</v>
      </c>
      <c r="N697">
        <v>0</v>
      </c>
      <c r="O697">
        <v>1</v>
      </c>
      <c r="P697">
        <v>0</v>
      </c>
      <c r="R697" s="1">
        <v>46034.625150462962</v>
      </c>
    </row>
    <row r="698" spans="1:18" x14ac:dyDescent="0.2">
      <c r="A698">
        <v>697</v>
      </c>
      <c r="B698" t="s">
        <v>2540</v>
      </c>
      <c r="C698" t="s">
        <v>57</v>
      </c>
      <c r="G698" t="s">
        <v>2541</v>
      </c>
      <c r="I698" t="s">
        <v>1186</v>
      </c>
      <c r="J698" t="s">
        <v>22</v>
      </c>
      <c r="K698" t="s">
        <v>2542</v>
      </c>
      <c r="M698" t="s">
        <v>2543</v>
      </c>
      <c r="N698">
        <v>0</v>
      </c>
      <c r="O698">
        <v>1</v>
      </c>
      <c r="P698">
        <v>0</v>
      </c>
      <c r="R698" s="1">
        <v>46034.625150462962</v>
      </c>
    </row>
    <row r="699" spans="1:18" x14ac:dyDescent="0.2">
      <c r="A699">
        <v>698</v>
      </c>
      <c r="B699" t="s">
        <v>2544</v>
      </c>
      <c r="C699" t="s">
        <v>57</v>
      </c>
      <c r="J699" t="s">
        <v>22</v>
      </c>
      <c r="M699" t="s">
        <v>2545</v>
      </c>
      <c r="N699">
        <v>0</v>
      </c>
      <c r="O699">
        <v>1</v>
      </c>
      <c r="P699">
        <v>0</v>
      </c>
      <c r="R699" s="1">
        <v>46034.625150462962</v>
      </c>
    </row>
    <row r="700" spans="1:18" x14ac:dyDescent="0.2">
      <c r="A700">
        <v>699</v>
      </c>
      <c r="B700" t="s">
        <v>2546</v>
      </c>
      <c r="C700" t="s">
        <v>57</v>
      </c>
      <c r="G700" t="s">
        <v>2547</v>
      </c>
      <c r="I700" t="s">
        <v>2208</v>
      </c>
      <c r="J700" t="s">
        <v>22</v>
      </c>
      <c r="K700" t="s">
        <v>2548</v>
      </c>
      <c r="M700" t="s">
        <v>2549</v>
      </c>
      <c r="N700">
        <v>0</v>
      </c>
      <c r="O700">
        <v>1</v>
      </c>
      <c r="P700">
        <v>0</v>
      </c>
      <c r="R700" s="1">
        <v>46034.625150462962</v>
      </c>
    </row>
    <row r="701" spans="1:18" x14ac:dyDescent="0.2">
      <c r="A701">
        <v>700</v>
      </c>
      <c r="B701" t="s">
        <v>2550</v>
      </c>
      <c r="C701" t="s">
        <v>57</v>
      </c>
      <c r="J701" t="s">
        <v>22</v>
      </c>
      <c r="K701" t="s">
        <v>2551</v>
      </c>
      <c r="M701" t="s">
        <v>2552</v>
      </c>
      <c r="N701">
        <v>0</v>
      </c>
      <c r="O701">
        <v>1</v>
      </c>
      <c r="P701">
        <v>0</v>
      </c>
      <c r="R701" s="1">
        <v>46034.625150462962</v>
      </c>
    </row>
    <row r="702" spans="1:18" x14ac:dyDescent="0.2">
      <c r="A702">
        <v>701</v>
      </c>
      <c r="B702" t="s">
        <v>2553</v>
      </c>
      <c r="C702" t="s">
        <v>57</v>
      </c>
      <c r="E702" t="s">
        <v>2554</v>
      </c>
      <c r="G702" t="s">
        <v>2555</v>
      </c>
      <c r="I702" t="s">
        <v>2556</v>
      </c>
      <c r="J702" t="s">
        <v>22</v>
      </c>
      <c r="M702" t="s">
        <v>2557</v>
      </c>
      <c r="N702">
        <v>0</v>
      </c>
      <c r="O702">
        <v>1</v>
      </c>
      <c r="P702">
        <v>0</v>
      </c>
      <c r="R702" s="1">
        <v>46034.625150462962</v>
      </c>
    </row>
    <row r="703" spans="1:18" x14ac:dyDescent="0.2">
      <c r="A703">
        <v>702</v>
      </c>
      <c r="B703" t="s">
        <v>2558</v>
      </c>
      <c r="C703" t="s">
        <v>57</v>
      </c>
      <c r="G703" t="s">
        <v>2559</v>
      </c>
      <c r="I703" t="s">
        <v>2560</v>
      </c>
      <c r="J703" t="s">
        <v>22</v>
      </c>
      <c r="M703" t="s">
        <v>2561</v>
      </c>
      <c r="N703">
        <v>0</v>
      </c>
      <c r="O703">
        <v>1</v>
      </c>
      <c r="P703">
        <v>0</v>
      </c>
      <c r="R703" s="1">
        <v>46034.625150462962</v>
      </c>
    </row>
    <row r="704" spans="1:18" x14ac:dyDescent="0.2">
      <c r="A704">
        <v>703</v>
      </c>
      <c r="B704" t="s">
        <v>2562</v>
      </c>
      <c r="C704" t="s">
        <v>57</v>
      </c>
      <c r="G704" t="s">
        <v>2563</v>
      </c>
      <c r="I704" t="s">
        <v>84</v>
      </c>
      <c r="J704" t="s">
        <v>22</v>
      </c>
      <c r="M704" t="s">
        <v>2564</v>
      </c>
      <c r="N704">
        <v>0</v>
      </c>
      <c r="O704">
        <v>1</v>
      </c>
      <c r="P704">
        <v>0</v>
      </c>
      <c r="R704" s="1">
        <v>46034.625150462962</v>
      </c>
    </row>
    <row r="705" spans="1:18" x14ac:dyDescent="0.2">
      <c r="A705">
        <v>704</v>
      </c>
      <c r="B705" t="s">
        <v>2565</v>
      </c>
      <c r="C705" t="s">
        <v>57</v>
      </c>
      <c r="G705" t="s">
        <v>2566</v>
      </c>
      <c r="I705" t="s">
        <v>638</v>
      </c>
      <c r="J705" t="s">
        <v>22</v>
      </c>
      <c r="M705" t="s">
        <v>2567</v>
      </c>
      <c r="N705">
        <v>0</v>
      </c>
      <c r="O705">
        <v>1</v>
      </c>
      <c r="P705">
        <v>0</v>
      </c>
      <c r="R705" s="1">
        <v>46034.625150462962</v>
      </c>
    </row>
    <row r="706" spans="1:18" x14ac:dyDescent="0.2">
      <c r="A706">
        <v>705</v>
      </c>
      <c r="B706" t="s">
        <v>2568</v>
      </c>
      <c r="C706" t="s">
        <v>57</v>
      </c>
      <c r="E706" t="s">
        <v>2569</v>
      </c>
      <c r="G706" t="s">
        <v>2570</v>
      </c>
      <c r="I706" t="s">
        <v>1640</v>
      </c>
      <c r="J706" t="s">
        <v>22</v>
      </c>
      <c r="M706" t="s">
        <v>2571</v>
      </c>
      <c r="N706">
        <v>0</v>
      </c>
      <c r="O706">
        <v>1</v>
      </c>
      <c r="P706">
        <v>0</v>
      </c>
      <c r="R706" s="1">
        <v>46034.625150462962</v>
      </c>
    </row>
    <row r="707" spans="1:18" x14ac:dyDescent="0.2">
      <c r="A707">
        <v>706</v>
      </c>
      <c r="B707" t="s">
        <v>2572</v>
      </c>
      <c r="C707" t="s">
        <v>57</v>
      </c>
      <c r="G707" t="s">
        <v>2573</v>
      </c>
      <c r="I707" t="s">
        <v>48</v>
      </c>
      <c r="J707" t="s">
        <v>22</v>
      </c>
      <c r="K707" t="s">
        <v>2574</v>
      </c>
      <c r="M707" t="s">
        <v>2575</v>
      </c>
      <c r="N707">
        <v>0</v>
      </c>
      <c r="O707">
        <v>1</v>
      </c>
      <c r="P707">
        <v>0</v>
      </c>
      <c r="R707" s="1">
        <v>46034.625150462962</v>
      </c>
    </row>
    <row r="708" spans="1:18" x14ac:dyDescent="0.2">
      <c r="A708">
        <v>707</v>
      </c>
      <c r="B708" t="s">
        <v>2576</v>
      </c>
      <c r="C708" t="s">
        <v>57</v>
      </c>
      <c r="E708" t="s">
        <v>2577</v>
      </c>
      <c r="G708" t="s">
        <v>2578</v>
      </c>
      <c r="I708" t="s">
        <v>84</v>
      </c>
      <c r="J708" t="s">
        <v>22</v>
      </c>
      <c r="K708" t="s">
        <v>2579</v>
      </c>
      <c r="M708" t="s">
        <v>2580</v>
      </c>
      <c r="N708">
        <v>0</v>
      </c>
      <c r="O708">
        <v>1</v>
      </c>
      <c r="P708">
        <v>0</v>
      </c>
      <c r="R708" s="1">
        <v>46034.625150462962</v>
      </c>
    </row>
    <row r="709" spans="1:18" x14ac:dyDescent="0.2">
      <c r="A709">
        <v>708</v>
      </c>
      <c r="B709" t="s">
        <v>2581</v>
      </c>
      <c r="C709" t="s">
        <v>57</v>
      </c>
      <c r="E709" t="s">
        <v>2582</v>
      </c>
      <c r="G709" t="s">
        <v>2583</v>
      </c>
      <c r="I709" t="s">
        <v>247</v>
      </c>
      <c r="J709" t="s">
        <v>22</v>
      </c>
      <c r="K709" t="s">
        <v>2584</v>
      </c>
      <c r="M709" t="s">
        <v>2585</v>
      </c>
      <c r="N709">
        <v>0</v>
      </c>
      <c r="O709">
        <v>1</v>
      </c>
      <c r="P709">
        <v>0</v>
      </c>
      <c r="R709" s="1">
        <v>46034.625150462962</v>
      </c>
    </row>
    <row r="710" spans="1:18" x14ac:dyDescent="0.2">
      <c r="A710">
        <v>709</v>
      </c>
      <c r="B710" t="s">
        <v>2586</v>
      </c>
      <c r="C710" t="s">
        <v>57</v>
      </c>
      <c r="E710" t="s">
        <v>2587</v>
      </c>
      <c r="G710" t="s">
        <v>2588</v>
      </c>
      <c r="I710" t="s">
        <v>2589</v>
      </c>
      <c r="J710" t="s">
        <v>22</v>
      </c>
      <c r="K710" t="s">
        <v>2590</v>
      </c>
      <c r="M710" t="s">
        <v>2591</v>
      </c>
      <c r="N710">
        <v>0</v>
      </c>
      <c r="O710">
        <v>1</v>
      </c>
      <c r="P710">
        <v>0</v>
      </c>
      <c r="R710" s="1">
        <v>46034.625150462962</v>
      </c>
    </row>
    <row r="711" spans="1:18" x14ac:dyDescent="0.2">
      <c r="A711">
        <v>710</v>
      </c>
      <c r="B711" t="s">
        <v>2592</v>
      </c>
      <c r="C711" t="s">
        <v>57</v>
      </c>
      <c r="G711" t="s">
        <v>2593</v>
      </c>
      <c r="I711" t="s">
        <v>99</v>
      </c>
      <c r="J711" t="s">
        <v>22</v>
      </c>
      <c r="K711" t="s">
        <v>2594</v>
      </c>
      <c r="M711" t="s">
        <v>2595</v>
      </c>
      <c r="N711">
        <v>0</v>
      </c>
      <c r="O711">
        <v>1</v>
      </c>
      <c r="P711">
        <v>0</v>
      </c>
      <c r="R711" s="1">
        <v>46034.625150462962</v>
      </c>
    </row>
    <row r="712" spans="1:18" x14ac:dyDescent="0.2">
      <c r="A712">
        <v>711</v>
      </c>
      <c r="B712" t="s">
        <v>2596</v>
      </c>
      <c r="C712" t="s">
        <v>57</v>
      </c>
      <c r="J712" t="s">
        <v>22</v>
      </c>
      <c r="M712" t="s">
        <v>2597</v>
      </c>
      <c r="N712">
        <v>0</v>
      </c>
      <c r="O712">
        <v>1</v>
      </c>
      <c r="P712">
        <v>0</v>
      </c>
      <c r="R712" s="1">
        <v>46034.625150462962</v>
      </c>
    </row>
    <row r="713" spans="1:18" x14ac:dyDescent="0.2">
      <c r="A713">
        <v>712</v>
      </c>
      <c r="B713" t="s">
        <v>2598</v>
      </c>
      <c r="C713" t="s">
        <v>57</v>
      </c>
      <c r="E713" t="s">
        <v>2599</v>
      </c>
      <c r="G713" t="s">
        <v>2600</v>
      </c>
      <c r="I713" t="s">
        <v>481</v>
      </c>
      <c r="J713" t="s">
        <v>22</v>
      </c>
      <c r="K713" t="s">
        <v>2601</v>
      </c>
      <c r="M713" t="s">
        <v>2602</v>
      </c>
      <c r="N713">
        <v>0</v>
      </c>
      <c r="O713">
        <v>1</v>
      </c>
      <c r="P713">
        <v>0</v>
      </c>
      <c r="R713" s="1">
        <v>46034.625150462962</v>
      </c>
    </row>
    <row r="714" spans="1:18" x14ac:dyDescent="0.2">
      <c r="A714">
        <v>713</v>
      </c>
      <c r="B714" t="s">
        <v>2603</v>
      </c>
      <c r="C714" t="s">
        <v>57</v>
      </c>
      <c r="E714" t="s">
        <v>2604</v>
      </c>
      <c r="G714" t="s">
        <v>2605</v>
      </c>
      <c r="I714" t="s">
        <v>84</v>
      </c>
      <c r="J714" t="s">
        <v>22</v>
      </c>
      <c r="K714" t="s">
        <v>2606</v>
      </c>
      <c r="M714" t="s">
        <v>2607</v>
      </c>
      <c r="N714">
        <v>0</v>
      </c>
      <c r="O714">
        <v>1</v>
      </c>
      <c r="P714">
        <v>0</v>
      </c>
      <c r="R714" s="1">
        <v>46034.625150462962</v>
      </c>
    </row>
    <row r="715" spans="1:18" x14ac:dyDescent="0.2">
      <c r="A715">
        <v>714</v>
      </c>
      <c r="B715" t="s">
        <v>2608</v>
      </c>
      <c r="C715" t="s">
        <v>57</v>
      </c>
      <c r="E715" t="s">
        <v>2609</v>
      </c>
      <c r="G715" t="s">
        <v>1523</v>
      </c>
      <c r="I715" t="s">
        <v>1053</v>
      </c>
      <c r="J715" t="s">
        <v>22</v>
      </c>
      <c r="M715" t="s">
        <v>2610</v>
      </c>
      <c r="N715">
        <v>0</v>
      </c>
      <c r="O715">
        <v>1</v>
      </c>
      <c r="P715">
        <v>0</v>
      </c>
      <c r="R715" s="1">
        <v>46034.625150462962</v>
      </c>
    </row>
    <row r="716" spans="1:18" x14ac:dyDescent="0.2">
      <c r="A716">
        <v>715</v>
      </c>
      <c r="B716" t="s">
        <v>2611</v>
      </c>
      <c r="C716" t="s">
        <v>57</v>
      </c>
      <c r="E716" t="s">
        <v>2612</v>
      </c>
      <c r="G716" t="s">
        <v>2613</v>
      </c>
      <c r="I716" t="s">
        <v>459</v>
      </c>
      <c r="J716" t="s">
        <v>22</v>
      </c>
      <c r="K716" t="s">
        <v>2614</v>
      </c>
      <c r="M716" t="s">
        <v>2615</v>
      </c>
      <c r="N716">
        <v>0</v>
      </c>
      <c r="O716">
        <v>1</v>
      </c>
      <c r="P716">
        <v>0</v>
      </c>
      <c r="R716" s="1">
        <v>46034.625150462962</v>
      </c>
    </row>
    <row r="717" spans="1:18" x14ac:dyDescent="0.2">
      <c r="A717">
        <v>716</v>
      </c>
      <c r="B717" t="s">
        <v>2616</v>
      </c>
      <c r="C717" t="s">
        <v>57</v>
      </c>
      <c r="G717" t="s">
        <v>2617</v>
      </c>
      <c r="I717" t="s">
        <v>1228</v>
      </c>
      <c r="J717" t="s">
        <v>22</v>
      </c>
      <c r="M717" t="s">
        <v>2618</v>
      </c>
      <c r="N717">
        <v>0</v>
      </c>
      <c r="O717">
        <v>1</v>
      </c>
      <c r="P717">
        <v>0</v>
      </c>
      <c r="R717" s="1">
        <v>46034.625150462962</v>
      </c>
    </row>
    <row r="718" spans="1:18" x14ac:dyDescent="0.2">
      <c r="A718">
        <v>717</v>
      </c>
      <c r="B718" t="s">
        <v>2619</v>
      </c>
      <c r="C718" t="s">
        <v>57</v>
      </c>
      <c r="G718" t="s">
        <v>2620</v>
      </c>
      <c r="I718" t="s">
        <v>619</v>
      </c>
      <c r="J718" t="s">
        <v>22</v>
      </c>
      <c r="N718">
        <v>0</v>
      </c>
      <c r="O718">
        <v>1</v>
      </c>
      <c r="P718">
        <v>0</v>
      </c>
      <c r="R718" s="1">
        <v>46034.625150462962</v>
      </c>
    </row>
    <row r="719" spans="1:18" x14ac:dyDescent="0.2">
      <c r="A719">
        <v>718</v>
      </c>
      <c r="B719" t="s">
        <v>2621</v>
      </c>
      <c r="C719" t="s">
        <v>57</v>
      </c>
      <c r="E719" t="s">
        <v>2622</v>
      </c>
      <c r="G719" t="s">
        <v>2623</v>
      </c>
      <c r="I719" t="s">
        <v>536</v>
      </c>
      <c r="J719" t="s">
        <v>22</v>
      </c>
      <c r="K719" t="s">
        <v>2624</v>
      </c>
      <c r="N719">
        <v>0</v>
      </c>
      <c r="O719">
        <v>1</v>
      </c>
      <c r="P719">
        <v>0</v>
      </c>
      <c r="R719" s="1">
        <v>46034.625150462962</v>
      </c>
    </row>
    <row r="720" spans="1:18" x14ac:dyDescent="0.2">
      <c r="A720">
        <v>719</v>
      </c>
      <c r="B720" t="s">
        <v>2625</v>
      </c>
      <c r="C720" t="s">
        <v>57</v>
      </c>
      <c r="G720" t="s">
        <v>2626</v>
      </c>
      <c r="I720" t="s">
        <v>1295</v>
      </c>
      <c r="J720" t="s">
        <v>22</v>
      </c>
      <c r="M720" t="s">
        <v>2627</v>
      </c>
      <c r="N720">
        <v>0</v>
      </c>
      <c r="O720">
        <v>1</v>
      </c>
      <c r="P720">
        <v>0</v>
      </c>
      <c r="R720" s="1">
        <v>46034.625150462962</v>
      </c>
    </row>
    <row r="721" spans="1:18" x14ac:dyDescent="0.2">
      <c r="A721">
        <v>720</v>
      </c>
      <c r="B721" t="s">
        <v>2628</v>
      </c>
      <c r="C721" t="s">
        <v>57</v>
      </c>
      <c r="E721" t="s">
        <v>2629</v>
      </c>
      <c r="G721" t="s">
        <v>2630</v>
      </c>
      <c r="I721" t="s">
        <v>2631</v>
      </c>
      <c r="J721" t="s">
        <v>22</v>
      </c>
      <c r="K721" t="s">
        <v>2632</v>
      </c>
      <c r="M721" t="s">
        <v>2633</v>
      </c>
      <c r="N721">
        <v>0</v>
      </c>
      <c r="O721">
        <v>1</v>
      </c>
      <c r="P721">
        <v>0</v>
      </c>
      <c r="R721" s="1">
        <v>46034.625150462962</v>
      </c>
    </row>
    <row r="722" spans="1:18" x14ac:dyDescent="0.2">
      <c r="A722">
        <v>721</v>
      </c>
      <c r="B722" t="s">
        <v>2634</v>
      </c>
      <c r="C722" t="s">
        <v>57</v>
      </c>
      <c r="E722" t="s">
        <v>2635</v>
      </c>
      <c r="G722" t="s">
        <v>1864</v>
      </c>
      <c r="I722" t="s">
        <v>2636</v>
      </c>
      <c r="J722" t="s">
        <v>22</v>
      </c>
      <c r="K722" t="s">
        <v>2637</v>
      </c>
      <c r="N722">
        <v>0</v>
      </c>
      <c r="O722">
        <v>1</v>
      </c>
      <c r="P722">
        <v>0</v>
      </c>
      <c r="R722" s="1">
        <v>46034.625150462962</v>
      </c>
    </row>
    <row r="723" spans="1:18" x14ac:dyDescent="0.2">
      <c r="A723">
        <v>722</v>
      </c>
      <c r="B723" t="s">
        <v>2638</v>
      </c>
      <c r="C723" t="s">
        <v>57</v>
      </c>
      <c r="E723" t="s">
        <v>2639</v>
      </c>
      <c r="G723" t="s">
        <v>2640</v>
      </c>
      <c r="I723" t="s">
        <v>2641</v>
      </c>
      <c r="J723" t="s">
        <v>22</v>
      </c>
      <c r="K723" t="s">
        <v>2642</v>
      </c>
      <c r="M723" t="s">
        <v>2643</v>
      </c>
      <c r="N723">
        <v>0</v>
      </c>
      <c r="O723">
        <v>1</v>
      </c>
      <c r="P723">
        <v>0</v>
      </c>
      <c r="R723" s="1">
        <v>46034.625150462962</v>
      </c>
    </row>
    <row r="724" spans="1:18" x14ac:dyDescent="0.2">
      <c r="A724">
        <v>723</v>
      </c>
      <c r="B724" t="s">
        <v>2644</v>
      </c>
      <c r="C724" t="s">
        <v>57</v>
      </c>
      <c r="E724" t="s">
        <v>2645</v>
      </c>
      <c r="G724" t="s">
        <v>2646</v>
      </c>
      <c r="I724" t="s">
        <v>2647</v>
      </c>
      <c r="J724" t="s">
        <v>22</v>
      </c>
      <c r="K724" t="s">
        <v>2648</v>
      </c>
      <c r="M724" t="s">
        <v>2649</v>
      </c>
      <c r="N724">
        <v>0</v>
      </c>
      <c r="O724">
        <v>1</v>
      </c>
      <c r="P724">
        <v>0</v>
      </c>
      <c r="R724" s="1">
        <v>46034.625150462962</v>
      </c>
    </row>
    <row r="725" spans="1:18" x14ac:dyDescent="0.2">
      <c r="A725">
        <v>724</v>
      </c>
      <c r="B725" t="s">
        <v>2650</v>
      </c>
      <c r="C725" t="s">
        <v>57</v>
      </c>
      <c r="G725" t="s">
        <v>2651</v>
      </c>
      <c r="I725" t="s">
        <v>2652</v>
      </c>
      <c r="J725" t="s">
        <v>22</v>
      </c>
      <c r="K725" t="s">
        <v>2653</v>
      </c>
      <c r="N725">
        <v>0</v>
      </c>
      <c r="O725">
        <v>1</v>
      </c>
      <c r="P725">
        <v>0</v>
      </c>
      <c r="R725" s="1">
        <v>46034.625150462962</v>
      </c>
    </row>
    <row r="726" spans="1:18" x14ac:dyDescent="0.2">
      <c r="A726">
        <v>725</v>
      </c>
      <c r="B726" t="s">
        <v>2654</v>
      </c>
      <c r="C726" t="s">
        <v>57</v>
      </c>
      <c r="N726">
        <v>0</v>
      </c>
      <c r="O726">
        <v>1</v>
      </c>
      <c r="P726">
        <v>0</v>
      </c>
      <c r="R726" s="1">
        <v>46034.625150462962</v>
      </c>
    </row>
    <row r="727" spans="1:18" x14ac:dyDescent="0.2">
      <c r="A727">
        <v>726</v>
      </c>
      <c r="B727" t="s">
        <v>2655</v>
      </c>
      <c r="C727" t="s">
        <v>57</v>
      </c>
      <c r="N727">
        <v>0</v>
      </c>
      <c r="O727">
        <v>1</v>
      </c>
      <c r="P727">
        <v>0</v>
      </c>
      <c r="R727" s="1">
        <v>46034.625150462962</v>
      </c>
    </row>
    <row r="728" spans="1:18" x14ac:dyDescent="0.2">
      <c r="A728">
        <v>727</v>
      </c>
      <c r="B728" t="s">
        <v>2654</v>
      </c>
      <c r="C728" t="s">
        <v>57</v>
      </c>
      <c r="N728">
        <v>0</v>
      </c>
      <c r="O728">
        <v>1</v>
      </c>
      <c r="P728">
        <v>0</v>
      </c>
      <c r="R728" s="1">
        <v>46034.625150462962</v>
      </c>
    </row>
    <row r="729" spans="1:18" x14ac:dyDescent="0.2">
      <c r="A729">
        <v>728</v>
      </c>
      <c r="B729" t="s">
        <v>2654</v>
      </c>
      <c r="C729" t="s">
        <v>57</v>
      </c>
      <c r="N729">
        <v>0</v>
      </c>
      <c r="O729">
        <v>1</v>
      </c>
      <c r="P729">
        <v>0</v>
      </c>
      <c r="R729" s="1">
        <v>46034.625150462962</v>
      </c>
    </row>
    <row r="730" spans="1:18" x14ac:dyDescent="0.2">
      <c r="A730">
        <v>729</v>
      </c>
      <c r="B730" t="s">
        <v>2654</v>
      </c>
      <c r="C730" t="s">
        <v>57</v>
      </c>
      <c r="N730">
        <v>0</v>
      </c>
      <c r="O730">
        <v>1</v>
      </c>
      <c r="P730">
        <v>0</v>
      </c>
      <c r="R730" s="1">
        <v>46034.625150462962</v>
      </c>
    </row>
    <row r="731" spans="1:18" x14ac:dyDescent="0.2">
      <c r="A731">
        <v>730</v>
      </c>
      <c r="B731" t="s">
        <v>2654</v>
      </c>
      <c r="C731" t="s">
        <v>57</v>
      </c>
      <c r="N731">
        <v>0</v>
      </c>
      <c r="O731">
        <v>1</v>
      </c>
      <c r="P731">
        <v>0</v>
      </c>
      <c r="R731" s="1">
        <v>46034.625150462962</v>
      </c>
    </row>
    <row r="732" spans="1:18" x14ac:dyDescent="0.2">
      <c r="A732">
        <v>731</v>
      </c>
      <c r="B732" t="s">
        <v>2654</v>
      </c>
      <c r="C732" t="s">
        <v>57</v>
      </c>
      <c r="N732">
        <v>0</v>
      </c>
      <c r="O732">
        <v>1</v>
      </c>
      <c r="P732">
        <v>0</v>
      </c>
      <c r="R732" s="1">
        <v>46034.625150462962</v>
      </c>
    </row>
    <row r="733" spans="1:18" x14ac:dyDescent="0.2">
      <c r="A733">
        <v>732</v>
      </c>
      <c r="B733" t="s">
        <v>2654</v>
      </c>
      <c r="C733" t="s">
        <v>57</v>
      </c>
      <c r="N733">
        <v>0</v>
      </c>
      <c r="O733">
        <v>1</v>
      </c>
      <c r="P733">
        <v>0</v>
      </c>
      <c r="R733" s="1">
        <v>46034.625150462962</v>
      </c>
    </row>
    <row r="734" spans="1:18" x14ac:dyDescent="0.2">
      <c r="A734">
        <v>733</v>
      </c>
      <c r="B734" t="s">
        <v>2654</v>
      </c>
      <c r="C734" t="s">
        <v>57</v>
      </c>
      <c r="N734">
        <v>0</v>
      </c>
      <c r="O734">
        <v>1</v>
      </c>
      <c r="P734">
        <v>0</v>
      </c>
      <c r="R734" s="1">
        <v>46034.625150462962</v>
      </c>
    </row>
    <row r="735" spans="1:18" x14ac:dyDescent="0.2">
      <c r="A735">
        <v>734</v>
      </c>
      <c r="B735" t="s">
        <v>2654</v>
      </c>
      <c r="C735" t="s">
        <v>57</v>
      </c>
      <c r="N735">
        <v>0</v>
      </c>
      <c r="O735">
        <v>1</v>
      </c>
      <c r="P735">
        <v>0</v>
      </c>
      <c r="R735" s="1">
        <v>46034.625150462962</v>
      </c>
    </row>
    <row r="736" spans="1:18" x14ac:dyDescent="0.2">
      <c r="A736">
        <v>735</v>
      </c>
      <c r="B736" t="s">
        <v>2656</v>
      </c>
      <c r="C736" t="s">
        <v>57</v>
      </c>
      <c r="N736">
        <v>0</v>
      </c>
      <c r="O736">
        <v>1</v>
      </c>
      <c r="P736">
        <v>0</v>
      </c>
      <c r="R736" s="1">
        <v>46034.625150462962</v>
      </c>
    </row>
    <row r="737" spans="1:18" x14ac:dyDescent="0.2">
      <c r="A737">
        <v>736</v>
      </c>
      <c r="B737" t="s">
        <v>2657</v>
      </c>
      <c r="C737" t="s">
        <v>57</v>
      </c>
      <c r="N737">
        <v>0</v>
      </c>
      <c r="O737">
        <v>1</v>
      </c>
      <c r="P737">
        <v>0</v>
      </c>
      <c r="R737" s="1">
        <v>46034.625150462962</v>
      </c>
    </row>
    <row r="738" spans="1:18" x14ac:dyDescent="0.2">
      <c r="A738">
        <v>737</v>
      </c>
      <c r="B738" t="s">
        <v>2654</v>
      </c>
      <c r="C738" t="s">
        <v>57</v>
      </c>
      <c r="N738">
        <v>0</v>
      </c>
      <c r="O738">
        <v>1</v>
      </c>
      <c r="P738">
        <v>0</v>
      </c>
      <c r="R738" s="1">
        <v>46034.625150462962</v>
      </c>
    </row>
    <row r="739" spans="1:18" x14ac:dyDescent="0.2">
      <c r="A739">
        <v>738</v>
      </c>
      <c r="B739" t="s">
        <v>2654</v>
      </c>
      <c r="C739" t="s">
        <v>57</v>
      </c>
      <c r="N739">
        <v>0</v>
      </c>
      <c r="O739">
        <v>1</v>
      </c>
      <c r="P739">
        <v>0</v>
      </c>
      <c r="R739" s="1">
        <v>46034.625150462962</v>
      </c>
    </row>
    <row r="740" spans="1:18" x14ac:dyDescent="0.2">
      <c r="A740">
        <v>739</v>
      </c>
      <c r="B740" t="s">
        <v>2654</v>
      </c>
      <c r="C740" t="s">
        <v>57</v>
      </c>
      <c r="N740">
        <v>0</v>
      </c>
      <c r="O740">
        <v>1</v>
      </c>
      <c r="P740">
        <v>0</v>
      </c>
      <c r="R740" s="1">
        <v>46034.625150462962</v>
      </c>
    </row>
    <row r="741" spans="1:18" x14ac:dyDescent="0.2">
      <c r="A741">
        <v>740</v>
      </c>
      <c r="B741" t="s">
        <v>2654</v>
      </c>
      <c r="C741" t="s">
        <v>57</v>
      </c>
      <c r="N741">
        <v>0</v>
      </c>
      <c r="O741">
        <v>1</v>
      </c>
      <c r="P741">
        <v>0</v>
      </c>
      <c r="R741" s="1">
        <v>46034.625150462962</v>
      </c>
    </row>
    <row r="742" spans="1:18" x14ac:dyDescent="0.2">
      <c r="A742">
        <v>741</v>
      </c>
      <c r="B742" t="s">
        <v>2654</v>
      </c>
      <c r="C742" t="s">
        <v>57</v>
      </c>
      <c r="N742">
        <v>0</v>
      </c>
      <c r="O742">
        <v>1</v>
      </c>
      <c r="P742">
        <v>0</v>
      </c>
      <c r="R742" s="1">
        <v>46034.625150462962</v>
      </c>
    </row>
    <row r="743" spans="1:18" x14ac:dyDescent="0.2">
      <c r="A743">
        <v>742</v>
      </c>
      <c r="B743" t="s">
        <v>2654</v>
      </c>
      <c r="C743" t="s">
        <v>57</v>
      </c>
      <c r="N743">
        <v>0</v>
      </c>
      <c r="O743">
        <v>1</v>
      </c>
      <c r="P743">
        <v>0</v>
      </c>
      <c r="R743" s="1">
        <v>46034.625150462962</v>
      </c>
    </row>
    <row r="744" spans="1:18" x14ac:dyDescent="0.2">
      <c r="A744">
        <v>743</v>
      </c>
      <c r="B744" t="s">
        <v>2654</v>
      </c>
      <c r="C744" t="s">
        <v>57</v>
      </c>
      <c r="N744">
        <v>0</v>
      </c>
      <c r="O744">
        <v>1</v>
      </c>
      <c r="P744">
        <v>0</v>
      </c>
      <c r="R744" s="1">
        <v>46034.625150462962</v>
      </c>
    </row>
    <row r="745" spans="1:18" x14ac:dyDescent="0.2">
      <c r="A745">
        <v>744</v>
      </c>
      <c r="B745" t="s">
        <v>2654</v>
      </c>
      <c r="C745" t="s">
        <v>57</v>
      </c>
      <c r="N745">
        <v>0</v>
      </c>
      <c r="O745">
        <v>1</v>
      </c>
      <c r="P745">
        <v>0</v>
      </c>
      <c r="R745" s="1">
        <v>46034.625150462962</v>
      </c>
    </row>
    <row r="746" spans="1:18" x14ac:dyDescent="0.2">
      <c r="A746">
        <v>745</v>
      </c>
      <c r="B746" t="s">
        <v>2654</v>
      </c>
      <c r="C746" t="s">
        <v>57</v>
      </c>
      <c r="N746">
        <v>0</v>
      </c>
      <c r="O746">
        <v>1</v>
      </c>
      <c r="P746">
        <v>0</v>
      </c>
      <c r="R746" s="1">
        <v>46034.625150462962</v>
      </c>
    </row>
    <row r="747" spans="1:18" x14ac:dyDescent="0.2">
      <c r="A747">
        <v>746</v>
      </c>
      <c r="B747" t="s">
        <v>2654</v>
      </c>
      <c r="C747" t="s">
        <v>57</v>
      </c>
      <c r="N747">
        <v>0</v>
      </c>
      <c r="O747">
        <v>1</v>
      </c>
      <c r="P747">
        <v>0</v>
      </c>
      <c r="R747" s="1">
        <v>46034.625150462962</v>
      </c>
    </row>
    <row r="748" spans="1:18" x14ac:dyDescent="0.2">
      <c r="A748">
        <v>747</v>
      </c>
      <c r="B748" t="s">
        <v>2658</v>
      </c>
      <c r="C748" t="s">
        <v>57</v>
      </c>
      <c r="N748">
        <v>0</v>
      </c>
      <c r="O748">
        <v>1</v>
      </c>
      <c r="P748">
        <v>0</v>
      </c>
      <c r="R748" s="1">
        <v>46034.625150462962</v>
      </c>
    </row>
    <row r="749" spans="1:18" x14ac:dyDescent="0.2">
      <c r="A749">
        <v>748</v>
      </c>
      <c r="B749" t="s">
        <v>2654</v>
      </c>
      <c r="C749" t="s">
        <v>57</v>
      </c>
      <c r="N749">
        <v>0</v>
      </c>
      <c r="O749">
        <v>1</v>
      </c>
      <c r="P749">
        <v>0</v>
      </c>
      <c r="R749" s="1">
        <v>46034.625150462962</v>
      </c>
    </row>
    <row r="750" spans="1:18" x14ac:dyDescent="0.2">
      <c r="A750">
        <v>749</v>
      </c>
      <c r="B750" t="s">
        <v>2659</v>
      </c>
      <c r="C750" t="s">
        <v>57</v>
      </c>
      <c r="N750">
        <v>0</v>
      </c>
      <c r="O750">
        <v>1</v>
      </c>
      <c r="P750">
        <v>0</v>
      </c>
      <c r="R750" s="1">
        <v>46034.625150462962</v>
      </c>
    </row>
    <row r="751" spans="1:18" x14ac:dyDescent="0.2">
      <c r="A751">
        <v>750</v>
      </c>
      <c r="B751" t="s">
        <v>2654</v>
      </c>
      <c r="C751" t="s">
        <v>57</v>
      </c>
      <c r="N751">
        <v>0</v>
      </c>
      <c r="O751">
        <v>1</v>
      </c>
      <c r="P751">
        <v>0</v>
      </c>
      <c r="R751" s="1">
        <v>46034.625150462962</v>
      </c>
    </row>
    <row r="752" spans="1:18" x14ac:dyDescent="0.2">
      <c r="A752">
        <v>751</v>
      </c>
      <c r="B752" t="s">
        <v>2660</v>
      </c>
      <c r="C752" t="s">
        <v>57</v>
      </c>
      <c r="N752">
        <v>0</v>
      </c>
      <c r="O752">
        <v>1</v>
      </c>
      <c r="P752">
        <v>0</v>
      </c>
      <c r="R752" s="1">
        <v>46034.625150462962</v>
      </c>
    </row>
    <row r="753" spans="1:18" x14ac:dyDescent="0.2">
      <c r="A753">
        <v>752</v>
      </c>
      <c r="B753" t="s">
        <v>2661</v>
      </c>
      <c r="C753" t="s">
        <v>57</v>
      </c>
      <c r="N753">
        <v>0</v>
      </c>
      <c r="O753">
        <v>1</v>
      </c>
      <c r="P753">
        <v>0</v>
      </c>
      <c r="R753" s="1">
        <v>46034.625150462962</v>
      </c>
    </row>
    <row r="754" spans="1:18" x14ac:dyDescent="0.2">
      <c r="A754">
        <v>753</v>
      </c>
      <c r="B754" t="s">
        <v>2654</v>
      </c>
      <c r="C754" t="s">
        <v>57</v>
      </c>
      <c r="N754">
        <v>0</v>
      </c>
      <c r="O754">
        <v>1</v>
      </c>
      <c r="P754">
        <v>0</v>
      </c>
      <c r="R754" s="1">
        <v>46034.625150462962</v>
      </c>
    </row>
    <row r="755" spans="1:18" x14ac:dyDescent="0.2">
      <c r="A755">
        <v>754</v>
      </c>
      <c r="B755" t="s">
        <v>2654</v>
      </c>
      <c r="C755" t="s">
        <v>57</v>
      </c>
      <c r="N755">
        <v>0</v>
      </c>
      <c r="O755">
        <v>1</v>
      </c>
      <c r="P755">
        <v>0</v>
      </c>
      <c r="R755" s="1">
        <v>46034.625150462962</v>
      </c>
    </row>
    <row r="756" spans="1:18" x14ac:dyDescent="0.2">
      <c r="A756">
        <v>755</v>
      </c>
      <c r="B756" t="s">
        <v>2654</v>
      </c>
      <c r="C756" t="s">
        <v>57</v>
      </c>
      <c r="N756">
        <v>0</v>
      </c>
      <c r="O756">
        <v>1</v>
      </c>
      <c r="P756">
        <v>0</v>
      </c>
      <c r="R756" s="1">
        <v>46034.625150462962</v>
      </c>
    </row>
    <row r="757" spans="1:18" x14ac:dyDescent="0.2">
      <c r="A757">
        <v>756</v>
      </c>
      <c r="B757" t="s">
        <v>2654</v>
      </c>
      <c r="C757" t="s">
        <v>57</v>
      </c>
      <c r="N757">
        <v>0</v>
      </c>
      <c r="O757">
        <v>1</v>
      </c>
      <c r="P757">
        <v>0</v>
      </c>
      <c r="R757" s="1">
        <v>46034.625150462962</v>
      </c>
    </row>
    <row r="758" spans="1:18" x14ac:dyDescent="0.2">
      <c r="A758">
        <v>757</v>
      </c>
      <c r="B758" t="s">
        <v>2654</v>
      </c>
      <c r="C758" t="s">
        <v>57</v>
      </c>
      <c r="N758">
        <v>0</v>
      </c>
      <c r="O758">
        <v>1</v>
      </c>
      <c r="P758">
        <v>0</v>
      </c>
      <c r="R758" s="1">
        <v>46034.625150462962</v>
      </c>
    </row>
    <row r="759" spans="1:18" x14ac:dyDescent="0.2">
      <c r="A759">
        <v>758</v>
      </c>
      <c r="B759" t="s">
        <v>2654</v>
      </c>
      <c r="C759" t="s">
        <v>57</v>
      </c>
      <c r="N759">
        <v>0</v>
      </c>
      <c r="O759">
        <v>1</v>
      </c>
      <c r="P759">
        <v>0</v>
      </c>
      <c r="R759" s="1">
        <v>46034.625150462962</v>
      </c>
    </row>
    <row r="760" spans="1:18" x14ac:dyDescent="0.2">
      <c r="A760">
        <v>759</v>
      </c>
      <c r="B760" t="s">
        <v>2662</v>
      </c>
      <c r="C760" t="s">
        <v>57</v>
      </c>
      <c r="N760">
        <v>0</v>
      </c>
      <c r="O760">
        <v>1</v>
      </c>
      <c r="P760">
        <v>0</v>
      </c>
      <c r="R760" s="1">
        <v>46034.625150462962</v>
      </c>
    </row>
    <row r="761" spans="1:18" x14ac:dyDescent="0.2">
      <c r="A761">
        <v>760</v>
      </c>
      <c r="B761" t="s">
        <v>2654</v>
      </c>
      <c r="C761" t="s">
        <v>57</v>
      </c>
      <c r="N761">
        <v>0</v>
      </c>
      <c r="O761">
        <v>1</v>
      </c>
      <c r="P761">
        <v>0</v>
      </c>
      <c r="R761" s="1">
        <v>46034.625150462962</v>
      </c>
    </row>
    <row r="762" spans="1:18" x14ac:dyDescent="0.2">
      <c r="A762">
        <v>761</v>
      </c>
      <c r="B762" t="s">
        <v>2654</v>
      </c>
      <c r="C762" t="s">
        <v>57</v>
      </c>
      <c r="N762">
        <v>0</v>
      </c>
      <c r="O762">
        <v>1</v>
      </c>
      <c r="P762">
        <v>0</v>
      </c>
      <c r="R762" s="1">
        <v>46034.625150462962</v>
      </c>
    </row>
    <row r="763" spans="1:18" x14ac:dyDescent="0.2">
      <c r="A763">
        <v>762</v>
      </c>
      <c r="B763" t="s">
        <v>2654</v>
      </c>
      <c r="C763" t="s">
        <v>57</v>
      </c>
      <c r="N763">
        <v>0</v>
      </c>
      <c r="O763">
        <v>1</v>
      </c>
      <c r="P763">
        <v>0</v>
      </c>
      <c r="R763" s="1">
        <v>46034.625150462962</v>
      </c>
    </row>
    <row r="764" spans="1:18" x14ac:dyDescent="0.2">
      <c r="A764">
        <v>763</v>
      </c>
      <c r="B764" t="s">
        <v>2663</v>
      </c>
      <c r="C764" t="s">
        <v>57</v>
      </c>
      <c r="N764">
        <v>0</v>
      </c>
      <c r="O764">
        <v>1</v>
      </c>
      <c r="P764">
        <v>0</v>
      </c>
      <c r="R764" s="1">
        <v>46034.625150462962</v>
      </c>
    </row>
    <row r="765" spans="1:18" x14ac:dyDescent="0.2">
      <c r="A765">
        <v>764</v>
      </c>
      <c r="B765" t="s">
        <v>2654</v>
      </c>
      <c r="C765" t="s">
        <v>57</v>
      </c>
      <c r="N765">
        <v>0</v>
      </c>
      <c r="O765">
        <v>1</v>
      </c>
      <c r="P765">
        <v>0</v>
      </c>
      <c r="R765" s="1">
        <v>46034.625150462962</v>
      </c>
    </row>
    <row r="766" spans="1:18" x14ac:dyDescent="0.2">
      <c r="A766">
        <v>765</v>
      </c>
      <c r="B766" t="s">
        <v>2654</v>
      </c>
      <c r="C766" t="s">
        <v>57</v>
      </c>
      <c r="N766">
        <v>0</v>
      </c>
      <c r="O766">
        <v>1</v>
      </c>
      <c r="P766">
        <v>0</v>
      </c>
      <c r="R766" s="1">
        <v>46034.625150462962</v>
      </c>
    </row>
    <row r="767" spans="1:18" x14ac:dyDescent="0.2">
      <c r="A767">
        <v>766</v>
      </c>
      <c r="B767" t="s">
        <v>2664</v>
      </c>
      <c r="C767" t="s">
        <v>57</v>
      </c>
      <c r="N767">
        <v>0</v>
      </c>
      <c r="O767">
        <v>1</v>
      </c>
      <c r="P767">
        <v>0</v>
      </c>
      <c r="R767" s="1">
        <v>46034.625150462962</v>
      </c>
    </row>
    <row r="768" spans="1:18" x14ac:dyDescent="0.2">
      <c r="A768">
        <v>767</v>
      </c>
      <c r="B768" t="s">
        <v>2654</v>
      </c>
      <c r="C768" t="s">
        <v>57</v>
      </c>
      <c r="N768">
        <v>0</v>
      </c>
      <c r="O768">
        <v>1</v>
      </c>
      <c r="P768">
        <v>0</v>
      </c>
      <c r="R768" s="1">
        <v>46034.625150462962</v>
      </c>
    </row>
    <row r="769" spans="1:18" x14ac:dyDescent="0.2">
      <c r="A769">
        <v>768</v>
      </c>
      <c r="B769" t="s">
        <v>2654</v>
      </c>
      <c r="C769" t="s">
        <v>57</v>
      </c>
      <c r="N769">
        <v>0</v>
      </c>
      <c r="O769">
        <v>1</v>
      </c>
      <c r="P769">
        <v>0</v>
      </c>
      <c r="R769" s="1">
        <v>46034.625150462962</v>
      </c>
    </row>
    <row r="770" spans="1:18" x14ac:dyDescent="0.2">
      <c r="A770">
        <v>769</v>
      </c>
      <c r="B770" t="s">
        <v>2665</v>
      </c>
      <c r="C770" t="s">
        <v>57</v>
      </c>
      <c r="N770">
        <v>0</v>
      </c>
      <c r="O770">
        <v>1</v>
      </c>
      <c r="P770">
        <v>0</v>
      </c>
      <c r="R770" s="1">
        <v>46034.625150462962</v>
      </c>
    </row>
    <row r="771" spans="1:18" x14ac:dyDescent="0.2">
      <c r="A771">
        <v>770</v>
      </c>
      <c r="B771" t="s">
        <v>2654</v>
      </c>
      <c r="C771" t="s">
        <v>57</v>
      </c>
      <c r="N771">
        <v>0</v>
      </c>
      <c r="O771">
        <v>1</v>
      </c>
      <c r="P771">
        <v>0</v>
      </c>
      <c r="R771" s="1">
        <v>46034.625150462962</v>
      </c>
    </row>
    <row r="772" spans="1:18" x14ac:dyDescent="0.2">
      <c r="A772">
        <v>771</v>
      </c>
      <c r="B772" t="s">
        <v>2666</v>
      </c>
      <c r="C772" t="s">
        <v>57</v>
      </c>
      <c r="N772">
        <v>0</v>
      </c>
      <c r="O772">
        <v>1</v>
      </c>
      <c r="P772">
        <v>0</v>
      </c>
      <c r="R772" s="1">
        <v>46034.625150462962</v>
      </c>
    </row>
    <row r="773" spans="1:18" x14ac:dyDescent="0.2">
      <c r="A773">
        <v>772</v>
      </c>
      <c r="B773" t="s">
        <v>2654</v>
      </c>
      <c r="C773" t="s">
        <v>57</v>
      </c>
      <c r="N773">
        <v>0</v>
      </c>
      <c r="O773">
        <v>1</v>
      </c>
      <c r="P773">
        <v>0</v>
      </c>
      <c r="R773" s="1">
        <v>46034.625150462962</v>
      </c>
    </row>
    <row r="774" spans="1:18" x14ac:dyDescent="0.2">
      <c r="A774">
        <v>773</v>
      </c>
      <c r="B774" t="s">
        <v>2654</v>
      </c>
      <c r="C774" t="s">
        <v>57</v>
      </c>
      <c r="N774">
        <v>0</v>
      </c>
      <c r="O774">
        <v>1</v>
      </c>
      <c r="P774">
        <v>0</v>
      </c>
      <c r="R774" s="1">
        <v>46034.625150462962</v>
      </c>
    </row>
    <row r="775" spans="1:18" x14ac:dyDescent="0.2">
      <c r="A775">
        <v>774</v>
      </c>
      <c r="B775" t="s">
        <v>2654</v>
      </c>
      <c r="C775" t="s">
        <v>57</v>
      </c>
      <c r="N775">
        <v>0</v>
      </c>
      <c r="O775">
        <v>1</v>
      </c>
      <c r="P775">
        <v>0</v>
      </c>
      <c r="R775" s="1">
        <v>46034.625150462962</v>
      </c>
    </row>
    <row r="776" spans="1:18" x14ac:dyDescent="0.2">
      <c r="A776">
        <v>775</v>
      </c>
      <c r="B776" t="s">
        <v>2654</v>
      </c>
      <c r="C776" t="s">
        <v>57</v>
      </c>
      <c r="N776">
        <v>0</v>
      </c>
      <c r="O776">
        <v>1</v>
      </c>
      <c r="P776">
        <v>0</v>
      </c>
      <c r="R776" s="1">
        <v>46034.625150462962</v>
      </c>
    </row>
    <row r="777" spans="1:18" x14ac:dyDescent="0.2">
      <c r="A777">
        <v>776</v>
      </c>
      <c r="B777" t="s">
        <v>2654</v>
      </c>
      <c r="C777" t="s">
        <v>57</v>
      </c>
      <c r="N777">
        <v>0</v>
      </c>
      <c r="O777">
        <v>1</v>
      </c>
      <c r="P777">
        <v>0</v>
      </c>
      <c r="R777" s="1">
        <v>46034.625150462962</v>
      </c>
    </row>
    <row r="778" spans="1:18" x14ac:dyDescent="0.2">
      <c r="A778">
        <v>777</v>
      </c>
      <c r="B778" t="s">
        <v>2654</v>
      </c>
      <c r="C778" t="s">
        <v>57</v>
      </c>
      <c r="N778">
        <v>0</v>
      </c>
      <c r="O778">
        <v>1</v>
      </c>
      <c r="P778">
        <v>0</v>
      </c>
      <c r="R778" s="1">
        <v>46034.625150462962</v>
      </c>
    </row>
    <row r="779" spans="1:18" x14ac:dyDescent="0.2">
      <c r="A779">
        <v>778</v>
      </c>
      <c r="B779" t="s">
        <v>2654</v>
      </c>
      <c r="C779" t="s">
        <v>57</v>
      </c>
      <c r="N779">
        <v>0</v>
      </c>
      <c r="O779">
        <v>1</v>
      </c>
      <c r="P779">
        <v>0</v>
      </c>
      <c r="R779" s="1">
        <v>46034.625150462962</v>
      </c>
    </row>
    <row r="780" spans="1:18" x14ac:dyDescent="0.2">
      <c r="A780">
        <v>779</v>
      </c>
      <c r="B780" t="s">
        <v>2667</v>
      </c>
      <c r="C780" t="s">
        <v>57</v>
      </c>
      <c r="N780">
        <v>0</v>
      </c>
      <c r="O780">
        <v>1</v>
      </c>
      <c r="P780">
        <v>0</v>
      </c>
      <c r="R780" s="1">
        <v>46034.625150462962</v>
      </c>
    </row>
    <row r="781" spans="1:18" x14ac:dyDescent="0.2">
      <c r="A781">
        <v>780</v>
      </c>
      <c r="B781" t="s">
        <v>2654</v>
      </c>
      <c r="C781" t="s">
        <v>57</v>
      </c>
      <c r="N781">
        <v>0</v>
      </c>
      <c r="O781">
        <v>1</v>
      </c>
      <c r="P781">
        <v>0</v>
      </c>
      <c r="R781" s="1">
        <v>46034.625150462962</v>
      </c>
    </row>
    <row r="782" spans="1:18" x14ac:dyDescent="0.2">
      <c r="A782">
        <v>781</v>
      </c>
      <c r="B782" t="s">
        <v>2654</v>
      </c>
      <c r="C782" t="s">
        <v>57</v>
      </c>
      <c r="N782">
        <v>0</v>
      </c>
      <c r="O782">
        <v>1</v>
      </c>
      <c r="P782">
        <v>0</v>
      </c>
      <c r="R782" s="1">
        <v>46034.625150462962</v>
      </c>
    </row>
    <row r="783" spans="1:18" x14ac:dyDescent="0.2">
      <c r="A783">
        <v>782</v>
      </c>
      <c r="B783" t="s">
        <v>2654</v>
      </c>
      <c r="C783" t="s">
        <v>57</v>
      </c>
      <c r="N783">
        <v>0</v>
      </c>
      <c r="O783">
        <v>1</v>
      </c>
      <c r="P783">
        <v>0</v>
      </c>
      <c r="R783" s="1">
        <v>46034.625150462962</v>
      </c>
    </row>
    <row r="784" spans="1:18" x14ac:dyDescent="0.2">
      <c r="A784">
        <v>783</v>
      </c>
      <c r="B784" t="s">
        <v>2668</v>
      </c>
      <c r="C784" t="s">
        <v>57</v>
      </c>
      <c r="N784">
        <v>0</v>
      </c>
      <c r="O784">
        <v>1</v>
      </c>
      <c r="P784">
        <v>0</v>
      </c>
      <c r="R784" s="1">
        <v>46034.625150462962</v>
      </c>
    </row>
    <row r="785" spans="1:18" x14ac:dyDescent="0.2">
      <c r="A785">
        <v>784</v>
      </c>
      <c r="B785" t="s">
        <v>2654</v>
      </c>
      <c r="C785" t="s">
        <v>57</v>
      </c>
      <c r="N785">
        <v>0</v>
      </c>
      <c r="O785">
        <v>1</v>
      </c>
      <c r="P785">
        <v>0</v>
      </c>
      <c r="R785" s="1">
        <v>46034.625150462962</v>
      </c>
    </row>
    <row r="786" spans="1:18" x14ac:dyDescent="0.2">
      <c r="A786">
        <v>785</v>
      </c>
      <c r="B786" t="s">
        <v>2654</v>
      </c>
      <c r="C786" t="s">
        <v>57</v>
      </c>
      <c r="N786">
        <v>0</v>
      </c>
      <c r="O786">
        <v>1</v>
      </c>
      <c r="P786">
        <v>0</v>
      </c>
      <c r="R786" s="1">
        <v>46034.625150462962</v>
      </c>
    </row>
    <row r="787" spans="1:18" x14ac:dyDescent="0.2">
      <c r="A787">
        <v>786</v>
      </c>
      <c r="B787" t="s">
        <v>2669</v>
      </c>
      <c r="C787" t="s">
        <v>57</v>
      </c>
      <c r="N787">
        <v>0</v>
      </c>
      <c r="O787">
        <v>1</v>
      </c>
      <c r="P787">
        <v>0</v>
      </c>
      <c r="R787" s="1">
        <v>46034.625150462962</v>
      </c>
    </row>
    <row r="788" spans="1:18" x14ac:dyDescent="0.2">
      <c r="A788">
        <v>787</v>
      </c>
      <c r="B788" t="s">
        <v>2654</v>
      </c>
      <c r="C788" t="s">
        <v>57</v>
      </c>
      <c r="N788">
        <v>0</v>
      </c>
      <c r="O788">
        <v>1</v>
      </c>
      <c r="P788">
        <v>0</v>
      </c>
      <c r="R788" s="1">
        <v>46034.625150462962</v>
      </c>
    </row>
    <row r="789" spans="1:18" x14ac:dyDescent="0.2">
      <c r="A789">
        <v>788</v>
      </c>
      <c r="B789" t="s">
        <v>2654</v>
      </c>
      <c r="C789" t="s">
        <v>57</v>
      </c>
      <c r="N789">
        <v>0</v>
      </c>
      <c r="O789">
        <v>1</v>
      </c>
      <c r="P789">
        <v>0</v>
      </c>
      <c r="R789" s="1">
        <v>46034.625150462962</v>
      </c>
    </row>
    <row r="790" spans="1:18" x14ac:dyDescent="0.2">
      <c r="A790">
        <v>789</v>
      </c>
      <c r="B790" t="s">
        <v>2670</v>
      </c>
      <c r="C790" t="s">
        <v>57</v>
      </c>
      <c r="N790">
        <v>0</v>
      </c>
      <c r="O790">
        <v>1</v>
      </c>
      <c r="P790">
        <v>0</v>
      </c>
      <c r="R790" s="1">
        <v>46034.625150462962</v>
      </c>
    </row>
    <row r="791" spans="1:18" x14ac:dyDescent="0.2">
      <c r="A791">
        <v>790</v>
      </c>
      <c r="B791" t="s">
        <v>2671</v>
      </c>
      <c r="C791" t="s">
        <v>57</v>
      </c>
      <c r="N791">
        <v>0</v>
      </c>
      <c r="O791">
        <v>1</v>
      </c>
      <c r="P791">
        <v>0</v>
      </c>
      <c r="R791" s="1">
        <v>46034.625150462962</v>
      </c>
    </row>
    <row r="792" spans="1:18" x14ac:dyDescent="0.2">
      <c r="A792">
        <v>791</v>
      </c>
      <c r="B792" t="s">
        <v>2672</v>
      </c>
      <c r="C792" t="s">
        <v>57</v>
      </c>
      <c r="N792">
        <v>0</v>
      </c>
      <c r="O792">
        <v>1</v>
      </c>
      <c r="P792">
        <v>0</v>
      </c>
      <c r="R792" s="1">
        <v>46034.625150462962</v>
      </c>
    </row>
    <row r="793" spans="1:18" x14ac:dyDescent="0.2">
      <c r="A793">
        <v>792</v>
      </c>
      <c r="B793" t="s">
        <v>2673</v>
      </c>
      <c r="C793" t="s">
        <v>57</v>
      </c>
      <c r="N793">
        <v>0</v>
      </c>
      <c r="O793">
        <v>1</v>
      </c>
      <c r="P793">
        <v>0</v>
      </c>
      <c r="R793" s="1">
        <v>46034.625150462962</v>
      </c>
    </row>
    <row r="794" spans="1:18" x14ac:dyDescent="0.2">
      <c r="A794">
        <v>793</v>
      </c>
      <c r="B794" t="s">
        <v>2674</v>
      </c>
      <c r="C794" t="s">
        <v>57</v>
      </c>
      <c r="N794">
        <v>0</v>
      </c>
      <c r="O794">
        <v>1</v>
      </c>
      <c r="P794">
        <v>0</v>
      </c>
      <c r="R794" s="1">
        <v>46034.625150462962</v>
      </c>
    </row>
    <row r="795" spans="1:18" x14ac:dyDescent="0.2">
      <c r="A795">
        <v>794</v>
      </c>
      <c r="B795" t="s">
        <v>2675</v>
      </c>
      <c r="C795" t="s">
        <v>57</v>
      </c>
      <c r="N795">
        <v>0</v>
      </c>
      <c r="O795">
        <v>1</v>
      </c>
      <c r="P795">
        <v>0</v>
      </c>
      <c r="R795" s="1">
        <v>46034.625150462962</v>
      </c>
    </row>
    <row r="796" spans="1:18" x14ac:dyDescent="0.2">
      <c r="A796">
        <v>795</v>
      </c>
      <c r="B796" t="s">
        <v>2676</v>
      </c>
      <c r="C796" t="s">
        <v>57</v>
      </c>
      <c r="N796">
        <v>0</v>
      </c>
      <c r="O796">
        <v>1</v>
      </c>
      <c r="P796">
        <v>0</v>
      </c>
      <c r="R796" s="1">
        <v>46034.625150462962</v>
      </c>
    </row>
    <row r="797" spans="1:18" x14ac:dyDescent="0.2">
      <c r="A797">
        <v>796</v>
      </c>
      <c r="B797" t="s">
        <v>2677</v>
      </c>
      <c r="C797" t="s">
        <v>57</v>
      </c>
      <c r="N797">
        <v>0</v>
      </c>
      <c r="O797">
        <v>1</v>
      </c>
      <c r="P797">
        <v>0</v>
      </c>
      <c r="R797" s="1">
        <v>46034.625150462962</v>
      </c>
    </row>
    <row r="798" spans="1:18" x14ac:dyDescent="0.2">
      <c r="A798">
        <v>797</v>
      </c>
      <c r="B798" t="s">
        <v>2678</v>
      </c>
      <c r="C798" t="s">
        <v>57</v>
      </c>
      <c r="N798">
        <v>0</v>
      </c>
      <c r="O798">
        <v>1</v>
      </c>
      <c r="P798">
        <v>0</v>
      </c>
      <c r="R798" s="1">
        <v>46034.625150462962</v>
      </c>
    </row>
    <row r="799" spans="1:18" x14ac:dyDescent="0.2">
      <c r="A799">
        <v>798</v>
      </c>
      <c r="B799" t="s">
        <v>2679</v>
      </c>
      <c r="C799" t="s">
        <v>57</v>
      </c>
      <c r="N799">
        <v>0</v>
      </c>
      <c r="O799">
        <v>1</v>
      </c>
      <c r="P799">
        <v>0</v>
      </c>
      <c r="R799" s="1">
        <v>46034.625150462962</v>
      </c>
    </row>
    <row r="800" spans="1:18" x14ac:dyDescent="0.2">
      <c r="A800">
        <v>799</v>
      </c>
      <c r="B800" t="s">
        <v>2680</v>
      </c>
      <c r="C800" t="s">
        <v>57</v>
      </c>
      <c r="N800">
        <v>0</v>
      </c>
      <c r="O800">
        <v>1</v>
      </c>
      <c r="P800">
        <v>0</v>
      </c>
      <c r="R800" s="1">
        <v>46034.625150462962</v>
      </c>
    </row>
    <row r="801" spans="1:18" x14ac:dyDescent="0.2">
      <c r="A801">
        <v>800</v>
      </c>
      <c r="B801" t="s">
        <v>2681</v>
      </c>
      <c r="C801" t="s">
        <v>57</v>
      </c>
      <c r="N801">
        <v>0</v>
      </c>
      <c r="O801">
        <v>1</v>
      </c>
      <c r="P801">
        <v>0</v>
      </c>
      <c r="R801" s="1">
        <v>46034.625150462962</v>
      </c>
    </row>
    <row r="802" spans="1:18" x14ac:dyDescent="0.2">
      <c r="A802">
        <v>801</v>
      </c>
      <c r="B802" t="s">
        <v>2682</v>
      </c>
      <c r="C802" t="s">
        <v>57</v>
      </c>
      <c r="N802">
        <v>0</v>
      </c>
      <c r="O802">
        <v>1</v>
      </c>
      <c r="P802">
        <v>0</v>
      </c>
      <c r="R802" s="1">
        <v>46034.625150462962</v>
      </c>
    </row>
    <row r="803" spans="1:18" x14ac:dyDescent="0.2">
      <c r="A803">
        <v>802</v>
      </c>
      <c r="B803" t="s">
        <v>2683</v>
      </c>
      <c r="C803" t="s">
        <v>57</v>
      </c>
      <c r="N803">
        <v>0</v>
      </c>
      <c r="O803">
        <v>1</v>
      </c>
      <c r="P803">
        <v>0</v>
      </c>
      <c r="R803" s="1">
        <v>46034.625150462962</v>
      </c>
    </row>
    <row r="804" spans="1:18" x14ac:dyDescent="0.2">
      <c r="A804">
        <v>803</v>
      </c>
      <c r="B804" t="s">
        <v>2684</v>
      </c>
      <c r="C804" t="s">
        <v>57</v>
      </c>
      <c r="N804">
        <v>0</v>
      </c>
      <c r="O804">
        <v>1</v>
      </c>
      <c r="P804">
        <v>0</v>
      </c>
      <c r="R804" s="1">
        <v>46034.625150462962</v>
      </c>
    </row>
    <row r="805" spans="1:18" x14ac:dyDescent="0.2">
      <c r="A805">
        <v>804</v>
      </c>
      <c r="B805" t="s">
        <v>2685</v>
      </c>
      <c r="C805" t="s">
        <v>57</v>
      </c>
      <c r="N805">
        <v>0</v>
      </c>
      <c r="O805">
        <v>1</v>
      </c>
      <c r="P805">
        <v>0</v>
      </c>
      <c r="R805" s="1">
        <v>46034.625150462962</v>
      </c>
    </row>
    <row r="806" spans="1:18" x14ac:dyDescent="0.2">
      <c r="A806">
        <v>805</v>
      </c>
      <c r="B806" t="s">
        <v>2686</v>
      </c>
      <c r="C806" t="s">
        <v>57</v>
      </c>
      <c r="N806">
        <v>0</v>
      </c>
      <c r="O806">
        <v>1</v>
      </c>
      <c r="P806">
        <v>0</v>
      </c>
      <c r="R806" s="1">
        <v>46034.625150462962</v>
      </c>
    </row>
    <row r="807" spans="1:18" x14ac:dyDescent="0.2">
      <c r="A807">
        <v>806</v>
      </c>
      <c r="B807" t="s">
        <v>2687</v>
      </c>
      <c r="C807" t="s">
        <v>57</v>
      </c>
      <c r="N807">
        <v>0</v>
      </c>
      <c r="O807">
        <v>1</v>
      </c>
      <c r="P807">
        <v>0</v>
      </c>
      <c r="R807" s="1">
        <v>46034.625150462962</v>
      </c>
    </row>
    <row r="808" spans="1:18" x14ac:dyDescent="0.2">
      <c r="A808">
        <v>807</v>
      </c>
      <c r="B808" t="s">
        <v>2688</v>
      </c>
      <c r="C808" t="s">
        <v>57</v>
      </c>
      <c r="N808">
        <v>0</v>
      </c>
      <c r="O808">
        <v>1</v>
      </c>
      <c r="P808">
        <v>0</v>
      </c>
      <c r="R808" s="1">
        <v>46034.625150462962</v>
      </c>
    </row>
    <row r="809" spans="1:18" x14ac:dyDescent="0.2">
      <c r="A809">
        <v>808</v>
      </c>
      <c r="B809" t="s">
        <v>2689</v>
      </c>
      <c r="C809" t="s">
        <v>57</v>
      </c>
      <c r="N809">
        <v>0</v>
      </c>
      <c r="O809">
        <v>1</v>
      </c>
      <c r="P809">
        <v>0</v>
      </c>
      <c r="R809" s="1">
        <v>46034.625150462962</v>
      </c>
    </row>
    <row r="810" spans="1:18" x14ac:dyDescent="0.2">
      <c r="A810">
        <v>809</v>
      </c>
      <c r="B810" t="s">
        <v>2690</v>
      </c>
      <c r="C810" t="s">
        <v>57</v>
      </c>
      <c r="N810">
        <v>0</v>
      </c>
      <c r="O810">
        <v>1</v>
      </c>
      <c r="P810">
        <v>0</v>
      </c>
      <c r="R810" s="1">
        <v>46034.625150462962</v>
      </c>
    </row>
    <row r="811" spans="1:18" x14ac:dyDescent="0.2">
      <c r="A811">
        <v>810</v>
      </c>
      <c r="B811" t="s">
        <v>2691</v>
      </c>
      <c r="C811" t="s">
        <v>57</v>
      </c>
      <c r="N811">
        <v>0</v>
      </c>
      <c r="O811">
        <v>1</v>
      </c>
      <c r="P811">
        <v>0</v>
      </c>
      <c r="R811" s="1">
        <v>46034.625150462962</v>
      </c>
    </row>
    <row r="812" spans="1:18" x14ac:dyDescent="0.2">
      <c r="A812">
        <v>811</v>
      </c>
      <c r="B812" t="s">
        <v>2692</v>
      </c>
      <c r="C812" t="s">
        <v>57</v>
      </c>
      <c r="N812">
        <v>0</v>
      </c>
      <c r="O812">
        <v>1</v>
      </c>
      <c r="P812">
        <v>0</v>
      </c>
      <c r="R812" s="1">
        <v>46034.625150462962</v>
      </c>
    </row>
    <row r="813" spans="1:18" x14ac:dyDescent="0.2">
      <c r="A813">
        <v>812</v>
      </c>
      <c r="B813" t="s">
        <v>2693</v>
      </c>
      <c r="C813" t="s">
        <v>57</v>
      </c>
      <c r="N813">
        <v>0</v>
      </c>
      <c r="O813">
        <v>1</v>
      </c>
      <c r="P813">
        <v>0</v>
      </c>
      <c r="R813" s="1">
        <v>46034.625150462962</v>
      </c>
    </row>
    <row r="814" spans="1:18" x14ac:dyDescent="0.2">
      <c r="A814">
        <v>813</v>
      </c>
      <c r="B814" t="s">
        <v>2694</v>
      </c>
      <c r="C814" t="s">
        <v>57</v>
      </c>
      <c r="N814">
        <v>0</v>
      </c>
      <c r="O814">
        <v>1</v>
      </c>
      <c r="P814">
        <v>0</v>
      </c>
      <c r="R814" s="1">
        <v>46034.625150462962</v>
      </c>
    </row>
    <row r="815" spans="1:18" x14ac:dyDescent="0.2">
      <c r="A815">
        <v>814</v>
      </c>
      <c r="B815" t="s">
        <v>2695</v>
      </c>
      <c r="C815" t="s">
        <v>57</v>
      </c>
      <c r="N815">
        <v>0</v>
      </c>
      <c r="O815">
        <v>1</v>
      </c>
      <c r="P815">
        <v>0</v>
      </c>
      <c r="R815" s="1">
        <v>46034.625150462962</v>
      </c>
    </row>
    <row r="816" spans="1:18" x14ac:dyDescent="0.2">
      <c r="A816">
        <v>815</v>
      </c>
      <c r="B816" t="s">
        <v>2696</v>
      </c>
      <c r="C816" t="s">
        <v>57</v>
      </c>
      <c r="N816">
        <v>0</v>
      </c>
      <c r="O816">
        <v>1</v>
      </c>
      <c r="P816">
        <v>0</v>
      </c>
      <c r="R816" s="1">
        <v>46034.625150462962</v>
      </c>
    </row>
    <row r="817" spans="1:18" x14ac:dyDescent="0.2">
      <c r="A817">
        <v>816</v>
      </c>
      <c r="B817" t="s">
        <v>2697</v>
      </c>
      <c r="C817" t="s">
        <v>57</v>
      </c>
      <c r="N817">
        <v>0</v>
      </c>
      <c r="O817">
        <v>1</v>
      </c>
      <c r="P817">
        <v>0</v>
      </c>
      <c r="R817" s="1">
        <v>46034.625150462962</v>
      </c>
    </row>
    <row r="818" spans="1:18" x14ac:dyDescent="0.2">
      <c r="A818">
        <v>817</v>
      </c>
      <c r="B818" t="s">
        <v>2698</v>
      </c>
      <c r="C818" t="s">
        <v>57</v>
      </c>
      <c r="N818">
        <v>0</v>
      </c>
      <c r="O818">
        <v>1</v>
      </c>
      <c r="P818">
        <v>0</v>
      </c>
      <c r="R818" s="1">
        <v>46034.625150462962</v>
      </c>
    </row>
    <row r="819" spans="1:18" x14ac:dyDescent="0.2">
      <c r="A819">
        <v>818</v>
      </c>
      <c r="B819" t="s">
        <v>2699</v>
      </c>
      <c r="C819" t="s">
        <v>57</v>
      </c>
      <c r="N819">
        <v>0</v>
      </c>
      <c r="O819">
        <v>1</v>
      </c>
      <c r="P819">
        <v>0</v>
      </c>
      <c r="R819" s="1">
        <v>46034.625150462962</v>
      </c>
    </row>
    <row r="820" spans="1:18" x14ac:dyDescent="0.2">
      <c r="A820">
        <v>819</v>
      </c>
      <c r="B820" t="s">
        <v>2700</v>
      </c>
      <c r="C820" t="s">
        <v>57</v>
      </c>
      <c r="N820">
        <v>0</v>
      </c>
      <c r="O820">
        <v>1</v>
      </c>
      <c r="P820">
        <v>0</v>
      </c>
      <c r="R820" s="1">
        <v>46034.625150462962</v>
      </c>
    </row>
    <row r="821" spans="1:18" x14ac:dyDescent="0.2">
      <c r="A821">
        <v>820</v>
      </c>
      <c r="B821" t="s">
        <v>2701</v>
      </c>
      <c r="C821" t="s">
        <v>57</v>
      </c>
      <c r="N821">
        <v>0</v>
      </c>
      <c r="O821">
        <v>1</v>
      </c>
      <c r="P821">
        <v>0</v>
      </c>
      <c r="R821" s="1">
        <v>46034.625150462962</v>
      </c>
    </row>
    <row r="822" spans="1:18" x14ac:dyDescent="0.2">
      <c r="A822">
        <v>821</v>
      </c>
      <c r="B822" t="s">
        <v>2702</v>
      </c>
      <c r="C822" t="s">
        <v>57</v>
      </c>
      <c r="N822">
        <v>0</v>
      </c>
      <c r="O822">
        <v>1</v>
      </c>
      <c r="P822">
        <v>0</v>
      </c>
      <c r="R822" s="1">
        <v>46034.625150462962</v>
      </c>
    </row>
    <row r="823" spans="1:18" x14ac:dyDescent="0.2">
      <c r="A823">
        <v>822</v>
      </c>
      <c r="B823" t="s">
        <v>2703</v>
      </c>
      <c r="C823" t="s">
        <v>57</v>
      </c>
      <c r="N823">
        <v>0</v>
      </c>
      <c r="O823">
        <v>1</v>
      </c>
      <c r="P823">
        <v>0</v>
      </c>
      <c r="R823" s="1">
        <v>46034.625150462962</v>
      </c>
    </row>
    <row r="824" spans="1:18" x14ac:dyDescent="0.2">
      <c r="A824">
        <v>823</v>
      </c>
      <c r="B824" t="s">
        <v>2704</v>
      </c>
      <c r="C824" t="s">
        <v>57</v>
      </c>
      <c r="N824">
        <v>0</v>
      </c>
      <c r="O824">
        <v>1</v>
      </c>
      <c r="P824">
        <v>0</v>
      </c>
      <c r="R824" s="1">
        <v>46034.625150462962</v>
      </c>
    </row>
    <row r="825" spans="1:18" x14ac:dyDescent="0.2">
      <c r="A825">
        <v>824</v>
      </c>
      <c r="B825" t="s">
        <v>2705</v>
      </c>
      <c r="C825" t="s">
        <v>57</v>
      </c>
      <c r="N825">
        <v>0</v>
      </c>
      <c r="O825">
        <v>1</v>
      </c>
      <c r="P825">
        <v>0</v>
      </c>
      <c r="R825" s="1">
        <v>46034.625150462962</v>
      </c>
    </row>
    <row r="826" spans="1:18" x14ac:dyDescent="0.2">
      <c r="A826">
        <v>825</v>
      </c>
      <c r="B826" t="s">
        <v>2706</v>
      </c>
      <c r="C826" t="s">
        <v>57</v>
      </c>
      <c r="N826">
        <v>0</v>
      </c>
      <c r="O826">
        <v>1</v>
      </c>
      <c r="P826">
        <v>0</v>
      </c>
      <c r="R826" s="1">
        <v>46034.625150462962</v>
      </c>
    </row>
    <row r="827" spans="1:18" x14ac:dyDescent="0.2">
      <c r="A827">
        <v>826</v>
      </c>
      <c r="B827" t="s">
        <v>2707</v>
      </c>
      <c r="C827" t="s">
        <v>57</v>
      </c>
      <c r="N827">
        <v>0</v>
      </c>
      <c r="O827">
        <v>1</v>
      </c>
      <c r="P827">
        <v>0</v>
      </c>
      <c r="R827" s="1">
        <v>46034.625150462962</v>
      </c>
    </row>
    <row r="828" spans="1:18" x14ac:dyDescent="0.2">
      <c r="A828">
        <v>827</v>
      </c>
      <c r="B828" t="s">
        <v>2708</v>
      </c>
      <c r="C828" t="s">
        <v>57</v>
      </c>
      <c r="N828">
        <v>0</v>
      </c>
      <c r="O828">
        <v>1</v>
      </c>
      <c r="P828">
        <v>0</v>
      </c>
      <c r="R828" s="1">
        <v>46034.625150462962</v>
      </c>
    </row>
    <row r="829" spans="1:18" x14ac:dyDescent="0.2">
      <c r="A829">
        <v>828</v>
      </c>
      <c r="B829" t="s">
        <v>2709</v>
      </c>
      <c r="C829" t="s">
        <v>57</v>
      </c>
      <c r="N829">
        <v>0</v>
      </c>
      <c r="O829">
        <v>1</v>
      </c>
      <c r="P829">
        <v>0</v>
      </c>
      <c r="R829" s="1">
        <v>46034.625150462962</v>
      </c>
    </row>
    <row r="830" spans="1:18" x14ac:dyDescent="0.2">
      <c r="A830">
        <v>829</v>
      </c>
      <c r="B830" t="s">
        <v>2710</v>
      </c>
      <c r="C830" t="s">
        <v>57</v>
      </c>
      <c r="N830">
        <v>0</v>
      </c>
      <c r="O830">
        <v>1</v>
      </c>
      <c r="P830">
        <v>0</v>
      </c>
      <c r="R830" s="1">
        <v>46034.625150462962</v>
      </c>
    </row>
    <row r="831" spans="1:18" x14ac:dyDescent="0.2">
      <c r="A831">
        <v>830</v>
      </c>
      <c r="B831" t="s">
        <v>2711</v>
      </c>
      <c r="C831" t="s">
        <v>57</v>
      </c>
      <c r="N831">
        <v>0</v>
      </c>
      <c r="O831">
        <v>1</v>
      </c>
      <c r="P831">
        <v>0</v>
      </c>
      <c r="R831" s="1">
        <v>46034.625150462962</v>
      </c>
    </row>
    <row r="832" spans="1:18" x14ac:dyDescent="0.2">
      <c r="A832">
        <v>831</v>
      </c>
      <c r="B832" t="s">
        <v>2712</v>
      </c>
      <c r="C832" t="s">
        <v>57</v>
      </c>
      <c r="N832">
        <v>0</v>
      </c>
      <c r="O832">
        <v>1</v>
      </c>
      <c r="P832">
        <v>0</v>
      </c>
      <c r="R832" s="1">
        <v>46034.625150462962</v>
      </c>
    </row>
    <row r="833" spans="1:18" x14ac:dyDescent="0.2">
      <c r="A833">
        <v>832</v>
      </c>
      <c r="B833" t="s">
        <v>2713</v>
      </c>
      <c r="C833" t="s">
        <v>57</v>
      </c>
      <c r="N833">
        <v>0</v>
      </c>
      <c r="O833">
        <v>1</v>
      </c>
      <c r="P833">
        <v>0</v>
      </c>
      <c r="R833" s="1">
        <v>46034.625150462962</v>
      </c>
    </row>
    <row r="834" spans="1:18" x14ac:dyDescent="0.2">
      <c r="A834">
        <v>833</v>
      </c>
      <c r="B834" t="s">
        <v>2714</v>
      </c>
      <c r="C834" t="s">
        <v>57</v>
      </c>
      <c r="N834">
        <v>0</v>
      </c>
      <c r="O834">
        <v>1</v>
      </c>
      <c r="P834">
        <v>0</v>
      </c>
      <c r="R834" s="1">
        <v>46034.625150462962</v>
      </c>
    </row>
    <row r="835" spans="1:18" x14ac:dyDescent="0.2">
      <c r="A835">
        <v>834</v>
      </c>
      <c r="B835" t="s">
        <v>2715</v>
      </c>
      <c r="C835" t="s">
        <v>57</v>
      </c>
      <c r="N835">
        <v>0</v>
      </c>
      <c r="O835">
        <v>1</v>
      </c>
      <c r="P835">
        <v>0</v>
      </c>
      <c r="R835" s="1">
        <v>46034.625150462962</v>
      </c>
    </row>
    <row r="836" spans="1:18" x14ac:dyDescent="0.2">
      <c r="A836">
        <v>835</v>
      </c>
      <c r="B836" t="s">
        <v>2716</v>
      </c>
      <c r="C836" t="s">
        <v>57</v>
      </c>
      <c r="N836">
        <v>0</v>
      </c>
      <c r="O836">
        <v>1</v>
      </c>
      <c r="P836">
        <v>0</v>
      </c>
      <c r="R836" s="1">
        <v>46034.625150462962</v>
      </c>
    </row>
    <row r="837" spans="1:18" x14ac:dyDescent="0.2">
      <c r="A837">
        <v>836</v>
      </c>
      <c r="B837" t="s">
        <v>2717</v>
      </c>
      <c r="C837" t="s">
        <v>57</v>
      </c>
      <c r="N837">
        <v>0</v>
      </c>
      <c r="O837">
        <v>1</v>
      </c>
      <c r="P837">
        <v>0</v>
      </c>
      <c r="R837" s="1">
        <v>46034.625150462962</v>
      </c>
    </row>
    <row r="838" spans="1:18" x14ac:dyDescent="0.2">
      <c r="A838">
        <v>837</v>
      </c>
      <c r="B838" t="s">
        <v>2718</v>
      </c>
      <c r="C838" t="s">
        <v>57</v>
      </c>
      <c r="N838">
        <v>0</v>
      </c>
      <c r="O838">
        <v>1</v>
      </c>
      <c r="P838">
        <v>0</v>
      </c>
      <c r="R838" s="1">
        <v>46034.625150462962</v>
      </c>
    </row>
    <row r="839" spans="1:18" x14ac:dyDescent="0.2">
      <c r="A839">
        <v>838</v>
      </c>
      <c r="B839" t="s">
        <v>2719</v>
      </c>
      <c r="C839" t="s">
        <v>57</v>
      </c>
      <c r="N839">
        <v>0</v>
      </c>
      <c r="O839">
        <v>1</v>
      </c>
      <c r="P839">
        <v>0</v>
      </c>
      <c r="R839" s="1">
        <v>46034.625150462962</v>
      </c>
    </row>
    <row r="840" spans="1:18" x14ac:dyDescent="0.2">
      <c r="A840">
        <v>839</v>
      </c>
      <c r="B840" t="s">
        <v>2720</v>
      </c>
      <c r="C840" t="s">
        <v>57</v>
      </c>
      <c r="N840">
        <v>0</v>
      </c>
      <c r="O840">
        <v>1</v>
      </c>
      <c r="P840">
        <v>0</v>
      </c>
      <c r="R840" s="1">
        <v>46034.625150462962</v>
      </c>
    </row>
    <row r="841" spans="1:18" x14ac:dyDescent="0.2">
      <c r="A841">
        <v>840</v>
      </c>
      <c r="B841" t="s">
        <v>2721</v>
      </c>
      <c r="C841" t="s">
        <v>57</v>
      </c>
      <c r="N841">
        <v>0</v>
      </c>
      <c r="O841">
        <v>1</v>
      </c>
      <c r="P841">
        <v>0</v>
      </c>
      <c r="R841" s="1">
        <v>46034.625150462962</v>
      </c>
    </row>
    <row r="842" spans="1:18" x14ac:dyDescent="0.2">
      <c r="A842">
        <v>841</v>
      </c>
    </row>
    <row r="843" spans="1:18" x14ac:dyDescent="0.2">
      <c r="A843" t="s">
        <v>2722</v>
      </c>
      <c r="B843" t="s">
        <v>57</v>
      </c>
      <c r="M843">
        <v>0</v>
      </c>
      <c r="N843">
        <v>1</v>
      </c>
      <c r="O843">
        <v>0</v>
      </c>
      <c r="Q843" s="1">
        <v>46034.625150462962</v>
      </c>
    </row>
    <row r="844" spans="1:18" x14ac:dyDescent="0.2">
      <c r="A844">
        <v>842</v>
      </c>
      <c r="B844" t="s">
        <v>2723</v>
      </c>
      <c r="C844" t="s">
        <v>57</v>
      </c>
      <c r="N844">
        <v>0</v>
      </c>
      <c r="O844">
        <v>1</v>
      </c>
      <c r="P844">
        <v>0</v>
      </c>
      <c r="R844" s="1">
        <v>46034.625150462962</v>
      </c>
    </row>
    <row r="845" spans="1:18" x14ac:dyDescent="0.2">
      <c r="A845">
        <v>843</v>
      </c>
      <c r="B845" t="s">
        <v>2724</v>
      </c>
      <c r="C845" t="s">
        <v>57</v>
      </c>
      <c r="N845">
        <v>0</v>
      </c>
      <c r="O845">
        <v>1</v>
      </c>
      <c r="P845">
        <v>0</v>
      </c>
      <c r="R845" s="1">
        <v>46034.625150462962</v>
      </c>
    </row>
    <row r="846" spans="1:18" x14ac:dyDescent="0.2">
      <c r="A846">
        <v>844</v>
      </c>
      <c r="B846" t="s">
        <v>2725</v>
      </c>
      <c r="C846" t="s">
        <v>57</v>
      </c>
      <c r="N846">
        <v>0</v>
      </c>
      <c r="O846">
        <v>1</v>
      </c>
      <c r="P846">
        <v>0</v>
      </c>
      <c r="R846" s="1">
        <v>46034.625150462962</v>
      </c>
    </row>
    <row r="847" spans="1:18" x14ac:dyDescent="0.2">
      <c r="A847">
        <v>845</v>
      </c>
      <c r="B847" t="s">
        <v>2726</v>
      </c>
      <c r="C847" t="s">
        <v>57</v>
      </c>
      <c r="N847">
        <v>0</v>
      </c>
      <c r="O847">
        <v>1</v>
      </c>
      <c r="P847">
        <v>0</v>
      </c>
      <c r="R847" s="1">
        <v>46034.625150462962</v>
      </c>
    </row>
    <row r="848" spans="1:18" x14ac:dyDescent="0.2">
      <c r="A848">
        <v>846</v>
      </c>
      <c r="B848" t="s">
        <v>2727</v>
      </c>
      <c r="C848" t="s">
        <v>57</v>
      </c>
      <c r="N848">
        <v>0</v>
      </c>
      <c r="O848">
        <v>1</v>
      </c>
      <c r="P848">
        <v>0</v>
      </c>
      <c r="R848" s="1">
        <v>46034.625150462962</v>
      </c>
    </row>
    <row r="849" spans="1:18" x14ac:dyDescent="0.2">
      <c r="A849">
        <v>847</v>
      </c>
      <c r="B849" t="s">
        <v>2728</v>
      </c>
      <c r="C849" t="s">
        <v>57</v>
      </c>
      <c r="N849">
        <v>0</v>
      </c>
      <c r="O849">
        <v>1</v>
      </c>
      <c r="P849">
        <v>0</v>
      </c>
      <c r="R849" s="1">
        <v>46034.625150462962</v>
      </c>
    </row>
    <row r="850" spans="1:18" x14ac:dyDescent="0.2">
      <c r="A850">
        <v>848</v>
      </c>
      <c r="B850" t="s">
        <v>2729</v>
      </c>
      <c r="C850" t="s">
        <v>57</v>
      </c>
      <c r="N850">
        <v>0</v>
      </c>
      <c r="O850">
        <v>1</v>
      </c>
      <c r="P850">
        <v>0</v>
      </c>
      <c r="R850" s="1">
        <v>46034.625150462962</v>
      </c>
    </row>
    <row r="851" spans="1:18" x14ac:dyDescent="0.2">
      <c r="A851">
        <v>849</v>
      </c>
      <c r="B851" t="s">
        <v>2730</v>
      </c>
      <c r="C851" t="s">
        <v>57</v>
      </c>
      <c r="N851">
        <v>0</v>
      </c>
      <c r="O851">
        <v>1</v>
      </c>
      <c r="P851">
        <v>0</v>
      </c>
      <c r="R851" s="1">
        <v>46034.625150462962</v>
      </c>
    </row>
    <row r="852" spans="1:18" x14ac:dyDescent="0.2">
      <c r="A852">
        <v>850</v>
      </c>
      <c r="B852" t="s">
        <v>2731</v>
      </c>
      <c r="C852" t="s">
        <v>57</v>
      </c>
      <c r="N852">
        <v>0</v>
      </c>
      <c r="O852">
        <v>1</v>
      </c>
      <c r="P852">
        <v>0</v>
      </c>
      <c r="R852" s="1">
        <v>46034.625150462962</v>
      </c>
    </row>
    <row r="853" spans="1:18" x14ac:dyDescent="0.2">
      <c r="A853">
        <v>851</v>
      </c>
      <c r="B853" t="s">
        <v>2732</v>
      </c>
      <c r="C853" t="s">
        <v>57</v>
      </c>
      <c r="N853">
        <v>0</v>
      </c>
      <c r="O853">
        <v>1</v>
      </c>
      <c r="P853">
        <v>0</v>
      </c>
      <c r="R853" s="1">
        <v>46034.625150462962</v>
      </c>
    </row>
    <row r="854" spans="1:18" x14ac:dyDescent="0.2">
      <c r="A854">
        <v>852</v>
      </c>
      <c r="B854" t="s">
        <v>2733</v>
      </c>
      <c r="C854" t="s">
        <v>57</v>
      </c>
      <c r="N854">
        <v>0</v>
      </c>
      <c r="O854">
        <v>1</v>
      </c>
      <c r="P854">
        <v>0</v>
      </c>
      <c r="R854" s="1">
        <v>46034.625150462962</v>
      </c>
    </row>
    <row r="855" spans="1:18" x14ac:dyDescent="0.2">
      <c r="A855">
        <v>853</v>
      </c>
      <c r="B855" t="s">
        <v>2734</v>
      </c>
      <c r="C855" t="s">
        <v>57</v>
      </c>
      <c r="N855">
        <v>0</v>
      </c>
      <c r="O855">
        <v>1</v>
      </c>
      <c r="P855">
        <v>0</v>
      </c>
      <c r="R855" s="1">
        <v>46034.625150462962</v>
      </c>
    </row>
    <row r="856" spans="1:18" x14ac:dyDescent="0.2">
      <c r="A856">
        <v>854</v>
      </c>
      <c r="B856" t="s">
        <v>2735</v>
      </c>
      <c r="C856" t="s">
        <v>57</v>
      </c>
      <c r="N856">
        <v>0</v>
      </c>
      <c r="O856">
        <v>1</v>
      </c>
      <c r="P856">
        <v>0</v>
      </c>
      <c r="R856" s="1">
        <v>46034.625150462962</v>
      </c>
    </row>
    <row r="857" spans="1:18" x14ac:dyDescent="0.2">
      <c r="A857">
        <v>855</v>
      </c>
      <c r="B857" t="s">
        <v>2736</v>
      </c>
      <c r="C857" t="s">
        <v>57</v>
      </c>
      <c r="N857">
        <v>0</v>
      </c>
      <c r="O857">
        <v>1</v>
      </c>
      <c r="P857">
        <v>0</v>
      </c>
      <c r="R857" s="1">
        <v>46034.625150462962</v>
      </c>
    </row>
    <row r="858" spans="1:18" x14ac:dyDescent="0.2">
      <c r="A858">
        <v>856</v>
      </c>
      <c r="B858" t="s">
        <v>2737</v>
      </c>
      <c r="C858" t="s">
        <v>57</v>
      </c>
      <c r="N858">
        <v>0</v>
      </c>
      <c r="O858">
        <v>1</v>
      </c>
      <c r="P858">
        <v>0</v>
      </c>
      <c r="R858" s="1">
        <v>46034.625150462962</v>
      </c>
    </row>
    <row r="859" spans="1:18" x14ac:dyDescent="0.2">
      <c r="A859">
        <v>857</v>
      </c>
      <c r="B859" t="s">
        <v>2738</v>
      </c>
      <c r="C859" t="s">
        <v>57</v>
      </c>
      <c r="N859">
        <v>0</v>
      </c>
      <c r="O859">
        <v>1</v>
      </c>
      <c r="P859">
        <v>0</v>
      </c>
      <c r="R859" s="1">
        <v>46034.625150462962</v>
      </c>
    </row>
    <row r="860" spans="1:18" x14ac:dyDescent="0.2">
      <c r="A860">
        <v>858</v>
      </c>
      <c r="B860" t="s">
        <v>2654</v>
      </c>
      <c r="C860" t="s">
        <v>57</v>
      </c>
      <c r="N860">
        <v>0</v>
      </c>
      <c r="O860">
        <v>1</v>
      </c>
      <c r="P860">
        <v>0</v>
      </c>
      <c r="R860" s="1">
        <v>46034.625150462962</v>
      </c>
    </row>
    <row r="861" spans="1:18" x14ac:dyDescent="0.2">
      <c r="A861">
        <v>859</v>
      </c>
      <c r="B861" t="s">
        <v>2654</v>
      </c>
      <c r="C861" t="s">
        <v>57</v>
      </c>
      <c r="N861">
        <v>0</v>
      </c>
      <c r="O861">
        <v>1</v>
      </c>
      <c r="P861">
        <v>0</v>
      </c>
      <c r="R861" s="1">
        <v>46034.625150462962</v>
      </c>
    </row>
    <row r="862" spans="1:18" x14ac:dyDescent="0.2">
      <c r="A862">
        <v>860</v>
      </c>
      <c r="B862" t="s">
        <v>2654</v>
      </c>
      <c r="C862" t="s">
        <v>57</v>
      </c>
      <c r="N862">
        <v>0</v>
      </c>
      <c r="O862">
        <v>1</v>
      </c>
      <c r="P862">
        <v>0</v>
      </c>
      <c r="R862" s="1">
        <v>46034.625150462962</v>
      </c>
    </row>
    <row r="863" spans="1:18" x14ac:dyDescent="0.2">
      <c r="A863">
        <v>861</v>
      </c>
      <c r="B863" t="s">
        <v>2654</v>
      </c>
      <c r="C863" t="s">
        <v>57</v>
      </c>
      <c r="N863">
        <v>0</v>
      </c>
      <c r="O863">
        <v>1</v>
      </c>
      <c r="P863">
        <v>0</v>
      </c>
      <c r="R863" s="1">
        <v>46034.625150462962</v>
      </c>
    </row>
    <row r="864" spans="1:18" x14ac:dyDescent="0.2">
      <c r="A864">
        <v>862</v>
      </c>
      <c r="B864" t="s">
        <v>2654</v>
      </c>
      <c r="C864" t="s">
        <v>57</v>
      </c>
      <c r="N864">
        <v>0</v>
      </c>
      <c r="O864">
        <v>1</v>
      </c>
      <c r="P864">
        <v>0</v>
      </c>
      <c r="R864" s="1">
        <v>46034.625150462962</v>
      </c>
    </row>
    <row r="865" spans="1:18" x14ac:dyDescent="0.2">
      <c r="A865">
        <v>863</v>
      </c>
      <c r="B865" t="s">
        <v>2654</v>
      </c>
      <c r="C865" t="s">
        <v>57</v>
      </c>
      <c r="N865">
        <v>0</v>
      </c>
      <c r="O865">
        <v>1</v>
      </c>
      <c r="P865">
        <v>0</v>
      </c>
      <c r="R865" s="1">
        <v>46034.625150462962</v>
      </c>
    </row>
    <row r="866" spans="1:18" x14ac:dyDescent="0.2">
      <c r="A866">
        <v>864</v>
      </c>
      <c r="B866" t="s">
        <v>2654</v>
      </c>
      <c r="C866" t="s">
        <v>57</v>
      </c>
      <c r="N866">
        <v>0</v>
      </c>
      <c r="O866">
        <v>1</v>
      </c>
      <c r="P866">
        <v>0</v>
      </c>
      <c r="R866" s="1">
        <v>46034.625150462962</v>
      </c>
    </row>
    <row r="867" spans="1:18" x14ac:dyDescent="0.2">
      <c r="A867">
        <v>865</v>
      </c>
      <c r="B867" t="s">
        <v>2654</v>
      </c>
      <c r="C867" t="s">
        <v>57</v>
      </c>
      <c r="N867">
        <v>0</v>
      </c>
      <c r="O867">
        <v>1</v>
      </c>
      <c r="P867">
        <v>0</v>
      </c>
      <c r="R867" s="1">
        <v>46034.625150462962</v>
      </c>
    </row>
    <row r="868" spans="1:18" x14ac:dyDescent="0.2">
      <c r="A868">
        <v>866</v>
      </c>
      <c r="B868" t="s">
        <v>2654</v>
      </c>
      <c r="C868" t="s">
        <v>57</v>
      </c>
      <c r="N868">
        <v>0</v>
      </c>
      <c r="O868">
        <v>1</v>
      </c>
      <c r="P868">
        <v>0</v>
      </c>
      <c r="R868" s="1">
        <v>46034.625150462962</v>
      </c>
    </row>
    <row r="869" spans="1:18" x14ac:dyDescent="0.2">
      <c r="A869">
        <v>867</v>
      </c>
      <c r="B869" t="s">
        <v>2654</v>
      </c>
      <c r="C869" t="s">
        <v>57</v>
      </c>
      <c r="N869">
        <v>0</v>
      </c>
      <c r="O869">
        <v>1</v>
      </c>
      <c r="P869">
        <v>0</v>
      </c>
      <c r="R869" s="1">
        <v>46034.625150462962</v>
      </c>
    </row>
    <row r="870" spans="1:18" x14ac:dyDescent="0.2">
      <c r="A870">
        <v>868</v>
      </c>
      <c r="B870" t="s">
        <v>2654</v>
      </c>
      <c r="C870" t="s">
        <v>57</v>
      </c>
      <c r="N870">
        <v>0</v>
      </c>
      <c r="O870">
        <v>1</v>
      </c>
      <c r="P870">
        <v>0</v>
      </c>
      <c r="R870" s="1">
        <v>46034.625150462962</v>
      </c>
    </row>
    <row r="871" spans="1:18" x14ac:dyDescent="0.2">
      <c r="A871">
        <v>869</v>
      </c>
      <c r="B871" t="s">
        <v>2654</v>
      </c>
      <c r="C871" t="s">
        <v>57</v>
      </c>
      <c r="N871">
        <v>0</v>
      </c>
      <c r="O871">
        <v>1</v>
      </c>
      <c r="P871">
        <v>0</v>
      </c>
      <c r="R871" s="1">
        <v>46034.625150462962</v>
      </c>
    </row>
    <row r="872" spans="1:18" x14ac:dyDescent="0.2">
      <c r="A872">
        <v>870</v>
      </c>
      <c r="B872" t="s">
        <v>2654</v>
      </c>
      <c r="C872" t="s">
        <v>57</v>
      </c>
      <c r="N872">
        <v>0</v>
      </c>
      <c r="O872">
        <v>1</v>
      </c>
      <c r="P872">
        <v>0</v>
      </c>
      <c r="R872" s="1">
        <v>46034.625150462962</v>
      </c>
    </row>
    <row r="873" spans="1:18" x14ac:dyDescent="0.2">
      <c r="A873">
        <v>871</v>
      </c>
      <c r="B873" t="s">
        <v>2654</v>
      </c>
      <c r="C873" t="s">
        <v>57</v>
      </c>
      <c r="N873">
        <v>0</v>
      </c>
      <c r="O873">
        <v>1</v>
      </c>
      <c r="P873">
        <v>0</v>
      </c>
      <c r="R873" s="1">
        <v>46034.625150462962</v>
      </c>
    </row>
    <row r="874" spans="1:18" x14ac:dyDescent="0.2">
      <c r="A874">
        <v>872</v>
      </c>
      <c r="B874" t="s">
        <v>2654</v>
      </c>
      <c r="C874" t="s">
        <v>57</v>
      </c>
      <c r="N874">
        <v>0</v>
      </c>
      <c r="O874">
        <v>1</v>
      </c>
      <c r="P874">
        <v>0</v>
      </c>
      <c r="R874" s="1">
        <v>46034.625150462962</v>
      </c>
    </row>
    <row r="875" spans="1:18" x14ac:dyDescent="0.2">
      <c r="A875">
        <v>873</v>
      </c>
      <c r="B875" t="s">
        <v>2654</v>
      </c>
      <c r="C875" t="s">
        <v>57</v>
      </c>
      <c r="N875">
        <v>0</v>
      </c>
      <c r="O875">
        <v>1</v>
      </c>
      <c r="P875">
        <v>0</v>
      </c>
      <c r="R875" s="1">
        <v>46034.625150462962</v>
      </c>
    </row>
    <row r="876" spans="1:18" x14ac:dyDescent="0.2">
      <c r="A876">
        <v>874</v>
      </c>
      <c r="B876" t="s">
        <v>2654</v>
      </c>
      <c r="C876" t="s">
        <v>57</v>
      </c>
      <c r="N876">
        <v>0</v>
      </c>
      <c r="O876">
        <v>1</v>
      </c>
      <c r="P876">
        <v>0</v>
      </c>
      <c r="R876" s="1">
        <v>46034.625150462962</v>
      </c>
    </row>
    <row r="877" spans="1:18" x14ac:dyDescent="0.2">
      <c r="A877">
        <v>875</v>
      </c>
      <c r="B877" t="s">
        <v>2654</v>
      </c>
      <c r="C877" t="s">
        <v>57</v>
      </c>
      <c r="N877">
        <v>0</v>
      </c>
      <c r="O877">
        <v>1</v>
      </c>
      <c r="P877">
        <v>0</v>
      </c>
      <c r="R877" s="1">
        <v>46034.625150462962</v>
      </c>
    </row>
    <row r="878" spans="1:18" x14ac:dyDescent="0.2">
      <c r="A878">
        <v>876</v>
      </c>
      <c r="B878" t="s">
        <v>2654</v>
      </c>
      <c r="C878" t="s">
        <v>57</v>
      </c>
      <c r="N878">
        <v>0</v>
      </c>
      <c r="O878">
        <v>1</v>
      </c>
      <c r="P878">
        <v>0</v>
      </c>
      <c r="R878" s="1">
        <v>46034.625150462962</v>
      </c>
    </row>
    <row r="879" spans="1:18" x14ac:dyDescent="0.2">
      <c r="A879">
        <v>877</v>
      </c>
      <c r="B879" t="s">
        <v>2654</v>
      </c>
      <c r="C879" t="s">
        <v>57</v>
      </c>
      <c r="N879">
        <v>0</v>
      </c>
      <c r="O879">
        <v>1</v>
      </c>
      <c r="P879">
        <v>0</v>
      </c>
      <c r="R879" s="1">
        <v>46034.625150462962</v>
      </c>
    </row>
    <row r="880" spans="1:18" x14ac:dyDescent="0.2">
      <c r="A880">
        <v>878</v>
      </c>
      <c r="B880" t="s">
        <v>2654</v>
      </c>
      <c r="C880" t="s">
        <v>57</v>
      </c>
      <c r="N880">
        <v>0</v>
      </c>
      <c r="O880">
        <v>1</v>
      </c>
      <c r="P880">
        <v>0</v>
      </c>
      <c r="R880" s="1">
        <v>46034.625150462962</v>
      </c>
    </row>
    <row r="881" spans="1:18" x14ac:dyDescent="0.2">
      <c r="A881">
        <v>879</v>
      </c>
      <c r="B881" t="s">
        <v>2654</v>
      </c>
      <c r="C881" t="s">
        <v>57</v>
      </c>
      <c r="N881">
        <v>0</v>
      </c>
      <c r="O881">
        <v>1</v>
      </c>
      <c r="P881">
        <v>0</v>
      </c>
      <c r="R881" s="1">
        <v>46034.625150462962</v>
      </c>
    </row>
    <row r="882" spans="1:18" x14ac:dyDescent="0.2">
      <c r="A882">
        <v>880</v>
      </c>
      <c r="B882" t="s">
        <v>2654</v>
      </c>
      <c r="C882" t="s">
        <v>57</v>
      </c>
      <c r="N882">
        <v>0</v>
      </c>
      <c r="O882">
        <v>1</v>
      </c>
      <c r="P882">
        <v>0</v>
      </c>
      <c r="R882" s="1">
        <v>46034.625150462962</v>
      </c>
    </row>
    <row r="883" spans="1:18" x14ac:dyDescent="0.2">
      <c r="A883">
        <v>881</v>
      </c>
      <c r="B883" t="s">
        <v>2654</v>
      </c>
      <c r="C883" t="s">
        <v>57</v>
      </c>
      <c r="N883">
        <v>0</v>
      </c>
      <c r="O883">
        <v>1</v>
      </c>
      <c r="P883">
        <v>0</v>
      </c>
      <c r="R883" s="1">
        <v>46034.625150462962</v>
      </c>
    </row>
    <row r="884" spans="1:18" x14ac:dyDescent="0.2">
      <c r="A884">
        <v>882</v>
      </c>
      <c r="B884" t="s">
        <v>2654</v>
      </c>
      <c r="C884" t="s">
        <v>57</v>
      </c>
      <c r="N884">
        <v>0</v>
      </c>
      <c r="O884">
        <v>1</v>
      </c>
      <c r="P884">
        <v>0</v>
      </c>
      <c r="R884" s="1">
        <v>46034.625150462962</v>
      </c>
    </row>
    <row r="885" spans="1:18" x14ac:dyDescent="0.2">
      <c r="A885">
        <v>883</v>
      </c>
      <c r="B885" t="s">
        <v>2654</v>
      </c>
      <c r="C885" t="s">
        <v>57</v>
      </c>
      <c r="N885">
        <v>0</v>
      </c>
      <c r="O885">
        <v>1</v>
      </c>
      <c r="P885">
        <v>0</v>
      </c>
      <c r="R885" s="1">
        <v>46034.625150462962</v>
      </c>
    </row>
    <row r="886" spans="1:18" x14ac:dyDescent="0.2">
      <c r="A886">
        <v>884</v>
      </c>
      <c r="B886" t="s">
        <v>2654</v>
      </c>
      <c r="C886" t="s">
        <v>57</v>
      </c>
      <c r="N886">
        <v>0</v>
      </c>
      <c r="O886">
        <v>1</v>
      </c>
      <c r="P886">
        <v>0</v>
      </c>
      <c r="R886" s="1">
        <v>46034.625150462962</v>
      </c>
    </row>
    <row r="887" spans="1:18" x14ac:dyDescent="0.2">
      <c r="A887">
        <v>885</v>
      </c>
      <c r="B887" t="s">
        <v>2654</v>
      </c>
      <c r="C887" t="s">
        <v>57</v>
      </c>
      <c r="N887">
        <v>0</v>
      </c>
      <c r="O887">
        <v>1</v>
      </c>
      <c r="P887">
        <v>0</v>
      </c>
      <c r="R887" s="1">
        <v>46034.625150462962</v>
      </c>
    </row>
    <row r="888" spans="1:18" x14ac:dyDescent="0.2">
      <c r="A888">
        <v>886</v>
      </c>
      <c r="B888" t="s">
        <v>2654</v>
      </c>
      <c r="C888" t="s">
        <v>57</v>
      </c>
      <c r="N888">
        <v>0</v>
      </c>
      <c r="O888">
        <v>1</v>
      </c>
      <c r="P888">
        <v>0</v>
      </c>
      <c r="R888" s="1">
        <v>46034.625150462962</v>
      </c>
    </row>
    <row r="889" spans="1:18" x14ac:dyDescent="0.2">
      <c r="A889">
        <v>887</v>
      </c>
      <c r="B889" t="s">
        <v>2654</v>
      </c>
      <c r="C889" t="s">
        <v>57</v>
      </c>
      <c r="N889">
        <v>0</v>
      </c>
      <c r="O889">
        <v>1</v>
      </c>
      <c r="P889">
        <v>0</v>
      </c>
      <c r="R889" s="1">
        <v>46034.625150462962</v>
      </c>
    </row>
    <row r="890" spans="1:18" x14ac:dyDescent="0.2">
      <c r="A890">
        <v>888</v>
      </c>
      <c r="B890" t="s">
        <v>2654</v>
      </c>
      <c r="C890" t="s">
        <v>57</v>
      </c>
      <c r="N890">
        <v>0</v>
      </c>
      <c r="O890">
        <v>1</v>
      </c>
      <c r="P890">
        <v>0</v>
      </c>
      <c r="R890" s="1">
        <v>46034.625150462962</v>
      </c>
    </row>
    <row r="891" spans="1:18" x14ac:dyDescent="0.2">
      <c r="A891">
        <v>889</v>
      </c>
      <c r="B891" t="s">
        <v>2654</v>
      </c>
      <c r="C891" t="s">
        <v>57</v>
      </c>
      <c r="N891">
        <v>0</v>
      </c>
      <c r="O891">
        <v>1</v>
      </c>
      <c r="P891">
        <v>0</v>
      </c>
      <c r="R891" s="1">
        <v>46034.625150462962</v>
      </c>
    </row>
    <row r="892" spans="1:18" x14ac:dyDescent="0.2">
      <c r="A892">
        <v>890</v>
      </c>
      <c r="B892" t="s">
        <v>2654</v>
      </c>
      <c r="C892" t="s">
        <v>57</v>
      </c>
      <c r="N892">
        <v>0</v>
      </c>
      <c r="O892">
        <v>1</v>
      </c>
      <c r="P892">
        <v>0</v>
      </c>
      <c r="R892" s="1">
        <v>46034.625150462962</v>
      </c>
    </row>
    <row r="893" spans="1:18" x14ac:dyDescent="0.2">
      <c r="A893">
        <v>891</v>
      </c>
      <c r="B893" t="s">
        <v>2654</v>
      </c>
      <c r="C893" t="s">
        <v>57</v>
      </c>
      <c r="N893">
        <v>0</v>
      </c>
      <c r="O893">
        <v>1</v>
      </c>
      <c r="P893">
        <v>0</v>
      </c>
      <c r="R893" s="1">
        <v>46034.625150462962</v>
      </c>
    </row>
    <row r="894" spans="1:18" x14ac:dyDescent="0.2">
      <c r="A894">
        <v>892</v>
      </c>
      <c r="B894" t="s">
        <v>2654</v>
      </c>
      <c r="C894" t="s">
        <v>57</v>
      </c>
      <c r="N894">
        <v>0</v>
      </c>
      <c r="O894">
        <v>1</v>
      </c>
      <c r="P894">
        <v>0</v>
      </c>
      <c r="R894" s="1">
        <v>46034.625150462962</v>
      </c>
    </row>
    <row r="895" spans="1:18" x14ac:dyDescent="0.2">
      <c r="A895">
        <v>893</v>
      </c>
      <c r="B895" t="s">
        <v>2654</v>
      </c>
      <c r="C895" t="s">
        <v>57</v>
      </c>
      <c r="N895">
        <v>0</v>
      </c>
      <c r="O895">
        <v>1</v>
      </c>
      <c r="P895">
        <v>0</v>
      </c>
      <c r="R895" s="1">
        <v>46034.625150462962</v>
      </c>
    </row>
    <row r="896" spans="1:18" x14ac:dyDescent="0.2">
      <c r="A896">
        <v>894</v>
      </c>
      <c r="B896" t="s">
        <v>2654</v>
      </c>
      <c r="C896" t="s">
        <v>57</v>
      </c>
      <c r="N896">
        <v>0</v>
      </c>
      <c r="O896">
        <v>1</v>
      </c>
      <c r="P896">
        <v>0</v>
      </c>
      <c r="R896" s="1">
        <v>46034.625150462962</v>
      </c>
    </row>
    <row r="897" spans="1:18" x14ac:dyDescent="0.2">
      <c r="A897">
        <v>895</v>
      </c>
      <c r="B897" t="s">
        <v>2654</v>
      </c>
      <c r="C897" t="s">
        <v>57</v>
      </c>
      <c r="N897">
        <v>0</v>
      </c>
      <c r="O897">
        <v>1</v>
      </c>
      <c r="P897">
        <v>0</v>
      </c>
      <c r="R897" s="1">
        <v>46034.625150462962</v>
      </c>
    </row>
    <row r="898" spans="1:18" x14ac:dyDescent="0.2">
      <c r="A898">
        <v>896</v>
      </c>
      <c r="B898" t="s">
        <v>2654</v>
      </c>
      <c r="C898" t="s">
        <v>57</v>
      </c>
      <c r="N898">
        <v>0</v>
      </c>
      <c r="O898">
        <v>1</v>
      </c>
      <c r="P898">
        <v>0</v>
      </c>
      <c r="R898" s="1">
        <v>46034.625150462962</v>
      </c>
    </row>
    <row r="899" spans="1:18" x14ac:dyDescent="0.2">
      <c r="A899">
        <v>897</v>
      </c>
      <c r="B899" t="s">
        <v>2654</v>
      </c>
      <c r="C899" t="s">
        <v>57</v>
      </c>
      <c r="N899">
        <v>0</v>
      </c>
      <c r="O899">
        <v>1</v>
      </c>
      <c r="P899">
        <v>0</v>
      </c>
      <c r="R899" s="1">
        <v>46034.625150462962</v>
      </c>
    </row>
    <row r="900" spans="1:18" x14ac:dyDescent="0.2">
      <c r="A900">
        <v>898</v>
      </c>
      <c r="B900" t="s">
        <v>2654</v>
      </c>
      <c r="C900" t="s">
        <v>57</v>
      </c>
      <c r="N900">
        <v>0</v>
      </c>
      <c r="O900">
        <v>1</v>
      </c>
      <c r="P900">
        <v>0</v>
      </c>
      <c r="R900" s="1">
        <v>46034.625150462962</v>
      </c>
    </row>
    <row r="901" spans="1:18" x14ac:dyDescent="0.2">
      <c r="A901">
        <v>899</v>
      </c>
      <c r="B901" t="s">
        <v>2654</v>
      </c>
      <c r="C901" t="s">
        <v>57</v>
      </c>
      <c r="N901">
        <v>0</v>
      </c>
      <c r="O901">
        <v>1</v>
      </c>
      <c r="P901">
        <v>0</v>
      </c>
      <c r="R901" s="1">
        <v>46034.625150462962</v>
      </c>
    </row>
    <row r="902" spans="1:18" x14ac:dyDescent="0.2">
      <c r="A902">
        <v>900</v>
      </c>
      <c r="B902" t="s">
        <v>2654</v>
      </c>
      <c r="C902" t="s">
        <v>57</v>
      </c>
      <c r="N902">
        <v>0</v>
      </c>
      <c r="O902">
        <v>1</v>
      </c>
      <c r="P902">
        <v>0</v>
      </c>
      <c r="R902" s="1">
        <v>46034.625150462962</v>
      </c>
    </row>
    <row r="903" spans="1:18" x14ac:dyDescent="0.2">
      <c r="A903">
        <v>901</v>
      </c>
      <c r="B903" t="s">
        <v>2654</v>
      </c>
      <c r="C903" t="s">
        <v>57</v>
      </c>
      <c r="N903">
        <v>0</v>
      </c>
      <c r="O903">
        <v>1</v>
      </c>
      <c r="P903">
        <v>0</v>
      </c>
      <c r="R903" s="1">
        <v>46034.625150462962</v>
      </c>
    </row>
    <row r="904" spans="1:18" x14ac:dyDescent="0.2">
      <c r="A904">
        <v>902</v>
      </c>
      <c r="B904" t="s">
        <v>2654</v>
      </c>
      <c r="C904" t="s">
        <v>57</v>
      </c>
      <c r="N904">
        <v>0</v>
      </c>
      <c r="O904">
        <v>1</v>
      </c>
      <c r="P904">
        <v>0</v>
      </c>
      <c r="R904" s="1">
        <v>46034.625150462962</v>
      </c>
    </row>
    <row r="905" spans="1:18" x14ac:dyDescent="0.2">
      <c r="A905">
        <v>903</v>
      </c>
      <c r="B905" t="s">
        <v>2654</v>
      </c>
      <c r="C905" t="s">
        <v>57</v>
      </c>
      <c r="N905">
        <v>0</v>
      </c>
      <c r="O905">
        <v>1</v>
      </c>
      <c r="P905">
        <v>0</v>
      </c>
      <c r="R905" s="1">
        <v>46034.625150462962</v>
      </c>
    </row>
    <row r="906" spans="1:18" x14ac:dyDescent="0.2">
      <c r="A906">
        <v>904</v>
      </c>
      <c r="B906" t="s">
        <v>2654</v>
      </c>
      <c r="C906" t="s">
        <v>57</v>
      </c>
      <c r="N906">
        <v>0</v>
      </c>
      <c r="O906">
        <v>1</v>
      </c>
      <c r="P906">
        <v>0</v>
      </c>
      <c r="R906" s="1">
        <v>46034.625150462962</v>
      </c>
    </row>
    <row r="907" spans="1:18" x14ac:dyDescent="0.2">
      <c r="A907">
        <v>905</v>
      </c>
      <c r="B907" t="s">
        <v>2654</v>
      </c>
      <c r="C907" t="s">
        <v>57</v>
      </c>
      <c r="N907">
        <v>0</v>
      </c>
      <c r="O907">
        <v>1</v>
      </c>
      <c r="P907">
        <v>0</v>
      </c>
      <c r="R907" s="1">
        <v>46034.625150462962</v>
      </c>
    </row>
    <row r="908" spans="1:18" x14ac:dyDescent="0.2">
      <c r="A908">
        <v>906</v>
      </c>
      <c r="B908" t="s">
        <v>2654</v>
      </c>
      <c r="C908" t="s">
        <v>57</v>
      </c>
      <c r="N908">
        <v>0</v>
      </c>
      <c r="O908">
        <v>1</v>
      </c>
      <c r="P908">
        <v>0</v>
      </c>
      <c r="R908" s="1">
        <v>46034.625150462962</v>
      </c>
    </row>
    <row r="909" spans="1:18" x14ac:dyDescent="0.2">
      <c r="A909">
        <v>907</v>
      </c>
      <c r="B909" t="s">
        <v>2654</v>
      </c>
      <c r="C909" t="s">
        <v>57</v>
      </c>
      <c r="N909">
        <v>0</v>
      </c>
      <c r="O909">
        <v>1</v>
      </c>
      <c r="P909">
        <v>0</v>
      </c>
      <c r="R909" s="1">
        <v>46034.625150462962</v>
      </c>
    </row>
    <row r="910" spans="1:18" x14ac:dyDescent="0.2">
      <c r="A910">
        <v>908</v>
      </c>
      <c r="B910" t="s">
        <v>2654</v>
      </c>
      <c r="C910" t="s">
        <v>57</v>
      </c>
      <c r="N910">
        <v>0</v>
      </c>
      <c r="O910">
        <v>1</v>
      </c>
      <c r="P910">
        <v>0</v>
      </c>
      <c r="R910" s="1">
        <v>46034.625150462962</v>
      </c>
    </row>
    <row r="911" spans="1:18" x14ac:dyDescent="0.2">
      <c r="A911">
        <v>909</v>
      </c>
      <c r="B911" t="s">
        <v>2654</v>
      </c>
      <c r="C911" t="s">
        <v>57</v>
      </c>
      <c r="N911">
        <v>0</v>
      </c>
      <c r="O911">
        <v>1</v>
      </c>
      <c r="P911">
        <v>0</v>
      </c>
      <c r="R911" s="1">
        <v>46034.625150462962</v>
      </c>
    </row>
    <row r="912" spans="1:18" x14ac:dyDescent="0.2">
      <c r="A912">
        <v>910</v>
      </c>
      <c r="B912" t="s">
        <v>2654</v>
      </c>
      <c r="C912" t="s">
        <v>57</v>
      </c>
      <c r="N912">
        <v>0</v>
      </c>
      <c r="O912">
        <v>1</v>
      </c>
      <c r="P912">
        <v>0</v>
      </c>
      <c r="R912" s="1">
        <v>46034.625150462962</v>
      </c>
    </row>
    <row r="913" spans="1:18" x14ac:dyDescent="0.2">
      <c r="A913">
        <v>911</v>
      </c>
      <c r="B913" t="s">
        <v>2654</v>
      </c>
      <c r="C913" t="s">
        <v>57</v>
      </c>
      <c r="N913">
        <v>0</v>
      </c>
      <c r="O913">
        <v>1</v>
      </c>
      <c r="P913">
        <v>0</v>
      </c>
      <c r="R913" s="1">
        <v>46034.625150462962</v>
      </c>
    </row>
    <row r="914" spans="1:18" x14ac:dyDescent="0.2">
      <c r="A914">
        <v>912</v>
      </c>
      <c r="B914" t="s">
        <v>2739</v>
      </c>
      <c r="C914" t="s">
        <v>57</v>
      </c>
      <c r="N914">
        <v>0</v>
      </c>
      <c r="O914">
        <v>1</v>
      </c>
      <c r="P914">
        <v>0</v>
      </c>
      <c r="R914" s="1">
        <v>46034.625150462962</v>
      </c>
    </row>
    <row r="915" spans="1:18" x14ac:dyDescent="0.2">
      <c r="A915">
        <v>913</v>
      </c>
      <c r="B915" t="s">
        <v>2654</v>
      </c>
      <c r="C915" t="s">
        <v>57</v>
      </c>
      <c r="N915">
        <v>0</v>
      </c>
      <c r="O915">
        <v>1</v>
      </c>
      <c r="P915">
        <v>0</v>
      </c>
      <c r="R915" s="1">
        <v>46034.625150462962</v>
      </c>
    </row>
    <row r="916" spans="1:18" x14ac:dyDescent="0.2">
      <c r="A916">
        <v>914</v>
      </c>
      <c r="B916" t="s">
        <v>2740</v>
      </c>
      <c r="C916" t="s">
        <v>57</v>
      </c>
      <c r="N916">
        <v>0</v>
      </c>
      <c r="O916">
        <v>1</v>
      </c>
      <c r="P916">
        <v>0</v>
      </c>
      <c r="R916" s="1">
        <v>46034.625150462962</v>
      </c>
    </row>
    <row r="917" spans="1:18" x14ac:dyDescent="0.2">
      <c r="A917">
        <v>915</v>
      </c>
      <c r="B917" t="s">
        <v>2654</v>
      </c>
      <c r="C917" t="s">
        <v>57</v>
      </c>
      <c r="N917">
        <v>0</v>
      </c>
      <c r="O917">
        <v>1</v>
      </c>
      <c r="P917">
        <v>0</v>
      </c>
      <c r="R917" s="1">
        <v>46034.625150462962</v>
      </c>
    </row>
    <row r="918" spans="1:18" x14ac:dyDescent="0.2">
      <c r="A918">
        <v>916</v>
      </c>
      <c r="B918" t="s">
        <v>2654</v>
      </c>
      <c r="C918" t="s">
        <v>57</v>
      </c>
      <c r="N918">
        <v>0</v>
      </c>
      <c r="O918">
        <v>1</v>
      </c>
      <c r="P918">
        <v>0</v>
      </c>
      <c r="R918" s="1">
        <v>46034.625150462962</v>
      </c>
    </row>
    <row r="919" spans="1:18" x14ac:dyDescent="0.2">
      <c r="A919">
        <v>917</v>
      </c>
      <c r="B919" t="s">
        <v>2654</v>
      </c>
      <c r="C919" t="s">
        <v>57</v>
      </c>
      <c r="N919">
        <v>0</v>
      </c>
      <c r="O919">
        <v>1</v>
      </c>
      <c r="P919">
        <v>0</v>
      </c>
      <c r="R919" s="1">
        <v>46034.625150462962</v>
      </c>
    </row>
    <row r="920" spans="1:18" x14ac:dyDescent="0.2">
      <c r="A920">
        <v>918</v>
      </c>
      <c r="B920" t="s">
        <v>2654</v>
      </c>
      <c r="C920" t="s">
        <v>57</v>
      </c>
      <c r="N920">
        <v>0</v>
      </c>
      <c r="O920">
        <v>1</v>
      </c>
      <c r="P920">
        <v>0</v>
      </c>
      <c r="R920" s="1">
        <v>46034.625150462962</v>
      </c>
    </row>
    <row r="921" spans="1:18" x14ac:dyDescent="0.2">
      <c r="A921">
        <v>919</v>
      </c>
      <c r="B921" t="s">
        <v>2654</v>
      </c>
      <c r="C921" t="s">
        <v>57</v>
      </c>
      <c r="N921">
        <v>0</v>
      </c>
      <c r="O921">
        <v>1</v>
      </c>
      <c r="P921">
        <v>0</v>
      </c>
      <c r="R921" s="1">
        <v>46034.625150462962</v>
      </c>
    </row>
    <row r="922" spans="1:18" x14ac:dyDescent="0.2">
      <c r="A922">
        <v>920</v>
      </c>
      <c r="B922" t="s">
        <v>2654</v>
      </c>
      <c r="C922" t="s">
        <v>57</v>
      </c>
      <c r="N922">
        <v>0</v>
      </c>
      <c r="O922">
        <v>1</v>
      </c>
      <c r="P922">
        <v>0</v>
      </c>
      <c r="R922" s="1">
        <v>46034.625150462962</v>
      </c>
    </row>
    <row r="923" spans="1:18" x14ac:dyDescent="0.2">
      <c r="A923">
        <v>921</v>
      </c>
      <c r="B923" t="s">
        <v>2654</v>
      </c>
      <c r="C923" t="s">
        <v>57</v>
      </c>
      <c r="N923">
        <v>0</v>
      </c>
      <c r="O923">
        <v>1</v>
      </c>
      <c r="P923">
        <v>0</v>
      </c>
      <c r="R923" s="1">
        <v>46034.625150462962</v>
      </c>
    </row>
    <row r="924" spans="1:18" x14ac:dyDescent="0.2">
      <c r="A924">
        <v>922</v>
      </c>
      <c r="B924" t="s">
        <v>2654</v>
      </c>
      <c r="C924" t="s">
        <v>57</v>
      </c>
      <c r="N924">
        <v>0</v>
      </c>
      <c r="O924">
        <v>1</v>
      </c>
      <c r="P924">
        <v>0</v>
      </c>
      <c r="R924" s="1">
        <v>46034.625150462962</v>
      </c>
    </row>
    <row r="925" spans="1:18" x14ac:dyDescent="0.2">
      <c r="A925">
        <v>923</v>
      </c>
      <c r="B925" t="s">
        <v>2654</v>
      </c>
      <c r="C925" t="s">
        <v>57</v>
      </c>
      <c r="N925">
        <v>0</v>
      </c>
      <c r="O925">
        <v>1</v>
      </c>
      <c r="P925">
        <v>0</v>
      </c>
      <c r="R925" s="1">
        <v>46034.625150462962</v>
      </c>
    </row>
    <row r="926" spans="1:18" x14ac:dyDescent="0.2">
      <c r="A926">
        <v>924</v>
      </c>
      <c r="B926" t="s">
        <v>2654</v>
      </c>
      <c r="C926" t="s">
        <v>57</v>
      </c>
      <c r="N926">
        <v>0</v>
      </c>
      <c r="O926">
        <v>1</v>
      </c>
      <c r="P926">
        <v>0</v>
      </c>
      <c r="R926" s="1">
        <v>46034.625150462962</v>
      </c>
    </row>
    <row r="927" spans="1:18" x14ac:dyDescent="0.2">
      <c r="A927">
        <v>925</v>
      </c>
      <c r="B927" t="s">
        <v>2654</v>
      </c>
      <c r="C927" t="s">
        <v>57</v>
      </c>
      <c r="N927">
        <v>0</v>
      </c>
      <c r="O927">
        <v>1</v>
      </c>
      <c r="P927">
        <v>0</v>
      </c>
      <c r="R927" s="1">
        <v>46034.625150462962</v>
      </c>
    </row>
    <row r="928" spans="1:18" x14ac:dyDescent="0.2">
      <c r="A928">
        <v>926</v>
      </c>
      <c r="B928" t="s">
        <v>2654</v>
      </c>
      <c r="C928" t="s">
        <v>57</v>
      </c>
      <c r="N928">
        <v>0</v>
      </c>
      <c r="O928">
        <v>1</v>
      </c>
      <c r="P928">
        <v>0</v>
      </c>
      <c r="R928" s="1">
        <v>46034.625150462962</v>
      </c>
    </row>
    <row r="929" spans="1:18" x14ac:dyDescent="0.2">
      <c r="A929">
        <v>927</v>
      </c>
      <c r="B929" t="s">
        <v>2654</v>
      </c>
      <c r="C929" t="s">
        <v>57</v>
      </c>
      <c r="N929">
        <v>0</v>
      </c>
      <c r="O929">
        <v>1</v>
      </c>
      <c r="P929">
        <v>0</v>
      </c>
      <c r="R929" s="1">
        <v>46034.625150462962</v>
      </c>
    </row>
    <row r="930" spans="1:18" x14ac:dyDescent="0.2">
      <c r="A930">
        <v>928</v>
      </c>
      <c r="B930" t="s">
        <v>2654</v>
      </c>
      <c r="C930" t="s">
        <v>57</v>
      </c>
      <c r="N930">
        <v>0</v>
      </c>
      <c r="O930">
        <v>1</v>
      </c>
      <c r="P930">
        <v>0</v>
      </c>
      <c r="R930" s="1">
        <v>46034.625150462962</v>
      </c>
    </row>
    <row r="931" spans="1:18" x14ac:dyDescent="0.2">
      <c r="A931">
        <v>929</v>
      </c>
      <c r="B931" t="s">
        <v>2654</v>
      </c>
      <c r="C931" t="s">
        <v>57</v>
      </c>
      <c r="N931">
        <v>0</v>
      </c>
      <c r="O931">
        <v>1</v>
      </c>
      <c r="P931">
        <v>0</v>
      </c>
      <c r="R931" s="1">
        <v>46034.625150462962</v>
      </c>
    </row>
    <row r="932" spans="1:18" x14ac:dyDescent="0.2">
      <c r="A932">
        <v>930</v>
      </c>
      <c r="B932" t="s">
        <v>2654</v>
      </c>
      <c r="C932" t="s">
        <v>57</v>
      </c>
      <c r="N932">
        <v>0</v>
      </c>
      <c r="O932">
        <v>1</v>
      </c>
      <c r="P932">
        <v>0</v>
      </c>
      <c r="R932" s="1">
        <v>46034.625150462962</v>
      </c>
    </row>
    <row r="933" spans="1:18" x14ac:dyDescent="0.2">
      <c r="A933">
        <v>931</v>
      </c>
      <c r="B933" t="s">
        <v>2654</v>
      </c>
      <c r="C933" t="s">
        <v>57</v>
      </c>
      <c r="N933">
        <v>0</v>
      </c>
      <c r="O933">
        <v>1</v>
      </c>
      <c r="P933">
        <v>0</v>
      </c>
      <c r="R933" s="1">
        <v>46034.625150462962</v>
      </c>
    </row>
    <row r="934" spans="1:18" x14ac:dyDescent="0.2">
      <c r="A934">
        <v>932</v>
      </c>
      <c r="B934" t="s">
        <v>2654</v>
      </c>
      <c r="C934" t="s">
        <v>57</v>
      </c>
      <c r="N934">
        <v>0</v>
      </c>
      <c r="O934">
        <v>1</v>
      </c>
      <c r="P934">
        <v>0</v>
      </c>
      <c r="R934" s="1">
        <v>46034.625150462962</v>
      </c>
    </row>
    <row r="935" spans="1:18" x14ac:dyDescent="0.2">
      <c r="A935">
        <v>933</v>
      </c>
      <c r="B935" t="s">
        <v>2654</v>
      </c>
      <c r="C935" t="s">
        <v>57</v>
      </c>
      <c r="N935">
        <v>0</v>
      </c>
      <c r="O935">
        <v>1</v>
      </c>
      <c r="P935">
        <v>0</v>
      </c>
      <c r="R935" s="1">
        <v>46034.625150462962</v>
      </c>
    </row>
    <row r="936" spans="1:18" x14ac:dyDescent="0.2">
      <c r="A936">
        <v>934</v>
      </c>
      <c r="B936" t="s">
        <v>2654</v>
      </c>
      <c r="C936" t="s">
        <v>57</v>
      </c>
      <c r="N936">
        <v>0</v>
      </c>
      <c r="O936">
        <v>1</v>
      </c>
      <c r="P936">
        <v>0</v>
      </c>
      <c r="R936" s="1">
        <v>46034.625150462962</v>
      </c>
    </row>
    <row r="937" spans="1:18" x14ac:dyDescent="0.2">
      <c r="A937">
        <v>935</v>
      </c>
      <c r="B937" t="s">
        <v>2654</v>
      </c>
      <c r="C937" t="s">
        <v>57</v>
      </c>
      <c r="N937">
        <v>0</v>
      </c>
      <c r="O937">
        <v>1</v>
      </c>
      <c r="P937">
        <v>0</v>
      </c>
      <c r="R937" s="1">
        <v>46034.625150462962</v>
      </c>
    </row>
    <row r="938" spans="1:18" x14ac:dyDescent="0.2">
      <c r="A938">
        <v>936</v>
      </c>
      <c r="B938" t="s">
        <v>2654</v>
      </c>
      <c r="C938" t="s">
        <v>57</v>
      </c>
      <c r="N938">
        <v>0</v>
      </c>
      <c r="O938">
        <v>1</v>
      </c>
      <c r="P938">
        <v>0</v>
      </c>
      <c r="R938" s="1">
        <v>46034.625150462962</v>
      </c>
    </row>
    <row r="939" spans="1:18" x14ac:dyDescent="0.2">
      <c r="A939">
        <v>937</v>
      </c>
      <c r="B939" t="s">
        <v>2654</v>
      </c>
      <c r="C939" t="s">
        <v>57</v>
      </c>
      <c r="N939">
        <v>0</v>
      </c>
      <c r="O939">
        <v>1</v>
      </c>
      <c r="P939">
        <v>0</v>
      </c>
      <c r="R939" s="1">
        <v>46034.625150462962</v>
      </c>
    </row>
    <row r="940" spans="1:18" x14ac:dyDescent="0.2">
      <c r="A940">
        <v>938</v>
      </c>
      <c r="B940" t="s">
        <v>2654</v>
      </c>
      <c r="C940" t="s">
        <v>57</v>
      </c>
      <c r="N940">
        <v>0</v>
      </c>
      <c r="O940">
        <v>1</v>
      </c>
      <c r="P940">
        <v>0</v>
      </c>
      <c r="R940" s="1">
        <v>46034.625150462962</v>
      </c>
    </row>
    <row r="941" spans="1:18" x14ac:dyDescent="0.2">
      <c r="A941">
        <v>939</v>
      </c>
      <c r="B941" t="s">
        <v>2654</v>
      </c>
      <c r="C941" t="s">
        <v>57</v>
      </c>
      <c r="N941">
        <v>0</v>
      </c>
      <c r="O941">
        <v>1</v>
      </c>
      <c r="P941">
        <v>0</v>
      </c>
      <c r="R941" s="1">
        <v>46034.625150462962</v>
      </c>
    </row>
    <row r="942" spans="1:18" x14ac:dyDescent="0.2">
      <c r="A942">
        <v>940</v>
      </c>
      <c r="B942" t="s">
        <v>2654</v>
      </c>
      <c r="C942" t="s">
        <v>57</v>
      </c>
      <c r="N942">
        <v>0</v>
      </c>
      <c r="O942">
        <v>1</v>
      </c>
      <c r="P942">
        <v>0</v>
      </c>
      <c r="R942" s="1">
        <v>46034.625150462962</v>
      </c>
    </row>
    <row r="943" spans="1:18" x14ac:dyDescent="0.2">
      <c r="A943">
        <v>941</v>
      </c>
      <c r="B943" t="s">
        <v>2654</v>
      </c>
      <c r="C943" t="s">
        <v>57</v>
      </c>
      <c r="N943">
        <v>0</v>
      </c>
      <c r="O943">
        <v>1</v>
      </c>
      <c r="P943">
        <v>0</v>
      </c>
      <c r="R943" s="1">
        <v>46034.625150462962</v>
      </c>
    </row>
    <row r="944" spans="1:18" x14ac:dyDescent="0.2">
      <c r="A944">
        <v>942</v>
      </c>
      <c r="B944" t="s">
        <v>2654</v>
      </c>
      <c r="C944" t="s">
        <v>57</v>
      </c>
      <c r="N944">
        <v>0</v>
      </c>
      <c r="O944">
        <v>1</v>
      </c>
      <c r="P944">
        <v>0</v>
      </c>
      <c r="R944" s="1">
        <v>46034.625150462962</v>
      </c>
    </row>
    <row r="945" spans="1:18" x14ac:dyDescent="0.2">
      <c r="A945">
        <v>943</v>
      </c>
      <c r="B945" t="s">
        <v>2654</v>
      </c>
      <c r="C945" t="s">
        <v>57</v>
      </c>
      <c r="N945">
        <v>0</v>
      </c>
      <c r="O945">
        <v>1</v>
      </c>
      <c r="P945">
        <v>0</v>
      </c>
      <c r="R945" s="1">
        <v>46034.625150462962</v>
      </c>
    </row>
    <row r="946" spans="1:18" x14ac:dyDescent="0.2">
      <c r="A946">
        <v>944</v>
      </c>
      <c r="B946" t="s">
        <v>2654</v>
      </c>
      <c r="C946" t="s">
        <v>57</v>
      </c>
      <c r="N946">
        <v>0</v>
      </c>
      <c r="O946">
        <v>1</v>
      </c>
      <c r="P946">
        <v>0</v>
      </c>
      <c r="R946" s="1">
        <v>46034.625150462962</v>
      </c>
    </row>
    <row r="947" spans="1:18" x14ac:dyDescent="0.2">
      <c r="A947">
        <v>945</v>
      </c>
      <c r="B947" t="s">
        <v>2654</v>
      </c>
      <c r="C947" t="s">
        <v>57</v>
      </c>
      <c r="N947">
        <v>0</v>
      </c>
      <c r="O947">
        <v>1</v>
      </c>
      <c r="P947">
        <v>0</v>
      </c>
      <c r="R947" s="1">
        <v>46034.625150462962</v>
      </c>
    </row>
    <row r="948" spans="1:18" x14ac:dyDescent="0.2">
      <c r="A948">
        <v>946</v>
      </c>
      <c r="B948" t="s">
        <v>2654</v>
      </c>
      <c r="C948" t="s">
        <v>57</v>
      </c>
      <c r="N948">
        <v>0</v>
      </c>
      <c r="O948">
        <v>1</v>
      </c>
      <c r="P948">
        <v>0</v>
      </c>
      <c r="R948" s="1">
        <v>46034.625150462962</v>
      </c>
    </row>
    <row r="949" spans="1:18" x14ac:dyDescent="0.2">
      <c r="A949">
        <v>947</v>
      </c>
      <c r="B949" t="s">
        <v>2654</v>
      </c>
      <c r="C949" t="s">
        <v>57</v>
      </c>
      <c r="N949">
        <v>0</v>
      </c>
      <c r="O949">
        <v>1</v>
      </c>
      <c r="P949">
        <v>0</v>
      </c>
      <c r="R949" s="1">
        <v>46034.625150462962</v>
      </c>
    </row>
    <row r="950" spans="1:18" x14ac:dyDescent="0.2">
      <c r="A950">
        <v>948</v>
      </c>
      <c r="B950" t="s">
        <v>2654</v>
      </c>
      <c r="C950" t="s">
        <v>57</v>
      </c>
      <c r="N950">
        <v>0</v>
      </c>
      <c r="O950">
        <v>1</v>
      </c>
      <c r="P950">
        <v>0</v>
      </c>
      <c r="R950" s="1">
        <v>46034.625150462962</v>
      </c>
    </row>
    <row r="951" spans="1:18" x14ac:dyDescent="0.2">
      <c r="A951">
        <v>949</v>
      </c>
      <c r="B951" t="s">
        <v>2654</v>
      </c>
      <c r="C951" t="s">
        <v>57</v>
      </c>
      <c r="N951">
        <v>0</v>
      </c>
      <c r="O951">
        <v>1</v>
      </c>
      <c r="P951">
        <v>0</v>
      </c>
      <c r="R951" s="1">
        <v>46034.625150462962</v>
      </c>
    </row>
    <row r="952" spans="1:18" x14ac:dyDescent="0.2">
      <c r="A952">
        <v>950</v>
      </c>
      <c r="B952" t="s">
        <v>2654</v>
      </c>
      <c r="C952" t="s">
        <v>57</v>
      </c>
      <c r="N952">
        <v>0</v>
      </c>
      <c r="O952">
        <v>1</v>
      </c>
      <c r="P952">
        <v>0</v>
      </c>
      <c r="R952" s="1">
        <v>46034.625150462962</v>
      </c>
    </row>
    <row r="953" spans="1:18" x14ac:dyDescent="0.2">
      <c r="A953">
        <v>951</v>
      </c>
      <c r="B953" t="s">
        <v>2654</v>
      </c>
      <c r="C953" t="s">
        <v>57</v>
      </c>
      <c r="N953">
        <v>0</v>
      </c>
      <c r="O953">
        <v>1</v>
      </c>
      <c r="P953">
        <v>0</v>
      </c>
      <c r="R953" s="1">
        <v>46034.625150462962</v>
      </c>
    </row>
    <row r="954" spans="1:18" x14ac:dyDescent="0.2">
      <c r="A954">
        <v>952</v>
      </c>
      <c r="B954" t="s">
        <v>2741</v>
      </c>
      <c r="C954" t="s">
        <v>57</v>
      </c>
      <c r="D954" t="s">
        <v>2741</v>
      </c>
      <c r="E954" t="s">
        <v>2742</v>
      </c>
      <c r="F954" t="s">
        <v>2743</v>
      </c>
      <c r="M954" t="s">
        <v>2744</v>
      </c>
      <c r="N954">
        <v>0</v>
      </c>
      <c r="O954">
        <v>1</v>
      </c>
      <c r="P954">
        <v>0</v>
      </c>
      <c r="R954" s="1">
        <v>46034.625150462962</v>
      </c>
    </row>
    <row r="955" spans="1:18" x14ac:dyDescent="0.2">
      <c r="A955">
        <v>953</v>
      </c>
      <c r="B955" t="s">
        <v>2745</v>
      </c>
      <c r="C955" t="s">
        <v>57</v>
      </c>
      <c r="D955" t="s">
        <v>2746</v>
      </c>
      <c r="E955" t="s">
        <v>2747</v>
      </c>
      <c r="F955" t="s">
        <v>2748</v>
      </c>
      <c r="M955" t="s">
        <v>2749</v>
      </c>
      <c r="N955">
        <v>0</v>
      </c>
      <c r="O955">
        <v>1</v>
      </c>
      <c r="P955">
        <v>0</v>
      </c>
      <c r="R955" s="1">
        <v>46034.625150462962</v>
      </c>
    </row>
    <row r="956" spans="1:18" x14ac:dyDescent="0.2">
      <c r="A956">
        <v>954</v>
      </c>
      <c r="B956" t="s">
        <v>2750</v>
      </c>
      <c r="C956" t="s">
        <v>57</v>
      </c>
      <c r="D956" t="s">
        <v>2751</v>
      </c>
      <c r="E956" t="s">
        <v>2752</v>
      </c>
      <c r="F956" t="s">
        <v>2753</v>
      </c>
      <c r="M956" t="s">
        <v>2754</v>
      </c>
      <c r="N956">
        <v>0</v>
      </c>
      <c r="O956">
        <v>1</v>
      </c>
      <c r="P956">
        <v>0</v>
      </c>
      <c r="R956" s="1">
        <v>46034.625150462962</v>
      </c>
    </row>
    <row r="957" spans="1:18" x14ac:dyDescent="0.2">
      <c r="A957">
        <v>955</v>
      </c>
      <c r="B957" t="s">
        <v>2755</v>
      </c>
      <c r="C957" t="s">
        <v>57</v>
      </c>
      <c r="D957" t="s">
        <v>2756</v>
      </c>
      <c r="E957" t="s">
        <v>2757</v>
      </c>
      <c r="F957" t="s">
        <v>2758</v>
      </c>
      <c r="M957" t="s">
        <v>2759</v>
      </c>
      <c r="N957">
        <v>0</v>
      </c>
      <c r="O957">
        <v>1</v>
      </c>
      <c r="P957">
        <v>0</v>
      </c>
      <c r="R957" s="1">
        <v>46034.625150462962</v>
      </c>
    </row>
    <row r="958" spans="1:18" x14ac:dyDescent="0.2">
      <c r="A958">
        <v>956</v>
      </c>
      <c r="B958" t="s">
        <v>2760</v>
      </c>
      <c r="C958" t="s">
        <v>57</v>
      </c>
      <c r="D958" t="s">
        <v>2761</v>
      </c>
      <c r="E958" t="s">
        <v>2762</v>
      </c>
      <c r="F958" t="s">
        <v>2763</v>
      </c>
      <c r="M958" t="s">
        <v>2764</v>
      </c>
      <c r="N958">
        <v>0</v>
      </c>
      <c r="O958">
        <v>1</v>
      </c>
      <c r="P958">
        <v>0</v>
      </c>
      <c r="R958" s="1">
        <v>46034.625150462962</v>
      </c>
    </row>
    <row r="959" spans="1:18" x14ac:dyDescent="0.2">
      <c r="A959">
        <v>957</v>
      </c>
      <c r="B959" t="s">
        <v>2765</v>
      </c>
      <c r="C959" t="s">
        <v>57</v>
      </c>
      <c r="D959" t="s">
        <v>2766</v>
      </c>
      <c r="E959" t="s">
        <v>2767</v>
      </c>
      <c r="F959" t="s">
        <v>2768</v>
      </c>
      <c r="M959" t="s">
        <v>2769</v>
      </c>
      <c r="N959">
        <v>0</v>
      </c>
      <c r="O959">
        <v>1</v>
      </c>
      <c r="P959">
        <v>0</v>
      </c>
      <c r="R959" s="1">
        <v>46034.625150462962</v>
      </c>
    </row>
    <row r="960" spans="1:18" x14ac:dyDescent="0.2">
      <c r="A960">
        <v>958</v>
      </c>
      <c r="B960" t="s">
        <v>2770</v>
      </c>
      <c r="C960" t="s">
        <v>57</v>
      </c>
      <c r="D960" t="s">
        <v>2771</v>
      </c>
      <c r="E960" t="s">
        <v>2772</v>
      </c>
      <c r="F960" t="s">
        <v>2773</v>
      </c>
      <c r="M960" t="s">
        <v>2774</v>
      </c>
      <c r="N960">
        <v>0</v>
      </c>
      <c r="O960">
        <v>1</v>
      </c>
      <c r="P960">
        <v>0</v>
      </c>
      <c r="R960" s="1">
        <v>46034.625150462962</v>
      </c>
    </row>
    <row r="961" spans="1:18" x14ac:dyDescent="0.2">
      <c r="A961">
        <v>959</v>
      </c>
      <c r="B961" t="s">
        <v>2775</v>
      </c>
      <c r="C961" t="s">
        <v>57</v>
      </c>
      <c r="D961" t="s">
        <v>2776</v>
      </c>
      <c r="E961" t="s">
        <v>2777</v>
      </c>
      <c r="F961" t="s">
        <v>2778</v>
      </c>
      <c r="M961" t="s">
        <v>2779</v>
      </c>
      <c r="N961">
        <v>0</v>
      </c>
      <c r="O961">
        <v>1</v>
      </c>
      <c r="P961">
        <v>0</v>
      </c>
      <c r="R961" s="1">
        <v>46034.625150462962</v>
      </c>
    </row>
    <row r="962" spans="1:18" x14ac:dyDescent="0.2">
      <c r="A962">
        <v>960</v>
      </c>
      <c r="B962" t="s">
        <v>2780</v>
      </c>
      <c r="C962" t="s">
        <v>57</v>
      </c>
      <c r="D962" t="s">
        <v>2781</v>
      </c>
      <c r="E962" t="s">
        <v>2782</v>
      </c>
      <c r="F962" t="s">
        <v>2783</v>
      </c>
      <c r="M962" t="s">
        <v>2784</v>
      </c>
      <c r="N962">
        <v>0</v>
      </c>
      <c r="O962">
        <v>1</v>
      </c>
      <c r="P962">
        <v>0</v>
      </c>
      <c r="R962" s="1">
        <v>46034.625150462962</v>
      </c>
    </row>
    <row r="963" spans="1:18" x14ac:dyDescent="0.2">
      <c r="A963">
        <v>961</v>
      </c>
      <c r="B963" t="s">
        <v>2785</v>
      </c>
      <c r="C963" t="s">
        <v>57</v>
      </c>
      <c r="D963" t="s">
        <v>2781</v>
      </c>
      <c r="E963" t="s">
        <v>2782</v>
      </c>
      <c r="F963" t="s">
        <v>2783</v>
      </c>
      <c r="M963" t="s">
        <v>2786</v>
      </c>
      <c r="N963">
        <v>0</v>
      </c>
      <c r="O963">
        <v>1</v>
      </c>
      <c r="P963">
        <v>0</v>
      </c>
      <c r="R963" s="1">
        <v>46034.625150462962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0862-7CC5-5F42-99FB-1BE69CAE4FD7}">
  <dimension ref="A1:BI329"/>
  <sheetViews>
    <sheetView topLeftCell="N1" workbookViewId="0">
      <selection activeCell="B3" sqref="B3:B328"/>
    </sheetView>
  </sheetViews>
  <sheetFormatPr baseColWidth="10" defaultColWidth="8.83203125" defaultRowHeight="16" x14ac:dyDescent="0.2"/>
  <cols>
    <col min="1" max="1" width="5" customWidth="1"/>
    <col min="2" max="2" width="5" style="218" customWidth="1"/>
    <col min="3" max="3" width="10.33203125" style="29" customWidth="1"/>
    <col min="4" max="4" width="20.1640625" style="85" customWidth="1"/>
    <col min="6" max="6" width="16.33203125" style="85" customWidth="1"/>
    <col min="7" max="7" width="10.6640625" style="211" bestFit="1" customWidth="1"/>
    <col min="8" max="8" width="12.83203125" style="211" bestFit="1" customWidth="1"/>
    <col min="9" max="9" width="13.5" style="211" customWidth="1"/>
    <col min="10" max="10" width="12.6640625" style="211" customWidth="1"/>
    <col min="11" max="11" width="9.1640625" style="211" customWidth="1"/>
    <col min="12" max="12" width="29.1640625" style="85" bestFit="1" customWidth="1"/>
    <col min="13" max="13" width="20" style="212" customWidth="1"/>
    <col min="14" max="14" width="23.5" style="212" bestFit="1" customWidth="1"/>
    <col min="15" max="15" width="25.83203125" style="85" bestFit="1" customWidth="1"/>
    <col min="16" max="16" width="13" bestFit="1" customWidth="1"/>
    <col min="17" max="17" width="14.1640625" style="211" customWidth="1"/>
    <col min="18" max="18" width="13.5" style="211" bestFit="1" customWidth="1"/>
    <col min="19" max="19" width="15.6640625" bestFit="1" customWidth="1"/>
    <col min="20" max="20" width="14.5" style="211" bestFit="1" customWidth="1"/>
    <col min="21" max="21" width="11.6640625" customWidth="1"/>
    <col min="22" max="22" width="10.33203125" customWidth="1"/>
    <col min="23" max="23" width="11.5" style="215" customWidth="1"/>
    <col min="24" max="24" width="1.6640625" customWidth="1"/>
    <col min="25" max="27" width="36.83203125" style="211" customWidth="1"/>
    <col min="28" max="28" width="24.1640625" style="85" customWidth="1"/>
    <col min="29" max="29" width="12.5" customWidth="1"/>
    <col min="30" max="30" width="14.5" style="211" customWidth="1"/>
    <col min="31" max="31" width="12.6640625" style="211" bestFit="1" customWidth="1"/>
    <col min="32" max="32" width="15.6640625" bestFit="1" customWidth="1"/>
    <col min="33" max="33" width="15.6640625" customWidth="1"/>
    <col min="34" max="34" width="14.6640625" style="211" customWidth="1"/>
    <col min="35" max="54" width="14.6640625" customWidth="1"/>
    <col min="55" max="58" width="9.1640625" bestFit="1" customWidth="1"/>
    <col min="59" max="59" width="5.6640625" customWidth="1"/>
  </cols>
  <sheetData>
    <row r="1" spans="1:49" ht="23" thickBot="1" x14ac:dyDescent="0.35">
      <c r="A1" s="2" t="s">
        <v>2787</v>
      </c>
      <c r="B1" s="3"/>
      <c r="C1" s="3"/>
      <c r="D1" s="4"/>
      <c r="E1" s="5"/>
      <c r="F1" s="4"/>
      <c r="G1" s="6"/>
      <c r="H1" s="6"/>
      <c r="I1" s="5"/>
      <c r="J1" s="5"/>
      <c r="K1" s="5"/>
      <c r="L1" s="4"/>
      <c r="M1" s="4"/>
      <c r="N1" s="4"/>
      <c r="O1" s="4"/>
      <c r="P1" s="5"/>
      <c r="Q1" s="5"/>
      <c r="R1" s="5"/>
      <c r="S1" s="5"/>
      <c r="T1" s="5"/>
      <c r="U1" s="5"/>
      <c r="V1" s="7"/>
      <c r="W1" s="7"/>
      <c r="X1" s="8"/>
      <c r="Y1" s="9"/>
      <c r="Z1" s="9"/>
      <c r="AA1" s="9"/>
      <c r="AB1" s="10"/>
      <c r="AC1" s="10"/>
      <c r="AD1" s="10"/>
      <c r="AE1" s="10"/>
      <c r="AF1" s="11"/>
      <c r="AG1" s="11"/>
      <c r="AH1" s="12"/>
    </row>
    <row r="2" spans="1:49" s="29" customFormat="1" ht="31.75" customHeight="1" thickBot="1" x14ac:dyDescent="0.25">
      <c r="A2" s="13"/>
      <c r="B2" s="14"/>
      <c r="C2" s="15" t="s">
        <v>2788</v>
      </c>
      <c r="D2" s="16" t="s">
        <v>2789</v>
      </c>
      <c r="E2" s="17" t="s">
        <v>2790</v>
      </c>
      <c r="F2" s="16" t="s">
        <v>2791</v>
      </c>
      <c r="G2" s="18" t="s">
        <v>2792</v>
      </c>
      <c r="H2" s="18" t="s">
        <v>2793</v>
      </c>
      <c r="I2" s="17" t="s">
        <v>2794</v>
      </c>
      <c r="J2" s="18" t="s">
        <v>2795</v>
      </c>
      <c r="K2" s="17" t="s">
        <v>2796</v>
      </c>
      <c r="L2" s="19" t="s">
        <v>2797</v>
      </c>
      <c r="M2" s="19" t="s">
        <v>3671</v>
      </c>
      <c r="N2" s="19" t="s">
        <v>3672</v>
      </c>
      <c r="O2" s="20" t="s">
        <v>2798</v>
      </c>
      <c r="P2" s="17" t="s">
        <v>2799</v>
      </c>
      <c r="Q2" s="18" t="s">
        <v>2800</v>
      </c>
      <c r="R2" s="18" t="s">
        <v>2801</v>
      </c>
      <c r="S2" s="18" t="s">
        <v>2802</v>
      </c>
      <c r="T2" s="18" t="s">
        <v>2803</v>
      </c>
      <c r="U2" s="18" t="s">
        <v>2804</v>
      </c>
      <c r="V2" s="21" t="s">
        <v>2805</v>
      </c>
      <c r="W2" s="22" t="s">
        <v>2806</v>
      </c>
      <c r="X2" s="23"/>
      <c r="Y2" s="24" t="s">
        <v>2807</v>
      </c>
      <c r="Z2" s="220" t="s">
        <v>3671</v>
      </c>
      <c r="AA2" s="220" t="s">
        <v>3672</v>
      </c>
      <c r="AB2" s="20" t="s">
        <v>2808</v>
      </c>
      <c r="AC2" s="18" t="s">
        <v>2809</v>
      </c>
      <c r="AD2" s="18" t="s">
        <v>2810</v>
      </c>
      <c r="AE2" s="18" t="s">
        <v>2811</v>
      </c>
      <c r="AF2" s="25" t="s">
        <v>2812</v>
      </c>
      <c r="AG2" s="17" t="s">
        <v>2794</v>
      </c>
      <c r="AH2" s="18" t="s">
        <v>2795</v>
      </c>
      <c r="AI2" s="26" t="s">
        <v>2813</v>
      </c>
      <c r="AJ2" s="26" t="s">
        <v>2814</v>
      </c>
      <c r="AK2" s="26" t="s">
        <v>2815</v>
      </c>
      <c r="AL2" s="26" t="s">
        <v>2816</v>
      </c>
      <c r="AM2" s="27" t="s">
        <v>2817</v>
      </c>
      <c r="AN2" s="27" t="s">
        <v>2818</v>
      </c>
      <c r="AO2" s="27" t="s">
        <v>2819</v>
      </c>
      <c r="AP2" s="27"/>
      <c r="AQ2" s="28"/>
      <c r="AR2" s="27" t="s">
        <v>2820</v>
      </c>
      <c r="AS2" s="27" t="s">
        <v>2821</v>
      </c>
      <c r="AT2" s="27" t="s">
        <v>2815</v>
      </c>
      <c r="AU2" s="27" t="s">
        <v>2816</v>
      </c>
      <c r="AV2" s="27" t="s">
        <v>2822</v>
      </c>
      <c r="AW2" s="27" t="s">
        <v>2823</v>
      </c>
    </row>
    <row r="3" spans="1:49" s="29" customFormat="1" ht="17" thickBot="1" x14ac:dyDescent="0.25">
      <c r="A3" s="30"/>
      <c r="B3" s="31" t="str">
        <f>_xlfn.XLOOKUP(D3,'[1]Sleutelplan nieuw'!B:B,'[1]Sleutelplan nieuw'!A:A,"",2)</f>
        <v>0388</v>
      </c>
      <c r="C3" s="32" t="s">
        <v>2824</v>
      </c>
      <c r="D3" s="33" t="s">
        <v>2825</v>
      </c>
      <c r="E3" s="34" t="s">
        <v>2826</v>
      </c>
      <c r="F3" s="35" t="s">
        <v>84</v>
      </c>
      <c r="G3" s="36">
        <v>2</v>
      </c>
      <c r="H3" s="36">
        <v>2</v>
      </c>
      <c r="I3" s="37">
        <v>45961</v>
      </c>
      <c r="J3" s="38">
        <v>46112</v>
      </c>
      <c r="K3" s="39"/>
      <c r="L3" s="40" t="s">
        <v>2827</v>
      </c>
      <c r="M3" s="41">
        <f>_xlfn.XLOOKUP(L3,'relaties_export_2026-01-12_1609'!B:B,'relaties_export_2026-01-12_1609'!A:A,"",3)</f>
        <v>23</v>
      </c>
      <c r="N3" s="41" t="str">
        <f>_xlfn.XLOOKUP(M3,'relaties_export_2026-01-12_1609'!A:A,'relaties_export_2026-01-12_1609'!B:B,"",3)</f>
        <v>S. Bakker OPH Verhuur</v>
      </c>
      <c r="O3" s="42"/>
      <c r="P3" s="43">
        <f t="shared" ref="P3:P14" si="0">R3-U3-V3-AD3</f>
        <v>500</v>
      </c>
      <c r="Q3" s="43">
        <f>T3*1.09+U3*1.21</f>
        <v>1986.0000000000002</v>
      </c>
      <c r="R3" s="44">
        <f>T3+U3</f>
        <v>1800</v>
      </c>
      <c r="S3" s="45">
        <f>(R3/G3)/4.33333</f>
        <v>207.69246745574418</v>
      </c>
      <c r="T3" s="44">
        <v>1600</v>
      </c>
      <c r="U3" s="46">
        <v>200</v>
      </c>
      <c r="V3" s="46">
        <v>0</v>
      </c>
      <c r="W3"/>
      <c r="X3" s="23"/>
      <c r="Y3" s="47" t="s">
        <v>2660</v>
      </c>
      <c r="Z3" s="47">
        <f>_xlfn.XLOOKUP(Y3,'relaties_export_2026-01-12_1609'!B:B,'relaties_export_2026-01-12_1609'!A:A,"",3)</f>
        <v>751</v>
      </c>
      <c r="AA3" s="47" t="str">
        <f>_xlfn.XLOOKUP(Z3,'relaties_export_2026-01-12_1609'!A:A,'relaties_export_2026-01-12_1609'!B:B,"",3)</f>
        <v>Orange Invesments Group</v>
      </c>
      <c r="AB3" s="46" t="s">
        <v>2828</v>
      </c>
      <c r="AC3" s="44">
        <v>1100</v>
      </c>
      <c r="AD3" s="48">
        <v>1100</v>
      </c>
      <c r="AE3" s="48">
        <v>1100</v>
      </c>
      <c r="AF3" s="46">
        <f t="shared" ref="AF3:AF66" si="1">(AD3/G3)/4.33333</f>
        <v>126.92317455628812</v>
      </c>
      <c r="AG3" s="49">
        <v>45961</v>
      </c>
      <c r="AH3" s="49">
        <v>46112</v>
      </c>
      <c r="AI3"/>
      <c r="AJ3"/>
      <c r="AK3"/>
      <c r="AL3"/>
    </row>
    <row r="4" spans="1:49" s="29" customFormat="1" ht="17" thickBot="1" x14ac:dyDescent="0.25">
      <c r="A4" s="30">
        <v>1</v>
      </c>
      <c r="B4" s="31" t="str">
        <f>_xlfn.XLOOKUP(D4,'[1]Sleutelplan nieuw'!B:B,'[1]Sleutelplan nieuw'!A:A,"",2)</f>
        <v>0022</v>
      </c>
      <c r="C4" s="32" t="s">
        <v>2824</v>
      </c>
      <c r="D4" s="33" t="s">
        <v>2829</v>
      </c>
      <c r="E4" s="34" t="s">
        <v>2830</v>
      </c>
      <c r="F4" s="35" t="s">
        <v>1303</v>
      </c>
      <c r="G4" s="36">
        <v>8</v>
      </c>
      <c r="H4" s="36">
        <v>4</v>
      </c>
      <c r="I4" s="37">
        <v>44958</v>
      </c>
      <c r="J4" s="38">
        <v>45323</v>
      </c>
      <c r="K4" s="39"/>
      <c r="L4" s="40" t="s">
        <v>2672</v>
      </c>
      <c r="M4" s="41">
        <f>_xlfn.XLOOKUP(L4,'relaties_export_2026-01-12_1609'!B:B,'relaties_export_2026-01-12_1609'!A:A,"",3)</f>
        <v>17</v>
      </c>
      <c r="N4" s="41" t="str">
        <f>_xlfn.XLOOKUP(M4,'relaties_export_2026-01-12_1609'!A:A,'relaties_export_2026-01-12_1609'!B:B,"",3)</f>
        <v>Tradiro Services B.V.</v>
      </c>
      <c r="O4" s="42"/>
      <c r="P4" s="43">
        <f>R4-U4-V4-AD4</f>
        <v>285.55999999999995</v>
      </c>
      <c r="Q4" s="43">
        <f>T4*1.09+U4*1.21</f>
        <v>3194.3104000000003</v>
      </c>
      <c r="R4" s="44">
        <f>T4+U4</f>
        <v>2930.56</v>
      </c>
      <c r="S4" s="45">
        <f>(R4/G4)/4.33333</f>
        <v>84.53544964265356</v>
      </c>
      <c r="T4" s="44">
        <v>2930.56</v>
      </c>
      <c r="U4" s="46">
        <v>0</v>
      </c>
      <c r="V4" s="46">
        <v>0</v>
      </c>
      <c r="W4"/>
      <c r="X4" s="23"/>
      <c r="Y4" s="47" t="s">
        <v>2246</v>
      </c>
      <c r="Z4" s="47">
        <f>_xlfn.XLOOKUP(Y4,'relaties_export_2026-01-12_1609'!B:B,'relaties_export_2026-01-12_1609'!A:A,"",3)</f>
        <v>574</v>
      </c>
      <c r="AA4" s="47" t="str">
        <f>_xlfn.XLOOKUP(Z4,'relaties_export_2026-01-12_1609'!A:A,'relaties_export_2026-01-12_1609'!B:B,"",3)</f>
        <v>Verknocht</v>
      </c>
      <c r="AC4" s="44">
        <v>2645</v>
      </c>
      <c r="AD4" s="48">
        <v>2645</v>
      </c>
      <c r="AE4" s="48">
        <v>2645</v>
      </c>
      <c r="AF4" s="46">
        <f t="shared" si="1"/>
        <v>76.298135613950464</v>
      </c>
      <c r="AG4" s="49">
        <v>44927</v>
      </c>
      <c r="AH4" s="49">
        <v>45292</v>
      </c>
      <c r="AI4"/>
      <c r="AJ4"/>
      <c r="AK4"/>
      <c r="AL4"/>
    </row>
    <row r="5" spans="1:49" s="29" customFormat="1" ht="17" thickBot="1" x14ac:dyDescent="0.25">
      <c r="A5" s="30"/>
      <c r="B5" s="31" t="str">
        <f>_xlfn.XLOOKUP(D5,'[1]Sleutelplan nieuw'!B:B,'[1]Sleutelplan nieuw'!A:A,"",2)</f>
        <v>0148</v>
      </c>
      <c r="C5" s="32" t="s">
        <v>2831</v>
      </c>
      <c r="D5" s="33" t="s">
        <v>2832</v>
      </c>
      <c r="E5" s="34" t="s">
        <v>2833</v>
      </c>
      <c r="F5" s="35" t="s">
        <v>1303</v>
      </c>
      <c r="G5" s="36"/>
      <c r="H5" s="36"/>
      <c r="I5" s="37"/>
      <c r="J5" s="38"/>
      <c r="K5" s="39"/>
      <c r="L5" s="40" t="s">
        <v>2672</v>
      </c>
      <c r="M5" s="41">
        <f>_xlfn.XLOOKUP(L5,'relaties_export_2026-01-12_1609'!B:B,'relaties_export_2026-01-12_1609'!A:A,"",3)</f>
        <v>17</v>
      </c>
      <c r="N5" s="41" t="str">
        <f>_xlfn.XLOOKUP(M5,'relaties_export_2026-01-12_1609'!A:A,'relaties_export_2026-01-12_1609'!B:B,"",3)</f>
        <v>Tradiro Services B.V.</v>
      </c>
      <c r="O5" s="50"/>
      <c r="P5" s="43"/>
      <c r="Q5" s="43"/>
      <c r="R5" s="44"/>
      <c r="S5" s="45"/>
      <c r="T5" s="44"/>
      <c r="U5" s="46"/>
      <c r="V5" s="46"/>
      <c r="W5"/>
      <c r="X5" s="23"/>
      <c r="Y5" s="47" t="s">
        <v>2834</v>
      </c>
      <c r="Z5" s="47">
        <v>306</v>
      </c>
      <c r="AA5" s="47" t="str">
        <f>_xlfn.XLOOKUP(Z5,'relaties_export_2026-01-12_1609'!A:A,'relaties_export_2026-01-12_1609'!B:B,"",3)</f>
        <v>Jacco Maat</v>
      </c>
      <c r="AC5" s="48">
        <v>1570.24</v>
      </c>
      <c r="AD5" s="48">
        <v>1570.24</v>
      </c>
      <c r="AE5" s="48">
        <v>1570.24</v>
      </c>
      <c r="AF5" s="46"/>
      <c r="AG5" s="49"/>
      <c r="AH5" s="49"/>
      <c r="AI5"/>
      <c r="AJ5"/>
      <c r="AK5"/>
      <c r="AL5"/>
    </row>
    <row r="6" spans="1:49" s="29" customFormat="1" ht="17" thickBot="1" x14ac:dyDescent="0.25">
      <c r="A6" s="30"/>
      <c r="B6" s="31" t="str">
        <f>_xlfn.XLOOKUP(D6,'[1]Sleutelplan nieuw'!B:B,'[1]Sleutelplan nieuw'!A:A,"",2)</f>
        <v>0149</v>
      </c>
      <c r="C6" s="32" t="s">
        <v>2831</v>
      </c>
      <c r="D6" s="33" t="s">
        <v>2835</v>
      </c>
      <c r="E6" s="34" t="s">
        <v>2833</v>
      </c>
      <c r="F6" s="35" t="s">
        <v>1303</v>
      </c>
      <c r="G6" s="36"/>
      <c r="H6" s="36"/>
      <c r="I6" s="37"/>
      <c r="J6" s="38"/>
      <c r="K6" s="39"/>
      <c r="L6" s="40" t="s">
        <v>2672</v>
      </c>
      <c r="M6" s="41">
        <f>_xlfn.XLOOKUP(L6,'relaties_export_2026-01-12_1609'!B:B,'relaties_export_2026-01-12_1609'!A:A,"",3)</f>
        <v>17</v>
      </c>
      <c r="N6" s="41" t="str">
        <f>_xlfn.XLOOKUP(M6,'relaties_export_2026-01-12_1609'!A:A,'relaties_export_2026-01-12_1609'!B:B,"",3)</f>
        <v>Tradiro Services B.V.</v>
      </c>
      <c r="O6" s="50"/>
      <c r="P6" s="43"/>
      <c r="Q6" s="43"/>
      <c r="R6" s="44"/>
      <c r="S6" s="45"/>
      <c r="T6" s="44"/>
      <c r="U6" s="46"/>
      <c r="V6" s="46"/>
      <c r="W6"/>
      <c r="X6" s="23"/>
      <c r="Y6" s="47" t="s">
        <v>2834</v>
      </c>
      <c r="Z6" s="47">
        <v>306</v>
      </c>
      <c r="AA6" s="47" t="str">
        <f>_xlfn.XLOOKUP(Z6,'relaties_export_2026-01-12_1609'!A:A,'relaties_export_2026-01-12_1609'!B:B,"",3)</f>
        <v>Jacco Maat</v>
      </c>
      <c r="AC6" s="48">
        <v>1570.24</v>
      </c>
      <c r="AD6" s="48">
        <v>1570.24</v>
      </c>
      <c r="AE6" s="48">
        <v>1570.24</v>
      </c>
      <c r="AF6" s="46"/>
      <c r="AG6" s="49"/>
      <c r="AH6" s="49"/>
      <c r="AI6"/>
      <c r="AJ6"/>
      <c r="AK6"/>
      <c r="AL6"/>
    </row>
    <row r="7" spans="1:49" s="29" customFormat="1" ht="17" thickBot="1" x14ac:dyDescent="0.25">
      <c r="A7" s="30"/>
      <c r="B7" s="31" t="str">
        <f>_xlfn.XLOOKUP(D7,'[1]Sleutelplan nieuw'!B:B,'[1]Sleutelplan nieuw'!A:A,"",2)</f>
        <v>0150</v>
      </c>
      <c r="C7" s="32" t="s">
        <v>2831</v>
      </c>
      <c r="D7" s="33" t="s">
        <v>2836</v>
      </c>
      <c r="E7" s="34" t="s">
        <v>2833</v>
      </c>
      <c r="F7" s="35" t="s">
        <v>1303</v>
      </c>
      <c r="G7" s="36"/>
      <c r="H7" s="36"/>
      <c r="I7" s="37"/>
      <c r="J7" s="38"/>
      <c r="K7" s="39"/>
      <c r="L7" s="40" t="s">
        <v>2672</v>
      </c>
      <c r="M7" s="41">
        <f>_xlfn.XLOOKUP(L7,'relaties_export_2026-01-12_1609'!B:B,'relaties_export_2026-01-12_1609'!A:A,"",3)</f>
        <v>17</v>
      </c>
      <c r="N7" s="41" t="str">
        <f>_xlfn.XLOOKUP(M7,'relaties_export_2026-01-12_1609'!A:A,'relaties_export_2026-01-12_1609'!B:B,"",3)</f>
        <v>Tradiro Services B.V.</v>
      </c>
      <c r="O7" s="50"/>
      <c r="P7" s="43"/>
      <c r="Q7" s="43"/>
      <c r="R7" s="44"/>
      <c r="S7" s="45"/>
      <c r="T7" s="44"/>
      <c r="U7" s="46"/>
      <c r="V7" s="46"/>
      <c r="W7"/>
      <c r="X7" s="23"/>
      <c r="Y7" s="47" t="s">
        <v>2834</v>
      </c>
      <c r="Z7" s="47">
        <v>306</v>
      </c>
      <c r="AA7" s="47" t="str">
        <f>_xlfn.XLOOKUP(Z7,'relaties_export_2026-01-12_1609'!A:A,'relaties_export_2026-01-12_1609'!B:B,"",3)</f>
        <v>Jacco Maat</v>
      </c>
      <c r="AC7" s="48">
        <v>1475.31</v>
      </c>
      <c r="AD7" s="48">
        <v>1475.31</v>
      </c>
      <c r="AE7" s="48">
        <v>1475.31</v>
      </c>
      <c r="AF7" s="46"/>
      <c r="AG7" s="49"/>
      <c r="AH7" s="49"/>
      <c r="AI7"/>
      <c r="AJ7"/>
      <c r="AK7"/>
      <c r="AL7"/>
    </row>
    <row r="8" spans="1:49" s="29" customFormat="1" ht="15" customHeight="1" thickBot="1" x14ac:dyDescent="0.25">
      <c r="A8" s="30">
        <v>3</v>
      </c>
      <c r="B8" s="31" t="str">
        <f>_xlfn.XLOOKUP(D8,'[1]Sleutelplan nieuw'!B:B,'[1]Sleutelplan nieuw'!A:A,"",2)</f>
        <v>0003</v>
      </c>
      <c r="C8" s="51" t="s">
        <v>2824</v>
      </c>
      <c r="D8" s="33" t="s">
        <v>2837</v>
      </c>
      <c r="E8" s="34" t="s">
        <v>2838</v>
      </c>
      <c r="F8" s="35" t="s">
        <v>431</v>
      </c>
      <c r="G8" s="52">
        <v>5</v>
      </c>
      <c r="H8" s="52">
        <v>5</v>
      </c>
      <c r="I8" s="37">
        <v>44991</v>
      </c>
      <c r="J8" s="38">
        <v>45356</v>
      </c>
      <c r="K8" s="53"/>
      <c r="L8" s="54" t="s">
        <v>2839</v>
      </c>
      <c r="M8" s="41">
        <f>_xlfn.XLOOKUP(L8,'relaties_export_2026-01-12_1609'!B:B,'relaties_export_2026-01-12_1609'!A:A,"",3)</f>
        <v>13</v>
      </c>
      <c r="N8" s="41" t="str">
        <f>_xlfn.XLOOKUP(M8,'relaties_export_2026-01-12_1609'!A:A,'relaties_export_2026-01-12_1609'!B:B,"",3)</f>
        <v>United Homes B.V.</v>
      </c>
      <c r="O8" s="50"/>
      <c r="P8" s="43">
        <f t="shared" si="0"/>
        <v>1195.81</v>
      </c>
      <c r="Q8" s="43">
        <f>T8*1.09+U8*1.21</f>
        <v>4164.6829000000007</v>
      </c>
      <c r="R8" s="44">
        <f>T8+U8</f>
        <v>3820.81</v>
      </c>
      <c r="S8" s="43">
        <f t="shared" ref="S8:S26" si="2">(R8/G8)/4.3333</f>
        <v>176.34643343410332</v>
      </c>
      <c r="T8" s="55">
        <v>3820.81</v>
      </c>
      <c r="U8" s="46">
        <v>0</v>
      </c>
      <c r="V8" s="46">
        <v>0</v>
      </c>
      <c r="W8"/>
      <c r="X8" s="23"/>
      <c r="Y8" t="s">
        <v>2670</v>
      </c>
      <c r="Z8" s="47">
        <f>_xlfn.XLOOKUP(Y8,'relaties_export_2026-01-12_1609'!B:B,'relaties_export_2026-01-12_1609'!A:A,"",2)</f>
        <v>789</v>
      </c>
      <c r="AA8" s="47" t="str">
        <f>_xlfn.XLOOKUP(Z8,'relaties_export_2026-01-12_1609'!A:A,'relaties_export_2026-01-12_1609'!B:B,"",3)</f>
        <v>MvB Services BV (Meindert van Buuren)</v>
      </c>
      <c r="AB8" s="46" t="s">
        <v>2840</v>
      </c>
      <c r="AC8" s="46">
        <v>2625</v>
      </c>
      <c r="AD8" s="46">
        <v>2625</v>
      </c>
      <c r="AE8" s="46">
        <v>2625</v>
      </c>
      <c r="AF8" s="46">
        <f t="shared" si="1"/>
        <v>121.15393934918411</v>
      </c>
      <c r="AG8" s="49">
        <v>44986</v>
      </c>
      <c r="AH8" s="49">
        <v>45351</v>
      </c>
      <c r="AI8" s="57"/>
      <c r="AJ8" s="57"/>
      <c r="AK8" s="57"/>
      <c r="AL8" s="57"/>
      <c r="AQ8" s="58"/>
    </row>
    <row r="9" spans="1:49" s="29" customFormat="1" ht="15" customHeight="1" thickBot="1" x14ac:dyDescent="0.25">
      <c r="A9" s="30">
        <v>5</v>
      </c>
      <c r="B9" s="31" t="str">
        <f>_xlfn.XLOOKUP(D9,'[1]Sleutelplan nieuw'!B:B,'[1]Sleutelplan nieuw'!A:A,"",2)</f>
        <v>0190</v>
      </c>
      <c r="C9" s="51" t="s">
        <v>2824</v>
      </c>
      <c r="D9" s="33" t="s">
        <v>2841</v>
      </c>
      <c r="E9" s="34" t="s">
        <v>2842</v>
      </c>
      <c r="F9" s="35" t="s">
        <v>2843</v>
      </c>
      <c r="G9" s="52">
        <v>7</v>
      </c>
      <c r="H9" s="52">
        <v>4</v>
      </c>
      <c r="I9" s="37">
        <v>45241</v>
      </c>
      <c r="J9" s="38">
        <v>45606</v>
      </c>
      <c r="K9" s="53"/>
      <c r="L9" s="54" t="s">
        <v>2844</v>
      </c>
      <c r="M9" s="219">
        <v>145</v>
      </c>
      <c r="N9" s="41" t="str">
        <f>_xlfn.XLOOKUP(M9,'relaties_export_2026-01-12_1609'!A:A,'relaties_export_2026-01-12_1609'!B:B,"",3)</f>
        <v>dockHolland Huisvesting B.V.</v>
      </c>
      <c r="O9" s="50" t="s">
        <v>2845</v>
      </c>
      <c r="P9" s="43">
        <f t="shared" si="0"/>
        <v>370.7800000000002</v>
      </c>
      <c r="Q9" s="43">
        <f t="shared" ref="Q9:Q23" si="3">T9*1.09+U9*1.21</f>
        <v>4543.4534000000003</v>
      </c>
      <c r="R9" s="44">
        <f t="shared" ref="R9:R15" si="4">T9+U9</f>
        <v>4113.26</v>
      </c>
      <c r="S9" s="43">
        <f t="shared" si="2"/>
        <v>135.60302112214052</v>
      </c>
      <c r="T9" s="55">
        <v>3613.26</v>
      </c>
      <c r="U9" s="46">
        <v>500</v>
      </c>
      <c r="V9" s="46">
        <v>0</v>
      </c>
      <c r="W9"/>
      <c r="X9" s="23"/>
      <c r="Y9" t="s">
        <v>2705</v>
      </c>
      <c r="Z9" s="47">
        <f>_xlfn.XLOOKUP(Y9,'relaties_export_2026-01-12_1609'!B:B,'relaties_export_2026-01-12_1609'!A:A,"",2)</f>
        <v>824</v>
      </c>
      <c r="AA9" s="47" t="str">
        <f>_xlfn.XLOOKUP(Z9,'relaties_export_2026-01-12_1609'!A:A,'relaties_export_2026-01-12_1609'!B:B,"",3)</f>
        <v>Vivir wonen (Mendy)</v>
      </c>
      <c r="AB9" s="46" t="s">
        <v>2846</v>
      </c>
      <c r="AC9" s="46">
        <v>3347.48</v>
      </c>
      <c r="AD9" s="46">
        <v>3242.48</v>
      </c>
      <c r="AE9" s="46">
        <v>2742.48</v>
      </c>
      <c r="AF9" s="46">
        <f t="shared" si="1"/>
        <v>106.89502728188913</v>
      </c>
      <c r="AG9" s="49">
        <v>45038</v>
      </c>
      <c r="AH9" s="49">
        <v>45403</v>
      </c>
      <c r="AI9" s="57"/>
      <c r="AJ9" s="57"/>
      <c r="AK9" s="57"/>
      <c r="AL9" s="57"/>
      <c r="AQ9" s="58"/>
    </row>
    <row r="10" spans="1:49" s="29" customFormat="1" ht="17" thickBot="1" x14ac:dyDescent="0.25">
      <c r="A10" s="30">
        <v>6</v>
      </c>
      <c r="B10" s="31" t="str">
        <f>_xlfn.XLOOKUP(D10,'[1]Sleutelplan nieuw'!B:B,'[1]Sleutelplan nieuw'!A:A,"",2)</f>
        <v>0007</v>
      </c>
      <c r="C10" s="32" t="s">
        <v>2831</v>
      </c>
      <c r="D10" s="59" t="s">
        <v>2847</v>
      </c>
      <c r="E10" s="60" t="s">
        <v>2848</v>
      </c>
      <c r="F10" s="50" t="s">
        <v>857</v>
      </c>
      <c r="G10" s="61">
        <v>4</v>
      </c>
      <c r="H10" s="61">
        <v>4</v>
      </c>
      <c r="I10" s="62">
        <v>45765</v>
      </c>
      <c r="J10" s="63">
        <v>46129</v>
      </c>
      <c r="K10" s="53"/>
      <c r="L10" s="54" t="s">
        <v>720</v>
      </c>
      <c r="M10" s="41">
        <f>_xlfn.XLOOKUP(L10,'relaties_export_2026-01-12_1609'!B:B,'relaties_export_2026-01-12_1609'!A:A,"",3)</f>
        <v>154</v>
      </c>
      <c r="N10" s="41" t="str">
        <f>_xlfn.XLOOKUP(M10,'relaties_export_2026-01-12_1609'!A:A,'relaties_export_2026-01-12_1609'!B:B,"",3)</f>
        <v>InAxtion Vastgoed B.V.</v>
      </c>
      <c r="O10" s="50" t="s">
        <v>2845</v>
      </c>
      <c r="P10" s="43">
        <f t="shared" si="0"/>
        <v>550</v>
      </c>
      <c r="Q10" s="43">
        <f t="shared" si="3"/>
        <v>2700.5</v>
      </c>
      <c r="R10" s="44">
        <f t="shared" si="4"/>
        <v>2450</v>
      </c>
      <c r="S10" s="43">
        <f t="shared" si="2"/>
        <v>141.34724113262408</v>
      </c>
      <c r="T10" s="43">
        <v>2200</v>
      </c>
      <c r="U10" s="46">
        <v>250</v>
      </c>
      <c r="V10" s="46">
        <v>0</v>
      </c>
      <c r="W10"/>
      <c r="X10" s="23"/>
      <c r="Y10" s="56" t="s">
        <v>2671</v>
      </c>
      <c r="Z10" s="47">
        <f>_xlfn.XLOOKUP(Y10,'relaties_export_2026-01-12_1609'!B:B,'relaties_export_2026-01-12_1609'!A:A,"",3)</f>
        <v>790</v>
      </c>
      <c r="AA10" s="47" t="str">
        <f>_xlfn.XLOOKUP(Z10,'relaties_export_2026-01-12_1609'!A:A,'relaties_export_2026-01-12_1609'!B:B,"",3)</f>
        <v>Eva Laus</v>
      </c>
      <c r="AB10" s="46" t="s">
        <v>2849</v>
      </c>
      <c r="AC10" s="46">
        <v>1650</v>
      </c>
      <c r="AD10" s="46">
        <v>1650</v>
      </c>
      <c r="AE10" s="46">
        <v>1650</v>
      </c>
      <c r="AF10" s="46">
        <f t="shared" si="1"/>
        <v>95.192380917216084</v>
      </c>
      <c r="AG10" s="49">
        <v>44682</v>
      </c>
      <c r="AH10" s="49">
        <v>45412</v>
      </c>
      <c r="AI10" s="57"/>
      <c r="AJ10" s="57"/>
      <c r="AK10" s="57"/>
      <c r="AL10" s="57"/>
      <c r="AQ10" s="58"/>
    </row>
    <row r="11" spans="1:49" s="29" customFormat="1" ht="17" thickBot="1" x14ac:dyDescent="0.25">
      <c r="A11" s="30">
        <v>7</v>
      </c>
      <c r="B11" s="64" t="s">
        <v>2850</v>
      </c>
      <c r="C11" s="32" t="s">
        <v>2824</v>
      </c>
      <c r="D11" s="59" t="s">
        <v>2851</v>
      </c>
      <c r="E11" s="34" t="s">
        <v>2852</v>
      </c>
      <c r="F11" s="50" t="s">
        <v>2219</v>
      </c>
      <c r="G11" s="61">
        <v>6</v>
      </c>
      <c r="H11" s="61">
        <v>3</v>
      </c>
      <c r="I11" s="62">
        <v>45709</v>
      </c>
      <c r="J11" s="63">
        <v>45992</v>
      </c>
      <c r="K11" s="53"/>
      <c r="L11" s="54" t="s">
        <v>2853</v>
      </c>
      <c r="M11" s="41">
        <f>_xlfn.XLOOKUP(L11,'relaties_export_2026-01-12_1609'!B:B,'relaties_export_2026-01-12_1609'!A:A,"",3)</f>
        <v>236</v>
      </c>
      <c r="N11" s="41" t="str">
        <f>_xlfn.XLOOKUP(M11,'relaties_export_2026-01-12_1609'!A:A,'relaties_export_2026-01-12_1609'!B:B,"",3)</f>
        <v>NL Realty B.V.</v>
      </c>
      <c r="O11" s="50" t="s">
        <v>2845</v>
      </c>
      <c r="P11" s="43">
        <f>R11-U11-V11-AD11</f>
        <v>0</v>
      </c>
      <c r="Q11" s="43"/>
      <c r="R11" s="44"/>
      <c r="S11" s="43"/>
      <c r="T11" s="45"/>
      <c r="U11" s="46"/>
      <c r="V11" s="46"/>
      <c r="W11"/>
      <c r="X11" s="23"/>
      <c r="Y11" s="56" t="s">
        <v>2655</v>
      </c>
      <c r="Z11" s="47">
        <f>_xlfn.XLOOKUP(Y11,'relaties_export_2026-01-12_1609'!B:B,'relaties_export_2026-01-12_1609'!A:A,"",3)</f>
        <v>726</v>
      </c>
      <c r="AA11" s="47" t="str">
        <f>_xlfn.XLOOKUP(Z11,'relaties_export_2026-01-12_1609'!A:A,'relaties_export_2026-01-12_1609'!B:B,"",3)</f>
        <v>Cris</v>
      </c>
      <c r="AB11" s="65" t="s">
        <v>2854</v>
      </c>
      <c r="AC11" s="46"/>
      <c r="AD11" s="46"/>
      <c r="AE11" s="46"/>
      <c r="AF11" s="46"/>
      <c r="AG11" s="49">
        <v>45709</v>
      </c>
      <c r="AH11" s="49">
        <v>45992</v>
      </c>
      <c r="AI11" s="57"/>
      <c r="AJ11" s="57"/>
      <c r="AK11" s="57"/>
      <c r="AL11" s="57"/>
      <c r="AQ11" s="58"/>
    </row>
    <row r="12" spans="1:49" s="29" customFormat="1" ht="17" thickBot="1" x14ac:dyDescent="0.25">
      <c r="A12" s="30">
        <v>8</v>
      </c>
      <c r="B12" s="64" t="s">
        <v>2855</v>
      </c>
      <c r="C12" s="32" t="s">
        <v>2824</v>
      </c>
      <c r="D12" s="59" t="s">
        <v>2856</v>
      </c>
      <c r="E12" s="34" t="s">
        <v>2852</v>
      </c>
      <c r="F12" s="50" t="s">
        <v>2219</v>
      </c>
      <c r="G12" s="61">
        <v>6</v>
      </c>
      <c r="H12" s="61">
        <v>3</v>
      </c>
      <c r="I12" s="62">
        <v>45765</v>
      </c>
      <c r="J12" s="63">
        <v>45931</v>
      </c>
      <c r="K12" s="53"/>
      <c r="L12" s="54" t="s">
        <v>1491</v>
      </c>
      <c r="M12" s="41">
        <f>_xlfn.XLOOKUP(L12,'relaties_export_2026-01-12_1609'!B:B,'relaties_export_2026-01-12_1609'!A:A,"",3)</f>
        <v>348</v>
      </c>
      <c r="N12" s="41" t="str">
        <f>_xlfn.XLOOKUP(M12,'relaties_export_2026-01-12_1609'!A:A,'relaties_export_2026-01-12_1609'!B:B,"",3)</f>
        <v>MNA Proud Facilities B.V.</v>
      </c>
      <c r="O12" s="66" t="s">
        <v>2857</v>
      </c>
      <c r="P12" s="43">
        <f t="shared" si="0"/>
        <v>395.17999999999984</v>
      </c>
      <c r="Q12" s="43">
        <f t="shared" si="3"/>
        <v>3911.5000000000005</v>
      </c>
      <c r="R12" s="44">
        <f t="shared" si="4"/>
        <v>3550</v>
      </c>
      <c r="S12" s="43">
        <f t="shared" si="2"/>
        <v>136.53951184239878</v>
      </c>
      <c r="T12" s="45">
        <v>3200</v>
      </c>
      <c r="U12" s="46">
        <v>350</v>
      </c>
      <c r="V12" s="46"/>
      <c r="W12"/>
      <c r="X12" s="23"/>
      <c r="Y12" s="56" t="s">
        <v>2655</v>
      </c>
      <c r="Z12" s="47">
        <f>_xlfn.XLOOKUP(Y12,'relaties_export_2026-01-12_1609'!B:B,'relaties_export_2026-01-12_1609'!A:A,"",3)</f>
        <v>726</v>
      </c>
      <c r="AA12" s="47" t="str">
        <f>_xlfn.XLOOKUP(Z12,'relaties_export_2026-01-12_1609'!A:A,'relaties_export_2026-01-12_1609'!B:B,"",3)</f>
        <v>Cris</v>
      </c>
      <c r="AB12" s="67" t="s">
        <v>2854</v>
      </c>
      <c r="AC12" s="46">
        <v>3055.3</v>
      </c>
      <c r="AD12" s="46">
        <v>2804.82</v>
      </c>
      <c r="AE12" s="46">
        <v>2094.5</v>
      </c>
      <c r="AF12" s="46">
        <f t="shared" si="1"/>
        <v>107.87777529059638</v>
      </c>
      <c r="AG12" s="49">
        <v>45765</v>
      </c>
      <c r="AH12" s="49">
        <v>46494</v>
      </c>
      <c r="AI12" s="57"/>
      <c r="AJ12" s="57"/>
      <c r="AK12" s="57"/>
      <c r="AL12" s="57"/>
      <c r="AQ12" s="58"/>
    </row>
    <row r="13" spans="1:49" s="29" customFormat="1" ht="17" thickBot="1" x14ac:dyDescent="0.25">
      <c r="A13" s="30">
        <v>9</v>
      </c>
      <c r="B13" s="31" t="str" cm="1">
        <f t="array" ref="B13">_xlfn.XLOOKUP(LEFT(D13,3),LEFT('[1]Sleutelplan nieuw'!B:B,3),'[1]Sleutelplan nieuw'!A:A,"",2)</f>
        <v>0293</v>
      </c>
      <c r="C13" s="32" t="s">
        <v>2824</v>
      </c>
      <c r="D13" s="59" t="s">
        <v>2858</v>
      </c>
      <c r="E13" s="34" t="s">
        <v>2852</v>
      </c>
      <c r="F13" s="50" t="s">
        <v>2219</v>
      </c>
      <c r="G13" s="61">
        <v>6</v>
      </c>
      <c r="H13" s="61">
        <v>3</v>
      </c>
      <c r="I13" s="62">
        <v>45913</v>
      </c>
      <c r="J13" s="63">
        <v>46022</v>
      </c>
      <c r="K13" s="62"/>
      <c r="L13" t="s">
        <v>1483</v>
      </c>
      <c r="M13" s="41">
        <f>_xlfn.XLOOKUP(L13,'relaties_export_2026-01-12_1609'!B:B,'relaties_export_2026-01-12_1609'!A:A,"",3)</f>
        <v>346</v>
      </c>
      <c r="N13" s="41" t="str">
        <f>_xlfn.XLOOKUP(M13,'relaties_export_2026-01-12_1609'!A:A,'relaties_export_2026-01-12_1609'!B:B,"",3)</f>
        <v>Buurman Vastgoed E B.V.</v>
      </c>
      <c r="O13" s="68" t="s">
        <v>2859</v>
      </c>
      <c r="P13" s="43">
        <f t="shared" si="0"/>
        <v>505</v>
      </c>
      <c r="Q13" s="43">
        <f t="shared" si="3"/>
        <v>4282.6499999999996</v>
      </c>
      <c r="R13" s="44">
        <f t="shared" si="4"/>
        <v>3885</v>
      </c>
      <c r="S13" s="43">
        <f t="shared" si="2"/>
        <v>149.42422634020261</v>
      </c>
      <c r="T13" s="45">
        <v>3485</v>
      </c>
      <c r="U13" s="46">
        <v>400</v>
      </c>
      <c r="V13" s="46"/>
      <c r="W13"/>
      <c r="X13" s="23"/>
      <c r="Y13" s="56" t="s">
        <v>2655</v>
      </c>
      <c r="Z13" s="47">
        <f>_xlfn.XLOOKUP(Y13,'relaties_export_2026-01-12_1609'!B:B,'relaties_export_2026-01-12_1609'!A:A,"",3)</f>
        <v>726</v>
      </c>
      <c r="AA13" s="47" t="str">
        <f>_xlfn.XLOOKUP(Z13,'relaties_export_2026-01-12_1609'!A:A,'relaties_export_2026-01-12_1609'!B:B,"",3)</f>
        <v>Cris</v>
      </c>
      <c r="AB13" s="69" t="s">
        <v>2854</v>
      </c>
      <c r="AC13" s="46">
        <f>3260.2+363</f>
        <v>3623.2</v>
      </c>
      <c r="AD13" s="46">
        <v>2980</v>
      </c>
      <c r="AE13" s="46">
        <v>2880</v>
      </c>
      <c r="AF13" s="46">
        <f t="shared" si="1"/>
        <v>114.61547278113291</v>
      </c>
      <c r="AG13" s="49">
        <v>45913</v>
      </c>
      <c r="AH13" s="49">
        <v>46022</v>
      </c>
      <c r="AI13" s="57"/>
      <c r="AJ13" s="57"/>
      <c r="AK13" s="57"/>
      <c r="AL13" s="57"/>
      <c r="AQ13" s="58"/>
    </row>
    <row r="14" spans="1:49" s="29" customFormat="1" ht="17" thickBot="1" x14ac:dyDescent="0.25">
      <c r="A14" s="30">
        <v>10</v>
      </c>
      <c r="B14" s="64" t="s">
        <v>2860</v>
      </c>
      <c r="C14" s="32" t="s">
        <v>2824</v>
      </c>
      <c r="D14" s="59" t="s">
        <v>2861</v>
      </c>
      <c r="E14" s="34" t="s">
        <v>2852</v>
      </c>
      <c r="F14" s="50" t="s">
        <v>2219</v>
      </c>
      <c r="G14" s="61">
        <v>6</v>
      </c>
      <c r="H14" s="61">
        <v>4</v>
      </c>
      <c r="I14" s="62">
        <v>45325</v>
      </c>
      <c r="J14" s="63">
        <v>45690</v>
      </c>
      <c r="K14" s="62"/>
      <c r="L14" s="54" t="s">
        <v>2853</v>
      </c>
      <c r="M14" s="41">
        <f>_xlfn.XLOOKUP(L14,'relaties_export_2026-01-12_1609'!B:B,'relaties_export_2026-01-12_1609'!A:A,"",3)</f>
        <v>236</v>
      </c>
      <c r="N14" s="41" t="str">
        <f>_xlfn.XLOOKUP(M14,'relaties_export_2026-01-12_1609'!A:A,'relaties_export_2026-01-12_1609'!B:B,"",3)</f>
        <v>NL Realty B.V.</v>
      </c>
      <c r="O14" s="50" t="s">
        <v>2845</v>
      </c>
      <c r="P14" s="43">
        <f t="shared" si="0"/>
        <v>704.38999999999987</v>
      </c>
      <c r="Q14" s="43">
        <f t="shared" si="3"/>
        <v>4295.4693000000007</v>
      </c>
      <c r="R14" s="44">
        <f t="shared" si="4"/>
        <v>3907.77</v>
      </c>
      <c r="S14" s="43">
        <f t="shared" si="2"/>
        <v>150.30000230771003</v>
      </c>
      <c r="T14" s="45">
        <v>3607.77</v>
      </c>
      <c r="U14" s="46">
        <v>300</v>
      </c>
      <c r="V14" s="46">
        <v>0</v>
      </c>
      <c r="W14"/>
      <c r="X14" s="23"/>
      <c r="Y14" s="56" t="s">
        <v>2664</v>
      </c>
      <c r="Z14" s="47">
        <f>_xlfn.XLOOKUP(Y14,'relaties_export_2026-01-12_1609'!B:B,'relaties_export_2026-01-12_1609'!A:A,"",3)</f>
        <v>766</v>
      </c>
      <c r="AA14" s="47" t="str">
        <f>_xlfn.XLOOKUP(Z14,'relaties_export_2026-01-12_1609'!A:A,'relaties_export_2026-01-12_1609'!B:B,"",3)</f>
        <v>C. van Driel e/o B.M. Verdouw</v>
      </c>
      <c r="AB14" s="70" t="s">
        <v>2862</v>
      </c>
      <c r="AC14" s="46">
        <v>3181.85</v>
      </c>
      <c r="AD14" s="46">
        <v>2903.38</v>
      </c>
      <c r="AE14" s="46">
        <v>2394.13</v>
      </c>
      <c r="AF14" s="46">
        <f t="shared" si="1"/>
        <v>111.66854743734419</v>
      </c>
      <c r="AG14" s="49">
        <v>45200</v>
      </c>
      <c r="AH14" s="49">
        <v>46873</v>
      </c>
      <c r="AI14" s="57"/>
      <c r="AJ14" s="57"/>
      <c r="AK14" s="57"/>
      <c r="AL14" s="57"/>
      <c r="AQ14" s="58"/>
    </row>
    <row r="15" spans="1:49" s="29" customFormat="1" ht="17" thickBot="1" x14ac:dyDescent="0.25">
      <c r="A15" s="30">
        <v>12</v>
      </c>
      <c r="B15" s="64" t="s">
        <v>2863</v>
      </c>
      <c r="C15" s="32" t="s">
        <v>2824</v>
      </c>
      <c r="D15" s="59" t="s">
        <v>2864</v>
      </c>
      <c r="E15" s="34" t="s">
        <v>2852</v>
      </c>
      <c r="F15" s="50" t="s">
        <v>2219</v>
      </c>
      <c r="G15" s="61">
        <v>6</v>
      </c>
      <c r="H15" s="61">
        <v>4</v>
      </c>
      <c r="I15" s="62">
        <v>45765</v>
      </c>
      <c r="J15" s="63">
        <v>45931</v>
      </c>
      <c r="K15" s="62"/>
      <c r="L15" s="54" t="s">
        <v>1491</v>
      </c>
      <c r="M15" s="41">
        <f>_xlfn.XLOOKUP(L15,'relaties_export_2026-01-12_1609'!B:B,'relaties_export_2026-01-12_1609'!A:A,"",3)</f>
        <v>348</v>
      </c>
      <c r="N15" s="41" t="str">
        <f>_xlfn.XLOOKUP(M15,'relaties_export_2026-01-12_1609'!A:A,'relaties_export_2026-01-12_1609'!B:B,"",3)</f>
        <v>MNA Proud Facilities B.V.</v>
      </c>
      <c r="O15" s="50" t="s">
        <v>2845</v>
      </c>
      <c r="P15" s="43">
        <f t="shared" ref="P15:P27" si="5">R15-V15-AD15</f>
        <v>595.19999999999982</v>
      </c>
      <c r="Q15" s="43">
        <f t="shared" si="3"/>
        <v>3851.0000000000005</v>
      </c>
      <c r="R15" s="44">
        <f t="shared" si="4"/>
        <v>3500</v>
      </c>
      <c r="S15" s="43">
        <f t="shared" si="2"/>
        <v>134.61642012630867</v>
      </c>
      <c r="T15" s="45">
        <v>3200</v>
      </c>
      <c r="U15" s="46">
        <v>300</v>
      </c>
      <c r="V15" s="46"/>
      <c r="W15"/>
      <c r="X15" s="23"/>
      <c r="Y15" s="56" t="s">
        <v>2655</v>
      </c>
      <c r="Z15" s="47">
        <f>_xlfn.XLOOKUP(Y15,'relaties_export_2026-01-12_1609'!B:B,'relaties_export_2026-01-12_1609'!A:A,"",3)</f>
        <v>726</v>
      </c>
      <c r="AA15" s="47" t="str">
        <f>_xlfn.XLOOKUP(Z15,'relaties_export_2026-01-12_1609'!A:A,'relaties_export_2026-01-12_1609'!B:B,"",3)</f>
        <v>Cris</v>
      </c>
      <c r="AB15" s="67" t="s">
        <v>2854</v>
      </c>
      <c r="AC15" s="46">
        <v>3176.3</v>
      </c>
      <c r="AD15" s="46">
        <v>2904.8</v>
      </c>
      <c r="AE15" s="46">
        <v>2094.5</v>
      </c>
      <c r="AF15" s="46">
        <f t="shared" si="1"/>
        <v>111.72316286397144</v>
      </c>
      <c r="AG15" s="49">
        <v>45765</v>
      </c>
      <c r="AH15" s="49">
        <v>46494</v>
      </c>
      <c r="AI15" s="57"/>
      <c r="AJ15" s="57"/>
      <c r="AK15" s="57"/>
      <c r="AL15" s="57"/>
      <c r="AQ15" s="58"/>
    </row>
    <row r="16" spans="1:49" s="29" customFormat="1" ht="17" thickBot="1" x14ac:dyDescent="0.25">
      <c r="A16" s="30"/>
      <c r="B16" s="64" t="s">
        <v>2865</v>
      </c>
      <c r="C16" s="32" t="s">
        <v>2824</v>
      </c>
      <c r="D16" s="59" t="s">
        <v>2866</v>
      </c>
      <c r="E16" s="34" t="s">
        <v>2852</v>
      </c>
      <c r="F16" s="50" t="s">
        <v>2219</v>
      </c>
      <c r="G16" s="61">
        <v>7</v>
      </c>
      <c r="H16" s="61">
        <v>4</v>
      </c>
      <c r="I16" s="62">
        <v>45915</v>
      </c>
      <c r="J16" s="63">
        <v>46022</v>
      </c>
      <c r="K16" s="62"/>
      <c r="L16" t="s">
        <v>1483</v>
      </c>
      <c r="M16" s="41">
        <f>_xlfn.XLOOKUP(L16,'relaties_export_2026-01-12_1609'!B:B,'relaties_export_2026-01-12_1609'!A:A,"",3)</f>
        <v>346</v>
      </c>
      <c r="N16" s="41" t="str">
        <f>_xlfn.XLOOKUP(M16,'relaties_export_2026-01-12_1609'!A:A,'relaties_export_2026-01-12_1609'!B:B,"",3)</f>
        <v>Buurman Vastgoed E B.V.</v>
      </c>
      <c r="O16" s="68" t="s">
        <v>2859</v>
      </c>
      <c r="P16" s="43">
        <f t="shared" si="5"/>
        <v>620</v>
      </c>
      <c r="Q16" s="43">
        <f t="shared" si="3"/>
        <v>4975.3500000000004</v>
      </c>
      <c r="R16" s="44">
        <v>3600</v>
      </c>
      <c r="S16" s="43">
        <f t="shared" si="2"/>
        <v>118.68223162156193</v>
      </c>
      <c r="T16" s="45">
        <v>4065</v>
      </c>
      <c r="U16" s="46">
        <v>450</v>
      </c>
      <c r="V16" s="46"/>
      <c r="W16"/>
      <c r="X16" s="23"/>
      <c r="Y16" s="56" t="s">
        <v>2655</v>
      </c>
      <c r="Z16" s="47">
        <f>_xlfn.XLOOKUP(Y16,'relaties_export_2026-01-12_1609'!B:B,'relaties_export_2026-01-12_1609'!A:A,"",3)</f>
        <v>726</v>
      </c>
      <c r="AA16" s="47" t="str">
        <f>_xlfn.XLOOKUP(Z16,'relaties_export_2026-01-12_1609'!A:A,'relaties_export_2026-01-12_1609'!B:B,"",3)</f>
        <v>Cris</v>
      </c>
      <c r="AB16" s="67" t="s">
        <v>2854</v>
      </c>
      <c r="AC16" s="46">
        <f>3260.2+363</f>
        <v>3623.2</v>
      </c>
      <c r="AD16" s="46">
        <v>2980</v>
      </c>
      <c r="AE16" s="46">
        <v>2880</v>
      </c>
      <c r="AF16" s="46">
        <f t="shared" si="1"/>
        <v>98.241833812399634</v>
      </c>
      <c r="AG16" s="49">
        <v>45915</v>
      </c>
      <c r="AH16" s="49">
        <v>46022</v>
      </c>
      <c r="AI16" s="57"/>
      <c r="AJ16" s="57"/>
      <c r="AK16" s="57"/>
      <c r="AL16" s="57"/>
      <c r="AQ16" s="58"/>
    </row>
    <row r="17" spans="1:43" s="29" customFormat="1" ht="17" thickBot="1" x14ac:dyDescent="0.25">
      <c r="A17" s="30"/>
      <c r="B17" s="64" t="s">
        <v>2867</v>
      </c>
      <c r="C17" s="32" t="s">
        <v>2824</v>
      </c>
      <c r="D17" s="59" t="s">
        <v>2868</v>
      </c>
      <c r="E17" s="34" t="s">
        <v>2852</v>
      </c>
      <c r="F17" s="50" t="s">
        <v>2219</v>
      </c>
      <c r="G17" s="61">
        <v>3</v>
      </c>
      <c r="H17" s="61">
        <v>3</v>
      </c>
      <c r="I17" s="62">
        <v>45931</v>
      </c>
      <c r="J17" s="63">
        <v>46022</v>
      </c>
      <c r="K17" s="62"/>
      <c r="L17" t="s">
        <v>1338</v>
      </c>
      <c r="M17" s="41">
        <f>_xlfn.XLOOKUP(L17,'relaties_export_2026-01-12_1609'!B:B,'relaties_export_2026-01-12_1609'!A:A,"",3)</f>
        <v>304</v>
      </c>
      <c r="N17" s="41" t="str">
        <f>_xlfn.XLOOKUP(M17,'relaties_export_2026-01-12_1609'!A:A,'relaties_export_2026-01-12_1609'!B:B,"",3)</f>
        <v>Royal DS Personeel-service</v>
      </c>
      <c r="O17" s="68" t="s">
        <v>2859</v>
      </c>
      <c r="P17" s="43">
        <f t="shared" si="5"/>
        <v>540</v>
      </c>
      <c r="Q17" s="43">
        <f t="shared" ref="Q17" si="6">T17*1.09+U17*1.21+V17*1.21</f>
        <v>2543</v>
      </c>
      <c r="R17" s="44">
        <f>T17+U17+V17</f>
        <v>2300</v>
      </c>
      <c r="S17" s="43">
        <f t="shared" si="2"/>
        <v>176.92443788029135</v>
      </c>
      <c r="T17" s="45">
        <v>2000</v>
      </c>
      <c r="U17" s="46">
        <v>200</v>
      </c>
      <c r="V17" s="46">
        <v>100</v>
      </c>
      <c r="W17"/>
      <c r="X17" s="23"/>
      <c r="Y17" s="56" t="s">
        <v>2655</v>
      </c>
      <c r="Z17" s="47">
        <f>_xlfn.XLOOKUP(Y17,'relaties_export_2026-01-12_1609'!B:B,'relaties_export_2026-01-12_1609'!A:A,"",3)</f>
        <v>726</v>
      </c>
      <c r="AA17" s="47" t="str">
        <f>_xlfn.XLOOKUP(Z17,'relaties_export_2026-01-12_1609'!A:A,'relaties_export_2026-01-12_1609'!B:B,"",3)</f>
        <v>Cris</v>
      </c>
      <c r="AB17" s="67" t="s">
        <v>2854</v>
      </c>
      <c r="AC17" s="46">
        <f>3260.2</f>
        <v>3260.2</v>
      </c>
      <c r="AD17" s="46">
        <v>1660</v>
      </c>
      <c r="AE17" s="46">
        <v>1560</v>
      </c>
      <c r="AF17" s="46">
        <f t="shared" si="1"/>
        <v>127.69240591723532</v>
      </c>
      <c r="AG17" s="49"/>
      <c r="AH17" s="49"/>
      <c r="AI17" s="57"/>
      <c r="AJ17" s="57"/>
      <c r="AK17" s="57"/>
      <c r="AL17" s="57"/>
      <c r="AQ17" s="58"/>
    </row>
    <row r="18" spans="1:43" s="29" customFormat="1" ht="17" thickBot="1" x14ac:dyDescent="0.25">
      <c r="A18" s="30">
        <v>15</v>
      </c>
      <c r="B18" s="64" t="s">
        <v>2869</v>
      </c>
      <c r="C18" s="32" t="s">
        <v>2824</v>
      </c>
      <c r="D18" s="59" t="s">
        <v>2870</v>
      </c>
      <c r="E18" s="34" t="s">
        <v>2852</v>
      </c>
      <c r="F18" s="50" t="s">
        <v>2219</v>
      </c>
      <c r="G18" s="61">
        <v>4</v>
      </c>
      <c r="H18" s="61">
        <v>3</v>
      </c>
      <c r="I18" s="62">
        <v>45765</v>
      </c>
      <c r="J18" s="63">
        <v>45931</v>
      </c>
      <c r="K18" s="62"/>
      <c r="L18" s="54" t="s">
        <v>1491</v>
      </c>
      <c r="M18" s="41">
        <f>_xlfn.XLOOKUP(L18,'relaties_export_2026-01-12_1609'!B:B,'relaties_export_2026-01-12_1609'!A:A,"",3)</f>
        <v>348</v>
      </c>
      <c r="N18" s="41" t="str">
        <f>_xlfn.XLOOKUP(M18,'relaties_export_2026-01-12_1609'!A:A,'relaties_export_2026-01-12_1609'!B:B,"",3)</f>
        <v>MNA Proud Facilities B.V.</v>
      </c>
      <c r="O18" s="50" t="s">
        <v>2845</v>
      </c>
      <c r="P18" s="43">
        <f t="shared" si="5"/>
        <v>423.11999999999989</v>
      </c>
      <c r="Q18" s="43">
        <f t="shared" si="3"/>
        <v>2646</v>
      </c>
      <c r="R18" s="44">
        <f>T18+U18</f>
        <v>2400</v>
      </c>
      <c r="S18" s="43">
        <f t="shared" si="2"/>
        <v>138.46260355848889</v>
      </c>
      <c r="T18" s="45">
        <v>2150</v>
      </c>
      <c r="U18" s="46">
        <v>250</v>
      </c>
      <c r="V18" s="46"/>
      <c r="W18"/>
      <c r="X18" s="23"/>
      <c r="Y18" s="56" t="s">
        <v>2655</v>
      </c>
      <c r="Z18" s="47">
        <f>_xlfn.XLOOKUP(Y18,'relaties_export_2026-01-12_1609'!B:B,'relaties_export_2026-01-12_1609'!A:A,"",3)</f>
        <v>726</v>
      </c>
      <c r="AA18" s="47" t="str">
        <f>_xlfn.XLOOKUP(Z18,'relaties_export_2026-01-12_1609'!A:A,'relaties_export_2026-01-12_1609'!B:B,"",3)</f>
        <v>Cris</v>
      </c>
      <c r="AB18" s="67" t="s">
        <v>2854</v>
      </c>
      <c r="AC18" s="46">
        <v>2161.5</v>
      </c>
      <c r="AD18" s="46">
        <v>1976.88</v>
      </c>
      <c r="AE18" s="46">
        <v>1362.66</v>
      </c>
      <c r="AF18" s="46">
        <f t="shared" si="1"/>
        <v>114.05085696219767</v>
      </c>
      <c r="AG18" s="49">
        <v>45765</v>
      </c>
      <c r="AH18" s="49">
        <v>46494</v>
      </c>
      <c r="AI18" s="57"/>
      <c r="AJ18" s="57"/>
      <c r="AK18" s="57"/>
      <c r="AL18" s="57"/>
      <c r="AQ18" s="58"/>
    </row>
    <row r="19" spans="1:43" s="29" customFormat="1" ht="17" thickBot="1" x14ac:dyDescent="0.25">
      <c r="A19" s="30">
        <v>16</v>
      </c>
      <c r="B19" s="64" t="s">
        <v>2871</v>
      </c>
      <c r="C19" s="32" t="s">
        <v>2824</v>
      </c>
      <c r="D19" s="59" t="s">
        <v>2872</v>
      </c>
      <c r="E19" s="34" t="s">
        <v>2852</v>
      </c>
      <c r="F19" s="50" t="s">
        <v>2219</v>
      </c>
      <c r="G19" s="61">
        <v>3</v>
      </c>
      <c r="H19" s="61">
        <v>3</v>
      </c>
      <c r="I19" s="62">
        <v>45853</v>
      </c>
      <c r="J19" s="63">
        <v>46582</v>
      </c>
      <c r="K19" s="62"/>
      <c r="L19" s="54" t="s">
        <v>1491</v>
      </c>
      <c r="M19" s="41">
        <f>_xlfn.XLOOKUP(L19,'relaties_export_2026-01-12_1609'!B:B,'relaties_export_2026-01-12_1609'!A:A,"",3)</f>
        <v>348</v>
      </c>
      <c r="N19" s="41" t="str">
        <f>_xlfn.XLOOKUP(M19,'relaties_export_2026-01-12_1609'!A:A,'relaties_export_2026-01-12_1609'!B:B,"",3)</f>
        <v>MNA Proud Facilities B.V.</v>
      </c>
      <c r="O19" s="50" t="s">
        <v>2845</v>
      </c>
      <c r="P19" s="43">
        <f t="shared" si="5"/>
        <v>282.08999999999992</v>
      </c>
      <c r="Q19" s="43">
        <f t="shared" si="3"/>
        <v>2646</v>
      </c>
      <c r="R19" s="44">
        <v>2100</v>
      </c>
      <c r="S19" s="43">
        <f t="shared" si="2"/>
        <v>161.53970415157039</v>
      </c>
      <c r="T19" s="45">
        <v>2150</v>
      </c>
      <c r="U19" s="46">
        <v>250</v>
      </c>
      <c r="V19" s="46"/>
      <c r="W19"/>
      <c r="X19" s="23"/>
      <c r="Y19" s="56" t="s">
        <v>2655</v>
      </c>
      <c r="Z19" s="47">
        <f>_xlfn.XLOOKUP(Y19,'relaties_export_2026-01-12_1609'!B:B,'relaties_export_2026-01-12_1609'!A:A,"",3)</f>
        <v>726</v>
      </c>
      <c r="AA19" s="47" t="str">
        <f>_xlfn.XLOOKUP(Z19,'relaties_export_2026-01-12_1609'!A:A,'relaties_export_2026-01-12_1609'!B:B,"",3)</f>
        <v>Cris</v>
      </c>
      <c r="AB19" s="67" t="s">
        <v>2854</v>
      </c>
      <c r="AC19" s="46">
        <v>1992.5</v>
      </c>
      <c r="AD19" s="46">
        <v>1817.91</v>
      </c>
      <c r="AE19" s="46">
        <v>1251.74</v>
      </c>
      <c r="AF19" s="46">
        <f t="shared" si="1"/>
        <v>139.83933833795257</v>
      </c>
      <c r="AG19" s="49">
        <v>45853</v>
      </c>
      <c r="AH19" s="49">
        <v>46491</v>
      </c>
      <c r="AI19" s="57"/>
      <c r="AJ19" s="57"/>
      <c r="AK19" s="57"/>
      <c r="AL19" s="57"/>
      <c r="AQ19" s="58"/>
    </row>
    <row r="20" spans="1:43" s="29" customFormat="1" ht="17" thickBot="1" x14ac:dyDescent="0.25">
      <c r="A20" s="30">
        <v>17</v>
      </c>
      <c r="B20" s="64" t="s">
        <v>2873</v>
      </c>
      <c r="C20" s="32" t="s">
        <v>2824</v>
      </c>
      <c r="D20" s="59" t="s">
        <v>2874</v>
      </c>
      <c r="E20" s="34" t="s">
        <v>2852</v>
      </c>
      <c r="F20" s="50" t="s">
        <v>2875</v>
      </c>
      <c r="G20" s="61">
        <v>8</v>
      </c>
      <c r="H20" s="61">
        <v>4</v>
      </c>
      <c r="I20" s="62">
        <v>45304</v>
      </c>
      <c r="J20" s="63">
        <v>45669</v>
      </c>
      <c r="K20" s="62"/>
      <c r="L20" s="54" t="s">
        <v>2853</v>
      </c>
      <c r="M20" s="41">
        <f>_xlfn.XLOOKUP(L20,'relaties_export_2026-01-12_1609'!B:B,'relaties_export_2026-01-12_1609'!A:A,"",3)</f>
        <v>236</v>
      </c>
      <c r="N20" s="41" t="str">
        <f>_xlfn.XLOOKUP(M20,'relaties_export_2026-01-12_1609'!A:A,'relaties_export_2026-01-12_1609'!B:B,"",3)</f>
        <v>NL Realty B.V.</v>
      </c>
      <c r="O20" s="50" t="s">
        <v>2845</v>
      </c>
      <c r="P20" s="43">
        <f t="shared" si="5"/>
        <v>1340.3099999999995</v>
      </c>
      <c r="Q20" s="43">
        <f t="shared" si="3"/>
        <v>5606.2924000000003</v>
      </c>
      <c r="R20" s="44">
        <f>T20+U20</f>
        <v>5110.3599999999997</v>
      </c>
      <c r="S20" s="43">
        <f t="shared" si="2"/>
        <v>147.41536473357485</v>
      </c>
      <c r="T20" s="45">
        <v>4810.3599999999997</v>
      </c>
      <c r="U20" s="46">
        <v>300</v>
      </c>
      <c r="V20" s="46">
        <v>0</v>
      </c>
      <c r="W20"/>
      <c r="X20" s="23"/>
      <c r="Y20" s="56" t="s">
        <v>2664</v>
      </c>
      <c r="Z20" s="47">
        <f>_xlfn.XLOOKUP(Y20,'relaties_export_2026-01-12_1609'!B:B,'relaties_export_2026-01-12_1609'!A:A,"",3)</f>
        <v>766</v>
      </c>
      <c r="AA20" s="47" t="str">
        <f>_xlfn.XLOOKUP(Z20,'relaties_export_2026-01-12_1609'!A:A,'relaties_export_2026-01-12_1609'!B:B,"",3)</f>
        <v>C. van Driel e/o B.M. Verdouw</v>
      </c>
      <c r="AB20" s="46" t="s">
        <v>2862</v>
      </c>
      <c r="AC20" s="46">
        <v>4126.5200000000004</v>
      </c>
      <c r="AD20" s="46">
        <v>3770.05</v>
      </c>
      <c r="AE20" s="46">
        <v>3260.8</v>
      </c>
      <c r="AF20" s="46">
        <f t="shared" si="1"/>
        <v>108.75152596271228</v>
      </c>
      <c r="AG20" s="49">
        <v>45200</v>
      </c>
      <c r="AH20" s="49">
        <v>46873</v>
      </c>
      <c r="AI20" s="57"/>
      <c r="AJ20" s="57"/>
      <c r="AK20" s="57"/>
      <c r="AL20" s="57"/>
      <c r="AQ20" s="58"/>
    </row>
    <row r="21" spans="1:43" s="29" customFormat="1" ht="17" thickBot="1" x14ac:dyDescent="0.25">
      <c r="A21" s="30">
        <v>19</v>
      </c>
      <c r="B21" s="64" t="s">
        <v>2876</v>
      </c>
      <c r="C21" s="32" t="s">
        <v>2824</v>
      </c>
      <c r="D21" s="59" t="s">
        <v>2877</v>
      </c>
      <c r="E21" s="34" t="s">
        <v>2852</v>
      </c>
      <c r="F21" s="50" t="s">
        <v>2875</v>
      </c>
      <c r="G21" s="61">
        <v>8</v>
      </c>
      <c r="H21" s="61">
        <v>8</v>
      </c>
      <c r="I21" s="62">
        <v>45609</v>
      </c>
      <c r="J21" s="63">
        <v>45701</v>
      </c>
      <c r="K21" s="62"/>
      <c r="L21" s="54" t="s">
        <v>2878</v>
      </c>
      <c r="M21" s="41">
        <f>_xlfn.XLOOKUP(L21,'relaties_export_2026-01-12_1609'!B:B,'relaties_export_2026-01-12_1609'!A:A,"",3)</f>
        <v>218</v>
      </c>
      <c r="N21" s="41" t="str">
        <f>_xlfn.XLOOKUP(M21,'relaties_export_2026-01-12_1609'!A:A,'relaties_export_2026-01-12_1609'!B:B,"",3)</f>
        <v>Eemsdelta Housing B.V.</v>
      </c>
      <c r="O21" s="71" t="s">
        <v>2879</v>
      </c>
      <c r="P21" s="43">
        <f t="shared" si="5"/>
        <v>-4490.05</v>
      </c>
      <c r="Q21" s="43"/>
      <c r="R21" s="44"/>
      <c r="S21" s="43"/>
      <c r="T21" s="45"/>
      <c r="U21" s="46">
        <v>600</v>
      </c>
      <c r="V21" s="46"/>
      <c r="W21"/>
      <c r="X21" s="23"/>
      <c r="Y21" s="56" t="s">
        <v>2664</v>
      </c>
      <c r="Z21" s="47">
        <f>_xlfn.XLOOKUP(Y21,'relaties_export_2026-01-12_1609'!B:B,'relaties_export_2026-01-12_1609'!A:A,"",3)</f>
        <v>766</v>
      </c>
      <c r="AA21" s="47" t="str">
        <f>_xlfn.XLOOKUP(Z21,'relaties_export_2026-01-12_1609'!A:A,'relaties_export_2026-01-12_1609'!B:B,"",3)</f>
        <v>C. van Driel e/o B.M. Verdouw</v>
      </c>
      <c r="AB21" s="46" t="s">
        <v>2862</v>
      </c>
      <c r="AC21" s="46">
        <v>4935.32</v>
      </c>
      <c r="AD21" s="70">
        <v>4490.05</v>
      </c>
      <c r="AE21" s="70">
        <v>3780.8</v>
      </c>
      <c r="AF21" s="46">
        <f>(AD21/G21)/4.33333</f>
        <v>129.5207727082867</v>
      </c>
      <c r="AG21" s="49">
        <v>45609</v>
      </c>
      <c r="AH21" s="49">
        <v>45701</v>
      </c>
      <c r="AI21" s="57"/>
      <c r="AJ21" s="57"/>
      <c r="AK21" s="57"/>
      <c r="AL21" s="57"/>
      <c r="AQ21" s="58"/>
    </row>
    <row r="22" spans="1:43" s="29" customFormat="1" ht="17" thickBot="1" x14ac:dyDescent="0.25">
      <c r="A22" s="30">
        <v>20</v>
      </c>
      <c r="B22" s="64" t="s">
        <v>2880</v>
      </c>
      <c r="C22" s="32" t="s">
        <v>2824</v>
      </c>
      <c r="D22" s="59" t="s">
        <v>2881</v>
      </c>
      <c r="E22" s="34" t="s">
        <v>2852</v>
      </c>
      <c r="F22" s="50" t="s">
        <v>2875</v>
      </c>
      <c r="G22" s="61">
        <v>8</v>
      </c>
      <c r="H22" s="61">
        <v>8</v>
      </c>
      <c r="I22" s="62">
        <v>45660</v>
      </c>
      <c r="J22" s="63">
        <v>45841</v>
      </c>
      <c r="K22" s="62"/>
      <c r="L22" t="s">
        <v>1338</v>
      </c>
      <c r="M22" s="41">
        <f>_xlfn.XLOOKUP(L22,'relaties_export_2026-01-12_1609'!B:B,'relaties_export_2026-01-12_1609'!A:A,"",3)</f>
        <v>304</v>
      </c>
      <c r="N22" s="41" t="str">
        <f>_xlfn.XLOOKUP(M22,'relaties_export_2026-01-12_1609'!A:A,'relaties_export_2026-01-12_1609'!B:B,"",3)</f>
        <v>Royal DS Personeel-service</v>
      </c>
      <c r="O22" s="50"/>
      <c r="P22" s="43">
        <f t="shared" si="5"/>
        <v>1009.9499999999998</v>
      </c>
      <c r="Q22" s="43">
        <f t="shared" si="3"/>
        <v>6067</v>
      </c>
      <c r="R22" s="44">
        <f>T22+U22</f>
        <v>5500</v>
      </c>
      <c r="S22" s="43">
        <f t="shared" si="2"/>
        <v>158.65506657743521</v>
      </c>
      <c r="T22" s="45">
        <v>4900</v>
      </c>
      <c r="U22" s="46">
        <v>600</v>
      </c>
      <c r="V22" s="46"/>
      <c r="W22"/>
      <c r="X22" s="23"/>
      <c r="Y22" s="56" t="s">
        <v>2664</v>
      </c>
      <c r="Z22" s="47">
        <f>_xlfn.XLOOKUP(Y22,'relaties_export_2026-01-12_1609'!B:B,'relaties_export_2026-01-12_1609'!A:A,"",3)</f>
        <v>766</v>
      </c>
      <c r="AA22" s="47" t="str">
        <f>_xlfn.XLOOKUP(Z22,'relaties_export_2026-01-12_1609'!A:A,'relaties_export_2026-01-12_1609'!B:B,"",3)</f>
        <v>C. van Driel e/o B.M. Verdouw</v>
      </c>
      <c r="AB22" s="46" t="s">
        <v>2862</v>
      </c>
      <c r="AC22" s="46">
        <v>4935.32</v>
      </c>
      <c r="AD22" s="70">
        <v>4490.05</v>
      </c>
      <c r="AE22" s="70">
        <v>3780.8</v>
      </c>
      <c r="AF22" s="46">
        <f t="shared" si="1"/>
        <v>129.5207727082867</v>
      </c>
      <c r="AG22" s="49"/>
      <c r="AH22" s="49"/>
      <c r="AI22" s="57"/>
      <c r="AJ22" s="57"/>
      <c r="AK22" s="57"/>
      <c r="AL22" s="57"/>
      <c r="AQ22" s="58"/>
    </row>
    <row r="23" spans="1:43" s="29" customFormat="1" ht="17" thickBot="1" x14ac:dyDescent="0.25">
      <c r="A23" s="30">
        <v>21</v>
      </c>
      <c r="B23" s="64" t="s">
        <v>2882</v>
      </c>
      <c r="C23" s="32" t="s">
        <v>2824</v>
      </c>
      <c r="D23" s="59" t="s">
        <v>2883</v>
      </c>
      <c r="E23" s="34" t="s">
        <v>2852</v>
      </c>
      <c r="F23" s="50" t="s">
        <v>2875</v>
      </c>
      <c r="G23" s="61">
        <v>8</v>
      </c>
      <c r="H23" s="61">
        <v>8</v>
      </c>
      <c r="I23" s="62">
        <v>45913</v>
      </c>
      <c r="J23" s="63">
        <v>46022</v>
      </c>
      <c r="K23" s="62"/>
      <c r="L23" t="s">
        <v>1483</v>
      </c>
      <c r="M23" s="41">
        <f>_xlfn.XLOOKUP(L23,'relaties_export_2026-01-12_1609'!B:B,'relaties_export_2026-01-12_1609'!A:A,"",3)</f>
        <v>346</v>
      </c>
      <c r="N23" s="41" t="str">
        <f>_xlfn.XLOOKUP(M23,'relaties_export_2026-01-12_1609'!A:A,'relaties_export_2026-01-12_1609'!B:B,"",3)</f>
        <v>Buurman Vastgoed E B.V.</v>
      </c>
      <c r="O23" s="71" t="s">
        <v>2884</v>
      </c>
      <c r="P23" s="43">
        <f t="shared" si="5"/>
        <v>609.94999999999982</v>
      </c>
      <c r="Q23" s="43">
        <f t="shared" si="3"/>
        <v>5613</v>
      </c>
      <c r="R23" s="44">
        <f>T23+U23</f>
        <v>5100</v>
      </c>
      <c r="S23" s="43">
        <f t="shared" si="2"/>
        <v>147.11651628089444</v>
      </c>
      <c r="T23" s="45">
        <v>4650</v>
      </c>
      <c r="U23" s="46">
        <v>450</v>
      </c>
      <c r="V23" s="46"/>
      <c r="W23"/>
      <c r="X23" s="23"/>
      <c r="Y23" s="56" t="s">
        <v>2664</v>
      </c>
      <c r="Z23" s="47">
        <f>_xlfn.XLOOKUP(Y23,'relaties_export_2026-01-12_1609'!B:B,'relaties_export_2026-01-12_1609'!A:A,"",3)</f>
        <v>766</v>
      </c>
      <c r="AA23" s="47" t="str">
        <f>_xlfn.XLOOKUP(Z23,'relaties_export_2026-01-12_1609'!A:A,'relaties_export_2026-01-12_1609'!B:B,"",3)</f>
        <v>C. van Driel e/o B.M. Verdouw</v>
      </c>
      <c r="AB23" s="46" t="s">
        <v>2862</v>
      </c>
      <c r="AC23" s="46">
        <v>4935.32</v>
      </c>
      <c r="AD23" s="70">
        <v>4490.05</v>
      </c>
      <c r="AE23" s="70">
        <v>3780.8</v>
      </c>
      <c r="AF23" s="46">
        <f t="shared" si="1"/>
        <v>129.5207727082867</v>
      </c>
      <c r="AG23" s="49"/>
      <c r="AH23" s="49"/>
      <c r="AI23" s="57"/>
      <c r="AJ23" s="57"/>
      <c r="AK23" s="57"/>
      <c r="AL23" s="57"/>
      <c r="AQ23" s="58"/>
    </row>
    <row r="24" spans="1:43" s="29" customFormat="1" ht="17" thickBot="1" x14ac:dyDescent="0.25">
      <c r="A24" s="30">
        <v>22</v>
      </c>
      <c r="B24" s="64" t="s">
        <v>2885</v>
      </c>
      <c r="C24" s="32" t="s">
        <v>2824</v>
      </c>
      <c r="D24" s="59" t="s">
        <v>2886</v>
      </c>
      <c r="E24" s="34" t="s">
        <v>2852</v>
      </c>
      <c r="F24" s="50" t="s">
        <v>2875</v>
      </c>
      <c r="G24" s="61">
        <v>6</v>
      </c>
      <c r="H24" s="61">
        <v>6</v>
      </c>
      <c r="I24" s="62">
        <v>45695</v>
      </c>
      <c r="J24" s="63">
        <v>45992</v>
      </c>
      <c r="K24" s="62"/>
      <c r="L24" s="54" t="s">
        <v>2853</v>
      </c>
      <c r="M24" s="41">
        <f>_xlfn.XLOOKUP(L24,'relaties_export_2026-01-12_1609'!B:B,'relaties_export_2026-01-12_1609'!A:A,"",3)</f>
        <v>236</v>
      </c>
      <c r="N24" s="41" t="str">
        <f>_xlfn.XLOOKUP(M24,'relaties_export_2026-01-12_1609'!A:A,'relaties_export_2026-01-12_1609'!B:B,"",3)</f>
        <v>NL Realty B.V.</v>
      </c>
      <c r="O24" s="71" t="s">
        <v>2887</v>
      </c>
      <c r="P24" s="43">
        <f t="shared" si="5"/>
        <v>-3293.38</v>
      </c>
      <c r="Q24" s="43"/>
      <c r="R24" s="44"/>
      <c r="S24" s="45"/>
      <c r="T24" s="45"/>
      <c r="U24" s="46"/>
      <c r="V24" s="46"/>
      <c r="W24"/>
      <c r="X24" s="23"/>
      <c r="Y24" s="56" t="s">
        <v>2664</v>
      </c>
      <c r="Z24" s="47">
        <f>_xlfn.XLOOKUP(Y24,'relaties_export_2026-01-12_1609'!B:B,'relaties_export_2026-01-12_1609'!A:A,"",3)</f>
        <v>766</v>
      </c>
      <c r="AA24" s="47" t="str">
        <f>_xlfn.XLOOKUP(Z24,'relaties_export_2026-01-12_1609'!A:A,'relaties_export_2026-01-12_1609'!B:B,"",3)</f>
        <v>C. van Driel e/o B.M. Verdouw</v>
      </c>
      <c r="AB24" s="46" t="s">
        <v>2862</v>
      </c>
      <c r="AC24" s="46">
        <v>3606.95</v>
      </c>
      <c r="AD24" s="70">
        <v>3293.38</v>
      </c>
      <c r="AE24" s="70">
        <v>2784.13</v>
      </c>
      <c r="AF24" s="46">
        <f t="shared" si="1"/>
        <v>126.66855897581459</v>
      </c>
      <c r="AG24" s="49">
        <v>45672</v>
      </c>
      <c r="AH24" s="49">
        <v>47498</v>
      </c>
      <c r="AI24" s="57"/>
      <c r="AJ24" s="57"/>
      <c r="AK24" s="57"/>
      <c r="AL24" s="57"/>
      <c r="AQ24" s="58"/>
    </row>
    <row r="25" spans="1:43" s="29" customFormat="1" ht="17" thickBot="1" x14ac:dyDescent="0.25">
      <c r="A25" s="30">
        <v>23</v>
      </c>
      <c r="B25" s="64" t="s">
        <v>2888</v>
      </c>
      <c r="C25" s="32" t="s">
        <v>2824</v>
      </c>
      <c r="D25" s="59" t="s">
        <v>2889</v>
      </c>
      <c r="E25" s="34" t="s">
        <v>2852</v>
      </c>
      <c r="F25" s="50" t="s">
        <v>2875</v>
      </c>
      <c r="G25" s="61">
        <v>8</v>
      </c>
      <c r="H25" s="61">
        <v>8</v>
      </c>
      <c r="I25" s="62">
        <v>45702</v>
      </c>
      <c r="J25" s="63">
        <v>45992</v>
      </c>
      <c r="K25" s="62"/>
      <c r="L25" s="54" t="s">
        <v>2853</v>
      </c>
      <c r="M25" s="41">
        <f>_xlfn.XLOOKUP(L25,'relaties_export_2026-01-12_1609'!B:B,'relaties_export_2026-01-12_1609'!A:A,"",3)</f>
        <v>236</v>
      </c>
      <c r="N25" s="41" t="str">
        <f>_xlfn.XLOOKUP(M25,'relaties_export_2026-01-12_1609'!A:A,'relaties_export_2026-01-12_1609'!B:B,"",3)</f>
        <v>NL Realty B.V.</v>
      </c>
      <c r="O25" s="71" t="s">
        <v>2887</v>
      </c>
      <c r="P25" s="43">
        <f t="shared" si="5"/>
        <v>-4490.05</v>
      </c>
      <c r="Q25" s="43"/>
      <c r="R25" s="44"/>
      <c r="S25" s="45"/>
      <c r="T25" s="45"/>
      <c r="U25" s="46"/>
      <c r="V25" s="46"/>
      <c r="W25"/>
      <c r="X25" s="23"/>
      <c r="Y25" s="56" t="s">
        <v>2664</v>
      </c>
      <c r="Z25" s="47">
        <f>_xlfn.XLOOKUP(Y25,'relaties_export_2026-01-12_1609'!B:B,'relaties_export_2026-01-12_1609'!A:A,"",3)</f>
        <v>766</v>
      </c>
      <c r="AA25" s="47" t="str">
        <f>_xlfn.XLOOKUP(Z25,'relaties_export_2026-01-12_1609'!A:A,'relaties_export_2026-01-12_1609'!B:B,"",3)</f>
        <v>C. van Driel e/o B.M. Verdouw</v>
      </c>
      <c r="AB25" s="46" t="s">
        <v>2862</v>
      </c>
      <c r="AC25" s="46">
        <v>4935.32</v>
      </c>
      <c r="AD25" s="70">
        <v>4490.05</v>
      </c>
      <c r="AE25" s="70">
        <v>3780.8</v>
      </c>
      <c r="AF25" s="46">
        <f t="shared" si="1"/>
        <v>129.5207727082867</v>
      </c>
      <c r="AG25" s="49">
        <v>45672</v>
      </c>
      <c r="AH25" s="49">
        <v>47498</v>
      </c>
      <c r="AI25" s="57"/>
      <c r="AJ25" s="57"/>
      <c r="AK25" s="57"/>
      <c r="AL25" s="57"/>
      <c r="AQ25" s="58"/>
    </row>
    <row r="26" spans="1:43" s="29" customFormat="1" ht="17" thickBot="1" x14ac:dyDescent="0.25">
      <c r="A26" s="30">
        <v>24</v>
      </c>
      <c r="B26" s="64" t="s">
        <v>2890</v>
      </c>
      <c r="C26" s="32" t="s">
        <v>2824</v>
      </c>
      <c r="D26" s="59" t="s">
        <v>2891</v>
      </c>
      <c r="E26" s="34" t="s">
        <v>2852</v>
      </c>
      <c r="F26" s="50" t="s">
        <v>2875</v>
      </c>
      <c r="G26" s="61">
        <v>4</v>
      </c>
      <c r="H26" s="61">
        <v>3</v>
      </c>
      <c r="I26" s="62">
        <v>45772</v>
      </c>
      <c r="J26" s="63">
        <v>45931</v>
      </c>
      <c r="K26" s="62"/>
      <c r="L26" s="54" t="s">
        <v>1491</v>
      </c>
      <c r="M26" s="41">
        <f>_xlfn.XLOOKUP(L26,'relaties_export_2026-01-12_1609'!B:B,'relaties_export_2026-01-12_1609'!A:A,"",3)</f>
        <v>348</v>
      </c>
      <c r="N26" s="41" t="str">
        <f>_xlfn.XLOOKUP(M26,'relaties_export_2026-01-12_1609'!A:A,'relaties_export_2026-01-12_1609'!B:B,"",3)</f>
        <v>MNA Proud Facilities B.V.</v>
      </c>
      <c r="O26" s="50"/>
      <c r="P26" s="43">
        <f t="shared" si="5"/>
        <v>173.63000000000011</v>
      </c>
      <c r="Q26" s="43">
        <f t="shared" ref="Q26:Q28" si="7">T26*1.09+U26*1.21+V26*1.21</f>
        <v>2646</v>
      </c>
      <c r="R26" s="44">
        <f t="shared" ref="R26:R28" si="8">T26+U26+V26</f>
        <v>2400</v>
      </c>
      <c r="S26" s="43">
        <f t="shared" si="2"/>
        <v>138.46260355848889</v>
      </c>
      <c r="T26" s="45">
        <v>2150</v>
      </c>
      <c r="U26" s="46">
        <v>250</v>
      </c>
      <c r="V26" s="46"/>
      <c r="W26"/>
      <c r="X26" s="23"/>
      <c r="Y26" s="56" t="s">
        <v>2655</v>
      </c>
      <c r="Z26" s="47">
        <f>_xlfn.XLOOKUP(Y26,'relaties_export_2026-01-12_1609'!B:B,'relaties_export_2026-01-12_1609'!A:A,"",3)</f>
        <v>726</v>
      </c>
      <c r="AA26" s="47" t="str">
        <f>_xlfn.XLOOKUP(Z26,'relaties_export_2026-01-12_1609'!A:A,'relaties_export_2026-01-12_1609'!B:B,"",3)</f>
        <v>Cris</v>
      </c>
      <c r="AB26" s="67" t="s">
        <v>2854</v>
      </c>
      <c r="AC26" s="46">
        <v>2434</v>
      </c>
      <c r="AD26" s="70">
        <v>2226.37</v>
      </c>
      <c r="AE26" s="70">
        <v>1618.35</v>
      </c>
      <c r="AF26" s="46">
        <f t="shared" si="1"/>
        <v>128.44452188040142</v>
      </c>
      <c r="AG26" s="49">
        <v>45772</v>
      </c>
      <c r="AH26" s="49">
        <v>46501</v>
      </c>
      <c r="AI26" s="57"/>
      <c r="AJ26" s="57"/>
      <c r="AK26" s="57"/>
      <c r="AL26" s="57"/>
      <c r="AQ26" s="58"/>
    </row>
    <row r="27" spans="1:43" s="29" customFormat="1" ht="17" thickBot="1" x14ac:dyDescent="0.25">
      <c r="A27" s="30"/>
      <c r="B27" s="64" t="s">
        <v>2892</v>
      </c>
      <c r="C27" s="32" t="s">
        <v>2824</v>
      </c>
      <c r="D27" s="59" t="s">
        <v>2893</v>
      </c>
      <c r="E27" s="34" t="s">
        <v>2852</v>
      </c>
      <c r="F27" s="50" t="s">
        <v>2875</v>
      </c>
      <c r="G27" s="61">
        <v>3</v>
      </c>
      <c r="H27" s="61">
        <v>3</v>
      </c>
      <c r="I27" s="62">
        <v>45913</v>
      </c>
      <c r="J27" s="63">
        <v>46022</v>
      </c>
      <c r="K27" s="62"/>
      <c r="L27" t="s">
        <v>1483</v>
      </c>
      <c r="M27" s="41">
        <f>_xlfn.XLOOKUP(L27,'relaties_export_2026-01-12_1609'!B:B,'relaties_export_2026-01-12_1609'!A:A,"",3)</f>
        <v>346</v>
      </c>
      <c r="N27" s="41" t="str">
        <f>_xlfn.XLOOKUP(M27,'relaties_export_2026-01-12_1609'!A:A,'relaties_export_2026-01-12_1609'!B:B,"",3)</f>
        <v>Buurman Vastgoed E B.V.</v>
      </c>
      <c r="O27" s="68" t="s">
        <v>2894</v>
      </c>
      <c r="P27" s="43">
        <f t="shared" si="5"/>
        <v>0</v>
      </c>
      <c r="Q27" s="43"/>
      <c r="R27" s="44"/>
      <c r="S27" s="43"/>
      <c r="T27" s="45"/>
      <c r="U27" s="46"/>
      <c r="V27" s="46"/>
      <c r="W27"/>
      <c r="X27" s="23"/>
      <c r="Y27" s="56" t="s">
        <v>2655</v>
      </c>
      <c r="Z27" s="47">
        <f>_xlfn.XLOOKUP(Y27,'relaties_export_2026-01-12_1609'!B:B,'relaties_export_2026-01-12_1609'!A:A,"",3)</f>
        <v>726</v>
      </c>
      <c r="AA27" s="47" t="str">
        <f>_xlfn.XLOOKUP(Z27,'relaties_export_2026-01-12_1609'!A:A,'relaties_export_2026-01-12_1609'!B:B,"",3)</f>
        <v>Cris</v>
      </c>
      <c r="AB27" s="67" t="s">
        <v>2854</v>
      </c>
      <c r="AC27" s="46"/>
      <c r="AD27" s="70"/>
      <c r="AE27" s="70"/>
      <c r="AF27" s="46"/>
      <c r="AG27" s="49">
        <v>45913</v>
      </c>
      <c r="AH27" s="49">
        <v>46022</v>
      </c>
      <c r="AI27" s="57"/>
      <c r="AJ27" s="57"/>
      <c r="AK27" s="57"/>
      <c r="AL27" s="57"/>
      <c r="AQ27" s="58"/>
    </row>
    <row r="28" spans="1:43" s="29" customFormat="1" ht="17" thickBot="1" x14ac:dyDescent="0.25">
      <c r="A28" s="30"/>
      <c r="B28" s="64" t="s">
        <v>2895</v>
      </c>
      <c r="C28" s="32" t="s">
        <v>2824</v>
      </c>
      <c r="D28" s="59" t="s">
        <v>2896</v>
      </c>
      <c r="E28" s="34" t="s">
        <v>2852</v>
      </c>
      <c r="F28" s="50" t="s">
        <v>2219</v>
      </c>
      <c r="G28" s="61">
        <v>5</v>
      </c>
      <c r="H28" s="61">
        <v>3</v>
      </c>
      <c r="I28" s="62">
        <v>45893</v>
      </c>
      <c r="J28" s="63">
        <v>46011</v>
      </c>
      <c r="K28" s="62"/>
      <c r="L28" s="54" t="s">
        <v>1487</v>
      </c>
      <c r="M28" s="41">
        <f>_xlfn.XLOOKUP(L28,'relaties_export_2026-01-12_1609'!B:B,'relaties_export_2026-01-12_1609'!A:A,"",3)</f>
        <v>347</v>
      </c>
      <c r="N28" s="41" t="str">
        <f>_xlfn.XLOOKUP(M28,'relaties_export_2026-01-12_1609'!A:A,'relaties_export_2026-01-12_1609'!B:B,"",3)</f>
        <v>FISSH B.V.</v>
      </c>
      <c r="O28" s="50"/>
      <c r="P28" s="43">
        <f>R28-V28-AD28</f>
        <v>877</v>
      </c>
      <c r="Q28" s="43">
        <f t="shared" si="7"/>
        <v>3896.78</v>
      </c>
      <c r="R28" s="44">
        <f t="shared" si="8"/>
        <v>3542</v>
      </c>
      <c r="S28" s="43">
        <f>(R28/G28)/4.3333</f>
        <v>163.47818060138923</v>
      </c>
      <c r="T28" s="45">
        <v>3242</v>
      </c>
      <c r="U28" s="46">
        <v>300</v>
      </c>
      <c r="V28" s="46"/>
      <c r="W28"/>
      <c r="X28" s="23"/>
      <c r="Y28" s="56" t="s">
        <v>2655</v>
      </c>
      <c r="Z28" s="47">
        <f>_xlfn.XLOOKUP(Y28,'relaties_export_2026-01-12_1609'!B:B,'relaties_export_2026-01-12_1609'!A:A,"",3)</f>
        <v>726</v>
      </c>
      <c r="AA28" s="47" t="str">
        <f>_xlfn.XLOOKUP(Z28,'relaties_export_2026-01-12_1609'!A:A,'relaties_export_2026-01-12_1609'!B:B,"",3)</f>
        <v>Cris</v>
      </c>
      <c r="AB28" s="67" t="s">
        <v>2854</v>
      </c>
      <c r="AC28" s="46">
        <v>2952.85</v>
      </c>
      <c r="AD28" s="70">
        <v>2665</v>
      </c>
      <c r="AE28" s="70">
        <v>2265</v>
      </c>
      <c r="AF28" s="46">
        <f>(AD28/G28)/4.33333</f>
        <v>123.0000946154574</v>
      </c>
      <c r="AG28" s="49">
        <v>45893</v>
      </c>
      <c r="AH28" s="49">
        <v>46011</v>
      </c>
      <c r="AI28" s="57"/>
      <c r="AJ28" s="57"/>
      <c r="AK28" s="57"/>
      <c r="AL28" s="57"/>
      <c r="AQ28" s="58"/>
    </row>
    <row r="29" spans="1:43" s="29" customFormat="1" ht="17" thickBot="1" x14ac:dyDescent="0.25">
      <c r="A29" s="30"/>
      <c r="B29" s="64" t="s">
        <v>2897</v>
      </c>
      <c r="C29" s="32" t="s">
        <v>2824</v>
      </c>
      <c r="D29" s="59" t="s">
        <v>2898</v>
      </c>
      <c r="E29" s="34" t="s">
        <v>2852</v>
      </c>
      <c r="F29" s="50" t="s">
        <v>2219</v>
      </c>
      <c r="G29" s="61">
        <v>3</v>
      </c>
      <c r="H29" s="61">
        <v>4</v>
      </c>
      <c r="I29" s="62">
        <v>45962</v>
      </c>
      <c r="J29" s="63"/>
      <c r="K29" s="62"/>
      <c r="L29" s="54" t="s">
        <v>1487</v>
      </c>
      <c r="M29" s="41">
        <f>_xlfn.XLOOKUP(L29,'relaties_export_2026-01-12_1609'!B:B,'relaties_export_2026-01-12_1609'!A:A,"",3)</f>
        <v>347</v>
      </c>
      <c r="N29" s="41" t="str">
        <f>_xlfn.XLOOKUP(M29,'relaties_export_2026-01-12_1609'!A:A,'relaties_export_2026-01-12_1609'!B:B,"",3)</f>
        <v>FISSH B.V.</v>
      </c>
      <c r="O29" s="50"/>
      <c r="P29" s="43">
        <f>R29-V29-AD29</f>
        <v>478.11999999999989</v>
      </c>
      <c r="Q29" s="43">
        <f t="shared" ref="Q29" si="9">T29*1.09+U29*1.21</f>
        <v>3197</v>
      </c>
      <c r="R29" s="44">
        <f>T29+U29</f>
        <v>2900</v>
      </c>
      <c r="S29" s="43">
        <f t="shared" ref="S29" si="10">(R29/G29)/4.3333</f>
        <v>223.07863906645434</v>
      </c>
      <c r="T29" s="45">
        <v>2600</v>
      </c>
      <c r="U29" s="46">
        <v>300</v>
      </c>
      <c r="V29" s="46"/>
      <c r="W29"/>
      <c r="X29" s="23"/>
      <c r="Y29" s="56" t="s">
        <v>2655</v>
      </c>
      <c r="Z29" s="47">
        <f>_xlfn.XLOOKUP(Y29,'relaties_export_2026-01-12_1609'!B:B,'relaties_export_2026-01-12_1609'!A:A,"",3)</f>
        <v>726</v>
      </c>
      <c r="AA29" s="47" t="str">
        <f>_xlfn.XLOOKUP(Z29,'relaties_export_2026-01-12_1609'!A:A,'relaties_export_2026-01-12_1609'!B:B,"",3)</f>
        <v>Cris</v>
      </c>
      <c r="AB29" s="67" t="s">
        <v>2854</v>
      </c>
      <c r="AC29" s="46">
        <v>2658.55</v>
      </c>
      <c r="AD29" s="70">
        <v>2421.88</v>
      </c>
      <c r="AE29" s="70">
        <v>1707.66</v>
      </c>
      <c r="AF29" s="46">
        <f t="shared" ref="AF29" si="11">(AD29/G29)/4.33333</f>
        <v>186.29860484508066</v>
      </c>
      <c r="AG29" s="49">
        <v>45962</v>
      </c>
      <c r="AH29" s="49"/>
      <c r="AI29" s="57"/>
      <c r="AJ29" s="57"/>
      <c r="AK29" s="57"/>
      <c r="AL29" s="57"/>
      <c r="AQ29" s="58"/>
    </row>
    <row r="30" spans="1:43" s="29" customFormat="1" ht="17" thickBot="1" x14ac:dyDescent="0.25">
      <c r="A30" s="30">
        <v>26</v>
      </c>
      <c r="B30" s="31" t="str">
        <f>_xlfn.XLOOKUP(D30,'[1]Sleutelplan nieuw'!B:B,'[1]Sleutelplan nieuw'!A:A,"",2)</f>
        <v>0002</v>
      </c>
      <c r="C30" s="32" t="s">
        <v>2831</v>
      </c>
      <c r="D30" s="59" t="s">
        <v>2899</v>
      </c>
      <c r="E30" s="60" t="s">
        <v>2900</v>
      </c>
      <c r="F30" s="72" t="s">
        <v>1632</v>
      </c>
      <c r="G30" s="61">
        <v>4</v>
      </c>
      <c r="H30" s="61">
        <v>3</v>
      </c>
      <c r="I30" s="62">
        <v>44946</v>
      </c>
      <c r="J30" s="63">
        <v>45311</v>
      </c>
      <c r="K30" s="36"/>
      <c r="L30" s="54" t="s">
        <v>2901</v>
      </c>
      <c r="M30" s="41">
        <f>_xlfn.XLOOKUP(L30,'relaties_export_2026-01-12_1609'!B:B,'relaties_export_2026-01-12_1609'!A:A,"",3)</f>
        <v>260</v>
      </c>
      <c r="N30" s="41" t="str">
        <f>_xlfn.XLOOKUP(M30,'relaties_export_2026-01-12_1609'!A:A,'relaties_export_2026-01-12_1609'!B:B,"",3)</f>
        <v>Looije Facilities B.V.</v>
      </c>
      <c r="O30" s="50"/>
      <c r="P30" s="43">
        <f t="shared" ref="P30:P73" si="12">R30-U30-V30-AD30</f>
        <v>412.68000000000006</v>
      </c>
      <c r="Q30" s="43">
        <f>T30*1.09+U30*1.21</f>
        <v>1994.1877000000002</v>
      </c>
      <c r="R30" s="44">
        <f>T30+U30</f>
        <v>1829.53</v>
      </c>
      <c r="S30" s="45">
        <f>(R30/G30)/4.33333</f>
        <v>105.54988888452991</v>
      </c>
      <c r="T30" s="45">
        <v>1829.53</v>
      </c>
      <c r="U30" s="46">
        <v>0</v>
      </c>
      <c r="V30" s="46">
        <v>0</v>
      </c>
      <c r="W30"/>
      <c r="X30" s="23"/>
      <c r="Y30" s="73" t="s">
        <v>2902</v>
      </c>
      <c r="Z30" s="47" t="str">
        <f>_xlfn.XLOOKUP(Y30,'relaties_export_2026-01-12_1609'!B:B,'relaties_export_2026-01-12_1609'!A:A,"",3)</f>
        <v/>
      </c>
      <c r="AA30" s="47" t="str">
        <f>_xlfn.XLOOKUP(Z30,'relaties_export_2026-01-12_1609'!A:A,'relaties_export_2026-01-12_1609'!B:B,"",3)</f>
        <v>naam</v>
      </c>
      <c r="AB30" s="74"/>
      <c r="AC30" s="48">
        <v>1416.85</v>
      </c>
      <c r="AD30" s="48">
        <v>1416.85</v>
      </c>
      <c r="AE30" s="48">
        <v>1391.85</v>
      </c>
      <c r="AF30" s="46">
        <f t="shared" si="1"/>
        <v>81.741409031853095</v>
      </c>
      <c r="AG30" s="49">
        <v>44946</v>
      </c>
      <c r="AH30" s="34"/>
    </row>
    <row r="31" spans="1:43" s="29" customFormat="1" ht="17" thickBot="1" x14ac:dyDescent="0.25">
      <c r="A31" s="30">
        <v>28</v>
      </c>
      <c r="B31" s="31" t="str">
        <f>_xlfn.XLOOKUP(D31,'[1]Sleutelplan nieuw'!B:B,'[1]Sleutelplan nieuw'!A:A,"",2)</f>
        <v>0043</v>
      </c>
      <c r="C31" s="32" t="s">
        <v>2831</v>
      </c>
      <c r="D31" s="59" t="s">
        <v>2903</v>
      </c>
      <c r="E31" s="60" t="s">
        <v>2904</v>
      </c>
      <c r="F31" s="50" t="s">
        <v>2905</v>
      </c>
      <c r="G31" s="61">
        <v>4</v>
      </c>
      <c r="H31" s="61">
        <v>4</v>
      </c>
      <c r="I31" s="62">
        <v>45208</v>
      </c>
      <c r="J31" s="63">
        <v>45573</v>
      </c>
      <c r="K31" s="75"/>
      <c r="L31" s="54" t="s">
        <v>144</v>
      </c>
      <c r="M31" s="41">
        <f>_xlfn.XLOOKUP(L31,'relaties_export_2026-01-12_1609'!B:B,'relaties_export_2026-01-12_1609'!A:A,"",3)</f>
        <v>26</v>
      </c>
      <c r="N31" s="41" t="str">
        <f>_xlfn.XLOOKUP(M31,'relaties_export_2026-01-12_1609'!A:A,'relaties_export_2026-01-12_1609'!B:B,"",3)</f>
        <v>Vivir Wonen</v>
      </c>
      <c r="O31" s="50"/>
      <c r="P31" s="43">
        <f t="shared" si="12"/>
        <v>753.42000000000007</v>
      </c>
      <c r="Q31" s="43">
        <f t="shared" ref="Q31:Q37" si="13">T31*1.09+U31*1.21</f>
        <v>2693.4663000000005</v>
      </c>
      <c r="R31" s="44">
        <f t="shared" ref="R31:R37" si="14">T31+U31</f>
        <v>2471.0700000000002</v>
      </c>
      <c r="S31" s="43">
        <f>(R31/G31)/4.3333</f>
        <v>142.56282740636468</v>
      </c>
      <c r="T31" s="45">
        <v>2471.0700000000002</v>
      </c>
      <c r="U31" s="46">
        <v>0</v>
      </c>
      <c r="V31" s="46">
        <v>0</v>
      </c>
      <c r="W31"/>
      <c r="X31" s="23"/>
      <c r="Y31" s="56" t="s">
        <v>2673</v>
      </c>
      <c r="Z31" s="47">
        <f>_xlfn.XLOOKUP(Y31,'relaties_export_2026-01-12_1609'!B:B,'relaties_export_2026-01-12_1609'!A:A,"",3)</f>
        <v>792</v>
      </c>
      <c r="AA31" s="47" t="str">
        <f>_xlfn.XLOOKUP(Z31,'relaties_export_2026-01-12_1609'!A:A,'relaties_export_2026-01-12_1609'!B:B,"",3)</f>
        <v>H. Samson</v>
      </c>
      <c r="AB31" s="46" t="s">
        <v>2906</v>
      </c>
      <c r="AC31" s="46">
        <v>1717.65</v>
      </c>
      <c r="AD31" s="46">
        <v>1717.65</v>
      </c>
      <c r="AE31" s="46">
        <v>1717.65</v>
      </c>
      <c r="AF31" s="46">
        <f t="shared" si="1"/>
        <v>99.095268534821955</v>
      </c>
      <c r="AG31" s="49">
        <v>44381</v>
      </c>
      <c r="AH31" s="49">
        <v>45474</v>
      </c>
      <c r="AI31" s="57"/>
      <c r="AJ31" s="57"/>
      <c r="AK31" s="57"/>
      <c r="AL31" s="57"/>
      <c r="AQ31" s="58"/>
    </row>
    <row r="32" spans="1:43" s="29" customFormat="1" ht="17" thickBot="1" x14ac:dyDescent="0.25">
      <c r="A32" s="30">
        <v>29</v>
      </c>
      <c r="B32" s="64" t="s">
        <v>2907</v>
      </c>
      <c r="C32" s="32" t="s">
        <v>2824</v>
      </c>
      <c r="D32" s="59" t="s">
        <v>2908</v>
      </c>
      <c r="E32" s="60" t="s">
        <v>2909</v>
      </c>
      <c r="F32" s="50" t="s">
        <v>481</v>
      </c>
      <c r="G32" s="61">
        <v>3</v>
      </c>
      <c r="H32" s="61">
        <v>2</v>
      </c>
      <c r="I32" s="62">
        <v>45405</v>
      </c>
      <c r="J32" s="63">
        <v>45769</v>
      </c>
      <c r="K32" s="75"/>
      <c r="L32" s="54" t="s">
        <v>2672</v>
      </c>
      <c r="M32" s="41">
        <f>_xlfn.XLOOKUP(L32,'relaties_export_2026-01-12_1609'!B:B,'relaties_export_2026-01-12_1609'!A:A,"",3)</f>
        <v>17</v>
      </c>
      <c r="N32" s="41" t="str">
        <f>_xlfn.XLOOKUP(M32,'relaties_export_2026-01-12_1609'!A:A,'relaties_export_2026-01-12_1609'!B:B,"",3)</f>
        <v>Tradiro Services B.V.</v>
      </c>
      <c r="O32" s="50"/>
      <c r="P32" s="43">
        <f t="shared" si="12"/>
        <v>130.13000000000011</v>
      </c>
      <c r="Q32" s="43">
        <f t="shared" si="13"/>
        <v>1843.8767000000003</v>
      </c>
      <c r="R32" s="44">
        <f t="shared" si="14"/>
        <v>1691.63</v>
      </c>
      <c r="S32" s="43">
        <f>(R32/G32)/4.3333</f>
        <v>130.12638558758144</v>
      </c>
      <c r="T32" s="45">
        <v>1691.63</v>
      </c>
      <c r="U32" s="46">
        <v>0</v>
      </c>
      <c r="V32" s="46">
        <v>0</v>
      </c>
      <c r="W32"/>
      <c r="X32" s="23"/>
      <c r="Y32" s="56" t="s">
        <v>1162</v>
      </c>
      <c r="Z32" s="47">
        <f>_xlfn.XLOOKUP(Y32,'relaties_export_2026-01-12_1609'!B:B,'relaties_export_2026-01-12_1609'!A:A,"",3)</f>
        <v>258</v>
      </c>
      <c r="AA32" s="47" t="str">
        <f>_xlfn.XLOOKUP(Z32,'relaties_export_2026-01-12_1609'!A:A,'relaties_export_2026-01-12_1609'!B:B,"",3)</f>
        <v>Parkwonen</v>
      </c>
      <c r="AB32" s="46"/>
      <c r="AC32" s="46">
        <v>1561.5</v>
      </c>
      <c r="AD32" s="46">
        <v>1561.5</v>
      </c>
      <c r="AE32" s="46">
        <v>1561.5</v>
      </c>
      <c r="AF32" s="46">
        <f t="shared" si="1"/>
        <v>120.11547701190538</v>
      </c>
      <c r="AG32" s="49"/>
      <c r="AH32" s="49"/>
      <c r="AI32" s="57"/>
      <c r="AJ32" s="57"/>
      <c r="AK32" s="57"/>
      <c r="AL32" s="57"/>
      <c r="AQ32" s="58"/>
    </row>
    <row r="33" spans="1:53" s="29" customFormat="1" ht="17" thickBot="1" x14ac:dyDescent="0.25">
      <c r="A33" s="30">
        <v>30</v>
      </c>
      <c r="B33" s="31" t="str" cm="1">
        <f t="array" ref="B33">_xlfn.XLOOKUP(LEFT(D33,3),LEFT('[1]Sleutelplan nieuw'!B:B,3),'[1]Sleutelplan nieuw'!A:A,"",2)</f>
        <v>0353</v>
      </c>
      <c r="C33" s="32" t="s">
        <v>2824</v>
      </c>
      <c r="D33" s="59" t="s">
        <v>2910</v>
      </c>
      <c r="E33" s="60" t="s">
        <v>2911</v>
      </c>
      <c r="F33" s="50" t="s">
        <v>481</v>
      </c>
      <c r="G33" s="61">
        <v>4</v>
      </c>
      <c r="H33" s="61">
        <v>2</v>
      </c>
      <c r="I33" s="62">
        <v>45748</v>
      </c>
      <c r="J33" s="63" t="s">
        <v>2912</v>
      </c>
      <c r="K33" s="75"/>
      <c r="L33" s="54" t="s">
        <v>2672</v>
      </c>
      <c r="M33" s="41">
        <f>_xlfn.XLOOKUP(L33,'relaties_export_2026-01-12_1609'!B:B,'relaties_export_2026-01-12_1609'!A:A,"",3)</f>
        <v>17</v>
      </c>
      <c r="N33" s="41" t="str">
        <f>_xlfn.XLOOKUP(M33,'relaties_export_2026-01-12_1609'!A:A,'relaties_export_2026-01-12_1609'!B:B,"",3)</f>
        <v>Tradiro Services B.V.</v>
      </c>
      <c r="O33" s="50"/>
      <c r="P33" s="43">
        <f t="shared" si="12"/>
        <v>373.96000000000004</v>
      </c>
      <c r="Q33" s="43">
        <f t="shared" si="13"/>
        <v>1770.1164000000001</v>
      </c>
      <c r="R33" s="44">
        <f t="shared" si="14"/>
        <v>1623.96</v>
      </c>
      <c r="S33" s="43">
        <f>(R33/G33)/4.3333</f>
        <v>93.690720697851518</v>
      </c>
      <c r="T33" s="45">
        <v>1623.96</v>
      </c>
      <c r="U33" s="46">
        <v>0</v>
      </c>
      <c r="V33" s="46"/>
      <c r="W33"/>
      <c r="X33" s="23"/>
      <c r="Y33" s="56" t="s">
        <v>1211</v>
      </c>
      <c r="Z33" s="47">
        <f>_xlfn.XLOOKUP(Y33,'relaties_export_2026-01-12_1609'!B:B,'relaties_export_2026-01-12_1609'!A:A,"",3)</f>
        <v>271</v>
      </c>
      <c r="AA33" s="47" t="str">
        <f>_xlfn.XLOOKUP(Z33,'relaties_export_2026-01-12_1609'!A:A,'relaties_export_2026-01-12_1609'!B:B,"",3)</f>
        <v>Houses2Rent</v>
      </c>
      <c r="AB33" s="69" t="s">
        <v>2913</v>
      </c>
      <c r="AC33" s="46">
        <v>1250</v>
      </c>
      <c r="AD33" s="46">
        <v>1250</v>
      </c>
      <c r="AE33" s="46">
        <v>1250</v>
      </c>
      <c r="AF33" s="46">
        <f t="shared" si="1"/>
        <v>72.115440088800071</v>
      </c>
      <c r="AG33" s="49">
        <v>45748</v>
      </c>
      <c r="AH33" s="49"/>
      <c r="AI33" s="57"/>
      <c r="AJ33" s="57"/>
      <c r="AK33" s="57"/>
      <c r="AL33" s="57"/>
      <c r="AQ33" s="58"/>
    </row>
    <row r="34" spans="1:53" s="29" customFormat="1" ht="17" thickBot="1" x14ac:dyDescent="0.25">
      <c r="A34" s="30">
        <v>32</v>
      </c>
      <c r="B34" s="31" t="str">
        <f>_xlfn.XLOOKUP(D34,'[1]Sleutelplan nieuw'!B:B,'[1]Sleutelplan nieuw'!A:A,"",2)</f>
        <v>0055</v>
      </c>
      <c r="C34" s="32" t="s">
        <v>2831</v>
      </c>
      <c r="D34" s="59" t="s">
        <v>2914</v>
      </c>
      <c r="E34" s="60" t="s">
        <v>2915</v>
      </c>
      <c r="F34" s="76" t="s">
        <v>2916</v>
      </c>
      <c r="G34" s="77">
        <v>4</v>
      </c>
      <c r="H34" s="77">
        <v>4</v>
      </c>
      <c r="I34" s="78"/>
      <c r="J34" s="78"/>
      <c r="K34" s="79"/>
      <c r="L34" s="54" t="s">
        <v>2917</v>
      </c>
      <c r="M34" s="41">
        <f>_xlfn.XLOOKUP(L34,'relaties_export_2026-01-12_1609'!B:B,'relaties_export_2026-01-12_1609'!A:A,"",3)</f>
        <v>310</v>
      </c>
      <c r="N34" s="41" t="str">
        <f>_xlfn.XLOOKUP(M34,'relaties_export_2026-01-12_1609'!A:A,'relaties_export_2026-01-12_1609'!B:B,"",3)</f>
        <v>HousingWell B.V.</v>
      </c>
      <c r="O34" s="42"/>
      <c r="P34" s="43">
        <f t="shared" si="12"/>
        <v>697.4699999999998</v>
      </c>
      <c r="Q34" s="43">
        <f t="shared" si="13"/>
        <v>3332.1223</v>
      </c>
      <c r="R34" s="44">
        <f t="shared" si="14"/>
        <v>3029.47</v>
      </c>
      <c r="S34" s="45">
        <f t="shared" ref="S34:S41" si="15">(R34/G34)/4.33333</f>
        <v>174.77724982865371</v>
      </c>
      <c r="T34" s="45">
        <v>2779.47</v>
      </c>
      <c r="U34" s="46">
        <v>250</v>
      </c>
      <c r="V34" s="46"/>
      <c r="W34"/>
      <c r="X34" s="23"/>
      <c r="Y34" s="56" t="s">
        <v>2733</v>
      </c>
      <c r="Z34" s="47">
        <f>_xlfn.XLOOKUP(Y34,'relaties_export_2026-01-12_1609'!B:B,'relaties_export_2026-01-12_1609'!A:A,"",3)</f>
        <v>852</v>
      </c>
      <c r="AA34" s="47" t="str">
        <f>_xlfn.XLOOKUP(Z34,'relaties_export_2026-01-12_1609'!A:A,'relaties_export_2026-01-12_1609'!B:B,"",3)</f>
        <v>R. Verspui</v>
      </c>
      <c r="AB34" s="69" t="s">
        <v>2918</v>
      </c>
      <c r="AC34" s="46">
        <v>2082</v>
      </c>
      <c r="AD34" s="46">
        <v>2082</v>
      </c>
      <c r="AE34" s="46">
        <v>2082</v>
      </c>
      <c r="AF34" s="46">
        <f t="shared" si="1"/>
        <v>120.11547701190538</v>
      </c>
      <c r="AG34" s="49">
        <v>45473</v>
      </c>
      <c r="AH34" s="49">
        <v>45837</v>
      </c>
      <c r="AI34"/>
      <c r="AJ34"/>
      <c r="AK34" s="80"/>
      <c r="AL34" s="80"/>
      <c r="AO34" s="34"/>
      <c r="AP34" s="34"/>
      <c r="AQ34" s="58"/>
      <c r="AT34" s="81"/>
      <c r="AU34" s="81"/>
      <c r="AY34" s="82"/>
    </row>
    <row r="35" spans="1:53" s="29" customFormat="1" ht="17" thickBot="1" x14ac:dyDescent="0.25">
      <c r="A35" s="30">
        <v>33</v>
      </c>
      <c r="B35" s="31" t="str">
        <f>_xlfn.XLOOKUP(D35,'[1]Sleutelplan nieuw'!B:B,'[1]Sleutelplan nieuw'!A:A,"",2)</f>
        <v>0012</v>
      </c>
      <c r="C35" s="32" t="s">
        <v>2831</v>
      </c>
      <c r="D35" s="59" t="s">
        <v>2919</v>
      </c>
      <c r="E35" s="60" t="s">
        <v>2920</v>
      </c>
      <c r="F35" s="76" t="s">
        <v>857</v>
      </c>
      <c r="G35" s="77">
        <v>4</v>
      </c>
      <c r="H35" s="77">
        <v>4</v>
      </c>
      <c r="I35" s="78">
        <v>44932</v>
      </c>
      <c r="J35" s="78">
        <v>45296</v>
      </c>
      <c r="K35" s="79"/>
      <c r="L35" s="54" t="s">
        <v>144</v>
      </c>
      <c r="M35" s="41">
        <f>_xlfn.XLOOKUP(L35,'relaties_export_2026-01-12_1609'!B:B,'relaties_export_2026-01-12_1609'!A:A,"",3)</f>
        <v>26</v>
      </c>
      <c r="N35" s="41" t="str">
        <f>_xlfn.XLOOKUP(M35,'relaties_export_2026-01-12_1609'!A:A,'relaties_export_2026-01-12_1609'!B:B,"",3)</f>
        <v>Vivir Wonen</v>
      </c>
      <c r="O35" s="50"/>
      <c r="P35" s="43">
        <f t="shared" si="12"/>
        <v>409.23</v>
      </c>
      <c r="Q35" s="43">
        <f t="shared" si="13"/>
        <v>2244.5607</v>
      </c>
      <c r="R35" s="44">
        <f t="shared" si="14"/>
        <v>2059.23</v>
      </c>
      <c r="S35" s="45">
        <f t="shared" si="15"/>
        <v>118.80182215524781</v>
      </c>
      <c r="T35" s="45">
        <v>2059.23</v>
      </c>
      <c r="U35" s="46">
        <v>0</v>
      </c>
      <c r="V35" s="46">
        <v>0</v>
      </c>
      <c r="W35"/>
      <c r="X35" s="23"/>
      <c r="Y35" s="56" t="s">
        <v>2671</v>
      </c>
      <c r="Z35" s="47">
        <f>_xlfn.XLOOKUP(Y35,'relaties_export_2026-01-12_1609'!B:B,'relaties_export_2026-01-12_1609'!A:A,"",3)</f>
        <v>790</v>
      </c>
      <c r="AA35" s="47" t="str">
        <f>_xlfn.XLOOKUP(Z35,'relaties_export_2026-01-12_1609'!A:A,'relaties_export_2026-01-12_1609'!B:B,"",3)</f>
        <v>Eva Laus</v>
      </c>
      <c r="AB35" s="46" t="s">
        <v>2849</v>
      </c>
      <c r="AC35" s="46">
        <v>1650</v>
      </c>
      <c r="AD35" s="46">
        <v>1650</v>
      </c>
      <c r="AE35" s="46">
        <v>1650</v>
      </c>
      <c r="AF35" s="46">
        <f t="shared" si="1"/>
        <v>95.192380917216084</v>
      </c>
      <c r="AG35" s="49">
        <v>44986</v>
      </c>
      <c r="AH35" s="49">
        <v>45351</v>
      </c>
      <c r="AI35"/>
      <c r="AJ35"/>
      <c r="AK35" s="80"/>
      <c r="AL35" s="80"/>
      <c r="AO35" s="34"/>
      <c r="AP35" s="34"/>
      <c r="AQ35" s="58"/>
      <c r="AT35" s="81"/>
      <c r="AU35" s="81"/>
      <c r="AY35" s="82"/>
    </row>
    <row r="36" spans="1:53" s="29" customFormat="1" ht="17" thickBot="1" x14ac:dyDescent="0.25">
      <c r="A36" s="30">
        <v>34</v>
      </c>
      <c r="B36" s="31" t="str">
        <f>_xlfn.XLOOKUP(D36,'[1]Sleutelplan nieuw'!B:B,'[1]Sleutelplan nieuw'!A:A,"",2)</f>
        <v>0013</v>
      </c>
      <c r="C36" s="32" t="s">
        <v>2831</v>
      </c>
      <c r="D36" s="59" t="s">
        <v>2921</v>
      </c>
      <c r="E36" s="60" t="s">
        <v>2922</v>
      </c>
      <c r="F36" s="76" t="s">
        <v>167</v>
      </c>
      <c r="G36" s="77">
        <v>5</v>
      </c>
      <c r="H36" s="77">
        <v>5</v>
      </c>
      <c r="I36" s="78">
        <v>45231</v>
      </c>
      <c r="J36" s="78">
        <v>45412</v>
      </c>
      <c r="K36" s="79" t="s">
        <v>2845</v>
      </c>
      <c r="L36" t="s">
        <v>2923</v>
      </c>
      <c r="M36" s="41">
        <f>_xlfn.XLOOKUP(L36,'relaties_export_2026-01-12_1609'!B:B,'relaties_export_2026-01-12_1609'!A:A,"",1)</f>
        <v>190</v>
      </c>
      <c r="N36" s="41" t="str">
        <f>_xlfn.XLOOKUP(M36,'relaties_export_2026-01-12_1609'!A:A,'relaties_export_2026-01-12_1609'!B:B,"",3)</f>
        <v>BBTS (Vastgoed Spijkenisse)</v>
      </c>
      <c r="O36" s="50"/>
      <c r="P36" s="43">
        <f t="shared" si="12"/>
        <v>2233.0400000000004</v>
      </c>
      <c r="Q36" s="43">
        <f t="shared" si="13"/>
        <v>5580.6690000000008</v>
      </c>
      <c r="R36" s="44">
        <f t="shared" si="14"/>
        <v>5084.1000000000004</v>
      </c>
      <c r="S36" s="45">
        <f t="shared" si="15"/>
        <v>234.65094973149979</v>
      </c>
      <c r="T36" s="45">
        <v>4759.1000000000004</v>
      </c>
      <c r="U36" s="46">
        <v>325</v>
      </c>
      <c r="V36" s="46">
        <v>0</v>
      </c>
      <c r="W36"/>
      <c r="X36" s="23"/>
      <c r="Y36" s="56" t="s">
        <v>2674</v>
      </c>
      <c r="Z36" s="47">
        <f>_xlfn.XLOOKUP(Y36,'relaties_export_2026-01-12_1609'!B:B,'relaties_export_2026-01-12_1609'!A:A,"",3)</f>
        <v>185</v>
      </c>
      <c r="AA36" s="47" t="str">
        <f>_xlfn.XLOOKUP(Z36,'relaties_export_2026-01-12_1609'!A:A,'relaties_export_2026-01-12_1609'!B:B,"",3)</f>
        <v>Dhr. R. J. Beking</v>
      </c>
      <c r="AB36" s="46" t="s">
        <v>2924</v>
      </c>
      <c r="AC36" s="46">
        <v>2526.06</v>
      </c>
      <c r="AD36" s="46">
        <v>2526.06</v>
      </c>
      <c r="AE36" s="46">
        <v>2526.06</v>
      </c>
      <c r="AF36" s="46">
        <f t="shared" si="1"/>
        <v>116.58747429805715</v>
      </c>
      <c r="AG36" s="49">
        <v>44835</v>
      </c>
      <c r="AH36" s="49">
        <v>45200</v>
      </c>
      <c r="AI36"/>
      <c r="AJ36"/>
      <c r="AK36" s="80"/>
      <c r="AL36" s="80"/>
      <c r="AO36" s="34"/>
      <c r="AP36" s="34"/>
      <c r="AQ36" s="58"/>
      <c r="AT36" s="81"/>
      <c r="AU36" s="81"/>
      <c r="AY36" s="82"/>
    </row>
    <row r="37" spans="1:53" s="29" customFormat="1" ht="17" thickBot="1" x14ac:dyDescent="0.25">
      <c r="A37" s="30">
        <v>35</v>
      </c>
      <c r="B37" s="31" t="str">
        <f>_xlfn.XLOOKUP(D37,'[1]Sleutelplan nieuw'!B:B,'[1]Sleutelplan nieuw'!A:A,"",2)</f>
        <v>0040</v>
      </c>
      <c r="C37" s="32" t="s">
        <v>2831</v>
      </c>
      <c r="D37" s="59" t="s">
        <v>2925</v>
      </c>
      <c r="E37" s="60" t="s">
        <v>2926</v>
      </c>
      <c r="F37" s="76" t="s">
        <v>415</v>
      </c>
      <c r="G37" s="77">
        <v>3</v>
      </c>
      <c r="H37" s="77">
        <v>3</v>
      </c>
      <c r="I37" s="78">
        <v>45940</v>
      </c>
      <c r="J37" s="78">
        <v>46304</v>
      </c>
      <c r="K37" s="79"/>
      <c r="L37" s="83" t="s">
        <v>2927</v>
      </c>
      <c r="M37" s="41">
        <f>_xlfn.XLOOKUP(L37,'relaties_export_2026-01-12_1609'!B:B,'relaties_export_2026-01-12_1609'!A:A,"",3)</f>
        <v>220</v>
      </c>
      <c r="N37" s="41" t="str">
        <f>_xlfn.XLOOKUP(M37,'relaties_export_2026-01-12_1609'!A:A,'relaties_export_2026-01-12_1609'!B:B,"",3)</f>
        <v>Impes Service S.p.A.</v>
      </c>
      <c r="O37" s="84" t="s">
        <v>2928</v>
      </c>
      <c r="P37" s="43">
        <f t="shared" si="12"/>
        <v>743</v>
      </c>
      <c r="Q37" s="43">
        <f t="shared" si="13"/>
        <v>3627.0000000000005</v>
      </c>
      <c r="R37" s="44">
        <f t="shared" si="14"/>
        <v>3300</v>
      </c>
      <c r="S37" s="45">
        <f t="shared" si="15"/>
        <v>253.84634911257623</v>
      </c>
      <c r="T37" s="45">
        <v>3050</v>
      </c>
      <c r="U37" s="46">
        <v>250</v>
      </c>
      <c r="V37" s="46">
        <v>0</v>
      </c>
      <c r="W37" s="85"/>
      <c r="X37" s="23"/>
      <c r="Y37" s="56" t="s">
        <v>2675</v>
      </c>
      <c r="Z37" s="47">
        <f>_xlfn.XLOOKUP(Y37,'relaties_export_2026-01-12_1609'!B:B,'relaties_export_2026-01-12_1609'!A:A,"",3)</f>
        <v>180</v>
      </c>
      <c r="AA37" s="47" t="str">
        <f>_xlfn.XLOOKUP(Z37,'relaties_export_2026-01-12_1609'!A:A,'relaties_export_2026-01-12_1609'!B:B,"",3)</f>
        <v>Mw. M. Hyllested Poulsen en Dhr. S. Crull</v>
      </c>
      <c r="AB37" s="46" t="s">
        <v>2929</v>
      </c>
      <c r="AC37" s="46">
        <v>2307</v>
      </c>
      <c r="AD37" s="46">
        <v>2307</v>
      </c>
      <c r="AE37" s="46">
        <v>2307</v>
      </c>
      <c r="AF37" s="46">
        <f t="shared" si="1"/>
        <v>177.4616749705192</v>
      </c>
      <c r="AG37" s="49">
        <v>44835</v>
      </c>
      <c r="AH37" s="34" t="s">
        <v>2930</v>
      </c>
      <c r="AI37"/>
      <c r="AJ37"/>
      <c r="AK37" s="80"/>
      <c r="AL37" s="80"/>
      <c r="AO37" s="34"/>
      <c r="AP37" s="34"/>
      <c r="AQ37" s="58"/>
      <c r="AT37" s="81"/>
      <c r="AU37" s="81"/>
      <c r="AY37" s="86"/>
    </row>
    <row r="38" spans="1:53" s="29" customFormat="1" ht="31" thickBot="1" x14ac:dyDescent="0.25">
      <c r="A38" s="30">
        <v>36</v>
      </c>
      <c r="B38" s="31" t="str">
        <f>_xlfn.XLOOKUP(D38,'[1]Sleutelplan nieuw'!B:B,'[1]Sleutelplan nieuw'!A:A,"",2)</f>
        <v>0152</v>
      </c>
      <c r="C38" s="32" t="s">
        <v>2824</v>
      </c>
      <c r="D38" s="59" t="s">
        <v>2931</v>
      </c>
      <c r="E38" s="60" t="s">
        <v>2932</v>
      </c>
      <c r="F38" s="76" t="s">
        <v>2933</v>
      </c>
      <c r="G38" s="77">
        <v>8</v>
      </c>
      <c r="H38" s="77">
        <v>4</v>
      </c>
      <c r="I38" s="78">
        <v>45898</v>
      </c>
      <c r="J38" s="78">
        <v>46262</v>
      </c>
      <c r="K38" s="79"/>
      <c r="L38" t="s">
        <v>1541</v>
      </c>
      <c r="M38" s="41">
        <f>_xlfn.XLOOKUP(L38,'relaties_export_2026-01-12_1609'!B:B,'relaties_export_2026-01-12_1609'!A:A,"",3)</f>
        <v>360</v>
      </c>
      <c r="N38" s="41" t="str">
        <f>_xlfn.XLOOKUP(M38,'relaties_export_2026-01-12_1609'!A:A,'relaties_export_2026-01-12_1609'!B:B,"",3)</f>
        <v>Duijndam Personeelsdiensten B.V.</v>
      </c>
      <c r="O38" s="42" t="s">
        <v>2845</v>
      </c>
      <c r="P38" s="43">
        <f t="shared" si="12"/>
        <v>394</v>
      </c>
      <c r="Q38" s="43">
        <f>T38*1.09+U38*1.21</f>
        <v>5558.5</v>
      </c>
      <c r="R38" s="44">
        <f>T38+U38</f>
        <v>5050</v>
      </c>
      <c r="S38" s="45">
        <f t="shared" si="15"/>
        <v>145.67318897937614</v>
      </c>
      <c r="T38" s="45">
        <v>4600</v>
      </c>
      <c r="U38" s="46">
        <v>450</v>
      </c>
      <c r="V38" s="46">
        <v>0</v>
      </c>
      <c r="W38" s="85"/>
      <c r="X38" s="23"/>
      <c r="Y38" s="56" t="s">
        <v>980</v>
      </c>
      <c r="Z38" s="47">
        <f>_xlfn.XLOOKUP(Y38,'relaties_export_2026-01-12_1609'!B:B,'relaties_export_2026-01-12_1609'!A:A,"",3)</f>
        <v>211</v>
      </c>
      <c r="AA38" s="47" t="str">
        <f>_xlfn.XLOOKUP(Z38,'relaties_export_2026-01-12_1609'!A:A,'relaties_export_2026-01-12_1609'!B:B,"",3)</f>
        <v>Homescout21 B.V.</v>
      </c>
      <c r="AB38" s="46"/>
      <c r="AC38" s="46">
        <v>4206</v>
      </c>
      <c r="AD38" s="46">
        <v>4206</v>
      </c>
      <c r="AE38" s="46">
        <v>4206</v>
      </c>
      <c r="AF38" s="46">
        <f t="shared" si="1"/>
        <v>121.32701640539723</v>
      </c>
      <c r="AG38" s="49"/>
      <c r="AH38" s="34"/>
      <c r="AI38"/>
      <c r="AJ38"/>
      <c r="AK38" s="80"/>
      <c r="AL38" s="80"/>
      <c r="AO38" s="34"/>
      <c r="AP38" s="34"/>
      <c r="AQ38" s="58"/>
      <c r="AT38" s="81"/>
      <c r="AU38" s="81"/>
      <c r="AY38" s="86"/>
    </row>
    <row r="39" spans="1:53" s="29" customFormat="1" ht="17" thickBot="1" x14ac:dyDescent="0.25">
      <c r="A39" s="30">
        <v>38</v>
      </c>
      <c r="B39" s="31" t="str">
        <f>_xlfn.XLOOKUP(D39,'[1]Sleutelplan nieuw'!B:B,'[1]Sleutelplan nieuw'!A:A,"",2)</f>
        <v>0322</v>
      </c>
      <c r="C39" s="32" t="s">
        <v>2824</v>
      </c>
      <c r="D39" s="59" t="s">
        <v>2934</v>
      </c>
      <c r="E39" s="60" t="s">
        <v>2935</v>
      </c>
      <c r="F39" s="87" t="s">
        <v>742</v>
      </c>
      <c r="G39" s="88">
        <v>4</v>
      </c>
      <c r="H39" s="88">
        <v>4</v>
      </c>
      <c r="I39" s="89">
        <v>45803</v>
      </c>
      <c r="J39" s="78">
        <v>45925</v>
      </c>
      <c r="K39" s="90"/>
      <c r="L39" s="91" t="s">
        <v>2936</v>
      </c>
      <c r="M39" s="41">
        <f>_xlfn.XLOOKUP(L39,'relaties_export_2026-01-12_1609'!B:B,'relaties_export_2026-01-12_1609'!A:A,"",3)</f>
        <v>352</v>
      </c>
      <c r="N39" s="41" t="str">
        <f>_xlfn.XLOOKUP(M39,'relaties_export_2026-01-12_1609'!A:A,'relaties_export_2026-01-12_1609'!B:B,"",3)</f>
        <v>CB Construction UAB</v>
      </c>
      <c r="O39" s="71" t="s">
        <v>2937</v>
      </c>
      <c r="P39" s="43">
        <f t="shared" si="12"/>
        <v>-1650</v>
      </c>
      <c r="Q39" s="43"/>
      <c r="R39" s="44"/>
      <c r="S39" s="45"/>
      <c r="T39" s="92"/>
      <c r="U39" s="46">
        <v>250</v>
      </c>
      <c r="V39" s="46"/>
      <c r="W39"/>
      <c r="X39" s="23"/>
      <c r="Y39" s="56" t="s">
        <v>2676</v>
      </c>
      <c r="Z39" s="47">
        <f>_xlfn.XLOOKUP(Y39,'relaties_export_2026-01-12_1609'!B:B,'relaties_export_2026-01-12_1609'!A:A,"",3)</f>
        <v>795</v>
      </c>
      <c r="AA39" s="47" t="str">
        <f>_xlfn.XLOOKUP(Z39,'relaties_export_2026-01-12_1609'!A:A,'relaties_export_2026-01-12_1609'!B:B,"",3)</f>
        <v>J.P. Stoel</v>
      </c>
      <c r="AB39" s="46" t="s">
        <v>2938</v>
      </c>
      <c r="AC39" s="46">
        <v>1400</v>
      </c>
      <c r="AD39" s="46">
        <v>1400</v>
      </c>
      <c r="AE39" s="46">
        <v>1400</v>
      </c>
      <c r="AF39" s="46">
        <f t="shared" si="1"/>
        <v>80.769292899456076</v>
      </c>
      <c r="AG39" s="49">
        <v>45689</v>
      </c>
      <c r="AH39" s="49">
        <v>46054</v>
      </c>
      <c r="AI39"/>
      <c r="AJ39"/>
      <c r="AK39" s="80"/>
      <c r="AL39" s="80"/>
      <c r="AO39" s="34"/>
      <c r="AP39" s="34"/>
      <c r="AQ39" s="58"/>
      <c r="AT39" s="81"/>
      <c r="AU39" s="81"/>
      <c r="AY39" s="86"/>
    </row>
    <row r="40" spans="1:53" s="29" customFormat="1" ht="17" thickBot="1" x14ac:dyDescent="0.25">
      <c r="A40" s="30">
        <v>39</v>
      </c>
      <c r="B40" s="31" t="str">
        <f>_xlfn.XLOOKUP(D40,'[1]Sleutelplan nieuw'!B:B,'[1]Sleutelplan nieuw'!A:A,"",2)</f>
        <v>0346</v>
      </c>
      <c r="C40" s="32" t="s">
        <v>2824</v>
      </c>
      <c r="D40" s="59" t="s">
        <v>2939</v>
      </c>
      <c r="E40" s="60" t="s">
        <v>2940</v>
      </c>
      <c r="F40" s="87" t="s">
        <v>415</v>
      </c>
      <c r="G40" s="88">
        <v>6</v>
      </c>
      <c r="H40" s="88">
        <v>3</v>
      </c>
      <c r="I40" s="89">
        <v>45717</v>
      </c>
      <c r="J40" s="78"/>
      <c r="K40" s="90"/>
      <c r="L40" t="s">
        <v>1239</v>
      </c>
      <c r="M40" s="41">
        <f>_xlfn.XLOOKUP(L40,'relaties_export_2026-01-12_1609'!B:B,'relaties_export_2026-01-12_1609'!A:A,"",2)</f>
        <v>277</v>
      </c>
      <c r="N40" s="41" t="str">
        <f>_xlfn.XLOOKUP(M40,'relaties_export_2026-01-12_1609'!A:A,'relaties_export_2026-01-12_1609'!B:B,"",3)</f>
        <v>PMM Workforce Management Ltd</v>
      </c>
      <c r="O40" s="93" t="s">
        <v>2941</v>
      </c>
      <c r="P40" s="43">
        <f t="shared" si="12"/>
        <v>0</v>
      </c>
      <c r="Q40" s="43"/>
      <c r="R40" s="44"/>
      <c r="S40" s="45"/>
      <c r="T40" s="45"/>
      <c r="U40" s="46"/>
      <c r="V40" s="46"/>
      <c r="W40"/>
      <c r="X40" s="23"/>
      <c r="Y40" s="56" t="s">
        <v>2677</v>
      </c>
      <c r="Z40" s="47">
        <f>_xlfn.XLOOKUP(Y40,'relaties_export_2026-01-12_1609'!B:B,'relaties_export_2026-01-12_1609'!A:A,"",3)</f>
        <v>796</v>
      </c>
      <c r="AA40" s="47" t="str">
        <f>_xlfn.XLOOKUP(Z40,'relaties_export_2026-01-12_1609'!A:A,'relaties_export_2026-01-12_1609'!B:B,"",3)</f>
        <v>TwinsBV</v>
      </c>
      <c r="AB40" s="46"/>
      <c r="AC40" s="46"/>
      <c r="AD40" s="46"/>
      <c r="AE40" s="46"/>
      <c r="AF40" s="46"/>
      <c r="AG40" s="49"/>
      <c r="AH40" s="49"/>
      <c r="AI40"/>
      <c r="AJ40"/>
      <c r="AK40" s="80"/>
      <c r="AL40" s="80"/>
      <c r="AO40" s="34"/>
      <c r="AP40" s="34"/>
      <c r="AQ40" s="58"/>
      <c r="AT40" s="81"/>
      <c r="AU40" s="81"/>
      <c r="AY40" s="86"/>
    </row>
    <row r="41" spans="1:53" s="29" customFormat="1" ht="17" thickBot="1" x14ac:dyDescent="0.25">
      <c r="A41" s="30">
        <v>40</v>
      </c>
      <c r="B41" s="31" t="str">
        <f>_xlfn.XLOOKUP(D41,'[1]Sleutelplan nieuw'!B:B,'[1]Sleutelplan nieuw'!A:A,"",2)</f>
        <v>0047</v>
      </c>
      <c r="C41" s="32" t="s">
        <v>2831</v>
      </c>
      <c r="D41" s="59" t="s">
        <v>2942</v>
      </c>
      <c r="E41" s="60" t="s">
        <v>2943</v>
      </c>
      <c r="F41" s="76" t="s">
        <v>2944</v>
      </c>
      <c r="G41" s="77">
        <v>6</v>
      </c>
      <c r="H41" s="77">
        <v>7</v>
      </c>
      <c r="I41" s="78">
        <v>45496</v>
      </c>
      <c r="J41" s="78">
        <v>45860</v>
      </c>
      <c r="K41" s="79"/>
      <c r="L41" s="83" t="s">
        <v>2945</v>
      </c>
      <c r="M41" s="41">
        <f>_xlfn.XLOOKUP(L41,'relaties_export_2026-01-12_1609'!B:B,'relaties_export_2026-01-12_1609'!A:A,"",3)</f>
        <v>149</v>
      </c>
      <c r="N41" s="41" t="str">
        <f>_xlfn.XLOOKUP(M41,'relaties_export_2026-01-12_1609'!A:A,'relaties_export_2026-01-12_1609'!B:B,"",3)</f>
        <v>Werckpost Service B.V.</v>
      </c>
      <c r="O41" s="94"/>
      <c r="P41" s="43">
        <f t="shared" si="12"/>
        <v>1123.2399999999998</v>
      </c>
      <c r="Q41" s="43">
        <f t="shared" ref="Q41:Q67" si="16">T41*1.09+U41*1.21</f>
        <v>4401.4636</v>
      </c>
      <c r="R41" s="44">
        <f t="shared" ref="R41:R61" si="17">T41+U41</f>
        <v>4038.04</v>
      </c>
      <c r="S41" s="45">
        <f t="shared" si="15"/>
        <v>155.30935023796172</v>
      </c>
      <c r="T41" s="45">
        <v>4038.04</v>
      </c>
      <c r="U41" s="46">
        <v>0</v>
      </c>
      <c r="V41" s="46">
        <v>0</v>
      </c>
      <c r="W41"/>
      <c r="X41" s="23"/>
      <c r="Y41" s="56" t="s">
        <v>692</v>
      </c>
      <c r="Z41" s="47">
        <f>_xlfn.XLOOKUP(Y41,'relaties_export_2026-01-12_1609'!B:B,'relaties_export_2026-01-12_1609'!A:A,"",3)</f>
        <v>147</v>
      </c>
      <c r="AA41" s="47" t="str">
        <f>_xlfn.XLOOKUP(Z41,'relaties_export_2026-01-12_1609'!A:A,'relaties_export_2026-01-12_1609'!B:B,"",3)</f>
        <v>T. Hoolhorst</v>
      </c>
      <c r="AB41" s="46" t="s">
        <v>2946</v>
      </c>
      <c r="AC41" s="46">
        <v>2914.8</v>
      </c>
      <c r="AD41" s="46">
        <v>2914.8</v>
      </c>
      <c r="AE41" s="46">
        <v>2914.8</v>
      </c>
      <c r="AF41" s="46">
        <f t="shared" si="1"/>
        <v>112.10777854444504</v>
      </c>
      <c r="AG41" s="49">
        <v>44621</v>
      </c>
      <c r="AH41" s="34"/>
      <c r="AI41"/>
      <c r="AJ41"/>
      <c r="AK41" s="80"/>
      <c r="AL41"/>
      <c r="AO41" s="34"/>
      <c r="AP41" s="34"/>
      <c r="AQ41" s="58"/>
      <c r="AT41" s="81"/>
      <c r="AU41" s="81"/>
      <c r="AX41" s="95"/>
      <c r="AY41" s="82"/>
      <c r="BA41" s="96"/>
    </row>
    <row r="42" spans="1:53" s="29" customFormat="1" ht="17" thickBot="1" x14ac:dyDescent="0.25">
      <c r="A42" s="30">
        <v>41</v>
      </c>
      <c r="B42" s="31" t="str">
        <f>_xlfn.XLOOKUP(D42,'[1]Sleutelplan nieuw'!B:B,'[1]Sleutelplan nieuw'!A:A,"",2)</f>
        <v>0048</v>
      </c>
      <c r="C42" s="32" t="s">
        <v>2831</v>
      </c>
      <c r="D42" s="59" t="s">
        <v>2947</v>
      </c>
      <c r="E42" s="60" t="s">
        <v>2948</v>
      </c>
      <c r="F42" s="76" t="s">
        <v>431</v>
      </c>
      <c r="G42" s="77">
        <v>5</v>
      </c>
      <c r="H42" s="77">
        <v>5</v>
      </c>
      <c r="I42" s="78">
        <v>45292</v>
      </c>
      <c r="J42" s="78">
        <v>45657</v>
      </c>
      <c r="K42" s="79"/>
      <c r="L42" t="s">
        <v>576</v>
      </c>
      <c r="M42" s="41">
        <f>_xlfn.XLOOKUP(L42,'relaties_export_2026-01-12_1609'!B:B,'relaties_export_2026-01-12_1609'!A:A,"",3)</f>
        <v>124</v>
      </c>
      <c r="N42" s="41" t="str">
        <f>_xlfn.XLOOKUP(M42,'relaties_export_2026-01-12_1609'!A:A,'relaties_export_2026-01-12_1609'!B:B,"",3)</f>
        <v>AmDor Projecten B.V.</v>
      </c>
      <c r="O42" s="97"/>
      <c r="P42" s="43">
        <f t="shared" si="12"/>
        <v>1801.77</v>
      </c>
      <c r="Q42" s="43">
        <f t="shared" si="16"/>
        <v>5117.3175000000001</v>
      </c>
      <c r="R42" s="44">
        <f t="shared" si="17"/>
        <v>4650.75</v>
      </c>
      <c r="S42" s="45">
        <f>(R42/G42)/4.333</f>
        <v>214.66651280867757</v>
      </c>
      <c r="T42" s="45">
        <v>4250.75</v>
      </c>
      <c r="U42" s="46">
        <v>400</v>
      </c>
      <c r="V42" s="46">
        <v>0</v>
      </c>
      <c r="W42"/>
      <c r="X42" s="23"/>
      <c r="Y42" s="56" t="s">
        <v>383</v>
      </c>
      <c r="Z42" s="47">
        <f>_xlfn.XLOOKUP(Y42,'relaties_export_2026-01-12_1609'!B:B,'relaties_export_2026-01-12_1609'!A:A,"",3)</f>
        <v>77</v>
      </c>
      <c r="AA42" s="47" t="str">
        <f>_xlfn.XLOOKUP(Z42,'relaties_export_2026-01-12_1609'!A:A,'relaties_export_2026-01-12_1609'!B:B,"",3)</f>
        <v>A.P.W. Koedooder</v>
      </c>
      <c r="AB42" s="46" t="s">
        <v>2949</v>
      </c>
      <c r="AC42" s="46">
        <v>2448.98</v>
      </c>
      <c r="AD42" s="46">
        <v>2448.98</v>
      </c>
      <c r="AE42" s="46">
        <v>2448.98</v>
      </c>
      <c r="AF42" s="46">
        <f t="shared" si="1"/>
        <v>113.02993309994854</v>
      </c>
      <c r="AG42" s="49">
        <v>44228</v>
      </c>
      <c r="AH42" s="49">
        <v>44592</v>
      </c>
      <c r="AI42"/>
      <c r="AJ42"/>
      <c r="AK42" s="80"/>
      <c r="AL42"/>
      <c r="AO42" s="34"/>
      <c r="AP42" s="34"/>
      <c r="AQ42" s="58"/>
      <c r="AT42" s="81"/>
      <c r="AU42" s="81"/>
      <c r="AX42" s="95"/>
      <c r="AY42" s="82"/>
      <c r="BA42" s="96"/>
    </row>
    <row r="43" spans="1:53" s="29" customFormat="1" ht="17" thickBot="1" x14ac:dyDescent="0.25">
      <c r="A43" s="30"/>
      <c r="B43" s="31" t="str">
        <f>_xlfn.XLOOKUP(D43,'[1]Sleutelplan nieuw'!B:B,'[1]Sleutelplan nieuw'!A:A,"",2)</f>
        <v>0397</v>
      </c>
      <c r="C43" s="32"/>
      <c r="D43" s="59" t="s">
        <v>2950</v>
      </c>
      <c r="E43" s="60" t="s">
        <v>2951</v>
      </c>
      <c r="F43" s="76" t="s">
        <v>1214</v>
      </c>
      <c r="G43" s="77">
        <v>3</v>
      </c>
      <c r="H43" s="77">
        <v>3</v>
      </c>
      <c r="I43" s="78">
        <v>46023</v>
      </c>
      <c r="J43" s="78">
        <v>46387</v>
      </c>
      <c r="K43" s="79"/>
      <c r="L43" s="98" t="s">
        <v>2827</v>
      </c>
      <c r="M43" s="41">
        <f>_xlfn.XLOOKUP(L43,'relaties_export_2026-01-12_1609'!B:B,'relaties_export_2026-01-12_1609'!A:A,"",3)</f>
        <v>23</v>
      </c>
      <c r="N43" s="41" t="str">
        <f>_xlfn.XLOOKUP(M43,'relaties_export_2026-01-12_1609'!A:A,'relaties_export_2026-01-12_1609'!B:B,"",3)</f>
        <v>S. Bakker OPH Verhuur</v>
      </c>
      <c r="O43" s="84" t="s">
        <v>2952</v>
      </c>
      <c r="P43" s="43">
        <f t="shared" si="12"/>
        <v>585</v>
      </c>
      <c r="Q43" s="43">
        <f t="shared" si="16"/>
        <v>3086.3500000000004</v>
      </c>
      <c r="R43" s="44">
        <f t="shared" si="17"/>
        <v>2815</v>
      </c>
      <c r="S43" s="45">
        <f>(R43/G43)/4.333</f>
        <v>216.5551196245865</v>
      </c>
      <c r="T43" s="45">
        <v>2665</v>
      </c>
      <c r="U43" s="46">
        <v>150</v>
      </c>
      <c r="V43" s="46"/>
      <c r="W43"/>
      <c r="X43" s="23"/>
      <c r="Y43" s="56" t="s">
        <v>2953</v>
      </c>
      <c r="Z43" s="47">
        <f>_xlfn.XLOOKUP(Y43,'relaties_export_2026-01-12_1609'!B:B,'relaties_export_2026-01-12_1609'!A:A,"",3)</f>
        <v>145</v>
      </c>
      <c r="AA43" s="47" t="str">
        <f>_xlfn.XLOOKUP(Z43,'relaties_export_2026-01-12_1609'!A:A,'relaties_export_2026-01-12_1609'!B:B,"",3)</f>
        <v>dockHolland Huisvesting B.V.</v>
      </c>
      <c r="AB43" s="69" t="s">
        <v>2954</v>
      </c>
      <c r="AC43" s="46">
        <f>AD43*1.21</f>
        <v>2516.7999999999997</v>
      </c>
      <c r="AD43" s="46">
        <v>2080</v>
      </c>
      <c r="AE43" s="46">
        <v>2020</v>
      </c>
      <c r="AF43" s="46">
        <f t="shared" si="1"/>
        <v>160.00012307701775</v>
      </c>
      <c r="AG43" s="49">
        <v>46023</v>
      </c>
      <c r="AH43" s="49">
        <v>46387</v>
      </c>
      <c r="AI43"/>
      <c r="AJ43"/>
      <c r="AK43" s="80"/>
      <c r="AL43"/>
      <c r="AO43" s="34"/>
      <c r="AP43" s="34"/>
      <c r="AQ43" s="58"/>
      <c r="AT43" s="81"/>
      <c r="AU43" s="81"/>
      <c r="AX43" s="95"/>
      <c r="AY43" s="82"/>
      <c r="BA43" s="96"/>
    </row>
    <row r="44" spans="1:53" s="29" customFormat="1" ht="17" thickBot="1" x14ac:dyDescent="0.25">
      <c r="A44" s="30"/>
      <c r="B44" s="31" t="str">
        <f>_xlfn.XLOOKUP(D44,'[1]Sleutelplan nieuw'!B:B,'[1]Sleutelplan nieuw'!A:A,"",2)</f>
        <v>0398</v>
      </c>
      <c r="C44" s="32"/>
      <c r="D44" s="59" t="s">
        <v>2955</v>
      </c>
      <c r="E44" s="60" t="s">
        <v>2951</v>
      </c>
      <c r="F44" s="76" t="s">
        <v>1214</v>
      </c>
      <c r="G44" s="77">
        <v>3</v>
      </c>
      <c r="H44" s="77">
        <v>3</v>
      </c>
      <c r="I44" s="78">
        <v>46023</v>
      </c>
      <c r="J44" s="78">
        <v>46387</v>
      </c>
      <c r="K44" s="79"/>
      <c r="L44" s="98" t="s">
        <v>2827</v>
      </c>
      <c r="M44" s="41">
        <f>_xlfn.XLOOKUP(L44,'relaties_export_2026-01-12_1609'!B:B,'relaties_export_2026-01-12_1609'!A:A,"",3)</f>
        <v>23</v>
      </c>
      <c r="N44" s="41" t="str">
        <f>_xlfn.XLOOKUP(M44,'relaties_export_2026-01-12_1609'!A:A,'relaties_export_2026-01-12_1609'!B:B,"",3)</f>
        <v>S. Bakker OPH Verhuur</v>
      </c>
      <c r="O44" s="84" t="s">
        <v>2952</v>
      </c>
      <c r="P44" s="43">
        <f t="shared" si="12"/>
        <v>585</v>
      </c>
      <c r="Q44" s="43">
        <f t="shared" si="16"/>
        <v>3086.3500000000004</v>
      </c>
      <c r="R44" s="44">
        <f t="shared" si="17"/>
        <v>2815</v>
      </c>
      <c r="S44" s="45">
        <f>(R44/G44)/4.333</f>
        <v>216.5551196245865</v>
      </c>
      <c r="T44" s="45">
        <v>2665</v>
      </c>
      <c r="U44" s="46">
        <v>150</v>
      </c>
      <c r="V44" s="46"/>
      <c r="W44"/>
      <c r="X44" s="23"/>
      <c r="Y44" s="56" t="s">
        <v>2953</v>
      </c>
      <c r="Z44" s="47">
        <f>_xlfn.XLOOKUP(Y44,'relaties_export_2026-01-12_1609'!B:B,'relaties_export_2026-01-12_1609'!A:A,"",3)</f>
        <v>145</v>
      </c>
      <c r="AA44" s="47" t="str">
        <f>_xlfn.XLOOKUP(Z44,'relaties_export_2026-01-12_1609'!A:A,'relaties_export_2026-01-12_1609'!B:B,"",3)</f>
        <v>dockHolland Huisvesting B.V.</v>
      </c>
      <c r="AB44" s="69" t="s">
        <v>2954</v>
      </c>
      <c r="AC44" s="46">
        <f>AD44*1.21</f>
        <v>2516.7999999999997</v>
      </c>
      <c r="AD44" s="46">
        <v>2080</v>
      </c>
      <c r="AE44" s="46">
        <v>2020</v>
      </c>
      <c r="AF44" s="46">
        <f t="shared" si="1"/>
        <v>160.00012307701775</v>
      </c>
      <c r="AG44" s="49">
        <v>46023</v>
      </c>
      <c r="AH44" s="49">
        <v>46387</v>
      </c>
      <c r="AI44"/>
      <c r="AJ44"/>
      <c r="AK44" s="80"/>
      <c r="AL44"/>
      <c r="AO44" s="34"/>
      <c r="AP44" s="34"/>
      <c r="AQ44" s="58"/>
      <c r="AT44" s="81"/>
      <c r="AU44" s="81"/>
      <c r="AX44" s="95"/>
      <c r="AY44" s="82"/>
      <c r="BA44" s="96"/>
    </row>
    <row r="45" spans="1:53" s="29" customFormat="1" ht="17" thickBot="1" x14ac:dyDescent="0.25">
      <c r="A45" s="30">
        <v>42</v>
      </c>
      <c r="B45" s="31" t="str">
        <f>_xlfn.XLOOKUP(D45,'[1]Sleutelplan nieuw'!B:B,'[1]Sleutelplan nieuw'!A:A,"",2)</f>
        <v>0049</v>
      </c>
      <c r="C45" s="32" t="s">
        <v>2831</v>
      </c>
      <c r="D45" s="59" t="s">
        <v>2956</v>
      </c>
      <c r="E45" s="99" t="s">
        <v>2957</v>
      </c>
      <c r="F45" s="100" t="s">
        <v>2958</v>
      </c>
      <c r="G45" s="77">
        <v>4</v>
      </c>
      <c r="H45" s="77">
        <v>4</v>
      </c>
      <c r="I45" s="78">
        <v>45982</v>
      </c>
      <c r="J45" s="101">
        <v>46101</v>
      </c>
      <c r="K45" s="79"/>
      <c r="L45" t="s">
        <v>1273</v>
      </c>
      <c r="M45" s="41">
        <f>_xlfn.XLOOKUP(L45,'relaties_export_2026-01-12_1609'!B:B,'relaties_export_2026-01-12_1609'!A:A,"",3)</f>
        <v>286</v>
      </c>
      <c r="N45" s="41" t="str">
        <f>_xlfn.XLOOKUP(M45,'relaties_export_2026-01-12_1609'!A:A,'relaties_export_2026-01-12_1609'!B:B,"",3)</f>
        <v>Team Unica B.V.</v>
      </c>
      <c r="O45" s="84" t="s">
        <v>2959</v>
      </c>
      <c r="P45" s="43">
        <f t="shared" si="12"/>
        <v>377.53999999999996</v>
      </c>
      <c r="Q45" s="43">
        <f t="shared" si="16"/>
        <v>2864</v>
      </c>
      <c r="R45" s="44">
        <f t="shared" si="17"/>
        <v>2600</v>
      </c>
      <c r="S45" s="45">
        <f>(R45/G45)/4.333</f>
        <v>150.01153934918071</v>
      </c>
      <c r="T45" s="45">
        <v>2350</v>
      </c>
      <c r="U45" s="46">
        <v>250</v>
      </c>
      <c r="V45" s="46">
        <v>0</v>
      </c>
      <c r="W45"/>
      <c r="X45" s="23"/>
      <c r="Y45" s="56" t="s">
        <v>2698</v>
      </c>
      <c r="Z45" s="47">
        <f>_xlfn.XLOOKUP(Y45,'relaties_export_2026-01-12_1609'!B:B,'relaties_export_2026-01-12_1609'!A:A,"",3)</f>
        <v>175</v>
      </c>
      <c r="AA45" s="47" t="str">
        <f>_xlfn.XLOOKUP(Z45,'relaties_export_2026-01-12_1609'!A:A,'relaties_export_2026-01-12_1609'!B:B,"",3)</f>
        <v>Dhr. J.L. Meerding</v>
      </c>
      <c r="AB45" s="46" t="s">
        <v>2960</v>
      </c>
      <c r="AC45" s="46">
        <v>1972.46</v>
      </c>
      <c r="AD45" s="46">
        <v>1972.46</v>
      </c>
      <c r="AE45" s="46">
        <v>1972.46</v>
      </c>
      <c r="AF45" s="46">
        <f t="shared" si="1"/>
        <v>113.79585676604367</v>
      </c>
      <c r="AG45" s="49">
        <v>44805</v>
      </c>
      <c r="AH45" s="49">
        <v>46630</v>
      </c>
      <c r="AI45"/>
      <c r="AJ45"/>
      <c r="AK45" s="80"/>
      <c r="AL45" s="80"/>
      <c r="AO45" s="34"/>
      <c r="AP45" s="34"/>
      <c r="AQ45" s="58"/>
      <c r="AT45" s="81"/>
      <c r="AU45" s="81"/>
      <c r="AY45" s="86"/>
    </row>
    <row r="46" spans="1:53" s="29" customFormat="1" ht="17" thickBot="1" x14ac:dyDescent="0.25">
      <c r="A46" s="30"/>
      <c r="B46" s="103" t="str">
        <f>_xlfn.XLOOKUP(D46,'[1]Sleutelplan nieuw'!B:B,'[1]Sleutelplan nieuw'!A:A,"",2)</f>
        <v>0280</v>
      </c>
      <c r="C46" s="104" t="s">
        <v>2831</v>
      </c>
      <c r="D46" s="105" t="s">
        <v>2961</v>
      </c>
      <c r="F46" s="100" t="s">
        <v>2962</v>
      </c>
      <c r="G46" s="77"/>
      <c r="H46" s="77"/>
      <c r="I46" s="78"/>
      <c r="J46" s="101"/>
      <c r="K46" s="79"/>
      <c r="L46" s="102"/>
      <c r="M46" s="41" t="str">
        <f>_xlfn.XLOOKUP(L46,'relaties_export_2026-01-12_1609'!B:B,'relaties_export_2026-01-12_1609'!A:A,"",3)</f>
        <v>id</v>
      </c>
      <c r="N46" s="41" t="str">
        <f>_xlfn.XLOOKUP(M46,'relaties_export_2026-01-12_1609'!A:A,'relaties_export_2026-01-12_1609'!B:B,"",3)</f>
        <v>naam</v>
      </c>
      <c r="O46" s="84"/>
      <c r="P46" s="43"/>
      <c r="Q46" s="43"/>
      <c r="R46" s="44"/>
      <c r="S46" s="45"/>
      <c r="T46" s="45"/>
      <c r="U46" s="46"/>
      <c r="V46" s="46"/>
      <c r="W46"/>
      <c r="X46" s="23"/>
      <c r="Y46" t="s">
        <v>2741</v>
      </c>
      <c r="Z46" s="47">
        <f>_xlfn.XLOOKUP(Y46,'relaties_export_2026-01-12_1609'!B:B,'relaties_export_2026-01-12_1609'!A:A,"",3)</f>
        <v>952</v>
      </c>
      <c r="AA46" s="47" t="str">
        <f>_xlfn.XLOOKUP(Z46,'relaties_export_2026-01-12_1609'!A:A,'relaties_export_2026-01-12_1609'!B:B,"",3)</f>
        <v>M. Nottet</v>
      </c>
      <c r="AB46" s="46"/>
      <c r="AC46" s="46"/>
      <c r="AD46" s="46"/>
      <c r="AE46" s="46"/>
      <c r="AF46" s="46"/>
      <c r="AG46" s="49"/>
      <c r="AH46" s="49"/>
      <c r="AI46"/>
      <c r="AJ46"/>
      <c r="AK46" s="80"/>
      <c r="AL46" s="80"/>
      <c r="AO46" s="34"/>
      <c r="AP46" s="34"/>
      <c r="AQ46" s="58"/>
      <c r="AT46" s="81"/>
      <c r="AU46" s="81"/>
      <c r="AY46" s="86"/>
    </row>
    <row r="47" spans="1:53" s="29" customFormat="1" ht="17" thickBot="1" x14ac:dyDescent="0.25">
      <c r="A47" s="30"/>
      <c r="B47" s="103" t="str">
        <f>_xlfn.XLOOKUP(D47,'[1]Sleutelplan nieuw'!B:B,'[1]Sleutelplan nieuw'!A:A,"",2)</f>
        <v>0281</v>
      </c>
      <c r="C47" s="104" t="s">
        <v>2831</v>
      </c>
      <c r="D47" s="105" t="s">
        <v>2963</v>
      </c>
      <c r="E47" s="99"/>
      <c r="F47" s="100" t="s">
        <v>2962</v>
      </c>
      <c r="G47" s="77"/>
      <c r="H47" s="77"/>
      <c r="I47" s="78"/>
      <c r="J47" s="101"/>
      <c r="K47" s="79"/>
      <c r="L47" s="102"/>
      <c r="M47" s="41" t="str">
        <f>_xlfn.XLOOKUP(L47,'relaties_export_2026-01-12_1609'!B:B,'relaties_export_2026-01-12_1609'!A:A,"",3)</f>
        <v>id</v>
      </c>
      <c r="N47" s="41" t="str">
        <f>_xlfn.XLOOKUP(M47,'relaties_export_2026-01-12_1609'!A:A,'relaties_export_2026-01-12_1609'!B:B,"",3)</f>
        <v>naam</v>
      </c>
      <c r="O47" s="84"/>
      <c r="P47" s="43"/>
      <c r="Q47" s="43"/>
      <c r="R47" s="44"/>
      <c r="S47" s="45"/>
      <c r="T47" s="45"/>
      <c r="U47" s="46"/>
      <c r="V47" s="46"/>
      <c r="W47"/>
      <c r="X47" s="23"/>
      <c r="Y47" t="s">
        <v>2741</v>
      </c>
      <c r="Z47" s="47">
        <f>_xlfn.XLOOKUP(Y47,'relaties_export_2026-01-12_1609'!B:B,'relaties_export_2026-01-12_1609'!A:A,"",3)</f>
        <v>952</v>
      </c>
      <c r="AA47" s="47" t="str">
        <f>_xlfn.XLOOKUP(Z47,'relaties_export_2026-01-12_1609'!A:A,'relaties_export_2026-01-12_1609'!B:B,"",3)</f>
        <v>M. Nottet</v>
      </c>
      <c r="AB47" s="46"/>
      <c r="AC47" s="46"/>
      <c r="AD47" s="46"/>
      <c r="AE47" s="46"/>
      <c r="AF47" s="46"/>
      <c r="AG47" s="49"/>
      <c r="AH47" s="49"/>
      <c r="AI47"/>
      <c r="AJ47"/>
      <c r="AK47" s="80"/>
      <c r="AL47" s="80"/>
      <c r="AO47" s="34"/>
      <c r="AP47" s="34"/>
      <c r="AQ47" s="58"/>
      <c r="AT47" s="81"/>
      <c r="AU47" s="81"/>
      <c r="AY47" s="86"/>
    </row>
    <row r="48" spans="1:53" s="29" customFormat="1" ht="17" thickBot="1" x14ac:dyDescent="0.25">
      <c r="A48" s="30">
        <v>43</v>
      </c>
      <c r="B48" s="31" t="str">
        <f>_xlfn.XLOOKUP(D48,'[1]Sleutelplan nieuw'!B:B,'[1]Sleutelplan nieuw'!A:A,"",2)</f>
        <v>0004</v>
      </c>
      <c r="C48" s="32" t="s">
        <v>2824</v>
      </c>
      <c r="D48" s="59" t="s">
        <v>2964</v>
      </c>
      <c r="E48" s="60" t="s">
        <v>2965</v>
      </c>
      <c r="F48" s="76" t="s">
        <v>1303</v>
      </c>
      <c r="G48" s="77">
        <v>4</v>
      </c>
      <c r="H48" s="77"/>
      <c r="I48" s="78">
        <v>44958</v>
      </c>
      <c r="J48" s="78">
        <v>45352</v>
      </c>
      <c r="K48" s="79"/>
      <c r="L48" s="83" t="s">
        <v>2672</v>
      </c>
      <c r="M48" s="41">
        <f>_xlfn.XLOOKUP(L48,'relaties_export_2026-01-12_1609'!B:B,'relaties_export_2026-01-12_1609'!A:A,"",3)</f>
        <v>17</v>
      </c>
      <c r="N48" s="41" t="str">
        <f>_xlfn.XLOOKUP(M48,'relaties_export_2026-01-12_1609'!A:A,'relaties_export_2026-01-12_1609'!B:B,"",3)</f>
        <v>Tradiro Services B.V.</v>
      </c>
      <c r="O48" s="42"/>
      <c r="P48" s="43">
        <f t="shared" si="12"/>
        <v>308.41000000000008</v>
      </c>
      <c r="Q48" s="43">
        <f t="shared" si="16"/>
        <v>1862.1669000000002</v>
      </c>
      <c r="R48" s="44">
        <f t="shared" si="17"/>
        <v>1708.41</v>
      </c>
      <c r="S48" s="45">
        <f t="shared" ref="S48:S69" si="18">(R48/G48)/4.33333</f>
        <v>98.562191201685536</v>
      </c>
      <c r="T48" s="45">
        <v>1708.41</v>
      </c>
      <c r="U48" s="46">
        <v>0</v>
      </c>
      <c r="V48" s="46">
        <v>0</v>
      </c>
      <c r="W48"/>
      <c r="X48" s="23"/>
      <c r="Y48" s="73" t="s">
        <v>1162</v>
      </c>
      <c r="Z48" s="47">
        <f>_xlfn.XLOOKUP(Y48,'relaties_export_2026-01-12_1609'!B:B,'relaties_export_2026-01-12_1609'!A:A,"",3)</f>
        <v>258</v>
      </c>
      <c r="AA48" s="47" t="str">
        <f>_xlfn.XLOOKUP(Z48,'relaties_export_2026-01-12_1609'!A:A,'relaties_export_2026-01-12_1609'!B:B,"",3)</f>
        <v>Parkwonen</v>
      </c>
      <c r="AB48" s="106"/>
      <c r="AC48" s="43">
        <v>1400</v>
      </c>
      <c r="AD48" s="43">
        <v>1400</v>
      </c>
      <c r="AE48" s="43">
        <v>1400</v>
      </c>
      <c r="AF48" s="46">
        <f t="shared" si="1"/>
        <v>80.769292899456076</v>
      </c>
      <c r="AG48" s="49">
        <v>44927</v>
      </c>
      <c r="AH48" s="49">
        <v>45292</v>
      </c>
    </row>
    <row r="49" spans="1:52" s="29" customFormat="1" ht="17" thickBot="1" x14ac:dyDescent="0.25">
      <c r="A49" s="30">
        <v>44</v>
      </c>
      <c r="B49" s="31" t="str">
        <f>_xlfn.XLOOKUP(D49,'[1]Sleutelplan nieuw'!B:B,'[1]Sleutelplan nieuw'!A:A,"",2)</f>
        <v>0027</v>
      </c>
      <c r="C49" s="32" t="s">
        <v>2824</v>
      </c>
      <c r="D49" s="59" t="s">
        <v>2966</v>
      </c>
      <c r="E49" s="107" t="s">
        <v>2967</v>
      </c>
      <c r="F49" s="76" t="s">
        <v>1214</v>
      </c>
      <c r="G49" s="108">
        <v>4</v>
      </c>
      <c r="H49" s="108">
        <v>5</v>
      </c>
      <c r="I49" s="109">
        <v>44986</v>
      </c>
      <c r="J49" s="109">
        <v>45352</v>
      </c>
      <c r="K49" s="78"/>
      <c r="L49" s="54" t="s">
        <v>2672</v>
      </c>
      <c r="M49" s="41">
        <f>_xlfn.XLOOKUP(L49,'relaties_export_2026-01-12_1609'!B:B,'relaties_export_2026-01-12_1609'!A:A,"",3)</f>
        <v>17</v>
      </c>
      <c r="N49" s="41" t="str">
        <f>_xlfn.XLOOKUP(M49,'relaties_export_2026-01-12_1609'!A:A,'relaties_export_2026-01-12_1609'!B:B,"",3)</f>
        <v>Tradiro Services B.V.</v>
      </c>
      <c r="O49" s="42"/>
      <c r="P49" s="43">
        <f t="shared" si="12"/>
        <v>232.8900000000001</v>
      </c>
      <c r="Q49" s="43">
        <f t="shared" si="16"/>
        <v>1828.9001000000003</v>
      </c>
      <c r="R49" s="44">
        <f t="shared" si="17"/>
        <v>1677.89</v>
      </c>
      <c r="S49" s="45">
        <f t="shared" si="18"/>
        <v>96.801420616477401</v>
      </c>
      <c r="T49" s="45">
        <v>1677.89</v>
      </c>
      <c r="U49" s="46">
        <v>0</v>
      </c>
      <c r="V49" s="46">
        <v>0</v>
      </c>
      <c r="W49"/>
      <c r="X49" s="23"/>
      <c r="Y49" s="73" t="s">
        <v>2678</v>
      </c>
      <c r="Z49" s="47">
        <f>_xlfn.XLOOKUP(Y49,'relaties_export_2026-01-12_1609'!B:B,'relaties_export_2026-01-12_1609'!A:A,"",3)</f>
        <v>797</v>
      </c>
      <c r="AA49" s="47" t="str">
        <f>_xlfn.XLOOKUP(Z49,'relaties_export_2026-01-12_1609'!A:A,'relaties_export_2026-01-12_1609'!B:B,"",3)</f>
        <v>W. van Straalen</v>
      </c>
      <c r="AC49" s="110">
        <v>1445</v>
      </c>
      <c r="AD49" s="110">
        <v>1445</v>
      </c>
      <c r="AE49" s="110">
        <v>1445</v>
      </c>
      <c r="AF49" s="46">
        <f t="shared" si="1"/>
        <v>83.365448742652873</v>
      </c>
      <c r="AG49" s="49">
        <v>44986</v>
      </c>
      <c r="AH49" s="49">
        <v>45352</v>
      </c>
    </row>
    <row r="50" spans="1:52" s="29" customFormat="1" ht="17" thickBot="1" x14ac:dyDescent="0.25">
      <c r="A50" s="30">
        <v>45</v>
      </c>
      <c r="B50" s="31" t="str">
        <f>_xlfn.XLOOKUP(D50,'[1]Sleutelplan nieuw'!B:B,'[1]Sleutelplan nieuw'!A:A,"",2)</f>
        <v>0097</v>
      </c>
      <c r="C50" s="32" t="s">
        <v>2831</v>
      </c>
      <c r="D50" s="59" t="s">
        <v>2968</v>
      </c>
      <c r="E50" s="107" t="s">
        <v>2969</v>
      </c>
      <c r="F50" s="76" t="s">
        <v>2970</v>
      </c>
      <c r="G50" s="108">
        <v>7</v>
      </c>
      <c r="H50" s="108">
        <v>7</v>
      </c>
      <c r="I50" s="109">
        <v>45863</v>
      </c>
      <c r="J50" s="109"/>
      <c r="K50" s="78"/>
      <c r="L50" s="54" t="s">
        <v>2672</v>
      </c>
      <c r="M50" s="41">
        <f>_xlfn.XLOOKUP(L50,'relaties_export_2026-01-12_1609'!B:B,'relaties_export_2026-01-12_1609'!A:A,"",3)</f>
        <v>17</v>
      </c>
      <c r="N50" s="41" t="str">
        <f>_xlfn.XLOOKUP(M50,'relaties_export_2026-01-12_1609'!A:A,'relaties_export_2026-01-12_1609'!B:B,"",3)</f>
        <v>Tradiro Services B.V.</v>
      </c>
      <c r="O50" s="42"/>
      <c r="P50" s="43">
        <f t="shared" si="12"/>
        <v>942.5</v>
      </c>
      <c r="Q50" s="43">
        <f t="shared" si="16"/>
        <v>4414</v>
      </c>
      <c r="R50" s="44">
        <f t="shared" si="17"/>
        <v>4000</v>
      </c>
      <c r="S50" s="45">
        <f t="shared" si="18"/>
        <v>131.86823330523441</v>
      </c>
      <c r="T50" s="45">
        <v>3550</v>
      </c>
      <c r="U50" s="46">
        <v>450</v>
      </c>
      <c r="V50" s="46">
        <v>0</v>
      </c>
      <c r="W50"/>
      <c r="X50" s="23"/>
      <c r="Y50" s="73" t="s">
        <v>1330</v>
      </c>
      <c r="Z50" s="47">
        <f>_xlfn.XLOOKUP(Y50,'relaties_export_2026-01-12_1609'!B:B,'relaties_export_2026-01-12_1609'!A:A,"",3)</f>
        <v>302</v>
      </c>
      <c r="AA50" s="47" t="str">
        <f>_xlfn.XLOOKUP(Z50,'relaties_export_2026-01-12_1609'!A:A,'relaties_export_2026-01-12_1609'!B:B,"",3)</f>
        <v>A.H.S. Willemsen</v>
      </c>
      <c r="AB50" s="111" t="s">
        <v>2971</v>
      </c>
      <c r="AC50" s="43">
        <v>2607.5</v>
      </c>
      <c r="AD50" s="48">
        <v>2607.5</v>
      </c>
      <c r="AE50" s="110">
        <v>2582.5</v>
      </c>
      <c r="AF50" s="46">
        <f t="shared" si="1"/>
        <v>85.961604585849685</v>
      </c>
      <c r="AG50" s="49">
        <v>45413</v>
      </c>
      <c r="AH50" s="49">
        <v>46142</v>
      </c>
    </row>
    <row r="51" spans="1:52" s="29" customFormat="1" ht="17" thickBot="1" x14ac:dyDescent="0.25">
      <c r="A51" s="30"/>
      <c r="B51" s="31" t="str">
        <f>_xlfn.XLOOKUP(D51,'[1]Sleutelplan nieuw'!B:B,'[1]Sleutelplan nieuw'!A:A,"",2)</f>
        <v>0160</v>
      </c>
      <c r="C51" s="32" t="s">
        <v>2824</v>
      </c>
      <c r="D51" s="59" t="s">
        <v>2972</v>
      </c>
      <c r="E51" s="107"/>
      <c r="F51" s="83" t="s">
        <v>1303</v>
      </c>
      <c r="G51" s="112"/>
      <c r="H51" s="108"/>
      <c r="I51" s="109"/>
      <c r="J51" s="109"/>
      <c r="K51" s="78"/>
      <c r="L51" s="54" t="s">
        <v>2672</v>
      </c>
      <c r="M51" s="41">
        <f>_xlfn.XLOOKUP(L51,'relaties_export_2026-01-12_1609'!B:B,'relaties_export_2026-01-12_1609'!A:A,"",3)</f>
        <v>17</v>
      </c>
      <c r="N51" s="41" t="str">
        <f>_xlfn.XLOOKUP(M51,'relaties_export_2026-01-12_1609'!A:A,'relaties_export_2026-01-12_1609'!B:B,"",3)</f>
        <v>Tradiro Services B.V.</v>
      </c>
      <c r="O51" s="50"/>
      <c r="P51" s="43"/>
      <c r="Q51" s="43"/>
      <c r="R51" s="44"/>
      <c r="S51" s="45"/>
      <c r="T51" s="45"/>
      <c r="U51" s="46"/>
      <c r="V51" s="46"/>
      <c r="W51"/>
      <c r="X51" s="23"/>
      <c r="Y51" s="73" t="s">
        <v>2973</v>
      </c>
      <c r="Z51" s="47">
        <v>295</v>
      </c>
      <c r="AA51" s="47" t="str">
        <f>_xlfn.XLOOKUP(Z51,'relaties_export_2026-01-12_1609'!A:A,'relaties_export_2026-01-12_1609'!B:B,"",3)</f>
        <v>In Stijl Totaalbouw BV</v>
      </c>
      <c r="AB51" s="111"/>
      <c r="AC51" s="43">
        <v>1300</v>
      </c>
      <c r="AD51" s="48">
        <v>1300</v>
      </c>
      <c r="AE51" s="110">
        <v>1300</v>
      </c>
      <c r="AF51" s="46"/>
      <c r="AG51" s="49"/>
      <c r="AH51" s="49"/>
    </row>
    <row r="52" spans="1:52" s="29" customFormat="1" ht="13.75" customHeight="1" thickBot="1" x14ac:dyDescent="0.25">
      <c r="A52" s="30">
        <v>46</v>
      </c>
      <c r="B52" s="64" t="s">
        <v>2974</v>
      </c>
      <c r="C52" s="32" t="s">
        <v>2824</v>
      </c>
      <c r="D52" s="59" t="s">
        <v>2975</v>
      </c>
      <c r="E52" s="107" t="s">
        <v>2976</v>
      </c>
      <c r="F52" s="83" t="s">
        <v>1303</v>
      </c>
      <c r="G52" s="112">
        <v>4</v>
      </c>
      <c r="H52" s="108">
        <v>3</v>
      </c>
      <c r="I52" s="109">
        <v>45323</v>
      </c>
      <c r="J52" s="109">
        <v>45688</v>
      </c>
      <c r="K52" s="78"/>
      <c r="L52" s="54" t="s">
        <v>2672</v>
      </c>
      <c r="M52" s="41">
        <f>_xlfn.XLOOKUP(L52,'relaties_export_2026-01-12_1609'!B:B,'relaties_export_2026-01-12_1609'!A:A,"",3)</f>
        <v>17</v>
      </c>
      <c r="N52" s="41" t="str">
        <f>_xlfn.XLOOKUP(M52,'relaties_export_2026-01-12_1609'!A:A,'relaties_export_2026-01-12_1609'!B:B,"",3)</f>
        <v>Tradiro Services B.V.</v>
      </c>
      <c r="O52" s="50"/>
      <c r="P52" s="43">
        <f t="shared" si="12"/>
        <v>665.26000000000022</v>
      </c>
      <c r="Q52" s="43">
        <f t="shared" si="16"/>
        <v>2360.1334000000006</v>
      </c>
      <c r="R52" s="44">
        <f t="shared" si="17"/>
        <v>2165.2600000000002</v>
      </c>
      <c r="S52" s="45">
        <f t="shared" si="18"/>
        <v>124.9189422453402</v>
      </c>
      <c r="T52" s="45">
        <v>2165.2600000000002</v>
      </c>
      <c r="U52" s="46">
        <v>0</v>
      </c>
      <c r="V52" s="46">
        <v>0</v>
      </c>
      <c r="W52"/>
      <c r="X52" s="23"/>
      <c r="Y52" s="73" t="s">
        <v>1162</v>
      </c>
      <c r="Z52" s="47">
        <f>_xlfn.XLOOKUP(Y52,'relaties_export_2026-01-12_1609'!B:B,'relaties_export_2026-01-12_1609'!A:A,"",3)</f>
        <v>258</v>
      </c>
      <c r="AA52" s="47" t="str">
        <f>_xlfn.XLOOKUP(Z52,'relaties_export_2026-01-12_1609'!A:A,'relaties_export_2026-01-12_1609'!B:B,"",3)</f>
        <v>Parkwonen</v>
      </c>
      <c r="AB52" s="74"/>
      <c r="AC52" s="43">
        <v>1500</v>
      </c>
      <c r="AD52" s="48">
        <v>1500</v>
      </c>
      <c r="AE52" s="110">
        <v>1500</v>
      </c>
      <c r="AF52" s="46">
        <f t="shared" si="1"/>
        <v>86.538528106560079</v>
      </c>
      <c r="AG52" s="49">
        <v>45323</v>
      </c>
      <c r="AH52" s="49">
        <v>45689</v>
      </c>
    </row>
    <row r="53" spans="1:52" s="29" customFormat="1" ht="17" thickBot="1" x14ac:dyDescent="0.25">
      <c r="A53" s="30">
        <v>47</v>
      </c>
      <c r="B53" s="31" t="str">
        <f>_xlfn.XLOOKUP(D53,'[1]Sleutelplan nieuw'!B:B,'[1]Sleutelplan nieuw'!A:A,"",2)</f>
        <v>0026</v>
      </c>
      <c r="C53" s="32" t="s">
        <v>2824</v>
      </c>
      <c r="D53" s="59" t="s">
        <v>2977</v>
      </c>
      <c r="E53" s="107" t="s">
        <v>2978</v>
      </c>
      <c r="F53" s="76" t="s">
        <v>1303</v>
      </c>
      <c r="G53" s="108">
        <v>5</v>
      </c>
      <c r="H53" s="108">
        <v>3</v>
      </c>
      <c r="I53" s="78">
        <v>44958</v>
      </c>
      <c r="J53" s="78">
        <v>45323</v>
      </c>
      <c r="K53" s="78"/>
      <c r="L53" s="40" t="s">
        <v>2672</v>
      </c>
      <c r="M53" s="41">
        <f>_xlfn.XLOOKUP(L53,'relaties_export_2026-01-12_1609'!B:B,'relaties_export_2026-01-12_1609'!A:A,"",3)</f>
        <v>17</v>
      </c>
      <c r="N53" s="41" t="str">
        <f>_xlfn.XLOOKUP(M53,'relaties_export_2026-01-12_1609'!A:A,'relaties_export_2026-01-12_1609'!B:B,"",3)</f>
        <v>Tradiro Services B.V.</v>
      </c>
      <c r="O53" s="94"/>
      <c r="P53" s="43">
        <f t="shared" si="12"/>
        <v>352.46000000000004</v>
      </c>
      <c r="Q53" s="43">
        <f t="shared" si="16"/>
        <v>2128.1814000000004</v>
      </c>
      <c r="R53" s="44">
        <f t="shared" si="17"/>
        <v>1952.46</v>
      </c>
      <c r="S53" s="45">
        <f t="shared" si="18"/>
        <v>90.113607779698299</v>
      </c>
      <c r="T53" s="45">
        <v>1952.46</v>
      </c>
      <c r="U53" s="46">
        <v>0</v>
      </c>
      <c r="V53" s="46">
        <v>0</v>
      </c>
      <c r="W53"/>
      <c r="X53" s="23"/>
      <c r="Y53" s="73" t="s">
        <v>1162</v>
      </c>
      <c r="Z53" s="47">
        <f>_xlfn.XLOOKUP(Y53,'relaties_export_2026-01-12_1609'!B:B,'relaties_export_2026-01-12_1609'!A:A,"",3)</f>
        <v>258</v>
      </c>
      <c r="AA53" s="47" t="str">
        <f>_xlfn.XLOOKUP(Z53,'relaties_export_2026-01-12_1609'!A:A,'relaties_export_2026-01-12_1609'!B:B,"",3)</f>
        <v>Parkwonen</v>
      </c>
      <c r="AC53" s="43">
        <v>1600</v>
      </c>
      <c r="AD53" s="48">
        <v>1600</v>
      </c>
      <c r="AE53" s="110">
        <v>1600</v>
      </c>
      <c r="AF53" s="46">
        <f t="shared" si="1"/>
        <v>73.846210650931269</v>
      </c>
      <c r="AG53" s="49">
        <v>44927</v>
      </c>
      <c r="AH53" s="49">
        <v>45292</v>
      </c>
    </row>
    <row r="54" spans="1:52" s="29" customFormat="1" ht="17" thickBot="1" x14ac:dyDescent="0.25">
      <c r="A54" s="30"/>
      <c r="B54" s="31" t="str">
        <f>_xlfn.XLOOKUP(D54,'[1]Sleutelplan nieuw'!B:B,'[1]Sleutelplan nieuw'!A:A,"",2)</f>
        <v>0370</v>
      </c>
      <c r="C54" s="32" t="s">
        <v>2824</v>
      </c>
      <c r="D54" s="59" t="s">
        <v>2979</v>
      </c>
      <c r="E54" s="107" t="s">
        <v>2980</v>
      </c>
      <c r="F54" s="76" t="s">
        <v>2981</v>
      </c>
      <c r="G54" s="108">
        <v>5</v>
      </c>
      <c r="H54" s="108">
        <v>4</v>
      </c>
      <c r="I54" s="78">
        <v>45818</v>
      </c>
      <c r="J54" s="78">
        <v>45899</v>
      </c>
      <c r="K54" s="78"/>
      <c r="L54" s="40" t="s">
        <v>2672</v>
      </c>
      <c r="M54" s="41">
        <f>_xlfn.XLOOKUP(L54,'relaties_export_2026-01-12_1609'!B:B,'relaties_export_2026-01-12_1609'!A:A,"",3)</f>
        <v>17</v>
      </c>
      <c r="N54" s="41" t="str">
        <f>_xlfn.XLOOKUP(M54,'relaties_export_2026-01-12_1609'!A:A,'relaties_export_2026-01-12_1609'!B:B,"",3)</f>
        <v>Tradiro Services B.V.</v>
      </c>
      <c r="O54" s="93" t="s">
        <v>2982</v>
      </c>
      <c r="P54" s="43">
        <f t="shared" si="12"/>
        <v>0</v>
      </c>
      <c r="Q54" s="43"/>
      <c r="R54" s="44"/>
      <c r="S54" s="45"/>
      <c r="T54" s="45"/>
      <c r="U54" s="46"/>
      <c r="V54" s="46"/>
      <c r="W54"/>
      <c r="X54" s="23"/>
      <c r="Y54" s="56" t="s">
        <v>2249</v>
      </c>
      <c r="Z54" s="47">
        <f>_xlfn.XLOOKUP(Y54,'relaties_export_2026-01-12_1609'!B:B,'relaties_export_2026-01-12_1609'!A:A,"",3)</f>
        <v>85</v>
      </c>
      <c r="AA54" s="47" t="str">
        <f>_xlfn.XLOOKUP(Z54,'relaties_export_2026-01-12_1609'!A:A,'relaties_export_2026-01-12_1609'!B:B,"",3)</f>
        <v>4 Homes B.V.</v>
      </c>
      <c r="AB54" s="69" t="s">
        <v>2983</v>
      </c>
      <c r="AC54" s="48"/>
      <c r="AD54" s="48"/>
      <c r="AE54" s="110"/>
      <c r="AF54" s="46"/>
      <c r="AG54" s="49"/>
      <c r="AH54" s="49"/>
    </row>
    <row r="55" spans="1:52" s="29" customFormat="1" ht="17" thickBot="1" x14ac:dyDescent="0.25">
      <c r="A55" s="30">
        <v>48</v>
      </c>
      <c r="B55" s="31" t="str">
        <f>_xlfn.XLOOKUP(D55,'[1]Sleutelplan nieuw'!B:B,'[1]Sleutelplan nieuw'!A:A,"",2)</f>
        <v>0051</v>
      </c>
      <c r="C55" s="32" t="s">
        <v>2824</v>
      </c>
      <c r="D55" s="59" t="s">
        <v>2984</v>
      </c>
      <c r="E55" s="60" t="s">
        <v>2985</v>
      </c>
      <c r="F55" s="76" t="s">
        <v>378</v>
      </c>
      <c r="G55" s="108">
        <v>4</v>
      </c>
      <c r="H55" s="108">
        <v>3</v>
      </c>
      <c r="I55" s="109">
        <v>44835</v>
      </c>
      <c r="J55" s="109">
        <v>45412</v>
      </c>
      <c r="K55" s="113"/>
      <c r="L55" s="114" t="s">
        <v>2839</v>
      </c>
      <c r="M55" s="41">
        <f>_xlfn.XLOOKUP(L55,'relaties_export_2026-01-12_1609'!B:B,'relaties_export_2026-01-12_1609'!A:A,"",3)</f>
        <v>13</v>
      </c>
      <c r="N55" s="41" t="str">
        <f>_xlfn.XLOOKUP(M55,'relaties_export_2026-01-12_1609'!A:A,'relaties_export_2026-01-12_1609'!B:B,"",3)</f>
        <v>United Homes B.V.</v>
      </c>
      <c r="O55" s="115"/>
      <c r="P55" s="43">
        <f t="shared" si="12"/>
        <v>647.66000000000008</v>
      </c>
      <c r="Q55" s="43">
        <f t="shared" si="16"/>
        <v>2171.1928000000003</v>
      </c>
      <c r="R55" s="44">
        <f t="shared" si="17"/>
        <v>1991.92</v>
      </c>
      <c r="S55" s="45">
        <f t="shared" si="18"/>
        <v>114.9185499373461</v>
      </c>
      <c r="T55" s="45">
        <v>1991.92</v>
      </c>
      <c r="U55" s="46">
        <v>0</v>
      </c>
      <c r="V55" s="46">
        <v>0</v>
      </c>
      <c r="W55"/>
      <c r="X55" s="23"/>
      <c r="Y55" s="56" t="s">
        <v>2679</v>
      </c>
      <c r="Z55" s="47" t="e" vm="1">
        <f>_xlfn.XLOOKUP(Y55,'relaties_export_2026-01-12_1609'!B:B,'relaties_export_2026-01-12_1609'!A:A,"",3)</f>
        <v>#VALUE!</v>
      </c>
      <c r="AA55" s="47" t="e" vm="2">
        <f>_xlfn.XLOOKUP(Z55,'relaties_export_2026-01-12_1609'!A:A,'relaties_export_2026-01-12_1609'!B:B,"",3)</f>
        <v>#VALUE!</v>
      </c>
      <c r="AB55" s="70" t="s">
        <v>2986</v>
      </c>
      <c r="AC55" s="70">
        <v>1344.26</v>
      </c>
      <c r="AD55" s="70">
        <v>1344.26</v>
      </c>
      <c r="AE55" s="70">
        <v>1344.26</v>
      </c>
      <c r="AF55" s="46">
        <f t="shared" si="1"/>
        <v>77.553521195016302</v>
      </c>
      <c r="AG55" s="49">
        <v>44620</v>
      </c>
      <c r="AH55" s="49">
        <v>44984</v>
      </c>
      <c r="AI55"/>
      <c r="AJ55"/>
      <c r="AK55" s="80"/>
      <c r="AL55" s="80"/>
      <c r="AO55" s="34"/>
      <c r="AP55" s="116"/>
      <c r="AQ55" s="58"/>
      <c r="AT55" s="81"/>
      <c r="AU55" s="81"/>
      <c r="AY55" s="82"/>
    </row>
    <row r="56" spans="1:52" s="29" customFormat="1" ht="17" thickBot="1" x14ac:dyDescent="0.25">
      <c r="A56" s="30">
        <v>49</v>
      </c>
      <c r="B56" s="31" t="str">
        <f>_xlfn.XLOOKUP(D56,'[1]Sleutelplan nieuw'!B:B,'[1]Sleutelplan nieuw'!A:A,"",2)</f>
        <v>0052</v>
      </c>
      <c r="C56" s="32" t="s">
        <v>2824</v>
      </c>
      <c r="D56" s="59" t="s">
        <v>2987</v>
      </c>
      <c r="E56" s="60" t="s">
        <v>2988</v>
      </c>
      <c r="F56" s="76" t="s">
        <v>378</v>
      </c>
      <c r="G56" s="108">
        <v>4</v>
      </c>
      <c r="H56" s="108">
        <v>3</v>
      </c>
      <c r="I56" s="109">
        <v>44835</v>
      </c>
      <c r="J56" s="109">
        <v>45412</v>
      </c>
      <c r="K56" s="117"/>
      <c r="L56" s="114" t="s">
        <v>2839</v>
      </c>
      <c r="M56" s="41">
        <f>_xlfn.XLOOKUP(L56,'relaties_export_2026-01-12_1609'!B:B,'relaties_export_2026-01-12_1609'!A:A,"",3)</f>
        <v>13</v>
      </c>
      <c r="N56" s="41" t="str">
        <f>_xlfn.XLOOKUP(M56,'relaties_export_2026-01-12_1609'!A:A,'relaties_export_2026-01-12_1609'!B:B,"",3)</f>
        <v>United Homes B.V.</v>
      </c>
      <c r="O56" s="115"/>
      <c r="P56" s="43">
        <f t="shared" si="12"/>
        <v>598.1099999999999</v>
      </c>
      <c r="Q56" s="43">
        <f t="shared" si="16"/>
        <v>2083.8511000000003</v>
      </c>
      <c r="R56" s="44">
        <f t="shared" si="17"/>
        <v>1911.79</v>
      </c>
      <c r="S56" s="45">
        <f t="shared" si="18"/>
        <v>110.29566176589366</v>
      </c>
      <c r="T56" s="45">
        <v>1911.79</v>
      </c>
      <c r="U56" s="46">
        <v>0</v>
      </c>
      <c r="V56" s="46">
        <v>0</v>
      </c>
      <c r="W56"/>
      <c r="X56" s="23"/>
      <c r="Y56" s="56" t="s">
        <v>2679</v>
      </c>
      <c r="Z56" s="47" t="e" vm="1">
        <f>_xlfn.XLOOKUP(Y56,'relaties_export_2026-01-12_1609'!B:B,'relaties_export_2026-01-12_1609'!A:A,"",3)</f>
        <v>#VALUE!</v>
      </c>
      <c r="AA56" s="47" t="e" vm="2">
        <f>_xlfn.XLOOKUP(Z56,'relaties_export_2026-01-12_1609'!A:A,'relaties_export_2026-01-12_1609'!B:B,"",3)</f>
        <v>#VALUE!</v>
      </c>
      <c r="AB56" s="46" t="s">
        <v>2986</v>
      </c>
      <c r="AC56" s="46">
        <v>1313.68</v>
      </c>
      <c r="AD56" s="46">
        <v>1313.68</v>
      </c>
      <c r="AE56" s="46">
        <v>1313.68</v>
      </c>
      <c r="AF56" s="46">
        <f t="shared" si="1"/>
        <v>75.7892890686839</v>
      </c>
      <c r="AG56" s="49">
        <v>44682</v>
      </c>
      <c r="AH56" s="49">
        <v>45046</v>
      </c>
      <c r="AI56"/>
      <c r="AJ56"/>
      <c r="AK56" s="80"/>
      <c r="AL56" s="80"/>
      <c r="AO56" s="34"/>
      <c r="AP56" s="116"/>
      <c r="AQ56" s="58"/>
      <c r="AT56" s="81"/>
      <c r="AU56" s="81"/>
      <c r="AY56" s="82"/>
    </row>
    <row r="57" spans="1:52" s="29" customFormat="1" ht="17" thickBot="1" x14ac:dyDescent="0.25">
      <c r="A57" s="30"/>
      <c r="B57" s="31" t="str" cm="1">
        <f t="array" ref="B57">_xlfn.XLOOKUP(LEFT(D57,3),LEFT('[1]Sleutelplan nieuw'!B:B,3),'[1]Sleutelplan nieuw'!A:A,"",2)</f>
        <v>0375</v>
      </c>
      <c r="C57" s="32" t="s">
        <v>2824</v>
      </c>
      <c r="D57" s="59" t="s">
        <v>2989</v>
      </c>
      <c r="E57" s="60" t="s">
        <v>2990</v>
      </c>
      <c r="F57" s="76" t="s">
        <v>1173</v>
      </c>
      <c r="G57" s="108">
        <v>8</v>
      </c>
      <c r="H57" s="108">
        <v>5</v>
      </c>
      <c r="I57" s="109">
        <v>45856</v>
      </c>
      <c r="J57" s="109"/>
      <c r="K57" s="117"/>
      <c r="L57" s="114" t="s">
        <v>2672</v>
      </c>
      <c r="M57" s="41">
        <f>_xlfn.XLOOKUP(L57,'relaties_export_2026-01-12_1609'!B:B,'relaties_export_2026-01-12_1609'!A:A,"",3)</f>
        <v>17</v>
      </c>
      <c r="N57" s="41" t="str">
        <f>_xlfn.XLOOKUP(M57,'relaties_export_2026-01-12_1609'!A:A,'relaties_export_2026-01-12_1609'!B:B,"",3)</f>
        <v>Tradiro Services B.V.</v>
      </c>
      <c r="O57" s="115"/>
      <c r="P57" s="43">
        <f t="shared" si="12"/>
        <v>1250</v>
      </c>
      <c r="Q57" s="43">
        <f t="shared" si="16"/>
        <v>5831</v>
      </c>
      <c r="R57" s="44">
        <f t="shared" si="17"/>
        <v>5300</v>
      </c>
      <c r="S57" s="45">
        <f t="shared" si="18"/>
        <v>152.88473298825613</v>
      </c>
      <c r="T57" s="45">
        <v>4850</v>
      </c>
      <c r="U57" s="46">
        <v>450</v>
      </c>
      <c r="V57" s="46"/>
      <c r="W57"/>
      <c r="X57" s="23"/>
      <c r="Y57" s="56" t="s">
        <v>2680</v>
      </c>
      <c r="Z57" s="47">
        <f>_xlfn.XLOOKUP(Y57,'relaties_export_2026-01-12_1609'!B:B,'relaties_export_2026-01-12_1609'!A:A,"",3)</f>
        <v>799</v>
      </c>
      <c r="AA57" s="47" t="str">
        <f>_xlfn.XLOOKUP(Z57,'relaties_export_2026-01-12_1609'!A:A,'relaties_export_2026-01-12_1609'!B:B,"",3)</f>
        <v>Z. Yilmaz</v>
      </c>
      <c r="AB57" s="69" t="s">
        <v>2991</v>
      </c>
      <c r="AC57" s="46">
        <v>3600</v>
      </c>
      <c r="AD57" s="46">
        <v>3600</v>
      </c>
      <c r="AE57" s="46">
        <v>3600</v>
      </c>
      <c r="AF57" s="46">
        <f t="shared" si="1"/>
        <v>103.84623372787209</v>
      </c>
      <c r="AG57" s="49">
        <v>45853</v>
      </c>
      <c r="AH57" s="49">
        <v>46265</v>
      </c>
      <c r="AI57"/>
      <c r="AJ57"/>
      <c r="AK57" s="80"/>
      <c r="AL57" s="80"/>
      <c r="AO57" s="34"/>
      <c r="AP57" s="116"/>
      <c r="AQ57" s="58"/>
      <c r="AT57" s="81"/>
      <c r="AU57" s="81"/>
      <c r="AY57" s="82"/>
    </row>
    <row r="58" spans="1:52" s="29" customFormat="1" ht="17" thickBot="1" x14ac:dyDescent="0.25">
      <c r="A58" s="30">
        <v>51</v>
      </c>
      <c r="B58" s="31" t="str">
        <f>_xlfn.XLOOKUP(D58,'[1]Sleutelplan nieuw'!B:B,'[1]Sleutelplan nieuw'!A:A,"",2)</f>
        <v>0053</v>
      </c>
      <c r="C58" s="32" t="s">
        <v>2824</v>
      </c>
      <c r="D58" s="59" t="s">
        <v>2992</v>
      </c>
      <c r="E58" s="60" t="s">
        <v>2993</v>
      </c>
      <c r="F58" s="76" t="s">
        <v>2994</v>
      </c>
      <c r="G58" s="108">
        <v>4</v>
      </c>
      <c r="H58" s="108">
        <v>4</v>
      </c>
      <c r="I58" s="109">
        <v>45667</v>
      </c>
      <c r="J58" s="109">
        <v>46032</v>
      </c>
      <c r="K58" s="78"/>
      <c r="L58" s="114" t="s">
        <v>2995</v>
      </c>
      <c r="M58" s="41">
        <f>_xlfn.XLOOKUP(L58,'relaties_export_2026-01-12_1609'!B:B,'relaties_export_2026-01-12_1609'!A:A,"",3)</f>
        <v>123</v>
      </c>
      <c r="N58" s="41" t="str">
        <f>_xlfn.XLOOKUP(M58,'relaties_export_2026-01-12_1609'!A:A,'relaties_export_2026-01-12_1609'!B:B,"",3)</f>
        <v>OJP B.V.</v>
      </c>
      <c r="O58" s="115"/>
      <c r="P58" s="43">
        <f t="shared" si="12"/>
        <v>1869.91</v>
      </c>
      <c r="Q58" s="43">
        <f t="shared" si="16"/>
        <v>3990.2425000000003</v>
      </c>
      <c r="R58" s="44">
        <f t="shared" si="17"/>
        <v>3633.25</v>
      </c>
      <c r="S58" s="45">
        <f t="shared" si="18"/>
        <v>209.61073816210626</v>
      </c>
      <c r="T58" s="45">
        <v>3383.25</v>
      </c>
      <c r="U58" s="46">
        <v>250</v>
      </c>
      <c r="V58" s="46">
        <v>0</v>
      </c>
      <c r="W58"/>
      <c r="X58" s="23"/>
      <c r="Y58" s="56" t="s">
        <v>38</v>
      </c>
      <c r="Z58" s="47">
        <f>_xlfn.XLOOKUP(Y58,'relaties_export_2026-01-12_1609'!B:B,'relaties_export_2026-01-12_1609'!A:A,"",3)</f>
        <v>5</v>
      </c>
      <c r="AA58" s="47" t="str">
        <f>_xlfn.XLOOKUP(Z58,'relaties_export_2026-01-12_1609'!A:A,'relaties_export_2026-01-12_1609'!B:B,"",3)</f>
        <v>Ruva Vastgoed B.V.</v>
      </c>
      <c r="AB58" s="46" t="s">
        <v>2996</v>
      </c>
      <c r="AC58" s="46">
        <v>1513.34</v>
      </c>
      <c r="AD58" s="46">
        <v>1513.34</v>
      </c>
      <c r="AE58" s="46">
        <v>1513.34</v>
      </c>
      <c r="AF58" s="46">
        <f t="shared" si="1"/>
        <v>87.308144083187756</v>
      </c>
      <c r="AG58" s="49">
        <v>43560</v>
      </c>
      <c r="AH58" s="49">
        <v>43921</v>
      </c>
      <c r="AI58" t="s">
        <v>2997</v>
      </c>
      <c r="AJ58" t="s">
        <v>2998</v>
      </c>
      <c r="AK58" s="80">
        <v>43560</v>
      </c>
      <c r="AL58" s="80">
        <v>43921</v>
      </c>
      <c r="AM58" s="29" t="s">
        <v>2999</v>
      </c>
      <c r="AO58" s="34" t="s">
        <v>3000</v>
      </c>
      <c r="AP58" s="34"/>
      <c r="AQ58" s="58"/>
      <c r="AR58" s="29" t="s">
        <v>3001</v>
      </c>
      <c r="AS58" s="29" t="s">
        <v>3002</v>
      </c>
      <c r="AT58" s="81">
        <v>44212</v>
      </c>
      <c r="AU58" s="81">
        <v>44561</v>
      </c>
      <c r="AW58" s="29" t="s">
        <v>3003</v>
      </c>
      <c r="AY58" s="82"/>
      <c r="AZ58" s="29" t="s">
        <v>3004</v>
      </c>
    </row>
    <row r="59" spans="1:52" s="29" customFormat="1" ht="14.5" customHeight="1" thickBot="1" x14ac:dyDescent="0.25">
      <c r="A59" s="30">
        <v>52</v>
      </c>
      <c r="B59" s="31" t="str">
        <f>_xlfn.XLOOKUP(D59,'[1]Sleutelplan nieuw'!B:B,'[1]Sleutelplan nieuw'!A:A,"",2)</f>
        <v>0151</v>
      </c>
      <c r="C59" s="32" t="s">
        <v>2824</v>
      </c>
      <c r="D59" s="59" t="s">
        <v>3005</v>
      </c>
      <c r="E59" s="60" t="s">
        <v>3006</v>
      </c>
      <c r="F59" s="76" t="s">
        <v>1303</v>
      </c>
      <c r="G59" s="108">
        <v>3</v>
      </c>
      <c r="H59" s="108">
        <v>3</v>
      </c>
      <c r="I59" s="109">
        <v>45292</v>
      </c>
      <c r="J59" s="109">
        <v>45657</v>
      </c>
      <c r="K59" s="78"/>
      <c r="L59" s="114" t="s">
        <v>3007</v>
      </c>
      <c r="M59" s="41">
        <f>_xlfn.XLOOKUP(L59,'relaties_export_2026-01-12_1609'!B:B,'relaties_export_2026-01-12_1609'!A:A,"",3)</f>
        <v>374</v>
      </c>
      <c r="N59" s="41" t="str">
        <f>_xlfn.XLOOKUP(M59,'relaties_export_2026-01-12_1609'!A:A,'relaties_export_2026-01-12_1609'!B:B,"",3)</f>
        <v>GAP Costruzioni S.r.l.</v>
      </c>
      <c r="O59" s="115"/>
      <c r="P59" s="43">
        <f t="shared" si="12"/>
        <v>1141.9299999999998</v>
      </c>
      <c r="Q59" s="43">
        <f t="shared" si="16"/>
        <v>3097.7037</v>
      </c>
      <c r="R59" s="44">
        <f t="shared" si="17"/>
        <v>2841.93</v>
      </c>
      <c r="S59" s="45">
        <f t="shared" si="18"/>
        <v>218.61016816166779</v>
      </c>
      <c r="T59" s="45">
        <v>2841.93</v>
      </c>
      <c r="U59" s="46">
        <v>0</v>
      </c>
      <c r="V59" s="46">
        <v>0</v>
      </c>
      <c r="W59"/>
      <c r="X59" s="23"/>
      <c r="Y59" s="56" t="s">
        <v>1211</v>
      </c>
      <c r="Z59" s="47">
        <f>_xlfn.XLOOKUP(Y59,'relaties_export_2026-01-12_1609'!B:B,'relaties_export_2026-01-12_1609'!A:A,"",3)</f>
        <v>271</v>
      </c>
      <c r="AA59" s="47" t="str">
        <f>_xlfn.XLOOKUP(Z59,'relaties_export_2026-01-12_1609'!A:A,'relaties_export_2026-01-12_1609'!B:B,"",3)</f>
        <v>Houses2Rent</v>
      </c>
      <c r="AB59" s="46"/>
      <c r="AC59" s="46">
        <f>AD59*1.09</f>
        <v>1853.0000000000002</v>
      </c>
      <c r="AD59" s="46">
        <v>1700</v>
      </c>
      <c r="AE59" s="46">
        <v>1700</v>
      </c>
      <c r="AF59" s="46">
        <f t="shared" si="1"/>
        <v>130.76933136102411</v>
      </c>
      <c r="AG59" s="49"/>
      <c r="AH59" s="49"/>
      <c r="AI59"/>
      <c r="AJ59"/>
      <c r="AK59" s="80"/>
      <c r="AL59" s="80"/>
      <c r="AO59" s="34"/>
      <c r="AP59" s="34"/>
      <c r="AQ59" s="58"/>
      <c r="AT59" s="81"/>
      <c r="AU59" s="81"/>
      <c r="AY59" s="82"/>
    </row>
    <row r="60" spans="1:52" s="29" customFormat="1" ht="14.5" customHeight="1" thickBot="1" x14ac:dyDescent="0.25">
      <c r="A60" s="30"/>
      <c r="B60" s="31" t="str">
        <f>_xlfn.XLOOKUP(D60,'[1]Sleutelplan nieuw'!B:B,'[1]Sleutelplan nieuw'!A:A,"",2)</f>
        <v>0165</v>
      </c>
      <c r="C60" s="32" t="s">
        <v>2824</v>
      </c>
      <c r="D60" s="59" t="s">
        <v>3008</v>
      </c>
      <c r="E60" s="60" t="s">
        <v>3009</v>
      </c>
      <c r="F60" s="76" t="s">
        <v>3010</v>
      </c>
      <c r="G60" s="108"/>
      <c r="H60" s="108"/>
      <c r="I60" s="109"/>
      <c r="J60" s="109"/>
      <c r="K60" s="78"/>
      <c r="L60" s="114" t="s">
        <v>2672</v>
      </c>
      <c r="M60" s="41">
        <f>_xlfn.XLOOKUP(L60,'relaties_export_2026-01-12_1609'!B:B,'relaties_export_2026-01-12_1609'!A:A,"",3)</f>
        <v>17</v>
      </c>
      <c r="N60" s="41" t="str">
        <f>_xlfn.XLOOKUP(M60,'relaties_export_2026-01-12_1609'!A:A,'relaties_export_2026-01-12_1609'!B:B,"",3)</f>
        <v>Tradiro Services B.V.</v>
      </c>
      <c r="O60" s="115"/>
      <c r="P60" s="43"/>
      <c r="Q60" s="43"/>
      <c r="R60" s="44"/>
      <c r="S60" s="45"/>
      <c r="T60" s="45"/>
      <c r="U60" s="46"/>
      <c r="V60" s="46"/>
      <c r="W60"/>
      <c r="X60" s="23"/>
      <c r="Y60" s="56" t="s">
        <v>3011</v>
      </c>
      <c r="Z60" s="47" t="str">
        <f>_xlfn.XLOOKUP(Y60,'relaties_export_2026-01-12_1609'!B:B,'relaties_export_2026-01-12_1609'!A:A,"",3)</f>
        <v/>
      </c>
      <c r="AA60" s="47" t="str">
        <f>_xlfn.XLOOKUP(Z60,'relaties_export_2026-01-12_1609'!A:A,'relaties_export_2026-01-12_1609'!B:B,"",3)</f>
        <v>naam</v>
      </c>
      <c r="AB60" s="46"/>
      <c r="AC60" s="46">
        <v>5048</v>
      </c>
      <c r="AD60" s="46">
        <v>5048</v>
      </c>
      <c r="AE60" s="46">
        <v>4761</v>
      </c>
      <c r="AF60" s="46"/>
      <c r="AG60" s="49"/>
      <c r="AH60" s="49"/>
      <c r="AI60"/>
      <c r="AJ60"/>
      <c r="AK60" s="80"/>
      <c r="AL60" s="80"/>
      <c r="AO60" s="34"/>
      <c r="AP60" s="34"/>
      <c r="AQ60" s="58"/>
      <c r="AT60" s="81"/>
      <c r="AU60" s="81"/>
      <c r="AY60" s="82"/>
    </row>
    <row r="61" spans="1:52" s="29" customFormat="1" ht="17" thickBot="1" x14ac:dyDescent="0.25">
      <c r="A61" s="30">
        <v>53</v>
      </c>
      <c r="B61" s="31" t="str">
        <f>_xlfn.XLOOKUP(D61,'[1]Sleutelplan nieuw'!B:B,'[1]Sleutelplan nieuw'!A:A,"",2)</f>
        <v>0056</v>
      </c>
      <c r="C61" s="32" t="s">
        <v>2831</v>
      </c>
      <c r="D61" s="59" t="s">
        <v>3012</v>
      </c>
      <c r="E61" s="60" t="s">
        <v>3013</v>
      </c>
      <c r="F61" s="76" t="s">
        <v>329</v>
      </c>
      <c r="G61" s="77">
        <v>4</v>
      </c>
      <c r="H61" s="77">
        <v>4</v>
      </c>
      <c r="I61" s="78">
        <v>45000</v>
      </c>
      <c r="J61" s="78">
        <v>45365</v>
      </c>
      <c r="K61" s="78" t="s">
        <v>2845</v>
      </c>
      <c r="L61" t="s">
        <v>565</v>
      </c>
      <c r="M61" s="41">
        <f>_xlfn.XLOOKUP(L61,'relaties_export_2026-01-12_1609'!B:B,'relaties_export_2026-01-12_1609'!A:A,"",3)</f>
        <v>122</v>
      </c>
      <c r="N61" s="41" t="str">
        <f>_xlfn.XLOOKUP(M61,'relaties_export_2026-01-12_1609'!A:A,'relaties_export_2026-01-12_1609'!B:B,"",3)</f>
        <v>Interwel Oost B.V.</v>
      </c>
      <c r="O61" s="115"/>
      <c r="P61" s="43">
        <f t="shared" si="12"/>
        <v>540.93000000000006</v>
      </c>
      <c r="Q61" s="43">
        <f t="shared" si="16"/>
        <v>2230.5978000000005</v>
      </c>
      <c r="R61" s="44">
        <f t="shared" si="17"/>
        <v>2046.42</v>
      </c>
      <c r="S61" s="45">
        <f t="shared" si="18"/>
        <v>118.06278312521779</v>
      </c>
      <c r="T61" s="45">
        <v>2046.42</v>
      </c>
      <c r="U61" s="46">
        <v>0</v>
      </c>
      <c r="V61" s="46">
        <v>0</v>
      </c>
      <c r="W61"/>
      <c r="X61" s="23"/>
      <c r="Y61" s="56" t="s">
        <v>2681</v>
      </c>
      <c r="Z61" s="47">
        <f>_xlfn.XLOOKUP(Y61,'relaties_export_2026-01-12_1609'!B:B,'relaties_export_2026-01-12_1609'!A:A,"",3)</f>
        <v>800</v>
      </c>
      <c r="AA61" s="47" t="str">
        <f>_xlfn.XLOOKUP(Z61,'relaties_export_2026-01-12_1609'!A:A,'relaties_export_2026-01-12_1609'!B:B,"",3)</f>
        <v>L. Schilstra / Eigenaar.nl</v>
      </c>
      <c r="AB61" s="46" t="s">
        <v>3014</v>
      </c>
      <c r="AC61" s="46">
        <v>1505.49</v>
      </c>
      <c r="AD61" s="46">
        <v>1505.49</v>
      </c>
      <c r="AE61" s="46">
        <v>1505.49</v>
      </c>
      <c r="AF61" s="46">
        <f t="shared" si="1"/>
        <v>86.855259119430087</v>
      </c>
      <c r="AG61" s="49">
        <v>43896</v>
      </c>
      <c r="AH61" s="49">
        <v>44316</v>
      </c>
      <c r="AI61" t="s">
        <v>2997</v>
      </c>
      <c r="AJ61" t="s">
        <v>3015</v>
      </c>
      <c r="AK61" s="80">
        <v>43896</v>
      </c>
      <c r="AL61" s="80">
        <v>44316</v>
      </c>
      <c r="AM61" s="29" t="s">
        <v>2999</v>
      </c>
      <c r="AO61" s="34" t="s">
        <v>3000</v>
      </c>
      <c r="AP61" s="34"/>
      <c r="AQ61" s="58"/>
      <c r="AR61" s="29" t="s">
        <v>2997</v>
      </c>
      <c r="AS61" s="29" t="s">
        <v>3016</v>
      </c>
      <c r="AT61" s="81">
        <v>43897</v>
      </c>
      <c r="AU61" s="81">
        <v>43927</v>
      </c>
      <c r="AV61" s="29" t="s">
        <v>3016</v>
      </c>
      <c r="AW61" s="29" t="s">
        <v>3000</v>
      </c>
      <c r="AY61" s="86"/>
      <c r="AZ61" s="29" t="s">
        <v>3017</v>
      </c>
    </row>
    <row r="62" spans="1:52" s="29" customFormat="1" ht="12.75" customHeight="1" thickBot="1" x14ac:dyDescent="0.25">
      <c r="A62" s="30">
        <v>54</v>
      </c>
      <c r="B62" s="64" t="s">
        <v>3018</v>
      </c>
      <c r="C62" s="32" t="s">
        <v>2824</v>
      </c>
      <c r="D62" s="59" t="s">
        <v>3019</v>
      </c>
      <c r="E62" s="60" t="s">
        <v>3020</v>
      </c>
      <c r="F62" s="76" t="s">
        <v>3021</v>
      </c>
      <c r="G62" s="77">
        <v>28</v>
      </c>
      <c r="H62" s="77"/>
      <c r="I62" s="78">
        <v>45778</v>
      </c>
      <c r="J62" s="78" t="s">
        <v>3022</v>
      </c>
      <c r="K62" s="78"/>
      <c r="L62" s="83" t="s">
        <v>2672</v>
      </c>
      <c r="M62" s="41">
        <f>_xlfn.XLOOKUP(L62,'relaties_export_2026-01-12_1609'!B:B,'relaties_export_2026-01-12_1609'!A:A,"",3)</f>
        <v>17</v>
      </c>
      <c r="N62" s="41" t="str">
        <f>_xlfn.XLOOKUP(M62,'relaties_export_2026-01-12_1609'!A:A,'relaties_export_2026-01-12_1609'!B:B,"",3)</f>
        <v>Tradiro Services B.V.</v>
      </c>
      <c r="O62" s="115"/>
      <c r="P62" s="43">
        <f t="shared" si="12"/>
        <v>1516.5699999999997</v>
      </c>
      <c r="Q62" s="43">
        <f t="shared" si="16"/>
        <v>14217.123970000002</v>
      </c>
      <c r="R62" s="44">
        <v>13043.23</v>
      </c>
      <c r="S62" s="45">
        <f t="shared" si="18"/>
        <v>107.49923104336453</v>
      </c>
      <c r="T62" s="45">
        <f>107.5*28*4.3333</f>
        <v>13043.233000000002</v>
      </c>
      <c r="U62" s="46">
        <v>0</v>
      </c>
      <c r="V62" s="46"/>
      <c r="W62"/>
      <c r="X62" s="23"/>
      <c r="Y62" t="s">
        <v>2486</v>
      </c>
      <c r="Z62" s="47">
        <f>_xlfn.XLOOKUP(Y62,'relaties_export_2026-01-12_1609'!B:B,'relaties_export_2026-01-12_1609'!A:A,"",3)</f>
        <v>683</v>
      </c>
      <c r="AA62" s="47" t="str">
        <f>_xlfn.XLOOKUP(Z62,'relaties_export_2026-01-12_1609'!A:A,'relaties_export_2026-01-12_1609'!B:B,"",3)</f>
        <v>Tetering en Martens</v>
      </c>
      <c r="AB62" s="69" t="s">
        <v>3023</v>
      </c>
      <c r="AC62" s="46">
        <v>11526.66</v>
      </c>
      <c r="AD62" s="46">
        <v>11526.66</v>
      </c>
      <c r="AE62" s="46">
        <v>11526.66</v>
      </c>
      <c r="AF62" s="46">
        <f t="shared" si="1"/>
        <v>95.000018131882072</v>
      </c>
      <c r="AG62" s="49">
        <v>45778</v>
      </c>
      <c r="AH62" s="49">
        <v>46873</v>
      </c>
      <c r="AI62"/>
      <c r="AJ62"/>
      <c r="AK62" s="80"/>
      <c r="AL62" s="80"/>
      <c r="AO62" s="34"/>
      <c r="AP62" s="34"/>
      <c r="AQ62" s="58"/>
      <c r="AT62" s="81"/>
      <c r="AU62" s="81"/>
      <c r="AY62" s="86"/>
    </row>
    <row r="63" spans="1:52" s="29" customFormat="1" ht="17" thickBot="1" x14ac:dyDescent="0.25">
      <c r="A63" s="30">
        <v>55</v>
      </c>
      <c r="B63" s="31" t="str">
        <f>_xlfn.XLOOKUP(D63,'[1]Sleutelplan nieuw'!B:B,'[1]Sleutelplan nieuw'!A:A,"",2)</f>
        <v>0153</v>
      </c>
      <c r="C63" s="32" t="s">
        <v>2824</v>
      </c>
      <c r="D63" s="59" t="s">
        <v>3024</v>
      </c>
      <c r="E63" s="60" t="s">
        <v>3025</v>
      </c>
      <c r="F63" s="76" t="s">
        <v>84</v>
      </c>
      <c r="G63" s="108">
        <v>4</v>
      </c>
      <c r="H63" s="108">
        <v>4</v>
      </c>
      <c r="I63" s="109">
        <v>45292</v>
      </c>
      <c r="J63" s="109">
        <v>45657</v>
      </c>
      <c r="K63" s="78"/>
      <c r="L63" s="114" t="s">
        <v>3007</v>
      </c>
      <c r="M63" s="41">
        <f>_xlfn.XLOOKUP(L63,'relaties_export_2026-01-12_1609'!B:B,'relaties_export_2026-01-12_1609'!A:A,"",3)</f>
        <v>374</v>
      </c>
      <c r="N63" s="41" t="str">
        <f>_xlfn.XLOOKUP(M63,'relaties_export_2026-01-12_1609'!A:A,'relaties_export_2026-01-12_1609'!B:B,"",3)</f>
        <v>GAP Costruzioni S.r.l.</v>
      </c>
      <c r="O63" s="115"/>
      <c r="P63" s="43">
        <f t="shared" si="12"/>
        <v>2089.2399999999998</v>
      </c>
      <c r="Q63" s="43">
        <f t="shared" si="16"/>
        <v>4130.2716</v>
      </c>
      <c r="R63" s="44">
        <f>T63+U63</f>
        <v>3789.24</v>
      </c>
      <c r="S63" s="45">
        <f t="shared" si="18"/>
        <v>218.61016816166779</v>
      </c>
      <c r="T63" s="45">
        <v>3789.24</v>
      </c>
      <c r="U63" s="46">
        <v>0</v>
      </c>
      <c r="V63" s="46">
        <v>0</v>
      </c>
      <c r="W63"/>
      <c r="X63" s="23"/>
      <c r="Y63" s="56" t="s">
        <v>1211</v>
      </c>
      <c r="Z63" s="47">
        <f>_xlfn.XLOOKUP(Y63,'relaties_export_2026-01-12_1609'!B:B,'relaties_export_2026-01-12_1609'!A:A,"",3)</f>
        <v>271</v>
      </c>
      <c r="AA63" s="47" t="str">
        <f>_xlfn.XLOOKUP(Z63,'relaties_export_2026-01-12_1609'!A:A,'relaties_export_2026-01-12_1609'!B:B,"",3)</f>
        <v>Houses2Rent</v>
      </c>
      <c r="AB63" s="46" t="s">
        <v>2845</v>
      </c>
      <c r="AC63" s="46">
        <f>AD63*1.09</f>
        <v>1853.0000000000002</v>
      </c>
      <c r="AD63" s="46">
        <v>1700</v>
      </c>
      <c r="AE63" s="46">
        <v>1700</v>
      </c>
      <c r="AF63" s="46">
        <f t="shared" si="1"/>
        <v>98.076998520768086</v>
      </c>
      <c r="AG63" s="49"/>
      <c r="AH63" s="49"/>
      <c r="AI63"/>
      <c r="AJ63"/>
      <c r="AK63" s="80"/>
      <c r="AL63" s="80"/>
      <c r="AO63" s="34"/>
      <c r="AP63" s="34"/>
      <c r="AQ63" s="58"/>
      <c r="AT63" s="81"/>
      <c r="AU63" s="81"/>
      <c r="AY63" s="82"/>
    </row>
    <row r="64" spans="1:52" s="29" customFormat="1" ht="17" thickBot="1" x14ac:dyDescent="0.25">
      <c r="A64" s="30">
        <v>56</v>
      </c>
      <c r="B64" s="31" t="str" cm="1">
        <f t="array" ref="B64">_xlfn.XLOOKUP(LEFT(D64,3),LEFT('[1]Sleutelplan nieuw'!B:B,3),'[1]Sleutelplan nieuw'!A:A,"",2)</f>
        <v>0023</v>
      </c>
      <c r="C64" s="32" t="s">
        <v>2831</v>
      </c>
      <c r="D64" s="59" t="s">
        <v>3026</v>
      </c>
      <c r="E64" s="60" t="s">
        <v>3027</v>
      </c>
      <c r="F64" s="76" t="s">
        <v>3028</v>
      </c>
      <c r="G64" s="77">
        <v>8</v>
      </c>
      <c r="H64" s="77">
        <v>5</v>
      </c>
      <c r="I64" s="78">
        <v>45583</v>
      </c>
      <c r="J64" s="78">
        <v>45765</v>
      </c>
      <c r="K64" s="78"/>
      <c r="L64" s="83" t="s">
        <v>2853</v>
      </c>
      <c r="M64" s="41">
        <f>_xlfn.XLOOKUP(L64,'relaties_export_2026-01-12_1609'!B:B,'relaties_export_2026-01-12_1609'!A:A,"",3)</f>
        <v>236</v>
      </c>
      <c r="N64" s="41" t="str">
        <f>_xlfn.XLOOKUP(M64,'relaties_export_2026-01-12_1609'!A:A,'relaties_export_2026-01-12_1609'!B:B,"",3)</f>
        <v>NL Realty B.V.</v>
      </c>
      <c r="O64" s="115"/>
      <c r="P64" s="43">
        <f t="shared" si="12"/>
        <v>514.88000000000011</v>
      </c>
      <c r="Q64" s="43">
        <f t="shared" si="16"/>
        <v>4396.9292000000005</v>
      </c>
      <c r="R64" s="44">
        <f>T64+U64</f>
        <v>4033.88</v>
      </c>
      <c r="S64" s="45">
        <f t="shared" si="18"/>
        <v>116.36201258616353</v>
      </c>
      <c r="T64" s="45">
        <v>4033.88</v>
      </c>
      <c r="U64" s="46">
        <v>0</v>
      </c>
      <c r="V64" s="46"/>
      <c r="W64"/>
      <c r="X64" s="23"/>
      <c r="Y64" s="56" t="s">
        <v>1416</v>
      </c>
      <c r="Z64" s="47">
        <f>_xlfn.XLOOKUP(Y64,'relaties_export_2026-01-12_1609'!B:B,'relaties_export_2026-01-12_1609'!A:A,"",3)</f>
        <v>326</v>
      </c>
      <c r="AA64" s="47" t="str">
        <f>_xlfn.XLOOKUP(Z64,'relaties_export_2026-01-12_1609'!A:A,'relaties_export_2026-01-12_1609'!B:B,"",3)</f>
        <v>S. Kleiren</v>
      </c>
      <c r="AB64" s="69" t="s">
        <v>3029</v>
      </c>
      <c r="AC64" s="46">
        <v>3519</v>
      </c>
      <c r="AD64" s="46">
        <v>3519</v>
      </c>
      <c r="AE64" s="46">
        <v>3519</v>
      </c>
      <c r="AF64" s="46">
        <f t="shared" si="1"/>
        <v>101.50969346899497</v>
      </c>
      <c r="AG64" s="49">
        <v>45583</v>
      </c>
      <c r="AH64" s="49">
        <v>46678</v>
      </c>
      <c r="AI64"/>
      <c r="AJ64"/>
      <c r="AK64" s="80"/>
      <c r="AL64" s="80"/>
      <c r="AO64" s="34"/>
      <c r="AP64" s="34"/>
      <c r="AQ64" s="58"/>
      <c r="AT64" s="81"/>
      <c r="AU64" s="81"/>
      <c r="AY64" s="86"/>
    </row>
    <row r="65" spans="1:52" s="29" customFormat="1" ht="17" thickBot="1" x14ac:dyDescent="0.25">
      <c r="A65" s="30">
        <v>57</v>
      </c>
      <c r="B65" s="64" t="s">
        <v>3030</v>
      </c>
      <c r="C65" s="32" t="s">
        <v>2831</v>
      </c>
      <c r="D65" s="59" t="s">
        <v>3031</v>
      </c>
      <c r="E65" s="60" t="s">
        <v>3027</v>
      </c>
      <c r="F65" s="76" t="s">
        <v>3028</v>
      </c>
      <c r="G65" s="77">
        <v>8</v>
      </c>
      <c r="H65" s="77">
        <v>6</v>
      </c>
      <c r="I65" s="78">
        <v>45583</v>
      </c>
      <c r="J65" s="78">
        <v>45765</v>
      </c>
      <c r="K65" s="78"/>
      <c r="L65" s="83" t="s">
        <v>2853</v>
      </c>
      <c r="M65" s="41">
        <f>_xlfn.XLOOKUP(L65,'relaties_export_2026-01-12_1609'!B:B,'relaties_export_2026-01-12_1609'!A:A,"",3)</f>
        <v>236</v>
      </c>
      <c r="N65" s="41" t="str">
        <f>_xlfn.XLOOKUP(M65,'relaties_export_2026-01-12_1609'!A:A,'relaties_export_2026-01-12_1609'!B:B,"",3)</f>
        <v>NL Realty B.V.</v>
      </c>
      <c r="O65" s="115"/>
      <c r="P65" s="43">
        <f t="shared" si="12"/>
        <v>514.88000000000011</v>
      </c>
      <c r="Q65" s="43">
        <f t="shared" si="16"/>
        <v>4396.9292000000005</v>
      </c>
      <c r="R65" s="44">
        <f>T65+U65</f>
        <v>4033.88</v>
      </c>
      <c r="S65" s="45">
        <f t="shared" si="18"/>
        <v>116.36201258616353</v>
      </c>
      <c r="T65" s="45">
        <v>4033.88</v>
      </c>
      <c r="U65" s="46">
        <v>0</v>
      </c>
      <c r="V65" s="46"/>
      <c r="W65"/>
      <c r="X65" s="23"/>
      <c r="Y65" s="56" t="s">
        <v>1416</v>
      </c>
      <c r="Z65" s="47">
        <f>_xlfn.XLOOKUP(Y65,'relaties_export_2026-01-12_1609'!B:B,'relaties_export_2026-01-12_1609'!A:A,"",3)</f>
        <v>326</v>
      </c>
      <c r="AA65" s="47" t="str">
        <f>_xlfn.XLOOKUP(Z65,'relaties_export_2026-01-12_1609'!A:A,'relaties_export_2026-01-12_1609'!B:B,"",3)</f>
        <v>S. Kleiren</v>
      </c>
      <c r="AB65" s="69" t="s">
        <v>3029</v>
      </c>
      <c r="AC65" s="46">
        <v>3519</v>
      </c>
      <c r="AD65" s="46">
        <v>3519</v>
      </c>
      <c r="AE65" s="46">
        <v>3519</v>
      </c>
      <c r="AF65" s="46">
        <f t="shared" si="1"/>
        <v>101.50969346899497</v>
      </c>
      <c r="AG65" s="49">
        <v>45583</v>
      </c>
      <c r="AH65" s="49">
        <v>46678</v>
      </c>
      <c r="AI65"/>
      <c r="AJ65"/>
      <c r="AK65" s="80"/>
      <c r="AL65" s="80"/>
      <c r="AO65" s="34"/>
      <c r="AP65" s="34"/>
      <c r="AQ65" s="58"/>
      <c r="AT65" s="81"/>
      <c r="AU65" s="81"/>
      <c r="AY65" s="86"/>
    </row>
    <row r="66" spans="1:52" s="29" customFormat="1" ht="17" thickBot="1" x14ac:dyDescent="0.25">
      <c r="A66" s="30">
        <v>58</v>
      </c>
      <c r="B66" s="31" t="str">
        <f>_xlfn.XLOOKUP(D66,'[1]Sleutelplan nieuw'!B:B,'[1]Sleutelplan nieuw'!A:A,"",2)</f>
        <v>0058</v>
      </c>
      <c r="C66" s="32" t="s">
        <v>2831</v>
      </c>
      <c r="D66" s="59" t="s">
        <v>3032</v>
      </c>
      <c r="E66" s="60" t="s">
        <v>3033</v>
      </c>
      <c r="F66" s="76" t="s">
        <v>2498</v>
      </c>
      <c r="G66" s="77">
        <v>6</v>
      </c>
      <c r="H66" s="77">
        <v>6</v>
      </c>
      <c r="I66" s="78">
        <v>45807</v>
      </c>
      <c r="J66" s="78">
        <v>45898</v>
      </c>
      <c r="K66" s="118"/>
      <c r="L66" s="83" t="s">
        <v>185</v>
      </c>
      <c r="M66" s="41">
        <f>_xlfn.XLOOKUP(L66,'relaties_export_2026-01-12_1609'!B:B,'relaties_export_2026-01-12_1609'!A:A,"",3)</f>
        <v>34</v>
      </c>
      <c r="N66" s="41" t="str">
        <f>_xlfn.XLOOKUP(M66,'relaties_export_2026-01-12_1609'!A:A,'relaties_export_2026-01-12_1609'!B:B,"",3)</f>
        <v>Employ</v>
      </c>
      <c r="O66" s="115"/>
      <c r="P66" s="43">
        <f t="shared" si="12"/>
        <v>343</v>
      </c>
      <c r="Q66" s="43">
        <f t="shared" si="16"/>
        <v>2997.5</v>
      </c>
      <c r="R66" s="44">
        <v>2750</v>
      </c>
      <c r="S66" s="45">
        <f t="shared" si="18"/>
        <v>105.7693121302401</v>
      </c>
      <c r="T66" s="45">
        <v>2750</v>
      </c>
      <c r="U66" s="46"/>
      <c r="V66" s="46"/>
      <c r="W66"/>
      <c r="X66" s="23"/>
      <c r="Y66" s="56" t="s">
        <v>2657</v>
      </c>
      <c r="Z66" s="47">
        <f>_xlfn.XLOOKUP(Y66,'relaties_export_2026-01-12_1609'!B:B,'relaties_export_2026-01-12_1609'!A:A,"",3)</f>
        <v>206</v>
      </c>
      <c r="AA66" s="47" t="str">
        <f>_xlfn.XLOOKUP(Z66,'relaties_export_2026-01-12_1609'!A:A,'relaties_export_2026-01-12_1609'!B:B,"",3)</f>
        <v>Dhr. T. Roestenberg en Mw. Roestenberg - Hustinx</v>
      </c>
      <c r="AB66" s="46" t="s">
        <v>3034</v>
      </c>
      <c r="AC66" s="46">
        <v>2407</v>
      </c>
      <c r="AD66" s="46">
        <v>2407</v>
      </c>
      <c r="AE66" s="46">
        <v>2407</v>
      </c>
      <c r="AF66" s="46">
        <f t="shared" si="1"/>
        <v>92.576994289995611</v>
      </c>
      <c r="AG66" s="119" t="e">
        <f>#REF!</f>
        <v>#REF!</v>
      </c>
      <c r="AH66" s="119">
        <f>X66</f>
        <v>0</v>
      </c>
      <c r="AI66"/>
      <c r="AJ66"/>
      <c r="AK66" s="80"/>
      <c r="AL66" s="80"/>
      <c r="AN66" s="95"/>
      <c r="AO66" s="34"/>
      <c r="AP66" s="34"/>
      <c r="AQ66" s="58"/>
      <c r="AT66" s="81"/>
      <c r="AU66" s="81"/>
      <c r="AY66" s="86"/>
    </row>
    <row r="67" spans="1:52" s="29" customFormat="1" ht="14.25" customHeight="1" thickBot="1" x14ac:dyDescent="0.25">
      <c r="A67" s="30">
        <v>59</v>
      </c>
      <c r="B67" s="31" t="str">
        <f>_xlfn.XLOOKUP(D67,'[1]Sleutelplan nieuw'!B:B,'[1]Sleutelplan nieuw'!A:A,"",2)</f>
        <v>0059</v>
      </c>
      <c r="C67" s="32" t="s">
        <v>2831</v>
      </c>
      <c r="D67" s="59" t="s">
        <v>935</v>
      </c>
      <c r="E67" s="60" t="s">
        <v>3035</v>
      </c>
      <c r="F67" s="76" t="s">
        <v>3036</v>
      </c>
      <c r="G67" s="77">
        <v>6</v>
      </c>
      <c r="H67" s="77">
        <v>6</v>
      </c>
      <c r="I67" s="78">
        <v>45931</v>
      </c>
      <c r="J67" s="78">
        <v>46295</v>
      </c>
      <c r="K67" s="78"/>
      <c r="L67" s="83" t="s">
        <v>3037</v>
      </c>
      <c r="M67" s="219">
        <v>367</v>
      </c>
      <c r="N67" s="41" t="str">
        <f>_xlfn.XLOOKUP(M67,'relaties_export_2026-01-12_1609'!A:A,'relaties_export_2026-01-12_1609'!B:B,"",3)</f>
        <v>Kapitan Workers Sp. Z.o.o.</v>
      </c>
      <c r="O67" s="120" t="s">
        <v>3038</v>
      </c>
      <c r="P67" s="43">
        <f t="shared" si="12"/>
        <v>808.80000000000018</v>
      </c>
      <c r="Q67" s="43">
        <f t="shared" si="16"/>
        <v>4081.0000000000005</v>
      </c>
      <c r="R67" s="44">
        <f>T67+U67</f>
        <v>3700</v>
      </c>
      <c r="S67" s="45">
        <f t="shared" si="18"/>
        <v>142.30780177523212</v>
      </c>
      <c r="T67" s="45">
        <v>3300</v>
      </c>
      <c r="U67" s="46">
        <v>400</v>
      </c>
      <c r="V67" s="46">
        <v>0</v>
      </c>
      <c r="W67"/>
      <c r="X67" s="23"/>
      <c r="Y67" s="56" t="s">
        <v>2682</v>
      </c>
      <c r="Z67" s="47">
        <f>_xlfn.XLOOKUP(Y67,'relaties_export_2026-01-12_1609'!B:B,'relaties_export_2026-01-12_1609'!A:A,"",3)</f>
        <v>801</v>
      </c>
      <c r="AA67" s="47" t="str">
        <f>_xlfn.XLOOKUP(Z67,'relaties_export_2026-01-12_1609'!A:A,'relaties_export_2026-01-12_1609'!B:B,"",3)</f>
        <v>P. Ter Haar - Ros</v>
      </c>
      <c r="AB67" s="46" t="s">
        <v>3039</v>
      </c>
      <c r="AC67" s="46">
        <v>2491.1999999999998</v>
      </c>
      <c r="AD67" s="46">
        <v>2491.1999999999998</v>
      </c>
      <c r="AE67" s="46">
        <v>2491.1999999999998</v>
      </c>
      <c r="AF67" s="46">
        <f t="shared" ref="AF67:AF69" si="19">(AD67/G67)/4.33333</f>
        <v>95.815458319583314</v>
      </c>
      <c r="AG67" s="49">
        <v>44986</v>
      </c>
      <c r="AH67" s="49">
        <v>45351</v>
      </c>
      <c r="AI67"/>
      <c r="AJ67"/>
      <c r="AK67" s="80"/>
      <c r="AL67" s="80"/>
      <c r="AN67" s="95"/>
      <c r="AO67" s="34"/>
      <c r="AP67" s="34"/>
      <c r="AQ67" s="58"/>
      <c r="AT67" s="81"/>
      <c r="AU67" s="81"/>
      <c r="AY67" s="86"/>
    </row>
    <row r="68" spans="1:52" s="29" customFormat="1" ht="14.25" customHeight="1" thickBot="1" x14ac:dyDescent="0.25">
      <c r="A68" s="30"/>
      <c r="B68" s="31"/>
      <c r="C68" s="32" t="s">
        <v>2824</v>
      </c>
      <c r="D68" s="59" t="s">
        <v>3040</v>
      </c>
      <c r="E68" s="60" t="s">
        <v>3041</v>
      </c>
      <c r="F68" s="76" t="s">
        <v>3042</v>
      </c>
      <c r="G68" s="77">
        <v>5</v>
      </c>
      <c r="H68" s="77">
        <v>4</v>
      </c>
      <c r="I68" s="78">
        <v>46006</v>
      </c>
      <c r="J68" s="78">
        <v>46142</v>
      </c>
      <c r="K68" s="78"/>
      <c r="L68" s="83" t="s">
        <v>2672</v>
      </c>
      <c r="M68" s="41">
        <f>_xlfn.XLOOKUP(L68,'relaties_export_2026-01-12_1609'!B:B,'relaties_export_2026-01-12_1609'!A:A,"",3)</f>
        <v>17</v>
      </c>
      <c r="N68" s="41" t="str">
        <f>_xlfn.XLOOKUP(M68,'relaties_export_2026-01-12_1609'!A:A,'relaties_export_2026-01-12_1609'!B:B,"",3)</f>
        <v>Tradiro Services B.V.</v>
      </c>
      <c r="O68" s="120" t="s">
        <v>3043</v>
      </c>
      <c r="P68" s="43">
        <f>R68-U68-V68-AD68</f>
        <v>250</v>
      </c>
      <c r="Q68" s="43">
        <f>T68*1.09+U68*1.21</f>
        <v>3106.5000000000005</v>
      </c>
      <c r="R68" s="44">
        <f>T68+U68</f>
        <v>2850</v>
      </c>
      <c r="S68" s="45">
        <f>(R68/G68)/4.33333</f>
        <v>131.53856272197132</v>
      </c>
      <c r="T68" s="45">
        <v>2850</v>
      </c>
      <c r="U68" s="46"/>
      <c r="V68" s="46"/>
      <c r="W68"/>
      <c r="X68" s="23"/>
      <c r="Y68" s="56" t="s">
        <v>408</v>
      </c>
      <c r="Z68" s="47">
        <f>_xlfn.XLOOKUP(Y68,'relaties_export_2026-01-12_1609'!B:B,'relaties_export_2026-01-12_1609'!A:A,"",3)</f>
        <v>85</v>
      </c>
      <c r="AA68" s="47" t="str">
        <f>_xlfn.XLOOKUP(Z68,'relaties_export_2026-01-12_1609'!A:A,'relaties_export_2026-01-12_1609'!B:B,"",3)</f>
        <v>4 Homes B.V.</v>
      </c>
      <c r="AB68" s="69" t="s">
        <v>2983</v>
      </c>
      <c r="AC68" s="46">
        <v>2600</v>
      </c>
      <c r="AD68" s="46">
        <v>2600</v>
      </c>
      <c r="AE68" s="46">
        <v>2600</v>
      </c>
      <c r="AF68" s="46">
        <f>(AD68/G68)/4.33333</f>
        <v>120.00009230776331</v>
      </c>
      <c r="AG68" s="49"/>
      <c r="AH68" s="49"/>
      <c r="AI68"/>
      <c r="AJ68"/>
      <c r="AK68" s="80"/>
      <c r="AL68" s="80"/>
      <c r="AN68" s="95"/>
      <c r="AO68" s="34"/>
      <c r="AP68" s="34"/>
      <c r="AQ68" s="58"/>
      <c r="AT68" s="81"/>
      <c r="AU68" s="81"/>
      <c r="AY68" s="86"/>
    </row>
    <row r="69" spans="1:52" s="29" customFormat="1" ht="14.25" customHeight="1" thickBot="1" x14ac:dyDescent="0.25">
      <c r="A69" s="30">
        <v>60</v>
      </c>
      <c r="B69" s="31" t="str">
        <f>_xlfn.XLOOKUP(D69,'[1]Sleutelplan nieuw'!B:B,'[1]Sleutelplan nieuw'!A:A,"",2)</f>
        <v>0354</v>
      </c>
      <c r="C69" s="51" t="s">
        <v>2824</v>
      </c>
      <c r="D69" s="59" t="s">
        <v>3044</v>
      </c>
      <c r="E69" s="60" t="s">
        <v>3045</v>
      </c>
      <c r="F69" s="76" t="s">
        <v>3046</v>
      </c>
      <c r="G69" s="77">
        <v>15</v>
      </c>
      <c r="H69" s="77">
        <v>8</v>
      </c>
      <c r="I69" s="78">
        <v>45745</v>
      </c>
      <c r="J69" s="78" t="s">
        <v>2912</v>
      </c>
      <c r="K69" s="78"/>
      <c r="L69" s="83" t="s">
        <v>2672</v>
      </c>
      <c r="M69" s="41">
        <f>_xlfn.XLOOKUP(L69,'relaties_export_2026-01-12_1609'!B:B,'relaties_export_2026-01-12_1609'!A:A,"",3)</f>
        <v>17</v>
      </c>
      <c r="N69" s="41" t="str">
        <f>_xlfn.XLOOKUP(M69,'relaties_export_2026-01-12_1609'!A:A,'relaties_export_2026-01-12_1609'!B:B,"",3)</f>
        <v>Tradiro Services B.V.</v>
      </c>
      <c r="O69" s="121" t="s">
        <v>3047</v>
      </c>
      <c r="P69" s="43">
        <f t="shared" si="12"/>
        <v>0</v>
      </c>
      <c r="Q69" s="43"/>
      <c r="R69" s="44"/>
      <c r="S69" s="45">
        <f t="shared" si="18"/>
        <v>0</v>
      </c>
      <c r="T69" s="45"/>
      <c r="U69" s="46"/>
      <c r="V69" s="46"/>
      <c r="W69"/>
      <c r="X69" s="23"/>
      <c r="Y69" s="56" t="s">
        <v>1143</v>
      </c>
      <c r="Z69" s="47">
        <f>_xlfn.XLOOKUP(Y69,'relaties_export_2026-01-12_1609'!B:B,'relaties_export_2026-01-12_1609'!A:A,"",3)</f>
        <v>253</v>
      </c>
      <c r="AA69" s="47" t="str">
        <f>_xlfn.XLOOKUP(Z69,'relaties_export_2026-01-12_1609'!A:A,'relaties_export_2026-01-12_1609'!B:B,"",3)</f>
        <v>Facili Flex BV</v>
      </c>
      <c r="AB69" s="69" t="s">
        <v>3048</v>
      </c>
      <c r="AC69" s="46"/>
      <c r="AD69" s="46"/>
      <c r="AE69" s="46"/>
      <c r="AF69" s="46">
        <f t="shared" si="19"/>
        <v>0</v>
      </c>
      <c r="AG69" s="49">
        <v>45745</v>
      </c>
      <c r="AH69" s="49">
        <v>45929</v>
      </c>
      <c r="AI69"/>
      <c r="AJ69"/>
      <c r="AK69" s="80"/>
      <c r="AL69" s="80"/>
      <c r="AN69" s="95"/>
      <c r="AO69" s="34"/>
      <c r="AP69" s="34"/>
      <c r="AQ69" s="58"/>
      <c r="AT69" s="81"/>
      <c r="AU69" s="81"/>
      <c r="AY69" s="86"/>
    </row>
    <row r="70" spans="1:52" s="29" customFormat="1" ht="17" thickBot="1" x14ac:dyDescent="0.25">
      <c r="A70" s="30">
        <v>62</v>
      </c>
      <c r="B70" s="31" t="str" cm="1">
        <f t="array" ref="B70">_xlfn.XLOOKUP(LEFT(D70,3),LEFT('[1]Sleutelplan nieuw'!B:B,3),'[1]Sleutelplan nieuw'!A:A,"",2)</f>
        <v>0066</v>
      </c>
      <c r="C70" s="51" t="s">
        <v>2824</v>
      </c>
      <c r="D70" s="59" t="s">
        <v>3049</v>
      </c>
      <c r="E70" s="60" t="s">
        <v>3050</v>
      </c>
      <c r="F70" s="76" t="s">
        <v>2492</v>
      </c>
      <c r="G70" s="77">
        <v>9</v>
      </c>
      <c r="H70" s="77">
        <v>9</v>
      </c>
      <c r="I70" s="78">
        <v>45472</v>
      </c>
      <c r="J70" s="78">
        <v>45836</v>
      </c>
      <c r="K70" s="79"/>
      <c r="L70" t="s">
        <v>1338</v>
      </c>
      <c r="M70" s="41">
        <f>_xlfn.XLOOKUP(L70,'relaties_export_2026-01-12_1609'!B:B,'relaties_export_2026-01-12_1609'!A:A,"",3)</f>
        <v>304</v>
      </c>
      <c r="N70" s="41" t="str">
        <f>_xlfn.XLOOKUP(M70,'relaties_export_2026-01-12_1609'!A:A,'relaties_export_2026-01-12_1609'!B:B,"",3)</f>
        <v>Royal DS Personeel-service</v>
      </c>
      <c r="O70" s="42"/>
      <c r="P70" s="43">
        <f t="shared" si="12"/>
        <v>118.72999999999956</v>
      </c>
      <c r="Q70" s="43">
        <f>T70*1.09+U70*1.21</f>
        <v>7176.9161000000004</v>
      </c>
      <c r="R70" s="44">
        <v>6298.45</v>
      </c>
      <c r="S70" s="45">
        <f>(R70/G70)/4.33333</f>
        <v>161.49884217859653</v>
      </c>
      <c r="T70" s="45">
        <v>6140.29</v>
      </c>
      <c r="U70" s="46">
        <v>400</v>
      </c>
      <c r="V70" s="46">
        <v>0</v>
      </c>
      <c r="W70" s="122"/>
      <c r="X70" s="23"/>
      <c r="Y70" s="56" t="s">
        <v>2683</v>
      </c>
      <c r="Z70" s="47">
        <f>_xlfn.XLOOKUP(Y70,'relaties_export_2026-01-12_1609'!B:B,'relaties_export_2026-01-12_1609'!A:A,"",3)</f>
        <v>802</v>
      </c>
      <c r="AA70" s="47" t="str">
        <f>_xlfn.XLOOKUP(Z70,'relaties_export_2026-01-12_1609'!A:A,'relaties_export_2026-01-12_1609'!B:B,"",3)</f>
        <v>Maatschap vd Vlist -Teuben</v>
      </c>
      <c r="AB70" s="46" t="s">
        <v>2862</v>
      </c>
      <c r="AC70" s="46">
        <f>AD70*1.21</f>
        <v>6993.4611999999997</v>
      </c>
      <c r="AD70" s="46">
        <f>5638.75+140.97</f>
        <v>5779.72</v>
      </c>
      <c r="AE70" s="46">
        <f>5638.75+140.97</f>
        <v>5779.72</v>
      </c>
      <c r="AF70" s="46">
        <f>(AD70/G70)/4.33333</f>
        <v>148.19806271645851</v>
      </c>
      <c r="AG70" s="34"/>
      <c r="AH70" s="34"/>
      <c r="AI70"/>
      <c r="AK70" s="80"/>
      <c r="AL70"/>
      <c r="AO70" s="34"/>
      <c r="AP70" s="34"/>
      <c r="AQ70" s="58"/>
      <c r="AT70" s="81"/>
      <c r="AU70" s="81"/>
      <c r="AY70" s="86"/>
    </row>
    <row r="71" spans="1:52" s="29" customFormat="1" ht="31" thickBot="1" x14ac:dyDescent="0.25">
      <c r="A71" s="30">
        <v>63</v>
      </c>
      <c r="B71" s="31" t="str">
        <f>_xlfn.XLOOKUP(D71,'[1]Sleutelplan nieuw'!B:B,'[1]Sleutelplan nieuw'!A:A,"",2)</f>
        <v>0061</v>
      </c>
      <c r="C71" s="32" t="s">
        <v>2824</v>
      </c>
      <c r="D71" s="59" t="s">
        <v>3051</v>
      </c>
      <c r="E71" s="107" t="s">
        <v>3052</v>
      </c>
      <c r="F71" s="76" t="s">
        <v>415</v>
      </c>
      <c r="G71" s="108">
        <v>5</v>
      </c>
      <c r="H71" s="108">
        <v>5</v>
      </c>
      <c r="I71" s="78">
        <v>45170</v>
      </c>
      <c r="J71" s="78">
        <v>45322</v>
      </c>
      <c r="K71" s="78" t="s">
        <v>2845</v>
      </c>
      <c r="L71" s="83" t="s">
        <v>3053</v>
      </c>
      <c r="M71" s="219">
        <v>240</v>
      </c>
      <c r="N71" s="41" t="str">
        <f>_xlfn.XLOOKUP(M71,'relaties_export_2026-01-12_1609'!A:A,'relaties_export_2026-01-12_1609'!B:B,"",3)</f>
        <v>Impianti Industriala S.P.A. NEDERLAND BRANCH</v>
      </c>
      <c r="O71" s="42"/>
      <c r="P71" s="43">
        <f t="shared" si="12"/>
        <v>1362.1199999999994</v>
      </c>
      <c r="Q71" s="43">
        <f>T71*1.09+U71*1.21</f>
        <v>5425.4296000000004</v>
      </c>
      <c r="R71" s="44">
        <f>T71+U71</f>
        <v>4955.4399999999996</v>
      </c>
      <c r="S71" s="45">
        <f>(R71/G71)/4.33333</f>
        <v>228.71279131753178</v>
      </c>
      <c r="T71" s="45">
        <v>4755.4399999999996</v>
      </c>
      <c r="U71" s="46">
        <v>200</v>
      </c>
      <c r="V71" s="46">
        <v>0</v>
      </c>
      <c r="W71"/>
      <c r="X71" s="23"/>
      <c r="Y71" s="56" t="s">
        <v>2726</v>
      </c>
      <c r="Z71" s="47">
        <f>_xlfn.XLOOKUP(Y71,'relaties_export_2026-01-12_1609'!B:B,'relaties_export_2026-01-12_1609'!A:A,"",3)</f>
        <v>111</v>
      </c>
      <c r="AA71" s="47" t="str">
        <f>_xlfn.XLOOKUP(Z71,'relaties_export_2026-01-12_1609'!A:A,'relaties_export_2026-01-12_1609'!B:B,"",3)</f>
        <v>Hugo Vastgoed B.V.</v>
      </c>
      <c r="AB71" s="46" t="s">
        <v>3054</v>
      </c>
      <c r="AC71" s="46">
        <f>AD71*1.21</f>
        <v>4105.9171999999999</v>
      </c>
      <c r="AD71" s="46">
        <v>3393.32</v>
      </c>
      <c r="AE71" s="46">
        <v>3393.32</v>
      </c>
      <c r="AF71" s="46">
        <f>(AD71/G71)/4.33333</f>
        <v>156.61488970376129</v>
      </c>
      <c r="AG71" s="34"/>
      <c r="AH71" s="34"/>
      <c r="AI71" t="s">
        <v>2997</v>
      </c>
      <c r="AJ71" t="s">
        <v>3055</v>
      </c>
      <c r="AK71" s="80">
        <v>44317</v>
      </c>
      <c r="AL71" s="80">
        <v>45046</v>
      </c>
      <c r="AM71" s="29" t="s">
        <v>3056</v>
      </c>
      <c r="AN71" s="29" t="s">
        <v>3057</v>
      </c>
      <c r="AO71" s="34" t="s">
        <v>3003</v>
      </c>
      <c r="AP71" s="34"/>
      <c r="AQ71" s="58"/>
      <c r="AR71" s="29" t="s">
        <v>2997</v>
      </c>
      <c r="AS71" s="29" t="s">
        <v>3058</v>
      </c>
      <c r="AT71" s="81">
        <v>44044</v>
      </c>
      <c r="AU71" s="81">
        <v>44408</v>
      </c>
      <c r="AV71" s="29" t="s">
        <v>3059</v>
      </c>
      <c r="AW71" s="29" t="s">
        <v>3000</v>
      </c>
      <c r="AY71" s="82"/>
      <c r="AZ71" s="29" t="s">
        <v>3060</v>
      </c>
    </row>
    <row r="72" spans="1:52" s="29" customFormat="1" ht="17" thickBot="1" x14ac:dyDescent="0.25">
      <c r="A72" s="30">
        <v>65</v>
      </c>
      <c r="B72" s="31" t="str">
        <f>_xlfn.XLOOKUP(D72,'[1]Sleutelplan nieuw'!B:B,'[1]Sleutelplan nieuw'!A:A,"",2)</f>
        <v>0136</v>
      </c>
      <c r="C72" s="32" t="s">
        <v>2831</v>
      </c>
      <c r="D72" s="59" t="s">
        <v>3061</v>
      </c>
      <c r="E72" s="107" t="s">
        <v>3062</v>
      </c>
      <c r="F72" s="76" t="s">
        <v>1307</v>
      </c>
      <c r="G72" s="108">
        <v>4</v>
      </c>
      <c r="H72" s="108">
        <v>4</v>
      </c>
      <c r="I72" s="78">
        <v>45352</v>
      </c>
      <c r="J72" s="78">
        <v>45716</v>
      </c>
      <c r="K72" s="78"/>
      <c r="L72" s="83" t="s">
        <v>1233</v>
      </c>
      <c r="M72" s="41">
        <f>_xlfn.XLOOKUP(L72,'relaties_export_2026-01-12_1609'!B:B,'relaties_export_2026-01-12_1609'!A:A,"",3)</f>
        <v>276</v>
      </c>
      <c r="N72" s="41" t="str">
        <f>_xlfn.XLOOKUP(M72,'relaties_export_2026-01-12_1609'!A:A,'relaties_export_2026-01-12_1609'!B:B,"",3)</f>
        <v>EG Facility &amp; Services BV</v>
      </c>
      <c r="O72" s="42"/>
      <c r="P72" s="43">
        <f t="shared" si="12"/>
        <v>315.56999999999971</v>
      </c>
      <c r="Q72" s="43">
        <f t="shared" ref="Q72:Q82" si="20">T72*1.09+U72*1.21</f>
        <v>2666.5215000000003</v>
      </c>
      <c r="R72" s="44">
        <f t="shared" ref="R72:R78" si="21">T72+U72</f>
        <v>2446.35</v>
      </c>
      <c r="S72" s="45">
        <f t="shared" ref="S72:S73" si="22">(R72/G72)/4.33333</f>
        <v>141.13568548898883</v>
      </c>
      <c r="T72" s="45">
        <v>2446.35</v>
      </c>
      <c r="U72" s="46">
        <v>0</v>
      </c>
      <c r="V72" s="46">
        <v>0</v>
      </c>
      <c r="W72"/>
      <c r="X72" s="23"/>
      <c r="Y72" s="56" t="s">
        <v>2684</v>
      </c>
      <c r="Z72" s="47">
        <f>_xlfn.XLOOKUP(Y72,'relaties_export_2026-01-12_1609'!B:B,'relaties_export_2026-01-12_1609'!A:A,"",3)</f>
        <v>803</v>
      </c>
      <c r="AA72" s="47" t="str">
        <f>_xlfn.XLOOKUP(Z72,'relaties_export_2026-01-12_1609'!A:A,'relaties_export_2026-01-12_1609'!B:B,"",3)</f>
        <v>M&amp;M Hendriks</v>
      </c>
      <c r="AB72" s="46" t="s">
        <v>3063</v>
      </c>
      <c r="AC72" s="46">
        <v>2130.7800000000002</v>
      </c>
      <c r="AD72" s="46">
        <v>2130.7800000000002</v>
      </c>
      <c r="AE72" s="46">
        <v>2130.7800000000002</v>
      </c>
      <c r="AF72" s="46">
        <f t="shared" ref="AF72:AF73" si="23">(AD72/G72)/4.33333</f>
        <v>122.92970994593074</v>
      </c>
      <c r="AG72" s="49">
        <v>45352</v>
      </c>
      <c r="AH72" s="49">
        <v>46081</v>
      </c>
      <c r="AI72"/>
      <c r="AJ72"/>
      <c r="AK72" s="80"/>
      <c r="AL72" s="80"/>
      <c r="AO72" s="34"/>
      <c r="AP72" s="34"/>
      <c r="AQ72" s="58"/>
      <c r="AT72" s="81"/>
      <c r="AU72" s="81"/>
      <c r="AY72" s="82"/>
    </row>
    <row r="73" spans="1:52" s="29" customFormat="1" ht="17" thickBot="1" x14ac:dyDescent="0.25">
      <c r="A73" s="30">
        <v>66</v>
      </c>
      <c r="B73" s="31" t="str" cm="1">
        <f t="array" ref="B73">_xlfn.XLOOKUP(LEFT(D73,3),LEFT('[1]Sleutelplan nieuw'!B:B,3),'[1]Sleutelplan nieuw'!A:A,"",2)</f>
        <v>0063</v>
      </c>
      <c r="C73" s="32" t="s">
        <v>2824</v>
      </c>
      <c r="D73" s="59" t="s">
        <v>3064</v>
      </c>
      <c r="E73" s="107" t="s">
        <v>3065</v>
      </c>
      <c r="F73" s="76" t="s">
        <v>1303</v>
      </c>
      <c r="G73" s="108">
        <v>4</v>
      </c>
      <c r="H73" s="108">
        <v>3</v>
      </c>
      <c r="I73" s="78">
        <v>45292</v>
      </c>
      <c r="J73" s="78">
        <v>45657</v>
      </c>
      <c r="K73" s="78"/>
      <c r="L73" s="114" t="s">
        <v>3007</v>
      </c>
      <c r="M73" s="41">
        <f>_xlfn.XLOOKUP(L73,'relaties_export_2026-01-12_1609'!B:B,'relaties_export_2026-01-12_1609'!A:A,"",3)</f>
        <v>374</v>
      </c>
      <c r="N73" s="41" t="str">
        <f>_xlfn.XLOOKUP(M73,'relaties_export_2026-01-12_1609'!A:A,'relaties_export_2026-01-12_1609'!B:B,"",3)</f>
        <v>GAP Costruzioni S.r.l.</v>
      </c>
      <c r="O73" s="42"/>
      <c r="P73" s="43">
        <f t="shared" si="12"/>
        <v>841.92999999999984</v>
      </c>
      <c r="Q73" s="43">
        <f t="shared" si="20"/>
        <v>3097.7037</v>
      </c>
      <c r="R73" s="44">
        <f t="shared" si="21"/>
        <v>2841.93</v>
      </c>
      <c r="S73" s="45">
        <f t="shared" si="22"/>
        <v>163.95762612125085</v>
      </c>
      <c r="T73" s="45">
        <v>2841.93</v>
      </c>
      <c r="U73" s="46">
        <v>0</v>
      </c>
      <c r="V73" s="46">
        <v>0</v>
      </c>
      <c r="W73"/>
      <c r="X73" s="23"/>
      <c r="Y73" s="73" t="s">
        <v>2236</v>
      </c>
      <c r="Z73" s="47">
        <f>_xlfn.XLOOKUP(Y73,'relaties_export_2026-01-12_1609'!B:B,'relaties_export_2026-01-12_1609'!A:A,"",3)</f>
        <v>569</v>
      </c>
      <c r="AA73" s="47" t="str">
        <f>_xlfn.XLOOKUP(Z73,'relaties_export_2026-01-12_1609'!A:A,'relaties_export_2026-01-12_1609'!B:B,"",3)</f>
        <v>Quadrant Vastgoed B.V.</v>
      </c>
      <c r="AC73" s="43">
        <v>2000</v>
      </c>
      <c r="AD73" s="48">
        <v>2000</v>
      </c>
      <c r="AE73" s="48">
        <v>2000</v>
      </c>
      <c r="AF73" s="46">
        <f t="shared" si="23"/>
        <v>115.38470414208011</v>
      </c>
      <c r="AG73" s="49">
        <v>45035</v>
      </c>
      <c r="AH73" s="49">
        <v>45400</v>
      </c>
    </row>
    <row r="74" spans="1:52" s="29" customFormat="1" ht="17" thickBot="1" x14ac:dyDescent="0.25">
      <c r="A74" s="30"/>
      <c r="B74" s="31" t="str" cm="1">
        <f t="array" ref="B74">_xlfn.XLOOKUP(LEFT(D74,3),LEFT('[1]Sleutelplan nieuw'!B:B,3),'[1]Sleutelplan nieuw'!A:A,"",2)</f>
        <v>0095</v>
      </c>
      <c r="C74" s="32" t="s">
        <v>2824</v>
      </c>
      <c r="D74" s="59" t="s">
        <v>3066</v>
      </c>
      <c r="E74" s="107" t="s">
        <v>3067</v>
      </c>
      <c r="F74" s="76" t="s">
        <v>237</v>
      </c>
      <c r="G74" s="108"/>
      <c r="H74" s="108"/>
      <c r="I74" s="78"/>
      <c r="J74" s="78"/>
      <c r="K74" s="78"/>
      <c r="L74" s="114" t="s">
        <v>2672</v>
      </c>
      <c r="M74" s="41">
        <f>_xlfn.XLOOKUP(L74,'relaties_export_2026-01-12_1609'!B:B,'relaties_export_2026-01-12_1609'!A:A,"",3)</f>
        <v>17</v>
      </c>
      <c r="N74" s="41" t="str">
        <f>_xlfn.XLOOKUP(M74,'relaties_export_2026-01-12_1609'!A:A,'relaties_export_2026-01-12_1609'!B:B,"",3)</f>
        <v>Tradiro Services B.V.</v>
      </c>
      <c r="O74" s="42"/>
      <c r="P74" s="43"/>
      <c r="Q74" s="43"/>
      <c r="R74" s="44"/>
      <c r="S74" s="45"/>
      <c r="T74" s="45"/>
      <c r="U74" s="46"/>
      <c r="V74" s="46"/>
      <c r="W74"/>
      <c r="X74" s="23"/>
      <c r="Y74" s="73" t="s">
        <v>2973</v>
      </c>
      <c r="Z74" s="47">
        <v>295</v>
      </c>
      <c r="AA74" s="47" t="str">
        <f>_xlfn.XLOOKUP(Z74,'relaties_export_2026-01-12_1609'!A:A,'relaties_export_2026-01-12_1609'!B:B,"",3)</f>
        <v>In Stijl Totaalbouw BV</v>
      </c>
      <c r="AC74" s="48">
        <v>894</v>
      </c>
      <c r="AD74" s="48">
        <v>894</v>
      </c>
      <c r="AE74" s="48">
        <v>894</v>
      </c>
      <c r="AF74" s="46"/>
      <c r="AG74" s="49"/>
      <c r="AH74" s="49"/>
    </row>
    <row r="75" spans="1:52" s="29" customFormat="1" ht="17" thickBot="1" x14ac:dyDescent="0.25">
      <c r="A75" s="30">
        <v>67</v>
      </c>
      <c r="B75" s="31" t="str">
        <f>_xlfn.XLOOKUP(D75,'[1]Sleutelplan nieuw'!B:B,'[1]Sleutelplan nieuw'!A:A,"",2)</f>
        <v>0095</v>
      </c>
      <c r="C75" s="32" t="s">
        <v>2824</v>
      </c>
      <c r="D75" s="59" t="s">
        <v>3068</v>
      </c>
      <c r="E75" s="107" t="s">
        <v>3067</v>
      </c>
      <c r="F75" s="76" t="s">
        <v>84</v>
      </c>
      <c r="G75" s="108">
        <v>4</v>
      </c>
      <c r="H75" s="108">
        <v>2</v>
      </c>
      <c r="I75" s="78">
        <v>45695</v>
      </c>
      <c r="J75" s="78">
        <v>46060</v>
      </c>
      <c r="K75" s="78"/>
      <c r="L75" s="114" t="s">
        <v>2672</v>
      </c>
      <c r="M75" s="41">
        <f>_xlfn.XLOOKUP(L75,'relaties_export_2026-01-12_1609'!B:B,'relaties_export_2026-01-12_1609'!A:A,"",3)</f>
        <v>17</v>
      </c>
      <c r="N75" s="41" t="str">
        <f>_xlfn.XLOOKUP(M75,'relaties_export_2026-01-12_1609'!A:A,'relaties_export_2026-01-12_1609'!B:B,"",3)</f>
        <v>Tradiro Services B.V.</v>
      </c>
      <c r="O75" s="42"/>
      <c r="P75" s="43">
        <f t="shared" ref="P75:P107" si="24">R75-U75-V75-AD75</f>
        <v>668.31999999999994</v>
      </c>
      <c r="Q75" s="43">
        <f t="shared" ref="Q75:Q85" si="25">T75*1.09+U75*1.21</f>
        <v>2172.7188000000001</v>
      </c>
      <c r="R75" s="44">
        <f t="shared" ref="R75:R81" si="26">T75+U75</f>
        <v>1993.32</v>
      </c>
      <c r="S75" s="45">
        <f t="shared" ref="S75:S82" si="27">(R75/G75)/4.33333</f>
        <v>114.99931923024556</v>
      </c>
      <c r="T75" s="45">
        <v>1993.32</v>
      </c>
      <c r="U75" s="123"/>
      <c r="V75" s="46">
        <v>0</v>
      </c>
      <c r="W75"/>
      <c r="X75" s="23"/>
      <c r="Y75" s="73" t="s">
        <v>1211</v>
      </c>
      <c r="Z75" s="47">
        <f>_xlfn.XLOOKUP(Y75,'relaties_export_2026-01-12_1609'!B:B,'relaties_export_2026-01-12_1609'!A:A,"",3)</f>
        <v>271</v>
      </c>
      <c r="AA75" s="47" t="str">
        <f>_xlfn.XLOOKUP(Z75,'relaties_export_2026-01-12_1609'!A:A,'relaties_export_2026-01-12_1609'!B:B,"",3)</f>
        <v>Houses2Rent</v>
      </c>
      <c r="AC75" s="43">
        <f>AD75*1.09</f>
        <v>1444.25</v>
      </c>
      <c r="AD75" s="48">
        <v>1325</v>
      </c>
      <c r="AE75" s="48">
        <v>1325</v>
      </c>
      <c r="AF75" s="46">
        <f t="shared" ref="AF75:AF82" si="28">(AD75/G75)/4.33333</f>
        <v>76.442366494128066</v>
      </c>
      <c r="AG75" s="49"/>
      <c r="AH75" s="49"/>
    </row>
    <row r="76" spans="1:52" s="29" customFormat="1" ht="17" thickBot="1" x14ac:dyDescent="0.25">
      <c r="A76" s="30">
        <v>68</v>
      </c>
      <c r="B76" s="31" t="str">
        <f>_xlfn.XLOOKUP(D76,'[1]Sleutelplan nieuw'!B:B,'[1]Sleutelplan nieuw'!A:A,"",2)</f>
        <v>0064</v>
      </c>
      <c r="C76" s="32" t="s">
        <v>2831</v>
      </c>
      <c r="D76" s="59" t="s">
        <v>3069</v>
      </c>
      <c r="E76" s="107" t="s">
        <v>3070</v>
      </c>
      <c r="F76" s="76" t="s">
        <v>3071</v>
      </c>
      <c r="G76" s="108">
        <v>5</v>
      </c>
      <c r="H76" s="108">
        <v>4</v>
      </c>
      <c r="I76" s="109">
        <v>45051</v>
      </c>
      <c r="J76" s="109" t="s">
        <v>3072</v>
      </c>
      <c r="K76" s="124"/>
      <c r="L76" s="114" t="s">
        <v>3073</v>
      </c>
      <c r="M76" s="219">
        <v>98</v>
      </c>
      <c r="N76" s="41" t="str">
        <f>_xlfn.XLOOKUP(M76,'relaties_export_2026-01-12_1609'!A:A,'relaties_export_2026-01-12_1609'!B:B,"",3)</f>
        <v>Lago Personeelshuisvesting B.V.</v>
      </c>
      <c r="O76" s="42"/>
      <c r="P76" s="43">
        <f t="shared" si="24"/>
        <v>153.76999999999998</v>
      </c>
      <c r="Q76" s="43">
        <f t="shared" si="25"/>
        <v>2456.6093000000001</v>
      </c>
      <c r="R76" s="44">
        <f t="shared" si="26"/>
        <v>2253.77</v>
      </c>
      <c r="S76" s="45">
        <f t="shared" si="27"/>
        <v>104.02023386171835</v>
      </c>
      <c r="T76" s="45">
        <v>2253.77</v>
      </c>
      <c r="U76" s="46">
        <v>0</v>
      </c>
      <c r="V76" s="46">
        <v>0</v>
      </c>
      <c r="W76"/>
      <c r="X76" s="23"/>
      <c r="Y76" s="56" t="s">
        <v>2685</v>
      </c>
      <c r="Z76" s="47">
        <f>_xlfn.XLOOKUP(Y76,'relaties_export_2026-01-12_1609'!B:B,'relaties_export_2026-01-12_1609'!A:A,"",3)</f>
        <v>168</v>
      </c>
      <c r="AA76" s="47" t="str">
        <f>_xlfn.XLOOKUP(Z76,'relaties_export_2026-01-12_1609'!A:A,'relaties_export_2026-01-12_1609'!B:B,"",3)</f>
        <v>F. Veurink en P. Neleman</v>
      </c>
      <c r="AB76" s="70" t="s">
        <v>3074</v>
      </c>
      <c r="AC76" s="46">
        <v>2100</v>
      </c>
      <c r="AD76" s="70">
        <v>2100</v>
      </c>
      <c r="AE76" s="70">
        <v>2100</v>
      </c>
      <c r="AF76" s="46">
        <f t="shared" si="28"/>
        <v>96.923151479347283</v>
      </c>
      <c r="AG76" s="49">
        <v>44743</v>
      </c>
      <c r="AH76" s="49">
        <v>45838</v>
      </c>
      <c r="AI76"/>
      <c r="AJ76"/>
      <c r="AK76" s="80"/>
      <c r="AL76" s="80"/>
      <c r="AO76" s="34"/>
      <c r="AP76" s="34"/>
      <c r="AQ76" s="58"/>
      <c r="AT76" s="81"/>
      <c r="AU76" s="81"/>
      <c r="AY76" s="82"/>
    </row>
    <row r="77" spans="1:52" s="29" customFormat="1" ht="17" thickBot="1" x14ac:dyDescent="0.25">
      <c r="A77" s="30">
        <v>69</v>
      </c>
      <c r="B77" s="31" t="str">
        <f>_xlfn.XLOOKUP(D77,'[1]Sleutelplan nieuw'!B:B,'[1]Sleutelplan nieuw'!A:A,"",2)</f>
        <v>0006</v>
      </c>
      <c r="C77" s="32" t="s">
        <v>2824</v>
      </c>
      <c r="D77" s="59" t="s">
        <v>3075</v>
      </c>
      <c r="E77" s="60" t="s">
        <v>3076</v>
      </c>
      <c r="F77" s="76" t="s">
        <v>549</v>
      </c>
      <c r="G77" s="77">
        <v>8</v>
      </c>
      <c r="H77" s="77">
        <v>8</v>
      </c>
      <c r="I77" s="78">
        <v>45829</v>
      </c>
      <c r="J77" s="78">
        <v>46194</v>
      </c>
      <c r="K77" s="79"/>
      <c r="L77" s="83" t="s">
        <v>3077</v>
      </c>
      <c r="M77" s="41">
        <f>_xlfn.XLOOKUP(L77,'relaties_export_2026-01-12_1609'!B:B,'relaties_export_2026-01-12_1609'!A:A,"",3)</f>
        <v>353</v>
      </c>
      <c r="N77" s="41" t="str">
        <f>_xlfn.XLOOKUP(M77,'relaties_export_2026-01-12_1609'!A:A,'relaties_export_2026-01-12_1609'!B:B,"",3)</f>
        <v>Optima Uitzendbureau B.V.</v>
      </c>
      <c r="O77" s="42"/>
      <c r="P77" s="43">
        <f t="shared" si="24"/>
        <v>275</v>
      </c>
      <c r="Q77" s="43">
        <f t="shared" si="25"/>
        <v>4986.75</v>
      </c>
      <c r="R77" s="44">
        <f t="shared" si="26"/>
        <v>4575</v>
      </c>
      <c r="S77" s="45">
        <f t="shared" si="27"/>
        <v>131.97125536250411</v>
      </c>
      <c r="T77" s="45">
        <v>4575</v>
      </c>
      <c r="U77" s="125">
        <v>0</v>
      </c>
      <c r="V77" s="46">
        <v>0</v>
      </c>
      <c r="W77"/>
      <c r="X77" s="23"/>
      <c r="Y77" s="73" t="s">
        <v>2663</v>
      </c>
      <c r="Z77" s="47">
        <f>_xlfn.XLOOKUP(Y77,'relaties_export_2026-01-12_1609'!B:B,'relaties_export_2026-01-12_1609'!A:A,"",3)</f>
        <v>763</v>
      </c>
      <c r="AA77" s="47" t="str">
        <f>_xlfn.XLOOKUP(Z77,'relaties_export_2026-01-12_1609'!A:A,'relaties_export_2026-01-12_1609'!B:B,"",3)</f>
        <v>T. Eenhuistra/J. Pluimakers</v>
      </c>
      <c r="AB77" s="106"/>
      <c r="AC77" s="43">
        <v>4300</v>
      </c>
      <c r="AD77" s="43">
        <v>4300</v>
      </c>
      <c r="AE77" s="43">
        <v>4300</v>
      </c>
      <c r="AF77" s="46">
        <f t="shared" si="28"/>
        <v>124.03855695273612</v>
      </c>
      <c r="AG77" s="49">
        <v>45870</v>
      </c>
      <c r="AH77" s="49">
        <v>46600</v>
      </c>
    </row>
    <row r="78" spans="1:52" s="29" customFormat="1" ht="17" thickBot="1" x14ac:dyDescent="0.25">
      <c r="A78" s="30">
        <v>70</v>
      </c>
      <c r="B78" s="31" t="str">
        <f>_xlfn.XLOOKUP(D78,'[1]Sleutelplan nieuw'!B:B,'[1]Sleutelplan nieuw'!A:A,"",2)</f>
        <v>0065</v>
      </c>
      <c r="C78" s="32" t="s">
        <v>2831</v>
      </c>
      <c r="D78" s="59" t="s">
        <v>3078</v>
      </c>
      <c r="E78" s="107" t="s">
        <v>3079</v>
      </c>
      <c r="F78" s="76" t="s">
        <v>415</v>
      </c>
      <c r="G78" s="108">
        <v>6</v>
      </c>
      <c r="H78" s="108">
        <v>4</v>
      </c>
      <c r="I78" s="78">
        <v>45019</v>
      </c>
      <c r="J78" s="78">
        <v>45384</v>
      </c>
      <c r="K78" s="78" t="s">
        <v>2845</v>
      </c>
      <c r="L78" t="s">
        <v>576</v>
      </c>
      <c r="M78" s="41">
        <f>_xlfn.XLOOKUP(L78,'relaties_export_2026-01-12_1609'!B:B,'relaties_export_2026-01-12_1609'!A:A,"",3)</f>
        <v>124</v>
      </c>
      <c r="N78" s="41" t="str">
        <f>_xlfn.XLOOKUP(M78,'relaties_export_2026-01-12_1609'!A:A,'relaties_export_2026-01-12_1609'!B:B,"",3)</f>
        <v>AmDor Projecten B.V.</v>
      </c>
      <c r="O78" s="42"/>
      <c r="P78" s="43">
        <f t="shared" si="24"/>
        <v>1327.01</v>
      </c>
      <c r="Q78" s="43">
        <f t="shared" si="25"/>
        <v>3894.4365000000003</v>
      </c>
      <c r="R78" s="44">
        <f t="shared" si="26"/>
        <v>3539.85</v>
      </c>
      <c r="S78" s="45">
        <f t="shared" si="27"/>
        <v>136.14818165244742</v>
      </c>
      <c r="T78" s="45">
        <v>3239.85</v>
      </c>
      <c r="U78" s="46">
        <v>300</v>
      </c>
      <c r="V78" s="46">
        <v>0</v>
      </c>
      <c r="W78"/>
      <c r="X78" s="23"/>
      <c r="Y78" s="56" t="s">
        <v>2727</v>
      </c>
      <c r="Z78" s="47">
        <f>_xlfn.XLOOKUP(Y78,'relaties_export_2026-01-12_1609'!B:B,'relaties_export_2026-01-12_1609'!A:A,"",3)</f>
        <v>846</v>
      </c>
      <c r="AA78" s="47" t="str">
        <f>_xlfn.XLOOKUP(Z78,'relaties_export_2026-01-12_1609'!A:A,'relaties_export_2026-01-12_1609'!B:B,"",3)</f>
        <v>Leendert Keizer</v>
      </c>
      <c r="AB78" s="70" t="s">
        <v>3080</v>
      </c>
      <c r="AC78" s="70">
        <v>1912.84</v>
      </c>
      <c r="AD78" s="70">
        <v>1912.84</v>
      </c>
      <c r="AE78" s="70">
        <v>1912.84</v>
      </c>
      <c r="AF78" s="46">
        <f t="shared" si="28"/>
        <v>73.57082582371217</v>
      </c>
      <c r="AG78" s="49">
        <v>44986</v>
      </c>
      <c r="AH78" s="49">
        <v>45716</v>
      </c>
      <c r="AI78" t="s">
        <v>2997</v>
      </c>
      <c r="AJ78" t="s">
        <v>3055</v>
      </c>
      <c r="AK78" s="80">
        <v>44256</v>
      </c>
      <c r="AL78" s="80">
        <v>44985</v>
      </c>
      <c r="AM78" s="29" t="s">
        <v>3081</v>
      </c>
      <c r="AO78" s="34" t="s">
        <v>3003</v>
      </c>
      <c r="AP78" s="34"/>
      <c r="AQ78" s="58"/>
      <c r="AR78" t="s">
        <v>2997</v>
      </c>
      <c r="AS78" t="s">
        <v>3082</v>
      </c>
      <c r="AT78" s="80">
        <v>43831</v>
      </c>
      <c r="AU78" s="80">
        <v>43921</v>
      </c>
      <c r="AV78" s="29" t="s">
        <v>3083</v>
      </c>
      <c r="AW78" s="34" t="s">
        <v>3084</v>
      </c>
      <c r="AY78" s="82"/>
    </row>
    <row r="79" spans="1:52" s="29" customFormat="1" ht="17" thickBot="1" x14ac:dyDescent="0.25">
      <c r="A79" s="30"/>
      <c r="B79" s="31"/>
      <c r="C79" s="32" t="s">
        <v>2824</v>
      </c>
      <c r="D79" s="59" t="s">
        <v>3085</v>
      </c>
      <c r="E79" s="107"/>
      <c r="F79" s="76" t="s">
        <v>3086</v>
      </c>
      <c r="G79" s="108"/>
      <c r="H79" s="108"/>
      <c r="I79" s="78"/>
      <c r="J79" s="78"/>
      <c r="K79" s="78"/>
      <c r="L79" s="83" t="s">
        <v>2672</v>
      </c>
      <c r="M79" s="41">
        <f>_xlfn.XLOOKUP(L79,'relaties_export_2026-01-12_1609'!B:B,'relaties_export_2026-01-12_1609'!A:A,"",3)</f>
        <v>17</v>
      </c>
      <c r="N79" s="41" t="str">
        <f>_xlfn.XLOOKUP(M79,'relaties_export_2026-01-12_1609'!A:A,'relaties_export_2026-01-12_1609'!B:B,"",3)</f>
        <v>Tradiro Services B.V.</v>
      </c>
      <c r="O79" s="42"/>
      <c r="P79" s="43"/>
      <c r="Q79" s="43"/>
      <c r="R79" s="44"/>
      <c r="S79" s="45"/>
      <c r="T79" s="45"/>
      <c r="U79" s="46"/>
      <c r="V79" s="46"/>
      <c r="W79"/>
      <c r="X79" s="23"/>
      <c r="Y79" s="56" t="s">
        <v>3087</v>
      </c>
      <c r="Z79" s="47" t="str">
        <f>_xlfn.XLOOKUP(Y79,'relaties_export_2026-01-12_1609'!B:B,'relaties_export_2026-01-12_1609'!A:A,"",3)</f>
        <v/>
      </c>
      <c r="AA79" s="47" t="str">
        <f>_xlfn.XLOOKUP(Z79,'relaties_export_2026-01-12_1609'!A:A,'relaties_export_2026-01-12_1609'!B:B,"",3)</f>
        <v>naam</v>
      </c>
      <c r="AB79" s="67" t="s">
        <v>3088</v>
      </c>
      <c r="AC79" s="70">
        <v>4233.26</v>
      </c>
      <c r="AD79" s="70">
        <v>3832.5</v>
      </c>
      <c r="AE79" s="70">
        <v>3347.25</v>
      </c>
      <c r="AF79" s="70"/>
      <c r="AG79" s="49"/>
      <c r="AH79" s="49"/>
      <c r="AI79"/>
      <c r="AJ79"/>
      <c r="AK79" s="80"/>
      <c r="AL79" s="80"/>
      <c r="AO79" s="34"/>
      <c r="AP79" s="34"/>
      <c r="AQ79" s="58"/>
      <c r="AR79"/>
      <c r="AS79"/>
      <c r="AT79" s="80"/>
      <c r="AU79" s="80"/>
      <c r="AW79" s="34"/>
      <c r="AY79" s="82"/>
    </row>
    <row r="80" spans="1:52" s="29" customFormat="1" ht="17" thickBot="1" x14ac:dyDescent="0.25">
      <c r="A80" s="30">
        <v>74</v>
      </c>
      <c r="B80" s="31" t="str">
        <f>_xlfn.XLOOKUP(D80,'[1]Sleutelplan nieuw'!B:B,'[1]Sleutelplan nieuw'!A:A,"",2)</f>
        <v>0331</v>
      </c>
      <c r="C80" s="32" t="s">
        <v>2831</v>
      </c>
      <c r="D80" s="59" t="s">
        <v>3089</v>
      </c>
      <c r="E80" s="107" t="s">
        <v>3090</v>
      </c>
      <c r="F80" s="76" t="s">
        <v>3086</v>
      </c>
      <c r="G80" s="108">
        <v>4</v>
      </c>
      <c r="H80" s="108">
        <v>4</v>
      </c>
      <c r="I80" s="78">
        <v>38387</v>
      </c>
      <c r="J80" s="78">
        <v>45781</v>
      </c>
      <c r="K80" s="78"/>
      <c r="L80" s="83" t="s">
        <v>2827</v>
      </c>
      <c r="M80" s="41">
        <f>_xlfn.XLOOKUP(L80,'relaties_export_2026-01-12_1609'!B:B,'relaties_export_2026-01-12_1609'!A:A,"",3)</f>
        <v>23</v>
      </c>
      <c r="N80" s="41" t="str">
        <f>_xlfn.XLOOKUP(M80,'relaties_export_2026-01-12_1609'!A:A,'relaties_export_2026-01-12_1609'!B:B,"",3)</f>
        <v>S. Bakker OPH Verhuur</v>
      </c>
      <c r="O80" s="42"/>
      <c r="P80" s="43">
        <f t="shared" si="24"/>
        <v>650</v>
      </c>
      <c r="Q80" s="43">
        <f t="shared" si="25"/>
        <v>3033.5</v>
      </c>
      <c r="R80" s="44">
        <f>T80+U80</f>
        <v>2750</v>
      </c>
      <c r="S80" s="45">
        <f t="shared" si="27"/>
        <v>158.65396819536014</v>
      </c>
      <c r="T80" s="45">
        <v>2450</v>
      </c>
      <c r="U80" s="123">
        <v>300</v>
      </c>
      <c r="V80" s="46"/>
      <c r="W80"/>
      <c r="X80" s="23"/>
      <c r="Y80" s="56" t="s">
        <v>2686</v>
      </c>
      <c r="Z80" s="47">
        <f>_xlfn.XLOOKUP(Y80,'relaties_export_2026-01-12_1609'!B:B,'relaties_export_2026-01-12_1609'!A:A,"",3)</f>
        <v>805</v>
      </c>
      <c r="AA80" s="47" t="str">
        <f>_xlfn.XLOOKUP(Z80,'relaties_export_2026-01-12_1609'!A:A,'relaties_export_2026-01-12_1609'!B:B,"",3)</f>
        <v>TH Mungroop</v>
      </c>
      <c r="AB80" s="67" t="s">
        <v>3091</v>
      </c>
      <c r="AC80" s="46">
        <v>1800</v>
      </c>
      <c r="AD80" s="70">
        <v>1800</v>
      </c>
      <c r="AE80" s="70">
        <v>1800</v>
      </c>
      <c r="AF80" s="70">
        <f t="shared" si="28"/>
        <v>103.84623372787209</v>
      </c>
      <c r="AG80" s="49"/>
      <c r="AH80" s="49"/>
      <c r="AI80"/>
      <c r="AJ80"/>
      <c r="AK80" s="80"/>
      <c r="AL80" s="80"/>
      <c r="AO80" s="34"/>
      <c r="AP80" s="34"/>
      <c r="AQ80" s="58"/>
      <c r="AR80"/>
      <c r="AS80"/>
      <c r="AT80" s="80"/>
      <c r="AU80" s="80"/>
      <c r="AW80" s="34"/>
      <c r="AY80" s="82"/>
    </row>
    <row r="81" spans="1:51" s="29" customFormat="1" ht="17" thickBot="1" x14ac:dyDescent="0.25">
      <c r="A81" s="30">
        <v>75</v>
      </c>
      <c r="B81" s="31" t="str">
        <f>_xlfn.XLOOKUP(D81,'[1]Sleutelplan nieuw'!B:B,'[1]Sleutelplan nieuw'!A:A,"",2)</f>
        <v>0067</v>
      </c>
      <c r="C81" s="32" t="s">
        <v>2824</v>
      </c>
      <c r="D81" s="126" t="s">
        <v>3092</v>
      </c>
      <c r="E81" s="107" t="s">
        <v>3093</v>
      </c>
      <c r="F81" s="76" t="s">
        <v>3042</v>
      </c>
      <c r="G81" s="108">
        <v>7</v>
      </c>
      <c r="H81" s="108">
        <v>4</v>
      </c>
      <c r="I81" s="78">
        <v>45394</v>
      </c>
      <c r="J81" s="78">
        <v>45758</v>
      </c>
      <c r="K81" s="78"/>
      <c r="L81" s="83" t="s">
        <v>2672</v>
      </c>
      <c r="M81" s="41">
        <f>_xlfn.XLOOKUP(L81,'relaties_export_2026-01-12_1609'!B:B,'relaties_export_2026-01-12_1609'!A:A,"",3)</f>
        <v>17</v>
      </c>
      <c r="N81" s="41" t="str">
        <f>_xlfn.XLOOKUP(M81,'relaties_export_2026-01-12_1609'!A:A,'relaties_export_2026-01-12_1609'!B:B,"",3)</f>
        <v>Tradiro Services B.V.</v>
      </c>
      <c r="O81" s="42"/>
      <c r="P81" s="43">
        <f t="shared" si="24"/>
        <v>1977.9</v>
      </c>
      <c r="Q81" s="43">
        <f t="shared" si="25"/>
        <v>3971.4150000000004</v>
      </c>
      <c r="R81" s="44">
        <f>T81+U81</f>
        <v>3643.5</v>
      </c>
      <c r="S81" s="45">
        <f t="shared" si="27"/>
        <v>120.11547701190538</v>
      </c>
      <c r="T81" s="45">
        <v>3643.5</v>
      </c>
      <c r="U81" s="46">
        <v>0</v>
      </c>
      <c r="V81" s="46">
        <v>0</v>
      </c>
      <c r="W81"/>
      <c r="X81" s="23"/>
      <c r="Y81" s="56" t="s">
        <v>2687</v>
      </c>
      <c r="Z81" s="47">
        <v>806</v>
      </c>
      <c r="AA81" s="47" t="str">
        <f>_xlfn.XLOOKUP(Z81,'relaties_export_2026-01-12_1609'!A:A,'relaties_export_2026-01-12_1609'!B:B,"",3)</f>
        <v>Value+ Vastgoedmanagement</v>
      </c>
      <c r="AB81" s="46" t="s">
        <v>3094</v>
      </c>
      <c r="AC81" s="46">
        <v>1665.6</v>
      </c>
      <c r="AD81" s="46">
        <v>1665.6</v>
      </c>
      <c r="AE81" s="46">
        <v>1665.6</v>
      </c>
      <c r="AF81" s="46">
        <f t="shared" si="28"/>
        <v>54.909932348299606</v>
      </c>
      <c r="AG81" s="49">
        <v>44582</v>
      </c>
      <c r="AH81" s="49">
        <v>46407</v>
      </c>
      <c r="AI81"/>
      <c r="AJ81"/>
      <c r="AK81" s="80"/>
      <c r="AL81" s="80"/>
      <c r="AO81" s="34"/>
      <c r="AP81" s="34"/>
      <c r="AQ81" s="58"/>
      <c r="AR81"/>
      <c r="AS81"/>
      <c r="AT81" s="80"/>
      <c r="AU81" s="80"/>
      <c r="AW81" s="34"/>
      <c r="AY81" s="82"/>
    </row>
    <row r="82" spans="1:51" s="29" customFormat="1" ht="17" thickBot="1" x14ac:dyDescent="0.25">
      <c r="A82" s="30">
        <v>76</v>
      </c>
      <c r="B82" s="31" t="str">
        <f>_xlfn.XLOOKUP(D82,'[1]Sleutelplan nieuw'!B:B,'[1]Sleutelplan nieuw'!A:A,"",2)</f>
        <v>0017</v>
      </c>
      <c r="C82" s="32" t="s">
        <v>2824</v>
      </c>
      <c r="D82" s="59" t="s">
        <v>3095</v>
      </c>
      <c r="E82" s="60" t="s">
        <v>3096</v>
      </c>
      <c r="F82" s="87" t="s">
        <v>1214</v>
      </c>
      <c r="G82" s="108">
        <v>4</v>
      </c>
      <c r="H82" s="108">
        <v>3</v>
      </c>
      <c r="I82" s="78">
        <v>44958</v>
      </c>
      <c r="J82" s="78">
        <v>45323</v>
      </c>
      <c r="K82" s="78"/>
      <c r="L82" s="83" t="s">
        <v>2672</v>
      </c>
      <c r="M82" s="41">
        <f>_xlfn.XLOOKUP(L82,'relaties_export_2026-01-12_1609'!B:B,'relaties_export_2026-01-12_1609'!A:A,"",3)</f>
        <v>17</v>
      </c>
      <c r="N82" s="41" t="str">
        <f>_xlfn.XLOOKUP(M82,'relaties_export_2026-01-12_1609'!A:A,'relaties_export_2026-01-12_1609'!B:B,"",3)</f>
        <v>Tradiro Services B.V.</v>
      </c>
      <c r="O82" s="42"/>
      <c r="P82" s="43">
        <f t="shared" si="24"/>
        <v>227.8900000000001</v>
      </c>
      <c r="Q82" s="43">
        <f t="shared" si="25"/>
        <v>1828.9001000000003</v>
      </c>
      <c r="R82" s="44">
        <f>T82+U82</f>
        <v>1677.89</v>
      </c>
      <c r="S82" s="45">
        <f t="shared" si="27"/>
        <v>96.801420616477401</v>
      </c>
      <c r="T82" s="45">
        <v>1677.89</v>
      </c>
      <c r="U82" s="46">
        <v>0</v>
      </c>
      <c r="V82" s="46">
        <v>0</v>
      </c>
      <c r="W82"/>
      <c r="X82" s="23"/>
      <c r="Y82" s="73" t="s">
        <v>2688</v>
      </c>
      <c r="Z82" s="47">
        <f>_xlfn.XLOOKUP(Y82,'relaties_export_2026-01-12_1609'!B:B,'relaties_export_2026-01-12_1609'!A:A,"",3)</f>
        <v>807</v>
      </c>
      <c r="AA82" s="47" t="str">
        <f>_xlfn.XLOOKUP(Z82,'relaties_export_2026-01-12_1609'!A:A,'relaties_export_2026-01-12_1609'!B:B,"",3)</f>
        <v>M.C. Mostert</v>
      </c>
      <c r="AB82" s="106"/>
      <c r="AC82" s="43">
        <v>1450</v>
      </c>
      <c r="AD82" s="43">
        <v>1450</v>
      </c>
      <c r="AE82" s="127">
        <v>1450</v>
      </c>
      <c r="AF82" s="46">
        <f t="shared" si="28"/>
        <v>83.653910503008078</v>
      </c>
      <c r="AG82" s="49">
        <v>44958</v>
      </c>
      <c r="AH82" s="49">
        <v>45689</v>
      </c>
    </row>
    <row r="83" spans="1:51" s="29" customFormat="1" ht="17" thickBot="1" x14ac:dyDescent="0.25">
      <c r="A83" s="30"/>
      <c r="B83" s="31"/>
      <c r="C83" s="32"/>
      <c r="D83" s="59" t="s">
        <v>3097</v>
      </c>
      <c r="E83" s="60"/>
      <c r="F83" s="128" t="s">
        <v>3098</v>
      </c>
      <c r="G83" s="108"/>
      <c r="H83" s="108"/>
      <c r="I83" s="78"/>
      <c r="J83" s="78"/>
      <c r="K83" s="78"/>
      <c r="L83" s="83" t="s">
        <v>2672</v>
      </c>
      <c r="M83" s="41">
        <f>_xlfn.XLOOKUP(L83,'relaties_export_2026-01-12_1609'!B:B,'relaties_export_2026-01-12_1609'!A:A,"",3)</f>
        <v>17</v>
      </c>
      <c r="N83" s="41" t="str">
        <f>_xlfn.XLOOKUP(M83,'relaties_export_2026-01-12_1609'!A:A,'relaties_export_2026-01-12_1609'!B:B,"",3)</f>
        <v>Tradiro Services B.V.</v>
      </c>
      <c r="O83" s="42"/>
      <c r="P83" s="43"/>
      <c r="Q83" s="43"/>
      <c r="R83" s="44"/>
      <c r="S83" s="45"/>
      <c r="T83" s="45"/>
      <c r="U83" s="46"/>
      <c r="V83" s="46"/>
      <c r="W83"/>
      <c r="X83" s="23"/>
      <c r="Y83" s="73" t="s">
        <v>3099</v>
      </c>
      <c r="Z83" s="47" t="str">
        <f>_xlfn.XLOOKUP(Y83,'relaties_export_2026-01-12_1609'!B:B,'relaties_export_2026-01-12_1609'!A:A,"",3)</f>
        <v/>
      </c>
      <c r="AA83" s="47" t="str">
        <f>_xlfn.XLOOKUP(Z83,'relaties_export_2026-01-12_1609'!A:A,'relaties_export_2026-01-12_1609'!B:B,"",3)</f>
        <v>naam</v>
      </c>
      <c r="AB83" s="106"/>
      <c r="AC83" s="127">
        <v>3803.81</v>
      </c>
      <c r="AD83" s="127">
        <v>3803.81</v>
      </c>
      <c r="AE83" s="127">
        <v>3803.81</v>
      </c>
      <c r="AF83" s="46"/>
      <c r="AG83" s="49"/>
      <c r="AH83" s="49"/>
    </row>
    <row r="84" spans="1:51" s="29" customFormat="1" ht="14.25" customHeight="1" thickBot="1" x14ac:dyDescent="0.25">
      <c r="A84" s="30">
        <v>78</v>
      </c>
      <c r="B84" s="31" t="str">
        <f>_xlfn.XLOOKUP(D84,'[1]Sleutelplan nieuw'!B:B,'[1]Sleutelplan nieuw'!A:A,"",2)</f>
        <v>0109</v>
      </c>
      <c r="C84" s="32" t="s">
        <v>2831</v>
      </c>
      <c r="D84" s="126" t="s">
        <v>3100</v>
      </c>
      <c r="E84" s="107" t="s">
        <v>3101</v>
      </c>
      <c r="F84" s="76" t="s">
        <v>1909</v>
      </c>
      <c r="G84" s="108">
        <v>7</v>
      </c>
      <c r="H84" s="108">
        <v>7</v>
      </c>
      <c r="I84" s="78">
        <v>45425</v>
      </c>
      <c r="J84" s="78">
        <v>45789</v>
      </c>
      <c r="K84" s="124"/>
      <c r="L84" s="83" t="s">
        <v>144</v>
      </c>
      <c r="M84" s="41">
        <f>_xlfn.XLOOKUP(L84,'relaties_export_2026-01-12_1609'!B:B,'relaties_export_2026-01-12_1609'!A:A,"",3)</f>
        <v>26</v>
      </c>
      <c r="N84" s="41" t="str">
        <f>_xlfn.XLOOKUP(M84,'relaties_export_2026-01-12_1609'!A:A,'relaties_export_2026-01-12_1609'!B:B,"",3)</f>
        <v>Vivir Wonen</v>
      </c>
      <c r="O84" s="42"/>
      <c r="P84" s="43">
        <f t="shared" si="24"/>
        <v>872.19999999999982</v>
      </c>
      <c r="Q84" s="43">
        <f>T84*1.09+U84*1.21</f>
        <v>5370.6980000000003</v>
      </c>
      <c r="R84" s="44">
        <f>T84+U84</f>
        <v>4872.2</v>
      </c>
      <c r="S84" s="45">
        <f>(R84/G84)/4.33333</f>
        <v>160.62210157744076</v>
      </c>
      <c r="T84" s="45">
        <v>4372.2</v>
      </c>
      <c r="U84" s="46">
        <v>500</v>
      </c>
      <c r="V84" s="46">
        <v>0</v>
      </c>
      <c r="W84"/>
      <c r="X84" s="23"/>
      <c r="Y84" s="56" t="s">
        <v>2668</v>
      </c>
      <c r="Z84" s="47">
        <f>_xlfn.XLOOKUP(Y84,'relaties_export_2026-01-12_1609'!B:B,'relaties_export_2026-01-12_1609'!A:A,"",3)</f>
        <v>783</v>
      </c>
      <c r="AA84" s="47" t="str">
        <f>_xlfn.XLOOKUP(Z84,'relaties_export_2026-01-12_1609'!A:A,'relaties_export_2026-01-12_1609'!B:B,"",3)</f>
        <v>Johan ven der Burg</v>
      </c>
      <c r="AB84" s="46" t="s">
        <v>3102</v>
      </c>
      <c r="AC84" s="46">
        <v>3500</v>
      </c>
      <c r="AD84" s="46">
        <v>3500</v>
      </c>
      <c r="AE84" s="46">
        <v>3500</v>
      </c>
      <c r="AF84" s="46">
        <f t="shared" ref="AF84:AF90" si="29">(AD84/G84)/4.33333</f>
        <v>115.38470414208011</v>
      </c>
      <c r="AG84" s="49">
        <v>45383</v>
      </c>
      <c r="AH84" s="49">
        <v>46112</v>
      </c>
      <c r="AI84"/>
      <c r="AJ84"/>
      <c r="AK84" s="80"/>
      <c r="AL84" s="80"/>
      <c r="AO84" s="34"/>
      <c r="AP84" s="34"/>
      <c r="AQ84" s="58"/>
      <c r="AR84"/>
      <c r="AS84"/>
      <c r="AT84" s="80"/>
      <c r="AU84" s="80"/>
      <c r="AW84" s="34"/>
      <c r="AY84" s="82"/>
    </row>
    <row r="85" spans="1:51" s="29" customFormat="1" ht="17" thickBot="1" x14ac:dyDescent="0.25">
      <c r="A85" s="30">
        <v>79</v>
      </c>
      <c r="B85" s="31" t="str">
        <f>_xlfn.XLOOKUP(D85,'[1]Sleutelplan nieuw'!B:B,'[1]Sleutelplan nieuw'!A:A,"",2)</f>
        <v>0070</v>
      </c>
      <c r="C85" s="32" t="s">
        <v>2831</v>
      </c>
      <c r="D85" s="126" t="s">
        <v>3103</v>
      </c>
      <c r="E85" s="107" t="s">
        <v>3104</v>
      </c>
      <c r="F85" s="76" t="s">
        <v>89</v>
      </c>
      <c r="G85" s="108">
        <v>3</v>
      </c>
      <c r="H85" s="108">
        <v>3</v>
      </c>
      <c r="I85" s="78"/>
      <c r="J85" s="78"/>
      <c r="K85" s="124"/>
      <c r="L85" s="83"/>
      <c r="M85" s="41" t="str">
        <f>_xlfn.XLOOKUP(L85,'relaties_export_2026-01-12_1609'!B:B,'relaties_export_2026-01-12_1609'!A:A,"",3)</f>
        <v>id</v>
      </c>
      <c r="N85" s="41" t="str">
        <f>_xlfn.XLOOKUP(M85,'relaties_export_2026-01-12_1609'!A:A,'relaties_export_2026-01-12_1609'!B:B,"",3)</f>
        <v>naam</v>
      </c>
      <c r="O85" s="42"/>
      <c r="P85" s="43">
        <f t="shared" si="24"/>
        <v>-1450</v>
      </c>
      <c r="Q85" s="43"/>
      <c r="R85" s="44"/>
      <c r="S85" s="45">
        <f>(R85/G85)/4.33333</f>
        <v>0</v>
      </c>
      <c r="T85" s="45"/>
      <c r="U85" s="46">
        <v>200</v>
      </c>
      <c r="V85" s="46">
        <v>0</v>
      </c>
      <c r="W85"/>
      <c r="X85" s="23"/>
      <c r="Y85" s="56" t="s">
        <v>2689</v>
      </c>
      <c r="Z85" s="47">
        <f>_xlfn.XLOOKUP(Y85,'relaties_export_2026-01-12_1609'!B:B,'relaties_export_2026-01-12_1609'!A:A,"",3)</f>
        <v>808</v>
      </c>
      <c r="AA85" s="47" t="str">
        <f>_xlfn.XLOOKUP(Z85,'relaties_export_2026-01-12_1609'!A:A,'relaties_export_2026-01-12_1609'!B:B,"",3)</f>
        <v>Bart Vlastuin</v>
      </c>
      <c r="AB85" s="46" t="s">
        <v>3105</v>
      </c>
      <c r="AC85" s="46">
        <v>1250</v>
      </c>
      <c r="AD85" s="46">
        <v>1250</v>
      </c>
      <c r="AE85" s="46">
        <v>1250</v>
      </c>
      <c r="AF85" s="46">
        <f t="shared" si="29"/>
        <v>96.153920118400094</v>
      </c>
      <c r="AG85" s="49">
        <v>44682</v>
      </c>
      <c r="AH85" s="49">
        <v>45412</v>
      </c>
      <c r="AI85"/>
      <c r="AJ85"/>
      <c r="AK85" s="80"/>
      <c r="AL85" s="80"/>
      <c r="AO85" s="34"/>
      <c r="AP85" s="34"/>
      <c r="AQ85" s="58"/>
      <c r="AR85"/>
      <c r="AS85"/>
      <c r="AT85" s="80"/>
      <c r="AU85" s="80"/>
      <c r="AW85" s="34"/>
      <c r="AY85" s="82"/>
    </row>
    <row r="86" spans="1:51" s="29" customFormat="1" ht="17" thickBot="1" x14ac:dyDescent="0.25">
      <c r="A86" s="30">
        <v>80</v>
      </c>
      <c r="B86" s="31" t="str">
        <f>_xlfn.XLOOKUP(D86,'[1]Sleutelplan nieuw'!B:B,'[1]Sleutelplan nieuw'!A:A,"",2)</f>
        <v>0170</v>
      </c>
      <c r="C86" s="32" t="s">
        <v>2824</v>
      </c>
      <c r="D86" s="59" t="s">
        <v>3106</v>
      </c>
      <c r="E86" s="60" t="s">
        <v>3107</v>
      </c>
      <c r="F86" s="76" t="s">
        <v>84</v>
      </c>
      <c r="G86" s="77">
        <v>3</v>
      </c>
      <c r="H86" s="77">
        <v>3</v>
      </c>
      <c r="I86" s="78">
        <v>45911</v>
      </c>
      <c r="J86" s="78">
        <v>46275</v>
      </c>
      <c r="K86" s="78"/>
      <c r="L86" s="114" t="s">
        <v>3108</v>
      </c>
      <c r="M86" s="41">
        <f>_xlfn.XLOOKUP(L86,'relaties_export_2026-01-12_1609'!B:B,'relaties_export_2026-01-12_1609'!A:A,"",3)</f>
        <v>355</v>
      </c>
      <c r="N86" s="41" t="str">
        <f>_xlfn.XLOOKUP(M86,'relaties_export_2026-01-12_1609'!A:A,'relaties_export_2026-01-12_1609'!B:B,"",3)</f>
        <v>LogIQ Barendrecht B.V.</v>
      </c>
      <c r="O86" s="42"/>
      <c r="P86" s="43">
        <f t="shared" si="24"/>
        <v>773</v>
      </c>
      <c r="Q86" s="43">
        <f>T86*1.09+U86*1.21</f>
        <v>2591.5</v>
      </c>
      <c r="R86" s="44">
        <f>T86+U86</f>
        <v>2350</v>
      </c>
      <c r="S86" s="45">
        <f>(R86/G86)/4.33333</f>
        <v>180.76936982259218</v>
      </c>
      <c r="T86" s="45">
        <v>2100</v>
      </c>
      <c r="U86" s="46">
        <v>250</v>
      </c>
      <c r="V86" s="46"/>
      <c r="W86"/>
      <c r="X86" s="23"/>
      <c r="Y86" s="73" t="s">
        <v>3109</v>
      </c>
      <c r="Z86" s="47" t="str">
        <f>_xlfn.XLOOKUP(Y86,'relaties_export_2026-01-12_1609'!B:B,'relaties_export_2026-01-12_1609'!A:A,"",3)</f>
        <v/>
      </c>
      <c r="AA86" s="47" t="str">
        <f>_xlfn.XLOOKUP(Z86,'relaties_export_2026-01-12_1609'!A:A,'relaties_export_2026-01-12_1609'!B:B,"",3)</f>
        <v>naam</v>
      </c>
      <c r="AB86" s="46" t="s">
        <v>3110</v>
      </c>
      <c r="AC86" s="48">
        <v>1327</v>
      </c>
      <c r="AD86" s="48">
        <v>1327</v>
      </c>
      <c r="AE86" s="48">
        <v>1327</v>
      </c>
      <c r="AF86" s="70">
        <f t="shared" si="29"/>
        <v>102.07700159769352</v>
      </c>
      <c r="AG86" s="49"/>
      <c r="AH86" s="49"/>
    </row>
    <row r="87" spans="1:51" s="29" customFormat="1" ht="17" thickBot="1" x14ac:dyDescent="0.25">
      <c r="A87" s="30">
        <v>81</v>
      </c>
      <c r="B87" s="31" t="str">
        <f>_xlfn.XLOOKUP(D87,'[1]Sleutelplan nieuw'!B:B,'[1]Sleutelplan nieuw'!A:A,"",2)</f>
        <v>0025</v>
      </c>
      <c r="C87" s="32" t="s">
        <v>2824</v>
      </c>
      <c r="D87" s="59" t="s">
        <v>3111</v>
      </c>
      <c r="E87" s="60" t="s">
        <v>3112</v>
      </c>
      <c r="F87" s="76" t="s">
        <v>481</v>
      </c>
      <c r="G87" s="77">
        <v>3</v>
      </c>
      <c r="H87" s="77">
        <v>3</v>
      </c>
      <c r="I87" s="78">
        <v>45807</v>
      </c>
      <c r="J87" s="78" t="s">
        <v>3113</v>
      </c>
      <c r="K87" s="78"/>
      <c r="L87" s="114" t="s">
        <v>2672</v>
      </c>
      <c r="M87" s="41">
        <f>_xlfn.XLOOKUP(L87,'relaties_export_2026-01-12_1609'!B:B,'relaties_export_2026-01-12_1609'!A:A,"",3)</f>
        <v>17</v>
      </c>
      <c r="N87" s="41" t="str">
        <f>_xlfn.XLOOKUP(M87,'relaties_export_2026-01-12_1609'!A:A,'relaties_export_2026-01-12_1609'!B:B,"",3)</f>
        <v>Tradiro Services B.V.</v>
      </c>
      <c r="O87" s="42"/>
      <c r="P87" s="43">
        <f t="shared" si="24"/>
        <v>530</v>
      </c>
      <c r="Q87" s="43">
        <f>T87*1.09+U87*1.21</f>
        <v>1558.7</v>
      </c>
      <c r="R87" s="44">
        <f>T87+U87</f>
        <v>1430</v>
      </c>
      <c r="S87" s="45">
        <f t="shared" ref="S87:S93" si="30">(R87/G87)/4.33333</f>
        <v>110.00008461544971</v>
      </c>
      <c r="T87" s="45">
        <v>1430</v>
      </c>
      <c r="U87" s="46"/>
      <c r="V87" s="46">
        <v>0</v>
      </c>
      <c r="W87"/>
      <c r="X87" s="23"/>
      <c r="Y87" s="73" t="s">
        <v>2246</v>
      </c>
      <c r="Z87" s="47">
        <f>_xlfn.XLOOKUP(Y87,'relaties_export_2026-01-12_1609'!B:B,'relaties_export_2026-01-12_1609'!A:A,"",3)</f>
        <v>574</v>
      </c>
      <c r="AA87" s="47" t="str">
        <f>_xlfn.XLOOKUP(Z87,'relaties_export_2026-01-12_1609'!A:A,'relaties_export_2026-01-12_1609'!B:B,"",3)</f>
        <v>Verknocht</v>
      </c>
      <c r="AC87" s="43">
        <v>900</v>
      </c>
      <c r="AD87" s="48">
        <v>900</v>
      </c>
      <c r="AE87" s="48">
        <v>900</v>
      </c>
      <c r="AF87" s="70">
        <f t="shared" si="29"/>
        <v>69.230822485248069</v>
      </c>
      <c r="AG87" s="49">
        <v>44927</v>
      </c>
      <c r="AH87" s="49">
        <v>45292</v>
      </c>
    </row>
    <row r="88" spans="1:51" s="29" customFormat="1" ht="17" thickBot="1" x14ac:dyDescent="0.25">
      <c r="A88" s="30">
        <v>82</v>
      </c>
      <c r="B88" s="31" t="str">
        <f>_xlfn.XLOOKUP(D88,'[1]Sleutelplan nieuw'!B:B,'[1]Sleutelplan nieuw'!A:A,"",2)</f>
        <v>0071</v>
      </c>
      <c r="C88" s="32" t="s">
        <v>2831</v>
      </c>
      <c r="D88" s="126" t="s">
        <v>3114</v>
      </c>
      <c r="E88" s="107" t="s">
        <v>3115</v>
      </c>
      <c r="F88" s="76" t="s">
        <v>890</v>
      </c>
      <c r="G88" s="108">
        <v>7</v>
      </c>
      <c r="H88" s="108">
        <v>4</v>
      </c>
      <c r="I88" s="78">
        <v>45885</v>
      </c>
      <c r="J88" s="78">
        <v>46188</v>
      </c>
      <c r="K88" s="124"/>
      <c r="L88" t="s">
        <v>974</v>
      </c>
      <c r="M88" s="41">
        <f>_xlfn.XLOOKUP(L88,'relaties_export_2026-01-12_1609'!B:B,'relaties_export_2026-01-12_1609'!A:A,"",3)</f>
        <v>210</v>
      </c>
      <c r="N88" s="41" t="str">
        <f>_xlfn.XLOOKUP(M88,'relaties_export_2026-01-12_1609'!A:A,'relaties_export_2026-01-12_1609'!B:B,"",3)</f>
        <v>DIT en Larex Vakpersoneel B.V.</v>
      </c>
      <c r="P88" s="43">
        <f t="shared" si="24"/>
        <v>425</v>
      </c>
      <c r="Q88" s="43">
        <f>T88*1.09+U88*1.21</f>
        <v>3109.25</v>
      </c>
      <c r="R88" s="44">
        <f>T88+U88</f>
        <v>2825</v>
      </c>
      <c r="S88" s="45">
        <f t="shared" si="30"/>
        <v>93.131939771821791</v>
      </c>
      <c r="T88" s="45">
        <v>2575</v>
      </c>
      <c r="U88" s="46">
        <v>250</v>
      </c>
      <c r="V88" s="46">
        <v>0</v>
      </c>
      <c r="W88"/>
      <c r="X88" s="23"/>
      <c r="Y88" s="56" t="s">
        <v>2690</v>
      </c>
      <c r="Z88" s="47">
        <f>_xlfn.XLOOKUP(Y88,'relaties_export_2026-01-12_1609'!B:B,'relaties_export_2026-01-12_1609'!A:A,"",3)</f>
        <v>241</v>
      </c>
      <c r="AA88" s="47" t="str">
        <f>_xlfn.XLOOKUP(Z88,'relaties_export_2026-01-12_1609'!A:A,'relaties_export_2026-01-12_1609'!B:B,"",3)</f>
        <v>BJ Bakker</v>
      </c>
      <c r="AB88" s="70" t="s">
        <v>3116</v>
      </c>
      <c r="AC88" s="46">
        <v>2150</v>
      </c>
      <c r="AD88" s="70">
        <v>2150</v>
      </c>
      <c r="AE88" s="70">
        <v>2150</v>
      </c>
      <c r="AF88" s="70">
        <f t="shared" si="29"/>
        <v>70.879175401563501</v>
      </c>
      <c r="AG88" s="34"/>
      <c r="AH88" s="34"/>
      <c r="AK88" s="81"/>
      <c r="AL88" s="81"/>
      <c r="AO88" s="34"/>
      <c r="AP88" s="34"/>
      <c r="AQ88" s="58"/>
      <c r="AT88" s="81"/>
      <c r="AU88" s="81"/>
      <c r="AY88" s="82"/>
    </row>
    <row r="89" spans="1:51" s="29" customFormat="1" ht="17" thickBot="1" x14ac:dyDescent="0.25">
      <c r="A89" s="30"/>
      <c r="B89" s="31"/>
      <c r="C89" s="32" t="s">
        <v>2831</v>
      </c>
      <c r="D89" s="126" t="s">
        <v>3117</v>
      </c>
      <c r="E89" s="107" t="s">
        <v>3118</v>
      </c>
      <c r="F89" s="76" t="s">
        <v>481</v>
      </c>
      <c r="G89" s="108"/>
      <c r="H89" s="108"/>
      <c r="I89" s="78"/>
      <c r="J89" s="78"/>
      <c r="K89" s="124"/>
      <c r="L89" s="83" t="s">
        <v>2672</v>
      </c>
      <c r="M89" s="41">
        <f>_xlfn.XLOOKUP(L89,'relaties_export_2026-01-12_1609'!B:B,'relaties_export_2026-01-12_1609'!A:A,"",3)</f>
        <v>17</v>
      </c>
      <c r="N89" s="41" t="str">
        <f>_xlfn.XLOOKUP(M89,'relaties_export_2026-01-12_1609'!A:A,'relaties_export_2026-01-12_1609'!B:B,"",3)</f>
        <v>Tradiro Services B.V.</v>
      </c>
      <c r="P89" s="43"/>
      <c r="Q89" s="43"/>
      <c r="R89" s="44"/>
      <c r="S89" s="45"/>
      <c r="T89" s="45"/>
      <c r="U89" s="46"/>
      <c r="V89" s="46"/>
      <c r="W89"/>
      <c r="X89" s="23"/>
      <c r="Y89" s="56" t="s">
        <v>3119</v>
      </c>
      <c r="Z89" s="47" t="str">
        <f>_xlfn.XLOOKUP(Y89,'relaties_export_2026-01-12_1609'!B:B,'relaties_export_2026-01-12_1609'!A:A,"",3)</f>
        <v/>
      </c>
      <c r="AA89" s="47" t="str">
        <f>_xlfn.XLOOKUP(Z89,'relaties_export_2026-01-12_1609'!A:A,'relaties_export_2026-01-12_1609'!B:B,"",3)</f>
        <v>naam</v>
      </c>
      <c r="AB89" s="70"/>
      <c r="AC89" s="70">
        <v>1451.23</v>
      </c>
      <c r="AD89" s="70">
        <v>1451.23</v>
      </c>
      <c r="AE89" s="70">
        <v>1451.23</v>
      </c>
      <c r="AF89" s="70"/>
      <c r="AG89" s="34"/>
      <c r="AH89" s="34"/>
      <c r="AK89" s="81"/>
      <c r="AL89" s="81"/>
      <c r="AO89" s="34"/>
      <c r="AP89" s="34"/>
      <c r="AQ89" s="58"/>
      <c r="AT89" s="81"/>
      <c r="AU89" s="81"/>
      <c r="AY89" s="82"/>
    </row>
    <row r="90" spans="1:51" s="29" customFormat="1" ht="17" thickBot="1" x14ac:dyDescent="0.25">
      <c r="A90" s="30"/>
      <c r="B90" s="31" t="str">
        <f>_xlfn.XLOOKUP(D90,'[1]Sleutelplan nieuw'!B:B,'[1]Sleutelplan nieuw'!A:A,"",2)</f>
        <v>0396</v>
      </c>
      <c r="C90" s="32"/>
      <c r="D90" s="126" t="s">
        <v>3120</v>
      </c>
      <c r="E90" s="107" t="s">
        <v>3121</v>
      </c>
      <c r="F90" s="76" t="s">
        <v>1214</v>
      </c>
      <c r="G90" s="108">
        <v>6</v>
      </c>
      <c r="H90" s="108">
        <v>6</v>
      </c>
      <c r="I90" s="78"/>
      <c r="J90" s="78"/>
      <c r="K90" s="124"/>
      <c r="L90" s="83"/>
      <c r="M90" s="41" t="str">
        <f>_xlfn.XLOOKUP(L90,'relaties_export_2026-01-12_1609'!B:B,'relaties_export_2026-01-12_1609'!A:A,"",3)</f>
        <v>id</v>
      </c>
      <c r="N90" s="41" t="str">
        <f>_xlfn.XLOOKUP(M90,'relaties_export_2026-01-12_1609'!A:A,'relaties_export_2026-01-12_1609'!B:B,"",3)</f>
        <v>naam</v>
      </c>
      <c r="P90" s="43"/>
      <c r="Q90" s="43"/>
      <c r="R90" s="44"/>
      <c r="S90" s="45"/>
      <c r="T90" s="45"/>
      <c r="U90" s="46"/>
      <c r="V90" s="46"/>
      <c r="W90"/>
      <c r="X90" s="23"/>
      <c r="Y90" s="56" t="s">
        <v>2953</v>
      </c>
      <c r="Z90" s="47">
        <f>_xlfn.XLOOKUP(Y90,'relaties_export_2026-01-12_1609'!B:B,'relaties_export_2026-01-12_1609'!A:A,"",3)</f>
        <v>145</v>
      </c>
      <c r="AA90" s="47" t="str">
        <f>_xlfn.XLOOKUP(Z90,'relaties_export_2026-01-12_1609'!A:A,'relaties_export_2026-01-12_1609'!B:B,"",3)</f>
        <v>dockHolland Huisvesting B.V.</v>
      </c>
      <c r="AB90" s="67" t="s">
        <v>2954</v>
      </c>
      <c r="AC90" s="46">
        <f>AD90*1.21</f>
        <v>5033.5999999999995</v>
      </c>
      <c r="AD90" s="70">
        <v>4160</v>
      </c>
      <c r="AE90" s="70">
        <v>4100</v>
      </c>
      <c r="AF90" s="70">
        <f t="shared" si="29"/>
        <v>160.00012307701775</v>
      </c>
      <c r="AG90" s="49">
        <v>46023</v>
      </c>
      <c r="AH90" s="49">
        <v>46387</v>
      </c>
      <c r="AK90" s="81"/>
      <c r="AL90" s="81"/>
      <c r="AO90" s="34"/>
      <c r="AP90" s="34"/>
      <c r="AQ90" s="58"/>
      <c r="AT90" s="81"/>
      <c r="AU90" s="81"/>
      <c r="AY90" s="82"/>
    </row>
    <row r="91" spans="1:51" s="29" customFormat="1" ht="17" thickBot="1" x14ac:dyDescent="0.25">
      <c r="A91" s="30">
        <v>83</v>
      </c>
      <c r="B91" s="31" t="str">
        <f>_xlfn.XLOOKUP(D91,'[1]Sleutelplan nieuw'!B:B,'[1]Sleutelplan nieuw'!A:A,"",2)</f>
        <v>0072</v>
      </c>
      <c r="C91" s="32" t="s">
        <v>2831</v>
      </c>
      <c r="D91" s="126" t="s">
        <v>3122</v>
      </c>
      <c r="E91" s="107" t="s">
        <v>3123</v>
      </c>
      <c r="F91" s="76" t="s">
        <v>3124</v>
      </c>
      <c r="G91" s="108">
        <v>4</v>
      </c>
      <c r="H91" s="108">
        <v>4</v>
      </c>
      <c r="I91" s="78">
        <v>45720</v>
      </c>
      <c r="J91" s="78">
        <v>45751</v>
      </c>
      <c r="K91" s="124"/>
      <c r="L91" t="s">
        <v>974</v>
      </c>
      <c r="M91" s="41">
        <f>_xlfn.XLOOKUP(L91,'relaties_export_2026-01-12_1609'!B:B,'relaties_export_2026-01-12_1609'!A:A,"",3)</f>
        <v>210</v>
      </c>
      <c r="N91" s="41" t="str">
        <f>_xlfn.XLOOKUP(M91,'relaties_export_2026-01-12_1609'!A:A,'relaties_export_2026-01-12_1609'!B:B,"",3)</f>
        <v>DIT en Larex Vakpersoneel B.V.</v>
      </c>
      <c r="O91" s="42"/>
      <c r="P91" s="43">
        <f t="shared" si="24"/>
        <v>450</v>
      </c>
      <c r="Q91" s="43">
        <f>T91*1.09+U91*1.21</f>
        <v>2755</v>
      </c>
      <c r="R91" s="44">
        <f>T91+U91</f>
        <v>2500</v>
      </c>
      <c r="S91" s="45">
        <f t="shared" si="30"/>
        <v>144.23088017760014</v>
      </c>
      <c r="T91" s="45">
        <v>2250</v>
      </c>
      <c r="U91" s="46">
        <v>250</v>
      </c>
      <c r="V91" s="46">
        <v>0</v>
      </c>
      <c r="W91"/>
      <c r="X91" s="23"/>
      <c r="Y91" s="56" t="s">
        <v>2691</v>
      </c>
      <c r="Z91" s="47">
        <f>_xlfn.XLOOKUP(Y91,'relaties_export_2026-01-12_1609'!B:B,'relaties_export_2026-01-12_1609'!A:A,"",3)</f>
        <v>810</v>
      </c>
      <c r="AA91" s="47" t="str">
        <f>_xlfn.XLOOKUP(Z91,'relaties_export_2026-01-12_1609'!A:A,'relaties_export_2026-01-12_1609'!B:B,"",3)</f>
        <v>Robert de Jonge</v>
      </c>
      <c r="AB91" s="46" t="s">
        <v>3125</v>
      </c>
      <c r="AC91" s="46">
        <v>1800</v>
      </c>
      <c r="AD91" s="46">
        <v>1800</v>
      </c>
      <c r="AE91" s="46">
        <v>1800</v>
      </c>
      <c r="AF91" s="46">
        <f>(AD91/G91)/4.33</f>
        <v>103.92609699769054</v>
      </c>
      <c r="AG91" s="49">
        <v>44967</v>
      </c>
      <c r="AH91" s="49">
        <v>45331</v>
      </c>
      <c r="AK91" s="81"/>
      <c r="AL91" s="81"/>
      <c r="AO91" s="34"/>
      <c r="AP91" s="34"/>
      <c r="AQ91" s="58"/>
      <c r="AT91" s="81"/>
      <c r="AU91" s="81"/>
      <c r="AY91" s="82"/>
    </row>
    <row r="92" spans="1:51" s="29" customFormat="1" ht="17" thickBot="1" x14ac:dyDescent="0.25">
      <c r="A92" s="30">
        <v>84</v>
      </c>
      <c r="B92" s="31" t="str">
        <f>_xlfn.XLOOKUP(D92,'[1]Sleutelplan nieuw'!B:B,'[1]Sleutelplan nieuw'!A:A,"",2)</f>
        <v>0073</v>
      </c>
      <c r="C92" s="32" t="s">
        <v>2831</v>
      </c>
      <c r="D92" s="126" t="s">
        <v>3126</v>
      </c>
      <c r="E92" s="107" t="s">
        <v>3127</v>
      </c>
      <c r="F92" s="76" t="s">
        <v>3128</v>
      </c>
      <c r="G92" s="108">
        <v>5</v>
      </c>
      <c r="H92" s="108">
        <v>5</v>
      </c>
      <c r="I92" s="78">
        <v>44835</v>
      </c>
      <c r="J92" s="78"/>
      <c r="K92" s="78"/>
      <c r="L92" s="83" t="s">
        <v>2839</v>
      </c>
      <c r="M92" s="41">
        <f>_xlfn.XLOOKUP(L92,'relaties_export_2026-01-12_1609'!B:B,'relaties_export_2026-01-12_1609'!A:A,"",3)</f>
        <v>13</v>
      </c>
      <c r="N92" s="41" t="str">
        <f>_xlfn.XLOOKUP(M92,'relaties_export_2026-01-12_1609'!A:A,'relaties_export_2026-01-12_1609'!B:B,"",3)</f>
        <v>United Homes B.V.</v>
      </c>
      <c r="O92" s="42"/>
      <c r="P92" s="43">
        <f t="shared" si="24"/>
        <v>464.4699999999998</v>
      </c>
      <c r="Q92" s="43">
        <f>T92*1.09+U92*1.21</f>
        <v>2686.2723000000001</v>
      </c>
      <c r="R92" s="44">
        <f>T92+U92</f>
        <v>2464.4699999999998</v>
      </c>
      <c r="S92" s="45">
        <f t="shared" si="30"/>
        <v>113.74485672681286</v>
      </c>
      <c r="T92" s="45">
        <v>2464.4699999999998</v>
      </c>
      <c r="U92" s="46">
        <v>0</v>
      </c>
      <c r="V92" s="46">
        <v>0</v>
      </c>
      <c r="W92"/>
      <c r="X92" s="23"/>
      <c r="Y92" s="56" t="s">
        <v>2728</v>
      </c>
      <c r="Z92" s="47">
        <f>_xlfn.XLOOKUP(Y92,'relaties_export_2026-01-12_1609'!B:B,'relaties_export_2026-01-12_1609'!A:A,"",3)</f>
        <v>146</v>
      </c>
      <c r="AA92" s="47" t="str">
        <f>_xlfn.XLOOKUP(Z92,'relaties_export_2026-01-12_1609'!A:A,'relaties_export_2026-01-12_1609'!B:B,"",3)</f>
        <v>Fam. Derwig</v>
      </c>
      <c r="AB92" s="46" t="s">
        <v>3129</v>
      </c>
      <c r="AC92" s="46">
        <v>2000</v>
      </c>
      <c r="AD92" s="46">
        <v>2000</v>
      </c>
      <c r="AE92" s="46">
        <v>2000</v>
      </c>
      <c r="AF92" s="46">
        <f>(AD92/G92)/4.33333</f>
        <v>92.307763313664083</v>
      </c>
      <c r="AG92" s="49">
        <v>44621</v>
      </c>
      <c r="AH92" s="49">
        <v>45716</v>
      </c>
      <c r="AK92" s="81"/>
      <c r="AL92" s="81"/>
      <c r="AO92" s="34"/>
      <c r="AP92" s="34"/>
      <c r="AQ92" s="58"/>
      <c r="AT92" s="81"/>
      <c r="AU92" s="81"/>
      <c r="AY92" s="82"/>
    </row>
    <row r="93" spans="1:51" s="29" customFormat="1" ht="17" thickBot="1" x14ac:dyDescent="0.25">
      <c r="A93" s="30">
        <v>85</v>
      </c>
      <c r="B93" s="31" t="str">
        <f>_xlfn.XLOOKUP(D93,'[1]Sleutelplan nieuw'!B:B,'[1]Sleutelplan nieuw'!A:A,"",2)</f>
        <v>0325</v>
      </c>
      <c r="C93" s="32" t="s">
        <v>2824</v>
      </c>
      <c r="D93" s="126" t="s">
        <v>3130</v>
      </c>
      <c r="E93" s="107" t="s">
        <v>3131</v>
      </c>
      <c r="F93" s="76" t="s">
        <v>2440</v>
      </c>
      <c r="G93" s="108">
        <v>10</v>
      </c>
      <c r="H93" s="108">
        <v>6</v>
      </c>
      <c r="I93" s="78">
        <v>45660</v>
      </c>
      <c r="J93" s="78">
        <v>46025</v>
      </c>
      <c r="K93" s="124"/>
      <c r="L93" t="s">
        <v>1341</v>
      </c>
      <c r="M93" s="41">
        <f>_xlfn.XLOOKUP(L93,'relaties_export_2026-01-12_1609'!B:B,'relaties_export_2026-01-12_1609'!A:A,"",3)</f>
        <v>305</v>
      </c>
      <c r="N93" s="41" t="str">
        <f>_xlfn.XLOOKUP(M93,'relaties_export_2026-01-12_1609'!A:A,'relaties_export_2026-01-12_1609'!B:B,"",3)</f>
        <v>VALO Facilities B.V.</v>
      </c>
      <c r="O93" s="42"/>
      <c r="P93" s="43">
        <f t="shared" si="24"/>
        <v>998.21</v>
      </c>
      <c r="Q93" s="43">
        <f>T93*1.09+(U93+V93)*1.21</f>
        <v>6636.3</v>
      </c>
      <c r="R93" s="44">
        <f>T93+U93+V93</f>
        <v>6030</v>
      </c>
      <c r="S93" s="45">
        <f t="shared" si="30"/>
        <v>139.15395319534861</v>
      </c>
      <c r="T93" s="45">
        <v>5500</v>
      </c>
      <c r="U93" s="46">
        <v>450</v>
      </c>
      <c r="V93" s="46">
        <v>80</v>
      </c>
      <c r="W93"/>
      <c r="X93" s="23"/>
      <c r="Y93" s="56" t="s">
        <v>2692</v>
      </c>
      <c r="Z93" s="47">
        <f>_xlfn.XLOOKUP(Y93,'relaties_export_2026-01-12_1609'!B:B,'relaties_export_2026-01-12_1609'!A:A,"",3)</f>
        <v>811</v>
      </c>
      <c r="AA93" s="47" t="str">
        <f>_xlfn.XLOOKUP(Z93,'relaties_export_2026-01-12_1609'!A:A,'relaties_export_2026-01-12_1609'!B:B,"",3)</f>
        <v>M. Koolhaas</v>
      </c>
      <c r="AB93" s="69" t="s">
        <v>3132</v>
      </c>
      <c r="AC93" s="46">
        <v>4529</v>
      </c>
      <c r="AD93" s="46">
        <v>4501.79</v>
      </c>
      <c r="AE93" s="46">
        <v>4372.2</v>
      </c>
      <c r="AF93" s="46">
        <f>(AD93/G93)/4.33</f>
        <v>103.96743648960738</v>
      </c>
      <c r="AG93" s="49">
        <v>45661</v>
      </c>
      <c r="AH93" s="49">
        <v>46026</v>
      </c>
      <c r="AK93" s="81"/>
      <c r="AL93" s="81"/>
      <c r="AO93" s="34"/>
      <c r="AP93" s="34"/>
      <c r="AQ93" s="58"/>
      <c r="AT93" s="81"/>
      <c r="AU93" s="81"/>
      <c r="AY93" s="82"/>
    </row>
    <row r="94" spans="1:51" s="29" customFormat="1" ht="17" thickBot="1" x14ac:dyDescent="0.25">
      <c r="A94" s="30"/>
      <c r="B94" s="31" t="str">
        <f>_xlfn.XLOOKUP(D94,'[1]Sleutelplan nieuw'!B:B,'[1]Sleutelplan nieuw'!A:A,"",2)</f>
        <v>0176</v>
      </c>
      <c r="C94" s="32" t="s">
        <v>2824</v>
      </c>
      <c r="D94" s="126" t="s">
        <v>3133</v>
      </c>
      <c r="E94" s="107"/>
      <c r="F94" s="76" t="s">
        <v>481</v>
      </c>
      <c r="G94" s="108"/>
      <c r="H94" s="108"/>
      <c r="I94" s="78"/>
      <c r="J94" s="78"/>
      <c r="K94" s="124"/>
      <c r="L94" s="83" t="s">
        <v>2672</v>
      </c>
      <c r="M94" s="41">
        <f>_xlfn.XLOOKUP(L94,'relaties_export_2026-01-12_1609'!B:B,'relaties_export_2026-01-12_1609'!A:A,"",3)</f>
        <v>17</v>
      </c>
      <c r="N94" s="41" t="str">
        <f>_xlfn.XLOOKUP(M94,'relaties_export_2026-01-12_1609'!A:A,'relaties_export_2026-01-12_1609'!B:B,"",3)</f>
        <v>Tradiro Services B.V.</v>
      </c>
      <c r="O94" s="42"/>
      <c r="P94" s="43"/>
      <c r="Q94" s="43"/>
      <c r="R94" s="44"/>
      <c r="S94" s="45"/>
      <c r="T94" s="45"/>
      <c r="U94" s="46"/>
      <c r="V94" s="46"/>
      <c r="W94"/>
      <c r="X94" s="23"/>
      <c r="Y94" s="56" t="s">
        <v>2973</v>
      </c>
      <c r="Z94" s="47">
        <v>295</v>
      </c>
      <c r="AA94" s="47" t="str">
        <f>_xlfn.XLOOKUP(Z94,'relaties_export_2026-01-12_1609'!A:A,'relaties_export_2026-01-12_1609'!B:B,"",3)</f>
        <v>In Stijl Totaalbouw BV</v>
      </c>
      <c r="AB94" s="69"/>
      <c r="AC94" s="46">
        <v>1125</v>
      </c>
      <c r="AD94" s="46">
        <v>1125</v>
      </c>
      <c r="AE94" s="46">
        <v>1125</v>
      </c>
      <c r="AF94" s="46"/>
      <c r="AG94" s="49"/>
      <c r="AH94" s="49"/>
      <c r="AK94" s="81"/>
      <c r="AL94" s="81"/>
      <c r="AO94" s="34"/>
      <c r="AP94" s="34"/>
      <c r="AQ94" s="58"/>
      <c r="AT94" s="81"/>
      <c r="AU94" s="81"/>
      <c r="AY94" s="82"/>
    </row>
    <row r="95" spans="1:51" s="29" customFormat="1" ht="17" thickBot="1" x14ac:dyDescent="0.25">
      <c r="A95" s="30">
        <v>86</v>
      </c>
      <c r="B95" s="31" t="str" cm="1">
        <f t="array" ref="B95">_xlfn.XLOOKUP(LEFT(D95,3),LEFT('[1]Sleutelplan nieuw'!B:B,3),'[1]Sleutelplan nieuw'!A:A,"",2)</f>
        <v>0133</v>
      </c>
      <c r="C95" s="129" t="s">
        <v>2824</v>
      </c>
      <c r="D95" s="130" t="s">
        <v>3134</v>
      </c>
      <c r="E95" s="131" t="s">
        <v>3135</v>
      </c>
      <c r="F95" s="132" t="s">
        <v>481</v>
      </c>
      <c r="G95" s="133">
        <v>2</v>
      </c>
      <c r="H95" s="133">
        <v>2</v>
      </c>
      <c r="I95" s="134">
        <v>46031</v>
      </c>
      <c r="J95" s="134">
        <v>46395</v>
      </c>
      <c r="K95" s="134"/>
      <c r="L95" s="135" t="s">
        <v>2827</v>
      </c>
      <c r="M95" s="41">
        <f>_xlfn.XLOOKUP(L95,'relaties_export_2026-01-12_1609'!B:B,'relaties_export_2026-01-12_1609'!A:A,"",3)</f>
        <v>23</v>
      </c>
      <c r="N95" s="41" t="str">
        <f>_xlfn.XLOOKUP(M95,'relaties_export_2026-01-12_1609'!A:A,'relaties_export_2026-01-12_1609'!B:B,"",3)</f>
        <v>S. Bakker OPH Verhuur</v>
      </c>
      <c r="O95" s="136"/>
      <c r="P95" s="43">
        <f>R95-U95-V95-AD95</f>
        <v>125</v>
      </c>
      <c r="Q95" s="43">
        <f>T95*1.21+(U95+V95)*1.21</f>
        <v>2178</v>
      </c>
      <c r="R95" s="44">
        <f>T95+U95+V95</f>
        <v>1800</v>
      </c>
      <c r="S95" s="45">
        <f t="shared" ref="S95:S103" si="31">(R95/G95)/4.33333</f>
        <v>207.69246745574418</v>
      </c>
      <c r="T95" s="45">
        <v>1700</v>
      </c>
      <c r="U95" s="46">
        <v>100</v>
      </c>
      <c r="V95" s="46">
        <v>0</v>
      </c>
      <c r="W95"/>
      <c r="X95" s="23"/>
      <c r="Y95" s="56" t="s">
        <v>2656</v>
      </c>
      <c r="Z95" s="47">
        <f>_xlfn.XLOOKUP(Y95,'relaties_export_2026-01-12_1609'!B:B,'relaties_export_2026-01-12_1609'!A:A,"",3)</f>
        <v>602</v>
      </c>
      <c r="AA95" s="47" t="str">
        <f>_xlfn.XLOOKUP(Z95,'relaties_export_2026-01-12_1609'!A:A,'relaties_export_2026-01-12_1609'!B:B,"",3)</f>
        <v>Westhavendomein BV</v>
      </c>
      <c r="AB95" s="69" t="s">
        <v>3136</v>
      </c>
      <c r="AC95" s="46">
        <v>1575</v>
      </c>
      <c r="AD95" s="46">
        <v>1575</v>
      </c>
      <c r="AE95" s="46">
        <v>1575</v>
      </c>
      <c r="AF95" s="46">
        <f t="shared" ref="AF95:AF103" si="32">(AD95/G95)/4.33333</f>
        <v>181.73090902377618</v>
      </c>
      <c r="AG95" s="49"/>
      <c r="AH95" s="49"/>
      <c r="AK95" s="81"/>
      <c r="AL95" s="81"/>
      <c r="AO95" s="34"/>
      <c r="AP95" s="34"/>
      <c r="AQ95" s="58"/>
      <c r="AT95" s="81"/>
      <c r="AU95" s="81"/>
      <c r="AY95" s="82"/>
    </row>
    <row r="96" spans="1:51" s="29" customFormat="1" ht="17" thickBot="1" x14ac:dyDescent="0.25">
      <c r="A96" s="30">
        <v>88</v>
      </c>
      <c r="B96" s="31" t="str">
        <f>_xlfn.XLOOKUP(D96,'[1]Sleutelplan nieuw'!B:B,'[1]Sleutelplan nieuw'!A:A,"",2)</f>
        <v>0107</v>
      </c>
      <c r="C96" s="32" t="s">
        <v>2831</v>
      </c>
      <c r="D96" s="126" t="s">
        <v>3137</v>
      </c>
      <c r="E96" s="107" t="s">
        <v>3138</v>
      </c>
      <c r="F96" s="76" t="s">
        <v>3139</v>
      </c>
      <c r="G96" s="108">
        <v>5</v>
      </c>
      <c r="H96" s="108">
        <v>5</v>
      </c>
      <c r="I96" s="78">
        <v>45562</v>
      </c>
      <c r="J96" s="78">
        <v>45653</v>
      </c>
      <c r="K96" s="78"/>
      <c r="L96" t="s">
        <v>974</v>
      </c>
      <c r="M96" s="41">
        <f>_xlfn.XLOOKUP(L96,'relaties_export_2026-01-12_1609'!B:B,'relaties_export_2026-01-12_1609'!A:A,"",3)</f>
        <v>210</v>
      </c>
      <c r="N96" s="41" t="str">
        <f>_xlfn.XLOOKUP(M96,'relaties_export_2026-01-12_1609'!A:A,'relaties_export_2026-01-12_1609'!B:B,"",3)</f>
        <v>DIT en Larex Vakpersoneel B.V.</v>
      </c>
      <c r="O96" s="42"/>
      <c r="P96" s="43">
        <f t="shared" ref="P96:P128" si="33">R96-U96-V96-AD96</f>
        <v>312.29999999999973</v>
      </c>
      <c r="Q96" s="43">
        <f t="shared" ref="Q96:Q103" si="34">T96*1.09+U96*1.21</f>
        <v>2969.0215000000003</v>
      </c>
      <c r="R96" s="44">
        <f t="shared" ref="R96:R103" si="35">T96+U96</f>
        <v>2696.35</v>
      </c>
      <c r="S96" s="45">
        <f t="shared" si="31"/>
        <v>124.44701880539907</v>
      </c>
      <c r="T96" s="45">
        <v>2446.35</v>
      </c>
      <c r="U96" s="46">
        <v>250</v>
      </c>
      <c r="V96" s="46">
        <v>0</v>
      </c>
      <c r="W96"/>
      <c r="X96" s="23"/>
      <c r="Y96" s="56" t="s">
        <v>2673</v>
      </c>
      <c r="Z96" s="47">
        <f>_xlfn.XLOOKUP(Y96,'relaties_export_2026-01-12_1609'!B:B,'relaties_export_2026-01-12_1609'!A:A,"",3)</f>
        <v>792</v>
      </c>
      <c r="AA96" s="47" t="str">
        <f>_xlfn.XLOOKUP(Z96,'relaties_export_2026-01-12_1609'!A:A,'relaties_export_2026-01-12_1609'!B:B,"",3)</f>
        <v>H. Samson</v>
      </c>
      <c r="AB96" s="70"/>
      <c r="AC96" s="70">
        <v>2134.0500000000002</v>
      </c>
      <c r="AD96" s="70">
        <v>2134.0500000000002</v>
      </c>
      <c r="AE96" s="70">
        <v>2134.0500000000002</v>
      </c>
      <c r="AF96" s="70">
        <f t="shared" si="32"/>
        <v>98.494691149762431</v>
      </c>
      <c r="AG96" s="49">
        <v>45383</v>
      </c>
      <c r="AH96" s="49">
        <v>46477</v>
      </c>
      <c r="AK96" s="81"/>
      <c r="AL96" s="81"/>
      <c r="AO96" s="34"/>
      <c r="AP96" s="34"/>
      <c r="AQ96" s="58"/>
      <c r="AT96" s="81"/>
      <c r="AU96" s="81"/>
      <c r="AY96" s="82"/>
    </row>
    <row r="97" spans="1:53" s="29" customFormat="1" ht="17" thickBot="1" x14ac:dyDescent="0.25">
      <c r="A97" s="30">
        <v>90</v>
      </c>
      <c r="B97" s="31" t="str">
        <f>_xlfn.XLOOKUP(D97,'[1]Sleutelplan nieuw'!B:B,'[1]Sleutelplan nieuw'!A:A,"",2)</f>
        <v>0031</v>
      </c>
      <c r="C97" s="32" t="s">
        <v>2831</v>
      </c>
      <c r="D97" s="59" t="s">
        <v>3140</v>
      </c>
      <c r="E97" s="107" t="s">
        <v>3141</v>
      </c>
      <c r="F97" s="76" t="s">
        <v>481</v>
      </c>
      <c r="G97" s="108">
        <v>3</v>
      </c>
      <c r="H97" s="108">
        <v>2</v>
      </c>
      <c r="I97" s="78">
        <v>44986</v>
      </c>
      <c r="J97" s="78">
        <v>45352</v>
      </c>
      <c r="K97" s="78"/>
      <c r="L97" s="83" t="s">
        <v>2672</v>
      </c>
      <c r="M97" s="41">
        <f>_xlfn.XLOOKUP(L97,'relaties_export_2026-01-12_1609'!B:B,'relaties_export_2026-01-12_1609'!A:A,"",3)</f>
        <v>17</v>
      </c>
      <c r="N97" s="41" t="str">
        <f>_xlfn.XLOOKUP(M97,'relaties_export_2026-01-12_1609'!A:A,'relaties_export_2026-01-12_1609'!B:B,"",3)</f>
        <v>Tradiro Services B.V.</v>
      </c>
      <c r="O97" s="42"/>
      <c r="P97" s="43">
        <f t="shared" si="33"/>
        <v>268.43000000000006</v>
      </c>
      <c r="Q97" s="43">
        <f t="shared" si="34"/>
        <v>1709.5887000000002</v>
      </c>
      <c r="R97" s="44">
        <f t="shared" si="35"/>
        <v>1568.43</v>
      </c>
      <c r="S97" s="45">
        <f t="shared" si="31"/>
        <v>120.64855434504182</v>
      </c>
      <c r="T97" s="45">
        <v>1568.43</v>
      </c>
      <c r="U97" s="46">
        <v>0</v>
      </c>
      <c r="V97" s="46">
        <v>0</v>
      </c>
      <c r="W97"/>
      <c r="X97" s="23"/>
      <c r="Y97" s="73" t="s">
        <v>2693</v>
      </c>
      <c r="Z97" s="47">
        <f>_xlfn.XLOOKUP(Y97,'relaties_export_2026-01-12_1609'!B:B,'relaties_export_2026-01-12_1609'!A:A,"",3)</f>
        <v>812</v>
      </c>
      <c r="AA97" s="47" t="str">
        <f>_xlfn.XLOOKUP(Z97,'relaties_export_2026-01-12_1609'!A:A,'relaties_export_2026-01-12_1609'!B:B,"",3)</f>
        <v>M. Dogan</v>
      </c>
      <c r="AB97" s="74"/>
      <c r="AC97" s="43">
        <v>1300</v>
      </c>
      <c r="AD97" s="48">
        <v>1300</v>
      </c>
      <c r="AE97" s="110">
        <v>1300</v>
      </c>
      <c r="AF97" s="70">
        <f t="shared" si="32"/>
        <v>100.00007692313609</v>
      </c>
      <c r="AG97" s="49">
        <v>44986</v>
      </c>
      <c r="AH97" s="49">
        <v>45291</v>
      </c>
    </row>
    <row r="98" spans="1:53" s="29" customFormat="1" ht="17" thickBot="1" x14ac:dyDescent="0.25">
      <c r="A98" s="30">
        <v>91</v>
      </c>
      <c r="B98" s="31" t="str">
        <f>_xlfn.XLOOKUP(D98,'[1]Sleutelplan nieuw'!B:B,'[1]Sleutelplan nieuw'!A:A,"",2)</f>
        <v>0181</v>
      </c>
      <c r="C98" s="32" t="s">
        <v>2824</v>
      </c>
      <c r="D98" s="59" t="s">
        <v>3142</v>
      </c>
      <c r="E98" s="107" t="s">
        <v>3143</v>
      </c>
      <c r="F98" s="76" t="s">
        <v>84</v>
      </c>
      <c r="G98" s="108">
        <v>4</v>
      </c>
      <c r="H98" s="108">
        <v>2</v>
      </c>
      <c r="I98" s="78"/>
      <c r="J98" s="78"/>
      <c r="K98" s="78"/>
      <c r="L98" s="83"/>
      <c r="M98" s="41" t="str">
        <f>_xlfn.XLOOKUP(L98,'relaties_export_2026-01-12_1609'!B:B,'relaties_export_2026-01-12_1609'!A:A,"",3)</f>
        <v>id</v>
      </c>
      <c r="N98" s="41" t="str">
        <f>_xlfn.XLOOKUP(M98,'relaties_export_2026-01-12_1609'!A:A,'relaties_export_2026-01-12_1609'!B:B,"",3)</f>
        <v>naam</v>
      </c>
      <c r="O98" s="137" t="s">
        <v>3144</v>
      </c>
      <c r="P98" s="43">
        <f t="shared" si="33"/>
        <v>-1762</v>
      </c>
      <c r="Q98" s="43"/>
      <c r="R98" s="44"/>
      <c r="S98" s="45"/>
      <c r="T98" s="45"/>
      <c r="U98" s="46">
        <v>250</v>
      </c>
      <c r="V98" s="46"/>
      <c r="W98"/>
      <c r="X98" s="23"/>
      <c r="Y98" s="73" t="s">
        <v>2672</v>
      </c>
      <c r="Z98" s="47">
        <f>_xlfn.XLOOKUP(Y98,'relaties_export_2026-01-12_1609'!B:B,'relaties_export_2026-01-12_1609'!A:A,"",3)</f>
        <v>17</v>
      </c>
      <c r="AA98" s="47" t="str">
        <f>_xlfn.XLOOKUP(Z98,'relaties_export_2026-01-12_1609'!A:A,'relaties_export_2026-01-12_1609'!B:B,"",3)</f>
        <v>Tradiro Services B.V.</v>
      </c>
      <c r="AB98" s="74"/>
      <c r="AC98" s="43">
        <f>AD98*1.09</f>
        <v>1648.0800000000002</v>
      </c>
      <c r="AD98" s="48">
        <v>1512</v>
      </c>
      <c r="AE98" s="110">
        <v>1512</v>
      </c>
      <c r="AF98" s="70">
        <f t="shared" si="32"/>
        <v>87.230836331412561</v>
      </c>
      <c r="AG98" s="49"/>
      <c r="AH98" s="49"/>
    </row>
    <row r="99" spans="1:53" s="29" customFormat="1" ht="17" thickBot="1" x14ac:dyDescent="0.25">
      <c r="A99" s="30">
        <v>92</v>
      </c>
      <c r="B99" s="31" t="str">
        <f>_xlfn.XLOOKUP(D99,'[1]Sleutelplan nieuw'!B:B,'[1]Sleutelplan nieuw'!A:A,"",2)</f>
        <v>0075</v>
      </c>
      <c r="C99" s="32" t="s">
        <v>2824</v>
      </c>
      <c r="D99" s="59" t="s">
        <v>3145</v>
      </c>
      <c r="E99" s="60" t="s">
        <v>3146</v>
      </c>
      <c r="F99" s="76" t="s">
        <v>3147</v>
      </c>
      <c r="G99" s="108">
        <v>4</v>
      </c>
      <c r="H99" s="108">
        <v>4</v>
      </c>
      <c r="I99" s="109">
        <v>45306</v>
      </c>
      <c r="J99" s="109">
        <v>45488</v>
      </c>
      <c r="K99" s="78"/>
      <c r="L99" t="s">
        <v>1208</v>
      </c>
      <c r="M99" s="41">
        <f>_xlfn.XLOOKUP(L99,'relaties_export_2026-01-12_1609'!B:B,'relaties_export_2026-01-12_1609'!A:A,"",3)</f>
        <v>270</v>
      </c>
      <c r="N99" s="41" t="str">
        <f>_xlfn.XLOOKUP(M99,'relaties_export_2026-01-12_1609'!A:A,'relaties_export_2026-01-12_1609'!B:B,"",3)</f>
        <v>WILL Vakkrachten B. V.</v>
      </c>
      <c r="O99" s="42"/>
      <c r="P99" s="43">
        <f t="shared" si="33"/>
        <v>663.11999999999989</v>
      </c>
      <c r="Q99" s="43">
        <f t="shared" si="34"/>
        <v>2553.0525000000002</v>
      </c>
      <c r="R99" s="44">
        <f t="shared" si="35"/>
        <v>2342.25</v>
      </c>
      <c r="S99" s="45">
        <f t="shared" si="31"/>
        <v>135.12991163839357</v>
      </c>
      <c r="T99" s="45">
        <v>2342.25</v>
      </c>
      <c r="U99" s="46">
        <v>0</v>
      </c>
      <c r="V99" s="46">
        <v>0</v>
      </c>
      <c r="W99"/>
      <c r="X99" s="23"/>
      <c r="Y99" s="56" t="s">
        <v>2694</v>
      </c>
      <c r="Z99" s="47">
        <v>813</v>
      </c>
      <c r="AA99" s="47" t="str">
        <f>_xlfn.XLOOKUP(Z99,'relaties_export_2026-01-12_1609'!A:A,'relaties_export_2026-01-12_1609'!B:B,"",3)</f>
        <v>HBB Wonen (Danielle Hanegraaf)</v>
      </c>
      <c r="AB99" s="70" t="s">
        <v>3148</v>
      </c>
      <c r="AC99" s="46">
        <v>1679.13</v>
      </c>
      <c r="AD99" s="70">
        <v>1679.13</v>
      </c>
      <c r="AE99" s="70">
        <v>1679.13</v>
      </c>
      <c r="AF99" s="70">
        <f t="shared" si="32"/>
        <v>96.872959133045484</v>
      </c>
      <c r="AG99" s="49">
        <v>43947</v>
      </c>
      <c r="AH99" s="49">
        <v>44068</v>
      </c>
      <c r="AI99" t="s">
        <v>2997</v>
      </c>
      <c r="AJ99" t="s">
        <v>3149</v>
      </c>
      <c r="AK99" s="80">
        <v>43947</v>
      </c>
      <c r="AL99" s="80">
        <v>44075</v>
      </c>
      <c r="AM99" s="29" t="s">
        <v>3081</v>
      </c>
      <c r="AO99" s="34" t="s">
        <v>3000</v>
      </c>
      <c r="AP99" s="34"/>
      <c r="AQ99" s="58"/>
      <c r="AR99" s="29" t="s">
        <v>2997</v>
      </c>
      <c r="AS99" s="29" t="s">
        <v>3149</v>
      </c>
      <c r="AT99" s="81">
        <v>43947</v>
      </c>
      <c r="AU99" s="81">
        <v>44068</v>
      </c>
      <c r="AV99" s="29" t="s">
        <v>2999</v>
      </c>
      <c r="AW99" s="29" t="s">
        <v>3000</v>
      </c>
      <c r="AY99" s="82"/>
      <c r="AZ99" s="29" t="s">
        <v>3150</v>
      </c>
    </row>
    <row r="100" spans="1:53" s="29" customFormat="1" ht="17" thickBot="1" x14ac:dyDescent="0.25">
      <c r="A100" s="30">
        <v>93</v>
      </c>
      <c r="B100" s="31" t="str">
        <f>_xlfn.XLOOKUP(D100,'[1]Sleutelplan nieuw'!B:B,'[1]Sleutelplan nieuw'!A:A,"",2)</f>
        <v>0078</v>
      </c>
      <c r="C100" s="32" t="s">
        <v>2831</v>
      </c>
      <c r="D100" s="59" t="s">
        <v>3151</v>
      </c>
      <c r="E100" s="60" t="s">
        <v>3152</v>
      </c>
      <c r="F100" s="76" t="s">
        <v>322</v>
      </c>
      <c r="G100" s="108">
        <v>4</v>
      </c>
      <c r="H100" s="108">
        <v>4</v>
      </c>
      <c r="I100" s="109">
        <v>45366</v>
      </c>
      <c r="J100" s="109">
        <v>45549</v>
      </c>
      <c r="K100" s="78"/>
      <c r="L100" t="s">
        <v>974</v>
      </c>
      <c r="M100" s="41">
        <f>_xlfn.XLOOKUP(L100,'relaties_export_2026-01-12_1609'!B:B,'relaties_export_2026-01-12_1609'!A:A,"",3)</f>
        <v>210</v>
      </c>
      <c r="N100" s="41" t="str">
        <f>_xlfn.XLOOKUP(M100,'relaties_export_2026-01-12_1609'!A:A,'relaties_export_2026-01-12_1609'!B:B,"",3)</f>
        <v>DIT en Larex Vakpersoneel B.V.</v>
      </c>
      <c r="O100" s="42"/>
      <c r="P100" s="43">
        <f t="shared" si="33"/>
        <v>884.84999999999991</v>
      </c>
      <c r="Q100" s="43">
        <f t="shared" si="34"/>
        <v>3139.2250000000004</v>
      </c>
      <c r="R100" s="44">
        <f t="shared" si="35"/>
        <v>2852.5</v>
      </c>
      <c r="S100" s="45">
        <f t="shared" si="31"/>
        <v>164.56743428264176</v>
      </c>
      <c r="T100" s="45">
        <v>2602.5</v>
      </c>
      <c r="U100" s="46">
        <v>250</v>
      </c>
      <c r="V100" s="46">
        <v>0</v>
      </c>
      <c r="W100"/>
      <c r="X100" s="23"/>
      <c r="Y100" s="56" t="s">
        <v>2673</v>
      </c>
      <c r="Z100" s="47">
        <f>_xlfn.XLOOKUP(Y100,'relaties_export_2026-01-12_1609'!B:B,'relaties_export_2026-01-12_1609'!A:A,"",3)</f>
        <v>792</v>
      </c>
      <c r="AA100" s="47" t="str">
        <f>_xlfn.XLOOKUP(Z100,'relaties_export_2026-01-12_1609'!A:A,'relaties_export_2026-01-12_1609'!B:B,"",3)</f>
        <v>H. Samson</v>
      </c>
      <c r="AB100" s="46" t="s">
        <v>2906</v>
      </c>
      <c r="AC100" s="46">
        <v>1717.65</v>
      </c>
      <c r="AD100" s="46">
        <v>1717.65</v>
      </c>
      <c r="AE100" s="46">
        <v>1717.65</v>
      </c>
      <c r="AF100" s="46">
        <f t="shared" si="32"/>
        <v>99.095268534821955</v>
      </c>
      <c r="AG100" s="49">
        <v>44774</v>
      </c>
      <c r="AH100" s="49">
        <v>45504</v>
      </c>
      <c r="AI100"/>
      <c r="AJ100"/>
      <c r="AK100" s="80"/>
      <c r="AL100" s="80"/>
      <c r="AO100" s="34"/>
      <c r="AP100" s="34"/>
      <c r="AQ100" s="58"/>
      <c r="AT100" s="81"/>
      <c r="AU100" s="81"/>
      <c r="AY100" s="82"/>
    </row>
    <row r="101" spans="1:53" s="29" customFormat="1" ht="17" thickBot="1" x14ac:dyDescent="0.25">
      <c r="A101" s="30">
        <v>94</v>
      </c>
      <c r="B101" s="31" t="str" cm="1">
        <f t="array" ref="B101">_xlfn.XLOOKUP(LEFT(D101,3),LEFT('[1]Sleutelplan nieuw'!B:B,3),'[1]Sleutelplan nieuw'!A:A,"",2)</f>
        <v>0147</v>
      </c>
      <c r="C101" s="32" t="s">
        <v>2824</v>
      </c>
      <c r="D101" s="59" t="s">
        <v>3153</v>
      </c>
      <c r="E101" s="60" t="s">
        <v>3154</v>
      </c>
      <c r="F101" s="76" t="s">
        <v>1632</v>
      </c>
      <c r="G101" s="77">
        <v>6</v>
      </c>
      <c r="H101" s="77">
        <v>4</v>
      </c>
      <c r="I101" s="78">
        <v>45180</v>
      </c>
      <c r="J101" s="78">
        <v>44995</v>
      </c>
      <c r="K101" s="89"/>
      <c r="L101" s="83" t="s">
        <v>405</v>
      </c>
      <c r="M101" s="41">
        <f>_xlfn.XLOOKUP(L101,'relaties_export_2026-01-12_1609'!B:B,'relaties_export_2026-01-12_1609'!A:A,"",3)</f>
        <v>82</v>
      </c>
      <c r="N101" s="41" t="str">
        <f>_xlfn.XLOOKUP(M101,'relaties_export_2026-01-12_1609'!A:A,'relaties_export_2026-01-12_1609'!B:B,"",3)</f>
        <v>Crown Uitzendgroep</v>
      </c>
      <c r="O101" s="138" t="s">
        <v>3155</v>
      </c>
      <c r="P101" s="43">
        <f t="shared" si="33"/>
        <v>804.06</v>
      </c>
      <c r="Q101" s="43">
        <f t="shared" si="34"/>
        <v>3734.9504000000002</v>
      </c>
      <c r="R101" s="44">
        <f t="shared" si="35"/>
        <v>3426.56</v>
      </c>
      <c r="S101" s="45">
        <f t="shared" si="31"/>
        <v>131.79087060836201</v>
      </c>
      <c r="T101" s="45">
        <v>3426.56</v>
      </c>
      <c r="U101" s="46"/>
      <c r="V101" s="46">
        <v>0</v>
      </c>
      <c r="W101"/>
      <c r="X101" s="23"/>
      <c r="Y101" s="73" t="s">
        <v>3156</v>
      </c>
      <c r="Z101" s="47">
        <f>_xlfn.XLOOKUP(Y101,'relaties_export_2026-01-12_1609'!B:B,'relaties_export_2026-01-12_1609'!A:A,"",3)</f>
        <v>573</v>
      </c>
      <c r="AA101" s="47" t="str">
        <f>_xlfn.XLOOKUP(Z101,'relaties_export_2026-01-12_1609'!A:A,'relaties_export_2026-01-12_1609'!B:B,"",3)</f>
        <v>Risa Beheer B.V.</v>
      </c>
      <c r="AB101" s="106"/>
      <c r="AC101" s="43">
        <v>2622.5</v>
      </c>
      <c r="AD101" s="43">
        <v>2622.5</v>
      </c>
      <c r="AE101" s="43">
        <v>2500</v>
      </c>
      <c r="AF101" s="46">
        <f t="shared" si="32"/>
        <v>100.86546220420169</v>
      </c>
      <c r="AG101" s="49">
        <v>45033</v>
      </c>
      <c r="AH101" s="49">
        <v>45382</v>
      </c>
    </row>
    <row r="102" spans="1:53" s="29" customFormat="1" ht="17" thickBot="1" x14ac:dyDescent="0.25">
      <c r="A102" s="30"/>
      <c r="B102" s="31" t="str" cm="1">
        <f t="array" ref="B102">_xlfn.XLOOKUP(LEFT(D102,3),LEFT('[1]Sleutelplan nieuw'!B:B,3),'[1]Sleutelplan nieuw'!A:A,"",2)</f>
        <v>0391</v>
      </c>
      <c r="C102" s="32" t="s">
        <v>2824</v>
      </c>
      <c r="D102" s="59" t="s">
        <v>3157</v>
      </c>
      <c r="E102" s="60" t="s">
        <v>3158</v>
      </c>
      <c r="F102" s="76" t="s">
        <v>3159</v>
      </c>
      <c r="G102" s="77">
        <v>10</v>
      </c>
      <c r="H102" s="77">
        <v>5</v>
      </c>
      <c r="I102" s="139"/>
      <c r="J102" s="139"/>
      <c r="K102" s="139"/>
      <c r="L102" s="140"/>
      <c r="M102" s="41" t="str">
        <f>_xlfn.XLOOKUP(L102,'relaties_export_2026-01-12_1609'!B:B,'relaties_export_2026-01-12_1609'!A:A,"",3)</f>
        <v>id</v>
      </c>
      <c r="N102" s="41" t="str">
        <f>_xlfn.XLOOKUP(M102,'relaties_export_2026-01-12_1609'!A:A,'relaties_export_2026-01-12_1609'!B:B,"",3)</f>
        <v>naam</v>
      </c>
      <c r="O102" s="138"/>
      <c r="P102" s="43"/>
      <c r="Q102" s="43">
        <f t="shared" si="34"/>
        <v>6848.3065000000006</v>
      </c>
      <c r="R102" s="44">
        <f t="shared" si="35"/>
        <v>6282.85</v>
      </c>
      <c r="S102" s="45">
        <f t="shared" si="31"/>
        <v>144.98895768381362</v>
      </c>
      <c r="T102" s="45">
        <v>6282.85</v>
      </c>
      <c r="U102" s="46">
        <v>0</v>
      </c>
      <c r="V102" s="46"/>
      <c r="W102"/>
      <c r="X102" s="23"/>
      <c r="Y102" s="73" t="s">
        <v>1600</v>
      </c>
      <c r="Z102" s="47">
        <f>_xlfn.XLOOKUP(Y102,'relaties_export_2026-01-12_1609'!B:B,'relaties_export_2026-01-12_1609'!A:A,"",3)</f>
        <v>375</v>
      </c>
      <c r="AA102" s="47" t="str">
        <f>_xlfn.XLOOKUP(Z102,'relaties_export_2026-01-12_1609'!A:A,'relaties_export_2026-01-12_1609'!B:B,"",3)</f>
        <v>B. van Abeelen</v>
      </c>
      <c r="AB102" s="34" t="s">
        <v>3160</v>
      </c>
      <c r="AC102" s="43">
        <f>AD102*1.21</f>
        <v>7602.2485000000006</v>
      </c>
      <c r="AD102" s="48">
        <v>6282.85</v>
      </c>
      <c r="AE102" s="48">
        <v>6282.85</v>
      </c>
      <c r="AF102" s="70">
        <f t="shared" si="32"/>
        <v>144.98895768381362</v>
      </c>
      <c r="AG102" s="49">
        <v>46023</v>
      </c>
      <c r="AH102" s="49">
        <v>46387</v>
      </c>
    </row>
    <row r="103" spans="1:53" s="29" customFormat="1" ht="17" thickBot="1" x14ac:dyDescent="0.25">
      <c r="A103" s="30">
        <v>96</v>
      </c>
      <c r="B103" s="31" t="str">
        <f>_xlfn.XLOOKUP(D103,'[1]Sleutelplan nieuw'!B:B,'[1]Sleutelplan nieuw'!A:A,"",2)</f>
        <v>0039</v>
      </c>
      <c r="C103" s="32" t="s">
        <v>2831</v>
      </c>
      <c r="D103" s="59" t="s">
        <v>3161</v>
      </c>
      <c r="E103" s="60" t="s">
        <v>3162</v>
      </c>
      <c r="F103" s="76" t="s">
        <v>3086</v>
      </c>
      <c r="G103" s="77">
        <v>4</v>
      </c>
      <c r="H103" s="77">
        <v>4</v>
      </c>
      <c r="I103" s="78">
        <v>45734</v>
      </c>
      <c r="J103" s="78">
        <v>45918</v>
      </c>
      <c r="K103" s="117"/>
      <c r="L103" s="83" t="s">
        <v>3163</v>
      </c>
      <c r="M103" s="41">
        <f>_xlfn.XLOOKUP(L103,'relaties_export_2026-01-12_1609'!B:B,'relaties_export_2026-01-12_1609'!A:A,"",3)</f>
        <v>329</v>
      </c>
      <c r="N103" s="41" t="str">
        <f>_xlfn.XLOOKUP(M103,'relaties_export_2026-01-12_1609'!A:A,'relaties_export_2026-01-12_1609'!B:B,"",3)</f>
        <v>RNDV Industries</v>
      </c>
      <c r="O103" s="42"/>
      <c r="P103" s="43">
        <f t="shared" ref="P103:P159" si="36">R103-U103-V103-AD103</f>
        <v>875</v>
      </c>
      <c r="Q103" s="43">
        <f t="shared" si="34"/>
        <v>2891.25</v>
      </c>
      <c r="R103" s="44">
        <f t="shared" si="35"/>
        <v>2625</v>
      </c>
      <c r="S103" s="45">
        <f t="shared" si="31"/>
        <v>151.44242418648014</v>
      </c>
      <c r="T103" s="45">
        <v>2375</v>
      </c>
      <c r="U103" s="46">
        <v>250</v>
      </c>
      <c r="V103" s="46"/>
      <c r="W103"/>
      <c r="X103" s="23"/>
      <c r="Y103" s="73" t="s">
        <v>2389</v>
      </c>
      <c r="Z103" s="47">
        <f>_xlfn.XLOOKUP(Y103,'relaties_export_2026-01-12_1609'!B:B,'relaties_export_2026-01-12_1609'!A:A,"",3)</f>
        <v>644</v>
      </c>
      <c r="AA103" s="47" t="str">
        <f>_xlfn.XLOOKUP(Z103,'relaties_export_2026-01-12_1609'!A:A,'relaties_export_2026-01-12_1609'!B:B,"",3)</f>
        <v>J.G. van Pieterson</v>
      </c>
      <c r="AB103" s="34" t="s">
        <v>3164</v>
      </c>
      <c r="AC103" s="43">
        <v>1500</v>
      </c>
      <c r="AD103" s="48">
        <v>1500</v>
      </c>
      <c r="AE103" s="48">
        <v>1500</v>
      </c>
      <c r="AF103" s="70">
        <f t="shared" si="32"/>
        <v>86.538528106560079</v>
      </c>
      <c r="AG103" s="49">
        <v>45536</v>
      </c>
      <c r="AH103" s="49">
        <v>46265</v>
      </c>
    </row>
    <row r="104" spans="1:53" s="29" customFormat="1" ht="17" thickBot="1" x14ac:dyDescent="0.25">
      <c r="A104" s="30"/>
      <c r="B104" s="31" t="str">
        <f>_xlfn.XLOOKUP(D104,'[1]Sleutelplan nieuw'!B:B,'[1]Sleutelplan nieuw'!A:A,"",2)</f>
        <v>0187</v>
      </c>
      <c r="C104" s="32" t="s">
        <v>2824</v>
      </c>
      <c r="D104" s="59" t="s">
        <v>3165</v>
      </c>
      <c r="E104" s="60" t="s">
        <v>3166</v>
      </c>
      <c r="F104" s="76" t="s">
        <v>2040</v>
      </c>
      <c r="G104" s="77"/>
      <c r="H104" s="77"/>
      <c r="I104" s="78"/>
      <c r="J104" s="78"/>
      <c r="K104" s="117"/>
      <c r="L104" s="83" t="s">
        <v>2672</v>
      </c>
      <c r="M104" s="41">
        <f>_xlfn.XLOOKUP(L104,'relaties_export_2026-01-12_1609'!B:B,'relaties_export_2026-01-12_1609'!A:A,"",3)</f>
        <v>17</v>
      </c>
      <c r="N104" s="41" t="str">
        <f>_xlfn.XLOOKUP(M104,'relaties_export_2026-01-12_1609'!A:A,'relaties_export_2026-01-12_1609'!B:B,"",3)</f>
        <v>Tradiro Services B.V.</v>
      </c>
      <c r="O104" s="42"/>
      <c r="P104" s="43"/>
      <c r="Q104" s="43"/>
      <c r="R104" s="44"/>
      <c r="S104" s="45"/>
      <c r="T104" s="45"/>
      <c r="U104" s="46"/>
      <c r="V104" s="46"/>
      <c r="W104"/>
      <c r="X104" s="23"/>
      <c r="Y104" s="73" t="s">
        <v>3167</v>
      </c>
      <c r="Z104" s="47" t="str">
        <f>_xlfn.XLOOKUP(Y104,'relaties_export_2026-01-12_1609'!B:B,'relaties_export_2026-01-12_1609'!A:A,"",3)</f>
        <v/>
      </c>
      <c r="AA104" s="47" t="str">
        <f>_xlfn.XLOOKUP(Z104,'relaties_export_2026-01-12_1609'!A:A,'relaties_export_2026-01-12_1609'!B:B,"",3)</f>
        <v>naam</v>
      </c>
      <c r="AB104" s="34"/>
      <c r="AC104" s="48">
        <v>989.88</v>
      </c>
      <c r="AD104" s="48">
        <v>989.88</v>
      </c>
      <c r="AE104" s="48">
        <v>989.88</v>
      </c>
      <c r="AF104" s="70"/>
      <c r="AG104" s="49"/>
      <c r="AH104" s="49"/>
    </row>
    <row r="105" spans="1:53" s="29" customFormat="1" ht="17" thickBot="1" x14ac:dyDescent="0.25">
      <c r="A105" s="30"/>
      <c r="B105" s="31" t="str">
        <f>_xlfn.XLOOKUP(D105,'[1]Sleutelplan nieuw'!B:B,'[1]Sleutelplan nieuw'!A:A,"",2)</f>
        <v>0188</v>
      </c>
      <c r="C105" s="32" t="s">
        <v>2824</v>
      </c>
      <c r="D105" s="59" t="s">
        <v>3168</v>
      </c>
      <c r="E105" s="60" t="s">
        <v>3166</v>
      </c>
      <c r="F105" s="76" t="s">
        <v>2040</v>
      </c>
      <c r="G105" s="77"/>
      <c r="H105" s="77"/>
      <c r="I105" s="78"/>
      <c r="J105" s="78"/>
      <c r="K105" s="117"/>
      <c r="L105" s="83" t="s">
        <v>2672</v>
      </c>
      <c r="M105" s="41">
        <f>_xlfn.XLOOKUP(L105,'relaties_export_2026-01-12_1609'!B:B,'relaties_export_2026-01-12_1609'!A:A,"",3)</f>
        <v>17</v>
      </c>
      <c r="N105" s="41" t="str">
        <f>_xlfn.XLOOKUP(M105,'relaties_export_2026-01-12_1609'!A:A,'relaties_export_2026-01-12_1609'!B:B,"",3)</f>
        <v>Tradiro Services B.V.</v>
      </c>
      <c r="O105" s="42"/>
      <c r="P105" s="43"/>
      <c r="Q105" s="43"/>
      <c r="R105" s="44"/>
      <c r="S105" s="45"/>
      <c r="T105" s="45"/>
      <c r="U105" s="46"/>
      <c r="V105" s="46"/>
      <c r="W105"/>
      <c r="X105" s="23"/>
      <c r="Y105" s="73" t="s">
        <v>3167</v>
      </c>
      <c r="Z105" s="47" t="str">
        <f>_xlfn.XLOOKUP(Y105,'relaties_export_2026-01-12_1609'!B:B,'relaties_export_2026-01-12_1609'!A:A,"",3)</f>
        <v/>
      </c>
      <c r="AA105" s="47" t="str">
        <f>_xlfn.XLOOKUP(Z105,'relaties_export_2026-01-12_1609'!A:A,'relaties_export_2026-01-12_1609'!B:B,"",3)</f>
        <v>naam</v>
      </c>
      <c r="AB105" s="34"/>
      <c r="AC105" s="48">
        <v>989.88</v>
      </c>
      <c r="AD105" s="48">
        <v>989.88</v>
      </c>
      <c r="AE105" s="48">
        <v>989.88</v>
      </c>
      <c r="AF105" s="70"/>
      <c r="AG105" s="49"/>
      <c r="AH105" s="49"/>
    </row>
    <row r="106" spans="1:53" s="29" customFormat="1" ht="17" thickBot="1" x14ac:dyDescent="0.25">
      <c r="A106" s="30">
        <v>98</v>
      </c>
      <c r="B106" s="31" t="str">
        <f>_xlfn.XLOOKUP(D106,'[1]Sleutelplan nieuw'!B:B,'[1]Sleutelplan nieuw'!A:A,"",2)</f>
        <v>0087</v>
      </c>
      <c r="C106" s="32" t="s">
        <v>2824</v>
      </c>
      <c r="D106" s="59" t="s">
        <v>3169</v>
      </c>
      <c r="E106" s="60" t="s">
        <v>3170</v>
      </c>
      <c r="F106" s="76" t="s">
        <v>3171</v>
      </c>
      <c r="G106" s="77">
        <v>6</v>
      </c>
      <c r="H106" s="77">
        <v>4</v>
      </c>
      <c r="I106" s="78">
        <v>45933</v>
      </c>
      <c r="J106" s="78">
        <v>46297</v>
      </c>
      <c r="K106" s="89"/>
      <c r="L106" t="s">
        <v>635</v>
      </c>
      <c r="M106" s="41">
        <f>_xlfn.XLOOKUP(L106,'relaties_export_2026-01-12_1609'!B:B,'relaties_export_2026-01-12_1609'!A:A,"",3)</f>
        <v>136</v>
      </c>
      <c r="N106" s="41" t="str">
        <f>_xlfn.XLOOKUP(M106,'relaties_export_2026-01-12_1609'!A:A,'relaties_export_2026-01-12_1609'!B:B,"",3)</f>
        <v>H.T.C. Facility Services B.V.</v>
      </c>
      <c r="O106" s="42"/>
      <c r="P106" s="43">
        <f t="shared" si="36"/>
        <v>803.65000000000009</v>
      </c>
      <c r="Q106" s="43">
        <f t="shared" ref="Q106:Q112" si="37">T106*1.09+U106*1.21</f>
        <v>3966.0000000000005</v>
      </c>
      <c r="R106" s="44">
        <f>T106+U106</f>
        <v>3600</v>
      </c>
      <c r="S106" s="45">
        <f t="shared" ref="S106:S124" si="38">(R106/G106)/4.33333</f>
        <v>138.46164497049614</v>
      </c>
      <c r="T106" s="45">
        <v>3250</v>
      </c>
      <c r="U106" s="46">
        <v>350</v>
      </c>
      <c r="V106" s="46">
        <v>0</v>
      </c>
      <c r="W106"/>
      <c r="X106" s="23"/>
      <c r="Y106" t="s">
        <v>2705</v>
      </c>
      <c r="Z106" s="47">
        <f>_xlfn.XLOOKUP(Y106,'relaties_export_2026-01-12_1609'!B:B,'relaties_export_2026-01-12_1609'!A:A,"",2)</f>
        <v>824</v>
      </c>
      <c r="AA106" s="47" t="str">
        <f>_xlfn.XLOOKUP(Z106,'relaties_export_2026-01-12_1609'!A:A,'relaties_export_2026-01-12_1609'!B:B,"",3)</f>
        <v>Vivir wonen (Mendy)</v>
      </c>
      <c r="AB106" s="34" t="s">
        <v>2846</v>
      </c>
      <c r="AC106" s="48">
        <v>2446.35</v>
      </c>
      <c r="AD106" s="48">
        <v>2446.35</v>
      </c>
      <c r="AE106" s="48">
        <v>2446.35</v>
      </c>
      <c r="AF106" s="70">
        <f t="shared" ref="AF106:AF159" si="39">(AD106/G106)/4.33333</f>
        <v>94.090456992659213</v>
      </c>
      <c r="AG106" s="49">
        <v>45420</v>
      </c>
      <c r="AH106" s="49">
        <v>45784</v>
      </c>
    </row>
    <row r="107" spans="1:53" s="29" customFormat="1" ht="17" thickBot="1" x14ac:dyDescent="0.25">
      <c r="A107" s="30">
        <v>99</v>
      </c>
      <c r="B107" s="31" t="str" cm="1">
        <f t="array" ref="B107">_xlfn.XLOOKUP(LEFT(D107,3),LEFT('[1]Sleutelplan nieuw'!B:B,3),'[1]Sleutelplan nieuw'!A:A,"",2)</f>
        <v>0146</v>
      </c>
      <c r="C107" s="32" t="s">
        <v>2831</v>
      </c>
      <c r="D107" s="59" t="s">
        <v>3172</v>
      </c>
      <c r="E107" s="60" t="s">
        <v>3173</v>
      </c>
      <c r="F107" s="76" t="s">
        <v>1228</v>
      </c>
      <c r="G107" s="77">
        <v>5</v>
      </c>
      <c r="H107" s="77">
        <v>5</v>
      </c>
      <c r="I107" s="78">
        <v>45778</v>
      </c>
      <c r="J107" s="78">
        <v>45960</v>
      </c>
      <c r="K107" s="89"/>
      <c r="L107" s="83" t="s">
        <v>3174</v>
      </c>
      <c r="M107" s="41">
        <f>_xlfn.XLOOKUP(L107,'relaties_export_2026-01-12_1609'!B:B,'relaties_export_2026-01-12_1609'!A:A,"",3)</f>
        <v>30</v>
      </c>
      <c r="N107" s="41" t="str">
        <f>_xlfn.XLOOKUP(M107,'relaties_export_2026-01-12_1609'!A:A,'relaties_export_2026-01-12_1609'!B:B,"",3)</f>
        <v>Team Home Rentals B.V.</v>
      </c>
      <c r="O107" s="42"/>
      <c r="P107" s="43">
        <f t="shared" si="36"/>
        <v>402.61999999999989</v>
      </c>
      <c r="Q107" s="43">
        <f t="shared" si="37"/>
        <v>3496.7500000000005</v>
      </c>
      <c r="R107" s="44">
        <f>T107+U107+V107</f>
        <v>3175</v>
      </c>
      <c r="S107" s="45">
        <f t="shared" si="38"/>
        <v>146.53857426044175</v>
      </c>
      <c r="T107" s="45">
        <v>2875</v>
      </c>
      <c r="U107" s="123">
        <v>300</v>
      </c>
      <c r="V107" s="46"/>
      <c r="W107"/>
      <c r="X107" s="23"/>
      <c r="Y107" s="73" t="s">
        <v>2729</v>
      </c>
      <c r="Z107" s="47">
        <f>_xlfn.XLOOKUP(Y107,'relaties_export_2026-01-12_1609'!B:B,'relaties_export_2026-01-12_1609'!A:A,"",3)</f>
        <v>848</v>
      </c>
      <c r="AA107" s="47" t="str">
        <f>_xlfn.XLOOKUP(Z107,'relaties_export_2026-01-12_1609'!A:A,'relaties_export_2026-01-12_1609'!B:B,"",3)</f>
        <v>R. Bouius</v>
      </c>
      <c r="AB107" s="34" t="s">
        <v>3175</v>
      </c>
      <c r="AC107" s="48">
        <v>2472.38</v>
      </c>
      <c r="AD107" s="48">
        <v>2472.38</v>
      </c>
      <c r="AE107" s="48">
        <v>2472.38</v>
      </c>
      <c r="AF107" s="70">
        <f t="shared" si="39"/>
        <v>114.1099339307184</v>
      </c>
      <c r="AG107" s="49">
        <v>45292</v>
      </c>
      <c r="AH107" s="49">
        <v>46387</v>
      </c>
    </row>
    <row r="108" spans="1:53" s="29" customFormat="1" ht="17" thickBot="1" x14ac:dyDescent="0.25">
      <c r="A108" s="30">
        <v>100</v>
      </c>
      <c r="B108" s="31" t="str">
        <f>_xlfn.XLOOKUP(D108,'[1]Sleutelplan nieuw'!B:B,'[1]Sleutelplan nieuw'!A:A,"",2)</f>
        <v>0082</v>
      </c>
      <c r="C108" s="32" t="s">
        <v>2824</v>
      </c>
      <c r="D108" s="59" t="s">
        <v>3176</v>
      </c>
      <c r="E108" s="60" t="s">
        <v>3177</v>
      </c>
      <c r="F108" s="76" t="s">
        <v>94</v>
      </c>
      <c r="G108" s="77">
        <v>6</v>
      </c>
      <c r="H108" s="77">
        <v>6</v>
      </c>
      <c r="I108" s="78">
        <v>45735</v>
      </c>
      <c r="J108" s="78">
        <v>46022</v>
      </c>
      <c r="K108" s="78" t="s">
        <v>2845</v>
      </c>
      <c r="L108" s="83" t="s">
        <v>2827</v>
      </c>
      <c r="M108" s="41">
        <f>_xlfn.XLOOKUP(L108,'relaties_export_2026-01-12_1609'!B:B,'relaties_export_2026-01-12_1609'!A:A,"",3)</f>
        <v>23</v>
      </c>
      <c r="N108" s="41" t="str">
        <f>_xlfn.XLOOKUP(M108,'relaties_export_2026-01-12_1609'!A:A,'relaties_export_2026-01-12_1609'!B:B,"",3)</f>
        <v>S. Bakker OPH Verhuur</v>
      </c>
      <c r="O108" s="42"/>
      <c r="P108" s="43">
        <f t="shared" si="36"/>
        <v>150.07999999999993</v>
      </c>
      <c r="Q108" s="43">
        <f t="shared" si="37"/>
        <v>4892.5</v>
      </c>
      <c r="R108" s="44">
        <f>T108+U108</f>
        <v>4450</v>
      </c>
      <c r="S108" s="45">
        <f t="shared" si="38"/>
        <v>171.15397781075214</v>
      </c>
      <c r="T108" s="45">
        <v>4100</v>
      </c>
      <c r="U108" s="46">
        <v>350</v>
      </c>
      <c r="V108" s="46">
        <v>0</v>
      </c>
      <c r="W108"/>
      <c r="X108" s="23"/>
      <c r="Y108" t="s">
        <v>2705</v>
      </c>
      <c r="Z108" s="47">
        <f>_xlfn.XLOOKUP(Y108,'relaties_export_2026-01-12_1609'!B:B,'relaties_export_2026-01-12_1609'!A:A,"",2)</f>
        <v>824</v>
      </c>
      <c r="AA108" s="47" t="str">
        <f>_xlfn.XLOOKUP(Z108,'relaties_export_2026-01-12_1609'!A:A,'relaties_export_2026-01-12_1609'!B:B,"",3)</f>
        <v>Vivir wonen (Mendy)</v>
      </c>
      <c r="AB108" s="46" t="s">
        <v>2846</v>
      </c>
      <c r="AC108" s="46">
        <v>3949.92</v>
      </c>
      <c r="AD108" s="46">
        <v>3949.92</v>
      </c>
      <c r="AE108" s="46">
        <v>3949.92</v>
      </c>
      <c r="AF108" s="46">
        <f t="shared" si="39"/>
        <v>151.92011686162837</v>
      </c>
      <c r="AG108" s="49">
        <v>45012</v>
      </c>
      <c r="AH108" s="49">
        <v>45377</v>
      </c>
      <c r="AI108"/>
      <c r="AJ108"/>
      <c r="AK108" s="80"/>
      <c r="AL108" s="80"/>
      <c r="AO108" s="34"/>
      <c r="AP108" s="34"/>
      <c r="AQ108" s="58"/>
      <c r="AR108"/>
      <c r="AS108"/>
      <c r="AT108" s="80"/>
      <c r="AU108" s="80"/>
      <c r="AW108" s="34"/>
      <c r="AX108" s="116"/>
      <c r="AY108" s="82"/>
      <c r="BA108" s="96"/>
    </row>
    <row r="109" spans="1:53" s="29" customFormat="1" ht="17" thickBot="1" x14ac:dyDescent="0.25">
      <c r="A109" s="30"/>
      <c r="B109" s="31" t="str">
        <f>_xlfn.XLOOKUP(D109,'[1]Sleutelplan nieuw'!B:B,'[1]Sleutelplan nieuw'!A:A,"",2)</f>
        <v>0193</v>
      </c>
      <c r="C109" s="32" t="s">
        <v>2824</v>
      </c>
      <c r="D109" s="59" t="s">
        <v>3178</v>
      </c>
      <c r="E109" s="60" t="s">
        <v>3179</v>
      </c>
      <c r="F109" s="76" t="s">
        <v>84</v>
      </c>
      <c r="G109" s="77">
        <v>4</v>
      </c>
      <c r="H109" s="77">
        <v>2</v>
      </c>
      <c r="I109" s="78">
        <v>46003</v>
      </c>
      <c r="J109" s="78">
        <v>46367</v>
      </c>
      <c r="K109" s="78"/>
      <c r="L109" t="s">
        <v>1077</v>
      </c>
      <c r="M109" s="41">
        <f>_xlfn.XLOOKUP(L109,'relaties_export_2026-01-12_1609'!B:B,'relaties_export_2026-01-12_1609'!A:A,"",3)</f>
        <v>234</v>
      </c>
      <c r="N109" s="41" t="str">
        <f>_xlfn.XLOOKUP(M109,'relaties_export_2026-01-12_1609'!A:A,'relaties_export_2026-01-12_1609'!B:B,"",3)</f>
        <v>Labour Housing BV</v>
      </c>
      <c r="O109" s="120" t="s">
        <v>3180</v>
      </c>
      <c r="P109" s="43">
        <f>R109-U109-V109-AD109</f>
        <v>949.47</v>
      </c>
      <c r="Q109" s="43">
        <f t="shared" si="37"/>
        <v>2864</v>
      </c>
      <c r="R109" s="44">
        <f>T109+U109</f>
        <v>2600</v>
      </c>
      <c r="S109" s="45">
        <f t="shared" si="38"/>
        <v>150.00011538470415</v>
      </c>
      <c r="T109" s="45">
        <v>2350</v>
      </c>
      <c r="U109" s="46">
        <v>250</v>
      </c>
      <c r="V109" s="46"/>
      <c r="W109"/>
      <c r="X109" s="23"/>
      <c r="Y109" s="56" t="s">
        <v>3181</v>
      </c>
      <c r="Z109" s="47">
        <v>300</v>
      </c>
      <c r="AA109" s="47" t="str">
        <f>_xlfn.XLOOKUP(Z109,'relaties_export_2026-01-12_1609'!A:A,'relaties_export_2026-01-12_1609'!B:B,"",3)</f>
        <v>JES Funding &amp; Beheer B.V.</v>
      </c>
      <c r="AB109" s="69" t="s">
        <v>3182</v>
      </c>
      <c r="AC109" s="46">
        <v>1400.53</v>
      </c>
      <c r="AD109" s="46">
        <v>1400.53</v>
      </c>
      <c r="AE109" s="46">
        <v>1400.53</v>
      </c>
      <c r="AF109" s="46">
        <f t="shared" si="39"/>
        <v>80.799869846053724</v>
      </c>
      <c r="AG109" s="49"/>
      <c r="AH109" s="49"/>
      <c r="AI109"/>
      <c r="AJ109"/>
      <c r="AK109" s="80"/>
      <c r="AL109" s="80"/>
      <c r="AO109" s="34"/>
      <c r="AP109" s="34"/>
      <c r="AQ109" s="58"/>
      <c r="AR109"/>
      <c r="AS109"/>
      <c r="AT109" s="80"/>
      <c r="AU109" s="80"/>
      <c r="AW109" s="34"/>
      <c r="AX109" s="116"/>
      <c r="AY109" s="82"/>
      <c r="BA109" s="96"/>
    </row>
    <row r="110" spans="1:53" s="29" customFormat="1" ht="17" thickBot="1" x14ac:dyDescent="0.25">
      <c r="A110" s="30">
        <v>101</v>
      </c>
      <c r="B110" s="31" t="str">
        <f>_xlfn.XLOOKUP(D110,'[1]Sleutelplan nieuw'!B:B,'[1]Sleutelplan nieuw'!A:A,"",2)</f>
        <v>0159</v>
      </c>
      <c r="C110" s="32" t="s">
        <v>2824</v>
      </c>
      <c r="D110" s="59" t="s">
        <v>3183</v>
      </c>
      <c r="E110" s="141" t="s">
        <v>3184</v>
      </c>
      <c r="F110" s="76" t="s">
        <v>3185</v>
      </c>
      <c r="G110" s="77">
        <v>4</v>
      </c>
      <c r="H110" s="77">
        <v>3</v>
      </c>
      <c r="I110" s="78">
        <v>45798</v>
      </c>
      <c r="J110" s="78">
        <v>46101</v>
      </c>
      <c r="K110" s="78" t="s">
        <v>2845</v>
      </c>
      <c r="L110" s="114" t="s">
        <v>3186</v>
      </c>
      <c r="M110" s="219">
        <v>336</v>
      </c>
      <c r="N110" s="41" t="str">
        <f>_xlfn.XLOOKUP(M110,'relaties_export_2026-01-12_1609'!A:A,'relaties_export_2026-01-12_1609'!B:B,"",3)</f>
        <v>PRP Solutions Flex Sp. Z.O.O</v>
      </c>
      <c r="O110" s="42"/>
      <c r="P110" s="43">
        <f t="shared" si="36"/>
        <v>268.19000000000005</v>
      </c>
      <c r="Q110" s="43">
        <f t="shared" si="37"/>
        <v>3027.5</v>
      </c>
      <c r="R110" s="44">
        <f>T110+U110</f>
        <v>2750</v>
      </c>
      <c r="S110" s="45">
        <f t="shared" si="38"/>
        <v>158.65396819536014</v>
      </c>
      <c r="T110" s="45">
        <v>2500</v>
      </c>
      <c r="U110" s="46">
        <v>250</v>
      </c>
      <c r="V110" s="46">
        <v>0</v>
      </c>
      <c r="W110"/>
      <c r="X110" s="23"/>
      <c r="Y110" s="56" t="s">
        <v>2695</v>
      </c>
      <c r="Z110" s="47">
        <f>_xlfn.XLOOKUP(Y110,'relaties_export_2026-01-12_1609'!B:B,'relaties_export_2026-01-12_1609'!A:A,"",3)</f>
        <v>542</v>
      </c>
      <c r="AA110" s="47" t="str">
        <f>_xlfn.XLOOKUP(Z110,'relaties_export_2026-01-12_1609'!A:A,'relaties_export_2026-01-12_1609'!B:B,"",3)</f>
        <v>Hopmans Flexstay</v>
      </c>
      <c r="AB110" s="46" t="s">
        <v>3187</v>
      </c>
      <c r="AC110" s="46">
        <v>2640.64</v>
      </c>
      <c r="AD110" s="46">
        <v>2231.81</v>
      </c>
      <c r="AE110" s="46">
        <v>1946.81</v>
      </c>
      <c r="AF110" s="46">
        <f t="shared" si="39"/>
        <v>128.75836827566789</v>
      </c>
      <c r="AG110" s="49"/>
      <c r="AH110" s="49"/>
      <c r="AK110" s="81"/>
      <c r="AL110" s="81"/>
      <c r="AO110" s="34"/>
      <c r="AQ110" s="58"/>
      <c r="AT110" s="81"/>
      <c r="AU110" s="81"/>
      <c r="AY110" s="82"/>
    </row>
    <row r="111" spans="1:53" s="29" customFormat="1" ht="17" thickBot="1" x14ac:dyDescent="0.25">
      <c r="A111" s="30"/>
      <c r="B111" s="31"/>
      <c r="C111" s="32" t="s">
        <v>2831</v>
      </c>
      <c r="D111" s="59" t="s">
        <v>3188</v>
      </c>
      <c r="E111" s="141"/>
      <c r="F111" s="76" t="s">
        <v>1303</v>
      </c>
      <c r="G111" s="77"/>
      <c r="H111" s="77"/>
      <c r="I111" s="78"/>
      <c r="J111" s="78"/>
      <c r="K111" s="78"/>
      <c r="L111" s="114" t="s">
        <v>2672</v>
      </c>
      <c r="M111" s="41">
        <f>_xlfn.XLOOKUP(L111,'relaties_export_2026-01-12_1609'!B:B,'relaties_export_2026-01-12_1609'!A:A,"",3)</f>
        <v>17</v>
      </c>
      <c r="N111" s="41" t="str">
        <f>_xlfn.XLOOKUP(M111,'relaties_export_2026-01-12_1609'!A:A,'relaties_export_2026-01-12_1609'!B:B,"",3)</f>
        <v>Tradiro Services B.V.</v>
      </c>
      <c r="O111" s="42"/>
      <c r="P111" s="43"/>
      <c r="Q111" s="43"/>
      <c r="R111" s="44"/>
      <c r="S111" s="45"/>
      <c r="T111" s="45"/>
      <c r="U111" s="46"/>
      <c r="V111" s="46"/>
      <c r="W111"/>
      <c r="X111" s="23"/>
      <c r="Y111" s="56" t="s">
        <v>3189</v>
      </c>
      <c r="Z111" s="47" t="str">
        <f>_xlfn.XLOOKUP(Y111,'relaties_export_2026-01-12_1609'!B:B,'relaties_export_2026-01-12_1609'!A:A,"",3)</f>
        <v/>
      </c>
      <c r="AA111" s="47" t="str">
        <f>_xlfn.XLOOKUP(Z111,'relaties_export_2026-01-12_1609'!A:A,'relaties_export_2026-01-12_1609'!B:B,"",3)</f>
        <v>naam</v>
      </c>
      <c r="AB111" s="69" t="s">
        <v>3190</v>
      </c>
      <c r="AC111" s="46">
        <v>1350</v>
      </c>
      <c r="AD111" s="46">
        <v>1350</v>
      </c>
      <c r="AE111" s="46">
        <v>1350</v>
      </c>
      <c r="AF111" s="46"/>
      <c r="AG111" s="49"/>
      <c r="AH111" s="49"/>
      <c r="AK111" s="81"/>
      <c r="AL111" s="81"/>
      <c r="AO111" s="34"/>
      <c r="AQ111" s="58"/>
      <c r="AT111" s="81"/>
      <c r="AU111" s="81"/>
      <c r="AY111" s="82"/>
    </row>
    <row r="112" spans="1:53" s="29" customFormat="1" ht="17" thickBot="1" x14ac:dyDescent="0.25">
      <c r="A112" s="30">
        <v>102</v>
      </c>
      <c r="B112" s="31" t="str">
        <f>_xlfn.XLOOKUP(D112,'[1]Sleutelplan nieuw'!B:B,'[1]Sleutelplan nieuw'!A:A,"",2)</f>
        <v>0084</v>
      </c>
      <c r="C112" s="32" t="s">
        <v>2824</v>
      </c>
      <c r="D112" s="59" t="s">
        <v>3191</v>
      </c>
      <c r="E112" s="60" t="s">
        <v>3192</v>
      </c>
      <c r="F112" s="76" t="s">
        <v>3193</v>
      </c>
      <c r="G112" s="77">
        <v>4</v>
      </c>
      <c r="H112" s="77">
        <v>2</v>
      </c>
      <c r="I112" s="78">
        <v>45583</v>
      </c>
      <c r="J112" s="78">
        <v>45948</v>
      </c>
      <c r="K112" s="78" t="s">
        <v>2845</v>
      </c>
      <c r="L112" s="83" t="s">
        <v>2672</v>
      </c>
      <c r="M112" s="41">
        <f>_xlfn.XLOOKUP(L112,'relaties_export_2026-01-12_1609'!B:B,'relaties_export_2026-01-12_1609'!A:A,"",3)</f>
        <v>17</v>
      </c>
      <c r="N112" s="41" t="str">
        <f>_xlfn.XLOOKUP(M112,'relaties_export_2026-01-12_1609'!A:A,'relaties_export_2026-01-12_1609'!B:B,"",3)</f>
        <v>Tradiro Services B.V.</v>
      </c>
      <c r="O112" s="42"/>
      <c r="P112" s="43">
        <f t="shared" si="36"/>
        <v>1052</v>
      </c>
      <c r="Q112" s="43">
        <f t="shared" si="37"/>
        <v>2452.5</v>
      </c>
      <c r="R112" s="44">
        <v>2250</v>
      </c>
      <c r="S112" s="45">
        <f t="shared" si="38"/>
        <v>129.80779215984012</v>
      </c>
      <c r="T112" s="45">
        <v>2250</v>
      </c>
      <c r="U112" s="46">
        <v>0</v>
      </c>
      <c r="V112" s="46">
        <v>0</v>
      </c>
      <c r="W112"/>
      <c r="X112" s="23"/>
      <c r="Y112" s="56" t="s">
        <v>228</v>
      </c>
      <c r="Z112" s="47">
        <f>_xlfn.XLOOKUP(Y112,'relaties_export_2026-01-12_1609'!B:B,'relaties_export_2026-01-12_1609'!A:A,"",3)</f>
        <v>43</v>
      </c>
      <c r="AA112" s="47" t="str">
        <f>_xlfn.XLOOKUP(Z112,'relaties_export_2026-01-12_1609'!A:A,'relaties_export_2026-01-12_1609'!B:B,"",3)</f>
        <v>De Pagter Vastgoed B.V.</v>
      </c>
      <c r="AB112" s="46" t="s">
        <v>3194</v>
      </c>
      <c r="AC112" s="46">
        <v>1198</v>
      </c>
      <c r="AD112" s="46">
        <v>1198</v>
      </c>
      <c r="AE112" s="46">
        <v>1198</v>
      </c>
      <c r="AF112" s="46">
        <f t="shared" si="39"/>
        <v>69.115437781105982</v>
      </c>
      <c r="AG112" s="49">
        <v>44047</v>
      </c>
      <c r="AH112" s="49">
        <v>44139</v>
      </c>
      <c r="AI112" t="s">
        <v>2997</v>
      </c>
      <c r="AJ112" t="s">
        <v>3082</v>
      </c>
      <c r="AK112" s="80">
        <v>44256</v>
      </c>
      <c r="AL112" s="80">
        <v>44347</v>
      </c>
      <c r="AM112" s="29" t="s">
        <v>2999</v>
      </c>
      <c r="AO112" s="34" t="s">
        <v>3195</v>
      </c>
      <c r="AP112" s="34"/>
      <c r="AQ112" s="58"/>
      <c r="AR112" s="29" t="s">
        <v>2997</v>
      </c>
      <c r="AS112" s="29" t="s">
        <v>3082</v>
      </c>
      <c r="AT112" s="81">
        <v>44256</v>
      </c>
      <c r="AU112" s="81">
        <v>44347</v>
      </c>
      <c r="AV112" s="29" t="s">
        <v>3081</v>
      </c>
      <c r="AW112" s="29" t="s">
        <v>3003</v>
      </c>
      <c r="AY112" s="82"/>
    </row>
    <row r="113" spans="1:58" s="29" customFormat="1" ht="17" thickBot="1" x14ac:dyDescent="0.25">
      <c r="A113" s="30">
        <v>103</v>
      </c>
      <c r="B113" s="64" t="s">
        <v>3196</v>
      </c>
      <c r="C113" s="32" t="s">
        <v>2824</v>
      </c>
      <c r="D113" s="59" t="s">
        <v>3197</v>
      </c>
      <c r="E113" s="60" t="s">
        <v>3198</v>
      </c>
      <c r="F113" s="87" t="s">
        <v>1350</v>
      </c>
      <c r="G113" s="77">
        <v>3</v>
      </c>
      <c r="H113" s="88">
        <v>3</v>
      </c>
      <c r="I113" s="89">
        <v>45821</v>
      </c>
      <c r="J113" s="89">
        <v>46185</v>
      </c>
      <c r="K113" s="89"/>
      <c r="L113" s="91" t="s">
        <v>2945</v>
      </c>
      <c r="M113" s="41">
        <f>_xlfn.XLOOKUP(L113,'relaties_export_2026-01-12_1609'!B:B,'relaties_export_2026-01-12_1609'!A:A,"",3)</f>
        <v>149</v>
      </c>
      <c r="N113" s="41" t="str">
        <f>_xlfn.XLOOKUP(M113,'relaties_export_2026-01-12_1609'!A:A,'relaties_export_2026-01-12_1609'!B:B,"",3)</f>
        <v>Werckpost Service B.V.</v>
      </c>
      <c r="O113" s="42"/>
      <c r="P113" s="43">
        <f t="shared" si="36"/>
        <v>155</v>
      </c>
      <c r="Q113" s="43">
        <f t="shared" ref="Q113:Q130" si="40">T113*1.09+U113*1.21+V113*1.21</f>
        <v>2313</v>
      </c>
      <c r="R113" s="44">
        <f>T113+U113+V113</f>
        <v>2100</v>
      </c>
      <c r="S113" s="45">
        <f t="shared" si="38"/>
        <v>161.53858579891215</v>
      </c>
      <c r="T113" s="142">
        <v>1900</v>
      </c>
      <c r="U113" s="46">
        <v>200</v>
      </c>
      <c r="V113" s="46"/>
      <c r="W113"/>
      <c r="X113" s="23"/>
      <c r="Y113" s="56" t="s">
        <v>2730</v>
      </c>
      <c r="Z113" s="47">
        <f>_xlfn.XLOOKUP(Y113,'relaties_export_2026-01-12_1609'!B:B,'relaties_export_2026-01-12_1609'!A:A,"",3)</f>
        <v>849</v>
      </c>
      <c r="AA113" s="47" t="str">
        <f>_xlfn.XLOOKUP(Z113,'relaties_export_2026-01-12_1609'!A:A,'relaties_export_2026-01-12_1609'!B:B,"",3)</f>
        <v>Chalet Park Holiday</v>
      </c>
      <c r="AB113" s="69" t="s">
        <v>3199</v>
      </c>
      <c r="AC113" s="46">
        <v>1932.05</v>
      </c>
      <c r="AD113" s="46">
        <v>1745</v>
      </c>
      <c r="AE113" s="143">
        <v>1495</v>
      </c>
      <c r="AF113" s="46">
        <f t="shared" si="39"/>
        <v>134.23087248528651</v>
      </c>
      <c r="AG113" s="49">
        <v>45583</v>
      </c>
      <c r="AH113" s="49"/>
      <c r="AI113"/>
      <c r="AJ113"/>
      <c r="AK113" s="80"/>
      <c r="AL113" s="80"/>
      <c r="AO113" s="34"/>
      <c r="AP113" s="34"/>
      <c r="AQ113" s="58"/>
      <c r="AT113" s="81"/>
      <c r="AU113" s="81"/>
      <c r="AY113" s="82"/>
    </row>
    <row r="114" spans="1:58" s="29" customFormat="1" ht="17" thickBot="1" x14ac:dyDescent="0.25">
      <c r="A114" s="30">
        <v>104</v>
      </c>
      <c r="B114" s="64" t="s">
        <v>3200</v>
      </c>
      <c r="C114" s="32" t="s">
        <v>2824</v>
      </c>
      <c r="D114" s="59" t="s">
        <v>3201</v>
      </c>
      <c r="E114" s="60" t="s">
        <v>3198</v>
      </c>
      <c r="F114" s="76" t="s">
        <v>1350</v>
      </c>
      <c r="G114" s="77">
        <v>3</v>
      </c>
      <c r="H114" s="77">
        <v>3</v>
      </c>
      <c r="I114" s="89">
        <v>45928</v>
      </c>
      <c r="J114" s="89">
        <v>46053</v>
      </c>
      <c r="K114" s="89"/>
      <c r="L114" s="83" t="s">
        <v>406</v>
      </c>
      <c r="M114" s="41">
        <f>_xlfn.XLOOKUP(L114,'relaties_export_2026-01-12_1609'!B:B,'relaties_export_2026-01-12_1609'!A:A,"",3)</f>
        <v>83</v>
      </c>
      <c r="N114" s="41" t="str">
        <f>_xlfn.XLOOKUP(M114,'relaties_export_2026-01-12_1609'!A:A,'relaties_export_2026-01-12_1609'!B:B,"",3)</f>
        <v>UAB Toromega</v>
      </c>
      <c r="O114" s="42"/>
      <c r="P114" s="43">
        <f t="shared" si="36"/>
        <v>105</v>
      </c>
      <c r="Q114" s="43">
        <f t="shared" si="40"/>
        <v>2258.5</v>
      </c>
      <c r="R114" s="44">
        <f>T114+U114+V114</f>
        <v>2050</v>
      </c>
      <c r="S114" s="45">
        <f t="shared" si="38"/>
        <v>157.69242899417614</v>
      </c>
      <c r="T114" s="45">
        <v>1850</v>
      </c>
      <c r="U114" s="46">
        <v>200</v>
      </c>
      <c r="V114" s="46"/>
      <c r="W114"/>
      <c r="X114" s="23"/>
      <c r="Y114" s="56" t="s">
        <v>2730</v>
      </c>
      <c r="Z114" s="47">
        <f>_xlfn.XLOOKUP(Y114,'relaties_export_2026-01-12_1609'!B:B,'relaties_export_2026-01-12_1609'!A:A,"",3)</f>
        <v>849</v>
      </c>
      <c r="AA114" s="47" t="str">
        <f>_xlfn.XLOOKUP(Z114,'relaties_export_2026-01-12_1609'!A:A,'relaties_export_2026-01-12_1609'!B:B,"",3)</f>
        <v>Chalet Park Holiday</v>
      </c>
      <c r="AB114" s="69" t="s">
        <v>3199</v>
      </c>
      <c r="AC114" s="46">
        <v>1932.05</v>
      </c>
      <c r="AD114" s="46">
        <v>1745</v>
      </c>
      <c r="AE114" s="143">
        <v>1495</v>
      </c>
      <c r="AF114" s="46">
        <f t="shared" si="39"/>
        <v>134.23087248528651</v>
      </c>
      <c r="AG114" s="49">
        <v>45536</v>
      </c>
      <c r="AH114" s="49">
        <v>46265</v>
      </c>
      <c r="AI114"/>
      <c r="AJ114"/>
      <c r="AK114" s="80"/>
      <c r="AL114" s="80"/>
      <c r="AO114" s="34"/>
      <c r="AP114" s="34"/>
      <c r="AQ114" s="58"/>
      <c r="AT114" s="81"/>
      <c r="AU114" s="81"/>
      <c r="AY114" s="82"/>
    </row>
    <row r="115" spans="1:58" s="29" customFormat="1" ht="17" thickBot="1" x14ac:dyDescent="0.25">
      <c r="A115" s="30">
        <v>105</v>
      </c>
      <c r="B115" s="64" t="s">
        <v>3202</v>
      </c>
      <c r="C115" s="32" t="s">
        <v>2824</v>
      </c>
      <c r="D115" s="59" t="s">
        <v>3203</v>
      </c>
      <c r="E115" s="60" t="s">
        <v>3198</v>
      </c>
      <c r="F115" s="76" t="s">
        <v>1350</v>
      </c>
      <c r="G115" s="77">
        <v>4</v>
      </c>
      <c r="H115" s="77">
        <v>4</v>
      </c>
      <c r="I115" s="78">
        <v>45520</v>
      </c>
      <c r="J115" s="78">
        <v>45884</v>
      </c>
      <c r="K115" s="78"/>
      <c r="L115" t="s">
        <v>1077</v>
      </c>
      <c r="M115" s="41">
        <f>_xlfn.XLOOKUP(L115,'relaties_export_2026-01-12_1609'!B:B,'relaties_export_2026-01-12_1609'!A:A,"",3)</f>
        <v>234</v>
      </c>
      <c r="N115" s="41" t="str">
        <f>_xlfn.XLOOKUP(M115,'relaties_export_2026-01-12_1609'!A:A,'relaties_export_2026-01-12_1609'!B:B,"",3)</f>
        <v>Labour Housing BV</v>
      </c>
      <c r="O115" s="42"/>
      <c r="P115" s="43">
        <f t="shared" si="36"/>
        <v>224.57000000000016</v>
      </c>
      <c r="Q115" s="43">
        <f t="shared" si="40"/>
        <v>3082</v>
      </c>
      <c r="R115" s="44">
        <f t="shared" ref="R115:R116" si="41">T115+U115+V115</f>
        <v>2800</v>
      </c>
      <c r="S115" s="45">
        <f t="shared" si="38"/>
        <v>161.53858579891215</v>
      </c>
      <c r="T115" s="45">
        <v>2550</v>
      </c>
      <c r="U115" s="46">
        <v>250</v>
      </c>
      <c r="V115" s="46"/>
      <c r="W115"/>
      <c r="X115" s="23"/>
      <c r="Y115" s="56" t="s">
        <v>2730</v>
      </c>
      <c r="Z115" s="47">
        <f>_xlfn.XLOOKUP(Y115,'relaties_export_2026-01-12_1609'!B:B,'relaties_export_2026-01-12_1609'!A:A,"",3)</f>
        <v>849</v>
      </c>
      <c r="AA115" s="47" t="str">
        <f>_xlfn.XLOOKUP(Z115,'relaties_export_2026-01-12_1609'!A:A,'relaties_export_2026-01-12_1609'!B:B,"",3)</f>
        <v>Chalet Park Holiday</v>
      </c>
      <c r="AB115" s="69" t="s">
        <v>3199</v>
      </c>
      <c r="AC115" s="46">
        <v>2534.7199999999998</v>
      </c>
      <c r="AD115" s="46">
        <v>2325.4299999999998</v>
      </c>
      <c r="AE115" s="143">
        <v>1992.4</v>
      </c>
      <c r="AF115" s="46">
        <f t="shared" si="39"/>
        <v>134.15952627655867</v>
      </c>
      <c r="AG115" s="49">
        <v>45520</v>
      </c>
      <c r="AH115" s="49">
        <v>46249</v>
      </c>
      <c r="AI115"/>
      <c r="AJ115"/>
      <c r="AK115" s="80"/>
      <c r="AL115" s="80"/>
      <c r="AO115" s="34"/>
      <c r="AP115" s="34"/>
      <c r="AQ115" s="58"/>
      <c r="AT115" s="81"/>
      <c r="AU115" s="81"/>
      <c r="AY115" s="82"/>
    </row>
    <row r="116" spans="1:58" s="29" customFormat="1" ht="17" thickBot="1" x14ac:dyDescent="0.25">
      <c r="A116" s="30">
        <v>106</v>
      </c>
      <c r="B116" s="64" t="s">
        <v>3204</v>
      </c>
      <c r="C116" s="32" t="s">
        <v>2824</v>
      </c>
      <c r="D116" s="59" t="s">
        <v>3205</v>
      </c>
      <c r="E116" s="141" t="s">
        <v>3198</v>
      </c>
      <c r="F116" s="76" t="s">
        <v>1350</v>
      </c>
      <c r="G116" s="77">
        <v>4</v>
      </c>
      <c r="H116" s="77">
        <v>2</v>
      </c>
      <c r="I116" s="78">
        <v>45928</v>
      </c>
      <c r="J116" s="78">
        <v>46053</v>
      </c>
      <c r="K116" s="78"/>
      <c r="L116" s="83" t="s">
        <v>406</v>
      </c>
      <c r="M116" s="41">
        <f>_xlfn.XLOOKUP(L116,'relaties_export_2026-01-12_1609'!B:B,'relaties_export_2026-01-12_1609'!A:A,"",3)</f>
        <v>83</v>
      </c>
      <c r="N116" s="41" t="str">
        <f>_xlfn.XLOOKUP(M116,'relaties_export_2026-01-12_1609'!A:A,'relaties_export_2026-01-12_1609'!B:B,"",3)</f>
        <v>UAB Toromega</v>
      </c>
      <c r="O116" s="42"/>
      <c r="P116" s="43">
        <f t="shared" si="36"/>
        <v>326.09999999999991</v>
      </c>
      <c r="Q116" s="43">
        <f t="shared" si="40"/>
        <v>2782.25</v>
      </c>
      <c r="R116" s="44">
        <f t="shared" si="41"/>
        <v>2525</v>
      </c>
      <c r="S116" s="45">
        <f t="shared" si="38"/>
        <v>145.67318897937614</v>
      </c>
      <c r="T116" s="45">
        <v>2275</v>
      </c>
      <c r="U116" s="46">
        <v>250</v>
      </c>
      <c r="V116" s="46"/>
      <c r="W116"/>
      <c r="X116" s="23"/>
      <c r="Y116" s="56" t="s">
        <v>2664</v>
      </c>
      <c r="Z116" s="47">
        <f>_xlfn.XLOOKUP(Y116,'relaties_export_2026-01-12_1609'!B:B,'relaties_export_2026-01-12_1609'!A:A,"",3)</f>
        <v>766</v>
      </c>
      <c r="AA116" s="47" t="str">
        <f>_xlfn.XLOOKUP(Z116,'relaties_export_2026-01-12_1609'!A:A,'relaties_export_2026-01-12_1609'!B:B,"",3)</f>
        <v>C. van Driel e/o B.M. Verdouw</v>
      </c>
      <c r="AB116" s="46" t="s">
        <v>2862</v>
      </c>
      <c r="AC116" s="46">
        <v>2154.3000000000002</v>
      </c>
      <c r="AD116" s="46">
        <v>1948.9</v>
      </c>
      <c r="AE116" s="143">
        <v>1698.9</v>
      </c>
      <c r="AF116" s="46">
        <f t="shared" si="39"/>
        <v>112.43662495124997</v>
      </c>
      <c r="AG116" s="49">
        <v>45200</v>
      </c>
      <c r="AH116" s="49">
        <v>46873</v>
      </c>
      <c r="AI116"/>
      <c r="AJ116"/>
      <c r="AK116" s="80"/>
      <c r="AL116" s="80"/>
      <c r="AO116" s="34"/>
      <c r="AP116" s="34"/>
      <c r="AQ116" s="58"/>
      <c r="AT116" s="81"/>
      <c r="AU116" s="81"/>
      <c r="AY116" s="82"/>
    </row>
    <row r="117" spans="1:58" s="29" customFormat="1" ht="17" thickBot="1" x14ac:dyDescent="0.25">
      <c r="A117" s="30">
        <v>107</v>
      </c>
      <c r="B117" s="64" t="s">
        <v>3206</v>
      </c>
      <c r="C117" s="32" t="s">
        <v>2824</v>
      </c>
      <c r="D117" s="59" t="s">
        <v>3207</v>
      </c>
      <c r="E117" s="141" t="s">
        <v>3198</v>
      </c>
      <c r="F117" s="76" t="s">
        <v>1350</v>
      </c>
      <c r="G117" s="77">
        <v>6</v>
      </c>
      <c r="H117" s="77">
        <v>3</v>
      </c>
      <c r="I117" s="78">
        <v>45548</v>
      </c>
      <c r="J117" s="78">
        <v>45912</v>
      </c>
      <c r="K117" s="78"/>
      <c r="L117" t="s">
        <v>1077</v>
      </c>
      <c r="M117" s="41">
        <f>_xlfn.XLOOKUP(L117,'relaties_export_2026-01-12_1609'!B:B,'relaties_export_2026-01-12_1609'!A:A,"",3)</f>
        <v>234</v>
      </c>
      <c r="N117" s="41" t="str">
        <f>_xlfn.XLOOKUP(M117,'relaties_export_2026-01-12_1609'!A:A,'relaties_export_2026-01-12_1609'!B:B,"",3)</f>
        <v>Labour Housing BV</v>
      </c>
      <c r="O117" s="42"/>
      <c r="P117" s="43">
        <f t="shared" si="36"/>
        <v>505.19000000000005</v>
      </c>
      <c r="Q117" s="43">
        <f t="shared" si="40"/>
        <v>3932.7500000000005</v>
      </c>
      <c r="R117" s="44">
        <v>3575</v>
      </c>
      <c r="S117" s="45">
        <f t="shared" si="38"/>
        <v>137.50010576931214</v>
      </c>
      <c r="T117" s="45">
        <v>3275</v>
      </c>
      <c r="U117" s="46">
        <v>300</v>
      </c>
      <c r="V117" s="46"/>
      <c r="W117"/>
      <c r="X117" s="23"/>
      <c r="Y117" s="56" t="s">
        <v>2730</v>
      </c>
      <c r="Z117" s="47">
        <f>_xlfn.XLOOKUP(Y117,'relaties_export_2026-01-12_1609'!B:B,'relaties_export_2026-01-12_1609'!A:A,"",3)</f>
        <v>849</v>
      </c>
      <c r="AA117" s="47" t="str">
        <f>_xlfn.XLOOKUP(Z117,'relaties_export_2026-01-12_1609'!A:A,'relaties_export_2026-01-12_1609'!B:B,"",3)</f>
        <v>Chalet Park Holiday</v>
      </c>
      <c r="AB117" s="69" t="s">
        <v>3199</v>
      </c>
      <c r="AC117" s="46">
        <v>3055.09</v>
      </c>
      <c r="AD117" s="46">
        <v>2769.81</v>
      </c>
      <c r="AE117" s="143">
        <v>2469.81</v>
      </c>
      <c r="AF117" s="46">
        <f t="shared" si="39"/>
        <v>106.5312357932583</v>
      </c>
      <c r="AG117" s="49">
        <v>45548</v>
      </c>
      <c r="AH117" s="49">
        <v>46278</v>
      </c>
      <c r="AI117" s="49">
        <v>47009</v>
      </c>
      <c r="AJ117" s="49">
        <v>47739</v>
      </c>
      <c r="AK117" s="49">
        <v>48470</v>
      </c>
      <c r="AL117" s="49">
        <v>49200</v>
      </c>
      <c r="AM117" s="49">
        <v>49931</v>
      </c>
      <c r="AN117" s="49">
        <v>50661</v>
      </c>
      <c r="AO117" s="49">
        <v>51392</v>
      </c>
      <c r="AP117" s="49">
        <v>52122</v>
      </c>
      <c r="AQ117" s="49">
        <v>52853</v>
      </c>
      <c r="AR117" s="49">
        <v>53583</v>
      </c>
      <c r="AS117" s="49">
        <v>54314</v>
      </c>
      <c r="AT117" s="49">
        <v>55044</v>
      </c>
      <c r="AU117" s="49">
        <v>55775</v>
      </c>
      <c r="AV117" s="49">
        <v>56505</v>
      </c>
      <c r="AW117" s="49">
        <v>57236</v>
      </c>
      <c r="AX117" s="49">
        <v>57966</v>
      </c>
      <c r="AY117" s="49">
        <v>58697</v>
      </c>
      <c r="AZ117" s="49">
        <v>59427</v>
      </c>
      <c r="BA117" s="49">
        <v>60158</v>
      </c>
      <c r="BB117" s="49">
        <v>60888</v>
      </c>
      <c r="BC117" s="49">
        <v>61619</v>
      </c>
      <c r="BD117" s="49">
        <v>62349</v>
      </c>
      <c r="BE117" s="49">
        <v>63080</v>
      </c>
      <c r="BF117" s="49">
        <v>63810</v>
      </c>
    </row>
    <row r="118" spans="1:58" s="29" customFormat="1" ht="17" thickBot="1" x14ac:dyDescent="0.25">
      <c r="A118" s="30">
        <v>108</v>
      </c>
      <c r="B118" s="64" t="s">
        <v>3208</v>
      </c>
      <c r="C118" s="32" t="s">
        <v>2824</v>
      </c>
      <c r="D118" s="59" t="s">
        <v>3209</v>
      </c>
      <c r="E118" s="141" t="s">
        <v>3198</v>
      </c>
      <c r="F118" s="76" t="s">
        <v>1350</v>
      </c>
      <c r="G118" s="77">
        <v>6</v>
      </c>
      <c r="H118" s="77">
        <v>3</v>
      </c>
      <c r="I118" s="78">
        <v>45548</v>
      </c>
      <c r="J118" s="78">
        <v>45912</v>
      </c>
      <c r="K118" s="78"/>
      <c r="L118" t="s">
        <v>1077</v>
      </c>
      <c r="M118" s="41">
        <f>_xlfn.XLOOKUP(L118,'relaties_export_2026-01-12_1609'!B:B,'relaties_export_2026-01-12_1609'!A:A,"",3)</f>
        <v>234</v>
      </c>
      <c r="N118" s="41" t="str">
        <f>_xlfn.XLOOKUP(M118,'relaties_export_2026-01-12_1609'!A:A,'relaties_export_2026-01-12_1609'!B:B,"",3)</f>
        <v>Labour Housing BV</v>
      </c>
      <c r="O118" s="42"/>
      <c r="P118" s="43">
        <f t="shared" si="36"/>
        <v>505.19000000000005</v>
      </c>
      <c r="Q118" s="43">
        <f t="shared" si="40"/>
        <v>3932.7500000000005</v>
      </c>
      <c r="R118" s="44">
        <v>3575</v>
      </c>
      <c r="S118" s="45">
        <f t="shared" si="38"/>
        <v>137.50010576931214</v>
      </c>
      <c r="T118" s="45">
        <v>3275</v>
      </c>
      <c r="U118" s="46">
        <v>300</v>
      </c>
      <c r="V118" s="46"/>
      <c r="W118"/>
      <c r="X118" s="23"/>
      <c r="Y118" s="56" t="s">
        <v>2730</v>
      </c>
      <c r="Z118" s="47">
        <f>_xlfn.XLOOKUP(Y118,'relaties_export_2026-01-12_1609'!B:B,'relaties_export_2026-01-12_1609'!A:A,"",3)</f>
        <v>849</v>
      </c>
      <c r="AA118" s="47" t="str">
        <f>_xlfn.XLOOKUP(Z118,'relaties_export_2026-01-12_1609'!A:A,'relaties_export_2026-01-12_1609'!B:B,"",3)</f>
        <v>Chalet Park Holiday</v>
      </c>
      <c r="AB118" s="69" t="s">
        <v>3199</v>
      </c>
      <c r="AC118" s="46">
        <v>3055.09</v>
      </c>
      <c r="AD118" s="46">
        <v>2769.81</v>
      </c>
      <c r="AE118" s="143">
        <v>2469.81</v>
      </c>
      <c r="AF118" s="46">
        <f t="shared" si="39"/>
        <v>106.5312357932583</v>
      </c>
      <c r="AG118" s="49">
        <v>45548</v>
      </c>
      <c r="AH118" s="49">
        <v>46278</v>
      </c>
      <c r="AI118" s="49">
        <v>47009</v>
      </c>
      <c r="AJ118" s="49">
        <v>47739</v>
      </c>
      <c r="AK118" s="49">
        <v>48470</v>
      </c>
      <c r="AL118" s="49">
        <v>49200</v>
      </c>
      <c r="AM118" s="49">
        <v>49931</v>
      </c>
      <c r="AN118" s="49">
        <v>50661</v>
      </c>
      <c r="AO118" s="49">
        <v>51392</v>
      </c>
      <c r="AP118" s="49">
        <v>52122</v>
      </c>
      <c r="AQ118" s="49">
        <v>52853</v>
      </c>
      <c r="AR118" s="49">
        <v>53583</v>
      </c>
      <c r="AS118" s="49">
        <v>54314</v>
      </c>
      <c r="AT118" s="49">
        <v>55044</v>
      </c>
      <c r="AU118" s="49">
        <v>55775</v>
      </c>
      <c r="AV118" s="49">
        <v>56505</v>
      </c>
      <c r="AW118" s="49">
        <v>57236</v>
      </c>
      <c r="AX118" s="49">
        <v>57966</v>
      </c>
      <c r="AY118" s="49">
        <v>58697</v>
      </c>
      <c r="AZ118" s="49">
        <v>59427</v>
      </c>
      <c r="BA118" s="49">
        <v>60158</v>
      </c>
      <c r="BB118" s="49">
        <v>60888</v>
      </c>
      <c r="BC118" s="49">
        <v>61619</v>
      </c>
      <c r="BD118" s="49">
        <v>62349</v>
      </c>
      <c r="BE118" s="49">
        <v>63080</v>
      </c>
      <c r="BF118" s="49">
        <v>63810</v>
      </c>
    </row>
    <row r="119" spans="1:58" s="29" customFormat="1" ht="17" thickBot="1" x14ac:dyDescent="0.25">
      <c r="A119" s="30">
        <v>109</v>
      </c>
      <c r="B119" s="64" t="s">
        <v>3210</v>
      </c>
      <c r="C119" s="32" t="s">
        <v>2824</v>
      </c>
      <c r="D119" s="59" t="s">
        <v>3211</v>
      </c>
      <c r="E119" s="141" t="s">
        <v>3198</v>
      </c>
      <c r="F119" s="76" t="s">
        <v>1350</v>
      </c>
      <c r="G119" s="77">
        <v>6</v>
      </c>
      <c r="H119" s="77">
        <v>3</v>
      </c>
      <c r="I119" s="78">
        <v>45548</v>
      </c>
      <c r="J119" s="78">
        <v>45912</v>
      </c>
      <c r="K119" s="78"/>
      <c r="L119" t="s">
        <v>1077</v>
      </c>
      <c r="M119" s="41">
        <f>_xlfn.XLOOKUP(L119,'relaties_export_2026-01-12_1609'!B:B,'relaties_export_2026-01-12_1609'!A:A,"",3)</f>
        <v>234</v>
      </c>
      <c r="N119" s="41" t="str">
        <f>_xlfn.XLOOKUP(M119,'relaties_export_2026-01-12_1609'!A:A,'relaties_export_2026-01-12_1609'!B:B,"",3)</f>
        <v>Labour Housing BV</v>
      </c>
      <c r="O119" s="42"/>
      <c r="P119" s="43">
        <f t="shared" si="36"/>
        <v>505.19000000000005</v>
      </c>
      <c r="Q119" s="43">
        <f t="shared" si="40"/>
        <v>3932.7500000000005</v>
      </c>
      <c r="R119" s="44">
        <f>T119+U119</f>
        <v>3575</v>
      </c>
      <c r="S119" s="45">
        <f t="shared" si="38"/>
        <v>137.50010576931214</v>
      </c>
      <c r="T119" s="45">
        <v>3275</v>
      </c>
      <c r="U119" s="46">
        <v>300</v>
      </c>
      <c r="V119" s="46"/>
      <c r="W119"/>
      <c r="X119" s="23"/>
      <c r="Y119" s="56" t="s">
        <v>2730</v>
      </c>
      <c r="Z119" s="47">
        <f>_xlfn.XLOOKUP(Y119,'relaties_export_2026-01-12_1609'!B:B,'relaties_export_2026-01-12_1609'!A:A,"",3)</f>
        <v>849</v>
      </c>
      <c r="AA119" s="47" t="str">
        <f>_xlfn.XLOOKUP(Z119,'relaties_export_2026-01-12_1609'!A:A,'relaties_export_2026-01-12_1609'!B:B,"",3)</f>
        <v>Chalet Park Holiday</v>
      </c>
      <c r="AB119" s="69" t="s">
        <v>3199</v>
      </c>
      <c r="AC119" s="46">
        <v>3055.09</v>
      </c>
      <c r="AD119" s="46">
        <v>2769.81</v>
      </c>
      <c r="AE119" s="143">
        <v>2469.81</v>
      </c>
      <c r="AF119" s="46">
        <f t="shared" si="39"/>
        <v>106.5312357932583</v>
      </c>
      <c r="AG119" s="49">
        <v>45548</v>
      </c>
      <c r="AH119" s="49">
        <v>46278</v>
      </c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</row>
    <row r="120" spans="1:58" s="29" customFormat="1" ht="17" thickBot="1" x14ac:dyDescent="0.25">
      <c r="A120" s="30">
        <v>110</v>
      </c>
      <c r="B120" s="64" t="s">
        <v>3212</v>
      </c>
      <c r="C120" s="32" t="s">
        <v>2824</v>
      </c>
      <c r="D120" s="59" t="s">
        <v>3213</v>
      </c>
      <c r="E120" s="141" t="s">
        <v>3198</v>
      </c>
      <c r="F120" s="76" t="s">
        <v>1350</v>
      </c>
      <c r="G120" s="77">
        <v>6</v>
      </c>
      <c r="H120" s="77">
        <v>3</v>
      </c>
      <c r="I120" s="78">
        <v>45765</v>
      </c>
      <c r="J120" s="78">
        <v>46129</v>
      </c>
      <c r="K120" s="78"/>
      <c r="L120" s="83" t="s">
        <v>407</v>
      </c>
      <c r="M120" s="41">
        <f>_xlfn.XLOOKUP(L120,'relaties_export_2026-01-12_1609'!B:B,'relaties_export_2026-01-12_1609'!A:A,"",3)</f>
        <v>84</v>
      </c>
      <c r="N120" s="41" t="str">
        <f>_xlfn.XLOOKUP(M120,'relaties_export_2026-01-12_1609'!A:A,'relaties_export_2026-01-12_1609'!B:B,"",3)</f>
        <v>Orange Investments Group</v>
      </c>
      <c r="O120" s="42"/>
      <c r="P120" s="43">
        <f t="shared" si="36"/>
        <v>480.19000000000005</v>
      </c>
      <c r="Q120" s="43">
        <f t="shared" si="40"/>
        <v>4068.8500000000004</v>
      </c>
      <c r="R120" s="44">
        <f>T120+U120+V120</f>
        <v>3685</v>
      </c>
      <c r="S120" s="45">
        <f t="shared" si="38"/>
        <v>141.73087825452171</v>
      </c>
      <c r="T120" s="45">
        <v>3250</v>
      </c>
      <c r="U120" s="46">
        <v>350</v>
      </c>
      <c r="V120" s="46">
        <v>85</v>
      </c>
      <c r="W120"/>
      <c r="X120" s="23"/>
      <c r="Y120" s="56" t="s">
        <v>2730</v>
      </c>
      <c r="Z120" s="47">
        <f>_xlfn.XLOOKUP(Y120,'relaties_export_2026-01-12_1609'!B:B,'relaties_export_2026-01-12_1609'!A:A,"",3)</f>
        <v>849</v>
      </c>
      <c r="AA120" s="47" t="str">
        <f>_xlfn.XLOOKUP(Z120,'relaties_export_2026-01-12_1609'!A:A,'relaties_export_2026-01-12_1609'!B:B,"",3)</f>
        <v>Chalet Park Holiday</v>
      </c>
      <c r="AB120" s="69" t="s">
        <v>3199</v>
      </c>
      <c r="AC120" s="46">
        <v>3055.09</v>
      </c>
      <c r="AD120" s="46">
        <v>2769.81</v>
      </c>
      <c r="AE120" s="143">
        <v>2469.81</v>
      </c>
      <c r="AF120" s="46">
        <f t="shared" si="39"/>
        <v>106.5312357932583</v>
      </c>
      <c r="AG120" s="49">
        <v>45681</v>
      </c>
      <c r="AH120" s="49">
        <v>46046</v>
      </c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</row>
    <row r="121" spans="1:58" s="29" customFormat="1" ht="17" thickBot="1" x14ac:dyDescent="0.25">
      <c r="A121" s="30">
        <v>111</v>
      </c>
      <c r="B121" s="64" t="s">
        <v>3214</v>
      </c>
      <c r="C121" s="32" t="s">
        <v>2824</v>
      </c>
      <c r="D121" s="59" t="s">
        <v>3215</v>
      </c>
      <c r="E121" s="141" t="s">
        <v>3198</v>
      </c>
      <c r="F121" s="76" t="s">
        <v>1350</v>
      </c>
      <c r="G121" s="77">
        <v>6</v>
      </c>
      <c r="H121" s="77">
        <v>3</v>
      </c>
      <c r="I121" s="78">
        <v>45934</v>
      </c>
      <c r="J121" s="78">
        <v>46024</v>
      </c>
      <c r="K121" s="78"/>
      <c r="L121" s="83" t="s">
        <v>3163</v>
      </c>
      <c r="M121" s="41">
        <f>_xlfn.XLOOKUP(L121,'relaties_export_2026-01-12_1609'!B:B,'relaties_export_2026-01-12_1609'!A:A,"",3)</f>
        <v>329</v>
      </c>
      <c r="N121" s="41" t="str">
        <f>_xlfn.XLOOKUP(M121,'relaties_export_2026-01-12_1609'!A:A,'relaties_export_2026-01-12_1609'!B:B,"",3)</f>
        <v>RNDV Industries</v>
      </c>
      <c r="O121" s="42"/>
      <c r="P121" s="43">
        <f t="shared" si="36"/>
        <v>455.19000000000005</v>
      </c>
      <c r="Q121" s="43">
        <f t="shared" si="40"/>
        <v>3993.2500000000005</v>
      </c>
      <c r="R121" s="44">
        <f>T121+U121+V121</f>
        <v>3625</v>
      </c>
      <c r="S121" s="45">
        <f t="shared" si="38"/>
        <v>139.42318417168011</v>
      </c>
      <c r="T121" s="45">
        <v>3275</v>
      </c>
      <c r="U121" s="46">
        <v>350</v>
      </c>
      <c r="V121" s="46"/>
      <c r="W121"/>
      <c r="X121" s="23"/>
      <c r="Y121" s="56" t="s">
        <v>2730</v>
      </c>
      <c r="Z121" s="47">
        <f>_xlfn.XLOOKUP(Y121,'relaties_export_2026-01-12_1609'!B:B,'relaties_export_2026-01-12_1609'!A:A,"",3)</f>
        <v>849</v>
      </c>
      <c r="AA121" s="47" t="str">
        <f>_xlfn.XLOOKUP(Z121,'relaties_export_2026-01-12_1609'!A:A,'relaties_export_2026-01-12_1609'!B:B,"",3)</f>
        <v>Chalet Park Holiday</v>
      </c>
      <c r="AB121" s="69" t="s">
        <v>3199</v>
      </c>
      <c r="AC121" s="46">
        <v>3115.59</v>
      </c>
      <c r="AD121" s="46">
        <v>2819.81</v>
      </c>
      <c r="AE121" s="143">
        <v>2469.81</v>
      </c>
      <c r="AF121" s="46">
        <f t="shared" si="39"/>
        <v>108.4543141956263</v>
      </c>
      <c r="AG121" s="49">
        <v>45604</v>
      </c>
      <c r="AH121" s="49">
        <v>46334</v>
      </c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</row>
    <row r="122" spans="1:58" s="29" customFormat="1" ht="17" thickBot="1" x14ac:dyDescent="0.25">
      <c r="A122" s="30">
        <v>112</v>
      </c>
      <c r="B122" s="64" t="s">
        <v>3216</v>
      </c>
      <c r="C122" s="32" t="s">
        <v>2824</v>
      </c>
      <c r="D122" s="59" t="s">
        <v>3217</v>
      </c>
      <c r="E122" s="60" t="s">
        <v>3198</v>
      </c>
      <c r="F122" s="76" t="s">
        <v>1350</v>
      </c>
      <c r="G122" s="77">
        <v>6</v>
      </c>
      <c r="H122" s="77">
        <v>3</v>
      </c>
      <c r="I122" s="78">
        <v>45526</v>
      </c>
      <c r="J122" s="78">
        <v>45890</v>
      </c>
      <c r="K122" s="78"/>
      <c r="L122" t="s">
        <v>1077</v>
      </c>
      <c r="M122" s="41">
        <f>_xlfn.XLOOKUP(L122,'relaties_export_2026-01-12_1609'!B:B,'relaties_export_2026-01-12_1609'!A:A,"",3)</f>
        <v>234</v>
      </c>
      <c r="N122" s="41" t="str">
        <f>_xlfn.XLOOKUP(M122,'relaties_export_2026-01-12_1609'!A:A,'relaties_export_2026-01-12_1609'!B:B,"",3)</f>
        <v>Labour Housing BV</v>
      </c>
      <c r="O122" s="42"/>
      <c r="P122" s="43">
        <f t="shared" si="36"/>
        <v>446.90000000000009</v>
      </c>
      <c r="Q122" s="43">
        <f t="shared" si="40"/>
        <v>3905.5000000000005</v>
      </c>
      <c r="R122" s="44">
        <f>T122+U122</f>
        <v>3550</v>
      </c>
      <c r="S122" s="45">
        <f t="shared" si="38"/>
        <v>136.53856656812812</v>
      </c>
      <c r="T122" s="45">
        <v>3250</v>
      </c>
      <c r="U122" s="46">
        <v>300</v>
      </c>
      <c r="V122" s="46"/>
      <c r="W122"/>
      <c r="X122" s="23"/>
      <c r="Y122" s="56" t="s">
        <v>2730</v>
      </c>
      <c r="Z122" s="47">
        <f>_xlfn.XLOOKUP(Y122,'relaties_export_2026-01-12_1609'!B:B,'relaties_export_2026-01-12_1609'!A:A,"",3)</f>
        <v>849</v>
      </c>
      <c r="AA122" s="47" t="str">
        <f>_xlfn.XLOOKUP(Z122,'relaties_export_2026-01-12_1609'!A:A,'relaties_export_2026-01-12_1609'!B:B,"",3)</f>
        <v>Chalet Park Holiday</v>
      </c>
      <c r="AB122" s="69" t="s">
        <v>3199</v>
      </c>
      <c r="AC122" s="46">
        <v>2992.73</v>
      </c>
      <c r="AD122" s="46">
        <f>2718.1+85</f>
        <v>2803.1</v>
      </c>
      <c r="AE122" s="143">
        <v>2468.1</v>
      </c>
      <c r="AF122" s="46">
        <f t="shared" si="39"/>
        <v>107.81162139355492</v>
      </c>
      <c r="AG122" s="49">
        <v>45464</v>
      </c>
      <c r="AH122" s="49">
        <v>46193</v>
      </c>
      <c r="AI122"/>
      <c r="AJ122"/>
      <c r="AK122" s="80"/>
      <c r="AL122" s="80"/>
      <c r="AO122" s="34"/>
      <c r="AP122" s="34"/>
      <c r="AQ122" s="58"/>
      <c r="AT122" s="81"/>
      <c r="AU122" s="81"/>
      <c r="AY122" s="82"/>
    </row>
    <row r="123" spans="1:58" s="29" customFormat="1" ht="17" thickBot="1" x14ac:dyDescent="0.25">
      <c r="A123" s="30">
        <v>113</v>
      </c>
      <c r="B123" s="64" t="s">
        <v>3218</v>
      </c>
      <c r="C123" s="32" t="s">
        <v>2824</v>
      </c>
      <c r="D123" s="59" t="s">
        <v>3219</v>
      </c>
      <c r="E123" s="60" t="s">
        <v>3198</v>
      </c>
      <c r="F123" s="76" t="s">
        <v>1350</v>
      </c>
      <c r="G123" s="77">
        <v>6</v>
      </c>
      <c r="H123" s="77">
        <v>3</v>
      </c>
      <c r="I123" s="78">
        <v>45548</v>
      </c>
      <c r="J123" s="78">
        <v>45912</v>
      </c>
      <c r="K123" s="78"/>
      <c r="L123" t="s">
        <v>1077</v>
      </c>
      <c r="M123" s="41">
        <f>_xlfn.XLOOKUP(L123,'relaties_export_2026-01-12_1609'!B:B,'relaties_export_2026-01-12_1609'!A:A,"",3)</f>
        <v>234</v>
      </c>
      <c r="N123" s="41" t="str">
        <f>_xlfn.XLOOKUP(M123,'relaties_export_2026-01-12_1609'!A:A,'relaties_export_2026-01-12_1609'!B:B,"",3)</f>
        <v>Labour Housing BV</v>
      </c>
      <c r="O123" s="42"/>
      <c r="P123" s="43">
        <f t="shared" si="36"/>
        <v>505.19000000000005</v>
      </c>
      <c r="Q123" s="43">
        <f t="shared" si="40"/>
        <v>3932.7500000000005</v>
      </c>
      <c r="R123" s="44">
        <f>T123+U123</f>
        <v>3575</v>
      </c>
      <c r="S123" s="45">
        <f t="shared" si="38"/>
        <v>137.50010576931214</v>
      </c>
      <c r="T123" s="45">
        <v>3275</v>
      </c>
      <c r="U123" s="46">
        <v>300</v>
      </c>
      <c r="V123" s="46"/>
      <c r="W123"/>
      <c r="X123" s="23"/>
      <c r="Y123" s="56" t="s">
        <v>2730</v>
      </c>
      <c r="Z123" s="47">
        <f>_xlfn.XLOOKUP(Y123,'relaties_export_2026-01-12_1609'!B:B,'relaties_export_2026-01-12_1609'!A:A,"",3)</f>
        <v>849</v>
      </c>
      <c r="AA123" s="47" t="str">
        <f>_xlfn.XLOOKUP(Z123,'relaties_export_2026-01-12_1609'!A:A,'relaties_export_2026-01-12_1609'!B:B,"",3)</f>
        <v>Chalet Park Holiday</v>
      </c>
      <c r="AB123" s="69" t="s">
        <v>3199</v>
      </c>
      <c r="AC123" s="46">
        <v>3055.09</v>
      </c>
      <c r="AD123" s="46">
        <v>2769.81</v>
      </c>
      <c r="AE123" s="143">
        <v>2469.81</v>
      </c>
      <c r="AF123" s="46">
        <f t="shared" si="39"/>
        <v>106.5312357932583</v>
      </c>
      <c r="AG123" s="49">
        <v>45548</v>
      </c>
      <c r="AH123" s="49">
        <v>46278</v>
      </c>
      <c r="AI123"/>
      <c r="AJ123"/>
      <c r="AK123" s="80"/>
      <c r="AL123" s="80"/>
      <c r="AO123" s="34"/>
      <c r="AP123" s="34"/>
      <c r="AQ123" s="58"/>
      <c r="AT123" s="81"/>
      <c r="AU123" s="81"/>
      <c r="AY123" s="82"/>
    </row>
    <row r="124" spans="1:58" s="29" customFormat="1" ht="17" thickBot="1" x14ac:dyDescent="0.25">
      <c r="A124" s="30">
        <v>114</v>
      </c>
      <c r="B124" s="64" t="s">
        <v>3220</v>
      </c>
      <c r="C124" s="32" t="s">
        <v>2824</v>
      </c>
      <c r="D124" s="59" t="s">
        <v>3221</v>
      </c>
      <c r="E124" s="60" t="s">
        <v>3198</v>
      </c>
      <c r="F124" s="76" t="s">
        <v>1350</v>
      </c>
      <c r="G124" s="77">
        <v>6</v>
      </c>
      <c r="H124" s="77">
        <v>3</v>
      </c>
      <c r="I124" s="78"/>
      <c r="J124" s="78"/>
      <c r="K124" s="78"/>
      <c r="L124" s="83" t="s">
        <v>407</v>
      </c>
      <c r="M124" s="41">
        <f>_xlfn.XLOOKUP(L124,'relaties_export_2026-01-12_1609'!B:B,'relaties_export_2026-01-12_1609'!A:A,"",3)</f>
        <v>84</v>
      </c>
      <c r="N124" s="41" t="str">
        <f>_xlfn.XLOOKUP(M124,'relaties_export_2026-01-12_1609'!A:A,'relaties_export_2026-01-12_1609'!B:B,"",3)</f>
        <v>Orange Investments Group</v>
      </c>
      <c r="O124" s="42"/>
      <c r="P124" s="43">
        <f t="shared" si="36"/>
        <v>-3169.81</v>
      </c>
      <c r="Q124" s="43"/>
      <c r="R124" s="44"/>
      <c r="S124" s="45">
        <f t="shared" si="38"/>
        <v>0</v>
      </c>
      <c r="T124" s="45"/>
      <c r="U124" s="46">
        <v>400</v>
      </c>
      <c r="V124" s="46"/>
      <c r="W124"/>
      <c r="X124" s="23"/>
      <c r="Y124" s="56" t="s">
        <v>2730</v>
      </c>
      <c r="Z124" s="47">
        <f>_xlfn.XLOOKUP(Y124,'relaties_export_2026-01-12_1609'!B:B,'relaties_export_2026-01-12_1609'!A:A,"",3)</f>
        <v>849</v>
      </c>
      <c r="AA124" s="47" t="str">
        <f>_xlfn.XLOOKUP(Z124,'relaties_export_2026-01-12_1609'!A:A,'relaties_export_2026-01-12_1609'!B:B,"",3)</f>
        <v>Chalet Park Holiday</v>
      </c>
      <c r="AB124" s="69" t="s">
        <v>3199</v>
      </c>
      <c r="AC124" s="46">
        <v>3055.09</v>
      </c>
      <c r="AD124" s="46">
        <v>2769.81</v>
      </c>
      <c r="AE124" s="143">
        <v>2469.81</v>
      </c>
      <c r="AF124" s="46">
        <f t="shared" si="39"/>
        <v>106.5312357932583</v>
      </c>
      <c r="AG124" s="49">
        <v>45744</v>
      </c>
      <c r="AH124" s="49">
        <v>45379</v>
      </c>
      <c r="AI124"/>
      <c r="AJ124"/>
      <c r="AK124" s="80"/>
      <c r="AL124" s="80"/>
      <c r="AO124" s="34"/>
      <c r="AP124" s="34"/>
      <c r="AQ124" s="58"/>
      <c r="AT124" s="81"/>
      <c r="AU124" s="81"/>
      <c r="AY124" s="82"/>
    </row>
    <row r="125" spans="1:58" s="29" customFormat="1" ht="17" thickBot="1" x14ac:dyDescent="0.25">
      <c r="A125" s="30">
        <v>115</v>
      </c>
      <c r="B125" s="64" t="s">
        <v>3222</v>
      </c>
      <c r="C125" s="32" t="s">
        <v>2824</v>
      </c>
      <c r="D125" s="59" t="s">
        <v>3223</v>
      </c>
      <c r="E125" s="60" t="s">
        <v>3198</v>
      </c>
      <c r="F125" s="76" t="s">
        <v>1350</v>
      </c>
      <c r="G125" s="77">
        <v>6</v>
      </c>
      <c r="H125" s="77">
        <v>3</v>
      </c>
      <c r="I125" s="78">
        <v>45902</v>
      </c>
      <c r="J125" s="78">
        <v>46266</v>
      </c>
      <c r="K125" s="78"/>
      <c r="L125" s="83" t="s">
        <v>2945</v>
      </c>
      <c r="M125" s="41">
        <f>_xlfn.XLOOKUP(L125,'relaties_export_2026-01-12_1609'!B:B,'relaties_export_2026-01-12_1609'!A:A,"",3)</f>
        <v>149</v>
      </c>
      <c r="N125" s="41" t="str">
        <f>_xlfn.XLOOKUP(M125,'relaties_export_2026-01-12_1609'!A:A,'relaties_export_2026-01-12_1609'!B:B,"",3)</f>
        <v>Werckpost Service B.V.</v>
      </c>
      <c r="O125" s="42"/>
      <c r="P125" s="43">
        <f t="shared" si="36"/>
        <v>416.09999999999991</v>
      </c>
      <c r="Q125" s="43">
        <f t="shared" si="40"/>
        <v>4053.7500000000005</v>
      </c>
      <c r="R125" s="44">
        <f>T125+U125+V125</f>
        <v>3675</v>
      </c>
      <c r="S125" s="45">
        <f>(R125/G125)/4.33333</f>
        <v>141.34626257404813</v>
      </c>
      <c r="T125" s="45">
        <v>3275</v>
      </c>
      <c r="U125" s="46">
        <v>400</v>
      </c>
      <c r="V125" s="46">
        <v>0</v>
      </c>
      <c r="W125"/>
      <c r="X125" s="23"/>
      <c r="Y125" s="56" t="s">
        <v>2664</v>
      </c>
      <c r="Z125" s="47">
        <f>_xlfn.XLOOKUP(Y125,'relaties_export_2026-01-12_1609'!B:B,'relaties_export_2026-01-12_1609'!A:A,"",3)</f>
        <v>766</v>
      </c>
      <c r="AA125" s="47" t="str">
        <f>_xlfn.XLOOKUP(Z125,'relaties_export_2026-01-12_1609'!A:A,'relaties_export_2026-01-12_1609'!B:B,"",3)</f>
        <v>C. van Driel e/o B.M. Verdouw</v>
      </c>
      <c r="AB125" s="46" t="s">
        <v>2862</v>
      </c>
      <c r="AC125" s="46">
        <v>3146.2</v>
      </c>
      <c r="AD125" s="46">
        <v>2858.9</v>
      </c>
      <c r="AE125" s="143">
        <v>2608.9</v>
      </c>
      <c r="AF125" s="46">
        <f t="shared" si="39"/>
        <v>109.95777689059761</v>
      </c>
      <c r="AG125" s="49">
        <v>45184</v>
      </c>
      <c r="AH125" s="49"/>
      <c r="AI125"/>
      <c r="AJ125"/>
      <c r="AK125" s="80"/>
      <c r="AL125" s="80"/>
      <c r="AO125" s="34"/>
      <c r="AP125" s="34"/>
      <c r="AQ125" s="58"/>
      <c r="AT125" s="81"/>
      <c r="AU125" s="81"/>
      <c r="AY125" s="82"/>
    </row>
    <row r="126" spans="1:58" s="29" customFormat="1" ht="17" thickBot="1" x14ac:dyDescent="0.25">
      <c r="A126" s="30">
        <v>116</v>
      </c>
      <c r="B126" s="64" t="s">
        <v>3224</v>
      </c>
      <c r="C126" s="32" t="s">
        <v>2824</v>
      </c>
      <c r="D126" s="59" t="s">
        <v>3225</v>
      </c>
      <c r="E126" s="60" t="s">
        <v>3198</v>
      </c>
      <c r="F126" s="76" t="s">
        <v>1350</v>
      </c>
      <c r="G126" s="77">
        <v>6</v>
      </c>
      <c r="H126" s="77">
        <v>3</v>
      </c>
      <c r="I126" s="78">
        <v>45465</v>
      </c>
      <c r="J126" s="78">
        <v>45526</v>
      </c>
      <c r="K126" s="78"/>
      <c r="L126" s="83" t="s">
        <v>2945</v>
      </c>
      <c r="M126" s="41">
        <f>_xlfn.XLOOKUP(L126,'relaties_export_2026-01-12_1609'!B:B,'relaties_export_2026-01-12_1609'!A:A,"",3)</f>
        <v>149</v>
      </c>
      <c r="N126" s="41" t="str">
        <f>_xlfn.XLOOKUP(M126,'relaties_export_2026-01-12_1609'!A:A,'relaties_export_2026-01-12_1609'!B:B,"",3)</f>
        <v>Werckpost Service B.V.</v>
      </c>
      <c r="O126" s="42"/>
      <c r="P126" s="43">
        <f t="shared" si="36"/>
        <v>446.90000000000009</v>
      </c>
      <c r="Q126" s="43">
        <f t="shared" si="40"/>
        <v>4026.5000000000005</v>
      </c>
      <c r="R126" s="44">
        <f>T126+U126+V126</f>
        <v>3650</v>
      </c>
      <c r="S126" s="45">
        <f>(R126/G126)/4.33333</f>
        <v>140.38472337286413</v>
      </c>
      <c r="T126" s="45">
        <v>3250</v>
      </c>
      <c r="U126" s="46">
        <v>300</v>
      </c>
      <c r="V126" s="46">
        <v>100</v>
      </c>
      <c r="W126"/>
      <c r="X126" s="23"/>
      <c r="Y126" s="56" t="s">
        <v>2730</v>
      </c>
      <c r="Z126" s="47">
        <f>_xlfn.XLOOKUP(Y126,'relaties_export_2026-01-12_1609'!B:B,'relaties_export_2026-01-12_1609'!A:A,"",3)</f>
        <v>849</v>
      </c>
      <c r="AA126" s="47" t="str">
        <f>_xlfn.XLOOKUP(Z126,'relaties_export_2026-01-12_1609'!A:A,'relaties_export_2026-01-12_1609'!B:B,"",3)</f>
        <v>Chalet Park Holiday</v>
      </c>
      <c r="AB126" s="69" t="s">
        <v>3199</v>
      </c>
      <c r="AC126" s="46">
        <v>2992.73</v>
      </c>
      <c r="AD126" s="46">
        <f>2718.1+85</f>
        <v>2803.1</v>
      </c>
      <c r="AE126" s="143">
        <v>2468.1</v>
      </c>
      <c r="AF126" s="46">
        <f t="shared" si="39"/>
        <v>107.81162139355492</v>
      </c>
      <c r="AG126" s="49">
        <v>45464</v>
      </c>
      <c r="AH126" s="49">
        <v>46193</v>
      </c>
      <c r="AI126"/>
      <c r="AJ126"/>
      <c r="AK126" s="80"/>
      <c r="AL126" s="80"/>
      <c r="AO126" s="34"/>
      <c r="AP126" s="34"/>
      <c r="AQ126" s="58"/>
      <c r="AT126" s="81"/>
      <c r="AU126" s="81"/>
      <c r="AY126" s="82"/>
    </row>
    <row r="127" spans="1:58" s="29" customFormat="1" ht="17" thickBot="1" x14ac:dyDescent="0.25">
      <c r="A127" s="30">
        <v>117</v>
      </c>
      <c r="B127" s="64" t="s">
        <v>3226</v>
      </c>
      <c r="C127" s="32" t="s">
        <v>2824</v>
      </c>
      <c r="D127" s="59" t="s">
        <v>3227</v>
      </c>
      <c r="E127" s="60" t="s">
        <v>3198</v>
      </c>
      <c r="F127" s="76" t="s">
        <v>1350</v>
      </c>
      <c r="G127" s="77">
        <v>3</v>
      </c>
      <c r="H127" s="77">
        <v>3</v>
      </c>
      <c r="I127" s="78">
        <v>45960</v>
      </c>
      <c r="J127" s="78">
        <v>46141</v>
      </c>
      <c r="K127" s="78"/>
      <c r="L127" s="83" t="s">
        <v>409</v>
      </c>
      <c r="M127" s="41">
        <f>_xlfn.XLOOKUP(L127,'relaties_export_2026-01-12_1609'!B:B,'relaties_export_2026-01-12_1609'!A:A,"",3)</f>
        <v>86</v>
      </c>
      <c r="N127" s="41" t="str">
        <f>_xlfn.XLOOKUP(M127,'relaties_export_2026-01-12_1609'!A:A,'relaties_export_2026-01-12_1609'!B:B,"",3)</f>
        <v>Eastmen</v>
      </c>
      <c r="O127" s="42"/>
      <c r="P127" s="43">
        <f t="shared" si="36"/>
        <v>145.19000000000005</v>
      </c>
      <c r="Q127" s="43">
        <f t="shared" si="40"/>
        <v>3512.0000000000005</v>
      </c>
      <c r="R127" s="44">
        <f t="shared" ref="R127:R136" si="42">T127+U127</f>
        <v>3200</v>
      </c>
      <c r="S127" s="45">
        <f>(R127/G127)/4.33333</f>
        <v>246.15403550310424</v>
      </c>
      <c r="T127" s="45">
        <v>3000</v>
      </c>
      <c r="U127" s="46">
        <v>200</v>
      </c>
      <c r="V127" s="46"/>
      <c r="W127"/>
      <c r="X127" s="23"/>
      <c r="Y127" s="56" t="s">
        <v>2730</v>
      </c>
      <c r="Z127" s="47">
        <f>_xlfn.XLOOKUP(Y127,'relaties_export_2026-01-12_1609'!B:B,'relaties_export_2026-01-12_1609'!A:A,"",3)</f>
        <v>849</v>
      </c>
      <c r="AA127" s="47" t="str">
        <f>_xlfn.XLOOKUP(Z127,'relaties_export_2026-01-12_1609'!A:A,'relaties_export_2026-01-12_1609'!B:B,"",3)</f>
        <v>Chalet Park Holiday</v>
      </c>
      <c r="AB127" s="69" t="s">
        <v>3199</v>
      </c>
      <c r="AC127" s="46">
        <v>3154.94</v>
      </c>
      <c r="AD127" s="46">
        <v>2854.81</v>
      </c>
      <c r="AE127" s="143">
        <v>2469.81</v>
      </c>
      <c r="AF127" s="46">
        <f t="shared" si="39"/>
        <v>219.60093815456781</v>
      </c>
      <c r="AG127" s="49">
        <v>45723</v>
      </c>
      <c r="AH127" s="49">
        <v>46453</v>
      </c>
      <c r="AI127"/>
      <c r="AJ127"/>
      <c r="AK127" s="80"/>
      <c r="AL127" s="80"/>
      <c r="AO127" s="34"/>
      <c r="AP127" s="34"/>
      <c r="AQ127" s="58"/>
      <c r="AT127" s="81"/>
      <c r="AU127" s="81"/>
      <c r="AY127" s="82"/>
    </row>
    <row r="128" spans="1:58" s="29" customFormat="1" ht="17" thickBot="1" x14ac:dyDescent="0.25">
      <c r="A128" s="30">
        <v>118</v>
      </c>
      <c r="B128" s="64" t="s">
        <v>3228</v>
      </c>
      <c r="C128" s="32" t="s">
        <v>2824</v>
      </c>
      <c r="D128" s="59" t="s">
        <v>3229</v>
      </c>
      <c r="E128" s="60" t="s">
        <v>3198</v>
      </c>
      <c r="F128" s="76" t="s">
        <v>1350</v>
      </c>
      <c r="G128" s="77">
        <v>6</v>
      </c>
      <c r="H128" s="77">
        <v>3</v>
      </c>
      <c r="I128" s="78">
        <v>45555</v>
      </c>
      <c r="J128" s="78">
        <v>45920</v>
      </c>
      <c r="K128" s="78"/>
      <c r="L128" t="s">
        <v>1077</v>
      </c>
      <c r="M128" s="41">
        <f>_xlfn.XLOOKUP(L128,'relaties_export_2026-01-12_1609'!B:B,'relaties_export_2026-01-12_1609'!A:A,"",3)</f>
        <v>234</v>
      </c>
      <c r="N128" s="41" t="str">
        <f>_xlfn.XLOOKUP(M128,'relaties_export_2026-01-12_1609'!A:A,'relaties_export_2026-01-12_1609'!B:B,"",3)</f>
        <v>Labour Housing BV</v>
      </c>
      <c r="O128" s="42"/>
      <c r="P128" s="43">
        <f t="shared" si="36"/>
        <v>556.90000000000009</v>
      </c>
      <c r="Q128" s="43">
        <f t="shared" si="40"/>
        <v>3932.7500000000005</v>
      </c>
      <c r="R128" s="44">
        <f t="shared" si="42"/>
        <v>3575</v>
      </c>
      <c r="S128" s="45">
        <f t="shared" ref="S128:S155" si="43">(R128/G128)/4.33333</f>
        <v>137.50010576931214</v>
      </c>
      <c r="T128" s="45">
        <v>3275</v>
      </c>
      <c r="U128" s="46">
        <v>300</v>
      </c>
      <c r="V128" s="46"/>
      <c r="W128"/>
      <c r="X128" s="23"/>
      <c r="Y128" s="56" t="s">
        <v>2730</v>
      </c>
      <c r="Z128" s="47">
        <f>_xlfn.XLOOKUP(Y128,'relaties_export_2026-01-12_1609'!B:B,'relaties_export_2026-01-12_1609'!A:A,"",3)</f>
        <v>849</v>
      </c>
      <c r="AA128" s="47" t="str">
        <f>_xlfn.XLOOKUP(Z128,'relaties_export_2026-01-12_1609'!A:A,'relaties_export_2026-01-12_1609'!B:B,"",3)</f>
        <v>Chalet Park Holiday</v>
      </c>
      <c r="AB128" s="69" t="s">
        <v>3199</v>
      </c>
      <c r="AC128" s="46">
        <v>2992.73</v>
      </c>
      <c r="AD128" s="46">
        <f>2718.1</f>
        <v>2718.1</v>
      </c>
      <c r="AE128" s="143">
        <v>2468.1</v>
      </c>
      <c r="AF128" s="46">
        <f t="shared" si="39"/>
        <v>104.54238810952931</v>
      </c>
      <c r="AG128" s="49">
        <v>45464</v>
      </c>
      <c r="AH128" s="49">
        <v>46193</v>
      </c>
      <c r="AI128"/>
      <c r="AJ128"/>
      <c r="AK128" s="80"/>
      <c r="AL128" s="80"/>
      <c r="AO128" s="34"/>
      <c r="AP128" s="34"/>
      <c r="AQ128" s="58"/>
      <c r="AT128" s="81"/>
      <c r="AU128" s="81"/>
      <c r="AY128" s="82"/>
    </row>
    <row r="129" spans="1:51" s="29" customFormat="1" ht="17" thickBot="1" x14ac:dyDescent="0.25">
      <c r="A129" s="30">
        <v>119</v>
      </c>
      <c r="B129" s="64" t="s">
        <v>3230</v>
      </c>
      <c r="C129" s="32" t="s">
        <v>2824</v>
      </c>
      <c r="D129" s="59" t="s">
        <v>3231</v>
      </c>
      <c r="E129" s="60" t="s">
        <v>3198</v>
      </c>
      <c r="F129" s="76" t="s">
        <v>1350</v>
      </c>
      <c r="G129" s="77">
        <v>7</v>
      </c>
      <c r="H129" s="77">
        <v>5</v>
      </c>
      <c r="I129" s="78">
        <v>45555</v>
      </c>
      <c r="J129" s="78">
        <v>45912</v>
      </c>
      <c r="K129" s="78"/>
      <c r="L129" t="s">
        <v>1077</v>
      </c>
      <c r="M129" s="41">
        <f>_xlfn.XLOOKUP(L129,'relaties_export_2026-01-12_1609'!B:B,'relaties_export_2026-01-12_1609'!A:A,"",3)</f>
        <v>234</v>
      </c>
      <c r="N129" s="41" t="str">
        <f>_xlfn.XLOOKUP(M129,'relaties_export_2026-01-12_1609'!A:A,'relaties_export_2026-01-12_1609'!B:B,"",3)</f>
        <v>Labour Housing BV</v>
      </c>
      <c r="O129" s="42"/>
      <c r="P129" s="43">
        <f t="shared" si="36"/>
        <v>593.55000000000018</v>
      </c>
      <c r="Q129" s="43">
        <f t="shared" si="40"/>
        <v>4598.75</v>
      </c>
      <c r="R129" s="44">
        <f t="shared" si="42"/>
        <v>4175</v>
      </c>
      <c r="S129" s="45">
        <f t="shared" si="43"/>
        <v>137.63746851233842</v>
      </c>
      <c r="T129" s="45">
        <v>3775</v>
      </c>
      <c r="U129" s="46">
        <v>400</v>
      </c>
      <c r="V129" s="46"/>
      <c r="W129"/>
      <c r="X129" s="23"/>
      <c r="Y129" s="56" t="s">
        <v>2730</v>
      </c>
      <c r="Z129" s="47">
        <f>_xlfn.XLOOKUP(Y129,'relaties_export_2026-01-12_1609'!B:B,'relaties_export_2026-01-12_1609'!A:A,"",3)</f>
        <v>849</v>
      </c>
      <c r="AA129" s="47" t="str">
        <f>_xlfn.XLOOKUP(Z129,'relaties_export_2026-01-12_1609'!A:A,'relaties_export_2026-01-12_1609'!B:B,"",3)</f>
        <v>Chalet Park Holiday</v>
      </c>
      <c r="AB129" s="69" t="s">
        <v>3199</v>
      </c>
      <c r="AC129" s="46">
        <v>3503.83</v>
      </c>
      <c r="AD129" s="46">
        <v>3181.45</v>
      </c>
      <c r="AE129" s="143">
        <v>2881.45</v>
      </c>
      <c r="AF129" s="46">
        <f t="shared" si="39"/>
        <v>104.8830477122345</v>
      </c>
      <c r="AG129" s="49">
        <v>45555</v>
      </c>
      <c r="AH129" s="49">
        <v>46285</v>
      </c>
      <c r="AI129"/>
      <c r="AJ129"/>
      <c r="AK129" s="80"/>
      <c r="AL129" s="80"/>
      <c r="AO129" s="34"/>
      <c r="AP129" s="34"/>
      <c r="AQ129" s="58"/>
      <c r="AT129" s="81"/>
      <c r="AU129" s="81"/>
      <c r="AY129" s="82"/>
    </row>
    <row r="130" spans="1:51" s="29" customFormat="1" ht="17" thickBot="1" x14ac:dyDescent="0.25">
      <c r="A130" s="30">
        <v>120</v>
      </c>
      <c r="B130" s="64" t="s">
        <v>3232</v>
      </c>
      <c r="C130" s="32" t="s">
        <v>2824</v>
      </c>
      <c r="D130" s="59" t="s">
        <v>3233</v>
      </c>
      <c r="E130" s="60" t="s">
        <v>3234</v>
      </c>
      <c r="F130" s="76" t="s">
        <v>84</v>
      </c>
      <c r="G130" s="77">
        <v>3</v>
      </c>
      <c r="H130" s="77">
        <v>2</v>
      </c>
      <c r="I130" s="78">
        <v>45642</v>
      </c>
      <c r="J130" s="78">
        <v>46007</v>
      </c>
      <c r="K130" s="78"/>
      <c r="L130" s="83" t="s">
        <v>254</v>
      </c>
      <c r="M130" s="41">
        <f>_xlfn.XLOOKUP(L130,'relaties_export_2026-01-12_1609'!B:B,'relaties_export_2026-01-12_1609'!A:A,"",3)</f>
        <v>48</v>
      </c>
      <c r="N130" s="41" t="str">
        <f>_xlfn.XLOOKUP(M130,'relaties_export_2026-01-12_1609'!A:A,'relaties_export_2026-01-12_1609'!B:B,"",3)</f>
        <v>Light Personeelsdiensten</v>
      </c>
      <c r="O130" s="42"/>
      <c r="P130" s="43">
        <f t="shared" si="36"/>
        <v>500</v>
      </c>
      <c r="Q130" s="43">
        <f t="shared" si="40"/>
        <v>1986.0000000000002</v>
      </c>
      <c r="R130" s="44">
        <f t="shared" si="42"/>
        <v>1800</v>
      </c>
      <c r="S130" s="45">
        <f t="shared" si="43"/>
        <v>138.46164497049614</v>
      </c>
      <c r="T130" s="45">
        <v>1600</v>
      </c>
      <c r="U130" s="46">
        <v>200</v>
      </c>
      <c r="V130" s="46"/>
      <c r="W130"/>
      <c r="X130" s="23"/>
      <c r="Y130" s="56" t="s">
        <v>2973</v>
      </c>
      <c r="Z130" s="47">
        <v>295</v>
      </c>
      <c r="AA130" s="47" t="str">
        <f>_xlfn.XLOOKUP(Z130,'relaties_export_2026-01-12_1609'!A:A,'relaties_export_2026-01-12_1609'!B:B,"",3)</f>
        <v>In Stijl Totaalbouw BV</v>
      </c>
      <c r="AB130" s="69"/>
      <c r="AC130" s="46">
        <v>1100</v>
      </c>
      <c r="AD130" s="46">
        <v>1100</v>
      </c>
      <c r="AE130" s="46">
        <v>1100</v>
      </c>
      <c r="AF130" s="46">
        <f t="shared" si="39"/>
        <v>84.615449704192088</v>
      </c>
      <c r="AG130" s="49"/>
      <c r="AH130" s="49"/>
      <c r="AI130"/>
      <c r="AJ130"/>
      <c r="AK130" s="80"/>
      <c r="AL130" s="80"/>
      <c r="AO130" s="34"/>
      <c r="AP130" s="34"/>
      <c r="AQ130" s="58"/>
      <c r="AT130" s="81"/>
      <c r="AU130" s="81"/>
      <c r="AY130" s="82"/>
    </row>
    <row r="131" spans="1:51" s="29" customFormat="1" ht="17" thickBot="1" x14ac:dyDescent="0.25">
      <c r="A131" s="30">
        <v>121</v>
      </c>
      <c r="B131" s="31" t="str">
        <f>_xlfn.XLOOKUP(D131,'[1]Sleutelplan nieuw'!B:B,'[1]Sleutelplan nieuw'!A:A,"",2)</f>
        <v>0199</v>
      </c>
      <c r="C131" s="32" t="s">
        <v>2824</v>
      </c>
      <c r="D131" s="59" t="s">
        <v>3235</v>
      </c>
      <c r="E131" s="60" t="s">
        <v>3236</v>
      </c>
      <c r="F131" s="76" t="s">
        <v>84</v>
      </c>
      <c r="G131" s="77">
        <v>3</v>
      </c>
      <c r="H131" s="77">
        <v>3</v>
      </c>
      <c r="I131" s="78">
        <v>45261</v>
      </c>
      <c r="J131" s="78">
        <v>45657</v>
      </c>
      <c r="K131" s="78"/>
      <c r="L131" s="114" t="s">
        <v>3007</v>
      </c>
      <c r="M131" s="41">
        <f>_xlfn.XLOOKUP(L131,'relaties_export_2026-01-12_1609'!B:B,'relaties_export_2026-01-12_1609'!A:A,"",3)</f>
        <v>374</v>
      </c>
      <c r="N131" s="41" t="str">
        <f>_xlfn.XLOOKUP(M131,'relaties_export_2026-01-12_1609'!A:A,'relaties_export_2026-01-12_1609'!B:B,"",3)</f>
        <v>GAP Costruzioni S.r.l.</v>
      </c>
      <c r="O131" s="42"/>
      <c r="P131" s="43">
        <f t="shared" si="36"/>
        <v>1641.9299999999998</v>
      </c>
      <c r="Q131" s="43">
        <f t="shared" ref="Q131:Q153" si="44">T131*1.09+U131*1.21</f>
        <v>3097.7037</v>
      </c>
      <c r="R131" s="44">
        <f t="shared" si="42"/>
        <v>2841.93</v>
      </c>
      <c r="S131" s="45">
        <f t="shared" si="43"/>
        <v>218.61016816166779</v>
      </c>
      <c r="T131" s="45">
        <v>2841.93</v>
      </c>
      <c r="U131" s="46">
        <v>0</v>
      </c>
      <c r="V131" s="46">
        <v>0</v>
      </c>
      <c r="W131"/>
      <c r="X131" s="23"/>
      <c r="Y131" s="56" t="s">
        <v>2672</v>
      </c>
      <c r="Z131" s="47">
        <f>_xlfn.XLOOKUP(Y131,'relaties_export_2026-01-12_1609'!B:B,'relaties_export_2026-01-12_1609'!A:A,"",3)</f>
        <v>17</v>
      </c>
      <c r="AA131" s="47" t="str">
        <f>_xlfn.XLOOKUP(Z131,'relaties_export_2026-01-12_1609'!A:A,'relaties_export_2026-01-12_1609'!B:B,"",3)</f>
        <v>Tradiro Services B.V.</v>
      </c>
      <c r="AB131" s="46"/>
      <c r="AC131" s="46">
        <v>1200</v>
      </c>
      <c r="AD131" s="46">
        <v>1200</v>
      </c>
      <c r="AE131" s="46">
        <v>1200</v>
      </c>
      <c r="AF131" s="46">
        <f t="shared" si="39"/>
        <v>92.307763313664083</v>
      </c>
      <c r="AG131" s="49"/>
      <c r="AH131" s="49"/>
      <c r="AI131"/>
      <c r="AJ131"/>
      <c r="AK131" s="80"/>
      <c r="AL131" s="80"/>
      <c r="AO131" s="34"/>
      <c r="AP131" s="34"/>
      <c r="AQ131" s="58"/>
      <c r="AT131" s="81"/>
      <c r="AU131" s="81"/>
      <c r="AY131" s="82"/>
    </row>
    <row r="132" spans="1:51" s="29" customFormat="1" ht="17" thickBot="1" x14ac:dyDescent="0.25">
      <c r="A132" s="30">
        <v>122</v>
      </c>
      <c r="B132" s="31" t="str">
        <f>_xlfn.XLOOKUP(D132,'[1]Sleutelplan nieuw'!B:B,'[1]Sleutelplan nieuw'!A:A,"",2)</f>
        <v>0010</v>
      </c>
      <c r="C132" s="32" t="s">
        <v>2824</v>
      </c>
      <c r="D132" s="59" t="s">
        <v>3237</v>
      </c>
      <c r="E132" s="60" t="s">
        <v>3238</v>
      </c>
      <c r="F132" s="76" t="s">
        <v>1303</v>
      </c>
      <c r="G132" s="77">
        <v>5</v>
      </c>
      <c r="H132" s="77">
        <v>3</v>
      </c>
      <c r="I132" s="78">
        <v>44958</v>
      </c>
      <c r="J132" s="78">
        <v>45323</v>
      </c>
      <c r="K132" s="79"/>
      <c r="L132" s="83" t="s">
        <v>2672</v>
      </c>
      <c r="M132" s="41">
        <f>_xlfn.XLOOKUP(L132,'relaties_export_2026-01-12_1609'!B:B,'relaties_export_2026-01-12_1609'!A:A,"",3)</f>
        <v>17</v>
      </c>
      <c r="N132" s="41" t="str">
        <f>_xlfn.XLOOKUP(M132,'relaties_export_2026-01-12_1609'!A:A,'relaties_export_2026-01-12_1609'!B:B,"",3)</f>
        <v>Tradiro Services B.V.</v>
      </c>
      <c r="O132" s="42"/>
      <c r="P132" s="43">
        <f t="shared" si="36"/>
        <v>308.41000000000008</v>
      </c>
      <c r="Q132" s="43">
        <f t="shared" si="44"/>
        <v>1862.1669000000002</v>
      </c>
      <c r="R132" s="44">
        <f t="shared" si="42"/>
        <v>1708.41</v>
      </c>
      <c r="S132" s="45">
        <f t="shared" si="43"/>
        <v>78.849752961348429</v>
      </c>
      <c r="T132" s="45">
        <v>1708.41</v>
      </c>
      <c r="U132" s="46">
        <v>0</v>
      </c>
      <c r="V132" s="46">
        <v>0</v>
      </c>
      <c r="W132"/>
      <c r="X132" s="23"/>
      <c r="Y132" s="73" t="s">
        <v>1162</v>
      </c>
      <c r="Z132" s="47">
        <f>_xlfn.XLOOKUP(Y132,'relaties_export_2026-01-12_1609'!B:B,'relaties_export_2026-01-12_1609'!A:A,"",3)</f>
        <v>258</v>
      </c>
      <c r="AA132" s="47" t="str">
        <f>_xlfn.XLOOKUP(Z132,'relaties_export_2026-01-12_1609'!A:A,'relaties_export_2026-01-12_1609'!B:B,"",3)</f>
        <v>Parkwonen</v>
      </c>
      <c r="AB132" s="106"/>
      <c r="AC132" s="43">
        <v>1400</v>
      </c>
      <c r="AD132" s="43">
        <v>1400</v>
      </c>
      <c r="AE132" s="43">
        <v>1400</v>
      </c>
      <c r="AF132" s="46">
        <f t="shared" si="39"/>
        <v>64.615434319564855</v>
      </c>
      <c r="AG132" s="49">
        <v>44927</v>
      </c>
      <c r="AH132" s="49">
        <v>45292</v>
      </c>
    </row>
    <row r="133" spans="1:51" s="29" customFormat="1" ht="17" thickBot="1" x14ac:dyDescent="0.25">
      <c r="A133" s="30">
        <v>123</v>
      </c>
      <c r="B133" s="31" t="str">
        <f>_xlfn.XLOOKUP(D133,'[1]Sleutelplan nieuw'!B:B,'[1]Sleutelplan nieuw'!A:A,"",2)</f>
        <v>0011</v>
      </c>
      <c r="C133" s="32" t="s">
        <v>2824</v>
      </c>
      <c r="D133" s="59" t="s">
        <v>3239</v>
      </c>
      <c r="E133" s="60" t="s">
        <v>3238</v>
      </c>
      <c r="F133" s="76" t="s">
        <v>1303</v>
      </c>
      <c r="G133" s="77">
        <v>3</v>
      </c>
      <c r="H133" s="77">
        <v>3</v>
      </c>
      <c r="I133" s="78">
        <v>44958</v>
      </c>
      <c r="J133" s="78">
        <v>45323</v>
      </c>
      <c r="K133" s="79"/>
      <c r="L133" s="83" t="s">
        <v>2672</v>
      </c>
      <c r="M133" s="41">
        <f>_xlfn.XLOOKUP(L133,'relaties_export_2026-01-12_1609'!B:B,'relaties_export_2026-01-12_1609'!A:A,"",3)</f>
        <v>17</v>
      </c>
      <c r="N133" s="41" t="str">
        <f>_xlfn.XLOOKUP(M133,'relaties_export_2026-01-12_1609'!A:A,'relaties_export_2026-01-12_1609'!B:B,"",3)</f>
        <v>Tradiro Services B.V.</v>
      </c>
      <c r="O133" s="42"/>
      <c r="P133" s="43">
        <f t="shared" si="36"/>
        <v>308.41000000000008</v>
      </c>
      <c r="Q133" s="43">
        <f t="shared" si="44"/>
        <v>1862.1669000000002</v>
      </c>
      <c r="R133" s="44">
        <f t="shared" si="42"/>
        <v>1708.41</v>
      </c>
      <c r="S133" s="45">
        <f t="shared" si="43"/>
        <v>131.41625493558072</v>
      </c>
      <c r="T133" s="45">
        <v>1708.41</v>
      </c>
      <c r="U133" s="46">
        <v>0</v>
      </c>
      <c r="V133" s="46">
        <v>0</v>
      </c>
      <c r="W133"/>
      <c r="X133" s="23"/>
      <c r="Y133" s="73" t="s">
        <v>1162</v>
      </c>
      <c r="Z133" s="47">
        <f>_xlfn.XLOOKUP(Y133,'relaties_export_2026-01-12_1609'!B:B,'relaties_export_2026-01-12_1609'!A:A,"",3)</f>
        <v>258</v>
      </c>
      <c r="AA133" s="47" t="str">
        <f>_xlfn.XLOOKUP(Z133,'relaties_export_2026-01-12_1609'!A:A,'relaties_export_2026-01-12_1609'!B:B,"",3)</f>
        <v>Parkwonen</v>
      </c>
      <c r="AB133" s="106"/>
      <c r="AC133" s="43">
        <v>1400</v>
      </c>
      <c r="AD133" s="43">
        <v>1400</v>
      </c>
      <c r="AE133" s="43">
        <v>1400</v>
      </c>
      <c r="AF133" s="46">
        <f t="shared" si="39"/>
        <v>107.6923905326081</v>
      </c>
      <c r="AG133" s="49">
        <v>44927</v>
      </c>
      <c r="AH133" s="49">
        <v>45292</v>
      </c>
    </row>
    <row r="134" spans="1:51" s="29" customFormat="1" ht="17" thickBot="1" x14ac:dyDescent="0.25">
      <c r="A134" s="30">
        <v>124</v>
      </c>
      <c r="B134" s="31" t="str">
        <f>_xlfn.XLOOKUP(D134,'[1]Sleutelplan nieuw'!B:B,'[1]Sleutelplan nieuw'!A:A,"",2)</f>
        <v>0088</v>
      </c>
      <c r="C134" s="32" t="s">
        <v>2824</v>
      </c>
      <c r="D134" s="59" t="s">
        <v>3240</v>
      </c>
      <c r="E134" s="60" t="s">
        <v>3241</v>
      </c>
      <c r="F134" s="76" t="s">
        <v>1303</v>
      </c>
      <c r="G134" s="77">
        <v>5</v>
      </c>
      <c r="H134" s="77">
        <v>3</v>
      </c>
      <c r="I134" s="78">
        <v>45751</v>
      </c>
      <c r="J134" s="78" t="s">
        <v>3113</v>
      </c>
      <c r="K134" s="79"/>
      <c r="L134" s="83" t="s">
        <v>2672</v>
      </c>
      <c r="M134" s="41">
        <f>_xlfn.XLOOKUP(L134,'relaties_export_2026-01-12_1609'!B:B,'relaties_export_2026-01-12_1609'!A:A,"",3)</f>
        <v>17</v>
      </c>
      <c r="N134" s="41" t="str">
        <f>_xlfn.XLOOKUP(M134,'relaties_export_2026-01-12_1609'!A:A,'relaties_export_2026-01-12_1609'!B:B,"",3)</f>
        <v>Tradiro Services B.V.</v>
      </c>
      <c r="O134" s="42"/>
      <c r="P134" s="43">
        <f t="shared" si="36"/>
        <v>993.81</v>
      </c>
      <c r="Q134" s="43">
        <f t="shared" si="44"/>
        <v>2827.2529</v>
      </c>
      <c r="R134" s="44">
        <f t="shared" si="42"/>
        <v>2593.81</v>
      </c>
      <c r="S134" s="45">
        <f t="shared" si="43"/>
        <v>119.7143997803075</v>
      </c>
      <c r="T134" s="45">
        <v>2593.81</v>
      </c>
      <c r="U134" s="125">
        <v>0</v>
      </c>
      <c r="V134" s="46">
        <v>0</v>
      </c>
      <c r="W134"/>
      <c r="X134" s="23"/>
      <c r="Y134" s="73" t="s">
        <v>1162</v>
      </c>
      <c r="Z134" s="47">
        <f>_xlfn.XLOOKUP(Y134,'relaties_export_2026-01-12_1609'!B:B,'relaties_export_2026-01-12_1609'!A:A,"",3)</f>
        <v>258</v>
      </c>
      <c r="AA134" s="47" t="str">
        <f>_xlfn.XLOOKUP(Z134,'relaties_export_2026-01-12_1609'!A:A,'relaties_export_2026-01-12_1609'!B:B,"",3)</f>
        <v>Parkwonen</v>
      </c>
      <c r="AB134" s="74"/>
      <c r="AC134" s="43">
        <v>1600</v>
      </c>
      <c r="AD134" s="48">
        <v>1600</v>
      </c>
      <c r="AE134" s="48">
        <v>1600</v>
      </c>
      <c r="AF134" s="70">
        <f t="shared" si="39"/>
        <v>73.846210650931269</v>
      </c>
      <c r="AG134" s="49">
        <v>45444</v>
      </c>
      <c r="AH134" s="49">
        <v>45809</v>
      </c>
    </row>
    <row r="135" spans="1:51" s="29" customFormat="1" ht="17" thickBot="1" x14ac:dyDescent="0.25">
      <c r="A135" s="30">
        <v>125</v>
      </c>
      <c r="B135" s="64" t="s">
        <v>3242</v>
      </c>
      <c r="C135" s="32" t="s">
        <v>2824</v>
      </c>
      <c r="D135" s="59" t="s">
        <v>3243</v>
      </c>
      <c r="E135" s="107" t="s">
        <v>3241</v>
      </c>
      <c r="F135" s="76" t="s">
        <v>1303</v>
      </c>
      <c r="G135" s="77">
        <v>5</v>
      </c>
      <c r="H135" s="77">
        <v>3</v>
      </c>
      <c r="I135" s="78">
        <v>45323</v>
      </c>
      <c r="J135" s="78">
        <v>45689</v>
      </c>
      <c r="K135" s="79"/>
      <c r="L135" s="83" t="s">
        <v>2672</v>
      </c>
      <c r="M135" s="41">
        <f>_xlfn.XLOOKUP(L135,'relaties_export_2026-01-12_1609'!B:B,'relaties_export_2026-01-12_1609'!A:A,"",3)</f>
        <v>17</v>
      </c>
      <c r="N135" s="41" t="str">
        <f>_xlfn.XLOOKUP(M135,'relaties_export_2026-01-12_1609'!A:A,'relaties_export_2026-01-12_1609'!B:B,"",3)</f>
        <v>Tradiro Services B.V.</v>
      </c>
      <c r="O135" s="42"/>
      <c r="P135" s="43">
        <f t="shared" si="36"/>
        <v>993.81</v>
      </c>
      <c r="Q135" s="43">
        <f t="shared" si="44"/>
        <v>2827.2529</v>
      </c>
      <c r="R135" s="44">
        <f t="shared" si="42"/>
        <v>2593.81</v>
      </c>
      <c r="S135" s="45">
        <f t="shared" si="43"/>
        <v>119.7143997803075</v>
      </c>
      <c r="T135" s="45">
        <v>2593.81</v>
      </c>
      <c r="U135" s="46">
        <v>0</v>
      </c>
      <c r="V135" s="46">
        <v>0</v>
      </c>
      <c r="W135"/>
      <c r="X135" s="23"/>
      <c r="Y135" s="73" t="s">
        <v>1162</v>
      </c>
      <c r="Z135" s="47">
        <f>_xlfn.XLOOKUP(Y135,'relaties_export_2026-01-12_1609'!B:B,'relaties_export_2026-01-12_1609'!A:A,"",3)</f>
        <v>258</v>
      </c>
      <c r="AA135" s="47" t="str">
        <f>_xlfn.XLOOKUP(Z135,'relaties_export_2026-01-12_1609'!A:A,'relaties_export_2026-01-12_1609'!B:B,"",3)</f>
        <v>Parkwonen</v>
      </c>
      <c r="AC135" s="43">
        <v>1600</v>
      </c>
      <c r="AD135" s="48">
        <v>1600</v>
      </c>
      <c r="AE135" s="48">
        <v>1600</v>
      </c>
      <c r="AF135" s="70">
        <f t="shared" si="39"/>
        <v>73.846210650931269</v>
      </c>
      <c r="AG135" s="49">
        <v>45292</v>
      </c>
      <c r="AH135" s="49">
        <v>45658</v>
      </c>
    </row>
    <row r="136" spans="1:51" s="29" customFormat="1" ht="17" thickBot="1" x14ac:dyDescent="0.25">
      <c r="A136" s="30">
        <v>126</v>
      </c>
      <c r="B136" s="31" t="str">
        <f>_xlfn.XLOOKUP(D136,'[1]Sleutelplan nieuw'!B:B,'[1]Sleutelplan nieuw'!A:A,"",2)</f>
        <v>0033</v>
      </c>
      <c r="C136" s="32" t="s">
        <v>2824</v>
      </c>
      <c r="D136" s="126" t="s">
        <v>3244</v>
      </c>
      <c r="E136" s="107" t="s">
        <v>3241</v>
      </c>
      <c r="F136" s="76" t="s">
        <v>1303</v>
      </c>
      <c r="G136" s="108">
        <v>5</v>
      </c>
      <c r="H136" s="108">
        <v>3</v>
      </c>
      <c r="I136" s="78">
        <v>44986</v>
      </c>
      <c r="J136" s="78">
        <v>45352</v>
      </c>
      <c r="K136" s="78"/>
      <c r="L136" s="83" t="s">
        <v>2672</v>
      </c>
      <c r="M136" s="41">
        <f>_xlfn.XLOOKUP(L136,'relaties_export_2026-01-12_1609'!B:B,'relaties_export_2026-01-12_1609'!A:A,"",3)</f>
        <v>17</v>
      </c>
      <c r="N136" s="41" t="str">
        <f>_xlfn.XLOOKUP(M136,'relaties_export_2026-01-12_1609'!A:A,'relaties_export_2026-01-12_1609'!B:B,"",3)</f>
        <v>Tradiro Services B.V.</v>
      </c>
      <c r="O136" s="42"/>
      <c r="P136" s="43">
        <f t="shared" si="36"/>
        <v>482</v>
      </c>
      <c r="Q136" s="43">
        <f t="shared" si="44"/>
        <v>2269.38</v>
      </c>
      <c r="R136" s="44">
        <f t="shared" si="42"/>
        <v>2082</v>
      </c>
      <c r="S136" s="45">
        <f t="shared" si="43"/>
        <v>96.09238160952431</v>
      </c>
      <c r="T136" s="45">
        <v>2082</v>
      </c>
      <c r="U136" s="46">
        <v>0</v>
      </c>
      <c r="V136" s="46">
        <v>0</v>
      </c>
      <c r="W136"/>
      <c r="X136" s="23"/>
      <c r="Y136" s="73" t="s">
        <v>2260</v>
      </c>
      <c r="Z136" s="47">
        <f>_xlfn.XLOOKUP(Y136,'relaties_export_2026-01-12_1609'!B:B,'relaties_export_2026-01-12_1609'!A:A,"",3)</f>
        <v>582</v>
      </c>
      <c r="AA136" s="47" t="str">
        <f>_xlfn.XLOOKUP(Z136,'relaties_export_2026-01-12_1609'!A:A,'relaties_export_2026-01-12_1609'!B:B,"",3)</f>
        <v>Wooninq</v>
      </c>
      <c r="AC136" s="43">
        <v>1600</v>
      </c>
      <c r="AD136" s="48">
        <v>1600</v>
      </c>
      <c r="AE136" s="110">
        <v>1600</v>
      </c>
      <c r="AF136" s="70">
        <f t="shared" si="39"/>
        <v>73.846210650931269</v>
      </c>
      <c r="AG136" s="49">
        <v>44986</v>
      </c>
      <c r="AH136" s="49">
        <v>45352</v>
      </c>
    </row>
    <row r="137" spans="1:51" s="29" customFormat="1" ht="17" thickBot="1" x14ac:dyDescent="0.25">
      <c r="A137" s="30">
        <v>127</v>
      </c>
      <c r="B137" s="64" t="s">
        <v>3245</v>
      </c>
      <c r="C137" s="32" t="s">
        <v>2824</v>
      </c>
      <c r="D137" s="126" t="s">
        <v>3246</v>
      </c>
      <c r="E137" s="107" t="s">
        <v>3241</v>
      </c>
      <c r="F137" s="76" t="s">
        <v>1303</v>
      </c>
      <c r="G137" s="108">
        <v>5</v>
      </c>
      <c r="H137" s="108">
        <v>3</v>
      </c>
      <c r="I137" s="78">
        <v>45695</v>
      </c>
      <c r="J137" s="78">
        <v>46060</v>
      </c>
      <c r="K137" s="78"/>
      <c r="L137" s="83" t="s">
        <v>2672</v>
      </c>
      <c r="M137" s="41">
        <f>_xlfn.XLOOKUP(L137,'relaties_export_2026-01-12_1609'!B:B,'relaties_export_2026-01-12_1609'!A:A,"",3)</f>
        <v>17</v>
      </c>
      <c r="N137" s="41" t="str">
        <f>_xlfn.XLOOKUP(M137,'relaties_export_2026-01-12_1609'!A:A,'relaties_export_2026-01-12_1609'!B:B,"",3)</f>
        <v>Tradiro Services B.V.</v>
      </c>
      <c r="O137" s="42"/>
      <c r="P137" s="43">
        <f t="shared" si="36"/>
        <v>1491.65</v>
      </c>
      <c r="Q137" s="43">
        <f t="shared" si="44"/>
        <v>2715.8985000000002</v>
      </c>
      <c r="R137" s="44">
        <v>2491.65</v>
      </c>
      <c r="S137" s="45">
        <f t="shared" si="43"/>
        <v>114.99931923024556</v>
      </c>
      <c r="T137" s="45">
        <v>2491.65</v>
      </c>
      <c r="U137" s="46"/>
      <c r="V137" s="46"/>
      <c r="W137"/>
      <c r="X137" s="23"/>
      <c r="Y137" s="73" t="s">
        <v>1162</v>
      </c>
      <c r="Z137" s="47">
        <f>_xlfn.XLOOKUP(Y137,'relaties_export_2026-01-12_1609'!B:B,'relaties_export_2026-01-12_1609'!A:A,"",3)</f>
        <v>258</v>
      </c>
      <c r="AA137" s="47" t="str">
        <f>_xlfn.XLOOKUP(Z137,'relaties_export_2026-01-12_1609'!A:A,'relaties_export_2026-01-12_1609'!B:B,"",3)</f>
        <v>Parkwonen</v>
      </c>
      <c r="AC137" s="43">
        <v>1000</v>
      </c>
      <c r="AD137" s="48">
        <v>1000</v>
      </c>
      <c r="AE137" s="110">
        <v>1000</v>
      </c>
      <c r="AF137" s="70">
        <f t="shared" si="39"/>
        <v>46.153881656832041</v>
      </c>
      <c r="AG137" s="49">
        <v>45689</v>
      </c>
      <c r="AH137" s="49">
        <v>46054</v>
      </c>
    </row>
    <row r="138" spans="1:51" s="29" customFormat="1" ht="17" thickBot="1" x14ac:dyDescent="0.25">
      <c r="A138" s="30">
        <v>128</v>
      </c>
      <c r="B138" s="31" t="str">
        <f>_xlfn.XLOOKUP(D138,'[1]Sleutelplan nieuw'!B:B,'[1]Sleutelplan nieuw'!A:A,"",2)</f>
        <v>0034</v>
      </c>
      <c r="C138" s="32" t="s">
        <v>2824</v>
      </c>
      <c r="D138" s="126" t="s">
        <v>3247</v>
      </c>
      <c r="E138" s="107" t="s">
        <v>3241</v>
      </c>
      <c r="F138" s="76" t="s">
        <v>1303</v>
      </c>
      <c r="G138" s="108">
        <v>5</v>
      </c>
      <c r="H138" s="108">
        <v>3</v>
      </c>
      <c r="I138" s="78">
        <v>44986</v>
      </c>
      <c r="J138" s="78">
        <v>45352</v>
      </c>
      <c r="K138" s="78"/>
      <c r="L138" s="83" t="s">
        <v>2672</v>
      </c>
      <c r="M138" s="41">
        <f>_xlfn.XLOOKUP(L138,'relaties_export_2026-01-12_1609'!B:B,'relaties_export_2026-01-12_1609'!A:A,"",3)</f>
        <v>17</v>
      </c>
      <c r="N138" s="41" t="str">
        <f>_xlfn.XLOOKUP(M138,'relaties_export_2026-01-12_1609'!A:A,'relaties_export_2026-01-12_1609'!B:B,"",3)</f>
        <v>Tradiro Services B.V.</v>
      </c>
      <c r="O138" s="42"/>
      <c r="P138" s="43">
        <f t="shared" si="36"/>
        <v>482</v>
      </c>
      <c r="Q138" s="43">
        <f t="shared" si="44"/>
        <v>2269.38</v>
      </c>
      <c r="R138" s="44">
        <f t="shared" ref="R138:R159" si="45">T138+U138</f>
        <v>2082</v>
      </c>
      <c r="S138" s="45">
        <f t="shared" si="43"/>
        <v>96.09238160952431</v>
      </c>
      <c r="T138" s="45">
        <v>2082</v>
      </c>
      <c r="U138" s="46">
        <v>0</v>
      </c>
      <c r="V138" s="46">
        <v>0</v>
      </c>
      <c r="W138"/>
      <c r="X138" s="23"/>
      <c r="Y138" s="73" t="s">
        <v>2260</v>
      </c>
      <c r="Z138" s="47">
        <f>_xlfn.XLOOKUP(Y138,'relaties_export_2026-01-12_1609'!B:B,'relaties_export_2026-01-12_1609'!A:A,"",3)</f>
        <v>582</v>
      </c>
      <c r="AA138" s="47" t="str">
        <f>_xlfn.XLOOKUP(Z138,'relaties_export_2026-01-12_1609'!A:A,'relaties_export_2026-01-12_1609'!B:B,"",3)</f>
        <v>Wooninq</v>
      </c>
      <c r="AC138" s="43">
        <v>1600</v>
      </c>
      <c r="AD138" s="48">
        <v>1600</v>
      </c>
      <c r="AE138" s="110">
        <v>1600</v>
      </c>
      <c r="AF138" s="70">
        <f t="shared" si="39"/>
        <v>73.846210650931269</v>
      </c>
      <c r="AG138" s="49">
        <v>44986</v>
      </c>
      <c r="AH138" s="49">
        <v>45352</v>
      </c>
    </row>
    <row r="139" spans="1:51" s="29" customFormat="1" ht="17" thickBot="1" x14ac:dyDescent="0.25">
      <c r="A139" s="30">
        <v>129</v>
      </c>
      <c r="B139" s="31" t="str">
        <f>_xlfn.XLOOKUP(D139,'[1]Sleutelplan nieuw'!B:B,'[1]Sleutelplan nieuw'!A:A,"",2)</f>
        <v>0085</v>
      </c>
      <c r="C139" s="32" t="s">
        <v>2831</v>
      </c>
      <c r="D139" s="59" t="s">
        <v>3248</v>
      </c>
      <c r="E139" s="60" t="s">
        <v>3249</v>
      </c>
      <c r="F139" s="76" t="s">
        <v>1069</v>
      </c>
      <c r="G139" s="77">
        <v>3</v>
      </c>
      <c r="H139" s="77">
        <v>3</v>
      </c>
      <c r="I139" s="78">
        <v>45975</v>
      </c>
      <c r="J139" s="78">
        <v>46203</v>
      </c>
      <c r="K139" s="78"/>
      <c r="L139" s="83" t="s">
        <v>3250</v>
      </c>
      <c r="M139" s="41">
        <f>_xlfn.XLOOKUP(L139,'relaties_export_2026-01-12_1609'!B:B,'relaties_export_2026-01-12_1609'!A:A,"",3)</f>
        <v>320</v>
      </c>
      <c r="N139" s="41" t="str">
        <f>_xlfn.XLOOKUP(M139,'relaties_export_2026-01-12_1609'!A:A,'relaties_export_2026-01-12_1609'!B:B,"",3)</f>
        <v>Estra Logistics Systems B.V.</v>
      </c>
      <c r="O139" s="120" t="s">
        <v>3251</v>
      </c>
      <c r="P139" s="43">
        <f t="shared" si="36"/>
        <v>981.98</v>
      </c>
      <c r="Q139" s="43">
        <f t="shared" si="44"/>
        <v>2858</v>
      </c>
      <c r="R139" s="44">
        <f t="shared" si="45"/>
        <v>2600</v>
      </c>
      <c r="S139" s="45">
        <f t="shared" si="43"/>
        <v>200.00015384627218</v>
      </c>
      <c r="T139" s="45">
        <v>2400</v>
      </c>
      <c r="U139" s="46">
        <v>200</v>
      </c>
      <c r="V139" s="46">
        <v>0</v>
      </c>
      <c r="W139"/>
      <c r="X139" s="23"/>
      <c r="Y139" s="56" t="s">
        <v>2696</v>
      </c>
      <c r="Z139" s="47">
        <f>_xlfn.XLOOKUP(Y139,'relaties_export_2026-01-12_1609'!B:B,'relaties_export_2026-01-12_1609'!A:A,"",3)</f>
        <v>815</v>
      </c>
      <c r="AA139" s="47" t="str">
        <f>_xlfn.XLOOKUP(Z139,'relaties_export_2026-01-12_1609'!A:A,'relaties_export_2026-01-12_1609'!B:B,"",3)</f>
        <v>E. Rebel</v>
      </c>
      <c r="AB139" s="70" t="s">
        <v>3252</v>
      </c>
      <c r="AC139" s="70">
        <v>1418.02</v>
      </c>
      <c r="AD139" s="70">
        <v>1418.02</v>
      </c>
      <c r="AE139" s="70">
        <v>1418.02</v>
      </c>
      <c r="AF139" s="70">
        <f t="shared" si="39"/>
        <v>109.07854544503496</v>
      </c>
      <c r="AG139" s="49">
        <v>44743</v>
      </c>
      <c r="AH139" s="49">
        <v>45463</v>
      </c>
      <c r="AI139"/>
      <c r="AJ139"/>
      <c r="AK139" s="80"/>
      <c r="AL139" s="80"/>
      <c r="AO139" s="34"/>
      <c r="AP139" s="34"/>
      <c r="AQ139" s="58"/>
      <c r="AT139" s="81"/>
      <c r="AU139" s="81"/>
      <c r="AY139" s="82"/>
    </row>
    <row r="140" spans="1:51" s="29" customFormat="1" ht="17" thickBot="1" x14ac:dyDescent="0.25">
      <c r="A140" s="30">
        <v>130</v>
      </c>
      <c r="B140" s="31" t="str">
        <f>_xlfn.XLOOKUP(D140,'[1]Sleutelplan nieuw'!B:B,'[1]Sleutelplan nieuw'!A:A,"",2)</f>
        <v>0202</v>
      </c>
      <c r="C140" s="32" t="s">
        <v>2831</v>
      </c>
      <c r="D140" s="59" t="s">
        <v>3253</v>
      </c>
      <c r="E140" s="60" t="s">
        <v>3254</v>
      </c>
      <c r="F140" s="76" t="s">
        <v>84</v>
      </c>
      <c r="G140" s="77">
        <v>5</v>
      </c>
      <c r="H140" s="77">
        <v>3</v>
      </c>
      <c r="I140" s="78">
        <v>45751</v>
      </c>
      <c r="J140" s="78">
        <v>46206</v>
      </c>
      <c r="K140" s="78"/>
      <c r="L140" s="83" t="s">
        <v>3108</v>
      </c>
      <c r="M140" s="41">
        <f>_xlfn.XLOOKUP(L140,'relaties_export_2026-01-12_1609'!B:B,'relaties_export_2026-01-12_1609'!A:A,"",3)</f>
        <v>355</v>
      </c>
      <c r="N140" s="41" t="str">
        <f>_xlfn.XLOOKUP(M140,'relaties_export_2026-01-12_1609'!A:A,'relaties_export_2026-01-12_1609'!B:B,"",3)</f>
        <v>LogIQ Barendrecht B.V.</v>
      </c>
      <c r="O140" s="42"/>
      <c r="P140" s="43">
        <f t="shared" si="36"/>
        <v>1220</v>
      </c>
      <c r="Q140" s="43">
        <f t="shared" si="44"/>
        <v>3251.5</v>
      </c>
      <c r="R140" s="44">
        <f t="shared" si="45"/>
        <v>2950</v>
      </c>
      <c r="S140" s="45">
        <f>(R140/G140)/4.33333</f>
        <v>136.15395088765453</v>
      </c>
      <c r="T140" s="45">
        <v>2650</v>
      </c>
      <c r="U140" s="46">
        <v>300</v>
      </c>
      <c r="V140" s="46"/>
      <c r="W140"/>
      <c r="X140" s="23"/>
      <c r="Y140" s="56" t="s">
        <v>3109</v>
      </c>
      <c r="Z140" s="47" t="str">
        <f>_xlfn.XLOOKUP(Y140,'relaties_export_2026-01-12_1609'!B:B,'relaties_export_2026-01-12_1609'!A:A,"",3)</f>
        <v/>
      </c>
      <c r="AA140" s="47" t="str">
        <f>_xlfn.XLOOKUP(Z140,'relaties_export_2026-01-12_1609'!A:A,'relaties_export_2026-01-12_1609'!B:B,"",3)</f>
        <v>naam</v>
      </c>
      <c r="AB140" s="67" t="s">
        <v>3110</v>
      </c>
      <c r="AC140" s="46">
        <v>1430</v>
      </c>
      <c r="AD140" s="70">
        <v>1430</v>
      </c>
      <c r="AE140" s="70">
        <v>1430</v>
      </c>
      <c r="AF140" s="70">
        <f t="shared" si="39"/>
        <v>66.000050769269819</v>
      </c>
      <c r="AG140" s="49"/>
      <c r="AH140" s="49"/>
      <c r="AI140"/>
      <c r="AJ140"/>
      <c r="AK140" s="80"/>
      <c r="AL140" s="80"/>
      <c r="AO140" s="34"/>
      <c r="AP140" s="34"/>
      <c r="AQ140" s="58"/>
      <c r="AT140" s="81"/>
      <c r="AU140" s="81"/>
      <c r="AY140" s="82"/>
    </row>
    <row r="141" spans="1:51" s="29" customFormat="1" ht="17" thickBot="1" x14ac:dyDescent="0.25">
      <c r="A141" s="30">
        <v>131</v>
      </c>
      <c r="B141" s="31" t="str">
        <f>_xlfn.XLOOKUP(D141,'[1]Sleutelplan nieuw'!B:B,'[1]Sleutelplan nieuw'!A:A,"",2)</f>
        <v>0359</v>
      </c>
      <c r="C141" s="32" t="s">
        <v>2824</v>
      </c>
      <c r="D141" s="59" t="s">
        <v>3255</v>
      </c>
      <c r="E141" s="60" t="s">
        <v>3254</v>
      </c>
      <c r="F141" s="76" t="s">
        <v>84</v>
      </c>
      <c r="G141" s="77">
        <v>4</v>
      </c>
      <c r="H141" s="77">
        <v>2</v>
      </c>
      <c r="I141" s="78">
        <v>45751</v>
      </c>
      <c r="J141" s="78">
        <v>46206</v>
      </c>
      <c r="K141" s="78"/>
      <c r="L141" s="83" t="s">
        <v>3108</v>
      </c>
      <c r="M141" s="41">
        <f>_xlfn.XLOOKUP(L141,'relaties_export_2026-01-12_1609'!B:B,'relaties_export_2026-01-12_1609'!A:A,"",3)</f>
        <v>355</v>
      </c>
      <c r="N141" s="41" t="str">
        <f>_xlfn.XLOOKUP(M141,'relaties_export_2026-01-12_1609'!A:A,'relaties_export_2026-01-12_1609'!B:B,"",3)</f>
        <v>LogIQ Barendrecht B.V.</v>
      </c>
      <c r="O141" s="42"/>
      <c r="P141" s="43">
        <f t="shared" si="36"/>
        <v>343.33999999999992</v>
      </c>
      <c r="Q141" s="43">
        <f t="shared" si="44"/>
        <v>2755</v>
      </c>
      <c r="R141" s="44">
        <f t="shared" si="45"/>
        <v>2500</v>
      </c>
      <c r="S141" s="45">
        <f t="shared" si="43"/>
        <v>144.23088017760014</v>
      </c>
      <c r="T141" s="45">
        <v>2250</v>
      </c>
      <c r="U141" s="46">
        <v>250</v>
      </c>
      <c r="V141" s="46"/>
      <c r="W141"/>
      <c r="X141" s="23"/>
      <c r="Y141" s="56" t="s">
        <v>2697</v>
      </c>
      <c r="Z141" s="47">
        <f>_xlfn.XLOOKUP(Y141,'relaties_export_2026-01-12_1609'!B:B,'relaties_export_2026-01-12_1609'!A:A,"",3)</f>
        <v>816</v>
      </c>
      <c r="AA141" s="47" t="str">
        <f>_xlfn.XLOOKUP(Z141,'relaties_export_2026-01-12_1609'!A:A,'relaties_export_2026-01-12_1609'!B:B,"",3)</f>
        <v>Dockholland</v>
      </c>
      <c r="AB141" s="67" t="s">
        <v>3256</v>
      </c>
      <c r="AC141" s="46">
        <f>AD141*1.09</f>
        <v>2078.2594000000004</v>
      </c>
      <c r="AD141" s="70">
        <v>1906.66</v>
      </c>
      <c r="AE141" s="70">
        <v>1906.66</v>
      </c>
      <c r="AF141" s="70">
        <f t="shared" si="39"/>
        <v>109.99969999976923</v>
      </c>
      <c r="AG141" s="49">
        <v>45772</v>
      </c>
      <c r="AH141" s="49">
        <v>46136</v>
      </c>
      <c r="AI141"/>
      <c r="AJ141"/>
      <c r="AK141" s="80"/>
      <c r="AL141" s="80"/>
      <c r="AO141" s="34"/>
      <c r="AP141" s="34"/>
      <c r="AQ141" s="58"/>
      <c r="AT141" s="81"/>
      <c r="AU141" s="81"/>
      <c r="AY141" s="82"/>
    </row>
    <row r="142" spans="1:51" s="29" customFormat="1" ht="17" thickBot="1" x14ac:dyDescent="0.25">
      <c r="A142" s="30">
        <v>132</v>
      </c>
      <c r="B142" s="31" t="str">
        <f>_xlfn.XLOOKUP(D142,'[1]Sleutelplan nieuw'!B:B,'[1]Sleutelplan nieuw'!A:A,"",2)</f>
        <v>0086</v>
      </c>
      <c r="C142" s="32" t="s">
        <v>2831</v>
      </c>
      <c r="D142" s="59" t="s">
        <v>3257</v>
      </c>
      <c r="E142" s="60" t="s">
        <v>3258</v>
      </c>
      <c r="F142" s="76" t="s">
        <v>857</v>
      </c>
      <c r="G142" s="77">
        <v>7</v>
      </c>
      <c r="H142" s="77">
        <v>6</v>
      </c>
      <c r="I142" s="78">
        <v>45748</v>
      </c>
      <c r="J142" s="78">
        <v>45900</v>
      </c>
      <c r="K142" s="78"/>
      <c r="L142" t="s">
        <v>1458</v>
      </c>
      <c r="M142" s="41">
        <f>_xlfn.XLOOKUP(L142,'relaties_export_2026-01-12_1609'!B:B,'relaties_export_2026-01-12_1609'!A:A,"",3)</f>
        <v>338</v>
      </c>
      <c r="N142" s="41" t="str">
        <f>_xlfn.XLOOKUP(M142,'relaties_export_2026-01-12_1609'!A:A,'relaties_export_2026-01-12_1609'!B:B,"",3)</f>
        <v>Workforce Housing Holland B.V.</v>
      </c>
      <c r="O142" s="121" t="s">
        <v>3260</v>
      </c>
      <c r="P142" s="43">
        <f t="shared" si="36"/>
        <v>-4105.3600000000006</v>
      </c>
      <c r="Q142" s="43"/>
      <c r="R142" s="44"/>
      <c r="S142" s="45"/>
      <c r="T142" s="45"/>
      <c r="U142" s="46">
        <v>550</v>
      </c>
      <c r="V142" s="46">
        <v>0</v>
      </c>
      <c r="W142"/>
      <c r="X142" s="23"/>
      <c r="Y142" s="56" t="s">
        <v>2698</v>
      </c>
      <c r="Z142" s="47">
        <f>_xlfn.XLOOKUP(Y142,'relaties_export_2026-01-12_1609'!B:B,'relaties_export_2026-01-12_1609'!A:A,"",3)</f>
        <v>175</v>
      </c>
      <c r="AA142" s="47" t="str">
        <f>_xlfn.XLOOKUP(Z142,'relaties_export_2026-01-12_1609'!A:A,'relaties_export_2026-01-12_1609'!B:B,"",3)</f>
        <v>Dhr. J.L. Meerding</v>
      </c>
      <c r="AB142" s="70" t="s">
        <v>2960</v>
      </c>
      <c r="AC142" s="70">
        <v>3555.36</v>
      </c>
      <c r="AD142" s="70">
        <v>3555.36</v>
      </c>
      <c r="AE142" s="70">
        <v>3555.36</v>
      </c>
      <c r="AF142" s="70">
        <f t="shared" si="39"/>
        <v>117.20976049102455</v>
      </c>
      <c r="AG142" s="49">
        <v>44805</v>
      </c>
      <c r="AH142" s="49">
        <v>46630</v>
      </c>
      <c r="AI142"/>
      <c r="AJ142"/>
      <c r="AK142" s="80"/>
      <c r="AL142" s="80"/>
      <c r="AO142" s="34"/>
      <c r="AP142" s="34"/>
      <c r="AQ142" s="58"/>
      <c r="AT142" s="81"/>
      <c r="AU142" s="81"/>
      <c r="AY142" s="82"/>
    </row>
    <row r="143" spans="1:51" s="29" customFormat="1" ht="17" thickBot="1" x14ac:dyDescent="0.25">
      <c r="A143" s="30">
        <v>133</v>
      </c>
      <c r="B143" s="31" t="str">
        <f>_xlfn.XLOOKUP(D143,'[1]Sleutelplan nieuw'!B:B,'[1]Sleutelplan nieuw'!A:A,"",2)</f>
        <v>0119</v>
      </c>
      <c r="C143" s="32" t="s">
        <v>2831</v>
      </c>
      <c r="D143" s="59" t="s">
        <v>3261</v>
      </c>
      <c r="E143" s="60" t="s">
        <v>3262</v>
      </c>
      <c r="F143" s="76" t="s">
        <v>3263</v>
      </c>
      <c r="G143" s="77">
        <v>5</v>
      </c>
      <c r="H143" s="77">
        <v>5</v>
      </c>
      <c r="I143" s="78">
        <v>45415</v>
      </c>
      <c r="J143" s="78">
        <v>45779</v>
      </c>
      <c r="K143" s="78"/>
      <c r="L143" t="s">
        <v>974</v>
      </c>
      <c r="M143" s="41">
        <f>_xlfn.XLOOKUP(L143,'relaties_export_2026-01-12_1609'!B:B,'relaties_export_2026-01-12_1609'!A:A,"",3)</f>
        <v>210</v>
      </c>
      <c r="N143" s="41" t="str">
        <f>_xlfn.XLOOKUP(M143,'relaties_export_2026-01-12_1609'!A:A,'relaties_export_2026-01-12_1609'!B:B,"",3)</f>
        <v>DIT en Larex Vakpersoneel B.V.</v>
      </c>
      <c r="O143" s="42"/>
      <c r="P143" s="43">
        <f t="shared" si="36"/>
        <v>909.2800000000002</v>
      </c>
      <c r="Q143" s="43">
        <f t="shared" si="44"/>
        <v>4079.1152000000006</v>
      </c>
      <c r="R143" s="44">
        <f t="shared" si="45"/>
        <v>3709.28</v>
      </c>
      <c r="S143" s="45">
        <f t="shared" si="43"/>
        <v>171.19767015205395</v>
      </c>
      <c r="T143" s="45">
        <v>3409.28</v>
      </c>
      <c r="U143" s="46">
        <v>300</v>
      </c>
      <c r="V143" s="46">
        <v>0</v>
      </c>
      <c r="W143"/>
      <c r="X143" s="23"/>
      <c r="Y143" s="46" t="s">
        <v>2668</v>
      </c>
      <c r="Z143" s="47">
        <f>_xlfn.XLOOKUP(Y143,'relaties_export_2026-01-12_1609'!B:B,'relaties_export_2026-01-12_1609'!A:A,"",3)</f>
        <v>783</v>
      </c>
      <c r="AA143" s="47" t="str">
        <f>_xlfn.XLOOKUP(Z143,'relaties_export_2026-01-12_1609'!A:A,'relaties_export_2026-01-12_1609'!B:B,"",3)</f>
        <v>Johan ven der Burg</v>
      </c>
      <c r="AB143" s="46"/>
      <c r="AC143" s="46">
        <v>2500</v>
      </c>
      <c r="AD143" s="46">
        <v>2500</v>
      </c>
      <c r="AE143" s="46">
        <v>2500</v>
      </c>
      <c r="AF143" s="46">
        <f t="shared" si="39"/>
        <v>115.38470414208011</v>
      </c>
      <c r="AG143" s="49">
        <v>45383</v>
      </c>
      <c r="AH143" s="49">
        <v>46112</v>
      </c>
      <c r="AI143"/>
      <c r="AJ143"/>
      <c r="AK143" s="80"/>
      <c r="AL143" s="80"/>
      <c r="AO143" s="34"/>
      <c r="AP143" s="34"/>
      <c r="AQ143" s="58"/>
      <c r="AT143" s="81"/>
      <c r="AU143" s="81"/>
      <c r="AY143" s="82"/>
    </row>
    <row r="144" spans="1:51" s="29" customFormat="1" ht="17" thickBot="1" x14ac:dyDescent="0.25">
      <c r="A144" s="30">
        <v>134</v>
      </c>
      <c r="B144" s="31" t="str">
        <f>_xlfn.XLOOKUP(D144,'[1]Sleutelplan nieuw'!B:B,'[1]Sleutelplan nieuw'!A:A,"",2)</f>
        <v>0126</v>
      </c>
      <c r="C144" s="32" t="s">
        <v>2824</v>
      </c>
      <c r="D144" s="59" t="s">
        <v>3264</v>
      </c>
      <c r="E144" s="60" t="s">
        <v>3265</v>
      </c>
      <c r="F144" s="76" t="s">
        <v>481</v>
      </c>
      <c r="G144" s="77">
        <v>3</v>
      </c>
      <c r="H144" s="77">
        <v>3</v>
      </c>
      <c r="I144" s="78">
        <v>46031</v>
      </c>
      <c r="J144" s="78">
        <v>46395</v>
      </c>
      <c r="K144" s="78"/>
      <c r="L144" s="83" t="s">
        <v>2827</v>
      </c>
      <c r="M144" s="41">
        <f>_xlfn.XLOOKUP(L144,'relaties_export_2026-01-12_1609'!B:B,'relaties_export_2026-01-12_1609'!A:A,"",3)</f>
        <v>23</v>
      </c>
      <c r="N144" s="41" t="str">
        <f>_xlfn.XLOOKUP(M144,'relaties_export_2026-01-12_1609'!A:A,'relaties_export_2026-01-12_1609'!B:B,"",3)</f>
        <v>S. Bakker OPH Verhuur</v>
      </c>
      <c r="O144" s="120" t="s">
        <v>3266</v>
      </c>
      <c r="P144" s="43">
        <f t="shared" si="36"/>
        <v>850</v>
      </c>
      <c r="Q144" s="43">
        <f>T144*1.21+U144*1.21</f>
        <v>3025</v>
      </c>
      <c r="R144" s="44">
        <f t="shared" si="45"/>
        <v>2500</v>
      </c>
      <c r="S144" s="45">
        <f t="shared" si="43"/>
        <v>192.30784023680019</v>
      </c>
      <c r="T144" s="45">
        <v>2350</v>
      </c>
      <c r="U144" s="46">
        <v>150</v>
      </c>
      <c r="V144" s="46">
        <v>0</v>
      </c>
      <c r="W144"/>
      <c r="X144" s="23"/>
      <c r="Y144" s="56" t="s">
        <v>1162</v>
      </c>
      <c r="Z144" s="47">
        <f>_xlfn.XLOOKUP(Y144,'relaties_export_2026-01-12_1609'!B:B,'relaties_export_2026-01-12_1609'!A:A,"",3)</f>
        <v>258</v>
      </c>
      <c r="AA144" s="47" t="str">
        <f>_xlfn.XLOOKUP(Z144,'relaties_export_2026-01-12_1609'!A:A,'relaties_export_2026-01-12_1609'!B:B,"",3)</f>
        <v>Parkwonen</v>
      </c>
      <c r="AB144" s="46"/>
      <c r="AC144" s="46">
        <v>1500</v>
      </c>
      <c r="AD144" s="46">
        <v>1500</v>
      </c>
      <c r="AE144" s="46">
        <v>1500</v>
      </c>
      <c r="AF144" s="46">
        <f t="shared" si="39"/>
        <v>115.38470414208011</v>
      </c>
      <c r="AG144" s="49">
        <v>45323</v>
      </c>
      <c r="AH144" s="49">
        <v>45689</v>
      </c>
      <c r="AI144"/>
      <c r="AJ144"/>
      <c r="AK144" s="80"/>
      <c r="AL144" s="80"/>
      <c r="AO144" s="34"/>
      <c r="AP144" s="34"/>
      <c r="AQ144" s="58"/>
      <c r="AT144" s="81"/>
      <c r="AU144" s="81"/>
      <c r="AY144" s="82"/>
    </row>
    <row r="145" spans="1:52" s="29" customFormat="1" ht="17" thickBot="1" x14ac:dyDescent="0.25">
      <c r="A145" s="30">
        <v>135</v>
      </c>
      <c r="B145" s="31" t="str">
        <f>_xlfn.XLOOKUP(D145,'[1]Sleutelplan nieuw'!B:B,'[1]Sleutelplan nieuw'!A:A,"",2)</f>
        <v>0125</v>
      </c>
      <c r="C145" s="32" t="s">
        <v>2824</v>
      </c>
      <c r="D145" s="59" t="s">
        <v>3267</v>
      </c>
      <c r="E145" s="60" t="s">
        <v>3265</v>
      </c>
      <c r="F145" s="76" t="s">
        <v>481</v>
      </c>
      <c r="G145" s="77">
        <v>2</v>
      </c>
      <c r="H145" s="77">
        <v>3</v>
      </c>
      <c r="I145" s="78">
        <v>46031</v>
      </c>
      <c r="J145" s="78">
        <v>46395</v>
      </c>
      <c r="K145" s="78"/>
      <c r="L145" s="83" t="s">
        <v>2827</v>
      </c>
      <c r="M145" s="41">
        <f>_xlfn.XLOOKUP(L145,'relaties_export_2026-01-12_1609'!B:B,'relaties_export_2026-01-12_1609'!A:A,"",3)</f>
        <v>23</v>
      </c>
      <c r="N145" s="41" t="str">
        <f>_xlfn.XLOOKUP(M145,'relaties_export_2026-01-12_1609'!A:A,'relaties_export_2026-01-12_1609'!B:B,"",3)</f>
        <v>S. Bakker OPH Verhuur</v>
      </c>
      <c r="O145" s="120" t="s">
        <v>3266</v>
      </c>
      <c r="P145" s="43">
        <f t="shared" si="36"/>
        <v>100</v>
      </c>
      <c r="Q145" s="43">
        <f>T145*1.21+U145*1.21</f>
        <v>2057</v>
      </c>
      <c r="R145" s="44">
        <f t="shared" si="45"/>
        <v>1700</v>
      </c>
      <c r="S145" s="45">
        <f t="shared" si="43"/>
        <v>196.15399704153617</v>
      </c>
      <c r="T145" s="45">
        <v>1600</v>
      </c>
      <c r="U145" s="46">
        <v>100</v>
      </c>
      <c r="V145" s="46">
        <v>0</v>
      </c>
      <c r="W145"/>
      <c r="X145" s="23"/>
      <c r="Y145" s="56" t="s">
        <v>1162</v>
      </c>
      <c r="Z145" s="47">
        <f>_xlfn.XLOOKUP(Y145,'relaties_export_2026-01-12_1609'!B:B,'relaties_export_2026-01-12_1609'!A:A,"",3)</f>
        <v>258</v>
      </c>
      <c r="AA145" s="47" t="str">
        <f>_xlfn.XLOOKUP(Z145,'relaties_export_2026-01-12_1609'!A:A,'relaties_export_2026-01-12_1609'!B:B,"",3)</f>
        <v>Parkwonen</v>
      </c>
      <c r="AB145" s="46"/>
      <c r="AC145" s="46">
        <v>1500</v>
      </c>
      <c r="AD145" s="46">
        <v>1500</v>
      </c>
      <c r="AE145" s="46">
        <v>1500</v>
      </c>
      <c r="AF145" s="46">
        <f t="shared" si="39"/>
        <v>173.07705621312016</v>
      </c>
      <c r="AG145" s="49">
        <v>45323</v>
      </c>
      <c r="AH145" s="49">
        <v>45689</v>
      </c>
      <c r="AI145"/>
      <c r="AJ145"/>
      <c r="AK145" s="80"/>
      <c r="AL145" s="80"/>
      <c r="AO145" s="34"/>
      <c r="AP145" s="34"/>
      <c r="AQ145" s="58"/>
      <c r="AT145" s="81"/>
      <c r="AU145" s="81"/>
      <c r="AY145" s="82"/>
    </row>
    <row r="146" spans="1:52" s="29" customFormat="1" ht="17" thickBot="1" x14ac:dyDescent="0.25">
      <c r="A146" s="30"/>
      <c r="B146" s="31" t="str">
        <f>_xlfn.XLOOKUP(D146,'[1]Sleutelplan nieuw'!B:B,'[1]Sleutelplan nieuw'!A:A,"",3)</f>
        <v>0205</v>
      </c>
      <c r="C146" s="32"/>
      <c r="D146" s="59" t="s">
        <v>3268</v>
      </c>
      <c r="E146" s="60"/>
      <c r="F146" s="76" t="s">
        <v>946</v>
      </c>
      <c r="G146" s="77"/>
      <c r="H146" s="77"/>
      <c r="I146" s="78"/>
      <c r="J146" s="78"/>
      <c r="K146" s="78"/>
      <c r="L146" s="54"/>
      <c r="M146" s="41" t="str">
        <f>_xlfn.XLOOKUP(L146,'relaties_export_2026-01-12_1609'!B:B,'relaties_export_2026-01-12_1609'!A:A,"",3)</f>
        <v>id</v>
      </c>
      <c r="N146" s="41" t="str">
        <f>_xlfn.XLOOKUP(M146,'relaties_export_2026-01-12_1609'!A:A,'relaties_export_2026-01-12_1609'!B:B,"",3)</f>
        <v>naam</v>
      </c>
      <c r="O146" s="120"/>
      <c r="P146" s="43"/>
      <c r="Q146" s="43"/>
      <c r="R146" s="44"/>
      <c r="S146" s="45"/>
      <c r="T146" s="45"/>
      <c r="U146" s="46"/>
      <c r="V146" s="46"/>
      <c r="W146"/>
      <c r="X146" s="23"/>
      <c r="Y146" s="56" t="s">
        <v>3269</v>
      </c>
      <c r="Z146" s="47" t="str">
        <f>_xlfn.XLOOKUP(Y146,'relaties_export_2026-01-12_1609'!B:B,'relaties_export_2026-01-12_1609'!A:A,"",3)</f>
        <v/>
      </c>
      <c r="AA146" s="47" t="str">
        <f>_xlfn.XLOOKUP(Z146,'relaties_export_2026-01-12_1609'!A:A,'relaties_export_2026-01-12_1609'!B:B,"",3)</f>
        <v>naam</v>
      </c>
      <c r="AB146" s="46"/>
      <c r="AC146" s="46">
        <v>5507</v>
      </c>
      <c r="AD146" s="46">
        <v>5507</v>
      </c>
      <c r="AE146" s="46">
        <v>5507</v>
      </c>
      <c r="AF146" s="46"/>
      <c r="AG146" s="49"/>
      <c r="AH146" s="49"/>
      <c r="AI146"/>
      <c r="AJ146"/>
      <c r="AK146" s="80"/>
      <c r="AL146" s="80"/>
      <c r="AO146" s="34"/>
      <c r="AP146" s="34"/>
      <c r="AQ146" s="58"/>
      <c r="AT146" s="81"/>
      <c r="AU146" s="81"/>
      <c r="AY146" s="82"/>
    </row>
    <row r="147" spans="1:52" s="29" customFormat="1" ht="17" thickBot="1" x14ac:dyDescent="0.25">
      <c r="A147" s="30"/>
      <c r="B147" s="31" t="str">
        <f>_xlfn.XLOOKUP(D147,'[1]Sleutelplan nieuw'!B:B,'[1]Sleutelplan nieuw'!A:A,"",3)</f>
        <v>0389</v>
      </c>
      <c r="C147" s="32"/>
      <c r="D147" s="59" t="s">
        <v>3270</v>
      </c>
      <c r="E147" s="60" t="s">
        <v>3271</v>
      </c>
      <c r="F147" s="76" t="s">
        <v>84</v>
      </c>
      <c r="G147" s="77">
        <v>3</v>
      </c>
      <c r="H147" s="77">
        <v>3</v>
      </c>
      <c r="I147" s="78">
        <v>45975</v>
      </c>
      <c r="J147" s="78">
        <v>46112</v>
      </c>
      <c r="K147" s="78"/>
      <c r="L147" s="54" t="s">
        <v>2827</v>
      </c>
      <c r="M147" s="41">
        <f>_xlfn.XLOOKUP(L147,'relaties_export_2026-01-12_1609'!B:B,'relaties_export_2026-01-12_1609'!A:A,"",3)</f>
        <v>23</v>
      </c>
      <c r="N147" s="41" t="str">
        <f>_xlfn.XLOOKUP(M147,'relaties_export_2026-01-12_1609'!A:A,'relaties_export_2026-01-12_1609'!B:B,"",3)</f>
        <v>S. Bakker OPH Verhuur</v>
      </c>
      <c r="O147" s="120" t="s">
        <v>3251</v>
      </c>
      <c r="P147" s="43">
        <f t="shared" si="36"/>
        <v>985</v>
      </c>
      <c r="Q147" s="43">
        <f t="shared" si="44"/>
        <v>2803.5</v>
      </c>
      <c r="R147" s="44">
        <f t="shared" si="45"/>
        <v>2550</v>
      </c>
      <c r="S147" s="45">
        <f t="shared" si="43"/>
        <v>196.15399704153617</v>
      </c>
      <c r="T147" s="45">
        <v>2350</v>
      </c>
      <c r="U147" s="46">
        <v>200</v>
      </c>
      <c r="V147" s="46"/>
      <c r="W147"/>
      <c r="X147" s="23"/>
      <c r="Y147" s="56" t="s">
        <v>2660</v>
      </c>
      <c r="Z147" s="47">
        <f>_xlfn.XLOOKUP(Y147,'relaties_export_2026-01-12_1609'!B:B,'relaties_export_2026-01-12_1609'!A:A,"",3)</f>
        <v>751</v>
      </c>
      <c r="AA147" s="47" t="str">
        <f>_xlfn.XLOOKUP(Z147,'relaties_export_2026-01-12_1609'!A:A,'relaties_export_2026-01-12_1609'!B:B,"",3)</f>
        <v>Orange Invesments Group</v>
      </c>
      <c r="AB147" s="69" t="s">
        <v>3272</v>
      </c>
      <c r="AC147" s="46">
        <v>1365</v>
      </c>
      <c r="AD147" s="46">
        <v>1365</v>
      </c>
      <c r="AE147" s="46">
        <v>1365</v>
      </c>
      <c r="AF147" s="46">
        <f t="shared" si="39"/>
        <v>105.00008076929289</v>
      </c>
      <c r="AG147" s="49">
        <v>45975</v>
      </c>
      <c r="AH147" s="49">
        <v>46112</v>
      </c>
      <c r="AI147"/>
      <c r="AJ147"/>
      <c r="AK147" s="80"/>
      <c r="AL147" s="80"/>
      <c r="AO147" s="34"/>
      <c r="AP147" s="34"/>
      <c r="AQ147" s="58"/>
      <c r="AT147" s="81"/>
      <c r="AU147" s="81"/>
      <c r="AY147" s="82"/>
    </row>
    <row r="148" spans="1:52" s="29" customFormat="1" ht="17" thickBot="1" x14ac:dyDescent="0.25">
      <c r="A148" s="30">
        <v>136</v>
      </c>
      <c r="B148" s="31" t="str">
        <f>_xlfn.XLOOKUP(D148,'[1]Sleutelplan nieuw'!B:B,'[1]Sleutelplan nieuw'!A:A,"",3)</f>
        <v>0206</v>
      </c>
      <c r="C148" s="32" t="s">
        <v>2824</v>
      </c>
      <c r="D148" s="59" t="s">
        <v>3273</v>
      </c>
      <c r="E148" s="60" t="s">
        <v>3274</v>
      </c>
      <c r="F148" s="76" t="s">
        <v>84</v>
      </c>
      <c r="G148" s="77">
        <v>4</v>
      </c>
      <c r="H148" s="77">
        <v>2</v>
      </c>
      <c r="I148" s="78">
        <v>45962</v>
      </c>
      <c r="J148" s="78">
        <v>46326</v>
      </c>
      <c r="K148" s="78"/>
      <c r="L148" s="54" t="s">
        <v>254</v>
      </c>
      <c r="M148" s="41">
        <f>_xlfn.XLOOKUP(L148,'relaties_export_2026-01-12_1609'!B:B,'relaties_export_2026-01-12_1609'!A:A,"",3)</f>
        <v>48</v>
      </c>
      <c r="N148" s="41" t="str">
        <f>_xlfn.XLOOKUP(M148,'relaties_export_2026-01-12_1609'!A:A,'relaties_export_2026-01-12_1609'!B:B,"",3)</f>
        <v>Light Personeelsdiensten</v>
      </c>
      <c r="O148" s="42"/>
      <c r="P148" s="43">
        <f t="shared" si="36"/>
        <v>847.95</v>
      </c>
      <c r="Q148" s="43">
        <f t="shared" si="44"/>
        <v>2918.5</v>
      </c>
      <c r="R148" s="44">
        <f t="shared" si="45"/>
        <v>2650</v>
      </c>
      <c r="S148" s="45">
        <f t="shared" si="43"/>
        <v>152.88473298825613</v>
      </c>
      <c r="T148" s="45">
        <v>2400</v>
      </c>
      <c r="U148" s="46">
        <v>250</v>
      </c>
      <c r="V148" s="46"/>
      <c r="W148"/>
      <c r="X148" s="23"/>
      <c r="Y148" s="56" t="s">
        <v>3275</v>
      </c>
      <c r="Z148" s="47" t="str">
        <f>_xlfn.XLOOKUP(Y148,'relaties_export_2026-01-12_1609'!B:B,'relaties_export_2026-01-12_1609'!A:A,"",3)</f>
        <v/>
      </c>
      <c r="AA148" s="47" t="str">
        <f>_xlfn.XLOOKUP(Z148,'relaties_export_2026-01-12_1609'!A:A,'relaties_export_2026-01-12_1609'!B:B,"",3)</f>
        <v>naam</v>
      </c>
      <c r="AB148" s="46"/>
      <c r="AC148" s="46">
        <f>AD148</f>
        <v>1552.05</v>
      </c>
      <c r="AD148" s="46">
        <v>1552.05</v>
      </c>
      <c r="AE148" s="46">
        <v>1452.05</v>
      </c>
      <c r="AF148" s="46">
        <f t="shared" si="39"/>
        <v>89.54141503185771</v>
      </c>
      <c r="AG148" s="49"/>
      <c r="AH148" s="49"/>
      <c r="AI148"/>
      <c r="AJ148"/>
      <c r="AK148" s="80"/>
      <c r="AL148" s="80"/>
      <c r="AO148" s="34"/>
      <c r="AP148" s="34"/>
      <c r="AQ148" s="58"/>
      <c r="AT148" s="81"/>
      <c r="AU148" s="81"/>
      <c r="AY148" s="82"/>
    </row>
    <row r="149" spans="1:52" s="29" customFormat="1" ht="17" thickBot="1" x14ac:dyDescent="0.25">
      <c r="A149" s="30">
        <v>137</v>
      </c>
      <c r="B149" s="31" t="str">
        <f>_xlfn.XLOOKUP(D149,'[1]Sleutelplan nieuw'!B:B,'[1]Sleutelplan nieuw'!A:A,"",3)</f>
        <v>0360</v>
      </c>
      <c r="C149" s="32" t="s">
        <v>2824</v>
      </c>
      <c r="D149" s="59" t="s">
        <v>3276</v>
      </c>
      <c r="E149" s="60" t="s">
        <v>3277</v>
      </c>
      <c r="F149" s="76" t="s">
        <v>84</v>
      </c>
      <c r="G149" s="77">
        <v>4</v>
      </c>
      <c r="H149" s="77">
        <v>2</v>
      </c>
      <c r="I149" s="78">
        <v>45842</v>
      </c>
      <c r="J149" s="78">
        <v>46176</v>
      </c>
      <c r="K149" s="78"/>
      <c r="L149" t="s">
        <v>587</v>
      </c>
      <c r="M149" s="41">
        <f>_xlfn.XLOOKUP(L149,'relaties_export_2026-01-12_1609'!B:B,'relaties_export_2026-01-12_1609'!A:A,"",3)</f>
        <v>126</v>
      </c>
      <c r="N149" s="41" t="str">
        <f>_xlfn.XLOOKUP(M149,'relaties_export_2026-01-12_1609'!A:A,'relaties_export_2026-01-12_1609'!B:B,"",3)</f>
        <v>EU Facility Services</v>
      </c>
      <c r="O149" s="42"/>
      <c r="P149" s="43">
        <f t="shared" si="36"/>
        <v>593.33999999999992</v>
      </c>
      <c r="Q149" s="43">
        <f t="shared" si="44"/>
        <v>3027.5</v>
      </c>
      <c r="R149" s="44">
        <f t="shared" si="45"/>
        <v>2750</v>
      </c>
      <c r="S149" s="45">
        <f t="shared" si="43"/>
        <v>158.65396819536014</v>
      </c>
      <c r="T149" s="45">
        <v>2500</v>
      </c>
      <c r="U149" s="125">
        <v>250</v>
      </c>
      <c r="V149" s="46"/>
      <c r="W149"/>
      <c r="X149" s="23"/>
      <c r="Y149" s="56" t="s">
        <v>2697</v>
      </c>
      <c r="Z149" s="47">
        <f>_xlfn.XLOOKUP(Y149,'relaties_export_2026-01-12_1609'!B:B,'relaties_export_2026-01-12_1609'!A:A,"",3)</f>
        <v>816</v>
      </c>
      <c r="AA149" s="47" t="str">
        <f>_xlfn.XLOOKUP(Z149,'relaties_export_2026-01-12_1609'!A:A,'relaties_export_2026-01-12_1609'!B:B,"",3)</f>
        <v>Dockholland</v>
      </c>
      <c r="AB149" s="46"/>
      <c r="AC149" s="46">
        <f>AD149*1.09</f>
        <v>2078.2594000000004</v>
      </c>
      <c r="AD149" s="46">
        <v>1906.66</v>
      </c>
      <c r="AE149" s="46">
        <v>1906.66</v>
      </c>
      <c r="AF149" s="46">
        <f t="shared" si="39"/>
        <v>109.99969999976923</v>
      </c>
      <c r="AG149" s="49">
        <v>45772</v>
      </c>
      <c r="AH149" s="49">
        <v>46137</v>
      </c>
      <c r="AI149"/>
      <c r="AJ149"/>
      <c r="AK149" s="80"/>
      <c r="AL149" s="80"/>
      <c r="AO149" s="34"/>
      <c r="AP149" s="34"/>
      <c r="AQ149" s="58"/>
      <c r="AT149" s="81"/>
      <c r="AU149" s="81"/>
      <c r="AY149" s="82"/>
    </row>
    <row r="150" spans="1:52" s="29" customFormat="1" ht="17" thickBot="1" x14ac:dyDescent="0.25">
      <c r="A150" s="30">
        <v>138</v>
      </c>
      <c r="B150" s="31" t="str">
        <f>_xlfn.XLOOKUP(D150,'[1]Sleutelplan nieuw'!B:B,'[1]Sleutelplan nieuw'!A:A,"",3)</f>
        <v>0337</v>
      </c>
      <c r="C150" s="32" t="s">
        <v>2824</v>
      </c>
      <c r="D150" s="59" t="s">
        <v>3278</v>
      </c>
      <c r="E150" s="60" t="s">
        <v>3279</v>
      </c>
      <c r="F150" s="76" t="s">
        <v>3280</v>
      </c>
      <c r="G150" s="77">
        <v>10</v>
      </c>
      <c r="H150" s="77">
        <v>6</v>
      </c>
      <c r="I150" s="78">
        <v>45931</v>
      </c>
      <c r="J150" s="78"/>
      <c r="K150" s="78"/>
      <c r="L150" s="114" t="s">
        <v>2672</v>
      </c>
      <c r="M150" s="41">
        <f>_xlfn.XLOOKUP(L150,'relaties_export_2026-01-12_1609'!B:B,'relaties_export_2026-01-12_1609'!A:A,"",3)</f>
        <v>17</v>
      </c>
      <c r="N150" s="41" t="str">
        <f>_xlfn.XLOOKUP(M150,'relaties_export_2026-01-12_1609'!A:A,'relaties_export_2026-01-12_1609'!B:B,"",3)</f>
        <v>Tradiro Services B.V.</v>
      </c>
      <c r="O150" s="120" t="s">
        <v>3281</v>
      </c>
      <c r="P150" s="43">
        <f t="shared" si="36"/>
        <v>420</v>
      </c>
      <c r="Q150" s="43">
        <f t="shared" si="44"/>
        <v>5903.5</v>
      </c>
      <c r="R150" s="44">
        <f t="shared" si="45"/>
        <v>5350</v>
      </c>
      <c r="S150" s="45">
        <f t="shared" si="43"/>
        <v>123.46163343202571</v>
      </c>
      <c r="T150" s="45">
        <v>4750</v>
      </c>
      <c r="U150" s="123">
        <v>600</v>
      </c>
      <c r="V150" s="46"/>
      <c r="W150"/>
      <c r="X150" s="23"/>
      <c r="Y150" s="56" t="s">
        <v>1143</v>
      </c>
      <c r="Z150" s="47">
        <f>_xlfn.XLOOKUP(Y150,'relaties_export_2026-01-12_1609'!B:B,'relaties_export_2026-01-12_1609'!A:A,"",3)</f>
        <v>253</v>
      </c>
      <c r="AA150" s="47" t="str">
        <f>_xlfn.XLOOKUP(Z150,'relaties_export_2026-01-12_1609'!A:A,'relaties_export_2026-01-12_1609'!B:B,"",3)</f>
        <v>Facili Flex BV</v>
      </c>
      <c r="AB150" s="69" t="s">
        <v>3048</v>
      </c>
      <c r="AC150" s="46">
        <v>4330</v>
      </c>
      <c r="AD150" s="46">
        <v>4330</v>
      </c>
      <c r="AE150" s="46">
        <v>4330</v>
      </c>
      <c r="AF150" s="46">
        <f t="shared" si="39"/>
        <v>99.923153787041372</v>
      </c>
      <c r="AG150" s="49">
        <v>45713</v>
      </c>
      <c r="AH150" s="49">
        <v>46078</v>
      </c>
      <c r="AI150"/>
      <c r="AJ150"/>
      <c r="AK150" s="80"/>
      <c r="AL150" s="80"/>
      <c r="AO150" s="34"/>
      <c r="AP150" s="34"/>
      <c r="AQ150" s="58"/>
      <c r="AT150" s="81"/>
      <c r="AU150" s="81"/>
      <c r="AY150" s="82"/>
    </row>
    <row r="151" spans="1:52" s="29" customFormat="1" ht="17" thickBot="1" x14ac:dyDescent="0.25">
      <c r="A151" s="30"/>
      <c r="B151" s="31" t="str">
        <f>_xlfn.XLOOKUP(D151,'[1]Sleutelplan nieuw'!B:B,'[1]Sleutelplan nieuw'!A:A,"",2)</f>
        <v>0382</v>
      </c>
      <c r="C151" s="32" t="s">
        <v>2824</v>
      </c>
      <c r="D151" s="59" t="s">
        <v>3282</v>
      </c>
      <c r="E151" s="60" t="s">
        <v>3283</v>
      </c>
      <c r="F151" s="144" t="s">
        <v>3284</v>
      </c>
      <c r="G151" s="77">
        <v>10</v>
      </c>
      <c r="H151" s="77">
        <v>7</v>
      </c>
      <c r="I151" s="78">
        <v>45933</v>
      </c>
      <c r="J151" s="78"/>
      <c r="K151" s="78"/>
      <c r="L151" s="114" t="s">
        <v>2672</v>
      </c>
      <c r="M151" s="41">
        <f>_xlfn.XLOOKUP(L151,'relaties_export_2026-01-12_1609'!B:B,'relaties_export_2026-01-12_1609'!A:A,"",3)</f>
        <v>17</v>
      </c>
      <c r="N151" s="41" t="str">
        <f>_xlfn.XLOOKUP(M151,'relaties_export_2026-01-12_1609'!A:A,'relaties_export_2026-01-12_1609'!B:B,"",3)</f>
        <v>Tradiro Services B.V.</v>
      </c>
      <c r="O151" s="42"/>
      <c r="P151" s="43">
        <f>R151-V151-AD151</f>
        <v>450.31999999999971</v>
      </c>
      <c r="Q151" s="43">
        <f t="shared" si="44"/>
        <v>5456.3887999999997</v>
      </c>
      <c r="R151" s="44">
        <f>T151+U151</f>
        <v>4956.32</v>
      </c>
      <c r="S151" s="45">
        <f t="shared" si="43"/>
        <v>114.37670336669488</v>
      </c>
      <c r="T151" s="45">
        <v>4506.32</v>
      </c>
      <c r="U151" s="46">
        <v>450</v>
      </c>
      <c r="V151" s="46"/>
      <c r="W151"/>
      <c r="X151" s="23"/>
      <c r="Y151" s="56" t="s">
        <v>2680</v>
      </c>
      <c r="Z151" s="47">
        <f>_xlfn.XLOOKUP(Y151,'relaties_export_2026-01-12_1609'!B:B,'relaties_export_2026-01-12_1609'!A:A,"",3)</f>
        <v>799</v>
      </c>
      <c r="AA151" s="47" t="str">
        <f>_xlfn.XLOOKUP(Z151,'relaties_export_2026-01-12_1609'!A:A,'relaties_export_2026-01-12_1609'!B:B,"",3)</f>
        <v>Z. Yilmaz</v>
      </c>
      <c r="AB151" s="69" t="s">
        <v>2991</v>
      </c>
      <c r="AC151" s="46">
        <v>4506</v>
      </c>
      <c r="AD151" s="46">
        <v>4506</v>
      </c>
      <c r="AE151" s="46">
        <v>4506</v>
      </c>
      <c r="AF151" s="46">
        <f t="shared" si="39"/>
        <v>103.98469537284259</v>
      </c>
      <c r="AG151" s="49"/>
      <c r="AH151" s="49"/>
      <c r="AI151"/>
      <c r="AJ151"/>
      <c r="AK151" s="80"/>
      <c r="AL151" s="80"/>
      <c r="AO151" s="34"/>
      <c r="AP151" s="34"/>
      <c r="AQ151" s="58"/>
      <c r="AT151" s="81"/>
      <c r="AU151" s="81"/>
      <c r="AY151" s="82"/>
    </row>
    <row r="152" spans="1:52" s="29" customFormat="1" ht="17" thickBot="1" x14ac:dyDescent="0.25">
      <c r="A152" s="30"/>
      <c r="B152" s="31" t="str">
        <f>_xlfn.XLOOKUP(D152,'[1]Sleutelplan nieuw'!B:B,'[1]Sleutelplan nieuw'!A:A,"",2)</f>
        <v>0207</v>
      </c>
      <c r="C152" s="32" t="s">
        <v>2831</v>
      </c>
      <c r="D152" s="59" t="s">
        <v>3285</v>
      </c>
      <c r="E152" s="60"/>
      <c r="F152" s="144" t="s">
        <v>1303</v>
      </c>
      <c r="G152" s="77"/>
      <c r="H152" s="77"/>
      <c r="I152" s="78"/>
      <c r="J152" s="78"/>
      <c r="K152" s="78"/>
      <c r="L152" s="114" t="s">
        <v>2672</v>
      </c>
      <c r="M152" s="41">
        <f>_xlfn.XLOOKUP(L152,'relaties_export_2026-01-12_1609'!B:B,'relaties_export_2026-01-12_1609'!A:A,"",3)</f>
        <v>17</v>
      </c>
      <c r="N152" s="41" t="str">
        <f>_xlfn.XLOOKUP(M152,'relaties_export_2026-01-12_1609'!A:A,'relaties_export_2026-01-12_1609'!B:B,"",3)</f>
        <v>Tradiro Services B.V.</v>
      </c>
      <c r="O152" s="42"/>
      <c r="P152" s="43"/>
      <c r="Q152" s="43"/>
      <c r="R152" s="44"/>
      <c r="S152" s="45"/>
      <c r="T152" s="45"/>
      <c r="U152" s="46"/>
      <c r="V152" s="46"/>
      <c r="W152"/>
      <c r="X152" s="23"/>
      <c r="Y152" s="56" t="s">
        <v>3286</v>
      </c>
      <c r="Z152" s="47" t="str">
        <f>_xlfn.XLOOKUP(Y152,'relaties_export_2026-01-12_1609'!B:B,'relaties_export_2026-01-12_1609'!A:A,"",3)</f>
        <v/>
      </c>
      <c r="AA152" s="47" t="str">
        <f>_xlfn.XLOOKUP(Z152,'relaties_export_2026-01-12_1609'!A:A,'relaties_export_2026-01-12_1609'!B:B,"",3)</f>
        <v>naam</v>
      </c>
      <c r="AB152" s="69"/>
      <c r="AC152" s="46">
        <v>2180</v>
      </c>
      <c r="AD152" s="46">
        <v>2180</v>
      </c>
      <c r="AE152" s="46">
        <v>1940</v>
      </c>
      <c r="AF152" s="46"/>
      <c r="AG152" s="49"/>
      <c r="AH152" s="49"/>
      <c r="AI152"/>
      <c r="AJ152"/>
      <c r="AK152" s="80"/>
      <c r="AL152" s="80"/>
      <c r="AO152" s="34"/>
      <c r="AP152" s="34"/>
      <c r="AQ152" s="58"/>
      <c r="AT152" s="81"/>
      <c r="AU152" s="81"/>
      <c r="AY152" s="82"/>
    </row>
    <row r="153" spans="1:52" s="29" customFormat="1" ht="17" thickBot="1" x14ac:dyDescent="0.25">
      <c r="A153" s="30">
        <v>140</v>
      </c>
      <c r="B153" s="31" t="str">
        <f>_xlfn.XLOOKUP(D153,'[1]Sleutelplan nieuw'!B:B,'[1]Sleutelplan nieuw'!A:A,"",2)</f>
        <v>0365</v>
      </c>
      <c r="C153" s="32" t="s">
        <v>2824</v>
      </c>
      <c r="D153" s="59" t="s">
        <v>3287</v>
      </c>
      <c r="E153" s="60" t="s">
        <v>3288</v>
      </c>
      <c r="F153" s="76" t="s">
        <v>84</v>
      </c>
      <c r="G153" s="77">
        <v>4</v>
      </c>
      <c r="H153" s="77">
        <v>3</v>
      </c>
      <c r="I153" s="78">
        <v>45920</v>
      </c>
      <c r="J153" s="78">
        <v>46022</v>
      </c>
      <c r="K153" s="78"/>
      <c r="L153" s="114" t="s">
        <v>406</v>
      </c>
      <c r="M153" s="41">
        <f>_xlfn.XLOOKUP(L153,'relaties_export_2026-01-12_1609'!B:B,'relaties_export_2026-01-12_1609'!A:A,"",3)</f>
        <v>83</v>
      </c>
      <c r="N153" s="41" t="str">
        <f>_xlfn.XLOOKUP(M153,'relaties_export_2026-01-12_1609'!A:A,'relaties_export_2026-01-12_1609'!B:B,"",3)</f>
        <v>UAB Toromega</v>
      </c>
      <c r="O153" s="42"/>
      <c r="P153" s="43">
        <f t="shared" si="36"/>
        <v>743.33999999999992</v>
      </c>
      <c r="Q153" s="43">
        <f t="shared" si="44"/>
        <v>3191</v>
      </c>
      <c r="R153" s="44">
        <f t="shared" si="45"/>
        <v>2900</v>
      </c>
      <c r="S153" s="45">
        <f t="shared" si="43"/>
        <v>167.30782100601616</v>
      </c>
      <c r="T153" s="45">
        <v>2650</v>
      </c>
      <c r="U153" s="46">
        <v>250</v>
      </c>
      <c r="V153" s="46"/>
      <c r="W153"/>
      <c r="X153" s="23"/>
      <c r="Y153" s="56" t="s">
        <v>2697</v>
      </c>
      <c r="Z153" s="47">
        <f>_xlfn.XLOOKUP(Y153,'relaties_export_2026-01-12_1609'!B:B,'relaties_export_2026-01-12_1609'!A:A,"",3)</f>
        <v>816</v>
      </c>
      <c r="AA153" s="47" t="str">
        <f>_xlfn.XLOOKUP(Z153,'relaties_export_2026-01-12_1609'!A:A,'relaties_export_2026-01-12_1609'!B:B,"",3)</f>
        <v>Dockholland</v>
      </c>
      <c r="AB153" s="46"/>
      <c r="AC153" s="46">
        <v>2078.2600000000002</v>
      </c>
      <c r="AD153" s="46">
        <v>1906.66</v>
      </c>
      <c r="AE153" s="46">
        <v>1906.66</v>
      </c>
      <c r="AF153" s="46">
        <f t="shared" si="39"/>
        <v>109.99969999976923</v>
      </c>
      <c r="AG153" s="49">
        <v>45778</v>
      </c>
      <c r="AH153" s="49">
        <v>45961</v>
      </c>
      <c r="AI153"/>
      <c r="AJ153"/>
      <c r="AK153" s="80"/>
      <c r="AL153" s="80"/>
      <c r="AO153" s="34"/>
      <c r="AP153" s="34"/>
      <c r="AQ153" s="58"/>
      <c r="AT153" s="81"/>
      <c r="AU153" s="81"/>
      <c r="AY153" s="82"/>
    </row>
    <row r="154" spans="1:52" s="29" customFormat="1" ht="17" thickBot="1" x14ac:dyDescent="0.25">
      <c r="A154" s="30">
        <v>141</v>
      </c>
      <c r="B154" s="31" t="str">
        <f>_xlfn.XLOOKUP(D154,'[1]Sleutelplan nieuw'!B:B,'[1]Sleutelplan nieuw'!A:A,"",2)</f>
        <v>0090</v>
      </c>
      <c r="C154" s="32" t="s">
        <v>2831</v>
      </c>
      <c r="D154" s="59" t="s">
        <v>3289</v>
      </c>
      <c r="E154" s="60" t="s">
        <v>3290</v>
      </c>
      <c r="F154" s="76" t="s">
        <v>3291</v>
      </c>
      <c r="G154" s="77">
        <v>4</v>
      </c>
      <c r="H154" s="77">
        <v>3</v>
      </c>
      <c r="I154" s="78">
        <v>45068</v>
      </c>
      <c r="J154" s="78" t="s">
        <v>3072</v>
      </c>
      <c r="K154" s="78"/>
      <c r="L154" s="83" t="s">
        <v>2927</v>
      </c>
      <c r="M154" s="41">
        <f>_xlfn.XLOOKUP(L154,'relaties_export_2026-01-12_1609'!B:B,'relaties_export_2026-01-12_1609'!A:A,"",3)</f>
        <v>220</v>
      </c>
      <c r="N154" s="41" t="str">
        <f>_xlfn.XLOOKUP(M154,'relaties_export_2026-01-12_1609'!A:A,'relaties_export_2026-01-12_1609'!B:B,"",3)</f>
        <v>Impes Service S.p.A.</v>
      </c>
      <c r="O154" s="42"/>
      <c r="P154" s="43">
        <f t="shared" si="36"/>
        <v>455.46000000000004</v>
      </c>
      <c r="Q154" s="43">
        <f>T154*1.09+U154*1.09</f>
        <v>3330.4514000000004</v>
      </c>
      <c r="R154" s="44">
        <f t="shared" si="45"/>
        <v>3055.46</v>
      </c>
      <c r="S154" s="45">
        <f t="shared" si="43"/>
        <v>176.27667405898003</v>
      </c>
      <c r="T154" s="45">
        <v>2855.46</v>
      </c>
      <c r="U154" s="46">
        <v>200</v>
      </c>
      <c r="V154" s="46">
        <v>0</v>
      </c>
      <c r="W154"/>
      <c r="X154" s="23"/>
      <c r="Y154" s="56" t="s">
        <v>2699</v>
      </c>
      <c r="Z154" s="47">
        <f>_xlfn.XLOOKUP(Y154,'relaties_export_2026-01-12_1609'!B:B,'relaties_export_2026-01-12_1609'!A:A,"",3)</f>
        <v>818</v>
      </c>
      <c r="AA154" s="47" t="str">
        <f>_xlfn.XLOOKUP(Z154,'relaties_export_2026-01-12_1609'!A:A,'relaties_export_2026-01-12_1609'!B:B,"",3)</f>
        <v>HC van Os - Remeeus</v>
      </c>
      <c r="AB154" s="46" t="s">
        <v>3292</v>
      </c>
      <c r="AC154" s="46">
        <v>2400</v>
      </c>
      <c r="AD154" s="46">
        <v>2400</v>
      </c>
      <c r="AE154" s="46">
        <v>2400</v>
      </c>
      <c r="AF154" s="46">
        <f t="shared" si="39"/>
        <v>138.46164497049614</v>
      </c>
      <c r="AG154" s="49">
        <v>44348</v>
      </c>
      <c r="AH154" s="49">
        <v>45443</v>
      </c>
      <c r="AI154" t="s">
        <v>3293</v>
      </c>
      <c r="AJ154" t="s">
        <v>3294</v>
      </c>
      <c r="AK154" s="80">
        <v>44348</v>
      </c>
      <c r="AL154" s="80">
        <v>45443</v>
      </c>
      <c r="AM154" s="29" t="s">
        <v>3081</v>
      </c>
      <c r="AO154" s="34" t="s">
        <v>3003</v>
      </c>
      <c r="AP154" s="116" t="s">
        <v>3295</v>
      </c>
      <c r="AQ154" s="58"/>
      <c r="AR154" s="29" t="s">
        <v>2997</v>
      </c>
      <c r="AS154" s="29" t="s">
        <v>3082</v>
      </c>
      <c r="AT154" s="81">
        <v>43984</v>
      </c>
      <c r="AU154" s="81">
        <v>44075</v>
      </c>
      <c r="AV154" s="29" t="s">
        <v>3081</v>
      </c>
      <c r="AW154" s="29" t="s">
        <v>3195</v>
      </c>
      <c r="AY154" s="86"/>
      <c r="AZ154" s="29" t="s">
        <v>3296</v>
      </c>
    </row>
    <row r="155" spans="1:52" s="29" customFormat="1" ht="31" thickBot="1" x14ac:dyDescent="0.25">
      <c r="A155" s="30">
        <v>142</v>
      </c>
      <c r="B155" s="31" t="str">
        <f>_xlfn.XLOOKUP(D155,'[1]Sleutelplan nieuw'!B:B,'[1]Sleutelplan nieuw'!A:A,"",2)</f>
        <v>0185</v>
      </c>
      <c r="C155" s="32" t="s">
        <v>2831</v>
      </c>
      <c r="D155" s="59" t="s">
        <v>1075</v>
      </c>
      <c r="E155" s="60" t="s">
        <v>3297</v>
      </c>
      <c r="F155" s="76" t="s">
        <v>3291</v>
      </c>
      <c r="G155" s="77">
        <v>4</v>
      </c>
      <c r="H155" s="77">
        <v>3</v>
      </c>
      <c r="I155" s="78">
        <v>45170</v>
      </c>
      <c r="J155" s="78">
        <v>45323</v>
      </c>
      <c r="K155" s="78"/>
      <c r="L155" s="83" t="s">
        <v>3053</v>
      </c>
      <c r="M155" s="219">
        <v>240</v>
      </c>
      <c r="N155" s="41" t="str">
        <f>_xlfn.XLOOKUP(M155,'relaties_export_2026-01-12_1609'!A:A,'relaties_export_2026-01-12_1609'!B:B,"",3)</f>
        <v>Impianti Industriala S.P.A. NEDERLAND BRANCH</v>
      </c>
      <c r="O155" s="42"/>
      <c r="P155" s="43">
        <f t="shared" si="36"/>
        <v>752.07000000000016</v>
      </c>
      <c r="Q155" s="43">
        <f>T155*1.09+U155*1.21</f>
        <v>3352.0643</v>
      </c>
      <c r="R155" s="44">
        <f t="shared" si="45"/>
        <v>3053.27</v>
      </c>
      <c r="S155" s="45">
        <f t="shared" si="43"/>
        <v>176.15032780794445</v>
      </c>
      <c r="T155" s="45">
        <v>2853.27</v>
      </c>
      <c r="U155" s="46">
        <v>200</v>
      </c>
      <c r="V155" s="46">
        <v>0</v>
      </c>
      <c r="W155"/>
      <c r="X155" s="23"/>
      <c r="Y155" s="56" t="s">
        <v>2700</v>
      </c>
      <c r="Z155" s="47">
        <f>_xlfn.XLOOKUP(Y155,'relaties_export_2026-01-12_1609'!B:B,'relaties_export_2026-01-12_1609'!A:A,"",3)</f>
        <v>819</v>
      </c>
      <c r="AA155" s="47" t="str">
        <f>_xlfn.XLOOKUP(Z155,'relaties_export_2026-01-12_1609'!A:A,'relaties_export_2026-01-12_1609'!B:B,"",3)</f>
        <v>R. Ras</v>
      </c>
      <c r="AB155" s="69" t="s">
        <v>3298</v>
      </c>
      <c r="AC155" s="46">
        <v>2101.1999999999998</v>
      </c>
      <c r="AD155" s="46">
        <v>2101.1999999999998</v>
      </c>
      <c r="AE155" s="46">
        <v>2101.1999999999998</v>
      </c>
      <c r="AF155" s="46">
        <f t="shared" si="39"/>
        <v>121.22317017166935</v>
      </c>
      <c r="AG155" s="49">
        <v>45108</v>
      </c>
      <c r="AH155" s="49">
        <v>45473</v>
      </c>
      <c r="AI155"/>
      <c r="AJ155"/>
      <c r="AK155" s="80"/>
      <c r="AL155" s="80"/>
      <c r="AO155" s="34"/>
      <c r="AP155" s="116"/>
      <c r="AQ155" s="58"/>
      <c r="AT155" s="81"/>
      <c r="AU155" s="81"/>
      <c r="AY155" s="86"/>
    </row>
    <row r="156" spans="1:52" s="29" customFormat="1" ht="17" thickBot="1" x14ac:dyDescent="0.25">
      <c r="A156" s="30">
        <v>143</v>
      </c>
      <c r="B156" s="31" t="str">
        <f>_xlfn.XLOOKUP(D156,'[1]Sleutelplan nieuw'!B:B,'[1]Sleutelplan nieuw'!A:A,"",2)</f>
        <v>0091</v>
      </c>
      <c r="C156" s="32" t="s">
        <v>2831</v>
      </c>
      <c r="D156" s="59" t="s">
        <v>856</v>
      </c>
      <c r="E156" s="60" t="s">
        <v>3299</v>
      </c>
      <c r="F156" s="87" t="s">
        <v>857</v>
      </c>
      <c r="G156" s="145">
        <v>5</v>
      </c>
      <c r="H156" s="145">
        <v>5</v>
      </c>
      <c r="I156" s="146">
        <v>45386</v>
      </c>
      <c r="J156" s="147">
        <v>45750</v>
      </c>
      <c r="K156" s="148"/>
      <c r="L156" s="149" t="s">
        <v>3174</v>
      </c>
      <c r="M156" s="41">
        <f>_xlfn.XLOOKUP(L156,'relaties_export_2026-01-12_1609'!B:B,'relaties_export_2026-01-12_1609'!A:A,"",3)</f>
        <v>30</v>
      </c>
      <c r="N156" s="41" t="str">
        <f>_xlfn.XLOOKUP(M156,'relaties_export_2026-01-12_1609'!A:A,'relaties_export_2026-01-12_1609'!B:B,"",3)</f>
        <v>Team Home Rentals B.V.</v>
      </c>
      <c r="O156" s="150"/>
      <c r="P156" s="43">
        <f t="shared" si="36"/>
        <v>764.80000000000018</v>
      </c>
      <c r="Q156" s="43">
        <f>T156*1.09+U156*1.21</f>
        <v>3177.1320000000005</v>
      </c>
      <c r="R156" s="44">
        <f t="shared" si="45"/>
        <v>2914.8</v>
      </c>
      <c r="S156" s="151">
        <v>122.31</v>
      </c>
      <c r="T156" s="152">
        <v>2914.8</v>
      </c>
      <c r="U156" s="46">
        <v>0</v>
      </c>
      <c r="V156" s="46">
        <v>0</v>
      </c>
      <c r="W156"/>
      <c r="X156" s="23"/>
      <c r="Y156" s="56" t="s">
        <v>2671</v>
      </c>
      <c r="Z156" s="47">
        <f>_xlfn.XLOOKUP(Y156,'relaties_export_2026-01-12_1609'!B:B,'relaties_export_2026-01-12_1609'!A:A,"",3)</f>
        <v>790</v>
      </c>
      <c r="AA156" s="47" t="str">
        <f>_xlfn.XLOOKUP(Z156,'relaties_export_2026-01-12_1609'!A:A,'relaties_export_2026-01-12_1609'!B:B,"",3)</f>
        <v>Eva Laus</v>
      </c>
      <c r="AB156" s="46" t="s">
        <v>2849</v>
      </c>
      <c r="AC156" s="46">
        <v>2150</v>
      </c>
      <c r="AD156" s="46">
        <v>2150</v>
      </c>
      <c r="AE156" s="46">
        <v>2150</v>
      </c>
      <c r="AF156" s="46">
        <f t="shared" si="39"/>
        <v>99.23084556218889</v>
      </c>
      <c r="AG156" s="49">
        <v>44828</v>
      </c>
      <c r="AH156" s="49">
        <v>45558</v>
      </c>
      <c r="AI156"/>
      <c r="AJ156"/>
      <c r="AK156" s="80"/>
      <c r="AL156" s="80"/>
      <c r="AO156" s="34"/>
      <c r="AP156" s="116"/>
      <c r="AQ156" s="58"/>
      <c r="AT156" s="81"/>
      <c r="AU156" s="81"/>
      <c r="AY156" s="86"/>
    </row>
    <row r="157" spans="1:52" s="29" customFormat="1" ht="17" thickBot="1" x14ac:dyDescent="0.25">
      <c r="A157" s="30">
        <v>144</v>
      </c>
      <c r="B157" s="31" t="str">
        <f>_xlfn.XLOOKUP(D157,'[1]Sleutelplan nieuw'!B:B,'[1]Sleutelplan nieuw'!A:A,"",2)</f>
        <v>0092</v>
      </c>
      <c r="C157" s="32" t="s">
        <v>2824</v>
      </c>
      <c r="D157" s="59" t="s">
        <v>3300</v>
      </c>
      <c r="E157" s="60" t="s">
        <v>3301</v>
      </c>
      <c r="F157" s="87" t="s">
        <v>3302</v>
      </c>
      <c r="G157" s="153">
        <v>8</v>
      </c>
      <c r="H157" s="154">
        <v>5</v>
      </c>
      <c r="I157" s="155">
        <v>45467</v>
      </c>
      <c r="J157" s="155">
        <v>45831</v>
      </c>
      <c r="K157" s="156"/>
      <c r="L157" s="83" t="s">
        <v>2945</v>
      </c>
      <c r="M157" s="41">
        <f>_xlfn.XLOOKUP(L157,'relaties_export_2026-01-12_1609'!B:B,'relaties_export_2026-01-12_1609'!A:A,"",3)</f>
        <v>149</v>
      </c>
      <c r="N157" s="41" t="str">
        <f>_xlfn.XLOOKUP(M157,'relaties_export_2026-01-12_1609'!A:A,'relaties_export_2026-01-12_1609'!B:B,"",3)</f>
        <v>Werckpost Service B.V.</v>
      </c>
      <c r="O157" s="42"/>
      <c r="P157" s="43">
        <f t="shared" si="36"/>
        <v>497.09000000000015</v>
      </c>
      <c r="Q157" s="43">
        <f>T157*1.09+U157*1.21</f>
        <v>3971.4150000000004</v>
      </c>
      <c r="R157" s="44">
        <f t="shared" si="45"/>
        <v>3643.5</v>
      </c>
      <c r="S157" s="45">
        <f>(R157/G157)/4.33333</f>
        <v>105.10104238541722</v>
      </c>
      <c r="T157" s="92">
        <v>3643.5</v>
      </c>
      <c r="U157" s="46"/>
      <c r="V157" s="46">
        <v>0</v>
      </c>
      <c r="W157"/>
      <c r="X157" s="23"/>
      <c r="Y157" s="56" t="s">
        <v>2701</v>
      </c>
      <c r="Z157" s="47">
        <f>_xlfn.XLOOKUP(Y157,'relaties_export_2026-01-12_1609'!B:B,'relaties_export_2026-01-12_1609'!A:A,"",3)</f>
        <v>820</v>
      </c>
      <c r="AA157" s="47" t="str">
        <f>_xlfn.XLOOKUP(Z157,'relaties_export_2026-01-12_1609'!A:A,'relaties_export_2026-01-12_1609'!B:B,"",3)</f>
        <v>Vondellaan vastgoed</v>
      </c>
      <c r="AB157" s="46" t="s">
        <v>3303</v>
      </c>
      <c r="AC157" s="46">
        <v>3146.41</v>
      </c>
      <c r="AD157" s="46">
        <v>3146.41</v>
      </c>
      <c r="AE157" s="46">
        <v>3146.41</v>
      </c>
      <c r="AF157" s="46">
        <f t="shared" si="39"/>
        <v>90.761896739920559</v>
      </c>
      <c r="AG157" s="49">
        <v>44515</v>
      </c>
      <c r="AH157" s="49">
        <v>45610</v>
      </c>
      <c r="AI157"/>
      <c r="AJ157"/>
      <c r="AK157"/>
      <c r="AL157"/>
    </row>
    <row r="158" spans="1:52" s="29" customFormat="1" ht="17" thickBot="1" x14ac:dyDescent="0.25">
      <c r="A158" s="30">
        <v>145</v>
      </c>
      <c r="B158" s="31" t="str">
        <f>_xlfn.XLOOKUP(D158,'[1]Sleutelplan nieuw'!B:B,'[1]Sleutelplan nieuw'!A:A,"",2)</f>
        <v>0028</v>
      </c>
      <c r="C158" s="32" t="s">
        <v>2831</v>
      </c>
      <c r="D158" s="59" t="s">
        <v>3304</v>
      </c>
      <c r="E158" s="107" t="s">
        <v>3305</v>
      </c>
      <c r="F158" s="87" t="s">
        <v>103</v>
      </c>
      <c r="G158" s="112">
        <v>8</v>
      </c>
      <c r="H158" s="157">
        <v>4</v>
      </c>
      <c r="I158" s="158">
        <v>44986</v>
      </c>
      <c r="J158" s="158">
        <v>45352</v>
      </c>
      <c r="K158" s="155"/>
      <c r="L158" s="159" t="s">
        <v>2672</v>
      </c>
      <c r="M158" s="41">
        <f>_xlfn.XLOOKUP(L158,'relaties_export_2026-01-12_1609'!B:B,'relaties_export_2026-01-12_1609'!A:A,"",3)</f>
        <v>17</v>
      </c>
      <c r="N158" s="41" t="str">
        <f>_xlfn.XLOOKUP(M158,'relaties_export_2026-01-12_1609'!A:A,'relaties_export_2026-01-12_1609'!B:B,"",3)</f>
        <v>Tradiro Services B.V.</v>
      </c>
      <c r="O158" s="160"/>
      <c r="P158" s="43">
        <f t="shared" si="36"/>
        <v>444.69000000000005</v>
      </c>
      <c r="Q158" s="43">
        <f>T158*1.09+U158*1.21</f>
        <v>3192.2721000000001</v>
      </c>
      <c r="R158" s="44">
        <f t="shared" si="45"/>
        <v>2928.69</v>
      </c>
      <c r="S158" s="45">
        <f>(R158/G158)/4.33333</f>
        <v>84.481507293467146</v>
      </c>
      <c r="T158" s="92">
        <v>2928.69</v>
      </c>
      <c r="U158" s="46">
        <v>0</v>
      </c>
      <c r="V158" s="46">
        <v>0</v>
      </c>
      <c r="W158"/>
      <c r="X158" s="23"/>
      <c r="Y158" s="73" t="s">
        <v>2667</v>
      </c>
      <c r="Z158" s="47">
        <f>_xlfn.XLOOKUP(Y158,'relaties_export_2026-01-12_1609'!B:B,'relaties_export_2026-01-12_1609'!A:A,"",3)</f>
        <v>779</v>
      </c>
      <c r="AA158" s="47" t="str">
        <f>_xlfn.XLOOKUP(Z158,'relaties_export_2026-01-12_1609'!A:A,'relaties_export_2026-01-12_1609'!B:B,"",3)</f>
        <v>G.J. Bergwerff</v>
      </c>
      <c r="AB158" s="106"/>
      <c r="AC158" s="43">
        <v>2484</v>
      </c>
      <c r="AD158" s="43">
        <v>2484</v>
      </c>
      <c r="AE158" s="127">
        <v>2484</v>
      </c>
      <c r="AF158" s="46">
        <f t="shared" si="39"/>
        <v>71.653901272231749</v>
      </c>
      <c r="AG158" s="49">
        <v>44986</v>
      </c>
      <c r="AH158" s="49">
        <v>45350</v>
      </c>
    </row>
    <row r="159" spans="1:52" s="29" customFormat="1" ht="17" thickBot="1" x14ac:dyDescent="0.25">
      <c r="A159" s="30"/>
      <c r="B159" s="31" t="str">
        <f>_xlfn.XLOOKUP(D159,'[1]Sleutelplan nieuw'!B:B,'[1]Sleutelplan nieuw'!A:A,"",2)</f>
        <v>0385</v>
      </c>
      <c r="C159" s="32" t="s">
        <v>2824</v>
      </c>
      <c r="D159" s="59" t="s">
        <v>3306</v>
      </c>
      <c r="E159" s="60" t="s">
        <v>3283</v>
      </c>
      <c r="F159" s="87" t="s">
        <v>3307</v>
      </c>
      <c r="G159" s="112">
        <v>6</v>
      </c>
      <c r="H159" s="157">
        <v>4</v>
      </c>
      <c r="I159" s="158">
        <v>45940</v>
      </c>
      <c r="J159" s="158"/>
      <c r="K159" s="155"/>
      <c r="L159" s="159" t="s">
        <v>2995</v>
      </c>
      <c r="M159" s="41">
        <f>_xlfn.XLOOKUP(L159,'relaties_export_2026-01-12_1609'!B:B,'relaties_export_2026-01-12_1609'!A:A,"",3)</f>
        <v>123</v>
      </c>
      <c r="N159" s="41" t="str">
        <f>_xlfn.XLOOKUP(M159,'relaties_export_2026-01-12_1609'!A:A,'relaties_export_2026-01-12_1609'!B:B,"",3)</f>
        <v>OJP B.V.</v>
      </c>
      <c r="O159" s="160"/>
      <c r="P159" s="43">
        <f t="shared" si="36"/>
        <v>368</v>
      </c>
      <c r="Q159" s="43">
        <f>T159*1.09+U159*1.21</f>
        <v>4979.1200000000008</v>
      </c>
      <c r="R159" s="44">
        <f t="shared" si="45"/>
        <v>4568</v>
      </c>
      <c r="S159" s="45">
        <f>(R159/G159)/4.33333</f>
        <v>175.69244284034065</v>
      </c>
      <c r="T159" s="92">
        <v>4568</v>
      </c>
      <c r="U159" s="46"/>
      <c r="V159" s="46"/>
      <c r="W159"/>
      <c r="X159" s="23"/>
      <c r="Y159" s="73" t="s">
        <v>3308</v>
      </c>
      <c r="Z159" s="47">
        <f>_xlfn.XLOOKUP(Y159,'relaties_export_2026-01-12_1609'!B:B,'relaties_export_2026-01-12_1609'!A:A,"",3)</f>
        <v>172</v>
      </c>
      <c r="AA159" s="47" t="str">
        <f>_xlfn.XLOOKUP(Z159,'relaties_export_2026-01-12_1609'!A:A,'relaties_export_2026-01-12_1609'!B:B,"",3)</f>
        <v>Flexvesting B.V.</v>
      </c>
      <c r="AB159" s="46" t="s">
        <v>3309</v>
      </c>
      <c r="AC159" s="43">
        <f>AD159*1.21</f>
        <v>5082</v>
      </c>
      <c r="AD159" s="43">
        <v>4200</v>
      </c>
      <c r="AE159" s="127">
        <f>4200-500</f>
        <v>3700</v>
      </c>
      <c r="AF159" s="70">
        <f t="shared" si="39"/>
        <v>161.53858579891215</v>
      </c>
      <c r="AG159" s="49">
        <v>45940</v>
      </c>
      <c r="AH159" s="49"/>
    </row>
    <row r="160" spans="1:52" s="29" customFormat="1" ht="17" thickBot="1" x14ac:dyDescent="0.25">
      <c r="A160" s="30"/>
      <c r="B160" s="31" t="str">
        <f>_xlfn.XLOOKUP(D160,'[1]Sleutelplan nieuw'!B:B,'[1]Sleutelplan nieuw'!A:A,"",2)</f>
        <v>0210</v>
      </c>
      <c r="C160" s="32" t="s">
        <v>2831</v>
      </c>
      <c r="D160" s="59" t="s">
        <v>3310</v>
      </c>
      <c r="E160" s="60"/>
      <c r="F160" s="87" t="s">
        <v>481</v>
      </c>
      <c r="G160" s="112"/>
      <c r="H160" s="157"/>
      <c r="I160" s="158"/>
      <c r="J160" s="158"/>
      <c r="K160" s="155"/>
      <c r="L160" s="159"/>
      <c r="M160" s="41" t="str">
        <f>_xlfn.XLOOKUP(L160,'relaties_export_2026-01-12_1609'!B:B,'relaties_export_2026-01-12_1609'!A:A,"",3)</f>
        <v>id</v>
      </c>
      <c r="N160" s="41" t="str">
        <f>_xlfn.XLOOKUP(M160,'relaties_export_2026-01-12_1609'!A:A,'relaties_export_2026-01-12_1609'!B:B,"",3)</f>
        <v>naam</v>
      </c>
      <c r="O160" s="160"/>
      <c r="P160" s="43"/>
      <c r="Q160" s="43"/>
      <c r="R160" s="44"/>
      <c r="S160" s="45"/>
      <c r="T160" s="92"/>
      <c r="U160" s="46"/>
      <c r="V160" s="46"/>
      <c r="W160"/>
      <c r="X160" s="23"/>
      <c r="Y160" s="73" t="s">
        <v>3311</v>
      </c>
      <c r="Z160" s="47">
        <v>256</v>
      </c>
      <c r="AA160" s="47" t="str">
        <f>_xlfn.XLOOKUP(Z160,'relaties_export_2026-01-12_1609'!A:A,'relaties_export_2026-01-12_1609'!B:B,"",3)</f>
        <v>Dumanli</v>
      </c>
      <c r="AB160" s="46"/>
      <c r="AC160" s="127">
        <v>1865.5</v>
      </c>
      <c r="AD160" s="127">
        <v>1865.5</v>
      </c>
      <c r="AE160" s="127">
        <v>1865.5</v>
      </c>
      <c r="AF160" s="70"/>
      <c r="AG160" s="49"/>
      <c r="AH160" s="49"/>
    </row>
    <row r="161" spans="1:54" s="29" customFormat="1" ht="17" thickBot="1" x14ac:dyDescent="0.25">
      <c r="A161" s="30"/>
      <c r="B161" s="31" t="str">
        <f>_xlfn.XLOOKUP(D161,'[1]Sleutelplan nieuw'!B:B,'[1]Sleutelplan nieuw'!A:A,"",3)</f>
        <v>0211</v>
      </c>
      <c r="C161" s="32"/>
      <c r="D161" s="59" t="s">
        <v>3312</v>
      </c>
      <c r="E161" s="60"/>
      <c r="F161" s="87" t="s">
        <v>3307</v>
      </c>
      <c r="G161" s="112"/>
      <c r="H161" s="157"/>
      <c r="I161" s="158"/>
      <c r="J161" s="158"/>
      <c r="K161" s="155"/>
      <c r="L161" s="159" t="s">
        <v>2672</v>
      </c>
      <c r="M161" s="41">
        <f>_xlfn.XLOOKUP(L161,'relaties_export_2026-01-12_1609'!B:B,'relaties_export_2026-01-12_1609'!A:A,"",3)</f>
        <v>17</v>
      </c>
      <c r="N161" s="41" t="str">
        <f>_xlfn.XLOOKUP(M161,'relaties_export_2026-01-12_1609'!A:A,'relaties_export_2026-01-12_1609'!B:B,"",3)</f>
        <v>Tradiro Services B.V.</v>
      </c>
      <c r="O161" s="160"/>
      <c r="P161" s="43"/>
      <c r="Q161" s="43"/>
      <c r="R161" s="44"/>
      <c r="S161" s="45"/>
      <c r="T161" s="92"/>
      <c r="U161" s="46"/>
      <c r="V161" s="46"/>
      <c r="W161"/>
      <c r="X161" s="23"/>
      <c r="Y161" s="73" t="s">
        <v>3313</v>
      </c>
      <c r="Z161" s="47" t="str">
        <f>_xlfn.XLOOKUP(Y161,'relaties_export_2026-01-12_1609'!B:B,'relaties_export_2026-01-12_1609'!A:A,"",3)</f>
        <v/>
      </c>
      <c r="AA161" s="47" t="str">
        <f>_xlfn.XLOOKUP(Z161,'relaties_export_2026-01-12_1609'!A:A,'relaties_export_2026-01-12_1609'!B:B,"",3)</f>
        <v>naam</v>
      </c>
      <c r="AB161" s="69" t="s">
        <v>3314</v>
      </c>
      <c r="AC161" s="127">
        <v>2300</v>
      </c>
      <c r="AD161" s="127">
        <v>2300</v>
      </c>
      <c r="AE161" s="127">
        <v>2300</v>
      </c>
      <c r="AF161" s="70"/>
      <c r="AG161" s="49"/>
      <c r="AH161" s="49"/>
    </row>
    <row r="162" spans="1:54" s="29" customFormat="1" ht="17" thickBot="1" x14ac:dyDescent="0.25">
      <c r="A162" s="30">
        <v>147</v>
      </c>
      <c r="B162" s="31" t="str">
        <f>_xlfn.XLOOKUP(D162,'[1]Sleutelplan nieuw'!B:B,'[1]Sleutelplan nieuw'!A:A,"",2)</f>
        <v>0029</v>
      </c>
      <c r="C162" s="32" t="s">
        <v>2831</v>
      </c>
      <c r="D162" s="59" t="s">
        <v>3315</v>
      </c>
      <c r="E162" s="60" t="s">
        <v>3316</v>
      </c>
      <c r="F162" s="76" t="s">
        <v>84</v>
      </c>
      <c r="G162" s="77">
        <v>3</v>
      </c>
      <c r="H162" s="77">
        <v>3</v>
      </c>
      <c r="I162" s="78">
        <v>45597</v>
      </c>
      <c r="J162" s="78">
        <v>45962</v>
      </c>
      <c r="K162" s="78"/>
      <c r="L162" s="83" t="s">
        <v>3163</v>
      </c>
      <c r="M162" s="41">
        <f>_xlfn.XLOOKUP(L162,'relaties_export_2026-01-12_1609'!B:B,'relaties_export_2026-01-12_1609'!A:A,"",3)</f>
        <v>329</v>
      </c>
      <c r="N162" s="41" t="str">
        <f>_xlfn.XLOOKUP(M162,'relaties_export_2026-01-12_1609'!A:A,'relaties_export_2026-01-12_1609'!B:B,"",3)</f>
        <v>RNDV Industries</v>
      </c>
      <c r="O162" s="161"/>
      <c r="P162" s="43">
        <f t="shared" ref="P162:P210" si="46">R162-U162-V162-AD162</f>
        <v>592.90000000000009</v>
      </c>
      <c r="Q162" s="43">
        <f t="shared" ref="Q162:Q172" si="47">T162*1.09+U162*1.21</f>
        <v>2397.9110000000001</v>
      </c>
      <c r="R162" s="44">
        <f t="shared" ref="R162:R199" si="48">T162+U162</f>
        <v>2177.9</v>
      </c>
      <c r="S162" s="45">
        <f t="shared" ref="S162:S199" si="49">(R162/G162)/4.33333</f>
        <v>167.53089810069085</v>
      </c>
      <c r="T162" s="45">
        <v>1977.9</v>
      </c>
      <c r="U162" s="46">
        <v>200</v>
      </c>
      <c r="V162" s="46">
        <v>35</v>
      </c>
      <c r="W162"/>
      <c r="X162" s="23"/>
      <c r="Y162" s="73" t="s">
        <v>2731</v>
      </c>
      <c r="Z162" s="47">
        <f>_xlfn.XLOOKUP(Y162,'relaties_export_2026-01-12_1609'!B:B,'relaties_export_2026-01-12_1609'!A:A,"",3)</f>
        <v>850</v>
      </c>
      <c r="AA162" s="47" t="str">
        <f>_xlfn.XLOOKUP(Z162,'relaties_export_2026-01-12_1609'!A:A,'relaties_export_2026-01-12_1609'!B:B,"",3)</f>
        <v>M. Kathiravelu</v>
      </c>
      <c r="AB162" s="46" t="s">
        <v>3317</v>
      </c>
      <c r="AC162" s="43">
        <v>1350</v>
      </c>
      <c r="AD162" s="43">
        <v>1350</v>
      </c>
      <c r="AE162" s="43">
        <v>1350</v>
      </c>
      <c r="AF162" s="70">
        <f t="shared" ref="AF162:AF170" si="50">(AD162/G162)/4.33333</f>
        <v>103.84623372787209</v>
      </c>
      <c r="AG162" s="49">
        <v>45566</v>
      </c>
      <c r="AH162" s="49">
        <v>46295</v>
      </c>
    </row>
    <row r="163" spans="1:54" s="29" customFormat="1" ht="17" thickBot="1" x14ac:dyDescent="0.25">
      <c r="A163" s="30">
        <v>149</v>
      </c>
      <c r="B163" s="31" t="str">
        <f>_xlfn.XLOOKUP(D163,'[1]Sleutelplan nieuw'!B:B,'[1]Sleutelplan nieuw'!A:A,"",2)</f>
        <v>0118</v>
      </c>
      <c r="C163" s="32" t="s">
        <v>2831</v>
      </c>
      <c r="D163" s="59" t="s">
        <v>3318</v>
      </c>
      <c r="E163" s="60" t="s">
        <v>3319</v>
      </c>
      <c r="F163" s="144" t="s">
        <v>3320</v>
      </c>
      <c r="G163" s="77">
        <v>5</v>
      </c>
      <c r="H163" s="77">
        <v>5</v>
      </c>
      <c r="I163" s="78">
        <v>45839</v>
      </c>
      <c r="J163" s="78">
        <v>46203</v>
      </c>
      <c r="K163" s="78"/>
      <c r="L163" s="114" t="s">
        <v>1468</v>
      </c>
      <c r="M163" s="41">
        <f>_xlfn.XLOOKUP(L163,'relaties_export_2026-01-12_1609'!B:B,'relaties_export_2026-01-12_1609'!A:A,"",3)</f>
        <v>342</v>
      </c>
      <c r="N163" s="41" t="str">
        <f>_xlfn.XLOOKUP(M163,'relaties_export_2026-01-12_1609'!A:A,'relaties_export_2026-01-12_1609'!B:B,"",3)</f>
        <v>Bw-engineering</v>
      </c>
      <c r="O163" s="161"/>
      <c r="P163" s="43">
        <f t="shared" si="46"/>
        <v>800</v>
      </c>
      <c r="Q163" s="43">
        <f t="shared" si="47"/>
        <v>3960.0000000000005</v>
      </c>
      <c r="R163" s="44">
        <f t="shared" si="48"/>
        <v>3600</v>
      </c>
      <c r="S163" s="162">
        <f t="shared" si="49"/>
        <v>166.15397396459537</v>
      </c>
      <c r="T163" s="45">
        <v>3300</v>
      </c>
      <c r="U163" s="46">
        <v>300</v>
      </c>
      <c r="V163" s="46">
        <v>0</v>
      </c>
      <c r="W163"/>
      <c r="X163" s="23"/>
      <c r="Y163" s="56" t="s">
        <v>2668</v>
      </c>
      <c r="Z163" s="47">
        <f>_xlfn.XLOOKUP(Y163,'relaties_export_2026-01-12_1609'!B:B,'relaties_export_2026-01-12_1609'!A:A,"",3)</f>
        <v>783</v>
      </c>
      <c r="AA163" s="47" t="str">
        <f>_xlfn.XLOOKUP(Z163,'relaties_export_2026-01-12_1609'!A:A,'relaties_export_2026-01-12_1609'!B:B,"",3)</f>
        <v>Johan ven der Burg</v>
      </c>
      <c r="AB163" s="70"/>
      <c r="AC163" s="46">
        <v>2500</v>
      </c>
      <c r="AD163" s="70">
        <v>2500</v>
      </c>
      <c r="AE163" s="70">
        <v>2500</v>
      </c>
      <c r="AF163" s="70">
        <f t="shared" si="50"/>
        <v>115.38470414208011</v>
      </c>
      <c r="AG163" s="49">
        <v>45383</v>
      </c>
      <c r="AH163" s="49">
        <v>46112</v>
      </c>
      <c r="AI163"/>
      <c r="AJ163"/>
      <c r="AK163" s="80"/>
      <c r="AL163" s="80"/>
      <c r="AO163" s="34"/>
      <c r="AP163" s="116"/>
      <c r="AQ163" s="58"/>
      <c r="AT163" s="81"/>
      <c r="AU163" s="81"/>
      <c r="AX163" s="95"/>
      <c r="AY163" s="82"/>
      <c r="BB163" s="82"/>
    </row>
    <row r="164" spans="1:54" s="29" customFormat="1" ht="17" thickBot="1" x14ac:dyDescent="0.25">
      <c r="A164" s="30">
        <v>150</v>
      </c>
      <c r="B164" s="31" t="str">
        <f>_xlfn.XLOOKUP(D164,'[1]Sleutelplan nieuw'!B:B,'[1]Sleutelplan nieuw'!A:A,"",2)</f>
        <v>0323</v>
      </c>
      <c r="C164" s="32" t="s">
        <v>2831</v>
      </c>
      <c r="D164" s="59" t="s">
        <v>3321</v>
      </c>
      <c r="E164" s="60" t="s">
        <v>3322</v>
      </c>
      <c r="F164" s="144" t="s">
        <v>3323</v>
      </c>
      <c r="G164" s="77">
        <v>5</v>
      </c>
      <c r="H164" s="77">
        <v>5</v>
      </c>
      <c r="I164" s="78">
        <v>45741</v>
      </c>
      <c r="J164" s="78">
        <v>46053</v>
      </c>
      <c r="K164" s="78"/>
      <c r="L164" s="83" t="s">
        <v>3324</v>
      </c>
      <c r="M164" s="41">
        <f>_xlfn.XLOOKUP(L164,'relaties_export_2026-01-12_1609'!B:B,'relaties_export_2026-01-12_1609'!A:A,"",3)</f>
        <v>172</v>
      </c>
      <c r="N164" s="41" t="str">
        <f>_xlfn.XLOOKUP(M164,'relaties_export_2026-01-12_1609'!A:A,'relaties_export_2026-01-12_1609'!B:B,"",3)</f>
        <v>Flexvesting B.V.</v>
      </c>
      <c r="O164" s="59"/>
      <c r="P164" s="43">
        <f t="shared" si="46"/>
        <v>493.25</v>
      </c>
      <c r="Q164" s="43">
        <f t="shared" si="47"/>
        <v>3142.5</v>
      </c>
      <c r="R164" s="44">
        <f t="shared" si="48"/>
        <v>2850</v>
      </c>
      <c r="S164" s="162">
        <f t="shared" si="49"/>
        <v>131.53856272197132</v>
      </c>
      <c r="T164" s="45">
        <v>2550</v>
      </c>
      <c r="U164" s="46">
        <v>300</v>
      </c>
      <c r="V164" s="46"/>
      <c r="W164"/>
      <c r="X164" s="23"/>
      <c r="Y164" s="56" t="s">
        <v>2702</v>
      </c>
      <c r="Z164" s="47">
        <f>_xlfn.XLOOKUP(Y164,'relaties_export_2026-01-12_1609'!B:B,'relaties_export_2026-01-12_1609'!A:A,"",3)</f>
        <v>821</v>
      </c>
      <c r="AA164" s="47" t="str">
        <f>_xlfn.XLOOKUP(Z164,'relaties_export_2026-01-12_1609'!A:A,'relaties_export_2026-01-12_1609'!B:B,"",3)</f>
        <v>R. Paalman</v>
      </c>
      <c r="AB164" s="67" t="s">
        <v>3325</v>
      </c>
      <c r="AC164" s="46">
        <v>2056.75</v>
      </c>
      <c r="AD164" s="70">
        <v>2056.75</v>
      </c>
      <c r="AE164" s="70">
        <v>2056.75</v>
      </c>
      <c r="AF164" s="70">
        <f t="shared" si="50"/>
        <v>94.926996097689312</v>
      </c>
      <c r="AG164" s="49">
        <v>45689</v>
      </c>
      <c r="AH164" s="49">
        <v>46054</v>
      </c>
      <c r="AI164"/>
      <c r="AJ164"/>
      <c r="AK164" s="80"/>
      <c r="AL164" s="80"/>
      <c r="AO164" s="34"/>
      <c r="AP164" s="116"/>
      <c r="AQ164" s="58"/>
      <c r="AT164" s="81"/>
      <c r="AU164" s="81"/>
      <c r="AX164" s="95"/>
      <c r="AY164" s="82"/>
      <c r="BB164" s="82"/>
    </row>
    <row r="165" spans="1:54" s="29" customFormat="1" ht="17" thickBot="1" x14ac:dyDescent="0.25">
      <c r="A165" s="30">
        <v>151</v>
      </c>
      <c r="B165" s="31" t="str" cm="1">
        <f t="array" ref="B165">_xlfn.XLOOKUP(LEFT(D165,3),LEFT('[1]Sleutelplan nieuw'!B:B,3),'[1]Sleutelplan nieuw'!A:A,"",2)</f>
        <v>0184</v>
      </c>
      <c r="C165" s="32" t="s">
        <v>2824</v>
      </c>
      <c r="D165" s="59" t="s">
        <v>3326</v>
      </c>
      <c r="E165" s="60" t="s">
        <v>3327</v>
      </c>
      <c r="F165" s="144" t="s">
        <v>84</v>
      </c>
      <c r="G165" s="77">
        <v>3</v>
      </c>
      <c r="H165" s="77">
        <v>3</v>
      </c>
      <c r="I165" s="78">
        <v>45493</v>
      </c>
      <c r="J165" s="78">
        <v>45857</v>
      </c>
      <c r="K165" s="78"/>
      <c r="L165" s="114" t="s">
        <v>410</v>
      </c>
      <c r="M165" s="41">
        <f>_xlfn.XLOOKUP(L165,'relaties_export_2026-01-12_1609'!B:B,'relaties_export_2026-01-12_1609'!A:A,"",3)</f>
        <v>87</v>
      </c>
      <c r="N165" s="41" t="str">
        <f>_xlfn.XLOOKUP(M165,'relaties_export_2026-01-12_1609'!A:A,'relaties_export_2026-01-12_1609'!B:B,"",3)</f>
        <v>Industrial Technical Services Srl</v>
      </c>
      <c r="O165" s="42"/>
      <c r="P165" s="43">
        <f t="shared" si="46"/>
        <v>1186.9000000000001</v>
      </c>
      <c r="Q165" s="43">
        <f t="shared" si="47"/>
        <v>3220.5667000000003</v>
      </c>
      <c r="R165" s="44">
        <f t="shared" si="48"/>
        <v>2932.63</v>
      </c>
      <c r="S165" s="162">
        <f t="shared" si="49"/>
        <v>225.58709660545892</v>
      </c>
      <c r="T165" s="45">
        <v>2732.63</v>
      </c>
      <c r="U165" s="46">
        <v>200</v>
      </c>
      <c r="V165" s="46"/>
      <c r="W165"/>
      <c r="X165" s="23"/>
      <c r="Y165" s="56" t="s">
        <v>2672</v>
      </c>
      <c r="Z165" s="47">
        <f>_xlfn.XLOOKUP(Y165,'relaties_export_2026-01-12_1609'!B:B,'relaties_export_2026-01-12_1609'!A:A,"",3)</f>
        <v>17</v>
      </c>
      <c r="AA165" s="47" t="str">
        <f>_xlfn.XLOOKUP(Z165,'relaties_export_2026-01-12_1609'!A:A,'relaties_export_2026-01-12_1609'!B:B,"",3)</f>
        <v>Tradiro Services B.V.</v>
      </c>
      <c r="AB165" s="46"/>
      <c r="AC165" s="46">
        <v>1545.73</v>
      </c>
      <c r="AD165" s="46">
        <v>1545.73</v>
      </c>
      <c r="AE165" s="46">
        <v>1520.73</v>
      </c>
      <c r="AF165" s="46">
        <f t="shared" si="50"/>
        <v>118.90239915569165</v>
      </c>
      <c r="AG165" s="49"/>
      <c r="AH165" s="49"/>
      <c r="AI165"/>
      <c r="AJ165"/>
      <c r="AK165" s="80"/>
      <c r="AL165" s="80"/>
      <c r="AO165" s="34"/>
      <c r="AP165" s="116"/>
      <c r="AQ165" s="58"/>
      <c r="AT165" s="81"/>
      <c r="AU165" s="81"/>
      <c r="AX165" s="95"/>
      <c r="AY165" s="82"/>
      <c r="BB165" s="82"/>
    </row>
    <row r="166" spans="1:54" s="29" customFormat="1" ht="17" thickBot="1" x14ac:dyDescent="0.25">
      <c r="A166" s="30">
        <v>152</v>
      </c>
      <c r="B166" s="31" t="str">
        <f>_xlfn.XLOOKUP(D166,'[1]Sleutelplan nieuw'!B:B,'[1]Sleutelplan nieuw'!A:A,"",2)</f>
        <v>0018</v>
      </c>
      <c r="C166" s="32" t="s">
        <v>2831</v>
      </c>
      <c r="D166" s="59" t="s">
        <v>3328</v>
      </c>
      <c r="E166" s="60" t="s">
        <v>3329</v>
      </c>
      <c r="F166" s="144" t="s">
        <v>1673</v>
      </c>
      <c r="G166" s="77">
        <v>3</v>
      </c>
      <c r="H166" s="77">
        <v>2</v>
      </c>
      <c r="I166" s="78">
        <v>45611</v>
      </c>
      <c r="J166" s="78">
        <v>45976</v>
      </c>
      <c r="K166" s="78"/>
      <c r="L166" t="s">
        <v>1077</v>
      </c>
      <c r="M166" s="41">
        <f>_xlfn.XLOOKUP(L166,'relaties_export_2026-01-12_1609'!B:B,'relaties_export_2026-01-12_1609'!A:A,"",3)</f>
        <v>234</v>
      </c>
      <c r="N166" s="41" t="str">
        <f>_xlfn.XLOOKUP(M166,'relaties_export_2026-01-12_1609'!A:A,'relaties_export_2026-01-12_1609'!B:B,"",3)</f>
        <v>Labour Housing BV</v>
      </c>
      <c r="O166" s="42" t="s">
        <v>2845</v>
      </c>
      <c r="P166" s="43">
        <f t="shared" si="46"/>
        <v>495.98</v>
      </c>
      <c r="Q166" s="43">
        <f t="shared" si="47"/>
        <v>2483.0182</v>
      </c>
      <c r="R166" s="44">
        <f t="shared" si="48"/>
        <v>2255.98</v>
      </c>
      <c r="S166" s="45">
        <f t="shared" si="49"/>
        <v>173.53705656696658</v>
      </c>
      <c r="T166" s="45">
        <v>2055.98</v>
      </c>
      <c r="U166" s="46">
        <v>200</v>
      </c>
      <c r="V166" s="46"/>
      <c r="W166"/>
      <c r="X166" s="23"/>
      <c r="Y166" s="56" t="s">
        <v>2703</v>
      </c>
      <c r="Z166" s="47">
        <f>_xlfn.XLOOKUP(Y166,'relaties_export_2026-01-12_1609'!B:B,'relaties_export_2026-01-12_1609'!A:A,"",3)</f>
        <v>822</v>
      </c>
      <c r="AA166" s="47" t="str">
        <f>_xlfn.XLOOKUP(Z166,'relaties_export_2026-01-12_1609'!A:A,'relaties_export_2026-01-12_1609'!B:B,"",3)</f>
        <v>M.B. Kewal</v>
      </c>
      <c r="AB166" s="69" t="s">
        <v>3330</v>
      </c>
      <c r="AC166" s="46">
        <v>1560</v>
      </c>
      <c r="AD166" s="46">
        <v>1560</v>
      </c>
      <c r="AE166" s="46">
        <v>1560</v>
      </c>
      <c r="AF166" s="46">
        <f t="shared" si="50"/>
        <v>120.00009230776331</v>
      </c>
      <c r="AG166" s="49">
        <v>45602</v>
      </c>
      <c r="AH166" s="49">
        <v>45967</v>
      </c>
      <c r="AI166"/>
      <c r="AJ166"/>
      <c r="AK166" s="80"/>
      <c r="AL166" s="80"/>
      <c r="AO166" s="34"/>
      <c r="AP166" s="116"/>
      <c r="AQ166" s="58"/>
      <c r="AT166" s="81"/>
      <c r="AU166" s="81"/>
      <c r="AX166" s="95"/>
      <c r="AY166" s="82"/>
      <c r="BB166" s="82"/>
    </row>
    <row r="167" spans="1:54" s="29" customFormat="1" ht="17" thickBot="1" x14ac:dyDescent="0.25">
      <c r="A167" s="30">
        <v>153</v>
      </c>
      <c r="B167" s="31" t="str">
        <f>_xlfn.XLOOKUP(D167,'[1]Sleutelplan nieuw'!B:B,'[1]Sleutelplan nieuw'!A:A,"",2)</f>
        <v>0098</v>
      </c>
      <c r="C167" s="32" t="s">
        <v>2831</v>
      </c>
      <c r="D167" s="59" t="s">
        <v>3331</v>
      </c>
      <c r="E167" s="60" t="s">
        <v>3332</v>
      </c>
      <c r="F167" s="144" t="s">
        <v>1632</v>
      </c>
      <c r="G167" s="77">
        <v>4</v>
      </c>
      <c r="H167" s="77">
        <v>4</v>
      </c>
      <c r="I167" s="78">
        <v>44610</v>
      </c>
      <c r="J167" s="78">
        <v>44790</v>
      </c>
      <c r="K167" s="78"/>
      <c r="L167" s="83" t="s">
        <v>656</v>
      </c>
      <c r="M167" s="41">
        <f>_xlfn.XLOOKUP(L167,'relaties_export_2026-01-12_1609'!B:B,'relaties_export_2026-01-12_1609'!A:A,"",3)</f>
        <v>140</v>
      </c>
      <c r="N167" s="41" t="str">
        <f>_xlfn.XLOOKUP(M167,'relaties_export_2026-01-12_1609'!A:A,'relaties_export_2026-01-12_1609'!B:B,"",3)</f>
        <v>Autodaxx B.V.</v>
      </c>
      <c r="O167" s="42" t="s">
        <v>2845</v>
      </c>
      <c r="P167" s="43">
        <f t="shared" si="46"/>
        <v>942.63000000000011</v>
      </c>
      <c r="Q167" s="43">
        <f t="shared" si="47"/>
        <v>4326.884</v>
      </c>
      <c r="R167" s="44">
        <f t="shared" si="48"/>
        <v>3947.6</v>
      </c>
      <c r="S167" s="45">
        <f t="shared" si="49"/>
        <v>227.7463290356377</v>
      </c>
      <c r="T167" s="45">
        <v>3747.6</v>
      </c>
      <c r="U167" s="46">
        <v>200</v>
      </c>
      <c r="V167" s="46">
        <v>0</v>
      </c>
      <c r="W167"/>
      <c r="X167" s="23"/>
      <c r="Y167" s="56" t="s">
        <v>2665</v>
      </c>
      <c r="Z167" s="47">
        <f>_xlfn.XLOOKUP(Y167,'relaties_export_2026-01-12_1609'!B:B,'relaties_export_2026-01-12_1609'!A:A,"",3)</f>
        <v>769</v>
      </c>
      <c r="AA167" s="47" t="str">
        <f>_xlfn.XLOOKUP(Z167,'relaties_export_2026-01-12_1609'!A:A,'relaties_export_2026-01-12_1609'!B:B,"",3)</f>
        <v>M. Farajzadeh</v>
      </c>
      <c r="AB167" s="46" t="s">
        <v>3333</v>
      </c>
      <c r="AC167" s="46">
        <v>2804.97</v>
      </c>
      <c r="AD167" s="46">
        <v>2804.97</v>
      </c>
      <c r="AE167" s="46">
        <v>2364.9699999999998</v>
      </c>
      <c r="AF167" s="46">
        <f t="shared" si="50"/>
        <v>161.82531678870521</v>
      </c>
      <c r="AG167" s="49">
        <v>44975</v>
      </c>
      <c r="AH167" s="49">
        <v>45705</v>
      </c>
      <c r="AI167"/>
      <c r="AJ167"/>
      <c r="AK167" s="80"/>
      <c r="AL167" s="80"/>
      <c r="AO167" s="34"/>
      <c r="AP167" s="116"/>
      <c r="AQ167" s="58"/>
      <c r="AT167" s="81"/>
      <c r="AU167" s="81"/>
      <c r="AX167" s="95"/>
      <c r="AY167" s="82"/>
      <c r="BB167" s="82"/>
    </row>
    <row r="168" spans="1:54" s="29" customFormat="1" ht="17" thickBot="1" x14ac:dyDescent="0.25">
      <c r="A168" s="30"/>
      <c r="B168" s="31" t="str">
        <f>_xlfn.XLOOKUP(D168,'[1]Sleutelplan nieuw'!B:B,'[1]Sleutelplan nieuw'!A:A,"",2)</f>
        <v/>
      </c>
      <c r="C168" s="32" t="s">
        <v>2831</v>
      </c>
      <c r="D168" s="59" t="s">
        <v>3334</v>
      </c>
      <c r="E168" s="60"/>
      <c r="F168" s="144" t="s">
        <v>1303</v>
      </c>
      <c r="G168" s="77"/>
      <c r="H168" s="77"/>
      <c r="I168" s="78"/>
      <c r="J168" s="78"/>
      <c r="K168" s="78"/>
      <c r="L168" s="83"/>
      <c r="M168" s="41" t="str">
        <f>_xlfn.XLOOKUP(L168,'relaties_export_2026-01-12_1609'!B:B,'relaties_export_2026-01-12_1609'!A:A,"",3)</f>
        <v>id</v>
      </c>
      <c r="N168" s="41" t="str">
        <f>_xlfn.XLOOKUP(M168,'relaties_export_2026-01-12_1609'!A:A,'relaties_export_2026-01-12_1609'!B:B,"",3)</f>
        <v>naam</v>
      </c>
      <c r="O168" s="42"/>
      <c r="P168" s="43"/>
      <c r="Q168" s="43"/>
      <c r="R168" s="44"/>
      <c r="S168" s="45"/>
      <c r="T168" s="45"/>
      <c r="U168" s="46"/>
      <c r="V168" s="46"/>
      <c r="W168"/>
      <c r="X168" s="23"/>
      <c r="Y168" s="56" t="s">
        <v>2731</v>
      </c>
      <c r="Z168" s="47">
        <f>_xlfn.XLOOKUP(Y168,'relaties_export_2026-01-12_1609'!B:B,'relaties_export_2026-01-12_1609'!A:A,"",3)</f>
        <v>850</v>
      </c>
      <c r="AA168" s="47" t="str">
        <f>_xlfn.XLOOKUP(Z168,'relaties_export_2026-01-12_1609'!A:A,'relaties_export_2026-01-12_1609'!B:B,"",3)</f>
        <v>M. Kathiravelu</v>
      </c>
      <c r="AB168" s="46"/>
      <c r="AC168" s="46">
        <v>1696.5</v>
      </c>
      <c r="AD168" s="46">
        <v>1696.5</v>
      </c>
      <c r="AE168" s="46">
        <v>1561.5</v>
      </c>
      <c r="AF168" s="46"/>
      <c r="AG168" s="49"/>
      <c r="AH168" s="49"/>
      <c r="AI168"/>
      <c r="AJ168"/>
      <c r="AK168" s="80"/>
      <c r="AL168" s="80"/>
      <c r="AO168" s="34"/>
      <c r="AP168" s="116"/>
      <c r="AQ168" s="58"/>
      <c r="AT168" s="81"/>
      <c r="AU168" s="81"/>
      <c r="AX168" s="95"/>
      <c r="AY168" s="82"/>
      <c r="BB168" s="82"/>
    </row>
    <row r="169" spans="1:54" s="29" customFormat="1" ht="17" thickBot="1" x14ac:dyDescent="0.25">
      <c r="A169" s="30">
        <v>154</v>
      </c>
      <c r="B169" s="31" t="str">
        <f>_xlfn.XLOOKUP(D169,'[1]Sleutelplan nieuw'!B:B,'[1]Sleutelplan nieuw'!A:A,"",2)</f>
        <v>0035</v>
      </c>
      <c r="C169" s="32" t="s">
        <v>2824</v>
      </c>
      <c r="D169" s="126" t="s">
        <v>3335</v>
      </c>
      <c r="E169" s="107" t="s">
        <v>3336</v>
      </c>
      <c r="F169" s="76" t="s">
        <v>1303</v>
      </c>
      <c r="G169" s="108">
        <v>3</v>
      </c>
      <c r="H169" s="108">
        <v>2</v>
      </c>
      <c r="I169" s="78">
        <v>44939</v>
      </c>
      <c r="J169" s="78">
        <v>45291</v>
      </c>
      <c r="K169" s="78"/>
      <c r="L169" s="83" t="s">
        <v>2672</v>
      </c>
      <c r="M169" s="41">
        <f>_xlfn.XLOOKUP(L169,'relaties_export_2026-01-12_1609'!B:B,'relaties_export_2026-01-12_1609'!A:A,"",3)</f>
        <v>17</v>
      </c>
      <c r="N169" s="41" t="str">
        <f>_xlfn.XLOOKUP(M169,'relaties_export_2026-01-12_1609'!A:A,'relaties_export_2026-01-12_1609'!B:B,"",3)</f>
        <v>Tradiro Services B.V.</v>
      </c>
      <c r="O169" s="42" t="s">
        <v>2845</v>
      </c>
      <c r="P169" s="43">
        <f t="shared" si="46"/>
        <v>484.67000000000007</v>
      </c>
      <c r="Q169" s="43">
        <f t="shared" si="47"/>
        <v>1945.2903000000001</v>
      </c>
      <c r="R169" s="44">
        <f t="shared" si="48"/>
        <v>1784.67</v>
      </c>
      <c r="S169" s="45">
        <f t="shared" si="49"/>
        <v>137.28241329416406</v>
      </c>
      <c r="T169" s="45">
        <v>1784.67</v>
      </c>
      <c r="U169" s="46">
        <v>0</v>
      </c>
      <c r="V169" s="46">
        <v>0</v>
      </c>
      <c r="W169"/>
      <c r="X169" s="23"/>
      <c r="Y169" s="73" t="s">
        <v>1162</v>
      </c>
      <c r="Z169" s="47">
        <f>_xlfn.XLOOKUP(Y169,'relaties_export_2026-01-12_1609'!B:B,'relaties_export_2026-01-12_1609'!A:A,"",3)</f>
        <v>258</v>
      </c>
      <c r="AA169" s="47" t="str">
        <f>_xlfn.XLOOKUP(Z169,'relaties_export_2026-01-12_1609'!A:A,'relaties_export_2026-01-12_1609'!B:B,"",3)</f>
        <v>Parkwonen</v>
      </c>
      <c r="AB169" s="106"/>
      <c r="AC169" s="43">
        <v>1300</v>
      </c>
      <c r="AD169" s="43">
        <v>1300</v>
      </c>
      <c r="AE169" s="127">
        <v>1300</v>
      </c>
      <c r="AF169" s="46">
        <f t="shared" si="50"/>
        <v>100.00007692313609</v>
      </c>
      <c r="AG169" s="49">
        <v>44927</v>
      </c>
      <c r="AH169" s="49">
        <v>45292</v>
      </c>
    </row>
    <row r="170" spans="1:54" s="29" customFormat="1" ht="17" thickBot="1" x14ac:dyDescent="0.25">
      <c r="A170" s="30">
        <v>155</v>
      </c>
      <c r="B170" s="31" t="str">
        <f>_xlfn.XLOOKUP(D170,'[1]Sleutelplan nieuw'!B:B,'[1]Sleutelplan nieuw'!A:A,"",2)</f>
        <v>0036</v>
      </c>
      <c r="C170" s="32" t="s">
        <v>2824</v>
      </c>
      <c r="D170" s="126" t="s">
        <v>3337</v>
      </c>
      <c r="E170" s="107" t="s">
        <v>3336</v>
      </c>
      <c r="F170" s="76" t="s">
        <v>1303</v>
      </c>
      <c r="G170" s="108">
        <v>5</v>
      </c>
      <c r="H170" s="108">
        <v>3</v>
      </c>
      <c r="I170" s="78">
        <v>44939</v>
      </c>
      <c r="J170" s="78">
        <v>45291</v>
      </c>
      <c r="K170" s="78"/>
      <c r="L170" s="83" t="s">
        <v>2672</v>
      </c>
      <c r="M170" s="41">
        <f>_xlfn.XLOOKUP(L170,'relaties_export_2026-01-12_1609'!B:B,'relaties_export_2026-01-12_1609'!A:A,"",3)</f>
        <v>17</v>
      </c>
      <c r="N170" s="41" t="str">
        <f>_xlfn.XLOOKUP(M170,'relaties_export_2026-01-12_1609'!A:A,'relaties_export_2026-01-12_1609'!B:B,"",3)</f>
        <v>Tradiro Services B.V.</v>
      </c>
      <c r="O170" s="42" t="s">
        <v>2845</v>
      </c>
      <c r="P170" s="43">
        <f t="shared" si="46"/>
        <v>1510.6999999999998</v>
      </c>
      <c r="Q170" s="43">
        <f t="shared" si="47"/>
        <v>3063.663</v>
      </c>
      <c r="R170" s="44">
        <f t="shared" si="48"/>
        <v>2810.7</v>
      </c>
      <c r="S170" s="45">
        <f t="shared" si="49"/>
        <v>129.72471517285783</v>
      </c>
      <c r="T170" s="45">
        <v>2810.7</v>
      </c>
      <c r="U170" s="46">
        <v>0</v>
      </c>
      <c r="V170" s="46">
        <v>0</v>
      </c>
      <c r="W170"/>
      <c r="X170" s="23"/>
      <c r="Y170" s="73" t="s">
        <v>1162</v>
      </c>
      <c r="Z170" s="47">
        <f>_xlfn.XLOOKUP(Y170,'relaties_export_2026-01-12_1609'!B:B,'relaties_export_2026-01-12_1609'!A:A,"",3)</f>
        <v>258</v>
      </c>
      <c r="AA170" s="47" t="str">
        <f>_xlfn.XLOOKUP(Z170,'relaties_export_2026-01-12_1609'!A:A,'relaties_export_2026-01-12_1609'!B:B,"",3)</f>
        <v>Parkwonen</v>
      </c>
      <c r="AB170" s="106"/>
      <c r="AC170" s="43">
        <v>1300</v>
      </c>
      <c r="AD170" s="43">
        <v>1300</v>
      </c>
      <c r="AE170" s="127">
        <v>1300</v>
      </c>
      <c r="AF170" s="46">
        <f t="shared" si="50"/>
        <v>60.000046153881655</v>
      </c>
      <c r="AG170" s="49">
        <v>44927</v>
      </c>
      <c r="AH170" s="49">
        <v>45292</v>
      </c>
    </row>
    <row r="171" spans="1:54" s="29" customFormat="1" ht="17" thickBot="1" x14ac:dyDescent="0.25">
      <c r="A171" s="30"/>
      <c r="B171" s="31" t="str">
        <f>_xlfn.XLOOKUP(D171,'[1]Sleutelplan nieuw'!B:B,'[1]Sleutelplan nieuw'!A:A,"",2)</f>
        <v>0074</v>
      </c>
      <c r="C171" s="32"/>
      <c r="D171" s="126" t="s">
        <v>3338</v>
      </c>
      <c r="E171" s="107" t="s">
        <v>3339</v>
      </c>
      <c r="F171" s="76" t="s">
        <v>1214</v>
      </c>
      <c r="G171" s="108"/>
      <c r="H171" s="108"/>
      <c r="I171" s="78"/>
      <c r="J171" s="78"/>
      <c r="K171" s="78"/>
      <c r="L171" s="83" t="s">
        <v>2672</v>
      </c>
      <c r="M171" s="41">
        <f>_xlfn.XLOOKUP(L171,'relaties_export_2026-01-12_1609'!B:B,'relaties_export_2026-01-12_1609'!A:A,"",3)</f>
        <v>17</v>
      </c>
      <c r="N171" s="41" t="str">
        <f>_xlfn.XLOOKUP(M171,'relaties_export_2026-01-12_1609'!A:A,'relaties_export_2026-01-12_1609'!B:B,"",3)</f>
        <v>Tradiro Services B.V.</v>
      </c>
      <c r="O171" s="42"/>
      <c r="P171" s="43"/>
      <c r="Q171" s="43"/>
      <c r="R171" s="44"/>
      <c r="S171" s="45"/>
      <c r="T171" s="45"/>
      <c r="U171" s="46"/>
      <c r="V171" s="46"/>
      <c r="W171"/>
      <c r="X171" s="23"/>
      <c r="Y171" s="73" t="s">
        <v>3340</v>
      </c>
      <c r="Z171" s="47">
        <f>_xlfn.XLOOKUP(Y171,'relaties_export_2026-01-12_1609'!B:B,'relaties_export_2026-01-12_1609'!A:A,"",3)</f>
        <v>701</v>
      </c>
      <c r="AA171" s="47" t="str">
        <f>_xlfn.XLOOKUP(Z171,'relaties_export_2026-01-12_1609'!A:A,'relaties_export_2026-01-12_1609'!B:B,"",3)</f>
        <v>Fransen Vastgoed / Holland Huisvesting B.V.</v>
      </c>
      <c r="AC171" s="48">
        <v>2509.85</v>
      </c>
      <c r="AD171" s="48">
        <v>2509.85</v>
      </c>
      <c r="AE171" s="110">
        <v>2459.85</v>
      </c>
      <c r="AF171" s="70"/>
      <c r="AG171" s="49"/>
      <c r="AH171" s="49"/>
    </row>
    <row r="172" spans="1:54" s="29" customFormat="1" ht="17" thickBot="1" x14ac:dyDescent="0.25">
      <c r="A172" s="30">
        <v>156</v>
      </c>
      <c r="B172" s="31" t="str">
        <f>_xlfn.XLOOKUP(D172,'[1]Sleutelplan nieuw'!B:B,'[1]Sleutelplan nieuw'!A:A,"",2)</f>
        <v/>
      </c>
      <c r="C172" s="32" t="s">
        <v>2824</v>
      </c>
      <c r="D172" s="59" t="s">
        <v>3341</v>
      </c>
      <c r="E172" s="60" t="s">
        <v>3342</v>
      </c>
      <c r="F172" s="144" t="s">
        <v>2994</v>
      </c>
      <c r="G172" s="77">
        <v>3</v>
      </c>
      <c r="H172" s="77">
        <v>3</v>
      </c>
      <c r="I172" s="78">
        <v>45059</v>
      </c>
      <c r="J172" s="78">
        <v>45242</v>
      </c>
      <c r="K172" s="78"/>
      <c r="L172" t="s">
        <v>2923</v>
      </c>
      <c r="M172" s="41">
        <f>_xlfn.XLOOKUP(L172,'relaties_export_2026-01-12_1609'!B:B,'relaties_export_2026-01-12_1609'!A:A,"",0)</f>
        <v>190</v>
      </c>
      <c r="N172" s="41" t="str">
        <f>_xlfn.XLOOKUP(M172,'relaties_export_2026-01-12_1609'!A:A,'relaties_export_2026-01-12_1609'!B:B,"",3)</f>
        <v>BBTS (Vastgoed Spijkenisse)</v>
      </c>
      <c r="O172" s="42"/>
      <c r="P172" s="43">
        <f t="shared" si="46"/>
        <v>571.09999999999991</v>
      </c>
      <c r="Q172" s="43">
        <f t="shared" si="47"/>
        <v>3025.9086000000002</v>
      </c>
      <c r="R172" s="44">
        <f t="shared" si="48"/>
        <v>2748.54</v>
      </c>
      <c r="S172" s="45">
        <f t="shared" si="49"/>
        <v>211.4263164817819</v>
      </c>
      <c r="T172" s="45">
        <v>2498.54</v>
      </c>
      <c r="U172" s="46">
        <v>250</v>
      </c>
      <c r="V172" s="46">
        <v>0</v>
      </c>
      <c r="W172"/>
      <c r="X172" s="23"/>
      <c r="Y172" s="56" t="s">
        <v>980</v>
      </c>
      <c r="Z172" s="47">
        <f>_xlfn.XLOOKUP(Y172,'relaties_export_2026-01-12_1609'!B:B,'relaties_export_2026-01-12_1609'!A:A,"",3)</f>
        <v>211</v>
      </c>
      <c r="AA172" s="47" t="str">
        <f>_xlfn.XLOOKUP(Z172,'relaties_export_2026-01-12_1609'!A:A,'relaties_export_2026-01-12_1609'!B:B,"",3)</f>
        <v>Homescout21 B.V.</v>
      </c>
      <c r="AB172" s="70" t="s">
        <v>3343</v>
      </c>
      <c r="AC172" s="46">
        <f t="shared" ref="AC172:AC180" si="51">(AD172*21%)+AD172</f>
        <v>2332.2024000000001</v>
      </c>
      <c r="AD172" s="70">
        <v>1927.44</v>
      </c>
      <c r="AE172" s="70">
        <v>1927.43</v>
      </c>
      <c r="AF172" s="70">
        <f t="shared" ref="AF172:AF187" si="52">(AD172/G172)/4.333</f>
        <v>148.27602123240248</v>
      </c>
      <c r="AG172" s="49">
        <v>45047</v>
      </c>
      <c r="AH172" s="49">
        <v>46873</v>
      </c>
      <c r="AI172"/>
      <c r="AJ172"/>
      <c r="AK172" s="80"/>
      <c r="AL172" s="80"/>
      <c r="AO172" s="34"/>
      <c r="AP172" s="116"/>
      <c r="AQ172" s="58"/>
      <c r="AT172" s="81"/>
      <c r="AU172" s="81"/>
      <c r="AX172" s="95"/>
      <c r="AY172" s="82"/>
      <c r="BB172" s="82"/>
    </row>
    <row r="173" spans="1:54" s="29" customFormat="1" ht="17" thickBot="1" x14ac:dyDescent="0.25">
      <c r="A173" s="30">
        <v>157</v>
      </c>
      <c r="B173" s="31" t="str">
        <f>_xlfn.XLOOKUP(D173,'[1]Sleutelplan nieuw'!B:B,'[1]Sleutelplan nieuw'!A:A,"",2)</f>
        <v>0252</v>
      </c>
      <c r="C173" s="32" t="s">
        <v>2824</v>
      </c>
      <c r="D173" s="59" t="s">
        <v>3344</v>
      </c>
      <c r="E173" s="60" t="s">
        <v>3342</v>
      </c>
      <c r="F173" s="144" t="s">
        <v>2994</v>
      </c>
      <c r="G173" s="77">
        <v>3</v>
      </c>
      <c r="H173" s="77">
        <v>3</v>
      </c>
      <c r="I173" s="78">
        <v>45292</v>
      </c>
      <c r="J173" s="78">
        <v>45657</v>
      </c>
      <c r="K173" s="78" t="s">
        <v>2845</v>
      </c>
      <c r="L173" s="114" t="s">
        <v>3007</v>
      </c>
      <c r="M173" s="41">
        <f>_xlfn.XLOOKUP(L173,'relaties_export_2026-01-12_1609'!B:B,'relaties_export_2026-01-12_1609'!A:A,"",3)</f>
        <v>374</v>
      </c>
      <c r="N173" s="41" t="str">
        <f>_xlfn.XLOOKUP(M173,'relaties_export_2026-01-12_1609'!A:A,'relaties_export_2026-01-12_1609'!B:B,"",3)</f>
        <v>GAP Costruzioni S.r.l.</v>
      </c>
      <c r="O173" s="42"/>
      <c r="P173" s="43">
        <f t="shared" si="46"/>
        <v>810.38999999999987</v>
      </c>
      <c r="Q173" s="43">
        <f>T173*1.09+U173*1.09</f>
        <v>3093.2347</v>
      </c>
      <c r="R173" s="44">
        <f t="shared" si="48"/>
        <v>2837.83</v>
      </c>
      <c r="S173" s="162">
        <f t="shared" si="49"/>
        <v>218.29478330367945</v>
      </c>
      <c r="T173" s="45">
        <v>2737.83</v>
      </c>
      <c r="U173" s="46">
        <v>100</v>
      </c>
      <c r="V173" s="46">
        <v>0</v>
      </c>
      <c r="W173"/>
      <c r="X173" s="23"/>
      <c r="Y173" s="56" t="s">
        <v>980</v>
      </c>
      <c r="Z173" s="47">
        <f>_xlfn.XLOOKUP(Y173,'relaties_export_2026-01-12_1609'!B:B,'relaties_export_2026-01-12_1609'!A:A,"",3)</f>
        <v>211</v>
      </c>
      <c r="AA173" s="47" t="str">
        <f>_xlfn.XLOOKUP(Z173,'relaties_export_2026-01-12_1609'!A:A,'relaties_export_2026-01-12_1609'!B:B,"",3)</f>
        <v>Homescout21 B.V.</v>
      </c>
      <c r="AB173" s="70" t="s">
        <v>3343</v>
      </c>
      <c r="AC173" s="46">
        <f t="shared" si="51"/>
        <v>2332.2024000000001</v>
      </c>
      <c r="AD173" s="70">
        <v>1927.44</v>
      </c>
      <c r="AE173" s="70">
        <v>1927.43</v>
      </c>
      <c r="AF173" s="70">
        <f t="shared" si="52"/>
        <v>148.27602123240248</v>
      </c>
      <c r="AG173" s="49">
        <v>45047</v>
      </c>
      <c r="AH173" s="49">
        <v>46873</v>
      </c>
      <c r="AI173"/>
      <c r="AJ173"/>
      <c r="AK173" s="80"/>
      <c r="AL173" s="80"/>
      <c r="AO173" s="34"/>
      <c r="AP173" s="116"/>
      <c r="AQ173" s="58"/>
      <c r="AT173" s="81"/>
      <c r="AU173" s="81"/>
      <c r="AX173" s="95"/>
      <c r="AY173" s="82"/>
      <c r="BB173" s="82"/>
    </row>
    <row r="174" spans="1:54" s="29" customFormat="1" ht="17" thickBot="1" x14ac:dyDescent="0.25">
      <c r="A174" s="30">
        <v>158</v>
      </c>
      <c r="B174" s="31" t="str">
        <f>_xlfn.XLOOKUP(D174,'[1]Sleutelplan nieuw'!B:B,'[1]Sleutelplan nieuw'!A:A,"",2)</f>
        <v>0253</v>
      </c>
      <c r="C174" s="32" t="s">
        <v>2824</v>
      </c>
      <c r="D174" s="59" t="s">
        <v>3345</v>
      </c>
      <c r="E174" s="60" t="s">
        <v>3342</v>
      </c>
      <c r="F174" s="144" t="s">
        <v>2994</v>
      </c>
      <c r="G174" s="77">
        <v>3</v>
      </c>
      <c r="H174" s="77">
        <v>3</v>
      </c>
      <c r="I174" s="78">
        <v>45292</v>
      </c>
      <c r="J174" s="78">
        <v>45657</v>
      </c>
      <c r="K174" s="78" t="s">
        <v>2845</v>
      </c>
      <c r="L174" s="114" t="s">
        <v>3007</v>
      </c>
      <c r="M174" s="41">
        <f>_xlfn.XLOOKUP(L174,'relaties_export_2026-01-12_1609'!B:B,'relaties_export_2026-01-12_1609'!A:A,"",3)</f>
        <v>374</v>
      </c>
      <c r="N174" s="41" t="str">
        <f>_xlfn.XLOOKUP(M174,'relaties_export_2026-01-12_1609'!A:A,'relaties_export_2026-01-12_1609'!B:B,"",3)</f>
        <v>GAP Costruzioni S.r.l.</v>
      </c>
      <c r="O174" s="42"/>
      <c r="P174" s="43">
        <f t="shared" si="46"/>
        <v>810.38999999999987</v>
      </c>
      <c r="Q174" s="43">
        <f>T174*1.09+U174*1.09</f>
        <v>3093.2347</v>
      </c>
      <c r="R174" s="44">
        <f t="shared" si="48"/>
        <v>2837.83</v>
      </c>
      <c r="S174" s="162">
        <f t="shared" si="49"/>
        <v>218.29478330367945</v>
      </c>
      <c r="T174" s="45">
        <v>2737.83</v>
      </c>
      <c r="U174" s="46">
        <v>100</v>
      </c>
      <c r="V174" s="46">
        <v>0</v>
      </c>
      <c r="W174"/>
      <c r="X174" s="23"/>
      <c r="Y174" s="56" t="s">
        <v>980</v>
      </c>
      <c r="Z174" s="47">
        <f>_xlfn.XLOOKUP(Y174,'relaties_export_2026-01-12_1609'!B:B,'relaties_export_2026-01-12_1609'!A:A,"",3)</f>
        <v>211</v>
      </c>
      <c r="AA174" s="47" t="str">
        <f>_xlfn.XLOOKUP(Z174,'relaties_export_2026-01-12_1609'!A:A,'relaties_export_2026-01-12_1609'!B:B,"",3)</f>
        <v>Homescout21 B.V.</v>
      </c>
      <c r="AB174" s="46" t="s">
        <v>3343</v>
      </c>
      <c r="AC174" s="46">
        <f t="shared" si="51"/>
        <v>2332.2024000000001</v>
      </c>
      <c r="AD174" s="70">
        <v>1927.44</v>
      </c>
      <c r="AE174" s="70">
        <v>1927.43</v>
      </c>
      <c r="AF174" s="46">
        <f t="shared" si="52"/>
        <v>148.27602123240248</v>
      </c>
      <c r="AG174" s="49">
        <v>45047</v>
      </c>
      <c r="AH174" s="49">
        <v>46873</v>
      </c>
      <c r="AI174"/>
      <c r="AJ174"/>
      <c r="AK174" s="80"/>
      <c r="AL174" s="80"/>
      <c r="AO174" s="34"/>
      <c r="AP174" s="116"/>
      <c r="AQ174" s="58"/>
      <c r="AT174" s="81"/>
      <c r="AU174" s="81"/>
      <c r="AX174" s="95"/>
      <c r="AY174" s="82"/>
      <c r="BB174" s="82"/>
    </row>
    <row r="175" spans="1:54" s="29" customFormat="1" ht="17" thickBot="1" x14ac:dyDescent="0.25">
      <c r="A175" s="30">
        <v>159</v>
      </c>
      <c r="B175" s="31" t="str">
        <f>_xlfn.XLOOKUP(D175,'[1]Sleutelplan nieuw'!B:B,'[1]Sleutelplan nieuw'!A:A,"",2)</f>
        <v>0254</v>
      </c>
      <c r="C175" s="32" t="s">
        <v>2824</v>
      </c>
      <c r="D175" s="59" t="s">
        <v>3346</v>
      </c>
      <c r="E175" s="60" t="s">
        <v>3342</v>
      </c>
      <c r="F175" s="144" t="s">
        <v>2994</v>
      </c>
      <c r="G175" s="77">
        <v>3</v>
      </c>
      <c r="H175" s="77">
        <v>3</v>
      </c>
      <c r="I175" s="78">
        <v>45451</v>
      </c>
      <c r="J175" s="78">
        <v>45815</v>
      </c>
      <c r="K175" s="78"/>
      <c r="L175" t="s">
        <v>2923</v>
      </c>
      <c r="M175" s="41">
        <f>_xlfn.XLOOKUP(L175,'relaties_export_2026-01-12_1609'!B:B,'relaties_export_2026-01-12_1609'!A:A,"",0)</f>
        <v>190</v>
      </c>
      <c r="N175" s="41" t="str">
        <f>_xlfn.XLOOKUP(M175,'relaties_export_2026-01-12_1609'!A:A,'relaties_export_2026-01-12_1609'!B:B,"",3)</f>
        <v>BBTS (Vastgoed Spijkenisse)</v>
      </c>
      <c r="O175" s="42"/>
      <c r="P175" s="43">
        <f t="shared" si="46"/>
        <v>982.15999999999985</v>
      </c>
      <c r="Q175" s="43">
        <f>T175*1.09+U175*1.21</f>
        <v>3473.9639999999999</v>
      </c>
      <c r="R175" s="44">
        <f t="shared" si="48"/>
        <v>3159.6</v>
      </c>
      <c r="S175" s="45">
        <f t="shared" si="49"/>
        <v>243.04634080487756</v>
      </c>
      <c r="T175" s="45">
        <v>2909.6</v>
      </c>
      <c r="U175" s="46">
        <v>250</v>
      </c>
      <c r="V175" s="46">
        <v>0</v>
      </c>
      <c r="W175"/>
      <c r="X175" s="23"/>
      <c r="Y175" s="56" t="s">
        <v>980</v>
      </c>
      <c r="Z175" s="47">
        <f>_xlfn.XLOOKUP(Y175,'relaties_export_2026-01-12_1609'!B:B,'relaties_export_2026-01-12_1609'!A:A,"",3)</f>
        <v>211</v>
      </c>
      <c r="AA175" s="47" t="str">
        <f>_xlfn.XLOOKUP(Z175,'relaties_export_2026-01-12_1609'!A:A,'relaties_export_2026-01-12_1609'!B:B,"",3)</f>
        <v>Homescout21 B.V.</v>
      </c>
      <c r="AB175" s="46" t="s">
        <v>3343</v>
      </c>
      <c r="AC175" s="46">
        <f t="shared" si="51"/>
        <v>2332.2024000000001</v>
      </c>
      <c r="AD175" s="70">
        <v>1927.44</v>
      </c>
      <c r="AE175" s="70">
        <v>1927.43</v>
      </c>
      <c r="AF175" s="46">
        <f t="shared" si="52"/>
        <v>148.27602123240248</v>
      </c>
      <c r="AG175" s="49">
        <v>45047</v>
      </c>
      <c r="AH175" s="49">
        <v>46873</v>
      </c>
      <c r="AI175"/>
      <c r="AJ175"/>
      <c r="AK175" s="80"/>
      <c r="AL175" s="80"/>
      <c r="AO175" s="34"/>
      <c r="AP175" s="116"/>
      <c r="AQ175" s="58"/>
      <c r="AT175" s="81"/>
      <c r="AU175" s="81"/>
      <c r="AX175" s="95"/>
      <c r="AY175" s="82"/>
      <c r="BB175" s="82"/>
    </row>
    <row r="176" spans="1:54" s="29" customFormat="1" ht="17" thickBot="1" x14ac:dyDescent="0.25">
      <c r="A176" s="30">
        <v>160</v>
      </c>
      <c r="B176" s="31" t="str">
        <f>_xlfn.XLOOKUP(D176,'[1]Sleutelplan nieuw'!B:B,'[1]Sleutelplan nieuw'!A:A,"",2)</f>
        <v>0255</v>
      </c>
      <c r="C176" s="32" t="s">
        <v>2824</v>
      </c>
      <c r="D176" s="59" t="s">
        <v>3347</v>
      </c>
      <c r="E176" s="60" t="s">
        <v>3342</v>
      </c>
      <c r="F176" s="144" t="s">
        <v>2994</v>
      </c>
      <c r="G176" s="77">
        <v>3</v>
      </c>
      <c r="H176" s="77">
        <v>3</v>
      </c>
      <c r="I176" s="78">
        <v>45451</v>
      </c>
      <c r="J176" s="78">
        <v>45815</v>
      </c>
      <c r="K176" s="78"/>
      <c r="L176" t="s">
        <v>2923</v>
      </c>
      <c r="M176" s="41">
        <f>_xlfn.XLOOKUP(L176,'relaties_export_2026-01-12_1609'!B:B,'relaties_export_2026-01-12_1609'!A:A,"",0)</f>
        <v>190</v>
      </c>
      <c r="N176" s="41" t="str">
        <f>_xlfn.XLOOKUP(M176,'relaties_export_2026-01-12_1609'!A:A,'relaties_export_2026-01-12_1609'!B:B,"",3)</f>
        <v>BBTS (Vastgoed Spijkenisse)</v>
      </c>
      <c r="O176" s="42"/>
      <c r="P176" s="43">
        <f t="shared" si="46"/>
        <v>982.15999999999985</v>
      </c>
      <c r="Q176" s="43">
        <f>T176*1.09+U176*1.21</f>
        <v>3473.9639999999999</v>
      </c>
      <c r="R176" s="44">
        <f t="shared" si="48"/>
        <v>3159.6</v>
      </c>
      <c r="S176" s="45">
        <f t="shared" si="49"/>
        <v>243.04634080487756</v>
      </c>
      <c r="T176" s="45">
        <v>2909.6</v>
      </c>
      <c r="U176" s="46">
        <v>250</v>
      </c>
      <c r="V176" s="46">
        <v>0</v>
      </c>
      <c r="W176"/>
      <c r="X176" s="23"/>
      <c r="Y176" s="56" t="s">
        <v>980</v>
      </c>
      <c r="Z176" s="47">
        <f>_xlfn.XLOOKUP(Y176,'relaties_export_2026-01-12_1609'!B:B,'relaties_export_2026-01-12_1609'!A:A,"",3)</f>
        <v>211</v>
      </c>
      <c r="AA176" s="47" t="str">
        <f>_xlfn.XLOOKUP(Z176,'relaties_export_2026-01-12_1609'!A:A,'relaties_export_2026-01-12_1609'!B:B,"",3)</f>
        <v>Homescout21 B.V.</v>
      </c>
      <c r="AB176" s="46" t="s">
        <v>3343</v>
      </c>
      <c r="AC176" s="46">
        <f t="shared" si="51"/>
        <v>2332.2024000000001</v>
      </c>
      <c r="AD176" s="70">
        <v>1927.44</v>
      </c>
      <c r="AE176" s="70">
        <v>1927.43</v>
      </c>
      <c r="AF176" s="46">
        <f t="shared" si="52"/>
        <v>148.27602123240248</v>
      </c>
      <c r="AG176" s="49">
        <v>45047</v>
      </c>
      <c r="AH176" s="49">
        <v>46873</v>
      </c>
      <c r="AI176"/>
      <c r="AJ176"/>
      <c r="AK176" s="80"/>
      <c r="AL176" s="80"/>
      <c r="AO176" s="34"/>
      <c r="AP176" s="116"/>
      <c r="AQ176" s="58"/>
      <c r="AT176" s="81"/>
      <c r="AU176" s="81"/>
      <c r="AX176" s="95"/>
      <c r="AY176" s="82"/>
      <c r="BB176" s="82"/>
    </row>
    <row r="177" spans="1:54" s="29" customFormat="1" ht="17" thickBot="1" x14ac:dyDescent="0.25">
      <c r="A177" s="30">
        <v>161</v>
      </c>
      <c r="B177" s="31" t="str">
        <f>_xlfn.XLOOKUP(D177,'[1]Sleutelplan nieuw'!B:B,'[1]Sleutelplan nieuw'!A:A,"",2)</f>
        <v>0256</v>
      </c>
      <c r="C177" s="32" t="s">
        <v>2824</v>
      </c>
      <c r="D177" s="59" t="s">
        <v>3348</v>
      </c>
      <c r="E177" s="60" t="s">
        <v>3342</v>
      </c>
      <c r="F177" s="144" t="s">
        <v>2994</v>
      </c>
      <c r="G177" s="77">
        <v>3</v>
      </c>
      <c r="H177" s="77">
        <v>3</v>
      </c>
      <c r="I177" s="78">
        <v>45451</v>
      </c>
      <c r="J177" s="78">
        <v>45815</v>
      </c>
      <c r="K177" s="78"/>
      <c r="L177" t="s">
        <v>2923</v>
      </c>
      <c r="M177" s="41">
        <f>_xlfn.XLOOKUP(L177,'relaties_export_2026-01-12_1609'!B:B,'relaties_export_2026-01-12_1609'!A:A,"",0)</f>
        <v>190</v>
      </c>
      <c r="N177" s="41" t="str">
        <f>_xlfn.XLOOKUP(M177,'relaties_export_2026-01-12_1609'!A:A,'relaties_export_2026-01-12_1609'!B:B,"",3)</f>
        <v>BBTS (Vastgoed Spijkenisse)</v>
      </c>
      <c r="O177" s="42"/>
      <c r="P177" s="43">
        <f t="shared" si="46"/>
        <v>982.15999999999985</v>
      </c>
      <c r="Q177" s="43">
        <f>T177*1.09+U177*1.21</f>
        <v>3473.9639999999999</v>
      </c>
      <c r="R177" s="44">
        <f t="shared" si="48"/>
        <v>3159.6</v>
      </c>
      <c r="S177" s="45">
        <f t="shared" si="49"/>
        <v>243.04634080487756</v>
      </c>
      <c r="T177" s="45">
        <v>2909.6</v>
      </c>
      <c r="U177" s="46">
        <v>250</v>
      </c>
      <c r="V177" s="46">
        <v>0</v>
      </c>
      <c r="W177"/>
      <c r="X177" s="23"/>
      <c r="Y177" s="56" t="s">
        <v>980</v>
      </c>
      <c r="Z177" s="47">
        <f>_xlfn.XLOOKUP(Y177,'relaties_export_2026-01-12_1609'!B:B,'relaties_export_2026-01-12_1609'!A:A,"",3)</f>
        <v>211</v>
      </c>
      <c r="AA177" s="47" t="str">
        <f>_xlfn.XLOOKUP(Z177,'relaties_export_2026-01-12_1609'!A:A,'relaties_export_2026-01-12_1609'!B:B,"",3)</f>
        <v>Homescout21 B.V.</v>
      </c>
      <c r="AB177" s="46" t="s">
        <v>3343</v>
      </c>
      <c r="AC177" s="46">
        <f t="shared" si="51"/>
        <v>2332.2024000000001</v>
      </c>
      <c r="AD177" s="70">
        <v>1927.44</v>
      </c>
      <c r="AE177" s="70">
        <v>1927.43</v>
      </c>
      <c r="AF177" s="46">
        <f t="shared" si="52"/>
        <v>148.27602123240248</v>
      </c>
      <c r="AG177" s="49">
        <v>45047</v>
      </c>
      <c r="AH177" s="49">
        <v>46873</v>
      </c>
      <c r="AI177"/>
      <c r="AJ177"/>
      <c r="AK177" s="80"/>
      <c r="AL177" s="80"/>
      <c r="AO177" s="34"/>
      <c r="AP177" s="116"/>
      <c r="AQ177" s="58"/>
      <c r="AT177" s="81"/>
      <c r="AU177" s="81"/>
      <c r="AX177" s="95"/>
      <c r="AY177" s="82"/>
      <c r="BB177" s="82"/>
    </row>
    <row r="178" spans="1:54" s="29" customFormat="1" ht="17" thickBot="1" x14ac:dyDescent="0.25">
      <c r="A178" s="30">
        <v>162</v>
      </c>
      <c r="B178" s="31" t="str">
        <f>_xlfn.XLOOKUP(D178,'[1]Sleutelplan nieuw'!B:B,'[1]Sleutelplan nieuw'!A:A,"",2)</f>
        <v>0257</v>
      </c>
      <c r="C178" s="32" t="s">
        <v>2824</v>
      </c>
      <c r="D178" s="59" t="s">
        <v>3349</v>
      </c>
      <c r="E178" s="60" t="s">
        <v>3342</v>
      </c>
      <c r="F178" s="144" t="s">
        <v>2994</v>
      </c>
      <c r="G178" s="77">
        <v>2</v>
      </c>
      <c r="H178" s="77">
        <v>2</v>
      </c>
      <c r="I178" s="78">
        <v>45059</v>
      </c>
      <c r="J178" s="78">
        <v>45424</v>
      </c>
      <c r="K178" s="78"/>
      <c r="L178" s="83" t="s">
        <v>3350</v>
      </c>
      <c r="M178" s="41">
        <f>_xlfn.XLOOKUP(L178,'relaties_export_2026-01-12_1609'!B:B,'relaties_export_2026-01-12_1609'!A:A,"",3)</f>
        <v>217</v>
      </c>
      <c r="N178" s="41" t="str">
        <f>_xlfn.XLOOKUP(M178,'relaties_export_2026-01-12_1609'!A:A,'relaties_export_2026-01-12_1609'!B:B,"",3)</f>
        <v>Suricare B.V.</v>
      </c>
      <c r="O178" s="42"/>
      <c r="P178" s="43">
        <f t="shared" si="46"/>
        <v>267.34999999999991</v>
      </c>
      <c r="Q178" s="43">
        <f>T178*1.09+U178*1.09</f>
        <v>1909.9961000000001</v>
      </c>
      <c r="R178" s="44">
        <f t="shared" si="48"/>
        <v>1752.29</v>
      </c>
      <c r="S178" s="45">
        <f t="shared" si="49"/>
        <v>202.18746322112554</v>
      </c>
      <c r="T178" s="45">
        <v>1552.29</v>
      </c>
      <c r="U178" s="46">
        <v>200</v>
      </c>
      <c r="V178" s="46">
        <v>0</v>
      </c>
      <c r="W178"/>
      <c r="X178" s="23"/>
      <c r="Y178" s="56" t="s">
        <v>980</v>
      </c>
      <c r="Z178" s="47">
        <f>_xlfn.XLOOKUP(Y178,'relaties_export_2026-01-12_1609'!B:B,'relaties_export_2026-01-12_1609'!A:A,"",3)</f>
        <v>211</v>
      </c>
      <c r="AA178" s="47" t="str">
        <f>_xlfn.XLOOKUP(Z178,'relaties_export_2026-01-12_1609'!A:A,'relaties_export_2026-01-12_1609'!B:B,"",3)</f>
        <v>Homescout21 B.V.</v>
      </c>
      <c r="AB178" s="46" t="s">
        <v>3343</v>
      </c>
      <c r="AC178" s="46">
        <f t="shared" si="51"/>
        <v>1554.7773999999999</v>
      </c>
      <c r="AD178" s="70">
        <v>1284.94</v>
      </c>
      <c r="AE178" s="46">
        <v>1284.95</v>
      </c>
      <c r="AF178" s="46">
        <f t="shared" si="52"/>
        <v>148.27371336256635</v>
      </c>
      <c r="AG178" s="49">
        <v>45047</v>
      </c>
      <c r="AH178" s="49">
        <v>46873</v>
      </c>
      <c r="AI178"/>
      <c r="AJ178"/>
      <c r="AK178" s="80"/>
      <c r="AL178" s="80"/>
      <c r="AO178" s="34"/>
      <c r="AP178" s="116"/>
      <c r="AQ178" s="58"/>
      <c r="AT178" s="81"/>
      <c r="AU178" s="81"/>
      <c r="AX178" s="95"/>
      <c r="AY178" s="82"/>
      <c r="BB178" s="82"/>
    </row>
    <row r="179" spans="1:54" s="29" customFormat="1" ht="17" thickBot="1" x14ac:dyDescent="0.25">
      <c r="A179" s="30">
        <v>163</v>
      </c>
      <c r="B179" s="31" t="str">
        <f>_xlfn.XLOOKUP(D179,'[1]Sleutelplan nieuw'!B:B,'[1]Sleutelplan nieuw'!A:A,"",2)</f>
        <v>0258</v>
      </c>
      <c r="C179" s="32" t="s">
        <v>2824</v>
      </c>
      <c r="D179" s="59" t="s">
        <v>3351</v>
      </c>
      <c r="E179" s="60" t="s">
        <v>3342</v>
      </c>
      <c r="F179" s="144" t="s">
        <v>2994</v>
      </c>
      <c r="G179" s="77">
        <v>3</v>
      </c>
      <c r="H179" s="77">
        <v>3</v>
      </c>
      <c r="I179" s="78">
        <v>45059</v>
      </c>
      <c r="J179" s="78">
        <v>45242</v>
      </c>
      <c r="K179" s="78"/>
      <c r="L179" t="s">
        <v>2923</v>
      </c>
      <c r="M179" s="41">
        <f>_xlfn.XLOOKUP(L179,'relaties_export_2026-01-12_1609'!B:B,'relaties_export_2026-01-12_1609'!A:A,"",0)</f>
        <v>190</v>
      </c>
      <c r="N179" s="41" t="str">
        <f>_xlfn.XLOOKUP(M179,'relaties_export_2026-01-12_1609'!A:A,'relaties_export_2026-01-12_1609'!B:B,"",3)</f>
        <v>BBTS (Vastgoed Spijkenisse)</v>
      </c>
      <c r="O179" s="42"/>
      <c r="P179" s="43">
        <f t="shared" si="46"/>
        <v>571.09999999999991</v>
      </c>
      <c r="Q179" s="43">
        <f t="shared" ref="Q179:Q189" si="53">T179*1.09+U179*1.21</f>
        <v>3025.9086000000002</v>
      </c>
      <c r="R179" s="44">
        <f t="shared" si="48"/>
        <v>2748.54</v>
      </c>
      <c r="S179" s="162">
        <f t="shared" si="49"/>
        <v>211.4263164817819</v>
      </c>
      <c r="T179" s="45">
        <v>2498.54</v>
      </c>
      <c r="U179" s="46">
        <v>250</v>
      </c>
      <c r="V179" s="46">
        <v>0</v>
      </c>
      <c r="W179"/>
      <c r="X179" s="23"/>
      <c r="Y179" s="56" t="s">
        <v>980</v>
      </c>
      <c r="Z179" s="47">
        <f>_xlfn.XLOOKUP(Y179,'relaties_export_2026-01-12_1609'!B:B,'relaties_export_2026-01-12_1609'!A:A,"",3)</f>
        <v>211</v>
      </c>
      <c r="AA179" s="47" t="str">
        <f>_xlfn.XLOOKUP(Z179,'relaties_export_2026-01-12_1609'!A:A,'relaties_export_2026-01-12_1609'!B:B,"",3)</f>
        <v>Homescout21 B.V.</v>
      </c>
      <c r="AB179" s="46" t="s">
        <v>3343</v>
      </c>
      <c r="AC179" s="46">
        <f t="shared" si="51"/>
        <v>2332.2024000000001</v>
      </c>
      <c r="AD179" s="70">
        <v>1927.44</v>
      </c>
      <c r="AE179" s="46">
        <v>1927.43</v>
      </c>
      <c r="AF179" s="46">
        <f t="shared" si="52"/>
        <v>148.27602123240248</v>
      </c>
      <c r="AG179" s="49">
        <v>45047</v>
      </c>
      <c r="AH179" s="49">
        <v>46873</v>
      </c>
      <c r="AI179"/>
      <c r="AJ179"/>
      <c r="AK179" s="80"/>
      <c r="AL179" s="80"/>
      <c r="AO179" s="34"/>
      <c r="AP179" s="116"/>
      <c r="AQ179" s="58"/>
      <c r="AT179" s="81"/>
      <c r="AU179" s="81"/>
      <c r="AX179" s="95"/>
      <c r="AY179" s="82"/>
      <c r="BB179" s="82"/>
    </row>
    <row r="180" spans="1:54" s="29" customFormat="1" ht="17" thickBot="1" x14ac:dyDescent="0.25">
      <c r="A180" s="30">
        <v>164</v>
      </c>
      <c r="B180" s="31" t="str">
        <f>_xlfn.XLOOKUP(D180,'[1]Sleutelplan nieuw'!B:B,'[1]Sleutelplan nieuw'!A:A,"",2)</f>
        <v>0259</v>
      </c>
      <c r="C180" s="32" t="s">
        <v>2824</v>
      </c>
      <c r="D180" s="59" t="s">
        <v>3352</v>
      </c>
      <c r="E180" s="60" t="s">
        <v>3342</v>
      </c>
      <c r="F180" s="144" t="s">
        <v>2994</v>
      </c>
      <c r="G180" s="77">
        <v>3</v>
      </c>
      <c r="H180" s="77">
        <v>3</v>
      </c>
      <c r="I180" s="78">
        <v>45059</v>
      </c>
      <c r="J180" s="78">
        <v>45242</v>
      </c>
      <c r="K180" s="78"/>
      <c r="L180" t="s">
        <v>2923</v>
      </c>
      <c r="M180" s="41">
        <f>_xlfn.XLOOKUP(L180,'relaties_export_2026-01-12_1609'!B:B,'relaties_export_2026-01-12_1609'!A:A,"",0)</f>
        <v>190</v>
      </c>
      <c r="N180" s="41" t="str">
        <f>_xlfn.XLOOKUP(M180,'relaties_export_2026-01-12_1609'!A:A,'relaties_export_2026-01-12_1609'!B:B,"",3)</f>
        <v>BBTS (Vastgoed Spijkenisse)</v>
      </c>
      <c r="O180" s="42"/>
      <c r="P180" s="43">
        <f t="shared" si="46"/>
        <v>571.09999999999991</v>
      </c>
      <c r="Q180" s="43">
        <f t="shared" si="53"/>
        <v>3025.9086000000002</v>
      </c>
      <c r="R180" s="44">
        <f t="shared" si="48"/>
        <v>2748.54</v>
      </c>
      <c r="S180" s="162">
        <f t="shared" si="49"/>
        <v>211.4263164817819</v>
      </c>
      <c r="T180" s="45">
        <v>2498.54</v>
      </c>
      <c r="U180" s="46">
        <v>250</v>
      </c>
      <c r="V180" s="46">
        <v>0</v>
      </c>
      <c r="W180"/>
      <c r="X180" s="23"/>
      <c r="Y180" s="56" t="s">
        <v>980</v>
      </c>
      <c r="Z180" s="47">
        <f>_xlfn.XLOOKUP(Y180,'relaties_export_2026-01-12_1609'!B:B,'relaties_export_2026-01-12_1609'!A:A,"",3)</f>
        <v>211</v>
      </c>
      <c r="AA180" s="47" t="str">
        <f>_xlfn.XLOOKUP(Z180,'relaties_export_2026-01-12_1609'!A:A,'relaties_export_2026-01-12_1609'!B:B,"",3)</f>
        <v>Homescout21 B.V.</v>
      </c>
      <c r="AB180" s="46" t="s">
        <v>3343</v>
      </c>
      <c r="AC180" s="46">
        <f t="shared" si="51"/>
        <v>2332.2024000000001</v>
      </c>
      <c r="AD180" s="70">
        <v>1927.44</v>
      </c>
      <c r="AE180" s="46">
        <v>1927.43</v>
      </c>
      <c r="AF180" s="46">
        <f t="shared" si="52"/>
        <v>148.27602123240248</v>
      </c>
      <c r="AG180" s="49">
        <v>45047</v>
      </c>
      <c r="AH180" s="49">
        <v>46873</v>
      </c>
      <c r="AI180"/>
      <c r="AJ180"/>
      <c r="AK180" s="80"/>
      <c r="AL180" s="80"/>
      <c r="AO180" s="34"/>
      <c r="AP180" s="116"/>
      <c r="AQ180" s="58"/>
      <c r="AT180" s="81"/>
      <c r="AU180" s="81"/>
      <c r="AX180" s="95"/>
      <c r="AY180" s="82"/>
      <c r="BB180" s="82"/>
    </row>
    <row r="181" spans="1:54" s="29" customFormat="1" ht="17" thickBot="1" x14ac:dyDescent="0.25">
      <c r="A181" s="30"/>
      <c r="B181" s="31" t="str">
        <f>_xlfn.XLOOKUP(D181,'[1]Sleutelplan nieuw'!B:B,'[1]Sleutelplan nieuw'!A:A,"",2)</f>
        <v>0217</v>
      </c>
      <c r="C181" s="32" t="s">
        <v>2824</v>
      </c>
      <c r="D181" s="59" t="s">
        <v>3353</v>
      </c>
      <c r="E181" s="60" t="s">
        <v>3354</v>
      </c>
      <c r="F181" s="144" t="s">
        <v>84</v>
      </c>
      <c r="G181" s="77">
        <v>3</v>
      </c>
      <c r="H181" s="77">
        <v>3</v>
      </c>
      <c r="I181" s="78">
        <v>45968</v>
      </c>
      <c r="J181" s="78">
        <v>46148</v>
      </c>
      <c r="K181" s="78"/>
      <c r="L181" s="83" t="s">
        <v>2827</v>
      </c>
      <c r="M181" s="41">
        <f>_xlfn.XLOOKUP(L181,'relaties_export_2026-01-12_1609'!B:B,'relaties_export_2026-01-12_1609'!A:A,"",3)</f>
        <v>23</v>
      </c>
      <c r="N181" s="41" t="str">
        <f>_xlfn.XLOOKUP(M181,'relaties_export_2026-01-12_1609'!A:A,'relaties_export_2026-01-12_1609'!B:B,"",3)</f>
        <v>S. Bakker OPH Verhuur</v>
      </c>
      <c r="O181" s="59"/>
      <c r="P181" s="43">
        <f t="shared" si="46"/>
        <v>849.47</v>
      </c>
      <c r="Q181" s="43">
        <f t="shared" si="53"/>
        <v>2755</v>
      </c>
      <c r="R181" s="44">
        <f t="shared" si="48"/>
        <v>2500</v>
      </c>
      <c r="S181" s="162">
        <f t="shared" si="49"/>
        <v>192.30784023680019</v>
      </c>
      <c r="T181" s="45">
        <v>2250</v>
      </c>
      <c r="U181" s="46">
        <v>250</v>
      </c>
      <c r="V181" s="46"/>
      <c r="W181"/>
      <c r="X181" s="23"/>
      <c r="Y181" s="56" t="s">
        <v>3181</v>
      </c>
      <c r="Z181" s="47">
        <v>300</v>
      </c>
      <c r="AA181" s="47" t="str">
        <f>_xlfn.XLOOKUP(Z181,'relaties_export_2026-01-12_1609'!A:A,'relaties_export_2026-01-12_1609'!B:B,"",3)</f>
        <v>JES Funding &amp; Beheer B.V.</v>
      </c>
      <c r="AB181" s="46"/>
      <c r="AC181" s="46">
        <v>1400.53</v>
      </c>
      <c r="AD181" s="46">
        <v>1400.53</v>
      </c>
      <c r="AE181" s="46">
        <v>1400.53</v>
      </c>
      <c r="AF181" s="46">
        <f t="shared" si="52"/>
        <v>107.74136472036309</v>
      </c>
      <c r="AG181" s="49"/>
      <c r="AH181" s="49"/>
      <c r="AI181"/>
      <c r="AJ181"/>
      <c r="AK181" s="80"/>
      <c r="AL181" s="80"/>
      <c r="AO181" s="34"/>
      <c r="AP181" s="116"/>
      <c r="AQ181" s="58"/>
      <c r="AT181" s="81"/>
      <c r="AU181" s="81"/>
      <c r="AX181" s="95"/>
      <c r="AY181" s="82"/>
      <c r="BB181" s="82"/>
    </row>
    <row r="182" spans="1:54" s="29" customFormat="1" ht="17" thickBot="1" x14ac:dyDescent="0.25">
      <c r="A182" s="30"/>
      <c r="B182" s="31" t="str">
        <f>_xlfn.XLOOKUP(D182,'[1]Sleutelplan nieuw'!B:B,'[1]Sleutelplan nieuw'!A:A,"",2)</f>
        <v>0219</v>
      </c>
      <c r="C182" s="32"/>
      <c r="D182" s="59" t="s">
        <v>3355</v>
      </c>
      <c r="E182" s="60" t="s">
        <v>3356</v>
      </c>
      <c r="F182" s="144" t="s">
        <v>84</v>
      </c>
      <c r="G182" s="77">
        <v>2</v>
      </c>
      <c r="H182" s="77">
        <v>2</v>
      </c>
      <c r="I182" s="78">
        <v>45962</v>
      </c>
      <c r="J182" s="78">
        <v>46142</v>
      </c>
      <c r="K182" s="78"/>
      <c r="L182" s="83" t="s">
        <v>2827</v>
      </c>
      <c r="M182" s="41">
        <f>_xlfn.XLOOKUP(L182,'relaties_export_2026-01-12_1609'!B:B,'relaties_export_2026-01-12_1609'!A:A,"",3)</f>
        <v>23</v>
      </c>
      <c r="N182" s="41" t="str">
        <f>_xlfn.XLOOKUP(M182,'relaties_export_2026-01-12_1609'!A:A,'relaties_export_2026-01-12_1609'!B:B,"",3)</f>
        <v>S. Bakker OPH Verhuur</v>
      </c>
      <c r="O182" s="59"/>
      <c r="P182" s="43">
        <f t="shared" si="46"/>
        <v>1450</v>
      </c>
      <c r="Q182" s="43">
        <f t="shared" si="53"/>
        <v>1762.0000000000002</v>
      </c>
      <c r="R182" s="44">
        <f t="shared" si="48"/>
        <v>1600</v>
      </c>
      <c r="S182" s="162">
        <f t="shared" si="49"/>
        <v>184.61552662732817</v>
      </c>
      <c r="T182" s="45">
        <v>1450</v>
      </c>
      <c r="U182" s="46">
        <v>150</v>
      </c>
      <c r="V182" s="46"/>
      <c r="W182"/>
      <c r="X182" s="23"/>
      <c r="Y182" s="56"/>
      <c r="Z182" s="47" t="str">
        <f>_xlfn.XLOOKUP(Y182,'relaties_export_2026-01-12_1609'!B:B,'relaties_export_2026-01-12_1609'!A:A,"",3)</f>
        <v>id</v>
      </c>
      <c r="AA182" s="47" t="str">
        <f>_xlfn.XLOOKUP(Z182,'relaties_export_2026-01-12_1609'!A:A,'relaties_export_2026-01-12_1609'!B:B,"",3)</f>
        <v>naam</v>
      </c>
      <c r="AB182" s="46"/>
      <c r="AC182" s="46"/>
      <c r="AD182" s="70"/>
      <c r="AE182" s="46"/>
      <c r="AF182" s="46"/>
      <c r="AG182" s="49"/>
      <c r="AH182" s="49"/>
      <c r="AI182"/>
      <c r="AJ182"/>
      <c r="AK182" s="80"/>
      <c r="AL182" s="80"/>
      <c r="AO182" s="34"/>
      <c r="AP182" s="116"/>
      <c r="AQ182" s="58"/>
      <c r="AT182" s="81"/>
      <c r="AU182" s="81"/>
      <c r="AX182" s="95"/>
      <c r="AY182" s="82"/>
      <c r="BB182" s="82"/>
    </row>
    <row r="183" spans="1:54" s="29" customFormat="1" ht="17" thickBot="1" x14ac:dyDescent="0.25">
      <c r="A183" s="30"/>
      <c r="B183" s="31" t="str">
        <f>_xlfn.XLOOKUP(D183,'[1]Sleutelplan nieuw'!B:B,'[1]Sleutelplan nieuw'!A:A,"",2)</f>
        <v>0221</v>
      </c>
      <c r="C183" s="32" t="s">
        <v>2831</v>
      </c>
      <c r="D183" s="59" t="s">
        <v>3357</v>
      </c>
      <c r="E183" s="60"/>
      <c r="F183" s="144" t="s">
        <v>1151</v>
      </c>
      <c r="G183" s="77"/>
      <c r="H183" s="77"/>
      <c r="I183" s="78"/>
      <c r="J183" s="78"/>
      <c r="K183" s="78"/>
      <c r="L183" s="83" t="s">
        <v>2672</v>
      </c>
      <c r="M183" s="41">
        <f>_xlfn.XLOOKUP(L183,'relaties_export_2026-01-12_1609'!B:B,'relaties_export_2026-01-12_1609'!A:A,"",3)</f>
        <v>17</v>
      </c>
      <c r="N183" s="41" t="str">
        <f>_xlfn.XLOOKUP(M183,'relaties_export_2026-01-12_1609'!A:A,'relaties_export_2026-01-12_1609'!B:B,"",3)</f>
        <v>Tradiro Services B.V.</v>
      </c>
      <c r="O183" s="59"/>
      <c r="P183" s="43"/>
      <c r="Q183" s="43"/>
      <c r="R183" s="44"/>
      <c r="S183" s="162"/>
      <c r="T183" s="45"/>
      <c r="U183" s="46"/>
      <c r="V183" s="46"/>
      <c r="W183"/>
      <c r="X183" s="23"/>
      <c r="Y183" s="56" t="s">
        <v>3358</v>
      </c>
      <c r="Z183" s="47" t="str">
        <f>_xlfn.XLOOKUP(Y183,'relaties_export_2026-01-12_1609'!B:B,'relaties_export_2026-01-12_1609'!A:A,"",3)</f>
        <v/>
      </c>
      <c r="AA183" s="47" t="str">
        <f>_xlfn.XLOOKUP(Z183,'relaties_export_2026-01-12_1609'!A:A,'relaties_export_2026-01-12_1609'!B:B,"",3)</f>
        <v>naam</v>
      </c>
      <c r="AB183" s="46"/>
      <c r="AC183" s="46">
        <v>2088.66</v>
      </c>
      <c r="AD183" s="46">
        <v>2088.66</v>
      </c>
      <c r="AE183" s="46">
        <v>2088.66</v>
      </c>
      <c r="AF183" s="46"/>
      <c r="AG183" s="49"/>
      <c r="AH183" s="49"/>
      <c r="AI183"/>
      <c r="AJ183"/>
      <c r="AK183" s="80"/>
      <c r="AL183" s="80"/>
      <c r="AO183" s="34"/>
      <c r="AP183" s="116"/>
      <c r="AQ183" s="58"/>
      <c r="AT183" s="81"/>
      <c r="AU183" s="81"/>
      <c r="AX183" s="95"/>
      <c r="AY183" s="82"/>
      <c r="BB183" s="82"/>
    </row>
    <row r="184" spans="1:54" s="29" customFormat="1" ht="17" thickBot="1" x14ac:dyDescent="0.25">
      <c r="A184" s="30"/>
      <c r="B184" s="31" t="str">
        <f>_xlfn.XLOOKUP(D184,'[1]Sleutelplan nieuw'!B:B,'[1]Sleutelplan nieuw'!A:A,"",2)</f>
        <v>0222</v>
      </c>
      <c r="C184" s="32" t="s">
        <v>2831</v>
      </c>
      <c r="D184" s="59" t="s">
        <v>3359</v>
      </c>
      <c r="E184" s="60"/>
      <c r="F184" s="144" t="s">
        <v>1151</v>
      </c>
      <c r="G184" s="77"/>
      <c r="H184" s="77"/>
      <c r="I184" s="78"/>
      <c r="J184" s="78"/>
      <c r="K184" s="78"/>
      <c r="L184" s="83" t="s">
        <v>2672</v>
      </c>
      <c r="M184" s="41">
        <f>_xlfn.XLOOKUP(L184,'relaties_export_2026-01-12_1609'!B:B,'relaties_export_2026-01-12_1609'!A:A,"",3)</f>
        <v>17</v>
      </c>
      <c r="N184" s="41" t="str">
        <f>_xlfn.XLOOKUP(M184,'relaties_export_2026-01-12_1609'!A:A,'relaties_export_2026-01-12_1609'!B:B,"",3)</f>
        <v>Tradiro Services B.V.</v>
      </c>
      <c r="O184" s="59"/>
      <c r="P184" s="43"/>
      <c r="Q184" s="43"/>
      <c r="R184" s="44"/>
      <c r="S184" s="162"/>
      <c r="T184" s="45"/>
      <c r="U184" s="46"/>
      <c r="V184" s="46"/>
      <c r="W184"/>
      <c r="X184" s="23"/>
      <c r="Y184" s="56" t="s">
        <v>3358</v>
      </c>
      <c r="Z184" s="47" t="str">
        <f>_xlfn.XLOOKUP(Y184,'relaties_export_2026-01-12_1609'!B:B,'relaties_export_2026-01-12_1609'!A:A,"",3)</f>
        <v/>
      </c>
      <c r="AA184" s="47" t="str">
        <f>_xlfn.XLOOKUP(Z184,'relaties_export_2026-01-12_1609'!A:A,'relaties_export_2026-01-12_1609'!B:B,"",3)</f>
        <v>naam</v>
      </c>
      <c r="AB184" s="46"/>
      <c r="AC184" s="46">
        <v>1282.51</v>
      </c>
      <c r="AD184" s="46">
        <v>1282.51</v>
      </c>
      <c r="AE184" s="46">
        <v>1282.51</v>
      </c>
      <c r="AF184" s="46"/>
      <c r="AG184" s="49"/>
      <c r="AH184" s="49"/>
      <c r="AI184"/>
      <c r="AJ184"/>
      <c r="AK184" s="80"/>
      <c r="AL184" s="80"/>
      <c r="AO184" s="34"/>
      <c r="AP184" s="116"/>
      <c r="AQ184" s="58"/>
      <c r="AT184" s="81"/>
      <c r="AU184" s="81"/>
      <c r="AX184" s="95"/>
      <c r="AY184" s="82"/>
      <c r="BB184" s="82"/>
    </row>
    <row r="185" spans="1:54" s="29" customFormat="1" ht="17" thickBot="1" x14ac:dyDescent="0.25">
      <c r="A185" s="30">
        <v>165</v>
      </c>
      <c r="B185" s="31" t="str">
        <f>_xlfn.XLOOKUP(D185,'[1]Sleutelplan nieuw'!B:B,'[1]Sleutelplan nieuw'!A:A,"",2)</f>
        <v>0076</v>
      </c>
      <c r="C185" s="32" t="s">
        <v>2824</v>
      </c>
      <c r="D185" s="59" t="s">
        <v>3360</v>
      </c>
      <c r="E185" s="60" t="s">
        <v>3361</v>
      </c>
      <c r="F185" s="144" t="s">
        <v>3362</v>
      </c>
      <c r="G185" s="77">
        <v>4</v>
      </c>
      <c r="H185" s="77">
        <v>4</v>
      </c>
      <c r="I185" s="78">
        <v>45566</v>
      </c>
      <c r="J185" s="78">
        <v>45930</v>
      </c>
      <c r="K185" s="78"/>
      <c r="L185" t="s">
        <v>1408</v>
      </c>
      <c r="M185" s="41">
        <f>_xlfn.XLOOKUP(L185,'relaties_export_2026-01-12_1609'!B:B,'relaties_export_2026-01-12_1609'!A:A,"",3)</f>
        <v>324</v>
      </c>
      <c r="N185" s="41" t="str">
        <f>_xlfn.XLOOKUP(M185,'relaties_export_2026-01-12_1609'!A:A,'relaties_export_2026-01-12_1609'!B:B,"",3)</f>
        <v>Multiservizi Romania SRL</v>
      </c>
      <c r="P185" s="43">
        <f t="shared" si="46"/>
        <v>985.84000000000015</v>
      </c>
      <c r="Q185" s="43">
        <f t="shared" si="53"/>
        <v>4248.1811000000007</v>
      </c>
      <c r="R185" s="44">
        <f t="shared" si="48"/>
        <v>3868.79</v>
      </c>
      <c r="S185" s="162">
        <f t="shared" si="49"/>
        <v>223.19959476891904</v>
      </c>
      <c r="T185" s="45">
        <v>3608.79</v>
      </c>
      <c r="U185" s="46">
        <v>260</v>
      </c>
      <c r="V185" s="46">
        <v>0</v>
      </c>
      <c r="W185"/>
      <c r="X185" s="23"/>
      <c r="Y185" s="56" t="s">
        <v>2357</v>
      </c>
      <c r="Z185" s="47">
        <f>_xlfn.XLOOKUP(Y185,'relaties_export_2026-01-12_1609'!B:B,'relaties_export_2026-01-12_1609'!A:A,"",3)</f>
        <v>630</v>
      </c>
      <c r="AA185" s="47" t="str">
        <f>_xlfn.XLOOKUP(Z185,'relaties_export_2026-01-12_1609'!A:A,'relaties_export_2026-01-12_1609'!B:B,"",3)</f>
        <v>J. van der Linde</v>
      </c>
      <c r="AB185" s="46" t="s">
        <v>3363</v>
      </c>
      <c r="AC185" s="46">
        <v>2622.95</v>
      </c>
      <c r="AD185" s="46">
        <v>2622.95</v>
      </c>
      <c r="AE185" s="46">
        <v>2550.4499999999998</v>
      </c>
      <c r="AF185" s="46">
        <f t="shared" si="52"/>
        <v>151.33567966766674</v>
      </c>
      <c r="AG185" s="49">
        <v>45444</v>
      </c>
      <c r="AH185" s="49">
        <v>46173</v>
      </c>
      <c r="AI185"/>
      <c r="AJ185"/>
      <c r="AK185" s="80"/>
      <c r="AL185" s="80"/>
      <c r="AO185" s="34"/>
      <c r="AP185" s="116"/>
      <c r="AQ185" s="58"/>
      <c r="AT185" s="81"/>
      <c r="AU185" s="81"/>
      <c r="AX185" s="95"/>
      <c r="AY185" s="82"/>
      <c r="BB185" s="82"/>
    </row>
    <row r="186" spans="1:54" s="29" customFormat="1" ht="17" thickBot="1" x14ac:dyDescent="0.25">
      <c r="A186" s="30">
        <v>166</v>
      </c>
      <c r="B186" s="31" t="str">
        <f>_xlfn.XLOOKUP(D186,'[1]Sleutelplan nieuw'!B:B,'[1]Sleutelplan nieuw'!A:A,"",2)</f>
        <v>0100</v>
      </c>
      <c r="C186" s="32" t="s">
        <v>2824</v>
      </c>
      <c r="D186" s="59" t="s">
        <v>3364</v>
      </c>
      <c r="E186" s="60" t="s">
        <v>3365</v>
      </c>
      <c r="F186" s="76" t="s">
        <v>415</v>
      </c>
      <c r="G186" s="77">
        <v>5</v>
      </c>
      <c r="H186" s="77">
        <v>3</v>
      </c>
      <c r="I186" s="78">
        <v>45479</v>
      </c>
      <c r="J186" s="78">
        <v>45843</v>
      </c>
      <c r="K186" s="78"/>
      <c r="L186" t="s">
        <v>576</v>
      </c>
      <c r="M186" s="41">
        <f>_xlfn.XLOOKUP(L186,'relaties_export_2026-01-12_1609'!B:B,'relaties_export_2026-01-12_1609'!A:A,"",3)</f>
        <v>124</v>
      </c>
      <c r="N186" s="41" t="str">
        <f>_xlfn.XLOOKUP(M186,'relaties_export_2026-01-12_1609'!A:A,'relaties_export_2026-01-12_1609'!B:B,"",3)</f>
        <v>AmDor Projecten B.V.</v>
      </c>
      <c r="O186" s="42"/>
      <c r="P186" s="43">
        <f t="shared" si="46"/>
        <v>1217.21</v>
      </c>
      <c r="Q186" s="43">
        <f t="shared" si="53"/>
        <v>3559.0217000000002</v>
      </c>
      <c r="R186" s="44">
        <f t="shared" si="48"/>
        <v>3232.13</v>
      </c>
      <c r="S186" s="45">
        <f t="shared" si="49"/>
        <v>149.17534551949655</v>
      </c>
      <c r="T186" s="45">
        <v>2932.13</v>
      </c>
      <c r="U186" s="46">
        <v>300</v>
      </c>
      <c r="V186" s="46">
        <v>0</v>
      </c>
      <c r="W186"/>
      <c r="X186" s="23"/>
      <c r="Y186" s="56" t="s">
        <v>2704</v>
      </c>
      <c r="Z186" s="47">
        <v>823</v>
      </c>
      <c r="AA186" s="47" t="str">
        <f>_xlfn.XLOOKUP(Z186,'relaties_export_2026-01-12_1609'!A:A,'relaties_export_2026-01-12_1609'!B:B,"",3)</f>
        <v>City Estate (Reinier Derksen)</v>
      </c>
      <c r="AB186" s="46" t="s">
        <v>3366</v>
      </c>
      <c r="AC186" s="46">
        <v>1714.92</v>
      </c>
      <c r="AD186" s="46">
        <v>1714.92</v>
      </c>
      <c r="AE186" s="46">
        <v>1714.92</v>
      </c>
      <c r="AF186" s="46">
        <f t="shared" si="52"/>
        <v>79.156242787906763</v>
      </c>
      <c r="AG186" s="34"/>
      <c r="AH186" s="34"/>
      <c r="AI186"/>
      <c r="AJ186"/>
      <c r="AK186" s="80"/>
      <c r="AL186" s="80"/>
      <c r="AO186" s="34"/>
      <c r="AP186" s="34"/>
      <c r="AQ186" s="58"/>
      <c r="AT186" s="81"/>
      <c r="AU186" s="81"/>
      <c r="AY186" s="82"/>
    </row>
    <row r="187" spans="1:54" s="29" customFormat="1" ht="17" thickBot="1" x14ac:dyDescent="0.25">
      <c r="A187" s="30">
        <v>167</v>
      </c>
      <c r="B187" s="31" t="str">
        <f>_xlfn.XLOOKUP(D187,'[1]Sleutelplan nieuw'!B:B,'[1]Sleutelplan nieuw'!A:A,"",2)</f>
        <v>0101</v>
      </c>
      <c r="C187" s="32" t="s">
        <v>2824</v>
      </c>
      <c r="D187" s="59" t="s">
        <v>3367</v>
      </c>
      <c r="E187" s="60" t="s">
        <v>3368</v>
      </c>
      <c r="F187" s="76" t="s">
        <v>1307</v>
      </c>
      <c r="G187" s="77">
        <v>4</v>
      </c>
      <c r="H187" s="77">
        <v>4</v>
      </c>
      <c r="I187" s="78">
        <v>45996</v>
      </c>
      <c r="J187" s="78">
        <v>46360</v>
      </c>
      <c r="K187" s="79"/>
      <c r="L187" t="s">
        <v>3670</v>
      </c>
      <c r="M187" s="41">
        <f>_xlfn.XLOOKUP(L187,'relaties_export_2026-01-12_1609'!B:B,'relaties_export_2026-01-12_1609'!A:A,"",3)</f>
        <v>358</v>
      </c>
      <c r="N187" s="41" t="str">
        <f>_xlfn.XLOOKUP(M187,'relaties_export_2026-01-12_1609'!A:A,'relaties_export_2026-01-12_1609'!B:B,"",3)</f>
        <v>I-Housing Vastgoed Beheer B.V.</v>
      </c>
      <c r="O187" s="120" t="s">
        <v>3369</v>
      </c>
      <c r="P187" s="43">
        <f t="shared" si="46"/>
        <v>603.48999999999978</v>
      </c>
      <c r="Q187" s="43">
        <f t="shared" si="53"/>
        <v>3354.5</v>
      </c>
      <c r="R187" s="44">
        <f t="shared" si="48"/>
        <v>3050</v>
      </c>
      <c r="S187" s="45">
        <f t="shared" si="49"/>
        <v>175.96167381667217</v>
      </c>
      <c r="T187" s="45">
        <v>2800</v>
      </c>
      <c r="U187" s="46">
        <v>250</v>
      </c>
      <c r="V187" s="46">
        <v>0</v>
      </c>
      <c r="W187"/>
      <c r="X187" s="23"/>
      <c r="Y187" t="s">
        <v>2705</v>
      </c>
      <c r="Z187" s="47">
        <f>_xlfn.XLOOKUP(Y187,'relaties_export_2026-01-12_1609'!B:B,'relaties_export_2026-01-12_1609'!A:A,"",2)</f>
        <v>824</v>
      </c>
      <c r="AA187" s="47" t="str">
        <f>_xlfn.XLOOKUP(Z187,'relaties_export_2026-01-12_1609'!A:A,'relaties_export_2026-01-12_1609'!B:B,"",3)</f>
        <v>Vivir wonen (Mendy)</v>
      </c>
      <c r="AB187" s="46" t="s">
        <v>2846</v>
      </c>
      <c r="AC187" s="46">
        <v>2196.5100000000002</v>
      </c>
      <c r="AD187" s="46">
        <v>2196.5100000000002</v>
      </c>
      <c r="AE187" s="46">
        <v>2196.5100000000002</v>
      </c>
      <c r="AF187" s="46">
        <f t="shared" si="52"/>
        <v>126.73147934456497</v>
      </c>
      <c r="AG187" s="49">
        <v>44958</v>
      </c>
      <c r="AH187" s="49">
        <v>45322</v>
      </c>
      <c r="AI187"/>
      <c r="AJ187"/>
      <c r="AK187" s="80"/>
      <c r="AL187" s="80"/>
      <c r="AO187" s="34"/>
      <c r="AP187" s="34"/>
      <c r="AQ187" s="58"/>
      <c r="AT187" s="81"/>
      <c r="AU187" s="81"/>
      <c r="AY187" s="82"/>
    </row>
    <row r="188" spans="1:54" s="29" customFormat="1" ht="17" thickBot="1" x14ac:dyDescent="0.25">
      <c r="A188" s="30">
        <v>168</v>
      </c>
      <c r="B188" s="31" t="str">
        <f>_xlfn.XLOOKUP(D188,'[1]Sleutelplan nieuw'!B:B,'[1]Sleutelplan nieuw'!A:A,"",2)</f>
        <v>0020</v>
      </c>
      <c r="C188" s="32" t="s">
        <v>2824</v>
      </c>
      <c r="D188" s="59" t="s">
        <v>3370</v>
      </c>
      <c r="E188" s="60" t="s">
        <v>3371</v>
      </c>
      <c r="F188" s="76" t="s">
        <v>1303</v>
      </c>
      <c r="G188" s="108">
        <v>3</v>
      </c>
      <c r="H188" s="108">
        <v>2</v>
      </c>
      <c r="I188" s="109">
        <v>44958</v>
      </c>
      <c r="J188" s="109">
        <v>45323</v>
      </c>
      <c r="K188" s="78"/>
      <c r="L188" s="83" t="s">
        <v>2672</v>
      </c>
      <c r="M188" s="41">
        <f>_xlfn.XLOOKUP(L188,'relaties_export_2026-01-12_1609'!B:B,'relaties_export_2026-01-12_1609'!A:A,"",3)</f>
        <v>17</v>
      </c>
      <c r="N188" s="41" t="str">
        <f>_xlfn.XLOOKUP(M188,'relaties_export_2026-01-12_1609'!A:A,'relaties_export_2026-01-12_1609'!B:B,"",3)</f>
        <v>Tradiro Services B.V.</v>
      </c>
      <c r="O188" s="42"/>
      <c r="P188" s="43">
        <f t="shared" si="46"/>
        <v>323.44000000000005</v>
      </c>
      <c r="Q188" s="43">
        <f t="shared" si="53"/>
        <v>1878.5496000000003</v>
      </c>
      <c r="R188" s="44">
        <f t="shared" si="48"/>
        <v>1723.44</v>
      </c>
      <c r="S188" s="45">
        <f t="shared" si="49"/>
        <v>132.57240967108436</v>
      </c>
      <c r="T188" s="45">
        <v>1723.44</v>
      </c>
      <c r="U188" s="46">
        <v>0</v>
      </c>
      <c r="V188" s="46">
        <v>0</v>
      </c>
      <c r="W188"/>
      <c r="X188" s="23"/>
      <c r="Y188" s="73" t="s">
        <v>1162</v>
      </c>
      <c r="Z188" s="47">
        <f>_xlfn.XLOOKUP(Y188,'relaties_export_2026-01-12_1609'!B:B,'relaties_export_2026-01-12_1609'!A:A,"",3)</f>
        <v>258</v>
      </c>
      <c r="AA188" s="47" t="str">
        <f>_xlfn.XLOOKUP(Z188,'relaties_export_2026-01-12_1609'!A:A,'relaties_export_2026-01-12_1609'!B:B,"",3)</f>
        <v>Parkwonen</v>
      </c>
      <c r="AB188" s="106"/>
      <c r="AC188" s="43">
        <v>1400</v>
      </c>
      <c r="AD188" s="43">
        <v>1400</v>
      </c>
      <c r="AE188" s="127">
        <v>1400</v>
      </c>
      <c r="AF188" s="46">
        <f t="shared" ref="AF188:AF199" si="54">(AD188/G188)/4.33333</f>
        <v>107.6923905326081</v>
      </c>
      <c r="AG188" s="49">
        <v>44927</v>
      </c>
      <c r="AH188" s="49">
        <v>45292</v>
      </c>
    </row>
    <row r="189" spans="1:54" s="29" customFormat="1" ht="17" thickBot="1" x14ac:dyDescent="0.25">
      <c r="A189" s="30">
        <v>169</v>
      </c>
      <c r="B189" s="64" t="s">
        <v>3372</v>
      </c>
      <c r="C189" s="32" t="s">
        <v>2824</v>
      </c>
      <c r="D189" s="59" t="s">
        <v>3373</v>
      </c>
      <c r="E189" s="60" t="s">
        <v>3374</v>
      </c>
      <c r="F189" s="76" t="s">
        <v>415</v>
      </c>
      <c r="G189" s="108">
        <v>3</v>
      </c>
      <c r="H189" s="108">
        <v>2</v>
      </c>
      <c r="I189" s="109">
        <v>45811</v>
      </c>
      <c r="J189" s="109" t="s">
        <v>3113</v>
      </c>
      <c r="K189" s="78"/>
      <c r="L189" s="114" t="s">
        <v>2672</v>
      </c>
      <c r="M189" s="41">
        <f>_xlfn.XLOOKUP(L189,'relaties_export_2026-01-12_1609'!B:B,'relaties_export_2026-01-12_1609'!A:A,"",3)</f>
        <v>17</v>
      </c>
      <c r="N189" s="41" t="str">
        <f>_xlfn.XLOOKUP(M189,'relaties_export_2026-01-12_1609'!A:A,'relaties_export_2026-01-12_1609'!B:B,"",3)</f>
        <v>Tradiro Services B.V.</v>
      </c>
      <c r="O189" s="42"/>
      <c r="P189" s="43">
        <f t="shared" si="46"/>
        <v>464.03999999999996</v>
      </c>
      <c r="Q189" s="43">
        <f t="shared" si="53"/>
        <v>1853.0000000000002</v>
      </c>
      <c r="R189" s="44">
        <f t="shared" si="48"/>
        <v>1700</v>
      </c>
      <c r="S189" s="45">
        <f t="shared" si="49"/>
        <v>130.76933136102411</v>
      </c>
      <c r="T189" s="45">
        <v>1700</v>
      </c>
      <c r="U189" s="46"/>
      <c r="V189" s="46">
        <v>0</v>
      </c>
      <c r="W189"/>
      <c r="X189" s="23"/>
      <c r="Y189" s="73" t="s">
        <v>2706</v>
      </c>
      <c r="Z189" s="47">
        <f>_xlfn.XLOOKUP(Y189,'relaties_export_2026-01-12_1609'!B:B,'relaties_export_2026-01-12_1609'!A:A,"",3)</f>
        <v>825</v>
      </c>
      <c r="AA189" s="47" t="str">
        <f>_xlfn.XLOOKUP(Z189,'relaties_export_2026-01-12_1609'!A:A,'relaties_export_2026-01-12_1609'!B:B,"",3)</f>
        <v>D. Kleijweg</v>
      </c>
      <c r="AB189" s="106"/>
      <c r="AC189" s="43">
        <v>1235.96</v>
      </c>
      <c r="AD189" s="43">
        <v>1235.96</v>
      </c>
      <c r="AE189" s="127">
        <v>1235.96</v>
      </c>
      <c r="AF189" s="46">
        <f t="shared" si="54"/>
        <v>95.073919287630218</v>
      </c>
      <c r="AG189" s="49">
        <v>44986</v>
      </c>
      <c r="AH189" s="49">
        <v>45350</v>
      </c>
    </row>
    <row r="190" spans="1:54" s="29" customFormat="1" ht="17" thickBot="1" x14ac:dyDescent="0.25">
      <c r="A190" s="30">
        <v>170</v>
      </c>
      <c r="B190" s="31" t="str">
        <f>_xlfn.XLOOKUP(D190,'[1]Sleutelplan nieuw'!B:B,'[1]Sleutelplan nieuw'!A:A,"",2)</f>
        <v>0104</v>
      </c>
      <c r="C190" s="32" t="s">
        <v>2831</v>
      </c>
      <c r="D190" s="59" t="s">
        <v>3375</v>
      </c>
      <c r="E190" s="60" t="s">
        <v>3376</v>
      </c>
      <c r="F190" s="59" t="s">
        <v>415</v>
      </c>
      <c r="G190" s="77">
        <v>3</v>
      </c>
      <c r="H190" s="77">
        <v>3</v>
      </c>
      <c r="I190" s="78">
        <v>44562</v>
      </c>
      <c r="J190" s="78">
        <v>44926</v>
      </c>
      <c r="K190" s="78"/>
      <c r="L190" t="s">
        <v>576</v>
      </c>
      <c r="M190" s="41">
        <f>_xlfn.XLOOKUP(L190,'relaties_export_2026-01-12_1609'!B:B,'relaties_export_2026-01-12_1609'!A:A,"",3)</f>
        <v>124</v>
      </c>
      <c r="N190" s="41" t="str">
        <f>_xlfn.XLOOKUP(M190,'relaties_export_2026-01-12_1609'!A:A,'relaties_export_2026-01-12_1609'!B:B,"",3)</f>
        <v>AmDor Projecten B.V.</v>
      </c>
      <c r="O190" s="42"/>
      <c r="P190" s="43">
        <f t="shared" si="46"/>
        <v>788.81000000000017</v>
      </c>
      <c r="Q190" s="43">
        <f>T190*1.09+U190*1.09</f>
        <v>2892.7292000000002</v>
      </c>
      <c r="R190" s="44">
        <f t="shared" si="48"/>
        <v>2653.88</v>
      </c>
      <c r="S190" s="45">
        <f t="shared" si="49"/>
        <v>204.1447724190557</v>
      </c>
      <c r="T190" s="45">
        <v>2278.88</v>
      </c>
      <c r="U190" s="46">
        <v>375</v>
      </c>
      <c r="V190" s="46">
        <v>0</v>
      </c>
      <c r="W190" s="85"/>
      <c r="X190" s="23"/>
      <c r="Y190" s="56" t="s">
        <v>310</v>
      </c>
      <c r="Z190" s="47">
        <f>_xlfn.XLOOKUP(Y190,'relaties_export_2026-01-12_1609'!B:B,'relaties_export_2026-01-12_1609'!A:A,"",3)</f>
        <v>60</v>
      </c>
      <c r="AA190" s="47" t="str">
        <f>_xlfn.XLOOKUP(Z190,'relaties_export_2026-01-12_1609'!A:A,'relaties_export_2026-01-12_1609'!B:B,"",3)</f>
        <v>M. Poel</v>
      </c>
      <c r="AB190" s="70" t="s">
        <v>3377</v>
      </c>
      <c r="AC190" s="70">
        <v>1490.07</v>
      </c>
      <c r="AD190" s="70">
        <v>1490.07</v>
      </c>
      <c r="AE190" s="70">
        <v>1490.07</v>
      </c>
      <c r="AF190" s="70">
        <f t="shared" si="54"/>
        <v>114.62085740065953</v>
      </c>
      <c r="AG190" s="49">
        <v>44053</v>
      </c>
      <c r="AH190" s="34" t="s">
        <v>3072</v>
      </c>
      <c r="AI190" t="s">
        <v>3293</v>
      </c>
      <c r="AJ190" t="s">
        <v>3378</v>
      </c>
      <c r="AK190" s="80">
        <v>44053</v>
      </c>
      <c r="AL190" s="80">
        <v>44053</v>
      </c>
      <c r="AM190" s="29" t="s">
        <v>3081</v>
      </c>
      <c r="AO190" s="34" t="s">
        <v>3195</v>
      </c>
      <c r="AP190" s="34"/>
      <c r="AQ190" s="58"/>
      <c r="AR190" s="29" t="s">
        <v>3293</v>
      </c>
      <c r="AS190" s="29" t="s">
        <v>3378</v>
      </c>
      <c r="AT190" s="81">
        <v>44085</v>
      </c>
      <c r="AU190" s="81">
        <v>44085</v>
      </c>
      <c r="AV190" s="29" t="s">
        <v>3081</v>
      </c>
      <c r="AW190" s="29" t="s">
        <v>3195</v>
      </c>
      <c r="AY190" s="86"/>
      <c r="AZ190" s="29" t="s">
        <v>3296</v>
      </c>
    </row>
    <row r="191" spans="1:54" s="29" customFormat="1" ht="17" thickBot="1" x14ac:dyDescent="0.25">
      <c r="A191" s="30">
        <v>171</v>
      </c>
      <c r="B191" s="31" t="str">
        <f>_xlfn.XLOOKUP(D191,'[1]Sleutelplan nieuw'!B:B,'[1]Sleutelplan nieuw'!A:A,"",2)</f>
        <v>0102</v>
      </c>
      <c r="C191" s="32" t="s">
        <v>2824</v>
      </c>
      <c r="D191" s="59" t="s">
        <v>3379</v>
      </c>
      <c r="E191" s="60" t="s">
        <v>3376</v>
      </c>
      <c r="F191" s="76" t="s">
        <v>415</v>
      </c>
      <c r="G191" s="77">
        <v>3</v>
      </c>
      <c r="H191" s="77">
        <v>2</v>
      </c>
      <c r="I191" s="78">
        <v>44562</v>
      </c>
      <c r="J191" s="78">
        <v>44926</v>
      </c>
      <c r="K191" s="78"/>
      <c r="L191" t="s">
        <v>576</v>
      </c>
      <c r="M191" s="41">
        <f>_xlfn.XLOOKUP(L191,'relaties_export_2026-01-12_1609'!B:B,'relaties_export_2026-01-12_1609'!A:A,"",3)</f>
        <v>124</v>
      </c>
      <c r="N191" s="41" t="str">
        <f>_xlfn.XLOOKUP(M191,'relaties_export_2026-01-12_1609'!A:A,'relaties_export_2026-01-12_1609'!B:B,"",3)</f>
        <v>AmDor Projecten B.V.</v>
      </c>
      <c r="O191" s="42"/>
      <c r="P191" s="43">
        <f t="shared" si="46"/>
        <v>395.85000000000014</v>
      </c>
      <c r="Q191" s="43">
        <f>T191*1.09+U191*1.09</f>
        <v>2222.4010000000003</v>
      </c>
      <c r="R191" s="44">
        <f t="shared" si="48"/>
        <v>2038.9</v>
      </c>
      <c r="S191" s="45">
        <f t="shared" si="49"/>
        <v>156.83858218352475</v>
      </c>
      <c r="T191" s="45">
        <v>1738.9</v>
      </c>
      <c r="U191" s="46">
        <v>300</v>
      </c>
      <c r="V191" s="46">
        <v>0</v>
      </c>
      <c r="W191"/>
      <c r="X191" s="23"/>
      <c r="Y191" s="56" t="s">
        <v>2704</v>
      </c>
      <c r="Z191" s="47">
        <v>823</v>
      </c>
      <c r="AA191" s="47" t="str">
        <f>_xlfn.XLOOKUP(Z191,'relaties_export_2026-01-12_1609'!A:A,'relaties_export_2026-01-12_1609'!B:B,"",3)</f>
        <v>City Estate (Reinier Derksen)</v>
      </c>
      <c r="AB191" s="46" t="s">
        <v>3366</v>
      </c>
      <c r="AC191" s="46">
        <v>1343.05</v>
      </c>
      <c r="AD191" s="46">
        <v>1343.05</v>
      </c>
      <c r="AE191" s="46">
        <v>1343.05</v>
      </c>
      <c r="AF191" s="46">
        <f t="shared" si="54"/>
        <v>103.31161793201379</v>
      </c>
      <c r="AG191" s="49">
        <v>44130</v>
      </c>
      <c r="AH191" s="49">
        <v>44500</v>
      </c>
      <c r="AI191" t="s">
        <v>3293</v>
      </c>
      <c r="AJ191" t="s">
        <v>2998</v>
      </c>
      <c r="AK191" s="80">
        <v>44130</v>
      </c>
      <c r="AL191" s="80">
        <v>44500</v>
      </c>
      <c r="AM191" s="29" t="s">
        <v>2999</v>
      </c>
      <c r="AO191" s="34" t="s">
        <v>3003</v>
      </c>
      <c r="AP191" s="34"/>
      <c r="AQ191" s="58"/>
      <c r="AT191" s="81"/>
      <c r="AU191" s="81"/>
      <c r="AX191" s="95" t="s">
        <v>3295</v>
      </c>
      <c r="AY191" s="86"/>
      <c r="AZ191" s="29" t="s">
        <v>3380</v>
      </c>
    </row>
    <row r="192" spans="1:54" s="29" customFormat="1" ht="17" thickBot="1" x14ac:dyDescent="0.25">
      <c r="A192" s="30">
        <v>172</v>
      </c>
      <c r="B192" s="31" t="str">
        <f>_xlfn.XLOOKUP(D192,'[1]Sleutelplan nieuw'!B:B,'[1]Sleutelplan nieuw'!A:A,"",2)</f>
        <v>0046</v>
      </c>
      <c r="C192" s="32" t="s">
        <v>2824</v>
      </c>
      <c r="D192" s="59" t="s">
        <v>3381</v>
      </c>
      <c r="E192" s="60" t="s">
        <v>3382</v>
      </c>
      <c r="F192" s="76" t="s">
        <v>84</v>
      </c>
      <c r="G192" s="77">
        <v>3</v>
      </c>
      <c r="H192" s="77">
        <v>3</v>
      </c>
      <c r="I192" s="78">
        <v>45667</v>
      </c>
      <c r="J192" s="78">
        <v>46032</v>
      </c>
      <c r="K192" s="78"/>
      <c r="L192" s="83" t="s">
        <v>3383</v>
      </c>
      <c r="M192" s="219">
        <v>330</v>
      </c>
      <c r="N192" s="41" t="str">
        <f>_xlfn.XLOOKUP(M192,'relaties_export_2026-01-12_1609'!A:A,'relaties_export_2026-01-12_1609'!B:B,"",3)</f>
        <v>UAB Techsome</v>
      </c>
      <c r="O192" s="42"/>
      <c r="P192" s="43">
        <f t="shared" si="46"/>
        <v>686.09999999999991</v>
      </c>
      <c r="Q192" s="43">
        <f t="shared" ref="Q192:Q199" si="55">T192*1.09+U192*1.21</f>
        <v>2624.8490000000002</v>
      </c>
      <c r="R192" s="44">
        <f t="shared" si="48"/>
        <v>2386.1</v>
      </c>
      <c r="S192" s="45">
        <f t="shared" si="49"/>
        <v>183.54629503561156</v>
      </c>
      <c r="T192" s="45">
        <v>2186.1</v>
      </c>
      <c r="U192" s="46">
        <v>200</v>
      </c>
      <c r="V192" s="46"/>
      <c r="W192" s="85"/>
      <c r="X192" s="23"/>
      <c r="Y192" s="56" t="s">
        <v>2732</v>
      </c>
      <c r="Z192" s="47">
        <f>_xlfn.XLOOKUP(Y192,'relaties_export_2026-01-12_1609'!B:B,'relaties_export_2026-01-12_1609'!A:A,"",3)</f>
        <v>667</v>
      </c>
      <c r="AA192" s="47" t="str">
        <f>_xlfn.XLOOKUP(Z192,'relaties_export_2026-01-12_1609'!A:A,'relaties_export_2026-01-12_1609'!B:B,"",3)</f>
        <v>Huurwoning in Rotterdam VOF</v>
      </c>
      <c r="AB192" s="67" t="s">
        <v>3384</v>
      </c>
      <c r="AC192" s="46">
        <v>1500</v>
      </c>
      <c r="AD192" s="70">
        <v>1500</v>
      </c>
      <c r="AE192" s="70">
        <v>1500</v>
      </c>
      <c r="AF192" s="70">
        <f t="shared" si="54"/>
        <v>115.38470414208011</v>
      </c>
      <c r="AG192" s="49">
        <v>45658</v>
      </c>
      <c r="AH192" s="49">
        <v>46023</v>
      </c>
      <c r="AI192"/>
      <c r="AJ192"/>
      <c r="AK192" s="80"/>
      <c r="AL192" s="80"/>
      <c r="AO192" s="34"/>
      <c r="AP192" s="34"/>
      <c r="AQ192" s="58"/>
      <c r="AT192" s="81"/>
      <c r="AU192" s="81"/>
      <c r="AY192" s="86"/>
    </row>
    <row r="193" spans="1:51" s="29" customFormat="1" ht="17" thickBot="1" x14ac:dyDescent="0.25">
      <c r="A193" s="30">
        <v>173</v>
      </c>
      <c r="B193" s="64" t="s">
        <v>3385</v>
      </c>
      <c r="C193" s="32" t="s">
        <v>2831</v>
      </c>
      <c r="D193" s="59" t="s">
        <v>3386</v>
      </c>
      <c r="E193" s="60" t="s">
        <v>3387</v>
      </c>
      <c r="F193" s="76" t="s">
        <v>723</v>
      </c>
      <c r="G193" s="77">
        <v>4</v>
      </c>
      <c r="H193" s="77">
        <v>3</v>
      </c>
      <c r="I193" s="78">
        <v>45231</v>
      </c>
      <c r="J193" s="78">
        <v>45596</v>
      </c>
      <c r="K193" s="78"/>
      <c r="L193" s="83" t="s">
        <v>144</v>
      </c>
      <c r="M193" s="41">
        <f>_xlfn.XLOOKUP(L193,'relaties_export_2026-01-12_1609'!B:B,'relaties_export_2026-01-12_1609'!A:A,"",3)</f>
        <v>26</v>
      </c>
      <c r="N193" s="41" t="str">
        <f>_xlfn.XLOOKUP(M193,'relaties_export_2026-01-12_1609'!A:A,'relaties_export_2026-01-12_1609'!B:B,"",3)</f>
        <v>Vivir Wonen</v>
      </c>
      <c r="O193" s="42"/>
      <c r="P193" s="43">
        <f t="shared" si="46"/>
        <v>503.46000000000004</v>
      </c>
      <c r="Q193" s="43">
        <f t="shared" si="55"/>
        <v>2727.2754</v>
      </c>
      <c r="R193" s="44">
        <f t="shared" si="48"/>
        <v>2469.06</v>
      </c>
      <c r="S193" s="45">
        <f t="shared" si="49"/>
        <v>142.44587880452215</v>
      </c>
      <c r="T193" s="45">
        <v>2169.06</v>
      </c>
      <c r="U193" s="46">
        <v>300</v>
      </c>
      <c r="V193" s="46">
        <v>0</v>
      </c>
      <c r="W193" s="85"/>
      <c r="X193" s="23"/>
      <c r="Y193" s="56" t="s">
        <v>2707</v>
      </c>
      <c r="Z193" s="47">
        <f>_xlfn.XLOOKUP(Y193,'relaties_export_2026-01-12_1609'!B:B,'relaties_export_2026-01-12_1609'!A:A,"",3)</f>
        <v>826</v>
      </c>
      <c r="AA193" s="47" t="str">
        <f>_xlfn.XLOOKUP(Z193,'relaties_export_2026-01-12_1609'!A:A,'relaties_export_2026-01-12_1609'!B:B,"",3)</f>
        <v>D. tonen</v>
      </c>
      <c r="AB193" s="70" t="s">
        <v>3388</v>
      </c>
      <c r="AC193" s="70">
        <v>1665.6</v>
      </c>
      <c r="AD193" s="70">
        <v>1665.6</v>
      </c>
      <c r="AE193" s="70">
        <v>1665.6</v>
      </c>
      <c r="AF193" s="70">
        <f t="shared" si="54"/>
        <v>96.09238160952431</v>
      </c>
      <c r="AG193" s="49">
        <v>45231</v>
      </c>
      <c r="AH193" s="49">
        <v>45596</v>
      </c>
      <c r="AI193"/>
      <c r="AJ193"/>
      <c r="AK193" s="80"/>
      <c r="AL193" s="80"/>
      <c r="AO193" s="34"/>
      <c r="AP193" s="34"/>
      <c r="AQ193" s="58"/>
      <c r="AT193" s="81"/>
      <c r="AU193" s="81"/>
      <c r="AY193" s="86"/>
    </row>
    <row r="194" spans="1:51" s="29" customFormat="1" ht="17" thickBot="1" x14ac:dyDescent="0.25">
      <c r="A194" s="30">
        <v>174</v>
      </c>
      <c r="B194" s="31" t="str">
        <f>_xlfn.XLOOKUP(D194,'[1]Sleutelplan nieuw'!B:B,'[1]Sleutelplan nieuw'!A:A,"",2)</f>
        <v>0328</v>
      </c>
      <c r="C194" s="32" t="s">
        <v>2824</v>
      </c>
      <c r="D194" s="59" t="s">
        <v>3389</v>
      </c>
      <c r="E194" s="60" t="s">
        <v>3390</v>
      </c>
      <c r="F194" s="76" t="s">
        <v>481</v>
      </c>
      <c r="G194" s="77">
        <v>2</v>
      </c>
      <c r="H194" s="77">
        <v>2</v>
      </c>
      <c r="I194" s="78">
        <v>45675</v>
      </c>
      <c r="J194" s="78">
        <v>45856</v>
      </c>
      <c r="K194" s="78"/>
      <c r="L194" t="s">
        <v>2923</v>
      </c>
      <c r="M194" s="41">
        <f>_xlfn.XLOOKUP(L194,'relaties_export_2026-01-12_1609'!B:B,'relaties_export_2026-01-12_1609'!A:A,"",0)</f>
        <v>190</v>
      </c>
      <c r="N194" s="41" t="str">
        <f>_xlfn.XLOOKUP(M194,'relaties_export_2026-01-12_1609'!A:A,'relaties_export_2026-01-12_1609'!B:B,"",3)</f>
        <v>BBTS (Vastgoed Spijkenisse)</v>
      </c>
      <c r="O194" s="115"/>
      <c r="P194" s="43">
        <f t="shared" si="46"/>
        <v>250</v>
      </c>
      <c r="Q194" s="43">
        <f t="shared" si="55"/>
        <v>2149.5</v>
      </c>
      <c r="R194" s="44">
        <f t="shared" si="48"/>
        <v>1950</v>
      </c>
      <c r="S194" s="45">
        <f t="shared" si="49"/>
        <v>225.00017307705622</v>
      </c>
      <c r="T194" s="45">
        <v>1750</v>
      </c>
      <c r="U194" s="46">
        <v>200</v>
      </c>
      <c r="V194" s="46"/>
      <c r="W194"/>
      <c r="X194" s="23"/>
      <c r="Y194" s="56" t="s">
        <v>1162</v>
      </c>
      <c r="Z194" s="47">
        <f>_xlfn.XLOOKUP(Y194,'relaties_export_2026-01-12_1609'!B:B,'relaties_export_2026-01-12_1609'!A:A,"",3)</f>
        <v>258</v>
      </c>
      <c r="AA194" s="47" t="str">
        <f>_xlfn.XLOOKUP(Z194,'relaties_export_2026-01-12_1609'!A:A,'relaties_export_2026-01-12_1609'!B:B,"",3)</f>
        <v>Parkwonen</v>
      </c>
      <c r="AB194" s="46"/>
      <c r="AC194" s="46">
        <v>1500</v>
      </c>
      <c r="AD194" s="46">
        <v>1500</v>
      </c>
      <c r="AE194" s="46">
        <v>1500</v>
      </c>
      <c r="AF194" s="70">
        <f t="shared" si="54"/>
        <v>173.07705621312016</v>
      </c>
      <c r="AG194" s="49">
        <v>45689</v>
      </c>
      <c r="AH194" s="49">
        <v>46054</v>
      </c>
      <c r="AI194"/>
      <c r="AJ194"/>
      <c r="AK194" s="80"/>
      <c r="AL194" s="80"/>
      <c r="AO194" s="34"/>
      <c r="AP194" s="34"/>
      <c r="AQ194" s="58"/>
      <c r="AT194" s="81"/>
      <c r="AU194" s="81"/>
      <c r="AY194" s="86"/>
    </row>
    <row r="195" spans="1:51" s="29" customFormat="1" ht="17" thickBot="1" x14ac:dyDescent="0.25">
      <c r="A195" s="30">
        <v>175</v>
      </c>
      <c r="B195" s="31" t="str">
        <f>_xlfn.XLOOKUP(D195,'[1]Sleutelplan nieuw'!B:B,'[1]Sleutelplan nieuw'!A:A,"",2)</f>
        <v>0329</v>
      </c>
      <c r="C195" s="32" t="s">
        <v>2824</v>
      </c>
      <c r="D195" s="59" t="s">
        <v>3391</v>
      </c>
      <c r="E195" s="60" t="s">
        <v>3390</v>
      </c>
      <c r="F195" s="76" t="s">
        <v>481</v>
      </c>
      <c r="G195" s="77">
        <v>2</v>
      </c>
      <c r="H195" s="77">
        <v>2</v>
      </c>
      <c r="I195" s="78">
        <v>45675</v>
      </c>
      <c r="J195" s="78">
        <v>45856</v>
      </c>
      <c r="K195" s="78"/>
      <c r="L195" t="s">
        <v>2923</v>
      </c>
      <c r="M195" s="41">
        <f>_xlfn.XLOOKUP(L195,'relaties_export_2026-01-12_1609'!B:B,'relaties_export_2026-01-12_1609'!A:A,"",0)</f>
        <v>190</v>
      </c>
      <c r="N195" s="41" t="str">
        <f>_xlfn.XLOOKUP(M195,'relaties_export_2026-01-12_1609'!A:A,'relaties_export_2026-01-12_1609'!B:B,"",3)</f>
        <v>BBTS (Vastgoed Spijkenisse)</v>
      </c>
      <c r="O195" s="115"/>
      <c r="P195" s="43">
        <f t="shared" si="46"/>
        <v>250</v>
      </c>
      <c r="Q195" s="43">
        <f t="shared" si="55"/>
        <v>2149.5</v>
      </c>
      <c r="R195" s="44">
        <f t="shared" si="48"/>
        <v>1950</v>
      </c>
      <c r="S195" s="45">
        <f t="shared" si="49"/>
        <v>225.00017307705622</v>
      </c>
      <c r="T195" s="45">
        <v>1750</v>
      </c>
      <c r="U195" s="46">
        <v>200</v>
      </c>
      <c r="V195" s="46"/>
      <c r="W195"/>
      <c r="X195" s="23"/>
      <c r="Y195" s="56" t="s">
        <v>1162</v>
      </c>
      <c r="Z195" s="47">
        <f>_xlfn.XLOOKUP(Y195,'relaties_export_2026-01-12_1609'!B:B,'relaties_export_2026-01-12_1609'!A:A,"",3)</f>
        <v>258</v>
      </c>
      <c r="AA195" s="47" t="str">
        <f>_xlfn.XLOOKUP(Z195,'relaties_export_2026-01-12_1609'!A:A,'relaties_export_2026-01-12_1609'!B:B,"",3)</f>
        <v>Parkwonen</v>
      </c>
      <c r="AB195" s="46"/>
      <c r="AC195" s="46">
        <v>1500</v>
      </c>
      <c r="AD195" s="46">
        <v>1500</v>
      </c>
      <c r="AE195" s="46">
        <v>1500</v>
      </c>
      <c r="AF195" s="70">
        <f t="shared" si="54"/>
        <v>173.07705621312016</v>
      </c>
      <c r="AG195" s="49">
        <v>45689</v>
      </c>
      <c r="AH195" s="49">
        <v>46054</v>
      </c>
      <c r="AI195"/>
      <c r="AJ195"/>
      <c r="AK195" s="80"/>
      <c r="AL195" s="80"/>
      <c r="AO195" s="34"/>
      <c r="AP195" s="34"/>
      <c r="AQ195" s="58"/>
      <c r="AT195" s="81"/>
      <c r="AU195" s="81"/>
      <c r="AY195" s="86"/>
    </row>
    <row r="196" spans="1:51" s="29" customFormat="1" ht="17" thickBot="1" x14ac:dyDescent="0.25">
      <c r="A196" s="30">
        <v>176</v>
      </c>
      <c r="B196" s="31" t="str">
        <f>_xlfn.XLOOKUP(D196,'[1]Sleutelplan nieuw'!B:B,'[1]Sleutelplan nieuw'!A:A,"",2)</f>
        <v>0330</v>
      </c>
      <c r="C196" s="32" t="s">
        <v>2824</v>
      </c>
      <c r="D196" s="59" t="s">
        <v>3392</v>
      </c>
      <c r="E196" s="60" t="s">
        <v>3390</v>
      </c>
      <c r="F196" s="76" t="s">
        <v>481</v>
      </c>
      <c r="G196" s="77">
        <v>2</v>
      </c>
      <c r="H196" s="77">
        <v>2</v>
      </c>
      <c r="I196" s="78">
        <v>45675</v>
      </c>
      <c r="J196" s="78">
        <v>45856</v>
      </c>
      <c r="K196" s="78"/>
      <c r="L196" t="s">
        <v>2923</v>
      </c>
      <c r="M196" s="41">
        <f>_xlfn.XLOOKUP(L196,'relaties_export_2026-01-12_1609'!B:B,'relaties_export_2026-01-12_1609'!A:A,"",0)</f>
        <v>190</v>
      </c>
      <c r="N196" s="41" t="str">
        <f>_xlfn.XLOOKUP(M196,'relaties_export_2026-01-12_1609'!A:A,'relaties_export_2026-01-12_1609'!B:B,"",3)</f>
        <v>BBTS (Vastgoed Spijkenisse)</v>
      </c>
      <c r="O196" s="115"/>
      <c r="P196" s="43">
        <f t="shared" si="46"/>
        <v>250</v>
      </c>
      <c r="Q196" s="43">
        <f t="shared" si="55"/>
        <v>2149.5</v>
      </c>
      <c r="R196" s="44">
        <f t="shared" si="48"/>
        <v>1950</v>
      </c>
      <c r="S196" s="45">
        <f t="shared" si="49"/>
        <v>225.00017307705622</v>
      </c>
      <c r="T196" s="45">
        <v>1750</v>
      </c>
      <c r="U196" s="46">
        <v>200</v>
      </c>
      <c r="V196" s="46"/>
      <c r="W196"/>
      <c r="X196" s="23"/>
      <c r="Y196" s="56" t="s">
        <v>1162</v>
      </c>
      <c r="Z196" s="47">
        <f>_xlfn.XLOOKUP(Y196,'relaties_export_2026-01-12_1609'!B:B,'relaties_export_2026-01-12_1609'!A:A,"",3)</f>
        <v>258</v>
      </c>
      <c r="AA196" s="47" t="str">
        <f>_xlfn.XLOOKUP(Z196,'relaties_export_2026-01-12_1609'!A:A,'relaties_export_2026-01-12_1609'!B:B,"",3)</f>
        <v>Parkwonen</v>
      </c>
      <c r="AB196" s="46"/>
      <c r="AC196" s="46">
        <v>1500</v>
      </c>
      <c r="AD196" s="46">
        <v>1500</v>
      </c>
      <c r="AE196" s="46">
        <v>1500</v>
      </c>
      <c r="AF196" s="70">
        <f t="shared" si="54"/>
        <v>173.07705621312016</v>
      </c>
      <c r="AG196" s="49">
        <v>45689</v>
      </c>
      <c r="AH196" s="49">
        <v>46054</v>
      </c>
      <c r="AI196"/>
      <c r="AJ196"/>
      <c r="AK196" s="80"/>
      <c r="AL196" s="80"/>
      <c r="AO196" s="34"/>
      <c r="AP196" s="34"/>
      <c r="AQ196" s="58"/>
      <c r="AT196" s="81"/>
      <c r="AU196" s="81"/>
      <c r="AY196" s="86"/>
    </row>
    <row r="197" spans="1:51" s="29" customFormat="1" ht="17" thickBot="1" x14ac:dyDescent="0.25">
      <c r="A197" s="30"/>
      <c r="B197" s="31" t="s">
        <v>3393</v>
      </c>
      <c r="C197" s="32" t="s">
        <v>2824</v>
      </c>
      <c r="D197" s="59" t="s">
        <v>3394</v>
      </c>
      <c r="E197" s="60"/>
      <c r="F197" s="76" t="s">
        <v>3395</v>
      </c>
      <c r="G197" s="77"/>
      <c r="H197" s="77"/>
      <c r="I197" s="78"/>
      <c r="J197" s="78"/>
      <c r="K197" s="78"/>
      <c r="L197" s="83"/>
      <c r="M197" s="41" t="str">
        <f>_xlfn.XLOOKUP(L197,'relaties_export_2026-01-12_1609'!B:B,'relaties_export_2026-01-12_1609'!A:A,"",3)</f>
        <v>id</v>
      </c>
      <c r="N197" s="41" t="str">
        <f>_xlfn.XLOOKUP(M197,'relaties_export_2026-01-12_1609'!A:A,'relaties_export_2026-01-12_1609'!B:B,"",3)</f>
        <v>naam</v>
      </c>
      <c r="O197" s="115"/>
      <c r="P197" s="43"/>
      <c r="Q197" s="43"/>
      <c r="R197" s="44"/>
      <c r="S197" s="45"/>
      <c r="T197" s="45"/>
      <c r="U197" s="46"/>
      <c r="V197" s="46"/>
      <c r="W197"/>
      <c r="X197" s="23"/>
      <c r="Y197" s="56" t="s">
        <v>3087</v>
      </c>
      <c r="Z197" s="47" t="str">
        <f>_xlfn.XLOOKUP(Y197,'relaties_export_2026-01-12_1609'!B:B,'relaties_export_2026-01-12_1609'!A:A,"",3)</f>
        <v/>
      </c>
      <c r="AA197" s="47" t="str">
        <f>_xlfn.XLOOKUP(Z197,'relaties_export_2026-01-12_1609'!A:A,'relaties_export_2026-01-12_1609'!B:B,"",3)</f>
        <v>naam</v>
      </c>
      <c r="AB197" s="46"/>
      <c r="AC197" s="46">
        <v>6892.46</v>
      </c>
      <c r="AD197" s="46">
        <v>6232.5</v>
      </c>
      <c r="AE197" s="46">
        <v>5387.25</v>
      </c>
      <c r="AF197" s="70"/>
      <c r="AG197" s="49"/>
      <c r="AH197" s="49"/>
      <c r="AI197"/>
      <c r="AJ197"/>
      <c r="AK197" s="80"/>
      <c r="AL197" s="80"/>
      <c r="AO197" s="34"/>
      <c r="AP197" s="34"/>
      <c r="AQ197" s="58"/>
      <c r="AT197" s="81"/>
      <c r="AU197" s="81"/>
      <c r="AY197" s="86"/>
    </row>
    <row r="198" spans="1:51" s="29" customFormat="1" ht="17" thickBot="1" x14ac:dyDescent="0.25">
      <c r="A198" s="30">
        <v>177</v>
      </c>
      <c r="B198" s="31" t="str">
        <f>_xlfn.XLOOKUP(D198,'[1]Sleutelplan nieuw'!B:B,'[1]Sleutelplan nieuw'!A:A,"",2)</f>
        <v>0001</v>
      </c>
      <c r="C198" s="32" t="s">
        <v>2824</v>
      </c>
      <c r="D198" s="59" t="s">
        <v>3396</v>
      </c>
      <c r="E198" s="60" t="s">
        <v>3397</v>
      </c>
      <c r="F198" s="76" t="s">
        <v>1632</v>
      </c>
      <c r="G198" s="163">
        <v>4</v>
      </c>
      <c r="H198" s="163">
        <v>3</v>
      </c>
      <c r="I198" s="164">
        <v>44946</v>
      </c>
      <c r="J198" s="165">
        <v>45250</v>
      </c>
      <c r="K198" s="73"/>
      <c r="L198" s="83" t="s">
        <v>2901</v>
      </c>
      <c r="M198" s="41">
        <f>_xlfn.XLOOKUP(L198,'relaties_export_2026-01-12_1609'!B:B,'relaties_export_2026-01-12_1609'!A:A,"",3)</f>
        <v>260</v>
      </c>
      <c r="N198" s="41" t="str">
        <f>_xlfn.XLOOKUP(M198,'relaties_export_2026-01-12_1609'!A:A,'relaties_export_2026-01-12_1609'!B:B,"",3)</f>
        <v>Looije Facilities B.V.</v>
      </c>
      <c r="O198" s="115"/>
      <c r="P198" s="43">
        <f t="shared" si="46"/>
        <v>444.53</v>
      </c>
      <c r="Q198" s="43">
        <f t="shared" si="55"/>
        <v>1994.1877000000002</v>
      </c>
      <c r="R198" s="44">
        <f t="shared" si="48"/>
        <v>1829.53</v>
      </c>
      <c r="S198" s="45">
        <f t="shared" si="49"/>
        <v>105.54988888452991</v>
      </c>
      <c r="T198" s="166">
        <v>1829.53</v>
      </c>
      <c r="U198" s="46">
        <v>0</v>
      </c>
      <c r="V198" s="46">
        <v>0</v>
      </c>
      <c r="W198"/>
      <c r="X198" s="23"/>
      <c r="Y198" s="73" t="s">
        <v>2708</v>
      </c>
      <c r="Z198" s="47">
        <f>_xlfn.XLOOKUP(Y198,'relaties_export_2026-01-12_1609'!B:B,'relaties_export_2026-01-12_1609'!A:A,"",3)</f>
        <v>759</v>
      </c>
      <c r="AA198" s="47" t="str">
        <f>_xlfn.XLOOKUP(Z198,'relaties_export_2026-01-12_1609'!A:A,'relaties_export_2026-01-12_1609'!B:B,"",3)</f>
        <v>J.S. Vink Vastgoed</v>
      </c>
      <c r="AB198" s="106"/>
      <c r="AC198" s="167">
        <v>1385</v>
      </c>
      <c r="AD198" s="167">
        <v>1385</v>
      </c>
      <c r="AE198" s="167">
        <v>1385</v>
      </c>
      <c r="AF198" s="70">
        <f t="shared" si="54"/>
        <v>79.903907618390477</v>
      </c>
      <c r="AG198" s="49">
        <v>44896</v>
      </c>
      <c r="AH198" s="49">
        <v>45260</v>
      </c>
    </row>
    <row r="199" spans="1:51" s="29" customFormat="1" ht="17" thickBot="1" x14ac:dyDescent="0.25">
      <c r="A199" s="30">
        <v>179</v>
      </c>
      <c r="B199" s="31" t="str">
        <f>_xlfn.XLOOKUP(D199,'[1]Sleutelplan nieuw'!B:B,'[1]Sleutelplan nieuw'!A:A,"",2)</f>
        <v>0336</v>
      </c>
      <c r="C199" s="32" t="s">
        <v>2824</v>
      </c>
      <c r="D199" s="59" t="s">
        <v>3398</v>
      </c>
      <c r="E199" s="60" t="s">
        <v>3399</v>
      </c>
      <c r="F199" s="76" t="s">
        <v>3280</v>
      </c>
      <c r="G199" s="108">
        <v>6</v>
      </c>
      <c r="H199" s="108">
        <v>3</v>
      </c>
      <c r="I199" s="109"/>
      <c r="J199" s="109"/>
      <c r="K199" s="78"/>
      <c r="L199" s="83"/>
      <c r="M199" s="41" t="str">
        <f>_xlfn.XLOOKUP(L199,'relaties_export_2026-01-12_1609'!B:B,'relaties_export_2026-01-12_1609'!A:A,"",3)</f>
        <v>id</v>
      </c>
      <c r="N199" s="41" t="str">
        <f>_xlfn.XLOOKUP(M199,'relaties_export_2026-01-12_1609'!A:A,'relaties_export_2026-01-12_1609'!B:B,"",3)</f>
        <v>naam</v>
      </c>
      <c r="O199" s="115" t="s">
        <v>3400</v>
      </c>
      <c r="P199" s="43">
        <f t="shared" si="46"/>
        <v>-2750</v>
      </c>
      <c r="Q199" s="43"/>
      <c r="R199" s="44"/>
      <c r="S199" s="45">
        <f t="shared" si="49"/>
        <v>0</v>
      </c>
      <c r="T199" s="45"/>
      <c r="U199" s="125">
        <v>350</v>
      </c>
      <c r="V199" s="46"/>
      <c r="W199"/>
      <c r="X199" s="23"/>
      <c r="Y199" s="73" t="s">
        <v>1143</v>
      </c>
      <c r="Z199" s="47">
        <f>_xlfn.XLOOKUP(Y199,'relaties_export_2026-01-12_1609'!B:B,'relaties_export_2026-01-12_1609'!A:A,"",3)</f>
        <v>253</v>
      </c>
      <c r="AA199" s="47" t="str">
        <f>_xlfn.XLOOKUP(Z199,'relaties_export_2026-01-12_1609'!A:A,'relaties_export_2026-01-12_1609'!B:B,"",3)</f>
        <v>Facili Flex BV</v>
      </c>
      <c r="AB199" s="111" t="s">
        <v>3048</v>
      </c>
      <c r="AC199" s="43">
        <v>2400</v>
      </c>
      <c r="AD199" s="48">
        <v>2400</v>
      </c>
      <c r="AE199" s="110">
        <v>2400</v>
      </c>
      <c r="AF199" s="70">
        <f t="shared" si="54"/>
        <v>92.307763313664083</v>
      </c>
      <c r="AG199" s="49">
        <v>45705</v>
      </c>
      <c r="AH199" s="49">
        <v>46070</v>
      </c>
    </row>
    <row r="200" spans="1:51" s="29" customFormat="1" ht="17" thickBot="1" x14ac:dyDescent="0.25">
      <c r="A200" s="30"/>
      <c r="B200" s="31" t="str">
        <f>_xlfn.XLOOKUP(D200,'[1]Sleutelplan nieuw'!B:B,'[1]Sleutelplan nieuw'!A:A,"",2)</f>
        <v>0227</v>
      </c>
      <c r="C200" s="32" t="s">
        <v>2824</v>
      </c>
      <c r="D200" s="59" t="s">
        <v>3401</v>
      </c>
      <c r="E200" s="60" t="s">
        <v>3402</v>
      </c>
      <c r="F200" s="76" t="s">
        <v>946</v>
      </c>
      <c r="G200" s="108"/>
      <c r="H200" s="108"/>
      <c r="I200" s="109"/>
      <c r="J200" s="109"/>
      <c r="K200" s="78"/>
      <c r="L200" s="83" t="s">
        <v>2672</v>
      </c>
      <c r="M200" s="41">
        <f>_xlfn.XLOOKUP(L200,'relaties_export_2026-01-12_1609'!B:B,'relaties_export_2026-01-12_1609'!A:A,"",3)</f>
        <v>17</v>
      </c>
      <c r="N200" s="41" t="str">
        <f>_xlfn.XLOOKUP(M200,'relaties_export_2026-01-12_1609'!A:A,'relaties_export_2026-01-12_1609'!B:B,"",3)</f>
        <v>Tradiro Services B.V.</v>
      </c>
      <c r="O200" s="59"/>
      <c r="P200" s="43"/>
      <c r="Q200" s="43"/>
      <c r="R200" s="44"/>
      <c r="S200" s="45"/>
      <c r="T200" s="45"/>
      <c r="U200" s="123"/>
      <c r="V200" s="46"/>
      <c r="W200"/>
      <c r="X200" s="23"/>
      <c r="Y200" s="73" t="s">
        <v>3403</v>
      </c>
      <c r="Z200" s="47" t="str">
        <f>_xlfn.XLOOKUP(Y200,'relaties_export_2026-01-12_1609'!B:B,'relaties_export_2026-01-12_1609'!A:A,"",3)</f>
        <v/>
      </c>
      <c r="AA200" s="47" t="str">
        <f>_xlfn.XLOOKUP(Z200,'relaties_export_2026-01-12_1609'!A:A,'relaties_export_2026-01-12_1609'!B:B,"",3)</f>
        <v>naam</v>
      </c>
      <c r="AB200" s="111" t="s">
        <v>3404</v>
      </c>
      <c r="AC200" s="110">
        <v>2561.5</v>
      </c>
      <c r="AD200" s="110">
        <v>2561.5</v>
      </c>
      <c r="AE200" s="110">
        <v>2561.5</v>
      </c>
      <c r="AF200" s="70"/>
      <c r="AG200" s="49"/>
      <c r="AH200" s="49"/>
    </row>
    <row r="201" spans="1:51" s="29" customFormat="1" ht="17" thickBot="1" x14ac:dyDescent="0.25">
      <c r="A201" s="30">
        <v>181</v>
      </c>
      <c r="B201" s="31" t="str">
        <f>_xlfn.XLOOKUP(D201,'[1]Sleutelplan nieuw'!B:B,'[1]Sleutelplan nieuw'!A:A,"",2)</f>
        <v>0110</v>
      </c>
      <c r="C201" s="32" t="s">
        <v>2824</v>
      </c>
      <c r="D201" s="59" t="s">
        <v>3405</v>
      </c>
      <c r="E201" s="60" t="s">
        <v>3406</v>
      </c>
      <c r="F201" s="76" t="s">
        <v>286</v>
      </c>
      <c r="G201" s="77">
        <v>4</v>
      </c>
      <c r="H201" s="77">
        <v>4</v>
      </c>
      <c r="I201" s="78">
        <v>44835</v>
      </c>
      <c r="J201" s="78">
        <v>44651</v>
      </c>
      <c r="K201" s="78"/>
      <c r="L201" s="83" t="s">
        <v>3407</v>
      </c>
      <c r="M201" s="219">
        <v>6</v>
      </c>
      <c r="N201" s="41" t="str">
        <f>_xlfn.XLOOKUP(M201,'relaties_export_2026-01-12_1609'!A:A,'relaties_export_2026-01-12_1609'!B:B,"",3)</f>
        <v>GOTI Verhuur B.V.</v>
      </c>
      <c r="O201" s="95" t="s">
        <v>3408</v>
      </c>
      <c r="P201" s="43">
        <f t="shared" si="46"/>
        <v>-2032.48</v>
      </c>
      <c r="Q201" s="43"/>
      <c r="R201" s="44"/>
      <c r="S201" s="45"/>
      <c r="T201" s="45"/>
      <c r="U201" s="46">
        <v>300</v>
      </c>
      <c r="V201" s="46">
        <v>0</v>
      </c>
      <c r="W201"/>
      <c r="X201" s="23"/>
      <c r="Y201" s="56" t="s">
        <v>228</v>
      </c>
      <c r="Z201" s="47">
        <f>_xlfn.XLOOKUP(Y201,'relaties_export_2026-01-12_1609'!B:B,'relaties_export_2026-01-12_1609'!A:A,"",3)</f>
        <v>43</v>
      </c>
      <c r="AA201" s="47" t="str">
        <f>_xlfn.XLOOKUP(Z201,'relaties_export_2026-01-12_1609'!A:A,'relaties_export_2026-01-12_1609'!B:B,"",3)</f>
        <v>De Pagter Vastgoed B.V.</v>
      </c>
      <c r="AB201" s="46" t="s">
        <v>3125</v>
      </c>
      <c r="AC201" s="46">
        <v>1732.48</v>
      </c>
      <c r="AD201" s="46">
        <v>1732.48</v>
      </c>
      <c r="AE201" s="46">
        <v>1732.48</v>
      </c>
      <c r="AF201" s="46">
        <f t="shared" ref="AF201:AF203" si="56">(AD201/G201)/4.33333</f>
        <v>99.950846116035478</v>
      </c>
      <c r="AG201" s="49">
        <v>43983</v>
      </c>
      <c r="AH201" s="49">
        <v>44347</v>
      </c>
      <c r="AI201" t="s">
        <v>3293</v>
      </c>
      <c r="AJ201" s="29" t="s">
        <v>2998</v>
      </c>
      <c r="AK201" s="80">
        <v>43983</v>
      </c>
      <c r="AL201" s="80">
        <v>44347</v>
      </c>
      <c r="AM201" s="29" t="s">
        <v>2999</v>
      </c>
      <c r="AO201" s="34" t="s">
        <v>3000</v>
      </c>
      <c r="AP201" s="34"/>
      <c r="AQ201" s="58"/>
      <c r="AX201" s="95" t="s">
        <v>3409</v>
      </c>
      <c r="AY201" s="82"/>
    </row>
    <row r="202" spans="1:51" s="29" customFormat="1" ht="17" thickBot="1" x14ac:dyDescent="0.25">
      <c r="A202" s="30"/>
      <c r="B202" s="64" t="s">
        <v>3410</v>
      </c>
      <c r="C202" s="32" t="s">
        <v>2831</v>
      </c>
      <c r="D202" s="59" t="s">
        <v>3411</v>
      </c>
      <c r="E202" s="60" t="s">
        <v>3412</v>
      </c>
      <c r="F202" s="76" t="s">
        <v>481</v>
      </c>
      <c r="G202" s="108">
        <v>2</v>
      </c>
      <c r="H202" s="108">
        <v>2</v>
      </c>
      <c r="I202" s="109">
        <v>45884</v>
      </c>
      <c r="J202" s="109">
        <v>46248</v>
      </c>
      <c r="K202" s="78"/>
      <c r="L202" s="114" t="s">
        <v>3413</v>
      </c>
      <c r="M202" s="41">
        <f>_xlfn.XLOOKUP(L202,'relaties_export_2026-01-12_1609'!B:B,'relaties_export_2026-01-12_1609'!A:A,"",3)</f>
        <v>136</v>
      </c>
      <c r="N202" s="41" t="str">
        <f>_xlfn.XLOOKUP(M202,'relaties_export_2026-01-12_1609'!A:A,'relaties_export_2026-01-12_1609'!B:B,"",3)</f>
        <v>H.T.C. Facility Services B.V.</v>
      </c>
      <c r="O202" s="115"/>
      <c r="P202" s="43">
        <f t="shared" si="46"/>
        <v>425</v>
      </c>
      <c r="Q202" s="43">
        <f t="shared" ref="Q202:Q221" si="57">T202*1.09+U202*1.21</f>
        <v>1925.5000000000002</v>
      </c>
      <c r="R202" s="44">
        <f t="shared" ref="R202:R223" si="58">T202+U202</f>
        <v>1750</v>
      </c>
      <c r="S202" s="45">
        <f t="shared" ref="S202:S203" si="59">(R202/G202)/4.33333</f>
        <v>201.92323224864018</v>
      </c>
      <c r="T202" s="45">
        <v>1600</v>
      </c>
      <c r="U202" s="46">
        <v>150</v>
      </c>
      <c r="V202" s="46"/>
      <c r="W202"/>
      <c r="X202" s="23"/>
      <c r="Y202" s="56" t="s">
        <v>2709</v>
      </c>
      <c r="Z202" s="47">
        <f>_xlfn.XLOOKUP(Y202,'relaties_export_2026-01-12_1609'!B:B,'relaties_export_2026-01-12_1609'!A:A,"",3)</f>
        <v>359</v>
      </c>
      <c r="AA202" s="47" t="str">
        <f>_xlfn.XLOOKUP(Z202,'relaties_export_2026-01-12_1609'!A:A,'relaties_export_2026-01-12_1609'!B:B,"",3)</f>
        <v>Kwekerij Stef Kleijweg</v>
      </c>
      <c r="AB202" s="69" t="s">
        <v>3414</v>
      </c>
      <c r="AC202" s="46">
        <v>1175</v>
      </c>
      <c r="AD202" s="46">
        <v>1175</v>
      </c>
      <c r="AE202" s="46">
        <v>1175</v>
      </c>
      <c r="AF202" s="46">
        <f t="shared" si="56"/>
        <v>135.57702736694412</v>
      </c>
      <c r="AG202" s="49">
        <v>45870</v>
      </c>
      <c r="AH202" s="49">
        <v>46599</v>
      </c>
      <c r="AI202"/>
      <c r="AJ202"/>
      <c r="AK202"/>
      <c r="AL202"/>
      <c r="AO202" s="34"/>
      <c r="AP202" s="116"/>
      <c r="AQ202" s="58"/>
      <c r="AT202" s="81"/>
      <c r="AU202" s="81"/>
      <c r="AY202" s="86"/>
    </row>
    <row r="203" spans="1:51" s="29" customFormat="1" ht="17" thickBot="1" x14ac:dyDescent="0.25">
      <c r="A203" s="30">
        <v>182</v>
      </c>
      <c r="B203" s="31" t="str" cm="1">
        <f t="array" ref="B203">_xlfn.XLOOKUP(LEFT(D203,3),LEFT('[1]Sleutelplan nieuw'!B:B,3),'[1]Sleutelplan nieuw'!A:A,"",2)</f>
        <v>0112</v>
      </c>
      <c r="C203" s="32" t="s">
        <v>2831</v>
      </c>
      <c r="D203" s="59" t="s">
        <v>3415</v>
      </c>
      <c r="E203" s="60" t="s">
        <v>3416</v>
      </c>
      <c r="F203" s="76" t="s">
        <v>3417</v>
      </c>
      <c r="G203" s="77">
        <v>4</v>
      </c>
      <c r="H203" s="77">
        <v>4</v>
      </c>
      <c r="I203" s="78">
        <v>45697</v>
      </c>
      <c r="J203" s="78">
        <v>45786</v>
      </c>
      <c r="K203" s="79"/>
      <c r="L203" s="83" t="s">
        <v>2878</v>
      </c>
      <c r="M203" s="41">
        <f>_xlfn.XLOOKUP(L203,'relaties_export_2026-01-12_1609'!B:B,'relaties_export_2026-01-12_1609'!A:A,"",3)</f>
        <v>218</v>
      </c>
      <c r="N203" s="41" t="str">
        <f>_xlfn.XLOOKUP(M203,'relaties_export_2026-01-12_1609'!A:A,'relaties_export_2026-01-12_1609'!B:B,"",3)</f>
        <v>Eemsdelta Housing B.V.</v>
      </c>
      <c r="O203" s="115"/>
      <c r="P203" s="43">
        <f t="shared" si="46"/>
        <v>336.09999999999991</v>
      </c>
      <c r="Q203" s="43">
        <f t="shared" si="57"/>
        <v>2571.88</v>
      </c>
      <c r="R203" s="44">
        <f t="shared" si="58"/>
        <v>2332</v>
      </c>
      <c r="S203" s="45">
        <f t="shared" si="59"/>
        <v>134.53856502966539</v>
      </c>
      <c r="T203" s="45">
        <v>2082</v>
      </c>
      <c r="U203" s="46">
        <v>250</v>
      </c>
      <c r="V203" s="46">
        <v>0</v>
      </c>
      <c r="W203"/>
      <c r="X203" s="23"/>
      <c r="Y203" s="56" t="s">
        <v>2710</v>
      </c>
      <c r="Z203" s="47">
        <f>_xlfn.XLOOKUP(Y203,'relaties_export_2026-01-12_1609'!B:B,'relaties_export_2026-01-12_1609'!A:A,"",3)</f>
        <v>829</v>
      </c>
      <c r="AA203" s="47" t="str">
        <f>_xlfn.XLOOKUP(Z203,'relaties_export_2026-01-12_1609'!A:A,'relaties_export_2026-01-12_1609'!B:B,"",3)</f>
        <v xml:space="preserve">R. Boringa </v>
      </c>
      <c r="AB203" s="46" t="s">
        <v>3418</v>
      </c>
      <c r="AC203" s="46">
        <v>1745.9</v>
      </c>
      <c r="AD203" s="46">
        <v>1745.9</v>
      </c>
      <c r="AE203" s="46">
        <v>1745.9</v>
      </c>
      <c r="AF203" s="46">
        <f t="shared" si="56"/>
        <v>100.72507748082883</v>
      </c>
      <c r="AG203" s="49">
        <v>44832</v>
      </c>
      <c r="AH203" s="49">
        <v>45196</v>
      </c>
      <c r="AI203"/>
      <c r="AJ203"/>
      <c r="AK203" s="80"/>
      <c r="AL203" s="80"/>
      <c r="AO203" s="34"/>
      <c r="AP203" s="116"/>
      <c r="AQ203" s="58"/>
      <c r="AT203" s="81"/>
      <c r="AU203" s="81"/>
      <c r="AY203" s="82"/>
    </row>
    <row r="204" spans="1:51" s="29" customFormat="1" ht="17" thickBot="1" x14ac:dyDescent="0.25">
      <c r="A204" s="30"/>
      <c r="B204" s="31" t="str" cm="1">
        <f t="array" ref="B204">_xlfn.XLOOKUP(LEFT(D204,3),LEFT('[1]Sleutelplan nieuw'!B:B,3),'[1]Sleutelplan nieuw'!A:A,"",2)</f>
        <v>0042</v>
      </c>
      <c r="C204" s="32" t="s">
        <v>2831</v>
      </c>
      <c r="D204" s="59" t="s">
        <v>3419</v>
      </c>
      <c r="E204" s="60"/>
      <c r="F204" s="76" t="s">
        <v>1303</v>
      </c>
      <c r="G204" s="77"/>
      <c r="H204" s="77"/>
      <c r="I204" s="78"/>
      <c r="J204" s="78"/>
      <c r="K204" s="79"/>
      <c r="L204" s="114" t="s">
        <v>2672</v>
      </c>
      <c r="M204" s="41">
        <f>_xlfn.XLOOKUP(L204,'relaties_export_2026-01-12_1609'!B:B,'relaties_export_2026-01-12_1609'!A:A,"",3)</f>
        <v>17</v>
      </c>
      <c r="N204" s="41" t="str">
        <f>_xlfn.XLOOKUP(M204,'relaties_export_2026-01-12_1609'!A:A,'relaties_export_2026-01-12_1609'!B:B,"",3)</f>
        <v>Tradiro Services B.V.</v>
      </c>
      <c r="O204" s="115"/>
      <c r="P204" s="43"/>
      <c r="Q204" s="43"/>
      <c r="R204" s="44"/>
      <c r="S204" s="45"/>
      <c r="T204" s="45"/>
      <c r="U204" s="46"/>
      <c r="V204" s="46"/>
      <c r="W204"/>
      <c r="X204" s="23"/>
      <c r="Y204" s="56" t="s">
        <v>3420</v>
      </c>
      <c r="Z204" s="47" t="str">
        <f>_xlfn.XLOOKUP(Y204,'relaties_export_2026-01-12_1609'!B:B,'relaties_export_2026-01-12_1609'!A:A,"",3)</f>
        <v/>
      </c>
      <c r="AA204" s="47" t="str">
        <f>_xlfn.XLOOKUP(Z204,'relaties_export_2026-01-12_1609'!A:A,'relaties_export_2026-01-12_1609'!B:B,"",3)</f>
        <v>naam</v>
      </c>
      <c r="AB204" s="46"/>
      <c r="AC204" s="46">
        <v>1350</v>
      </c>
      <c r="AD204" s="46">
        <v>1350</v>
      </c>
      <c r="AE204" s="46">
        <v>1350</v>
      </c>
      <c r="AF204" s="46"/>
      <c r="AG204" s="49"/>
      <c r="AH204" s="49"/>
      <c r="AI204"/>
      <c r="AJ204"/>
      <c r="AK204" s="80"/>
      <c r="AL204" s="80"/>
      <c r="AO204" s="34"/>
      <c r="AP204" s="116"/>
      <c r="AQ204" s="58"/>
      <c r="AT204" s="81"/>
      <c r="AU204" s="81"/>
      <c r="AY204" s="82"/>
    </row>
    <row r="205" spans="1:51" s="29" customFormat="1" ht="17" thickBot="1" x14ac:dyDescent="0.25">
      <c r="A205" s="30">
        <v>183</v>
      </c>
      <c r="B205" s="31" t="str">
        <f>_xlfn.XLOOKUP(D205,'[1]Sleutelplan nieuw'!B:B,'[1]Sleutelplan nieuw'!A:A,"",2)</f>
        <v>0042</v>
      </c>
      <c r="C205" s="32" t="s">
        <v>2824</v>
      </c>
      <c r="D205" s="59" t="s">
        <v>3421</v>
      </c>
      <c r="E205" s="60" t="s">
        <v>3422</v>
      </c>
      <c r="F205" s="76" t="s">
        <v>1303</v>
      </c>
      <c r="G205" s="108">
        <v>5</v>
      </c>
      <c r="H205" s="108">
        <v>3</v>
      </c>
      <c r="I205" s="109">
        <v>45008</v>
      </c>
      <c r="J205" s="109">
        <v>45374</v>
      </c>
      <c r="K205" s="78"/>
      <c r="L205" s="114" t="s">
        <v>2672</v>
      </c>
      <c r="M205" s="41">
        <f>_xlfn.XLOOKUP(L205,'relaties_export_2026-01-12_1609'!B:B,'relaties_export_2026-01-12_1609'!A:A,"",3)</f>
        <v>17</v>
      </c>
      <c r="N205" s="41" t="str">
        <f>_xlfn.XLOOKUP(M205,'relaties_export_2026-01-12_1609'!A:A,'relaties_export_2026-01-12_1609'!B:B,"",3)</f>
        <v>Tradiro Services B.V.</v>
      </c>
      <c r="O205" s="115"/>
      <c r="P205" s="43">
        <f t="shared" ref="P205:P253" si="60">R205-U205-V205-AD205</f>
        <v>394</v>
      </c>
      <c r="Q205" s="43">
        <f t="shared" ref="Q205:Q224" si="61">T205*1.09+U205*1.21</f>
        <v>2269.38</v>
      </c>
      <c r="R205" s="44">
        <f t="shared" ref="R205:R226" si="62">T205+U205</f>
        <v>2082</v>
      </c>
      <c r="S205" s="45">
        <f t="shared" ref="S205:S223" si="63">(R205/G205)/4.33333</f>
        <v>96.09238160952431</v>
      </c>
      <c r="T205" s="45">
        <v>2082</v>
      </c>
      <c r="U205" s="46">
        <v>0</v>
      </c>
      <c r="V205" s="46">
        <v>0</v>
      </c>
      <c r="W205"/>
      <c r="X205" s="23"/>
      <c r="Y205" s="73" t="s">
        <v>1162</v>
      </c>
      <c r="Z205" s="47">
        <f>_xlfn.XLOOKUP(Y205,'relaties_export_2026-01-12_1609'!B:B,'relaties_export_2026-01-12_1609'!A:A,"",3)</f>
        <v>258</v>
      </c>
      <c r="AA205" s="47" t="str">
        <f>_xlfn.XLOOKUP(Z205,'relaties_export_2026-01-12_1609'!A:A,'relaties_export_2026-01-12_1609'!B:B,"",3)</f>
        <v>Parkwonen</v>
      </c>
      <c r="AB205" s="106"/>
      <c r="AC205" s="43">
        <v>1688</v>
      </c>
      <c r="AD205" s="43">
        <v>1688</v>
      </c>
      <c r="AE205" s="127">
        <v>1688</v>
      </c>
      <c r="AF205" s="46">
        <f t="shared" ref="AF205:AF223" si="64">(AD205/G205)/4.33333</f>
        <v>77.907752236732492</v>
      </c>
      <c r="AG205" s="49">
        <v>44927</v>
      </c>
      <c r="AH205" s="49">
        <v>45292</v>
      </c>
    </row>
    <row r="206" spans="1:51" s="29" customFormat="1" ht="17" thickBot="1" x14ac:dyDescent="0.25">
      <c r="A206" s="30"/>
      <c r="B206" s="31" t="str">
        <f>_xlfn.XLOOKUP(D206,'[1]Sleutelplan nieuw'!B:B,'[1]Sleutelplan nieuw'!A:A,"",2)</f>
        <v>0380</v>
      </c>
      <c r="C206" s="32" t="s">
        <v>2824</v>
      </c>
      <c r="D206" s="59" t="s">
        <v>3423</v>
      </c>
      <c r="E206" s="60" t="s">
        <v>3424</v>
      </c>
      <c r="F206" s="76" t="s">
        <v>1303</v>
      </c>
      <c r="G206" s="108">
        <v>4</v>
      </c>
      <c r="H206" s="108">
        <v>3</v>
      </c>
      <c r="I206" s="109">
        <v>45920</v>
      </c>
      <c r="J206" s="109"/>
      <c r="K206" s="78"/>
      <c r="L206" s="114" t="s">
        <v>2672</v>
      </c>
      <c r="M206" s="41">
        <f>_xlfn.XLOOKUP(L206,'relaties_export_2026-01-12_1609'!B:B,'relaties_export_2026-01-12_1609'!A:A,"",3)</f>
        <v>17</v>
      </c>
      <c r="N206" s="41" t="str">
        <f>_xlfn.XLOOKUP(M206,'relaties_export_2026-01-12_1609'!A:A,'relaties_export_2026-01-12_1609'!B:B,"",3)</f>
        <v>Tradiro Services B.V.</v>
      </c>
      <c r="O206" s="115"/>
      <c r="P206" s="43">
        <f>R206-U206-V206-AD206</f>
        <v>450</v>
      </c>
      <c r="Q206" s="43">
        <f>T206*1.09+U206*1.21</f>
        <v>2591.5</v>
      </c>
      <c r="R206" s="44">
        <f>T206+U206</f>
        <v>2350</v>
      </c>
      <c r="S206" s="45">
        <f>(R206/G206)/4.33333</f>
        <v>135.57702736694412</v>
      </c>
      <c r="T206" s="45">
        <v>2100</v>
      </c>
      <c r="U206" s="46">
        <v>250</v>
      </c>
      <c r="V206" s="46"/>
      <c r="W206"/>
      <c r="X206" s="23"/>
      <c r="Y206" s="73" t="s">
        <v>2676</v>
      </c>
      <c r="Z206" s="47">
        <f>_xlfn.XLOOKUP(Y206,'relaties_export_2026-01-12_1609'!B:B,'relaties_export_2026-01-12_1609'!A:A,"",3)</f>
        <v>795</v>
      </c>
      <c r="AA206" s="47" t="str">
        <f>_xlfn.XLOOKUP(Z206,'relaties_export_2026-01-12_1609'!A:A,'relaties_export_2026-01-12_1609'!B:B,"",3)</f>
        <v>J.P. Stoel</v>
      </c>
      <c r="AB206" s="168" t="s">
        <v>2938</v>
      </c>
      <c r="AC206" s="43">
        <v>1650</v>
      </c>
      <c r="AD206" s="48">
        <v>1650</v>
      </c>
      <c r="AE206" s="110">
        <v>1650</v>
      </c>
      <c r="AF206" s="46">
        <f>(AD206/G206)/4.33333</f>
        <v>95.192380917216084</v>
      </c>
      <c r="AG206" s="49">
        <v>45915</v>
      </c>
      <c r="AH206" s="49">
        <v>46660</v>
      </c>
    </row>
    <row r="207" spans="1:51" s="29" customFormat="1" ht="17" thickBot="1" x14ac:dyDescent="0.25">
      <c r="A207" s="30"/>
      <c r="B207" s="31" t="str">
        <f>_xlfn.XLOOKUP(D207,'[1]Sleutelplan nieuw'!B:B,'[1]Sleutelplan nieuw'!A:A,"",2)</f>
        <v>0381</v>
      </c>
      <c r="C207" s="32" t="s">
        <v>2824</v>
      </c>
      <c r="D207" s="59" t="s">
        <v>3425</v>
      </c>
      <c r="E207" s="60" t="s">
        <v>3424</v>
      </c>
      <c r="F207" s="76" t="s">
        <v>1303</v>
      </c>
      <c r="G207" s="108">
        <v>4</v>
      </c>
      <c r="H207" s="108">
        <v>3</v>
      </c>
      <c r="I207" s="109">
        <v>45920</v>
      </c>
      <c r="J207" s="109"/>
      <c r="K207" s="78"/>
      <c r="L207" s="114" t="s">
        <v>2672</v>
      </c>
      <c r="M207" s="41">
        <f>_xlfn.XLOOKUP(L207,'relaties_export_2026-01-12_1609'!B:B,'relaties_export_2026-01-12_1609'!A:A,"",3)</f>
        <v>17</v>
      </c>
      <c r="N207" s="41" t="str">
        <f>_xlfn.XLOOKUP(M207,'relaties_export_2026-01-12_1609'!A:A,'relaties_export_2026-01-12_1609'!B:B,"",3)</f>
        <v>Tradiro Services B.V.</v>
      </c>
      <c r="O207" s="115"/>
      <c r="P207" s="43">
        <f>R207-U207-V207-AD207</f>
        <v>450</v>
      </c>
      <c r="Q207" s="43">
        <f>T207*1.09+U207*1.21</f>
        <v>2591.5</v>
      </c>
      <c r="R207" s="44">
        <f>T207+U207</f>
        <v>2350</v>
      </c>
      <c r="S207" s="45">
        <f>(R207/G207)/4.33333</f>
        <v>135.57702736694412</v>
      </c>
      <c r="T207" s="45">
        <v>2100</v>
      </c>
      <c r="U207" s="46">
        <v>250</v>
      </c>
      <c r="V207" s="46"/>
      <c r="W207"/>
      <c r="X207" s="23"/>
      <c r="Y207" s="73" t="s">
        <v>2676</v>
      </c>
      <c r="Z207" s="47">
        <f>_xlfn.XLOOKUP(Y207,'relaties_export_2026-01-12_1609'!B:B,'relaties_export_2026-01-12_1609'!A:A,"",3)</f>
        <v>795</v>
      </c>
      <c r="AA207" s="47" t="str">
        <f>_xlfn.XLOOKUP(Z207,'relaties_export_2026-01-12_1609'!A:A,'relaties_export_2026-01-12_1609'!B:B,"",3)</f>
        <v>J.P. Stoel</v>
      </c>
      <c r="AB207" s="168" t="s">
        <v>2938</v>
      </c>
      <c r="AC207" s="43">
        <v>1650</v>
      </c>
      <c r="AD207" s="48">
        <v>1650</v>
      </c>
      <c r="AE207" s="110">
        <v>1650</v>
      </c>
      <c r="AF207" s="46">
        <f>(AD207/G207)/4.33333</f>
        <v>95.192380917216084</v>
      </c>
      <c r="AG207" s="49">
        <v>45915</v>
      </c>
      <c r="AH207" s="49">
        <v>46660</v>
      </c>
    </row>
    <row r="208" spans="1:51" s="29" customFormat="1" ht="17" thickBot="1" x14ac:dyDescent="0.25">
      <c r="A208" s="30"/>
      <c r="B208" s="31" t="str">
        <f>_xlfn.XLOOKUP(D208,'[1]Sleutelplan nieuw'!B:B,'[1]Sleutelplan nieuw'!A:A,"",3)</f>
        <v>0230</v>
      </c>
      <c r="C208" s="32" t="s">
        <v>2824</v>
      </c>
      <c r="D208" s="59" t="s">
        <v>3426</v>
      </c>
      <c r="E208" s="60"/>
      <c r="F208" s="76" t="s">
        <v>84</v>
      </c>
      <c r="G208" s="108"/>
      <c r="H208" s="108"/>
      <c r="I208" s="109"/>
      <c r="J208" s="109"/>
      <c r="K208" s="78"/>
      <c r="L208" s="114" t="s">
        <v>2672</v>
      </c>
      <c r="M208" s="41">
        <f>_xlfn.XLOOKUP(L208,'relaties_export_2026-01-12_1609'!B:B,'relaties_export_2026-01-12_1609'!A:A,"",3)</f>
        <v>17</v>
      </c>
      <c r="N208" s="41" t="str">
        <f>_xlfn.XLOOKUP(M208,'relaties_export_2026-01-12_1609'!A:A,'relaties_export_2026-01-12_1609'!B:B,"",3)</f>
        <v>Tradiro Services B.V.</v>
      </c>
      <c r="O208" s="115"/>
      <c r="P208" s="43"/>
      <c r="Q208" s="43"/>
      <c r="R208" s="44"/>
      <c r="S208" s="45"/>
      <c r="T208" s="45"/>
      <c r="U208" s="46"/>
      <c r="V208" s="46"/>
      <c r="W208"/>
      <c r="X208" s="23"/>
      <c r="Y208" s="73" t="s">
        <v>3427</v>
      </c>
      <c r="Z208" s="47" t="str">
        <f>_xlfn.XLOOKUP(Y208,'relaties_export_2026-01-12_1609'!B:B,'relaties_export_2026-01-12_1609'!A:A,"",3)</f>
        <v/>
      </c>
      <c r="AA208" s="47" t="str">
        <f>_xlfn.XLOOKUP(Z208,'relaties_export_2026-01-12_1609'!A:A,'relaties_export_2026-01-12_1609'!B:B,"",3)</f>
        <v>naam</v>
      </c>
      <c r="AB208" s="168"/>
      <c r="AC208" s="48">
        <v>2226</v>
      </c>
      <c r="AD208" s="48">
        <v>2226</v>
      </c>
      <c r="AE208" s="110">
        <v>1776</v>
      </c>
      <c r="AF208" s="70"/>
      <c r="AG208" s="49"/>
      <c r="AH208" s="49"/>
    </row>
    <row r="209" spans="1:52" s="29" customFormat="1" ht="17" thickBot="1" x14ac:dyDescent="0.25">
      <c r="A209" s="30">
        <v>184</v>
      </c>
      <c r="B209" s="64" t="s">
        <v>3428</v>
      </c>
      <c r="C209" s="51" t="s">
        <v>2831</v>
      </c>
      <c r="D209" s="59" t="s">
        <v>3429</v>
      </c>
      <c r="E209" s="60" t="s">
        <v>3430</v>
      </c>
      <c r="F209" s="76" t="s">
        <v>3431</v>
      </c>
      <c r="G209" s="108">
        <v>6</v>
      </c>
      <c r="H209" s="108">
        <v>6</v>
      </c>
      <c r="I209" s="109">
        <v>45884</v>
      </c>
      <c r="J209" s="109">
        <v>46248</v>
      </c>
      <c r="K209" s="78"/>
      <c r="L209" s="114" t="s">
        <v>411</v>
      </c>
      <c r="M209" s="41">
        <f>_xlfn.XLOOKUP(L209,'relaties_export_2026-01-12_1609'!B:B,'relaties_export_2026-01-12_1609'!A:A,"",3)</f>
        <v>88</v>
      </c>
      <c r="N209" s="41" t="str">
        <f>_xlfn.XLOOKUP(M209,'relaties_export_2026-01-12_1609'!A:A,'relaties_export_2026-01-12_1609'!B:B,"",3)</f>
        <v>Housing en Transport Facilities BV</v>
      </c>
      <c r="O209" s="115"/>
      <c r="P209" s="43">
        <f t="shared" si="60"/>
        <v>600</v>
      </c>
      <c r="Q209" s="43">
        <f>T209*1.09+U209*1.21</f>
        <v>4408</v>
      </c>
      <c r="R209" s="44">
        <f>T209+U209</f>
        <v>4000</v>
      </c>
      <c r="S209" s="45">
        <f>(R209/G209)/4.33333</f>
        <v>153.84627218944013</v>
      </c>
      <c r="T209" s="45">
        <v>3600</v>
      </c>
      <c r="U209" s="46">
        <v>400</v>
      </c>
      <c r="V209" s="46"/>
      <c r="W209"/>
      <c r="X209" s="23"/>
      <c r="Y209" s="73" t="s">
        <v>2479</v>
      </c>
      <c r="Z209" s="47">
        <f>_xlfn.XLOOKUP(Y209,'relaties_export_2026-01-12_1609'!B:B,'relaties_export_2026-01-12_1609'!A:A,"",3)</f>
        <v>681</v>
      </c>
      <c r="AA209" s="47" t="str">
        <f>_xlfn.XLOOKUP(Z209,'relaties_export_2026-01-12_1609'!A:A,'relaties_export_2026-01-12_1609'!B:B,"",3)</f>
        <v>Edward Bosch</v>
      </c>
      <c r="AC209" s="43">
        <v>3000</v>
      </c>
      <c r="AD209" s="48">
        <v>3000</v>
      </c>
      <c r="AE209" s="110">
        <v>3000</v>
      </c>
      <c r="AF209" s="70">
        <f>(AD209/G209)/4.33333</f>
        <v>115.38470414208011</v>
      </c>
      <c r="AG209" s="169">
        <v>45717</v>
      </c>
      <c r="AH209" s="169">
        <v>46082</v>
      </c>
    </row>
    <row r="210" spans="1:52" s="29" customFormat="1" ht="17" thickBot="1" x14ac:dyDescent="0.25">
      <c r="A210" s="30">
        <v>186</v>
      </c>
      <c r="B210" s="31" t="str">
        <f>_xlfn.XLOOKUP(D210,'[1]Sleutelplan nieuw'!B:B,'[1]Sleutelplan nieuw'!A:A,"",2)</f>
        <v>0081</v>
      </c>
      <c r="C210" s="32" t="s">
        <v>2824</v>
      </c>
      <c r="D210" s="59" t="s">
        <v>1374</v>
      </c>
      <c r="E210" s="60" t="s">
        <v>3432</v>
      </c>
      <c r="F210" s="83" t="s">
        <v>1375</v>
      </c>
      <c r="G210" s="112">
        <v>4</v>
      </c>
      <c r="H210" s="108">
        <v>3</v>
      </c>
      <c r="I210" s="109">
        <v>45461</v>
      </c>
      <c r="J210" s="109">
        <v>45643</v>
      </c>
      <c r="K210" s="78"/>
      <c r="L210" t="s">
        <v>191</v>
      </c>
      <c r="M210" s="41">
        <f>_xlfn.XLOOKUP(L210,'relaties_export_2026-01-12_1609'!B:B,'relaties_export_2026-01-12_1609'!A:A,"",3)</f>
        <v>36</v>
      </c>
      <c r="N210" s="41" t="str">
        <f>_xlfn.XLOOKUP(M210,'relaties_export_2026-01-12_1609'!A:A,'relaties_export_2026-01-12_1609'!B:B,"",3)</f>
        <v>WS Detachering BV</v>
      </c>
      <c r="O210" s="115"/>
      <c r="P210" s="43">
        <f t="shared" si="60"/>
        <v>522.30000000000018</v>
      </c>
      <c r="Q210" s="43">
        <f t="shared" si="61"/>
        <v>2912.2870000000003</v>
      </c>
      <c r="R210" s="44">
        <f t="shared" si="62"/>
        <v>2644.3</v>
      </c>
      <c r="S210" s="45">
        <f t="shared" si="63"/>
        <v>152.55588658145123</v>
      </c>
      <c r="T210" s="45">
        <v>2394.3000000000002</v>
      </c>
      <c r="U210" s="46">
        <v>250</v>
      </c>
      <c r="V210" s="46">
        <v>0</v>
      </c>
      <c r="W210"/>
      <c r="X210" s="23"/>
      <c r="Y210" s="73" t="s">
        <v>1372</v>
      </c>
      <c r="Z210" s="47">
        <f>_xlfn.XLOOKUP(Y210,'relaties_export_2026-01-12_1609'!B:B,'relaties_export_2026-01-12_1609'!A:A,"",3)</f>
        <v>314</v>
      </c>
      <c r="AA210" s="47" t="str">
        <f>_xlfn.XLOOKUP(Z210,'relaties_export_2026-01-12_1609'!A:A,'relaties_export_2026-01-12_1609'!B:B,"",3)</f>
        <v>G.K. Stoel</v>
      </c>
      <c r="AB210" s="34" t="s">
        <v>3433</v>
      </c>
      <c r="AC210" s="110">
        <v>1872</v>
      </c>
      <c r="AD210" s="110">
        <v>1872</v>
      </c>
      <c r="AE210" s="110">
        <v>1872</v>
      </c>
      <c r="AF210" s="70">
        <f t="shared" si="64"/>
        <v>108.00008307698698</v>
      </c>
      <c r="AG210" s="49"/>
      <c r="AH210" s="49"/>
    </row>
    <row r="211" spans="1:52" s="29" customFormat="1" ht="17" thickBot="1" x14ac:dyDescent="0.25">
      <c r="A211" s="30">
        <v>187</v>
      </c>
      <c r="B211" s="31" t="str">
        <f>_xlfn.XLOOKUP(D211,'[1]Sleutelplan nieuw'!B:B,'[1]Sleutelplan nieuw'!A:A,"",2)</f>
        <v>0260</v>
      </c>
      <c r="C211" s="32" t="s">
        <v>2824</v>
      </c>
      <c r="D211" s="59" t="s">
        <v>3434</v>
      </c>
      <c r="E211" s="60" t="s">
        <v>3435</v>
      </c>
      <c r="F211" s="76" t="s">
        <v>84</v>
      </c>
      <c r="G211" s="77">
        <v>2</v>
      </c>
      <c r="H211" s="77">
        <v>2</v>
      </c>
      <c r="I211" s="78">
        <v>45748</v>
      </c>
      <c r="J211" s="78">
        <v>46113</v>
      </c>
      <c r="K211" s="79"/>
      <c r="L211" s="83" t="s">
        <v>3324</v>
      </c>
      <c r="M211" s="41">
        <f>_xlfn.XLOOKUP(L211,'relaties_export_2026-01-12_1609'!B:B,'relaties_export_2026-01-12_1609'!A:A,"",3)</f>
        <v>172</v>
      </c>
      <c r="N211" s="41" t="str">
        <f>_xlfn.XLOOKUP(M211,'relaties_export_2026-01-12_1609'!A:A,'relaties_export_2026-01-12_1609'!B:B,"",3)</f>
        <v>Flexvesting B.V.</v>
      </c>
      <c r="O211" s="115"/>
      <c r="P211" s="43">
        <f t="shared" ref="P211:P220" si="65">R211-U211-V211-AD211+U211</f>
        <v>76.889999999999873</v>
      </c>
      <c r="Q211" s="43">
        <f t="shared" si="61"/>
        <v>1759.6188</v>
      </c>
      <c r="R211" s="44">
        <f t="shared" si="62"/>
        <v>1603.32</v>
      </c>
      <c r="S211" s="45">
        <f t="shared" si="63"/>
        <v>184.99860384507986</v>
      </c>
      <c r="T211" s="45">
        <v>1503.32</v>
      </c>
      <c r="U211" s="46">
        <v>100</v>
      </c>
      <c r="V211" s="46">
        <v>0</v>
      </c>
      <c r="W211" s="85"/>
      <c r="X211" s="23"/>
      <c r="Y211" s="56" t="s">
        <v>2711</v>
      </c>
      <c r="Z211" s="47">
        <f>_xlfn.XLOOKUP(Y211,'relaties_export_2026-01-12_1609'!B:B,'relaties_export_2026-01-12_1609'!A:A,"",3)</f>
        <v>830</v>
      </c>
      <c r="AA211" s="47" t="str">
        <f>_xlfn.XLOOKUP(Z211,'relaties_export_2026-01-12_1609'!A:A,'relaties_export_2026-01-12_1609'!B:B,"",3)</f>
        <v>Transformatiehaven BV</v>
      </c>
      <c r="AB211" s="46" t="s">
        <v>3436</v>
      </c>
      <c r="AC211" s="46">
        <v>1675.81</v>
      </c>
      <c r="AD211" s="46">
        <v>1526.43</v>
      </c>
      <c r="AE211" s="46">
        <v>1426.43</v>
      </c>
      <c r="AF211" s="46">
        <f t="shared" si="64"/>
        <v>176.12667394359534</v>
      </c>
      <c r="AG211" s="49"/>
      <c r="AH211" s="34"/>
      <c r="AI211"/>
      <c r="AJ211"/>
      <c r="AK211" s="80"/>
      <c r="AL211" s="80"/>
      <c r="AO211" s="34"/>
      <c r="AP211" s="116"/>
      <c r="AQ211" s="58"/>
      <c r="AT211" s="81"/>
      <c r="AU211" s="81"/>
      <c r="AY211" s="82"/>
    </row>
    <row r="212" spans="1:52" s="29" customFormat="1" ht="17" thickBot="1" x14ac:dyDescent="0.25">
      <c r="A212" s="30">
        <v>188</v>
      </c>
      <c r="B212" s="31" t="str">
        <f>_xlfn.XLOOKUP(D212,'[1]Sleutelplan nieuw'!B:B,'[1]Sleutelplan nieuw'!A:A,"",2)</f>
        <v>0261</v>
      </c>
      <c r="C212" s="32" t="s">
        <v>2824</v>
      </c>
      <c r="D212" s="59" t="s">
        <v>3437</v>
      </c>
      <c r="E212" s="60" t="s">
        <v>3435</v>
      </c>
      <c r="F212" s="76" t="s">
        <v>84</v>
      </c>
      <c r="G212" s="77">
        <v>2</v>
      </c>
      <c r="H212" s="77">
        <v>2</v>
      </c>
      <c r="I212" s="78">
        <v>45748</v>
      </c>
      <c r="J212" s="78">
        <v>46113</v>
      </c>
      <c r="K212" s="79"/>
      <c r="L212" s="83" t="s">
        <v>3324</v>
      </c>
      <c r="M212" s="41">
        <f>_xlfn.XLOOKUP(L212,'relaties_export_2026-01-12_1609'!B:B,'relaties_export_2026-01-12_1609'!A:A,"",3)</f>
        <v>172</v>
      </c>
      <c r="N212" s="41" t="str">
        <f>_xlfn.XLOOKUP(M212,'relaties_export_2026-01-12_1609'!A:A,'relaties_export_2026-01-12_1609'!B:B,"",3)</f>
        <v>Flexvesting B.V.</v>
      </c>
      <c r="O212" s="115"/>
      <c r="P212" s="43">
        <f t="shared" si="65"/>
        <v>76.889999999999873</v>
      </c>
      <c r="Q212" s="43">
        <f t="shared" si="61"/>
        <v>1759.6188</v>
      </c>
      <c r="R212" s="44">
        <f t="shared" si="62"/>
        <v>1603.32</v>
      </c>
      <c r="S212" s="45">
        <f t="shared" si="63"/>
        <v>184.99860384507986</v>
      </c>
      <c r="T212" s="45">
        <v>1503.32</v>
      </c>
      <c r="U212" s="46">
        <v>100</v>
      </c>
      <c r="V212" s="46">
        <v>0</v>
      </c>
      <c r="W212" s="85"/>
      <c r="X212" s="23"/>
      <c r="Y212" s="56" t="s">
        <v>2711</v>
      </c>
      <c r="Z212" s="47">
        <f>_xlfn.XLOOKUP(Y212,'relaties_export_2026-01-12_1609'!B:B,'relaties_export_2026-01-12_1609'!A:A,"",3)</f>
        <v>830</v>
      </c>
      <c r="AA212" s="47" t="str">
        <f>_xlfn.XLOOKUP(Z212,'relaties_export_2026-01-12_1609'!A:A,'relaties_export_2026-01-12_1609'!B:B,"",3)</f>
        <v>Transformatiehaven BV</v>
      </c>
      <c r="AB212" s="46" t="s">
        <v>3436</v>
      </c>
      <c r="AC212" s="46">
        <v>1675.81</v>
      </c>
      <c r="AD212" s="46">
        <v>1526.43</v>
      </c>
      <c r="AE212" s="46">
        <v>1426.43</v>
      </c>
      <c r="AF212" s="46">
        <f t="shared" si="64"/>
        <v>176.12667394359534</v>
      </c>
      <c r="AG212" s="49"/>
      <c r="AH212" s="34"/>
      <c r="AI212"/>
      <c r="AJ212"/>
      <c r="AK212" s="80"/>
      <c r="AL212" s="80"/>
      <c r="AO212" s="34"/>
      <c r="AP212" s="116"/>
      <c r="AQ212" s="58"/>
      <c r="AT212" s="81"/>
      <c r="AU212" s="81"/>
      <c r="AY212" s="82"/>
    </row>
    <row r="213" spans="1:52" s="29" customFormat="1" ht="17" thickBot="1" x14ac:dyDescent="0.25">
      <c r="A213" s="30">
        <v>189</v>
      </c>
      <c r="B213" s="31" t="str">
        <f>_xlfn.XLOOKUP(D213,'[1]Sleutelplan nieuw'!B:B,'[1]Sleutelplan nieuw'!A:A,"",2)</f>
        <v>0262</v>
      </c>
      <c r="C213" s="32" t="s">
        <v>2824</v>
      </c>
      <c r="D213" s="59" t="s">
        <v>3438</v>
      </c>
      <c r="E213" s="60" t="s">
        <v>3435</v>
      </c>
      <c r="F213" s="76" t="s">
        <v>84</v>
      </c>
      <c r="G213" s="77">
        <v>2</v>
      </c>
      <c r="H213" s="77">
        <v>2</v>
      </c>
      <c r="I213" s="78">
        <v>45748</v>
      </c>
      <c r="J213" s="78">
        <v>46113</v>
      </c>
      <c r="K213" s="79"/>
      <c r="L213" s="83" t="s">
        <v>3324</v>
      </c>
      <c r="M213" s="41">
        <f>_xlfn.XLOOKUP(L213,'relaties_export_2026-01-12_1609'!B:B,'relaties_export_2026-01-12_1609'!A:A,"",3)</f>
        <v>172</v>
      </c>
      <c r="N213" s="41" t="str">
        <f>_xlfn.XLOOKUP(M213,'relaties_export_2026-01-12_1609'!A:A,'relaties_export_2026-01-12_1609'!B:B,"",3)</f>
        <v>Flexvesting B.V.</v>
      </c>
      <c r="O213" s="115"/>
      <c r="P213" s="43">
        <f t="shared" si="65"/>
        <v>76.889999999999873</v>
      </c>
      <c r="Q213" s="43">
        <f t="shared" si="61"/>
        <v>1759.6188</v>
      </c>
      <c r="R213" s="44">
        <f t="shared" si="62"/>
        <v>1603.32</v>
      </c>
      <c r="S213" s="45">
        <f t="shared" si="63"/>
        <v>184.99860384507986</v>
      </c>
      <c r="T213" s="45">
        <v>1503.32</v>
      </c>
      <c r="U213" s="46">
        <v>100</v>
      </c>
      <c r="V213" s="46">
        <v>0</v>
      </c>
      <c r="W213" s="85"/>
      <c r="X213" s="23"/>
      <c r="Y213" s="56" t="s">
        <v>2711</v>
      </c>
      <c r="Z213" s="47">
        <f>_xlfn.XLOOKUP(Y213,'relaties_export_2026-01-12_1609'!B:B,'relaties_export_2026-01-12_1609'!A:A,"",3)</f>
        <v>830</v>
      </c>
      <c r="AA213" s="47" t="str">
        <f>_xlfn.XLOOKUP(Z213,'relaties_export_2026-01-12_1609'!A:A,'relaties_export_2026-01-12_1609'!B:B,"",3)</f>
        <v>Transformatiehaven BV</v>
      </c>
      <c r="AB213" s="46" t="s">
        <v>3436</v>
      </c>
      <c r="AC213" s="46">
        <v>1675.81</v>
      </c>
      <c r="AD213" s="46">
        <v>1526.43</v>
      </c>
      <c r="AE213" s="46">
        <v>1426.43</v>
      </c>
      <c r="AF213" s="46">
        <f t="shared" si="64"/>
        <v>176.12667394359534</v>
      </c>
      <c r="AG213" s="49"/>
      <c r="AH213" s="34"/>
      <c r="AI213"/>
      <c r="AJ213"/>
      <c r="AK213" s="80"/>
      <c r="AL213" s="80"/>
      <c r="AO213" s="34"/>
      <c r="AP213" s="116"/>
      <c r="AQ213" s="58"/>
      <c r="AT213" s="81"/>
      <c r="AU213" s="81"/>
      <c r="AY213" s="82"/>
    </row>
    <row r="214" spans="1:52" s="29" customFormat="1" ht="17" thickBot="1" x14ac:dyDescent="0.25">
      <c r="A214" s="30">
        <v>190</v>
      </c>
      <c r="B214" s="31" t="str">
        <f>_xlfn.XLOOKUP(D214,'[1]Sleutelplan nieuw'!B:B,'[1]Sleutelplan nieuw'!A:A,"",2)</f>
        <v>0263</v>
      </c>
      <c r="C214" s="32" t="s">
        <v>2824</v>
      </c>
      <c r="D214" s="59" t="s">
        <v>3439</v>
      </c>
      <c r="E214" s="60" t="s">
        <v>3435</v>
      </c>
      <c r="F214" s="76" t="s">
        <v>84</v>
      </c>
      <c r="G214" s="77">
        <v>3</v>
      </c>
      <c r="H214" s="77">
        <v>3</v>
      </c>
      <c r="I214" s="78">
        <v>45748</v>
      </c>
      <c r="J214" s="78">
        <v>46113</v>
      </c>
      <c r="K214" s="79"/>
      <c r="L214" s="83" t="s">
        <v>3324</v>
      </c>
      <c r="M214" s="41">
        <f>_xlfn.XLOOKUP(L214,'relaties_export_2026-01-12_1609'!B:B,'relaties_export_2026-01-12_1609'!A:A,"",3)</f>
        <v>172</v>
      </c>
      <c r="N214" s="41" t="str">
        <f>_xlfn.XLOOKUP(M214,'relaties_export_2026-01-12_1609'!A:A,'relaties_export_2026-01-12_1609'!B:B,"",3)</f>
        <v>Flexvesting B.V.</v>
      </c>
      <c r="O214" s="115"/>
      <c r="P214" s="43">
        <f t="shared" si="65"/>
        <v>487.69000000000005</v>
      </c>
      <c r="Q214" s="43">
        <f t="shared" si="61"/>
        <v>2639.4500000000003</v>
      </c>
      <c r="R214" s="44">
        <f t="shared" si="62"/>
        <v>2405</v>
      </c>
      <c r="S214" s="45">
        <f t="shared" si="63"/>
        <v>185.00014230780175</v>
      </c>
      <c r="T214" s="45">
        <v>2255</v>
      </c>
      <c r="U214" s="46">
        <v>150</v>
      </c>
      <c r="V214" s="46">
        <v>0</v>
      </c>
      <c r="W214" s="85"/>
      <c r="X214" s="23"/>
      <c r="Y214" s="56" t="s">
        <v>2711</v>
      </c>
      <c r="Z214" s="47">
        <f>_xlfn.XLOOKUP(Y214,'relaties_export_2026-01-12_1609'!B:B,'relaties_export_2026-01-12_1609'!A:A,"",3)</f>
        <v>830</v>
      </c>
      <c r="AA214" s="47" t="str">
        <f>_xlfn.XLOOKUP(Z214,'relaties_export_2026-01-12_1609'!A:A,'relaties_export_2026-01-12_1609'!B:B,"",3)</f>
        <v>Transformatiehaven BV</v>
      </c>
      <c r="AB214" s="46" t="s">
        <v>3436</v>
      </c>
      <c r="AC214" s="46">
        <v>2104.7399999999998</v>
      </c>
      <c r="AD214" s="46">
        <v>1917.31</v>
      </c>
      <c r="AE214" s="46">
        <v>1793.34</v>
      </c>
      <c r="AF214" s="46">
        <f t="shared" si="64"/>
        <v>147.48549806576776</v>
      </c>
      <c r="AG214" s="49">
        <v>45231</v>
      </c>
      <c r="AH214" s="49">
        <v>45596</v>
      </c>
      <c r="AI214"/>
      <c r="AJ214"/>
      <c r="AK214" s="80"/>
      <c r="AL214" s="80"/>
      <c r="AO214" s="34"/>
      <c r="AP214" s="116"/>
      <c r="AQ214" s="58"/>
      <c r="AT214" s="81"/>
      <c r="AU214" s="81"/>
      <c r="AY214" s="82"/>
    </row>
    <row r="215" spans="1:52" s="29" customFormat="1" ht="17" thickBot="1" x14ac:dyDescent="0.25">
      <c r="A215" s="30">
        <v>191</v>
      </c>
      <c r="B215" s="31" t="str">
        <f>_xlfn.XLOOKUP(D215,'[1]Sleutelplan nieuw'!B:B,'[1]Sleutelplan nieuw'!A:A,"",2)</f>
        <v>0264</v>
      </c>
      <c r="C215" s="32" t="s">
        <v>2824</v>
      </c>
      <c r="D215" s="59" t="s">
        <v>3440</v>
      </c>
      <c r="E215" s="60" t="s">
        <v>3435</v>
      </c>
      <c r="F215" s="76" t="s">
        <v>84</v>
      </c>
      <c r="G215" s="77">
        <v>3</v>
      </c>
      <c r="H215" s="77">
        <v>3</v>
      </c>
      <c r="I215" s="78">
        <v>45748</v>
      </c>
      <c r="J215" s="78">
        <v>46113</v>
      </c>
      <c r="K215" s="79"/>
      <c r="L215" s="83" t="s">
        <v>3324</v>
      </c>
      <c r="M215" s="41">
        <f>_xlfn.XLOOKUP(L215,'relaties_export_2026-01-12_1609'!B:B,'relaties_export_2026-01-12_1609'!A:A,"",3)</f>
        <v>172</v>
      </c>
      <c r="N215" s="41" t="str">
        <f>_xlfn.XLOOKUP(M215,'relaties_export_2026-01-12_1609'!A:A,'relaties_export_2026-01-12_1609'!B:B,"",3)</f>
        <v>Flexvesting B.V.</v>
      </c>
      <c r="O215" s="115"/>
      <c r="P215" s="43">
        <f t="shared" si="65"/>
        <v>487.69000000000005</v>
      </c>
      <c r="Q215" s="43">
        <f t="shared" si="61"/>
        <v>2639.4500000000003</v>
      </c>
      <c r="R215" s="44">
        <f t="shared" si="62"/>
        <v>2405</v>
      </c>
      <c r="S215" s="45">
        <f t="shared" si="63"/>
        <v>185.00014230780175</v>
      </c>
      <c r="T215" s="45">
        <v>2255</v>
      </c>
      <c r="U215" s="46">
        <v>150</v>
      </c>
      <c r="V215" s="46">
        <v>0</v>
      </c>
      <c r="W215" s="85"/>
      <c r="X215" s="23"/>
      <c r="Y215" s="56" t="s">
        <v>2711</v>
      </c>
      <c r="Z215" s="47">
        <f>_xlfn.XLOOKUP(Y215,'relaties_export_2026-01-12_1609'!B:B,'relaties_export_2026-01-12_1609'!A:A,"",3)</f>
        <v>830</v>
      </c>
      <c r="AA215" s="47" t="str">
        <f>_xlfn.XLOOKUP(Z215,'relaties_export_2026-01-12_1609'!A:A,'relaties_export_2026-01-12_1609'!B:B,"",3)</f>
        <v>Transformatiehaven BV</v>
      </c>
      <c r="AB215" s="46" t="s">
        <v>3436</v>
      </c>
      <c r="AC215" s="46">
        <v>2104.7399999999998</v>
      </c>
      <c r="AD215" s="46">
        <v>1917.31</v>
      </c>
      <c r="AE215" s="46">
        <v>1793.34</v>
      </c>
      <c r="AF215" s="46">
        <f t="shared" si="64"/>
        <v>147.48549806576776</v>
      </c>
      <c r="AG215" s="49">
        <v>45231</v>
      </c>
      <c r="AH215" s="49">
        <v>45596</v>
      </c>
      <c r="AI215"/>
      <c r="AJ215"/>
      <c r="AK215" s="80"/>
      <c r="AL215" s="80"/>
      <c r="AO215" s="34"/>
      <c r="AP215" s="116"/>
      <c r="AQ215" s="58"/>
      <c r="AT215" s="81"/>
      <c r="AU215" s="81"/>
      <c r="AY215" s="82"/>
    </row>
    <row r="216" spans="1:52" s="29" customFormat="1" ht="17" thickBot="1" x14ac:dyDescent="0.25">
      <c r="A216" s="30">
        <v>192</v>
      </c>
      <c r="B216" s="31" t="str">
        <f>_xlfn.XLOOKUP(D216,'[1]Sleutelplan nieuw'!B:B,'[1]Sleutelplan nieuw'!A:A,"",2)</f>
        <v>0265</v>
      </c>
      <c r="C216" s="32" t="s">
        <v>2824</v>
      </c>
      <c r="D216" s="59" t="s">
        <v>3441</v>
      </c>
      <c r="E216" s="60" t="s">
        <v>3435</v>
      </c>
      <c r="F216" s="76" t="s">
        <v>84</v>
      </c>
      <c r="G216" s="77">
        <v>3</v>
      </c>
      <c r="H216" s="77">
        <v>3</v>
      </c>
      <c r="I216" s="78">
        <v>45748</v>
      </c>
      <c r="J216" s="78">
        <v>46113</v>
      </c>
      <c r="K216" s="79"/>
      <c r="L216" s="83" t="s">
        <v>3324</v>
      </c>
      <c r="M216" s="41">
        <f>_xlfn.XLOOKUP(L216,'relaties_export_2026-01-12_1609'!B:B,'relaties_export_2026-01-12_1609'!A:A,"",3)</f>
        <v>172</v>
      </c>
      <c r="N216" s="41" t="str">
        <f>_xlfn.XLOOKUP(M216,'relaties_export_2026-01-12_1609'!A:A,'relaties_export_2026-01-12_1609'!B:B,"",3)</f>
        <v>Flexvesting B.V.</v>
      </c>
      <c r="O216" s="115"/>
      <c r="P216" s="43">
        <f t="shared" si="65"/>
        <v>487.69000000000005</v>
      </c>
      <c r="Q216" s="43">
        <f t="shared" si="61"/>
        <v>2639.4500000000003</v>
      </c>
      <c r="R216" s="44">
        <f t="shared" si="62"/>
        <v>2405</v>
      </c>
      <c r="S216" s="45">
        <f t="shared" si="63"/>
        <v>185.00014230780175</v>
      </c>
      <c r="T216" s="45">
        <v>2255</v>
      </c>
      <c r="U216" s="46">
        <v>150</v>
      </c>
      <c r="V216" s="46">
        <v>0</v>
      </c>
      <c r="W216" s="85"/>
      <c r="X216" s="23"/>
      <c r="Y216" s="56" t="s">
        <v>2711</v>
      </c>
      <c r="Z216" s="47">
        <f>_xlfn.XLOOKUP(Y216,'relaties_export_2026-01-12_1609'!B:B,'relaties_export_2026-01-12_1609'!A:A,"",3)</f>
        <v>830</v>
      </c>
      <c r="AA216" s="47" t="str">
        <f>_xlfn.XLOOKUP(Z216,'relaties_export_2026-01-12_1609'!A:A,'relaties_export_2026-01-12_1609'!B:B,"",3)</f>
        <v>Transformatiehaven BV</v>
      </c>
      <c r="AB216" s="46" t="s">
        <v>3436</v>
      </c>
      <c r="AC216" s="46">
        <v>2104.7399999999998</v>
      </c>
      <c r="AD216" s="46">
        <v>1917.31</v>
      </c>
      <c r="AE216" s="46">
        <v>1793.34</v>
      </c>
      <c r="AF216" s="46">
        <f t="shared" si="64"/>
        <v>147.48549806576776</v>
      </c>
      <c r="AG216" s="49">
        <v>45231</v>
      </c>
      <c r="AH216" s="49">
        <v>45596</v>
      </c>
      <c r="AI216"/>
      <c r="AJ216"/>
      <c r="AK216" s="80"/>
      <c r="AL216" s="80"/>
      <c r="AO216" s="34"/>
      <c r="AP216" s="116"/>
      <c r="AQ216" s="58"/>
      <c r="AT216" s="81"/>
      <c r="AU216" s="81"/>
      <c r="AY216" s="82"/>
    </row>
    <row r="217" spans="1:52" s="29" customFormat="1" ht="17" thickBot="1" x14ac:dyDescent="0.25">
      <c r="A217" s="30">
        <v>193</v>
      </c>
      <c r="B217" s="31" t="str">
        <f>_xlfn.XLOOKUP(D217,'[1]Sleutelplan nieuw'!B:B,'[1]Sleutelplan nieuw'!A:A,"",2)</f>
        <v>0266</v>
      </c>
      <c r="C217" s="32" t="s">
        <v>2824</v>
      </c>
      <c r="D217" s="59" t="s">
        <v>3442</v>
      </c>
      <c r="E217" s="60" t="s">
        <v>3435</v>
      </c>
      <c r="F217" s="76" t="s">
        <v>84</v>
      </c>
      <c r="G217" s="77">
        <v>3</v>
      </c>
      <c r="H217" s="77">
        <v>3</v>
      </c>
      <c r="I217" s="78">
        <v>45748</v>
      </c>
      <c r="J217" s="78">
        <v>46113</v>
      </c>
      <c r="K217" s="79"/>
      <c r="L217" s="83" t="s">
        <v>3324</v>
      </c>
      <c r="M217" s="41">
        <f>_xlfn.XLOOKUP(L217,'relaties_export_2026-01-12_1609'!B:B,'relaties_export_2026-01-12_1609'!A:A,"",3)</f>
        <v>172</v>
      </c>
      <c r="N217" s="41" t="str">
        <f>_xlfn.XLOOKUP(M217,'relaties_export_2026-01-12_1609'!A:A,'relaties_export_2026-01-12_1609'!B:B,"",3)</f>
        <v>Flexvesting B.V.</v>
      </c>
      <c r="O217" s="115"/>
      <c r="P217" s="43">
        <f t="shared" si="65"/>
        <v>487.69000000000005</v>
      </c>
      <c r="Q217" s="43">
        <f t="shared" si="61"/>
        <v>2639.4500000000003</v>
      </c>
      <c r="R217" s="44">
        <f t="shared" si="62"/>
        <v>2405</v>
      </c>
      <c r="S217" s="45">
        <f t="shared" si="63"/>
        <v>185.00014230780175</v>
      </c>
      <c r="T217" s="45">
        <v>2255</v>
      </c>
      <c r="U217" s="46">
        <v>150</v>
      </c>
      <c r="V217" s="46">
        <v>0</v>
      </c>
      <c r="W217" s="85"/>
      <c r="X217" s="23"/>
      <c r="Y217" s="56" t="s">
        <v>2711</v>
      </c>
      <c r="Z217" s="47">
        <f>_xlfn.XLOOKUP(Y217,'relaties_export_2026-01-12_1609'!B:B,'relaties_export_2026-01-12_1609'!A:A,"",3)</f>
        <v>830</v>
      </c>
      <c r="AA217" s="47" t="str">
        <f>_xlfn.XLOOKUP(Z217,'relaties_export_2026-01-12_1609'!A:A,'relaties_export_2026-01-12_1609'!B:B,"",3)</f>
        <v>Transformatiehaven BV</v>
      </c>
      <c r="AB217" s="46" t="s">
        <v>3436</v>
      </c>
      <c r="AC217" s="46">
        <v>2104.7399999999998</v>
      </c>
      <c r="AD217" s="46">
        <v>1917.31</v>
      </c>
      <c r="AE217" s="46">
        <v>1793.34</v>
      </c>
      <c r="AF217" s="46">
        <f t="shared" si="64"/>
        <v>147.48549806576776</v>
      </c>
      <c r="AG217" s="49">
        <v>45231</v>
      </c>
      <c r="AH217" s="49">
        <v>45596</v>
      </c>
      <c r="AI217"/>
      <c r="AJ217"/>
      <c r="AK217" s="80"/>
      <c r="AL217" s="80"/>
      <c r="AO217" s="34"/>
      <c r="AP217" s="116"/>
      <c r="AQ217" s="58"/>
      <c r="AT217" s="81"/>
      <c r="AU217" s="81"/>
      <c r="AY217" s="82"/>
    </row>
    <row r="218" spans="1:52" s="29" customFormat="1" ht="17" thickBot="1" x14ac:dyDescent="0.25">
      <c r="A218" s="30">
        <v>194</v>
      </c>
      <c r="B218" s="31" t="str">
        <f>_xlfn.XLOOKUP(D218,'[1]Sleutelplan nieuw'!B:B,'[1]Sleutelplan nieuw'!A:A,"",2)</f>
        <v>0267</v>
      </c>
      <c r="C218" s="32" t="s">
        <v>2824</v>
      </c>
      <c r="D218" s="59" t="s">
        <v>3443</v>
      </c>
      <c r="E218" s="60" t="s">
        <v>3435</v>
      </c>
      <c r="F218" s="76" t="s">
        <v>84</v>
      </c>
      <c r="G218" s="77">
        <v>2</v>
      </c>
      <c r="H218" s="77">
        <v>2</v>
      </c>
      <c r="I218" s="78">
        <v>45748</v>
      </c>
      <c r="J218" s="78">
        <v>46113</v>
      </c>
      <c r="K218" s="79"/>
      <c r="L218" s="83" t="s">
        <v>3324</v>
      </c>
      <c r="M218" s="41">
        <f>_xlfn.XLOOKUP(L218,'relaties_export_2026-01-12_1609'!B:B,'relaties_export_2026-01-12_1609'!A:A,"",3)</f>
        <v>172</v>
      </c>
      <c r="N218" s="41" t="str">
        <f>_xlfn.XLOOKUP(M218,'relaties_export_2026-01-12_1609'!A:A,'relaties_export_2026-01-12_1609'!B:B,"",3)</f>
        <v>Flexvesting B.V.</v>
      </c>
      <c r="O218" s="115"/>
      <c r="P218" s="43">
        <f t="shared" si="65"/>
        <v>76.889999999999873</v>
      </c>
      <c r="Q218" s="43">
        <f t="shared" si="61"/>
        <v>1759.6188</v>
      </c>
      <c r="R218" s="44">
        <f t="shared" si="62"/>
        <v>1603.32</v>
      </c>
      <c r="S218" s="45">
        <f t="shared" si="63"/>
        <v>184.99860384507986</v>
      </c>
      <c r="T218" s="45">
        <v>1503.32</v>
      </c>
      <c r="U218" s="46">
        <v>100</v>
      </c>
      <c r="V218" s="46">
        <v>0</v>
      </c>
      <c r="W218" s="85"/>
      <c r="X218" s="23"/>
      <c r="Y218" s="56" t="s">
        <v>2711</v>
      </c>
      <c r="Z218" s="47">
        <f>_xlfn.XLOOKUP(Y218,'relaties_export_2026-01-12_1609'!B:B,'relaties_export_2026-01-12_1609'!A:A,"",3)</f>
        <v>830</v>
      </c>
      <c r="AA218" s="47" t="str">
        <f>_xlfn.XLOOKUP(Z218,'relaties_export_2026-01-12_1609'!A:A,'relaties_export_2026-01-12_1609'!B:B,"",3)</f>
        <v>Transformatiehaven BV</v>
      </c>
      <c r="AB218" s="46" t="s">
        <v>3436</v>
      </c>
      <c r="AC218" s="46">
        <v>1675.81</v>
      </c>
      <c r="AD218" s="46">
        <v>1526.43</v>
      </c>
      <c r="AE218" s="46">
        <v>1426.43</v>
      </c>
      <c r="AF218" s="46">
        <f t="shared" si="64"/>
        <v>176.12667394359534</v>
      </c>
      <c r="AG218" s="49"/>
      <c r="AH218" s="49"/>
      <c r="AI218"/>
      <c r="AJ218"/>
      <c r="AK218" s="80"/>
      <c r="AL218" s="80"/>
      <c r="AO218" s="34"/>
      <c r="AP218" s="116"/>
      <c r="AQ218" s="58"/>
      <c r="AT218" s="81"/>
      <c r="AU218" s="81"/>
      <c r="AY218" s="82"/>
    </row>
    <row r="219" spans="1:52" s="29" customFormat="1" ht="31" thickBot="1" x14ac:dyDescent="0.25">
      <c r="A219" s="30">
        <v>195</v>
      </c>
      <c r="B219" s="31" t="str">
        <f>_xlfn.XLOOKUP(D219,'[1]Sleutelplan nieuw'!B:B,'[1]Sleutelplan nieuw'!A:A,"",2)</f>
        <v>0349</v>
      </c>
      <c r="C219" s="32" t="s">
        <v>2824</v>
      </c>
      <c r="D219" s="59" t="s">
        <v>3444</v>
      </c>
      <c r="E219" s="60" t="s">
        <v>3435</v>
      </c>
      <c r="F219" s="76" t="s">
        <v>84</v>
      </c>
      <c r="G219" s="77">
        <v>3</v>
      </c>
      <c r="H219" s="77">
        <v>3</v>
      </c>
      <c r="I219" s="78">
        <v>45737</v>
      </c>
      <c r="J219" s="78">
        <v>46012</v>
      </c>
      <c r="K219" s="79"/>
      <c r="L219" s="83" t="s">
        <v>3445</v>
      </c>
      <c r="M219" s="41">
        <f>_xlfn.XLOOKUP(L219,'relaties_export_2026-01-12_1609'!B:B,'relaties_export_2026-01-12_1609'!A:A,"",3)</f>
        <v>247</v>
      </c>
      <c r="N219" s="41" t="str">
        <f>_xlfn.XLOOKUP(M219,'relaties_export_2026-01-12_1609'!A:A,'relaties_export_2026-01-12_1609'!B:B,"",3)</f>
        <v>Aelbers Flexibele Personeels Diensten B.V.</v>
      </c>
      <c r="O219" s="68" t="s">
        <v>3446</v>
      </c>
      <c r="P219" s="43">
        <f t="shared" si="65"/>
        <v>-1917.31</v>
      </c>
      <c r="Q219" s="43"/>
      <c r="R219" s="44"/>
      <c r="S219" s="45">
        <f t="shared" si="63"/>
        <v>0</v>
      </c>
      <c r="T219" s="45"/>
      <c r="U219" s="46">
        <v>150</v>
      </c>
      <c r="V219" s="46"/>
      <c r="W219" s="85"/>
      <c r="X219" s="23"/>
      <c r="Y219" s="56" t="s">
        <v>2711</v>
      </c>
      <c r="Z219" s="47">
        <f>_xlfn.XLOOKUP(Y219,'relaties_export_2026-01-12_1609'!B:B,'relaties_export_2026-01-12_1609'!A:A,"",3)</f>
        <v>830</v>
      </c>
      <c r="AA219" s="47" t="str">
        <f>_xlfn.XLOOKUP(Z219,'relaties_export_2026-01-12_1609'!A:A,'relaties_export_2026-01-12_1609'!B:B,"",3)</f>
        <v>Transformatiehaven BV</v>
      </c>
      <c r="AB219" s="46" t="s">
        <v>3436</v>
      </c>
      <c r="AC219" s="46">
        <v>2104.7399999999998</v>
      </c>
      <c r="AD219" s="46">
        <v>1917.31</v>
      </c>
      <c r="AE219" s="46">
        <v>1793.34</v>
      </c>
      <c r="AF219" s="46">
        <f t="shared" si="64"/>
        <v>147.48549806576776</v>
      </c>
      <c r="AG219" s="49">
        <v>45733</v>
      </c>
      <c r="AH219" s="49">
        <v>46098</v>
      </c>
      <c r="AI219"/>
      <c r="AJ219"/>
      <c r="AK219" s="80"/>
      <c r="AL219" s="80"/>
      <c r="AO219" s="34"/>
      <c r="AP219" s="116"/>
      <c r="AQ219" s="58"/>
      <c r="AT219" s="81"/>
      <c r="AU219" s="81"/>
      <c r="AY219" s="82"/>
    </row>
    <row r="220" spans="1:52" s="29" customFormat="1" ht="17" thickBot="1" x14ac:dyDescent="0.25">
      <c r="A220" s="30">
        <v>196</v>
      </c>
      <c r="B220" s="31" t="str">
        <f>_xlfn.XLOOKUP(D220,'[1]Sleutelplan nieuw'!B:B,'[1]Sleutelplan nieuw'!A:A,"",2)</f>
        <v>0268</v>
      </c>
      <c r="C220" s="32" t="s">
        <v>2824</v>
      </c>
      <c r="D220" s="59" t="s">
        <v>3447</v>
      </c>
      <c r="E220" s="60" t="s">
        <v>3435</v>
      </c>
      <c r="F220" s="76" t="s">
        <v>84</v>
      </c>
      <c r="G220" s="77">
        <v>3</v>
      </c>
      <c r="H220" s="77">
        <v>3</v>
      </c>
      <c r="I220" s="78">
        <v>45748</v>
      </c>
      <c r="J220" s="78">
        <v>46113</v>
      </c>
      <c r="K220" s="79"/>
      <c r="L220" s="83" t="s">
        <v>3324</v>
      </c>
      <c r="M220" s="41">
        <f>_xlfn.XLOOKUP(L220,'relaties_export_2026-01-12_1609'!B:B,'relaties_export_2026-01-12_1609'!A:A,"",3)</f>
        <v>172</v>
      </c>
      <c r="N220" s="41" t="str">
        <f>_xlfn.XLOOKUP(M220,'relaties_export_2026-01-12_1609'!A:A,'relaties_export_2026-01-12_1609'!B:B,"",3)</f>
        <v>Flexvesting B.V.</v>
      </c>
      <c r="O220" s="115"/>
      <c r="P220" s="43">
        <f t="shared" si="65"/>
        <v>487.69000000000005</v>
      </c>
      <c r="Q220" s="43">
        <f t="shared" si="61"/>
        <v>2639.4500000000003</v>
      </c>
      <c r="R220" s="44">
        <f t="shared" si="62"/>
        <v>2405</v>
      </c>
      <c r="S220" s="45">
        <f t="shared" si="63"/>
        <v>185.00014230780175</v>
      </c>
      <c r="T220" s="45">
        <v>2255</v>
      </c>
      <c r="U220" s="46">
        <v>150</v>
      </c>
      <c r="V220" s="46">
        <v>0</v>
      </c>
      <c r="W220" s="85"/>
      <c r="X220" s="23"/>
      <c r="Y220" s="56" t="s">
        <v>2711</v>
      </c>
      <c r="Z220" s="47">
        <f>_xlfn.XLOOKUP(Y220,'relaties_export_2026-01-12_1609'!B:B,'relaties_export_2026-01-12_1609'!A:A,"",3)</f>
        <v>830</v>
      </c>
      <c r="AA220" s="47" t="str">
        <f>_xlfn.XLOOKUP(Z220,'relaties_export_2026-01-12_1609'!A:A,'relaties_export_2026-01-12_1609'!B:B,"",3)</f>
        <v>Transformatiehaven BV</v>
      </c>
      <c r="AB220" s="46" t="s">
        <v>3436</v>
      </c>
      <c r="AC220" s="46">
        <v>2104.7399999999998</v>
      </c>
      <c r="AD220" s="46">
        <v>1917.31</v>
      </c>
      <c r="AE220" s="46">
        <v>1793.34</v>
      </c>
      <c r="AF220" s="46">
        <f t="shared" si="64"/>
        <v>147.48549806576776</v>
      </c>
      <c r="AG220" s="49">
        <v>45231</v>
      </c>
      <c r="AH220" s="49">
        <v>45596</v>
      </c>
      <c r="AI220"/>
      <c r="AJ220"/>
      <c r="AK220" s="80"/>
      <c r="AL220" s="80"/>
      <c r="AO220" s="34"/>
      <c r="AP220" s="116"/>
      <c r="AQ220" s="58"/>
      <c r="AT220" s="81"/>
      <c r="AU220" s="81"/>
      <c r="AY220" s="82"/>
    </row>
    <row r="221" spans="1:52" s="29" customFormat="1" ht="17" thickBot="1" x14ac:dyDescent="0.25">
      <c r="A221" s="30">
        <v>197</v>
      </c>
      <c r="B221" s="31" t="str">
        <f>_xlfn.XLOOKUP(D221,'[1]Sleutelplan nieuw'!B:B,'[1]Sleutelplan nieuw'!A:A,"",2)</f>
        <v>0113</v>
      </c>
      <c r="C221" s="32" t="s">
        <v>2831</v>
      </c>
      <c r="D221" s="59" t="s">
        <v>3448</v>
      </c>
      <c r="E221" s="60" t="s">
        <v>3449</v>
      </c>
      <c r="F221" s="76" t="s">
        <v>872</v>
      </c>
      <c r="G221" s="77">
        <v>4</v>
      </c>
      <c r="H221" s="77">
        <v>4</v>
      </c>
      <c r="I221" s="78">
        <v>45260</v>
      </c>
      <c r="J221" s="78">
        <v>45626</v>
      </c>
      <c r="K221" s="78"/>
      <c r="L221" s="83" t="s">
        <v>3450</v>
      </c>
      <c r="M221" s="41">
        <f>_xlfn.XLOOKUP(L221,'relaties_export_2026-01-12_1609'!B:B,'relaties_export_2026-01-12_1609'!A:A,"",3)</f>
        <v>266</v>
      </c>
      <c r="N221" s="41" t="str">
        <f>_xlfn.XLOOKUP(M221,'relaties_export_2026-01-12_1609'!A:A,'relaties_export_2026-01-12_1609'!B:B,"",3)</f>
        <v>Flextalent4u Uitzenden B.V.</v>
      </c>
      <c r="O221" s="42"/>
      <c r="P221" s="43">
        <f t="shared" ref="P221:P284" si="66">R221-U221-V221-AD221</f>
        <v>527.09999999999991</v>
      </c>
      <c r="Q221" s="43">
        <f t="shared" si="61"/>
        <v>3351.8699000000006</v>
      </c>
      <c r="R221" s="44">
        <f t="shared" si="62"/>
        <v>3075.11</v>
      </c>
      <c r="S221" s="45">
        <f t="shared" si="63"/>
        <v>177.41032877717598</v>
      </c>
      <c r="T221" s="45">
        <v>3075.11</v>
      </c>
      <c r="U221" s="46">
        <v>0</v>
      </c>
      <c r="V221" s="46">
        <v>0</v>
      </c>
      <c r="W221"/>
      <c r="X221" s="23"/>
      <c r="Y221" s="56" t="s">
        <v>2733</v>
      </c>
      <c r="Z221" s="47">
        <f>_xlfn.XLOOKUP(Y221,'relaties_export_2026-01-12_1609'!B:B,'relaties_export_2026-01-12_1609'!A:A,"",3)</f>
        <v>852</v>
      </c>
      <c r="AA221" s="47" t="str">
        <f>_xlfn.XLOOKUP(Z221,'relaties_export_2026-01-12_1609'!A:A,'relaties_export_2026-01-12_1609'!B:B,"",3)</f>
        <v>R. Verspui</v>
      </c>
      <c r="AB221" s="46" t="s">
        <v>2918</v>
      </c>
      <c r="AC221" s="46">
        <v>2548.0100000000002</v>
      </c>
      <c r="AD221" s="46">
        <v>2548.0100000000002</v>
      </c>
      <c r="AE221" s="46">
        <v>2548.0100000000002</v>
      </c>
      <c r="AF221" s="46">
        <f t="shared" si="64"/>
        <v>147.00069000053077</v>
      </c>
      <c r="AG221" s="49">
        <v>44871</v>
      </c>
      <c r="AH221" s="49">
        <v>45235</v>
      </c>
      <c r="AI221"/>
      <c r="AJ221"/>
      <c r="AK221" s="80"/>
      <c r="AL221" s="80"/>
      <c r="AO221" s="34"/>
      <c r="AP221" s="116"/>
      <c r="AQ221" s="58"/>
      <c r="AT221" s="81"/>
      <c r="AU221" s="81"/>
      <c r="AY221" s="82"/>
    </row>
    <row r="222" spans="1:52" s="29" customFormat="1" ht="17" thickBot="1" x14ac:dyDescent="0.25">
      <c r="A222" s="30">
        <v>198</v>
      </c>
      <c r="B222" s="31" t="str">
        <f>_xlfn.XLOOKUP(D222,'[1]Sleutelplan nieuw'!B:B,'[1]Sleutelplan nieuw'!A:A,"",2)</f>
        <v>0114</v>
      </c>
      <c r="C222" s="32" t="s">
        <v>2831</v>
      </c>
      <c r="D222" s="126" t="s">
        <v>3451</v>
      </c>
      <c r="E222" s="107" t="s">
        <v>3452</v>
      </c>
      <c r="F222" s="76" t="s">
        <v>481</v>
      </c>
      <c r="G222" s="108">
        <v>3</v>
      </c>
      <c r="H222" s="108">
        <v>3</v>
      </c>
      <c r="I222" s="109">
        <v>46010</v>
      </c>
      <c r="J222" s="109">
        <v>46374</v>
      </c>
      <c r="K222" s="78"/>
      <c r="L222" s="114" t="s">
        <v>2927</v>
      </c>
      <c r="M222" s="41">
        <f>_xlfn.XLOOKUP(L222,'relaties_export_2026-01-12_1609'!B:B,'relaties_export_2026-01-12_1609'!A:A,"",3)</f>
        <v>220</v>
      </c>
      <c r="N222" s="41" t="str">
        <f>_xlfn.XLOOKUP(M222,'relaties_export_2026-01-12_1609'!A:A,'relaties_export_2026-01-12_1609'!B:B,"",3)</f>
        <v>Impes Service S.p.A.</v>
      </c>
      <c r="O222" s="120" t="s">
        <v>3453</v>
      </c>
      <c r="P222" s="43">
        <f t="shared" si="66"/>
        <v>1258.92</v>
      </c>
      <c r="Q222" s="43">
        <f>T222*1.09+U222*1.09</f>
        <v>2888.5</v>
      </c>
      <c r="R222" s="44">
        <f t="shared" si="62"/>
        <v>2650</v>
      </c>
      <c r="S222" s="45">
        <f t="shared" si="63"/>
        <v>203.8463106510082</v>
      </c>
      <c r="T222" s="45">
        <v>2450</v>
      </c>
      <c r="U222" s="46">
        <v>200</v>
      </c>
      <c r="V222" s="46">
        <v>0</v>
      </c>
      <c r="W222"/>
      <c r="X222" s="23"/>
      <c r="Y222" s="56" t="s">
        <v>2712</v>
      </c>
      <c r="Z222" s="47">
        <f>_xlfn.XLOOKUP(Y222,'relaties_export_2026-01-12_1609'!B:B,'relaties_export_2026-01-12_1609'!A:A,"",3)</f>
        <v>7</v>
      </c>
      <c r="AA222" s="47" t="str">
        <f>_xlfn.XLOOKUP(Z222,'relaties_export_2026-01-12_1609'!A:A,'relaties_export_2026-01-12_1609'!B:B,"",3)</f>
        <v>Maatschap J.W. Meershoek &amp; W.M. Meershoek</v>
      </c>
      <c r="AB222" s="46" t="s">
        <v>3454</v>
      </c>
      <c r="AC222" s="46">
        <v>1191.08</v>
      </c>
      <c r="AD222" s="46">
        <v>1191.08</v>
      </c>
      <c r="AE222" s="46">
        <v>1191.08</v>
      </c>
      <c r="AF222" s="46">
        <f t="shared" si="64"/>
        <v>91.621608939699172</v>
      </c>
      <c r="AG222" s="49">
        <v>43729</v>
      </c>
      <c r="AH222" s="34"/>
      <c r="AI222" t="s">
        <v>3293</v>
      </c>
      <c r="AJ222" t="s">
        <v>2998</v>
      </c>
      <c r="AK222" s="80">
        <v>43729</v>
      </c>
      <c r="AL222" s="80">
        <v>44094</v>
      </c>
      <c r="AM222" s="29" t="s">
        <v>2999</v>
      </c>
      <c r="AO222" s="34" t="s">
        <v>3195</v>
      </c>
      <c r="AP222" s="34"/>
      <c r="AQ222" s="58"/>
      <c r="AR222" s="29" t="s">
        <v>3293</v>
      </c>
      <c r="AS222" s="29" t="s">
        <v>2998</v>
      </c>
      <c r="AT222" s="81">
        <v>43739</v>
      </c>
      <c r="AU222" s="81">
        <v>44104</v>
      </c>
      <c r="AV222" s="29" t="s">
        <v>3083</v>
      </c>
      <c r="AW222" s="29" t="s">
        <v>3195</v>
      </c>
      <c r="AY222" s="82"/>
      <c r="AZ222" s="29" t="s">
        <v>3455</v>
      </c>
    </row>
    <row r="223" spans="1:52" s="29" customFormat="1" ht="17" thickBot="1" x14ac:dyDescent="0.25">
      <c r="A223" s="30">
        <v>199</v>
      </c>
      <c r="B223" s="64" t="s">
        <v>3456</v>
      </c>
      <c r="C223" s="32" t="s">
        <v>2831</v>
      </c>
      <c r="D223" s="59" t="s">
        <v>3457</v>
      </c>
      <c r="E223" s="60" t="s">
        <v>3458</v>
      </c>
      <c r="F223" s="76" t="s">
        <v>33</v>
      </c>
      <c r="G223" s="77">
        <v>4</v>
      </c>
      <c r="H223" s="77">
        <v>4</v>
      </c>
      <c r="I223" s="78">
        <v>45944</v>
      </c>
      <c r="J223" s="78">
        <v>46308</v>
      </c>
      <c r="K223" s="106"/>
      <c r="L223" s="114" t="s">
        <v>3250</v>
      </c>
      <c r="M223" s="41">
        <f>_xlfn.XLOOKUP(L223,'relaties_export_2026-01-12_1609'!B:B,'relaties_export_2026-01-12_1609'!A:A,"",3)</f>
        <v>320</v>
      </c>
      <c r="N223" s="41" t="str">
        <f>_xlfn.XLOOKUP(M223,'relaties_export_2026-01-12_1609'!A:A,'relaties_export_2026-01-12_1609'!B:B,"",3)</f>
        <v>Estra Logistics Systems B.V.</v>
      </c>
      <c r="P223" s="43">
        <f t="shared" si="66"/>
        <v>850</v>
      </c>
      <c r="Q223" s="43">
        <f>T223*1.09+U223*1.21</f>
        <v>3409.0000000000005</v>
      </c>
      <c r="R223" s="44">
        <f t="shared" si="62"/>
        <v>3100</v>
      </c>
      <c r="S223" s="45">
        <f t="shared" si="63"/>
        <v>178.84629142022416</v>
      </c>
      <c r="T223" s="45">
        <v>2850</v>
      </c>
      <c r="U223" s="46">
        <v>250</v>
      </c>
      <c r="V223" s="46">
        <v>0</v>
      </c>
      <c r="W223"/>
      <c r="X223" s="23"/>
      <c r="Y223" s="56" t="s">
        <v>1289</v>
      </c>
      <c r="Z223" s="47">
        <f>_xlfn.XLOOKUP(Y223,'relaties_export_2026-01-12_1609'!B:B,'relaties_export_2026-01-12_1609'!A:A,"",3)</f>
        <v>291</v>
      </c>
      <c r="AA223" s="47" t="str">
        <f>_xlfn.XLOOKUP(Z223,'relaties_export_2026-01-12_1609'!A:A,'relaties_export_2026-01-12_1609'!B:B,"",3)</f>
        <v>Johan van der Burg</v>
      </c>
      <c r="AB223" s="70" t="s">
        <v>3102</v>
      </c>
      <c r="AC223" s="46">
        <v>2000</v>
      </c>
      <c r="AD223" s="70">
        <v>2000</v>
      </c>
      <c r="AE223" s="70">
        <v>2000</v>
      </c>
      <c r="AF223" s="46">
        <f t="shared" si="64"/>
        <v>115.38470414208011</v>
      </c>
      <c r="AG223" s="49">
        <v>45383</v>
      </c>
      <c r="AH223" s="49">
        <v>46112</v>
      </c>
      <c r="AI223"/>
      <c r="AJ223"/>
      <c r="AK223" s="80"/>
      <c r="AL223" s="80"/>
      <c r="AN223" s="95"/>
      <c r="AO223" s="34"/>
      <c r="AP223" s="34"/>
      <c r="AQ223" s="58"/>
      <c r="AT223" s="81"/>
      <c r="AU223" s="81"/>
      <c r="AY223" s="86"/>
    </row>
    <row r="224" spans="1:52" s="29" customFormat="1" ht="17" thickBot="1" x14ac:dyDescent="0.25">
      <c r="A224" s="30">
        <v>200</v>
      </c>
      <c r="B224" s="31" t="str">
        <f>_xlfn.XLOOKUP(D224,'[1]Sleutelplan nieuw'!B:B,'[1]Sleutelplan nieuw'!A:A,"",2)</f>
        <v>0231</v>
      </c>
      <c r="C224" s="32" t="s">
        <v>2824</v>
      </c>
      <c r="D224" s="59" t="s">
        <v>3459</v>
      </c>
      <c r="E224" s="60" t="s">
        <v>3460</v>
      </c>
      <c r="F224" s="76" t="s">
        <v>84</v>
      </c>
      <c r="G224" s="77">
        <v>4</v>
      </c>
      <c r="H224" s="77">
        <v>2</v>
      </c>
      <c r="I224" s="78"/>
      <c r="J224" s="78"/>
      <c r="K224" s="106"/>
      <c r="L224" s="114"/>
      <c r="M224" s="41" t="str">
        <f>_xlfn.XLOOKUP(L224,'relaties_export_2026-01-12_1609'!B:B,'relaties_export_2026-01-12_1609'!A:A,"",3)</f>
        <v>id</v>
      </c>
      <c r="N224" s="41" t="str">
        <f>_xlfn.XLOOKUP(M224,'relaties_export_2026-01-12_1609'!A:A,'relaties_export_2026-01-12_1609'!B:B,"",3)</f>
        <v>naam</v>
      </c>
      <c r="P224" s="43">
        <f t="shared" si="66"/>
        <v>0</v>
      </c>
      <c r="Q224" s="43"/>
      <c r="R224" s="44"/>
      <c r="S224" s="45"/>
      <c r="T224" s="45"/>
      <c r="U224" s="46"/>
      <c r="V224" s="46"/>
      <c r="W224"/>
      <c r="X224" s="23"/>
      <c r="Y224" s="56"/>
      <c r="Z224" s="47" t="str">
        <f>_xlfn.XLOOKUP(Y224,'relaties_export_2026-01-12_1609'!B:B,'relaties_export_2026-01-12_1609'!A:A,"",3)</f>
        <v>id</v>
      </c>
      <c r="AA224" s="47" t="str">
        <f>_xlfn.XLOOKUP(Z224,'relaties_export_2026-01-12_1609'!A:A,'relaties_export_2026-01-12_1609'!B:B,"",3)</f>
        <v>naam</v>
      </c>
      <c r="AB224" s="70"/>
      <c r="AC224" s="46"/>
      <c r="AD224" s="70"/>
      <c r="AE224" s="70"/>
      <c r="AF224" s="46"/>
      <c r="AG224" s="49"/>
      <c r="AH224" s="49"/>
      <c r="AI224"/>
      <c r="AJ224"/>
      <c r="AK224" s="80"/>
      <c r="AL224" s="80"/>
      <c r="AN224" s="95"/>
      <c r="AO224" s="34"/>
      <c r="AP224" s="34"/>
      <c r="AQ224" s="58"/>
      <c r="AT224" s="81"/>
      <c r="AU224" s="81"/>
      <c r="AY224" s="86"/>
    </row>
    <row r="225" spans="1:59" s="29" customFormat="1" ht="17" thickBot="1" x14ac:dyDescent="0.25">
      <c r="A225" s="30">
        <v>201</v>
      </c>
      <c r="B225" s="31" t="str" cm="1">
        <f t="array" ref="B225">_xlfn.XLOOKUP(LEFT(D225,3),LEFT('[1]Sleutelplan nieuw'!B:B,3),'[1]Sleutelplan nieuw'!A:A,"",2)</f>
        <v>0044</v>
      </c>
      <c r="C225" s="32" t="s">
        <v>2824</v>
      </c>
      <c r="D225" s="59" t="s">
        <v>3461</v>
      </c>
      <c r="E225" s="60" t="s">
        <v>3462</v>
      </c>
      <c r="F225" s="76" t="s">
        <v>84</v>
      </c>
      <c r="G225" s="77">
        <v>3</v>
      </c>
      <c r="H225" s="77">
        <v>2</v>
      </c>
      <c r="I225" s="78">
        <v>45611</v>
      </c>
      <c r="J225" s="78">
        <v>45976</v>
      </c>
      <c r="K225" s="106"/>
      <c r="L225" s="114" t="s">
        <v>254</v>
      </c>
      <c r="M225" s="41">
        <f>_xlfn.XLOOKUP(L225,'relaties_export_2026-01-12_1609'!B:B,'relaties_export_2026-01-12_1609'!A:A,"",3)</f>
        <v>48</v>
      </c>
      <c r="N225" s="41" t="str">
        <f>_xlfn.XLOOKUP(M225,'relaties_export_2026-01-12_1609'!A:A,'relaties_export_2026-01-12_1609'!B:B,"",3)</f>
        <v>Light Personeelsdiensten</v>
      </c>
      <c r="O225" s="42"/>
      <c r="P225" s="43">
        <f t="shared" si="66"/>
        <v>621.75</v>
      </c>
      <c r="Q225" s="43">
        <f t="shared" ref="Q225:Q246" si="67">T225*1.09+U225*1.21</f>
        <v>2227.7075000000004</v>
      </c>
      <c r="R225" s="44">
        <f t="shared" ref="R225:R236" si="68">T225+U225</f>
        <v>2021.75</v>
      </c>
      <c r="S225" s="45">
        <f t="shared" ref="S225:S246" si="69">(R225/G225)/4.33333</f>
        <v>155.5193503995003</v>
      </c>
      <c r="T225" s="45">
        <v>1821.75</v>
      </c>
      <c r="U225" s="46">
        <v>200</v>
      </c>
      <c r="V225" s="46"/>
      <c r="W225"/>
      <c r="X225" s="23"/>
      <c r="Y225" s="56" t="s">
        <v>2734</v>
      </c>
      <c r="Z225" s="47">
        <f>_xlfn.XLOOKUP(Y225,'relaties_export_2026-01-12_1609'!B:B,'relaties_export_2026-01-12_1609'!A:A,"",3)</f>
        <v>853</v>
      </c>
      <c r="AA225" s="47" t="str">
        <f>_xlfn.XLOOKUP(Z225,'relaties_export_2026-01-12_1609'!A:A,'relaties_export_2026-01-12_1609'!B:B,"",3)</f>
        <v>Jes Funding &amp; Beheer</v>
      </c>
      <c r="AB225" s="67" t="s">
        <v>3463</v>
      </c>
      <c r="AC225" s="46">
        <v>1200</v>
      </c>
      <c r="AD225" s="70">
        <v>1200</v>
      </c>
      <c r="AE225" s="70">
        <v>1200</v>
      </c>
      <c r="AF225" s="46">
        <f t="shared" ref="AF225:AF272" si="70">(AD225/G225)/4.33333</f>
        <v>92.307763313664083</v>
      </c>
      <c r="AG225" s="49">
        <v>45607</v>
      </c>
      <c r="AH225" s="49">
        <v>45972</v>
      </c>
      <c r="AI225"/>
      <c r="AJ225"/>
      <c r="AK225" s="80"/>
      <c r="AL225" s="80"/>
      <c r="AN225" s="95"/>
      <c r="AO225" s="34"/>
      <c r="AP225" s="34"/>
      <c r="AQ225" s="58"/>
      <c r="AT225" s="81"/>
      <c r="AU225" s="81"/>
      <c r="AY225" s="86"/>
    </row>
    <row r="226" spans="1:59" s="29" customFormat="1" ht="17" thickBot="1" x14ac:dyDescent="0.25">
      <c r="A226" s="30">
        <v>202</v>
      </c>
      <c r="B226" s="64" t="s">
        <v>3464</v>
      </c>
      <c r="C226" s="32" t="s">
        <v>2824</v>
      </c>
      <c r="D226" s="59" t="s">
        <v>3465</v>
      </c>
      <c r="E226" s="60" t="s">
        <v>3462</v>
      </c>
      <c r="F226" s="76" t="s">
        <v>84</v>
      </c>
      <c r="G226" s="77">
        <v>3</v>
      </c>
      <c r="H226" s="77">
        <v>2</v>
      </c>
      <c r="I226" s="78">
        <v>45611</v>
      </c>
      <c r="J226" s="78">
        <v>45976</v>
      </c>
      <c r="K226" s="106"/>
      <c r="L226" s="114" t="s">
        <v>254</v>
      </c>
      <c r="M226" s="41">
        <f>_xlfn.XLOOKUP(L226,'relaties_export_2026-01-12_1609'!B:B,'relaties_export_2026-01-12_1609'!A:A,"",3)</f>
        <v>48</v>
      </c>
      <c r="N226" s="41" t="str">
        <f>_xlfn.XLOOKUP(M226,'relaties_export_2026-01-12_1609'!A:A,'relaties_export_2026-01-12_1609'!B:B,"",3)</f>
        <v>Light Personeelsdiensten</v>
      </c>
      <c r="P226" s="43">
        <f t="shared" si="66"/>
        <v>621.75</v>
      </c>
      <c r="Q226" s="43">
        <f t="shared" si="67"/>
        <v>2227.7075000000004</v>
      </c>
      <c r="R226" s="44">
        <f t="shared" si="68"/>
        <v>2021.75</v>
      </c>
      <c r="S226" s="45">
        <f t="shared" si="69"/>
        <v>155.5193503995003</v>
      </c>
      <c r="T226" s="45">
        <v>1821.75</v>
      </c>
      <c r="U226" s="46">
        <v>200</v>
      </c>
      <c r="V226" s="46"/>
      <c r="W226"/>
      <c r="X226" s="23"/>
      <c r="Y226" s="56" t="s">
        <v>2734</v>
      </c>
      <c r="Z226" s="47">
        <f>_xlfn.XLOOKUP(Y226,'relaties_export_2026-01-12_1609'!B:B,'relaties_export_2026-01-12_1609'!A:A,"",3)</f>
        <v>853</v>
      </c>
      <c r="AA226" s="47" t="str">
        <f>_xlfn.XLOOKUP(Z226,'relaties_export_2026-01-12_1609'!A:A,'relaties_export_2026-01-12_1609'!B:B,"",3)</f>
        <v>Jes Funding &amp; Beheer</v>
      </c>
      <c r="AB226" s="67" t="s">
        <v>3463</v>
      </c>
      <c r="AC226" s="46">
        <v>1200</v>
      </c>
      <c r="AD226" s="70">
        <v>1200</v>
      </c>
      <c r="AE226" s="70">
        <v>1200</v>
      </c>
      <c r="AF226" s="70">
        <f t="shared" si="70"/>
        <v>92.307763313664083</v>
      </c>
      <c r="AG226" s="49">
        <v>45607</v>
      </c>
      <c r="AH226" s="49">
        <v>45972</v>
      </c>
      <c r="AI226"/>
      <c r="AJ226"/>
      <c r="AK226" s="80"/>
      <c r="AL226" s="80"/>
      <c r="AN226" s="95"/>
      <c r="AO226" s="34"/>
      <c r="AP226" s="34"/>
      <c r="AQ226" s="58"/>
      <c r="AT226" s="81"/>
      <c r="AU226" s="81"/>
      <c r="AY226" s="86"/>
    </row>
    <row r="227" spans="1:59" s="29" customFormat="1" ht="17" thickBot="1" x14ac:dyDescent="0.25">
      <c r="A227" s="30">
        <v>203</v>
      </c>
      <c r="B227" s="31" t="str">
        <f>_xlfn.XLOOKUP(D227,'[1]Sleutelplan nieuw'!B:B,'[1]Sleutelplan nieuw'!A:A,"",2)</f>
        <v>0079</v>
      </c>
      <c r="C227" s="32" t="s">
        <v>2824</v>
      </c>
      <c r="D227" s="59" t="s">
        <v>3466</v>
      </c>
      <c r="E227" s="60" t="s">
        <v>3467</v>
      </c>
      <c r="F227" s="76" t="s">
        <v>481</v>
      </c>
      <c r="G227" s="77">
        <v>4</v>
      </c>
      <c r="H227" s="77">
        <v>2</v>
      </c>
      <c r="I227" s="78">
        <v>45444</v>
      </c>
      <c r="J227" s="78" t="s">
        <v>3468</v>
      </c>
      <c r="L227" s="83" t="s">
        <v>2672</v>
      </c>
      <c r="M227" s="41">
        <f>_xlfn.XLOOKUP(L227,'relaties_export_2026-01-12_1609'!B:B,'relaties_export_2026-01-12_1609'!A:A,"",3)</f>
        <v>17</v>
      </c>
      <c r="N227" s="41" t="str">
        <f>_xlfn.XLOOKUP(M227,'relaties_export_2026-01-12_1609'!A:A,'relaties_export_2026-01-12_1609'!B:B,"",3)</f>
        <v>Tradiro Services B.V.</v>
      </c>
      <c r="P227" s="43">
        <f t="shared" si="66"/>
        <v>434.98</v>
      </c>
      <c r="Q227" s="43">
        <f t="shared" si="67"/>
        <v>1891.1282000000001</v>
      </c>
      <c r="R227" s="44">
        <f t="shared" si="68"/>
        <v>1734.98</v>
      </c>
      <c r="S227" s="45">
        <f t="shared" si="69"/>
        <v>100.09507699621307</v>
      </c>
      <c r="T227" s="45">
        <v>1734.98</v>
      </c>
      <c r="U227" s="46">
        <v>0</v>
      </c>
      <c r="V227" s="46">
        <v>0</v>
      </c>
      <c r="W227"/>
      <c r="X227" s="23"/>
      <c r="Y227" s="56" t="s">
        <v>1211</v>
      </c>
      <c r="Z227" s="47">
        <f>_xlfn.XLOOKUP(Y227,'relaties_export_2026-01-12_1609'!B:B,'relaties_export_2026-01-12_1609'!A:A,"",3)</f>
        <v>271</v>
      </c>
      <c r="AA227" s="47" t="str">
        <f>_xlfn.XLOOKUP(Z227,'relaties_export_2026-01-12_1609'!A:A,'relaties_export_2026-01-12_1609'!B:B,"",3)</f>
        <v>Houses2Rent</v>
      </c>
      <c r="AB227" s="46"/>
      <c r="AC227" s="46">
        <f>(AD227*9%)+AD227</f>
        <v>1417</v>
      </c>
      <c r="AD227" s="46">
        <v>1300</v>
      </c>
      <c r="AE227" s="46">
        <v>1300</v>
      </c>
      <c r="AF227" s="46">
        <f t="shared" si="70"/>
        <v>75.000057692352073</v>
      </c>
      <c r="AG227" s="49"/>
      <c r="AH227" s="49"/>
      <c r="AI227"/>
      <c r="AJ227"/>
      <c r="AK227" s="80"/>
      <c r="AL227" s="80"/>
      <c r="AN227" s="95"/>
      <c r="AO227" s="34"/>
      <c r="AP227" s="34"/>
      <c r="AQ227" s="58"/>
      <c r="AT227" s="81"/>
      <c r="AU227" s="81"/>
      <c r="AY227" s="86"/>
      <c r="BG227" s="49"/>
    </row>
    <row r="228" spans="1:59" s="29" customFormat="1" ht="17" thickBot="1" x14ac:dyDescent="0.25">
      <c r="A228" s="30"/>
      <c r="B228" s="31" t="str">
        <f>_xlfn.XLOOKUP(D228,'[1]Sleutelplan nieuw'!B:B,'[1]Sleutelplan nieuw'!A:A,"",2)</f>
        <v>0386</v>
      </c>
      <c r="C228" s="32" t="s">
        <v>2831</v>
      </c>
      <c r="D228" s="59" t="s">
        <v>3469</v>
      </c>
      <c r="E228" s="60" t="s">
        <v>3470</v>
      </c>
      <c r="F228" s="76" t="s">
        <v>84</v>
      </c>
      <c r="G228" s="77">
        <v>5</v>
      </c>
      <c r="H228" s="77">
        <v>3</v>
      </c>
      <c r="I228" s="78">
        <v>45962</v>
      </c>
      <c r="J228" s="78">
        <v>46326</v>
      </c>
      <c r="L228" s="83" t="s">
        <v>254</v>
      </c>
      <c r="M228" s="41">
        <f>_xlfn.XLOOKUP(L228,'relaties_export_2026-01-12_1609'!B:B,'relaties_export_2026-01-12_1609'!A:A,"",3)</f>
        <v>48</v>
      </c>
      <c r="N228" s="41" t="str">
        <f>_xlfn.XLOOKUP(M228,'relaties_export_2026-01-12_1609'!A:A,'relaties_export_2026-01-12_1609'!B:B,"",3)</f>
        <v>Light Personeelsdiensten</v>
      </c>
      <c r="P228" s="43">
        <f t="shared" si="66"/>
        <v>890</v>
      </c>
      <c r="Q228" s="43">
        <f t="shared" si="67"/>
        <v>3578.5000000000005</v>
      </c>
      <c r="R228" s="44">
        <f t="shared" si="68"/>
        <v>3250</v>
      </c>
      <c r="S228" s="45">
        <f t="shared" si="69"/>
        <v>150.00011538470415</v>
      </c>
      <c r="T228" s="45">
        <v>2950</v>
      </c>
      <c r="U228" s="46">
        <v>300</v>
      </c>
      <c r="V228" s="46"/>
      <c r="W228"/>
      <c r="X228" s="23"/>
      <c r="Y228" s="56" t="s">
        <v>2713</v>
      </c>
      <c r="Z228" s="47">
        <f>_xlfn.XLOOKUP(Y228,'relaties_export_2026-01-12_1609'!B:B,'relaties_export_2026-01-12_1609'!A:A,"",3)</f>
        <v>832</v>
      </c>
      <c r="AA228" s="47" t="str">
        <f>_xlfn.XLOOKUP(Z228,'relaties_export_2026-01-12_1609'!A:A,'relaties_export_2026-01-12_1609'!B:B,"",3)</f>
        <v>R. Basil</v>
      </c>
      <c r="AB228" s="69" t="s">
        <v>3471</v>
      </c>
      <c r="AC228" s="46">
        <v>2060</v>
      </c>
      <c r="AD228" s="46">
        <v>2060</v>
      </c>
      <c r="AE228" s="46">
        <v>2060</v>
      </c>
      <c r="AF228" s="46">
        <f t="shared" si="70"/>
        <v>95.076996213074011</v>
      </c>
      <c r="AG228" s="49">
        <v>45962</v>
      </c>
      <c r="AH228" s="49">
        <v>46326</v>
      </c>
      <c r="AI228"/>
      <c r="AJ228"/>
      <c r="AK228" s="80"/>
      <c r="AL228" s="80"/>
      <c r="AN228" s="95"/>
      <c r="AO228" s="34"/>
      <c r="AP228" s="34"/>
      <c r="AQ228" s="58"/>
      <c r="AT228" s="81"/>
      <c r="AU228" s="81"/>
      <c r="AY228" s="86"/>
      <c r="BG228" s="49"/>
    </row>
    <row r="229" spans="1:59" s="29" customFormat="1" ht="31" thickBot="1" x14ac:dyDescent="0.25">
      <c r="A229" s="30">
        <v>204</v>
      </c>
      <c r="B229" s="31" t="str">
        <f>_xlfn.XLOOKUP(D229,'[1]Sleutelplan nieuw'!B:B,'[1]Sleutelplan nieuw'!A:A,"",2)</f>
        <v>0115</v>
      </c>
      <c r="C229" s="32" t="s">
        <v>2824</v>
      </c>
      <c r="D229" s="126" t="s">
        <v>3472</v>
      </c>
      <c r="E229" s="107" t="s">
        <v>3473</v>
      </c>
      <c r="F229" s="76" t="s">
        <v>3474</v>
      </c>
      <c r="G229" s="108">
        <v>6</v>
      </c>
      <c r="H229" s="108">
        <v>4</v>
      </c>
      <c r="I229" s="109">
        <v>44632</v>
      </c>
      <c r="J229" s="109">
        <v>44996</v>
      </c>
      <c r="K229" s="78"/>
      <c r="L229" t="s">
        <v>111</v>
      </c>
      <c r="M229" s="41">
        <f>_xlfn.XLOOKUP(L229,'relaties_export_2026-01-12_1609'!B:B,'relaties_export_2026-01-12_1609'!A:A,"",3)</f>
        <v>19</v>
      </c>
      <c r="N229" s="41" t="str">
        <f>_xlfn.XLOOKUP(M229,'relaties_export_2026-01-12_1609'!A:A,'relaties_export_2026-01-12_1609'!B:B,"",3)</f>
        <v>Groene Hart Service Detachering B.V.</v>
      </c>
      <c r="P229" s="43">
        <f t="shared" si="66"/>
        <v>1067.82</v>
      </c>
      <c r="Q229" s="43">
        <f t="shared" si="67"/>
        <v>3112.4514000000004</v>
      </c>
      <c r="R229" s="44">
        <f t="shared" si="68"/>
        <v>2855.46</v>
      </c>
      <c r="S229" s="45">
        <f t="shared" si="69"/>
        <v>109.82546909651469</v>
      </c>
      <c r="T229" s="45">
        <v>2855.46</v>
      </c>
      <c r="U229" s="46">
        <v>0</v>
      </c>
      <c r="V229" s="46">
        <v>0</v>
      </c>
      <c r="W229"/>
      <c r="X229" s="23"/>
      <c r="Y229" s="56" t="s">
        <v>2714</v>
      </c>
      <c r="Z229" s="47">
        <v>833</v>
      </c>
      <c r="AA229" s="47" t="str">
        <f>_xlfn.XLOOKUP(Z229,'relaties_export_2026-01-12_1609'!A:A,'relaties_export_2026-01-12_1609'!B:B,"",3)</f>
        <v>S. Raats (123Wonen)</v>
      </c>
      <c r="AB229" s="46" t="s">
        <v>3475</v>
      </c>
      <c r="AC229" s="46">
        <v>1787.64</v>
      </c>
      <c r="AD229" s="46">
        <v>1787.64</v>
      </c>
      <c r="AE229" s="46">
        <v>1787.64</v>
      </c>
      <c r="AF229" s="46">
        <f t="shared" si="70"/>
        <v>68.755437504182694</v>
      </c>
      <c r="AG229" s="49">
        <v>44632</v>
      </c>
      <c r="AH229" s="49">
        <v>44996</v>
      </c>
      <c r="AI229"/>
      <c r="AJ229"/>
      <c r="AK229" s="80"/>
      <c r="AL229" s="80"/>
      <c r="AO229" s="34"/>
      <c r="AP229" s="34"/>
      <c r="AQ229" s="58"/>
      <c r="AT229" s="81"/>
      <c r="AU229" s="81"/>
      <c r="AY229" s="82"/>
      <c r="BG229" s="49"/>
    </row>
    <row r="230" spans="1:59" s="29" customFormat="1" ht="31" thickBot="1" x14ac:dyDescent="0.25">
      <c r="A230" s="30">
        <v>206</v>
      </c>
      <c r="B230" s="31" t="str" cm="1">
        <f t="array" ref="B230">_xlfn.XLOOKUP(LEFT(D230,3),LEFT('[1]Sleutelplan nieuw'!B:B,3),'[1]Sleutelplan nieuw'!A:A,"",2)</f>
        <v>0269</v>
      </c>
      <c r="C230" s="32" t="s">
        <v>2831</v>
      </c>
      <c r="D230" s="126" t="s">
        <v>3476</v>
      </c>
      <c r="E230" s="107" t="s">
        <v>3477</v>
      </c>
      <c r="F230" s="76" t="s">
        <v>481</v>
      </c>
      <c r="G230" s="108">
        <v>4</v>
      </c>
      <c r="H230" s="108">
        <v>2</v>
      </c>
      <c r="I230" s="109">
        <v>45507</v>
      </c>
      <c r="J230" s="109">
        <v>45871</v>
      </c>
      <c r="K230" s="78"/>
      <c r="L230" s="114" t="s">
        <v>411</v>
      </c>
      <c r="M230" s="41">
        <f>_xlfn.XLOOKUP(L230,'relaties_export_2026-01-12_1609'!B:B,'relaties_export_2026-01-12_1609'!A:A,"",3)</f>
        <v>88</v>
      </c>
      <c r="N230" s="41" t="str">
        <f>_xlfn.XLOOKUP(M230,'relaties_export_2026-01-12_1609'!A:A,'relaties_export_2026-01-12_1609'!B:B,"",3)</f>
        <v>Housing en Transport Facilities BV</v>
      </c>
      <c r="P230" s="43">
        <f t="shared" si="66"/>
        <v>207.81000000000017</v>
      </c>
      <c r="Q230" s="43">
        <f t="shared" si="67"/>
        <v>2292.0234</v>
      </c>
      <c r="R230" s="44">
        <f t="shared" si="68"/>
        <v>2086.2600000000002</v>
      </c>
      <c r="S230" s="45">
        <f t="shared" si="69"/>
        <v>120.36124643172803</v>
      </c>
      <c r="T230" s="45">
        <v>1936.26</v>
      </c>
      <c r="U230" s="46">
        <v>150</v>
      </c>
      <c r="V230" s="46"/>
      <c r="W230"/>
      <c r="X230" s="23"/>
      <c r="Y230" s="56" t="s">
        <v>1361</v>
      </c>
      <c r="Z230" s="47">
        <f>_xlfn.XLOOKUP(Y230,'relaties_export_2026-01-12_1609'!B:B,'relaties_export_2026-01-12_1609'!A:A,"",3)</f>
        <v>311</v>
      </c>
      <c r="AA230" s="47" t="str">
        <f>_xlfn.XLOOKUP(Z230,'relaties_export_2026-01-12_1609'!A:A,'relaties_export_2026-01-12_1609'!B:B,"",3)</f>
        <v>P. Nederstigt</v>
      </c>
      <c r="AB230" s="46" t="s">
        <v>3478</v>
      </c>
      <c r="AC230" s="46">
        <v>1728.45</v>
      </c>
      <c r="AD230" s="46">
        <v>1728.45</v>
      </c>
      <c r="AE230" s="46">
        <v>1728.45</v>
      </c>
      <c r="AF230" s="46">
        <f t="shared" si="70"/>
        <v>99.718345937189184</v>
      </c>
      <c r="AG230" s="49">
        <v>45507</v>
      </c>
      <c r="AH230" s="49">
        <v>46236</v>
      </c>
      <c r="AI230"/>
      <c r="AJ230"/>
      <c r="AK230" s="80"/>
      <c r="AL230" s="80"/>
      <c r="AO230" s="34"/>
      <c r="AP230" s="34"/>
      <c r="AQ230" s="58"/>
      <c r="AT230" s="81"/>
      <c r="AU230" s="81"/>
      <c r="AY230" s="82"/>
      <c r="BG230" s="49"/>
    </row>
    <row r="231" spans="1:59" s="29" customFormat="1" ht="31" thickBot="1" x14ac:dyDescent="0.25">
      <c r="A231" s="30">
        <v>207</v>
      </c>
      <c r="B231" s="64" t="s">
        <v>3479</v>
      </c>
      <c r="C231" s="32" t="s">
        <v>2831</v>
      </c>
      <c r="D231" s="126" t="s">
        <v>3480</v>
      </c>
      <c r="E231" s="107" t="s">
        <v>3477</v>
      </c>
      <c r="F231" s="76" t="s">
        <v>481</v>
      </c>
      <c r="G231" s="108">
        <v>3</v>
      </c>
      <c r="H231" s="108">
        <v>2</v>
      </c>
      <c r="I231" s="109">
        <v>45500</v>
      </c>
      <c r="J231" s="109">
        <v>45864</v>
      </c>
      <c r="K231" s="78"/>
      <c r="L231" s="114" t="s">
        <v>411</v>
      </c>
      <c r="M231" s="41">
        <f>_xlfn.XLOOKUP(L231,'relaties_export_2026-01-12_1609'!B:B,'relaties_export_2026-01-12_1609'!A:A,"",3)</f>
        <v>88</v>
      </c>
      <c r="N231" s="41" t="str">
        <f>_xlfn.XLOOKUP(M231,'relaties_export_2026-01-12_1609'!A:A,'relaties_export_2026-01-12_1609'!B:B,"",3)</f>
        <v>Housing en Transport Facilities BV</v>
      </c>
      <c r="P231" s="43">
        <f t="shared" si="66"/>
        <v>140.23000000000002</v>
      </c>
      <c r="Q231" s="43">
        <f t="shared" si="67"/>
        <v>1747.3722</v>
      </c>
      <c r="R231" s="44">
        <f t="shared" si="68"/>
        <v>1586.58</v>
      </c>
      <c r="S231" s="45">
        <f t="shared" si="69"/>
        <v>122.04470926516098</v>
      </c>
      <c r="T231" s="45">
        <v>1436.58</v>
      </c>
      <c r="U231" s="46">
        <v>150</v>
      </c>
      <c r="V231" s="46"/>
      <c r="W231"/>
      <c r="X231" s="23"/>
      <c r="Y231" s="56" t="s">
        <v>1361</v>
      </c>
      <c r="Z231" s="47">
        <f>_xlfn.XLOOKUP(Y231,'relaties_export_2026-01-12_1609'!B:B,'relaties_export_2026-01-12_1609'!A:A,"",3)</f>
        <v>311</v>
      </c>
      <c r="AA231" s="47" t="str">
        <f>_xlfn.XLOOKUP(Z231,'relaties_export_2026-01-12_1609'!A:A,'relaties_export_2026-01-12_1609'!B:B,"",3)</f>
        <v>P. Nederstigt</v>
      </c>
      <c r="AB231" s="46" t="s">
        <v>3478</v>
      </c>
      <c r="AC231" s="46">
        <v>1296.3499999999999</v>
      </c>
      <c r="AD231" s="46">
        <v>1296.3499999999999</v>
      </c>
      <c r="AE231" s="46">
        <v>1296.3499999999999</v>
      </c>
      <c r="AF231" s="46">
        <f t="shared" si="70"/>
        <v>99.719307476390355</v>
      </c>
      <c r="AG231" s="49">
        <v>45500</v>
      </c>
      <c r="AH231" s="49">
        <v>46229</v>
      </c>
      <c r="AI231"/>
      <c r="AJ231"/>
      <c r="AK231" s="80"/>
      <c r="AL231" s="80"/>
      <c r="AO231" s="34"/>
      <c r="AP231" s="34"/>
      <c r="AQ231" s="58"/>
      <c r="AT231" s="81"/>
      <c r="AU231" s="81"/>
      <c r="AY231" s="82"/>
      <c r="BG231" s="49"/>
    </row>
    <row r="232" spans="1:59" s="29" customFormat="1" ht="15.75" customHeight="1" thickBot="1" x14ac:dyDescent="0.25">
      <c r="A232" s="30">
        <v>208</v>
      </c>
      <c r="B232" s="64" t="s">
        <v>3481</v>
      </c>
      <c r="C232" s="32" t="s">
        <v>2831</v>
      </c>
      <c r="D232" s="126" t="s">
        <v>3482</v>
      </c>
      <c r="E232" s="107" t="s">
        <v>3477</v>
      </c>
      <c r="F232" s="76" t="s">
        <v>481</v>
      </c>
      <c r="G232" s="108">
        <v>3</v>
      </c>
      <c r="H232" s="108">
        <v>2</v>
      </c>
      <c r="I232" s="109">
        <v>45500</v>
      </c>
      <c r="J232" s="109">
        <v>45864</v>
      </c>
      <c r="K232" s="78"/>
      <c r="L232" s="114" t="s">
        <v>411</v>
      </c>
      <c r="M232" s="41">
        <f>_xlfn.XLOOKUP(L232,'relaties_export_2026-01-12_1609'!B:B,'relaties_export_2026-01-12_1609'!A:A,"",3)</f>
        <v>88</v>
      </c>
      <c r="N232" s="41" t="str">
        <f>_xlfn.XLOOKUP(M232,'relaties_export_2026-01-12_1609'!A:A,'relaties_export_2026-01-12_1609'!B:B,"",3)</f>
        <v>Housing en Transport Facilities BV</v>
      </c>
      <c r="P232" s="43">
        <f t="shared" si="66"/>
        <v>140.23000000000002</v>
      </c>
      <c r="Q232" s="43">
        <f t="shared" si="67"/>
        <v>1747.3722</v>
      </c>
      <c r="R232" s="44">
        <f t="shared" si="68"/>
        <v>1586.58</v>
      </c>
      <c r="S232" s="45">
        <f t="shared" si="69"/>
        <v>122.04470926516098</v>
      </c>
      <c r="T232" s="45">
        <v>1436.58</v>
      </c>
      <c r="U232" s="46">
        <v>150</v>
      </c>
      <c r="V232" s="46"/>
      <c r="W232"/>
      <c r="X232" s="23"/>
      <c r="Y232" s="56" t="s">
        <v>1361</v>
      </c>
      <c r="Z232" s="47">
        <f>_xlfn.XLOOKUP(Y232,'relaties_export_2026-01-12_1609'!B:B,'relaties_export_2026-01-12_1609'!A:A,"",3)</f>
        <v>311</v>
      </c>
      <c r="AA232" s="47" t="str">
        <f>_xlfn.XLOOKUP(Z232,'relaties_export_2026-01-12_1609'!A:A,'relaties_export_2026-01-12_1609'!B:B,"",3)</f>
        <v>P. Nederstigt</v>
      </c>
      <c r="AB232" s="46" t="s">
        <v>3478</v>
      </c>
      <c r="AC232" s="46">
        <v>1296.3499999999999</v>
      </c>
      <c r="AD232" s="46">
        <v>1296.3499999999999</v>
      </c>
      <c r="AE232" s="46">
        <v>1296.3499999999999</v>
      </c>
      <c r="AF232" s="46">
        <f t="shared" si="70"/>
        <v>99.719307476390355</v>
      </c>
      <c r="AG232" s="49">
        <v>45500</v>
      </c>
      <c r="AH232" s="49">
        <v>46229</v>
      </c>
      <c r="AI232"/>
      <c r="AJ232"/>
      <c r="AK232" s="80"/>
      <c r="AL232" s="80"/>
      <c r="AO232" s="34"/>
      <c r="AP232" s="34"/>
      <c r="AQ232" s="58"/>
      <c r="AT232" s="81"/>
      <c r="AU232" s="81"/>
      <c r="AY232" s="82"/>
    </row>
    <row r="233" spans="1:59" s="29" customFormat="1" ht="15.75" customHeight="1" thickBot="1" x14ac:dyDescent="0.25">
      <c r="A233" s="30">
        <v>209</v>
      </c>
      <c r="B233" s="64" t="s">
        <v>3483</v>
      </c>
      <c r="C233" s="32" t="s">
        <v>2831</v>
      </c>
      <c r="D233" s="126" t="s">
        <v>3484</v>
      </c>
      <c r="E233" s="107" t="s">
        <v>3477</v>
      </c>
      <c r="F233" s="76" t="s">
        <v>481</v>
      </c>
      <c r="G233" s="108">
        <v>3</v>
      </c>
      <c r="H233" s="108">
        <v>2</v>
      </c>
      <c r="I233" s="109">
        <v>45507</v>
      </c>
      <c r="J233" s="109">
        <v>45871</v>
      </c>
      <c r="K233" s="78"/>
      <c r="L233" s="114" t="s">
        <v>411</v>
      </c>
      <c r="M233" s="41">
        <f>_xlfn.XLOOKUP(L233,'relaties_export_2026-01-12_1609'!B:B,'relaties_export_2026-01-12_1609'!A:A,"",3)</f>
        <v>88</v>
      </c>
      <c r="N233" s="41" t="str">
        <f>_xlfn.XLOOKUP(M233,'relaties_export_2026-01-12_1609'!A:A,'relaties_export_2026-01-12_1609'!B:B,"",3)</f>
        <v>Housing en Transport Facilities BV</v>
      </c>
      <c r="P233" s="43">
        <f t="shared" si="66"/>
        <v>140.23000000000002</v>
      </c>
      <c r="Q233" s="43">
        <f t="shared" si="67"/>
        <v>1747.3722</v>
      </c>
      <c r="R233" s="44">
        <f t="shared" si="68"/>
        <v>1586.58</v>
      </c>
      <c r="S233" s="45">
        <f t="shared" si="69"/>
        <v>122.04470926516098</v>
      </c>
      <c r="T233" s="45">
        <v>1436.58</v>
      </c>
      <c r="U233" s="46">
        <v>150</v>
      </c>
      <c r="V233" s="46"/>
      <c r="W233"/>
      <c r="X233" s="23"/>
      <c r="Y233" s="56" t="s">
        <v>1361</v>
      </c>
      <c r="Z233" s="47">
        <f>_xlfn.XLOOKUP(Y233,'relaties_export_2026-01-12_1609'!B:B,'relaties_export_2026-01-12_1609'!A:A,"",3)</f>
        <v>311</v>
      </c>
      <c r="AA233" s="47" t="str">
        <f>_xlfn.XLOOKUP(Z233,'relaties_export_2026-01-12_1609'!A:A,'relaties_export_2026-01-12_1609'!B:B,"",3)</f>
        <v>P. Nederstigt</v>
      </c>
      <c r="AB233" s="46" t="s">
        <v>3478</v>
      </c>
      <c r="AC233" s="46">
        <v>1296.3499999999999</v>
      </c>
      <c r="AD233" s="46">
        <v>1296.3499999999999</v>
      </c>
      <c r="AE233" s="46">
        <v>1296.3499999999999</v>
      </c>
      <c r="AF233" s="46">
        <f t="shared" si="70"/>
        <v>99.719307476390355</v>
      </c>
      <c r="AG233" s="49">
        <v>45507</v>
      </c>
      <c r="AH233" s="49">
        <v>46236</v>
      </c>
      <c r="AI233"/>
      <c r="AJ233"/>
      <c r="AK233" s="80"/>
      <c r="AL233" s="80"/>
      <c r="AO233" s="34"/>
      <c r="AP233" s="34"/>
      <c r="AQ233" s="58"/>
      <c r="AT233" s="81"/>
      <c r="AU233" s="81"/>
      <c r="AY233" s="82"/>
    </row>
    <row r="234" spans="1:59" s="29" customFormat="1" ht="17" thickBot="1" x14ac:dyDescent="0.25">
      <c r="A234" s="30">
        <v>210</v>
      </c>
      <c r="B234" s="31" t="str">
        <f>_xlfn.XLOOKUP(D234,'[1]Sleutelplan nieuw'!B:B,'[1]Sleutelplan nieuw'!A:A,"",2)</f>
        <v>0340</v>
      </c>
      <c r="C234" s="32" t="s">
        <v>2824</v>
      </c>
      <c r="D234" s="126" t="s">
        <v>3485</v>
      </c>
      <c r="E234" s="107" t="s">
        <v>3486</v>
      </c>
      <c r="F234" s="76" t="s">
        <v>84</v>
      </c>
      <c r="G234" s="108">
        <v>5</v>
      </c>
      <c r="H234" s="108">
        <v>3</v>
      </c>
      <c r="I234" s="109">
        <v>45716</v>
      </c>
      <c r="J234" s="109">
        <v>46081</v>
      </c>
      <c r="K234" s="78"/>
      <c r="L234" s="114" t="s">
        <v>2672</v>
      </c>
      <c r="M234" s="41">
        <f>_xlfn.XLOOKUP(L234,'relaties_export_2026-01-12_1609'!B:B,'relaties_export_2026-01-12_1609'!A:A,"",3)</f>
        <v>17</v>
      </c>
      <c r="N234" s="41" t="str">
        <f>_xlfn.XLOOKUP(M234,'relaties_export_2026-01-12_1609'!A:A,'relaties_export_2026-01-12_1609'!B:B,"",3)</f>
        <v>Tradiro Services B.V.</v>
      </c>
      <c r="P234" s="43">
        <f t="shared" si="66"/>
        <v>800</v>
      </c>
      <c r="Q234" s="43">
        <f t="shared" si="67"/>
        <v>2997.5</v>
      </c>
      <c r="R234" s="44">
        <f t="shared" si="68"/>
        <v>2750</v>
      </c>
      <c r="S234" s="45">
        <f t="shared" si="69"/>
        <v>126.92317455628812</v>
      </c>
      <c r="T234" s="45">
        <v>2750</v>
      </c>
      <c r="U234" s="46">
        <v>0</v>
      </c>
      <c r="V234" s="46"/>
      <c r="W234"/>
      <c r="X234" s="23"/>
      <c r="Y234" s="56" t="s">
        <v>2735</v>
      </c>
      <c r="Z234" s="47">
        <f>_xlfn.XLOOKUP(Y234,'relaties_export_2026-01-12_1609'!B:B,'relaties_export_2026-01-12_1609'!A:A,"",3)</f>
        <v>854</v>
      </c>
      <c r="AA234" s="47" t="str">
        <f>_xlfn.XLOOKUP(Z234,'relaties_export_2026-01-12_1609'!A:A,'relaties_export_2026-01-12_1609'!B:B,"",3)</f>
        <v>C.R. Valk &amp; H.J. Valk</v>
      </c>
      <c r="AB234" s="69" t="s">
        <v>3487</v>
      </c>
      <c r="AC234" s="46">
        <f>AD234*1.21</f>
        <v>2359.5</v>
      </c>
      <c r="AD234" s="46">
        <v>1950</v>
      </c>
      <c r="AE234" s="46">
        <v>1950</v>
      </c>
      <c r="AF234" s="46">
        <f t="shared" si="70"/>
        <v>90.000069230822476</v>
      </c>
      <c r="AG234" s="49">
        <v>45703</v>
      </c>
      <c r="AH234" s="49">
        <v>46068</v>
      </c>
      <c r="AI234"/>
      <c r="AJ234"/>
      <c r="AK234" s="80"/>
      <c r="AL234" s="80"/>
      <c r="AO234" s="34"/>
      <c r="AP234" s="34"/>
      <c r="AQ234" s="58"/>
      <c r="AT234" s="81"/>
      <c r="AU234" s="81"/>
      <c r="AY234" s="82"/>
    </row>
    <row r="235" spans="1:59" s="29" customFormat="1" ht="31" thickBot="1" x14ac:dyDescent="0.25">
      <c r="A235" s="30">
        <v>211</v>
      </c>
      <c r="B235" s="31" t="str">
        <f>_xlfn.XLOOKUP(D235,'[1]Sleutelplan nieuw'!B:B,'[1]Sleutelplan nieuw'!A:A,"",2)</f>
        <v>0117</v>
      </c>
      <c r="C235" s="32" t="s">
        <v>2831</v>
      </c>
      <c r="D235" s="126" t="s">
        <v>3488</v>
      </c>
      <c r="E235" s="107" t="s">
        <v>3489</v>
      </c>
      <c r="F235" s="76" t="s">
        <v>3490</v>
      </c>
      <c r="G235" s="108">
        <v>4</v>
      </c>
      <c r="H235" s="108">
        <v>4</v>
      </c>
      <c r="I235" s="109">
        <v>45885</v>
      </c>
      <c r="J235" s="109">
        <v>45945</v>
      </c>
      <c r="K235" s="78"/>
      <c r="L235" s="114" t="s">
        <v>3259</v>
      </c>
      <c r="M235" s="219">
        <v>363</v>
      </c>
      <c r="N235" s="41" t="str">
        <f>_xlfn.XLOOKUP(M235,'relaties_export_2026-01-12_1609'!A:A,'relaties_export_2026-01-12_1609'!B:B,"",3)</f>
        <v>Workforce Housing International B.V</v>
      </c>
      <c r="P235" s="43">
        <f t="shared" si="66"/>
        <v>800</v>
      </c>
      <c r="Q235" s="43">
        <f t="shared" si="67"/>
        <v>2809.5</v>
      </c>
      <c r="R235" s="44">
        <f t="shared" si="68"/>
        <v>2550</v>
      </c>
      <c r="S235" s="45">
        <f t="shared" si="69"/>
        <v>147.11549778115213</v>
      </c>
      <c r="T235" s="45">
        <v>2300</v>
      </c>
      <c r="U235" s="46">
        <v>250</v>
      </c>
      <c r="V235" s="46"/>
      <c r="W235"/>
      <c r="X235" s="23"/>
      <c r="Y235" s="56" t="s">
        <v>534</v>
      </c>
      <c r="Z235" s="47">
        <f>_xlfn.XLOOKUP(Y235,'relaties_export_2026-01-12_1609'!B:B,'relaties_export_2026-01-12_1609'!A:A,"",3)</f>
        <v>115</v>
      </c>
      <c r="AA235" s="47" t="str">
        <f>_xlfn.XLOOKUP(Z235,'relaties_export_2026-01-12_1609'!A:A,'relaties_export_2026-01-12_1609'!B:B,"",3)</f>
        <v>A. Ghali</v>
      </c>
      <c r="AB235" s="46" t="s">
        <v>3491</v>
      </c>
      <c r="AC235" s="46">
        <v>1500</v>
      </c>
      <c r="AD235" s="46">
        <v>1500</v>
      </c>
      <c r="AE235" s="46">
        <v>1500</v>
      </c>
      <c r="AF235" s="46">
        <f t="shared" si="70"/>
        <v>86.538528106560079</v>
      </c>
      <c r="AG235" s="49">
        <v>44319</v>
      </c>
      <c r="AH235" s="49">
        <v>46081</v>
      </c>
      <c r="AI235" t="s">
        <v>3492</v>
      </c>
      <c r="AJ235" t="s">
        <v>3493</v>
      </c>
      <c r="AK235" s="80">
        <v>44319</v>
      </c>
      <c r="AL235" s="80">
        <v>46081</v>
      </c>
      <c r="AM235" s="29" t="s">
        <v>2999</v>
      </c>
      <c r="AO235" s="34" t="s">
        <v>3003</v>
      </c>
      <c r="AP235" s="34"/>
      <c r="AQ235" s="58"/>
      <c r="AR235" s="29" t="s">
        <v>3293</v>
      </c>
      <c r="AS235" s="29" t="s">
        <v>3081</v>
      </c>
      <c r="AT235" s="81">
        <v>44323</v>
      </c>
      <c r="AU235" s="81">
        <v>44353</v>
      </c>
      <c r="AV235" s="29" t="s">
        <v>3494</v>
      </c>
      <c r="AW235" s="29" t="s">
        <v>3195</v>
      </c>
      <c r="AX235" s="95" t="s">
        <v>3495</v>
      </c>
      <c r="AY235" s="86"/>
      <c r="AZ235" s="29" t="s">
        <v>3496</v>
      </c>
      <c r="BB235" s="96" t="s">
        <v>3497</v>
      </c>
    </row>
    <row r="236" spans="1:59" s="29" customFormat="1" ht="17" thickBot="1" x14ac:dyDescent="0.25">
      <c r="A236" s="30">
        <v>212</v>
      </c>
      <c r="B236" s="31" t="str" cm="1">
        <f t="array" ref="B236">_xlfn.XLOOKUP(LEFT(D236,3),LEFT('[1]Sleutelplan nieuw'!B:B,3),'[1]Sleutelplan nieuw'!A:A,"",2)</f>
        <v>0204</v>
      </c>
      <c r="C236" s="51" t="s">
        <v>2824</v>
      </c>
      <c r="D236" s="126" t="s">
        <v>3498</v>
      </c>
      <c r="E236" s="107" t="s">
        <v>3499</v>
      </c>
      <c r="F236" s="76" t="s">
        <v>2103</v>
      </c>
      <c r="G236" s="108">
        <v>5</v>
      </c>
      <c r="H236" s="108">
        <v>4</v>
      </c>
      <c r="I236" s="109">
        <v>45737</v>
      </c>
      <c r="J236" s="109">
        <v>46102</v>
      </c>
      <c r="K236" s="78"/>
      <c r="L236" s="170" t="s">
        <v>2945</v>
      </c>
      <c r="M236" s="41">
        <f>_xlfn.XLOOKUP(L236,'relaties_export_2026-01-12_1609'!B:B,'relaties_export_2026-01-12_1609'!A:A,"",3)</f>
        <v>149</v>
      </c>
      <c r="N236" s="41" t="str">
        <f>_xlfn.XLOOKUP(M236,'relaties_export_2026-01-12_1609'!A:A,'relaties_export_2026-01-12_1609'!B:B,"",3)</f>
        <v>Werckpost Service B.V.</v>
      </c>
      <c r="P236" s="43">
        <f t="shared" si="66"/>
        <v>383.84000000000015</v>
      </c>
      <c r="Q236" s="43">
        <f t="shared" si="67"/>
        <v>3415</v>
      </c>
      <c r="R236" s="44">
        <f t="shared" si="68"/>
        <v>3100</v>
      </c>
      <c r="S236" s="45">
        <f t="shared" si="69"/>
        <v>143.07703313617932</v>
      </c>
      <c r="T236" s="45">
        <v>2800</v>
      </c>
      <c r="U236" s="46">
        <v>300</v>
      </c>
      <c r="V236" s="46">
        <v>0</v>
      </c>
      <c r="W236"/>
      <c r="X236" s="23"/>
      <c r="Y236" s="56" t="s">
        <v>2704</v>
      </c>
      <c r="Z236" s="47">
        <v>823</v>
      </c>
      <c r="AA236" s="47" t="str">
        <f>_xlfn.XLOOKUP(Z236,'relaties_export_2026-01-12_1609'!A:A,'relaties_export_2026-01-12_1609'!B:B,"",3)</f>
        <v>City Estate (Reinier Derksen)</v>
      </c>
      <c r="AB236" s="46" t="s">
        <v>3366</v>
      </c>
      <c r="AC236" s="46">
        <v>2416.16</v>
      </c>
      <c r="AD236" s="46">
        <v>2416.16</v>
      </c>
      <c r="AE236" s="46">
        <v>2416.16</v>
      </c>
      <c r="AF236" s="46">
        <f t="shared" si="70"/>
        <v>111.5151627039713</v>
      </c>
      <c r="AG236" s="49">
        <v>45065</v>
      </c>
      <c r="AH236" s="49">
        <v>45777</v>
      </c>
      <c r="AI236"/>
      <c r="AJ236"/>
      <c r="AK236" s="80"/>
      <c r="AL236" s="80"/>
      <c r="AO236" s="34"/>
      <c r="AP236" s="34"/>
      <c r="AQ236" s="58"/>
      <c r="AT236" s="81"/>
      <c r="AU236" s="81"/>
      <c r="AX236" s="95"/>
      <c r="AY236" s="86"/>
      <c r="BB236" s="96"/>
    </row>
    <row r="237" spans="1:59" s="29" customFormat="1" ht="17" thickBot="1" x14ac:dyDescent="0.25">
      <c r="A237" s="30">
        <v>214</v>
      </c>
      <c r="B237" s="31" t="str">
        <f>_xlfn.XLOOKUP(D237,'[1]Sleutelplan nieuw'!B:B,'[1]Sleutelplan nieuw'!A:A,"",2)</f>
        <v>0327</v>
      </c>
      <c r="C237" s="51" t="s">
        <v>2824</v>
      </c>
      <c r="D237" s="126" t="s">
        <v>3500</v>
      </c>
      <c r="E237" s="107" t="s">
        <v>3501</v>
      </c>
      <c r="F237" s="76" t="s">
        <v>1295</v>
      </c>
      <c r="G237" s="108">
        <v>4</v>
      </c>
      <c r="H237" s="108">
        <v>4</v>
      </c>
      <c r="I237" s="109">
        <v>45905</v>
      </c>
      <c r="J237" s="109">
        <v>46269</v>
      </c>
      <c r="K237" s="78"/>
      <c r="L237" t="s">
        <v>3670</v>
      </c>
      <c r="M237" s="41">
        <f>_xlfn.XLOOKUP(L237,'relaties_export_2026-01-12_1609'!B:B,'relaties_export_2026-01-12_1609'!A:A,"",3)</f>
        <v>358</v>
      </c>
      <c r="N237" s="41" t="str">
        <f>_xlfn.XLOOKUP(M237,'relaties_export_2026-01-12_1609'!A:A,'relaties_export_2026-01-12_1609'!B:B,"",3)</f>
        <v>I-Housing Vastgoed Beheer B.V.</v>
      </c>
      <c r="P237" s="43">
        <f>R237-U237-V237-AD237</f>
        <v>250</v>
      </c>
      <c r="Q237" s="43">
        <f t="shared" si="67"/>
        <v>2864</v>
      </c>
      <c r="R237" s="44">
        <v>2350</v>
      </c>
      <c r="S237" s="45">
        <f t="shared" si="69"/>
        <v>135.57702736694412</v>
      </c>
      <c r="T237" s="45">
        <v>2350</v>
      </c>
      <c r="U237" s="46">
        <v>250</v>
      </c>
      <c r="V237" s="46"/>
      <c r="W237"/>
      <c r="X237" s="23"/>
      <c r="Y237" s="56" t="s">
        <v>2249</v>
      </c>
      <c r="Z237" s="47">
        <f>_xlfn.XLOOKUP(Y237,'relaties_export_2026-01-12_1609'!B:B,'relaties_export_2026-01-12_1609'!A:A,"",3)</f>
        <v>85</v>
      </c>
      <c r="AA237" s="47" t="str">
        <f>_xlfn.XLOOKUP(Z237,'relaties_export_2026-01-12_1609'!A:A,'relaties_export_2026-01-12_1609'!B:B,"",3)</f>
        <v>4 Homes B.V.</v>
      </c>
      <c r="AB237" s="69" t="s">
        <v>2983</v>
      </c>
      <c r="AC237" s="46">
        <f>AD237*1.09</f>
        <v>2016.5000000000002</v>
      </c>
      <c r="AD237" s="46">
        <v>1850</v>
      </c>
      <c r="AE237" s="46">
        <v>1850</v>
      </c>
      <c r="AF237" s="46">
        <f t="shared" si="70"/>
        <v>106.73085133142409</v>
      </c>
      <c r="AG237" s="49">
        <v>45901</v>
      </c>
      <c r="AH237" s="49">
        <v>46265</v>
      </c>
      <c r="AI237"/>
      <c r="AJ237"/>
      <c r="AK237" s="80"/>
      <c r="AL237" s="80"/>
      <c r="AO237" s="34"/>
      <c r="AP237" s="34"/>
      <c r="AQ237" s="58"/>
      <c r="AT237" s="81"/>
      <c r="AU237" s="81"/>
      <c r="AX237" s="95"/>
      <c r="AY237" s="86"/>
      <c r="BB237" s="96"/>
    </row>
    <row r="238" spans="1:59" s="29" customFormat="1" ht="17" thickBot="1" x14ac:dyDescent="0.25">
      <c r="A238" s="30"/>
      <c r="B238" s="31" t="str">
        <f>_xlfn.XLOOKUP(D238,'[1]Sleutelplan nieuw'!B:B,'[1]Sleutelplan nieuw'!A:A,"",2)</f>
        <v>0233</v>
      </c>
      <c r="C238" s="51" t="s">
        <v>2831</v>
      </c>
      <c r="D238" s="126" t="s">
        <v>3502</v>
      </c>
      <c r="E238" s="107"/>
      <c r="F238" s="76" t="s">
        <v>1151</v>
      </c>
      <c r="G238" s="108"/>
      <c r="H238" s="108"/>
      <c r="I238" s="109"/>
      <c r="J238" s="109"/>
      <c r="K238" s="78"/>
      <c r="L238" s="114" t="s">
        <v>2672</v>
      </c>
      <c r="M238" s="41">
        <f>_xlfn.XLOOKUP(L238,'relaties_export_2026-01-12_1609'!B:B,'relaties_export_2026-01-12_1609'!A:A,"",3)</f>
        <v>17</v>
      </c>
      <c r="N238" s="41" t="str">
        <f>_xlfn.XLOOKUP(M238,'relaties_export_2026-01-12_1609'!A:A,'relaties_export_2026-01-12_1609'!B:B,"",3)</f>
        <v>Tradiro Services B.V.</v>
      </c>
      <c r="P238" s="43"/>
      <c r="Q238" s="43"/>
      <c r="R238" s="44"/>
      <c r="S238" s="45"/>
      <c r="T238" s="45"/>
      <c r="U238" s="46"/>
      <c r="V238" s="46"/>
      <c r="W238"/>
      <c r="X238" s="23"/>
      <c r="Y238" s="56" t="s">
        <v>3503</v>
      </c>
      <c r="Z238" s="47" t="str">
        <f>_xlfn.XLOOKUP(Y238,'relaties_export_2026-01-12_1609'!B:B,'relaties_export_2026-01-12_1609'!A:A,"",3)</f>
        <v/>
      </c>
      <c r="AA238" s="47" t="str">
        <f>_xlfn.XLOOKUP(Z238,'relaties_export_2026-01-12_1609'!A:A,'relaties_export_2026-01-12_1609'!B:B,"",3)</f>
        <v>naam</v>
      </c>
      <c r="AB238" s="69"/>
      <c r="AC238" s="46">
        <v>1603.14</v>
      </c>
      <c r="AD238" s="46">
        <v>1603.14</v>
      </c>
      <c r="AE238" s="46">
        <v>1603.14</v>
      </c>
      <c r="AF238" s="46"/>
      <c r="AG238" s="49"/>
      <c r="AH238" s="49"/>
      <c r="AI238"/>
      <c r="AJ238"/>
      <c r="AK238" s="80"/>
      <c r="AL238" s="80"/>
      <c r="AO238" s="34"/>
      <c r="AP238" s="34"/>
      <c r="AQ238" s="58"/>
      <c r="AT238" s="81"/>
      <c r="AU238" s="81"/>
      <c r="AX238" s="95"/>
      <c r="AY238" s="86"/>
      <c r="BB238" s="96"/>
    </row>
    <row r="239" spans="1:59" s="29" customFormat="1" ht="17" thickBot="1" x14ac:dyDescent="0.25">
      <c r="A239" s="30">
        <v>215</v>
      </c>
      <c r="B239" s="31" t="str">
        <f>_xlfn.XLOOKUP(D239,'[1]Sleutelplan nieuw'!B:B,'[1]Sleutelplan nieuw'!A:A,"",2)</f>
        <v>0005</v>
      </c>
      <c r="C239" s="32" t="s">
        <v>2824</v>
      </c>
      <c r="D239" s="59" t="s">
        <v>3504</v>
      </c>
      <c r="E239" s="60" t="s">
        <v>3505</v>
      </c>
      <c r="F239" s="76" t="s">
        <v>549</v>
      </c>
      <c r="G239" s="77">
        <v>8</v>
      </c>
      <c r="H239" s="77">
        <v>8</v>
      </c>
      <c r="I239" s="78">
        <v>45505</v>
      </c>
      <c r="J239" s="78">
        <v>45869</v>
      </c>
      <c r="K239" s="79"/>
      <c r="L239" s="83" t="s">
        <v>1092</v>
      </c>
      <c r="M239" s="41">
        <f>_xlfn.XLOOKUP(L239,'relaties_export_2026-01-12_1609'!B:B,'relaties_export_2026-01-12_1609'!A:A,"",3)</f>
        <v>237</v>
      </c>
      <c r="N239" s="41" t="str">
        <f>_xlfn.XLOOKUP(M239,'relaties_export_2026-01-12_1609'!A:A,'relaties_export_2026-01-12_1609'!B:B,"",3)</f>
        <v>AKT Autoschade</v>
      </c>
      <c r="P239" s="43">
        <f t="shared" si="66"/>
        <v>1410.9300000000003</v>
      </c>
      <c r="Q239" s="43">
        <f t="shared" si="67"/>
        <v>6829.913700000001</v>
      </c>
      <c r="R239" s="44">
        <f t="shared" ref="R239:R246" si="71">T239+U239</f>
        <v>6210.93</v>
      </c>
      <c r="S239" s="45">
        <f t="shared" si="69"/>
        <v>179.16158012429241</v>
      </c>
      <c r="T239" s="45">
        <v>5710.93</v>
      </c>
      <c r="U239" s="46">
        <v>500</v>
      </c>
      <c r="V239" s="46"/>
      <c r="W239"/>
      <c r="X239" s="23"/>
      <c r="Y239" s="73" t="s">
        <v>2663</v>
      </c>
      <c r="Z239" s="47">
        <f>_xlfn.XLOOKUP(Y239,'relaties_export_2026-01-12_1609'!B:B,'relaties_export_2026-01-12_1609'!A:A,"",3)</f>
        <v>763</v>
      </c>
      <c r="AA239" s="47" t="str">
        <f>_xlfn.XLOOKUP(Z239,'relaties_export_2026-01-12_1609'!A:A,'relaties_export_2026-01-12_1609'!B:B,"",3)</f>
        <v>T. Eenhuistra/J. Pluimakers</v>
      </c>
      <c r="AB239" s="171" t="s">
        <v>3506</v>
      </c>
      <c r="AC239" s="43">
        <v>4300</v>
      </c>
      <c r="AD239" s="43">
        <v>4300</v>
      </c>
      <c r="AE239" s="43">
        <v>4300</v>
      </c>
      <c r="AF239" s="46">
        <f t="shared" si="70"/>
        <v>124.03855695273612</v>
      </c>
      <c r="AG239" s="49">
        <v>45870</v>
      </c>
      <c r="AH239" s="49">
        <v>46600</v>
      </c>
    </row>
    <row r="240" spans="1:59" s="29" customFormat="1" ht="17" thickBot="1" x14ac:dyDescent="0.25">
      <c r="A240" s="30">
        <v>216</v>
      </c>
      <c r="B240" s="31" t="str">
        <f>_xlfn.XLOOKUP(D240,'[1]Sleutelplan nieuw'!B:B,'[1]Sleutelplan nieuw'!A:A,"",2)</f>
        <v>0226</v>
      </c>
      <c r="C240" s="32" t="s">
        <v>2824</v>
      </c>
      <c r="D240" s="126" t="s">
        <v>3507</v>
      </c>
      <c r="E240" s="107" t="s">
        <v>3508</v>
      </c>
      <c r="F240" s="76" t="s">
        <v>3509</v>
      </c>
      <c r="G240" s="108">
        <v>4</v>
      </c>
      <c r="H240" s="108">
        <v>3</v>
      </c>
      <c r="I240" s="109">
        <v>45212</v>
      </c>
      <c r="J240" s="109">
        <v>45577</v>
      </c>
      <c r="K240" s="78"/>
      <c r="L240" s="114" t="s">
        <v>176</v>
      </c>
      <c r="M240" s="41">
        <f>_xlfn.XLOOKUP(L240,'relaties_export_2026-01-12_1609'!B:B,'relaties_export_2026-01-12_1609'!A:A,"",3)</f>
        <v>32</v>
      </c>
      <c r="N240" s="41" t="str">
        <f>_xlfn.XLOOKUP(M240,'relaties_export_2026-01-12_1609'!A:A,'relaties_export_2026-01-12_1609'!B:B,"",3)</f>
        <v>Interim Jobs B.V.</v>
      </c>
      <c r="P240" s="43">
        <f t="shared" si="66"/>
        <v>597.17999999999984</v>
      </c>
      <c r="Q240" s="43">
        <f t="shared" si="67"/>
        <v>2238.5765999999999</v>
      </c>
      <c r="R240" s="44">
        <f t="shared" si="71"/>
        <v>2053.7399999999998</v>
      </c>
      <c r="S240" s="45">
        <f t="shared" si="69"/>
        <v>118.48509114237778</v>
      </c>
      <c r="T240" s="45">
        <v>2053.7399999999998</v>
      </c>
      <c r="U240" s="46">
        <v>0</v>
      </c>
      <c r="V240" s="46">
        <v>0</v>
      </c>
      <c r="W240"/>
      <c r="X240" s="23"/>
      <c r="Y240" s="56" t="s">
        <v>273</v>
      </c>
      <c r="Z240" s="47">
        <f>_xlfn.XLOOKUP(Y240,'relaties_export_2026-01-12_1609'!B:B,'relaties_export_2026-01-12_1609'!A:A,"",3)</f>
        <v>53</v>
      </c>
      <c r="AA240" s="47" t="str">
        <f>_xlfn.XLOOKUP(Z240,'relaties_export_2026-01-12_1609'!A:A,'relaties_export_2026-01-12_1609'!B:B,"",3)</f>
        <v>Business Housing</v>
      </c>
      <c r="AB240" s="70" t="s">
        <v>3510</v>
      </c>
      <c r="AC240" s="46">
        <f>AD240*1.09</f>
        <v>1587.6504</v>
      </c>
      <c r="AD240" s="70">
        <v>1456.56</v>
      </c>
      <c r="AE240" s="70">
        <v>1456.56</v>
      </c>
      <c r="AF240" s="70">
        <f t="shared" si="70"/>
        <v>84.032372332594093</v>
      </c>
      <c r="AG240" s="49">
        <v>45108</v>
      </c>
      <c r="AH240" s="34" t="s">
        <v>3072</v>
      </c>
      <c r="AI240"/>
      <c r="AJ240"/>
      <c r="AK240" s="80"/>
      <c r="AL240" s="80"/>
      <c r="AO240" s="34"/>
      <c r="AP240" s="34"/>
      <c r="AQ240" s="58"/>
      <c r="AT240" s="81"/>
      <c r="AU240" s="81"/>
      <c r="AX240" s="95"/>
      <c r="AY240" s="86"/>
      <c r="BB240" s="96"/>
    </row>
    <row r="241" spans="1:59" s="29" customFormat="1" ht="17" thickBot="1" x14ac:dyDescent="0.25">
      <c r="A241" s="30">
        <v>217</v>
      </c>
      <c r="B241" s="31" t="str">
        <f>_xlfn.XLOOKUP(D241,'[1]Sleutelplan nieuw'!B:B,'[1]Sleutelplan nieuw'!A:A,"",2)</f>
        <v>0121</v>
      </c>
      <c r="C241" s="32" t="s">
        <v>2824</v>
      </c>
      <c r="D241" s="126" t="s">
        <v>3511</v>
      </c>
      <c r="E241" s="107" t="s">
        <v>3508</v>
      </c>
      <c r="F241" s="76" t="s">
        <v>3509</v>
      </c>
      <c r="G241" s="108">
        <v>9</v>
      </c>
      <c r="H241" s="108">
        <v>8</v>
      </c>
      <c r="I241" s="109">
        <v>44106</v>
      </c>
      <c r="J241" s="109">
        <v>44470</v>
      </c>
      <c r="K241" s="78"/>
      <c r="L241" s="114" t="s">
        <v>176</v>
      </c>
      <c r="M241" s="41">
        <f>_xlfn.XLOOKUP(L241,'relaties_export_2026-01-12_1609'!B:B,'relaties_export_2026-01-12_1609'!A:A,"",3)</f>
        <v>32</v>
      </c>
      <c r="N241" s="41" t="str">
        <f>_xlfn.XLOOKUP(M241,'relaties_export_2026-01-12_1609'!A:A,'relaties_export_2026-01-12_1609'!B:B,"",3)</f>
        <v>Interim Jobs B.V.</v>
      </c>
      <c r="O241" s="115"/>
      <c r="P241" s="43">
        <f t="shared" si="66"/>
        <v>1829.9299999999998</v>
      </c>
      <c r="Q241" s="43">
        <f t="shared" si="67"/>
        <v>5036.7919000000002</v>
      </c>
      <c r="R241" s="44">
        <f t="shared" si="71"/>
        <v>4620.91</v>
      </c>
      <c r="S241" s="45">
        <f t="shared" si="69"/>
        <v>118.48496293715098</v>
      </c>
      <c r="T241" s="45">
        <v>4620.91</v>
      </c>
      <c r="U241" s="46">
        <v>0</v>
      </c>
      <c r="V241" s="46">
        <v>0</v>
      </c>
      <c r="W241"/>
      <c r="X241" s="23"/>
      <c r="Y241" s="56" t="s">
        <v>273</v>
      </c>
      <c r="Z241" s="47">
        <f>_xlfn.XLOOKUP(Y241,'relaties_export_2026-01-12_1609'!B:B,'relaties_export_2026-01-12_1609'!A:A,"",3)</f>
        <v>53</v>
      </c>
      <c r="AA241" s="47" t="str">
        <f>_xlfn.XLOOKUP(Z241,'relaties_export_2026-01-12_1609'!A:A,'relaties_export_2026-01-12_1609'!B:B,"",3)</f>
        <v>Business Housing</v>
      </c>
      <c r="AB241" s="46" t="s">
        <v>3510</v>
      </c>
      <c r="AC241" s="46">
        <f>AD241*1.09</f>
        <v>3042.1682000000001</v>
      </c>
      <c r="AD241" s="46">
        <v>2790.98</v>
      </c>
      <c r="AE241" s="46">
        <v>2790.98</v>
      </c>
      <c r="AF241" s="46">
        <f t="shared" si="70"/>
        <v>71.563644792547279</v>
      </c>
      <c r="AG241" s="49">
        <v>44835</v>
      </c>
      <c r="AH241" s="49">
        <v>45565</v>
      </c>
      <c r="AI241" t="s">
        <v>2997</v>
      </c>
      <c r="AJ241" t="s">
        <v>2998</v>
      </c>
      <c r="AK241" s="80">
        <v>44107</v>
      </c>
      <c r="AL241" s="80">
        <v>44471</v>
      </c>
      <c r="AM241" s="29" t="s">
        <v>2999</v>
      </c>
      <c r="AO241" s="34" t="s">
        <v>3195</v>
      </c>
      <c r="AP241" s="34"/>
      <c r="AQ241" s="58"/>
      <c r="AR241" s="29" t="s">
        <v>3293</v>
      </c>
      <c r="AS241" s="29" t="s">
        <v>2998</v>
      </c>
      <c r="AT241" s="81">
        <v>44106</v>
      </c>
      <c r="AU241" s="81">
        <v>44470</v>
      </c>
      <c r="AV241" s="29" t="s">
        <v>3081</v>
      </c>
      <c r="AW241" s="29" t="s">
        <v>3003</v>
      </c>
      <c r="AX241" s="95" t="s">
        <v>3495</v>
      </c>
      <c r="AY241" s="82"/>
    </row>
    <row r="242" spans="1:59" s="29" customFormat="1" ht="17" thickBot="1" x14ac:dyDescent="0.25">
      <c r="A242" s="30">
        <v>218</v>
      </c>
      <c r="B242" s="31" t="str">
        <f>_xlfn.XLOOKUP(D242,'[1]Sleutelplan nieuw'!B:B,'[1]Sleutelplan nieuw'!A:A,"",2)</f>
        <v>0179</v>
      </c>
      <c r="C242" s="32" t="s">
        <v>2824</v>
      </c>
      <c r="D242" s="126" t="s">
        <v>3512</v>
      </c>
      <c r="E242" s="107" t="s">
        <v>3513</v>
      </c>
      <c r="F242" s="76" t="s">
        <v>3185</v>
      </c>
      <c r="G242" s="108">
        <v>6</v>
      </c>
      <c r="H242" s="108">
        <v>4</v>
      </c>
      <c r="I242" s="109">
        <v>45968</v>
      </c>
      <c r="J242" s="109">
        <v>46148</v>
      </c>
      <c r="K242" s="78"/>
      <c r="L242" s="114" t="s">
        <v>3514</v>
      </c>
      <c r="M242" s="41">
        <v>372</v>
      </c>
      <c r="N242" s="41" t="str">
        <f>_xlfn.XLOOKUP(M242,'relaties_export_2026-01-12_1609'!A:A,'relaties_export_2026-01-12_1609'!B:B,"",3)</f>
        <v>N2people B.V.</v>
      </c>
      <c r="O242" s="84" t="s">
        <v>3515</v>
      </c>
      <c r="P242" s="43">
        <f t="shared" si="66"/>
        <v>709.5</v>
      </c>
      <c r="Q242" s="43">
        <f t="shared" si="67"/>
        <v>4178</v>
      </c>
      <c r="R242" s="44">
        <f t="shared" si="71"/>
        <v>3800</v>
      </c>
      <c r="S242" s="45">
        <f t="shared" si="69"/>
        <v>146.15395857996813</v>
      </c>
      <c r="T242" s="45">
        <v>3500</v>
      </c>
      <c r="U242" s="46">
        <v>300</v>
      </c>
      <c r="V242" s="46">
        <v>0</v>
      </c>
      <c r="W242"/>
      <c r="X242" s="23"/>
      <c r="Y242" s="56" t="s">
        <v>2715</v>
      </c>
      <c r="Z242" s="47">
        <f>_xlfn.XLOOKUP(Y242,'relaties_export_2026-01-12_1609'!B:B,'relaties_export_2026-01-12_1609'!A:A,"",3)</f>
        <v>590</v>
      </c>
      <c r="AA242" s="47" t="str">
        <f>_xlfn.XLOOKUP(Z242,'relaties_export_2026-01-12_1609'!A:A,'relaties_export_2026-01-12_1609'!B:B,"",3)</f>
        <v>Digo Real Estate BV</v>
      </c>
      <c r="AB242" s="46" t="s">
        <v>3516</v>
      </c>
      <c r="AC242" s="46">
        <f>AD242*1.09</f>
        <v>3041.6450000000004</v>
      </c>
      <c r="AD242" s="46">
        <v>2790.5</v>
      </c>
      <c r="AE242" s="46">
        <v>2790.5</v>
      </c>
      <c r="AF242" s="46">
        <f t="shared" si="70"/>
        <v>107.32700563615818</v>
      </c>
      <c r="AG242" s="49"/>
      <c r="AH242" s="49"/>
      <c r="AI242"/>
      <c r="AJ242"/>
      <c r="AK242" s="80"/>
      <c r="AL242" s="80"/>
      <c r="AO242" s="34"/>
      <c r="AP242" s="34"/>
      <c r="AQ242" s="58"/>
      <c r="AT242" s="81"/>
      <c r="AU242" s="81"/>
      <c r="AX242" s="95"/>
      <c r="AY242" s="82"/>
    </row>
    <row r="243" spans="1:59" s="29" customFormat="1" ht="17" thickBot="1" x14ac:dyDescent="0.25">
      <c r="A243" s="30">
        <v>219</v>
      </c>
      <c r="B243" s="31" t="str" cm="1">
        <f t="array" ref="B243">_xlfn.XLOOKUP(LEFT(D243,3),LEFT('[1]Sleutelplan nieuw'!B:B,3),'[1]Sleutelplan nieuw'!A:A,"",2)</f>
        <v>0154</v>
      </c>
      <c r="C243" s="32" t="s">
        <v>2824</v>
      </c>
      <c r="D243" s="126" t="s">
        <v>3517</v>
      </c>
      <c r="E243" s="107" t="s">
        <v>3518</v>
      </c>
      <c r="F243" s="76" t="s">
        <v>481</v>
      </c>
      <c r="G243" s="108">
        <v>4</v>
      </c>
      <c r="H243" s="108">
        <v>3</v>
      </c>
      <c r="I243" s="109">
        <v>45597</v>
      </c>
      <c r="J243" s="109">
        <v>45657</v>
      </c>
      <c r="K243" s="78"/>
      <c r="L243" s="114" t="s">
        <v>2672</v>
      </c>
      <c r="M243" s="41">
        <f>_xlfn.XLOOKUP(L243,'relaties_export_2026-01-12_1609'!B:B,'relaties_export_2026-01-12_1609'!A:A,"",3)</f>
        <v>17</v>
      </c>
      <c r="N243" s="41" t="str">
        <f>_xlfn.XLOOKUP(M243,'relaties_export_2026-01-12_1609'!A:A,'relaties_export_2026-01-12_1609'!B:B,"",3)</f>
        <v>Tradiro Services B.V.</v>
      </c>
      <c r="O243" s="115"/>
      <c r="P243" s="43">
        <f t="shared" si="66"/>
        <v>538.15000000000009</v>
      </c>
      <c r="Q243" s="43">
        <f t="shared" si="67"/>
        <v>2681.5835000000002</v>
      </c>
      <c r="R243" s="44">
        <f t="shared" si="71"/>
        <v>2438.15</v>
      </c>
      <c r="S243" s="45">
        <f t="shared" si="69"/>
        <v>140.66260820200631</v>
      </c>
      <c r="T243" s="45">
        <v>2238.15</v>
      </c>
      <c r="U243" s="46">
        <v>200</v>
      </c>
      <c r="V243" s="46">
        <v>0</v>
      </c>
      <c r="W243"/>
      <c r="X243" s="23"/>
      <c r="Y243" s="56" t="s">
        <v>1211</v>
      </c>
      <c r="Z243" s="47">
        <f>_xlfn.XLOOKUP(Y243,'relaties_export_2026-01-12_1609'!B:B,'relaties_export_2026-01-12_1609'!A:A,"",3)</f>
        <v>271</v>
      </c>
      <c r="AA243" s="47" t="str">
        <f>_xlfn.XLOOKUP(Z243,'relaties_export_2026-01-12_1609'!A:A,'relaties_export_2026-01-12_1609'!B:B,"",3)</f>
        <v>Houses2Rent</v>
      </c>
      <c r="AB243" s="46"/>
      <c r="AC243" s="46">
        <f>AD243*1.09</f>
        <v>1853.0000000000002</v>
      </c>
      <c r="AD243" s="46">
        <v>1700</v>
      </c>
      <c r="AE243" s="46">
        <v>1700</v>
      </c>
      <c r="AF243" s="46">
        <f t="shared" si="70"/>
        <v>98.076998520768086</v>
      </c>
      <c r="AG243" s="49"/>
      <c r="AH243" s="49"/>
      <c r="AI243"/>
      <c r="AJ243"/>
      <c r="AK243" s="80"/>
      <c r="AL243" s="80"/>
      <c r="AO243" s="34"/>
      <c r="AP243" s="34"/>
      <c r="AQ243" s="58"/>
      <c r="AT243" s="81"/>
      <c r="AU243" s="81"/>
      <c r="AX243" s="95"/>
      <c r="AY243" s="82"/>
    </row>
    <row r="244" spans="1:59" s="29" customFormat="1" ht="17" thickBot="1" x14ac:dyDescent="0.25">
      <c r="A244" s="30">
        <v>220</v>
      </c>
      <c r="B244" s="31" t="str">
        <f>_xlfn.XLOOKUP(D244,'[1]Sleutelplan nieuw'!B:B,'[1]Sleutelplan nieuw'!A:A,"",2)</f>
        <v>0362</v>
      </c>
      <c r="C244" s="32" t="s">
        <v>2824</v>
      </c>
      <c r="D244" s="126" t="s">
        <v>3519</v>
      </c>
      <c r="E244" s="107" t="s">
        <v>3520</v>
      </c>
      <c r="F244" s="76" t="s">
        <v>84</v>
      </c>
      <c r="G244" s="108">
        <v>4</v>
      </c>
      <c r="H244" s="108">
        <v>2</v>
      </c>
      <c r="I244" s="109">
        <v>45839</v>
      </c>
      <c r="J244" s="109">
        <v>46142</v>
      </c>
      <c r="K244" s="78"/>
      <c r="L244" t="s">
        <v>587</v>
      </c>
      <c r="M244" s="41">
        <f>_xlfn.XLOOKUP(L244,'relaties_export_2026-01-12_1609'!B:B,'relaties_export_2026-01-12_1609'!A:A,"",3)</f>
        <v>126</v>
      </c>
      <c r="N244" s="41" t="str">
        <f>_xlfn.XLOOKUP(M244,'relaties_export_2026-01-12_1609'!A:A,'relaties_export_2026-01-12_1609'!B:B,"",3)</f>
        <v>EU Facility Services</v>
      </c>
      <c r="O244" s="42"/>
      <c r="P244" s="43">
        <f t="shared" si="66"/>
        <v>593.33999999999992</v>
      </c>
      <c r="Q244" s="43">
        <f t="shared" si="67"/>
        <v>3027.5</v>
      </c>
      <c r="R244" s="44">
        <f t="shared" si="71"/>
        <v>2750</v>
      </c>
      <c r="S244" s="45">
        <f t="shared" si="69"/>
        <v>158.65396819536014</v>
      </c>
      <c r="T244" s="45">
        <v>2500</v>
      </c>
      <c r="U244" s="125">
        <v>250</v>
      </c>
      <c r="V244" s="46"/>
      <c r="W244"/>
      <c r="X244" s="23"/>
      <c r="Y244" s="56" t="s">
        <v>2697</v>
      </c>
      <c r="Z244" s="47">
        <f>_xlfn.XLOOKUP(Y244,'relaties_export_2026-01-12_1609'!B:B,'relaties_export_2026-01-12_1609'!A:A,"",3)</f>
        <v>816</v>
      </c>
      <c r="AA244" s="47" t="str">
        <f>_xlfn.XLOOKUP(Z244,'relaties_export_2026-01-12_1609'!A:A,'relaties_export_2026-01-12_1609'!B:B,"",3)</f>
        <v>Dockholland</v>
      </c>
      <c r="AB244" s="46"/>
      <c r="AC244" s="46">
        <f>AD244*1.09</f>
        <v>2078.2594000000004</v>
      </c>
      <c r="AD244" s="46">
        <v>1906.66</v>
      </c>
      <c r="AE244" s="46">
        <v>1906.66</v>
      </c>
      <c r="AF244" s="46">
        <f t="shared" si="70"/>
        <v>109.99969999976923</v>
      </c>
      <c r="AG244" s="49">
        <v>45772</v>
      </c>
      <c r="AH244" s="49">
        <v>46137</v>
      </c>
      <c r="AI244"/>
      <c r="AJ244"/>
      <c r="AK244" s="80"/>
      <c r="AL244" s="80"/>
      <c r="AO244" s="34"/>
      <c r="AP244" s="34"/>
      <c r="AQ244" s="58"/>
      <c r="AT244" s="81"/>
      <c r="AU244" s="81"/>
      <c r="AX244" s="95"/>
      <c r="AY244" s="82"/>
    </row>
    <row r="245" spans="1:59" s="29" customFormat="1" ht="17" thickBot="1" x14ac:dyDescent="0.25">
      <c r="A245" s="30"/>
      <c r="B245" s="31" t="str">
        <f>_xlfn.XLOOKUP(D245,'[1]Sleutelplan nieuw'!B:B,'[1]Sleutelplan nieuw'!A:A,"",3)</f>
        <v>0236</v>
      </c>
      <c r="C245" s="32" t="s">
        <v>2824</v>
      </c>
      <c r="D245" s="126" t="s">
        <v>3521</v>
      </c>
      <c r="E245" s="107" t="s">
        <v>3522</v>
      </c>
      <c r="F245" s="76" t="s">
        <v>84</v>
      </c>
      <c r="G245" s="108"/>
      <c r="H245" s="108"/>
      <c r="I245" s="109"/>
      <c r="J245" s="109"/>
      <c r="K245" s="78"/>
      <c r="L245" s="114" t="s">
        <v>2672</v>
      </c>
      <c r="M245" s="41">
        <f>_xlfn.XLOOKUP(L245,'relaties_export_2026-01-12_1609'!B:B,'relaties_export_2026-01-12_1609'!A:A,"",3)</f>
        <v>17</v>
      </c>
      <c r="N245" s="41" t="str">
        <f>_xlfn.XLOOKUP(M245,'relaties_export_2026-01-12_1609'!A:A,'relaties_export_2026-01-12_1609'!B:B,"",3)</f>
        <v>Tradiro Services B.V.</v>
      </c>
      <c r="O245" s="42"/>
      <c r="P245" s="43"/>
      <c r="Q245" s="43"/>
      <c r="R245" s="44"/>
      <c r="S245" s="45"/>
      <c r="T245" s="45"/>
      <c r="U245" s="125"/>
      <c r="V245" s="46"/>
      <c r="W245"/>
      <c r="X245" s="23"/>
      <c r="Y245" s="56" t="s">
        <v>3523</v>
      </c>
      <c r="Z245" s="47" t="str">
        <f>_xlfn.XLOOKUP(Y245,'relaties_export_2026-01-12_1609'!B:B,'relaties_export_2026-01-12_1609'!A:A,"",3)</f>
        <v/>
      </c>
      <c r="AA245" s="47" t="str">
        <f>_xlfn.XLOOKUP(Z245,'relaties_export_2026-01-12_1609'!A:A,'relaties_export_2026-01-12_1609'!B:B,"",3)</f>
        <v>naam</v>
      </c>
      <c r="AB245" s="69" t="s">
        <v>3524</v>
      </c>
      <c r="AC245" s="46">
        <v>2085.9</v>
      </c>
      <c r="AD245" s="46">
        <v>2085.9</v>
      </c>
      <c r="AE245" s="46">
        <v>1623.9</v>
      </c>
      <c r="AF245" s="46"/>
      <c r="AG245" s="49"/>
      <c r="AH245" s="49"/>
      <c r="AI245"/>
      <c r="AJ245"/>
      <c r="AK245" s="80"/>
      <c r="AL245" s="80"/>
      <c r="AO245" s="34"/>
      <c r="AP245" s="34"/>
      <c r="AQ245" s="58"/>
      <c r="AT245" s="81"/>
      <c r="AU245" s="81"/>
      <c r="AX245" s="95"/>
      <c r="AY245" s="82"/>
    </row>
    <row r="246" spans="1:59" s="29" customFormat="1" ht="17" thickBot="1" x14ac:dyDescent="0.25">
      <c r="A246" s="30">
        <v>221</v>
      </c>
      <c r="B246" s="31" t="str">
        <f>_xlfn.XLOOKUP(D246,'[1]Sleutelplan nieuw'!B:B,'[1]Sleutelplan nieuw'!A:A,"",2)</f>
        <v>0144</v>
      </c>
      <c r="C246" s="32" t="s">
        <v>2831</v>
      </c>
      <c r="D246" s="126" t="s">
        <v>3525</v>
      </c>
      <c r="E246" s="107" t="s">
        <v>3526</v>
      </c>
      <c r="F246" s="76" t="s">
        <v>3527</v>
      </c>
      <c r="G246" s="108">
        <v>6</v>
      </c>
      <c r="H246" s="108">
        <v>6</v>
      </c>
      <c r="I246" s="109">
        <v>45738</v>
      </c>
      <c r="J246" s="109">
        <v>46103</v>
      </c>
      <c r="K246" s="78"/>
      <c r="L246" s="114" t="s">
        <v>3250</v>
      </c>
      <c r="M246" s="41">
        <f>_xlfn.XLOOKUP(L246,'relaties_export_2026-01-12_1609'!B:B,'relaties_export_2026-01-12_1609'!A:A,"",3)</f>
        <v>320</v>
      </c>
      <c r="N246" s="41" t="str">
        <f>_xlfn.XLOOKUP(M246,'relaties_export_2026-01-12_1609'!A:A,'relaties_export_2026-01-12_1609'!B:B,"",3)</f>
        <v>Estra Logistics Systems B.V.</v>
      </c>
      <c r="O246" s="42"/>
      <c r="P246" s="43">
        <f t="shared" si="66"/>
        <v>800</v>
      </c>
      <c r="Q246" s="43">
        <f t="shared" si="67"/>
        <v>4626</v>
      </c>
      <c r="R246" s="44">
        <f t="shared" si="71"/>
        <v>4200</v>
      </c>
      <c r="S246" s="45">
        <f t="shared" si="69"/>
        <v>161.53858579891215</v>
      </c>
      <c r="T246" s="45">
        <v>3800</v>
      </c>
      <c r="U246" s="46">
        <v>400</v>
      </c>
      <c r="V246" s="46">
        <v>0</v>
      </c>
      <c r="W246"/>
      <c r="X246" s="23"/>
      <c r="Y246" s="56" t="s">
        <v>630</v>
      </c>
      <c r="Z246" s="47">
        <f>_xlfn.XLOOKUP(Y246,'relaties_export_2026-01-12_1609'!B:B,'relaties_export_2026-01-12_1609'!A:A,"",3)</f>
        <v>135</v>
      </c>
      <c r="AA246" s="47" t="str">
        <f>_xlfn.XLOOKUP(Z246,'relaties_export_2026-01-12_1609'!A:A,'relaties_export_2026-01-12_1609'!B:B,"",3)</f>
        <v>B. Bosch</v>
      </c>
      <c r="AB246" s="46" t="s">
        <v>3528</v>
      </c>
      <c r="AC246" s="46">
        <v>3000</v>
      </c>
      <c r="AD246" s="46">
        <v>3000</v>
      </c>
      <c r="AE246" s="46">
        <v>3000</v>
      </c>
      <c r="AF246" s="46">
        <f t="shared" si="70"/>
        <v>115.38470414208011</v>
      </c>
      <c r="AG246" s="49">
        <v>45297</v>
      </c>
      <c r="AH246" s="49"/>
      <c r="AI246"/>
      <c r="AJ246"/>
      <c r="AK246" s="80"/>
      <c r="AL246" s="80"/>
      <c r="AO246" s="34"/>
      <c r="AP246" s="34"/>
      <c r="AQ246" s="58"/>
      <c r="AT246" s="81"/>
      <c r="AU246" s="81"/>
      <c r="AX246" s="95"/>
      <c r="AY246" s="82"/>
    </row>
    <row r="247" spans="1:59" s="29" customFormat="1" ht="17" thickBot="1" x14ac:dyDescent="0.25">
      <c r="A247" s="30">
        <v>222</v>
      </c>
      <c r="B247" s="31" t="str">
        <f>_xlfn.XLOOKUP(D247,'[1]Sleutelplan nieuw'!B:B,'[1]Sleutelplan nieuw'!A:A,"",2)</f>
        <v>0197</v>
      </c>
      <c r="C247" s="51" t="s">
        <v>2831</v>
      </c>
      <c r="D247" s="126" t="s">
        <v>3529</v>
      </c>
      <c r="E247" s="107" t="s">
        <v>3526</v>
      </c>
      <c r="F247" s="76" t="s">
        <v>3527</v>
      </c>
      <c r="G247" s="108">
        <v>4</v>
      </c>
      <c r="H247" s="108">
        <v>4</v>
      </c>
      <c r="I247" s="109">
        <v>45591</v>
      </c>
      <c r="J247" s="109">
        <v>45773</v>
      </c>
      <c r="K247" s="117"/>
      <c r="L247" s="114" t="s">
        <v>3450</v>
      </c>
      <c r="M247" s="41">
        <f>_xlfn.XLOOKUP(L247,'relaties_export_2026-01-12_1609'!B:B,'relaties_export_2026-01-12_1609'!A:A,"",3)</f>
        <v>266</v>
      </c>
      <c r="N247" s="41" t="str">
        <f>_xlfn.XLOOKUP(M247,'relaties_export_2026-01-12_1609'!A:A,'relaties_export_2026-01-12_1609'!B:B,"",3)</f>
        <v>Flextalent4u Uitzenden B.V.</v>
      </c>
      <c r="O247" s="121" t="s">
        <v>3530</v>
      </c>
      <c r="P247" s="43">
        <f t="shared" si="66"/>
        <v>-2500</v>
      </c>
      <c r="Q247" s="43"/>
      <c r="R247" s="44"/>
      <c r="S247" s="45">
        <v>158.56166043204649</v>
      </c>
      <c r="T247" s="45"/>
      <c r="U247" s="172">
        <v>250</v>
      </c>
      <c r="V247" s="46">
        <v>0</v>
      </c>
      <c r="W247"/>
      <c r="X247" s="23"/>
      <c r="Y247" s="56" t="s">
        <v>630</v>
      </c>
      <c r="Z247" s="47">
        <f>_xlfn.XLOOKUP(Y247,'relaties_export_2026-01-12_1609'!B:B,'relaties_export_2026-01-12_1609'!A:A,"",3)</f>
        <v>135</v>
      </c>
      <c r="AA247" s="47" t="str">
        <f>_xlfn.XLOOKUP(Z247,'relaties_export_2026-01-12_1609'!A:A,'relaties_export_2026-01-12_1609'!B:B,"",3)</f>
        <v>B. Bosch</v>
      </c>
      <c r="AB247" s="46" t="s">
        <v>3528</v>
      </c>
      <c r="AC247" s="46">
        <v>2250</v>
      </c>
      <c r="AD247" s="46">
        <v>2250</v>
      </c>
      <c r="AE247" s="46">
        <v>1950</v>
      </c>
      <c r="AF247" s="46">
        <f t="shared" si="70"/>
        <v>129.80779215984012</v>
      </c>
      <c r="AG247" s="49">
        <v>45078</v>
      </c>
      <c r="AH247" s="49">
        <v>45077</v>
      </c>
      <c r="AI247"/>
      <c r="AJ247"/>
      <c r="AK247" s="80"/>
      <c r="AL247" s="80"/>
      <c r="AO247" s="34"/>
      <c r="AP247" s="34"/>
      <c r="AQ247" s="58"/>
      <c r="AT247" s="81"/>
      <c r="AU247" s="81"/>
      <c r="AX247" s="95"/>
      <c r="AY247" s="82"/>
    </row>
    <row r="248" spans="1:59" s="29" customFormat="1" ht="17" thickBot="1" x14ac:dyDescent="0.25">
      <c r="A248" s="30">
        <v>223</v>
      </c>
      <c r="B248" s="31" t="str">
        <f>_xlfn.XLOOKUP(D248,'[1]Sleutelplan nieuw'!B:B,'[1]Sleutelplan nieuw'!A:A,"",2)</f>
        <v>0239</v>
      </c>
      <c r="C248" s="32" t="s">
        <v>2824</v>
      </c>
      <c r="D248" s="126" t="s">
        <v>3531</v>
      </c>
      <c r="E248" s="107" t="s">
        <v>3532</v>
      </c>
      <c r="F248" s="76" t="s">
        <v>84</v>
      </c>
      <c r="G248" s="108">
        <v>4</v>
      </c>
      <c r="H248" s="108">
        <v>2</v>
      </c>
      <c r="I248" s="109">
        <v>45819</v>
      </c>
      <c r="J248" s="109">
        <v>46183</v>
      </c>
      <c r="K248" s="78"/>
      <c r="L248" t="s">
        <v>587</v>
      </c>
      <c r="M248" s="41">
        <f>_xlfn.XLOOKUP(L248,'relaties_export_2026-01-12_1609'!B:B,'relaties_export_2026-01-12_1609'!A:A,"",3)</f>
        <v>126</v>
      </c>
      <c r="N248" s="41" t="str">
        <f>_xlfn.XLOOKUP(M248,'relaties_export_2026-01-12_1609'!A:A,'relaties_export_2026-01-12_1609'!B:B,"",3)</f>
        <v>EU Facility Services</v>
      </c>
      <c r="O248" s="42"/>
      <c r="P248" s="43">
        <f t="shared" si="66"/>
        <v>973</v>
      </c>
      <c r="Q248" s="43">
        <f t="shared" ref="Q248:Q256" si="72">T248*1.09+U248*1.21</f>
        <v>2809.5</v>
      </c>
      <c r="R248" s="44">
        <f t="shared" ref="R248:R261" si="73">T248+U248</f>
        <v>2550</v>
      </c>
      <c r="S248" s="45">
        <f t="shared" ref="S248:S263" si="74">(R248/G248)/4.33333</f>
        <v>147.11549778115213</v>
      </c>
      <c r="T248" s="45">
        <v>2300</v>
      </c>
      <c r="U248" s="125">
        <v>250</v>
      </c>
      <c r="V248" s="46"/>
      <c r="W248"/>
      <c r="X248" s="23"/>
      <c r="Y248" s="56" t="s">
        <v>3533</v>
      </c>
      <c r="Z248" s="47" t="str">
        <f>_xlfn.XLOOKUP(Y248,'relaties_export_2026-01-12_1609'!B:B,'relaties_export_2026-01-12_1609'!A:A,"",3)</f>
        <v/>
      </c>
      <c r="AA248" s="47" t="str">
        <f>_xlfn.XLOOKUP(Z248,'relaties_export_2026-01-12_1609'!A:A,'relaties_export_2026-01-12_1609'!B:B,"",3)</f>
        <v>naam</v>
      </c>
      <c r="AB248" s="69" t="s">
        <v>3110</v>
      </c>
      <c r="AC248" s="46">
        <v>1327</v>
      </c>
      <c r="AD248" s="46">
        <v>1327</v>
      </c>
      <c r="AE248" s="46">
        <v>1327</v>
      </c>
      <c r="AF248" s="46">
        <f t="shared" si="70"/>
        <v>76.557751198270154</v>
      </c>
      <c r="AG248" s="49"/>
      <c r="AH248" s="49"/>
      <c r="AI248"/>
      <c r="AJ248"/>
      <c r="AK248" s="80"/>
      <c r="AL248" s="80"/>
      <c r="AO248" s="34"/>
      <c r="AP248" s="34"/>
      <c r="AQ248" s="58"/>
      <c r="AT248" s="81"/>
      <c r="AU248" s="81"/>
      <c r="AX248" s="95"/>
      <c r="AY248" s="82"/>
    </row>
    <row r="249" spans="1:59" s="29" customFormat="1" ht="17" thickBot="1" x14ac:dyDescent="0.25">
      <c r="A249" s="30"/>
      <c r="B249" s="31" t="str">
        <f>_xlfn.XLOOKUP(D249,'[1]Sleutelplan nieuw'!B:B,'[1]Sleutelplan nieuw'!A:A,"",2)</f>
        <v>0164</v>
      </c>
      <c r="C249" s="32" t="s">
        <v>2824</v>
      </c>
      <c r="D249" s="126" t="s">
        <v>3534</v>
      </c>
      <c r="E249" s="107" t="s">
        <v>3535</v>
      </c>
      <c r="F249" s="76" t="s">
        <v>84</v>
      </c>
      <c r="G249" s="108"/>
      <c r="H249" s="108"/>
      <c r="I249" s="109"/>
      <c r="J249" s="109"/>
      <c r="K249" s="78"/>
      <c r="L249" s="173" t="s">
        <v>2672</v>
      </c>
      <c r="M249" s="41">
        <f>_xlfn.XLOOKUP(L249,'relaties_export_2026-01-12_1609'!B:B,'relaties_export_2026-01-12_1609'!A:A,"",3)</f>
        <v>17</v>
      </c>
      <c r="N249" s="41" t="str">
        <f>_xlfn.XLOOKUP(M249,'relaties_export_2026-01-12_1609'!A:A,'relaties_export_2026-01-12_1609'!B:B,"",3)</f>
        <v>Tradiro Services B.V.</v>
      </c>
      <c r="O249" s="42"/>
      <c r="P249" s="43"/>
      <c r="Q249" s="43"/>
      <c r="R249" s="44"/>
      <c r="S249" s="45"/>
      <c r="T249" s="45"/>
      <c r="U249" s="45"/>
      <c r="V249" s="46"/>
      <c r="W249"/>
      <c r="X249" s="23"/>
      <c r="Y249" s="56" t="s">
        <v>3533</v>
      </c>
      <c r="Z249" s="47" t="str">
        <f>_xlfn.XLOOKUP(Y249,'relaties_export_2026-01-12_1609'!B:B,'relaties_export_2026-01-12_1609'!A:A,"",3)</f>
        <v/>
      </c>
      <c r="AA249" s="47" t="str">
        <f>_xlfn.XLOOKUP(Z249,'relaties_export_2026-01-12_1609'!A:A,'relaties_export_2026-01-12_1609'!B:B,"",3)</f>
        <v>naam</v>
      </c>
      <c r="AB249" s="69" t="s">
        <v>3110</v>
      </c>
      <c r="AC249" s="46">
        <v>1415</v>
      </c>
      <c r="AD249" s="46">
        <v>1415</v>
      </c>
      <c r="AE249" s="46">
        <v>1415</v>
      </c>
      <c r="AF249" s="46"/>
      <c r="AG249" s="49"/>
      <c r="AH249" s="49"/>
      <c r="AI249"/>
      <c r="AJ249"/>
      <c r="AK249" s="80"/>
      <c r="AL249" s="80"/>
      <c r="AO249" s="34"/>
      <c r="AP249" s="34"/>
      <c r="AQ249" s="58"/>
      <c r="AT249" s="81"/>
      <c r="AU249" s="81"/>
      <c r="AX249" s="95"/>
      <c r="AY249" s="82"/>
    </row>
    <row r="250" spans="1:59" s="29" customFormat="1" ht="17" thickBot="1" x14ac:dyDescent="0.25">
      <c r="A250" s="30">
        <v>225</v>
      </c>
      <c r="B250" s="31" t="str">
        <f>_xlfn.XLOOKUP(D250,'[1]Sleutelplan nieuw'!B:B,'[1]Sleutelplan nieuw'!A:A,"",2)</f>
        <v>0050</v>
      </c>
      <c r="C250" s="32" t="s">
        <v>2824</v>
      </c>
      <c r="D250" s="126" t="s">
        <v>3536</v>
      </c>
      <c r="E250" s="107" t="s">
        <v>3537</v>
      </c>
      <c r="F250" s="76" t="s">
        <v>549</v>
      </c>
      <c r="G250" s="108">
        <v>7</v>
      </c>
      <c r="H250" s="108">
        <v>7</v>
      </c>
      <c r="I250" s="109">
        <v>45509</v>
      </c>
      <c r="J250" s="109">
        <v>45692</v>
      </c>
      <c r="K250" s="78"/>
      <c r="L250" s="114" t="s">
        <v>3538</v>
      </c>
      <c r="M250" s="41">
        <v>312</v>
      </c>
      <c r="N250" s="41" t="str">
        <f>_xlfn.XLOOKUP(M250,'relaties_export_2026-01-12_1609'!A:A,'relaties_export_2026-01-12_1609'!B:B,"",3)</f>
        <v>Welcome Housing B.V.</v>
      </c>
      <c r="O250" s="115"/>
      <c r="P250" s="43">
        <f t="shared" si="66"/>
        <v>421.17000000000007</v>
      </c>
      <c r="Q250" s="43">
        <f t="shared" si="72"/>
        <v>5022.76</v>
      </c>
      <c r="R250" s="44">
        <f t="shared" si="73"/>
        <v>4564</v>
      </c>
      <c r="S250" s="45">
        <f t="shared" si="74"/>
        <v>150.46165420127247</v>
      </c>
      <c r="T250" s="45">
        <v>4164</v>
      </c>
      <c r="U250" s="46">
        <v>400</v>
      </c>
      <c r="V250" s="46"/>
      <c r="W250"/>
      <c r="X250" s="23"/>
      <c r="Y250" s="73" t="s">
        <v>2663</v>
      </c>
      <c r="Z250" s="47">
        <f>_xlfn.XLOOKUP(Y250,'relaties_export_2026-01-12_1609'!B:B,'relaties_export_2026-01-12_1609'!A:A,"",3)</f>
        <v>763</v>
      </c>
      <c r="AA250" s="47" t="str">
        <f>_xlfn.XLOOKUP(Z250,'relaties_export_2026-01-12_1609'!A:A,'relaties_export_2026-01-12_1609'!B:B,"",3)</f>
        <v>T. Eenhuistra/J. Pluimakers</v>
      </c>
      <c r="AB250" s="46"/>
      <c r="AC250" s="46">
        <v>3749.66</v>
      </c>
      <c r="AD250" s="46">
        <v>3742.83</v>
      </c>
      <c r="AE250" s="46">
        <f>3564.19+146.13</f>
        <v>3710.32</v>
      </c>
      <c r="AF250" s="46">
        <f t="shared" si="70"/>
        <v>123.39009491545761</v>
      </c>
      <c r="AG250" s="49">
        <v>45507</v>
      </c>
      <c r="AH250" s="49">
        <v>46236</v>
      </c>
      <c r="AI250"/>
      <c r="AJ250"/>
      <c r="AK250" s="80"/>
      <c r="AL250" s="80"/>
      <c r="AO250" s="34"/>
      <c r="AP250" s="34"/>
      <c r="AQ250" s="58"/>
      <c r="AT250" s="81"/>
      <c r="AU250" s="81"/>
      <c r="AX250" s="95"/>
      <c r="AY250" s="82"/>
      <c r="BG250" s="49"/>
    </row>
    <row r="251" spans="1:59" s="29" customFormat="1" ht="17" thickBot="1" x14ac:dyDescent="0.25">
      <c r="A251" s="30"/>
      <c r="B251" s="31" t="str">
        <f>_xlfn.XLOOKUP(D251,'[1]Sleutelplan nieuw'!B:B,'[1]Sleutelplan nieuw'!A:A,"",2)</f>
        <v>0243</v>
      </c>
      <c r="C251" s="32" t="s">
        <v>2824</v>
      </c>
      <c r="D251" s="126" t="s">
        <v>3539</v>
      </c>
      <c r="E251" s="107" t="s">
        <v>3540</v>
      </c>
      <c r="F251" s="76" t="s">
        <v>2040</v>
      </c>
      <c r="G251" s="108"/>
      <c r="H251" s="108"/>
      <c r="I251" s="109"/>
      <c r="J251" s="109"/>
      <c r="K251" s="78"/>
      <c r="L251" s="114" t="s">
        <v>2672</v>
      </c>
      <c r="M251" s="41">
        <f>_xlfn.XLOOKUP(L251,'relaties_export_2026-01-12_1609'!B:B,'relaties_export_2026-01-12_1609'!A:A,"",3)</f>
        <v>17</v>
      </c>
      <c r="N251" s="41" t="str">
        <f>_xlfn.XLOOKUP(M251,'relaties_export_2026-01-12_1609'!A:A,'relaties_export_2026-01-12_1609'!B:B,"",3)</f>
        <v>Tradiro Services B.V.</v>
      </c>
      <c r="O251" s="115"/>
      <c r="P251" s="43"/>
      <c r="Q251" s="43"/>
      <c r="R251" s="44"/>
      <c r="S251" s="45"/>
      <c r="T251" s="45"/>
      <c r="U251" s="46"/>
      <c r="V251" s="46"/>
      <c r="W251"/>
      <c r="X251" s="23"/>
      <c r="Y251" s="73" t="s">
        <v>3541</v>
      </c>
      <c r="Z251" s="47" t="str">
        <f>_xlfn.XLOOKUP(Y251,'relaties_export_2026-01-12_1609'!B:B,'relaties_export_2026-01-12_1609'!A:A,"",3)</f>
        <v/>
      </c>
      <c r="AA251" s="47" t="str">
        <f>_xlfn.XLOOKUP(Z251,'relaties_export_2026-01-12_1609'!A:A,'relaties_export_2026-01-12_1609'!B:B,"",3)</f>
        <v>naam</v>
      </c>
      <c r="AB251" s="69" t="s">
        <v>3542</v>
      </c>
      <c r="AC251" s="46">
        <f>AD251*1.21</f>
        <v>5101.6262000000006</v>
      </c>
      <c r="AD251" s="46">
        <v>4216.22</v>
      </c>
      <c r="AE251" s="46">
        <v>4216.22</v>
      </c>
      <c r="AF251" s="46"/>
      <c r="AG251" s="49"/>
      <c r="AH251" s="49"/>
      <c r="AI251"/>
      <c r="AJ251"/>
      <c r="AK251" s="80"/>
      <c r="AL251" s="80"/>
      <c r="AO251" s="34"/>
      <c r="AP251" s="34"/>
      <c r="AQ251" s="58"/>
      <c r="AT251" s="81"/>
      <c r="AU251" s="81"/>
      <c r="AX251" s="95"/>
      <c r="AY251" s="82"/>
      <c r="BG251" s="49"/>
    </row>
    <row r="252" spans="1:59" s="29" customFormat="1" ht="17" thickBot="1" x14ac:dyDescent="0.25">
      <c r="A252" s="30">
        <v>226</v>
      </c>
      <c r="B252" s="31" t="str">
        <f>_xlfn.XLOOKUP(D252,'[1]Sleutelplan nieuw'!B:B,'[1]Sleutelplan nieuw'!A:A,"",2)</f>
        <v>0123</v>
      </c>
      <c r="C252" s="32" t="s">
        <v>2831</v>
      </c>
      <c r="D252" s="126" t="s">
        <v>3543</v>
      </c>
      <c r="E252" s="107" t="s">
        <v>3544</v>
      </c>
      <c r="F252" s="76" t="s">
        <v>1228</v>
      </c>
      <c r="G252" s="108">
        <v>5</v>
      </c>
      <c r="H252" s="108">
        <v>5</v>
      </c>
      <c r="I252" s="109">
        <v>45794</v>
      </c>
      <c r="J252" s="109">
        <v>45946</v>
      </c>
      <c r="K252" s="78"/>
      <c r="L252" t="s">
        <v>1273</v>
      </c>
      <c r="M252" s="41">
        <f>_xlfn.XLOOKUP(L252,'relaties_export_2026-01-12_1609'!B:B,'relaties_export_2026-01-12_1609'!A:A,"",3)</f>
        <v>286</v>
      </c>
      <c r="N252" s="41" t="str">
        <f>_xlfn.XLOOKUP(M252,'relaties_export_2026-01-12_1609'!A:A,'relaties_export_2026-01-12_1609'!B:B,"",3)</f>
        <v>Team Unica B.V.</v>
      </c>
      <c r="O252" s="115" t="s">
        <v>3669</v>
      </c>
      <c r="P252" s="43">
        <f t="shared" si="66"/>
        <v>392.63000000000011</v>
      </c>
      <c r="Q252" s="43">
        <f t="shared" si="72"/>
        <v>3251.5</v>
      </c>
      <c r="R252" s="44">
        <f t="shared" si="73"/>
        <v>2950</v>
      </c>
      <c r="S252" s="45">
        <f t="shared" si="74"/>
        <v>136.15395088765453</v>
      </c>
      <c r="T252" s="45">
        <v>2650</v>
      </c>
      <c r="U252" s="46">
        <v>300</v>
      </c>
      <c r="V252" s="46">
        <v>0</v>
      </c>
      <c r="W252"/>
      <c r="X252" s="23"/>
      <c r="Y252" s="56" t="s">
        <v>2698</v>
      </c>
      <c r="Z252" s="47">
        <f>_xlfn.XLOOKUP(Y252,'relaties_export_2026-01-12_1609'!B:B,'relaties_export_2026-01-12_1609'!A:A,"",3)</f>
        <v>175</v>
      </c>
      <c r="AA252" s="47" t="str">
        <f>_xlfn.XLOOKUP(Z252,'relaties_export_2026-01-12_1609'!A:A,'relaties_export_2026-01-12_1609'!B:B,"",3)</f>
        <v>Dhr. J.L. Meerding</v>
      </c>
      <c r="AB252" s="46" t="s">
        <v>2960</v>
      </c>
      <c r="AC252" s="46">
        <v>2257.37</v>
      </c>
      <c r="AD252" s="46">
        <v>2257.37</v>
      </c>
      <c r="AE252" s="46">
        <v>2257.37</v>
      </c>
      <c r="AF252" s="46">
        <f t="shared" si="70"/>
        <v>104.18638783568295</v>
      </c>
      <c r="AG252" s="49">
        <v>44805</v>
      </c>
      <c r="AH252" s="49">
        <v>46630</v>
      </c>
      <c r="AI252"/>
      <c r="AJ252"/>
      <c r="AK252" s="80"/>
      <c r="AL252" s="80"/>
      <c r="AO252" s="34"/>
      <c r="AP252" s="34"/>
      <c r="AQ252" s="58"/>
      <c r="AT252" s="81"/>
      <c r="AU252" s="81"/>
      <c r="AX252" s="95"/>
      <c r="AY252" s="82"/>
    </row>
    <row r="253" spans="1:59" s="29" customFormat="1" ht="17" thickBot="1" x14ac:dyDescent="0.25">
      <c r="A253" s="30">
        <v>227</v>
      </c>
      <c r="B253" s="31" t="str">
        <f>_xlfn.XLOOKUP(D253,'[1]Sleutelplan nieuw'!B:B,'[1]Sleutelplan nieuw'!A:A,"",2)</f>
        <v>0124</v>
      </c>
      <c r="C253" s="32" t="s">
        <v>2831</v>
      </c>
      <c r="D253" s="126" t="s">
        <v>3545</v>
      </c>
      <c r="E253" s="107" t="s">
        <v>3546</v>
      </c>
      <c r="F253" s="76" t="s">
        <v>167</v>
      </c>
      <c r="G253" s="108">
        <v>4</v>
      </c>
      <c r="H253" s="108">
        <v>4</v>
      </c>
      <c r="I253" s="174">
        <v>44682</v>
      </c>
      <c r="J253" s="175">
        <v>45046</v>
      </c>
      <c r="K253" s="78"/>
      <c r="L253" s="114" t="s">
        <v>3547</v>
      </c>
      <c r="M253" s="41">
        <v>13</v>
      </c>
      <c r="N253" s="41" t="str">
        <f>_xlfn.XLOOKUP(M253,'relaties_export_2026-01-12_1609'!A:A,'relaties_export_2026-01-12_1609'!B:B,"",3)</f>
        <v>United Homes B.V.</v>
      </c>
      <c r="O253" s="42"/>
      <c r="P253" s="43">
        <f t="shared" si="66"/>
        <v>214.44999999999982</v>
      </c>
      <c r="Q253" s="43">
        <f t="shared" si="72"/>
        <v>3205.6387</v>
      </c>
      <c r="R253" s="44">
        <f t="shared" si="73"/>
        <v>2913.43</v>
      </c>
      <c r="S253" s="45">
        <f t="shared" si="74"/>
        <v>168.08262929433022</v>
      </c>
      <c r="T253" s="45">
        <v>2663.43</v>
      </c>
      <c r="U253" s="46">
        <v>250</v>
      </c>
      <c r="V253" s="46">
        <v>0</v>
      </c>
      <c r="W253"/>
      <c r="X253" s="23"/>
      <c r="Y253" s="56" t="s">
        <v>383</v>
      </c>
      <c r="Z253" s="47">
        <f>_xlfn.XLOOKUP(Y253,'relaties_export_2026-01-12_1609'!B:B,'relaties_export_2026-01-12_1609'!A:A,"",3)</f>
        <v>77</v>
      </c>
      <c r="AA253" s="47" t="str">
        <f>_xlfn.XLOOKUP(Z253,'relaties_export_2026-01-12_1609'!A:A,'relaties_export_2026-01-12_1609'!B:B,"",3)</f>
        <v>A.P.W. Koedooder</v>
      </c>
      <c r="AB253" s="46" t="s">
        <v>2949</v>
      </c>
      <c r="AC253" s="46">
        <v>2448.98</v>
      </c>
      <c r="AD253" s="46">
        <v>2448.98</v>
      </c>
      <c r="AE253" s="46">
        <v>2448.98</v>
      </c>
      <c r="AF253" s="46">
        <f t="shared" si="70"/>
        <v>141.28741637493567</v>
      </c>
      <c r="AG253" s="49">
        <v>44223</v>
      </c>
      <c r="AH253" s="49">
        <v>44587</v>
      </c>
      <c r="AI253" t="s">
        <v>3293</v>
      </c>
      <c r="AJ253" t="s">
        <v>2998</v>
      </c>
      <c r="AK253" s="80">
        <v>44223</v>
      </c>
      <c r="AL253" s="80">
        <v>44587</v>
      </c>
      <c r="AM253" s="29" t="s">
        <v>3081</v>
      </c>
      <c r="AO253" s="34" t="s">
        <v>3003</v>
      </c>
      <c r="AP253" s="34"/>
      <c r="AQ253" s="58"/>
      <c r="AR253" s="29" t="s">
        <v>3293</v>
      </c>
      <c r="AS253" s="81" t="s">
        <v>3378</v>
      </c>
      <c r="AT253" s="81">
        <v>44221</v>
      </c>
      <c r="AU253" s="81">
        <v>44221</v>
      </c>
      <c r="AV253" s="29" t="s">
        <v>3081</v>
      </c>
      <c r="AW253" s="29" t="s">
        <v>3003</v>
      </c>
      <c r="AX253" s="95" t="s">
        <v>3495</v>
      </c>
      <c r="AY253" s="86"/>
      <c r="AZ253" s="29" t="s">
        <v>3548</v>
      </c>
    </row>
    <row r="254" spans="1:59" s="29" customFormat="1" ht="17" thickBot="1" x14ac:dyDescent="0.25">
      <c r="A254" s="30"/>
      <c r="B254" s="31" t="str">
        <f>_xlfn.XLOOKUP(D254,'[1]Sleutelplan nieuw'!B:B,'[1]Sleutelplan nieuw'!A:A,"",2)</f>
        <v>0399</v>
      </c>
      <c r="C254" s="32"/>
      <c r="D254" s="126"/>
      <c r="E254" s="107"/>
      <c r="F254" s="76"/>
      <c r="G254" s="176"/>
      <c r="H254" s="176"/>
      <c r="I254" s="174"/>
      <c r="J254" s="175"/>
      <c r="K254" s="78"/>
      <c r="L254" s="114"/>
      <c r="M254" s="41" t="str">
        <f>_xlfn.XLOOKUP(L254,'relaties_export_2026-01-12_1609'!B:B,'relaties_export_2026-01-12_1609'!A:A,"",3)</f>
        <v>id</v>
      </c>
      <c r="N254" s="41" t="str">
        <f>_xlfn.XLOOKUP(M254,'relaties_export_2026-01-12_1609'!A:A,'relaties_export_2026-01-12_1609'!B:B,"",3)</f>
        <v>naam</v>
      </c>
      <c r="O254" s="42"/>
      <c r="P254" s="43"/>
      <c r="Q254" s="43"/>
      <c r="R254" s="44"/>
      <c r="S254" s="45"/>
      <c r="T254" s="45"/>
      <c r="U254" s="46"/>
      <c r="V254" s="46"/>
      <c r="W254"/>
      <c r="X254" s="23"/>
      <c r="Y254" s="56"/>
      <c r="Z254" s="47" t="str">
        <f>_xlfn.XLOOKUP(Y254,'relaties_export_2026-01-12_1609'!B:B,'relaties_export_2026-01-12_1609'!A:A,"",3)</f>
        <v>id</v>
      </c>
      <c r="AA254" s="47" t="str">
        <f>_xlfn.XLOOKUP(Z254,'relaties_export_2026-01-12_1609'!A:A,'relaties_export_2026-01-12_1609'!B:B,"",3)</f>
        <v>naam</v>
      </c>
      <c r="AB254" s="46"/>
      <c r="AC254" s="46"/>
      <c r="AD254" s="46"/>
      <c r="AE254" s="46"/>
      <c r="AF254" s="46"/>
      <c r="AG254" s="49"/>
      <c r="AH254" s="49"/>
      <c r="AI254"/>
      <c r="AJ254"/>
      <c r="AK254" s="80"/>
      <c r="AL254" s="80"/>
      <c r="AO254" s="34"/>
      <c r="AP254" s="34"/>
      <c r="AQ254" s="58"/>
      <c r="AS254" s="81"/>
      <c r="AT254" s="81"/>
      <c r="AU254" s="81"/>
      <c r="AX254" s="95"/>
      <c r="AY254" s="86"/>
    </row>
    <row r="255" spans="1:59" s="29" customFormat="1" ht="17" thickBot="1" x14ac:dyDescent="0.25">
      <c r="A255" s="30">
        <v>229</v>
      </c>
      <c r="B255" s="31" t="str">
        <f>_xlfn.XLOOKUP(D255,'[1]Sleutelplan nieuw'!B:B,'[1]Sleutelplan nieuw'!A:A,"",2)</f>
        <v>0200</v>
      </c>
      <c r="C255" s="51" t="s">
        <v>2831</v>
      </c>
      <c r="D255" s="177" t="s">
        <v>3549</v>
      </c>
      <c r="E255" s="141" t="s">
        <v>3550</v>
      </c>
      <c r="F255" s="76" t="s">
        <v>3551</v>
      </c>
      <c r="G255" s="88">
        <v>4</v>
      </c>
      <c r="H255" s="88">
        <v>4</v>
      </c>
      <c r="I255" s="78">
        <v>45170</v>
      </c>
      <c r="J255" s="78">
        <v>45350</v>
      </c>
      <c r="K255" s="78"/>
      <c r="L255" s="83" t="s">
        <v>1082</v>
      </c>
      <c r="M255" s="41">
        <f>_xlfn.XLOOKUP(L255,'relaties_export_2026-01-12_1609'!B:B,'relaties_export_2026-01-12_1609'!A:A,"",3)</f>
        <v>235</v>
      </c>
      <c r="N255" s="41" t="str">
        <f>_xlfn.XLOOKUP(M255,'relaties_export_2026-01-12_1609'!A:A,'relaties_export_2026-01-12_1609'!B:B,"",3)</f>
        <v>THS EU B.V.</v>
      </c>
      <c r="O255" s="42"/>
      <c r="P255" s="43">
        <f t="shared" si="66"/>
        <v>789.62999999999988</v>
      </c>
      <c r="Q255" s="43">
        <f t="shared" si="72"/>
        <v>3217.7386999999999</v>
      </c>
      <c r="R255" s="44">
        <f t="shared" si="73"/>
        <v>2923.43</v>
      </c>
      <c r="S255" s="45">
        <f t="shared" si="74"/>
        <v>168.65955281504063</v>
      </c>
      <c r="T255" s="45">
        <v>2663.43</v>
      </c>
      <c r="U255" s="46">
        <v>260</v>
      </c>
      <c r="V255" s="46">
        <v>0</v>
      </c>
      <c r="W255"/>
      <c r="X255" s="23"/>
      <c r="Y255" s="56" t="s">
        <v>2661</v>
      </c>
      <c r="Z255" s="47">
        <f>_xlfn.XLOOKUP(Y255,'relaties_export_2026-01-12_1609'!B:B,'relaties_export_2026-01-12_1609'!A:A,"",3)</f>
        <v>752</v>
      </c>
      <c r="AA255" s="47" t="str">
        <f>_xlfn.XLOOKUP(Z255,'relaties_export_2026-01-12_1609'!A:A,'relaties_export_2026-01-12_1609'!B:B,"",3)</f>
        <v>H. Heijdra</v>
      </c>
      <c r="AB255" s="46" t="s">
        <v>3552</v>
      </c>
      <c r="AC255" s="46">
        <v>1873.8</v>
      </c>
      <c r="AD255" s="46">
        <v>1873.8</v>
      </c>
      <c r="AE255" s="46">
        <v>1873.8</v>
      </c>
      <c r="AF255" s="46">
        <f t="shared" si="70"/>
        <v>108.10392931071485</v>
      </c>
      <c r="AG255" s="49">
        <v>45108</v>
      </c>
      <c r="AH255" s="49">
        <v>45473</v>
      </c>
      <c r="AI255"/>
      <c r="AJ255"/>
      <c r="AK255" s="80"/>
      <c r="AL255" s="80"/>
      <c r="AO255" s="34"/>
      <c r="AP255" s="34"/>
      <c r="AQ255" s="58"/>
      <c r="AT255" s="81"/>
      <c r="AU255" s="81"/>
      <c r="AX255" s="95"/>
      <c r="AY255" s="82"/>
    </row>
    <row r="256" spans="1:59" s="29" customFormat="1" ht="17" thickBot="1" x14ac:dyDescent="0.25">
      <c r="A256" s="30">
        <v>230</v>
      </c>
      <c r="B256" s="31" t="str">
        <f>_xlfn.XLOOKUP(D256,'[1]Sleutelplan nieuw'!B:B,'[1]Sleutelplan nieuw'!A:A,"",2)</f>
        <v>0099</v>
      </c>
      <c r="C256" s="51" t="s">
        <v>2824</v>
      </c>
      <c r="D256" s="177" t="s">
        <v>3553</v>
      </c>
      <c r="E256" s="141" t="s">
        <v>3554</v>
      </c>
      <c r="F256" s="76" t="s">
        <v>1214</v>
      </c>
      <c r="G256" s="88">
        <v>6</v>
      </c>
      <c r="H256" s="88">
        <v>3</v>
      </c>
      <c r="I256" s="78">
        <v>45395</v>
      </c>
      <c r="J256" s="78">
        <v>45759</v>
      </c>
      <c r="K256" s="78"/>
      <c r="L256" s="83" t="s">
        <v>2672</v>
      </c>
      <c r="M256" s="41">
        <f>_xlfn.XLOOKUP(L256,'relaties_export_2026-01-12_1609'!B:B,'relaties_export_2026-01-12_1609'!A:A,"",3)</f>
        <v>17</v>
      </c>
      <c r="N256" s="41" t="str">
        <f>_xlfn.XLOOKUP(M256,'relaties_export_2026-01-12_1609'!A:A,'relaties_export_2026-01-12_1609'!B:B,"",3)</f>
        <v>Tradiro Services B.V.</v>
      </c>
      <c r="O256" s="42"/>
      <c r="P256" s="43">
        <f t="shared" si="66"/>
        <v>442.42000000000007</v>
      </c>
      <c r="Q256" s="43">
        <f t="shared" si="72"/>
        <v>3687.7425000000003</v>
      </c>
      <c r="R256" s="44">
        <f t="shared" si="73"/>
        <v>3383.25</v>
      </c>
      <c r="S256" s="45">
        <f t="shared" si="74"/>
        <v>130.12510009623085</v>
      </c>
      <c r="T256" s="45">
        <v>3383.25</v>
      </c>
      <c r="U256" s="46">
        <v>0</v>
      </c>
      <c r="V256" s="46">
        <v>0</v>
      </c>
      <c r="W256"/>
      <c r="X256" s="23"/>
      <c r="Y256" s="56" t="s">
        <v>2716</v>
      </c>
      <c r="Z256" s="47">
        <f>_xlfn.XLOOKUP(Y256,'relaties_export_2026-01-12_1609'!B:B,'relaties_export_2026-01-12_1609'!A:A,"",3)</f>
        <v>835</v>
      </c>
      <c r="AA256" s="47" t="str">
        <f>_xlfn.XLOOKUP(Z256,'relaties_export_2026-01-12_1609'!A:A,'relaties_export_2026-01-12_1609'!B:B,"",3)</f>
        <v>HollandHousing Rental BV</v>
      </c>
      <c r="AB256" s="46" t="s">
        <v>3555</v>
      </c>
      <c r="AC256" s="46">
        <v>2940.83</v>
      </c>
      <c r="AD256" s="46">
        <v>2940.83</v>
      </c>
      <c r="AE256" s="46">
        <v>2940.83</v>
      </c>
      <c r="AF256" s="46">
        <f t="shared" si="70"/>
        <v>113.10893316071781</v>
      </c>
      <c r="AG256" s="49">
        <v>45390</v>
      </c>
      <c r="AH256" s="49">
        <v>45754</v>
      </c>
      <c r="AI256"/>
      <c r="AJ256"/>
      <c r="AK256" s="80"/>
      <c r="AL256" s="80"/>
      <c r="AO256" s="34"/>
      <c r="AP256" s="34"/>
      <c r="AQ256" s="58"/>
      <c r="AT256" s="81"/>
      <c r="AU256" s="81"/>
      <c r="AX256" s="95"/>
      <c r="AY256" s="82"/>
    </row>
    <row r="257" spans="1:51" s="29" customFormat="1" ht="17" thickBot="1" x14ac:dyDescent="0.25">
      <c r="A257" s="30">
        <v>231</v>
      </c>
      <c r="B257" s="31" t="str">
        <f>_xlfn.XLOOKUP(D257,'[1]Sleutelplan nieuw'!B:B,'[1]Sleutelplan nieuw'!A:A,"",2)</f>
        <v>0127</v>
      </c>
      <c r="C257" s="51" t="s">
        <v>2824</v>
      </c>
      <c r="D257" s="177" t="s">
        <v>3556</v>
      </c>
      <c r="E257" s="141" t="s">
        <v>3557</v>
      </c>
      <c r="F257" s="76" t="s">
        <v>84</v>
      </c>
      <c r="G257" s="77">
        <v>5</v>
      </c>
      <c r="H257" s="77">
        <v>3</v>
      </c>
      <c r="I257" s="78">
        <v>44548</v>
      </c>
      <c r="J257" s="78">
        <v>44912</v>
      </c>
      <c r="K257" s="78"/>
      <c r="L257" t="s">
        <v>576</v>
      </c>
      <c r="M257" s="41">
        <f>_xlfn.XLOOKUP(L257,'relaties_export_2026-01-12_1609'!B:B,'relaties_export_2026-01-12_1609'!A:A,"",3)</f>
        <v>124</v>
      </c>
      <c r="N257" s="41" t="str">
        <f>_xlfn.XLOOKUP(M257,'relaties_export_2026-01-12_1609'!A:A,'relaties_export_2026-01-12_1609'!B:B,"",3)</f>
        <v>AmDor Projecten B.V.</v>
      </c>
      <c r="O257" s="42"/>
      <c r="P257" s="43">
        <f t="shared" si="66"/>
        <v>321.23</v>
      </c>
      <c r="Q257" s="43">
        <f>T257*1.09+U257*1.09</f>
        <v>3152.0947000000001</v>
      </c>
      <c r="R257" s="44">
        <f t="shared" si="73"/>
        <v>2891.83</v>
      </c>
      <c r="S257" s="45">
        <f t="shared" si="74"/>
        <v>133.46917959167661</v>
      </c>
      <c r="T257" s="45">
        <v>2516.83</v>
      </c>
      <c r="U257" s="46">
        <v>375</v>
      </c>
      <c r="V257" s="46">
        <v>0</v>
      </c>
      <c r="W257"/>
      <c r="X257" s="23"/>
      <c r="Y257" s="56" t="s">
        <v>2356</v>
      </c>
      <c r="Z257" s="47">
        <f>_xlfn.XLOOKUP(Y257,'relaties_export_2026-01-12_1609'!B:B,'relaties_export_2026-01-12_1609'!A:A,"",3)</f>
        <v>629</v>
      </c>
      <c r="AA257" s="47" t="str">
        <f>_xlfn.XLOOKUP(Z257,'relaties_export_2026-01-12_1609'!A:A,'relaties_export_2026-01-12_1609'!B:B,"",3)</f>
        <v>Jan Luijsterburg Beheer BV</v>
      </c>
      <c r="AB257" s="70" t="s">
        <v>3558</v>
      </c>
      <c r="AC257" s="46">
        <v>2195.6</v>
      </c>
      <c r="AD257" s="46">
        <v>2195.6</v>
      </c>
      <c r="AE257" s="70">
        <v>2195.6</v>
      </c>
      <c r="AF257" s="46">
        <f t="shared" si="70"/>
        <v>101.33546256574043</v>
      </c>
      <c r="AG257" s="49">
        <v>44548</v>
      </c>
      <c r="AH257" s="49">
        <v>44912</v>
      </c>
      <c r="AI257"/>
      <c r="AJ257"/>
      <c r="AK257" s="80"/>
      <c r="AL257" s="80"/>
      <c r="AO257" s="34"/>
      <c r="AP257" s="34"/>
      <c r="AQ257" s="58"/>
      <c r="AT257" s="81"/>
      <c r="AU257" s="81"/>
      <c r="AX257" s="95"/>
      <c r="AY257" s="82"/>
    </row>
    <row r="258" spans="1:51" s="29" customFormat="1" ht="17" thickBot="1" x14ac:dyDescent="0.25">
      <c r="A258" s="30">
        <v>232</v>
      </c>
      <c r="B258" s="31" t="str">
        <f>_xlfn.XLOOKUP(D258,'[1]Sleutelplan nieuw'!B:B,'[1]Sleutelplan nieuw'!A:A,"",2)</f>
        <v>0128</v>
      </c>
      <c r="C258" s="32" t="s">
        <v>2831</v>
      </c>
      <c r="D258" s="126" t="s">
        <v>3559</v>
      </c>
      <c r="E258" s="107" t="s">
        <v>3560</v>
      </c>
      <c r="F258" s="76" t="s">
        <v>1307</v>
      </c>
      <c r="G258" s="176">
        <v>4</v>
      </c>
      <c r="H258" s="176">
        <v>4</v>
      </c>
      <c r="I258" s="109">
        <v>45326</v>
      </c>
      <c r="J258" s="109">
        <v>45691</v>
      </c>
      <c r="K258" s="78" t="s">
        <v>2845</v>
      </c>
      <c r="L258" s="114" t="s">
        <v>1233</v>
      </c>
      <c r="M258" s="41">
        <f>_xlfn.XLOOKUP(L258,'relaties_export_2026-01-12_1609'!B:B,'relaties_export_2026-01-12_1609'!A:A,"",3)</f>
        <v>276</v>
      </c>
      <c r="N258" s="41" t="str">
        <f>_xlfn.XLOOKUP(M258,'relaties_export_2026-01-12_1609'!A:A,'relaties_export_2026-01-12_1609'!B:B,"",3)</f>
        <v>EG Facility &amp; Services BV</v>
      </c>
      <c r="O258" s="115"/>
      <c r="P258" s="43">
        <f t="shared" si="66"/>
        <v>491.23</v>
      </c>
      <c r="Q258" s="43">
        <f t="shared" ref="Q258:Q263" si="75">T258*1.09+U258*1.21</f>
        <v>2524.6907000000001</v>
      </c>
      <c r="R258" s="44">
        <f t="shared" si="73"/>
        <v>2316.23</v>
      </c>
      <c r="S258" s="45">
        <f t="shared" si="74"/>
        <v>133.62875663750509</v>
      </c>
      <c r="T258" s="45">
        <v>2316.23</v>
      </c>
      <c r="U258" s="46">
        <v>0</v>
      </c>
      <c r="V258" s="46">
        <v>0</v>
      </c>
      <c r="W258" s="85"/>
      <c r="X258" s="23"/>
      <c r="Y258" s="56" t="s">
        <v>2717</v>
      </c>
      <c r="Z258" s="47">
        <f>_xlfn.XLOOKUP(Y258,'relaties_export_2026-01-12_1609'!B:B,'relaties_export_2026-01-12_1609'!A:A,"",3)</f>
        <v>836</v>
      </c>
      <c r="AA258" s="47" t="str">
        <f>_xlfn.XLOOKUP(Z258,'relaties_export_2026-01-12_1609'!A:A,'relaties_export_2026-01-12_1609'!B:B,"",3)</f>
        <v>Sjoerd Dolstra</v>
      </c>
      <c r="AB258" s="46" t="s">
        <v>3561</v>
      </c>
      <c r="AC258" s="46">
        <v>1825</v>
      </c>
      <c r="AD258" s="46">
        <v>1825</v>
      </c>
      <c r="AE258" s="46">
        <v>1825</v>
      </c>
      <c r="AF258" s="46">
        <f t="shared" si="70"/>
        <v>105.2885425296481</v>
      </c>
      <c r="AG258" s="49">
        <v>43966</v>
      </c>
      <c r="AH258" s="34" t="s">
        <v>3072</v>
      </c>
      <c r="AI258" t="s">
        <v>3293</v>
      </c>
      <c r="AJ258" t="s">
        <v>3378</v>
      </c>
      <c r="AK258" s="80">
        <v>43966</v>
      </c>
      <c r="AL258" s="80">
        <v>43966</v>
      </c>
      <c r="AM258" s="29" t="s">
        <v>3081</v>
      </c>
      <c r="AO258" s="34" t="s">
        <v>3195</v>
      </c>
      <c r="AP258" s="34"/>
      <c r="AQ258" s="58"/>
      <c r="AR258" s="29" t="s">
        <v>3293</v>
      </c>
      <c r="AS258" s="29" t="s">
        <v>3562</v>
      </c>
      <c r="AT258" s="81">
        <v>43966</v>
      </c>
      <c r="AU258" s="81">
        <v>44088</v>
      </c>
      <c r="AV258" s="29" t="s">
        <v>2999</v>
      </c>
      <c r="AW258" s="29" t="s">
        <v>3195</v>
      </c>
      <c r="AY258" s="82"/>
    </row>
    <row r="259" spans="1:51" s="29" customFormat="1" ht="17" thickBot="1" x14ac:dyDescent="0.25">
      <c r="A259" s="30">
        <v>233</v>
      </c>
      <c r="B259" s="31" t="str">
        <f>_xlfn.XLOOKUP(D259,'[1]Sleutelplan nieuw'!B:B,'[1]Sleutelplan nieuw'!A:A,"",2)</f>
        <v>0249</v>
      </c>
      <c r="C259" s="32" t="s">
        <v>2824</v>
      </c>
      <c r="D259" s="126" t="s">
        <v>3563</v>
      </c>
      <c r="E259" s="107" t="s">
        <v>3564</v>
      </c>
      <c r="F259" s="76" t="s">
        <v>84</v>
      </c>
      <c r="G259" s="176">
        <v>3</v>
      </c>
      <c r="H259" s="176">
        <v>2</v>
      </c>
      <c r="I259" s="109">
        <v>45814</v>
      </c>
      <c r="J259" s="109">
        <v>45813</v>
      </c>
      <c r="K259" s="78"/>
      <c r="L259" s="173" t="s">
        <v>3565</v>
      </c>
      <c r="M259" s="41">
        <f>_xlfn.XLOOKUP(L259,'relaties_export_2026-01-12_1609'!B:B,'relaties_export_2026-01-12_1609'!A:A,"",3)</f>
        <v>87</v>
      </c>
      <c r="N259" s="41" t="str">
        <f>_xlfn.XLOOKUP(M259,'relaties_export_2026-01-12_1609'!A:A,'relaties_export_2026-01-12_1609'!B:B,"",3)</f>
        <v>Industrial Technical Services Srl</v>
      </c>
      <c r="O259" s="115"/>
      <c r="P259" s="43">
        <f t="shared" si="66"/>
        <v>749.47</v>
      </c>
      <c r="Q259" s="43">
        <f t="shared" si="75"/>
        <v>2585.5</v>
      </c>
      <c r="R259" s="44">
        <f t="shared" si="73"/>
        <v>2350</v>
      </c>
      <c r="S259" s="45">
        <f t="shared" si="74"/>
        <v>180.76936982259218</v>
      </c>
      <c r="T259" s="45">
        <v>2150</v>
      </c>
      <c r="U259" s="46">
        <v>200</v>
      </c>
      <c r="V259" s="46"/>
      <c r="W259" s="85"/>
      <c r="X259" s="23"/>
      <c r="Y259" s="56" t="s">
        <v>3181</v>
      </c>
      <c r="Z259" s="47">
        <v>300</v>
      </c>
      <c r="AA259" s="47" t="str">
        <f>_xlfn.XLOOKUP(Z259,'relaties_export_2026-01-12_1609'!A:A,'relaties_export_2026-01-12_1609'!B:B,"",3)</f>
        <v>JES Funding &amp; Beheer B.V.</v>
      </c>
      <c r="AB259" s="46"/>
      <c r="AC259" s="46">
        <f>AD259</f>
        <v>1400.53</v>
      </c>
      <c r="AD259" s="46">
        <v>1400.53</v>
      </c>
      <c r="AE259" s="46">
        <v>1400.53</v>
      </c>
      <c r="AF259" s="46">
        <f t="shared" si="70"/>
        <v>107.7331597947383</v>
      </c>
      <c r="AG259" s="49"/>
      <c r="AH259" s="34"/>
      <c r="AI259"/>
      <c r="AJ259"/>
      <c r="AK259" s="80"/>
      <c r="AL259" s="80"/>
      <c r="AO259" s="34"/>
      <c r="AP259" s="34"/>
      <c r="AQ259" s="58"/>
      <c r="AT259" s="81"/>
      <c r="AU259" s="81"/>
      <c r="AY259" s="82"/>
    </row>
    <row r="260" spans="1:51" s="29" customFormat="1" ht="17" thickBot="1" x14ac:dyDescent="0.25">
      <c r="A260" s="30">
        <v>234</v>
      </c>
      <c r="B260" s="31" t="str">
        <f>_xlfn.XLOOKUP(D260,'[1]Sleutelplan nieuw'!B:B,'[1]Sleutelplan nieuw'!A:A,"",2)</f>
        <v>0129</v>
      </c>
      <c r="C260" s="32" t="s">
        <v>2831</v>
      </c>
      <c r="D260" s="59" t="s">
        <v>3566</v>
      </c>
      <c r="E260" s="60" t="s">
        <v>3567</v>
      </c>
      <c r="F260" s="87" t="s">
        <v>3568</v>
      </c>
      <c r="G260" s="176">
        <v>6</v>
      </c>
      <c r="H260" s="176">
        <v>5</v>
      </c>
      <c r="I260" s="178">
        <v>45275</v>
      </c>
      <c r="J260" s="109">
        <v>45640</v>
      </c>
      <c r="K260" s="78"/>
      <c r="L260" s="114" t="s">
        <v>1202</v>
      </c>
      <c r="M260" s="41">
        <f>_xlfn.XLOOKUP(L260,'relaties_export_2026-01-12_1609'!B:B,'relaties_export_2026-01-12_1609'!A:A,"",3)</f>
        <v>268</v>
      </c>
      <c r="N260" s="41" t="str">
        <f>_xlfn.XLOOKUP(M260,'relaties_export_2026-01-12_1609'!A:A,'relaties_export_2026-01-12_1609'!B:B,"",3)</f>
        <v>People21 Services BV</v>
      </c>
      <c r="O260" s="115"/>
      <c r="P260" s="43">
        <f t="shared" si="66"/>
        <v>1041</v>
      </c>
      <c r="Q260" s="43">
        <f t="shared" si="75"/>
        <v>3404.07</v>
      </c>
      <c r="R260" s="44">
        <f t="shared" si="73"/>
        <v>3123</v>
      </c>
      <c r="S260" s="45">
        <f t="shared" si="74"/>
        <v>120.11547701190538</v>
      </c>
      <c r="T260" s="45">
        <v>3123</v>
      </c>
      <c r="U260" s="46">
        <v>0</v>
      </c>
      <c r="V260" s="46">
        <v>0</v>
      </c>
      <c r="W260"/>
      <c r="X260" s="23"/>
      <c r="Y260" s="56" t="s">
        <v>2736</v>
      </c>
      <c r="Z260" s="47">
        <f>_xlfn.XLOOKUP(Y260,'relaties_export_2026-01-12_1609'!B:B,'relaties_export_2026-01-12_1609'!A:A,"",3)</f>
        <v>855</v>
      </c>
      <c r="AA260" s="47" t="str">
        <f>_xlfn.XLOOKUP(Z260,'relaties_export_2026-01-12_1609'!A:A,'relaties_export_2026-01-12_1609'!B:B,"",3)</f>
        <v>L&amp;T BV</v>
      </c>
      <c r="AB260" s="46" t="s">
        <v>3569</v>
      </c>
      <c r="AC260" s="46">
        <v>2082</v>
      </c>
      <c r="AD260" s="46">
        <v>2082</v>
      </c>
      <c r="AE260" s="46">
        <v>2082</v>
      </c>
      <c r="AF260" s="46">
        <f t="shared" si="70"/>
        <v>80.076984674603594</v>
      </c>
      <c r="AG260" s="49">
        <v>43525</v>
      </c>
      <c r="AH260" s="49">
        <v>43889</v>
      </c>
      <c r="AI260" t="s">
        <v>3293</v>
      </c>
      <c r="AJ260" t="s">
        <v>2998</v>
      </c>
      <c r="AK260" s="80">
        <v>43525</v>
      </c>
      <c r="AL260" s="80">
        <v>43889</v>
      </c>
      <c r="AM260" s="29" t="s">
        <v>2999</v>
      </c>
      <c r="AO260" s="34" t="s">
        <v>3195</v>
      </c>
      <c r="AP260" s="34"/>
      <c r="AQ260" s="58"/>
      <c r="AR260" s="29" t="s">
        <v>3293</v>
      </c>
      <c r="AS260" s="29" t="s">
        <v>2998</v>
      </c>
      <c r="AT260" s="81">
        <v>44003</v>
      </c>
      <c r="AU260" s="81">
        <v>44367</v>
      </c>
      <c r="AV260" s="29" t="s">
        <v>2999</v>
      </c>
      <c r="AW260" s="29" t="s">
        <v>3195</v>
      </c>
      <c r="AY260" s="82"/>
    </row>
    <row r="261" spans="1:51" s="29" customFormat="1" ht="17" thickBot="1" x14ac:dyDescent="0.25">
      <c r="A261" s="30">
        <v>235</v>
      </c>
      <c r="B261" s="31" t="str">
        <f>_xlfn.XLOOKUP(D261,'[1]Sleutelplan nieuw'!B:B,'[1]Sleutelplan nieuw'!A:A,"",2)</f>
        <v>0021</v>
      </c>
      <c r="C261" s="32" t="s">
        <v>2824</v>
      </c>
      <c r="D261" s="59" t="s">
        <v>3570</v>
      </c>
      <c r="E261" s="60" t="s">
        <v>3571</v>
      </c>
      <c r="F261" s="87" t="s">
        <v>1303</v>
      </c>
      <c r="G261" s="88">
        <v>5</v>
      </c>
      <c r="H261" s="88">
        <v>3</v>
      </c>
      <c r="I261" s="89">
        <v>44958</v>
      </c>
      <c r="J261" s="78">
        <v>45323</v>
      </c>
      <c r="K261" s="179"/>
      <c r="L261" s="114" t="s">
        <v>2672</v>
      </c>
      <c r="M261" s="41">
        <f>_xlfn.XLOOKUP(L261,'relaties_export_2026-01-12_1609'!B:B,'relaties_export_2026-01-12_1609'!A:A,"",3)</f>
        <v>17</v>
      </c>
      <c r="N261" s="41" t="str">
        <f>_xlfn.XLOOKUP(M261,'relaties_export_2026-01-12_1609'!A:A,'relaties_export_2026-01-12_1609'!B:B,"",3)</f>
        <v>Tradiro Services B.V.</v>
      </c>
      <c r="O261" s="42" t="s">
        <v>3572</v>
      </c>
      <c r="P261" s="43">
        <f t="shared" si="66"/>
        <v>330.43000000000006</v>
      </c>
      <c r="Q261" s="43">
        <f t="shared" si="75"/>
        <v>1995.1687000000002</v>
      </c>
      <c r="R261" s="44">
        <f t="shared" si="73"/>
        <v>1830.43</v>
      </c>
      <c r="S261" s="45">
        <f t="shared" si="74"/>
        <v>84.481449601115074</v>
      </c>
      <c r="T261" s="45">
        <v>1830.43</v>
      </c>
      <c r="U261" s="46">
        <v>0</v>
      </c>
      <c r="V261" s="46">
        <v>0</v>
      </c>
      <c r="W261"/>
      <c r="X261" s="23"/>
      <c r="Y261" s="73" t="s">
        <v>1162</v>
      </c>
      <c r="Z261" s="47">
        <f>_xlfn.XLOOKUP(Y261,'relaties_export_2026-01-12_1609'!B:B,'relaties_export_2026-01-12_1609'!A:A,"",3)</f>
        <v>258</v>
      </c>
      <c r="AA261" s="47" t="str">
        <f>_xlfn.XLOOKUP(Z261,'relaties_export_2026-01-12_1609'!A:A,'relaties_export_2026-01-12_1609'!B:B,"",3)</f>
        <v>Parkwonen</v>
      </c>
      <c r="AC261" s="43">
        <v>1500</v>
      </c>
      <c r="AD261" s="46">
        <v>1500</v>
      </c>
      <c r="AE261" s="48">
        <v>1500</v>
      </c>
      <c r="AF261" s="70">
        <f t="shared" si="70"/>
        <v>69.230822485248069</v>
      </c>
      <c r="AG261" s="49">
        <v>44927</v>
      </c>
      <c r="AH261" s="49">
        <v>45292</v>
      </c>
    </row>
    <row r="262" spans="1:51" s="29" customFormat="1" ht="17" thickBot="1" x14ac:dyDescent="0.25">
      <c r="A262" s="30"/>
      <c r="B262" s="31" t="str">
        <f>_xlfn.XLOOKUP(D262,'[1]Sleutelplan nieuw'!B:B,'[1]Sleutelplan nieuw'!A:A,"",2)</f>
        <v>0241</v>
      </c>
      <c r="C262" s="32" t="s">
        <v>2824</v>
      </c>
      <c r="D262" s="59" t="s">
        <v>3573</v>
      </c>
      <c r="E262" s="60" t="s">
        <v>3574</v>
      </c>
      <c r="F262" s="87" t="s">
        <v>173</v>
      </c>
      <c r="G262" s="88"/>
      <c r="H262" s="88"/>
      <c r="I262" s="89"/>
      <c r="J262" s="78"/>
      <c r="K262" s="179"/>
      <c r="L262" s="114" t="s">
        <v>2672</v>
      </c>
      <c r="M262" s="41">
        <f>_xlfn.XLOOKUP(L262,'relaties_export_2026-01-12_1609'!B:B,'relaties_export_2026-01-12_1609'!A:A,"",3)</f>
        <v>17</v>
      </c>
      <c r="N262" s="41" t="str">
        <f>_xlfn.XLOOKUP(M262,'relaties_export_2026-01-12_1609'!A:A,'relaties_export_2026-01-12_1609'!B:B,"",3)</f>
        <v>Tradiro Services B.V.</v>
      </c>
      <c r="O262" s="50"/>
      <c r="P262" s="43"/>
      <c r="Q262" s="43"/>
      <c r="R262" s="44"/>
      <c r="S262" s="45"/>
      <c r="T262" s="45"/>
      <c r="U262" s="46"/>
      <c r="V262" s="46"/>
      <c r="W262"/>
      <c r="X262" s="23"/>
      <c r="Y262" s="73" t="s">
        <v>3575</v>
      </c>
      <c r="Z262" s="47">
        <v>295</v>
      </c>
      <c r="AA262" s="47" t="str">
        <f>_xlfn.XLOOKUP(Z262,'relaties_export_2026-01-12_1609'!A:A,'relaties_export_2026-01-12_1609'!B:B,"",3)</f>
        <v>In Stijl Totaalbouw BV</v>
      </c>
      <c r="AC262" s="43">
        <v>1250</v>
      </c>
      <c r="AD262" s="46">
        <v>1250</v>
      </c>
      <c r="AE262" s="48">
        <v>1250</v>
      </c>
      <c r="AF262" s="70"/>
      <c r="AG262" s="49"/>
      <c r="AH262" s="49"/>
    </row>
    <row r="263" spans="1:51" s="29" customFormat="1" ht="17" thickBot="1" x14ac:dyDescent="0.25">
      <c r="A263" s="30">
        <v>237</v>
      </c>
      <c r="B263" s="31" t="str">
        <f>_xlfn.XLOOKUP(D263,'[1]Sleutelplan nieuw'!B:B,'[1]Sleutelplan nieuw'!A:A,"",2)</f>
        <v>0130</v>
      </c>
      <c r="C263" s="32" t="s">
        <v>2824</v>
      </c>
      <c r="D263" s="59" t="s">
        <v>3576</v>
      </c>
      <c r="E263" s="107" t="s">
        <v>3577</v>
      </c>
      <c r="F263" s="87" t="s">
        <v>84</v>
      </c>
      <c r="G263" s="108">
        <v>4</v>
      </c>
      <c r="H263" s="176">
        <v>3</v>
      </c>
      <c r="I263" s="178">
        <v>44835</v>
      </c>
      <c r="J263" s="109">
        <v>44927</v>
      </c>
      <c r="K263" s="78"/>
      <c r="L263" s="114" t="s">
        <v>2839</v>
      </c>
      <c r="M263" s="41">
        <f>_xlfn.XLOOKUP(L263,'relaties_export_2026-01-12_1609'!B:B,'relaties_export_2026-01-12_1609'!A:A,"",3)</f>
        <v>13</v>
      </c>
      <c r="N263" s="41" t="str">
        <f>_xlfn.XLOOKUP(M263,'relaties_export_2026-01-12_1609'!A:A,'relaties_export_2026-01-12_1609'!B:B,"",3)</f>
        <v>United Homes B.V.</v>
      </c>
      <c r="O263" s="94"/>
      <c r="P263" s="43">
        <f t="shared" si="66"/>
        <v>284.28999999999996</v>
      </c>
      <c r="Q263" s="43">
        <f t="shared" si="75"/>
        <v>2435.3761</v>
      </c>
      <c r="R263" s="44">
        <f>T263+U263</f>
        <v>2234.29</v>
      </c>
      <c r="S263" s="45">
        <f t="shared" si="74"/>
        <v>128.90144530880409</v>
      </c>
      <c r="T263" s="45">
        <v>2234.29</v>
      </c>
      <c r="U263" s="46">
        <v>0</v>
      </c>
      <c r="V263" s="46">
        <v>0</v>
      </c>
      <c r="W263"/>
      <c r="X263" s="23"/>
      <c r="Y263" s="56" t="s">
        <v>2737</v>
      </c>
      <c r="Z263" s="47">
        <f>_xlfn.XLOOKUP(Y263,'relaties_export_2026-01-12_1609'!B:B,'relaties_export_2026-01-12_1609'!A:A,"",3)</f>
        <v>121</v>
      </c>
      <c r="AA263" s="47" t="str">
        <f>_xlfn.XLOOKUP(Z263,'relaties_export_2026-01-12_1609'!A:A,'relaties_export_2026-01-12_1609'!B:B,"",3)</f>
        <v>CB-Homes B.V.</v>
      </c>
      <c r="AB263" s="46" t="s">
        <v>3292</v>
      </c>
      <c r="AC263" s="46">
        <f>AD263*1.21</f>
        <v>2359.5</v>
      </c>
      <c r="AD263" s="46">
        <v>1950</v>
      </c>
      <c r="AE263" s="46">
        <v>1950</v>
      </c>
      <c r="AF263" s="46">
        <f t="shared" si="70"/>
        <v>112.50008653852811</v>
      </c>
      <c r="AG263" s="49">
        <v>44743</v>
      </c>
      <c r="AH263" s="49">
        <v>45473</v>
      </c>
      <c r="AI263"/>
      <c r="AJ263"/>
      <c r="AK263" s="80"/>
      <c r="AL263" s="80"/>
      <c r="AO263" s="34"/>
      <c r="AP263" s="34"/>
      <c r="AQ263" s="58"/>
      <c r="AT263" s="81"/>
      <c r="AU263" s="81"/>
      <c r="AY263" s="82"/>
    </row>
    <row r="264" spans="1:51" s="29" customFormat="1" ht="17" thickBot="1" x14ac:dyDescent="0.25">
      <c r="A264" s="30">
        <v>238</v>
      </c>
      <c r="B264" s="31" t="str">
        <f>_xlfn.XLOOKUP(D264,'[1]Sleutelplan nieuw'!B:B,'[1]Sleutelplan nieuw'!A:A,"",2)</f>
        <v>0089</v>
      </c>
      <c r="C264" s="32" t="s">
        <v>2824</v>
      </c>
      <c r="D264" s="59" t="s">
        <v>3578</v>
      </c>
      <c r="E264" s="107" t="s">
        <v>3579</v>
      </c>
      <c r="F264" s="87" t="s">
        <v>84</v>
      </c>
      <c r="G264" s="108">
        <v>2</v>
      </c>
      <c r="H264" s="176">
        <v>2</v>
      </c>
      <c r="I264" s="178">
        <v>45915</v>
      </c>
      <c r="J264" s="109">
        <v>46005</v>
      </c>
      <c r="K264" s="78"/>
      <c r="L264" s="114" t="s">
        <v>3580</v>
      </c>
      <c r="M264" s="41">
        <v>290</v>
      </c>
      <c r="N264" s="41" t="str">
        <f>_xlfn.XLOOKUP(M264,'relaties_export_2026-01-12_1609'!A:A,'relaties_export_2026-01-12_1609'!B:B,"",3)</f>
        <v>Focuzop-eu</v>
      </c>
      <c r="O264" s="93" t="s">
        <v>3581</v>
      </c>
      <c r="P264" s="43">
        <f t="shared" si="66"/>
        <v>-120</v>
      </c>
      <c r="Q264" s="43"/>
      <c r="R264" s="44"/>
      <c r="S264" s="45"/>
      <c r="T264" s="45"/>
      <c r="U264" s="46">
        <v>120</v>
      </c>
      <c r="V264" s="46">
        <v>0</v>
      </c>
      <c r="W264"/>
      <c r="X264" s="23"/>
      <c r="Y264" s="56" t="s">
        <v>2676</v>
      </c>
      <c r="Z264" s="47">
        <f>_xlfn.XLOOKUP(Y264,'relaties_export_2026-01-12_1609'!B:B,'relaties_export_2026-01-12_1609'!A:A,"",3)</f>
        <v>795</v>
      </c>
      <c r="AA264" s="47" t="str">
        <f>_xlfn.XLOOKUP(Z264,'relaties_export_2026-01-12_1609'!A:A,'relaties_export_2026-01-12_1609'!B:B,"",3)</f>
        <v>J.P. Stoel</v>
      </c>
      <c r="AB264" s="69" t="s">
        <v>3582</v>
      </c>
      <c r="AC264" s="46"/>
      <c r="AD264" s="46"/>
      <c r="AE264" s="46"/>
      <c r="AF264" s="46"/>
      <c r="AG264" s="49">
        <v>45444</v>
      </c>
      <c r="AH264" s="49">
        <v>46173</v>
      </c>
      <c r="AI264"/>
      <c r="AJ264"/>
      <c r="AK264" s="80"/>
      <c r="AL264" s="80"/>
      <c r="AO264" s="34"/>
      <c r="AP264" s="34"/>
      <c r="AQ264" s="58"/>
      <c r="AT264" s="81"/>
      <c r="AU264" s="81"/>
      <c r="AY264" s="82"/>
    </row>
    <row r="265" spans="1:51" s="29" customFormat="1" ht="17" thickBot="1" x14ac:dyDescent="0.25">
      <c r="A265" s="30">
        <v>239</v>
      </c>
      <c r="B265" s="64" t="s">
        <v>3583</v>
      </c>
      <c r="C265" s="32" t="s">
        <v>2824</v>
      </c>
      <c r="D265" s="59" t="s">
        <v>3584</v>
      </c>
      <c r="E265" s="107" t="s">
        <v>3585</v>
      </c>
      <c r="F265" s="87" t="s">
        <v>481</v>
      </c>
      <c r="G265" s="108">
        <v>3</v>
      </c>
      <c r="H265" s="176">
        <v>2</v>
      </c>
      <c r="I265" s="178">
        <v>45717</v>
      </c>
      <c r="J265" s="109" t="s">
        <v>3113</v>
      </c>
      <c r="K265" s="78"/>
      <c r="L265" s="114" t="s">
        <v>2672</v>
      </c>
      <c r="M265" s="41">
        <f>_xlfn.XLOOKUP(L265,'relaties_export_2026-01-12_1609'!B:B,'relaties_export_2026-01-12_1609'!A:A,"",3)</f>
        <v>17</v>
      </c>
      <c r="N265" s="41" t="str">
        <f>_xlfn.XLOOKUP(M265,'relaties_export_2026-01-12_1609'!A:A,'relaties_export_2026-01-12_1609'!B:B,"",3)</f>
        <v>Tradiro Services B.V.</v>
      </c>
      <c r="O265" s="94"/>
      <c r="P265" s="43">
        <f t="shared" si="66"/>
        <v>310</v>
      </c>
      <c r="Q265" s="43">
        <f t="shared" ref="Q265:Q275" si="76">T265*1.09+U265*1.21</f>
        <v>1700.4</v>
      </c>
      <c r="R265" s="44">
        <f t="shared" ref="R265:R275" si="77">T265+U265</f>
        <v>1560</v>
      </c>
      <c r="S265" s="45">
        <f t="shared" ref="S265:S275" si="78">(R265/G265)/4.33333</f>
        <v>120.00009230776331</v>
      </c>
      <c r="T265" s="45">
        <v>1560</v>
      </c>
      <c r="U265" s="46">
        <v>0</v>
      </c>
      <c r="V265" s="46"/>
      <c r="W265"/>
      <c r="X265" s="23"/>
      <c r="Y265" s="56" t="s">
        <v>1211</v>
      </c>
      <c r="Z265" s="47">
        <f>_xlfn.XLOOKUP(Y265,'relaties_export_2026-01-12_1609'!B:B,'relaties_export_2026-01-12_1609'!A:A,"",3)</f>
        <v>271</v>
      </c>
      <c r="AA265" s="47" t="str">
        <f>_xlfn.XLOOKUP(Z265,'relaties_export_2026-01-12_1609'!A:A,'relaties_export_2026-01-12_1609'!B:B,"",3)</f>
        <v>Houses2Rent</v>
      </c>
      <c r="AB265" s="69"/>
      <c r="AC265" s="46">
        <v>1250</v>
      </c>
      <c r="AD265" s="46">
        <v>1250</v>
      </c>
      <c r="AE265" s="46">
        <v>1250</v>
      </c>
      <c r="AF265" s="46">
        <f t="shared" si="70"/>
        <v>96.153920118400094</v>
      </c>
      <c r="AG265" s="49">
        <v>45717</v>
      </c>
      <c r="AH265" s="49"/>
      <c r="AI265"/>
      <c r="AJ265"/>
      <c r="AK265" s="80"/>
      <c r="AL265" s="80"/>
      <c r="AO265" s="34"/>
      <c r="AP265" s="34"/>
      <c r="AQ265" s="58"/>
      <c r="AT265" s="81"/>
      <c r="AU265" s="81"/>
      <c r="AY265" s="82"/>
    </row>
    <row r="266" spans="1:51" s="29" customFormat="1" ht="15.5" customHeight="1" thickBot="1" x14ac:dyDescent="0.25">
      <c r="A266" s="30">
        <v>240</v>
      </c>
      <c r="B266" s="64" t="s">
        <v>3586</v>
      </c>
      <c r="C266" s="32" t="s">
        <v>2824</v>
      </c>
      <c r="D266" s="59" t="s">
        <v>3587</v>
      </c>
      <c r="E266" s="107" t="s">
        <v>3585</v>
      </c>
      <c r="F266" s="87" t="s">
        <v>481</v>
      </c>
      <c r="G266" s="108">
        <v>3</v>
      </c>
      <c r="H266" s="176">
        <v>2</v>
      </c>
      <c r="I266" s="178">
        <v>45748</v>
      </c>
      <c r="J266" s="109" t="s">
        <v>3113</v>
      </c>
      <c r="K266" s="78"/>
      <c r="L266" s="114" t="s">
        <v>2672</v>
      </c>
      <c r="M266" s="41">
        <f>_xlfn.XLOOKUP(L266,'relaties_export_2026-01-12_1609'!B:B,'relaties_export_2026-01-12_1609'!A:A,"",3)</f>
        <v>17</v>
      </c>
      <c r="N266" s="41" t="str">
        <f>_xlfn.XLOOKUP(M266,'relaties_export_2026-01-12_1609'!A:A,'relaties_export_2026-01-12_1609'!B:B,"",3)</f>
        <v>Tradiro Services B.V.</v>
      </c>
      <c r="O266" s="94"/>
      <c r="P266" s="43">
        <f t="shared" si="66"/>
        <v>310</v>
      </c>
      <c r="Q266" s="43">
        <f t="shared" si="76"/>
        <v>1700.4</v>
      </c>
      <c r="R266" s="44">
        <f t="shared" si="77"/>
        <v>1560</v>
      </c>
      <c r="S266" s="45">
        <f t="shared" si="78"/>
        <v>120.00009230776331</v>
      </c>
      <c r="T266" s="45">
        <v>1560</v>
      </c>
      <c r="U266" s="46">
        <v>0</v>
      </c>
      <c r="V266" s="46"/>
      <c r="W266"/>
      <c r="X266" s="23"/>
      <c r="Y266" s="56" t="s">
        <v>1211</v>
      </c>
      <c r="Z266" s="47">
        <f>_xlfn.XLOOKUP(Y266,'relaties_export_2026-01-12_1609'!B:B,'relaties_export_2026-01-12_1609'!A:A,"",3)</f>
        <v>271</v>
      </c>
      <c r="AA266" s="47" t="str">
        <f>_xlfn.XLOOKUP(Z266,'relaties_export_2026-01-12_1609'!A:A,'relaties_export_2026-01-12_1609'!B:B,"",3)</f>
        <v>Houses2Rent</v>
      </c>
      <c r="AB266" s="69"/>
      <c r="AC266" s="46">
        <v>1250</v>
      </c>
      <c r="AD266" s="46">
        <v>1250</v>
      </c>
      <c r="AE266" s="46">
        <v>1250</v>
      </c>
      <c r="AF266" s="46">
        <f t="shared" si="70"/>
        <v>96.153920118400094</v>
      </c>
      <c r="AG266" s="49">
        <v>45748</v>
      </c>
      <c r="AH266" s="49"/>
      <c r="AI266"/>
      <c r="AJ266"/>
      <c r="AK266" s="80"/>
      <c r="AL266" s="80"/>
      <c r="AO266" s="34"/>
      <c r="AP266" s="34"/>
      <c r="AQ266" s="58"/>
      <c r="AT266" s="81"/>
      <c r="AU266" s="81"/>
      <c r="AY266" s="82"/>
    </row>
    <row r="267" spans="1:51" s="29" customFormat="1" ht="17" thickBot="1" x14ac:dyDescent="0.25">
      <c r="A267" s="30">
        <v>241</v>
      </c>
      <c r="B267" s="64" t="s">
        <v>3588</v>
      </c>
      <c r="C267" s="32" t="s">
        <v>2824</v>
      </c>
      <c r="D267" s="59" t="s">
        <v>3589</v>
      </c>
      <c r="E267" s="107" t="s">
        <v>3585</v>
      </c>
      <c r="F267" s="87" t="s">
        <v>481</v>
      </c>
      <c r="G267" s="108">
        <v>3</v>
      </c>
      <c r="H267" s="176">
        <v>2</v>
      </c>
      <c r="I267" s="178">
        <v>45733</v>
      </c>
      <c r="J267" s="109" t="s">
        <v>3113</v>
      </c>
      <c r="K267" s="78"/>
      <c r="L267" s="114" t="s">
        <v>2672</v>
      </c>
      <c r="M267" s="41">
        <f>_xlfn.XLOOKUP(L267,'relaties_export_2026-01-12_1609'!B:B,'relaties_export_2026-01-12_1609'!A:A,"",3)</f>
        <v>17</v>
      </c>
      <c r="N267" s="41" t="str">
        <f>_xlfn.XLOOKUP(M267,'relaties_export_2026-01-12_1609'!A:A,'relaties_export_2026-01-12_1609'!B:B,"",3)</f>
        <v>Tradiro Services B.V.</v>
      </c>
      <c r="O267" s="94"/>
      <c r="P267" s="43">
        <f t="shared" si="66"/>
        <v>310</v>
      </c>
      <c r="Q267" s="43">
        <f t="shared" si="76"/>
        <v>1700.4</v>
      </c>
      <c r="R267" s="44">
        <f t="shared" si="77"/>
        <v>1560</v>
      </c>
      <c r="S267" s="45">
        <f t="shared" si="78"/>
        <v>120.00009230776331</v>
      </c>
      <c r="T267" s="45">
        <v>1560</v>
      </c>
      <c r="U267" s="46">
        <v>0</v>
      </c>
      <c r="V267" s="46"/>
      <c r="W267"/>
      <c r="X267" s="23"/>
      <c r="Y267" s="56" t="s">
        <v>1211</v>
      </c>
      <c r="Z267" s="47">
        <f>_xlfn.XLOOKUP(Y267,'relaties_export_2026-01-12_1609'!B:B,'relaties_export_2026-01-12_1609'!A:A,"",3)</f>
        <v>271</v>
      </c>
      <c r="AA267" s="47" t="str">
        <f>_xlfn.XLOOKUP(Z267,'relaties_export_2026-01-12_1609'!A:A,'relaties_export_2026-01-12_1609'!B:B,"",3)</f>
        <v>Houses2Rent</v>
      </c>
      <c r="AB267" s="69"/>
      <c r="AC267" s="46">
        <v>1250</v>
      </c>
      <c r="AD267" s="46">
        <v>1250</v>
      </c>
      <c r="AE267" s="46">
        <v>1250</v>
      </c>
      <c r="AF267" s="46">
        <f t="shared" si="70"/>
        <v>96.153920118400094</v>
      </c>
      <c r="AG267" s="49">
        <v>45733</v>
      </c>
      <c r="AH267" s="49"/>
      <c r="AI267"/>
      <c r="AJ267"/>
      <c r="AK267" s="80"/>
      <c r="AL267" s="80"/>
      <c r="AO267" s="34"/>
      <c r="AP267" s="34"/>
      <c r="AQ267" s="58"/>
      <c r="AT267" s="81"/>
      <c r="AU267" s="81"/>
      <c r="AY267" s="82"/>
    </row>
    <row r="268" spans="1:51" s="29" customFormat="1" ht="17" thickBot="1" x14ac:dyDescent="0.25">
      <c r="A268" s="30">
        <v>242</v>
      </c>
      <c r="B268" s="31" t="str">
        <f>_xlfn.XLOOKUP(D268,'[1]Sleutelplan nieuw'!B:B,'[1]Sleutelplan nieuw'!A:A,"",2)</f>
        <v>0016</v>
      </c>
      <c r="C268" s="32" t="s">
        <v>2824</v>
      </c>
      <c r="D268" s="59" t="s">
        <v>3590</v>
      </c>
      <c r="E268" s="60" t="s">
        <v>3591</v>
      </c>
      <c r="F268" s="87" t="s">
        <v>1214</v>
      </c>
      <c r="G268" s="108">
        <v>5</v>
      </c>
      <c r="H268" s="176">
        <v>3</v>
      </c>
      <c r="I268" s="89">
        <v>44958</v>
      </c>
      <c r="J268" s="78">
        <v>45323</v>
      </c>
      <c r="K268" s="113"/>
      <c r="L268" s="83" t="s">
        <v>2672</v>
      </c>
      <c r="M268" s="41">
        <f>_xlfn.XLOOKUP(L268,'relaties_export_2026-01-12_1609'!B:B,'relaties_export_2026-01-12_1609'!A:A,"",3)</f>
        <v>17</v>
      </c>
      <c r="N268" s="41" t="str">
        <f>_xlfn.XLOOKUP(M268,'relaties_export_2026-01-12_1609'!A:A,'relaties_export_2026-01-12_1609'!B:B,"",3)</f>
        <v>Tradiro Services B.V.</v>
      </c>
      <c r="O268" s="94"/>
      <c r="P268" s="43">
        <f t="shared" si="66"/>
        <v>464.30000000000018</v>
      </c>
      <c r="Q268" s="43">
        <f t="shared" si="76"/>
        <v>2577.0870000000004</v>
      </c>
      <c r="R268" s="44">
        <f t="shared" si="77"/>
        <v>2364.3000000000002</v>
      </c>
      <c r="S268" s="45">
        <f t="shared" si="78"/>
        <v>109.121622401248</v>
      </c>
      <c r="T268" s="45">
        <v>2364.3000000000002</v>
      </c>
      <c r="U268" s="46">
        <v>0</v>
      </c>
      <c r="V268" s="46">
        <v>0</v>
      </c>
      <c r="W268"/>
      <c r="X268" s="23"/>
      <c r="Y268" s="73" t="s">
        <v>2688</v>
      </c>
      <c r="Z268" s="47">
        <f>_xlfn.XLOOKUP(Y268,'relaties_export_2026-01-12_1609'!B:B,'relaties_export_2026-01-12_1609'!A:A,"",3)</f>
        <v>807</v>
      </c>
      <c r="AA268" s="47" t="str">
        <f>_xlfn.XLOOKUP(Z268,'relaties_export_2026-01-12_1609'!A:A,'relaties_export_2026-01-12_1609'!B:B,"",3)</f>
        <v>M.C. Mostert</v>
      </c>
      <c r="AB268" s="106"/>
      <c r="AC268" s="43">
        <v>1900</v>
      </c>
      <c r="AD268" s="46">
        <v>1900</v>
      </c>
      <c r="AE268" s="110">
        <v>1900</v>
      </c>
      <c r="AF268" s="70">
        <f t="shared" si="70"/>
        <v>87.692375147980883</v>
      </c>
      <c r="AG268" s="49">
        <v>44958</v>
      </c>
      <c r="AH268" s="49">
        <v>45689</v>
      </c>
    </row>
    <row r="269" spans="1:51" s="29" customFormat="1" ht="17" thickBot="1" x14ac:dyDescent="0.25">
      <c r="A269" s="30">
        <v>243</v>
      </c>
      <c r="B269" s="31" t="str">
        <f>_xlfn.XLOOKUP(D269,'[1]Sleutelplan nieuw'!B:B,'[1]Sleutelplan nieuw'!A:A,"",2)</f>
        <v>0324</v>
      </c>
      <c r="C269" s="32" t="s">
        <v>2831</v>
      </c>
      <c r="D269" s="59" t="s">
        <v>3592</v>
      </c>
      <c r="E269" s="60" t="s">
        <v>3593</v>
      </c>
      <c r="F269" s="87" t="s">
        <v>762</v>
      </c>
      <c r="G269" s="108">
        <v>4</v>
      </c>
      <c r="H269" s="176">
        <v>4</v>
      </c>
      <c r="I269" s="89">
        <v>45717</v>
      </c>
      <c r="J269" s="78">
        <v>46081</v>
      </c>
      <c r="K269" s="113"/>
      <c r="L269" s="83" t="s">
        <v>3324</v>
      </c>
      <c r="M269" s="41">
        <f>_xlfn.XLOOKUP(L269,'relaties_export_2026-01-12_1609'!B:B,'relaties_export_2026-01-12_1609'!A:A,"",3)</f>
        <v>172</v>
      </c>
      <c r="N269" s="41" t="str">
        <f>_xlfn.XLOOKUP(M269,'relaties_export_2026-01-12_1609'!A:A,'relaties_export_2026-01-12_1609'!B:B,"",3)</f>
        <v>Flexvesting B.V.</v>
      </c>
      <c r="O269" s="94"/>
      <c r="P269" s="43">
        <f t="shared" si="66"/>
        <v>300</v>
      </c>
      <c r="Q269" s="43">
        <f t="shared" si="76"/>
        <v>2591.5</v>
      </c>
      <c r="R269" s="44">
        <f t="shared" si="77"/>
        <v>2350</v>
      </c>
      <c r="S269" s="45">
        <f t="shared" si="78"/>
        <v>135.57702736694412</v>
      </c>
      <c r="T269" s="45">
        <v>2100</v>
      </c>
      <c r="U269" s="46">
        <v>250</v>
      </c>
      <c r="V269" s="46"/>
      <c r="W269"/>
      <c r="X269" s="23"/>
      <c r="Y269" s="73" t="s">
        <v>2718</v>
      </c>
      <c r="Z269" s="47">
        <f>_xlfn.XLOOKUP(Y269,'relaties_export_2026-01-12_1609'!B:B,'relaties_export_2026-01-12_1609'!A:A,"",3)</f>
        <v>837</v>
      </c>
      <c r="AA269" s="47" t="str">
        <f>_xlfn.XLOOKUP(Z269,'relaties_export_2026-01-12_1609'!A:A,'relaties_export_2026-01-12_1609'!B:B,"",3)</f>
        <v>E. Beukema</v>
      </c>
      <c r="AB269" s="69" t="s">
        <v>3594</v>
      </c>
      <c r="AC269" s="48">
        <v>1800</v>
      </c>
      <c r="AD269" s="70">
        <v>1800</v>
      </c>
      <c r="AE269" s="110">
        <v>1800</v>
      </c>
      <c r="AF269" s="70">
        <f t="shared" si="70"/>
        <v>103.84623372787209</v>
      </c>
      <c r="AG269" s="49"/>
      <c r="AH269" s="49"/>
    </row>
    <row r="270" spans="1:51" s="29" customFormat="1" ht="17" thickBot="1" x14ac:dyDescent="0.25">
      <c r="A270" s="30"/>
      <c r="B270" s="31" t="str">
        <f>_xlfn.XLOOKUP(D270,'[1]Sleutelplan nieuw'!B:B,'[1]Sleutelplan nieuw'!A:A,"",2)</f>
        <v>0387</v>
      </c>
      <c r="C270" s="32" t="s">
        <v>2824</v>
      </c>
      <c r="D270" s="59" t="s">
        <v>3595</v>
      </c>
      <c r="E270" s="60" t="s">
        <v>3596</v>
      </c>
      <c r="F270" s="87" t="s">
        <v>415</v>
      </c>
      <c r="G270" s="108">
        <v>6</v>
      </c>
      <c r="H270" s="176">
        <v>4</v>
      </c>
      <c r="I270" s="89">
        <v>45960</v>
      </c>
      <c r="J270" s="78">
        <v>46112</v>
      </c>
      <c r="K270" s="113"/>
      <c r="L270" s="83" t="s">
        <v>3163</v>
      </c>
      <c r="M270" s="41">
        <f>_xlfn.XLOOKUP(L270,'relaties_export_2026-01-12_1609'!B:B,'relaties_export_2026-01-12_1609'!A:A,"",3)</f>
        <v>329</v>
      </c>
      <c r="N270" s="41" t="str">
        <f>_xlfn.XLOOKUP(M270,'relaties_export_2026-01-12_1609'!A:A,'relaties_export_2026-01-12_1609'!B:B,"",3)</f>
        <v>RNDV Industries</v>
      </c>
      <c r="O270" s="94"/>
      <c r="P270" s="43">
        <f t="shared" si="66"/>
        <v>1530</v>
      </c>
      <c r="Q270" s="43">
        <f t="shared" si="76"/>
        <v>4783.5</v>
      </c>
      <c r="R270" s="44">
        <f t="shared" si="77"/>
        <v>4350</v>
      </c>
      <c r="S270" s="45">
        <f t="shared" si="78"/>
        <v>167.30782100601616</v>
      </c>
      <c r="T270" s="45">
        <v>4000</v>
      </c>
      <c r="U270" s="46">
        <v>350</v>
      </c>
      <c r="V270" s="46"/>
      <c r="W270"/>
      <c r="X270" s="23"/>
      <c r="Y270" s="73" t="s">
        <v>407</v>
      </c>
      <c r="Z270" s="47">
        <f>_xlfn.XLOOKUP(Y270,'relaties_export_2026-01-12_1609'!B:B,'relaties_export_2026-01-12_1609'!A:A,"",3)</f>
        <v>84</v>
      </c>
      <c r="AA270" s="47" t="str">
        <f>_xlfn.XLOOKUP(Z270,'relaties_export_2026-01-12_1609'!A:A,'relaties_export_2026-01-12_1609'!B:B,"",3)</f>
        <v>Orange Investments Group</v>
      </c>
      <c r="AB270" s="69" t="s">
        <v>3272</v>
      </c>
      <c r="AC270" s="48">
        <v>2470</v>
      </c>
      <c r="AD270" s="70">
        <v>2470</v>
      </c>
      <c r="AE270" s="110">
        <v>2470</v>
      </c>
      <c r="AF270" s="70">
        <f t="shared" si="70"/>
        <v>95.000073076979291</v>
      </c>
      <c r="AG270" s="49">
        <v>45960</v>
      </c>
      <c r="AH270" s="49">
        <v>46112</v>
      </c>
    </row>
    <row r="271" spans="1:51" s="29" customFormat="1" ht="17" thickBot="1" x14ac:dyDescent="0.25">
      <c r="A271" s="30"/>
      <c r="B271" s="31" t="str">
        <f>_xlfn.XLOOKUP(D271,'[1]Sleutelplan nieuw'!B:B,'[1]Sleutelplan nieuw'!A:A,"",2)</f>
        <v>0374</v>
      </c>
      <c r="C271" s="32" t="s">
        <v>2824</v>
      </c>
      <c r="D271" s="59" t="s">
        <v>3597</v>
      </c>
      <c r="E271" s="60" t="s">
        <v>3598</v>
      </c>
      <c r="F271" s="87" t="s">
        <v>84</v>
      </c>
      <c r="G271" s="108">
        <v>3</v>
      </c>
      <c r="H271" s="108">
        <v>3</v>
      </c>
      <c r="I271" s="78">
        <v>45847</v>
      </c>
      <c r="J271" s="78">
        <v>46030</v>
      </c>
      <c r="K271" s="113"/>
      <c r="L271" s="83" t="s">
        <v>1524</v>
      </c>
      <c r="M271" s="41">
        <f>_xlfn.XLOOKUP(L271,'relaties_export_2026-01-12_1609'!B:B,'relaties_export_2026-01-12_1609'!A:A,"",3)</f>
        <v>356</v>
      </c>
      <c r="N271" s="41" t="str">
        <f>_xlfn.XLOOKUP(M271,'relaties_export_2026-01-12_1609'!A:A,'relaties_export_2026-01-12_1609'!B:B,"",3)</f>
        <v>Oostkracht Bemiddeling B.V.</v>
      </c>
      <c r="O271" s="68" t="s">
        <v>3599</v>
      </c>
      <c r="P271" s="43">
        <f t="shared" si="66"/>
        <v>-1625</v>
      </c>
      <c r="Q271" s="43"/>
      <c r="R271" s="44"/>
      <c r="S271" s="45"/>
      <c r="T271" s="45"/>
      <c r="U271" s="46">
        <v>200</v>
      </c>
      <c r="V271" s="46"/>
      <c r="W271"/>
      <c r="X271" s="23"/>
      <c r="Y271" s="73" t="s">
        <v>1211</v>
      </c>
      <c r="Z271" s="47">
        <f>_xlfn.XLOOKUP(Y271,'relaties_export_2026-01-12_1609'!B:B,'relaties_export_2026-01-12_1609'!A:A,"",3)</f>
        <v>271</v>
      </c>
      <c r="AA271" s="47" t="str">
        <f>_xlfn.XLOOKUP(Z271,'relaties_export_2026-01-12_1609'!A:A,'relaties_export_2026-01-12_1609'!B:B,"",3)</f>
        <v>Houses2Rent</v>
      </c>
      <c r="AB271" s="69" t="s">
        <v>2913</v>
      </c>
      <c r="AC271" s="127">
        <v>1425</v>
      </c>
      <c r="AD271" s="127">
        <v>1425</v>
      </c>
      <c r="AE271" s="127">
        <v>1425</v>
      </c>
      <c r="AF271" s="46">
        <f t="shared" si="70"/>
        <v>109.61546893497611</v>
      </c>
      <c r="AG271" s="164">
        <v>45839</v>
      </c>
      <c r="AH271" s="164">
        <v>46295</v>
      </c>
    </row>
    <row r="272" spans="1:51" s="29" customFormat="1" ht="17" thickBot="1" x14ac:dyDescent="0.25">
      <c r="A272" s="30">
        <v>244</v>
      </c>
      <c r="B272" s="31" t="str">
        <f>_xlfn.XLOOKUP(D272,'[1]Sleutelplan nieuw'!B:B,'[1]Sleutelplan nieuw'!A:A,"",2)</f>
        <v>0158</v>
      </c>
      <c r="C272" s="32" t="s">
        <v>2831</v>
      </c>
      <c r="D272" s="59" t="s">
        <v>3600</v>
      </c>
      <c r="E272" s="60" t="s">
        <v>3601</v>
      </c>
      <c r="F272" s="76" t="s">
        <v>3602</v>
      </c>
      <c r="G272" s="108">
        <v>4</v>
      </c>
      <c r="H272" s="108">
        <v>4</v>
      </c>
      <c r="I272" s="109">
        <v>45321</v>
      </c>
      <c r="J272" s="109">
        <v>45502</v>
      </c>
      <c r="K272" s="78"/>
      <c r="L272" t="s">
        <v>2923</v>
      </c>
      <c r="M272" s="41">
        <f>_xlfn.XLOOKUP(L272,'relaties_export_2026-01-12_1609'!B:B,'relaties_export_2026-01-12_1609'!A:A,"",0)</f>
        <v>190</v>
      </c>
      <c r="N272" s="41" t="str">
        <f>_xlfn.XLOOKUP(M272,'relaties_export_2026-01-12_1609'!A:A,'relaties_export_2026-01-12_1609'!B:B,"",3)</f>
        <v>BBTS (Vastgoed Spijkenisse)</v>
      </c>
      <c r="O272" s="42"/>
      <c r="P272" s="43">
        <f t="shared" si="66"/>
        <v>558.0300000000002</v>
      </c>
      <c r="Q272" s="43">
        <f t="shared" si="76"/>
        <v>2911.5299000000005</v>
      </c>
      <c r="R272" s="44">
        <f t="shared" si="77"/>
        <v>2649.11</v>
      </c>
      <c r="S272" s="45">
        <f t="shared" si="78"/>
        <v>152.83338679491291</v>
      </c>
      <c r="T272" s="45">
        <v>2449.11</v>
      </c>
      <c r="U272" s="46">
        <v>200</v>
      </c>
      <c r="V272" s="46">
        <v>0</v>
      </c>
      <c r="W272"/>
      <c r="X272" s="23"/>
      <c r="Y272" s="56" t="s">
        <v>3603</v>
      </c>
      <c r="Z272" s="47">
        <v>591</v>
      </c>
      <c r="AA272" s="47" t="str">
        <f>_xlfn.XLOOKUP(Z272,'relaties_export_2026-01-12_1609'!A:A,'relaties_export_2026-01-12_1609'!B:B,"",3)</f>
        <v>B Verstegen en K Maas</v>
      </c>
      <c r="AB272" s="46" t="s">
        <v>3604</v>
      </c>
      <c r="AC272" s="46">
        <v>1891.08</v>
      </c>
      <c r="AD272" s="46">
        <v>1891.08</v>
      </c>
      <c r="AE272" s="46">
        <v>1891.08</v>
      </c>
      <c r="AF272" s="46">
        <f t="shared" si="70"/>
        <v>109.10085315450242</v>
      </c>
      <c r="AG272" s="180">
        <v>45261</v>
      </c>
      <c r="AH272" s="180">
        <v>45626</v>
      </c>
      <c r="AI272"/>
      <c r="AJ272"/>
      <c r="AK272"/>
      <c r="AL272"/>
      <c r="AO272" s="34"/>
      <c r="AP272" s="116"/>
      <c r="AQ272" s="58"/>
      <c r="AT272" s="81"/>
      <c r="AU272" s="81"/>
      <c r="AY272" s="86"/>
    </row>
    <row r="273" spans="1:52" s="29" customFormat="1" ht="17" thickBot="1" x14ac:dyDescent="0.25">
      <c r="A273" s="30">
        <v>246</v>
      </c>
      <c r="B273" s="31" t="str">
        <f>_xlfn.XLOOKUP(D273,'[1]Sleutelplan nieuw'!B:B,'[1]Sleutelplan nieuw'!A:A,"",2)</f>
        <v>0167</v>
      </c>
      <c r="C273" s="32" t="s">
        <v>2831</v>
      </c>
      <c r="D273" s="59" t="s">
        <v>3605</v>
      </c>
      <c r="E273" s="60" t="s">
        <v>3606</v>
      </c>
      <c r="F273" s="76" t="s">
        <v>3607</v>
      </c>
      <c r="G273" s="108">
        <v>4</v>
      </c>
      <c r="H273" s="108">
        <v>4</v>
      </c>
      <c r="I273" s="109">
        <v>45321</v>
      </c>
      <c r="J273" s="109">
        <v>45502</v>
      </c>
      <c r="K273" s="78"/>
      <c r="L273" t="s">
        <v>2923</v>
      </c>
      <c r="M273" s="41">
        <f>_xlfn.XLOOKUP(L273,'relaties_export_2026-01-12_1609'!B:B,'relaties_export_2026-01-12_1609'!A:A,"",0)</f>
        <v>190</v>
      </c>
      <c r="N273" s="41" t="str">
        <f>_xlfn.XLOOKUP(M273,'relaties_export_2026-01-12_1609'!A:A,'relaties_export_2026-01-12_1609'!B:B,"",3)</f>
        <v>BBTS (Vastgoed Spijkenisse)</v>
      </c>
      <c r="O273" s="115"/>
      <c r="P273" s="43">
        <f t="shared" si="66"/>
        <v>576.11000000000013</v>
      </c>
      <c r="Q273" s="43">
        <f t="shared" si="76"/>
        <v>2911.5299000000005</v>
      </c>
      <c r="R273" s="44">
        <f t="shared" si="77"/>
        <v>2649.11</v>
      </c>
      <c r="S273" s="45">
        <f t="shared" si="78"/>
        <v>152.83338679491291</v>
      </c>
      <c r="T273" s="45">
        <v>2449.11</v>
      </c>
      <c r="U273" s="46">
        <v>200</v>
      </c>
      <c r="V273" s="46">
        <v>0</v>
      </c>
      <c r="W273"/>
      <c r="X273" s="23"/>
      <c r="Y273" s="56" t="s">
        <v>2719</v>
      </c>
      <c r="Z273" s="47">
        <f>_xlfn.XLOOKUP(Y273,'relaties_export_2026-01-12_1609'!B:B,'relaties_export_2026-01-12_1609'!A:A,"",3)</f>
        <v>838</v>
      </c>
      <c r="AA273" s="47" t="str">
        <f>_xlfn.XLOOKUP(Z273,'relaties_export_2026-01-12_1609'!A:A,'relaties_export_2026-01-12_1609'!B:B,"",3)</f>
        <v>A. Brouwers &amp; S. Brouwers- van Weert</v>
      </c>
      <c r="AB273" s="46" t="s">
        <v>3608</v>
      </c>
      <c r="AC273" s="46">
        <v>1873</v>
      </c>
      <c r="AD273" s="46">
        <v>1873</v>
      </c>
      <c r="AE273" s="46">
        <v>1873</v>
      </c>
      <c r="AF273" s="46">
        <f>(AD273/G273)/4.33333</f>
        <v>108.05777542905803</v>
      </c>
      <c r="AG273" s="180">
        <v>45292</v>
      </c>
      <c r="AH273" s="180">
        <v>47483</v>
      </c>
      <c r="AI273"/>
      <c r="AJ273"/>
      <c r="AK273"/>
      <c r="AL273"/>
      <c r="AO273" s="34"/>
      <c r="AP273" s="116"/>
      <c r="AQ273" s="58"/>
      <c r="AT273" s="81"/>
      <c r="AU273" s="81"/>
      <c r="AY273" s="86"/>
    </row>
    <row r="274" spans="1:52" s="29" customFormat="1" ht="17" thickBot="1" x14ac:dyDescent="0.25">
      <c r="A274" s="30">
        <v>247</v>
      </c>
      <c r="B274" s="31" t="str">
        <f>_xlfn.XLOOKUP(D274,'[1]Sleutelplan nieuw'!B:B,'[1]Sleutelplan nieuw'!A:A,"",2)</f>
        <v>0077</v>
      </c>
      <c r="C274" s="32" t="s">
        <v>2824</v>
      </c>
      <c r="D274" s="59" t="s">
        <v>3609</v>
      </c>
      <c r="E274" s="60" t="s">
        <v>3610</v>
      </c>
      <c r="F274" s="76" t="s">
        <v>3362</v>
      </c>
      <c r="G274" s="108">
        <v>4</v>
      </c>
      <c r="H274" s="108">
        <v>4</v>
      </c>
      <c r="I274" s="109">
        <v>45566</v>
      </c>
      <c r="J274" s="109">
        <v>45930</v>
      </c>
      <c r="K274" s="78"/>
      <c r="L274" t="s">
        <v>1408</v>
      </c>
      <c r="M274" s="41">
        <f>_xlfn.XLOOKUP(L274,'relaties_export_2026-01-12_1609'!B:B,'relaties_export_2026-01-12_1609'!A:A,"",3)</f>
        <v>324</v>
      </c>
      <c r="N274" s="41" t="str">
        <f>_xlfn.XLOOKUP(M274,'relaties_export_2026-01-12_1609'!A:A,'relaties_export_2026-01-12_1609'!B:B,"",3)</f>
        <v>Multiservizi Romania SRL</v>
      </c>
      <c r="O274" s="115"/>
      <c r="P274" s="43">
        <f t="shared" si="66"/>
        <v>985.85000000000036</v>
      </c>
      <c r="Q274" s="43">
        <f t="shared" si="76"/>
        <v>4248.1920000000009</v>
      </c>
      <c r="R274" s="44">
        <f t="shared" si="77"/>
        <v>3868.8</v>
      </c>
      <c r="S274" s="45">
        <f t="shared" si="78"/>
        <v>223.20017169243977</v>
      </c>
      <c r="T274" s="45">
        <v>3608.8</v>
      </c>
      <c r="U274" s="46">
        <v>260</v>
      </c>
      <c r="V274" s="46">
        <v>0</v>
      </c>
      <c r="W274"/>
      <c r="X274" s="23"/>
      <c r="Y274" s="56" t="s">
        <v>2720</v>
      </c>
      <c r="Z274" s="47">
        <f>_xlfn.XLOOKUP(Y274,'relaties_export_2026-01-12_1609'!B:B,'relaties_export_2026-01-12_1609'!A:A,"",3)</f>
        <v>839</v>
      </c>
      <c r="AA274" s="47" t="str">
        <f>_xlfn.XLOOKUP(Z274,'relaties_export_2026-01-12_1609'!A:A,'relaties_export_2026-01-12_1609'!B:B,"",3)</f>
        <v>J, van de Linde</v>
      </c>
      <c r="AB274" s="46" t="s">
        <v>3363</v>
      </c>
      <c r="AC274" s="46">
        <v>2622.95</v>
      </c>
      <c r="AD274" s="46">
        <v>2622.95</v>
      </c>
      <c r="AE274" s="46">
        <v>2550.4499999999998</v>
      </c>
      <c r="AF274" s="46">
        <f>(AD274/G274)/4.33333</f>
        <v>151.32415486473451</v>
      </c>
      <c r="AG274" s="49">
        <v>45444</v>
      </c>
      <c r="AH274" s="49">
        <v>46173</v>
      </c>
      <c r="AI274"/>
      <c r="AJ274"/>
      <c r="AK274"/>
      <c r="AL274"/>
      <c r="AO274" s="34"/>
      <c r="AP274" s="116"/>
      <c r="AQ274" s="58"/>
      <c r="AT274" s="81"/>
      <c r="AU274" s="81"/>
      <c r="AY274" s="86"/>
    </row>
    <row r="275" spans="1:52" s="29" customFormat="1" ht="17" thickBot="1" x14ac:dyDescent="0.25">
      <c r="A275" s="30">
        <v>248</v>
      </c>
      <c r="B275" s="31" t="str">
        <f>_xlfn.XLOOKUP(D275,'[1]Sleutelplan nieuw'!B:B,'[1]Sleutelplan nieuw'!A:A,"",2)</f>
        <v>0080</v>
      </c>
      <c r="C275" s="32" t="s">
        <v>2824</v>
      </c>
      <c r="D275" s="59" t="s">
        <v>3611</v>
      </c>
      <c r="E275" s="60" t="s">
        <v>3612</v>
      </c>
      <c r="F275" s="76" t="s">
        <v>1303</v>
      </c>
      <c r="G275" s="108">
        <v>4</v>
      </c>
      <c r="H275" s="108">
        <v>2</v>
      </c>
      <c r="I275" s="109">
        <v>45814</v>
      </c>
      <c r="J275" s="109"/>
      <c r="K275" s="78"/>
      <c r="L275" s="114" t="s">
        <v>2672</v>
      </c>
      <c r="M275" s="41">
        <f>_xlfn.XLOOKUP(L275,'relaties_export_2026-01-12_1609'!B:B,'relaties_export_2026-01-12_1609'!A:A,"",3)</f>
        <v>17</v>
      </c>
      <c r="N275" s="41" t="str">
        <f>_xlfn.XLOOKUP(M275,'relaties_export_2026-01-12_1609'!A:A,'relaties_export_2026-01-12_1609'!B:B,"",3)</f>
        <v>Tradiro Services B.V.</v>
      </c>
      <c r="O275" s="115"/>
      <c r="P275" s="43">
        <f t="shared" si="66"/>
        <v>870</v>
      </c>
      <c r="Q275" s="43">
        <f t="shared" si="76"/>
        <v>2667.8</v>
      </c>
      <c r="R275" s="44">
        <f t="shared" si="77"/>
        <v>2420</v>
      </c>
      <c r="S275" s="45">
        <f t="shared" si="78"/>
        <v>139.61549201191693</v>
      </c>
      <c r="T275" s="45">
        <v>2170</v>
      </c>
      <c r="U275" s="46">
        <v>250</v>
      </c>
      <c r="V275" s="46">
        <v>0</v>
      </c>
      <c r="W275"/>
      <c r="X275" s="23"/>
      <c r="Y275" s="56" t="s">
        <v>1211</v>
      </c>
      <c r="Z275" s="47">
        <f>_xlfn.XLOOKUP(Y275,'relaties_export_2026-01-12_1609'!B:B,'relaties_export_2026-01-12_1609'!A:A,"",3)</f>
        <v>271</v>
      </c>
      <c r="AA275" s="47" t="str">
        <f>_xlfn.XLOOKUP(Z275,'relaties_export_2026-01-12_1609'!A:A,'relaties_export_2026-01-12_1609'!B:B,"",3)</f>
        <v>Houses2Rent</v>
      </c>
      <c r="AB275" s="46"/>
      <c r="AC275" s="46">
        <f>(AD275*9%)+AD275</f>
        <v>1417</v>
      </c>
      <c r="AD275" s="46">
        <v>1300</v>
      </c>
      <c r="AE275" s="46">
        <v>1300</v>
      </c>
      <c r="AF275" s="46">
        <f>(AD275/G275)/4.33333</f>
        <v>75.000057692352073</v>
      </c>
      <c r="AG275" s="49"/>
      <c r="AH275" s="49"/>
      <c r="AI275"/>
      <c r="AJ275"/>
      <c r="AK275"/>
      <c r="AL275"/>
      <c r="AO275" s="34"/>
      <c r="AP275" s="116"/>
      <c r="AQ275" s="58"/>
      <c r="AT275" s="81"/>
      <c r="AU275" s="81"/>
      <c r="AY275" s="86"/>
    </row>
    <row r="276" spans="1:52" s="29" customFormat="1" ht="17" thickBot="1" x14ac:dyDescent="0.25">
      <c r="A276" s="30"/>
      <c r="B276" s="31" t="s">
        <v>3613</v>
      </c>
      <c r="C276" s="32" t="s">
        <v>2824</v>
      </c>
      <c r="D276" s="59" t="s">
        <v>3614</v>
      </c>
      <c r="E276" s="60"/>
      <c r="F276" s="76" t="s">
        <v>3615</v>
      </c>
      <c r="G276" s="181"/>
      <c r="H276" s="181"/>
      <c r="I276" s="182"/>
      <c r="J276" s="182"/>
      <c r="K276" s="183"/>
      <c r="L276" s="184"/>
      <c r="M276" s="41"/>
      <c r="N276" s="41" t="str">
        <f>_xlfn.XLOOKUP(M276,'relaties_export_2026-01-12_1609'!A:A,'relaties_export_2026-01-12_1609'!B:B,"",3)</f>
        <v>naam</v>
      </c>
      <c r="O276" s="68"/>
      <c r="P276" s="43">
        <f t="shared" si="66"/>
        <v>-2581.81</v>
      </c>
      <c r="Q276" s="48"/>
      <c r="R276" s="48"/>
      <c r="S276" s="45"/>
      <c r="T276" s="48"/>
      <c r="U276" s="46"/>
      <c r="V276" s="46"/>
      <c r="W276"/>
      <c r="X276" s="23"/>
      <c r="Y276" s="56" t="s">
        <v>3616</v>
      </c>
      <c r="Z276" s="47">
        <f>_xlfn.XLOOKUP(Y276,'relaties_export_2026-01-12_1609'!B:B,'relaties_export_2026-01-12_1609'!A:A,"",3)</f>
        <v>120</v>
      </c>
      <c r="AA276" s="47" t="str">
        <f>_xlfn.XLOOKUP(Z276,'relaties_export_2026-01-12_1609'!A:A,'relaties_export_2026-01-12_1609'!B:B,"",3)</f>
        <v>Stichting Bewaring PRMD</v>
      </c>
      <c r="AB276" s="69"/>
      <c r="AC276" s="46">
        <v>2581.81</v>
      </c>
      <c r="AD276" s="46">
        <v>2581.81</v>
      </c>
      <c r="AE276" s="46">
        <v>2581.81</v>
      </c>
      <c r="AF276" s="46"/>
      <c r="AG276" s="49"/>
      <c r="AH276" s="49"/>
      <c r="AI276"/>
      <c r="AJ276"/>
      <c r="AK276"/>
      <c r="AL276"/>
      <c r="AO276" s="34"/>
      <c r="AP276" s="116"/>
      <c r="AQ276" s="58"/>
      <c r="AT276" s="81"/>
      <c r="AU276" s="81"/>
      <c r="AY276" s="86"/>
    </row>
    <row r="277" spans="1:52" s="29" customFormat="1" ht="17" thickBot="1" x14ac:dyDescent="0.25">
      <c r="A277" s="30">
        <v>250</v>
      </c>
      <c r="B277" s="31" t="str" cm="1">
        <f t="array" ref="B277">_xlfn.XLOOKUP(LEFT(D277,3),LEFT('[1]Sleutelplan nieuw'!B:B,3),'[1]Sleutelplan nieuw'!A:A,"",2)</f>
        <v>0368</v>
      </c>
      <c r="C277" s="32" t="s">
        <v>2824</v>
      </c>
      <c r="D277" s="59" t="s">
        <v>3617</v>
      </c>
      <c r="E277" s="60" t="s">
        <v>3618</v>
      </c>
      <c r="F277" s="76" t="s">
        <v>3619</v>
      </c>
      <c r="G277" s="108">
        <v>4</v>
      </c>
      <c r="H277" s="108">
        <v>4</v>
      </c>
      <c r="I277" s="109"/>
      <c r="J277" s="109"/>
      <c r="K277" s="78"/>
      <c r="L277" s="184" t="s">
        <v>3186</v>
      </c>
      <c r="M277" s="41">
        <v>336</v>
      </c>
      <c r="N277" s="41" t="str">
        <f>_xlfn.XLOOKUP(M277,'relaties_export_2026-01-12_1609'!A:A,'relaties_export_2026-01-12_1609'!B:B,"",3)</f>
        <v>PRP Solutions Flex Sp. Z.O.O</v>
      </c>
      <c r="O277" s="68" t="s">
        <v>3620</v>
      </c>
      <c r="P277" s="43">
        <f t="shared" si="66"/>
        <v>-2450</v>
      </c>
      <c r="Q277" s="48"/>
      <c r="R277" s="48"/>
      <c r="S277" s="45"/>
      <c r="T277" s="48"/>
      <c r="U277" s="46">
        <v>250</v>
      </c>
      <c r="V277" s="46"/>
      <c r="W277"/>
      <c r="X277" s="23"/>
      <c r="Y277" s="56" t="s">
        <v>2737</v>
      </c>
      <c r="Z277" s="47">
        <f>_xlfn.XLOOKUP(Y277,'relaties_export_2026-01-12_1609'!B:B,'relaties_export_2026-01-12_1609'!A:A,"",3)</f>
        <v>121</v>
      </c>
      <c r="AA277" s="47" t="str">
        <f>_xlfn.XLOOKUP(Z277,'relaties_export_2026-01-12_1609'!A:A,'relaties_export_2026-01-12_1609'!B:B,"",3)</f>
        <v>CB-Homes B.V.</v>
      </c>
      <c r="AB277" s="69"/>
      <c r="AC277" s="70">
        <v>2662</v>
      </c>
      <c r="AD277" s="70">
        <v>2200</v>
      </c>
      <c r="AE277" s="46">
        <v>2200</v>
      </c>
      <c r="AF277" s="46">
        <f t="shared" ref="AF277:AF289" si="79">(AD277/G277)/4.33333</f>
        <v>126.92317455628812</v>
      </c>
      <c r="AG277" s="49">
        <v>45778</v>
      </c>
      <c r="AH277" s="49" t="s">
        <v>3072</v>
      </c>
      <c r="AI277"/>
      <c r="AJ277"/>
      <c r="AK277"/>
      <c r="AL277"/>
      <c r="AO277" s="34"/>
      <c r="AP277" s="116"/>
      <c r="AQ277" s="58"/>
      <c r="AT277" s="81"/>
      <c r="AU277" s="81"/>
      <c r="AY277" s="86"/>
    </row>
    <row r="278" spans="1:52" s="29" customFormat="1" ht="17" thickBot="1" x14ac:dyDescent="0.25">
      <c r="A278" s="30"/>
      <c r="B278" s="31" t="s">
        <v>3621</v>
      </c>
      <c r="C278" s="32" t="s">
        <v>2824</v>
      </c>
      <c r="D278" s="59" t="s">
        <v>3622</v>
      </c>
      <c r="E278" s="60"/>
      <c r="F278" s="76" t="s">
        <v>3623</v>
      </c>
      <c r="G278" s="108"/>
      <c r="H278" s="108"/>
      <c r="I278" s="109"/>
      <c r="J278" s="109"/>
      <c r="K278" s="78"/>
      <c r="L278" s="184"/>
      <c r="M278" s="41"/>
      <c r="N278" s="41" t="str">
        <f>_xlfn.XLOOKUP(M278,'relaties_export_2026-01-12_1609'!A:A,'relaties_export_2026-01-12_1609'!B:B,"",3)</f>
        <v>naam</v>
      </c>
      <c r="O278" s="68"/>
      <c r="P278" s="43">
        <f t="shared" si="66"/>
        <v>-1434.34</v>
      </c>
      <c r="Q278" s="48"/>
      <c r="R278" s="48"/>
      <c r="S278" s="45"/>
      <c r="T278" s="48"/>
      <c r="U278" s="46"/>
      <c r="V278" s="46"/>
      <c r="W278"/>
      <c r="X278" s="23"/>
      <c r="Y278" s="56" t="s">
        <v>3616</v>
      </c>
      <c r="Z278" s="47">
        <f>_xlfn.XLOOKUP(Y278,'relaties_export_2026-01-12_1609'!B:B,'relaties_export_2026-01-12_1609'!A:A,"",3)</f>
        <v>120</v>
      </c>
      <c r="AA278" s="47" t="str">
        <f>_xlfn.XLOOKUP(Z278,'relaties_export_2026-01-12_1609'!A:A,'relaties_export_2026-01-12_1609'!B:B,"",3)</f>
        <v>Stichting Bewaring PRMD</v>
      </c>
      <c r="AB278" s="67"/>
      <c r="AC278" s="70">
        <v>1434.34</v>
      </c>
      <c r="AD278" s="70">
        <v>1434.34</v>
      </c>
      <c r="AE278" s="70">
        <v>1434.34</v>
      </c>
      <c r="AF278" s="70"/>
      <c r="AG278" s="49"/>
      <c r="AH278" s="49"/>
      <c r="AI278"/>
      <c r="AJ278"/>
      <c r="AK278"/>
      <c r="AL278"/>
      <c r="AO278" s="34"/>
      <c r="AP278" s="116"/>
      <c r="AQ278" s="58"/>
      <c r="AT278" s="81"/>
      <c r="AU278" s="81"/>
      <c r="AY278" s="86"/>
    </row>
    <row r="279" spans="1:52" s="29" customFormat="1" ht="17" thickBot="1" x14ac:dyDescent="0.25">
      <c r="A279" s="30">
        <v>251</v>
      </c>
      <c r="B279" s="64" t="s">
        <v>3624</v>
      </c>
      <c r="C279" s="32" t="s">
        <v>2831</v>
      </c>
      <c r="D279" s="59" t="s">
        <v>3625</v>
      </c>
      <c r="E279" s="60" t="s">
        <v>3626</v>
      </c>
      <c r="F279" s="76" t="s">
        <v>3036</v>
      </c>
      <c r="G279" s="108">
        <v>6</v>
      </c>
      <c r="H279" s="108">
        <v>6</v>
      </c>
      <c r="I279" s="109">
        <v>45940</v>
      </c>
      <c r="J279" s="109">
        <v>46304</v>
      </c>
      <c r="K279" s="78"/>
      <c r="L279" s="114" t="s">
        <v>412</v>
      </c>
      <c r="M279" s="41">
        <f>_xlfn.XLOOKUP(L279,'relaties_export_2026-01-12_1609'!B:B,'relaties_export_2026-01-12_1609'!A:A,"",3)</f>
        <v>89</v>
      </c>
      <c r="N279" s="41" t="str">
        <f>_xlfn.XLOOKUP(M279,'relaties_export_2026-01-12_1609'!A:A,'relaties_export_2026-01-12_1609'!B:B,"",3)</f>
        <v>Stay21</v>
      </c>
      <c r="O279" s="84" t="s">
        <v>2928</v>
      </c>
      <c r="P279" s="43">
        <f t="shared" si="66"/>
        <v>620</v>
      </c>
      <c r="Q279" s="43">
        <f t="shared" ref="Q279:Q289" si="80">T279*1.09+U279*1.21</f>
        <v>4047.7500000000005</v>
      </c>
      <c r="R279" s="44">
        <f t="shared" ref="R279:R289" si="81">T279+U279</f>
        <v>3675</v>
      </c>
      <c r="S279" s="45">
        <f t="shared" ref="S279:S287" si="82">(R279/G279)/4.33333</f>
        <v>141.34626257404813</v>
      </c>
      <c r="T279" s="45">
        <v>3325</v>
      </c>
      <c r="U279" s="46">
        <v>350</v>
      </c>
      <c r="V279" s="46">
        <v>0</v>
      </c>
      <c r="W279"/>
      <c r="X279" s="23"/>
      <c r="Y279" s="56" t="s">
        <v>2738</v>
      </c>
      <c r="Z279" s="47">
        <f>_xlfn.XLOOKUP(Y279,'relaties_export_2026-01-12_1609'!B:B,'relaties_export_2026-01-12_1609'!A:A,"",3)</f>
        <v>164</v>
      </c>
      <c r="AA279" s="47" t="str">
        <f>_xlfn.XLOOKUP(Z279,'relaties_export_2026-01-12_1609'!A:A,'relaties_export_2026-01-12_1609'!B:B,"",3)</f>
        <v>Dhr. R. Bekken</v>
      </c>
      <c r="AB279" s="67" t="s">
        <v>3627</v>
      </c>
      <c r="AC279" s="46">
        <v>2705</v>
      </c>
      <c r="AD279" s="46">
        <v>2705</v>
      </c>
      <c r="AE279" s="70">
        <v>2705</v>
      </c>
      <c r="AF279" s="70">
        <f t="shared" si="79"/>
        <v>104.0385415681089</v>
      </c>
      <c r="AG279" s="49"/>
      <c r="AH279" s="49"/>
      <c r="AI279"/>
      <c r="AJ279"/>
      <c r="AK279"/>
      <c r="AL279"/>
      <c r="AO279" s="34"/>
      <c r="AP279" s="116"/>
      <c r="AQ279" s="58"/>
      <c r="AT279" s="81"/>
      <c r="AU279" s="81"/>
      <c r="AY279" s="86"/>
    </row>
    <row r="280" spans="1:52" s="29" customFormat="1" ht="17" thickBot="1" x14ac:dyDescent="0.25">
      <c r="A280" s="30">
        <v>252</v>
      </c>
      <c r="B280" s="64" t="s">
        <v>3628</v>
      </c>
      <c r="C280" s="32" t="s">
        <v>2824</v>
      </c>
      <c r="D280" s="126" t="s">
        <v>3629</v>
      </c>
      <c r="E280" s="107" t="s">
        <v>3630</v>
      </c>
      <c r="F280" s="76" t="s">
        <v>481</v>
      </c>
      <c r="G280" s="108">
        <v>3</v>
      </c>
      <c r="H280" s="108">
        <v>3</v>
      </c>
      <c r="I280" s="78">
        <v>44932</v>
      </c>
      <c r="J280" s="78">
        <v>45297</v>
      </c>
      <c r="K280" s="78"/>
      <c r="L280" s="83" t="s">
        <v>1148</v>
      </c>
      <c r="M280" s="41">
        <f>_xlfn.XLOOKUP(L280,'relaties_export_2026-01-12_1609'!B:B,'relaties_export_2026-01-12_1609'!A:A,"",3)</f>
        <v>254</v>
      </c>
      <c r="N280" s="41" t="str">
        <f>_xlfn.XLOOKUP(M280,'relaties_export_2026-01-12_1609'!A:A,'relaties_export_2026-01-12_1609'!B:B,"",3)</f>
        <v>Transport People B.V.</v>
      </c>
      <c r="O280" s="42"/>
      <c r="P280" s="43">
        <f t="shared" si="66"/>
        <v>996.51000000000022</v>
      </c>
      <c r="Q280" s="43">
        <f t="shared" si="80"/>
        <v>2817.6959000000006</v>
      </c>
      <c r="R280" s="44">
        <f t="shared" si="81"/>
        <v>2546.5100000000002</v>
      </c>
      <c r="S280" s="45">
        <f t="shared" si="82"/>
        <v>195.88553529656562</v>
      </c>
      <c r="T280" s="45">
        <v>2196.5100000000002</v>
      </c>
      <c r="U280" s="46">
        <v>350</v>
      </c>
      <c r="V280" s="46">
        <v>0</v>
      </c>
      <c r="W280"/>
      <c r="X280" s="23"/>
      <c r="Y280" s="73" t="s">
        <v>1162</v>
      </c>
      <c r="Z280" s="47">
        <f>_xlfn.XLOOKUP(Y280,'relaties_export_2026-01-12_1609'!B:B,'relaties_export_2026-01-12_1609'!A:A,"",3)</f>
        <v>258</v>
      </c>
      <c r="AA280" s="47" t="str">
        <f>_xlfn.XLOOKUP(Z280,'relaties_export_2026-01-12_1609'!A:A,'relaties_export_2026-01-12_1609'!B:B,"",3)</f>
        <v>Parkwonen</v>
      </c>
      <c r="AC280" s="43">
        <v>1200</v>
      </c>
      <c r="AD280" s="46">
        <v>1200</v>
      </c>
      <c r="AE280" s="110">
        <v>1200</v>
      </c>
      <c r="AF280" s="70">
        <f t="shared" si="79"/>
        <v>92.307763313664083</v>
      </c>
      <c r="AG280" s="49">
        <v>44927</v>
      </c>
      <c r="AH280" s="49">
        <v>45292</v>
      </c>
    </row>
    <row r="281" spans="1:52" s="29" customFormat="1" ht="31" thickBot="1" x14ac:dyDescent="0.25">
      <c r="A281" s="30">
        <v>253</v>
      </c>
      <c r="B281" s="31" t="str" cm="1">
        <f t="array" ref="B281">_xlfn.XLOOKUP(LEFT(D281,3),LEFT('[1]Sleutelplan nieuw'!B:B,3),'[1]Sleutelplan nieuw'!A:A,"",2)</f>
        <v>0037</v>
      </c>
      <c r="C281" s="32" t="s">
        <v>2824</v>
      </c>
      <c r="D281" s="126" t="s">
        <v>3631</v>
      </c>
      <c r="E281" s="107" t="s">
        <v>3630</v>
      </c>
      <c r="F281" s="76" t="s">
        <v>481</v>
      </c>
      <c r="G281" s="108">
        <v>3</v>
      </c>
      <c r="H281" s="108">
        <v>3</v>
      </c>
      <c r="I281" s="78">
        <v>44939</v>
      </c>
      <c r="J281" s="78">
        <v>45304</v>
      </c>
      <c r="K281" s="78"/>
      <c r="L281" s="83" t="s">
        <v>1148</v>
      </c>
      <c r="M281" s="41">
        <f>_xlfn.XLOOKUP(L281,'relaties_export_2026-01-12_1609'!B:B,'relaties_export_2026-01-12_1609'!A:A,"",3)</f>
        <v>254</v>
      </c>
      <c r="N281" s="41" t="str">
        <f>_xlfn.XLOOKUP(M281,'relaties_export_2026-01-12_1609'!A:A,'relaties_export_2026-01-12_1609'!B:B,"",3)</f>
        <v>Transport People B.V.</v>
      </c>
      <c r="O281" s="42" t="s">
        <v>2845</v>
      </c>
      <c r="P281" s="43">
        <f t="shared" si="66"/>
        <v>996.51000000000022</v>
      </c>
      <c r="Q281" s="43">
        <f t="shared" si="80"/>
        <v>2817.6959000000006</v>
      </c>
      <c r="R281" s="44">
        <f t="shared" si="81"/>
        <v>2546.5100000000002</v>
      </c>
      <c r="S281" s="45">
        <f t="shared" si="82"/>
        <v>195.88553529656562</v>
      </c>
      <c r="T281" s="45">
        <v>2196.5100000000002</v>
      </c>
      <c r="U281" s="46">
        <v>350</v>
      </c>
      <c r="V281" s="46">
        <v>0</v>
      </c>
      <c r="W281"/>
      <c r="X281" s="23"/>
      <c r="Y281" s="73" t="s">
        <v>1162</v>
      </c>
      <c r="Z281" s="47">
        <f>_xlfn.XLOOKUP(Y281,'relaties_export_2026-01-12_1609'!B:B,'relaties_export_2026-01-12_1609'!A:A,"",3)</f>
        <v>258</v>
      </c>
      <c r="AA281" s="47" t="str">
        <f>_xlfn.XLOOKUP(Z281,'relaties_export_2026-01-12_1609'!A:A,'relaties_export_2026-01-12_1609'!B:B,"",3)</f>
        <v>Parkwonen</v>
      </c>
      <c r="AB281" s="74"/>
      <c r="AC281" s="48">
        <v>1200</v>
      </c>
      <c r="AD281" s="70">
        <v>1200</v>
      </c>
      <c r="AE281" s="110">
        <v>1200</v>
      </c>
      <c r="AF281" s="70">
        <f t="shared" si="79"/>
        <v>92.307763313664083</v>
      </c>
      <c r="AG281" s="49">
        <v>44927</v>
      </c>
      <c r="AH281" s="49">
        <v>45292</v>
      </c>
    </row>
    <row r="282" spans="1:52" s="29" customFormat="1" ht="17" thickBot="1" x14ac:dyDescent="0.25">
      <c r="A282" s="30">
        <v>254</v>
      </c>
      <c r="B282" s="31" t="str">
        <f>_xlfn.XLOOKUP(D282,'[1]Sleutelplan nieuw'!B:B,'[1]Sleutelplan nieuw'!A:A,"",2)</f>
        <v>0105</v>
      </c>
      <c r="C282" s="32" t="s">
        <v>2824</v>
      </c>
      <c r="D282" s="126" t="s">
        <v>3632</v>
      </c>
      <c r="E282" s="107" t="s">
        <v>3633</v>
      </c>
      <c r="F282" s="76" t="s">
        <v>94</v>
      </c>
      <c r="G282" s="108">
        <v>5</v>
      </c>
      <c r="H282" s="108">
        <v>4</v>
      </c>
      <c r="I282" s="78">
        <v>45538</v>
      </c>
      <c r="J282" s="78">
        <v>45902</v>
      </c>
      <c r="K282" s="78"/>
      <c r="L282" t="s">
        <v>1356</v>
      </c>
      <c r="M282" s="41">
        <f>_xlfn.XLOOKUP(L282,'relaties_export_2026-01-12_1609'!B:B,'relaties_export_2026-01-12_1609'!A:A,"",3)</f>
        <v>309</v>
      </c>
      <c r="N282" s="41" t="str">
        <f>_xlfn.XLOOKUP(M282,'relaties_export_2026-01-12_1609'!A:A,'relaties_export_2026-01-12_1609'!B:B,"",3)</f>
        <v>WIL International B.V.</v>
      </c>
      <c r="O282" s="42" t="s">
        <v>2845</v>
      </c>
      <c r="P282" s="43">
        <f t="shared" si="66"/>
        <v>340.7800000000002</v>
      </c>
      <c r="Q282" s="43">
        <f t="shared" si="80"/>
        <v>3330.2702000000004</v>
      </c>
      <c r="R282" s="44">
        <f t="shared" si="81"/>
        <v>3038.78</v>
      </c>
      <c r="S282" s="45">
        <f t="shared" si="82"/>
        <v>140.25149250114811</v>
      </c>
      <c r="T282" s="45">
        <v>2888.78</v>
      </c>
      <c r="U282" s="46">
        <v>150</v>
      </c>
      <c r="V282" s="46">
        <v>0</v>
      </c>
      <c r="W282"/>
      <c r="X282" s="23"/>
      <c r="Y282" t="s">
        <v>2705</v>
      </c>
      <c r="Z282" s="47">
        <f>_xlfn.XLOOKUP(Y282,'relaties_export_2026-01-12_1609'!B:B,'relaties_export_2026-01-12_1609'!A:A,"",2)</f>
        <v>824</v>
      </c>
      <c r="AA282" s="47" t="str">
        <f>_xlfn.XLOOKUP(Z282,'relaties_export_2026-01-12_1609'!A:A,'relaties_export_2026-01-12_1609'!B:B,"",3)</f>
        <v>Vivir wonen (Mendy)</v>
      </c>
      <c r="AB282" s="34" t="s">
        <v>2846</v>
      </c>
      <c r="AC282" s="127">
        <v>2548</v>
      </c>
      <c r="AD282" s="127">
        <v>2548</v>
      </c>
      <c r="AE282" s="110">
        <v>2548</v>
      </c>
      <c r="AF282" s="70">
        <f t="shared" si="79"/>
        <v>117.60009046160805</v>
      </c>
      <c r="AG282" s="49"/>
      <c r="AH282" s="49"/>
    </row>
    <row r="283" spans="1:52" s="29" customFormat="1" ht="17" thickBot="1" x14ac:dyDescent="0.25">
      <c r="A283" s="30">
        <v>255</v>
      </c>
      <c r="B283" s="31" t="str">
        <f>_xlfn.XLOOKUP(D283,'[1]Sleutelplan nieuw'!B:B,'[1]Sleutelplan nieuw'!A:A,"",2)</f>
        <v>0171</v>
      </c>
      <c r="C283" s="32" t="s">
        <v>2824</v>
      </c>
      <c r="D283" s="126" t="s">
        <v>3634</v>
      </c>
      <c r="E283" s="107" t="s">
        <v>3635</v>
      </c>
      <c r="F283" s="76" t="s">
        <v>3568</v>
      </c>
      <c r="G283" s="108">
        <v>10</v>
      </c>
      <c r="H283" s="108">
        <v>5</v>
      </c>
      <c r="I283" s="78">
        <v>45444</v>
      </c>
      <c r="J283" s="78">
        <v>45808</v>
      </c>
      <c r="K283" s="78" t="s">
        <v>2845</v>
      </c>
      <c r="L283" s="83" t="s">
        <v>1202</v>
      </c>
      <c r="M283" s="41">
        <f>_xlfn.XLOOKUP(L283,'relaties_export_2026-01-12_1609'!B:B,'relaties_export_2026-01-12_1609'!A:A,"",3)</f>
        <v>268</v>
      </c>
      <c r="N283" s="41" t="str">
        <f>_xlfn.XLOOKUP(M283,'relaties_export_2026-01-12_1609'!A:A,'relaties_export_2026-01-12_1609'!B:B,"",3)</f>
        <v>People21 Services BV</v>
      </c>
      <c r="O283" s="42" t="s">
        <v>2845</v>
      </c>
      <c r="P283" s="43">
        <f t="shared" si="66"/>
        <v>624.59999999999945</v>
      </c>
      <c r="Q283" s="43">
        <f t="shared" si="80"/>
        <v>6448.6535000000003</v>
      </c>
      <c r="R283" s="44">
        <f t="shared" si="81"/>
        <v>5861.15</v>
      </c>
      <c r="S283" s="45">
        <f t="shared" si="82"/>
        <v>135.25741173647057</v>
      </c>
      <c r="T283" s="45">
        <v>5361.15</v>
      </c>
      <c r="U283" s="46">
        <v>500</v>
      </c>
      <c r="V283" s="46">
        <v>0</v>
      </c>
      <c r="W283"/>
      <c r="X283" s="23"/>
      <c r="Y283" s="56" t="s">
        <v>2721</v>
      </c>
      <c r="Z283" s="47">
        <f>_xlfn.XLOOKUP(Y283,'relaties_export_2026-01-12_1609'!B:B,'relaties_export_2026-01-12_1609'!A:A,"",3)</f>
        <v>840</v>
      </c>
      <c r="AA283" s="47" t="str">
        <f>_xlfn.XLOOKUP(Z283,'relaties_export_2026-01-12_1609'!A:A,'relaties_export_2026-01-12_1609'!B:B,"",3)</f>
        <v>Groen Holding / van Vliet</v>
      </c>
      <c r="AB283" s="70" t="s">
        <v>2862</v>
      </c>
      <c r="AC283" s="48">
        <f>AD283*1.21</f>
        <v>5731.2255000000005</v>
      </c>
      <c r="AD283" s="70">
        <v>4736.55</v>
      </c>
      <c r="AE283" s="110">
        <v>4736.55</v>
      </c>
      <c r="AF283" s="70">
        <f t="shared" si="79"/>
        <v>109.30508408083391</v>
      </c>
      <c r="AG283" s="49"/>
      <c r="AH283" s="49"/>
    </row>
    <row r="284" spans="1:52" s="29" customFormat="1" ht="17" thickBot="1" x14ac:dyDescent="0.25">
      <c r="A284" s="30">
        <v>256</v>
      </c>
      <c r="B284" s="31" t="str">
        <f>_xlfn.XLOOKUP(D284,'[1]Sleutelplan nieuw'!B:B,'[1]Sleutelplan nieuw'!A:A,"",2)</f>
        <v>0212</v>
      </c>
      <c r="C284" s="51" t="s">
        <v>2824</v>
      </c>
      <c r="D284" s="59" t="s">
        <v>3636</v>
      </c>
      <c r="E284" s="60" t="s">
        <v>3637</v>
      </c>
      <c r="F284" s="76" t="s">
        <v>2103</v>
      </c>
      <c r="G284" s="108">
        <v>4</v>
      </c>
      <c r="H284" s="108">
        <v>4</v>
      </c>
      <c r="I284" s="109">
        <v>46038</v>
      </c>
      <c r="J284" s="109">
        <v>46341</v>
      </c>
      <c r="K284" s="78"/>
      <c r="L284" t="s">
        <v>974</v>
      </c>
      <c r="M284" s="41">
        <f>_xlfn.XLOOKUP(L284,'relaties_export_2026-01-12_1609'!B:B,'relaties_export_2026-01-12_1609'!A:A,"",3)</f>
        <v>210</v>
      </c>
      <c r="N284" s="41" t="str">
        <f>_xlfn.XLOOKUP(M284,'relaties_export_2026-01-12_1609'!A:A,'relaties_export_2026-01-12_1609'!B:B,"",3)</f>
        <v>DIT en Larex Vakpersoneel B.V.</v>
      </c>
      <c r="O284" s="84" t="s">
        <v>3638</v>
      </c>
      <c r="P284" s="43">
        <f t="shared" si="66"/>
        <v>358.84000000000015</v>
      </c>
      <c r="Q284" s="43">
        <f>T284*1.21+U284*1.21</f>
        <v>3660.25</v>
      </c>
      <c r="R284" s="44">
        <f t="shared" si="81"/>
        <v>3025</v>
      </c>
      <c r="S284" s="45">
        <f t="shared" si="82"/>
        <v>174.51936501489615</v>
      </c>
      <c r="T284" s="45">
        <v>2775</v>
      </c>
      <c r="U284" s="46">
        <v>250</v>
      </c>
      <c r="V284" s="46">
        <v>0</v>
      </c>
      <c r="W284"/>
      <c r="X284" s="23"/>
      <c r="Y284" s="56" t="s">
        <v>2704</v>
      </c>
      <c r="Z284" s="47">
        <v>823</v>
      </c>
      <c r="AA284" s="47" t="str">
        <f>_xlfn.XLOOKUP(Z284,'relaties_export_2026-01-12_1609'!A:A,'relaties_export_2026-01-12_1609'!B:B,"",3)</f>
        <v>City Estate (Reinier Derksen)</v>
      </c>
      <c r="AB284" s="70" t="s">
        <v>3366</v>
      </c>
      <c r="AC284" s="46">
        <v>2416.16</v>
      </c>
      <c r="AD284" s="46">
        <v>2416.16</v>
      </c>
      <c r="AE284" s="70">
        <v>2416.16</v>
      </c>
      <c r="AF284" s="70">
        <f t="shared" si="79"/>
        <v>139.39395337996413</v>
      </c>
      <c r="AG284" s="34"/>
      <c r="AH284" s="34"/>
      <c r="AI284"/>
      <c r="AJ284"/>
      <c r="AK284" s="80"/>
      <c r="AL284" s="80"/>
      <c r="AO284" s="34"/>
      <c r="AP284" s="34"/>
      <c r="AQ284" s="58"/>
      <c r="AT284" s="81"/>
      <c r="AU284" s="81"/>
      <c r="AX284" s="95"/>
      <c r="AY284" s="86"/>
    </row>
    <row r="285" spans="1:52" s="29" customFormat="1" ht="17" thickBot="1" x14ac:dyDescent="0.25">
      <c r="A285" s="30">
        <v>257</v>
      </c>
      <c r="B285" s="31" t="str">
        <f>_xlfn.XLOOKUP(D285,'[1]Sleutelplan nieuw'!B:B,'[1]Sleutelplan nieuw'!A:A,"",2)</f>
        <v>0139</v>
      </c>
      <c r="C285" s="32" t="s">
        <v>2831</v>
      </c>
      <c r="D285" s="126" t="s">
        <v>3639</v>
      </c>
      <c r="E285" s="107" t="s">
        <v>3640</v>
      </c>
      <c r="F285" s="76" t="s">
        <v>415</v>
      </c>
      <c r="G285" s="108">
        <v>5</v>
      </c>
      <c r="H285" s="108">
        <v>3</v>
      </c>
      <c r="I285" s="78">
        <v>45485</v>
      </c>
      <c r="J285" s="78">
        <v>45850</v>
      </c>
      <c r="K285" s="78"/>
      <c r="L285" t="s">
        <v>576</v>
      </c>
      <c r="M285" s="41">
        <f>_xlfn.XLOOKUP(L285,'relaties_export_2026-01-12_1609'!B:B,'relaties_export_2026-01-12_1609'!A:A,"",3)</f>
        <v>124</v>
      </c>
      <c r="N285" s="41" t="str">
        <f>_xlfn.XLOOKUP(M285,'relaties_export_2026-01-12_1609'!A:A,'relaties_export_2026-01-12_1609'!B:B,"",3)</f>
        <v>AmDor Projecten B.V.</v>
      </c>
      <c r="O285" s="42" t="s">
        <v>2845</v>
      </c>
      <c r="P285" s="43">
        <f t="shared" ref="P285:P320" si="83">R285-U285-V285-AD285</f>
        <v>407.67999999999984</v>
      </c>
      <c r="Q285" s="43">
        <f t="shared" si="80"/>
        <v>3804.8712</v>
      </c>
      <c r="R285" s="44">
        <f t="shared" si="81"/>
        <v>3457.68</v>
      </c>
      <c r="S285" s="45">
        <f t="shared" si="82"/>
        <v>159.585353527195</v>
      </c>
      <c r="T285" s="45">
        <v>3157.68</v>
      </c>
      <c r="U285" s="46">
        <v>300</v>
      </c>
      <c r="V285" s="46">
        <v>0</v>
      </c>
      <c r="W285"/>
      <c r="X285" s="23"/>
      <c r="Y285" s="56" t="s">
        <v>2699</v>
      </c>
      <c r="Z285" s="47">
        <f>_xlfn.XLOOKUP(Y285,'relaties_export_2026-01-12_1609'!B:B,'relaties_export_2026-01-12_1609'!A:A,"",3)</f>
        <v>818</v>
      </c>
      <c r="AA285" s="47" t="str">
        <f>_xlfn.XLOOKUP(Z285,'relaties_export_2026-01-12_1609'!A:A,'relaties_export_2026-01-12_1609'!B:B,"",3)</f>
        <v>HC van Os - Remeeus</v>
      </c>
      <c r="AB285" s="70" t="s">
        <v>3292</v>
      </c>
      <c r="AC285" s="46">
        <v>2750</v>
      </c>
      <c r="AD285" s="46">
        <v>2750</v>
      </c>
      <c r="AE285" s="70">
        <v>2750</v>
      </c>
      <c r="AF285" s="70">
        <f t="shared" si="79"/>
        <v>126.92317455628812</v>
      </c>
      <c r="AG285" s="49">
        <v>44531</v>
      </c>
      <c r="AH285" s="49">
        <v>45626</v>
      </c>
      <c r="AI285" t="s">
        <v>3293</v>
      </c>
      <c r="AJ285" t="s">
        <v>3055</v>
      </c>
      <c r="AK285" s="80">
        <v>43800</v>
      </c>
      <c r="AL285" s="80">
        <v>44530</v>
      </c>
      <c r="AM285" s="29" t="s">
        <v>3081</v>
      </c>
      <c r="AO285" s="34" t="s">
        <v>3003</v>
      </c>
      <c r="AP285" s="116" t="s">
        <v>3409</v>
      </c>
      <c r="AQ285" s="58"/>
      <c r="AR285" s="29" t="s">
        <v>2997</v>
      </c>
      <c r="AS285" s="29" t="s">
        <v>3641</v>
      </c>
      <c r="AT285" s="81">
        <v>43891</v>
      </c>
      <c r="AU285" s="81">
        <v>44255</v>
      </c>
      <c r="AV285" s="29" t="s">
        <v>3642</v>
      </c>
      <c r="AW285" s="29" t="s">
        <v>3195</v>
      </c>
      <c r="AY285" s="86"/>
      <c r="AZ285" s="29" t="s">
        <v>3455</v>
      </c>
    </row>
    <row r="286" spans="1:52" s="29" customFormat="1" ht="15.75" customHeight="1" thickBot="1" x14ac:dyDescent="0.25">
      <c r="A286" s="30">
        <v>258</v>
      </c>
      <c r="B286" s="31" t="str">
        <f>_xlfn.XLOOKUP(D286,'[1]Sleutelplan nieuw'!B:B,'[1]Sleutelplan nieuw'!A:A,"",2)</f>
        <v>0140</v>
      </c>
      <c r="C286" s="32" t="s">
        <v>2831</v>
      </c>
      <c r="D286" s="126" t="s">
        <v>3643</v>
      </c>
      <c r="E286" s="107" t="s">
        <v>3644</v>
      </c>
      <c r="F286" s="76" t="s">
        <v>549</v>
      </c>
      <c r="G286" s="108">
        <v>5</v>
      </c>
      <c r="H286" s="108">
        <v>5</v>
      </c>
      <c r="I286" s="78">
        <v>45444</v>
      </c>
      <c r="J286" s="78"/>
      <c r="K286" s="78"/>
      <c r="L286" s="83" t="s">
        <v>1092</v>
      </c>
      <c r="M286" s="41">
        <f>_xlfn.XLOOKUP(L286,'relaties_export_2026-01-12_1609'!B:B,'relaties_export_2026-01-12_1609'!A:A,"",3)</f>
        <v>237</v>
      </c>
      <c r="N286" s="41" t="str">
        <f>_xlfn.XLOOKUP(M286,'relaties_export_2026-01-12_1609'!A:A,'relaties_export_2026-01-12_1609'!B:B,"",3)</f>
        <v>AKT Autoschade</v>
      </c>
      <c r="O286" s="42" t="s">
        <v>2845</v>
      </c>
      <c r="P286" s="43">
        <f t="shared" si="83"/>
        <v>455.80000000000018</v>
      </c>
      <c r="Q286" s="43">
        <f t="shared" si="80"/>
        <v>4674.8220000000001</v>
      </c>
      <c r="R286" s="44">
        <f t="shared" si="81"/>
        <v>4255.8</v>
      </c>
      <c r="S286" s="45">
        <f t="shared" si="82"/>
        <v>196.42168955514583</v>
      </c>
      <c r="T286" s="45">
        <v>3955.8</v>
      </c>
      <c r="U286" s="46">
        <v>300</v>
      </c>
      <c r="V286" s="46">
        <v>0</v>
      </c>
      <c r="W286"/>
      <c r="X286" s="23"/>
      <c r="Y286" s="167" t="s">
        <v>3645</v>
      </c>
      <c r="Z286" s="47">
        <v>366</v>
      </c>
      <c r="AA286" s="47" t="str">
        <f>_xlfn.XLOOKUP(Z286,'relaties_export_2026-01-12_1609'!A:A,'relaties_export_2026-01-12_1609'!B:B,"",3)</f>
        <v>C. van Winsen</v>
      </c>
      <c r="AB286" s="70" t="s">
        <v>3646</v>
      </c>
      <c r="AC286" s="46">
        <v>3500</v>
      </c>
      <c r="AD286" s="46">
        <v>3500</v>
      </c>
      <c r="AE286" s="70">
        <v>3500</v>
      </c>
      <c r="AF286" s="70">
        <f t="shared" si="79"/>
        <v>161.53858579891215</v>
      </c>
      <c r="AG286" s="49">
        <v>45017</v>
      </c>
      <c r="AH286" s="49">
        <v>45747</v>
      </c>
      <c r="AI286"/>
      <c r="AJ286"/>
      <c r="AK286" s="80"/>
      <c r="AL286" s="80"/>
      <c r="AO286" s="34"/>
      <c r="AP286" s="116"/>
      <c r="AQ286" s="58"/>
      <c r="AT286" s="81"/>
      <c r="AU286" s="81"/>
      <c r="AY286" s="86"/>
    </row>
    <row r="287" spans="1:52" s="29" customFormat="1" ht="17" thickBot="1" x14ac:dyDescent="0.25">
      <c r="A287" s="30">
        <v>259</v>
      </c>
      <c r="B287" s="31" t="str">
        <f>_xlfn.XLOOKUP(D287,'[1]Sleutelplan nieuw'!B:B,'[1]Sleutelplan nieuw'!A:A,"",2)</f>
        <v>0142</v>
      </c>
      <c r="C287" s="32" t="s">
        <v>2831</v>
      </c>
      <c r="D287" s="126" t="s">
        <v>761</v>
      </c>
      <c r="E287" s="107" t="s">
        <v>3647</v>
      </c>
      <c r="F287" s="76" t="s">
        <v>762</v>
      </c>
      <c r="G287" s="108">
        <v>4</v>
      </c>
      <c r="H287" s="108">
        <v>4</v>
      </c>
      <c r="I287" s="78">
        <v>45381</v>
      </c>
      <c r="J287" s="78" t="s">
        <v>3648</v>
      </c>
      <c r="K287" s="79"/>
      <c r="L287" t="s">
        <v>1279</v>
      </c>
      <c r="M287" s="41">
        <f>_xlfn.XLOOKUP(L287,'relaties_export_2026-01-12_1609'!B:B,'relaties_export_2026-01-12_1609'!A:A,"",3)</f>
        <v>288</v>
      </c>
      <c r="N287" s="41" t="str">
        <f>_xlfn.XLOOKUP(M287,'relaties_export_2026-01-12_1609'!A:A,'relaties_export_2026-01-12_1609'!B:B,"",3)</f>
        <v>C-Flex B.V.</v>
      </c>
      <c r="O287" s="42" t="s">
        <v>2845</v>
      </c>
      <c r="P287" s="43">
        <f t="shared" si="83"/>
        <v>494.30000000000018</v>
      </c>
      <c r="Q287" s="43">
        <f t="shared" si="80"/>
        <v>3033.2870000000003</v>
      </c>
      <c r="R287" s="44">
        <f t="shared" si="81"/>
        <v>2744.3</v>
      </c>
      <c r="S287" s="45">
        <f t="shared" si="82"/>
        <v>158.32512178855524</v>
      </c>
      <c r="T287" s="45">
        <v>2394.3000000000002</v>
      </c>
      <c r="U287" s="46">
        <v>350</v>
      </c>
      <c r="V287" s="46">
        <v>0</v>
      </c>
      <c r="W287"/>
      <c r="X287" s="23"/>
      <c r="Y287" s="56" t="s">
        <v>2723</v>
      </c>
      <c r="Z287" s="47">
        <f>_xlfn.XLOOKUP(Y287,'relaties_export_2026-01-12_1609'!B:B,'relaties_export_2026-01-12_1609'!A:A,"",3)</f>
        <v>842</v>
      </c>
      <c r="AA287" s="47" t="str">
        <f>_xlfn.XLOOKUP(Z287,'relaties_export_2026-01-12_1609'!A:A,'relaties_export_2026-01-12_1609'!B:B,"",3)</f>
        <v>Jetty Michielsen</v>
      </c>
      <c r="AB287" s="46" t="s">
        <v>3649</v>
      </c>
      <c r="AC287" s="46">
        <v>1900</v>
      </c>
      <c r="AD287" s="46">
        <v>1900</v>
      </c>
      <c r="AE287" s="46">
        <v>1900</v>
      </c>
      <c r="AF287" s="46">
        <f t="shared" si="79"/>
        <v>109.61546893497611</v>
      </c>
      <c r="AG287" s="49">
        <v>44713</v>
      </c>
      <c r="AH287" s="49">
        <v>45443</v>
      </c>
      <c r="AI287"/>
      <c r="AJ287"/>
      <c r="AK287" s="80"/>
      <c r="AL287" s="80"/>
      <c r="AO287" s="34"/>
      <c r="AP287" s="116"/>
      <c r="AQ287" s="58"/>
      <c r="AT287" s="81"/>
      <c r="AU287" s="81"/>
      <c r="AY287" s="86"/>
    </row>
    <row r="288" spans="1:52" s="29" customFormat="1" ht="17" thickBot="1" x14ac:dyDescent="0.25">
      <c r="A288" s="30">
        <v>260</v>
      </c>
      <c r="B288" s="31" t="str">
        <f>_xlfn.XLOOKUP(D288,'[1]Sleutelplan nieuw'!B:B,'[1]Sleutelplan nieuw'!A:A,"",2)</f>
        <v>0141</v>
      </c>
      <c r="C288" s="32" t="s">
        <v>2831</v>
      </c>
      <c r="D288" s="126" t="s">
        <v>3650</v>
      </c>
      <c r="E288" s="107" t="s">
        <v>3651</v>
      </c>
      <c r="F288" s="76" t="s">
        <v>3652</v>
      </c>
      <c r="G288" s="108">
        <v>4</v>
      </c>
      <c r="H288" s="108">
        <v>4</v>
      </c>
      <c r="I288" s="78">
        <v>45954</v>
      </c>
      <c r="J288" s="78">
        <v>46022</v>
      </c>
      <c r="K288" s="78"/>
      <c r="L288" t="s">
        <v>1483</v>
      </c>
      <c r="M288" s="41">
        <f>_xlfn.XLOOKUP(L288,'relaties_export_2026-01-12_1609'!B:B,'relaties_export_2026-01-12_1609'!A:A,"",3)</f>
        <v>346</v>
      </c>
      <c r="N288" s="41" t="str">
        <f>_xlfn.XLOOKUP(M288,'relaties_export_2026-01-12_1609'!A:A,'relaties_export_2026-01-12_1609'!B:B,"",3)</f>
        <v>Buurman Vastgoed E B.V.</v>
      </c>
      <c r="O288" s="68" t="s">
        <v>3530</v>
      </c>
      <c r="P288" s="43">
        <f t="shared" si="83"/>
        <v>-2200</v>
      </c>
      <c r="Q288" s="43"/>
      <c r="R288" s="44"/>
      <c r="S288" s="45"/>
      <c r="T288" s="43"/>
      <c r="U288" s="46">
        <v>300</v>
      </c>
      <c r="V288" s="46">
        <v>0</v>
      </c>
      <c r="W288"/>
      <c r="X288" s="23"/>
      <c r="Y288" s="56" t="s">
        <v>2724</v>
      </c>
      <c r="Z288" s="47">
        <f>_xlfn.XLOOKUP(Y288,'relaties_export_2026-01-12_1609'!B:B,'relaties_export_2026-01-12_1609'!A:A,"",3)</f>
        <v>184</v>
      </c>
      <c r="AA288" s="47" t="str">
        <f>_xlfn.XLOOKUP(Z288,'relaties_export_2026-01-12_1609'!A:A,'relaties_export_2026-01-12_1609'!B:B,"",3)</f>
        <v>Dhr. M. Moeilijker</v>
      </c>
      <c r="AB288" s="46" t="s">
        <v>3653</v>
      </c>
      <c r="AC288" s="46">
        <v>1900</v>
      </c>
      <c r="AD288" s="46">
        <v>1900</v>
      </c>
      <c r="AE288" s="46">
        <v>1900</v>
      </c>
      <c r="AF288" s="46">
        <f t="shared" si="79"/>
        <v>109.61546893497611</v>
      </c>
      <c r="AG288" s="49">
        <v>44805</v>
      </c>
      <c r="AH288" s="49">
        <v>45169</v>
      </c>
      <c r="AI288"/>
      <c r="AJ288"/>
      <c r="AK288" s="80"/>
      <c r="AL288" s="80"/>
      <c r="AO288" s="34"/>
      <c r="AP288" s="116"/>
      <c r="AQ288" s="58"/>
      <c r="AT288" s="81"/>
      <c r="AU288" s="81"/>
      <c r="AY288" s="86"/>
    </row>
    <row r="289" spans="1:61" s="29" customFormat="1" ht="17" thickBot="1" x14ac:dyDescent="0.25">
      <c r="A289" s="30">
        <v>261</v>
      </c>
      <c r="B289" s="31" t="str">
        <f>_xlfn.XLOOKUP(D289,'[1]Sleutelplan nieuw'!B:B,'[1]Sleutelplan nieuw'!A:A,"",2)</f>
        <v>0143</v>
      </c>
      <c r="C289" s="32" t="s">
        <v>2831</v>
      </c>
      <c r="D289" s="59" t="s">
        <v>3654</v>
      </c>
      <c r="E289" s="60" t="s">
        <v>3655</v>
      </c>
      <c r="F289" s="76" t="s">
        <v>890</v>
      </c>
      <c r="G289" s="77">
        <v>3</v>
      </c>
      <c r="H289" s="77">
        <v>3</v>
      </c>
      <c r="I289" s="78">
        <v>45785</v>
      </c>
      <c r="J289" s="78"/>
      <c r="K289" s="124"/>
      <c r="L289" s="91" t="s">
        <v>3174</v>
      </c>
      <c r="M289" s="41">
        <f>_xlfn.XLOOKUP(L289,'relaties_export_2026-01-12_1609'!B:B,'relaties_export_2026-01-12_1609'!A:A,"",3)</f>
        <v>30</v>
      </c>
      <c r="N289" s="41" t="str">
        <f>_xlfn.XLOOKUP(M289,'relaties_export_2026-01-12_1609'!A:A,'relaties_export_2026-01-12_1609'!B:B,"",3)</f>
        <v>Team Home Rentals B.V.</v>
      </c>
      <c r="O289" s="42" t="s">
        <v>2845</v>
      </c>
      <c r="P289" s="43">
        <f t="shared" si="83"/>
        <v>926.73</v>
      </c>
      <c r="Q289" s="43">
        <f t="shared" si="80"/>
        <v>2422</v>
      </c>
      <c r="R289" s="44">
        <f t="shared" si="81"/>
        <v>2200</v>
      </c>
      <c r="S289" s="45">
        <f>R289/G289/4.3333</f>
        <v>169.2320710159309</v>
      </c>
      <c r="T289" s="43">
        <v>2000</v>
      </c>
      <c r="U289" s="46">
        <v>200</v>
      </c>
      <c r="V289" s="46">
        <v>0</v>
      </c>
      <c r="W289"/>
      <c r="X289" s="23"/>
      <c r="Y289" s="56" t="s">
        <v>2725</v>
      </c>
      <c r="Z289" s="47">
        <f>_xlfn.XLOOKUP(Y289,'relaties_export_2026-01-12_1609'!B:B,'relaties_export_2026-01-12_1609'!A:A,"",3)</f>
        <v>844</v>
      </c>
      <c r="AA289" s="47" t="str">
        <f>_xlfn.XLOOKUP(Z289,'relaties_export_2026-01-12_1609'!A:A,'relaties_export_2026-01-12_1609'!B:B,"",3)</f>
        <v>S. Bakker / Eigenaar.nl</v>
      </c>
      <c r="AB289" s="46" t="s">
        <v>3656</v>
      </c>
      <c r="AC289" s="46">
        <v>1073.27</v>
      </c>
      <c r="AD289" s="46">
        <v>1073.27</v>
      </c>
      <c r="AE289" s="46">
        <v>1073.27</v>
      </c>
      <c r="AF289" s="46">
        <f t="shared" si="79"/>
        <v>82.559294276380214</v>
      </c>
      <c r="AG289" s="49">
        <v>43894</v>
      </c>
      <c r="AH289" s="49">
        <v>44316</v>
      </c>
      <c r="AI289" t="s">
        <v>3293</v>
      </c>
      <c r="AJ289" t="s">
        <v>3015</v>
      </c>
      <c r="AK289" s="80">
        <v>43894</v>
      </c>
      <c r="AL289" s="80">
        <v>44316</v>
      </c>
      <c r="AM289" s="29" t="s">
        <v>2999</v>
      </c>
      <c r="AO289" s="34" t="s">
        <v>3195</v>
      </c>
      <c r="AP289" s="34"/>
      <c r="AQ289" s="58"/>
      <c r="AR289" s="29" t="s">
        <v>3293</v>
      </c>
      <c r="AS289" s="29" t="s">
        <v>3149</v>
      </c>
      <c r="AT289" s="81">
        <v>44059</v>
      </c>
      <c r="AU289" s="81">
        <v>44180</v>
      </c>
      <c r="AV289" s="29" t="s">
        <v>3642</v>
      </c>
      <c r="AW289" s="29" t="s">
        <v>3195</v>
      </c>
      <c r="AY289" s="82"/>
    </row>
    <row r="290" spans="1:61" s="29" customFormat="1" ht="17" thickBot="1" x14ac:dyDescent="0.25">
      <c r="A290" s="30"/>
      <c r="B290" s="31" t="str">
        <f>_xlfn.XLOOKUP(D290,'[1]Sleutelplan nieuw'!B:B,'[1]Sleutelplan nieuw'!A:A,"",3)</f>
        <v>0186</v>
      </c>
      <c r="C290" s="32"/>
      <c r="D290" s="59" t="s">
        <v>3657</v>
      </c>
      <c r="E290" s="60"/>
      <c r="F290" s="76"/>
      <c r="G290" s="77"/>
      <c r="H290" s="77"/>
      <c r="I290" s="78"/>
      <c r="J290" s="78"/>
      <c r="K290" s="124"/>
      <c r="L290" s="91" t="s">
        <v>2672</v>
      </c>
      <c r="M290" s="41">
        <f>_xlfn.XLOOKUP(L290,'relaties_export_2026-01-12_1609'!B:B,'relaties_export_2026-01-12_1609'!A:A,"",3)</f>
        <v>17</v>
      </c>
      <c r="N290" s="41" t="str">
        <f>_xlfn.XLOOKUP(M290,'relaties_export_2026-01-12_1609'!A:A,'relaties_export_2026-01-12_1609'!B:B,"",3)</f>
        <v>Tradiro Services B.V.</v>
      </c>
      <c r="O290" s="185"/>
      <c r="P290" s="43"/>
      <c r="Q290" s="43"/>
      <c r="R290" s="44"/>
      <c r="S290" s="45"/>
      <c r="T290" s="43"/>
      <c r="U290" s="46"/>
      <c r="V290" s="46"/>
      <c r="W290"/>
      <c r="X290" s="23"/>
      <c r="Y290" s="56" t="s">
        <v>2680</v>
      </c>
      <c r="Z290" s="47">
        <f>_xlfn.XLOOKUP(Y290,'relaties_export_2026-01-12_1609'!B:B,'relaties_export_2026-01-12_1609'!A:A,"",3)</f>
        <v>799</v>
      </c>
      <c r="AA290" s="47" t="str">
        <f>_xlfn.XLOOKUP(Z290,'relaties_export_2026-01-12_1609'!A:A,'relaties_export_2026-01-12_1609'!B:B,"",3)</f>
        <v>Z. Yilmaz</v>
      </c>
      <c r="AB290" s="46"/>
      <c r="AC290" s="46">
        <v>2600</v>
      </c>
      <c r="AD290" s="46">
        <v>2600</v>
      </c>
      <c r="AE290" s="46">
        <v>2600</v>
      </c>
      <c r="AF290" s="46"/>
      <c r="AG290" s="49"/>
      <c r="AH290" s="49"/>
      <c r="AI290"/>
      <c r="AJ290"/>
      <c r="AK290" s="80"/>
      <c r="AL290" s="80"/>
      <c r="AO290" s="34"/>
      <c r="AP290" s="34"/>
      <c r="AQ290" s="58"/>
      <c r="AT290" s="81"/>
      <c r="AU290" s="81"/>
      <c r="AY290" s="82"/>
    </row>
    <row r="291" spans="1:61" s="29" customFormat="1" ht="17" thickBot="1" x14ac:dyDescent="0.25">
      <c r="A291" s="30">
        <v>263</v>
      </c>
      <c r="B291" s="31" t="str">
        <f>_xlfn.XLOOKUP(D291,'[1]Sleutelplan nieuw'!B:B,'[1]Sleutelplan nieuw'!A:A,"",2)</f>
        <v>0145</v>
      </c>
      <c r="C291" s="32" t="s">
        <v>2831</v>
      </c>
      <c r="D291" s="59" t="s">
        <v>3658</v>
      </c>
      <c r="E291" s="60" t="s">
        <v>3659</v>
      </c>
      <c r="F291" s="76" t="s">
        <v>1307</v>
      </c>
      <c r="G291" s="77">
        <v>5</v>
      </c>
      <c r="H291" s="77">
        <v>4</v>
      </c>
      <c r="I291" s="78">
        <v>44752</v>
      </c>
      <c r="J291" s="78">
        <v>45116</v>
      </c>
      <c r="K291" s="78"/>
      <c r="L291" s="91" t="s">
        <v>176</v>
      </c>
      <c r="M291" s="41">
        <f>_xlfn.XLOOKUP(L291,'relaties_export_2026-01-12_1609'!B:B,'relaties_export_2026-01-12_1609'!A:A,"",3)</f>
        <v>32</v>
      </c>
      <c r="N291" s="41" t="str">
        <f>_xlfn.XLOOKUP(M291,'relaties_export_2026-01-12_1609'!A:A,'relaties_export_2026-01-12_1609'!B:B,"",3)</f>
        <v>Interim Jobs B.V.</v>
      </c>
      <c r="O291" s="185"/>
      <c r="P291" s="43">
        <f t="shared" si="83"/>
        <v>474.5300000000002</v>
      </c>
      <c r="Q291" s="43">
        <f>T291*1.09+U291*1.21</f>
        <v>3242.2377000000006</v>
      </c>
      <c r="R291" s="44">
        <f>T291+U291</f>
        <v>2974.53</v>
      </c>
      <c r="S291" s="45">
        <f>(R291/G291)/4.33333</f>
        <v>137.28610560469662</v>
      </c>
      <c r="T291" s="43">
        <v>2974.53</v>
      </c>
      <c r="U291" s="46">
        <v>0</v>
      </c>
      <c r="V291" s="46">
        <v>0</v>
      </c>
      <c r="W291"/>
      <c r="X291" s="23"/>
      <c r="Y291" s="56" t="s">
        <v>616</v>
      </c>
      <c r="Z291" s="47">
        <f>_xlfn.XLOOKUP(Y291,'relaties_export_2026-01-12_1609'!B:B,'relaties_export_2026-01-12_1609'!A:A,"",3)</f>
        <v>132</v>
      </c>
      <c r="AA291" s="47" t="str">
        <f>_xlfn.XLOOKUP(Z291,'relaties_export_2026-01-12_1609'!A:A,'relaties_export_2026-01-12_1609'!B:B,"",3)</f>
        <v>T. van de Moosdijk</v>
      </c>
      <c r="AB291" s="46" t="s">
        <v>3660</v>
      </c>
      <c r="AC291" s="46">
        <v>2500</v>
      </c>
      <c r="AD291" s="46">
        <v>2500</v>
      </c>
      <c r="AE291" s="46">
        <v>2500</v>
      </c>
      <c r="AF291" s="46">
        <f>(AD291/G291)/4.33333</f>
        <v>115.38470414208011</v>
      </c>
      <c r="AG291" s="49">
        <v>44348</v>
      </c>
      <c r="AH291" s="49">
        <v>44712</v>
      </c>
      <c r="AI291"/>
      <c r="AJ291"/>
      <c r="AK291" s="80"/>
      <c r="AL291" s="80"/>
      <c r="AO291" s="34"/>
      <c r="AP291" s="34"/>
      <c r="AQ291" s="58"/>
      <c r="AT291" s="81"/>
      <c r="AU291" s="81"/>
      <c r="AY291" s="82"/>
    </row>
    <row r="292" spans="1:61" s="29" customFormat="1" ht="17" thickBot="1" x14ac:dyDescent="0.25">
      <c r="A292" s="30">
        <v>264</v>
      </c>
      <c r="B292" s="31" t="str">
        <f>_xlfn.XLOOKUP(D292,'[1]Sleutelplan nieuw'!B:B,'[1]Sleutelplan nieuw'!A:A,"",2)</f>
        <v>0232</v>
      </c>
      <c r="C292" s="32" t="s">
        <v>2824</v>
      </c>
      <c r="D292" s="59" t="s">
        <v>3661</v>
      </c>
      <c r="E292" s="60" t="s">
        <v>3662</v>
      </c>
      <c r="F292" s="76" t="s">
        <v>84</v>
      </c>
      <c r="G292" s="77">
        <v>4</v>
      </c>
      <c r="H292" s="77">
        <v>2</v>
      </c>
      <c r="I292" s="78">
        <v>45996</v>
      </c>
      <c r="J292" s="78">
        <v>46360</v>
      </c>
      <c r="K292" s="78"/>
      <c r="L292" t="s">
        <v>1077</v>
      </c>
      <c r="M292" s="41">
        <f>_xlfn.XLOOKUP(L292,'relaties_export_2026-01-12_1609'!B:B,'relaties_export_2026-01-12_1609'!A:A,"",3)</f>
        <v>234</v>
      </c>
      <c r="N292" s="41" t="str">
        <f>_xlfn.XLOOKUP(M292,'relaties_export_2026-01-12_1609'!A:A,'relaties_export_2026-01-12_1609'!B:B,"",3)</f>
        <v>Labour Housing BV</v>
      </c>
      <c r="O292" s="84" t="s">
        <v>3663</v>
      </c>
      <c r="P292" s="43">
        <f t="shared" si="83"/>
        <v>727</v>
      </c>
      <c r="Q292" s="43">
        <f>T292*1.09+U292*1.21</f>
        <v>2918.5</v>
      </c>
      <c r="R292" s="44">
        <f>T292+U292</f>
        <v>2650</v>
      </c>
      <c r="S292" s="45">
        <f>(R292/G292)/4.33333</f>
        <v>152.88473298825613</v>
      </c>
      <c r="T292" s="43">
        <v>2400</v>
      </c>
      <c r="U292" s="46">
        <v>250</v>
      </c>
      <c r="V292" s="46"/>
      <c r="W292"/>
      <c r="X292" s="23"/>
      <c r="Y292" s="56" t="s">
        <v>2672</v>
      </c>
      <c r="Z292" s="47">
        <f>_xlfn.XLOOKUP(Y292,'relaties_export_2026-01-12_1609'!B:B,'relaties_export_2026-01-12_1609'!A:A,"",3)</f>
        <v>17</v>
      </c>
      <c r="AA292" s="47" t="str">
        <f>_xlfn.XLOOKUP(Z292,'relaties_export_2026-01-12_1609'!A:A,'relaties_export_2026-01-12_1609'!B:B,"",3)</f>
        <v>Tradiro Services B.V.</v>
      </c>
      <c r="AB292" s="46"/>
      <c r="AC292" s="46">
        <f>AD292*1.09</f>
        <v>1823.5700000000002</v>
      </c>
      <c r="AD292" s="46">
        <v>1673</v>
      </c>
      <c r="AE292" s="46">
        <v>1673</v>
      </c>
      <c r="AF292" s="46">
        <f>(AD292/G292)/4.33333</f>
        <v>96.519305014850005</v>
      </c>
      <c r="AG292" s="49"/>
      <c r="AH292" s="49"/>
      <c r="AI292"/>
      <c r="AJ292"/>
      <c r="AK292" s="80"/>
      <c r="AL292" s="80"/>
      <c r="AO292" s="34"/>
      <c r="AP292" s="34"/>
      <c r="AQ292" s="58"/>
      <c r="AT292" s="81"/>
      <c r="AU292" s="81"/>
      <c r="AY292" s="82"/>
    </row>
    <row r="293" spans="1:61" s="29" customFormat="1" ht="17" thickBot="1" x14ac:dyDescent="0.25">
      <c r="A293" s="30"/>
      <c r="B293" s="31" t="str" cm="1">
        <f t="array" ref="B293">_xlfn.XLOOKUP(LEFT(D293,3),LEFT('[1]Sleutelplan nieuw'!B:B,3),'[1]Sleutelplan nieuw'!A:A,"",2)</f>
        <v>0376</v>
      </c>
      <c r="C293" s="32" t="s">
        <v>2824</v>
      </c>
      <c r="D293" s="59" t="s">
        <v>3664</v>
      </c>
      <c r="E293" s="60" t="s">
        <v>3665</v>
      </c>
      <c r="F293" s="76" t="s">
        <v>3666</v>
      </c>
      <c r="G293" s="108">
        <v>6</v>
      </c>
      <c r="H293" s="108">
        <v>3</v>
      </c>
      <c r="I293" s="109">
        <v>45885</v>
      </c>
      <c r="J293" s="109"/>
      <c r="K293" s="78"/>
      <c r="L293" s="186" t="s">
        <v>2672</v>
      </c>
      <c r="M293" s="41">
        <f>_xlfn.XLOOKUP(L293,'relaties_export_2026-01-12_1609'!B:B,'relaties_export_2026-01-12_1609'!A:A,"",3)</f>
        <v>17</v>
      </c>
      <c r="N293" s="41" t="str">
        <f>_xlfn.XLOOKUP(M293,'relaties_export_2026-01-12_1609'!A:A,'relaties_export_2026-01-12_1609'!B:B,"",3)</f>
        <v>Tradiro Services B.V.</v>
      </c>
      <c r="O293" s="185"/>
      <c r="P293" s="43">
        <f t="shared" si="83"/>
        <v>900</v>
      </c>
      <c r="Q293" s="43">
        <f>T293*1.09+U293*1.21</f>
        <v>4286.9000000000005</v>
      </c>
      <c r="R293" s="44">
        <f>T293+U293</f>
        <v>3890</v>
      </c>
      <c r="S293" s="45">
        <f>(R293/G293)/4.33333</f>
        <v>149.61549970423056</v>
      </c>
      <c r="T293" s="43">
        <v>3500</v>
      </c>
      <c r="U293" s="46">
        <v>390</v>
      </c>
      <c r="V293" s="46"/>
      <c r="W293"/>
      <c r="X293" s="23"/>
      <c r="Y293" s="56" t="s">
        <v>3667</v>
      </c>
      <c r="Z293" s="47">
        <v>701</v>
      </c>
      <c r="AA293" s="47" t="str">
        <f>_xlfn.XLOOKUP(Z293,'relaties_export_2026-01-12_1609'!A:A,'relaties_export_2026-01-12_1609'!B:B,"",3)</f>
        <v>Fransen Vastgoed / Holland Huisvesting B.V.</v>
      </c>
      <c r="AB293" s="69" t="s">
        <v>2954</v>
      </c>
      <c r="AC293" s="46">
        <v>2600</v>
      </c>
      <c r="AD293" s="46">
        <v>2600</v>
      </c>
      <c r="AE293" s="46">
        <v>2600</v>
      </c>
      <c r="AF293" s="46">
        <f>(AD293/G293)/4.33333</f>
        <v>100.00007692313609</v>
      </c>
      <c r="AG293" s="49">
        <v>45880</v>
      </c>
      <c r="AH293" s="49">
        <v>46244</v>
      </c>
      <c r="AI293"/>
      <c r="AJ293"/>
      <c r="AK293" s="80"/>
      <c r="AL293" s="80"/>
      <c r="AO293" s="34"/>
      <c r="AP293" s="116"/>
      <c r="AQ293" s="58"/>
      <c r="AT293" s="81"/>
      <c r="AU293" s="81"/>
      <c r="AY293" s="82"/>
    </row>
    <row r="294" spans="1:61" ht="17" thickBot="1" x14ac:dyDescent="0.25">
      <c r="A294" s="77"/>
      <c r="B294" s="31"/>
      <c r="C294" s="77"/>
      <c r="D294" s="76"/>
      <c r="E294" s="88"/>
      <c r="F294" s="187" t="s">
        <v>3668</v>
      </c>
      <c r="G294" s="188">
        <f>SUM(G4:G293)</f>
        <v>1199</v>
      </c>
      <c r="H294" s="188">
        <f>SUM(H4:H293)</f>
        <v>916</v>
      </c>
      <c r="I294" s="188"/>
      <c r="J294" s="188"/>
      <c r="K294" s="188"/>
      <c r="L294" s="189"/>
      <c r="M294" s="41" t="str">
        <f>_xlfn.XLOOKUP(L294,'relaties_export_2026-01-12_1609'!B:B,'relaties_export_2026-01-12_1609'!A:A,"",3)</f>
        <v>id</v>
      </c>
      <c r="N294" s="41" t="str">
        <f>_xlfn.XLOOKUP(M294,'relaties_export_2026-01-12_1609'!A:A,'relaties_export_2026-01-12_1609'!B:B,"",3)</f>
        <v>naam</v>
      </c>
      <c r="O294" s="191"/>
      <c r="P294" s="192">
        <f>SUM(P4:P292)</f>
        <v>101575.13000000005</v>
      </c>
      <c r="Q294" s="193">
        <f>SUM(Q4:Q293)</f>
        <v>756225.52427000075</v>
      </c>
      <c r="R294" s="193">
        <f>SUM(R4:R293)</f>
        <v>686520.06000000029</v>
      </c>
      <c r="S294" s="194">
        <f>SUM(S4:S292)</f>
        <v>35543.212955751485</v>
      </c>
      <c r="T294" s="193">
        <f>SUM(T4:T293)</f>
        <v>644316.90300000052</v>
      </c>
      <c r="U294" s="192"/>
      <c r="V294" s="195"/>
      <c r="W294" s="195"/>
      <c r="X294" s="196"/>
      <c r="Y294" s="197"/>
      <c r="Z294" s="47" t="str">
        <f>_xlfn.XLOOKUP(Y294,'relaties_export_2026-01-12_1609'!B:B,'relaties_export_2026-01-12_1609'!A:A,"",3)</f>
        <v>id</v>
      </c>
      <c r="AA294" s="47" t="str">
        <f>_xlfn.XLOOKUP(Z294,'relaties_export_2026-01-12_1609'!A:A,'relaties_export_2026-01-12_1609'!B:B,"",3)</f>
        <v>naam</v>
      </c>
      <c r="AB294" s="198"/>
      <c r="AC294" s="199">
        <f>SUM(AC4:AC293)</f>
        <v>646509.64700000011</v>
      </c>
      <c r="AD294" s="199">
        <f>SUM(AD4:AD293)</f>
        <v>616460.2999999997</v>
      </c>
      <c r="AE294" s="198"/>
      <c r="AF294" s="198"/>
      <c r="AG294" s="195"/>
      <c r="AH294" s="192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I294" s="29"/>
    </row>
    <row r="295" spans="1:61" ht="17" thickBot="1" x14ac:dyDescent="0.25">
      <c r="A295" s="77"/>
      <c r="B295" s="31"/>
      <c r="C295" s="77"/>
      <c r="D295" s="76"/>
      <c r="E295" s="88"/>
      <c r="F295" s="87"/>
      <c r="G295" s="88"/>
      <c r="H295" s="88"/>
      <c r="I295" s="88"/>
      <c r="J295" s="88"/>
      <c r="K295" s="88"/>
      <c r="L295" s="91"/>
      <c r="M295" s="41" t="str">
        <f>_xlfn.XLOOKUP(L295,'relaties_export_2026-01-12_1609'!B:B,'relaties_export_2026-01-12_1609'!A:A,"",3)</f>
        <v>id</v>
      </c>
      <c r="N295" s="41" t="str">
        <f>_xlfn.XLOOKUP(M295,'relaties_export_2026-01-12_1609'!A:A,'relaties_export_2026-01-12_1609'!B:B,"",3)</f>
        <v>naam</v>
      </c>
      <c r="O295" s="185"/>
      <c r="P295" s="43">
        <f>R295-U295-V295-AD295</f>
        <v>0</v>
      </c>
      <c r="Q295" s="142"/>
      <c r="R295" s="142"/>
      <c r="S295" s="45"/>
      <c r="T295" s="142"/>
      <c r="U295" s="43"/>
      <c r="V295" s="46"/>
      <c r="W295" s="46"/>
      <c r="X295" s="23"/>
      <c r="Y295" s="73"/>
      <c r="Z295" s="47" t="str">
        <f>_xlfn.XLOOKUP(Y295,'relaties_export_2026-01-12_1609'!B:B,'relaties_export_2026-01-12_1609'!A:A,"",3)</f>
        <v>id</v>
      </c>
      <c r="AA295" s="47" t="str">
        <f>_xlfn.XLOOKUP(Z295,'relaties_export_2026-01-12_1609'!A:A,'relaties_export_2026-01-12_1609'!B:B,"",3)</f>
        <v>naam</v>
      </c>
      <c r="AB295" s="76"/>
      <c r="AC295" s="43"/>
      <c r="AD295" s="43"/>
      <c r="AE295" s="43"/>
      <c r="AF295" s="46"/>
      <c r="AG295" s="46"/>
      <c r="AH295" s="77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I295" s="29"/>
    </row>
    <row r="296" spans="1:61" s="29" customFormat="1" ht="15.75" customHeight="1" thickBot="1" x14ac:dyDescent="0.25">
      <c r="A296" s="77"/>
      <c r="B296" s="31"/>
      <c r="C296" s="77"/>
      <c r="D296" s="76"/>
      <c r="E296" s="88"/>
      <c r="F296" s="87"/>
      <c r="G296" s="88"/>
      <c r="H296" s="88"/>
      <c r="I296" s="88"/>
      <c r="J296" s="88"/>
      <c r="K296" s="88"/>
      <c r="L296" s="91"/>
      <c r="M296" s="190"/>
      <c r="N296" s="190"/>
      <c r="O296" s="185"/>
      <c r="P296" s="200"/>
      <c r="Q296" s="142"/>
      <c r="R296" s="142"/>
      <c r="S296" s="45"/>
      <c r="T296" s="142"/>
      <c r="U296" s="43"/>
      <c r="V296" s="46"/>
      <c r="W296" s="46"/>
      <c r="X296" s="23"/>
      <c r="Y296" s="73"/>
      <c r="Z296" s="73"/>
      <c r="AA296" s="73"/>
      <c r="AB296" s="76"/>
      <c r="AC296" s="43"/>
      <c r="AD296" s="43"/>
      <c r="AE296" s="43"/>
      <c r="AF296" s="46"/>
      <c r="AG296" s="46"/>
      <c r="AH296" s="77"/>
    </row>
    <row r="297" spans="1:61" s="29" customFormat="1" ht="15.75" customHeight="1" thickBot="1" x14ac:dyDescent="0.25">
      <c r="A297" s="77"/>
      <c r="B297" s="31"/>
      <c r="C297" s="77"/>
      <c r="D297" s="76"/>
      <c r="E297" s="88"/>
      <c r="F297" s="87"/>
      <c r="G297" s="88"/>
      <c r="H297" s="88"/>
      <c r="I297" s="88"/>
      <c r="J297" s="88"/>
      <c r="K297" s="88"/>
      <c r="L297" s="91"/>
      <c r="M297" s="190"/>
      <c r="N297" s="190"/>
      <c r="O297" s="185"/>
      <c r="P297" s="43">
        <f t="shared" ref="P297:P307" si="84">R297-U297-V297-AD297</f>
        <v>0</v>
      </c>
      <c r="Q297" s="142"/>
      <c r="R297" s="142"/>
      <c r="S297" s="45"/>
      <c r="T297" s="142"/>
      <c r="U297" s="43"/>
      <c r="V297" s="46"/>
      <c r="W297" s="46"/>
      <c r="X297" s="23"/>
      <c r="Y297" s="73"/>
      <c r="Z297" s="73"/>
      <c r="AA297" s="73"/>
      <c r="AB297" s="76"/>
      <c r="AC297" s="43"/>
      <c r="AD297" s="43"/>
      <c r="AE297" s="43"/>
      <c r="AF297" s="46"/>
      <c r="AG297" s="46"/>
      <c r="AH297" s="77"/>
    </row>
    <row r="298" spans="1:61" s="29" customFormat="1" ht="15.75" customHeight="1" thickBot="1" x14ac:dyDescent="0.25">
      <c r="A298" s="77"/>
      <c r="B298" s="31"/>
      <c r="C298" s="77"/>
      <c r="D298" s="76"/>
      <c r="E298" s="88"/>
      <c r="F298" s="87"/>
      <c r="G298" s="88"/>
      <c r="H298" s="88"/>
      <c r="I298" s="88"/>
      <c r="J298" s="88"/>
      <c r="K298" s="88"/>
      <c r="L298" s="91"/>
      <c r="M298" s="190"/>
      <c r="N298" s="190"/>
      <c r="O298" s="185"/>
      <c r="P298" s="43">
        <f t="shared" si="84"/>
        <v>0</v>
      </c>
      <c r="Q298" s="142"/>
      <c r="R298" s="142"/>
      <c r="S298" s="45"/>
      <c r="T298" s="142"/>
      <c r="U298" s="43"/>
      <c r="V298" s="46"/>
      <c r="W298" s="46"/>
      <c r="X298" s="23"/>
      <c r="Y298" s="73"/>
      <c r="Z298" s="73"/>
      <c r="AA298" s="73"/>
      <c r="AB298" s="76"/>
      <c r="AC298" s="43"/>
      <c r="AD298" s="43"/>
      <c r="AE298" s="43"/>
      <c r="AF298" s="46"/>
      <c r="AG298" s="46"/>
      <c r="AH298" s="77"/>
    </row>
    <row r="299" spans="1:61" s="29" customFormat="1" ht="15" thickBot="1" x14ac:dyDescent="0.25">
      <c r="A299" s="77"/>
      <c r="B299" s="31"/>
      <c r="C299" s="77"/>
      <c r="D299" s="76"/>
      <c r="E299" s="88"/>
      <c r="F299" s="87"/>
      <c r="G299" s="88"/>
      <c r="H299" s="88"/>
      <c r="I299" s="88"/>
      <c r="J299" s="88"/>
      <c r="K299" s="88"/>
      <c r="L299" s="91"/>
      <c r="M299" s="190"/>
      <c r="N299" s="190"/>
      <c r="O299" s="185"/>
      <c r="P299" s="43">
        <f t="shared" si="84"/>
        <v>0</v>
      </c>
      <c r="Q299" s="142"/>
      <c r="R299" s="142"/>
      <c r="S299" s="45"/>
      <c r="T299" s="142"/>
      <c r="U299" s="43"/>
      <c r="V299" s="46"/>
      <c r="W299" s="46"/>
      <c r="X299" s="23"/>
      <c r="Y299" s="73"/>
      <c r="Z299" s="73"/>
      <c r="AA299" s="73"/>
      <c r="AB299" s="76"/>
      <c r="AC299" s="43"/>
      <c r="AD299" s="43"/>
      <c r="AE299" s="43"/>
      <c r="AF299" s="46"/>
      <c r="AG299" s="46"/>
      <c r="AH299" s="77"/>
    </row>
    <row r="300" spans="1:61" s="29" customFormat="1" ht="15" thickBot="1" x14ac:dyDescent="0.25">
      <c r="A300" s="77"/>
      <c r="B300" s="31"/>
      <c r="C300" s="77"/>
      <c r="D300" s="76"/>
      <c r="E300" s="88"/>
      <c r="F300" s="87"/>
      <c r="G300" s="88"/>
      <c r="H300" s="88"/>
      <c r="I300" s="88"/>
      <c r="J300" s="88"/>
      <c r="K300" s="88"/>
      <c r="L300" s="91"/>
      <c r="M300" s="190"/>
      <c r="N300" s="190"/>
      <c r="O300" s="185"/>
      <c r="P300" s="43">
        <f t="shared" si="84"/>
        <v>0</v>
      </c>
      <c r="Q300" s="142"/>
      <c r="R300" s="142"/>
      <c r="S300" s="45"/>
      <c r="T300" s="142"/>
      <c r="U300" s="43"/>
      <c r="V300" s="46"/>
      <c r="W300" s="46"/>
      <c r="X300" s="23"/>
      <c r="Y300" s="73"/>
      <c r="Z300" s="73"/>
      <c r="AA300" s="73"/>
      <c r="AB300" s="76"/>
      <c r="AC300" s="43"/>
      <c r="AD300" s="43"/>
      <c r="AE300" s="43"/>
      <c r="AF300" s="46"/>
      <c r="AG300" s="46"/>
      <c r="AH300" s="77"/>
    </row>
    <row r="301" spans="1:61" s="29" customFormat="1" ht="15" thickBot="1" x14ac:dyDescent="0.25">
      <c r="A301" s="77"/>
      <c r="B301" s="31"/>
      <c r="C301" s="77"/>
      <c r="D301" s="76"/>
      <c r="E301" s="88"/>
      <c r="F301" s="87"/>
      <c r="G301" s="88"/>
      <c r="H301" s="88"/>
      <c r="I301" s="88"/>
      <c r="J301" s="88"/>
      <c r="K301" s="88"/>
      <c r="L301" s="91"/>
      <c r="M301" s="190"/>
      <c r="N301" s="190"/>
      <c r="O301" s="185"/>
      <c r="P301" s="43">
        <f t="shared" si="84"/>
        <v>0</v>
      </c>
      <c r="Q301" s="142"/>
      <c r="R301" s="142"/>
      <c r="S301" s="45"/>
      <c r="T301" s="142"/>
      <c r="U301" s="43"/>
      <c r="V301" s="46"/>
      <c r="W301" s="46"/>
      <c r="X301" s="23"/>
      <c r="Y301" s="73"/>
      <c r="Z301" s="73"/>
      <c r="AA301" s="73"/>
      <c r="AB301" s="76"/>
      <c r="AC301" s="43"/>
      <c r="AD301" s="43"/>
      <c r="AE301" s="43"/>
      <c r="AF301" s="46"/>
      <c r="AG301" s="46"/>
      <c r="AH301" s="77"/>
    </row>
    <row r="302" spans="1:61" s="29" customFormat="1" ht="15" thickBot="1" x14ac:dyDescent="0.25">
      <c r="A302" s="77"/>
      <c r="B302" s="31"/>
      <c r="C302" s="77"/>
      <c r="D302" s="76"/>
      <c r="E302" s="88"/>
      <c r="F302" s="87"/>
      <c r="G302" s="88"/>
      <c r="H302" s="88"/>
      <c r="I302" s="88"/>
      <c r="J302" s="88"/>
      <c r="K302" s="88"/>
      <c r="L302" s="91"/>
      <c r="M302" s="190"/>
      <c r="N302" s="190"/>
      <c r="O302" s="185"/>
      <c r="P302" s="43">
        <f t="shared" si="84"/>
        <v>0</v>
      </c>
      <c r="Q302" s="142"/>
      <c r="R302" s="142"/>
      <c r="S302" s="45"/>
      <c r="T302" s="142"/>
      <c r="U302" s="43"/>
      <c r="V302" s="46"/>
      <c r="W302" s="46"/>
      <c r="X302" s="23"/>
      <c r="Y302" s="73"/>
      <c r="Z302" s="73"/>
      <c r="AA302" s="73"/>
      <c r="AB302" s="76"/>
      <c r="AC302" s="43"/>
      <c r="AD302" s="43"/>
      <c r="AE302" s="43"/>
      <c r="AF302" s="46"/>
      <c r="AG302" s="46"/>
      <c r="AH302" s="77"/>
    </row>
    <row r="303" spans="1:61" s="29" customFormat="1" ht="15" thickBot="1" x14ac:dyDescent="0.25">
      <c r="A303" s="77"/>
      <c r="B303" s="31"/>
      <c r="C303" s="77"/>
      <c r="D303" s="76"/>
      <c r="E303" s="88"/>
      <c r="F303" s="87"/>
      <c r="G303" s="88"/>
      <c r="H303" s="88"/>
      <c r="I303" s="88"/>
      <c r="J303" s="88"/>
      <c r="K303" s="88"/>
      <c r="L303" s="91"/>
      <c r="M303" s="190"/>
      <c r="N303" s="190"/>
      <c r="O303" s="185"/>
      <c r="P303" s="43">
        <f t="shared" si="84"/>
        <v>0</v>
      </c>
      <c r="Q303" s="142"/>
      <c r="R303" s="142"/>
      <c r="S303" s="45"/>
      <c r="T303" s="142"/>
      <c r="U303" s="43"/>
      <c r="V303" s="46"/>
      <c r="W303" s="46"/>
      <c r="X303" s="23"/>
      <c r="Y303" s="73"/>
      <c r="Z303" s="73"/>
      <c r="AA303" s="73"/>
      <c r="AB303" s="76"/>
      <c r="AC303" s="43"/>
      <c r="AD303" s="43"/>
      <c r="AE303" s="43"/>
      <c r="AF303" s="46"/>
      <c r="AG303" s="46"/>
      <c r="AH303" s="77"/>
    </row>
    <row r="304" spans="1:61" s="29" customFormat="1" ht="15" thickBot="1" x14ac:dyDescent="0.25">
      <c r="A304" s="77"/>
      <c r="B304" s="31"/>
      <c r="C304" s="77"/>
      <c r="D304" s="76"/>
      <c r="E304" s="88"/>
      <c r="F304" s="87"/>
      <c r="G304" s="88"/>
      <c r="H304" s="88"/>
      <c r="I304" s="88"/>
      <c r="J304" s="88"/>
      <c r="K304" s="88"/>
      <c r="L304" s="91"/>
      <c r="M304" s="190"/>
      <c r="N304" s="190"/>
      <c r="O304" s="185"/>
      <c r="P304" s="43">
        <f t="shared" si="84"/>
        <v>0</v>
      </c>
      <c r="Q304" s="142"/>
      <c r="R304" s="142"/>
      <c r="S304" s="45"/>
      <c r="T304" s="142"/>
      <c r="U304" s="43"/>
      <c r="V304" s="46"/>
      <c r="W304" s="46"/>
      <c r="X304" s="23"/>
      <c r="Y304" s="73"/>
      <c r="Z304" s="73"/>
      <c r="AA304" s="73"/>
      <c r="AB304" s="76"/>
      <c r="AC304" s="43"/>
      <c r="AD304" s="43"/>
      <c r="AE304" s="43"/>
      <c r="AF304" s="46"/>
      <c r="AG304" s="46"/>
      <c r="AH304" s="77"/>
    </row>
    <row r="305" spans="1:59" s="29" customFormat="1" ht="15" thickBot="1" x14ac:dyDescent="0.25">
      <c r="A305" s="77"/>
      <c r="B305" s="31"/>
      <c r="C305" s="77"/>
      <c r="D305" s="76"/>
      <c r="E305" s="88"/>
      <c r="F305" s="87"/>
      <c r="G305" s="88"/>
      <c r="H305" s="88"/>
      <c r="I305" s="88"/>
      <c r="J305" s="88"/>
      <c r="K305" s="88"/>
      <c r="L305" s="91"/>
      <c r="M305" s="190"/>
      <c r="N305" s="190"/>
      <c r="O305" s="185"/>
      <c r="P305" s="43">
        <f t="shared" si="84"/>
        <v>0</v>
      </c>
      <c r="Q305" s="142"/>
      <c r="R305" s="142"/>
      <c r="S305" s="45"/>
      <c r="T305" s="142"/>
      <c r="U305" s="43"/>
      <c r="V305" s="46"/>
      <c r="W305" s="46"/>
      <c r="X305" s="23"/>
      <c r="Y305" s="73"/>
      <c r="Z305" s="73"/>
      <c r="AA305" s="73"/>
      <c r="AB305" s="76"/>
      <c r="AC305" s="43"/>
      <c r="AD305" s="43"/>
      <c r="AE305" s="43"/>
      <c r="AF305" s="46"/>
      <c r="AG305" s="46"/>
      <c r="AH305" s="77"/>
    </row>
    <row r="306" spans="1:59" s="29" customFormat="1" ht="14" x14ac:dyDescent="0.2">
      <c r="A306" s="77"/>
      <c r="B306" s="31"/>
      <c r="C306" s="77"/>
      <c r="D306" s="76"/>
      <c r="E306" s="88"/>
      <c r="F306" s="87"/>
      <c r="G306" s="88"/>
      <c r="H306" s="88"/>
      <c r="I306" s="88"/>
      <c r="J306" s="88"/>
      <c r="K306" s="88"/>
      <c r="L306" s="91"/>
      <c r="M306" s="190"/>
      <c r="N306" s="190"/>
      <c r="O306" s="185"/>
      <c r="P306" s="43">
        <f t="shared" si="84"/>
        <v>0</v>
      </c>
      <c r="Q306" s="142"/>
      <c r="R306" s="142"/>
      <c r="S306" s="45"/>
      <c r="T306" s="142"/>
      <c r="U306" s="43"/>
      <c r="V306" s="46"/>
      <c r="W306" s="46"/>
      <c r="X306" s="201"/>
      <c r="Y306" s="73"/>
      <c r="Z306" s="73"/>
      <c r="AA306" s="73"/>
      <c r="AB306" s="76"/>
      <c r="AC306" s="43"/>
      <c r="AD306" s="43"/>
      <c r="AE306" s="43"/>
      <c r="AF306" s="46"/>
      <c r="AG306" s="46"/>
      <c r="AH306" s="77"/>
    </row>
    <row r="307" spans="1:59" s="29" customFormat="1" ht="14" x14ac:dyDescent="0.2">
      <c r="A307" s="60"/>
      <c r="B307" s="31"/>
      <c r="C307" s="60"/>
      <c r="D307" s="59"/>
      <c r="E307" s="60"/>
      <c r="F307" s="59"/>
      <c r="G307" s="60"/>
      <c r="H307" s="60"/>
      <c r="I307" s="60"/>
      <c r="J307" s="60"/>
      <c r="K307" s="60"/>
      <c r="L307" s="59"/>
      <c r="M307" s="190"/>
      <c r="N307" s="190"/>
      <c r="O307" s="59"/>
      <c r="P307" s="48">
        <f t="shared" si="84"/>
        <v>0</v>
      </c>
      <c r="Q307" s="48"/>
      <c r="R307" s="48"/>
      <c r="S307" s="48"/>
      <c r="T307" s="48"/>
      <c r="U307" s="48"/>
      <c r="V307" s="70"/>
      <c r="W307" s="70"/>
      <c r="X307" s="202"/>
      <c r="Y307" s="34"/>
      <c r="Z307" s="34"/>
      <c r="AA307" s="34"/>
      <c r="AB307" s="59"/>
      <c r="AC307" s="48"/>
      <c r="AD307" s="48"/>
      <c r="AE307" s="48"/>
      <c r="AF307" s="70"/>
      <c r="AG307" s="70"/>
      <c r="AH307" s="60"/>
    </row>
    <row r="308" spans="1:59" s="29" customFormat="1" ht="14" x14ac:dyDescent="0.2">
      <c r="B308" s="31"/>
      <c r="D308" s="33"/>
      <c r="F308" s="33"/>
      <c r="G308" s="34"/>
      <c r="H308" s="34"/>
      <c r="I308" s="34"/>
      <c r="J308" s="34"/>
      <c r="K308" s="34"/>
      <c r="L308" s="33"/>
      <c r="M308" s="203"/>
      <c r="N308" s="203"/>
      <c r="O308" s="33"/>
      <c r="Q308" s="34"/>
      <c r="T308" s="34"/>
      <c r="V308" s="204"/>
      <c r="W308" s="204"/>
      <c r="Y308" s="34"/>
      <c r="Z308" s="34"/>
      <c r="AA308" s="34"/>
      <c r="AB308" s="33"/>
      <c r="AD308" s="34"/>
      <c r="AE308" s="34"/>
      <c r="AF308" s="205"/>
      <c r="AG308" s="205"/>
      <c r="AH308" s="34"/>
    </row>
    <row r="309" spans="1:59" s="29" customFormat="1" ht="14" x14ac:dyDescent="0.2">
      <c r="B309" s="31"/>
      <c r="D309" s="33"/>
      <c r="F309" s="206"/>
      <c r="G309" s="34"/>
      <c r="H309" s="34"/>
      <c r="I309" s="207"/>
      <c r="J309" s="34"/>
      <c r="K309" s="34"/>
      <c r="L309" s="33"/>
      <c r="M309" s="203"/>
      <c r="N309" s="203"/>
      <c r="O309" s="33"/>
      <c r="P309" s="208"/>
      <c r="R309" s="208"/>
      <c r="T309" s="34"/>
      <c r="V309" s="204"/>
      <c r="W309" s="204"/>
      <c r="Y309" s="34"/>
      <c r="Z309" s="34"/>
      <c r="AA309" s="34"/>
      <c r="AB309" s="33"/>
      <c r="AD309" s="34"/>
      <c r="AE309" s="34"/>
      <c r="AF309" s="205"/>
      <c r="AG309" s="205"/>
      <c r="AH309" s="34"/>
    </row>
    <row r="310" spans="1:59" s="29" customFormat="1" ht="14" x14ac:dyDescent="0.2">
      <c r="B310" s="31"/>
      <c r="D310" s="33"/>
      <c r="F310" s="206"/>
      <c r="G310" s="34"/>
      <c r="H310" s="34"/>
      <c r="I310" s="207"/>
      <c r="J310" s="34"/>
      <c r="K310" s="34"/>
      <c r="L310" s="33"/>
      <c r="M310" s="203"/>
      <c r="N310" s="203"/>
      <c r="O310" s="33"/>
      <c r="R310" s="34"/>
      <c r="S310" s="34"/>
      <c r="T310" s="34"/>
      <c r="V310" s="204"/>
      <c r="W310" s="204"/>
      <c r="Y310" s="34"/>
      <c r="Z310" s="34"/>
      <c r="AA310" s="34"/>
      <c r="AB310" s="33"/>
      <c r="AD310" s="34"/>
      <c r="AE310" s="34"/>
      <c r="AF310" s="205"/>
      <c r="AG310" s="205"/>
      <c r="AH310" s="34"/>
    </row>
    <row r="311" spans="1:59" s="29" customFormat="1" ht="14" x14ac:dyDescent="0.2">
      <c r="B311" s="31"/>
      <c r="D311" s="33"/>
      <c r="F311" s="206"/>
      <c r="G311" s="34"/>
      <c r="H311" s="34"/>
      <c r="I311" s="207"/>
      <c r="J311" s="34"/>
      <c r="K311" s="34"/>
      <c r="L311" s="33"/>
      <c r="M311" s="203"/>
      <c r="N311" s="203"/>
      <c r="O311" s="33"/>
      <c r="P311" s="208"/>
      <c r="R311" s="207"/>
      <c r="S311" s="34"/>
      <c r="T311" s="34"/>
      <c r="V311" s="204"/>
      <c r="W311" s="204"/>
      <c r="Y311" s="34"/>
      <c r="Z311" s="34"/>
      <c r="AA311" s="34"/>
      <c r="AB311" s="33"/>
      <c r="AD311" s="34"/>
      <c r="AE311" s="34"/>
      <c r="AF311" s="205"/>
      <c r="AG311" s="205"/>
      <c r="AH311" s="34"/>
    </row>
    <row r="312" spans="1:59" s="29" customFormat="1" x14ac:dyDescent="0.2">
      <c r="B312" s="31"/>
      <c r="D312" s="33"/>
      <c r="F312" s="33"/>
      <c r="G312" s="34"/>
      <c r="H312" s="34"/>
      <c r="I312" s="34"/>
      <c r="J312" s="34"/>
      <c r="K312" s="34"/>
      <c r="L312" s="33"/>
      <c r="M312" s="203"/>
      <c r="N312" s="203"/>
      <c r="O312" s="33"/>
      <c r="T312" s="34"/>
      <c r="V312" s="204"/>
      <c r="W312" s="204"/>
      <c r="Y312" s="34"/>
      <c r="Z312" s="34"/>
      <c r="AA312" s="34"/>
      <c r="AB312" s="33"/>
      <c r="AD312" s="34"/>
      <c r="AE312" s="34"/>
      <c r="AF312" s="205"/>
      <c r="AG312" s="205"/>
      <c r="AH312" s="34"/>
      <c r="BG312"/>
    </row>
    <row r="313" spans="1:59" x14ac:dyDescent="0.2">
      <c r="B313" s="31"/>
      <c r="F313" s="206"/>
      <c r="G313" s="209"/>
      <c r="H313" s="209"/>
      <c r="I313" s="210"/>
      <c r="P313" s="213"/>
      <c r="R313" s="207"/>
      <c r="S313" s="34"/>
      <c r="T313" s="214"/>
      <c r="V313" s="215"/>
      <c r="AF313" s="216"/>
      <c r="AG313" s="216"/>
    </row>
    <row r="314" spans="1:59" x14ac:dyDescent="0.2">
      <c r="B314" s="31"/>
      <c r="R314" s="217"/>
      <c r="T314" s="214"/>
      <c r="U314" s="213"/>
      <c r="V314" s="215"/>
      <c r="AF314" s="216"/>
      <c r="AG314" s="216"/>
    </row>
    <row r="315" spans="1:59" x14ac:dyDescent="0.2">
      <c r="B315" s="31"/>
      <c r="T315" s="214"/>
      <c r="V315" s="215"/>
      <c r="AF315" s="216"/>
      <c r="AG315" s="216"/>
    </row>
    <row r="316" spans="1:59" x14ac:dyDescent="0.2">
      <c r="B316" s="31"/>
      <c r="V316" s="215"/>
      <c r="AF316" s="216"/>
      <c r="AG316" s="216"/>
    </row>
    <row r="317" spans="1:59" x14ac:dyDescent="0.2">
      <c r="B317" s="31"/>
      <c r="V317" s="215"/>
      <c r="AF317" s="216"/>
      <c r="AG317" s="216"/>
    </row>
    <row r="318" spans="1:59" x14ac:dyDescent="0.2">
      <c r="B318" s="31"/>
      <c r="V318" s="215"/>
      <c r="AF318" s="216"/>
      <c r="AG318" s="216"/>
      <c r="BG318" s="29"/>
    </row>
    <row r="319" spans="1:59" x14ac:dyDescent="0.2">
      <c r="V319" s="215"/>
      <c r="AF319" s="216"/>
      <c r="AG319" s="216"/>
    </row>
    <row r="320" spans="1:59" x14ac:dyDescent="0.2">
      <c r="P320" s="213"/>
      <c r="V320" s="215"/>
      <c r="AF320" s="216"/>
      <c r="AG320" s="216"/>
    </row>
    <row r="321" spans="22:33" x14ac:dyDescent="0.2">
      <c r="V321" s="215"/>
      <c r="AF321" s="216"/>
      <c r="AG321" s="216"/>
    </row>
    <row r="322" spans="22:33" x14ac:dyDescent="0.2">
      <c r="V322" s="215"/>
      <c r="AF322" s="216"/>
      <c r="AG322" s="216"/>
    </row>
    <row r="323" spans="22:33" x14ac:dyDescent="0.2">
      <c r="V323" s="215"/>
      <c r="AF323" s="216"/>
      <c r="AG323" s="216"/>
    </row>
    <row r="324" spans="22:33" x14ac:dyDescent="0.2">
      <c r="V324" s="215"/>
      <c r="AF324" s="216"/>
      <c r="AG324" s="216"/>
    </row>
    <row r="325" spans="22:33" x14ac:dyDescent="0.2">
      <c r="V325" s="215"/>
      <c r="AF325" s="216"/>
      <c r="AG325" s="216"/>
    </row>
    <row r="326" spans="22:33" x14ac:dyDescent="0.2">
      <c r="V326" s="215"/>
      <c r="AF326" s="216"/>
      <c r="AG326" s="216"/>
    </row>
    <row r="329" spans="22:33" x14ac:dyDescent="0.2">
      <c r="V329" s="215"/>
      <c r="AF329" s="216"/>
      <c r="AG329" s="216"/>
    </row>
  </sheetData>
  <autoFilter ref="A2:BI295" xr:uid="{703C0862-7CC5-5F42-99FB-1BE69CAE4FD7}"/>
  <conditionalFormatting sqref="P3:P306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1388-FF7D-CA4A-97CD-1C313BFFB17D}">
  <dimension ref="A1:E292"/>
  <sheetViews>
    <sheetView tabSelected="1" workbookViewId="0">
      <selection activeCell="H15" sqref="H15"/>
    </sheetView>
  </sheetViews>
  <sheetFormatPr baseColWidth="10" defaultRowHeight="16" x14ac:dyDescent="0.2"/>
  <sheetData>
    <row r="1" spans="1:5" x14ac:dyDescent="0.2">
      <c r="A1" t="s">
        <v>3897</v>
      </c>
      <c r="B1" t="s">
        <v>3671</v>
      </c>
      <c r="C1" t="s">
        <v>3896</v>
      </c>
      <c r="D1" t="s">
        <v>3671</v>
      </c>
      <c r="E1" t="s">
        <v>3895</v>
      </c>
    </row>
    <row r="2" spans="1:5" x14ac:dyDescent="0.2">
      <c r="A2" t="s">
        <v>3673</v>
      </c>
      <c r="B2">
        <v>23</v>
      </c>
      <c r="C2" t="s">
        <v>131</v>
      </c>
      <c r="D2">
        <v>751</v>
      </c>
      <c r="E2" t="s">
        <v>2660</v>
      </c>
    </row>
    <row r="3" spans="1:5" x14ac:dyDescent="0.2">
      <c r="A3" t="s">
        <v>3674</v>
      </c>
      <c r="B3">
        <v>17</v>
      </c>
      <c r="C3" t="s">
        <v>100</v>
      </c>
      <c r="D3">
        <v>574</v>
      </c>
      <c r="E3" t="s">
        <v>2246</v>
      </c>
    </row>
    <row r="4" spans="1:5" x14ac:dyDescent="0.2">
      <c r="A4" t="s">
        <v>3675</v>
      </c>
      <c r="B4">
        <v>17</v>
      </c>
      <c r="C4" t="s">
        <v>100</v>
      </c>
      <c r="D4">
        <v>306</v>
      </c>
      <c r="E4" t="s">
        <v>1345</v>
      </c>
    </row>
    <row r="5" spans="1:5" x14ac:dyDescent="0.2">
      <c r="A5" t="s">
        <v>3676</v>
      </c>
      <c r="B5">
        <v>17</v>
      </c>
      <c r="C5" t="s">
        <v>100</v>
      </c>
      <c r="D5">
        <v>306</v>
      </c>
      <c r="E5" t="s">
        <v>1345</v>
      </c>
    </row>
    <row r="6" spans="1:5" x14ac:dyDescent="0.2">
      <c r="A6" t="s">
        <v>3677</v>
      </c>
      <c r="B6">
        <v>17</v>
      </c>
      <c r="C6" t="s">
        <v>100</v>
      </c>
      <c r="D6">
        <v>306</v>
      </c>
      <c r="E6" t="s">
        <v>1345</v>
      </c>
    </row>
    <row r="7" spans="1:5" x14ac:dyDescent="0.2">
      <c r="A7" t="s">
        <v>3678</v>
      </c>
      <c r="B7">
        <v>13</v>
      </c>
      <c r="C7" t="s">
        <v>81</v>
      </c>
      <c r="D7">
        <v>789</v>
      </c>
      <c r="E7" t="s">
        <v>2670</v>
      </c>
    </row>
    <row r="8" spans="1:5" x14ac:dyDescent="0.2">
      <c r="A8" t="s">
        <v>3679</v>
      </c>
      <c r="B8">
        <v>145</v>
      </c>
      <c r="C8" t="s">
        <v>683</v>
      </c>
      <c r="D8">
        <v>824</v>
      </c>
      <c r="E8" t="s">
        <v>2705</v>
      </c>
    </row>
    <row r="9" spans="1:5" x14ac:dyDescent="0.2">
      <c r="A9" t="s">
        <v>3680</v>
      </c>
      <c r="B9">
        <v>154</v>
      </c>
      <c r="C9" t="s">
        <v>720</v>
      </c>
      <c r="D9">
        <v>790</v>
      </c>
      <c r="E9" t="s">
        <v>2671</v>
      </c>
    </row>
    <row r="10" spans="1:5" x14ac:dyDescent="0.2">
      <c r="A10" t="s">
        <v>2850</v>
      </c>
      <c r="B10">
        <v>236</v>
      </c>
      <c r="C10" t="s">
        <v>1087</v>
      </c>
      <c r="D10">
        <v>726</v>
      </c>
      <c r="E10" t="s">
        <v>2655</v>
      </c>
    </row>
    <row r="11" spans="1:5" x14ac:dyDescent="0.2">
      <c r="A11" t="s">
        <v>2855</v>
      </c>
      <c r="B11">
        <v>348</v>
      </c>
      <c r="C11" t="s">
        <v>1491</v>
      </c>
      <c r="D11">
        <v>726</v>
      </c>
      <c r="E11" t="s">
        <v>2655</v>
      </c>
    </row>
    <row r="12" spans="1:5" x14ac:dyDescent="0.2">
      <c r="A12" t="s">
        <v>3681</v>
      </c>
      <c r="B12">
        <v>346</v>
      </c>
      <c r="C12" t="s">
        <v>1483</v>
      </c>
      <c r="D12">
        <v>726</v>
      </c>
      <c r="E12" t="s">
        <v>2655</v>
      </c>
    </row>
    <row r="13" spans="1:5" x14ac:dyDescent="0.2">
      <c r="A13" t="s">
        <v>2860</v>
      </c>
      <c r="B13">
        <v>236</v>
      </c>
      <c r="C13" t="s">
        <v>1087</v>
      </c>
      <c r="D13">
        <v>766</v>
      </c>
      <c r="E13" t="s">
        <v>2664</v>
      </c>
    </row>
    <row r="14" spans="1:5" x14ac:dyDescent="0.2">
      <c r="A14" t="s">
        <v>2863</v>
      </c>
      <c r="B14">
        <v>348</v>
      </c>
      <c r="C14" t="s">
        <v>1491</v>
      </c>
      <c r="D14">
        <v>726</v>
      </c>
      <c r="E14" t="s">
        <v>2655</v>
      </c>
    </row>
    <row r="15" spans="1:5" x14ac:dyDescent="0.2">
      <c r="A15" t="s">
        <v>2865</v>
      </c>
      <c r="B15">
        <v>346</v>
      </c>
      <c r="C15" t="s">
        <v>1483</v>
      </c>
      <c r="D15">
        <v>726</v>
      </c>
      <c r="E15" t="s">
        <v>2655</v>
      </c>
    </row>
    <row r="16" spans="1:5" x14ac:dyDescent="0.2">
      <c r="A16" t="s">
        <v>2867</v>
      </c>
      <c r="B16">
        <v>304</v>
      </c>
      <c r="C16" t="s">
        <v>1338</v>
      </c>
      <c r="D16">
        <v>726</v>
      </c>
      <c r="E16" t="s">
        <v>2655</v>
      </c>
    </row>
    <row r="17" spans="1:5" x14ac:dyDescent="0.2">
      <c r="A17" t="s">
        <v>2869</v>
      </c>
      <c r="B17">
        <v>348</v>
      </c>
      <c r="C17" t="s">
        <v>1491</v>
      </c>
      <c r="D17">
        <v>726</v>
      </c>
      <c r="E17" t="s">
        <v>2655</v>
      </c>
    </row>
    <row r="18" spans="1:5" x14ac:dyDescent="0.2">
      <c r="A18" t="s">
        <v>2871</v>
      </c>
      <c r="B18">
        <v>348</v>
      </c>
      <c r="C18" t="s">
        <v>1491</v>
      </c>
      <c r="D18">
        <v>726</v>
      </c>
      <c r="E18" t="s">
        <v>2655</v>
      </c>
    </row>
    <row r="19" spans="1:5" x14ac:dyDescent="0.2">
      <c r="A19" t="s">
        <v>2873</v>
      </c>
      <c r="B19">
        <v>236</v>
      </c>
      <c r="C19" t="s">
        <v>1087</v>
      </c>
      <c r="D19">
        <v>766</v>
      </c>
      <c r="E19" t="s">
        <v>2664</v>
      </c>
    </row>
    <row r="20" spans="1:5" x14ac:dyDescent="0.2">
      <c r="A20" t="s">
        <v>2876</v>
      </c>
      <c r="B20">
        <v>218</v>
      </c>
      <c r="C20" t="s">
        <v>1012</v>
      </c>
      <c r="D20">
        <v>766</v>
      </c>
      <c r="E20" t="s">
        <v>2664</v>
      </c>
    </row>
    <row r="21" spans="1:5" x14ac:dyDescent="0.2">
      <c r="A21" t="s">
        <v>2880</v>
      </c>
      <c r="B21">
        <v>304</v>
      </c>
      <c r="C21" t="s">
        <v>1338</v>
      </c>
      <c r="D21">
        <v>766</v>
      </c>
      <c r="E21" t="s">
        <v>2664</v>
      </c>
    </row>
    <row r="22" spans="1:5" x14ac:dyDescent="0.2">
      <c r="A22" t="s">
        <v>2882</v>
      </c>
      <c r="B22">
        <v>346</v>
      </c>
      <c r="C22" t="s">
        <v>1483</v>
      </c>
      <c r="D22">
        <v>766</v>
      </c>
      <c r="E22" t="s">
        <v>2664</v>
      </c>
    </row>
    <row r="23" spans="1:5" x14ac:dyDescent="0.2">
      <c r="A23" t="s">
        <v>2885</v>
      </c>
      <c r="B23">
        <v>236</v>
      </c>
      <c r="C23" t="s">
        <v>1087</v>
      </c>
      <c r="D23">
        <v>766</v>
      </c>
      <c r="E23" t="s">
        <v>2664</v>
      </c>
    </row>
    <row r="24" spans="1:5" x14ac:dyDescent="0.2">
      <c r="A24" t="s">
        <v>2888</v>
      </c>
      <c r="B24">
        <v>236</v>
      </c>
      <c r="C24" t="s">
        <v>1087</v>
      </c>
      <c r="D24">
        <v>766</v>
      </c>
      <c r="E24" t="s">
        <v>2664</v>
      </c>
    </row>
    <row r="25" spans="1:5" x14ac:dyDescent="0.2">
      <c r="A25" t="s">
        <v>2890</v>
      </c>
      <c r="B25">
        <v>348</v>
      </c>
      <c r="C25" t="s">
        <v>1491</v>
      </c>
      <c r="D25">
        <v>726</v>
      </c>
      <c r="E25" t="s">
        <v>2655</v>
      </c>
    </row>
    <row r="26" spans="1:5" x14ac:dyDescent="0.2">
      <c r="A26" t="s">
        <v>2892</v>
      </c>
      <c r="B26">
        <v>346</v>
      </c>
      <c r="C26" t="s">
        <v>1483</v>
      </c>
      <c r="D26">
        <v>726</v>
      </c>
      <c r="E26" t="s">
        <v>2655</v>
      </c>
    </row>
    <row r="27" spans="1:5" x14ac:dyDescent="0.2">
      <c r="A27" t="s">
        <v>2895</v>
      </c>
      <c r="B27">
        <v>347</v>
      </c>
      <c r="C27" t="s">
        <v>1487</v>
      </c>
      <c r="D27">
        <v>726</v>
      </c>
      <c r="E27" t="s">
        <v>2655</v>
      </c>
    </row>
    <row r="28" spans="1:5" x14ac:dyDescent="0.2">
      <c r="A28" t="s">
        <v>2897</v>
      </c>
      <c r="B28">
        <v>347</v>
      </c>
      <c r="C28" t="s">
        <v>1487</v>
      </c>
      <c r="D28">
        <v>726</v>
      </c>
      <c r="E28" t="s">
        <v>2655</v>
      </c>
    </row>
    <row r="29" spans="1:5" x14ac:dyDescent="0.2">
      <c r="A29" t="s">
        <v>3682</v>
      </c>
      <c r="B29">
        <v>260</v>
      </c>
      <c r="C29" t="s">
        <v>1170</v>
      </c>
      <c r="D29" t="s">
        <v>3790</v>
      </c>
      <c r="E29" t="s">
        <v>1</v>
      </c>
    </row>
    <row r="30" spans="1:5" x14ac:dyDescent="0.2">
      <c r="A30" t="s">
        <v>3683</v>
      </c>
      <c r="B30">
        <v>26</v>
      </c>
      <c r="C30" t="s">
        <v>144</v>
      </c>
      <c r="D30">
        <v>792</v>
      </c>
      <c r="E30" t="s">
        <v>2673</v>
      </c>
    </row>
    <row r="31" spans="1:5" x14ac:dyDescent="0.2">
      <c r="A31" t="s">
        <v>2907</v>
      </c>
      <c r="B31">
        <v>17</v>
      </c>
      <c r="C31" t="s">
        <v>100</v>
      </c>
      <c r="D31">
        <v>258</v>
      </c>
      <c r="E31" t="s">
        <v>1162</v>
      </c>
    </row>
    <row r="32" spans="1:5" x14ac:dyDescent="0.2">
      <c r="A32" t="s">
        <v>3684</v>
      </c>
      <c r="B32">
        <v>17</v>
      </c>
      <c r="C32" t="s">
        <v>100</v>
      </c>
      <c r="D32">
        <v>271</v>
      </c>
      <c r="E32" t="s">
        <v>1211</v>
      </c>
    </row>
    <row r="33" spans="1:5" x14ac:dyDescent="0.2">
      <c r="A33" t="s">
        <v>3685</v>
      </c>
      <c r="B33">
        <v>310</v>
      </c>
      <c r="C33" t="s">
        <v>1358</v>
      </c>
      <c r="D33">
        <v>852</v>
      </c>
      <c r="E33" t="s">
        <v>2733</v>
      </c>
    </row>
    <row r="34" spans="1:5" x14ac:dyDescent="0.2">
      <c r="A34" t="s">
        <v>3686</v>
      </c>
      <c r="B34">
        <v>26</v>
      </c>
      <c r="C34" t="s">
        <v>144</v>
      </c>
      <c r="D34">
        <v>790</v>
      </c>
      <c r="E34" t="s">
        <v>2671</v>
      </c>
    </row>
    <row r="35" spans="1:5" x14ac:dyDescent="0.2">
      <c r="A35" t="s">
        <v>3687</v>
      </c>
      <c r="B35">
        <v>190</v>
      </c>
      <c r="C35" t="s">
        <v>2923</v>
      </c>
      <c r="D35">
        <v>185</v>
      </c>
      <c r="E35" t="s">
        <v>864</v>
      </c>
    </row>
    <row r="36" spans="1:5" x14ac:dyDescent="0.2">
      <c r="A36" t="s">
        <v>3688</v>
      </c>
      <c r="B36">
        <v>220</v>
      </c>
      <c r="C36" t="s">
        <v>1023</v>
      </c>
      <c r="D36">
        <v>180</v>
      </c>
      <c r="E36" t="s">
        <v>843</v>
      </c>
    </row>
    <row r="37" spans="1:5" x14ac:dyDescent="0.2">
      <c r="A37" t="s">
        <v>3689</v>
      </c>
      <c r="B37">
        <v>360</v>
      </c>
      <c r="C37" t="s">
        <v>1541</v>
      </c>
      <c r="D37">
        <v>211</v>
      </c>
      <c r="E37" t="s">
        <v>980</v>
      </c>
    </row>
    <row r="38" spans="1:5" x14ac:dyDescent="0.2">
      <c r="A38" t="s">
        <v>3690</v>
      </c>
      <c r="B38">
        <v>352</v>
      </c>
      <c r="C38" t="s">
        <v>1508</v>
      </c>
      <c r="D38">
        <v>795</v>
      </c>
      <c r="E38" t="s">
        <v>2676</v>
      </c>
    </row>
    <row r="39" spans="1:5" x14ac:dyDescent="0.2">
      <c r="A39" t="s">
        <v>3691</v>
      </c>
      <c r="B39">
        <v>277</v>
      </c>
      <c r="C39" t="s">
        <v>1239</v>
      </c>
      <c r="D39">
        <v>796</v>
      </c>
      <c r="E39" t="s">
        <v>2677</v>
      </c>
    </row>
    <row r="40" spans="1:5" x14ac:dyDescent="0.2">
      <c r="A40" t="s">
        <v>3692</v>
      </c>
      <c r="B40">
        <v>149</v>
      </c>
      <c r="C40" t="s">
        <v>698</v>
      </c>
      <c r="D40">
        <v>147</v>
      </c>
      <c r="E40" t="s">
        <v>692</v>
      </c>
    </row>
    <row r="41" spans="1:5" x14ac:dyDescent="0.2">
      <c r="A41" t="s">
        <v>3693</v>
      </c>
      <c r="B41">
        <v>124</v>
      </c>
      <c r="C41" t="s">
        <v>576</v>
      </c>
      <c r="D41">
        <v>77</v>
      </c>
      <c r="E41" t="s">
        <v>383</v>
      </c>
    </row>
    <row r="42" spans="1:5" x14ac:dyDescent="0.2">
      <c r="A42" t="s">
        <v>3694</v>
      </c>
      <c r="B42">
        <v>23</v>
      </c>
      <c r="C42" t="s">
        <v>131</v>
      </c>
      <c r="D42">
        <v>145</v>
      </c>
      <c r="E42" t="s">
        <v>683</v>
      </c>
    </row>
    <row r="43" spans="1:5" x14ac:dyDescent="0.2">
      <c r="A43" t="s">
        <v>3695</v>
      </c>
      <c r="B43">
        <v>23</v>
      </c>
      <c r="C43" t="s">
        <v>131</v>
      </c>
      <c r="D43">
        <v>145</v>
      </c>
      <c r="E43" t="s">
        <v>683</v>
      </c>
    </row>
    <row r="44" spans="1:5" x14ac:dyDescent="0.2">
      <c r="A44" t="s">
        <v>3696</v>
      </c>
      <c r="B44">
        <v>286</v>
      </c>
      <c r="C44" t="s">
        <v>1273</v>
      </c>
      <c r="D44">
        <v>175</v>
      </c>
      <c r="E44" t="s">
        <v>823</v>
      </c>
    </row>
    <row r="45" spans="1:5" x14ac:dyDescent="0.2">
      <c r="A45" t="s">
        <v>3697</v>
      </c>
      <c r="B45" t="s">
        <v>0</v>
      </c>
      <c r="C45" t="s">
        <v>1</v>
      </c>
      <c r="D45">
        <v>952</v>
      </c>
      <c r="E45" t="s">
        <v>2741</v>
      </c>
    </row>
    <row r="46" spans="1:5" x14ac:dyDescent="0.2">
      <c r="A46" t="s">
        <v>3698</v>
      </c>
      <c r="B46" t="s">
        <v>0</v>
      </c>
      <c r="C46" t="s">
        <v>1</v>
      </c>
      <c r="D46">
        <v>952</v>
      </c>
      <c r="E46" t="s">
        <v>2741</v>
      </c>
    </row>
    <row r="47" spans="1:5" x14ac:dyDescent="0.2">
      <c r="A47" t="s">
        <v>3699</v>
      </c>
      <c r="B47">
        <v>17</v>
      </c>
      <c r="C47" t="s">
        <v>100</v>
      </c>
      <c r="D47">
        <v>258</v>
      </c>
      <c r="E47" t="s">
        <v>1162</v>
      </c>
    </row>
    <row r="48" spans="1:5" x14ac:dyDescent="0.2">
      <c r="A48" t="s">
        <v>3700</v>
      </c>
      <c r="B48">
        <v>17</v>
      </c>
      <c r="C48" t="s">
        <v>100</v>
      </c>
      <c r="D48">
        <v>797</v>
      </c>
      <c r="E48" t="s">
        <v>2678</v>
      </c>
    </row>
    <row r="49" spans="1:5" x14ac:dyDescent="0.2">
      <c r="A49" t="s">
        <v>3701</v>
      </c>
      <c r="B49">
        <v>17</v>
      </c>
      <c r="C49" t="s">
        <v>100</v>
      </c>
      <c r="D49">
        <v>302</v>
      </c>
      <c r="E49" t="s">
        <v>1330</v>
      </c>
    </row>
    <row r="50" spans="1:5" x14ac:dyDescent="0.2">
      <c r="A50" t="s">
        <v>3702</v>
      </c>
      <c r="B50">
        <v>17</v>
      </c>
      <c r="C50" t="s">
        <v>100</v>
      </c>
      <c r="D50">
        <v>295</v>
      </c>
      <c r="E50" t="s">
        <v>1304</v>
      </c>
    </row>
    <row r="51" spans="1:5" x14ac:dyDescent="0.2">
      <c r="A51" t="s">
        <v>2974</v>
      </c>
      <c r="B51">
        <v>17</v>
      </c>
      <c r="C51" t="s">
        <v>100</v>
      </c>
      <c r="D51">
        <v>258</v>
      </c>
      <c r="E51" t="s">
        <v>1162</v>
      </c>
    </row>
    <row r="52" spans="1:5" x14ac:dyDescent="0.2">
      <c r="A52" t="s">
        <v>3703</v>
      </c>
      <c r="B52">
        <v>17</v>
      </c>
      <c r="C52" t="s">
        <v>100</v>
      </c>
      <c r="D52">
        <v>258</v>
      </c>
      <c r="E52" t="s">
        <v>1162</v>
      </c>
    </row>
    <row r="53" spans="1:5" x14ac:dyDescent="0.2">
      <c r="A53" t="s">
        <v>3704</v>
      </c>
      <c r="B53">
        <v>17</v>
      </c>
      <c r="C53" t="s">
        <v>100</v>
      </c>
      <c r="D53">
        <v>85</v>
      </c>
      <c r="E53" t="s">
        <v>408</v>
      </c>
    </row>
    <row r="54" spans="1:5" x14ac:dyDescent="0.2">
      <c r="A54" t="s">
        <v>3705</v>
      </c>
      <c r="B54">
        <v>13</v>
      </c>
      <c r="C54" t="s">
        <v>81</v>
      </c>
      <c r="D54" t="e" vm="2">
        <v>#VALUE!</v>
      </c>
      <c r="E54" t="e" vm="2">
        <v>#VALUE!</v>
      </c>
    </row>
    <row r="55" spans="1:5" x14ac:dyDescent="0.2">
      <c r="A55" t="s">
        <v>3706</v>
      </c>
      <c r="B55">
        <v>13</v>
      </c>
      <c r="C55" t="s">
        <v>81</v>
      </c>
      <c r="D55" t="e" vm="2">
        <v>#VALUE!</v>
      </c>
      <c r="E55" t="e" vm="2">
        <v>#VALUE!</v>
      </c>
    </row>
    <row r="56" spans="1:5" x14ac:dyDescent="0.2">
      <c r="A56" t="s">
        <v>3707</v>
      </c>
      <c r="B56">
        <v>17</v>
      </c>
      <c r="C56" t="s">
        <v>100</v>
      </c>
      <c r="D56">
        <v>799</v>
      </c>
      <c r="E56" t="s">
        <v>2680</v>
      </c>
    </row>
    <row r="57" spans="1:5" x14ac:dyDescent="0.2">
      <c r="A57" t="s">
        <v>3708</v>
      </c>
      <c r="B57">
        <v>123</v>
      </c>
      <c r="C57" t="s">
        <v>571</v>
      </c>
      <c r="D57">
        <v>5</v>
      </c>
      <c r="E57" t="s">
        <v>38</v>
      </c>
    </row>
    <row r="58" spans="1:5" x14ac:dyDescent="0.2">
      <c r="A58" t="s">
        <v>3709</v>
      </c>
      <c r="B58">
        <v>374</v>
      </c>
      <c r="C58" t="s">
        <v>1596</v>
      </c>
      <c r="D58">
        <v>271</v>
      </c>
      <c r="E58" t="s">
        <v>1211</v>
      </c>
    </row>
    <row r="59" spans="1:5" x14ac:dyDescent="0.2">
      <c r="A59" t="s">
        <v>3710</v>
      </c>
      <c r="B59">
        <v>17</v>
      </c>
      <c r="C59" t="s">
        <v>100</v>
      </c>
      <c r="D59" t="s">
        <v>3790</v>
      </c>
      <c r="E59" t="s">
        <v>1</v>
      </c>
    </row>
    <row r="60" spans="1:5" x14ac:dyDescent="0.2">
      <c r="A60" t="s">
        <v>3711</v>
      </c>
      <c r="B60">
        <v>122</v>
      </c>
      <c r="C60" t="s">
        <v>565</v>
      </c>
      <c r="D60">
        <v>800</v>
      </c>
      <c r="E60" t="s">
        <v>2681</v>
      </c>
    </row>
    <row r="61" spans="1:5" x14ac:dyDescent="0.2">
      <c r="A61" t="s">
        <v>3018</v>
      </c>
      <c r="B61">
        <v>17</v>
      </c>
      <c r="C61" t="s">
        <v>100</v>
      </c>
      <c r="D61">
        <v>683</v>
      </c>
      <c r="E61" t="s">
        <v>2486</v>
      </c>
    </row>
    <row r="62" spans="1:5" x14ac:dyDescent="0.2">
      <c r="A62" t="s">
        <v>3712</v>
      </c>
      <c r="B62">
        <v>374</v>
      </c>
      <c r="C62" t="s">
        <v>1596</v>
      </c>
      <c r="D62">
        <v>271</v>
      </c>
      <c r="E62" t="s">
        <v>1211</v>
      </c>
    </row>
    <row r="63" spans="1:5" x14ac:dyDescent="0.2">
      <c r="A63" t="s">
        <v>3713</v>
      </c>
      <c r="B63">
        <v>236</v>
      </c>
      <c r="C63" t="s">
        <v>1087</v>
      </c>
      <c r="D63">
        <v>326</v>
      </c>
      <c r="E63" t="s">
        <v>1416</v>
      </c>
    </row>
    <row r="64" spans="1:5" x14ac:dyDescent="0.2">
      <c r="A64" t="s">
        <v>3030</v>
      </c>
      <c r="B64">
        <v>236</v>
      </c>
      <c r="C64" t="s">
        <v>1087</v>
      </c>
      <c r="D64">
        <v>326</v>
      </c>
      <c r="E64" t="s">
        <v>1416</v>
      </c>
    </row>
    <row r="65" spans="1:5" x14ac:dyDescent="0.2">
      <c r="A65" t="s">
        <v>3714</v>
      </c>
      <c r="B65">
        <v>34</v>
      </c>
      <c r="C65" t="s">
        <v>185</v>
      </c>
      <c r="D65">
        <v>206</v>
      </c>
      <c r="E65" t="s">
        <v>953</v>
      </c>
    </row>
    <row r="66" spans="1:5" x14ac:dyDescent="0.2">
      <c r="A66" t="s">
        <v>3715</v>
      </c>
      <c r="B66">
        <v>367</v>
      </c>
      <c r="C66" t="s">
        <v>1567</v>
      </c>
      <c r="D66">
        <v>801</v>
      </c>
      <c r="E66" t="s">
        <v>2682</v>
      </c>
    </row>
    <row r="67" spans="1:5" x14ac:dyDescent="0.2">
      <c r="B67">
        <v>0</v>
      </c>
      <c r="C67">
        <v>0</v>
      </c>
      <c r="D67">
        <v>0</v>
      </c>
      <c r="E67">
        <v>0</v>
      </c>
    </row>
    <row r="68" spans="1:5" x14ac:dyDescent="0.2">
      <c r="A68" t="s">
        <v>3716</v>
      </c>
      <c r="B68">
        <v>17</v>
      </c>
      <c r="C68" t="s">
        <v>100</v>
      </c>
      <c r="D68">
        <v>253</v>
      </c>
      <c r="E68" t="s">
        <v>1143</v>
      </c>
    </row>
    <row r="69" spans="1:5" x14ac:dyDescent="0.2">
      <c r="A69" t="s">
        <v>3717</v>
      </c>
      <c r="B69">
        <v>304</v>
      </c>
      <c r="C69" t="s">
        <v>1338</v>
      </c>
      <c r="D69">
        <v>802</v>
      </c>
      <c r="E69" t="s">
        <v>2683</v>
      </c>
    </row>
    <row r="70" spans="1:5" x14ac:dyDescent="0.2">
      <c r="A70" t="s">
        <v>3718</v>
      </c>
      <c r="B70">
        <v>240</v>
      </c>
      <c r="C70" t="s">
        <v>1101</v>
      </c>
      <c r="D70">
        <v>111</v>
      </c>
      <c r="E70" t="s">
        <v>514</v>
      </c>
    </row>
    <row r="71" spans="1:5" x14ac:dyDescent="0.2">
      <c r="A71" t="s">
        <v>3719</v>
      </c>
      <c r="B71">
        <v>276</v>
      </c>
      <c r="C71" t="s">
        <v>1233</v>
      </c>
      <c r="D71">
        <v>803</v>
      </c>
      <c r="E71" t="s">
        <v>2684</v>
      </c>
    </row>
    <row r="72" spans="1:5" x14ac:dyDescent="0.2">
      <c r="A72" t="s">
        <v>3720</v>
      </c>
      <c r="B72">
        <v>374</v>
      </c>
      <c r="C72" t="s">
        <v>1596</v>
      </c>
      <c r="D72">
        <v>569</v>
      </c>
      <c r="E72" t="s">
        <v>2236</v>
      </c>
    </row>
    <row r="73" spans="1:5" x14ac:dyDescent="0.2">
      <c r="A73" t="s">
        <v>3721</v>
      </c>
      <c r="B73">
        <v>17</v>
      </c>
      <c r="C73" t="s">
        <v>100</v>
      </c>
      <c r="D73">
        <v>295</v>
      </c>
      <c r="E73" t="s">
        <v>1304</v>
      </c>
    </row>
    <row r="74" spans="1:5" x14ac:dyDescent="0.2">
      <c r="A74" t="s">
        <v>3721</v>
      </c>
      <c r="B74">
        <v>17</v>
      </c>
      <c r="C74" t="s">
        <v>100</v>
      </c>
      <c r="D74">
        <v>295</v>
      </c>
      <c r="E74" t="s">
        <v>1304</v>
      </c>
    </row>
    <row r="75" spans="1:5" x14ac:dyDescent="0.2">
      <c r="A75" t="s">
        <v>3722</v>
      </c>
      <c r="B75">
        <v>98</v>
      </c>
      <c r="C75" t="s">
        <v>452</v>
      </c>
      <c r="D75">
        <v>168</v>
      </c>
      <c r="E75" t="s">
        <v>788</v>
      </c>
    </row>
    <row r="76" spans="1:5" x14ac:dyDescent="0.2">
      <c r="A76" t="s">
        <v>3723</v>
      </c>
      <c r="B76">
        <v>353</v>
      </c>
      <c r="C76" t="s">
        <v>1512</v>
      </c>
      <c r="D76">
        <v>763</v>
      </c>
      <c r="E76" t="s">
        <v>2663</v>
      </c>
    </row>
    <row r="77" spans="1:5" x14ac:dyDescent="0.2">
      <c r="A77" t="s">
        <v>3724</v>
      </c>
      <c r="B77">
        <v>124</v>
      </c>
      <c r="C77" t="s">
        <v>576</v>
      </c>
      <c r="D77">
        <v>846</v>
      </c>
      <c r="E77" t="s">
        <v>2727</v>
      </c>
    </row>
    <row r="78" spans="1:5" x14ac:dyDescent="0.2">
      <c r="B78">
        <v>0</v>
      </c>
      <c r="C78">
        <v>0</v>
      </c>
      <c r="D78">
        <v>0</v>
      </c>
      <c r="E78">
        <v>0</v>
      </c>
    </row>
    <row r="79" spans="1:5" x14ac:dyDescent="0.2">
      <c r="A79" t="s">
        <v>3725</v>
      </c>
      <c r="B79">
        <v>23</v>
      </c>
      <c r="C79" t="s">
        <v>131</v>
      </c>
      <c r="D79">
        <v>805</v>
      </c>
      <c r="E79" t="s">
        <v>2686</v>
      </c>
    </row>
    <row r="80" spans="1:5" x14ac:dyDescent="0.2">
      <c r="A80" t="s">
        <v>3726</v>
      </c>
      <c r="B80">
        <v>17</v>
      </c>
      <c r="C80" t="s">
        <v>100</v>
      </c>
      <c r="D80">
        <v>806</v>
      </c>
      <c r="E80" t="s">
        <v>2687</v>
      </c>
    </row>
    <row r="81" spans="1:5" x14ac:dyDescent="0.2">
      <c r="A81" t="s">
        <v>3727</v>
      </c>
      <c r="B81">
        <v>17</v>
      </c>
      <c r="C81" t="s">
        <v>100</v>
      </c>
      <c r="D81">
        <v>807</v>
      </c>
      <c r="E81" t="s">
        <v>2688</v>
      </c>
    </row>
    <row r="82" spans="1:5" x14ac:dyDescent="0.2">
      <c r="B82">
        <v>0</v>
      </c>
      <c r="C82">
        <v>0</v>
      </c>
      <c r="D82">
        <v>0</v>
      </c>
      <c r="E82">
        <v>0</v>
      </c>
    </row>
    <row r="83" spans="1:5" x14ac:dyDescent="0.2">
      <c r="A83" t="s">
        <v>3728</v>
      </c>
      <c r="B83">
        <v>26</v>
      </c>
      <c r="C83" t="s">
        <v>144</v>
      </c>
      <c r="D83">
        <v>783</v>
      </c>
      <c r="E83" t="s">
        <v>2668</v>
      </c>
    </row>
    <row r="84" spans="1:5" x14ac:dyDescent="0.2">
      <c r="A84" t="s">
        <v>3729</v>
      </c>
      <c r="B84" t="s">
        <v>0</v>
      </c>
      <c r="C84" t="s">
        <v>1</v>
      </c>
      <c r="D84">
        <v>808</v>
      </c>
      <c r="E84" t="s">
        <v>2689</v>
      </c>
    </row>
    <row r="85" spans="1:5" x14ac:dyDescent="0.2">
      <c r="A85" t="s">
        <v>3730</v>
      </c>
      <c r="B85">
        <v>355</v>
      </c>
      <c r="C85" t="s">
        <v>1521</v>
      </c>
      <c r="D85" t="s">
        <v>3790</v>
      </c>
      <c r="E85" t="s">
        <v>1</v>
      </c>
    </row>
    <row r="86" spans="1:5" x14ac:dyDescent="0.2">
      <c r="A86" t="s">
        <v>3731</v>
      </c>
      <c r="B86">
        <v>17</v>
      </c>
      <c r="C86" t="s">
        <v>100</v>
      </c>
      <c r="D86">
        <v>574</v>
      </c>
      <c r="E86" t="s">
        <v>2246</v>
      </c>
    </row>
    <row r="87" spans="1:5" x14ac:dyDescent="0.2">
      <c r="A87" t="s">
        <v>3732</v>
      </c>
      <c r="B87">
        <v>210</v>
      </c>
      <c r="C87" t="s">
        <v>974</v>
      </c>
      <c r="D87">
        <v>241</v>
      </c>
      <c r="E87" t="s">
        <v>1104</v>
      </c>
    </row>
    <row r="88" spans="1:5" x14ac:dyDescent="0.2">
      <c r="B88">
        <v>0</v>
      </c>
      <c r="C88">
        <v>0</v>
      </c>
      <c r="D88">
        <v>0</v>
      </c>
      <c r="E88">
        <v>0</v>
      </c>
    </row>
    <row r="89" spans="1:5" x14ac:dyDescent="0.2">
      <c r="A89" t="s">
        <v>3733</v>
      </c>
      <c r="B89" t="s">
        <v>0</v>
      </c>
      <c r="C89" t="s">
        <v>1</v>
      </c>
      <c r="D89">
        <v>145</v>
      </c>
      <c r="E89" t="s">
        <v>683</v>
      </c>
    </row>
    <row r="90" spans="1:5" x14ac:dyDescent="0.2">
      <c r="A90" t="s">
        <v>3734</v>
      </c>
      <c r="B90">
        <v>210</v>
      </c>
      <c r="C90" t="s">
        <v>974</v>
      </c>
      <c r="D90">
        <v>810</v>
      </c>
      <c r="E90" t="s">
        <v>2691</v>
      </c>
    </row>
    <row r="91" spans="1:5" x14ac:dyDescent="0.2">
      <c r="A91" t="s">
        <v>3735</v>
      </c>
      <c r="B91">
        <v>13</v>
      </c>
      <c r="C91" t="s">
        <v>81</v>
      </c>
      <c r="D91">
        <v>146</v>
      </c>
      <c r="E91" t="s">
        <v>688</v>
      </c>
    </row>
    <row r="92" spans="1:5" x14ac:dyDescent="0.2">
      <c r="A92" t="s">
        <v>3736</v>
      </c>
      <c r="B92">
        <v>305</v>
      </c>
      <c r="C92" t="s">
        <v>1341</v>
      </c>
      <c r="D92">
        <v>811</v>
      </c>
      <c r="E92" t="s">
        <v>2692</v>
      </c>
    </row>
    <row r="93" spans="1:5" x14ac:dyDescent="0.2">
      <c r="A93" t="s">
        <v>3737</v>
      </c>
      <c r="B93">
        <v>17</v>
      </c>
      <c r="C93" t="s">
        <v>100</v>
      </c>
      <c r="D93">
        <v>295</v>
      </c>
      <c r="E93" t="s">
        <v>1304</v>
      </c>
    </row>
    <row r="94" spans="1:5" x14ac:dyDescent="0.2">
      <c r="A94" t="s">
        <v>3738</v>
      </c>
      <c r="B94">
        <v>23</v>
      </c>
      <c r="C94" t="s">
        <v>131</v>
      </c>
      <c r="D94">
        <v>602</v>
      </c>
      <c r="E94" t="s">
        <v>2300</v>
      </c>
    </row>
    <row r="95" spans="1:5" x14ac:dyDescent="0.2">
      <c r="A95" t="s">
        <v>3739</v>
      </c>
      <c r="B95">
        <v>210</v>
      </c>
      <c r="C95" t="s">
        <v>974</v>
      </c>
      <c r="D95">
        <v>792</v>
      </c>
      <c r="E95" t="s">
        <v>2673</v>
      </c>
    </row>
    <row r="96" spans="1:5" x14ac:dyDescent="0.2">
      <c r="A96" t="s">
        <v>3740</v>
      </c>
      <c r="B96">
        <v>17</v>
      </c>
      <c r="C96" t="s">
        <v>100</v>
      </c>
      <c r="D96">
        <v>812</v>
      </c>
      <c r="E96" t="s">
        <v>2693</v>
      </c>
    </row>
    <row r="97" spans="1:5" x14ac:dyDescent="0.2">
      <c r="A97" t="s">
        <v>3741</v>
      </c>
      <c r="B97" t="s">
        <v>0</v>
      </c>
      <c r="C97" t="s">
        <v>1</v>
      </c>
      <c r="D97">
        <v>17</v>
      </c>
      <c r="E97" t="s">
        <v>100</v>
      </c>
    </row>
    <row r="98" spans="1:5" x14ac:dyDescent="0.2">
      <c r="A98" t="s">
        <v>3742</v>
      </c>
      <c r="B98">
        <v>270</v>
      </c>
      <c r="C98" t="s">
        <v>1208</v>
      </c>
      <c r="D98">
        <v>813</v>
      </c>
      <c r="E98" t="s">
        <v>2694</v>
      </c>
    </row>
    <row r="99" spans="1:5" x14ac:dyDescent="0.2">
      <c r="A99" t="s">
        <v>3743</v>
      </c>
      <c r="B99">
        <v>210</v>
      </c>
      <c r="C99" t="s">
        <v>974</v>
      </c>
      <c r="D99">
        <v>792</v>
      </c>
      <c r="E99" t="s">
        <v>2673</v>
      </c>
    </row>
    <row r="100" spans="1:5" x14ac:dyDescent="0.2">
      <c r="A100" t="s">
        <v>3744</v>
      </c>
      <c r="B100">
        <v>82</v>
      </c>
      <c r="C100" t="s">
        <v>405</v>
      </c>
      <c r="D100">
        <v>573</v>
      </c>
      <c r="E100" t="s">
        <v>2244</v>
      </c>
    </row>
    <row r="101" spans="1:5" x14ac:dyDescent="0.2">
      <c r="A101" t="s">
        <v>3745</v>
      </c>
      <c r="B101" t="s">
        <v>0</v>
      </c>
      <c r="C101" t="s">
        <v>1</v>
      </c>
      <c r="D101">
        <v>375</v>
      </c>
      <c r="E101" t="s">
        <v>1600</v>
      </c>
    </row>
    <row r="102" spans="1:5" x14ac:dyDescent="0.2">
      <c r="A102" t="s">
        <v>3746</v>
      </c>
      <c r="B102">
        <v>329</v>
      </c>
      <c r="C102" t="s">
        <v>1427</v>
      </c>
      <c r="D102">
        <v>644</v>
      </c>
      <c r="E102" t="s">
        <v>2389</v>
      </c>
    </row>
    <row r="103" spans="1:5" x14ac:dyDescent="0.2">
      <c r="A103" t="s">
        <v>3747</v>
      </c>
      <c r="B103">
        <v>17</v>
      </c>
      <c r="C103" t="s">
        <v>100</v>
      </c>
      <c r="D103" t="s">
        <v>3790</v>
      </c>
      <c r="E103" t="s">
        <v>1</v>
      </c>
    </row>
    <row r="104" spans="1:5" x14ac:dyDescent="0.2">
      <c r="A104" t="s">
        <v>3748</v>
      </c>
      <c r="B104">
        <v>17</v>
      </c>
      <c r="C104" t="s">
        <v>100</v>
      </c>
      <c r="D104" t="s">
        <v>3790</v>
      </c>
      <c r="E104" t="s">
        <v>1</v>
      </c>
    </row>
    <row r="105" spans="1:5" x14ac:dyDescent="0.2">
      <c r="A105" t="s">
        <v>3749</v>
      </c>
      <c r="B105">
        <v>136</v>
      </c>
      <c r="C105" t="s">
        <v>635</v>
      </c>
      <c r="D105">
        <v>824</v>
      </c>
      <c r="E105" t="s">
        <v>2705</v>
      </c>
    </row>
    <row r="106" spans="1:5" x14ac:dyDescent="0.2">
      <c r="A106" t="s">
        <v>3750</v>
      </c>
      <c r="B106">
        <v>30</v>
      </c>
      <c r="C106" t="s">
        <v>164</v>
      </c>
      <c r="D106">
        <v>848</v>
      </c>
      <c r="E106" t="s">
        <v>2729</v>
      </c>
    </row>
    <row r="107" spans="1:5" x14ac:dyDescent="0.2">
      <c r="A107" t="s">
        <v>3751</v>
      </c>
      <c r="B107">
        <v>23</v>
      </c>
      <c r="C107" t="s">
        <v>131</v>
      </c>
      <c r="D107">
        <v>824</v>
      </c>
      <c r="E107" t="s">
        <v>2705</v>
      </c>
    </row>
    <row r="108" spans="1:5" x14ac:dyDescent="0.2">
      <c r="A108" t="s">
        <v>3752</v>
      </c>
      <c r="B108">
        <v>234</v>
      </c>
      <c r="C108" t="s">
        <v>1077</v>
      </c>
      <c r="D108">
        <v>300</v>
      </c>
      <c r="E108" t="s">
        <v>1325</v>
      </c>
    </row>
    <row r="109" spans="1:5" x14ac:dyDescent="0.2">
      <c r="A109" t="s">
        <v>3753</v>
      </c>
      <c r="B109">
        <v>336</v>
      </c>
      <c r="C109" t="s">
        <v>1450</v>
      </c>
      <c r="D109">
        <v>542</v>
      </c>
      <c r="E109" t="s">
        <v>2166</v>
      </c>
    </row>
    <row r="110" spans="1:5" x14ac:dyDescent="0.2">
      <c r="B110">
        <v>0</v>
      </c>
      <c r="C110">
        <v>0</v>
      </c>
      <c r="D110">
        <v>0</v>
      </c>
      <c r="E110">
        <v>0</v>
      </c>
    </row>
    <row r="111" spans="1:5" x14ac:dyDescent="0.2">
      <c r="A111" t="s">
        <v>3754</v>
      </c>
      <c r="B111">
        <v>17</v>
      </c>
      <c r="C111" t="s">
        <v>100</v>
      </c>
      <c r="D111">
        <v>43</v>
      </c>
      <c r="E111" t="s">
        <v>228</v>
      </c>
    </row>
    <row r="112" spans="1:5" x14ac:dyDescent="0.2">
      <c r="A112" t="s">
        <v>3196</v>
      </c>
      <c r="B112">
        <v>149</v>
      </c>
      <c r="C112" t="s">
        <v>698</v>
      </c>
      <c r="D112">
        <v>849</v>
      </c>
      <c r="E112" t="s">
        <v>2730</v>
      </c>
    </row>
    <row r="113" spans="1:5" x14ac:dyDescent="0.2">
      <c r="A113" t="s">
        <v>3200</v>
      </c>
      <c r="B113">
        <v>83</v>
      </c>
      <c r="C113" t="s">
        <v>406</v>
      </c>
      <c r="D113">
        <v>849</v>
      </c>
      <c r="E113" t="s">
        <v>2730</v>
      </c>
    </row>
    <row r="114" spans="1:5" x14ac:dyDescent="0.2">
      <c r="A114" t="s">
        <v>3202</v>
      </c>
      <c r="B114">
        <v>234</v>
      </c>
      <c r="C114" t="s">
        <v>1077</v>
      </c>
      <c r="D114">
        <v>849</v>
      </c>
      <c r="E114" t="s">
        <v>2730</v>
      </c>
    </row>
    <row r="115" spans="1:5" x14ac:dyDescent="0.2">
      <c r="A115" t="s">
        <v>3204</v>
      </c>
      <c r="B115">
        <v>83</v>
      </c>
      <c r="C115" t="s">
        <v>406</v>
      </c>
      <c r="D115">
        <v>766</v>
      </c>
      <c r="E115" t="s">
        <v>2664</v>
      </c>
    </row>
    <row r="116" spans="1:5" x14ac:dyDescent="0.2">
      <c r="A116" t="s">
        <v>3206</v>
      </c>
      <c r="B116">
        <v>234</v>
      </c>
      <c r="C116" t="s">
        <v>1077</v>
      </c>
      <c r="D116">
        <v>849</v>
      </c>
      <c r="E116" t="s">
        <v>2730</v>
      </c>
    </row>
    <row r="117" spans="1:5" x14ac:dyDescent="0.2">
      <c r="A117" t="s">
        <v>3208</v>
      </c>
      <c r="B117">
        <v>234</v>
      </c>
      <c r="C117" t="s">
        <v>1077</v>
      </c>
      <c r="D117">
        <v>849</v>
      </c>
      <c r="E117" t="s">
        <v>2730</v>
      </c>
    </row>
    <row r="118" spans="1:5" x14ac:dyDescent="0.2">
      <c r="A118" t="s">
        <v>3210</v>
      </c>
      <c r="B118">
        <v>234</v>
      </c>
      <c r="C118" t="s">
        <v>1077</v>
      </c>
      <c r="D118">
        <v>849</v>
      </c>
      <c r="E118" t="s">
        <v>2730</v>
      </c>
    </row>
    <row r="119" spans="1:5" x14ac:dyDescent="0.2">
      <c r="A119" t="s">
        <v>3212</v>
      </c>
      <c r="B119">
        <v>84</v>
      </c>
      <c r="C119" t="s">
        <v>407</v>
      </c>
      <c r="D119">
        <v>849</v>
      </c>
      <c r="E119" t="s">
        <v>2730</v>
      </c>
    </row>
    <row r="120" spans="1:5" x14ac:dyDescent="0.2">
      <c r="A120" t="s">
        <v>3214</v>
      </c>
      <c r="B120">
        <v>329</v>
      </c>
      <c r="C120" t="s">
        <v>1427</v>
      </c>
      <c r="D120">
        <v>849</v>
      </c>
      <c r="E120" t="s">
        <v>2730</v>
      </c>
    </row>
    <row r="121" spans="1:5" x14ac:dyDescent="0.2">
      <c r="A121" t="s">
        <v>3216</v>
      </c>
      <c r="B121">
        <v>234</v>
      </c>
      <c r="C121" t="s">
        <v>1077</v>
      </c>
      <c r="D121">
        <v>849</v>
      </c>
      <c r="E121" t="s">
        <v>2730</v>
      </c>
    </row>
    <row r="122" spans="1:5" x14ac:dyDescent="0.2">
      <c r="A122" t="s">
        <v>3218</v>
      </c>
      <c r="B122">
        <v>234</v>
      </c>
      <c r="C122" t="s">
        <v>1077</v>
      </c>
      <c r="D122">
        <v>849</v>
      </c>
      <c r="E122" t="s">
        <v>2730</v>
      </c>
    </row>
    <row r="123" spans="1:5" x14ac:dyDescent="0.2">
      <c r="A123" t="s">
        <v>3220</v>
      </c>
      <c r="B123">
        <v>84</v>
      </c>
      <c r="C123" t="s">
        <v>407</v>
      </c>
      <c r="D123">
        <v>849</v>
      </c>
      <c r="E123" t="s">
        <v>2730</v>
      </c>
    </row>
    <row r="124" spans="1:5" x14ac:dyDescent="0.2">
      <c r="A124" t="s">
        <v>3222</v>
      </c>
      <c r="B124">
        <v>149</v>
      </c>
      <c r="C124" t="s">
        <v>698</v>
      </c>
      <c r="D124">
        <v>766</v>
      </c>
      <c r="E124" t="s">
        <v>2664</v>
      </c>
    </row>
    <row r="125" spans="1:5" x14ac:dyDescent="0.2">
      <c r="A125" t="s">
        <v>3224</v>
      </c>
      <c r="B125">
        <v>149</v>
      </c>
      <c r="C125" t="s">
        <v>698</v>
      </c>
      <c r="D125">
        <v>849</v>
      </c>
      <c r="E125" t="s">
        <v>2730</v>
      </c>
    </row>
    <row r="126" spans="1:5" x14ac:dyDescent="0.2">
      <c r="A126" t="s">
        <v>3226</v>
      </c>
      <c r="B126">
        <v>86</v>
      </c>
      <c r="C126" t="s">
        <v>409</v>
      </c>
      <c r="D126">
        <v>849</v>
      </c>
      <c r="E126" t="s">
        <v>2730</v>
      </c>
    </row>
    <row r="127" spans="1:5" x14ac:dyDescent="0.2">
      <c r="A127" t="s">
        <v>3228</v>
      </c>
      <c r="B127">
        <v>234</v>
      </c>
      <c r="C127" t="s">
        <v>1077</v>
      </c>
      <c r="D127">
        <v>849</v>
      </c>
      <c r="E127" t="s">
        <v>2730</v>
      </c>
    </row>
    <row r="128" spans="1:5" x14ac:dyDescent="0.2">
      <c r="A128" t="s">
        <v>3230</v>
      </c>
      <c r="B128">
        <v>234</v>
      </c>
      <c r="C128" t="s">
        <v>1077</v>
      </c>
      <c r="D128">
        <v>849</v>
      </c>
      <c r="E128" t="s">
        <v>2730</v>
      </c>
    </row>
    <row r="129" spans="1:5" x14ac:dyDescent="0.2">
      <c r="A129" t="s">
        <v>3232</v>
      </c>
      <c r="B129">
        <v>48</v>
      </c>
      <c r="C129" t="s">
        <v>254</v>
      </c>
      <c r="D129">
        <v>295</v>
      </c>
      <c r="E129" t="s">
        <v>1304</v>
      </c>
    </row>
    <row r="130" spans="1:5" x14ac:dyDescent="0.2">
      <c r="A130" t="s">
        <v>3755</v>
      </c>
      <c r="B130">
        <v>374</v>
      </c>
      <c r="C130" t="s">
        <v>1596</v>
      </c>
      <c r="D130">
        <v>17</v>
      </c>
      <c r="E130" t="s">
        <v>100</v>
      </c>
    </row>
    <row r="131" spans="1:5" x14ac:dyDescent="0.2">
      <c r="A131" t="s">
        <v>3756</v>
      </c>
      <c r="B131">
        <v>17</v>
      </c>
      <c r="C131" t="s">
        <v>100</v>
      </c>
      <c r="D131">
        <v>258</v>
      </c>
      <c r="E131" t="s">
        <v>1162</v>
      </c>
    </row>
    <row r="132" spans="1:5" x14ac:dyDescent="0.2">
      <c r="A132" t="s">
        <v>3757</v>
      </c>
      <c r="B132">
        <v>17</v>
      </c>
      <c r="C132" t="s">
        <v>100</v>
      </c>
      <c r="D132">
        <v>258</v>
      </c>
      <c r="E132" t="s">
        <v>1162</v>
      </c>
    </row>
    <row r="133" spans="1:5" x14ac:dyDescent="0.2">
      <c r="A133" t="s">
        <v>3758</v>
      </c>
      <c r="B133">
        <v>17</v>
      </c>
      <c r="C133" t="s">
        <v>100</v>
      </c>
      <c r="D133">
        <v>258</v>
      </c>
      <c r="E133" t="s">
        <v>1162</v>
      </c>
    </row>
    <row r="134" spans="1:5" x14ac:dyDescent="0.2">
      <c r="A134" t="s">
        <v>3242</v>
      </c>
      <c r="B134">
        <v>17</v>
      </c>
      <c r="C134" t="s">
        <v>100</v>
      </c>
      <c r="D134">
        <v>258</v>
      </c>
      <c r="E134" t="s">
        <v>1162</v>
      </c>
    </row>
    <row r="135" spans="1:5" x14ac:dyDescent="0.2">
      <c r="A135" t="s">
        <v>3759</v>
      </c>
      <c r="B135">
        <v>17</v>
      </c>
      <c r="C135" t="s">
        <v>100</v>
      </c>
      <c r="D135">
        <v>582</v>
      </c>
      <c r="E135" t="s">
        <v>2260</v>
      </c>
    </row>
    <row r="136" spans="1:5" x14ac:dyDescent="0.2">
      <c r="A136" t="s">
        <v>3245</v>
      </c>
      <c r="B136">
        <v>17</v>
      </c>
      <c r="C136" t="s">
        <v>100</v>
      </c>
      <c r="D136">
        <v>258</v>
      </c>
      <c r="E136" t="s">
        <v>1162</v>
      </c>
    </row>
    <row r="137" spans="1:5" x14ac:dyDescent="0.2">
      <c r="A137" t="s">
        <v>3760</v>
      </c>
      <c r="B137">
        <v>17</v>
      </c>
      <c r="C137" t="s">
        <v>100</v>
      </c>
      <c r="D137">
        <v>582</v>
      </c>
      <c r="E137" t="s">
        <v>2260</v>
      </c>
    </row>
    <row r="138" spans="1:5" x14ac:dyDescent="0.2">
      <c r="A138" t="s">
        <v>3761</v>
      </c>
      <c r="B138">
        <v>320</v>
      </c>
      <c r="C138" t="s">
        <v>1394</v>
      </c>
      <c r="D138">
        <v>815</v>
      </c>
      <c r="E138" t="s">
        <v>2696</v>
      </c>
    </row>
    <row r="139" spans="1:5" x14ac:dyDescent="0.2">
      <c r="A139" t="s">
        <v>3762</v>
      </c>
      <c r="B139">
        <v>355</v>
      </c>
      <c r="C139" t="s">
        <v>1521</v>
      </c>
      <c r="D139" t="s">
        <v>3790</v>
      </c>
      <c r="E139" t="s">
        <v>1</v>
      </c>
    </row>
    <row r="140" spans="1:5" x14ac:dyDescent="0.2">
      <c r="A140" t="s">
        <v>3763</v>
      </c>
      <c r="B140">
        <v>355</v>
      </c>
      <c r="C140" t="s">
        <v>1521</v>
      </c>
      <c r="D140">
        <v>816</v>
      </c>
      <c r="E140" t="s">
        <v>2697</v>
      </c>
    </row>
    <row r="141" spans="1:5" x14ac:dyDescent="0.2">
      <c r="A141" t="s">
        <v>3764</v>
      </c>
      <c r="B141">
        <v>338</v>
      </c>
      <c r="C141" t="s">
        <v>1458</v>
      </c>
      <c r="D141">
        <v>175</v>
      </c>
      <c r="E141" t="s">
        <v>823</v>
      </c>
    </row>
    <row r="142" spans="1:5" x14ac:dyDescent="0.2">
      <c r="A142" t="s">
        <v>3765</v>
      </c>
      <c r="B142">
        <v>210</v>
      </c>
      <c r="C142" t="s">
        <v>974</v>
      </c>
      <c r="D142">
        <v>783</v>
      </c>
      <c r="E142" t="s">
        <v>2668</v>
      </c>
    </row>
    <row r="143" spans="1:5" x14ac:dyDescent="0.2">
      <c r="A143" t="s">
        <v>3766</v>
      </c>
      <c r="B143">
        <v>23</v>
      </c>
      <c r="C143" t="s">
        <v>131</v>
      </c>
      <c r="D143">
        <v>258</v>
      </c>
      <c r="E143" t="s">
        <v>1162</v>
      </c>
    </row>
    <row r="144" spans="1:5" x14ac:dyDescent="0.2">
      <c r="A144" t="s">
        <v>3767</v>
      </c>
      <c r="B144">
        <v>23</v>
      </c>
      <c r="C144" t="s">
        <v>131</v>
      </c>
      <c r="D144">
        <v>258</v>
      </c>
      <c r="E144" t="s">
        <v>1162</v>
      </c>
    </row>
    <row r="145" spans="1:5" x14ac:dyDescent="0.2">
      <c r="A145" t="s">
        <v>3768</v>
      </c>
      <c r="B145" t="s">
        <v>0</v>
      </c>
      <c r="C145" t="s">
        <v>1</v>
      </c>
      <c r="D145" t="s">
        <v>3790</v>
      </c>
      <c r="E145" t="s">
        <v>1</v>
      </c>
    </row>
    <row r="146" spans="1:5" x14ac:dyDescent="0.2">
      <c r="A146" t="s">
        <v>3769</v>
      </c>
      <c r="B146">
        <v>23</v>
      </c>
      <c r="C146" t="s">
        <v>131</v>
      </c>
      <c r="D146">
        <v>751</v>
      </c>
      <c r="E146" t="s">
        <v>2660</v>
      </c>
    </row>
    <row r="147" spans="1:5" x14ac:dyDescent="0.2">
      <c r="A147" t="s">
        <v>3770</v>
      </c>
      <c r="B147">
        <v>48</v>
      </c>
      <c r="C147" t="s">
        <v>254</v>
      </c>
      <c r="D147" t="s">
        <v>3790</v>
      </c>
      <c r="E147" t="s">
        <v>1</v>
      </c>
    </row>
    <row r="148" spans="1:5" x14ac:dyDescent="0.2">
      <c r="A148" t="s">
        <v>3771</v>
      </c>
      <c r="B148">
        <v>126</v>
      </c>
      <c r="C148" t="s">
        <v>587</v>
      </c>
      <c r="D148">
        <v>816</v>
      </c>
      <c r="E148" t="s">
        <v>2697</v>
      </c>
    </row>
    <row r="149" spans="1:5" x14ac:dyDescent="0.2">
      <c r="A149" t="s">
        <v>3772</v>
      </c>
      <c r="B149">
        <v>17</v>
      </c>
      <c r="C149" t="s">
        <v>100</v>
      </c>
      <c r="D149">
        <v>253</v>
      </c>
      <c r="E149" t="s">
        <v>1143</v>
      </c>
    </row>
    <row r="150" spans="1:5" x14ac:dyDescent="0.2">
      <c r="A150" t="s">
        <v>3773</v>
      </c>
      <c r="B150">
        <v>17</v>
      </c>
      <c r="C150" t="s">
        <v>100</v>
      </c>
      <c r="D150">
        <v>799</v>
      </c>
      <c r="E150" t="s">
        <v>2680</v>
      </c>
    </row>
    <row r="151" spans="1:5" x14ac:dyDescent="0.2">
      <c r="A151" t="s">
        <v>3774</v>
      </c>
      <c r="B151">
        <v>17</v>
      </c>
      <c r="C151" t="s">
        <v>100</v>
      </c>
      <c r="D151" t="s">
        <v>3790</v>
      </c>
      <c r="E151" t="s">
        <v>1</v>
      </c>
    </row>
    <row r="152" spans="1:5" x14ac:dyDescent="0.2">
      <c r="A152" t="s">
        <v>3775</v>
      </c>
      <c r="B152">
        <v>83</v>
      </c>
      <c r="C152" t="s">
        <v>406</v>
      </c>
      <c r="D152">
        <v>816</v>
      </c>
      <c r="E152" t="s">
        <v>2697</v>
      </c>
    </row>
    <row r="153" spans="1:5" x14ac:dyDescent="0.2">
      <c r="A153" t="s">
        <v>3776</v>
      </c>
      <c r="B153">
        <v>220</v>
      </c>
      <c r="C153" t="s">
        <v>1023</v>
      </c>
      <c r="D153">
        <v>818</v>
      </c>
      <c r="E153" t="s">
        <v>2699</v>
      </c>
    </row>
    <row r="154" spans="1:5" x14ac:dyDescent="0.2">
      <c r="A154" t="s">
        <v>3777</v>
      </c>
      <c r="B154">
        <v>240</v>
      </c>
      <c r="C154" t="s">
        <v>1101</v>
      </c>
      <c r="D154">
        <v>819</v>
      </c>
      <c r="E154" t="s">
        <v>2700</v>
      </c>
    </row>
    <row r="155" spans="1:5" x14ac:dyDescent="0.2">
      <c r="A155" t="s">
        <v>3778</v>
      </c>
      <c r="B155">
        <v>30</v>
      </c>
      <c r="C155" t="s">
        <v>164</v>
      </c>
      <c r="D155">
        <v>790</v>
      </c>
      <c r="E155" t="s">
        <v>2671</v>
      </c>
    </row>
    <row r="156" spans="1:5" x14ac:dyDescent="0.2">
      <c r="A156" t="s">
        <v>3779</v>
      </c>
      <c r="B156">
        <v>149</v>
      </c>
      <c r="C156" t="s">
        <v>698</v>
      </c>
      <c r="D156">
        <v>820</v>
      </c>
      <c r="E156" t="s">
        <v>2701</v>
      </c>
    </row>
    <row r="157" spans="1:5" x14ac:dyDescent="0.2">
      <c r="A157" t="s">
        <v>3780</v>
      </c>
      <c r="B157">
        <v>17</v>
      </c>
      <c r="C157" t="s">
        <v>100</v>
      </c>
      <c r="D157">
        <v>779</v>
      </c>
      <c r="E157" t="s">
        <v>2667</v>
      </c>
    </row>
    <row r="158" spans="1:5" x14ac:dyDescent="0.2">
      <c r="A158" t="s">
        <v>3781</v>
      </c>
      <c r="B158">
        <v>123</v>
      </c>
      <c r="C158" t="s">
        <v>571</v>
      </c>
      <c r="D158">
        <v>172</v>
      </c>
      <c r="E158" t="s">
        <v>807</v>
      </c>
    </row>
    <row r="159" spans="1:5" x14ac:dyDescent="0.2">
      <c r="A159" t="s">
        <v>3782</v>
      </c>
      <c r="B159" t="s">
        <v>0</v>
      </c>
      <c r="C159" t="s">
        <v>1</v>
      </c>
      <c r="D159">
        <v>256</v>
      </c>
      <c r="E159" t="s">
        <v>1157</v>
      </c>
    </row>
    <row r="160" spans="1:5" x14ac:dyDescent="0.2">
      <c r="A160" t="s">
        <v>3783</v>
      </c>
      <c r="B160">
        <v>17</v>
      </c>
      <c r="C160" t="s">
        <v>100</v>
      </c>
      <c r="D160" t="s">
        <v>3790</v>
      </c>
      <c r="E160" t="s">
        <v>1</v>
      </c>
    </row>
    <row r="161" spans="1:5" x14ac:dyDescent="0.2">
      <c r="A161" t="s">
        <v>3784</v>
      </c>
      <c r="B161">
        <v>329</v>
      </c>
      <c r="C161" t="s">
        <v>1427</v>
      </c>
      <c r="D161">
        <v>850</v>
      </c>
      <c r="E161" t="s">
        <v>2731</v>
      </c>
    </row>
    <row r="162" spans="1:5" x14ac:dyDescent="0.2">
      <c r="A162" t="s">
        <v>3785</v>
      </c>
      <c r="B162">
        <v>342</v>
      </c>
      <c r="C162" t="s">
        <v>1468</v>
      </c>
      <c r="D162">
        <v>783</v>
      </c>
      <c r="E162" t="s">
        <v>2668</v>
      </c>
    </row>
    <row r="163" spans="1:5" x14ac:dyDescent="0.2">
      <c r="A163" t="s">
        <v>3786</v>
      </c>
      <c r="B163">
        <v>172</v>
      </c>
      <c r="C163" t="s">
        <v>807</v>
      </c>
      <c r="D163">
        <v>821</v>
      </c>
      <c r="E163" t="s">
        <v>2702</v>
      </c>
    </row>
    <row r="164" spans="1:5" x14ac:dyDescent="0.2">
      <c r="A164" t="s">
        <v>3787</v>
      </c>
      <c r="B164">
        <v>87</v>
      </c>
      <c r="C164" t="s">
        <v>410</v>
      </c>
      <c r="D164">
        <v>17</v>
      </c>
      <c r="E164" t="s">
        <v>100</v>
      </c>
    </row>
    <row r="165" spans="1:5" x14ac:dyDescent="0.2">
      <c r="A165" t="s">
        <v>3788</v>
      </c>
      <c r="B165">
        <v>234</v>
      </c>
      <c r="C165" t="s">
        <v>1077</v>
      </c>
      <c r="D165">
        <v>822</v>
      </c>
      <c r="E165" t="s">
        <v>2703</v>
      </c>
    </row>
    <row r="166" spans="1:5" x14ac:dyDescent="0.2">
      <c r="A166" t="s">
        <v>3789</v>
      </c>
      <c r="B166">
        <v>140</v>
      </c>
      <c r="C166" t="s">
        <v>656</v>
      </c>
      <c r="D166">
        <v>769</v>
      </c>
      <c r="E166" t="s">
        <v>2665</v>
      </c>
    </row>
    <row r="167" spans="1:5" x14ac:dyDescent="0.2">
      <c r="A167" t="s">
        <v>3790</v>
      </c>
      <c r="B167" t="s">
        <v>0</v>
      </c>
      <c r="C167" t="s">
        <v>1</v>
      </c>
      <c r="D167">
        <v>850</v>
      </c>
      <c r="E167" t="s">
        <v>2731</v>
      </c>
    </row>
    <row r="168" spans="1:5" x14ac:dyDescent="0.2">
      <c r="A168" t="s">
        <v>3791</v>
      </c>
      <c r="B168">
        <v>17</v>
      </c>
      <c r="C168" t="s">
        <v>100</v>
      </c>
      <c r="D168">
        <v>258</v>
      </c>
      <c r="E168" t="s">
        <v>1162</v>
      </c>
    </row>
    <row r="169" spans="1:5" x14ac:dyDescent="0.2">
      <c r="A169" t="s">
        <v>3792</v>
      </c>
      <c r="B169">
        <v>17</v>
      </c>
      <c r="C169" t="s">
        <v>100</v>
      </c>
      <c r="D169">
        <v>258</v>
      </c>
      <c r="E169" t="s">
        <v>1162</v>
      </c>
    </row>
    <row r="170" spans="1:5" x14ac:dyDescent="0.2">
      <c r="A170" t="s">
        <v>3793</v>
      </c>
      <c r="B170">
        <v>17</v>
      </c>
      <c r="C170" t="s">
        <v>100</v>
      </c>
      <c r="D170">
        <v>701</v>
      </c>
      <c r="E170" t="s">
        <v>2553</v>
      </c>
    </row>
    <row r="171" spans="1:5" x14ac:dyDescent="0.2">
      <c r="A171" t="s">
        <v>3790</v>
      </c>
      <c r="B171" t="s">
        <v>0</v>
      </c>
      <c r="C171" t="s">
        <v>1</v>
      </c>
      <c r="D171">
        <v>850</v>
      </c>
      <c r="E171" t="s">
        <v>2731</v>
      </c>
    </row>
    <row r="172" spans="1:5" x14ac:dyDescent="0.2">
      <c r="A172" t="s">
        <v>3794</v>
      </c>
      <c r="B172">
        <v>374</v>
      </c>
      <c r="C172" t="s">
        <v>1596</v>
      </c>
      <c r="D172">
        <v>211</v>
      </c>
      <c r="E172" t="s">
        <v>980</v>
      </c>
    </row>
    <row r="173" spans="1:5" x14ac:dyDescent="0.2">
      <c r="A173" t="s">
        <v>3795</v>
      </c>
      <c r="B173">
        <v>374</v>
      </c>
      <c r="C173" t="s">
        <v>1596</v>
      </c>
      <c r="D173">
        <v>211</v>
      </c>
      <c r="E173" t="s">
        <v>980</v>
      </c>
    </row>
    <row r="174" spans="1:5" x14ac:dyDescent="0.2">
      <c r="A174" t="s">
        <v>3796</v>
      </c>
      <c r="B174">
        <v>190</v>
      </c>
      <c r="C174" t="s">
        <v>2923</v>
      </c>
      <c r="D174">
        <v>211</v>
      </c>
      <c r="E174" t="s">
        <v>980</v>
      </c>
    </row>
    <row r="175" spans="1:5" x14ac:dyDescent="0.2">
      <c r="A175" t="s">
        <v>3797</v>
      </c>
      <c r="B175">
        <v>190</v>
      </c>
      <c r="C175" t="s">
        <v>2923</v>
      </c>
      <c r="D175">
        <v>211</v>
      </c>
      <c r="E175" t="s">
        <v>980</v>
      </c>
    </row>
    <row r="176" spans="1:5" x14ac:dyDescent="0.2">
      <c r="A176" t="s">
        <v>3798</v>
      </c>
      <c r="B176">
        <v>190</v>
      </c>
      <c r="C176" t="s">
        <v>2923</v>
      </c>
      <c r="D176">
        <v>211</v>
      </c>
      <c r="E176" t="s">
        <v>980</v>
      </c>
    </row>
    <row r="177" spans="1:5" x14ac:dyDescent="0.2">
      <c r="A177" t="s">
        <v>3799</v>
      </c>
      <c r="B177">
        <v>217</v>
      </c>
      <c r="C177" t="s">
        <v>1007</v>
      </c>
      <c r="D177">
        <v>211</v>
      </c>
      <c r="E177" t="s">
        <v>980</v>
      </c>
    </row>
    <row r="178" spans="1:5" x14ac:dyDescent="0.2">
      <c r="A178" t="s">
        <v>3800</v>
      </c>
      <c r="B178">
        <v>190</v>
      </c>
      <c r="C178" t="s">
        <v>2923</v>
      </c>
      <c r="D178">
        <v>211</v>
      </c>
      <c r="E178" t="s">
        <v>980</v>
      </c>
    </row>
    <row r="179" spans="1:5" x14ac:dyDescent="0.2">
      <c r="A179" t="s">
        <v>3801</v>
      </c>
      <c r="B179">
        <v>190</v>
      </c>
      <c r="C179" t="s">
        <v>2923</v>
      </c>
      <c r="D179">
        <v>211</v>
      </c>
      <c r="E179" t="s">
        <v>980</v>
      </c>
    </row>
    <row r="180" spans="1:5" x14ac:dyDescent="0.2">
      <c r="A180" t="s">
        <v>3802</v>
      </c>
      <c r="B180">
        <v>23</v>
      </c>
      <c r="C180" t="s">
        <v>131</v>
      </c>
      <c r="D180">
        <v>300</v>
      </c>
      <c r="E180" t="s">
        <v>1325</v>
      </c>
    </row>
    <row r="181" spans="1:5" x14ac:dyDescent="0.2">
      <c r="A181" t="s">
        <v>3803</v>
      </c>
      <c r="B181">
        <v>23</v>
      </c>
      <c r="C181" t="s">
        <v>131</v>
      </c>
      <c r="D181" t="s">
        <v>0</v>
      </c>
      <c r="E181" t="s">
        <v>1</v>
      </c>
    </row>
    <row r="182" spans="1:5" x14ac:dyDescent="0.2">
      <c r="A182" t="s">
        <v>3804</v>
      </c>
      <c r="B182">
        <v>17</v>
      </c>
      <c r="C182" t="s">
        <v>100</v>
      </c>
      <c r="D182" t="s">
        <v>3790</v>
      </c>
      <c r="E182" t="s">
        <v>1</v>
      </c>
    </row>
    <row r="183" spans="1:5" x14ac:dyDescent="0.2">
      <c r="A183" t="s">
        <v>3805</v>
      </c>
      <c r="B183">
        <v>17</v>
      </c>
      <c r="C183" t="s">
        <v>100</v>
      </c>
      <c r="D183" t="s">
        <v>3790</v>
      </c>
      <c r="E183" t="s">
        <v>1</v>
      </c>
    </row>
    <row r="184" spans="1:5" x14ac:dyDescent="0.2">
      <c r="A184" t="s">
        <v>3806</v>
      </c>
      <c r="B184">
        <v>324</v>
      </c>
      <c r="C184" t="s">
        <v>1408</v>
      </c>
      <c r="D184">
        <v>630</v>
      </c>
      <c r="E184" t="s">
        <v>2357</v>
      </c>
    </row>
    <row r="185" spans="1:5" x14ac:dyDescent="0.2">
      <c r="A185" t="s">
        <v>3807</v>
      </c>
      <c r="B185">
        <v>124</v>
      </c>
      <c r="C185" t="s">
        <v>576</v>
      </c>
      <c r="D185">
        <v>823</v>
      </c>
      <c r="E185" t="s">
        <v>2704</v>
      </c>
    </row>
    <row r="186" spans="1:5" x14ac:dyDescent="0.2">
      <c r="A186" t="s">
        <v>3808</v>
      </c>
      <c r="B186">
        <v>358</v>
      </c>
      <c r="C186" t="s">
        <v>3670</v>
      </c>
      <c r="D186">
        <v>824</v>
      </c>
      <c r="E186" t="s">
        <v>2705</v>
      </c>
    </row>
    <row r="187" spans="1:5" x14ac:dyDescent="0.2">
      <c r="A187" t="s">
        <v>3809</v>
      </c>
      <c r="B187">
        <v>17</v>
      </c>
      <c r="C187" t="s">
        <v>100</v>
      </c>
      <c r="D187">
        <v>258</v>
      </c>
      <c r="E187" t="s">
        <v>1162</v>
      </c>
    </row>
    <row r="188" spans="1:5" x14ac:dyDescent="0.2">
      <c r="A188" t="s">
        <v>3372</v>
      </c>
      <c r="B188">
        <v>17</v>
      </c>
      <c r="C188" t="s">
        <v>100</v>
      </c>
      <c r="D188">
        <v>825</v>
      </c>
      <c r="E188" t="s">
        <v>2706</v>
      </c>
    </row>
    <row r="189" spans="1:5" x14ac:dyDescent="0.2">
      <c r="A189" t="s">
        <v>3810</v>
      </c>
      <c r="B189">
        <v>124</v>
      </c>
      <c r="C189" t="s">
        <v>576</v>
      </c>
      <c r="D189">
        <v>60</v>
      </c>
      <c r="E189" t="s">
        <v>310</v>
      </c>
    </row>
    <row r="190" spans="1:5" x14ac:dyDescent="0.2">
      <c r="A190" t="s">
        <v>3811</v>
      </c>
      <c r="B190">
        <v>124</v>
      </c>
      <c r="C190" t="s">
        <v>576</v>
      </c>
      <c r="D190">
        <v>823</v>
      </c>
      <c r="E190" t="s">
        <v>2704</v>
      </c>
    </row>
    <row r="191" spans="1:5" x14ac:dyDescent="0.2">
      <c r="A191" t="s">
        <v>3812</v>
      </c>
      <c r="B191">
        <v>330</v>
      </c>
      <c r="C191" t="s">
        <v>1431</v>
      </c>
      <c r="D191">
        <v>667</v>
      </c>
      <c r="E191" t="s">
        <v>2434</v>
      </c>
    </row>
    <row r="192" spans="1:5" x14ac:dyDescent="0.2">
      <c r="A192" t="s">
        <v>3385</v>
      </c>
      <c r="B192">
        <v>26</v>
      </c>
      <c r="C192" t="s">
        <v>144</v>
      </c>
      <c r="D192">
        <v>826</v>
      </c>
      <c r="E192" t="s">
        <v>2707</v>
      </c>
    </row>
    <row r="193" spans="1:5" x14ac:dyDescent="0.2">
      <c r="A193" t="s">
        <v>3813</v>
      </c>
      <c r="B193">
        <v>190</v>
      </c>
      <c r="C193" t="s">
        <v>2923</v>
      </c>
      <c r="D193">
        <v>258</v>
      </c>
      <c r="E193" t="s">
        <v>1162</v>
      </c>
    </row>
    <row r="194" spans="1:5" x14ac:dyDescent="0.2">
      <c r="A194" t="s">
        <v>3814</v>
      </c>
      <c r="B194">
        <v>190</v>
      </c>
      <c r="C194" t="s">
        <v>2923</v>
      </c>
      <c r="D194">
        <v>258</v>
      </c>
      <c r="E194" t="s">
        <v>1162</v>
      </c>
    </row>
    <row r="195" spans="1:5" x14ac:dyDescent="0.2">
      <c r="A195" t="s">
        <v>3815</v>
      </c>
      <c r="B195">
        <v>190</v>
      </c>
      <c r="C195" t="s">
        <v>2923</v>
      </c>
      <c r="D195">
        <v>258</v>
      </c>
      <c r="E195" t="s">
        <v>1162</v>
      </c>
    </row>
    <row r="196" spans="1:5" x14ac:dyDescent="0.2">
      <c r="A196" t="s">
        <v>3393</v>
      </c>
      <c r="B196" t="s">
        <v>0</v>
      </c>
      <c r="C196" t="s">
        <v>1</v>
      </c>
      <c r="D196" t="s">
        <v>3790</v>
      </c>
      <c r="E196" t="s">
        <v>1</v>
      </c>
    </row>
    <row r="197" spans="1:5" x14ac:dyDescent="0.2">
      <c r="A197" t="s">
        <v>3816</v>
      </c>
      <c r="B197">
        <v>260</v>
      </c>
      <c r="C197" t="s">
        <v>1170</v>
      </c>
      <c r="D197">
        <v>759</v>
      </c>
      <c r="E197" t="s">
        <v>2662</v>
      </c>
    </row>
    <row r="198" spans="1:5" x14ac:dyDescent="0.2">
      <c r="A198" t="s">
        <v>3817</v>
      </c>
      <c r="B198" t="s">
        <v>0</v>
      </c>
      <c r="C198" t="s">
        <v>1</v>
      </c>
      <c r="D198">
        <v>253</v>
      </c>
      <c r="E198" t="s">
        <v>1143</v>
      </c>
    </row>
    <row r="199" spans="1:5" x14ac:dyDescent="0.2">
      <c r="A199" t="s">
        <v>3818</v>
      </c>
      <c r="B199">
        <v>17</v>
      </c>
      <c r="C199" t="s">
        <v>100</v>
      </c>
      <c r="D199" t="s">
        <v>3790</v>
      </c>
      <c r="E199" t="s">
        <v>1</v>
      </c>
    </row>
    <row r="200" spans="1:5" x14ac:dyDescent="0.2">
      <c r="A200" t="s">
        <v>3819</v>
      </c>
      <c r="B200">
        <v>6</v>
      </c>
      <c r="C200" t="s">
        <v>45</v>
      </c>
      <c r="D200">
        <v>43</v>
      </c>
      <c r="E200" t="s">
        <v>228</v>
      </c>
    </row>
    <row r="201" spans="1:5" x14ac:dyDescent="0.2">
      <c r="A201" t="s">
        <v>3410</v>
      </c>
      <c r="B201">
        <v>136</v>
      </c>
      <c r="C201" t="s">
        <v>635</v>
      </c>
      <c r="D201">
        <v>359</v>
      </c>
      <c r="E201" t="s">
        <v>1538</v>
      </c>
    </row>
    <row r="202" spans="1:5" x14ac:dyDescent="0.2">
      <c r="A202" t="s">
        <v>3820</v>
      </c>
      <c r="B202">
        <v>218</v>
      </c>
      <c r="C202" t="s">
        <v>1012</v>
      </c>
      <c r="D202">
        <v>829</v>
      </c>
      <c r="E202" t="s">
        <v>2710</v>
      </c>
    </row>
    <row r="203" spans="1:5" x14ac:dyDescent="0.2">
      <c r="A203" t="s">
        <v>3821</v>
      </c>
      <c r="B203">
        <v>17</v>
      </c>
      <c r="C203" t="s">
        <v>100</v>
      </c>
      <c r="D203" t="s">
        <v>3790</v>
      </c>
      <c r="E203" t="s">
        <v>1</v>
      </c>
    </row>
    <row r="204" spans="1:5" x14ac:dyDescent="0.2">
      <c r="A204" t="s">
        <v>3821</v>
      </c>
      <c r="B204">
        <v>17</v>
      </c>
      <c r="C204" t="s">
        <v>100</v>
      </c>
      <c r="D204" t="s">
        <v>3790</v>
      </c>
      <c r="E204" t="s">
        <v>1</v>
      </c>
    </row>
    <row r="205" spans="1:5" x14ac:dyDescent="0.2">
      <c r="A205" t="s">
        <v>3822</v>
      </c>
      <c r="B205">
        <v>17</v>
      </c>
      <c r="C205" t="s">
        <v>100</v>
      </c>
      <c r="D205">
        <v>795</v>
      </c>
      <c r="E205" t="s">
        <v>2676</v>
      </c>
    </row>
    <row r="206" spans="1:5" x14ac:dyDescent="0.2">
      <c r="A206" t="s">
        <v>3823</v>
      </c>
      <c r="B206">
        <v>17</v>
      </c>
      <c r="C206" t="s">
        <v>100</v>
      </c>
      <c r="D206">
        <v>795</v>
      </c>
      <c r="E206" t="s">
        <v>2676</v>
      </c>
    </row>
    <row r="207" spans="1:5" x14ac:dyDescent="0.2">
      <c r="A207" t="s">
        <v>3824</v>
      </c>
      <c r="B207">
        <v>17</v>
      </c>
      <c r="C207" t="s">
        <v>100</v>
      </c>
      <c r="D207" t="s">
        <v>3790</v>
      </c>
      <c r="E207" t="s">
        <v>1</v>
      </c>
    </row>
    <row r="208" spans="1:5" x14ac:dyDescent="0.2">
      <c r="A208" t="s">
        <v>3428</v>
      </c>
      <c r="B208">
        <v>88</v>
      </c>
      <c r="C208" t="s">
        <v>411</v>
      </c>
      <c r="D208">
        <v>681</v>
      </c>
      <c r="E208" t="s">
        <v>2479</v>
      </c>
    </row>
    <row r="209" spans="1:5" x14ac:dyDescent="0.2">
      <c r="A209" t="s">
        <v>3825</v>
      </c>
      <c r="B209">
        <v>36</v>
      </c>
      <c r="C209" t="s">
        <v>191</v>
      </c>
      <c r="D209">
        <v>314</v>
      </c>
      <c r="E209" t="s">
        <v>1372</v>
      </c>
    </row>
    <row r="210" spans="1:5" x14ac:dyDescent="0.2">
      <c r="A210" t="s">
        <v>3826</v>
      </c>
      <c r="B210">
        <v>172</v>
      </c>
      <c r="C210" t="s">
        <v>807</v>
      </c>
      <c r="D210">
        <v>830</v>
      </c>
      <c r="E210" t="s">
        <v>2711</v>
      </c>
    </row>
    <row r="211" spans="1:5" x14ac:dyDescent="0.2">
      <c r="A211" t="s">
        <v>3827</v>
      </c>
      <c r="B211">
        <v>172</v>
      </c>
      <c r="C211" t="s">
        <v>807</v>
      </c>
      <c r="D211">
        <v>830</v>
      </c>
      <c r="E211" t="s">
        <v>2711</v>
      </c>
    </row>
    <row r="212" spans="1:5" x14ac:dyDescent="0.2">
      <c r="A212" t="s">
        <v>3828</v>
      </c>
      <c r="B212">
        <v>172</v>
      </c>
      <c r="C212" t="s">
        <v>807</v>
      </c>
      <c r="D212">
        <v>830</v>
      </c>
      <c r="E212" t="s">
        <v>2711</v>
      </c>
    </row>
    <row r="213" spans="1:5" x14ac:dyDescent="0.2">
      <c r="A213" t="s">
        <v>3829</v>
      </c>
      <c r="B213">
        <v>172</v>
      </c>
      <c r="C213" t="s">
        <v>807</v>
      </c>
      <c r="D213">
        <v>830</v>
      </c>
      <c r="E213" t="s">
        <v>2711</v>
      </c>
    </row>
    <row r="214" spans="1:5" x14ac:dyDescent="0.2">
      <c r="A214" t="s">
        <v>3830</v>
      </c>
      <c r="B214">
        <v>172</v>
      </c>
      <c r="C214" t="s">
        <v>807</v>
      </c>
      <c r="D214">
        <v>830</v>
      </c>
      <c r="E214" t="s">
        <v>2711</v>
      </c>
    </row>
    <row r="215" spans="1:5" x14ac:dyDescent="0.2">
      <c r="A215" t="s">
        <v>3831</v>
      </c>
      <c r="B215">
        <v>172</v>
      </c>
      <c r="C215" t="s">
        <v>807</v>
      </c>
      <c r="D215">
        <v>830</v>
      </c>
      <c r="E215" t="s">
        <v>2711</v>
      </c>
    </row>
    <row r="216" spans="1:5" x14ac:dyDescent="0.2">
      <c r="A216" t="s">
        <v>3832</v>
      </c>
      <c r="B216">
        <v>172</v>
      </c>
      <c r="C216" t="s">
        <v>807</v>
      </c>
      <c r="D216">
        <v>830</v>
      </c>
      <c r="E216" t="s">
        <v>2711</v>
      </c>
    </row>
    <row r="217" spans="1:5" x14ac:dyDescent="0.2">
      <c r="A217" t="s">
        <v>3833</v>
      </c>
      <c r="B217">
        <v>172</v>
      </c>
      <c r="C217" t="s">
        <v>807</v>
      </c>
      <c r="D217">
        <v>830</v>
      </c>
      <c r="E217" t="s">
        <v>2711</v>
      </c>
    </row>
    <row r="218" spans="1:5" x14ac:dyDescent="0.2">
      <c r="A218" t="s">
        <v>3834</v>
      </c>
      <c r="B218">
        <v>247</v>
      </c>
      <c r="C218" t="s">
        <v>1121</v>
      </c>
      <c r="D218">
        <v>830</v>
      </c>
      <c r="E218" t="s">
        <v>2711</v>
      </c>
    </row>
    <row r="219" spans="1:5" x14ac:dyDescent="0.2">
      <c r="A219" t="s">
        <v>3835</v>
      </c>
      <c r="B219">
        <v>172</v>
      </c>
      <c r="C219" t="s">
        <v>807</v>
      </c>
      <c r="D219">
        <v>830</v>
      </c>
      <c r="E219" t="s">
        <v>2711</v>
      </c>
    </row>
    <row r="220" spans="1:5" x14ac:dyDescent="0.2">
      <c r="A220" t="s">
        <v>3836</v>
      </c>
      <c r="B220">
        <v>266</v>
      </c>
      <c r="C220" t="s">
        <v>1194</v>
      </c>
      <c r="D220">
        <v>852</v>
      </c>
      <c r="E220" t="s">
        <v>2733</v>
      </c>
    </row>
    <row r="221" spans="1:5" x14ac:dyDescent="0.2">
      <c r="A221" t="s">
        <v>3837</v>
      </c>
      <c r="B221">
        <v>220</v>
      </c>
      <c r="C221" t="s">
        <v>1023</v>
      </c>
      <c r="D221">
        <v>7</v>
      </c>
      <c r="E221" t="s">
        <v>51</v>
      </c>
    </row>
    <row r="222" spans="1:5" x14ac:dyDescent="0.2">
      <c r="A222" t="s">
        <v>3456</v>
      </c>
      <c r="B222">
        <v>320</v>
      </c>
      <c r="C222" t="s">
        <v>1394</v>
      </c>
      <c r="D222">
        <v>291</v>
      </c>
      <c r="E222" t="s">
        <v>1289</v>
      </c>
    </row>
    <row r="223" spans="1:5" x14ac:dyDescent="0.2">
      <c r="A223" t="s">
        <v>3838</v>
      </c>
      <c r="B223" t="s">
        <v>0</v>
      </c>
      <c r="C223" t="s">
        <v>1</v>
      </c>
      <c r="D223" t="s">
        <v>0</v>
      </c>
      <c r="E223" t="s">
        <v>1</v>
      </c>
    </row>
    <row r="224" spans="1:5" x14ac:dyDescent="0.2">
      <c r="A224" t="s">
        <v>3839</v>
      </c>
      <c r="B224">
        <v>48</v>
      </c>
      <c r="C224" t="s">
        <v>254</v>
      </c>
      <c r="D224">
        <v>853</v>
      </c>
      <c r="E224" t="s">
        <v>2734</v>
      </c>
    </row>
    <row r="225" spans="1:5" x14ac:dyDescent="0.2">
      <c r="A225" t="s">
        <v>3464</v>
      </c>
      <c r="B225">
        <v>48</v>
      </c>
      <c r="C225" t="s">
        <v>254</v>
      </c>
      <c r="D225">
        <v>853</v>
      </c>
      <c r="E225" t="s">
        <v>2734</v>
      </c>
    </row>
    <row r="226" spans="1:5" x14ac:dyDescent="0.2">
      <c r="A226" t="s">
        <v>3840</v>
      </c>
      <c r="B226">
        <v>17</v>
      </c>
      <c r="C226" t="s">
        <v>100</v>
      </c>
      <c r="D226">
        <v>271</v>
      </c>
      <c r="E226" t="s">
        <v>1211</v>
      </c>
    </row>
    <row r="227" spans="1:5" x14ac:dyDescent="0.2">
      <c r="A227" t="s">
        <v>3841</v>
      </c>
      <c r="B227">
        <v>48</v>
      </c>
      <c r="C227" t="s">
        <v>254</v>
      </c>
      <c r="D227">
        <v>832</v>
      </c>
      <c r="E227" t="s">
        <v>2713</v>
      </c>
    </row>
    <row r="228" spans="1:5" x14ac:dyDescent="0.2">
      <c r="A228" t="s">
        <v>3842</v>
      </c>
      <c r="B228">
        <v>19</v>
      </c>
      <c r="C228" t="s">
        <v>111</v>
      </c>
      <c r="D228">
        <v>833</v>
      </c>
      <c r="E228" t="s">
        <v>2714</v>
      </c>
    </row>
    <row r="229" spans="1:5" x14ac:dyDescent="0.2">
      <c r="A229" t="s">
        <v>3843</v>
      </c>
      <c r="B229">
        <v>88</v>
      </c>
      <c r="C229" t="s">
        <v>411</v>
      </c>
      <c r="D229">
        <v>311</v>
      </c>
      <c r="E229" t="s">
        <v>1361</v>
      </c>
    </row>
    <row r="230" spans="1:5" x14ac:dyDescent="0.2">
      <c r="A230" t="s">
        <v>3479</v>
      </c>
      <c r="B230">
        <v>88</v>
      </c>
      <c r="C230" t="s">
        <v>411</v>
      </c>
      <c r="D230">
        <v>311</v>
      </c>
      <c r="E230" t="s">
        <v>1361</v>
      </c>
    </row>
    <row r="231" spans="1:5" x14ac:dyDescent="0.2">
      <c r="A231" t="s">
        <v>3481</v>
      </c>
      <c r="B231">
        <v>88</v>
      </c>
      <c r="C231" t="s">
        <v>411</v>
      </c>
      <c r="D231">
        <v>311</v>
      </c>
      <c r="E231" t="s">
        <v>1361</v>
      </c>
    </row>
    <row r="232" spans="1:5" x14ac:dyDescent="0.2">
      <c r="A232" t="s">
        <v>3483</v>
      </c>
      <c r="B232">
        <v>88</v>
      </c>
      <c r="C232" t="s">
        <v>411</v>
      </c>
      <c r="D232">
        <v>311</v>
      </c>
      <c r="E232" t="s">
        <v>1361</v>
      </c>
    </row>
    <row r="233" spans="1:5" x14ac:dyDescent="0.2">
      <c r="A233" t="s">
        <v>3844</v>
      </c>
      <c r="B233">
        <v>17</v>
      </c>
      <c r="C233" t="s">
        <v>100</v>
      </c>
      <c r="D233">
        <v>854</v>
      </c>
      <c r="E233" t="s">
        <v>2735</v>
      </c>
    </row>
    <row r="234" spans="1:5" x14ac:dyDescent="0.2">
      <c r="A234" t="s">
        <v>3845</v>
      </c>
      <c r="B234">
        <v>363</v>
      </c>
      <c r="C234" t="s">
        <v>1551</v>
      </c>
      <c r="D234">
        <v>115</v>
      </c>
      <c r="E234" t="s">
        <v>534</v>
      </c>
    </row>
    <row r="235" spans="1:5" x14ac:dyDescent="0.2">
      <c r="A235" t="s">
        <v>3846</v>
      </c>
      <c r="B235">
        <v>149</v>
      </c>
      <c r="C235" t="s">
        <v>698</v>
      </c>
      <c r="D235">
        <v>823</v>
      </c>
      <c r="E235" t="s">
        <v>2704</v>
      </c>
    </row>
    <row r="236" spans="1:5" x14ac:dyDescent="0.2">
      <c r="A236" t="s">
        <v>2895</v>
      </c>
      <c r="B236">
        <v>347</v>
      </c>
      <c r="C236" t="s">
        <v>1487</v>
      </c>
      <c r="D236">
        <v>726</v>
      </c>
      <c r="E236" t="s">
        <v>2655</v>
      </c>
    </row>
    <row r="237" spans="1:5" x14ac:dyDescent="0.2">
      <c r="A237" t="s">
        <v>3847</v>
      </c>
      <c r="B237">
        <v>17</v>
      </c>
      <c r="C237" t="s">
        <v>100</v>
      </c>
      <c r="D237" t="s">
        <v>3790</v>
      </c>
      <c r="E237" t="s">
        <v>1</v>
      </c>
    </row>
    <row r="238" spans="1:5" x14ac:dyDescent="0.2">
      <c r="A238" t="s">
        <v>3848</v>
      </c>
      <c r="B238">
        <v>237</v>
      </c>
      <c r="C238" t="s">
        <v>1092</v>
      </c>
      <c r="D238">
        <v>763</v>
      </c>
      <c r="E238" t="s">
        <v>2663</v>
      </c>
    </row>
    <row r="239" spans="1:5" x14ac:dyDescent="0.2">
      <c r="A239" t="s">
        <v>3849</v>
      </c>
      <c r="B239">
        <v>32</v>
      </c>
      <c r="C239" t="s">
        <v>176</v>
      </c>
      <c r="D239">
        <v>53</v>
      </c>
      <c r="E239" t="s">
        <v>273</v>
      </c>
    </row>
    <row r="240" spans="1:5" x14ac:dyDescent="0.2">
      <c r="A240" t="s">
        <v>3850</v>
      </c>
      <c r="B240">
        <v>32</v>
      </c>
      <c r="C240" t="s">
        <v>176</v>
      </c>
      <c r="D240">
        <v>53</v>
      </c>
      <c r="E240" t="s">
        <v>273</v>
      </c>
    </row>
    <row r="241" spans="1:5" x14ac:dyDescent="0.2">
      <c r="A241" t="s">
        <v>3851</v>
      </c>
      <c r="B241">
        <v>372</v>
      </c>
      <c r="C241" t="s">
        <v>1588</v>
      </c>
      <c r="D241">
        <v>590</v>
      </c>
      <c r="E241" t="s">
        <v>2277</v>
      </c>
    </row>
    <row r="242" spans="1:5" x14ac:dyDescent="0.2">
      <c r="A242" t="s">
        <v>3852</v>
      </c>
      <c r="B242">
        <v>17</v>
      </c>
      <c r="C242" t="s">
        <v>100</v>
      </c>
      <c r="D242">
        <v>271</v>
      </c>
      <c r="E242" t="s">
        <v>1211</v>
      </c>
    </row>
    <row r="243" spans="1:5" x14ac:dyDescent="0.2">
      <c r="A243" t="s">
        <v>3853</v>
      </c>
      <c r="B243">
        <v>126</v>
      </c>
      <c r="C243" t="s">
        <v>587</v>
      </c>
      <c r="D243">
        <v>816</v>
      </c>
      <c r="E243" t="s">
        <v>2697</v>
      </c>
    </row>
    <row r="244" spans="1:5" x14ac:dyDescent="0.2">
      <c r="A244" t="s">
        <v>3854</v>
      </c>
      <c r="B244">
        <v>17</v>
      </c>
      <c r="C244" t="s">
        <v>100</v>
      </c>
      <c r="D244" t="s">
        <v>3790</v>
      </c>
      <c r="E244" t="s">
        <v>1</v>
      </c>
    </row>
    <row r="245" spans="1:5" x14ac:dyDescent="0.2">
      <c r="A245" t="s">
        <v>3855</v>
      </c>
      <c r="B245">
        <v>320</v>
      </c>
      <c r="C245" t="s">
        <v>1394</v>
      </c>
      <c r="D245">
        <v>135</v>
      </c>
      <c r="E245" t="s">
        <v>630</v>
      </c>
    </row>
    <row r="246" spans="1:5" x14ac:dyDescent="0.2">
      <c r="A246" t="s">
        <v>3856</v>
      </c>
      <c r="B246">
        <v>266</v>
      </c>
      <c r="C246" t="s">
        <v>1194</v>
      </c>
      <c r="D246">
        <v>135</v>
      </c>
      <c r="E246" t="s">
        <v>630</v>
      </c>
    </row>
    <row r="247" spans="1:5" x14ac:dyDescent="0.2">
      <c r="A247" t="s">
        <v>3857</v>
      </c>
      <c r="B247">
        <v>126</v>
      </c>
      <c r="C247" t="s">
        <v>587</v>
      </c>
      <c r="D247" t="s">
        <v>3790</v>
      </c>
      <c r="E247" t="s">
        <v>1</v>
      </c>
    </row>
    <row r="248" spans="1:5" x14ac:dyDescent="0.2">
      <c r="A248" t="s">
        <v>3858</v>
      </c>
      <c r="B248">
        <v>17</v>
      </c>
      <c r="C248" t="s">
        <v>100</v>
      </c>
      <c r="D248" t="s">
        <v>3790</v>
      </c>
      <c r="E248" t="s">
        <v>1</v>
      </c>
    </row>
    <row r="249" spans="1:5" x14ac:dyDescent="0.2">
      <c r="A249" t="s">
        <v>3859</v>
      </c>
      <c r="B249">
        <v>312</v>
      </c>
      <c r="C249" t="s">
        <v>1366</v>
      </c>
      <c r="D249">
        <v>763</v>
      </c>
      <c r="E249" t="s">
        <v>2663</v>
      </c>
    </row>
    <row r="250" spans="1:5" x14ac:dyDescent="0.2">
      <c r="A250" t="s">
        <v>3860</v>
      </c>
      <c r="B250">
        <v>17</v>
      </c>
      <c r="C250" t="s">
        <v>100</v>
      </c>
      <c r="D250" t="s">
        <v>3790</v>
      </c>
      <c r="E250" t="s">
        <v>1</v>
      </c>
    </row>
    <row r="251" spans="1:5" x14ac:dyDescent="0.2">
      <c r="A251" t="s">
        <v>3861</v>
      </c>
      <c r="B251">
        <v>286</v>
      </c>
      <c r="C251" t="s">
        <v>1273</v>
      </c>
      <c r="D251">
        <v>175</v>
      </c>
      <c r="E251" t="s">
        <v>823</v>
      </c>
    </row>
    <row r="252" spans="1:5" x14ac:dyDescent="0.2">
      <c r="A252" t="s">
        <v>3862</v>
      </c>
      <c r="B252">
        <v>13</v>
      </c>
      <c r="C252" t="s">
        <v>81</v>
      </c>
      <c r="D252">
        <v>77</v>
      </c>
      <c r="E252" t="s">
        <v>383</v>
      </c>
    </row>
    <row r="253" spans="1:5" x14ac:dyDescent="0.2">
      <c r="A253" t="s">
        <v>3863</v>
      </c>
      <c r="B253" t="s">
        <v>0</v>
      </c>
      <c r="C253" t="s">
        <v>1</v>
      </c>
      <c r="D253" t="s">
        <v>0</v>
      </c>
      <c r="E253" t="s">
        <v>1</v>
      </c>
    </row>
    <row r="254" spans="1:5" x14ac:dyDescent="0.2">
      <c r="A254" t="s">
        <v>3864</v>
      </c>
      <c r="B254">
        <v>235</v>
      </c>
      <c r="C254" t="s">
        <v>1082</v>
      </c>
      <c r="D254">
        <v>752</v>
      </c>
      <c r="E254" t="s">
        <v>2661</v>
      </c>
    </row>
    <row r="255" spans="1:5" x14ac:dyDescent="0.2">
      <c r="A255" t="s">
        <v>3865</v>
      </c>
      <c r="B255">
        <v>17</v>
      </c>
      <c r="C255" t="s">
        <v>100</v>
      </c>
      <c r="D255">
        <v>835</v>
      </c>
      <c r="E255" t="s">
        <v>2716</v>
      </c>
    </row>
    <row r="256" spans="1:5" x14ac:dyDescent="0.2">
      <c r="A256" t="s">
        <v>3866</v>
      </c>
      <c r="B256">
        <v>124</v>
      </c>
      <c r="C256" t="s">
        <v>576</v>
      </c>
      <c r="D256">
        <v>629</v>
      </c>
      <c r="E256" t="s">
        <v>2356</v>
      </c>
    </row>
    <row r="257" spans="1:5" x14ac:dyDescent="0.2">
      <c r="A257" t="s">
        <v>3867</v>
      </c>
      <c r="B257">
        <v>276</v>
      </c>
      <c r="C257" t="s">
        <v>1233</v>
      </c>
      <c r="D257">
        <v>836</v>
      </c>
      <c r="E257" t="s">
        <v>2717</v>
      </c>
    </row>
    <row r="258" spans="1:5" x14ac:dyDescent="0.2">
      <c r="A258" t="s">
        <v>3868</v>
      </c>
      <c r="B258">
        <v>87</v>
      </c>
      <c r="C258" t="s">
        <v>410</v>
      </c>
      <c r="D258">
        <v>300</v>
      </c>
      <c r="E258" t="s">
        <v>1325</v>
      </c>
    </row>
    <row r="259" spans="1:5" x14ac:dyDescent="0.2">
      <c r="A259" t="s">
        <v>3869</v>
      </c>
      <c r="B259">
        <v>268</v>
      </c>
      <c r="C259" t="s">
        <v>1202</v>
      </c>
      <c r="D259">
        <v>855</v>
      </c>
      <c r="E259" t="s">
        <v>2736</v>
      </c>
    </row>
    <row r="260" spans="1:5" x14ac:dyDescent="0.2">
      <c r="A260" t="s">
        <v>3870</v>
      </c>
      <c r="B260">
        <v>17</v>
      </c>
      <c r="C260" t="s">
        <v>100</v>
      </c>
      <c r="D260">
        <v>258</v>
      </c>
      <c r="E260" t="s">
        <v>1162</v>
      </c>
    </row>
    <row r="261" spans="1:5" x14ac:dyDescent="0.2">
      <c r="A261" t="s">
        <v>3871</v>
      </c>
      <c r="B261">
        <v>17</v>
      </c>
      <c r="C261" t="s">
        <v>100</v>
      </c>
      <c r="D261">
        <v>295</v>
      </c>
      <c r="E261" t="s">
        <v>1304</v>
      </c>
    </row>
    <row r="262" spans="1:5" x14ac:dyDescent="0.2">
      <c r="A262" t="s">
        <v>3872</v>
      </c>
      <c r="B262">
        <v>13</v>
      </c>
      <c r="C262" t="s">
        <v>81</v>
      </c>
      <c r="D262">
        <v>121</v>
      </c>
      <c r="E262" t="s">
        <v>560</v>
      </c>
    </row>
    <row r="263" spans="1:5" x14ac:dyDescent="0.2">
      <c r="A263" t="s">
        <v>3873</v>
      </c>
      <c r="B263">
        <v>290</v>
      </c>
      <c r="C263" t="s">
        <v>1285</v>
      </c>
      <c r="D263">
        <v>795</v>
      </c>
      <c r="E263" t="s">
        <v>2676</v>
      </c>
    </row>
    <row r="264" spans="1:5" x14ac:dyDescent="0.2">
      <c r="A264" t="s">
        <v>3583</v>
      </c>
      <c r="B264">
        <v>17</v>
      </c>
      <c r="C264" t="s">
        <v>100</v>
      </c>
      <c r="D264">
        <v>271</v>
      </c>
      <c r="E264" t="s">
        <v>1211</v>
      </c>
    </row>
    <row r="265" spans="1:5" x14ac:dyDescent="0.2">
      <c r="A265" t="s">
        <v>3586</v>
      </c>
      <c r="B265">
        <v>17</v>
      </c>
      <c r="C265" t="s">
        <v>100</v>
      </c>
      <c r="D265">
        <v>271</v>
      </c>
      <c r="E265" t="s">
        <v>1211</v>
      </c>
    </row>
    <row r="266" spans="1:5" x14ac:dyDescent="0.2">
      <c r="A266" t="s">
        <v>3588</v>
      </c>
      <c r="B266">
        <v>17</v>
      </c>
      <c r="C266" t="s">
        <v>100</v>
      </c>
      <c r="D266">
        <v>271</v>
      </c>
      <c r="E266" t="s">
        <v>1211</v>
      </c>
    </row>
    <row r="267" spans="1:5" x14ac:dyDescent="0.2">
      <c r="A267" t="s">
        <v>3874</v>
      </c>
      <c r="B267">
        <v>17</v>
      </c>
      <c r="C267" t="s">
        <v>100</v>
      </c>
      <c r="D267">
        <v>807</v>
      </c>
      <c r="E267" t="s">
        <v>2688</v>
      </c>
    </row>
    <row r="268" spans="1:5" x14ac:dyDescent="0.2">
      <c r="A268" t="s">
        <v>3875</v>
      </c>
      <c r="B268">
        <v>172</v>
      </c>
      <c r="C268" t="s">
        <v>807</v>
      </c>
      <c r="D268">
        <v>837</v>
      </c>
      <c r="E268" t="s">
        <v>2718</v>
      </c>
    </row>
    <row r="269" spans="1:5" x14ac:dyDescent="0.2">
      <c r="A269" t="s">
        <v>3876</v>
      </c>
      <c r="B269">
        <v>329</v>
      </c>
      <c r="C269" t="s">
        <v>1427</v>
      </c>
      <c r="D269">
        <v>84</v>
      </c>
      <c r="E269" t="s">
        <v>407</v>
      </c>
    </row>
    <row r="270" spans="1:5" x14ac:dyDescent="0.2">
      <c r="A270" t="s">
        <v>3877</v>
      </c>
      <c r="B270">
        <v>356</v>
      </c>
      <c r="C270" t="s">
        <v>1524</v>
      </c>
      <c r="D270">
        <v>271</v>
      </c>
      <c r="E270" t="s">
        <v>1211</v>
      </c>
    </row>
    <row r="271" spans="1:5" x14ac:dyDescent="0.2">
      <c r="A271" t="s">
        <v>3878</v>
      </c>
      <c r="B271">
        <v>190</v>
      </c>
      <c r="C271" t="s">
        <v>2923</v>
      </c>
      <c r="D271">
        <v>591</v>
      </c>
      <c r="E271" t="s">
        <v>2279</v>
      </c>
    </row>
    <row r="272" spans="1:5" x14ac:dyDescent="0.2">
      <c r="A272" t="s">
        <v>3879</v>
      </c>
      <c r="B272">
        <v>190</v>
      </c>
      <c r="C272" t="s">
        <v>2923</v>
      </c>
      <c r="D272">
        <v>838</v>
      </c>
      <c r="E272" t="s">
        <v>2719</v>
      </c>
    </row>
    <row r="273" spans="1:5" x14ac:dyDescent="0.2">
      <c r="A273" t="s">
        <v>3880</v>
      </c>
      <c r="B273">
        <v>324</v>
      </c>
      <c r="C273" t="s">
        <v>1408</v>
      </c>
      <c r="D273">
        <v>839</v>
      </c>
      <c r="E273" t="s">
        <v>2720</v>
      </c>
    </row>
    <row r="274" spans="1:5" x14ac:dyDescent="0.2">
      <c r="A274" t="s">
        <v>3881</v>
      </c>
      <c r="B274">
        <v>17</v>
      </c>
      <c r="C274" t="s">
        <v>100</v>
      </c>
      <c r="D274">
        <v>271</v>
      </c>
      <c r="E274" t="s">
        <v>1211</v>
      </c>
    </row>
    <row r="275" spans="1:5" x14ac:dyDescent="0.2">
      <c r="A275" t="s">
        <v>3613</v>
      </c>
      <c r="B275">
        <v>0</v>
      </c>
      <c r="C275" t="s">
        <v>1</v>
      </c>
      <c r="D275">
        <v>120</v>
      </c>
      <c r="E275" t="s">
        <v>556</v>
      </c>
    </row>
    <row r="276" spans="1:5" x14ac:dyDescent="0.2">
      <c r="A276" t="s">
        <v>3882</v>
      </c>
      <c r="B276">
        <v>336</v>
      </c>
      <c r="C276" t="s">
        <v>1450</v>
      </c>
      <c r="D276">
        <v>121</v>
      </c>
      <c r="E276" t="s">
        <v>560</v>
      </c>
    </row>
    <row r="277" spans="1:5" x14ac:dyDescent="0.2">
      <c r="A277" t="s">
        <v>3621</v>
      </c>
      <c r="B277">
        <v>0</v>
      </c>
      <c r="C277" t="s">
        <v>1</v>
      </c>
      <c r="D277">
        <v>120</v>
      </c>
      <c r="E277" t="s">
        <v>556</v>
      </c>
    </row>
    <row r="278" spans="1:5" x14ac:dyDescent="0.2">
      <c r="A278" t="s">
        <v>3624</v>
      </c>
      <c r="B278">
        <v>89</v>
      </c>
      <c r="C278" t="s">
        <v>412</v>
      </c>
      <c r="D278">
        <v>164</v>
      </c>
      <c r="E278" t="s">
        <v>768</v>
      </c>
    </row>
    <row r="279" spans="1:5" x14ac:dyDescent="0.2">
      <c r="A279" t="s">
        <v>3628</v>
      </c>
      <c r="B279">
        <v>254</v>
      </c>
      <c r="C279" t="s">
        <v>1148</v>
      </c>
      <c r="D279">
        <v>258</v>
      </c>
      <c r="E279" t="s">
        <v>1162</v>
      </c>
    </row>
    <row r="280" spans="1:5" x14ac:dyDescent="0.2">
      <c r="A280" t="s">
        <v>3883</v>
      </c>
      <c r="B280">
        <v>254</v>
      </c>
      <c r="C280" t="s">
        <v>1148</v>
      </c>
      <c r="D280">
        <v>258</v>
      </c>
      <c r="E280" t="s">
        <v>1162</v>
      </c>
    </row>
    <row r="281" spans="1:5" x14ac:dyDescent="0.2">
      <c r="A281" t="s">
        <v>3884</v>
      </c>
      <c r="B281">
        <v>309</v>
      </c>
      <c r="C281" t="s">
        <v>1356</v>
      </c>
      <c r="D281">
        <v>824</v>
      </c>
      <c r="E281" t="s">
        <v>2705</v>
      </c>
    </row>
    <row r="282" spans="1:5" x14ac:dyDescent="0.2">
      <c r="A282" t="s">
        <v>3885</v>
      </c>
      <c r="B282">
        <v>268</v>
      </c>
      <c r="C282" t="s">
        <v>1202</v>
      </c>
      <c r="D282">
        <v>840</v>
      </c>
      <c r="E282" t="s">
        <v>2721</v>
      </c>
    </row>
    <row r="283" spans="1:5" x14ac:dyDescent="0.2">
      <c r="A283" t="s">
        <v>3886</v>
      </c>
      <c r="B283">
        <v>210</v>
      </c>
      <c r="C283" t="s">
        <v>974</v>
      </c>
      <c r="D283">
        <v>823</v>
      </c>
      <c r="E283" t="s">
        <v>2704</v>
      </c>
    </row>
    <row r="284" spans="1:5" x14ac:dyDescent="0.2">
      <c r="A284" t="s">
        <v>3628</v>
      </c>
      <c r="B284">
        <v>254</v>
      </c>
      <c r="C284" t="s">
        <v>1148</v>
      </c>
      <c r="D284">
        <v>258</v>
      </c>
      <c r="E284" t="s">
        <v>1162</v>
      </c>
    </row>
    <row r="285" spans="1:5" x14ac:dyDescent="0.2">
      <c r="A285" t="s">
        <v>3887</v>
      </c>
      <c r="B285">
        <v>237</v>
      </c>
      <c r="C285" t="s">
        <v>1092</v>
      </c>
      <c r="D285">
        <v>366</v>
      </c>
      <c r="E285" t="s">
        <v>1562</v>
      </c>
    </row>
    <row r="286" spans="1:5" x14ac:dyDescent="0.2">
      <c r="A286" t="s">
        <v>3888</v>
      </c>
      <c r="B286">
        <v>288</v>
      </c>
      <c r="C286" t="s">
        <v>1279</v>
      </c>
      <c r="D286">
        <v>842</v>
      </c>
      <c r="E286" t="s">
        <v>2723</v>
      </c>
    </row>
    <row r="287" spans="1:5" x14ac:dyDescent="0.2">
      <c r="A287" t="s">
        <v>3889</v>
      </c>
      <c r="B287">
        <v>346</v>
      </c>
      <c r="C287" t="s">
        <v>1483</v>
      </c>
      <c r="D287">
        <v>184</v>
      </c>
      <c r="E287" t="s">
        <v>859</v>
      </c>
    </row>
    <row r="288" spans="1:5" x14ac:dyDescent="0.2">
      <c r="A288" t="s">
        <v>3890</v>
      </c>
      <c r="B288">
        <v>30</v>
      </c>
      <c r="C288" t="s">
        <v>164</v>
      </c>
      <c r="D288">
        <v>844</v>
      </c>
      <c r="E288" t="s">
        <v>2725</v>
      </c>
    </row>
    <row r="289" spans="1:5" x14ac:dyDescent="0.2">
      <c r="A289" t="s">
        <v>3891</v>
      </c>
      <c r="B289">
        <v>17</v>
      </c>
      <c r="C289" t="s">
        <v>100</v>
      </c>
      <c r="D289">
        <v>799</v>
      </c>
      <c r="E289" t="s">
        <v>2680</v>
      </c>
    </row>
    <row r="290" spans="1:5" x14ac:dyDescent="0.2">
      <c r="A290" t="s">
        <v>3892</v>
      </c>
      <c r="B290">
        <v>32</v>
      </c>
      <c r="C290" t="s">
        <v>176</v>
      </c>
      <c r="D290">
        <v>132</v>
      </c>
      <c r="E290" t="s">
        <v>616</v>
      </c>
    </row>
    <row r="291" spans="1:5" x14ac:dyDescent="0.2">
      <c r="A291" t="s">
        <v>3893</v>
      </c>
      <c r="B291">
        <v>234</v>
      </c>
      <c r="C291" t="s">
        <v>1077</v>
      </c>
      <c r="D291">
        <v>17</v>
      </c>
      <c r="E291" t="s">
        <v>100</v>
      </c>
    </row>
    <row r="292" spans="1:5" x14ac:dyDescent="0.2">
      <c r="A292" t="s">
        <v>3894</v>
      </c>
      <c r="B292">
        <v>17</v>
      </c>
      <c r="C292" t="s">
        <v>100</v>
      </c>
      <c r="D292">
        <v>701</v>
      </c>
      <c r="E292" t="s">
        <v>2553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relaties_export_2026-01-12_1609</vt:lpstr>
      <vt:lpstr>Sheet1</vt:lpstr>
      <vt:lpstr>relaties_marked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2026-01-12T16:39:35Z</dcterms:created>
  <dcterms:modified xsi:type="dcterms:W3CDTF">2026-01-12T16:40:17Z</dcterms:modified>
</cp:coreProperties>
</file>