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1" documentId="8_{09BE8A37-9039-794A-8CC5-533D56C4B6A4}" xr6:coauthVersionLast="47" xr6:coauthVersionMax="47" xr10:uidLastSave="{343C444F-6970-DB46-A4C5-CCC190C72997}"/>
  <bookViews>
    <workbookView xWindow="-1460" yWindow="-16240" windowWidth="34560" windowHeight="20360" activeTab="1" xr2:uid="{00000000-000D-0000-FFFF-FFFF00000000}"/>
  </bookViews>
  <sheets>
    <sheet name="Dashboard" sheetId="1" r:id="rId1"/>
    <sheet name="Input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E35" i="1" s="1"/>
  <c r="A36" i="1"/>
  <c r="A37" i="1"/>
  <c r="A38" i="1"/>
  <c r="A39" i="1"/>
  <c r="D39" i="1" s="1"/>
  <c r="A40" i="1"/>
  <c r="A41" i="1"/>
  <c r="A42" i="1"/>
  <c r="C42" i="1" s="1"/>
  <c r="A43" i="1"/>
  <c r="D43" i="1" s="1"/>
  <c r="A44" i="1"/>
  <c r="A45" i="1"/>
  <c r="E45" i="1" s="1"/>
  <c r="A46" i="1"/>
  <c r="D46" i="1" s="1"/>
  <c r="A47" i="1"/>
  <c r="C47" i="1" s="1"/>
  <c r="A48" i="1"/>
  <c r="A49" i="1"/>
  <c r="C49" i="1" s="1"/>
  <c r="A50" i="1"/>
  <c r="E50" i="1" s="1"/>
  <c r="A51" i="1"/>
  <c r="A5" i="1"/>
  <c r="A6" i="1"/>
  <c r="A7" i="1"/>
  <c r="A8" i="1"/>
  <c r="A9" i="1"/>
  <c r="C9" i="1" s="1"/>
  <c r="A10" i="1"/>
  <c r="A11" i="1"/>
  <c r="D11" i="1" s="1"/>
  <c r="A12" i="1"/>
  <c r="A13" i="1"/>
  <c r="A14" i="1"/>
  <c r="AE25" i="2"/>
  <c r="AG25" i="2" s="1"/>
  <c r="AJ11" i="2"/>
  <c r="AJ7" i="2"/>
  <c r="AJ6" i="2"/>
  <c r="AJ5" i="2"/>
  <c r="AJ3" i="2"/>
  <c r="AL201" i="2"/>
  <c r="AN201" i="2" s="1"/>
  <c r="AE201" i="2"/>
  <c r="R201" i="2"/>
  <c r="L201" i="2"/>
  <c r="N201" i="2" s="1"/>
  <c r="O201" i="2" s="1"/>
  <c r="J201" i="2"/>
  <c r="E201" i="2"/>
  <c r="D201" i="2"/>
  <c r="AL200" i="2"/>
  <c r="AN200" i="2" s="1"/>
  <c r="AE200" i="2"/>
  <c r="AG200" i="2" s="1"/>
  <c r="AH200" i="2" s="1"/>
  <c r="R200" i="2"/>
  <c r="L200" i="2"/>
  <c r="N200" i="2" s="1"/>
  <c r="O200" i="2" s="1"/>
  <c r="J200" i="2"/>
  <c r="E200" i="2"/>
  <c r="D200" i="2"/>
  <c r="AL199" i="2"/>
  <c r="AN199" i="2" s="1"/>
  <c r="AE199" i="2"/>
  <c r="R199" i="2"/>
  <c r="L199" i="2"/>
  <c r="N199" i="2" s="1"/>
  <c r="O199" i="2" s="1"/>
  <c r="J199" i="2"/>
  <c r="E199" i="2"/>
  <c r="D199" i="2"/>
  <c r="AL198" i="2"/>
  <c r="AN198" i="2" s="1"/>
  <c r="AE198" i="2"/>
  <c r="AG198" i="2" s="1"/>
  <c r="AH198" i="2" s="1"/>
  <c r="R198" i="2"/>
  <c r="L198" i="2"/>
  <c r="N198" i="2" s="1"/>
  <c r="O198" i="2" s="1"/>
  <c r="J198" i="2"/>
  <c r="E198" i="2"/>
  <c r="D198" i="2"/>
  <c r="AL197" i="2"/>
  <c r="AN197" i="2" s="1"/>
  <c r="AG197" i="2"/>
  <c r="AE197" i="2"/>
  <c r="R197" i="2"/>
  <c r="L197" i="2"/>
  <c r="N197" i="2" s="1"/>
  <c r="O197" i="2" s="1"/>
  <c r="J197" i="2"/>
  <c r="E197" i="2"/>
  <c r="D197" i="2"/>
  <c r="AL196" i="2"/>
  <c r="AN196" i="2" s="1"/>
  <c r="AE196" i="2"/>
  <c r="R196" i="2"/>
  <c r="L196" i="2"/>
  <c r="N196" i="2" s="1"/>
  <c r="O196" i="2" s="1"/>
  <c r="J196" i="2"/>
  <c r="E196" i="2"/>
  <c r="D196" i="2"/>
  <c r="AL195" i="2"/>
  <c r="AN195" i="2" s="1"/>
  <c r="AE195" i="2"/>
  <c r="R195" i="2"/>
  <c r="L195" i="2"/>
  <c r="N195" i="2" s="1"/>
  <c r="O195" i="2" s="1"/>
  <c r="J195" i="2"/>
  <c r="E195" i="2"/>
  <c r="D195" i="2"/>
  <c r="AL194" i="2"/>
  <c r="AN194" i="2" s="1"/>
  <c r="AE194" i="2"/>
  <c r="R194" i="2"/>
  <c r="N194" i="2"/>
  <c r="O194" i="2" s="1"/>
  <c r="L194" i="2"/>
  <c r="J194" i="2"/>
  <c r="E194" i="2"/>
  <c r="D194" i="2"/>
  <c r="AL193" i="2"/>
  <c r="AN193" i="2" s="1"/>
  <c r="AE193" i="2"/>
  <c r="AG193" i="2" s="1"/>
  <c r="AH193" i="2" s="1"/>
  <c r="R193" i="2"/>
  <c r="L193" i="2"/>
  <c r="N193" i="2" s="1"/>
  <c r="O193" i="2" s="1"/>
  <c r="J193" i="2"/>
  <c r="E193" i="2"/>
  <c r="D193" i="2"/>
  <c r="AL192" i="2"/>
  <c r="AN192" i="2" s="1"/>
  <c r="AE192" i="2"/>
  <c r="R192" i="2"/>
  <c r="L192" i="2"/>
  <c r="N192" i="2" s="1"/>
  <c r="O192" i="2" s="1"/>
  <c r="J192" i="2"/>
  <c r="E192" i="2"/>
  <c r="D192" i="2"/>
  <c r="AL191" i="2"/>
  <c r="AN191" i="2" s="1"/>
  <c r="AH191" i="2"/>
  <c r="AE191" i="2"/>
  <c r="AG191" i="2" s="1"/>
  <c r="R191" i="2"/>
  <c r="L191" i="2"/>
  <c r="N191" i="2" s="1"/>
  <c r="O191" i="2" s="1"/>
  <c r="J191" i="2"/>
  <c r="E191" i="2"/>
  <c r="D191" i="2"/>
  <c r="AL190" i="2"/>
  <c r="AN190" i="2" s="1"/>
  <c r="AE190" i="2"/>
  <c r="AG190" i="2" s="1"/>
  <c r="AH190" i="2" s="1"/>
  <c r="R190" i="2"/>
  <c r="L190" i="2"/>
  <c r="N190" i="2" s="1"/>
  <c r="O190" i="2" s="1"/>
  <c r="J190" i="2"/>
  <c r="E190" i="2"/>
  <c r="D190" i="2"/>
  <c r="AL189" i="2"/>
  <c r="AN189" i="2" s="1"/>
  <c r="AE189" i="2"/>
  <c r="R189" i="2"/>
  <c r="L189" i="2"/>
  <c r="N189" i="2" s="1"/>
  <c r="O189" i="2" s="1"/>
  <c r="J189" i="2"/>
  <c r="E189" i="2"/>
  <c r="D189" i="2"/>
  <c r="AL188" i="2"/>
  <c r="AN188" i="2" s="1"/>
  <c r="AE188" i="2"/>
  <c r="AG188" i="2" s="1"/>
  <c r="R188" i="2"/>
  <c r="L188" i="2"/>
  <c r="N188" i="2" s="1"/>
  <c r="O188" i="2" s="1"/>
  <c r="J188" i="2"/>
  <c r="E188" i="2"/>
  <c r="D188" i="2"/>
  <c r="AL187" i="2"/>
  <c r="AN187" i="2" s="1"/>
  <c r="AE187" i="2"/>
  <c r="R187" i="2"/>
  <c r="L187" i="2"/>
  <c r="N187" i="2" s="1"/>
  <c r="O187" i="2" s="1"/>
  <c r="J187" i="2"/>
  <c r="E187" i="2"/>
  <c r="D187" i="2"/>
  <c r="AL186" i="2"/>
  <c r="AN186" i="2" s="1"/>
  <c r="AG186" i="2"/>
  <c r="AH186" i="2" s="1"/>
  <c r="AE186" i="2"/>
  <c r="R186" i="2"/>
  <c r="L186" i="2"/>
  <c r="N186" i="2" s="1"/>
  <c r="O186" i="2" s="1"/>
  <c r="J186" i="2"/>
  <c r="E186" i="2"/>
  <c r="D186" i="2"/>
  <c r="AL185" i="2"/>
  <c r="AN185" i="2" s="1"/>
  <c r="AE185" i="2"/>
  <c r="R185" i="2"/>
  <c r="L185" i="2"/>
  <c r="N185" i="2" s="1"/>
  <c r="O185" i="2" s="1"/>
  <c r="J185" i="2"/>
  <c r="E185" i="2"/>
  <c r="D185" i="2"/>
  <c r="AL184" i="2"/>
  <c r="AN184" i="2" s="1"/>
  <c r="AE184" i="2"/>
  <c r="R184" i="2"/>
  <c r="L184" i="2"/>
  <c r="N184" i="2" s="1"/>
  <c r="O184" i="2" s="1"/>
  <c r="J184" i="2"/>
  <c r="E184" i="2"/>
  <c r="D184" i="2"/>
  <c r="AL183" i="2"/>
  <c r="AN183" i="2" s="1"/>
  <c r="AE183" i="2"/>
  <c r="AG183" i="2" s="1"/>
  <c r="R183" i="2"/>
  <c r="L183" i="2"/>
  <c r="N183" i="2" s="1"/>
  <c r="O183" i="2" s="1"/>
  <c r="J183" i="2"/>
  <c r="E183" i="2"/>
  <c r="D183" i="2"/>
  <c r="AL182" i="2"/>
  <c r="AN182" i="2" s="1"/>
  <c r="AE182" i="2"/>
  <c r="R182" i="2"/>
  <c r="L182" i="2"/>
  <c r="N182" i="2" s="1"/>
  <c r="O182" i="2" s="1"/>
  <c r="J182" i="2"/>
  <c r="E182" i="2"/>
  <c r="D182" i="2"/>
  <c r="AL181" i="2"/>
  <c r="AN181" i="2" s="1"/>
  <c r="AE181" i="2"/>
  <c r="AG181" i="2" s="1"/>
  <c r="AH181" i="2" s="1"/>
  <c r="R181" i="2"/>
  <c r="L181" i="2"/>
  <c r="N181" i="2" s="1"/>
  <c r="O181" i="2" s="1"/>
  <c r="J181" i="2"/>
  <c r="E181" i="2"/>
  <c r="D181" i="2"/>
  <c r="AL180" i="2"/>
  <c r="AN180" i="2" s="1"/>
  <c r="AE180" i="2"/>
  <c r="R180" i="2"/>
  <c r="L180" i="2"/>
  <c r="N180" i="2" s="1"/>
  <c r="O180" i="2" s="1"/>
  <c r="J180" i="2"/>
  <c r="E180" i="2"/>
  <c r="D180" i="2"/>
  <c r="AL179" i="2"/>
  <c r="AN179" i="2" s="1"/>
  <c r="AG179" i="2"/>
  <c r="AE179" i="2"/>
  <c r="R179" i="2"/>
  <c r="L179" i="2"/>
  <c r="N179" i="2" s="1"/>
  <c r="O179" i="2" s="1"/>
  <c r="J179" i="2"/>
  <c r="E179" i="2"/>
  <c r="D179" i="2"/>
  <c r="AL178" i="2"/>
  <c r="AN178" i="2" s="1"/>
  <c r="AE178" i="2"/>
  <c r="R178" i="2"/>
  <c r="L178" i="2"/>
  <c r="N178" i="2" s="1"/>
  <c r="O178" i="2" s="1"/>
  <c r="J178" i="2"/>
  <c r="E178" i="2"/>
  <c r="D178" i="2"/>
  <c r="AL177" i="2"/>
  <c r="AN177" i="2" s="1"/>
  <c r="AE177" i="2"/>
  <c r="AG177" i="2" s="1"/>
  <c r="AH177" i="2" s="1"/>
  <c r="R177" i="2"/>
  <c r="L177" i="2"/>
  <c r="N177" i="2" s="1"/>
  <c r="O177" i="2" s="1"/>
  <c r="J177" i="2"/>
  <c r="E177" i="2"/>
  <c r="D177" i="2"/>
  <c r="AL176" i="2"/>
  <c r="AN176" i="2" s="1"/>
  <c r="AE176" i="2"/>
  <c r="R176" i="2"/>
  <c r="L176" i="2"/>
  <c r="N176" i="2" s="1"/>
  <c r="O176" i="2" s="1"/>
  <c r="J176" i="2"/>
  <c r="E176" i="2"/>
  <c r="D176" i="2"/>
  <c r="AL175" i="2"/>
  <c r="AN175" i="2" s="1"/>
  <c r="AE175" i="2"/>
  <c r="R175" i="2"/>
  <c r="L175" i="2"/>
  <c r="N175" i="2" s="1"/>
  <c r="O175" i="2" s="1"/>
  <c r="J175" i="2"/>
  <c r="E175" i="2"/>
  <c r="D175" i="2"/>
  <c r="AL174" i="2"/>
  <c r="AN174" i="2" s="1"/>
  <c r="AE174" i="2"/>
  <c r="R174" i="2"/>
  <c r="L174" i="2"/>
  <c r="N174" i="2" s="1"/>
  <c r="O174" i="2" s="1"/>
  <c r="J174" i="2"/>
  <c r="E174" i="2"/>
  <c r="D174" i="2"/>
  <c r="AL173" i="2"/>
  <c r="AN173" i="2" s="1"/>
  <c r="AE173" i="2"/>
  <c r="R173" i="2"/>
  <c r="L173" i="2"/>
  <c r="N173" i="2" s="1"/>
  <c r="O173" i="2" s="1"/>
  <c r="J173" i="2"/>
  <c r="E173" i="2"/>
  <c r="D173" i="2"/>
  <c r="AL172" i="2"/>
  <c r="AN172" i="2" s="1"/>
  <c r="AG172" i="2"/>
  <c r="AH172" i="2" s="1"/>
  <c r="AE172" i="2"/>
  <c r="R172" i="2"/>
  <c r="L172" i="2"/>
  <c r="N172" i="2" s="1"/>
  <c r="O172" i="2" s="1"/>
  <c r="J172" i="2"/>
  <c r="E172" i="2"/>
  <c r="D172" i="2"/>
  <c r="AL171" i="2"/>
  <c r="AN171" i="2" s="1"/>
  <c r="AE171" i="2"/>
  <c r="AG171" i="2" s="1"/>
  <c r="AH171" i="2" s="1"/>
  <c r="R171" i="2"/>
  <c r="L171" i="2"/>
  <c r="N171" i="2" s="1"/>
  <c r="O171" i="2" s="1"/>
  <c r="J171" i="2"/>
  <c r="E171" i="2"/>
  <c r="D171" i="2"/>
  <c r="AL170" i="2"/>
  <c r="AN170" i="2" s="1"/>
  <c r="AE170" i="2"/>
  <c r="AG170" i="2" s="1"/>
  <c r="R170" i="2"/>
  <c r="L170" i="2"/>
  <c r="N170" i="2" s="1"/>
  <c r="O170" i="2" s="1"/>
  <c r="J170" i="2"/>
  <c r="E170" i="2"/>
  <c r="D170" i="2"/>
  <c r="AL169" i="2"/>
  <c r="AN169" i="2" s="1"/>
  <c r="AE169" i="2"/>
  <c r="R169" i="2"/>
  <c r="L169" i="2"/>
  <c r="N169" i="2" s="1"/>
  <c r="O169" i="2" s="1"/>
  <c r="J169" i="2"/>
  <c r="E169" i="2"/>
  <c r="D169" i="2"/>
  <c r="AL168" i="2"/>
  <c r="AN168" i="2" s="1"/>
  <c r="AE168" i="2"/>
  <c r="R168" i="2"/>
  <c r="L168" i="2"/>
  <c r="N168" i="2" s="1"/>
  <c r="O168" i="2" s="1"/>
  <c r="J168" i="2"/>
  <c r="E168" i="2"/>
  <c r="D168" i="2"/>
  <c r="AL167" i="2"/>
  <c r="AN167" i="2" s="1"/>
  <c r="AE167" i="2"/>
  <c r="R167" i="2"/>
  <c r="L167" i="2"/>
  <c r="N167" i="2" s="1"/>
  <c r="O167" i="2" s="1"/>
  <c r="J167" i="2"/>
  <c r="E167" i="2"/>
  <c r="D167" i="2"/>
  <c r="AL166" i="2"/>
  <c r="AN166" i="2" s="1"/>
  <c r="AE166" i="2"/>
  <c r="R166" i="2"/>
  <c r="N166" i="2"/>
  <c r="O166" i="2" s="1"/>
  <c r="L166" i="2"/>
  <c r="J166" i="2"/>
  <c r="E166" i="2"/>
  <c r="D166" i="2"/>
  <c r="AL165" i="2"/>
  <c r="AN165" i="2" s="1"/>
  <c r="AE165" i="2"/>
  <c r="R165" i="2"/>
  <c r="L165" i="2"/>
  <c r="N165" i="2" s="1"/>
  <c r="O165" i="2" s="1"/>
  <c r="J165" i="2"/>
  <c r="E165" i="2"/>
  <c r="D165" i="2"/>
  <c r="AL164" i="2"/>
  <c r="AN164" i="2" s="1"/>
  <c r="AE164" i="2"/>
  <c r="R164" i="2"/>
  <c r="L164" i="2"/>
  <c r="N164" i="2" s="1"/>
  <c r="O164" i="2" s="1"/>
  <c r="J164" i="2"/>
  <c r="E164" i="2"/>
  <c r="D164" i="2"/>
  <c r="AL163" i="2"/>
  <c r="AN163" i="2" s="1"/>
  <c r="AE163" i="2"/>
  <c r="AG163" i="2" s="1"/>
  <c r="AH163" i="2" s="1"/>
  <c r="R163" i="2"/>
  <c r="L163" i="2"/>
  <c r="N163" i="2" s="1"/>
  <c r="O163" i="2" s="1"/>
  <c r="J163" i="2"/>
  <c r="E163" i="2"/>
  <c r="D163" i="2"/>
  <c r="AL162" i="2"/>
  <c r="AN162" i="2" s="1"/>
  <c r="AE162" i="2"/>
  <c r="R162" i="2"/>
  <c r="L162" i="2"/>
  <c r="N162" i="2" s="1"/>
  <c r="O162" i="2" s="1"/>
  <c r="J162" i="2"/>
  <c r="E162" i="2"/>
  <c r="D162" i="2"/>
  <c r="AL161" i="2"/>
  <c r="AN161" i="2" s="1"/>
  <c r="AE161" i="2"/>
  <c r="AG161" i="2" s="1"/>
  <c r="AH161" i="2" s="1"/>
  <c r="R161" i="2"/>
  <c r="L161" i="2"/>
  <c r="N161" i="2" s="1"/>
  <c r="O161" i="2" s="1"/>
  <c r="J161" i="2"/>
  <c r="E161" i="2"/>
  <c r="D161" i="2"/>
  <c r="AL160" i="2"/>
  <c r="AN160" i="2" s="1"/>
  <c r="AE160" i="2"/>
  <c r="AG160" i="2" s="1"/>
  <c r="R160" i="2"/>
  <c r="N160" i="2"/>
  <c r="O160" i="2" s="1"/>
  <c r="L160" i="2"/>
  <c r="J160" i="2"/>
  <c r="E160" i="2"/>
  <c r="D160" i="2"/>
  <c r="AL159" i="2"/>
  <c r="AN159" i="2" s="1"/>
  <c r="AE159" i="2"/>
  <c r="R159" i="2"/>
  <c r="L159" i="2"/>
  <c r="N159" i="2" s="1"/>
  <c r="O159" i="2" s="1"/>
  <c r="J159" i="2"/>
  <c r="E159" i="2"/>
  <c r="D159" i="2"/>
  <c r="AL158" i="2"/>
  <c r="AN158" i="2" s="1"/>
  <c r="AE158" i="2"/>
  <c r="AG158" i="2" s="1"/>
  <c r="AH158" i="2" s="1"/>
  <c r="R158" i="2"/>
  <c r="L158" i="2"/>
  <c r="N158" i="2" s="1"/>
  <c r="O158" i="2" s="1"/>
  <c r="J158" i="2"/>
  <c r="E158" i="2"/>
  <c r="D158" i="2"/>
  <c r="AL157" i="2"/>
  <c r="AN157" i="2" s="1"/>
  <c r="AE157" i="2"/>
  <c r="R157" i="2"/>
  <c r="O157" i="2"/>
  <c r="L157" i="2"/>
  <c r="N157" i="2" s="1"/>
  <c r="J157" i="2"/>
  <c r="E157" i="2"/>
  <c r="D157" i="2"/>
  <c r="AL156" i="2"/>
  <c r="AN156" i="2" s="1"/>
  <c r="AE156" i="2"/>
  <c r="AG156" i="2" s="1"/>
  <c r="R156" i="2"/>
  <c r="L156" i="2"/>
  <c r="N156" i="2" s="1"/>
  <c r="O156" i="2" s="1"/>
  <c r="J156" i="2"/>
  <c r="E156" i="2"/>
  <c r="D156" i="2"/>
  <c r="AL155" i="2"/>
  <c r="AN155" i="2" s="1"/>
  <c r="AE155" i="2"/>
  <c r="AG155" i="2" s="1"/>
  <c r="R155" i="2"/>
  <c r="L155" i="2"/>
  <c r="N155" i="2" s="1"/>
  <c r="O155" i="2" s="1"/>
  <c r="J155" i="2"/>
  <c r="E155" i="2"/>
  <c r="D155" i="2"/>
  <c r="AL154" i="2"/>
  <c r="AN154" i="2" s="1"/>
  <c r="AE154" i="2"/>
  <c r="R154" i="2"/>
  <c r="L154" i="2"/>
  <c r="N154" i="2" s="1"/>
  <c r="O154" i="2" s="1"/>
  <c r="J154" i="2"/>
  <c r="E154" i="2"/>
  <c r="D154" i="2"/>
  <c r="AL153" i="2"/>
  <c r="AN153" i="2" s="1"/>
  <c r="AE153" i="2"/>
  <c r="AG153" i="2" s="1"/>
  <c r="R153" i="2"/>
  <c r="L153" i="2"/>
  <c r="N153" i="2" s="1"/>
  <c r="O153" i="2" s="1"/>
  <c r="J153" i="2"/>
  <c r="E153" i="2"/>
  <c r="D153" i="2"/>
  <c r="AL152" i="2"/>
  <c r="AN152" i="2" s="1"/>
  <c r="AE152" i="2"/>
  <c r="AG152" i="2" s="1"/>
  <c r="R152" i="2"/>
  <c r="L152" i="2"/>
  <c r="N152" i="2" s="1"/>
  <c r="O152" i="2" s="1"/>
  <c r="J152" i="2"/>
  <c r="E152" i="2"/>
  <c r="D152" i="2"/>
  <c r="AL151" i="2"/>
  <c r="AN151" i="2" s="1"/>
  <c r="AE151" i="2"/>
  <c r="R151" i="2"/>
  <c r="N151" i="2"/>
  <c r="O151" i="2" s="1"/>
  <c r="L151" i="2"/>
  <c r="J151" i="2"/>
  <c r="E151" i="2"/>
  <c r="D151" i="2"/>
  <c r="AL150" i="2"/>
  <c r="AN150" i="2" s="1"/>
  <c r="AE150" i="2"/>
  <c r="R150" i="2"/>
  <c r="L150" i="2"/>
  <c r="N150" i="2" s="1"/>
  <c r="O150" i="2" s="1"/>
  <c r="J150" i="2"/>
  <c r="E150" i="2"/>
  <c r="D150" i="2"/>
  <c r="AL149" i="2"/>
  <c r="AN149" i="2" s="1"/>
  <c r="AE149" i="2"/>
  <c r="AG149" i="2" s="1"/>
  <c r="R149" i="2"/>
  <c r="L149" i="2"/>
  <c r="N149" i="2" s="1"/>
  <c r="O149" i="2" s="1"/>
  <c r="J149" i="2"/>
  <c r="E149" i="2"/>
  <c r="D149" i="2"/>
  <c r="AL148" i="2"/>
  <c r="AN148" i="2" s="1"/>
  <c r="AE148" i="2"/>
  <c r="R148" i="2"/>
  <c r="L148" i="2"/>
  <c r="N148" i="2" s="1"/>
  <c r="O148" i="2" s="1"/>
  <c r="J148" i="2"/>
  <c r="E148" i="2"/>
  <c r="D148" i="2"/>
  <c r="AL147" i="2"/>
  <c r="AN147" i="2" s="1"/>
  <c r="AE147" i="2"/>
  <c r="R147" i="2"/>
  <c r="L147" i="2"/>
  <c r="N147" i="2" s="1"/>
  <c r="O147" i="2" s="1"/>
  <c r="J147" i="2"/>
  <c r="E147" i="2"/>
  <c r="D147" i="2"/>
  <c r="AL146" i="2"/>
  <c r="AN146" i="2" s="1"/>
  <c r="AE146" i="2"/>
  <c r="R146" i="2"/>
  <c r="L146" i="2"/>
  <c r="N146" i="2" s="1"/>
  <c r="O146" i="2" s="1"/>
  <c r="J146" i="2"/>
  <c r="E146" i="2"/>
  <c r="D146" i="2"/>
  <c r="AL145" i="2"/>
  <c r="AN145" i="2" s="1"/>
  <c r="AE145" i="2"/>
  <c r="R145" i="2"/>
  <c r="L145" i="2"/>
  <c r="N145" i="2" s="1"/>
  <c r="O145" i="2" s="1"/>
  <c r="J145" i="2"/>
  <c r="E145" i="2"/>
  <c r="D145" i="2"/>
  <c r="AL144" i="2"/>
  <c r="AN144" i="2" s="1"/>
  <c r="AE144" i="2"/>
  <c r="AG144" i="2" s="1"/>
  <c r="AH144" i="2" s="1"/>
  <c r="R144" i="2"/>
  <c r="L144" i="2"/>
  <c r="N144" i="2" s="1"/>
  <c r="O144" i="2" s="1"/>
  <c r="J144" i="2"/>
  <c r="E144" i="2"/>
  <c r="D144" i="2"/>
  <c r="AL143" i="2"/>
  <c r="AN143" i="2" s="1"/>
  <c r="AE143" i="2"/>
  <c r="R143" i="2"/>
  <c r="L143" i="2"/>
  <c r="N143" i="2" s="1"/>
  <c r="O143" i="2" s="1"/>
  <c r="J143" i="2"/>
  <c r="E143" i="2"/>
  <c r="D143" i="2"/>
  <c r="AL142" i="2"/>
  <c r="AN142" i="2" s="1"/>
  <c r="AE142" i="2"/>
  <c r="AG142" i="2" s="1"/>
  <c r="R142" i="2"/>
  <c r="L142" i="2"/>
  <c r="N142" i="2" s="1"/>
  <c r="O142" i="2" s="1"/>
  <c r="J142" i="2"/>
  <c r="E142" i="2"/>
  <c r="D142" i="2"/>
  <c r="AL141" i="2"/>
  <c r="AN141" i="2" s="1"/>
  <c r="AE141" i="2"/>
  <c r="R141" i="2"/>
  <c r="L141" i="2"/>
  <c r="N141" i="2" s="1"/>
  <c r="O141" i="2" s="1"/>
  <c r="J141" i="2"/>
  <c r="E141" i="2"/>
  <c r="D141" i="2"/>
  <c r="AL140" i="2"/>
  <c r="AN140" i="2" s="1"/>
  <c r="AE140" i="2"/>
  <c r="R140" i="2"/>
  <c r="N140" i="2"/>
  <c r="O140" i="2" s="1"/>
  <c r="L140" i="2"/>
  <c r="J140" i="2"/>
  <c r="E140" i="2"/>
  <c r="D140" i="2"/>
  <c r="AL139" i="2"/>
  <c r="AN139" i="2" s="1"/>
  <c r="AE139" i="2"/>
  <c r="R139" i="2"/>
  <c r="L139" i="2"/>
  <c r="N139" i="2" s="1"/>
  <c r="O139" i="2" s="1"/>
  <c r="J139" i="2"/>
  <c r="E139" i="2"/>
  <c r="D139" i="2"/>
  <c r="AL138" i="2"/>
  <c r="AN138" i="2" s="1"/>
  <c r="AE138" i="2"/>
  <c r="R138" i="2"/>
  <c r="L138" i="2"/>
  <c r="N138" i="2" s="1"/>
  <c r="O138" i="2" s="1"/>
  <c r="J138" i="2"/>
  <c r="E138" i="2"/>
  <c r="D138" i="2"/>
  <c r="AL137" i="2"/>
  <c r="AN137" i="2" s="1"/>
  <c r="AE137" i="2"/>
  <c r="AG137" i="2" s="1"/>
  <c r="AH137" i="2" s="1"/>
  <c r="R137" i="2"/>
  <c r="L137" i="2"/>
  <c r="N137" i="2" s="1"/>
  <c r="O137" i="2" s="1"/>
  <c r="J137" i="2"/>
  <c r="E137" i="2"/>
  <c r="D137" i="2"/>
  <c r="AL136" i="2"/>
  <c r="AN136" i="2" s="1"/>
  <c r="AE136" i="2"/>
  <c r="AG136" i="2" s="1"/>
  <c r="R136" i="2"/>
  <c r="L136" i="2"/>
  <c r="N136" i="2" s="1"/>
  <c r="O136" i="2" s="1"/>
  <c r="J136" i="2"/>
  <c r="E136" i="2"/>
  <c r="D136" i="2"/>
  <c r="AL135" i="2"/>
  <c r="AN135" i="2" s="1"/>
  <c r="AE135" i="2"/>
  <c r="R135" i="2"/>
  <c r="L135" i="2"/>
  <c r="N135" i="2" s="1"/>
  <c r="O135" i="2" s="1"/>
  <c r="J135" i="2"/>
  <c r="E135" i="2"/>
  <c r="D135" i="2"/>
  <c r="AL134" i="2"/>
  <c r="AN134" i="2" s="1"/>
  <c r="AP134" i="2" s="1"/>
  <c r="AE134" i="2"/>
  <c r="R134" i="2"/>
  <c r="L134" i="2"/>
  <c r="N134" i="2" s="1"/>
  <c r="O134" i="2" s="1"/>
  <c r="J134" i="2"/>
  <c r="E134" i="2"/>
  <c r="D134" i="2"/>
  <c r="AL133" i="2"/>
  <c r="AN133" i="2" s="1"/>
  <c r="AP133" i="2" s="1"/>
  <c r="AE133" i="2"/>
  <c r="R133" i="2"/>
  <c r="L133" i="2"/>
  <c r="N133" i="2" s="1"/>
  <c r="O133" i="2" s="1"/>
  <c r="J133" i="2"/>
  <c r="E133" i="2"/>
  <c r="D133" i="2"/>
  <c r="AL132" i="2"/>
  <c r="AN132" i="2" s="1"/>
  <c r="AE132" i="2"/>
  <c r="AG132" i="2" s="1"/>
  <c r="AH132" i="2" s="1"/>
  <c r="R132" i="2"/>
  <c r="L132" i="2"/>
  <c r="N132" i="2" s="1"/>
  <c r="O132" i="2" s="1"/>
  <c r="J132" i="2"/>
  <c r="E132" i="2"/>
  <c r="D132" i="2"/>
  <c r="AL131" i="2"/>
  <c r="AN131" i="2" s="1"/>
  <c r="AE131" i="2"/>
  <c r="R131" i="2"/>
  <c r="L131" i="2"/>
  <c r="N131" i="2" s="1"/>
  <c r="O131" i="2" s="1"/>
  <c r="J131" i="2"/>
  <c r="E131" i="2"/>
  <c r="D131" i="2"/>
  <c r="AL130" i="2"/>
  <c r="AN130" i="2" s="1"/>
  <c r="AE130" i="2"/>
  <c r="R130" i="2"/>
  <c r="L130" i="2"/>
  <c r="N130" i="2" s="1"/>
  <c r="O130" i="2" s="1"/>
  <c r="J130" i="2"/>
  <c r="E130" i="2"/>
  <c r="D130" i="2"/>
  <c r="AL129" i="2"/>
  <c r="AN129" i="2" s="1"/>
  <c r="AE129" i="2"/>
  <c r="R129" i="2"/>
  <c r="L129" i="2"/>
  <c r="N129" i="2" s="1"/>
  <c r="O129" i="2" s="1"/>
  <c r="J129" i="2"/>
  <c r="E129" i="2"/>
  <c r="D129" i="2"/>
  <c r="AL128" i="2"/>
  <c r="AN128" i="2" s="1"/>
  <c r="AG128" i="2"/>
  <c r="AE128" i="2"/>
  <c r="R128" i="2"/>
  <c r="L128" i="2"/>
  <c r="N128" i="2" s="1"/>
  <c r="O128" i="2" s="1"/>
  <c r="J128" i="2"/>
  <c r="E128" i="2"/>
  <c r="D128" i="2"/>
  <c r="AL127" i="2"/>
  <c r="AN127" i="2" s="1"/>
  <c r="AE127" i="2"/>
  <c r="AG127" i="2" s="1"/>
  <c r="AH127" i="2" s="1"/>
  <c r="R127" i="2"/>
  <c r="L127" i="2"/>
  <c r="N127" i="2" s="1"/>
  <c r="O127" i="2" s="1"/>
  <c r="J127" i="2"/>
  <c r="E127" i="2"/>
  <c r="D127" i="2"/>
  <c r="AL126" i="2"/>
  <c r="AN126" i="2" s="1"/>
  <c r="AE126" i="2"/>
  <c r="R126" i="2"/>
  <c r="L126" i="2"/>
  <c r="N126" i="2" s="1"/>
  <c r="O126" i="2" s="1"/>
  <c r="J126" i="2"/>
  <c r="E126" i="2"/>
  <c r="D126" i="2"/>
  <c r="AL125" i="2"/>
  <c r="AN125" i="2" s="1"/>
  <c r="AE125" i="2"/>
  <c r="R125" i="2"/>
  <c r="L125" i="2"/>
  <c r="N125" i="2" s="1"/>
  <c r="O125" i="2" s="1"/>
  <c r="J125" i="2"/>
  <c r="E125" i="2"/>
  <c r="D125" i="2"/>
  <c r="AL124" i="2"/>
  <c r="AN124" i="2" s="1"/>
  <c r="AE124" i="2"/>
  <c r="R124" i="2"/>
  <c r="L124" i="2"/>
  <c r="N124" i="2" s="1"/>
  <c r="O124" i="2" s="1"/>
  <c r="J124" i="2"/>
  <c r="E124" i="2"/>
  <c r="D124" i="2"/>
  <c r="AL123" i="2"/>
  <c r="AN123" i="2" s="1"/>
  <c r="AE123" i="2"/>
  <c r="R123" i="2"/>
  <c r="L123" i="2"/>
  <c r="N123" i="2" s="1"/>
  <c r="O123" i="2" s="1"/>
  <c r="J123" i="2"/>
  <c r="E123" i="2"/>
  <c r="D123" i="2"/>
  <c r="AL122" i="2"/>
  <c r="AN122" i="2" s="1"/>
  <c r="AE122" i="2"/>
  <c r="R122" i="2"/>
  <c r="L122" i="2"/>
  <c r="N122" i="2" s="1"/>
  <c r="O122" i="2" s="1"/>
  <c r="J122" i="2"/>
  <c r="E122" i="2"/>
  <c r="D122" i="2"/>
  <c r="AL121" i="2"/>
  <c r="AN121" i="2" s="1"/>
  <c r="AE121" i="2"/>
  <c r="R121" i="2"/>
  <c r="N121" i="2"/>
  <c r="O121" i="2" s="1"/>
  <c r="L121" i="2"/>
  <c r="J121" i="2"/>
  <c r="E121" i="2"/>
  <c r="D121" i="2"/>
  <c r="AL120" i="2"/>
  <c r="AN120" i="2" s="1"/>
  <c r="AE120" i="2"/>
  <c r="R120" i="2"/>
  <c r="L120" i="2"/>
  <c r="N120" i="2" s="1"/>
  <c r="O120" i="2" s="1"/>
  <c r="J120" i="2"/>
  <c r="E120" i="2"/>
  <c r="D120" i="2"/>
  <c r="AL119" i="2"/>
  <c r="AN119" i="2" s="1"/>
  <c r="AE119" i="2"/>
  <c r="R119" i="2"/>
  <c r="L119" i="2"/>
  <c r="N119" i="2" s="1"/>
  <c r="O119" i="2" s="1"/>
  <c r="J119" i="2"/>
  <c r="E119" i="2"/>
  <c r="D119" i="2"/>
  <c r="AL118" i="2"/>
  <c r="AN118" i="2" s="1"/>
  <c r="AE118" i="2"/>
  <c r="AG118" i="2" s="1"/>
  <c r="AH118" i="2" s="1"/>
  <c r="R118" i="2"/>
  <c r="L118" i="2"/>
  <c r="N118" i="2" s="1"/>
  <c r="O118" i="2" s="1"/>
  <c r="J118" i="2"/>
  <c r="E118" i="2"/>
  <c r="D118" i="2"/>
  <c r="AL117" i="2"/>
  <c r="AN117" i="2" s="1"/>
  <c r="AG117" i="2"/>
  <c r="AH117" i="2" s="1"/>
  <c r="AE117" i="2"/>
  <c r="R117" i="2"/>
  <c r="L117" i="2"/>
  <c r="N117" i="2" s="1"/>
  <c r="O117" i="2" s="1"/>
  <c r="J117" i="2"/>
  <c r="E117" i="2"/>
  <c r="D117" i="2"/>
  <c r="AL116" i="2"/>
  <c r="AN116" i="2" s="1"/>
  <c r="AP116" i="2" s="1"/>
  <c r="AQ116" i="2" s="1"/>
  <c r="AE116" i="2"/>
  <c r="AG116" i="2" s="1"/>
  <c r="AH116" i="2" s="1"/>
  <c r="R116" i="2"/>
  <c r="L116" i="2"/>
  <c r="N116" i="2" s="1"/>
  <c r="O116" i="2" s="1"/>
  <c r="J116" i="2"/>
  <c r="E116" i="2"/>
  <c r="D116" i="2"/>
  <c r="AL115" i="2"/>
  <c r="AN115" i="2" s="1"/>
  <c r="AG115" i="2"/>
  <c r="AH115" i="2" s="1"/>
  <c r="AE115" i="2"/>
  <c r="R115" i="2"/>
  <c r="L115" i="2"/>
  <c r="N115" i="2" s="1"/>
  <c r="O115" i="2" s="1"/>
  <c r="J115" i="2"/>
  <c r="E115" i="2"/>
  <c r="D115" i="2"/>
  <c r="AL114" i="2"/>
  <c r="AN114" i="2" s="1"/>
  <c r="AP114" i="2" s="1"/>
  <c r="AG114" i="2"/>
  <c r="AE114" i="2"/>
  <c r="AH114" i="2" s="1"/>
  <c r="R114" i="2"/>
  <c r="L114" i="2"/>
  <c r="N114" i="2" s="1"/>
  <c r="O114" i="2" s="1"/>
  <c r="J114" i="2"/>
  <c r="E114" i="2"/>
  <c r="D114" i="2"/>
  <c r="AL113" i="2"/>
  <c r="AN113" i="2" s="1"/>
  <c r="AG113" i="2"/>
  <c r="AH113" i="2" s="1"/>
  <c r="AE113" i="2"/>
  <c r="R113" i="2"/>
  <c r="L113" i="2"/>
  <c r="N113" i="2" s="1"/>
  <c r="O113" i="2" s="1"/>
  <c r="J113" i="2"/>
  <c r="E113" i="2"/>
  <c r="D113" i="2"/>
  <c r="AL112" i="2"/>
  <c r="AN112" i="2" s="1"/>
  <c r="AG112" i="2"/>
  <c r="AH112" i="2" s="1"/>
  <c r="AE112" i="2"/>
  <c r="R112" i="2"/>
  <c r="L112" i="2"/>
  <c r="N112" i="2" s="1"/>
  <c r="O112" i="2" s="1"/>
  <c r="J112" i="2"/>
  <c r="E112" i="2"/>
  <c r="D112" i="2"/>
  <c r="AL111" i="2"/>
  <c r="AN111" i="2" s="1"/>
  <c r="AE111" i="2"/>
  <c r="AG111" i="2" s="1"/>
  <c r="AH111" i="2" s="1"/>
  <c r="R111" i="2"/>
  <c r="L111" i="2"/>
  <c r="N111" i="2" s="1"/>
  <c r="O111" i="2" s="1"/>
  <c r="J111" i="2"/>
  <c r="E111" i="2"/>
  <c r="D111" i="2"/>
  <c r="AL110" i="2"/>
  <c r="AN110" i="2" s="1"/>
  <c r="AH110" i="2"/>
  <c r="AG110" i="2"/>
  <c r="AE110" i="2"/>
  <c r="R110" i="2"/>
  <c r="L110" i="2"/>
  <c r="N110" i="2" s="1"/>
  <c r="O110" i="2" s="1"/>
  <c r="J110" i="2"/>
  <c r="E110" i="2"/>
  <c r="D110" i="2"/>
  <c r="AL109" i="2"/>
  <c r="AN109" i="2" s="1"/>
  <c r="AG109" i="2"/>
  <c r="AH109" i="2" s="1"/>
  <c r="AE109" i="2"/>
  <c r="R109" i="2"/>
  <c r="L109" i="2"/>
  <c r="N109" i="2" s="1"/>
  <c r="O109" i="2" s="1"/>
  <c r="J109" i="2"/>
  <c r="E109" i="2"/>
  <c r="D109" i="2"/>
  <c r="AL108" i="2"/>
  <c r="AN108" i="2" s="1"/>
  <c r="AG108" i="2"/>
  <c r="AH108" i="2" s="1"/>
  <c r="AE108" i="2"/>
  <c r="R108" i="2"/>
  <c r="L108" i="2"/>
  <c r="N108" i="2" s="1"/>
  <c r="O108" i="2" s="1"/>
  <c r="J108" i="2"/>
  <c r="E108" i="2"/>
  <c r="D108" i="2"/>
  <c r="AL107" i="2"/>
  <c r="AN107" i="2" s="1"/>
  <c r="AG107" i="2"/>
  <c r="AH107" i="2" s="1"/>
  <c r="AE107" i="2"/>
  <c r="R107" i="2"/>
  <c r="L107" i="2"/>
  <c r="N107" i="2" s="1"/>
  <c r="O107" i="2" s="1"/>
  <c r="J107" i="2"/>
  <c r="E107" i="2"/>
  <c r="D107" i="2"/>
  <c r="AL106" i="2"/>
  <c r="AN106" i="2" s="1"/>
  <c r="AE106" i="2"/>
  <c r="AG106" i="2" s="1"/>
  <c r="AH106" i="2" s="1"/>
  <c r="R106" i="2"/>
  <c r="L106" i="2"/>
  <c r="N106" i="2" s="1"/>
  <c r="O106" i="2" s="1"/>
  <c r="J106" i="2"/>
  <c r="E106" i="2"/>
  <c r="D106" i="2"/>
  <c r="AL105" i="2"/>
  <c r="AN105" i="2" s="1"/>
  <c r="AG105" i="2"/>
  <c r="AH105" i="2" s="1"/>
  <c r="AE105" i="2"/>
  <c r="R105" i="2"/>
  <c r="L105" i="2"/>
  <c r="N105" i="2" s="1"/>
  <c r="O105" i="2" s="1"/>
  <c r="J105" i="2"/>
  <c r="E105" i="2"/>
  <c r="D105" i="2"/>
  <c r="AL104" i="2"/>
  <c r="AN104" i="2" s="1"/>
  <c r="AE104" i="2"/>
  <c r="AG104" i="2" s="1"/>
  <c r="AH104" i="2" s="1"/>
  <c r="R104" i="2"/>
  <c r="L104" i="2"/>
  <c r="N104" i="2" s="1"/>
  <c r="O104" i="2" s="1"/>
  <c r="J104" i="2"/>
  <c r="E104" i="2"/>
  <c r="D104" i="2"/>
  <c r="AL103" i="2"/>
  <c r="AN103" i="2" s="1"/>
  <c r="AG103" i="2"/>
  <c r="AH103" i="2" s="1"/>
  <c r="AE103" i="2"/>
  <c r="R103" i="2"/>
  <c r="L103" i="2"/>
  <c r="N103" i="2" s="1"/>
  <c r="O103" i="2" s="1"/>
  <c r="J103" i="2"/>
  <c r="E103" i="2"/>
  <c r="D103" i="2"/>
  <c r="AL102" i="2"/>
  <c r="AN102" i="2" s="1"/>
  <c r="AP102" i="2" s="1"/>
  <c r="AQ102" i="2" s="1"/>
  <c r="AE102" i="2"/>
  <c r="AG102" i="2" s="1"/>
  <c r="AH102" i="2" s="1"/>
  <c r="R102" i="2"/>
  <c r="L102" i="2"/>
  <c r="N102" i="2" s="1"/>
  <c r="O102" i="2" s="1"/>
  <c r="J102" i="2"/>
  <c r="E102" i="2"/>
  <c r="D102" i="2"/>
  <c r="AL101" i="2"/>
  <c r="AN101" i="2" s="1"/>
  <c r="AE101" i="2"/>
  <c r="AG101" i="2" s="1"/>
  <c r="AH101" i="2" s="1"/>
  <c r="R101" i="2"/>
  <c r="L101" i="2"/>
  <c r="N101" i="2" s="1"/>
  <c r="O101" i="2" s="1"/>
  <c r="J101" i="2"/>
  <c r="E101" i="2"/>
  <c r="D101" i="2"/>
  <c r="AL100" i="2"/>
  <c r="AN100" i="2" s="1"/>
  <c r="AG100" i="2"/>
  <c r="AH100" i="2" s="1"/>
  <c r="AE100" i="2"/>
  <c r="R100" i="2"/>
  <c r="L100" i="2"/>
  <c r="N100" i="2" s="1"/>
  <c r="O100" i="2" s="1"/>
  <c r="J100" i="2"/>
  <c r="E100" i="2"/>
  <c r="D100" i="2"/>
  <c r="AL99" i="2"/>
  <c r="AN99" i="2" s="1"/>
  <c r="AE99" i="2"/>
  <c r="AG99" i="2" s="1"/>
  <c r="AH99" i="2" s="1"/>
  <c r="R99" i="2"/>
  <c r="L99" i="2"/>
  <c r="N99" i="2" s="1"/>
  <c r="O99" i="2" s="1"/>
  <c r="J99" i="2"/>
  <c r="E99" i="2"/>
  <c r="D99" i="2"/>
  <c r="AL98" i="2"/>
  <c r="AN98" i="2" s="1"/>
  <c r="AG98" i="2"/>
  <c r="AH98" i="2" s="1"/>
  <c r="AE98" i="2"/>
  <c r="R98" i="2"/>
  <c r="L98" i="2"/>
  <c r="N98" i="2" s="1"/>
  <c r="O98" i="2" s="1"/>
  <c r="J98" i="2"/>
  <c r="E98" i="2"/>
  <c r="D98" i="2"/>
  <c r="AL97" i="2"/>
  <c r="AN97" i="2" s="1"/>
  <c r="AE97" i="2"/>
  <c r="AG97" i="2" s="1"/>
  <c r="AH97" i="2" s="1"/>
  <c r="R97" i="2"/>
  <c r="L97" i="2"/>
  <c r="N97" i="2" s="1"/>
  <c r="O97" i="2" s="1"/>
  <c r="J97" i="2"/>
  <c r="E97" i="2"/>
  <c r="D97" i="2"/>
  <c r="AL96" i="2"/>
  <c r="AN96" i="2" s="1"/>
  <c r="AE96" i="2"/>
  <c r="AG96" i="2" s="1"/>
  <c r="AH96" i="2" s="1"/>
  <c r="R96" i="2"/>
  <c r="L96" i="2"/>
  <c r="N96" i="2" s="1"/>
  <c r="O96" i="2" s="1"/>
  <c r="J96" i="2"/>
  <c r="E96" i="2"/>
  <c r="D96" i="2"/>
  <c r="AL95" i="2"/>
  <c r="AN95" i="2" s="1"/>
  <c r="AE95" i="2"/>
  <c r="AG95" i="2" s="1"/>
  <c r="AH95" i="2" s="1"/>
  <c r="R95" i="2"/>
  <c r="L95" i="2"/>
  <c r="N95" i="2" s="1"/>
  <c r="O95" i="2" s="1"/>
  <c r="J95" i="2"/>
  <c r="E95" i="2"/>
  <c r="D95" i="2"/>
  <c r="AL94" i="2"/>
  <c r="AN94" i="2" s="1"/>
  <c r="AP94" i="2" s="1"/>
  <c r="AE94" i="2"/>
  <c r="AG94" i="2" s="1"/>
  <c r="AH94" i="2" s="1"/>
  <c r="R94" i="2"/>
  <c r="L94" i="2"/>
  <c r="N94" i="2" s="1"/>
  <c r="O94" i="2" s="1"/>
  <c r="J94" i="2"/>
  <c r="E94" i="2"/>
  <c r="D94" i="2"/>
  <c r="AL93" i="2"/>
  <c r="AN93" i="2" s="1"/>
  <c r="AP93" i="2" s="1"/>
  <c r="AG93" i="2"/>
  <c r="AH93" i="2" s="1"/>
  <c r="AE93" i="2"/>
  <c r="R93" i="2"/>
  <c r="L93" i="2"/>
  <c r="N93" i="2" s="1"/>
  <c r="O93" i="2" s="1"/>
  <c r="J93" i="2"/>
  <c r="E93" i="2"/>
  <c r="D93" i="2"/>
  <c r="AL92" i="2"/>
  <c r="AN92" i="2" s="1"/>
  <c r="AP92" i="2" s="1"/>
  <c r="AE92" i="2"/>
  <c r="AG92" i="2" s="1"/>
  <c r="AH92" i="2" s="1"/>
  <c r="R92" i="2"/>
  <c r="L92" i="2"/>
  <c r="N92" i="2" s="1"/>
  <c r="O92" i="2" s="1"/>
  <c r="J92" i="2"/>
  <c r="E92" i="2"/>
  <c r="D92" i="2"/>
  <c r="AL91" i="2"/>
  <c r="AN91" i="2" s="1"/>
  <c r="AE91" i="2"/>
  <c r="AG91" i="2" s="1"/>
  <c r="AH91" i="2" s="1"/>
  <c r="R91" i="2"/>
  <c r="L91" i="2"/>
  <c r="N91" i="2" s="1"/>
  <c r="O91" i="2" s="1"/>
  <c r="J91" i="2"/>
  <c r="E91" i="2"/>
  <c r="D91" i="2"/>
  <c r="AL90" i="2"/>
  <c r="AN90" i="2" s="1"/>
  <c r="AG90" i="2"/>
  <c r="AH90" i="2" s="1"/>
  <c r="AE90" i="2"/>
  <c r="R90" i="2"/>
  <c r="L90" i="2"/>
  <c r="N90" i="2" s="1"/>
  <c r="O90" i="2" s="1"/>
  <c r="J90" i="2"/>
  <c r="E90" i="2"/>
  <c r="D90" i="2"/>
  <c r="AL89" i="2"/>
  <c r="AN89" i="2" s="1"/>
  <c r="AG89" i="2"/>
  <c r="AE89" i="2"/>
  <c r="AH89" i="2" s="1"/>
  <c r="R89" i="2"/>
  <c r="L89" i="2"/>
  <c r="N89" i="2" s="1"/>
  <c r="O89" i="2" s="1"/>
  <c r="J89" i="2"/>
  <c r="E89" i="2"/>
  <c r="D89" i="2"/>
  <c r="AL88" i="2"/>
  <c r="AN88" i="2" s="1"/>
  <c r="AP88" i="2" s="1"/>
  <c r="AQ88" i="2" s="1"/>
  <c r="AG88" i="2"/>
  <c r="AH88" i="2" s="1"/>
  <c r="AE88" i="2"/>
  <c r="R88" i="2"/>
  <c r="L88" i="2"/>
  <c r="N88" i="2" s="1"/>
  <c r="O88" i="2" s="1"/>
  <c r="J88" i="2"/>
  <c r="E88" i="2"/>
  <c r="D88" i="2"/>
  <c r="AL87" i="2"/>
  <c r="AN87" i="2" s="1"/>
  <c r="AP87" i="2" s="1"/>
  <c r="AE87" i="2"/>
  <c r="AG87" i="2" s="1"/>
  <c r="AH87" i="2" s="1"/>
  <c r="R87" i="2"/>
  <c r="L87" i="2"/>
  <c r="N87" i="2" s="1"/>
  <c r="O87" i="2" s="1"/>
  <c r="J87" i="2"/>
  <c r="E87" i="2"/>
  <c r="D87" i="2"/>
  <c r="AL86" i="2"/>
  <c r="AN86" i="2" s="1"/>
  <c r="AP86" i="2" s="1"/>
  <c r="AE86" i="2"/>
  <c r="R86" i="2"/>
  <c r="L86" i="2"/>
  <c r="N86" i="2" s="1"/>
  <c r="O86" i="2" s="1"/>
  <c r="J86" i="2"/>
  <c r="E86" i="2"/>
  <c r="D86" i="2"/>
  <c r="AL85" i="2"/>
  <c r="AN85" i="2" s="1"/>
  <c r="AG85" i="2"/>
  <c r="AH85" i="2" s="1"/>
  <c r="AE85" i="2"/>
  <c r="R85" i="2"/>
  <c r="L85" i="2"/>
  <c r="N85" i="2" s="1"/>
  <c r="O85" i="2" s="1"/>
  <c r="J85" i="2"/>
  <c r="E85" i="2"/>
  <c r="D85" i="2"/>
  <c r="AL84" i="2"/>
  <c r="AN84" i="2" s="1"/>
  <c r="AG84" i="2"/>
  <c r="AE84" i="2"/>
  <c r="AH84" i="2" s="1"/>
  <c r="R84" i="2"/>
  <c r="L84" i="2"/>
  <c r="N84" i="2" s="1"/>
  <c r="O84" i="2" s="1"/>
  <c r="J84" i="2"/>
  <c r="E84" i="2"/>
  <c r="D84" i="2"/>
  <c r="AL83" i="2"/>
  <c r="AN83" i="2" s="1"/>
  <c r="AE83" i="2"/>
  <c r="AG83" i="2" s="1"/>
  <c r="AH83" i="2" s="1"/>
  <c r="R83" i="2"/>
  <c r="L83" i="2"/>
  <c r="N83" i="2" s="1"/>
  <c r="O83" i="2" s="1"/>
  <c r="J83" i="2"/>
  <c r="E83" i="2"/>
  <c r="D83" i="2"/>
  <c r="AL82" i="2"/>
  <c r="AN82" i="2" s="1"/>
  <c r="AE82" i="2"/>
  <c r="R82" i="2"/>
  <c r="L82" i="2"/>
  <c r="N82" i="2" s="1"/>
  <c r="O82" i="2" s="1"/>
  <c r="J82" i="2"/>
  <c r="E82" i="2"/>
  <c r="D82" i="2"/>
  <c r="AL81" i="2"/>
  <c r="AN81" i="2" s="1"/>
  <c r="AP81" i="2" s="1"/>
  <c r="AG81" i="2"/>
  <c r="AH81" i="2" s="1"/>
  <c r="AE81" i="2"/>
  <c r="R81" i="2"/>
  <c r="L81" i="2"/>
  <c r="N81" i="2" s="1"/>
  <c r="O81" i="2" s="1"/>
  <c r="J81" i="2"/>
  <c r="E81" i="2"/>
  <c r="D81" i="2"/>
  <c r="AL80" i="2"/>
  <c r="AN80" i="2" s="1"/>
  <c r="AG80" i="2"/>
  <c r="AH80" i="2" s="1"/>
  <c r="AE80" i="2"/>
  <c r="R80" i="2"/>
  <c r="L80" i="2"/>
  <c r="N80" i="2" s="1"/>
  <c r="O80" i="2" s="1"/>
  <c r="J80" i="2"/>
  <c r="E80" i="2"/>
  <c r="D80" i="2"/>
  <c r="AL79" i="2"/>
  <c r="AN79" i="2" s="1"/>
  <c r="AG79" i="2"/>
  <c r="AH79" i="2" s="1"/>
  <c r="AE79" i="2"/>
  <c r="R79" i="2"/>
  <c r="L79" i="2"/>
  <c r="N79" i="2" s="1"/>
  <c r="O79" i="2" s="1"/>
  <c r="J79" i="2"/>
  <c r="E79" i="2"/>
  <c r="D79" i="2"/>
  <c r="AL78" i="2"/>
  <c r="AN78" i="2" s="1"/>
  <c r="AG78" i="2"/>
  <c r="AH78" i="2" s="1"/>
  <c r="AE78" i="2"/>
  <c r="R78" i="2"/>
  <c r="L78" i="2"/>
  <c r="N78" i="2" s="1"/>
  <c r="O78" i="2" s="1"/>
  <c r="J78" i="2"/>
  <c r="E78" i="2"/>
  <c r="D78" i="2"/>
  <c r="AL77" i="2"/>
  <c r="AN77" i="2" s="1"/>
  <c r="AG77" i="2"/>
  <c r="AH77" i="2" s="1"/>
  <c r="AE77" i="2"/>
  <c r="R77" i="2"/>
  <c r="L77" i="2"/>
  <c r="N77" i="2" s="1"/>
  <c r="O77" i="2" s="1"/>
  <c r="J77" i="2"/>
  <c r="E77" i="2"/>
  <c r="D77" i="2"/>
  <c r="AL76" i="2"/>
  <c r="AN76" i="2" s="1"/>
  <c r="AE76" i="2"/>
  <c r="AG76" i="2" s="1"/>
  <c r="AH76" i="2" s="1"/>
  <c r="R76" i="2"/>
  <c r="L76" i="2"/>
  <c r="N76" i="2" s="1"/>
  <c r="O76" i="2" s="1"/>
  <c r="J76" i="2"/>
  <c r="E76" i="2"/>
  <c r="D76" i="2"/>
  <c r="AL75" i="2"/>
  <c r="AN75" i="2" s="1"/>
  <c r="AH75" i="2"/>
  <c r="AG75" i="2"/>
  <c r="AE75" i="2"/>
  <c r="R75" i="2"/>
  <c r="L75" i="2"/>
  <c r="N75" i="2" s="1"/>
  <c r="O75" i="2" s="1"/>
  <c r="J75" i="2"/>
  <c r="E75" i="2"/>
  <c r="D75" i="2"/>
  <c r="AL74" i="2"/>
  <c r="AN74" i="2" s="1"/>
  <c r="AP74" i="2" s="1"/>
  <c r="AE74" i="2"/>
  <c r="AG74" i="2" s="1"/>
  <c r="AH74" i="2" s="1"/>
  <c r="R74" i="2"/>
  <c r="L74" i="2"/>
  <c r="N74" i="2" s="1"/>
  <c r="O74" i="2" s="1"/>
  <c r="J74" i="2"/>
  <c r="E74" i="2"/>
  <c r="D74" i="2"/>
  <c r="AL73" i="2"/>
  <c r="AN73" i="2" s="1"/>
  <c r="AE73" i="2"/>
  <c r="AG73" i="2" s="1"/>
  <c r="AH73" i="2" s="1"/>
  <c r="R73" i="2"/>
  <c r="L73" i="2"/>
  <c r="N73" i="2" s="1"/>
  <c r="O73" i="2" s="1"/>
  <c r="J73" i="2"/>
  <c r="E73" i="2"/>
  <c r="D73" i="2"/>
  <c r="AL72" i="2"/>
  <c r="AN72" i="2" s="1"/>
  <c r="AP72" i="2" s="1"/>
  <c r="AQ72" i="2" s="1"/>
  <c r="AE72" i="2"/>
  <c r="R72" i="2"/>
  <c r="L72" i="2"/>
  <c r="N72" i="2" s="1"/>
  <c r="O72" i="2" s="1"/>
  <c r="J72" i="2"/>
  <c r="E72" i="2"/>
  <c r="D72" i="2"/>
  <c r="AL71" i="2"/>
  <c r="AN71" i="2" s="1"/>
  <c r="AG71" i="2"/>
  <c r="AH71" i="2" s="1"/>
  <c r="AE71" i="2"/>
  <c r="R71" i="2"/>
  <c r="L71" i="2"/>
  <c r="N71" i="2" s="1"/>
  <c r="O71" i="2" s="1"/>
  <c r="J71" i="2"/>
  <c r="E71" i="2"/>
  <c r="D71" i="2"/>
  <c r="AL70" i="2"/>
  <c r="AN70" i="2" s="1"/>
  <c r="AG70" i="2"/>
  <c r="AH70" i="2" s="1"/>
  <c r="AE70" i="2"/>
  <c r="R70" i="2"/>
  <c r="L70" i="2"/>
  <c r="N70" i="2" s="1"/>
  <c r="O70" i="2" s="1"/>
  <c r="J70" i="2"/>
  <c r="E70" i="2"/>
  <c r="D70" i="2"/>
  <c r="AL69" i="2"/>
  <c r="AN69" i="2" s="1"/>
  <c r="AE69" i="2"/>
  <c r="AG69" i="2" s="1"/>
  <c r="AH69" i="2" s="1"/>
  <c r="R69" i="2"/>
  <c r="L69" i="2"/>
  <c r="N69" i="2" s="1"/>
  <c r="O69" i="2" s="1"/>
  <c r="J69" i="2"/>
  <c r="E69" i="2"/>
  <c r="D69" i="2"/>
  <c r="AL68" i="2"/>
  <c r="AN68" i="2" s="1"/>
  <c r="AE68" i="2"/>
  <c r="AG68" i="2" s="1"/>
  <c r="AH68" i="2" s="1"/>
  <c r="R68" i="2"/>
  <c r="L68" i="2"/>
  <c r="N68" i="2" s="1"/>
  <c r="O68" i="2" s="1"/>
  <c r="J68" i="2"/>
  <c r="E68" i="2"/>
  <c r="D68" i="2"/>
  <c r="AL67" i="2"/>
  <c r="AN67" i="2" s="1"/>
  <c r="AG67" i="2"/>
  <c r="AH67" i="2" s="1"/>
  <c r="AE67" i="2"/>
  <c r="R67" i="2"/>
  <c r="L67" i="2"/>
  <c r="N67" i="2" s="1"/>
  <c r="O67" i="2" s="1"/>
  <c r="J67" i="2"/>
  <c r="E67" i="2"/>
  <c r="D67" i="2"/>
  <c r="AL66" i="2"/>
  <c r="AN66" i="2" s="1"/>
  <c r="AG66" i="2"/>
  <c r="AE66" i="2"/>
  <c r="AH66" i="2" s="1"/>
  <c r="R66" i="2"/>
  <c r="L66" i="2"/>
  <c r="N66" i="2" s="1"/>
  <c r="O66" i="2" s="1"/>
  <c r="J66" i="2"/>
  <c r="E66" i="2"/>
  <c r="D66" i="2"/>
  <c r="AL65" i="2"/>
  <c r="AN65" i="2" s="1"/>
  <c r="AE65" i="2"/>
  <c r="AG65" i="2" s="1"/>
  <c r="AH65" i="2" s="1"/>
  <c r="R65" i="2"/>
  <c r="L65" i="2"/>
  <c r="N65" i="2" s="1"/>
  <c r="O65" i="2" s="1"/>
  <c r="J65" i="2"/>
  <c r="E65" i="2"/>
  <c r="D65" i="2"/>
  <c r="AL64" i="2"/>
  <c r="AN64" i="2" s="1"/>
  <c r="AP64" i="2" s="1"/>
  <c r="AE64" i="2"/>
  <c r="R64" i="2"/>
  <c r="L64" i="2"/>
  <c r="N64" i="2" s="1"/>
  <c r="O64" i="2" s="1"/>
  <c r="J64" i="2"/>
  <c r="E64" i="2"/>
  <c r="D64" i="2"/>
  <c r="AL63" i="2"/>
  <c r="AN63" i="2" s="1"/>
  <c r="AG63" i="2"/>
  <c r="AH63" i="2" s="1"/>
  <c r="AE63" i="2"/>
  <c r="R63" i="2"/>
  <c r="L63" i="2"/>
  <c r="N63" i="2" s="1"/>
  <c r="O63" i="2" s="1"/>
  <c r="J63" i="2"/>
  <c r="E63" i="2"/>
  <c r="D63" i="2"/>
  <c r="AL62" i="2"/>
  <c r="AN62" i="2" s="1"/>
  <c r="AE62" i="2"/>
  <c r="AG62" i="2" s="1"/>
  <c r="R62" i="2"/>
  <c r="L62" i="2"/>
  <c r="N62" i="2" s="1"/>
  <c r="O62" i="2" s="1"/>
  <c r="J62" i="2"/>
  <c r="E62" i="2"/>
  <c r="D62" i="2"/>
  <c r="AL61" i="2"/>
  <c r="AN61" i="2" s="1"/>
  <c r="AE61" i="2"/>
  <c r="AG61" i="2" s="1"/>
  <c r="R61" i="2"/>
  <c r="L61" i="2"/>
  <c r="N61" i="2" s="1"/>
  <c r="O61" i="2" s="1"/>
  <c r="J61" i="2"/>
  <c r="E61" i="2"/>
  <c r="D61" i="2"/>
  <c r="AL60" i="2"/>
  <c r="AN60" i="2" s="1"/>
  <c r="AE60" i="2"/>
  <c r="AG60" i="2" s="1"/>
  <c r="R60" i="2"/>
  <c r="L60" i="2"/>
  <c r="N60" i="2" s="1"/>
  <c r="O60" i="2" s="1"/>
  <c r="J60" i="2"/>
  <c r="E60" i="2"/>
  <c r="D60" i="2"/>
  <c r="AL59" i="2"/>
  <c r="AN59" i="2" s="1"/>
  <c r="AE59" i="2"/>
  <c r="AG59" i="2" s="1"/>
  <c r="R59" i="2"/>
  <c r="L59" i="2"/>
  <c r="N59" i="2" s="1"/>
  <c r="O59" i="2" s="1"/>
  <c r="J59" i="2"/>
  <c r="E59" i="2"/>
  <c r="D59" i="2"/>
  <c r="AL58" i="2"/>
  <c r="AN58" i="2" s="1"/>
  <c r="AE58" i="2"/>
  <c r="AG58" i="2" s="1"/>
  <c r="R58" i="2"/>
  <c r="L58" i="2"/>
  <c r="N58" i="2" s="1"/>
  <c r="O58" i="2" s="1"/>
  <c r="J58" i="2"/>
  <c r="E58" i="2"/>
  <c r="D58" i="2"/>
  <c r="AL57" i="2"/>
  <c r="AN57" i="2" s="1"/>
  <c r="AE57" i="2"/>
  <c r="AG57" i="2" s="1"/>
  <c r="R57" i="2"/>
  <c r="L57" i="2"/>
  <c r="N57" i="2" s="1"/>
  <c r="O57" i="2" s="1"/>
  <c r="J57" i="2"/>
  <c r="E57" i="2"/>
  <c r="D57" i="2"/>
  <c r="AL56" i="2"/>
  <c r="AN56" i="2" s="1"/>
  <c r="AE56" i="2"/>
  <c r="AG56" i="2" s="1"/>
  <c r="R56" i="2"/>
  <c r="L56" i="2"/>
  <c r="N56" i="2" s="1"/>
  <c r="O56" i="2" s="1"/>
  <c r="J56" i="2"/>
  <c r="E56" i="2"/>
  <c r="D56" i="2"/>
  <c r="AL55" i="2"/>
  <c r="AN55" i="2" s="1"/>
  <c r="AE55" i="2"/>
  <c r="AG55" i="2" s="1"/>
  <c r="R55" i="2"/>
  <c r="L55" i="2"/>
  <c r="N55" i="2" s="1"/>
  <c r="O55" i="2" s="1"/>
  <c r="J55" i="2"/>
  <c r="E55" i="2"/>
  <c r="D55" i="2"/>
  <c r="AL54" i="2"/>
  <c r="AN54" i="2" s="1"/>
  <c r="AE54" i="2"/>
  <c r="AG54" i="2" s="1"/>
  <c r="R54" i="2"/>
  <c r="L54" i="2"/>
  <c r="N54" i="2" s="1"/>
  <c r="O54" i="2" s="1"/>
  <c r="J54" i="2"/>
  <c r="E54" i="2"/>
  <c r="D54" i="2"/>
  <c r="AL53" i="2"/>
  <c r="AN53" i="2" s="1"/>
  <c r="AE53" i="2"/>
  <c r="AG53" i="2" s="1"/>
  <c r="R53" i="2"/>
  <c r="L53" i="2"/>
  <c r="N53" i="2" s="1"/>
  <c r="O53" i="2" s="1"/>
  <c r="J53" i="2"/>
  <c r="E53" i="2"/>
  <c r="D53" i="2"/>
  <c r="AL52" i="2"/>
  <c r="AN52" i="2" s="1"/>
  <c r="AE52" i="2"/>
  <c r="AG52" i="2" s="1"/>
  <c r="R52" i="2"/>
  <c r="L52" i="2"/>
  <c r="N52" i="2" s="1"/>
  <c r="O52" i="2" s="1"/>
  <c r="J52" i="2"/>
  <c r="E52" i="2"/>
  <c r="D52" i="2"/>
  <c r="AL51" i="2"/>
  <c r="AN51" i="2" s="1"/>
  <c r="AE51" i="2"/>
  <c r="AG51" i="2" s="1"/>
  <c r="R51" i="2"/>
  <c r="L51" i="2"/>
  <c r="N51" i="2" s="1"/>
  <c r="O51" i="2" s="1"/>
  <c r="J51" i="2"/>
  <c r="E51" i="2"/>
  <c r="D51" i="2"/>
  <c r="AL50" i="2"/>
  <c r="AN50" i="2" s="1"/>
  <c r="AE50" i="2"/>
  <c r="AG50" i="2" s="1"/>
  <c r="R50" i="2"/>
  <c r="L50" i="2"/>
  <c r="N50" i="2" s="1"/>
  <c r="O50" i="2" s="1"/>
  <c r="J50" i="2"/>
  <c r="E50" i="2"/>
  <c r="D50" i="2"/>
  <c r="AL49" i="2"/>
  <c r="AN49" i="2" s="1"/>
  <c r="AE49" i="2"/>
  <c r="AG49" i="2" s="1"/>
  <c r="R49" i="2"/>
  <c r="L49" i="2"/>
  <c r="N49" i="2" s="1"/>
  <c r="O49" i="2" s="1"/>
  <c r="J49" i="2"/>
  <c r="E49" i="2"/>
  <c r="D49" i="2"/>
  <c r="AL48" i="2"/>
  <c r="AN48" i="2" s="1"/>
  <c r="AE48" i="2"/>
  <c r="AG48" i="2" s="1"/>
  <c r="R48" i="2"/>
  <c r="L48" i="2"/>
  <c r="N48" i="2" s="1"/>
  <c r="O48" i="2" s="1"/>
  <c r="J48" i="2"/>
  <c r="E48" i="2"/>
  <c r="D48" i="2"/>
  <c r="AL47" i="2"/>
  <c r="AN47" i="2" s="1"/>
  <c r="AE47" i="2"/>
  <c r="AG47" i="2" s="1"/>
  <c r="R47" i="2"/>
  <c r="L47" i="2"/>
  <c r="N47" i="2" s="1"/>
  <c r="O47" i="2" s="1"/>
  <c r="J47" i="2"/>
  <c r="E47" i="2"/>
  <c r="D47" i="2"/>
  <c r="AL46" i="2"/>
  <c r="AN46" i="2" s="1"/>
  <c r="AE46" i="2"/>
  <c r="AG46" i="2" s="1"/>
  <c r="R46" i="2"/>
  <c r="L46" i="2"/>
  <c r="N46" i="2" s="1"/>
  <c r="O46" i="2" s="1"/>
  <c r="J46" i="2"/>
  <c r="E46" i="2"/>
  <c r="D46" i="2"/>
  <c r="AL45" i="2"/>
  <c r="AN45" i="2" s="1"/>
  <c r="AE45" i="2"/>
  <c r="AG45" i="2" s="1"/>
  <c r="R45" i="2"/>
  <c r="L45" i="2"/>
  <c r="N45" i="2" s="1"/>
  <c r="O45" i="2" s="1"/>
  <c r="J45" i="2"/>
  <c r="E45" i="2"/>
  <c r="D45" i="2"/>
  <c r="AL44" i="2"/>
  <c r="AN44" i="2" s="1"/>
  <c r="AE44" i="2"/>
  <c r="AG44" i="2" s="1"/>
  <c r="R44" i="2"/>
  <c r="L44" i="2"/>
  <c r="N44" i="2" s="1"/>
  <c r="O44" i="2" s="1"/>
  <c r="J44" i="2"/>
  <c r="E44" i="2"/>
  <c r="D44" i="2"/>
  <c r="AL43" i="2"/>
  <c r="AN43" i="2" s="1"/>
  <c r="AE43" i="2"/>
  <c r="AG43" i="2" s="1"/>
  <c r="R43" i="2"/>
  <c r="L43" i="2"/>
  <c r="N43" i="2" s="1"/>
  <c r="O43" i="2" s="1"/>
  <c r="J43" i="2"/>
  <c r="E43" i="2"/>
  <c r="D43" i="2"/>
  <c r="AL42" i="2"/>
  <c r="AN42" i="2" s="1"/>
  <c r="AE42" i="2"/>
  <c r="AG42" i="2" s="1"/>
  <c r="R42" i="2"/>
  <c r="L42" i="2"/>
  <c r="N42" i="2" s="1"/>
  <c r="O42" i="2" s="1"/>
  <c r="J42" i="2"/>
  <c r="E42" i="2"/>
  <c r="D42" i="2"/>
  <c r="AL41" i="2"/>
  <c r="AN41" i="2" s="1"/>
  <c r="AE41" i="2"/>
  <c r="AG41" i="2" s="1"/>
  <c r="R41" i="2"/>
  <c r="L41" i="2"/>
  <c r="N41" i="2" s="1"/>
  <c r="O41" i="2" s="1"/>
  <c r="J41" i="2"/>
  <c r="E41" i="2"/>
  <c r="D41" i="2"/>
  <c r="AL40" i="2"/>
  <c r="AN40" i="2" s="1"/>
  <c r="AE40" i="2"/>
  <c r="AG40" i="2" s="1"/>
  <c r="R40" i="2"/>
  <c r="L40" i="2"/>
  <c r="N40" i="2" s="1"/>
  <c r="O40" i="2" s="1"/>
  <c r="J40" i="2"/>
  <c r="E40" i="2"/>
  <c r="D40" i="2"/>
  <c r="AL39" i="2"/>
  <c r="AN39" i="2" s="1"/>
  <c r="AE39" i="2"/>
  <c r="AG39" i="2" s="1"/>
  <c r="R39" i="2"/>
  <c r="L39" i="2"/>
  <c r="N39" i="2" s="1"/>
  <c r="O39" i="2" s="1"/>
  <c r="J39" i="2"/>
  <c r="E39" i="2"/>
  <c r="D39" i="2"/>
  <c r="AL38" i="2"/>
  <c r="AN38" i="2" s="1"/>
  <c r="AE38" i="2"/>
  <c r="AG38" i="2" s="1"/>
  <c r="R38" i="2"/>
  <c r="L38" i="2"/>
  <c r="N38" i="2" s="1"/>
  <c r="O38" i="2" s="1"/>
  <c r="J38" i="2"/>
  <c r="E38" i="2"/>
  <c r="D38" i="2"/>
  <c r="AL37" i="2"/>
  <c r="AN37" i="2" s="1"/>
  <c r="AE37" i="2"/>
  <c r="AG37" i="2" s="1"/>
  <c r="R37" i="2"/>
  <c r="L37" i="2"/>
  <c r="N37" i="2" s="1"/>
  <c r="O37" i="2" s="1"/>
  <c r="J37" i="2"/>
  <c r="E37" i="2"/>
  <c r="D37" i="2"/>
  <c r="AL36" i="2"/>
  <c r="AN36" i="2" s="1"/>
  <c r="AE36" i="2"/>
  <c r="AG36" i="2" s="1"/>
  <c r="R36" i="2"/>
  <c r="L36" i="2"/>
  <c r="N36" i="2" s="1"/>
  <c r="O36" i="2" s="1"/>
  <c r="J36" i="2"/>
  <c r="E36" i="2"/>
  <c r="D36" i="2"/>
  <c r="AL35" i="2"/>
  <c r="AN35" i="2" s="1"/>
  <c r="AE35" i="2"/>
  <c r="AG35" i="2" s="1"/>
  <c r="R35" i="2"/>
  <c r="L35" i="2"/>
  <c r="N35" i="2" s="1"/>
  <c r="O35" i="2" s="1"/>
  <c r="J35" i="2"/>
  <c r="E35" i="2"/>
  <c r="D35" i="2"/>
  <c r="AL34" i="2"/>
  <c r="AN34" i="2" s="1"/>
  <c r="AE34" i="2"/>
  <c r="AG34" i="2" s="1"/>
  <c r="R34" i="2"/>
  <c r="L34" i="2"/>
  <c r="N34" i="2" s="1"/>
  <c r="O34" i="2" s="1"/>
  <c r="J34" i="2"/>
  <c r="E34" i="2"/>
  <c r="D34" i="2"/>
  <c r="AL33" i="2"/>
  <c r="AN33" i="2" s="1"/>
  <c r="AE33" i="2"/>
  <c r="AG33" i="2" s="1"/>
  <c r="R33" i="2"/>
  <c r="L33" i="2"/>
  <c r="N33" i="2" s="1"/>
  <c r="O33" i="2" s="1"/>
  <c r="J33" i="2"/>
  <c r="E33" i="2"/>
  <c r="D33" i="2"/>
  <c r="AL32" i="2"/>
  <c r="AN32" i="2" s="1"/>
  <c r="AE32" i="2"/>
  <c r="AG32" i="2" s="1"/>
  <c r="R32" i="2"/>
  <c r="L32" i="2"/>
  <c r="N32" i="2" s="1"/>
  <c r="O32" i="2" s="1"/>
  <c r="J32" i="2"/>
  <c r="E32" i="2"/>
  <c r="D32" i="2"/>
  <c r="AL31" i="2"/>
  <c r="AN31" i="2" s="1"/>
  <c r="AE31" i="2"/>
  <c r="AG31" i="2" s="1"/>
  <c r="R31" i="2"/>
  <c r="L31" i="2"/>
  <c r="N31" i="2" s="1"/>
  <c r="O31" i="2" s="1"/>
  <c r="J31" i="2"/>
  <c r="E31" i="2"/>
  <c r="D31" i="2"/>
  <c r="AL30" i="2"/>
  <c r="AN30" i="2" s="1"/>
  <c r="AE30" i="2"/>
  <c r="AG30" i="2" s="1"/>
  <c r="R30" i="2"/>
  <c r="L30" i="2"/>
  <c r="N30" i="2" s="1"/>
  <c r="O30" i="2" s="1"/>
  <c r="J30" i="2"/>
  <c r="E30" i="2"/>
  <c r="D30" i="2"/>
  <c r="AL29" i="2"/>
  <c r="AN29" i="2" s="1"/>
  <c r="AE29" i="2"/>
  <c r="AG29" i="2" s="1"/>
  <c r="R29" i="2"/>
  <c r="L29" i="2"/>
  <c r="N29" i="2" s="1"/>
  <c r="O29" i="2" s="1"/>
  <c r="J29" i="2"/>
  <c r="E29" i="2"/>
  <c r="D29" i="2"/>
  <c r="AL28" i="2"/>
  <c r="AN28" i="2" s="1"/>
  <c r="AE28" i="2"/>
  <c r="AG28" i="2" s="1"/>
  <c r="R28" i="2"/>
  <c r="L28" i="2"/>
  <c r="N28" i="2" s="1"/>
  <c r="O28" i="2" s="1"/>
  <c r="J28" i="2"/>
  <c r="E28" i="2"/>
  <c r="D28" i="2"/>
  <c r="AL27" i="2"/>
  <c r="AN27" i="2" s="1"/>
  <c r="AE27" i="2"/>
  <c r="AG27" i="2" s="1"/>
  <c r="R27" i="2"/>
  <c r="L27" i="2"/>
  <c r="N27" i="2" s="1"/>
  <c r="O27" i="2" s="1"/>
  <c r="J27" i="2"/>
  <c r="E27" i="2"/>
  <c r="D27" i="2"/>
  <c r="AL26" i="2"/>
  <c r="AN26" i="2" s="1"/>
  <c r="AE26" i="2"/>
  <c r="AG26" i="2" s="1"/>
  <c r="R26" i="2"/>
  <c r="L26" i="2"/>
  <c r="N26" i="2" s="1"/>
  <c r="O26" i="2" s="1"/>
  <c r="J26" i="2"/>
  <c r="E26" i="2"/>
  <c r="D26" i="2"/>
  <c r="AL25" i="2"/>
  <c r="AN25" i="2" s="1"/>
  <c r="R25" i="2"/>
  <c r="L25" i="2"/>
  <c r="N25" i="2" s="1"/>
  <c r="O25" i="2" s="1"/>
  <c r="J25" i="2"/>
  <c r="E25" i="2"/>
  <c r="D25" i="2"/>
  <c r="AE24" i="2"/>
  <c r="AG24" i="2" s="1"/>
  <c r="R24" i="2"/>
  <c r="L24" i="2"/>
  <c r="N24" i="2" s="1"/>
  <c r="O24" i="2" s="1"/>
  <c r="J24" i="2"/>
  <c r="E24" i="2"/>
  <c r="D24" i="2"/>
  <c r="AE23" i="2"/>
  <c r="AG23" i="2" s="1"/>
  <c r="R23" i="2"/>
  <c r="L23" i="2"/>
  <c r="N23" i="2" s="1"/>
  <c r="O23" i="2" s="1"/>
  <c r="J23" i="2"/>
  <c r="E23" i="2"/>
  <c r="D23" i="2"/>
  <c r="AE22" i="2"/>
  <c r="AG22" i="2" s="1"/>
  <c r="R22" i="2"/>
  <c r="L22" i="2"/>
  <c r="N22" i="2" s="1"/>
  <c r="O22" i="2" s="1"/>
  <c r="J22" i="2"/>
  <c r="E22" i="2"/>
  <c r="D22" i="2"/>
  <c r="AE21" i="2"/>
  <c r="AG21" i="2" s="1"/>
  <c r="R21" i="2"/>
  <c r="L21" i="2"/>
  <c r="N21" i="2" s="1"/>
  <c r="O21" i="2" s="1"/>
  <c r="J21" i="2"/>
  <c r="E21" i="2"/>
  <c r="D21" i="2"/>
  <c r="AE20" i="2"/>
  <c r="AG20" i="2" s="1"/>
  <c r="R20" i="2"/>
  <c r="L20" i="2"/>
  <c r="N20" i="2" s="1"/>
  <c r="O20" i="2" s="1"/>
  <c r="J20" i="2"/>
  <c r="E20" i="2"/>
  <c r="D20" i="2"/>
  <c r="AE19" i="2"/>
  <c r="AG19" i="2" s="1"/>
  <c r="R19" i="2"/>
  <c r="L19" i="2"/>
  <c r="N19" i="2" s="1"/>
  <c r="O19" i="2" s="1"/>
  <c r="J19" i="2"/>
  <c r="E19" i="2"/>
  <c r="D19" i="2"/>
  <c r="AE18" i="2"/>
  <c r="AG18" i="2" s="1"/>
  <c r="R18" i="2"/>
  <c r="L18" i="2"/>
  <c r="N18" i="2" s="1"/>
  <c r="O18" i="2" s="1"/>
  <c r="J18" i="2"/>
  <c r="E18" i="2"/>
  <c r="D18" i="2"/>
  <c r="AE17" i="2"/>
  <c r="AG17" i="2" s="1"/>
  <c r="R17" i="2"/>
  <c r="L17" i="2"/>
  <c r="N17" i="2" s="1"/>
  <c r="O17" i="2" s="1"/>
  <c r="J17" i="2"/>
  <c r="E17" i="2"/>
  <c r="D17" i="2"/>
  <c r="AL16" i="2"/>
  <c r="AN16" i="2" s="1"/>
  <c r="AE16" i="2"/>
  <c r="AG16" i="2" s="1"/>
  <c r="R16" i="2"/>
  <c r="L16" i="2"/>
  <c r="N16" i="2" s="1"/>
  <c r="O16" i="2" s="1"/>
  <c r="E16" i="2"/>
  <c r="D16" i="2"/>
  <c r="AL15" i="2"/>
  <c r="AN15" i="2" s="1"/>
  <c r="AE15" i="2"/>
  <c r="AG15" i="2" s="1"/>
  <c r="R15" i="2"/>
  <c r="L15" i="2"/>
  <c r="N15" i="2" s="1"/>
  <c r="O15" i="2" s="1"/>
  <c r="J15" i="2"/>
  <c r="E15" i="2"/>
  <c r="D15" i="2"/>
  <c r="AL14" i="2"/>
  <c r="AN14" i="2" s="1"/>
  <c r="AE14" i="2"/>
  <c r="AG14" i="2" s="1"/>
  <c r="R14" i="2"/>
  <c r="L14" i="2"/>
  <c r="N14" i="2" s="1"/>
  <c r="O14" i="2" s="1"/>
  <c r="J14" i="2"/>
  <c r="E14" i="2"/>
  <c r="D14" i="2"/>
  <c r="AN13" i="2"/>
  <c r="AE13" i="2"/>
  <c r="AG13" i="2" s="1"/>
  <c r="R13" i="2"/>
  <c r="L13" i="2"/>
  <c r="N13" i="2" s="1"/>
  <c r="O13" i="2" s="1"/>
  <c r="J13" i="2"/>
  <c r="E13" i="2"/>
  <c r="D13" i="2"/>
  <c r="AN12" i="2"/>
  <c r="AE12" i="2"/>
  <c r="R12" i="2"/>
  <c r="L12" i="2"/>
  <c r="N12" i="2" s="1"/>
  <c r="O12" i="2" s="1"/>
  <c r="J12" i="2"/>
  <c r="E12" i="2"/>
  <c r="D12" i="2"/>
  <c r="AN11" i="2"/>
  <c r="AE11" i="2"/>
  <c r="AG11" i="2" s="1"/>
  <c r="AH11" i="2" s="1"/>
  <c r="R11" i="2"/>
  <c r="L11" i="2"/>
  <c r="N11" i="2" s="1"/>
  <c r="O11" i="2" s="1"/>
  <c r="J11" i="2"/>
  <c r="E11" i="2"/>
  <c r="D11" i="2"/>
  <c r="AN10" i="2"/>
  <c r="AE10" i="2"/>
  <c r="R10" i="2"/>
  <c r="L10" i="2"/>
  <c r="N10" i="2" s="1"/>
  <c r="O10" i="2" s="1"/>
  <c r="J10" i="2"/>
  <c r="E10" i="2"/>
  <c r="D10" i="2"/>
  <c r="AN9" i="2"/>
  <c r="AE9" i="2"/>
  <c r="AG9" i="2" s="1"/>
  <c r="R9" i="2"/>
  <c r="L9" i="2"/>
  <c r="N9" i="2" s="1"/>
  <c r="O9" i="2" s="1"/>
  <c r="J9" i="2"/>
  <c r="E9" i="2"/>
  <c r="D9" i="2"/>
  <c r="AN8" i="2"/>
  <c r="AE8" i="2"/>
  <c r="AG8" i="2" s="1"/>
  <c r="R8" i="2"/>
  <c r="L8" i="2"/>
  <c r="N8" i="2" s="1"/>
  <c r="O8" i="2" s="1"/>
  <c r="J8" i="2"/>
  <c r="E8" i="2"/>
  <c r="D8" i="2"/>
  <c r="AN7" i="2"/>
  <c r="AE7" i="2"/>
  <c r="R7" i="2"/>
  <c r="L7" i="2"/>
  <c r="N7" i="2" s="1"/>
  <c r="O7" i="2" s="1"/>
  <c r="J7" i="2"/>
  <c r="E7" i="2"/>
  <c r="D7" i="2"/>
  <c r="AN6" i="2"/>
  <c r="AE6" i="2"/>
  <c r="AG6" i="2" s="1"/>
  <c r="R6" i="2"/>
  <c r="L6" i="2"/>
  <c r="N6" i="2" s="1"/>
  <c r="O6" i="2" s="1"/>
  <c r="J6" i="2"/>
  <c r="E6" i="2"/>
  <c r="D6" i="2"/>
  <c r="AN5" i="2"/>
  <c r="AE5" i="2"/>
  <c r="R5" i="2"/>
  <c r="L5" i="2"/>
  <c r="N5" i="2" s="1"/>
  <c r="O5" i="2" s="1"/>
  <c r="J5" i="2"/>
  <c r="E5" i="2"/>
  <c r="D5" i="2"/>
  <c r="AN4" i="2"/>
  <c r="AE4" i="2"/>
  <c r="R4" i="2"/>
  <c r="L4" i="2"/>
  <c r="N4" i="2" s="1"/>
  <c r="O4" i="2" s="1"/>
  <c r="J4" i="2"/>
  <c r="E4" i="2"/>
  <c r="D4" i="2"/>
  <c r="AN3" i="2"/>
  <c r="AE3" i="2"/>
  <c r="R3" i="2"/>
  <c r="L3" i="2"/>
  <c r="N3" i="2" s="1"/>
  <c r="O3" i="2" s="1"/>
  <c r="J3" i="2"/>
  <c r="E3" i="2"/>
  <c r="D3" i="2"/>
  <c r="AL2" i="2"/>
  <c r="AN2" i="2" s="1"/>
  <c r="AE2" i="2"/>
  <c r="AG2" i="2" s="1"/>
  <c r="AH2" i="2" s="1"/>
  <c r="R2" i="2"/>
  <c r="L2" i="2"/>
  <c r="N2" i="2" s="1"/>
  <c r="O2" i="2" s="1"/>
  <c r="J2" i="2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C50" i="1"/>
  <c r="E48" i="1"/>
  <c r="D48" i="1"/>
  <c r="C48" i="1"/>
  <c r="B48" i="1"/>
  <c r="E47" i="1"/>
  <c r="D47" i="1"/>
  <c r="E46" i="1"/>
  <c r="B46" i="1"/>
  <c r="C45" i="1"/>
  <c r="E44" i="1"/>
  <c r="D44" i="1"/>
  <c r="C44" i="1"/>
  <c r="B44" i="1"/>
  <c r="E43" i="1"/>
  <c r="C43" i="1"/>
  <c r="D42" i="1"/>
  <c r="B42" i="1"/>
  <c r="E41" i="1"/>
  <c r="D41" i="1"/>
  <c r="C41" i="1"/>
  <c r="B41" i="1"/>
  <c r="E40" i="1"/>
  <c r="D40" i="1"/>
  <c r="C40" i="1"/>
  <c r="B40" i="1"/>
  <c r="E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D27" i="1"/>
  <c r="C27" i="1"/>
  <c r="B27" i="1"/>
  <c r="E27" i="1" s="1"/>
  <c r="D26" i="1"/>
  <c r="C26" i="1"/>
  <c r="B26" i="1"/>
  <c r="E26" i="1" s="1"/>
  <c r="D25" i="1"/>
  <c r="C25" i="1"/>
  <c r="B25" i="1"/>
  <c r="E25" i="1" s="1"/>
  <c r="D24" i="1"/>
  <c r="C24" i="1"/>
  <c r="B24" i="1"/>
  <c r="E24" i="1" s="1"/>
  <c r="D23" i="1"/>
  <c r="C23" i="1"/>
  <c r="B23" i="1"/>
  <c r="E23" i="1" s="1"/>
  <c r="D22" i="1"/>
  <c r="C22" i="1"/>
  <c r="B22" i="1"/>
  <c r="E22" i="1" s="1"/>
  <c r="E21" i="1"/>
  <c r="D21" i="1"/>
  <c r="C21" i="1"/>
  <c r="B21" i="1"/>
  <c r="D20" i="1"/>
  <c r="C20" i="1"/>
  <c r="B20" i="1"/>
  <c r="E20" i="1" s="1"/>
  <c r="D19" i="1"/>
  <c r="C19" i="1"/>
  <c r="B19" i="1"/>
  <c r="E19" i="1" s="1"/>
  <c r="D18" i="1"/>
  <c r="B18" i="1"/>
  <c r="D17" i="1"/>
  <c r="C17" i="1"/>
  <c r="B17" i="1"/>
  <c r="E17" i="1" s="1"/>
  <c r="D16" i="1"/>
  <c r="C16" i="1"/>
  <c r="B16" i="1"/>
  <c r="E16" i="1" s="1"/>
  <c r="D15" i="1"/>
  <c r="C15" i="1"/>
  <c r="B15" i="1"/>
  <c r="E15" i="1" s="1"/>
  <c r="A4" i="1"/>
  <c r="E18" i="1" l="1"/>
  <c r="D49" i="1"/>
  <c r="C39" i="1"/>
  <c r="E42" i="1"/>
  <c r="C46" i="1"/>
  <c r="E49" i="1"/>
  <c r="B43" i="1"/>
  <c r="B50" i="1"/>
  <c r="B47" i="1"/>
  <c r="D50" i="1"/>
  <c r="B45" i="1"/>
  <c r="D45" i="1"/>
  <c r="B49" i="1"/>
  <c r="B6" i="1"/>
  <c r="E6" i="1" s="1"/>
  <c r="D9" i="1"/>
  <c r="B13" i="1"/>
  <c r="E13" i="1" s="1"/>
  <c r="C6" i="1"/>
  <c r="C13" i="1"/>
  <c r="D6" i="1"/>
  <c r="B10" i="1"/>
  <c r="E10" i="1" s="1"/>
  <c r="D13" i="1"/>
  <c r="C10" i="1"/>
  <c r="B7" i="1"/>
  <c r="E7" i="1" s="1"/>
  <c r="D10" i="1"/>
  <c r="B14" i="1"/>
  <c r="E14" i="1" s="1"/>
  <c r="C7" i="1"/>
  <c r="C14" i="1"/>
  <c r="D7" i="1"/>
  <c r="B11" i="1"/>
  <c r="E11" i="1" s="1"/>
  <c r="D14" i="1"/>
  <c r="C11" i="1"/>
  <c r="C12" i="1"/>
  <c r="B8" i="1"/>
  <c r="E8" i="1" s="1"/>
  <c r="C8" i="1"/>
  <c r="B5" i="1"/>
  <c r="E5" i="1" s="1"/>
  <c r="D8" i="1"/>
  <c r="B12" i="1"/>
  <c r="E12" i="1" s="1"/>
  <c r="C5" i="1"/>
  <c r="D5" i="1"/>
  <c r="B9" i="1"/>
  <c r="E9" i="1" s="1"/>
  <c r="D12" i="1"/>
  <c r="AH50" i="2"/>
  <c r="AH152" i="2"/>
  <c r="AH128" i="2"/>
  <c r="AH15" i="2"/>
  <c r="AH29" i="2"/>
  <c r="AG64" i="2"/>
  <c r="AH64" i="2" s="1"/>
  <c r="AG72" i="2"/>
  <c r="AH72" i="2" s="1"/>
  <c r="AG82" i="2"/>
  <c r="AH82" i="2" s="1"/>
  <c r="AG194" i="2"/>
  <c r="AH194" i="2" s="1"/>
  <c r="AH149" i="2"/>
  <c r="AH43" i="2"/>
  <c r="AG12" i="2"/>
  <c r="AH12" i="2" s="1"/>
  <c r="AH57" i="2"/>
  <c r="AG189" i="2"/>
  <c r="AH189" i="2" s="1"/>
  <c r="AH22" i="2"/>
  <c r="AH129" i="2"/>
  <c r="AG174" i="2"/>
  <c r="AH174" i="2" s="1"/>
  <c r="AG86" i="2"/>
  <c r="AH86" i="2" s="1"/>
  <c r="AG129" i="2"/>
  <c r="AH8" i="2"/>
  <c r="AH36" i="2"/>
  <c r="AG131" i="2"/>
  <c r="AH131" i="2" s="1"/>
  <c r="AH165" i="2"/>
  <c r="AG165" i="2"/>
  <c r="AH188" i="2"/>
  <c r="AQ74" i="2"/>
  <c r="AP101" i="2"/>
  <c r="AQ101" i="2" s="1"/>
  <c r="AP73" i="2"/>
  <c r="AQ73" i="2" s="1"/>
  <c r="AP69" i="2"/>
  <c r="AQ69" i="2" s="1"/>
  <c r="AP80" i="2"/>
  <c r="AQ80" i="2" s="1"/>
  <c r="AP95" i="2"/>
  <c r="AQ95" i="2" s="1"/>
  <c r="AP126" i="2"/>
  <c r="AQ126" i="2" s="1"/>
  <c r="AH10" i="2"/>
  <c r="AP71" i="2"/>
  <c r="AQ71" i="2" s="1"/>
  <c r="AP119" i="2"/>
  <c r="AQ119" i="2" s="1"/>
  <c r="AP108" i="2"/>
  <c r="AQ108" i="2" s="1"/>
  <c r="AP107" i="2"/>
  <c r="AQ107" i="2" s="1"/>
  <c r="AP131" i="2"/>
  <c r="AQ131" i="2" s="1"/>
  <c r="AP109" i="2"/>
  <c r="AQ109" i="2" s="1"/>
  <c r="AP65" i="2"/>
  <c r="AQ65" i="2" s="1"/>
  <c r="AP68" i="2"/>
  <c r="AQ68" i="2" s="1"/>
  <c r="AP97" i="2"/>
  <c r="AQ97" i="2" s="1"/>
  <c r="AP79" i="2"/>
  <c r="AQ79" i="2" s="1"/>
  <c r="AP82" i="2"/>
  <c r="AQ82" i="2" s="1"/>
  <c r="AP67" i="2"/>
  <c r="AQ67" i="2" s="1"/>
  <c r="AP96" i="2"/>
  <c r="AQ96" i="2" s="1"/>
  <c r="AH176" i="2"/>
  <c r="AP70" i="2"/>
  <c r="AQ70" i="2" s="1"/>
  <c r="AP85" i="2"/>
  <c r="AQ85" i="2" s="1"/>
  <c r="AP113" i="2"/>
  <c r="AQ113" i="2" s="1"/>
  <c r="AP127" i="2"/>
  <c r="AQ127" i="2" s="1"/>
  <c r="AP112" i="2"/>
  <c r="AQ112" i="2" s="1"/>
  <c r="AP132" i="2"/>
  <c r="AQ132" i="2" s="1"/>
  <c r="AH139" i="2"/>
  <c r="AP98" i="2"/>
  <c r="AQ98" i="2" s="1"/>
  <c r="AP124" i="2"/>
  <c r="AQ124" i="2" s="1"/>
  <c r="AP99" i="2"/>
  <c r="AQ99" i="2" s="1"/>
  <c r="AP110" i="2"/>
  <c r="AQ110" i="2" s="1"/>
  <c r="AP125" i="2"/>
  <c r="AQ125" i="2" s="1"/>
  <c r="AP43" i="2"/>
  <c r="AQ43" i="2" s="1"/>
  <c r="AP50" i="2"/>
  <c r="AQ50" i="2" s="1"/>
  <c r="AP11" i="2"/>
  <c r="AQ11" i="2" s="1"/>
  <c r="AQ81" i="2"/>
  <c r="AG146" i="2"/>
  <c r="AH146" i="2" s="1"/>
  <c r="AH160" i="2"/>
  <c r="AG176" i="2"/>
  <c r="AP25" i="2"/>
  <c r="AQ25" i="2" s="1"/>
  <c r="AP32" i="2"/>
  <c r="AQ32" i="2" s="1"/>
  <c r="AH119" i="2"/>
  <c r="AP163" i="2"/>
  <c r="AQ163" i="2" s="1"/>
  <c r="AP2" i="2"/>
  <c r="AQ2" i="2" s="1"/>
  <c r="AQ64" i="2"/>
  <c r="AP115" i="2"/>
  <c r="AQ115" i="2" s="1"/>
  <c r="AH6" i="2"/>
  <c r="AH39" i="2"/>
  <c r="AH46" i="2"/>
  <c r="AH53" i="2"/>
  <c r="AG122" i="2"/>
  <c r="AH122" i="2" s="1"/>
  <c r="AG126" i="2"/>
  <c r="AH126" i="2" s="1"/>
  <c r="AG143" i="2"/>
  <c r="AH143" i="2" s="1"/>
  <c r="AG157" i="2"/>
  <c r="AH157" i="2" s="1"/>
  <c r="AP6" i="2"/>
  <c r="AQ6" i="2" s="1"/>
  <c r="AG10" i="2"/>
  <c r="AP60" i="2"/>
  <c r="AQ60" i="2" s="1"/>
  <c r="AP91" i="2"/>
  <c r="AQ91" i="2" s="1"/>
  <c r="AG130" i="2"/>
  <c r="AH130" i="2" s="1"/>
  <c r="AP198" i="2"/>
  <c r="AQ198" i="2" s="1"/>
  <c r="AH42" i="2"/>
  <c r="AH49" i="2"/>
  <c r="AQ87" i="2"/>
  <c r="AP157" i="2"/>
  <c r="AQ157" i="2" s="1"/>
  <c r="D4" i="1"/>
  <c r="C4" i="1"/>
  <c r="B4" i="1"/>
  <c r="AG5" i="2"/>
  <c r="AH5" i="2" s="1"/>
  <c r="AH21" i="2"/>
  <c r="AP143" i="2"/>
  <c r="AQ143" i="2" s="1"/>
  <c r="AG162" i="2"/>
  <c r="AH162" i="2" s="1"/>
  <c r="AP10" i="2"/>
  <c r="AQ10" i="2" s="1"/>
  <c r="AP21" i="2"/>
  <c r="AQ21" i="2" s="1"/>
  <c r="AP42" i="2"/>
  <c r="AQ42" i="2" s="1"/>
  <c r="AP49" i="2"/>
  <c r="AQ49" i="2" s="1"/>
  <c r="AP56" i="2"/>
  <c r="AQ56" i="2" s="1"/>
  <c r="AP63" i="2"/>
  <c r="AQ63" i="2" s="1"/>
  <c r="AP75" i="2"/>
  <c r="AQ75" i="2" s="1"/>
  <c r="AQ114" i="2"/>
  <c r="AG125" i="2"/>
  <c r="AH125" i="2" s="1"/>
  <c r="AH31" i="2"/>
  <c r="AH52" i="2"/>
  <c r="AH59" i="2"/>
  <c r="AG4" i="2"/>
  <c r="AH4" i="2" s="1"/>
  <c r="AH9" i="2"/>
  <c r="AP17" i="2"/>
  <c r="AQ17" i="2" s="1"/>
  <c r="AP24" i="2"/>
  <c r="AQ24" i="2" s="1"/>
  <c r="AP31" i="2"/>
  <c r="AQ31" i="2" s="1"/>
  <c r="AP38" i="2"/>
  <c r="AQ38" i="2" s="1"/>
  <c r="AP45" i="2"/>
  <c r="AQ45" i="2" s="1"/>
  <c r="AP52" i="2"/>
  <c r="AQ52" i="2" s="1"/>
  <c r="AP59" i="2"/>
  <c r="AQ59" i="2" s="1"/>
  <c r="AQ86" i="2"/>
  <c r="AH153" i="2"/>
  <c r="AH156" i="2"/>
  <c r="AG167" i="2"/>
  <c r="AH167" i="2" s="1"/>
  <c r="AH170" i="2"/>
  <c r="AP9" i="2"/>
  <c r="AQ9" i="2" s="1"/>
  <c r="AH13" i="2"/>
  <c r="AH20" i="2"/>
  <c r="AH27" i="2"/>
  <c r="AH34" i="2"/>
  <c r="AH41" i="2"/>
  <c r="AH48" i="2"/>
  <c r="AH55" i="2"/>
  <c r="AP62" i="2"/>
  <c r="AQ62" i="2" s="1"/>
  <c r="AP78" i="2"/>
  <c r="AQ78" i="2" s="1"/>
  <c r="AP121" i="2"/>
  <c r="AQ121" i="2" s="1"/>
  <c r="AG124" i="2"/>
  <c r="AH124" i="2" s="1"/>
  <c r="AG139" i="2"/>
  <c r="AP142" i="2"/>
  <c r="AQ142" i="2" s="1"/>
  <c r="AG150" i="2"/>
  <c r="AH150" i="2" s="1"/>
  <c r="AP153" i="2"/>
  <c r="AQ153" i="2" s="1"/>
  <c r="AP156" i="2"/>
  <c r="AQ156" i="2" s="1"/>
  <c r="AP170" i="2"/>
  <c r="AQ170" i="2" s="1"/>
  <c r="AP15" i="2"/>
  <c r="AQ15" i="2" s="1"/>
  <c r="AP57" i="2"/>
  <c r="AQ57" i="2" s="1"/>
  <c r="AP154" i="2"/>
  <c r="AQ154" i="2" s="1"/>
  <c r="AH18" i="2"/>
  <c r="AP135" i="2"/>
  <c r="AQ135" i="2" s="1"/>
  <c r="AP171" i="2"/>
  <c r="AQ171" i="2" s="1"/>
  <c r="AP39" i="2"/>
  <c r="AQ39" i="2" s="1"/>
  <c r="AP46" i="2"/>
  <c r="AQ46" i="2" s="1"/>
  <c r="AH14" i="2"/>
  <c r="AH35" i="2"/>
  <c r="AH134" i="2"/>
  <c r="AP140" i="2"/>
  <c r="AQ140" i="2" s="1"/>
  <c r="AG184" i="2"/>
  <c r="AH184" i="2" s="1"/>
  <c r="AH25" i="2"/>
  <c r="AP14" i="2"/>
  <c r="AQ14" i="2" s="1"/>
  <c r="AH62" i="2"/>
  <c r="AG3" i="2"/>
  <c r="AH3" i="2" s="1"/>
  <c r="AH16" i="2"/>
  <c r="AH23" i="2"/>
  <c r="AH30" i="2"/>
  <c r="AH37" i="2"/>
  <c r="AH44" i="2"/>
  <c r="AH51" i="2"/>
  <c r="AH58" i="2"/>
  <c r="AP84" i="2"/>
  <c r="AQ84" i="2" s="1"/>
  <c r="AP111" i="2"/>
  <c r="AQ111" i="2" s="1"/>
  <c r="AG120" i="2"/>
  <c r="AH120" i="2" s="1"/>
  <c r="AP139" i="2"/>
  <c r="AQ139" i="2" s="1"/>
  <c r="AG180" i="2"/>
  <c r="AH180" i="2" s="1"/>
  <c r="AP7" i="2"/>
  <c r="AQ7" i="2" s="1"/>
  <c r="AP128" i="2"/>
  <c r="AQ128" i="2" s="1"/>
  <c r="AP149" i="2"/>
  <c r="AQ149" i="2" s="1"/>
  <c r="AH32" i="2"/>
  <c r="AH60" i="2"/>
  <c r="AH151" i="2"/>
  <c r="AP18" i="2"/>
  <c r="AQ18" i="2" s="1"/>
  <c r="AP53" i="2"/>
  <c r="AQ53" i="2" s="1"/>
  <c r="AP103" i="2"/>
  <c r="AQ103" i="2" s="1"/>
  <c r="AH28" i="2"/>
  <c r="AH56" i="2"/>
  <c r="AP28" i="2"/>
  <c r="AQ28" i="2" s="1"/>
  <c r="AP35" i="2"/>
  <c r="AQ35" i="2" s="1"/>
  <c r="AG148" i="2"/>
  <c r="AH148" i="2" s="1"/>
  <c r="AH17" i="2"/>
  <c r="AH24" i="2"/>
  <c r="AH38" i="2"/>
  <c r="AH142" i="2"/>
  <c r="AP181" i="2"/>
  <c r="AQ181" i="2" s="1"/>
  <c r="AP184" i="2"/>
  <c r="AQ184" i="2" s="1"/>
  <c r="AP200" i="2"/>
  <c r="AQ200" i="2" s="1"/>
  <c r="AP8" i="2"/>
  <c r="AQ8" i="2" s="1"/>
  <c r="AP16" i="2"/>
  <c r="AQ16" i="2" s="1"/>
  <c r="AP23" i="2"/>
  <c r="AQ23" i="2" s="1"/>
  <c r="AP30" i="2"/>
  <c r="AQ30" i="2" s="1"/>
  <c r="AP37" i="2"/>
  <c r="AQ37" i="2" s="1"/>
  <c r="AP44" i="2"/>
  <c r="AQ44" i="2" s="1"/>
  <c r="AP51" i="2"/>
  <c r="AQ51" i="2" s="1"/>
  <c r="AP58" i="2"/>
  <c r="AQ58" i="2" s="1"/>
  <c r="AP77" i="2"/>
  <c r="AQ77" i="2" s="1"/>
  <c r="AP89" i="2"/>
  <c r="AQ89" i="2" s="1"/>
  <c r="AP136" i="2"/>
  <c r="AQ136" i="2" s="1"/>
  <c r="AG147" i="2"/>
  <c r="AH147" i="2" s="1"/>
  <c r="AG169" i="2"/>
  <c r="AH169" i="2" s="1"/>
  <c r="AP194" i="2"/>
  <c r="AQ194" i="2" s="1"/>
  <c r="AP76" i="2"/>
  <c r="AQ76" i="2" s="1"/>
  <c r="AG138" i="2"/>
  <c r="AH138" i="2" s="1"/>
  <c r="AP22" i="2"/>
  <c r="AQ22" i="2" s="1"/>
  <c r="AP29" i="2"/>
  <c r="AQ29" i="2" s="1"/>
  <c r="AP36" i="2"/>
  <c r="AQ36" i="2" s="1"/>
  <c r="AG135" i="2"/>
  <c r="AH135" i="2" s="1"/>
  <c r="AP193" i="2"/>
  <c r="AQ193" i="2" s="1"/>
  <c r="AP137" i="2"/>
  <c r="AQ137" i="2" s="1"/>
  <c r="AP4" i="2"/>
  <c r="AQ4" i="2" s="1"/>
  <c r="AP48" i="2"/>
  <c r="AQ48" i="2" s="1"/>
  <c r="AP3" i="2"/>
  <c r="AQ3" i="2" s="1"/>
  <c r="AG7" i="2"/>
  <c r="AH7" i="2" s="1"/>
  <c r="AH19" i="2"/>
  <c r="AH26" i="2"/>
  <c r="AH33" i="2"/>
  <c r="AH40" i="2"/>
  <c r="AH47" i="2"/>
  <c r="AH54" i="2"/>
  <c r="AH61" i="2"/>
  <c r="AP66" i="2"/>
  <c r="AQ66" i="2" s="1"/>
  <c r="AP83" i="2"/>
  <c r="AQ83" i="2" s="1"/>
  <c r="AQ93" i="2"/>
  <c r="AP100" i="2"/>
  <c r="AQ100" i="2" s="1"/>
  <c r="AP104" i="2"/>
  <c r="AQ104" i="2" s="1"/>
  <c r="AG123" i="2"/>
  <c r="AH123" i="2" s="1"/>
  <c r="AP144" i="2"/>
  <c r="AQ144" i="2" s="1"/>
  <c r="AP161" i="2"/>
  <c r="AQ161" i="2" s="1"/>
  <c r="AG166" i="2"/>
  <c r="AH166" i="2" s="1"/>
  <c r="AP177" i="2"/>
  <c r="AQ177" i="2" s="1"/>
  <c r="AP180" i="2"/>
  <c r="AQ180" i="2" s="1"/>
  <c r="AH185" i="2"/>
  <c r="AH196" i="2"/>
  <c r="AP190" i="2"/>
  <c r="AQ190" i="2" s="1"/>
  <c r="AP5" i="2"/>
  <c r="AQ5" i="2" s="1"/>
  <c r="AH45" i="2"/>
  <c r="AP90" i="2"/>
  <c r="AQ90" i="2" s="1"/>
  <c r="AP106" i="2"/>
  <c r="AQ106" i="2" s="1"/>
  <c r="AP118" i="2"/>
  <c r="AQ118" i="2" s="1"/>
  <c r="AP130" i="2"/>
  <c r="AQ130" i="2" s="1"/>
  <c r="AP13" i="2"/>
  <c r="AQ13" i="2" s="1"/>
  <c r="AP20" i="2"/>
  <c r="AQ20" i="2" s="1"/>
  <c r="AP27" i="2"/>
  <c r="AQ27" i="2" s="1"/>
  <c r="AP34" i="2"/>
  <c r="AQ34" i="2" s="1"/>
  <c r="AP41" i="2"/>
  <c r="AQ41" i="2" s="1"/>
  <c r="AP55" i="2"/>
  <c r="AQ55" i="2" s="1"/>
  <c r="AQ94" i="2"/>
  <c r="AP105" i="2"/>
  <c r="AQ105" i="2" s="1"/>
  <c r="AP117" i="2"/>
  <c r="AQ117" i="2" s="1"/>
  <c r="AQ133" i="2"/>
  <c r="AH136" i="2"/>
  <c r="AP167" i="2"/>
  <c r="AQ167" i="2" s="1"/>
  <c r="AH183" i="2"/>
  <c r="AP191" i="2"/>
  <c r="AQ191" i="2" s="1"/>
  <c r="AP12" i="2"/>
  <c r="AQ12" i="2" s="1"/>
  <c r="AP19" i="2"/>
  <c r="AQ19" i="2" s="1"/>
  <c r="AP26" i="2"/>
  <c r="AQ26" i="2" s="1"/>
  <c r="AP33" i="2"/>
  <c r="AQ33" i="2" s="1"/>
  <c r="AP40" i="2"/>
  <c r="AQ40" i="2" s="1"/>
  <c r="AP47" i="2"/>
  <c r="AQ47" i="2" s="1"/>
  <c r="AP54" i="2"/>
  <c r="AQ54" i="2" s="1"/>
  <c r="AP61" i="2"/>
  <c r="AQ61" i="2" s="1"/>
  <c r="AQ92" i="2"/>
  <c r="AP120" i="2"/>
  <c r="AQ120" i="2" s="1"/>
  <c r="AP123" i="2"/>
  <c r="AQ123" i="2" s="1"/>
  <c r="AP147" i="2"/>
  <c r="AQ147" i="2" s="1"/>
  <c r="AH179" i="2"/>
  <c r="AH197" i="2"/>
  <c r="AH155" i="2"/>
  <c r="AP166" i="2"/>
  <c r="AQ166" i="2" s="1"/>
  <c r="AP176" i="2"/>
  <c r="AQ176" i="2" s="1"/>
  <c r="AP186" i="2"/>
  <c r="AQ186" i="2" s="1"/>
  <c r="AP196" i="2"/>
  <c r="AQ196" i="2" s="1"/>
  <c r="AP179" i="2"/>
  <c r="AQ179" i="2" s="1"/>
  <c r="AH182" i="2"/>
  <c r="AG192" i="2"/>
  <c r="AH192" i="2" s="1"/>
  <c r="AG199" i="2"/>
  <c r="AH199" i="2" s="1"/>
  <c r="AP152" i="2"/>
  <c r="AQ152" i="2" s="1"/>
  <c r="AP162" i="2"/>
  <c r="AQ162" i="2" s="1"/>
  <c r="AP172" i="2"/>
  <c r="AQ172" i="2" s="1"/>
  <c r="AP182" i="2"/>
  <c r="AQ182" i="2" s="1"/>
  <c r="AQ134" i="2"/>
  <c r="AG141" i="2"/>
  <c r="AH141" i="2" s="1"/>
  <c r="AG151" i="2"/>
  <c r="AP165" i="2"/>
  <c r="AQ165" i="2" s="1"/>
  <c r="AG175" i="2"/>
  <c r="AH175" i="2" s="1"/>
  <c r="AG178" i="2"/>
  <c r="AH178" i="2" s="1"/>
  <c r="AG185" i="2"/>
  <c r="AP189" i="2"/>
  <c r="AQ189" i="2" s="1"/>
  <c r="AG195" i="2"/>
  <c r="AH195" i="2" s="1"/>
  <c r="AP199" i="2"/>
  <c r="AQ199" i="2" s="1"/>
  <c r="AP122" i="2"/>
  <c r="AQ122" i="2" s="1"/>
  <c r="AP138" i="2"/>
  <c r="AQ138" i="2" s="1"/>
  <c r="AP148" i="2"/>
  <c r="AQ148" i="2" s="1"/>
  <c r="AP158" i="2"/>
  <c r="AQ158" i="2" s="1"/>
  <c r="AP168" i="2"/>
  <c r="AQ168" i="2" s="1"/>
  <c r="AH201" i="2"/>
  <c r="AG121" i="2"/>
  <c r="AH121" i="2" s="1"/>
  <c r="AP129" i="2"/>
  <c r="AQ129" i="2" s="1"/>
  <c r="AP151" i="2"/>
  <c r="AQ151" i="2" s="1"/>
  <c r="AG164" i="2"/>
  <c r="AH164" i="2" s="1"/>
  <c r="AP175" i="2"/>
  <c r="AQ175" i="2" s="1"/>
  <c r="AP185" i="2"/>
  <c r="AQ185" i="2" s="1"/>
  <c r="AP195" i="2"/>
  <c r="AQ195" i="2" s="1"/>
  <c r="AP146" i="2"/>
  <c r="AQ146" i="2" s="1"/>
  <c r="AP160" i="2"/>
  <c r="AQ160" i="2" s="1"/>
  <c r="AP174" i="2"/>
  <c r="AQ174" i="2" s="1"/>
  <c r="AP188" i="2"/>
  <c r="AQ188" i="2" s="1"/>
  <c r="AG134" i="2"/>
  <c r="AP141" i="2"/>
  <c r="AQ141" i="2" s="1"/>
  <c r="AG145" i="2"/>
  <c r="AH145" i="2" s="1"/>
  <c r="AP155" i="2"/>
  <c r="AQ155" i="2" s="1"/>
  <c r="AG159" i="2"/>
  <c r="AH159" i="2" s="1"/>
  <c r="AP169" i="2"/>
  <c r="AQ169" i="2" s="1"/>
  <c r="AG173" i="2"/>
  <c r="AH173" i="2" s="1"/>
  <c r="AP183" i="2"/>
  <c r="AQ183" i="2" s="1"/>
  <c r="AG187" i="2"/>
  <c r="AH187" i="2" s="1"/>
  <c r="AP197" i="2"/>
  <c r="AQ197" i="2" s="1"/>
  <c r="AG201" i="2"/>
  <c r="AG119" i="2"/>
  <c r="AG133" i="2"/>
  <c r="AH133" i="2" s="1"/>
  <c r="AG140" i="2"/>
  <c r="AH140" i="2" s="1"/>
  <c r="AP150" i="2"/>
  <c r="AQ150" i="2" s="1"/>
  <c r="AG154" i="2"/>
  <c r="AH154" i="2" s="1"/>
  <c r="AP164" i="2"/>
  <c r="AQ164" i="2" s="1"/>
  <c r="AG168" i="2"/>
  <c r="AH168" i="2" s="1"/>
  <c r="AP178" i="2"/>
  <c r="AQ178" i="2" s="1"/>
  <c r="AG182" i="2"/>
  <c r="AP192" i="2"/>
  <c r="AQ192" i="2" s="1"/>
  <c r="AG196" i="2"/>
  <c r="AP145" i="2"/>
  <c r="AQ145" i="2" s="1"/>
  <c r="AP159" i="2"/>
  <c r="AQ159" i="2" s="1"/>
  <c r="AP173" i="2"/>
  <c r="AQ173" i="2" s="1"/>
  <c r="AP187" i="2"/>
  <c r="AQ187" i="2" s="1"/>
  <c r="AP201" i="2"/>
  <c r="AQ201" i="2" s="1"/>
  <c r="E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<sst xmlns="http://schemas.openxmlformats.org/spreadsheetml/2006/main" count="1481" uniqueCount="1349">
  <si>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</si>
  <si>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</si>
  <si>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</si>
  <si>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</si>
  <si>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</si>
  <si>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</si>
  <si>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</si>
  <si>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</si>
  <si>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</si>
  <si>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</si>
  <si>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</si>
  <si>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</si>
  <si>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</si>
  <si>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</si>
  <si>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</si>
  <si>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</si>
  <si>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</si>
  <si>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</si>
  <si>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</si>
  <si>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</si>
  <si>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</si>
  <si>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</si>
  <si>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</si>
  <si>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</si>
  <si>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</si>
  <si>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</si>
  <si>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</si>
  <si>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</si>
  <si>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</si>
  <si>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</si>
  <si>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</si>
  <si>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</si>
  <si>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</si>
  <si>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</si>
  <si>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</si>
  <si>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</si>
  <si>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</si>
  <si>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</si>
  <si>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</si>
  <si>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</si>
  <si>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</si>
  <si>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</si>
  <si>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</si>
  <si>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</si>
  <si>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</si>
  <si>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</si>
  <si>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</si>
  <si>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</si>
  <si>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</si>
  <si>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</si>
  <si>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</si>
  <si>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1e Middellandstraat 104A</t>
  </si>
  <si>
    <t>0388</t>
  </si>
  <si>
    <t>'t Werkt B.V.</t>
  </si>
  <si>
    <t xml:space="preserve">
C. van Winsen</t>
  </si>
  <si>
    <t>Stedin</t>
  </si>
  <si>
    <t>Via RyanRent</t>
  </si>
  <si>
    <t>Basis Schoonmaak</t>
  </si>
  <si>
    <t>Elektra</t>
  </si>
  <si>
    <t>2e Maasbosstraat 2 a</t>
  </si>
  <si>
    <t>0148</t>
  </si>
  <si>
    <t>24/7 drive</t>
  </si>
  <si>
    <t>4 Homes</t>
  </si>
  <si>
    <t>Liander</t>
  </si>
  <si>
    <t>Eigen Beheer</t>
  </si>
  <si>
    <t>Intensief Schoonmaak</t>
  </si>
  <si>
    <t>Gas</t>
  </si>
  <si>
    <t>2e Maasbosstraat 2 b</t>
  </si>
  <si>
    <t>0149</t>
  </si>
  <si>
    <t>4 Homes B.V.</t>
  </si>
  <si>
    <t>A. Brouwers &amp; S. Brouwers- van Weert</t>
  </si>
  <si>
    <t>Enexis</t>
  </si>
  <si>
    <t>Geen Schoonmaak</t>
  </si>
  <si>
    <t>Water</t>
  </si>
  <si>
    <t>2e Maasbosstraat 2 c</t>
  </si>
  <si>
    <t>0150</t>
  </si>
  <si>
    <t>A. Ghali</t>
  </si>
  <si>
    <t>Westland Infra</t>
  </si>
  <si>
    <t>Achteraf Betaald</t>
  </si>
  <si>
    <t>Overig</t>
  </si>
  <si>
    <t>2e van Leydengaelstraat 6</t>
  </si>
  <si>
    <t>0022</t>
  </si>
  <si>
    <t>A. Blaszcak</t>
  </si>
  <si>
    <t>A.H.S. Willemsen</t>
  </si>
  <si>
    <t>Op Maat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</si>
  <si>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</si>
  <si>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</si>
  <si>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</si>
  <si>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</si>
  <si>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</si>
  <si>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</si>
  <si>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</si>
  <si>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</si>
  <si>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</si>
  <si>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</si>
  <si>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</si>
  <si>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</si>
  <si>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</si>
  <si>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</si>
  <si>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</si>
  <si>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</si>
  <si>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</si>
  <si>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</si>
  <si>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</si>
  <si>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</si>
  <si>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</si>
  <si>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</si>
  <si>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</si>
  <si>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</si>
  <si>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</si>
  <si>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</si>
  <si>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</si>
  <si>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</si>
  <si>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</si>
  <si>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</si>
  <si>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</si>
  <si>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</si>
  <si>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</si>
  <si>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</si>
  <si>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</si>
  <si>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</si>
  <si>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</si>
  <si>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</si>
  <si>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</si>
  <si>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</si>
  <si>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</si>
  <si>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</si>
  <si>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</si>
  <si>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</si>
  <si>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</si>
  <si>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</si>
  <si>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</si>
  <si>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</si>
  <si>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</si>
  <si>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</si>
  <si>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</si>
  <si>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</si>
  <si>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</si>
  <si>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</si>
  <si>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</si>
  <si>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</si>
  <si>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</si>
  <si>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</si>
  <si>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</si>
  <si>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</si>
  <si>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</si>
  <si>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</si>
  <si>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</si>
  <si>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</si>
  <si>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</si>
  <si>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</si>
  <si>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</si>
  <si>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</si>
  <si>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</si>
  <si>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</si>
  <si>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</si>
  <si>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</si>
  <si>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</si>
  <si>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</si>
  <si>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</si>
  <si>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</si>
  <si>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</si>
  <si>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</si>
  <si>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</si>
  <si>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</si>
  <si>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</si>
  <si>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</si>
  <si>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</si>
  <si>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</si>
  <si>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</si>
  <si>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</si>
  <si>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</si>
  <si>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</si>
  <si>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</si>
  <si>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</si>
  <si>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</si>
  <si>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</si>
  <si>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</si>
  <si>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</si>
  <si>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</si>
  <si>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</si>
  <si>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</si>
  <si>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</si>
  <si>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</si>
  <si>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</si>
  <si>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</si>
  <si>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</si>
  <si>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</si>
  <si>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</si>
  <si>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</si>
  <si>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</si>
  <si>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</si>
  <si>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</si>
  <si>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</si>
  <si>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</si>
  <si>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</si>
  <si>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</si>
  <si>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</si>
  <si>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</si>
  <si>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</si>
  <si>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</si>
  <si>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</si>
  <si>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</si>
  <si>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</si>
  <si>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</si>
  <si>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</si>
  <si>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</si>
  <si>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</si>
  <si>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</si>
  <si>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</si>
  <si>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</si>
  <si>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</si>
  <si>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</si>
  <si>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</si>
  <si>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</si>
  <si>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</si>
  <si>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</si>
  <si>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</si>
  <si>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</si>
  <si>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</si>
  <si>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</si>
  <si>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</si>
  <si>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</si>
  <si>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</si>
  <si>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</si>
  <si>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</si>
  <si>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</si>
  <si>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</si>
  <si>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</si>
  <si>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</si>
  <si>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</si>
  <si>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</si>
  <si>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</si>
  <si>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</si>
  <si>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</si>
  <si>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</si>
  <si>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</si>
  <si>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</si>
  <si>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</si>
  <si>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</si>
  <si>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</si>
  <si>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</si>
  <si>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</si>
  <si>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</si>
  <si>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</si>
  <si>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</si>
  <si>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</si>
  <si>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</si>
  <si>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</si>
  <si>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</si>
  <si>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</si>
  <si>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</si>
  <si>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</si>
  <si>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</si>
  <si>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</si>
  <si>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</si>
  <si>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</si>
  <si>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</si>
  <si>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</si>
  <si>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</si>
  <si>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</si>
  <si>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</si>
  <si>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</si>
  <si>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</si>
  <si>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</si>
  <si>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</si>
  <si>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</si>
  <si>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</si>
  <si>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</si>
  <si>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</si>
  <si>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</si>
  <si>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</si>
  <si>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</si>
  <si>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</si>
  <si>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</si>
  <si>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</si>
  <si>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</si>
  <si>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</si>
  <si>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</si>
  <si>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</si>
  <si>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</si>
  <si>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</si>
  <si>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</si>
  <si>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</si>
  <si>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</si>
  <si>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</si>
  <si>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</si>
  <si>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</si>
  <si>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</si>
  <si>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</si>
  <si>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</si>
  <si>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</si>
  <si>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</si>
  <si>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</si>
  <si>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</si>
  <si>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</si>
  <si>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</si>
  <si>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</si>
  <si>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</si>
  <si>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</si>
  <si>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</si>
  <si>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</si>
  <si>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</si>
  <si>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</si>
  <si>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</si>
  <si>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</si>
  <si>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Baumannlaan 175H</t>
  </si>
  <si>
    <t>0392</t>
  </si>
  <si>
    <t>Detaconcept Uitzendgroep B.V.</t>
  </si>
  <si>
    <t>KPN</t>
  </si>
  <si>
    <t>Burgemeester Cramerlaan 82</t>
  </si>
  <si>
    <t>0276</t>
  </si>
  <si>
    <t>Dhr D. Pronk en Mw y. Pronk - Dijkhuizen</t>
  </si>
  <si>
    <t>L&amp;T BV</t>
  </si>
  <si>
    <t>Burgemeester Crezeelaan 76</t>
  </si>
  <si>
    <t>0275</t>
  </si>
  <si>
    <t>Dhr I.B. Stefan</t>
  </si>
  <si>
    <t>L. Schilstra / Eigenaar.nl</t>
  </si>
  <si>
    <t>Burgemeester Stulemeijerlaan 71</t>
  </si>
  <si>
    <t>0292</t>
  </si>
  <si>
    <t>Dhr. A. Dorin</t>
  </si>
  <si>
    <t>Leendert Keizer</t>
  </si>
  <si>
    <t>Chopinstraat 33C</t>
  </si>
  <si>
    <t>0160</t>
  </si>
  <si>
    <t>Dhr. A. Ros</t>
  </si>
  <si>
    <t>Loodgieter Pietersen</t>
  </si>
  <si>
    <t xml:space="preserve">Chopinstraat 35A </t>
  </si>
  <si>
    <t>0131</t>
  </si>
  <si>
    <t>Dhr. B. Vlastuin</t>
  </si>
  <si>
    <t>M&amp;M Hendriks</t>
  </si>
  <si>
    <t>Chopinstraat 39C</t>
  </si>
  <si>
    <t>0026</t>
  </si>
  <si>
    <t>Dhr. J.L. Meerding</t>
  </si>
  <si>
    <t>M. Dogan</t>
  </si>
  <si>
    <t>Cloosterstraat 23A</t>
  </si>
  <si>
    <t>0370</t>
  </si>
  <si>
    <t>Dhr. J.M.R. Boringa</t>
  </si>
  <si>
    <t>M. Farajzadeh</t>
  </si>
  <si>
    <t>Coehoorn van Scheltingaweg 12</t>
  </si>
  <si>
    <t>0051</t>
  </si>
  <si>
    <t>Dhr. M. Moeilijker</t>
  </si>
  <si>
    <t>M. Kathiravelu</t>
  </si>
  <si>
    <t>Coehoorn van Scheltingaweg 66</t>
  </si>
  <si>
    <t>0052</t>
  </si>
  <si>
    <t>Dhr. R Verspui</t>
  </si>
  <si>
    <t>M. Koolhaas</t>
  </si>
  <si>
    <t>Compierekade 15</t>
  </si>
  <si>
    <t>0345</t>
  </si>
  <si>
    <t>Dhr. R. Bekken</t>
  </si>
  <si>
    <t>M. Moeilijker</t>
  </si>
  <si>
    <t xml:space="preserve">Coornhertstraat 95 </t>
  </si>
  <si>
    <t>0162</t>
  </si>
  <si>
    <t>Dhr. R. J. Beking</t>
  </si>
  <si>
    <t>M. Poel</t>
  </si>
  <si>
    <t xml:space="preserve">Cubalaan 25 </t>
  </si>
  <si>
    <t>0375</t>
  </si>
  <si>
    <t>Dhr. SWJ Colpaert en Mevr. J. Michielsen</t>
  </si>
  <si>
    <t>M.B. Kewal</t>
  </si>
  <si>
    <t>Curacaolaan 24</t>
  </si>
  <si>
    <t>0163</t>
  </si>
  <si>
    <t>Dhr. T. Roestenberg en Mw. Roestenberg - Hustinx</t>
  </si>
  <si>
    <t>M.C. Mostert</t>
  </si>
  <si>
    <t>Curacaolaan 88</t>
  </si>
  <si>
    <t>0030</t>
  </si>
  <si>
    <t>Direct Rendement B.V.</t>
  </si>
  <si>
    <t>Maatschap vd Vlist -Teuben</t>
  </si>
  <si>
    <t xml:space="preserve">Curcumastraat 39 </t>
  </si>
  <si>
    <t>0053</t>
  </si>
  <si>
    <t>Duijndam Personeelsdiensten B.V.</t>
  </si>
  <si>
    <t>Martens JG / Van Tetering CFP</t>
  </si>
  <si>
    <t>Datheenstraat 255</t>
  </si>
  <si>
    <t>0151</t>
  </si>
  <si>
    <t>Dumanli</t>
  </si>
  <si>
    <t>Meershoek</t>
  </si>
  <si>
    <t>De Driesprong 17</t>
  </si>
  <si>
    <t>0165</t>
  </si>
  <si>
    <t>Dunaj Projekty SRO</t>
  </si>
  <si>
    <t>MvB Services BV (Meindert van Buuren)</t>
  </si>
  <si>
    <t>De Gasperistraat 11</t>
  </si>
  <si>
    <t>0054</t>
  </si>
  <si>
    <t>Dutch Ink</t>
  </si>
  <si>
    <t>Orange Invesments Group</t>
  </si>
  <si>
    <t>De Haak, Zekkenstraat 31A</t>
  </si>
  <si>
    <t>0288</t>
  </si>
  <si>
    <t>Dutch Shipyard B.V.</t>
  </si>
  <si>
    <t>Orange Investments Group</t>
  </si>
  <si>
    <t>De Haak, Zekkenstraat 31B</t>
  </si>
  <si>
    <t>0289</t>
  </si>
  <si>
    <t>Dynalinx B.V.</t>
  </si>
  <si>
    <t>P. Nederstigt</t>
  </si>
  <si>
    <t>De Haak, Zekkenstraat 56</t>
  </si>
  <si>
    <t>0290</t>
  </si>
  <si>
    <t>E Rebel</t>
  </si>
  <si>
    <t>P. Ter Haar - Ros</t>
  </si>
  <si>
    <t>De Hooidollen 606</t>
  </si>
  <si>
    <t>0056</t>
  </si>
  <si>
    <t>E.C. Koornneef</t>
  </si>
  <si>
    <t>PRMD</t>
  </si>
  <si>
    <t>Deensestraat 6A2</t>
  </si>
  <si>
    <t>0153</t>
  </si>
  <si>
    <t>E.C. Laus (Landsteinerhof 68)</t>
  </si>
  <si>
    <t>Parkwonen</t>
  </si>
  <si>
    <t>Desiree Geeraertstraat 1 B</t>
  </si>
  <si>
    <t>0023</t>
  </si>
  <si>
    <t>E.C. Laus / K. van Elk Landsteinerhof</t>
  </si>
  <si>
    <t>Quadrant Vastgoed B.V.</t>
  </si>
  <si>
    <t>Desiree Geeraertstraat 1 C</t>
  </si>
  <si>
    <t>0024</t>
  </si>
  <si>
    <t>EG Facility &amp; Services BV</t>
  </si>
  <si>
    <t>R. Basil</t>
  </si>
  <si>
    <t>Deugenweerd 18</t>
  </si>
  <si>
    <t>0058</t>
  </si>
  <si>
    <t>ERGO Construction doo</t>
  </si>
  <si>
    <t>R. Bekken</t>
  </si>
  <si>
    <t>Dieptol 63</t>
  </si>
  <si>
    <t>0059</t>
  </si>
  <si>
    <t>EU Facility Services</t>
  </si>
  <si>
    <t xml:space="preserve">R. Boringa </t>
  </si>
  <si>
    <t>Dorpsstraat 48</t>
  </si>
  <si>
    <t>0354</t>
  </si>
  <si>
    <t>EWLIT Sp.Z.O.O.SP.K</t>
  </si>
  <si>
    <t>R. Bouius</t>
  </si>
  <si>
    <t xml:space="preserve">Dorpsstraat 73 </t>
  </si>
  <si>
    <t>0066</t>
  </si>
  <si>
    <t>Eastmen</t>
  </si>
  <si>
    <t>R. Paalman</t>
  </si>
  <si>
    <t>Dorpstraat 48</t>
  </si>
  <si>
    <t>0203</t>
  </si>
  <si>
    <t>Eastmen Human Resources B.V.</t>
  </si>
  <si>
    <t>R. Ras</t>
  </si>
  <si>
    <t xml:space="preserve">Dwarsweg 44 </t>
  </si>
  <si>
    <t>0061</t>
  </si>
  <si>
    <t>Easyjob People</t>
  </si>
  <si>
    <t>R. Verspui</t>
  </si>
  <si>
    <t>Eendrachtstraat 22</t>
  </si>
  <si>
    <t>0062</t>
  </si>
  <si>
    <t>Edy Comert BV</t>
  </si>
  <si>
    <t>Risa Beheer</t>
  </si>
  <si>
    <t>Elisadonk 220</t>
  </si>
  <si>
    <t>0136</t>
  </si>
  <si>
    <t>Edy Comert SRL</t>
  </si>
  <si>
    <t>Robert de Jonge</t>
  </si>
  <si>
    <t xml:space="preserve">Energieweg 40 </t>
  </si>
  <si>
    <t>0063</t>
  </si>
  <si>
    <t>Eemsdelta Housing B.V.</t>
  </si>
  <si>
    <t>Roestenberg</t>
  </si>
  <si>
    <t>Engelsestraat 16L1</t>
  </si>
  <si>
    <t>0168</t>
  </si>
  <si>
    <t>Eigenaren van Dieptol 63</t>
  </si>
  <si>
    <t>Ruva Vastgoed B.V.</t>
  </si>
  <si>
    <t>Engelsestraat 16L3</t>
  </si>
  <si>
    <t>0095</t>
  </si>
  <si>
    <t>Eizema Heerenveen Vastgoed b.v.</t>
  </si>
  <si>
    <t>S. Bakker / Eigenaar.nl</t>
  </si>
  <si>
    <t>Enk 6</t>
  </si>
  <si>
    <t>0064</t>
  </si>
  <si>
    <t>Employ</t>
  </si>
  <si>
    <t>S. Isaku</t>
  </si>
  <si>
    <t>Enschotsestraat 163</t>
  </si>
  <si>
    <t>0006</t>
  </si>
  <si>
    <t>Employ Facilitair B.V.</t>
  </si>
  <si>
    <t>S. Kleiren</t>
  </si>
  <si>
    <t xml:space="preserve">Esdoornlaan 68 </t>
  </si>
  <si>
    <t>0065</t>
  </si>
  <si>
    <t>Estra Logistics Systems B.V.</t>
  </si>
  <si>
    <t>S. Raats (123Wonen)</t>
  </si>
  <si>
    <t>F.Erensstraat 21</t>
  </si>
  <si>
    <t>0068</t>
  </si>
  <si>
    <t>Euromontur Asemblies SL.</t>
  </si>
  <si>
    <t>Schoonmaakbedrijf Frisse Start</t>
  </si>
  <si>
    <t>Fabristraat 34A</t>
  </si>
  <si>
    <t>0093</t>
  </si>
  <si>
    <t>Europe-jobs B.V.</t>
  </si>
  <si>
    <t>Sill Marinus Dijkstra Vastgoedbeheer)</t>
  </si>
  <si>
    <t>Fabristraat 34B</t>
  </si>
  <si>
    <t>0094</t>
  </si>
  <si>
    <t>European Business Brokers</t>
  </si>
  <si>
    <t>Sjoerd Dolstra</t>
  </si>
  <si>
    <t>Fenacoliuslaan 56B</t>
  </si>
  <si>
    <t>0273</t>
  </si>
  <si>
    <t>F. Veurink en P. Neleman</t>
  </si>
  <si>
    <t>Stef Kleijweg</t>
  </si>
  <si>
    <t>Flankstraat 11</t>
  </si>
  <si>
    <t>0331</t>
  </si>
  <si>
    <t>FGM Solar Renewable S.R.L.</t>
  </si>
  <si>
    <t>T. Eenhuistra/J. Pluimakers</t>
  </si>
  <si>
    <t>Franselaan 273B</t>
  </si>
  <si>
    <t>0019</t>
  </si>
  <si>
    <t>FISSH B.V.</t>
  </si>
  <si>
    <t>T. Hoolhorst</t>
  </si>
  <si>
    <t>Franz Liszstraat 5</t>
  </si>
  <si>
    <t>0067</t>
  </si>
  <si>
    <t>T. van de Moosdijk</t>
  </si>
  <si>
    <t>G.A. Brederolaan 75B</t>
  </si>
  <si>
    <t>0017</t>
  </si>
  <si>
    <t>Fam. Derwig</t>
  </si>
  <si>
    <t>TH Mungroop</t>
  </si>
  <si>
    <t>Gaffelaar 3</t>
  </si>
  <si>
    <t>0069</t>
  </si>
  <si>
    <t>Fareon Z Nederland</t>
  </si>
  <si>
    <t>Tradiro</t>
  </si>
  <si>
    <t>Galgeweg 48-A</t>
  </si>
  <si>
    <t>0009</t>
  </si>
  <si>
    <t>Fasttravel Taxi</t>
  </si>
  <si>
    <t>Transformatiehaven BV</t>
  </si>
  <si>
    <t>Geldersestraat 91</t>
  </si>
  <si>
    <t>0109</t>
  </si>
  <si>
    <t>Feel Flex B.V.</t>
  </si>
  <si>
    <t>TwinsBV</t>
  </si>
  <si>
    <t>Geleenstraat 1</t>
  </si>
  <si>
    <t>0070</t>
  </si>
  <si>
    <t>Finest Housing B.V.</t>
  </si>
  <si>
    <t>Value+ Vastgoedmanagement</t>
  </si>
  <si>
    <t>Gerberalaan 113</t>
  </si>
  <si>
    <t>0277</t>
  </si>
  <si>
    <t>Finishing De Luxe GmbH</t>
  </si>
  <si>
    <t>Vattenfall</t>
  </si>
  <si>
    <t>Goudestein 30</t>
  </si>
  <si>
    <t>0170</t>
  </si>
  <si>
    <t>Fix Personeelsdiensten</t>
  </si>
  <si>
    <t>Verknocht</t>
  </si>
  <si>
    <t>Groenelaan 30B</t>
  </si>
  <si>
    <t>0025</t>
  </si>
  <si>
    <t>Flex House Renting B.V.</t>
  </si>
  <si>
    <t>Veurink</t>
  </si>
  <si>
    <t>Groeneweg 127</t>
  </si>
  <si>
    <t>0172</t>
  </si>
  <si>
    <t>Flex Pons B.V.</t>
  </si>
  <si>
    <t>Vivir wonen (Mendy)</t>
  </si>
  <si>
    <t xml:space="preserve">Groeneweg 71 </t>
  </si>
  <si>
    <t>0173</t>
  </si>
  <si>
    <t>FlexState B.V.</t>
  </si>
  <si>
    <t>Vondellaan vastgoed</t>
  </si>
  <si>
    <t>Groeneweg 74</t>
  </si>
  <si>
    <t>0174</t>
  </si>
  <si>
    <t>Flexbo B.V.</t>
  </si>
  <si>
    <t>W. van Straalen</t>
  </si>
  <si>
    <t>H. Algraplein 25</t>
  </si>
  <si>
    <t>0071</t>
  </si>
  <si>
    <t>Flexcraft SSC BV</t>
  </si>
  <si>
    <t>Westhavendomein</t>
  </si>
  <si>
    <t>Haagkamp 11</t>
  </si>
  <si>
    <t>0279</t>
  </si>
  <si>
    <t>Flextalent4u Uitzenden B.V.</t>
  </si>
  <si>
    <t>Wooninq</t>
  </si>
  <si>
    <t>Hagastraat 8</t>
  </si>
  <si>
    <t>0175</t>
  </si>
  <si>
    <t>Flexvesting B.V.</t>
  </si>
  <si>
    <t>Z. Yilmaz</t>
  </si>
  <si>
    <t>Heemskerkstraat 19</t>
  </si>
  <si>
    <t>0072</t>
  </si>
  <si>
    <t>Flowerhill B.V.</t>
  </si>
  <si>
    <t>Ziggo</t>
  </si>
  <si>
    <t>Hendrik Deddenstraat 26</t>
  </si>
  <si>
    <t>0073</t>
  </si>
  <si>
    <t>Focuzop-eu</t>
  </si>
  <si>
    <t>Hendriklaan 49</t>
  </si>
  <si>
    <t>0325</t>
  </si>
  <si>
    <t>Fryslân Homes</t>
  </si>
  <si>
    <t xml:space="preserve">Herautpad 22 </t>
  </si>
  <si>
    <t>0176</t>
  </si>
  <si>
    <t>Furniture Lease</t>
  </si>
  <si>
    <t>Herenpad 20 A</t>
  </si>
  <si>
    <t>0133</t>
  </si>
  <si>
    <t>G.D. Dijkstra</t>
  </si>
  <si>
    <t>Herenpad 20 B</t>
  </si>
  <si>
    <t>0134</t>
  </si>
  <si>
    <t>Hoefslag 8</t>
  </si>
  <si>
    <t>0107</t>
  </si>
  <si>
    <t>GAP Costruzioni S.r.l.</t>
  </si>
  <si>
    <t>Hof van zeeland 2</t>
  </si>
  <si>
    <t>0334</t>
  </si>
  <si>
    <t>GMC KOVI Global Metal Construction</t>
  </si>
  <si>
    <t>Hoge Noordweg 27B</t>
  </si>
  <si>
    <t>0177</t>
  </si>
  <si>
    <t>GOTI Verhuur B.V.</t>
  </si>
  <si>
    <t>Hoge Noordweg 28</t>
  </si>
  <si>
    <t>0178</t>
  </si>
  <si>
    <t>GSI B.V.</t>
  </si>
  <si>
    <t>Hogenbanweg 331</t>
  </si>
  <si>
    <t>0031</t>
  </si>
  <si>
    <t>Gap Costruzioni Dutch Branch</t>
  </si>
  <si>
    <t>Hontenissestraat 124</t>
  </si>
  <si>
    <t>0181</t>
  </si>
  <si>
    <t>Gastvrijaanzee.nl</t>
  </si>
  <si>
    <t>Hoofdstraat 110</t>
  </si>
  <si>
    <t>0075</t>
  </si>
  <si>
    <t>Gemeente Waadhoeke</t>
  </si>
  <si>
    <t>Hooizolder 6</t>
  </si>
  <si>
    <t>0078</t>
  </si>
  <si>
    <t>Global Accomodation Solutions (Incassobureau)</t>
  </si>
  <si>
    <t>Hugo de Grootstraat 72A &amp; B</t>
  </si>
  <si>
    <t>0147</t>
  </si>
  <si>
    <t>Global Expatriate Services SL</t>
  </si>
  <si>
    <t xml:space="preserve">Hugo de Vriesstraat 54 </t>
  </si>
  <si>
    <t>0183</t>
  </si>
  <si>
    <t>Gridin's Group LT</t>
  </si>
  <si>
    <t>Industriestraat 9</t>
  </si>
  <si>
    <t>0391</t>
  </si>
  <si>
    <t>Groene Hart Service Detachering B.V.</t>
  </si>
  <si>
    <t>Inundatiestraat 3</t>
  </si>
  <si>
    <t>0039</t>
  </si>
  <si>
    <t>H. Molla Farajzadeh</t>
  </si>
  <si>
    <t>Jacob van Lennepstraat 13 A</t>
  </si>
  <si>
    <t>0187</t>
  </si>
  <si>
    <t>H. van den Berg</t>
  </si>
  <si>
    <t>Jacob van Lennepstraat 13 b</t>
  </si>
  <si>
    <t>0188</t>
  </si>
  <si>
    <t>H.A. Samsom &amp; M.E.P. Knaap</t>
  </si>
  <si>
    <t>Jacob van Lennepstraat 34</t>
  </si>
  <si>
    <t>0189</t>
  </si>
  <si>
    <t>H.C. van Os - Remeeus</t>
  </si>
  <si>
    <t>Jacob van offwegenlaan 26</t>
  </si>
  <si>
    <t>0032</t>
  </si>
  <si>
    <t>H.T.C. Facility Services B.V.</t>
  </si>
  <si>
    <t>Jan van Arkelstraat 118</t>
  </si>
  <si>
    <t>0191</t>
  </si>
  <si>
    <t>HBBwonen.nu B.V.</t>
  </si>
  <si>
    <t>Jasmijnring 37</t>
  </si>
  <si>
    <t>0087</t>
  </si>
  <si>
    <t>HJC Service</t>
  </si>
  <si>
    <t>Johan Willem Frisostraat 36</t>
  </si>
  <si>
    <t>0146</t>
  </si>
  <si>
    <t>Habroko B.V.</t>
  </si>
  <si>
    <t xml:space="preserve">Kaapsebos 11 </t>
  </si>
  <si>
    <t>0192</t>
  </si>
  <si>
    <t>Head Vastgoed B.V.</t>
  </si>
  <si>
    <t>Kanaal van Steenenhoek Z.Z. 10</t>
  </si>
  <si>
    <t>0082</t>
  </si>
  <si>
    <t>Heijdra Dhr. H.M.</t>
  </si>
  <si>
    <t>Kapershoek 11</t>
  </si>
  <si>
    <t>0193</t>
  </si>
  <si>
    <t>Hiltermann Lease B.V.</t>
  </si>
  <si>
    <t>Karel Doormanlaan 21A</t>
  </si>
  <si>
    <t>0274</t>
  </si>
  <si>
    <t>Hiway Operational Company B.V.</t>
  </si>
  <si>
    <t>Kastanjelaan 232</t>
  </si>
  <si>
    <t>0159</t>
  </si>
  <si>
    <t>Holland Chalet Park</t>
  </si>
  <si>
    <t>Keesomstraat 22</t>
  </si>
  <si>
    <t>0194</t>
  </si>
  <si>
    <t>Homekeur B.V.</t>
  </si>
  <si>
    <t xml:space="preserve">Keesomstraat 50 </t>
  </si>
  <si>
    <t>0195</t>
  </si>
  <si>
    <t>Homescout21 B.V.</t>
  </si>
  <si>
    <t>Keesomstraat 54</t>
  </si>
  <si>
    <t>0196</t>
  </si>
  <si>
    <t>Horus Team Sp. Z.o.o.</t>
  </si>
  <si>
    <t>Kerkdreef 42</t>
  </si>
  <si>
    <t>0084</t>
  </si>
  <si>
    <t>Kerkweg 9A [333]</t>
  </si>
  <si>
    <t>0312</t>
  </si>
  <si>
    <t>Housing en Transport Facilities B.V.</t>
  </si>
  <si>
    <t>Kerkweg 9A [334]</t>
  </si>
  <si>
    <t>0313</t>
  </si>
  <si>
    <t>Housing en Transport Facilities BV</t>
  </si>
  <si>
    <t>Kerkweg 9A [338]</t>
  </si>
  <si>
    <t>0314</t>
  </si>
  <si>
    <t>HousingWell B.V.</t>
  </si>
  <si>
    <t>Kerkweg 9A [347]</t>
  </si>
  <si>
    <t>0317</t>
  </si>
  <si>
    <t>Houvast Estates B.V.</t>
  </si>
  <si>
    <t>Kerkweg 9a [135]</t>
  </si>
  <si>
    <t>0308</t>
  </si>
  <si>
    <t>Hugo Vastgoed B.V.</t>
  </si>
  <si>
    <t xml:space="preserve">Kerkweg 9a [137] </t>
  </si>
  <si>
    <t>0309</t>
  </si>
  <si>
    <t>I.I. Bhaggoe</t>
  </si>
  <si>
    <t>Kerkweg 9a [210]</t>
  </si>
  <si>
    <t>0310</t>
  </si>
  <si>
    <t>I.T.S. SR.L. (INDUSTRIAL TECHNICAL SERVICES), BRAN</t>
  </si>
  <si>
    <t>Kerkweg 9a [269]</t>
  </si>
  <si>
    <t>0311</t>
  </si>
  <si>
    <t>IC Idea Complex Sp. Z.o.o.</t>
  </si>
  <si>
    <t>Kerkweg 9a [340]</t>
  </si>
  <si>
    <t>0332</t>
  </si>
  <si>
    <t>ICS Impianti S.R.L.</t>
  </si>
  <si>
    <t>Kerkweg 9a [342]</t>
  </si>
  <si>
    <t>0315</t>
  </si>
  <si>
    <t>IFC B.V.</t>
  </si>
  <si>
    <t>Kerkweg 9a [346]</t>
  </si>
  <si>
    <t>0316</t>
  </si>
  <si>
    <t>IPS Industrial Plant Solutions Kft.</t>
  </si>
  <si>
    <t>Kerkweg 9a [348]</t>
  </si>
  <si>
    <t>0338</t>
  </si>
  <si>
    <t>Impes Service S.p.A.</t>
  </si>
  <si>
    <t>Kerkweg 9a [349]</t>
  </si>
  <si>
    <t>0318</t>
  </si>
  <si>
    <t>Impianti Industriala S.P.A. NEDERLAND BRANCH</t>
  </si>
  <si>
    <t>Kerkweg 9a [356]</t>
  </si>
  <si>
    <t>0319</t>
  </si>
  <si>
    <t>In Stijl Totaalbouw BV</t>
  </si>
  <si>
    <t>Kerkweg 9a [357]</t>
  </si>
  <si>
    <t>0339</t>
  </si>
  <si>
    <t>InAxtion Vastgoed B.V.</t>
  </si>
  <si>
    <t>Kerkweg 9a [359]</t>
  </si>
  <si>
    <t>0320</t>
  </si>
  <si>
    <t>Industrial Technical Services Srl</t>
  </si>
  <si>
    <t>Kerkweg 9a [453]</t>
  </si>
  <si>
    <t>0321</t>
  </si>
  <si>
    <t>Interim Jobs B.V.</t>
  </si>
  <si>
    <t>Kerkwerversingel 127</t>
  </si>
  <si>
    <t>0225</t>
  </si>
  <si>
    <t>Interwel Oost B.V.</t>
  </si>
  <si>
    <t>Kerstendijk 125</t>
  </si>
  <si>
    <t>0199</t>
  </si>
  <si>
    <t>I–Housing Vastgoed Beheer B.V.</t>
  </si>
  <si>
    <t>Kethelweg 1B</t>
  </si>
  <si>
    <t>0010</t>
  </si>
  <si>
    <t>J. Hermans</t>
  </si>
  <si>
    <t>Kethelweg 1C</t>
  </si>
  <si>
    <t>0011</t>
  </si>
  <si>
    <t>J. Hogervorst</t>
  </si>
  <si>
    <t>Kethelweg 66 D</t>
  </si>
  <si>
    <t>0333</t>
  </si>
  <si>
    <t>J. J. van Veen</t>
  </si>
  <si>
    <t>Kethelweg 66A</t>
  </si>
  <si>
    <t>0088</t>
  </si>
  <si>
    <t>J. Kuipers</t>
  </si>
  <si>
    <t xml:space="preserve">Kethelweg 66B </t>
  </si>
  <si>
    <t>0122</t>
  </si>
  <si>
    <t>J. Luijsterburg</t>
  </si>
  <si>
    <t>Kethelweg 66C</t>
  </si>
  <si>
    <t>0033</t>
  </si>
  <si>
    <t>J. van Heeswijk</t>
  </si>
  <si>
    <t>Kethelweg 68A</t>
  </si>
  <si>
    <t>0034</t>
  </si>
  <si>
    <t>J.D. Jongsma</t>
  </si>
  <si>
    <t>Kierkegaardhof 54</t>
  </si>
  <si>
    <t>0085</t>
  </si>
  <si>
    <t>JC Kemp</t>
  </si>
  <si>
    <t>Kimbrenoord 15</t>
  </si>
  <si>
    <t>0202</t>
  </si>
  <si>
    <t>JES Funding &amp; Beheer B.V.</t>
  </si>
  <si>
    <t>Kimbrenoord 49</t>
  </si>
  <si>
    <t>0359</t>
  </si>
  <si>
    <t>JJM Personeel B.V.</t>
  </si>
  <si>
    <t>Kleine Beer 60</t>
  </si>
  <si>
    <t>0086</t>
  </si>
  <si>
    <t>JPJ Stoel</t>
  </si>
  <si>
    <t>Koningin Julianastraat 27</t>
  </si>
  <si>
    <t>0119</t>
  </si>
  <si>
    <t>JT Glazenwasserij en Schoonmaakdiensten</t>
  </si>
  <si>
    <t>Koperwerf 28</t>
  </si>
  <si>
    <t>0291</t>
  </si>
  <si>
    <t>Jacco Maat</t>
  </si>
  <si>
    <t>Korte Singelstraat 21-2</t>
  </si>
  <si>
    <t>0126</t>
  </si>
  <si>
    <t>Jan Luijsterburg Beheer B.V.</t>
  </si>
  <si>
    <t>Korte Singelstraat 21-3</t>
  </si>
  <si>
    <t>0125</t>
  </si>
  <si>
    <t>Krabbendijkestraat 456</t>
  </si>
  <si>
    <t>0198</t>
  </si>
  <si>
    <t>Jong de SAW Dhr</t>
  </si>
  <si>
    <t xml:space="preserve">Kreekrug 1 </t>
  </si>
  <si>
    <t>0205</t>
  </si>
  <si>
    <t>Joost de Jong Holding B.V.</t>
  </si>
  <si>
    <t>Kritostraat 54</t>
  </si>
  <si>
    <t>0389</t>
  </si>
  <si>
    <t>Joyce Bakker Advies</t>
  </si>
  <si>
    <t>Kruiningenstraat 152</t>
  </si>
  <si>
    <t>0206</t>
  </si>
  <si>
    <t>K-Power Netherlands Kft</t>
  </si>
  <si>
    <t>Kruiningenstraat 185</t>
  </si>
  <si>
    <t>0360</t>
  </si>
  <si>
    <t>KODE Staffhousing B.V.</t>
  </si>
  <si>
    <t>Kruisweg 16</t>
  </si>
  <si>
    <t>0337</t>
  </si>
  <si>
    <t>Kadaster</t>
  </si>
  <si>
    <t>Kuipers-Rietbergpad 15</t>
  </si>
  <si>
    <t>0157</t>
  </si>
  <si>
    <t>Kajuit</t>
  </si>
  <si>
    <t xml:space="preserve">Kwekerslaan 7 </t>
  </si>
  <si>
    <t>0382</t>
  </si>
  <si>
    <t>Kapitan Workers Sp. Z.o.o.</t>
  </si>
  <si>
    <t>Kwikstaartweg 45</t>
  </si>
  <si>
    <t>0207</t>
  </si>
  <si>
    <t>Kapitein &amp; Personeel B.V</t>
  </si>
  <si>
    <t>Laan op Zuid 949</t>
  </si>
  <si>
    <t>0365</t>
  </si>
  <si>
    <t>Karadeniz Diensten</t>
  </si>
  <si>
    <t>Laan van Adrichem 12</t>
  </si>
  <si>
    <t>0209</t>
  </si>
  <si>
    <t>Key4work B.V.</t>
  </si>
  <si>
    <t>Laan van Nieuw Blankenburg 278</t>
  </si>
  <si>
    <t>0090</t>
  </si>
  <si>
    <t>Keypro B.V.</t>
  </si>
  <si>
    <t>Laan van Nieuw Blankenburg 328</t>
  </si>
  <si>
    <t>0185</t>
  </si>
  <si>
    <t>Kiose Yacht Finishing</t>
  </si>
  <si>
    <t>Landsteinerhof 68</t>
  </si>
  <si>
    <t>0091</t>
  </si>
  <si>
    <t>Klaas Bos</t>
  </si>
  <si>
    <t>Lange Brink 3</t>
  </si>
  <si>
    <t>0092</t>
  </si>
  <si>
    <t>Kleijweg projects</t>
  </si>
  <si>
    <t>Lange Broekweg 46</t>
  </si>
  <si>
    <t>0278</t>
  </si>
  <si>
    <t>Koens T. Dhr.</t>
  </si>
  <si>
    <t>Lange kruisweg 12</t>
  </si>
  <si>
    <t>0028</t>
  </si>
  <si>
    <t>Kwekerij Stef Kleijweg</t>
  </si>
  <si>
    <t>Lavendelpad 6</t>
  </si>
  <si>
    <t>0385</t>
  </si>
  <si>
    <t>L. Keizer</t>
  </si>
  <si>
    <t>Lekdijk 14</t>
  </si>
  <si>
    <t>0366</t>
  </si>
  <si>
    <t>L.M. Schilstra</t>
  </si>
  <si>
    <t>Liesveld 100</t>
  </si>
  <si>
    <t>0180</t>
  </si>
  <si>
    <t>LZ Auto- en Motorservice B.V.</t>
  </si>
  <si>
    <t>Loggerstraat 3</t>
  </si>
  <si>
    <t>0096</t>
  </si>
  <si>
    <t>Labour Housing BV</t>
  </si>
  <si>
    <t>Lorentzstraat 73</t>
  </si>
  <si>
    <t>0210</t>
  </si>
  <si>
    <t>Lago Personeelshuisvesting B.V.</t>
  </si>
  <si>
    <t xml:space="preserve">Maasdijk 206 </t>
  </si>
  <si>
    <t>0211</t>
  </si>
  <si>
    <t>Langweer Vastgoed B.V.</t>
  </si>
  <si>
    <t xml:space="preserve">Maasdijk 69 </t>
  </si>
  <si>
    <t>0015</t>
  </si>
  <si>
    <t>Leen Bakker Nederland B.V.</t>
  </si>
  <si>
    <t>Madeliefstraat 46c</t>
  </si>
  <si>
    <t>0029</t>
  </si>
  <si>
    <t>Level 5 Assetmanagement B.V.</t>
  </si>
  <si>
    <t>Madeweg 25C</t>
  </si>
  <si>
    <t>0282</t>
  </si>
  <si>
    <t>Lievaart B.V.</t>
  </si>
  <si>
    <t>Madeweg 35A</t>
  </si>
  <si>
    <t>0283</t>
  </si>
  <si>
    <t>Light Personeelsdiensten</t>
  </si>
  <si>
    <t>Malzwin 34</t>
  </si>
  <si>
    <t>0182</t>
  </si>
  <si>
    <t>Light Personeelsdiensten BV</t>
  </si>
  <si>
    <t>Marathonlaan 26</t>
  </si>
  <si>
    <t>0118</t>
  </si>
  <si>
    <t>Lilit Home Makelaardij</t>
  </si>
  <si>
    <t xml:space="preserve">Markt 5 </t>
  </si>
  <si>
    <t>0057</t>
  </si>
  <si>
    <t>Lion Trading</t>
  </si>
  <si>
    <t>Marnixstraat 32</t>
  </si>
  <si>
    <t>0323</t>
  </si>
  <si>
    <t>LogIQ Barendrecht B.V.</t>
  </si>
  <si>
    <t>Mathenesserdijk 261-C03</t>
  </si>
  <si>
    <t>0184</t>
  </si>
  <si>
    <t>Looije Facilities B.V.</t>
  </si>
  <si>
    <t>Meester G. Groen van Prinsterlaan 313</t>
  </si>
  <si>
    <t>0018</t>
  </si>
  <si>
    <t>M van den Berg e/o H van den Berg</t>
  </si>
  <si>
    <t>Melis Stokezijde 94</t>
  </si>
  <si>
    <t>0098</t>
  </si>
  <si>
    <t>Mendelssohnplein 10C</t>
  </si>
  <si>
    <t>0215</t>
  </si>
  <si>
    <t>M.A. Pronk</t>
  </si>
  <si>
    <t>Mendelssohnplein 13D</t>
  </si>
  <si>
    <t>0214</t>
  </si>
  <si>
    <t>M.C. Claassen</t>
  </si>
  <si>
    <t>Mendelssohnplein 46a</t>
  </si>
  <si>
    <t>0216</t>
  </si>
  <si>
    <t>M.J. van Os</t>
  </si>
  <si>
    <t>Messchaertplein 39</t>
  </si>
  <si>
    <t>0035</t>
  </si>
  <si>
    <t>M@tchm@kers International B.V.</t>
  </si>
  <si>
    <t>Messchaertplein 40</t>
  </si>
  <si>
    <t>0036</t>
  </si>
  <si>
    <t>MB Kewal</t>
  </si>
  <si>
    <t>0037</t>
  </si>
  <si>
    <t>MBS Services B.V.</t>
  </si>
  <si>
    <t>Middelrode 8</t>
  </si>
  <si>
    <t>0217</t>
  </si>
  <si>
    <t>MC Mostert prive</t>
  </si>
  <si>
    <t>Middenbaan Noord 18A</t>
  </si>
  <si>
    <t>0251</t>
  </si>
  <si>
    <t>MDI Techniek B.V.</t>
  </si>
  <si>
    <t xml:space="preserve">Middenbaan Noord 18B </t>
  </si>
  <si>
    <t>0252</t>
  </si>
  <si>
    <t>MK Contracting BV</t>
  </si>
  <si>
    <t>Middenbaan Noord 18C</t>
  </si>
  <si>
    <t>0253</t>
  </si>
  <si>
    <t>MNA Proud Facilities B.V.</t>
  </si>
  <si>
    <t>Middenbaan Noord 20A</t>
  </si>
  <si>
    <t>0254</t>
  </si>
  <si>
    <t>MPC Energy B.V.</t>
  </si>
  <si>
    <t>Middenbaan Noord 20B</t>
  </si>
  <si>
    <t>0255</t>
  </si>
  <si>
    <t>Maatschap J.W. Meershoek &amp; W.M. Meershoek</t>
  </si>
  <si>
    <t>Middenbaan Noord 20C</t>
  </si>
  <si>
    <t>0256</t>
  </si>
  <si>
    <t>Maatschap Van Driel - Vd Vlist</t>
  </si>
  <si>
    <t>Middenbaan Noord 22A</t>
  </si>
  <si>
    <t>0257</t>
  </si>
  <si>
    <t>Marco is Vastgoed B.V.</t>
  </si>
  <si>
    <t>Middenbaan Noord 22B</t>
  </si>
  <si>
    <t>0258</t>
  </si>
  <si>
    <t>Marco van Beek B.V.</t>
  </si>
  <si>
    <t xml:space="preserve">Middenbaan Noord 22C </t>
  </si>
  <si>
    <t>0259</t>
  </si>
  <si>
    <t>Maria</t>
  </si>
  <si>
    <t>Miltonstraat 55</t>
  </si>
  <si>
    <t>0219</t>
  </si>
  <si>
    <t>Marseille Bax Van Maanen Rotterdamse account.</t>
  </si>
  <si>
    <t>Miltonstraat 85</t>
  </si>
  <si>
    <t>0220</t>
  </si>
  <si>
    <t>Mavi Vastgoed</t>
  </si>
  <si>
    <t>Molendijk 4</t>
  </si>
  <si>
    <t>0076</t>
  </si>
  <si>
    <t>Maytree Invest</t>
  </si>
  <si>
    <t>Molenstraat 10</t>
  </si>
  <si>
    <t>0221</t>
  </si>
  <si>
    <t>Mediterranean Careers Netherlands B.V.</t>
  </si>
  <si>
    <t>Molenstraat 23</t>
  </si>
  <si>
    <t>0222</t>
  </si>
  <si>
    <t>Meerdervoort Queda Real B.V.</t>
  </si>
  <si>
    <t>Molenweg 135</t>
  </si>
  <si>
    <t>0100</t>
  </si>
  <si>
    <t>Milieu Service Brabant</t>
  </si>
  <si>
    <t>Molenweg 3A</t>
  </si>
  <si>
    <t>0284</t>
  </si>
  <si>
    <t>Mooswijk T.R. &amp; Plugers R.</t>
  </si>
  <si>
    <t>Molenweg 3B</t>
  </si>
  <si>
    <t>0335</t>
  </si>
  <si>
    <t>Multiservizi Romania SRL</t>
  </si>
  <si>
    <t>Monseigneur W.M. Bekkerslaan 34</t>
  </si>
  <si>
    <t>0074</t>
  </si>
  <si>
    <t>Multiserwis SP z o.o.</t>
  </si>
  <si>
    <t>Monsterseweg 26A</t>
  </si>
  <si>
    <t>0358</t>
  </si>
  <si>
    <t>MvB Services</t>
  </si>
  <si>
    <t>Moureauveld 8</t>
  </si>
  <si>
    <t>0101</t>
  </si>
  <si>
    <t>Mw. M. Hyllested Poulsen en Dhr. S. Crull</t>
  </si>
  <si>
    <t>Mr. L.A. Kesperweg 31A</t>
  </si>
  <si>
    <t>0208</t>
  </si>
  <si>
    <t>N2people B.V.</t>
  </si>
  <si>
    <t>Mr. Troelstrastraat 11</t>
  </si>
  <si>
    <t>0213</t>
  </si>
  <si>
    <t>NL Realty B.V.</t>
  </si>
  <si>
    <t>Mr. Troelstrastraat 37</t>
  </si>
  <si>
    <t>0020</t>
  </si>
  <si>
    <t>Nerom Flex B.V.</t>
  </si>
  <si>
    <t xml:space="preserve">Narcissenstraat 23 </t>
  </si>
  <si>
    <t>0103</t>
  </si>
  <si>
    <t>Nerom Industrial Flex B.V.</t>
  </si>
  <si>
    <t>Narcissenstraat 37</t>
  </si>
  <si>
    <t>0104</t>
  </si>
  <si>
    <t>O.J.P Soc Construções</t>
  </si>
  <si>
    <t>Narcissenstraat 9</t>
  </si>
  <si>
    <t>0102</t>
  </si>
  <si>
    <t>O.P.H. Verhuur B.V. / Eigenaar.nl</t>
  </si>
  <si>
    <t>Nicolaas Beetsstraat 29</t>
  </si>
  <si>
    <t>0224</t>
  </si>
  <si>
    <t>O.Vasiutina</t>
  </si>
  <si>
    <t>Nieuwe Zeedijk 1K 308</t>
  </si>
  <si>
    <t>0108</t>
  </si>
  <si>
    <t>OGSS BV</t>
  </si>
  <si>
    <t>Nieuwenhoornstraat 46B</t>
  </si>
  <si>
    <t>0046</t>
  </si>
  <si>
    <t>OJP B.V.</t>
  </si>
  <si>
    <t>Nieuwkerstraat 78</t>
  </si>
  <si>
    <t>0166</t>
  </si>
  <si>
    <t>Odido Netherlands</t>
  </si>
  <si>
    <t>Noordmolenstraat 36a</t>
  </si>
  <si>
    <t>0328</t>
  </si>
  <si>
    <t>Oostkracht Bemiddeling B.V.</t>
  </si>
  <si>
    <t>Noordmolenstraat 36b</t>
  </si>
  <si>
    <t>0329</t>
  </si>
  <si>
    <t>Optima Uitzendbureau B.V.</t>
  </si>
  <si>
    <t>Noordmolenstraat 36c</t>
  </si>
  <si>
    <t>0330</t>
  </si>
  <si>
    <t>Nunspeetlaan 14</t>
  </si>
  <si>
    <t>0001</t>
  </si>
  <si>
    <t>Orange Investments Group B.V.</t>
  </si>
  <si>
    <t>Nunspeetlaan 53</t>
  </si>
  <si>
    <t>0041</t>
  </si>
  <si>
    <t>Oranjegroep Vastgoed B.V.</t>
  </si>
  <si>
    <t>Ofwegen 1A</t>
  </si>
  <si>
    <t>0336</t>
  </si>
  <si>
    <t>Oxrooms</t>
  </si>
  <si>
    <t>Oosterstraat 89</t>
  </si>
  <si>
    <t>0111</t>
  </si>
  <si>
    <t>P. Gryspeerdt</t>
  </si>
  <si>
    <t xml:space="preserve">Oostlaan 3 </t>
  </si>
  <si>
    <t>0227</t>
  </si>
  <si>
    <t>Opaal 9</t>
  </si>
  <si>
    <t>0110</t>
  </si>
  <si>
    <t>P. Ter Haar-Ros</t>
  </si>
  <si>
    <t>Oranjestraat 63</t>
  </si>
  <si>
    <t>0369</t>
  </si>
  <si>
    <t>PMM Workforce Management Ltd</t>
  </si>
  <si>
    <t>Oudewefslaan 84</t>
  </si>
  <si>
    <t>0112</t>
  </si>
  <si>
    <t>PRP Solutions Flex Sp. Z.O.O</t>
  </si>
  <si>
    <t>P.F. Catsstraat 8</t>
  </si>
  <si>
    <t>0218</t>
  </si>
  <si>
    <t>Parallelweg 110A</t>
  </si>
  <si>
    <t>0042</t>
  </si>
  <si>
    <t>People21 Services BV</t>
  </si>
  <si>
    <t>Parallelweg 114C</t>
  </si>
  <si>
    <t>0380</t>
  </si>
  <si>
    <t>PersoneelDirectFriesland</t>
  </si>
  <si>
    <t xml:space="preserve">Parallelweg 122A </t>
  </si>
  <si>
    <t>0228</t>
  </si>
  <si>
    <t>Plural Albufeira S.R.L.</t>
  </si>
  <si>
    <t>Parallelweg 134B</t>
  </si>
  <si>
    <t>0381</t>
  </si>
  <si>
    <t>Pol Flex B.V.</t>
  </si>
  <si>
    <t>Parallelweg 98B</t>
  </si>
  <si>
    <t>0229</t>
  </si>
  <si>
    <t>Profectus Staffing Solutions</t>
  </si>
  <si>
    <t>Pasteursingel 61B</t>
  </si>
  <si>
    <t>0230</t>
  </si>
  <si>
    <t>Quality Home Rentals</t>
  </si>
  <si>
    <t>Pastoor Gillisstraat 81-A</t>
  </si>
  <si>
    <t>0344</t>
  </si>
  <si>
    <t>R&amp;E Services</t>
  </si>
  <si>
    <t>Pastoriedijk 89</t>
  </si>
  <si>
    <t>0083</t>
  </si>
  <si>
    <t>R. Bassil</t>
  </si>
  <si>
    <t>Patrijsstraat 39</t>
  </si>
  <si>
    <t>0081</t>
  </si>
  <si>
    <t>RNDV Industries</t>
  </si>
  <si>
    <t>Persoonsdam 176</t>
  </si>
  <si>
    <t>0260</t>
  </si>
  <si>
    <t>RNVD Industries</t>
  </si>
  <si>
    <t>Persoonsdam 177</t>
  </si>
  <si>
    <t>0261</t>
  </si>
  <si>
    <t>Randstad Wonen</t>
  </si>
  <si>
    <t>Persoonsdam 178</t>
  </si>
  <si>
    <t>0262</t>
  </si>
  <si>
    <t>Ras R.A. Dhr.</t>
  </si>
  <si>
    <t>Persoonsdam 179</t>
  </si>
  <si>
    <t>0263</t>
  </si>
  <si>
    <t>Reham Verhuur B.V.</t>
  </si>
  <si>
    <t>Persoonsdam 180</t>
  </si>
  <si>
    <t>0264</t>
  </si>
  <si>
    <t>Resource One B.V.</t>
  </si>
  <si>
    <t>Persoonsdam 181</t>
  </si>
  <si>
    <t>0265</t>
  </si>
  <si>
    <t>Robert L.P. de Jonge</t>
  </si>
  <si>
    <t>Persoonsdam 182</t>
  </si>
  <si>
    <t>0266</t>
  </si>
  <si>
    <t>Royal DS Personeel-service</t>
  </si>
  <si>
    <t>Persoonsdam 194</t>
  </si>
  <si>
    <t>0267</t>
  </si>
  <si>
    <t>Persoonsdam 196</t>
  </si>
  <si>
    <t>0349</t>
  </si>
  <si>
    <t>RyanRent B.V.</t>
  </si>
  <si>
    <t>Persoonsdam 198</t>
  </si>
  <si>
    <t>0268</t>
  </si>
  <si>
    <t>S Kleijweg</t>
  </si>
  <si>
    <t>Peursumseweg 119A</t>
  </si>
  <si>
    <t>0113</t>
  </si>
  <si>
    <t>S. Bakker OPH Verhuur</t>
  </si>
  <si>
    <t>Piersonstraat 8</t>
  </si>
  <si>
    <t>0114</t>
  </si>
  <si>
    <t>S. Dolstra</t>
  </si>
  <si>
    <t>Plaats 10</t>
  </si>
  <si>
    <t>0120</t>
  </si>
  <si>
    <t>Platostraat 80</t>
  </si>
  <si>
    <t>0231</t>
  </si>
  <si>
    <t>S. Marinus (zie 50200)</t>
  </si>
  <si>
    <t>Pleinweg 101 A</t>
  </si>
  <si>
    <t>0044</t>
  </si>
  <si>
    <t>S. Meijer</t>
  </si>
  <si>
    <t>Pleinweg 101 B</t>
  </si>
  <si>
    <t>0045</t>
  </si>
  <si>
    <t>SHGJ Ribbink</t>
  </si>
  <si>
    <t>Ploegstraat 2a</t>
  </si>
  <si>
    <t>0079</t>
  </si>
  <si>
    <t>SS Kara Yacht Painters LLP</t>
  </si>
  <si>
    <t>Poeldijkseweg 27</t>
  </si>
  <si>
    <t>0285</t>
  </si>
  <si>
    <t>STANA d.o.o.</t>
  </si>
  <si>
    <t>Poeldijkseweg 29</t>
  </si>
  <si>
    <t>0378</t>
  </si>
  <si>
    <t>Sagius Uitzenders B.V.</t>
  </si>
  <si>
    <t>Poolsestraat 29A</t>
  </si>
  <si>
    <t>0386</t>
  </si>
  <si>
    <t>Showtuin Nederland B.V.</t>
  </si>
  <si>
    <t>Poppestraat 59</t>
  </si>
  <si>
    <t>0115</t>
  </si>
  <si>
    <t>Shtan Vitaliy</t>
  </si>
  <si>
    <t>Prins Bernhardstraat 40</t>
  </si>
  <si>
    <t>0116</t>
  </si>
  <si>
    <t>Soul inn B.B B.V</t>
  </si>
  <si>
    <t>Prins Willemweg 2</t>
  </si>
  <si>
    <t>0287</t>
  </si>
  <si>
    <t>Space4U B.V.</t>
  </si>
  <si>
    <t>Prinses Wilhelminastraat 9</t>
  </si>
  <si>
    <t>0106</t>
  </si>
  <si>
    <t>St. Zakelijke Beh.rek. Dijkstra Vastgoedbeh.</t>
  </si>
  <si>
    <t>Professor Kamerlingh Onneslaan 134 A</t>
  </si>
  <si>
    <t>0269</t>
  </si>
  <si>
    <t>Stay21</t>
  </si>
  <si>
    <t>Professor Kamerlingh Onneslaan 134 B1</t>
  </si>
  <si>
    <t>0270</t>
  </si>
  <si>
    <t>StayProjects Group Netherlands B.V.</t>
  </si>
  <si>
    <t>Professor Kamerlingh Onneslaan 134 B2</t>
  </si>
  <si>
    <t>0271</t>
  </si>
  <si>
    <t>Stichting Bewaring PRMD</t>
  </si>
  <si>
    <t>Professor Kamerlingh Onneslaan 134 B3</t>
  </si>
  <si>
    <t>0272</t>
  </si>
  <si>
    <t>Suricare B.V.</t>
  </si>
  <si>
    <t>Professor Poelslaan 58C</t>
  </si>
  <si>
    <t>0340</t>
  </si>
  <si>
    <t>Prunuslaan 36</t>
  </si>
  <si>
    <t>0117</t>
  </si>
  <si>
    <t xml:space="preserve">Punter 22 34 </t>
  </si>
  <si>
    <t>0204</t>
  </si>
  <si>
    <t>T.A. Middelkoop</t>
  </si>
  <si>
    <t>Putsebocht 136 B01</t>
  </si>
  <si>
    <t>0361</t>
  </si>
  <si>
    <t>T.A. van der Burg</t>
  </si>
  <si>
    <t>Putter 42</t>
  </si>
  <si>
    <t>0327</t>
  </si>
  <si>
    <t>THS EU B.V.</t>
  </si>
  <si>
    <t>Rembrandtstraat 20B</t>
  </si>
  <si>
    <t>0233</t>
  </si>
  <si>
    <t>TNM Vastgoed B.V.</t>
  </si>
  <si>
    <t>Rietdijkstraat 56A</t>
  </si>
  <si>
    <t>0363</t>
  </si>
  <si>
    <t>TOTAL Nederland N.V.</t>
  </si>
  <si>
    <t>Rietdijkstraat 56B</t>
  </si>
  <si>
    <t>0364</t>
  </si>
  <si>
    <t>Team Home Rentals B.V.</t>
  </si>
  <si>
    <t>Rijpstraat 24</t>
  </si>
  <si>
    <t>0377</t>
  </si>
  <si>
    <t>Team Technical Services BV</t>
  </si>
  <si>
    <t>Ringbaan Oost 327</t>
  </si>
  <si>
    <t>0005</t>
  </si>
  <si>
    <t>Team Unica B.V.</t>
  </si>
  <si>
    <t>Rivierdijk 793</t>
  </si>
  <si>
    <t>0226</t>
  </si>
  <si>
    <t>TecFlex B.V.</t>
  </si>
  <si>
    <t>Rivierdijk 794</t>
  </si>
  <si>
    <t>0121</t>
  </si>
  <si>
    <t>Techvisie Personeelsdiensten Centraal B.V.</t>
  </si>
  <si>
    <t>Roerdompstraat 4B</t>
  </si>
  <si>
    <t>0390</t>
  </si>
  <si>
    <t>Tempsteel B.V.</t>
  </si>
  <si>
    <t>Rooseveltlaan 185</t>
  </si>
  <si>
    <t>0179</t>
  </si>
  <si>
    <t>The Housing Guild B.V.</t>
  </si>
  <si>
    <t>Rotterdamsedijk 154B</t>
  </si>
  <si>
    <t>0234</t>
  </si>
  <si>
    <t>Thuisvesting B.V.</t>
  </si>
  <si>
    <t>Rubensplein 3 B</t>
  </si>
  <si>
    <t>0235</t>
  </si>
  <si>
    <t>Timing Uitzendteam BV</t>
  </si>
  <si>
    <t>Rubensplein 6B3</t>
  </si>
  <si>
    <t>0154</t>
  </si>
  <si>
    <t>Tradiro Services B.V.</t>
  </si>
  <si>
    <t>Ruigenhoek 69</t>
  </si>
  <si>
    <t>0362</t>
  </si>
  <si>
    <t>Transport People B.V.</t>
  </si>
  <si>
    <t xml:space="preserve">Schalkeroord 389 </t>
  </si>
  <si>
    <t>0236</t>
  </si>
  <si>
    <t>Twins BV</t>
  </si>
  <si>
    <t>Scheepjesbrug 433</t>
  </si>
  <si>
    <t>0144</t>
  </si>
  <si>
    <t>UAB Baltic Contracting Group</t>
  </si>
  <si>
    <t>Scheepjesbrug 814</t>
  </si>
  <si>
    <t>0197</t>
  </si>
  <si>
    <t>UAB Techsome</t>
  </si>
  <si>
    <t>Schere 238</t>
  </si>
  <si>
    <t>0237</t>
  </si>
  <si>
    <t>UAB Toromega</t>
  </si>
  <si>
    <t>Schoonegge 110</t>
  </si>
  <si>
    <t>0239</t>
  </si>
  <si>
    <t>Schoonegge 84</t>
  </si>
  <si>
    <t>0240</t>
  </si>
  <si>
    <t>UAB „Laivsta“/ JSC „Laivsta“, Part of Litana Group</t>
  </si>
  <si>
    <t>Sint Josephstraat 61</t>
  </si>
  <si>
    <t>0050</t>
  </si>
  <si>
    <t>Uitzendbureau Bakker B.V.</t>
  </si>
  <si>
    <t>Sint Liduinastraat 76 A</t>
  </si>
  <si>
    <t>0242</t>
  </si>
  <si>
    <t>Uitzendwerk B.V.</t>
  </si>
  <si>
    <t>Sint Liduinastraat 80A</t>
  </si>
  <si>
    <t>0243</t>
  </si>
  <si>
    <t>United Homes B.V.</t>
  </si>
  <si>
    <t>Sint Liduinastraat 80B</t>
  </si>
  <si>
    <t>0244</t>
  </si>
  <si>
    <t>United Homes Inhouse B.V.</t>
  </si>
  <si>
    <t>Sint-Annalandstraat 116</t>
  </si>
  <si>
    <t>0164</t>
  </si>
  <si>
    <t>V.B.A. Beheer B.V.</t>
  </si>
  <si>
    <t>Snecanusstraat 12</t>
  </si>
  <si>
    <t>0123</t>
  </si>
  <si>
    <t>V.O.F. Groepsaccommodaties Drenthe</t>
  </si>
  <si>
    <t>Snoekenveen 242</t>
  </si>
  <si>
    <t>0124</t>
  </si>
  <si>
    <t>VALO Facilities B.V.</t>
  </si>
  <si>
    <t>Socratesstraat 168</t>
  </si>
  <si>
    <t>0246</t>
  </si>
  <si>
    <t>Spoorsingel 154b</t>
  </si>
  <si>
    <t>0247</t>
  </si>
  <si>
    <t>Vaktec B.V.</t>
  </si>
  <si>
    <t>Stal 355</t>
  </si>
  <si>
    <t>0200</t>
  </si>
  <si>
    <t>Vaktec BV</t>
  </si>
  <si>
    <t>Steenen Dijck 87</t>
  </si>
  <si>
    <t>0099</t>
  </si>
  <si>
    <t>Valkenet Vastgoed B.V.</t>
  </si>
  <si>
    <t>Struitenweg 19b</t>
  </si>
  <si>
    <t>0127</t>
  </si>
  <si>
    <t>Van Bergen Personeelsdiensten B.V.</t>
  </si>
  <si>
    <t>Tesselschadelaan 45</t>
  </si>
  <si>
    <t>0128</t>
  </si>
  <si>
    <t>Van Mossel Rotterdam</t>
  </si>
  <si>
    <t>Tholenstraat 114</t>
  </si>
  <si>
    <t>0249</t>
  </si>
  <si>
    <t>Van der Wal Bedrijfshuisvesting B.V.</t>
  </si>
  <si>
    <t xml:space="preserve">Utrechtse straatweg 7 </t>
  </si>
  <si>
    <t>0129</t>
  </si>
  <si>
    <t>Vast-PS Housing</t>
  </si>
  <si>
    <t>Vaartweg 106C</t>
  </si>
  <si>
    <t>0021</t>
  </si>
  <si>
    <t>Vastgoed Spijkenisse</t>
  </si>
  <si>
    <t>Van Hoofsweg 4</t>
  </si>
  <si>
    <t>0355</t>
  </si>
  <si>
    <t>Verhuur en onderhoudsbedrijf Hilaard</t>
  </si>
  <si>
    <t>Van Langedonckstraat 80</t>
  </si>
  <si>
    <t>0130</t>
  </si>
  <si>
    <t>Verkeersschool Nobel</t>
  </si>
  <si>
    <t>Van Maanenstraat 14A</t>
  </si>
  <si>
    <t>0089</t>
  </si>
  <si>
    <t>Verlangen Finance BV</t>
  </si>
  <si>
    <t>Van Ruijsdaellaan 72 A</t>
  </si>
  <si>
    <t>0347</t>
  </si>
  <si>
    <t>Vivir Wonen</t>
  </si>
  <si>
    <t>Van Ruijsdaellaan 72 B</t>
  </si>
  <si>
    <t>0351</t>
  </si>
  <si>
    <t>Vleesbewerking van der Pijl B.V.</t>
  </si>
  <si>
    <t>Van Ruijsdaellaan 72 C</t>
  </si>
  <si>
    <t>0352</t>
  </si>
  <si>
    <t>Vlot Vastgoed B.V.</t>
  </si>
  <si>
    <t>Van Swinderenstraat 21</t>
  </si>
  <si>
    <t>0324</t>
  </si>
  <si>
    <t>Vondellaan Vastgoed Beheer B.V.</t>
  </si>
  <si>
    <t xml:space="preserve">Van der Werffstraat 370 </t>
  </si>
  <si>
    <t>0238</t>
  </si>
  <si>
    <t>W.T. Bosgraaf en E. Stam</t>
  </si>
  <si>
    <t>Venkelstraat 29A</t>
  </si>
  <si>
    <t>0137</t>
  </si>
  <si>
    <t>WIL International B.V.</t>
  </si>
  <si>
    <t xml:space="preserve">Verschansing 21 </t>
  </si>
  <si>
    <t>0387</t>
  </si>
  <si>
    <t>WILL Vakkrachten B. V.</t>
  </si>
  <si>
    <t>Vierambachtsstraat 32-B01</t>
  </si>
  <si>
    <t>0374</t>
  </si>
  <si>
    <t>WS Detachering BV</t>
  </si>
  <si>
    <t>Visartstraat 31</t>
  </si>
  <si>
    <t>0158</t>
  </si>
  <si>
    <t>Welcome Housing B.V.</t>
  </si>
  <si>
    <t>Voeghoutenstraat 236</t>
  </si>
  <si>
    <t>0132</t>
  </si>
  <si>
    <t>Werckpost Service B.V.</t>
  </si>
  <si>
    <t>Vogelschorstraat 24</t>
  </si>
  <si>
    <t>0167</t>
  </si>
  <si>
    <t>Workforce Housing Holland B.V.</t>
  </si>
  <si>
    <t>Voorstraat 10</t>
  </si>
  <si>
    <t>0077</t>
  </si>
  <si>
    <t>Workforce Housing International B.V</t>
  </si>
  <si>
    <t>Voorstraat 25</t>
  </si>
  <si>
    <t>0080</t>
  </si>
  <si>
    <t>Works Personeelsdiensten</t>
  </si>
  <si>
    <t>Waellandweg 12</t>
  </si>
  <si>
    <t>0286</t>
  </si>
  <si>
    <t>Y. K. Bos</t>
  </si>
  <si>
    <t>Wagenstraat 70</t>
  </si>
  <si>
    <t>0348</t>
  </si>
  <si>
    <t>YaY</t>
  </si>
  <si>
    <t>Wedderweg 3</t>
  </si>
  <si>
    <t>0368</t>
  </si>
  <si>
    <t>Z Yilmaz</t>
  </si>
  <si>
    <t>Westercluft 134</t>
  </si>
  <si>
    <t>0138</t>
  </si>
  <si>
    <t>ZaMens R.I.A. B.V.</t>
  </si>
  <si>
    <t>Westfrankelandsestraat 108</t>
  </si>
  <si>
    <t>0038</t>
  </si>
  <si>
    <t>Zeeland Housing Facility B.V.</t>
  </si>
  <si>
    <t>Wieldraaierstraat 39</t>
  </si>
  <si>
    <t>0105</t>
  </si>
  <si>
    <t>dockHolland Huisvesting B.V.</t>
  </si>
  <si>
    <t>Wijdstraat 13</t>
  </si>
  <si>
    <t>0171</t>
  </si>
  <si>
    <t>house of work</t>
  </si>
  <si>
    <t>Wijngaard 66</t>
  </si>
  <si>
    <t>0212</t>
  </si>
  <si>
    <t>van Heeswijk</t>
  </si>
  <si>
    <t xml:space="preserve">Wilgensingel 63 </t>
  </si>
  <si>
    <t>0139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</si>
  <si>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</si>
  <si>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</si>
  <si>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</si>
  <si>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</si>
  <si>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</si>
  <si>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</si>
  <si>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</si>
  <si>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</si>
  <si>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</si>
  <si>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</si>
  <si>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</si>
  <si>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</si>
  <si>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</si>
  <si>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</si>
  <si>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</si>
  <si>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</si>
  <si>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</si>
  <si>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</si>
  <si>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</si>
  <si>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</si>
  <si>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</si>
  <si>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</si>
  <si>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</si>
  <si>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</si>
  <si>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</si>
  <si>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</si>
  <si>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</si>
  <si>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</si>
  <si>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</si>
  <si>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</si>
  <si>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</si>
  <si>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</si>
  <si>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GWE</t>
  </si>
  <si>
    <t>GWE_Item</t>
  </si>
  <si>
    <t>Schoonmaak</t>
  </si>
  <si>
    <t>Basis</t>
  </si>
  <si>
    <t>Levering</t>
  </si>
  <si>
    <t>dag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</si>
  <si>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</si>
  <si>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</si>
  <si>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</si>
  <si>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</si>
  <si>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</si>
  <si>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</si>
  <si>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</si>
  <si>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</si>
  <si>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</si>
  <si>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</si>
  <si>
    <t>Schade</t>
  </si>
  <si>
    <t>Kapotte stoel</t>
  </si>
  <si>
    <t>bestekken, pannen, koekenpannen</t>
  </si>
  <si>
    <t>Matrassen</t>
  </si>
  <si>
    <t>Matrashoezen</t>
  </si>
  <si>
    <t>Sleutel voor ingebouwd kast op de gang</t>
  </si>
  <si>
    <t>Gat op de 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</si>
</sst>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&quot;€&quot;\ #,##0.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>
      <selection activeCell="S29" sqref="S29"/>
    </sheetView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>Rooseveltlaan 185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✅ READY</v>
      </c>
    </row>
    <row r="5" spans="1:5" x14ac:dyDescent="0.2">
      <c r="A5" t="str">
        <f>_xlfn.UNIQUE(_xlfn._xlws.FILTER(Input!A3:A5001, Input!A3:A5001&lt;&gt;""))</f>
        <v>Rooseveltlaan 185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OK</v>
      </c>
      <c r="E5" t="str">
        <f t="shared" si="0"/>
        <v>✅ READY</v>
      </c>
    </row>
    <row r="6" spans="1:5" x14ac:dyDescent="0.2">
      <c r="A6" t="str">
        <f>_xlfn.UNIQUE(_xlfn._xlws.FILTER(Input!A4:A5002, Input!A4:A5002&lt;&gt;""))</f>
        <v>Rooseveltlaan 185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OK</v>
      </c>
      <c r="D6" t="str">
        <f>IF(A6="","",IF(COUNTIFS(Input!$A:$A, A6, Input!$B:$B, "Schoonmaak")&gt;0, "OK", "MISSING"))</f>
        <v>OK</v>
      </c>
      <c r="E6" t="str">
        <f t="shared" si="0"/>
        <v>✅ READY</v>
      </c>
    </row>
    <row r="7" spans="1:5" x14ac:dyDescent="0.2">
      <c r="A7" t="str">
        <f>_xlfn.UNIQUE(_xlfn._xlws.FILTER(Input!A5:A5003, Input!A5:A5003&lt;&gt;""))</f>
        <v>Rooseveltlaan 185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OK</v>
      </c>
      <c r="E7" t="str">
        <f t="shared" si="0"/>
        <v>✅ READY</v>
      </c>
    </row>
    <row r="8" spans="1:5" x14ac:dyDescent="0.2">
      <c r="A8" t="str">
        <f>_xlfn.UNIQUE(_xlfn._xlws.FILTER(Input!A6:A5004, Input!A6:A5004&lt;&gt;""))</f>
        <v>Rooseveltlaan 185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OK</v>
      </c>
      <c r="E8" t="str">
        <f t="shared" si="0"/>
        <v>✅ READY</v>
      </c>
    </row>
    <row r="9" spans="1:5" x14ac:dyDescent="0.2">
      <c r="A9" t="str">
        <f>_xlfn.UNIQUE(_xlfn._xlws.FILTER(Input!A7:A5005, Input!A7:A5005&lt;&gt;""))</f>
        <v>Rooseveltlaan 185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OK</v>
      </c>
      <c r="E9" t="str">
        <f t="shared" si="0"/>
        <v>✅ READY</v>
      </c>
    </row>
    <row r="10" spans="1:5" x14ac:dyDescent="0.2">
      <c r="A10" t="str">
        <f>_xlfn.UNIQUE(_xlfn._xlws.FILTER(Input!A8:A5006, Input!A8:A5006&lt;&gt;""))</f>
        <v>Rooseveltlaan 185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OK</v>
      </c>
      <c r="D10" t="str">
        <f>IF(A10="","",IF(COUNTIFS(Input!$A:$A, A10, Input!$B:$B, "Schoonmaak")&gt;0, "OK", "MISSING"))</f>
        <v>OK</v>
      </c>
      <c r="E10" t="str">
        <f t="shared" si="0"/>
        <v>✅ READY</v>
      </c>
    </row>
    <row r="11" spans="1:5" x14ac:dyDescent="0.2">
      <c r="A11" t="str">
        <f>_xlfn.UNIQUE(_xlfn._xlws.FILTER(Input!A9:A5007, Input!A9:A5007&lt;&gt;""))</f>
        <v>Rooseveltlaan 185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OK</v>
      </c>
      <c r="D11" t="str">
        <f>IF(A11="","",IF(COUNTIFS(Input!$A:$A, A11, Input!$B:$B, "Schoonmaak")&gt;0, "OK", "MISSING"))</f>
        <v>OK</v>
      </c>
      <c r="E11" t="str">
        <f t="shared" si="0"/>
        <v>✅ READY</v>
      </c>
    </row>
    <row r="12" spans="1:5" x14ac:dyDescent="0.2">
      <c r="A12" t="str">
        <f>_xlfn.UNIQUE(_xlfn._xlws.FILTER(Input!A10:A5008, Input!A10:A5008&lt;&gt;""))</f>
        <v>Rooseveltlaan 185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OK</v>
      </c>
      <c r="E12" t="str">
        <f t="shared" si="0"/>
        <v>✅ READY</v>
      </c>
    </row>
    <row r="13" spans="1:5" x14ac:dyDescent="0.2">
      <c r="A13" t="str">
        <f>_xlfn.UNIQUE(_xlfn._xlws.FILTER(Input!A11:A5009, Input!A11:A5009&lt;&gt;""))</f>
        <v>Rooseveltlaan 185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OK</v>
      </c>
      <c r="E13" t="str">
        <f t="shared" si="0"/>
        <v>✅ READY</v>
      </c>
    </row>
    <row r="14" spans="1:5" x14ac:dyDescent="0.2">
      <c r="A14" t="str">
        <f>_xlfn.UNIQUE(_xlfn._xlws.FILTER(Input!A12:A5010, Input!A12:A5010&lt;&gt;""))</f>
        <v>Rooseveltlaan 185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OK</v>
      </c>
      <c r="E14" t="str">
        <f t="shared" si="0"/>
        <v>✅ READY</v>
      </c>
    </row>
    <row r="15" spans="1:5" x14ac:dyDescent="0.2">
      <c r="A15" t="str">
        <f>_xlfn.UNIQUE(_xlfn._xlws.FILTER(Input!A13:A5011, Input!A13:A5011&lt;&gt;""))</f>
        <v>Rooseveltlaan 185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OK</v>
      </c>
      <c r="E15" t="str">
        <f t="shared" si="0"/>
        <v>✅ READY</v>
      </c>
    </row>
    <row r="16" spans="1:5" x14ac:dyDescent="0.2">
      <c r="A16" t="str">
        <f>_xlfn.UNIQUE(_xlfn._xlws.FILTER(Input!A14:A5012, Input!A14:A5012&lt;&gt;""))</f>
        <v>Rooseveltlaan 185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OK</v>
      </c>
      <c r="E16" t="str">
        <f t="shared" si="0"/>
        <v>✅ READY</v>
      </c>
    </row>
    <row r="17" spans="1:5" x14ac:dyDescent="0.2">
      <c r="A17" t="str">
        <f>_xlfn.UNIQUE(_xlfn._xlws.FILTER(Input!A15:A5013, Input!A15:A5013&lt;&gt;""))</f>
        <v>Rooseveltlaan 185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OK</v>
      </c>
      <c r="E17" t="str">
        <f t="shared" si="0"/>
        <v>✅ READY</v>
      </c>
    </row>
    <row r="18" spans="1:5" x14ac:dyDescent="0.2">
      <c r="A18" t="str">
        <f>_xlfn.UNIQUE(_xlfn._xlws.FILTER(Input!A16:A5014, Input!A16:A5014&lt;&gt;""))</f>
        <v>Compierekade 15</v>
      </c>
      <c r="B18" t="str">
        <f>IF(A18="","",IF(COUNTIFS(Input!$A:$A, A18, Input!$B:$B, "Basis")&gt;0, "OK", "MISSING"))</f>
        <v>OK</v>
      </c>
      <c r="C18" t="str">
        <f>IF(A18="","",IF(COUNTIFS(Input!$A:$A, A18, Input!$B:$B, "GWE")&gt;0, "OK", "MISSING"))</f>
        <v>MISSING</v>
      </c>
      <c r="D18" t="str">
        <f>IF(A18="","",IF(COUNTIFS(Input!$A:$A, A18, Input!$B:$B, "Schoonmaak")&gt;0, "OK", "MISSING"))</f>
        <v>OK</v>
      </c>
      <c r="E18" t="str">
        <f t="shared" si="0"/>
        <v>⚠️ INCOMPLETE</v>
      </c>
    </row>
    <row r="19" spans="1:5" x14ac:dyDescent="0.2">
      <c r="A19" t="str">
        <f>_xlfn.UNIQUE(_xlfn._xlws.FILTER(Input!A17:A5015, Input!A17:A5015&lt;&gt;""))</f>
        <v>Compierekade 15</v>
      </c>
      <c r="B19" t="str">
        <f>IF(A19="","",IF(COUNTIFS(Input!$A:$A, A19, Input!$B:$B, "Basis")&gt;0, "OK", "MISSING"))</f>
        <v>OK</v>
      </c>
      <c r="C19" t="str">
        <f>IF(A19="","",IF(COUNTIFS(Input!$A:$A, A19, Input!$B:$B, "GWE")&gt;0, "OK", "MISSING"))</f>
        <v>MISSING</v>
      </c>
      <c r="D19" t="str">
        <f>IF(A19="","",IF(COUNTIFS(Input!$A:$A, A19, Input!$B:$B, "Schoonmaak")&gt;0, "OK", "MISSING"))</f>
        <v>OK</v>
      </c>
      <c r="E19" t="str">
        <f t="shared" si="0"/>
        <v>⚠️ INCOMPLETE</v>
      </c>
    </row>
    <row r="20" spans="1:5" x14ac:dyDescent="0.2">
      <c r="A20" t="str">
        <f>_xlfn.UNIQUE(_xlfn._xlws.FILTER(Input!A18:A5016, Input!A18:A5016&lt;&gt;""))</f>
        <v>Compierekade 15</v>
      </c>
      <c r="B20" t="str">
        <f>IF(A20="","",IF(COUNTIFS(Input!$A:$A, A20, Input!$B:$B, "Basis")&gt;0, "OK", "MISSING"))</f>
        <v>OK</v>
      </c>
      <c r="C20" t="str">
        <f>IF(A20="","",IF(COUNTIFS(Input!$A:$A, A20, Input!$B:$B, "GWE")&gt;0, "OK", "MISSING"))</f>
        <v>MISSING</v>
      </c>
      <c r="D20" t="str">
        <f>IF(A20="","",IF(COUNTIFS(Input!$A:$A, A20, Input!$B:$B, "Schoonmaak")&gt;0, "OK", "MISSING"))</f>
        <v>OK</v>
      </c>
      <c r="E20" t="str">
        <f t="shared" si="0"/>
        <v>⚠️ INCOMPLETE</v>
      </c>
    </row>
    <row r="21" spans="1:5" x14ac:dyDescent="0.2">
      <c r="A21" t="str">
        <f>_xlfn.UNIQUE(_xlfn._xlws.FILTER(Input!A19:A5017, Input!A19:A5017&lt;&gt;""))</f>
        <v>Compierekade 15</v>
      </c>
      <c r="B21" t="str">
        <f>IF(A21="","",IF(COUNTIFS(Input!$A:$A, A21, Input!$B:$B, "Basis")&gt;0, "OK", "MISSING"))</f>
        <v>OK</v>
      </c>
      <c r="C21" t="str">
        <f>IF(A21="","",IF(COUNTIFS(Input!$A:$A, A21, Input!$B:$B, "GWE")&gt;0, "OK", "MISSING"))</f>
        <v>MISSING</v>
      </c>
      <c r="D21" t="str">
        <f>IF(A21="","",IF(COUNTIFS(Input!$A:$A, A21, Input!$B:$B, "Schoonmaak")&gt;0, "OK", "MISSING"))</f>
        <v>OK</v>
      </c>
      <c r="E21" t="str">
        <f t="shared" si="0"/>
        <v>⚠️ INCOMPLETE</v>
      </c>
    </row>
    <row r="22" spans="1:5" x14ac:dyDescent="0.2">
      <c r="A22" t="str">
        <f>_xlfn.UNIQUE(_xlfn._xlws.FILTER(Input!A20:A5018, Input!A20:A5018&lt;&gt;""))</f>
        <v>Compierekade 15</v>
      </c>
      <c r="B22" t="str">
        <f>IF(A22="","",IF(COUNTIFS(Input!$A:$A, A22, Input!$B:$B, "Basis")&gt;0, "OK", "MISSING"))</f>
        <v>OK</v>
      </c>
      <c r="C22" t="str">
        <f>IF(A22="","",IF(COUNTIFS(Input!$A:$A, A22, Input!$B:$B, "GWE")&gt;0, "OK", "MISSING"))</f>
        <v>MISSING</v>
      </c>
      <c r="D22" t="str">
        <f>IF(A22="","",IF(COUNTIFS(Input!$A:$A, A22, Input!$B:$B, "Schoonmaak")&gt;0, "OK", "MISSING"))</f>
        <v>OK</v>
      </c>
      <c r="E22" t="str">
        <f t="shared" si="0"/>
        <v>⚠️ INCOMPLETE</v>
      </c>
    </row>
    <row r="23" spans="1:5" x14ac:dyDescent="0.2">
      <c r="A23" t="str">
        <f>_xlfn.UNIQUE(_xlfn._xlws.FILTER(Input!A21:A5019, Input!A21:A5019&lt;&gt;""))</f>
        <v>Compierekade 15</v>
      </c>
      <c r="B23" t="str">
        <f>IF(A23="","",IF(COUNTIFS(Input!$A:$A, A23, Input!$B:$B, "Basis")&gt;0, "OK", "MISSING"))</f>
        <v>OK</v>
      </c>
      <c r="C23" t="str">
        <f>IF(A23="","",IF(COUNTIFS(Input!$A:$A, A23, Input!$B:$B, "GWE")&gt;0, "OK", "MISSING"))</f>
        <v>MISSING</v>
      </c>
      <c r="D23" t="str">
        <f>IF(A23="","",IF(COUNTIFS(Input!$A:$A, A23, Input!$B:$B, "Schoonmaak")&gt;0, "OK", "MISSING"))</f>
        <v>OK</v>
      </c>
      <c r="E23" t="str">
        <f t="shared" si="0"/>
        <v>⚠️ INCOMPLETE</v>
      </c>
    </row>
    <row r="24" spans="1:5" x14ac:dyDescent="0.2">
      <c r="A24" t="str">
        <f>_xlfn.UNIQUE(_xlfn._xlws.FILTER(Input!A22:A5020, Input!A22:A5020&lt;&gt;""))</f>
        <v>Compierekade 15</v>
      </c>
      <c r="B24" t="str">
        <f>IF(A24="","",IF(COUNTIFS(Input!$A:$A, A24, Input!$B:$B, "Basis")&gt;0, "OK", "MISSING"))</f>
        <v>OK</v>
      </c>
      <c r="C24" t="str">
        <f>IF(A24="","",IF(COUNTIFS(Input!$A:$A, A24, Input!$B:$B, "GWE")&gt;0, "OK", "MISSING"))</f>
        <v>MISSING</v>
      </c>
      <c r="D24" t="str">
        <f>IF(A24="","",IF(COUNTIFS(Input!$A:$A, A24, Input!$B:$B, "Schoonmaak")&gt;0, "OK", "MISSING"))</f>
        <v>OK</v>
      </c>
      <c r="E24" t="str">
        <f t="shared" si="0"/>
        <v>⚠️ INCOMPLETE</v>
      </c>
    </row>
    <row r="25" spans="1:5" x14ac:dyDescent="0.2">
      <c r="A25" t="str">
        <f>_xlfn.UNIQUE(_xlfn._xlws.FILTER(Input!A23:A5021, Input!A23:A5021&lt;&gt;""))</f>
        <v>Compierekade 15</v>
      </c>
      <c r="B25" t="str">
        <f>IF(A25="","",IF(COUNTIFS(Input!$A:$A, A25, Input!$B:$B, "Basis")&gt;0, "OK", "MISSING"))</f>
        <v>OK</v>
      </c>
      <c r="C25" t="str">
        <f>IF(A25="","",IF(COUNTIFS(Input!$A:$A, A25, Input!$B:$B, "GWE")&gt;0, "OK", "MISSING"))</f>
        <v>MISSING</v>
      </c>
      <c r="D25" t="str">
        <f>IF(A25="","",IF(COUNTIFS(Input!$A:$A, A25, Input!$B:$B, "Schoonmaak")&gt;0, "OK", "MISSING"))</f>
        <v>OK</v>
      </c>
      <c r="E25" t="str">
        <f t="shared" si="0"/>
        <v>⚠️ INCOMPLETE</v>
      </c>
    </row>
    <row r="26" spans="1:5" x14ac:dyDescent="0.2">
      <c r="A26" t="str">
        <f>_xlfn.UNIQUE(_xlfn._xlws.FILTER(Input!A24:A5022, Input!A24:A5022&lt;&gt;""))</f>
        <v>Compierekade 15</v>
      </c>
      <c r="B26" t="str">
        <f>IF(A26="","",IF(COUNTIFS(Input!$A:$A, A26, Input!$B:$B, "Basis")&gt;0, "OK", "MISSING"))</f>
        <v>OK</v>
      </c>
      <c r="C26" t="str">
        <f>IF(A26="","",IF(COUNTIFS(Input!$A:$A, A26, Input!$B:$B, "GWE")&gt;0, "OK", "MISSING"))</f>
        <v>MISSING</v>
      </c>
      <c r="D26" t="str">
        <f>IF(A26="","",IF(COUNTIFS(Input!$A:$A, A26, Input!$B:$B, "Schoonmaak")&gt;0, "OK", "MISSING"))</f>
        <v>OK</v>
      </c>
      <c r="E26" t="str">
        <f t="shared" si="0"/>
        <v>⚠️ INCOMPLETE</v>
      </c>
    </row>
    <row r="27" spans="1:5" x14ac:dyDescent="0.2">
      <c r="A27" t="str">
        <f>_xlfn.UNIQUE(_xlfn._xlws.FILTER(Input!A25:A5023, Input!A25:A5023&lt;&gt;""))</f>
        <v>Compierekade 15</v>
      </c>
      <c r="B27" t="str">
        <f>IF(A27="","",IF(COUNTIFS(Input!$A:$A, A27, Input!$B:$B, "Basis")&gt;0, "OK", "MISSING"))</f>
        <v>OK</v>
      </c>
      <c r="C27" t="str">
        <f>IF(A27="","",IF(COUNTIFS(Input!$A:$A, A27, Input!$B:$B, "GWE")&gt;0, "OK", "MISSING"))</f>
        <v>MISSING</v>
      </c>
      <c r="D27" t="str">
        <f>IF(A27="","",IF(COUNTIFS(Input!$A:$A, A27, Input!$B:$B, "Schoonmaak")&gt;0, "OK", "MISSING"))</f>
        <v>OK</v>
      </c>
      <c r="E27" t="str">
        <f t="shared" si="0"/>
        <v>⚠️ INCOMPLETE</v>
      </c>
    </row>
    <row r="28" spans="1:5" x14ac:dyDescent="0.2">
      <c r="A28" t="e" vm="1">
        <f>_xlfn.UNIQUE(_xlfn._xlws.FILTER(Input!A26:A5024, Input!A26:A5024&lt;&gt;""))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 t="shared" si="0"/>
        <v>#VALUE!</v>
      </c>
    </row>
    <row r="29" spans="1:5" x14ac:dyDescent="0.2">
      <c r="A29" t="e" vm="1">
        <f>_xlfn.UNIQUE(_xlfn._xlws.FILTER(Input!A27:A5025, Input!A27:A5025&lt;&gt;""))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 t="shared" si="0"/>
        <v>#VALUE!</v>
      </c>
    </row>
    <row r="30" spans="1:5" x14ac:dyDescent="0.2">
      <c r="A30" t="e" vm="1">
        <f>_xlfn.UNIQUE(_xlfn._xlws.FILTER(Input!A28:A5026, Input!A28:A5026&lt;&gt;""))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 t="shared" si="0"/>
        <v>#VALUE!</v>
      </c>
    </row>
    <row r="31" spans="1:5" x14ac:dyDescent="0.2">
      <c r="A31" t="e" vm="1">
        <f>_xlfn.UNIQUE(_xlfn._xlws.FILTER(Input!A29:A5027, Input!A29:A5027&lt;&gt;""))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 t="shared" si="0"/>
        <v>#VALUE!</v>
      </c>
    </row>
    <row r="32" spans="1:5" x14ac:dyDescent="0.2">
      <c r="A32" t="e" vm="1">
        <f>_xlfn.UNIQUE(_xlfn._xlws.FILTER(Input!A30:A5028, Input!A30:A5028&lt;&gt;""))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 t="shared" si="0"/>
        <v>#VALUE!</v>
      </c>
    </row>
    <row r="33" spans="1:5" x14ac:dyDescent="0.2">
      <c r="A33" t="e" vm="1">
        <f>_xlfn.UNIQUE(_xlfn._xlws.FILTER(Input!A31:A5029, Input!A31:A5029&lt;&gt;""))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 t="shared" si="0"/>
        <v>#VALUE!</v>
      </c>
    </row>
    <row r="34" spans="1:5" x14ac:dyDescent="0.2">
      <c r="A34" t="e" vm="1">
        <f>_xlfn.UNIQUE(_xlfn._xlws.FILTER(Input!A32:A5030, Input!A32:A5030&lt;&gt;""))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 t="shared" si="0"/>
        <v>#VALUE!</v>
      </c>
    </row>
    <row r="35" spans="1:5" x14ac:dyDescent="0.2">
      <c r="A35" t="e" vm="1">
        <f>_xlfn.UNIQUE(_xlfn._xlws.FILTER(Input!A33:A5031, Input!A33:A5031&lt;&gt;""))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 t="shared" si="0"/>
        <v>#VALUE!</v>
      </c>
    </row>
    <row r="36" spans="1:5" x14ac:dyDescent="0.2">
      <c r="A36" t="e" vm="1">
        <f>_xlfn.UNIQUE(_xlfn._xlws.FILTER(Input!A34:A5032, Input!A34:A5032&lt;&gt;""))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 t="shared" ref="E36:E53" si="1">IF(A36="","",IF(AND(B36="OK",C36="OK",D36="OK"), "✅ READY", "⚠️ INCOMPLETE"))</f>
        <v>#VALUE!</v>
      </c>
    </row>
    <row r="37" spans="1:5" x14ac:dyDescent="0.2">
      <c r="A37" t="e" vm="1">
        <f>_xlfn.UNIQUE(_xlfn._xlws.FILTER(Input!A35:A5033, Input!A35:A5033&lt;&gt;""))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 t="shared" si="1"/>
        <v>#VALUE!</v>
      </c>
    </row>
    <row r="38" spans="1:5" x14ac:dyDescent="0.2">
      <c r="A38" t="e" vm="1">
        <f>_xlfn.UNIQUE(_xlfn._xlws.FILTER(Input!A36:A5034, Input!A36:A5034&lt;&gt;""))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 t="shared" si="1"/>
        <v>#VALUE!</v>
      </c>
    </row>
    <row r="39" spans="1:5" x14ac:dyDescent="0.2">
      <c r="A39" t="e" vm="1">
        <f>_xlfn.UNIQUE(_xlfn._xlws.FILTER(Input!A37:A5035, Input!A37:A5035&lt;&gt;""))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 t="shared" si="1"/>
        <v>#VALUE!</v>
      </c>
    </row>
    <row r="40" spans="1:5" x14ac:dyDescent="0.2">
      <c r="A40" t="e" vm="1">
        <f>_xlfn.UNIQUE(_xlfn._xlws.FILTER(Input!A38:A5036, Input!A38:A5036&lt;&gt;""))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 t="shared" si="1"/>
        <v>#VALUE!</v>
      </c>
    </row>
    <row r="41" spans="1:5" x14ac:dyDescent="0.2">
      <c r="A41" t="e" vm="1">
        <f>_xlfn.UNIQUE(_xlfn._xlws.FILTER(Input!A39:A5037, Input!A39:A5037&lt;&gt;""))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 t="shared" si="1"/>
        <v>#VALUE!</v>
      </c>
    </row>
    <row r="42" spans="1:5" x14ac:dyDescent="0.2">
      <c r="A42" t="e" vm="1">
        <f>_xlfn.UNIQUE(_xlfn._xlws.FILTER(Input!A40:A5038, Input!A40:A5038&lt;&gt;""))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 t="shared" si="1"/>
        <v>#VALUE!</v>
      </c>
    </row>
    <row r="43" spans="1:5" x14ac:dyDescent="0.2">
      <c r="A43" t="e" vm="1">
        <f>_xlfn.UNIQUE(_xlfn._xlws.FILTER(Input!A41:A5039, Input!A41:A5039&lt;&gt;""))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 t="shared" si="1"/>
        <v>#VALUE!</v>
      </c>
    </row>
    <row r="44" spans="1:5" x14ac:dyDescent="0.2">
      <c r="A44" t="e" vm="1">
        <f>_xlfn.UNIQUE(_xlfn._xlws.FILTER(Input!A42:A5040, Input!A42:A5040&lt;&gt;""))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 t="shared" si="1"/>
        <v>#VALUE!</v>
      </c>
    </row>
    <row r="45" spans="1:5" x14ac:dyDescent="0.2">
      <c r="A45" t="e" vm="1">
        <f>_xlfn.UNIQUE(_xlfn._xlws.FILTER(Input!A43:A5041, Input!A43:A5041&lt;&gt;""))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 t="shared" si="1"/>
        <v>#VALUE!</v>
      </c>
    </row>
    <row r="46" spans="1:5" x14ac:dyDescent="0.2">
      <c r="A46" t="e" vm="1">
        <f>_xlfn.UNIQUE(_xlfn._xlws.FILTER(Input!A44:A5042, Input!A44:A5042&lt;&gt;""))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 t="shared" si="1"/>
        <v>#VALUE!</v>
      </c>
    </row>
    <row r="47" spans="1:5" x14ac:dyDescent="0.2">
      <c r="A47" t="e" vm="1">
        <f>_xlfn.UNIQUE(_xlfn._xlws.FILTER(Input!A45:A5043, Input!A45:A5043&lt;&gt;""))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 t="shared" si="1"/>
        <v>#VALUE!</v>
      </c>
    </row>
    <row r="48" spans="1:5" x14ac:dyDescent="0.2">
      <c r="A48" t="e" vm="1">
        <f>_xlfn.UNIQUE(_xlfn._xlws.FILTER(Input!A46:A5044, Input!A46:A5044&lt;&gt;""))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 t="shared" si="1"/>
        <v>#VALUE!</v>
      </c>
    </row>
    <row r="49" spans="1:5" x14ac:dyDescent="0.2">
      <c r="A49" t="e" vm="1">
        <f>_xlfn.UNIQUE(_xlfn._xlws.FILTER(Input!A47:A5045, Input!A47:A5045&lt;&gt;""))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 t="shared" si="1"/>
        <v>#VALUE!</v>
      </c>
    </row>
    <row r="50" spans="1:5" x14ac:dyDescent="0.2">
      <c r="A50" t="e" vm="1">
        <f>_xlfn.UNIQUE(_xlfn._xlws.FILTER(Input!A48:A5046, Input!A48:A5046&lt;&gt;""))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 t="shared" si="1"/>
        <v>#VALUE!</v>
      </c>
    </row>
    <row r="51" spans="1:5" x14ac:dyDescent="0.2">
      <c r="A51" t="e" vm="1">
        <f>_xlfn.UNIQUE(_xlfn._xlws.FILTER(Input!A49:A5047, Input!A49:A5047&lt;&gt;""))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 t="shared" si="1"/>
        <v>#VALUE!</v>
      </c>
    </row>
    <row r="52" spans="1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1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54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1"/>
  <sheetViews>
    <sheetView tabSelected="1" workbookViewId="0">
      <pane xSplit="4" ySplit="1" topLeftCell="AD2" activePane="bottomRight" state="frozen"/>
      <selection pane="topRight" activeCell="E1" sqref="E1"/>
      <selection pane="bottomLeft" activeCell="A2" sqref="A2"/>
      <selection pane="bottomRight" activeCell="AO18" sqref="AO18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27" width="15" customWidth="1"/>
    <col min="28" max="28" width="17.83203125" bestFit="1" customWidth="1"/>
    <col min="29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1141</v>
      </c>
      <c r="B2" t="s">
        <v>1326</v>
      </c>
      <c r="C2" t="s">
        <v>277</v>
      </c>
      <c r="D2" s="8" t="str">
        <f>IF(A2="","",VLOOKUP(A2,Lists!$A:$B,2,FALSE))</f>
        <v>0179</v>
      </c>
      <c r="E2" s="8">
        <f>IF(C2="","",VLOOKUP(C2,Lists!$C:$D,2,FALSE))</f>
        <v>50201</v>
      </c>
      <c r="F2" s="8"/>
      <c r="G2" s="8"/>
      <c r="J2" s="9">
        <f>IF(A2="","",IFERROR(VLOOKUP(A2,Lists!$A:$H,8,FALSE),0))</f>
        <v>3100</v>
      </c>
      <c r="L2" s="9">
        <f>IF(A2="","",IFERROR(VLOOKUP(A2,Lists!$A:$H,7,FALSE),0))</f>
        <v>300</v>
      </c>
      <c r="M2" s="10">
        <v>0.21</v>
      </c>
      <c r="N2" s="11">
        <f t="shared" ref="N2:N33" si="0">L2 * (1 + M2)</f>
        <v>363</v>
      </c>
      <c r="O2" s="11">
        <f t="shared" ref="O2:O33" si="1">IF(K2="Eigen Beheer",0,IF(AND(ISNUMBER(N2),I2&lt;&gt;"",H2&lt;&gt;""),YEARFRAC(H2,I2,4)*12*N2,0))</f>
        <v>0</v>
      </c>
      <c r="R2" s="12" t="str">
        <f>IF(Q2="","",VLOOKUP(Q2,Lists!$E:$F,2,FALSE))</f>
        <v/>
      </c>
      <c r="V2">
        <v>13598</v>
      </c>
      <c r="W2">
        <v>16906</v>
      </c>
      <c r="X2">
        <v>11954</v>
      </c>
      <c r="Y2">
        <v>15360</v>
      </c>
      <c r="Z2">
        <v>1128</v>
      </c>
      <c r="AA2">
        <v>1313</v>
      </c>
      <c r="AE2" s="11" t="str">
        <f t="shared" ref="AE2:AE33" si="2">IF(AND(AC2&lt;&gt;"",AD2&lt;&gt;""),AC2*AD2,"")</f>
        <v/>
      </c>
      <c r="AF2" s="13"/>
      <c r="AG2" s="11" t="str">
        <f t="shared" ref="AG2:AG33" si="3">IF(AND(AE2&lt;&gt;"",AF2&lt;&gt;""),AE2*AF2,"")</f>
        <v/>
      </c>
      <c r="AH2" s="11" t="str">
        <f t="shared" ref="AH2:AH33" si="4">IF(AND(AE2&lt;&gt;"",AG2&lt;&gt;""),AE2+AG2,"")</f>
        <v/>
      </c>
      <c r="AL2" t="str">
        <f t="shared" ref="AL2:AL33" si="5"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33" si="6">IF(AND(AL2&lt;&gt;"",AM2&lt;&gt;""),AL2*AM2,"")</f>
        <v/>
      </c>
      <c r="AO2" s="13"/>
      <c r="AP2" s="11" t="str">
        <f t="shared" ref="AP2:AP33" si="7">IF(AND(AN2&lt;&gt;"",AO2&lt;&gt;""),AN2*AO2,"")</f>
        <v/>
      </c>
      <c r="AQ2" s="11" t="str">
        <f t="shared" ref="AQ2:AQ33" si="8">IF(AND(AN2&lt;&gt;"",AP2&lt;&gt;""),AN2+AP2,"")</f>
        <v/>
      </c>
    </row>
    <row r="3" spans="1:43" x14ac:dyDescent="0.2">
      <c r="A3" t="s">
        <v>1141</v>
      </c>
      <c r="B3" t="s">
        <v>1327</v>
      </c>
      <c r="C3" t="s">
        <v>277</v>
      </c>
      <c r="D3" s="8" t="str">
        <f>IF(A3="","",VLOOKUP(A3,Lists!$A:$B,2,FALSE))</f>
        <v>0179</v>
      </c>
      <c r="E3" s="8">
        <f>IF(C3="","",VLOOKUP(C3,Lists!$C:$D,2,FALSE))</f>
        <v>50201</v>
      </c>
      <c r="F3" s="8"/>
      <c r="G3" s="8"/>
      <c r="J3" s="9">
        <f>IF(A3="","",IFERROR(VLOOKUP(A3,Lists!$A:$H,8,FALSE),0))</f>
        <v>3100</v>
      </c>
      <c r="L3" s="9">
        <f>IF(A3="","",IFERROR(VLOOKUP(A3,Lists!$A:$H,7,FALSE),0))</f>
        <v>300</v>
      </c>
      <c r="M3" s="10">
        <v>0.21</v>
      </c>
      <c r="N3" s="11">
        <f t="shared" si="0"/>
        <v>363</v>
      </c>
      <c r="O3" s="11">
        <f t="shared" si="1"/>
        <v>0</v>
      </c>
      <c r="R3" s="12" t="str">
        <f>IF(Q3="","",VLOOKUP(Q3,Lists!$E:$F,2,FALSE))</f>
        <v/>
      </c>
      <c r="AE3" s="11" t="str">
        <f t="shared" si="2"/>
        <v/>
      </c>
      <c r="AF3" s="13"/>
      <c r="AG3" s="11" t="str">
        <f t="shared" si="3"/>
        <v/>
      </c>
      <c r="AH3" s="11" t="str">
        <f t="shared" si="4"/>
        <v/>
      </c>
      <c r="AI3" t="s">
        <v>73</v>
      </c>
      <c r="AJ3" t="str">
        <f t="shared" ref="AJ3" si="9">IF(AI3="Elektra","kWh",IF(AI3="Gas","m³",IF(AI3="Water","m³","")))</f>
        <v>m³</v>
      </c>
      <c r="AK3" t="s">
        <v>1330</v>
      </c>
      <c r="AL3">
        <v>185</v>
      </c>
      <c r="AM3" s="16">
        <v>1.29</v>
      </c>
      <c r="AN3" s="11">
        <f t="shared" si="6"/>
        <v>238.65</v>
      </c>
      <c r="AO3" s="13">
        <v>0.09</v>
      </c>
      <c r="AP3" s="11">
        <f t="shared" si="7"/>
        <v>21.4785</v>
      </c>
      <c r="AQ3" s="11">
        <f t="shared" si="8"/>
        <v>260.12850000000003</v>
      </c>
    </row>
    <row r="4" spans="1:43" x14ac:dyDescent="0.2">
      <c r="A4" t="s">
        <v>1141</v>
      </c>
      <c r="B4" t="s">
        <v>1327</v>
      </c>
      <c r="C4" t="s">
        <v>277</v>
      </c>
      <c r="D4" s="8" t="str">
        <f>IF(A4="","",VLOOKUP(A4,Lists!$A:$B,2,FALSE))</f>
        <v>0179</v>
      </c>
      <c r="E4" s="8">
        <f>IF(C4="","",VLOOKUP(C4,Lists!$C:$D,2,FALSE))</f>
        <v>50201</v>
      </c>
      <c r="F4" s="8"/>
      <c r="G4" s="8"/>
      <c r="J4" s="9">
        <f>IF(A4="","",IFERROR(VLOOKUP(A4,Lists!$A:$H,8,FALSE),0))</f>
        <v>3100</v>
      </c>
      <c r="L4" s="9">
        <f>IF(A4="","",IFERROR(VLOOKUP(A4,Lists!$A:$H,7,FALSE),0))</f>
        <v>300</v>
      </c>
      <c r="M4" s="10">
        <v>0.21</v>
      </c>
      <c r="N4" s="11">
        <f t="shared" si="0"/>
        <v>363</v>
      </c>
      <c r="O4" s="11">
        <f t="shared" si="1"/>
        <v>0</v>
      </c>
      <c r="R4" s="12" t="str">
        <f>IF(Q4="","",VLOOKUP(Q4,Lists!$E:$F,2,FALSE))</f>
        <v/>
      </c>
      <c r="AE4" s="11" t="str">
        <f t="shared" si="2"/>
        <v/>
      </c>
      <c r="AF4" s="13"/>
      <c r="AG4" s="11" t="str">
        <f t="shared" si="3"/>
        <v/>
      </c>
      <c r="AH4" s="11" t="str">
        <f t="shared" si="4"/>
        <v/>
      </c>
      <c r="AI4" t="s">
        <v>73</v>
      </c>
      <c r="AJ4" t="s">
        <v>1331</v>
      </c>
      <c r="AK4" t="s">
        <v>1332</v>
      </c>
      <c r="AL4">
        <v>579</v>
      </c>
      <c r="AM4" s="16">
        <v>0.25474000000000002</v>
      </c>
      <c r="AN4" s="11">
        <f t="shared" si="6"/>
        <v>147.49446</v>
      </c>
      <c r="AO4" s="13">
        <v>0.09</v>
      </c>
      <c r="AP4" s="11">
        <f t="shared" si="7"/>
        <v>13.2745014</v>
      </c>
      <c r="AQ4" s="11">
        <f t="shared" si="8"/>
        <v>160.76896139999999</v>
      </c>
    </row>
    <row r="5" spans="1:43" x14ac:dyDescent="0.2">
      <c r="A5" t="s">
        <v>1141</v>
      </c>
      <c r="B5" t="s">
        <v>1327</v>
      </c>
      <c r="C5" t="s">
        <v>277</v>
      </c>
      <c r="D5" s="8" t="str">
        <f>IF(A5="","",VLOOKUP(A5,Lists!$A:$B,2,FALSE))</f>
        <v>0179</v>
      </c>
      <c r="E5" s="8">
        <f>IF(C5="","",VLOOKUP(C5,Lists!$C:$D,2,FALSE))</f>
        <v>50201</v>
      </c>
      <c r="F5" s="8"/>
      <c r="G5" s="8"/>
      <c r="J5" s="9">
        <f>IF(A5="","",IFERROR(VLOOKUP(A5,Lists!$A:$H,8,FALSE),0))</f>
        <v>3100</v>
      </c>
      <c r="L5" s="9">
        <f>IF(A5="","",IFERROR(VLOOKUP(A5,Lists!$A:$H,7,FALSE),0))</f>
        <v>300</v>
      </c>
      <c r="M5" s="10">
        <v>0.21</v>
      </c>
      <c r="N5" s="11">
        <f t="shared" si="0"/>
        <v>363</v>
      </c>
      <c r="O5" s="11">
        <f t="shared" si="1"/>
        <v>0</v>
      </c>
      <c r="R5" s="12" t="str">
        <f>IF(Q5="","",VLOOKUP(Q5,Lists!$E:$F,2,FALSE))</f>
        <v/>
      </c>
      <c r="AE5" s="11" t="str">
        <f t="shared" si="2"/>
        <v/>
      </c>
      <c r="AF5" s="13"/>
      <c r="AG5" s="11" t="str">
        <f t="shared" si="3"/>
        <v/>
      </c>
      <c r="AH5" s="11" t="str">
        <f t="shared" si="4"/>
        <v/>
      </c>
      <c r="AI5" t="s">
        <v>73</v>
      </c>
      <c r="AJ5" t="str">
        <f>IF(AI5="Elektra","kWh",IF(AI5="Gas","m³",IF(AI5="Water","m³","")))</f>
        <v>m³</v>
      </c>
      <c r="AK5" t="s">
        <v>1333</v>
      </c>
      <c r="AL5">
        <v>185</v>
      </c>
      <c r="AM5" s="16">
        <v>0.45800000000000002</v>
      </c>
      <c r="AN5" s="11">
        <f t="shared" si="6"/>
        <v>84.73</v>
      </c>
      <c r="AO5" s="13">
        <v>0.09</v>
      </c>
      <c r="AP5" s="11">
        <f t="shared" si="7"/>
        <v>7.6257000000000001</v>
      </c>
      <c r="AQ5" s="11">
        <f t="shared" si="8"/>
        <v>92.355699999999999</v>
      </c>
    </row>
    <row r="6" spans="1:43" x14ac:dyDescent="0.2">
      <c r="A6" t="s">
        <v>1141</v>
      </c>
      <c r="B6" t="s">
        <v>1327</v>
      </c>
      <c r="C6" t="s">
        <v>277</v>
      </c>
      <c r="D6" s="8" t="str">
        <f>IF(A6="","",VLOOKUP(A6,Lists!$A:$B,2,FALSE))</f>
        <v>0179</v>
      </c>
      <c r="E6" s="8">
        <f>IF(C6="","",VLOOKUP(C6,Lists!$C:$D,2,FALSE))</f>
        <v>50201</v>
      </c>
      <c r="F6" s="8"/>
      <c r="G6" s="8"/>
      <c r="J6" s="9">
        <f>IF(A6="","",IFERROR(VLOOKUP(A6,Lists!$A:$H,8,FALSE),0))</f>
        <v>3100</v>
      </c>
      <c r="L6" s="9">
        <f>IF(A6="","",IFERROR(VLOOKUP(A6,Lists!$A:$H,7,FALSE),0))</f>
        <v>300</v>
      </c>
      <c r="M6" s="10">
        <v>0.21</v>
      </c>
      <c r="N6" s="11">
        <f t="shared" si="0"/>
        <v>363</v>
      </c>
      <c r="O6" s="11">
        <f t="shared" si="1"/>
        <v>0</v>
      </c>
      <c r="R6" s="12" t="str">
        <f>IF(Q6="","",VLOOKUP(Q6,Lists!$E:$F,2,FALSE))</f>
        <v/>
      </c>
      <c r="AE6" s="11" t="str">
        <f t="shared" si="2"/>
        <v/>
      </c>
      <c r="AF6" s="13"/>
      <c r="AG6" s="11" t="str">
        <f t="shared" si="3"/>
        <v/>
      </c>
      <c r="AH6" s="11" t="str">
        <f t="shared" si="4"/>
        <v/>
      </c>
      <c r="AI6" t="s">
        <v>73</v>
      </c>
      <c r="AJ6" t="str">
        <f t="shared" ref="AJ6:AJ11" si="10">IF(AI6="Elektra","kWh",IF(AI6="Gas","m³",IF(AI6="Water","m³","")))</f>
        <v>m³</v>
      </c>
      <c r="AK6" t="s">
        <v>1334</v>
      </c>
      <c r="AL6">
        <v>185</v>
      </c>
      <c r="AM6" s="16">
        <v>9.2299999999999993E-2</v>
      </c>
      <c r="AN6" s="11">
        <f t="shared" si="6"/>
        <v>17.075499999999998</v>
      </c>
      <c r="AO6" s="13">
        <v>0.09</v>
      </c>
      <c r="AP6" s="11">
        <f t="shared" si="7"/>
        <v>1.5367949999999997</v>
      </c>
      <c r="AQ6" s="11">
        <f t="shared" si="8"/>
        <v>18.612294999999996</v>
      </c>
    </row>
    <row r="7" spans="1:43" x14ac:dyDescent="0.2">
      <c r="A7" t="s">
        <v>1141</v>
      </c>
      <c r="B7" t="s">
        <v>1327</v>
      </c>
      <c r="C7" t="s">
        <v>277</v>
      </c>
      <c r="D7" s="8" t="str">
        <f>IF(A7="","",VLOOKUP(A7,Lists!$A:$B,2,FALSE))</f>
        <v>0179</v>
      </c>
      <c r="E7" s="8">
        <f>IF(C7="","",VLOOKUP(C7,Lists!$C:$D,2,FALSE))</f>
        <v>50201</v>
      </c>
      <c r="F7" s="8"/>
      <c r="G7" s="8"/>
      <c r="J7" s="9">
        <f>IF(A7="","",IFERROR(VLOOKUP(A7,Lists!$A:$H,8,FALSE),0))</f>
        <v>3100</v>
      </c>
      <c r="L7" s="9">
        <f>IF(A7="","",IFERROR(VLOOKUP(A7,Lists!$A:$H,7,FALSE),0))</f>
        <v>300</v>
      </c>
      <c r="M7" s="10">
        <v>0.21</v>
      </c>
      <c r="N7" s="11">
        <f t="shared" si="0"/>
        <v>363</v>
      </c>
      <c r="O7" s="11">
        <f t="shared" si="1"/>
        <v>0</v>
      </c>
      <c r="R7" s="12" t="str">
        <f>IF(Q7="","",VLOOKUP(Q7,Lists!$E:$F,2,FALSE))</f>
        <v/>
      </c>
      <c r="AE7" s="11" t="str">
        <f t="shared" si="2"/>
        <v/>
      </c>
      <c r="AF7" s="13"/>
      <c r="AG7" s="11" t="str">
        <f t="shared" si="3"/>
        <v/>
      </c>
      <c r="AH7" s="11" t="str">
        <f t="shared" si="4"/>
        <v/>
      </c>
      <c r="AI7" t="s">
        <v>58</v>
      </c>
      <c r="AJ7" t="str">
        <f t="shared" si="10"/>
        <v>kWh</v>
      </c>
      <c r="AK7" t="s">
        <v>1335</v>
      </c>
      <c r="AL7">
        <v>3308</v>
      </c>
      <c r="AM7" s="16">
        <v>0.274476</v>
      </c>
      <c r="AN7" s="11">
        <f t="shared" si="6"/>
        <v>907.96660799999995</v>
      </c>
      <c r="AO7" s="13">
        <v>0.21</v>
      </c>
      <c r="AP7" s="11">
        <f t="shared" si="7"/>
        <v>190.67298767999998</v>
      </c>
      <c r="AQ7" s="11">
        <f t="shared" si="8"/>
        <v>1098.63959568</v>
      </c>
    </row>
    <row r="8" spans="1:43" x14ac:dyDescent="0.2">
      <c r="A8" t="s">
        <v>1141</v>
      </c>
      <c r="B8" t="s">
        <v>1327</v>
      </c>
      <c r="C8" t="s">
        <v>277</v>
      </c>
      <c r="D8" s="8" t="str">
        <f>IF(A8="","",VLOOKUP(A8,Lists!$A:$B,2,FALSE))</f>
        <v>0179</v>
      </c>
      <c r="E8" s="8">
        <f>IF(C8="","",VLOOKUP(C8,Lists!$C:$D,2,FALSE))</f>
        <v>50201</v>
      </c>
      <c r="F8" s="8"/>
      <c r="G8" s="8"/>
      <c r="J8" s="9">
        <f>IF(A8="","",IFERROR(VLOOKUP(A8,Lists!$A:$H,8,FALSE),0))</f>
        <v>3100</v>
      </c>
      <c r="L8" s="9">
        <f>IF(A8="","",IFERROR(VLOOKUP(A8,Lists!$A:$H,7,FALSE),0))</f>
        <v>300</v>
      </c>
      <c r="M8" s="10">
        <v>0.21</v>
      </c>
      <c r="N8" s="11">
        <f t="shared" si="0"/>
        <v>363</v>
      </c>
      <c r="O8" s="11">
        <f t="shared" si="1"/>
        <v>0</v>
      </c>
      <c r="R8" s="12" t="str">
        <f>IF(Q8="","",VLOOKUP(Q8,Lists!$E:$F,2,FALSE))</f>
        <v/>
      </c>
      <c r="AE8" s="11" t="str">
        <f t="shared" si="2"/>
        <v/>
      </c>
      <c r="AF8" s="13"/>
      <c r="AG8" s="11" t="str">
        <f t="shared" si="3"/>
        <v/>
      </c>
      <c r="AH8" s="11" t="str">
        <f t="shared" si="4"/>
        <v/>
      </c>
      <c r="AI8" t="s">
        <v>58</v>
      </c>
      <c r="AJ8" t="s">
        <v>1331</v>
      </c>
      <c r="AK8" t="s">
        <v>1336</v>
      </c>
      <c r="AL8">
        <v>579</v>
      </c>
      <c r="AM8" s="16">
        <v>0.39780799999999999</v>
      </c>
      <c r="AN8" s="11">
        <f t="shared" si="6"/>
        <v>230.33083199999999</v>
      </c>
      <c r="AO8" s="13">
        <v>0.21</v>
      </c>
      <c r="AP8" s="11">
        <f t="shared" si="7"/>
        <v>48.369474719999992</v>
      </c>
      <c r="AQ8" s="11">
        <f t="shared" si="8"/>
        <v>278.70030671999996</v>
      </c>
    </row>
    <row r="9" spans="1:43" x14ac:dyDescent="0.2">
      <c r="A9" t="s">
        <v>1141</v>
      </c>
      <c r="B9" t="s">
        <v>1327</v>
      </c>
      <c r="C9" t="s">
        <v>277</v>
      </c>
      <c r="D9" s="8" t="str">
        <f>IF(A9="","",VLOOKUP(A9,Lists!$A:$B,2,FALSE))</f>
        <v>0179</v>
      </c>
      <c r="E9" s="8">
        <f>IF(C9="","",VLOOKUP(C9,Lists!$C:$D,2,FALSE))</f>
        <v>50201</v>
      </c>
      <c r="F9" s="8"/>
      <c r="G9" s="8"/>
      <c r="J9" s="9">
        <f>IF(A9="","",IFERROR(VLOOKUP(A9,Lists!$A:$H,8,FALSE),0))</f>
        <v>3100</v>
      </c>
      <c r="L9" s="9">
        <f>IF(A9="","",IFERROR(VLOOKUP(A9,Lists!$A:$H,7,FALSE),0))</f>
        <v>300</v>
      </c>
      <c r="M9" s="10">
        <v>0.21</v>
      </c>
      <c r="N9" s="11">
        <f t="shared" si="0"/>
        <v>363</v>
      </c>
      <c r="O9" s="11">
        <f t="shared" si="1"/>
        <v>0</v>
      </c>
      <c r="R9" s="12" t="str">
        <f>IF(Q9="","",VLOOKUP(Q9,Lists!$E:$F,2,FALSE))</f>
        <v/>
      </c>
      <c r="AE9" s="11" t="str">
        <f t="shared" si="2"/>
        <v/>
      </c>
      <c r="AF9" s="13"/>
      <c r="AG9" s="11" t="str">
        <f t="shared" si="3"/>
        <v/>
      </c>
      <c r="AH9" s="11" t="str">
        <f t="shared" si="4"/>
        <v/>
      </c>
      <c r="AI9" t="s">
        <v>58</v>
      </c>
      <c r="AJ9" t="s">
        <v>1331</v>
      </c>
      <c r="AK9" t="s">
        <v>1337</v>
      </c>
      <c r="AL9">
        <v>579</v>
      </c>
      <c r="AM9" s="16">
        <v>-1.740245</v>
      </c>
      <c r="AN9" s="11">
        <f t="shared" si="6"/>
        <v>-1007.601855</v>
      </c>
      <c r="AO9" s="13">
        <v>0.21</v>
      </c>
      <c r="AP9" s="11">
        <f t="shared" si="7"/>
        <v>-211.59638955</v>
      </c>
      <c r="AQ9" s="11">
        <f t="shared" si="8"/>
        <v>-1219.19824455</v>
      </c>
    </row>
    <row r="10" spans="1:43" x14ac:dyDescent="0.2">
      <c r="A10" t="s">
        <v>1141</v>
      </c>
      <c r="B10" t="s">
        <v>1327</v>
      </c>
      <c r="C10" t="s">
        <v>277</v>
      </c>
      <c r="D10" s="8" t="str">
        <f>IF(A10="","",VLOOKUP(A10,Lists!$A:$B,2,FALSE))</f>
        <v>0179</v>
      </c>
      <c r="E10" s="8">
        <f>IF(C10="","",VLOOKUP(C10,Lists!$C:$D,2,FALSE))</f>
        <v>50201</v>
      </c>
      <c r="F10" s="8"/>
      <c r="G10" s="8"/>
      <c r="J10" s="9">
        <f>IF(A10="","",IFERROR(VLOOKUP(A10,Lists!$A:$H,8,FALSE),0))</f>
        <v>3100</v>
      </c>
      <c r="L10" s="9">
        <f>IF(A10="","",IFERROR(VLOOKUP(A10,Lists!$A:$H,7,FALSE),0))</f>
        <v>300</v>
      </c>
      <c r="M10" s="10">
        <v>0.21</v>
      </c>
      <c r="N10" s="11">
        <f t="shared" si="0"/>
        <v>363</v>
      </c>
      <c r="O10" s="11">
        <f t="shared" si="1"/>
        <v>0</v>
      </c>
      <c r="R10" s="12" t="str">
        <f>IF(Q10="","",VLOOKUP(Q10,Lists!$E:$F,2,FALSE))</f>
        <v/>
      </c>
      <c r="AE10" s="11" t="str">
        <f t="shared" si="2"/>
        <v/>
      </c>
      <c r="AF10" s="13"/>
      <c r="AG10" s="11" t="str">
        <f t="shared" si="3"/>
        <v/>
      </c>
      <c r="AH10" s="11" t="str">
        <f t="shared" si="4"/>
        <v/>
      </c>
      <c r="AI10" t="s">
        <v>58</v>
      </c>
      <c r="AJ10" t="s">
        <v>1331</v>
      </c>
      <c r="AK10" t="s">
        <v>1338</v>
      </c>
      <c r="AL10">
        <v>579</v>
      </c>
      <c r="AM10" s="16">
        <v>1.3038959999999999</v>
      </c>
      <c r="AN10" s="11">
        <f t="shared" si="6"/>
        <v>754.95578399999999</v>
      </c>
      <c r="AO10" s="13">
        <v>0.21</v>
      </c>
      <c r="AP10" s="11">
        <f t="shared" si="7"/>
        <v>158.54071464</v>
      </c>
      <c r="AQ10" s="11">
        <f t="shared" si="8"/>
        <v>913.49649864000003</v>
      </c>
    </row>
    <row r="11" spans="1:43" x14ac:dyDescent="0.2">
      <c r="A11" t="s">
        <v>1141</v>
      </c>
      <c r="B11" t="s">
        <v>1327</v>
      </c>
      <c r="C11" t="s">
        <v>277</v>
      </c>
      <c r="D11" s="8" t="str">
        <f>IF(A11="","",VLOOKUP(A11,Lists!$A:$B,2,FALSE))</f>
        <v>0179</v>
      </c>
      <c r="E11" s="8">
        <f>IF(C11="","",VLOOKUP(C11,Lists!$C:$D,2,FALSE))</f>
        <v>50201</v>
      </c>
      <c r="F11" s="8"/>
      <c r="G11" s="8"/>
      <c r="J11" s="9">
        <f>IF(A11="","",IFERROR(VLOOKUP(A11,Lists!$A:$H,8,FALSE),0))</f>
        <v>3100</v>
      </c>
      <c r="L11" s="9">
        <f>IF(A11="","",IFERROR(VLOOKUP(A11,Lists!$A:$H,7,FALSE),0))</f>
        <v>300</v>
      </c>
      <c r="M11" s="10">
        <v>0.21</v>
      </c>
      <c r="N11" s="11">
        <f t="shared" si="0"/>
        <v>363</v>
      </c>
      <c r="O11" s="11">
        <f t="shared" si="1"/>
        <v>0</v>
      </c>
      <c r="R11" s="12" t="str">
        <f>IF(Q11="","",VLOOKUP(Q11,Lists!$E:$F,2,FALSE))</f>
        <v/>
      </c>
      <c r="AE11" s="11" t="str">
        <f t="shared" si="2"/>
        <v/>
      </c>
      <c r="AF11" s="13"/>
      <c r="AG11" s="11" t="str">
        <f t="shared" si="3"/>
        <v/>
      </c>
      <c r="AH11" s="11" t="str">
        <f t="shared" si="4"/>
        <v/>
      </c>
      <c r="AI11" t="s">
        <v>66</v>
      </c>
      <c r="AJ11" t="str">
        <f t="shared" si="10"/>
        <v>m³</v>
      </c>
      <c r="AK11" t="s">
        <v>1339</v>
      </c>
      <c r="AL11">
        <v>3406</v>
      </c>
      <c r="AM11" s="16">
        <v>1.287755</v>
      </c>
      <c r="AN11" s="11">
        <f t="shared" si="6"/>
        <v>4386.0935300000001</v>
      </c>
      <c r="AO11" s="13">
        <v>0.21</v>
      </c>
      <c r="AP11" s="11">
        <f t="shared" si="7"/>
        <v>921.07964129999993</v>
      </c>
      <c r="AQ11" s="11">
        <f t="shared" si="8"/>
        <v>5307.1731712999999</v>
      </c>
    </row>
    <row r="12" spans="1:43" x14ac:dyDescent="0.2">
      <c r="A12" t="s">
        <v>1141</v>
      </c>
      <c r="B12" t="s">
        <v>1327</v>
      </c>
      <c r="C12" t="s">
        <v>277</v>
      </c>
      <c r="D12" s="8" t="str">
        <f>IF(A12="","",VLOOKUP(A12,Lists!$A:$B,2,FALSE))</f>
        <v>0179</v>
      </c>
      <c r="E12" s="8">
        <f>IF(C12="","",VLOOKUP(C12,Lists!$C:$D,2,FALSE))</f>
        <v>50201</v>
      </c>
      <c r="F12" s="8"/>
      <c r="G12" s="8"/>
      <c r="J12" s="9">
        <f>IF(A12="","",IFERROR(VLOOKUP(A12,Lists!$A:$H,8,FALSE),0))</f>
        <v>3100</v>
      </c>
      <c r="L12" s="9">
        <f>IF(A12="","",IFERROR(VLOOKUP(A12,Lists!$A:$H,7,FALSE),0))</f>
        <v>300</v>
      </c>
      <c r="M12" s="10">
        <v>0.21</v>
      </c>
      <c r="N12" s="11">
        <f t="shared" si="0"/>
        <v>363</v>
      </c>
      <c r="O12" s="11">
        <f t="shared" si="1"/>
        <v>0</v>
      </c>
      <c r="R12" s="12" t="str">
        <f>IF(Q12="","",VLOOKUP(Q12,Lists!$E:$F,2,FALSE))</f>
        <v/>
      </c>
      <c r="AE12" s="11" t="str">
        <f t="shared" si="2"/>
        <v/>
      </c>
      <c r="AF12" s="13"/>
      <c r="AG12" s="11" t="str">
        <f t="shared" si="3"/>
        <v/>
      </c>
      <c r="AH12" s="11" t="str">
        <f t="shared" si="4"/>
        <v/>
      </c>
      <c r="AI12" t="s">
        <v>66</v>
      </c>
      <c r="AJ12" t="s">
        <v>1331</v>
      </c>
      <c r="AK12" t="s">
        <v>1340</v>
      </c>
      <c r="AL12">
        <v>579</v>
      </c>
      <c r="AM12" s="16">
        <v>0.29835600000000001</v>
      </c>
      <c r="AN12" s="11">
        <f t="shared" si="6"/>
        <v>172.74812400000002</v>
      </c>
      <c r="AO12" s="13">
        <v>0.21</v>
      </c>
      <c r="AP12" s="11">
        <f t="shared" si="7"/>
        <v>36.27710604</v>
      </c>
      <c r="AQ12" s="11">
        <f t="shared" si="8"/>
        <v>209.02523004000003</v>
      </c>
    </row>
    <row r="13" spans="1:43" x14ac:dyDescent="0.2">
      <c r="A13" t="s">
        <v>1141</v>
      </c>
      <c r="B13" t="s">
        <v>1327</v>
      </c>
      <c r="C13" t="s">
        <v>277</v>
      </c>
      <c r="D13" s="8" t="str">
        <f>IF(A13="","",VLOOKUP(A13,Lists!$A:$B,2,FALSE))</f>
        <v>0179</v>
      </c>
      <c r="E13" s="8">
        <f>IF(C13="","",VLOOKUP(C13,Lists!$C:$D,2,FALSE))</f>
        <v>50201</v>
      </c>
      <c r="F13" s="8"/>
      <c r="G13" s="8"/>
      <c r="J13" s="9">
        <f>IF(A13="","",IFERROR(VLOOKUP(A13,Lists!$A:$H,8,FALSE),0))</f>
        <v>3100</v>
      </c>
      <c r="L13" s="9">
        <f>IF(A13="","",IFERROR(VLOOKUP(A13,Lists!$A:$H,7,FALSE),0))</f>
        <v>300</v>
      </c>
      <c r="M13" s="10">
        <v>0.21</v>
      </c>
      <c r="N13" s="11">
        <f t="shared" si="0"/>
        <v>363</v>
      </c>
      <c r="O13" s="11">
        <f t="shared" si="1"/>
        <v>0</v>
      </c>
      <c r="R13" s="12" t="str">
        <f>IF(Q13="","",VLOOKUP(Q13,Lists!$E:$F,2,FALSE))</f>
        <v/>
      </c>
      <c r="AE13" s="11" t="str">
        <f t="shared" si="2"/>
        <v/>
      </c>
      <c r="AF13" s="13"/>
      <c r="AG13" s="11" t="str">
        <f t="shared" si="3"/>
        <v/>
      </c>
      <c r="AH13" s="11" t="str">
        <f t="shared" si="4"/>
        <v/>
      </c>
      <c r="AI13" t="s">
        <v>66</v>
      </c>
      <c r="AJ13" t="s">
        <v>1331</v>
      </c>
      <c r="AK13" t="s">
        <v>1341</v>
      </c>
      <c r="AL13">
        <v>579</v>
      </c>
      <c r="AM13" s="16">
        <v>0.67421200000000003</v>
      </c>
      <c r="AN13" s="11">
        <f t="shared" si="6"/>
        <v>390.36874800000004</v>
      </c>
      <c r="AO13" s="13">
        <v>0.21</v>
      </c>
      <c r="AP13" s="11">
        <f t="shared" si="7"/>
        <v>81.977437080000001</v>
      </c>
      <c r="AQ13" s="11">
        <f t="shared" si="8"/>
        <v>472.34618508000005</v>
      </c>
    </row>
    <row r="14" spans="1:43" x14ac:dyDescent="0.2">
      <c r="A14" t="s">
        <v>1141</v>
      </c>
      <c r="B14" t="s">
        <v>1328</v>
      </c>
      <c r="C14" t="s">
        <v>277</v>
      </c>
      <c r="D14" s="8" t="str">
        <f>IF(A14="","",VLOOKUP(A14,Lists!$A:$B,2,FALSE))</f>
        <v>0179</v>
      </c>
      <c r="E14" s="8">
        <f>IF(C14="","",VLOOKUP(C14,Lists!$C:$D,2,FALSE))</f>
        <v>50201</v>
      </c>
      <c r="F14" s="8"/>
      <c r="G14" s="8"/>
      <c r="J14" s="9">
        <f>IF(A14="","",IFERROR(VLOOKUP(A14,Lists!$A:$H,8,FALSE),0))</f>
        <v>3100</v>
      </c>
      <c r="L14" s="9">
        <f>IF(A14="","",IFERROR(VLOOKUP(A14,Lists!$A:$H,7,FALSE),0))</f>
        <v>300</v>
      </c>
      <c r="M14" s="10">
        <v>0.21</v>
      </c>
      <c r="N14" s="11">
        <f t="shared" si="0"/>
        <v>363</v>
      </c>
      <c r="O14" s="11">
        <f t="shared" si="1"/>
        <v>0</v>
      </c>
      <c r="R14" s="12" t="str">
        <f>IF(Q14="","",VLOOKUP(Q14,Lists!$E:$F,2,FALSE))</f>
        <v/>
      </c>
      <c r="AB14" t="s">
        <v>78</v>
      </c>
      <c r="AC14">
        <v>7</v>
      </c>
      <c r="AD14">
        <v>50</v>
      </c>
      <c r="AE14" s="11">
        <f t="shared" si="2"/>
        <v>350</v>
      </c>
      <c r="AF14" s="13">
        <v>0.21</v>
      </c>
      <c r="AG14" s="11">
        <f t="shared" si="3"/>
        <v>73.5</v>
      </c>
      <c r="AH14" s="11">
        <f t="shared" si="4"/>
        <v>423.5</v>
      </c>
      <c r="AL14" t="str">
        <f t="shared" si="5"/>
        <v/>
      </c>
      <c r="AN14" s="11" t="str">
        <f t="shared" si="6"/>
        <v/>
      </c>
      <c r="AO14" s="13"/>
      <c r="AP14" s="11" t="str">
        <f t="shared" si="7"/>
        <v/>
      </c>
      <c r="AQ14" s="11" t="str">
        <f t="shared" si="8"/>
        <v/>
      </c>
    </row>
    <row r="15" spans="1:43" x14ac:dyDescent="0.2">
      <c r="A15" t="s">
        <v>1141</v>
      </c>
      <c r="B15" t="s">
        <v>1329</v>
      </c>
      <c r="C15" t="s">
        <v>277</v>
      </c>
      <c r="D15" s="8" t="str">
        <f>IF(A15="","",VLOOKUP(A15,Lists!$A:$B,2,FALSE))</f>
        <v>0179</v>
      </c>
      <c r="E15" s="8">
        <f>IF(C15="","",VLOOKUP(C15,Lists!$C:$D,2,FALSE))</f>
        <v>50201</v>
      </c>
      <c r="F15" s="8"/>
      <c r="G15" s="8"/>
      <c r="H15" s="15">
        <v>45382</v>
      </c>
      <c r="I15" s="15">
        <v>45961</v>
      </c>
      <c r="J15" s="9">
        <f>IF(A15="","",IFERROR(VLOOKUP(A15,Lists!$A:$H,8,FALSE),0))</f>
        <v>3100</v>
      </c>
      <c r="K15" t="s">
        <v>56</v>
      </c>
      <c r="L15" s="9">
        <f>IF(A15="","",IFERROR(VLOOKUP(A15,Lists!$A:$H,7,FALSE),0))</f>
        <v>300</v>
      </c>
      <c r="M15" s="10">
        <v>0.21</v>
      </c>
      <c r="N15" s="11">
        <f t="shared" si="0"/>
        <v>363</v>
      </c>
      <c r="O15" s="11">
        <f t="shared" si="1"/>
        <v>6897</v>
      </c>
      <c r="P15" t="s">
        <v>71</v>
      </c>
      <c r="Q15" t="s">
        <v>516</v>
      </c>
      <c r="R15" s="12">
        <f>IF(Q15="","",VLOOKUP(Q15,Lists!$E:$F,2,FALSE))</f>
        <v>2</v>
      </c>
      <c r="AE15" s="11" t="str">
        <f t="shared" si="2"/>
        <v/>
      </c>
      <c r="AF15" s="13"/>
      <c r="AG15" s="11" t="str">
        <f t="shared" si="3"/>
        <v/>
      </c>
      <c r="AH15" s="11" t="str">
        <f t="shared" si="4"/>
        <v/>
      </c>
      <c r="AL15" t="str">
        <f t="shared" si="5"/>
        <v/>
      </c>
      <c r="AN15" s="11" t="str">
        <f t="shared" si="6"/>
        <v/>
      </c>
      <c r="AO15" s="13"/>
      <c r="AP15" s="11" t="str">
        <f t="shared" si="7"/>
        <v/>
      </c>
      <c r="AQ15" s="11" t="str">
        <f t="shared" si="8"/>
        <v/>
      </c>
    </row>
    <row r="16" spans="1:43" x14ac:dyDescent="0.2">
      <c r="A16" t="s">
        <v>346</v>
      </c>
      <c r="B16" t="s">
        <v>1329</v>
      </c>
      <c r="C16" t="s">
        <v>385</v>
      </c>
      <c r="D16" s="8" t="str">
        <f>IF(A16="","",VLOOKUP(A16,Lists!$A:$B,2,FALSE))</f>
        <v>0345</v>
      </c>
      <c r="E16" s="8">
        <f>IF(C16="","",VLOOKUP(C16,Lists!$C:$D,2,FALSE))</f>
        <v>93</v>
      </c>
      <c r="F16" s="8"/>
      <c r="G16" s="8"/>
      <c r="H16" s="15">
        <v>45658</v>
      </c>
      <c r="I16" s="15">
        <v>46022</v>
      </c>
      <c r="J16" s="9">
        <v>6450</v>
      </c>
      <c r="K16" t="s">
        <v>64</v>
      </c>
      <c r="L16" s="9">
        <f>IF(A16="","",IFERROR(VLOOKUP(A16,Lists!$A:$H,7,FALSE),0))</f>
        <v>0</v>
      </c>
      <c r="M16" s="10">
        <v>0.21</v>
      </c>
      <c r="N16" s="11">
        <f t="shared" si="0"/>
        <v>0</v>
      </c>
      <c r="O16" s="11">
        <f t="shared" si="1"/>
        <v>0</v>
      </c>
      <c r="R16" s="12" t="str">
        <f>IF(Q16="","",VLOOKUP(Q16,Lists!$E:$F,2,FALSE))</f>
        <v/>
      </c>
      <c r="AE16" s="11" t="str">
        <f t="shared" si="2"/>
        <v/>
      </c>
      <c r="AF16" s="13"/>
      <c r="AG16" s="11" t="str">
        <f t="shared" si="3"/>
        <v/>
      </c>
      <c r="AH16" s="11" t="str">
        <f t="shared" si="4"/>
        <v/>
      </c>
      <c r="AL16" t="str">
        <f t="shared" si="5"/>
        <v/>
      </c>
      <c r="AN16" s="11" t="str">
        <f t="shared" si="6"/>
        <v/>
      </c>
      <c r="AO16" s="13"/>
      <c r="AP16" s="11" t="str">
        <f t="shared" si="7"/>
        <v/>
      </c>
      <c r="AQ16" s="11" t="str">
        <f t="shared" si="8"/>
        <v/>
      </c>
    </row>
    <row r="17" spans="1:43" x14ac:dyDescent="0.2">
      <c r="A17" t="s">
        <v>346</v>
      </c>
      <c r="B17" t="s">
        <v>1342</v>
      </c>
      <c r="C17" t="s">
        <v>385</v>
      </c>
      <c r="D17" s="8" t="str">
        <f>IF(A17="","",VLOOKUP(A17,Lists!$A:$B,2,FALSE))</f>
        <v>0345</v>
      </c>
      <c r="E17" s="8">
        <f>IF(C17="","",VLOOKUP(C17,Lists!$C:$D,2,FALSE))</f>
        <v>93</v>
      </c>
      <c r="F17" s="8"/>
      <c r="G17" s="8"/>
      <c r="J17" s="9">
        <f>IF(A17="","",IFERROR(VLOOKUP(A17,Lists!$A:$H,8,FALSE),0))</f>
        <v>0</v>
      </c>
      <c r="L17" s="9">
        <f>IF(A17="","",IFERROR(VLOOKUP(A17,Lists!$A:$H,7,FALSE),0))</f>
        <v>0</v>
      </c>
      <c r="M17" s="10">
        <v>0.21</v>
      </c>
      <c r="N17" s="11">
        <f t="shared" si="0"/>
        <v>0</v>
      </c>
      <c r="O17" s="11">
        <f t="shared" si="1"/>
        <v>0</v>
      </c>
      <c r="R17" s="12" t="str">
        <f>IF(Q17="","",VLOOKUP(Q17,Lists!$E:$F,2,FALSE))</f>
        <v/>
      </c>
      <c r="AE17" s="11" t="str">
        <f t="shared" si="2"/>
        <v/>
      </c>
      <c r="AF17" s="13"/>
      <c r="AG17" s="11" t="str">
        <f t="shared" si="3"/>
        <v/>
      </c>
      <c r="AH17" s="11" t="str">
        <f t="shared" si="4"/>
        <v/>
      </c>
      <c r="AI17" t="s">
        <v>79</v>
      </c>
      <c r="AK17" t="s">
        <v>1343</v>
      </c>
      <c r="AL17">
        <v>1</v>
      </c>
      <c r="AN17" s="11">
        <v>58.8</v>
      </c>
      <c r="AO17" s="13">
        <v>0.21</v>
      </c>
      <c r="AP17" s="11">
        <f t="shared" si="7"/>
        <v>12.347999999999999</v>
      </c>
      <c r="AQ17" s="11">
        <f t="shared" si="8"/>
        <v>71.147999999999996</v>
      </c>
    </row>
    <row r="18" spans="1:43" x14ac:dyDescent="0.2">
      <c r="A18" t="s">
        <v>346</v>
      </c>
      <c r="B18" t="s">
        <v>1342</v>
      </c>
      <c r="C18" t="s">
        <v>385</v>
      </c>
      <c r="D18" s="8" t="str">
        <f>IF(A18="","",VLOOKUP(A18,Lists!$A:$B,2,FALSE))</f>
        <v>0345</v>
      </c>
      <c r="E18" s="8">
        <f>IF(C18="","",VLOOKUP(C18,Lists!$C:$D,2,FALSE))</f>
        <v>93</v>
      </c>
      <c r="F18" s="8"/>
      <c r="G18" s="8"/>
      <c r="J18" s="9">
        <f>IF(A18="","",IFERROR(VLOOKUP(A18,Lists!$A:$H,8,FALSE),0))</f>
        <v>0</v>
      </c>
      <c r="L18" s="9">
        <f>IF(A18="","",IFERROR(VLOOKUP(A18,Lists!$A:$H,7,FALSE),0))</f>
        <v>0</v>
      </c>
      <c r="M18" s="10">
        <v>0.21</v>
      </c>
      <c r="N18" s="11">
        <f t="shared" si="0"/>
        <v>0</v>
      </c>
      <c r="O18" s="11">
        <f t="shared" si="1"/>
        <v>0</v>
      </c>
      <c r="R18" s="12" t="str">
        <f>IF(Q18="","",VLOOKUP(Q18,Lists!$E:$F,2,FALSE))</f>
        <v/>
      </c>
      <c r="AE18" s="11" t="str">
        <f t="shared" si="2"/>
        <v/>
      </c>
      <c r="AF18" s="13"/>
      <c r="AG18" s="11" t="str">
        <f t="shared" si="3"/>
        <v/>
      </c>
      <c r="AH18" s="11" t="str">
        <f t="shared" si="4"/>
        <v/>
      </c>
      <c r="AI18" t="s">
        <v>79</v>
      </c>
      <c r="AK18" t="s">
        <v>1344</v>
      </c>
      <c r="AL18">
        <v>1</v>
      </c>
      <c r="AN18" s="11">
        <v>51.87</v>
      </c>
      <c r="AO18" s="13"/>
      <c r="AP18" s="11" t="str">
        <f t="shared" si="7"/>
        <v/>
      </c>
      <c r="AQ18" s="11" t="str">
        <f t="shared" si="8"/>
        <v/>
      </c>
    </row>
    <row r="19" spans="1:43" x14ac:dyDescent="0.2">
      <c r="A19" t="s">
        <v>346</v>
      </c>
      <c r="B19" t="s">
        <v>1342</v>
      </c>
      <c r="C19" t="s">
        <v>385</v>
      </c>
      <c r="D19" s="8" t="str">
        <f>IF(A19="","",VLOOKUP(A19,Lists!$A:$B,2,FALSE))</f>
        <v>0345</v>
      </c>
      <c r="E19" s="8">
        <f>IF(C19="","",VLOOKUP(C19,Lists!$C:$D,2,FALSE))</f>
        <v>93</v>
      </c>
      <c r="F19" s="8"/>
      <c r="G19" s="8"/>
      <c r="J19" s="9">
        <f>IF(A19="","",IFERROR(VLOOKUP(A19,Lists!$A:$H,8,FALSE),0))</f>
        <v>0</v>
      </c>
      <c r="L19" s="9">
        <f>IF(A19="","",IFERROR(VLOOKUP(A19,Lists!$A:$H,7,FALSE),0))</f>
        <v>0</v>
      </c>
      <c r="M19" s="10">
        <v>0.21</v>
      </c>
      <c r="N19" s="11">
        <f t="shared" si="0"/>
        <v>0</v>
      </c>
      <c r="O19" s="11">
        <f t="shared" si="1"/>
        <v>0</v>
      </c>
      <c r="R19" s="12" t="str">
        <f>IF(Q19="","",VLOOKUP(Q19,Lists!$E:$F,2,FALSE))</f>
        <v/>
      </c>
      <c r="AE19" s="11" t="str">
        <f t="shared" si="2"/>
        <v/>
      </c>
      <c r="AF19" s="13"/>
      <c r="AG19" s="11" t="str">
        <f t="shared" si="3"/>
        <v/>
      </c>
      <c r="AH19" s="11" t="str">
        <f t="shared" si="4"/>
        <v/>
      </c>
      <c r="AI19" t="s">
        <v>79</v>
      </c>
      <c r="AK19" t="s">
        <v>1345</v>
      </c>
      <c r="AL19">
        <v>1</v>
      </c>
      <c r="AN19" s="11">
        <v>283.14</v>
      </c>
      <c r="AO19" s="13"/>
      <c r="AP19" s="11" t="str">
        <f t="shared" si="7"/>
        <v/>
      </c>
      <c r="AQ19" s="11" t="str">
        <f t="shared" si="8"/>
        <v/>
      </c>
    </row>
    <row r="20" spans="1:43" x14ac:dyDescent="0.2">
      <c r="A20" t="s">
        <v>346</v>
      </c>
      <c r="B20" t="s">
        <v>1342</v>
      </c>
      <c r="C20" t="s">
        <v>385</v>
      </c>
      <c r="D20" s="8" t="str">
        <f>IF(A20="","",VLOOKUP(A20,Lists!$A:$B,2,FALSE))</f>
        <v>0345</v>
      </c>
      <c r="E20" s="8">
        <f>IF(C20="","",VLOOKUP(C20,Lists!$C:$D,2,FALSE))</f>
        <v>93</v>
      </c>
      <c r="F20" s="8"/>
      <c r="G20" s="8"/>
      <c r="J20" s="9">
        <f>IF(A20="","",IFERROR(VLOOKUP(A20,Lists!$A:$H,8,FALSE),0))</f>
        <v>0</v>
      </c>
      <c r="L20" s="9">
        <f>IF(A20="","",IFERROR(VLOOKUP(A20,Lists!$A:$H,7,FALSE),0))</f>
        <v>0</v>
      </c>
      <c r="M20" s="10">
        <v>0.21</v>
      </c>
      <c r="N20" s="11">
        <f t="shared" si="0"/>
        <v>0</v>
      </c>
      <c r="O20" s="11">
        <f t="shared" si="1"/>
        <v>0</v>
      </c>
      <c r="R20" s="12" t="str">
        <f>IF(Q20="","",VLOOKUP(Q20,Lists!$E:$F,2,FALSE))</f>
        <v/>
      </c>
      <c r="AE20" s="11" t="str">
        <f t="shared" si="2"/>
        <v/>
      </c>
      <c r="AF20" s="13"/>
      <c r="AG20" s="11" t="str">
        <f t="shared" si="3"/>
        <v/>
      </c>
      <c r="AH20" s="11" t="str">
        <f t="shared" si="4"/>
        <v/>
      </c>
      <c r="AI20" t="s">
        <v>79</v>
      </c>
      <c r="AK20" t="s">
        <v>1346</v>
      </c>
      <c r="AL20">
        <v>2</v>
      </c>
      <c r="AN20" s="11">
        <v>113.1</v>
      </c>
      <c r="AO20" s="13"/>
      <c r="AP20" s="11" t="str">
        <f t="shared" si="7"/>
        <v/>
      </c>
      <c r="AQ20" s="11" t="str">
        <f t="shared" si="8"/>
        <v/>
      </c>
    </row>
    <row r="21" spans="1:43" x14ac:dyDescent="0.2">
      <c r="A21" t="s">
        <v>346</v>
      </c>
      <c r="B21" t="s">
        <v>1342</v>
      </c>
      <c r="C21" t="s">
        <v>385</v>
      </c>
      <c r="D21" s="8" t="str">
        <f>IF(A21="","",VLOOKUP(A21,Lists!$A:$B,2,FALSE))</f>
        <v>0345</v>
      </c>
      <c r="E21" s="8">
        <f>IF(C21="","",VLOOKUP(C21,Lists!$C:$D,2,FALSE))</f>
        <v>93</v>
      </c>
      <c r="F21" s="8"/>
      <c r="G21" s="8"/>
      <c r="J21" s="9">
        <f>IF(A21="","",IFERROR(VLOOKUP(A21,Lists!$A:$H,8,FALSE),0))</f>
        <v>0</v>
      </c>
      <c r="L21" s="9">
        <f>IF(A21="","",IFERROR(VLOOKUP(A21,Lists!$A:$H,7,FALSE),0))</f>
        <v>0</v>
      </c>
      <c r="M21" s="10">
        <v>0.21</v>
      </c>
      <c r="N21" s="11">
        <f t="shared" si="0"/>
        <v>0</v>
      </c>
      <c r="O21" s="11">
        <f t="shared" si="1"/>
        <v>0</v>
      </c>
      <c r="R21" s="12" t="str">
        <f>IF(Q21="","",VLOOKUP(Q21,Lists!$E:$F,2,FALSE))</f>
        <v/>
      </c>
      <c r="AE21" s="11" t="str">
        <f t="shared" si="2"/>
        <v/>
      </c>
      <c r="AF21" s="13"/>
      <c r="AG21" s="11" t="str">
        <f t="shared" si="3"/>
        <v/>
      </c>
      <c r="AH21" s="11" t="str">
        <f t="shared" si="4"/>
        <v/>
      </c>
      <c r="AI21" t="s">
        <v>79</v>
      </c>
      <c r="AK21" t="s">
        <v>1347</v>
      </c>
      <c r="AL21">
        <v>1</v>
      </c>
      <c r="AN21" s="11">
        <v>8</v>
      </c>
      <c r="AO21" s="13"/>
      <c r="AP21" s="11" t="str">
        <f t="shared" si="7"/>
        <v/>
      </c>
      <c r="AQ21" s="11" t="str">
        <f t="shared" si="8"/>
        <v/>
      </c>
    </row>
    <row r="22" spans="1:43" x14ac:dyDescent="0.2">
      <c r="A22" t="s">
        <v>346</v>
      </c>
      <c r="B22" t="s">
        <v>1342</v>
      </c>
      <c r="C22" t="s">
        <v>385</v>
      </c>
      <c r="D22" s="8" t="str">
        <f>IF(A22="","",VLOOKUP(A22,Lists!$A:$B,2,FALSE))</f>
        <v>0345</v>
      </c>
      <c r="E22" s="8">
        <f>IF(C22="","",VLOOKUP(C22,Lists!$C:$D,2,FALSE))</f>
        <v>93</v>
      </c>
      <c r="F22" s="8"/>
      <c r="G22" s="8"/>
      <c r="J22" s="9">
        <f>IF(A22="","",IFERROR(VLOOKUP(A22,Lists!$A:$H,8,FALSE),0))</f>
        <v>0</v>
      </c>
      <c r="L22" s="9">
        <f>IF(A22="","",IFERROR(VLOOKUP(A22,Lists!$A:$H,7,FALSE),0))</f>
        <v>0</v>
      </c>
      <c r="M22" s="10">
        <v>0.21</v>
      </c>
      <c r="N22" s="11">
        <f t="shared" si="0"/>
        <v>0</v>
      </c>
      <c r="O22" s="11">
        <f t="shared" si="1"/>
        <v>0</v>
      </c>
      <c r="R22" s="12" t="str">
        <f>IF(Q22="","",VLOOKUP(Q22,Lists!$E:$F,2,FALSE))</f>
        <v/>
      </c>
      <c r="AE22" s="11" t="str">
        <f t="shared" si="2"/>
        <v/>
      </c>
      <c r="AF22" s="13"/>
      <c r="AG22" s="11" t="str">
        <f t="shared" si="3"/>
        <v/>
      </c>
      <c r="AH22" s="11" t="str">
        <f t="shared" si="4"/>
        <v/>
      </c>
      <c r="AI22" t="s">
        <v>79</v>
      </c>
      <c r="AK22" t="s">
        <v>1348</v>
      </c>
      <c r="AL22">
        <v>1</v>
      </c>
      <c r="AN22" s="11">
        <v>50</v>
      </c>
      <c r="AO22" s="13"/>
      <c r="AP22" s="11" t="str">
        <f t="shared" si="7"/>
        <v/>
      </c>
      <c r="AQ22" s="11" t="str">
        <f t="shared" si="8"/>
        <v/>
      </c>
    </row>
    <row r="23" spans="1:43" x14ac:dyDescent="0.2">
      <c r="A23" t="s">
        <v>346</v>
      </c>
      <c r="B23" t="s">
        <v>1342</v>
      </c>
      <c r="C23" t="s">
        <v>385</v>
      </c>
      <c r="D23" s="8" t="str">
        <f>IF(A23="","",VLOOKUP(A23,Lists!$A:$B,2,FALSE))</f>
        <v>0345</v>
      </c>
      <c r="E23" s="8">
        <f>IF(C23="","",VLOOKUP(C23,Lists!$C:$D,2,FALSE))</f>
        <v>93</v>
      </c>
      <c r="F23" s="8"/>
      <c r="G23" s="8"/>
      <c r="J23" s="9">
        <f>IF(A23="","",IFERROR(VLOOKUP(A23,Lists!$A:$H,8,FALSE),0))</f>
        <v>0</v>
      </c>
      <c r="L23" s="9">
        <f>IF(A23="","",IFERROR(VLOOKUP(A23,Lists!$A:$H,7,FALSE),0))</f>
        <v>0</v>
      </c>
      <c r="M23" s="10">
        <v>0.21</v>
      </c>
      <c r="N23" s="11">
        <f t="shared" si="0"/>
        <v>0</v>
      </c>
      <c r="O23" s="11">
        <f t="shared" si="1"/>
        <v>0</v>
      </c>
      <c r="R23" s="12" t="str">
        <f>IF(Q23="","",VLOOKUP(Q23,Lists!$E:$F,2,FALSE))</f>
        <v/>
      </c>
      <c r="AE23" s="11" t="str">
        <f t="shared" si="2"/>
        <v/>
      </c>
      <c r="AF23" s="13"/>
      <c r="AG23" s="11" t="str">
        <f t="shared" si="3"/>
        <v/>
      </c>
      <c r="AH23" s="11" t="str">
        <f t="shared" si="4"/>
        <v/>
      </c>
      <c r="AI23" t="s">
        <v>79</v>
      </c>
      <c r="AK23" t="s">
        <v>1346</v>
      </c>
      <c r="AL23">
        <v>2</v>
      </c>
      <c r="AN23" s="11">
        <v>113.1</v>
      </c>
      <c r="AO23" s="13"/>
      <c r="AP23" s="11" t="str">
        <f t="shared" si="7"/>
        <v/>
      </c>
      <c r="AQ23" s="11" t="str">
        <f t="shared" si="8"/>
        <v/>
      </c>
    </row>
    <row r="24" spans="1:43" x14ac:dyDescent="0.2">
      <c r="A24" t="s">
        <v>346</v>
      </c>
      <c r="B24" t="s">
        <v>1342</v>
      </c>
      <c r="C24" t="s">
        <v>385</v>
      </c>
      <c r="D24" s="8" t="str">
        <f>IF(A24="","",VLOOKUP(A24,Lists!$A:$B,2,FALSE))</f>
        <v>0345</v>
      </c>
      <c r="E24" s="8">
        <f>IF(C24="","",VLOOKUP(C24,Lists!$C:$D,2,FALSE))</f>
        <v>93</v>
      </c>
      <c r="F24" s="8"/>
      <c r="G24" s="8"/>
      <c r="J24" s="9">
        <f>IF(A24="","",IFERROR(VLOOKUP(A24,Lists!$A:$H,8,FALSE),0))</f>
        <v>0</v>
      </c>
      <c r="L24" s="9">
        <f>IF(A24="","",IFERROR(VLOOKUP(A24,Lists!$A:$H,7,FALSE),0))</f>
        <v>0</v>
      </c>
      <c r="M24" s="10">
        <v>0.21</v>
      </c>
      <c r="N24" s="11">
        <f t="shared" si="0"/>
        <v>0</v>
      </c>
      <c r="O24" s="11">
        <f t="shared" si="1"/>
        <v>0</v>
      </c>
      <c r="R24" s="12" t="str">
        <f>IF(Q24="","",VLOOKUP(Q24,Lists!$E:$F,2,FALSE))</f>
        <v/>
      </c>
      <c r="AE24" s="11" t="str">
        <f t="shared" si="2"/>
        <v/>
      </c>
      <c r="AF24" s="13"/>
      <c r="AG24" s="11" t="str">
        <f t="shared" si="3"/>
        <v/>
      </c>
      <c r="AH24" s="11" t="str">
        <f t="shared" si="4"/>
        <v/>
      </c>
      <c r="AI24" t="s">
        <v>79</v>
      </c>
      <c r="AK24" t="s">
        <v>1346</v>
      </c>
      <c r="AL24">
        <v>2</v>
      </c>
      <c r="AN24" s="11">
        <v>113.1</v>
      </c>
      <c r="AO24" s="13"/>
      <c r="AP24" s="11" t="str">
        <f t="shared" si="7"/>
        <v/>
      </c>
      <c r="AQ24" s="11" t="str">
        <f t="shared" si="8"/>
        <v/>
      </c>
    </row>
    <row r="25" spans="1:43" x14ac:dyDescent="0.2">
      <c r="A25" t="s">
        <v>346</v>
      </c>
      <c r="B25" t="s">
        <v>1328</v>
      </c>
      <c r="C25" t="s">
        <v>385</v>
      </c>
      <c r="D25" s="8" t="str">
        <f>IF(A25="","",VLOOKUP(A25,Lists!$A:$B,2,FALSE))</f>
        <v>0345</v>
      </c>
      <c r="E25" s="8">
        <f>IF(C25="","",VLOOKUP(C25,Lists!$C:$D,2,FALSE))</f>
        <v>93</v>
      </c>
      <c r="F25" s="8"/>
      <c r="G25" s="8"/>
      <c r="J25" s="9">
        <f>IF(A25="","",IFERROR(VLOOKUP(A25,Lists!$A:$H,8,FALSE),0))</f>
        <v>0</v>
      </c>
      <c r="L25" s="9">
        <f>IF(A25="","",IFERROR(VLOOKUP(A25,Lists!$A:$H,7,FALSE),0))</f>
        <v>0</v>
      </c>
      <c r="M25" s="10">
        <v>0.21</v>
      </c>
      <c r="N25" s="11">
        <f t="shared" si="0"/>
        <v>0</v>
      </c>
      <c r="O25" s="11">
        <f t="shared" si="1"/>
        <v>0</v>
      </c>
      <c r="R25" s="12" t="str">
        <f>IF(Q25="","",VLOOKUP(Q25,Lists!$E:$F,2,FALSE))</f>
        <v/>
      </c>
      <c r="AB25" t="s">
        <v>65</v>
      </c>
      <c r="AC25">
        <v>12.4</v>
      </c>
      <c r="AD25">
        <v>50</v>
      </c>
      <c r="AE25" s="11">
        <f>IF(AND(AC25&lt;&gt;"",AD25&lt;&gt;""),AC25*AD25,"")</f>
        <v>620</v>
      </c>
      <c r="AF25" s="13">
        <v>0.21</v>
      </c>
      <c r="AG25" s="11">
        <f t="shared" si="3"/>
        <v>130.19999999999999</v>
      </c>
      <c r="AH25" s="11">
        <f t="shared" si="4"/>
        <v>750.2</v>
      </c>
      <c r="AL25" t="str">
        <f t="shared" si="5"/>
        <v/>
      </c>
      <c r="AN25" s="11" t="str">
        <f t="shared" si="6"/>
        <v/>
      </c>
      <c r="AO25" s="13"/>
      <c r="AP25" s="11" t="str">
        <f t="shared" si="7"/>
        <v/>
      </c>
      <c r="AQ25" s="11" t="str">
        <f t="shared" si="8"/>
        <v/>
      </c>
    </row>
    <row r="26" spans="1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0"/>
        <v>#VALUE!</v>
      </c>
      <c r="O26" s="11">
        <f t="shared" si="1"/>
        <v>0</v>
      </c>
      <c r="R26" s="12" t="str">
        <f>IF(Q26="","",VLOOKUP(Q26,Lists!$E:$F,2,FALSE))</f>
        <v/>
      </c>
      <c r="AE26" s="11" t="str">
        <f t="shared" si="2"/>
        <v/>
      </c>
      <c r="AF26" s="13"/>
      <c r="AG26" s="11" t="str">
        <f t="shared" si="3"/>
        <v/>
      </c>
      <c r="AH26" s="11" t="str">
        <f t="shared" si="4"/>
        <v/>
      </c>
      <c r="AL26" t="str">
        <f t="shared" si="5"/>
        <v/>
      </c>
      <c r="AN26" s="11" t="str">
        <f t="shared" si="6"/>
        <v/>
      </c>
      <c r="AO26" s="13"/>
      <c r="AP26" s="11" t="str">
        <f t="shared" si="7"/>
        <v/>
      </c>
      <c r="AQ26" s="11" t="str">
        <f t="shared" si="8"/>
        <v/>
      </c>
    </row>
    <row r="27" spans="1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0"/>
        <v>#VALUE!</v>
      </c>
      <c r="O27" s="11">
        <f t="shared" si="1"/>
        <v>0</v>
      </c>
      <c r="R27" s="12" t="str">
        <f>IF(Q27="","",VLOOKUP(Q27,Lists!$E:$F,2,FALSE))</f>
        <v/>
      </c>
      <c r="AE27" s="11" t="str">
        <f t="shared" si="2"/>
        <v/>
      </c>
      <c r="AF27" s="13"/>
      <c r="AG27" s="11" t="str">
        <f t="shared" si="3"/>
        <v/>
      </c>
      <c r="AH27" s="11" t="str">
        <f t="shared" si="4"/>
        <v/>
      </c>
      <c r="AL27" t="str">
        <f t="shared" si="5"/>
        <v/>
      </c>
      <c r="AN27" s="11" t="str">
        <f t="shared" si="6"/>
        <v/>
      </c>
      <c r="AO27" s="13"/>
      <c r="AP27" s="11" t="str">
        <f t="shared" si="7"/>
        <v/>
      </c>
      <c r="AQ27" s="11" t="str">
        <f t="shared" si="8"/>
        <v/>
      </c>
    </row>
    <row r="28" spans="1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0"/>
        <v>#VALUE!</v>
      </c>
      <c r="O28" s="11">
        <f t="shared" si="1"/>
        <v>0</v>
      </c>
      <c r="R28" s="12" t="str">
        <f>IF(Q28="","",VLOOKUP(Q28,Lists!$E:$F,2,FALSE))</f>
        <v/>
      </c>
      <c r="AE28" s="11" t="str">
        <f t="shared" si="2"/>
        <v/>
      </c>
      <c r="AF28" s="13"/>
      <c r="AG28" s="11" t="str">
        <f t="shared" si="3"/>
        <v/>
      </c>
      <c r="AH28" s="11" t="str">
        <f t="shared" si="4"/>
        <v/>
      </c>
      <c r="AL28" t="str">
        <f t="shared" si="5"/>
        <v/>
      </c>
      <c r="AN28" s="11" t="str">
        <f t="shared" si="6"/>
        <v/>
      </c>
      <c r="AO28" s="13"/>
      <c r="AP28" s="11" t="str">
        <f t="shared" si="7"/>
        <v/>
      </c>
      <c r="AQ28" s="11" t="str">
        <f t="shared" si="8"/>
        <v/>
      </c>
    </row>
    <row r="29" spans="1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0"/>
        <v>#VALUE!</v>
      </c>
      <c r="O29" s="11">
        <f t="shared" si="1"/>
        <v>0</v>
      </c>
      <c r="R29" s="12" t="str">
        <f>IF(Q29="","",VLOOKUP(Q29,Lists!$E:$F,2,FALSE))</f>
        <v/>
      </c>
      <c r="AE29" s="11" t="str">
        <f t="shared" si="2"/>
        <v/>
      </c>
      <c r="AF29" s="13"/>
      <c r="AG29" s="11" t="str">
        <f t="shared" si="3"/>
        <v/>
      </c>
      <c r="AH29" s="11" t="str">
        <f t="shared" si="4"/>
        <v/>
      </c>
      <c r="AL29" t="str">
        <f t="shared" si="5"/>
        <v/>
      </c>
      <c r="AN29" s="11" t="str">
        <f t="shared" si="6"/>
        <v/>
      </c>
      <c r="AO29" s="13"/>
      <c r="AP29" s="11" t="str">
        <f t="shared" si="7"/>
        <v/>
      </c>
      <c r="AQ29" s="11" t="str">
        <f t="shared" si="8"/>
        <v/>
      </c>
    </row>
    <row r="30" spans="1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0"/>
        <v>#VALUE!</v>
      </c>
      <c r="O30" s="11">
        <f t="shared" si="1"/>
        <v>0</v>
      </c>
      <c r="R30" s="12" t="str">
        <f>IF(Q30="","",VLOOKUP(Q30,Lists!$E:$F,2,FALSE))</f>
        <v/>
      </c>
      <c r="AE30" s="11" t="str">
        <f t="shared" si="2"/>
        <v/>
      </c>
      <c r="AF30" s="13"/>
      <c r="AG30" s="11" t="str">
        <f t="shared" si="3"/>
        <v/>
      </c>
      <c r="AH30" s="11" t="str">
        <f t="shared" si="4"/>
        <v/>
      </c>
      <c r="AL30" t="str">
        <f t="shared" si="5"/>
        <v/>
      </c>
      <c r="AN30" s="11" t="str">
        <f t="shared" si="6"/>
        <v/>
      </c>
      <c r="AO30" s="13"/>
      <c r="AP30" s="11" t="str">
        <f t="shared" si="7"/>
        <v/>
      </c>
      <c r="AQ30" s="11" t="str">
        <f t="shared" si="8"/>
        <v/>
      </c>
    </row>
    <row r="31" spans="1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0"/>
        <v>#VALUE!</v>
      </c>
      <c r="O31" s="11">
        <f t="shared" si="1"/>
        <v>0</v>
      </c>
      <c r="R31" s="12" t="str">
        <f>IF(Q31="","",VLOOKUP(Q31,Lists!$E:$F,2,FALSE))</f>
        <v/>
      </c>
      <c r="AE31" s="11" t="str">
        <f t="shared" si="2"/>
        <v/>
      </c>
      <c r="AF31" s="13"/>
      <c r="AG31" s="11" t="str">
        <f t="shared" si="3"/>
        <v/>
      </c>
      <c r="AH31" s="11" t="str">
        <f t="shared" si="4"/>
        <v/>
      </c>
      <c r="AL31" t="str">
        <f t="shared" si="5"/>
        <v/>
      </c>
      <c r="AN31" s="11" t="str">
        <f t="shared" si="6"/>
        <v/>
      </c>
      <c r="AO31" s="13"/>
      <c r="AP31" s="11" t="str">
        <f t="shared" si="7"/>
        <v/>
      </c>
      <c r="AQ31" s="11" t="str">
        <f t="shared" si="8"/>
        <v/>
      </c>
    </row>
    <row r="32" spans="1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0"/>
        <v>#VALUE!</v>
      </c>
      <c r="O32" s="11">
        <f t="shared" si="1"/>
        <v>0</v>
      </c>
      <c r="R32" s="12" t="str">
        <f>IF(Q32="","",VLOOKUP(Q32,Lists!$E:$F,2,FALSE))</f>
        <v/>
      </c>
      <c r="AE32" s="11" t="str">
        <f t="shared" si="2"/>
        <v/>
      </c>
      <c r="AF32" s="13"/>
      <c r="AG32" s="11" t="str">
        <f t="shared" si="3"/>
        <v/>
      </c>
      <c r="AH32" s="11" t="str">
        <f t="shared" si="4"/>
        <v/>
      </c>
      <c r="AL32" t="str">
        <f t="shared" si="5"/>
        <v/>
      </c>
      <c r="AN32" s="11" t="str">
        <f t="shared" si="6"/>
        <v/>
      </c>
      <c r="AO32" s="13"/>
      <c r="AP32" s="11" t="str">
        <f t="shared" si="7"/>
        <v/>
      </c>
      <c r="AQ32" s="11" t="str">
        <f t="shared" si="8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0"/>
        <v>#VALUE!</v>
      </c>
      <c r="O33" s="11">
        <f t="shared" si="1"/>
        <v>0</v>
      </c>
      <c r="R33" s="12" t="str">
        <f>IF(Q33="","",VLOOKUP(Q33,Lists!$E:$F,2,FALSE))</f>
        <v/>
      </c>
      <c r="AE33" s="11" t="str">
        <f t="shared" si="2"/>
        <v/>
      </c>
      <c r="AF33" s="13"/>
      <c r="AG33" s="11" t="str">
        <f t="shared" si="3"/>
        <v/>
      </c>
      <c r="AH33" s="11" t="str">
        <f t="shared" si="4"/>
        <v/>
      </c>
      <c r="AL33" t="str">
        <f t="shared" si="5"/>
        <v/>
      </c>
      <c r="AN33" s="11" t="str">
        <f t="shared" si="6"/>
        <v/>
      </c>
      <c r="AO33" s="13"/>
      <c r="AP33" s="11" t="str">
        <f t="shared" si="7"/>
        <v/>
      </c>
      <c r="AQ33" s="11" t="str">
        <f t="shared" si="8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ref="N34:N65" si="11">L34 * (1 + M34)</f>
        <v>#VALUE!</v>
      </c>
      <c r="O34" s="11">
        <f t="shared" ref="O34:O65" si="12">IF(K34="Eigen Beheer",0,IF(AND(ISNUMBER(N34),I34&lt;&gt;"",H34&lt;&gt;""),YEARFRAC(H34,I34,4)*12*N34,0))</f>
        <v>0</v>
      </c>
      <c r="R34" s="12" t="str">
        <f>IF(Q34="","",VLOOKUP(Q34,Lists!$E:$F,2,FALSE))</f>
        <v/>
      </c>
      <c r="AE34" s="11" t="str">
        <f t="shared" ref="AE34:AE65" si="13">IF(AND(AC34&lt;&gt;"",AD34&lt;&gt;""),AC34*AD34,"")</f>
        <v/>
      </c>
      <c r="AF34" s="13"/>
      <c r="AG34" s="11" t="str">
        <f t="shared" ref="AG34:AG65" si="14">IF(AND(AE34&lt;&gt;"",AF34&lt;&gt;""),AE34*AF34,"")</f>
        <v/>
      </c>
      <c r="AH34" s="11" t="str">
        <f t="shared" ref="AH34:AH65" si="15">IF(AND(AE34&lt;&gt;"",AG34&lt;&gt;""),AE34+AG34,"")</f>
        <v/>
      </c>
      <c r="AL34" t="str">
        <f t="shared" ref="AL34:AL65" si="16"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 t="str">
        <f t="shared" ref="AN34:AN65" si="17">IF(AND(AL34&lt;&gt;"",AM34&lt;&gt;""),AL34*AM34,"")</f>
        <v/>
      </c>
      <c r="AO34" s="13"/>
      <c r="AP34" s="11" t="str">
        <f t="shared" ref="AP34:AP65" si="18">IF(AND(AN34&lt;&gt;"",AO34&lt;&gt;""),AN34*AO34,"")</f>
        <v/>
      </c>
      <c r="AQ34" s="11" t="str">
        <f t="shared" ref="AQ34:AQ65" si="19">IF(AND(AN34&lt;&gt;"",AP34&lt;&gt;""),AN34+AP34,"")</f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11"/>
        <v>#VALUE!</v>
      </c>
      <c r="O35" s="11">
        <f t="shared" si="12"/>
        <v>0</v>
      </c>
      <c r="R35" s="12" t="str">
        <f>IF(Q35="","",VLOOKUP(Q35,Lists!$E:$F,2,FALSE))</f>
        <v/>
      </c>
      <c r="AE35" s="11" t="str">
        <f t="shared" si="13"/>
        <v/>
      </c>
      <c r="AF35" s="13"/>
      <c r="AG35" s="11" t="str">
        <f t="shared" si="14"/>
        <v/>
      </c>
      <c r="AH35" s="11" t="str">
        <f t="shared" si="15"/>
        <v/>
      </c>
      <c r="AL35" t="str">
        <f t="shared" si="16"/>
        <v/>
      </c>
      <c r="AN35" s="11" t="str">
        <f t="shared" si="17"/>
        <v/>
      </c>
      <c r="AO35" s="13"/>
      <c r="AP35" s="11" t="str">
        <f t="shared" si="18"/>
        <v/>
      </c>
      <c r="AQ35" s="11" t="str">
        <f t="shared" si="19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si="11"/>
        <v>#VALUE!</v>
      </c>
      <c r="O36" s="11">
        <f t="shared" si="12"/>
        <v>0</v>
      </c>
      <c r="R36" s="12" t="str">
        <f>IF(Q36="","",VLOOKUP(Q36,Lists!$E:$F,2,FALSE))</f>
        <v/>
      </c>
      <c r="AE36" s="11" t="str">
        <f t="shared" si="13"/>
        <v/>
      </c>
      <c r="AF36" s="13"/>
      <c r="AG36" s="11" t="str">
        <f t="shared" si="14"/>
        <v/>
      </c>
      <c r="AH36" s="11" t="str">
        <f t="shared" si="15"/>
        <v/>
      </c>
      <c r="AL36" t="str">
        <f t="shared" si="16"/>
        <v/>
      </c>
      <c r="AN36" s="11" t="str">
        <f t="shared" si="17"/>
        <v/>
      </c>
      <c r="AO36" s="13"/>
      <c r="AP36" s="11" t="str">
        <f t="shared" si="18"/>
        <v/>
      </c>
      <c r="AQ36" s="11" t="str">
        <f t="shared" si="19"/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11"/>
        <v>#VALUE!</v>
      </c>
      <c r="O37" s="11">
        <f t="shared" si="12"/>
        <v>0</v>
      </c>
      <c r="R37" s="12" t="str">
        <f>IF(Q37="","",VLOOKUP(Q37,Lists!$E:$F,2,FALSE))</f>
        <v/>
      </c>
      <c r="AE37" s="11" t="str">
        <f t="shared" si="13"/>
        <v/>
      </c>
      <c r="AF37" s="13"/>
      <c r="AG37" s="11" t="str">
        <f t="shared" si="14"/>
        <v/>
      </c>
      <c r="AH37" s="11" t="str">
        <f t="shared" si="15"/>
        <v/>
      </c>
      <c r="AL37" t="str">
        <f t="shared" si="16"/>
        <v/>
      </c>
      <c r="AN37" s="11" t="str">
        <f t="shared" si="17"/>
        <v/>
      </c>
      <c r="AO37" s="13"/>
      <c r="AP37" s="11" t="str">
        <f t="shared" si="18"/>
        <v/>
      </c>
      <c r="AQ37" s="11" t="str">
        <f t="shared" si="19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11"/>
        <v>#VALUE!</v>
      </c>
      <c r="O38" s="11">
        <f t="shared" si="12"/>
        <v>0</v>
      </c>
      <c r="R38" s="12" t="str">
        <f>IF(Q38="","",VLOOKUP(Q38,Lists!$E:$F,2,FALSE))</f>
        <v/>
      </c>
      <c r="AE38" s="11" t="str">
        <f t="shared" si="13"/>
        <v/>
      </c>
      <c r="AF38" s="13"/>
      <c r="AG38" s="11" t="str">
        <f t="shared" si="14"/>
        <v/>
      </c>
      <c r="AH38" s="11" t="str">
        <f t="shared" si="15"/>
        <v/>
      </c>
      <c r="AL38" t="str">
        <f t="shared" si="16"/>
        <v/>
      </c>
      <c r="AN38" s="11" t="str">
        <f t="shared" si="17"/>
        <v/>
      </c>
      <c r="AO38" s="13"/>
      <c r="AP38" s="11" t="str">
        <f t="shared" si="18"/>
        <v/>
      </c>
      <c r="AQ38" s="11" t="str">
        <f t="shared" si="19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11"/>
        <v>#VALUE!</v>
      </c>
      <c r="O39" s="11">
        <f t="shared" si="12"/>
        <v>0</v>
      </c>
      <c r="R39" s="12" t="str">
        <f>IF(Q39="","",VLOOKUP(Q39,Lists!$E:$F,2,FALSE))</f>
        <v/>
      </c>
      <c r="AE39" s="11" t="str">
        <f t="shared" si="13"/>
        <v/>
      </c>
      <c r="AF39" s="13"/>
      <c r="AG39" s="11" t="str">
        <f t="shared" si="14"/>
        <v/>
      </c>
      <c r="AH39" s="11" t="str">
        <f t="shared" si="15"/>
        <v/>
      </c>
      <c r="AL39" t="str">
        <f t="shared" si="16"/>
        <v/>
      </c>
      <c r="AN39" s="11" t="str">
        <f t="shared" si="17"/>
        <v/>
      </c>
      <c r="AO39" s="13"/>
      <c r="AP39" s="11" t="str">
        <f t="shared" si="18"/>
        <v/>
      </c>
      <c r="AQ39" s="11" t="str">
        <f t="shared" si="19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11"/>
        <v>#VALUE!</v>
      </c>
      <c r="O40" s="11">
        <f t="shared" si="12"/>
        <v>0</v>
      </c>
      <c r="R40" s="12" t="str">
        <f>IF(Q40="","",VLOOKUP(Q40,Lists!$E:$F,2,FALSE))</f>
        <v/>
      </c>
      <c r="AE40" s="11" t="str">
        <f t="shared" si="13"/>
        <v/>
      </c>
      <c r="AF40" s="13"/>
      <c r="AG40" s="11" t="str">
        <f t="shared" si="14"/>
        <v/>
      </c>
      <c r="AH40" s="11" t="str">
        <f t="shared" si="15"/>
        <v/>
      </c>
      <c r="AL40" t="str">
        <f t="shared" si="16"/>
        <v/>
      </c>
      <c r="AN40" s="11" t="str">
        <f t="shared" si="17"/>
        <v/>
      </c>
      <c r="AO40" s="13"/>
      <c r="AP40" s="11" t="str">
        <f t="shared" si="18"/>
        <v/>
      </c>
      <c r="AQ40" s="11" t="str">
        <f t="shared" si="19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11"/>
        <v>#VALUE!</v>
      </c>
      <c r="O41" s="11">
        <f t="shared" si="12"/>
        <v>0</v>
      </c>
      <c r="R41" s="12" t="str">
        <f>IF(Q41="","",VLOOKUP(Q41,Lists!$E:$F,2,FALSE))</f>
        <v/>
      </c>
      <c r="AE41" s="11" t="str">
        <f t="shared" si="13"/>
        <v/>
      </c>
      <c r="AF41" s="13"/>
      <c r="AG41" s="11" t="str">
        <f t="shared" si="14"/>
        <v/>
      </c>
      <c r="AH41" s="11" t="str">
        <f t="shared" si="15"/>
        <v/>
      </c>
      <c r="AL41" t="str">
        <f t="shared" si="16"/>
        <v/>
      </c>
      <c r="AN41" s="11" t="str">
        <f t="shared" si="17"/>
        <v/>
      </c>
      <c r="AO41" s="13"/>
      <c r="AP41" s="11" t="str">
        <f t="shared" si="18"/>
        <v/>
      </c>
      <c r="AQ41" s="11" t="str">
        <f t="shared" si="19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11"/>
        <v>#VALUE!</v>
      </c>
      <c r="O42" s="11">
        <f t="shared" si="12"/>
        <v>0</v>
      </c>
      <c r="R42" s="12" t="str">
        <f>IF(Q42="","",VLOOKUP(Q42,Lists!$E:$F,2,FALSE))</f>
        <v/>
      </c>
      <c r="AE42" s="11" t="str">
        <f t="shared" si="13"/>
        <v/>
      </c>
      <c r="AF42" s="13"/>
      <c r="AG42" s="11" t="str">
        <f t="shared" si="14"/>
        <v/>
      </c>
      <c r="AH42" s="11" t="str">
        <f t="shared" si="15"/>
        <v/>
      </c>
      <c r="AL42" t="str">
        <f t="shared" si="16"/>
        <v/>
      </c>
      <c r="AN42" s="11" t="str">
        <f t="shared" si="17"/>
        <v/>
      </c>
      <c r="AO42" s="13"/>
      <c r="AP42" s="11" t="str">
        <f t="shared" si="18"/>
        <v/>
      </c>
      <c r="AQ42" s="11" t="str">
        <f t="shared" si="19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11"/>
        <v>#VALUE!</v>
      </c>
      <c r="O43" s="11">
        <f t="shared" si="12"/>
        <v>0</v>
      </c>
      <c r="R43" s="12" t="str">
        <f>IF(Q43="","",VLOOKUP(Q43,Lists!$E:$F,2,FALSE))</f>
        <v/>
      </c>
      <c r="AE43" s="11" t="str">
        <f t="shared" si="13"/>
        <v/>
      </c>
      <c r="AF43" s="13"/>
      <c r="AG43" s="11" t="str">
        <f t="shared" si="14"/>
        <v/>
      </c>
      <c r="AH43" s="11" t="str">
        <f t="shared" si="15"/>
        <v/>
      </c>
      <c r="AL43" t="str">
        <f t="shared" si="16"/>
        <v/>
      </c>
      <c r="AN43" s="11" t="str">
        <f t="shared" si="17"/>
        <v/>
      </c>
      <c r="AO43" s="13"/>
      <c r="AP43" s="11" t="str">
        <f t="shared" si="18"/>
        <v/>
      </c>
      <c r="AQ43" s="11" t="str">
        <f t="shared" si="19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11"/>
        <v>#VALUE!</v>
      </c>
      <c r="O44" s="11">
        <f t="shared" si="12"/>
        <v>0</v>
      </c>
      <c r="R44" s="12" t="str">
        <f>IF(Q44="","",VLOOKUP(Q44,Lists!$E:$F,2,FALSE))</f>
        <v/>
      </c>
      <c r="AE44" s="11" t="str">
        <f t="shared" si="13"/>
        <v/>
      </c>
      <c r="AF44" s="13"/>
      <c r="AG44" s="11" t="str">
        <f t="shared" si="14"/>
        <v/>
      </c>
      <c r="AH44" s="11" t="str">
        <f t="shared" si="15"/>
        <v/>
      </c>
      <c r="AL44" t="str">
        <f t="shared" si="16"/>
        <v/>
      </c>
      <c r="AN44" s="11" t="str">
        <f t="shared" si="17"/>
        <v/>
      </c>
      <c r="AO44" s="13"/>
      <c r="AP44" s="11" t="str">
        <f t="shared" si="18"/>
        <v/>
      </c>
      <c r="AQ44" s="11" t="str">
        <f t="shared" si="19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11"/>
        <v>#VALUE!</v>
      </c>
      <c r="O45" s="11">
        <f t="shared" si="12"/>
        <v>0</v>
      </c>
      <c r="R45" s="12" t="str">
        <f>IF(Q45="","",VLOOKUP(Q45,Lists!$E:$F,2,FALSE))</f>
        <v/>
      </c>
      <c r="AE45" s="11" t="str">
        <f t="shared" si="13"/>
        <v/>
      </c>
      <c r="AF45" s="13"/>
      <c r="AG45" s="11" t="str">
        <f t="shared" si="14"/>
        <v/>
      </c>
      <c r="AH45" s="11" t="str">
        <f t="shared" si="15"/>
        <v/>
      </c>
      <c r="AL45" t="str">
        <f t="shared" si="16"/>
        <v/>
      </c>
      <c r="AN45" s="11" t="str">
        <f t="shared" si="17"/>
        <v/>
      </c>
      <c r="AO45" s="13"/>
      <c r="AP45" s="11" t="str">
        <f t="shared" si="18"/>
        <v/>
      </c>
      <c r="AQ45" s="11" t="str">
        <f t="shared" si="19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11"/>
        <v>#VALUE!</v>
      </c>
      <c r="O46" s="11">
        <f t="shared" si="12"/>
        <v>0</v>
      </c>
      <c r="R46" s="12" t="str">
        <f>IF(Q46="","",VLOOKUP(Q46,Lists!$E:$F,2,FALSE))</f>
        <v/>
      </c>
      <c r="AE46" s="11" t="str">
        <f t="shared" si="13"/>
        <v/>
      </c>
      <c r="AF46" s="13"/>
      <c r="AG46" s="11" t="str">
        <f t="shared" si="14"/>
        <v/>
      </c>
      <c r="AH46" s="11" t="str">
        <f t="shared" si="15"/>
        <v/>
      </c>
      <c r="AL46" t="str">
        <f t="shared" si="16"/>
        <v/>
      </c>
      <c r="AN46" s="11" t="str">
        <f t="shared" si="17"/>
        <v/>
      </c>
      <c r="AO46" s="13"/>
      <c r="AP46" s="11" t="str">
        <f t="shared" si="18"/>
        <v/>
      </c>
      <c r="AQ46" s="11" t="str">
        <f t="shared" si="19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11"/>
        <v>#VALUE!</v>
      </c>
      <c r="O47" s="11">
        <f t="shared" si="12"/>
        <v>0</v>
      </c>
      <c r="R47" s="12" t="str">
        <f>IF(Q47="","",VLOOKUP(Q47,Lists!$E:$F,2,FALSE))</f>
        <v/>
      </c>
      <c r="AE47" s="11" t="str">
        <f t="shared" si="13"/>
        <v/>
      </c>
      <c r="AF47" s="13"/>
      <c r="AG47" s="11" t="str">
        <f t="shared" si="14"/>
        <v/>
      </c>
      <c r="AH47" s="11" t="str">
        <f t="shared" si="15"/>
        <v/>
      </c>
      <c r="AL47" t="str">
        <f t="shared" si="16"/>
        <v/>
      </c>
      <c r="AN47" s="11" t="str">
        <f t="shared" si="17"/>
        <v/>
      </c>
      <c r="AO47" s="13"/>
      <c r="AP47" s="11" t="str">
        <f t="shared" si="18"/>
        <v/>
      </c>
      <c r="AQ47" s="11" t="str">
        <f t="shared" si="19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11"/>
        <v>#VALUE!</v>
      </c>
      <c r="O48" s="11">
        <f t="shared" si="12"/>
        <v>0</v>
      </c>
      <c r="R48" s="12" t="str">
        <f>IF(Q48="","",VLOOKUP(Q48,Lists!$E:$F,2,FALSE))</f>
        <v/>
      </c>
      <c r="AE48" s="11" t="str">
        <f t="shared" si="13"/>
        <v/>
      </c>
      <c r="AF48" s="13"/>
      <c r="AG48" s="11" t="str">
        <f t="shared" si="14"/>
        <v/>
      </c>
      <c r="AH48" s="11" t="str">
        <f t="shared" si="15"/>
        <v/>
      </c>
      <c r="AL48" t="str">
        <f t="shared" si="16"/>
        <v/>
      </c>
      <c r="AN48" s="11" t="str">
        <f t="shared" si="17"/>
        <v/>
      </c>
      <c r="AO48" s="13"/>
      <c r="AP48" s="11" t="str">
        <f t="shared" si="18"/>
        <v/>
      </c>
      <c r="AQ48" s="11" t="str">
        <f t="shared" si="19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11"/>
        <v>#VALUE!</v>
      </c>
      <c r="O49" s="11">
        <f t="shared" si="12"/>
        <v>0</v>
      </c>
      <c r="R49" s="12" t="str">
        <f>IF(Q49="","",VLOOKUP(Q49,Lists!$E:$F,2,FALSE))</f>
        <v/>
      </c>
      <c r="AE49" s="11" t="str">
        <f t="shared" si="13"/>
        <v/>
      </c>
      <c r="AF49" s="13"/>
      <c r="AG49" s="11" t="str">
        <f t="shared" si="14"/>
        <v/>
      </c>
      <c r="AH49" s="11" t="str">
        <f t="shared" si="15"/>
        <v/>
      </c>
      <c r="AL49" t="str">
        <f t="shared" si="16"/>
        <v/>
      </c>
      <c r="AN49" s="11" t="str">
        <f t="shared" si="17"/>
        <v/>
      </c>
      <c r="AO49" s="13"/>
      <c r="AP49" s="11" t="str">
        <f t="shared" si="18"/>
        <v/>
      </c>
      <c r="AQ49" s="11" t="str">
        <f t="shared" si="19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11"/>
        <v>#VALUE!</v>
      </c>
      <c r="O50" s="11">
        <f t="shared" si="12"/>
        <v>0</v>
      </c>
      <c r="R50" s="12" t="str">
        <f>IF(Q50="","",VLOOKUP(Q50,Lists!$E:$F,2,FALSE))</f>
        <v/>
      </c>
      <c r="AE50" s="11" t="str">
        <f t="shared" si="13"/>
        <v/>
      </c>
      <c r="AF50" s="13"/>
      <c r="AG50" s="11" t="str">
        <f t="shared" si="14"/>
        <v/>
      </c>
      <c r="AH50" s="11" t="str">
        <f t="shared" si="15"/>
        <v/>
      </c>
      <c r="AL50" t="str">
        <f t="shared" si="16"/>
        <v/>
      </c>
      <c r="AN50" s="11" t="str">
        <f t="shared" si="17"/>
        <v/>
      </c>
      <c r="AO50" s="13"/>
      <c r="AP50" s="11" t="str">
        <f t="shared" si="18"/>
        <v/>
      </c>
      <c r="AQ50" s="11" t="str">
        <f t="shared" si="19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11"/>
        <v>#VALUE!</v>
      </c>
      <c r="O51" s="11">
        <f t="shared" si="12"/>
        <v>0</v>
      </c>
      <c r="R51" s="12" t="str">
        <f>IF(Q51="","",VLOOKUP(Q51,Lists!$E:$F,2,FALSE))</f>
        <v/>
      </c>
      <c r="AE51" s="11" t="str">
        <f t="shared" si="13"/>
        <v/>
      </c>
      <c r="AF51" s="13"/>
      <c r="AG51" s="11" t="str">
        <f t="shared" si="14"/>
        <v/>
      </c>
      <c r="AH51" s="11" t="str">
        <f t="shared" si="15"/>
        <v/>
      </c>
      <c r="AL51" t="str">
        <f t="shared" si="16"/>
        <v/>
      </c>
      <c r="AN51" s="11" t="str">
        <f t="shared" si="17"/>
        <v/>
      </c>
      <c r="AO51" s="13"/>
      <c r="AP51" s="11" t="str">
        <f t="shared" si="18"/>
        <v/>
      </c>
      <c r="AQ51" s="11" t="str">
        <f t="shared" si="19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11"/>
        <v>#VALUE!</v>
      </c>
      <c r="O52" s="11">
        <f t="shared" si="12"/>
        <v>0</v>
      </c>
      <c r="R52" s="12" t="str">
        <f>IF(Q52="","",VLOOKUP(Q52,Lists!$E:$F,2,FALSE))</f>
        <v/>
      </c>
      <c r="AE52" s="11" t="str">
        <f t="shared" si="13"/>
        <v/>
      </c>
      <c r="AF52" s="13"/>
      <c r="AG52" s="11" t="str">
        <f t="shared" si="14"/>
        <v/>
      </c>
      <c r="AH52" s="11" t="str">
        <f t="shared" si="15"/>
        <v/>
      </c>
      <c r="AL52" t="str">
        <f t="shared" si="16"/>
        <v/>
      </c>
      <c r="AN52" s="11" t="str">
        <f t="shared" si="17"/>
        <v/>
      </c>
      <c r="AO52" s="13"/>
      <c r="AP52" s="11" t="str">
        <f t="shared" si="18"/>
        <v/>
      </c>
      <c r="AQ52" s="11" t="str">
        <f t="shared" si="19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11"/>
        <v>#VALUE!</v>
      </c>
      <c r="O53" s="11">
        <f t="shared" si="12"/>
        <v>0</v>
      </c>
      <c r="R53" s="12" t="str">
        <f>IF(Q53="","",VLOOKUP(Q53,Lists!$E:$F,2,FALSE))</f>
        <v/>
      </c>
      <c r="AE53" s="11" t="str">
        <f t="shared" si="13"/>
        <v/>
      </c>
      <c r="AF53" s="13"/>
      <c r="AG53" s="11" t="str">
        <f t="shared" si="14"/>
        <v/>
      </c>
      <c r="AH53" s="11" t="str">
        <f t="shared" si="15"/>
        <v/>
      </c>
      <c r="AL53" t="str">
        <f t="shared" si="16"/>
        <v/>
      </c>
      <c r="AN53" s="11" t="str">
        <f t="shared" si="17"/>
        <v/>
      </c>
      <c r="AO53" s="13"/>
      <c r="AP53" s="11" t="str">
        <f t="shared" si="18"/>
        <v/>
      </c>
      <c r="AQ53" s="11" t="str">
        <f t="shared" si="19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11"/>
        <v>#VALUE!</v>
      </c>
      <c r="O54" s="11">
        <f t="shared" si="12"/>
        <v>0</v>
      </c>
      <c r="R54" s="12" t="str">
        <f>IF(Q54="","",VLOOKUP(Q54,Lists!$E:$F,2,FALSE))</f>
        <v/>
      </c>
      <c r="AE54" s="11" t="str">
        <f t="shared" si="13"/>
        <v/>
      </c>
      <c r="AF54" s="13"/>
      <c r="AG54" s="11" t="str">
        <f t="shared" si="14"/>
        <v/>
      </c>
      <c r="AH54" s="11" t="str">
        <f t="shared" si="15"/>
        <v/>
      </c>
      <c r="AL54" t="str">
        <f t="shared" si="16"/>
        <v/>
      </c>
      <c r="AN54" s="11" t="str">
        <f t="shared" si="17"/>
        <v/>
      </c>
      <c r="AO54" s="13"/>
      <c r="AP54" s="11" t="str">
        <f t="shared" si="18"/>
        <v/>
      </c>
      <c r="AQ54" s="11" t="str">
        <f t="shared" si="19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11"/>
        <v>#VALUE!</v>
      </c>
      <c r="O55" s="11">
        <f t="shared" si="12"/>
        <v>0</v>
      </c>
      <c r="R55" s="12" t="str">
        <f>IF(Q55="","",VLOOKUP(Q55,Lists!$E:$F,2,FALSE))</f>
        <v/>
      </c>
      <c r="AE55" s="11" t="str">
        <f t="shared" si="13"/>
        <v/>
      </c>
      <c r="AF55" s="13"/>
      <c r="AG55" s="11" t="str">
        <f t="shared" si="14"/>
        <v/>
      </c>
      <c r="AH55" s="11" t="str">
        <f t="shared" si="15"/>
        <v/>
      </c>
      <c r="AL55" t="str">
        <f t="shared" si="16"/>
        <v/>
      </c>
      <c r="AN55" s="11" t="str">
        <f t="shared" si="17"/>
        <v/>
      </c>
      <c r="AO55" s="13"/>
      <c r="AP55" s="11" t="str">
        <f t="shared" si="18"/>
        <v/>
      </c>
      <c r="AQ55" s="11" t="str">
        <f t="shared" si="19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11"/>
        <v>#VALUE!</v>
      </c>
      <c r="O56" s="11">
        <f t="shared" si="12"/>
        <v>0</v>
      </c>
      <c r="R56" s="12" t="str">
        <f>IF(Q56="","",VLOOKUP(Q56,Lists!$E:$F,2,FALSE))</f>
        <v/>
      </c>
      <c r="AE56" s="11" t="str">
        <f t="shared" si="13"/>
        <v/>
      </c>
      <c r="AF56" s="13"/>
      <c r="AG56" s="11" t="str">
        <f t="shared" si="14"/>
        <v/>
      </c>
      <c r="AH56" s="11" t="str">
        <f t="shared" si="15"/>
        <v/>
      </c>
      <c r="AL56" t="str">
        <f t="shared" si="16"/>
        <v/>
      </c>
      <c r="AN56" s="11" t="str">
        <f t="shared" si="17"/>
        <v/>
      </c>
      <c r="AO56" s="13"/>
      <c r="AP56" s="11" t="str">
        <f t="shared" si="18"/>
        <v/>
      </c>
      <c r="AQ56" s="11" t="str">
        <f t="shared" si="19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11"/>
        <v>#VALUE!</v>
      </c>
      <c r="O57" s="11">
        <f t="shared" si="12"/>
        <v>0</v>
      </c>
      <c r="R57" s="12" t="str">
        <f>IF(Q57="","",VLOOKUP(Q57,Lists!$E:$F,2,FALSE))</f>
        <v/>
      </c>
      <c r="AE57" s="11" t="str">
        <f t="shared" si="13"/>
        <v/>
      </c>
      <c r="AF57" s="13"/>
      <c r="AG57" s="11" t="str">
        <f t="shared" si="14"/>
        <v/>
      </c>
      <c r="AH57" s="11" t="str">
        <f t="shared" si="15"/>
        <v/>
      </c>
      <c r="AL57" t="str">
        <f t="shared" si="16"/>
        <v/>
      </c>
      <c r="AN57" s="11" t="str">
        <f t="shared" si="17"/>
        <v/>
      </c>
      <c r="AO57" s="13"/>
      <c r="AP57" s="11" t="str">
        <f t="shared" si="18"/>
        <v/>
      </c>
      <c r="AQ57" s="11" t="str">
        <f t="shared" si="19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11"/>
        <v>#VALUE!</v>
      </c>
      <c r="O58" s="11">
        <f t="shared" si="12"/>
        <v>0</v>
      </c>
      <c r="R58" s="12" t="str">
        <f>IF(Q58="","",VLOOKUP(Q58,Lists!$E:$F,2,FALSE))</f>
        <v/>
      </c>
      <c r="AE58" s="11" t="str">
        <f t="shared" si="13"/>
        <v/>
      </c>
      <c r="AF58" s="13"/>
      <c r="AG58" s="11" t="str">
        <f t="shared" si="14"/>
        <v/>
      </c>
      <c r="AH58" s="11" t="str">
        <f t="shared" si="15"/>
        <v/>
      </c>
      <c r="AL58" t="str">
        <f t="shared" si="16"/>
        <v/>
      </c>
      <c r="AN58" s="11" t="str">
        <f t="shared" si="17"/>
        <v/>
      </c>
      <c r="AO58" s="13"/>
      <c r="AP58" s="11" t="str">
        <f t="shared" si="18"/>
        <v/>
      </c>
      <c r="AQ58" s="11" t="str">
        <f t="shared" si="19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11"/>
        <v>#VALUE!</v>
      </c>
      <c r="O59" s="11">
        <f t="shared" si="12"/>
        <v>0</v>
      </c>
      <c r="R59" s="12" t="str">
        <f>IF(Q59="","",VLOOKUP(Q59,Lists!$E:$F,2,FALSE))</f>
        <v/>
      </c>
      <c r="AE59" s="11" t="str">
        <f t="shared" si="13"/>
        <v/>
      </c>
      <c r="AF59" s="13"/>
      <c r="AG59" s="11" t="str">
        <f t="shared" si="14"/>
        <v/>
      </c>
      <c r="AH59" s="11" t="str">
        <f t="shared" si="15"/>
        <v/>
      </c>
      <c r="AL59" t="str">
        <f t="shared" si="16"/>
        <v/>
      </c>
      <c r="AN59" s="11" t="str">
        <f t="shared" si="17"/>
        <v/>
      </c>
      <c r="AO59" s="13"/>
      <c r="AP59" s="11" t="str">
        <f t="shared" si="18"/>
        <v/>
      </c>
      <c r="AQ59" s="11" t="str">
        <f t="shared" si="19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11"/>
        <v>#VALUE!</v>
      </c>
      <c r="O60" s="11">
        <f t="shared" si="12"/>
        <v>0</v>
      </c>
      <c r="R60" s="12" t="str">
        <f>IF(Q60="","",VLOOKUP(Q60,Lists!$E:$F,2,FALSE))</f>
        <v/>
      </c>
      <c r="AE60" s="11" t="str">
        <f t="shared" si="13"/>
        <v/>
      </c>
      <c r="AF60" s="13"/>
      <c r="AG60" s="11" t="str">
        <f t="shared" si="14"/>
        <v/>
      </c>
      <c r="AH60" s="11" t="str">
        <f t="shared" si="15"/>
        <v/>
      </c>
      <c r="AL60" t="str">
        <f t="shared" si="16"/>
        <v/>
      </c>
      <c r="AN60" s="11" t="str">
        <f t="shared" si="17"/>
        <v/>
      </c>
      <c r="AO60" s="13"/>
      <c r="AP60" s="11" t="str">
        <f t="shared" si="18"/>
        <v/>
      </c>
      <c r="AQ60" s="11" t="str">
        <f t="shared" si="19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11"/>
        <v>#VALUE!</v>
      </c>
      <c r="O61" s="11">
        <f t="shared" si="12"/>
        <v>0</v>
      </c>
      <c r="R61" s="12" t="str">
        <f>IF(Q61="","",VLOOKUP(Q61,Lists!$E:$F,2,FALSE))</f>
        <v/>
      </c>
      <c r="AE61" s="11" t="str">
        <f t="shared" si="13"/>
        <v/>
      </c>
      <c r="AF61" s="13"/>
      <c r="AG61" s="11" t="str">
        <f t="shared" si="14"/>
        <v/>
      </c>
      <c r="AH61" s="11" t="str">
        <f t="shared" si="15"/>
        <v/>
      </c>
      <c r="AL61" t="str">
        <f t="shared" si="16"/>
        <v/>
      </c>
      <c r="AN61" s="11" t="str">
        <f t="shared" si="17"/>
        <v/>
      </c>
      <c r="AO61" s="13"/>
      <c r="AP61" s="11" t="str">
        <f t="shared" si="18"/>
        <v/>
      </c>
      <c r="AQ61" s="11" t="str">
        <f t="shared" si="19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11"/>
        <v>#VALUE!</v>
      </c>
      <c r="O62" s="11">
        <f t="shared" si="12"/>
        <v>0</v>
      </c>
      <c r="R62" s="12" t="str">
        <f>IF(Q62="","",VLOOKUP(Q62,Lists!$E:$F,2,FALSE))</f>
        <v/>
      </c>
      <c r="AE62" s="11" t="str">
        <f t="shared" si="13"/>
        <v/>
      </c>
      <c r="AF62" s="13"/>
      <c r="AG62" s="11" t="str">
        <f t="shared" si="14"/>
        <v/>
      </c>
      <c r="AH62" s="11" t="str">
        <f t="shared" si="15"/>
        <v/>
      </c>
      <c r="AL62" t="str">
        <f t="shared" si="16"/>
        <v/>
      </c>
      <c r="AN62" s="11" t="str">
        <f t="shared" si="17"/>
        <v/>
      </c>
      <c r="AO62" s="13"/>
      <c r="AP62" s="11" t="str">
        <f t="shared" si="18"/>
        <v/>
      </c>
      <c r="AQ62" s="11" t="str">
        <f t="shared" si="19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11"/>
        <v>#VALUE!</v>
      </c>
      <c r="O63" s="11">
        <f t="shared" si="12"/>
        <v>0</v>
      </c>
      <c r="R63" s="12" t="str">
        <f>IF(Q63="","",VLOOKUP(Q63,Lists!$E:$F,2,FALSE))</f>
        <v/>
      </c>
      <c r="AE63" s="11" t="str">
        <f t="shared" si="13"/>
        <v/>
      </c>
      <c r="AF63" s="13"/>
      <c r="AG63" s="11" t="str">
        <f t="shared" si="14"/>
        <v/>
      </c>
      <c r="AH63" s="11" t="str">
        <f t="shared" si="15"/>
        <v/>
      </c>
      <c r="AL63" t="str">
        <f t="shared" si="16"/>
        <v/>
      </c>
      <c r="AN63" s="11" t="str">
        <f t="shared" si="17"/>
        <v/>
      </c>
      <c r="AO63" s="13"/>
      <c r="AP63" s="11" t="str">
        <f t="shared" si="18"/>
        <v/>
      </c>
      <c r="AQ63" s="11" t="str">
        <f t="shared" si="19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11"/>
        <v>#VALUE!</v>
      </c>
      <c r="O64" s="11">
        <f t="shared" si="12"/>
        <v>0</v>
      </c>
      <c r="R64" s="12" t="str">
        <f>IF(Q64="","",VLOOKUP(Q64,Lists!$E:$F,2,FALSE))</f>
        <v/>
      </c>
      <c r="AE64" s="11" t="str">
        <f t="shared" si="13"/>
        <v/>
      </c>
      <c r="AF64" s="13"/>
      <c r="AG64" s="11" t="str">
        <f t="shared" si="14"/>
        <v/>
      </c>
      <c r="AH64" s="11" t="str">
        <f t="shared" si="15"/>
        <v/>
      </c>
      <c r="AL64" t="str">
        <f t="shared" si="16"/>
        <v/>
      </c>
      <c r="AN64" s="11" t="str">
        <f t="shared" si="17"/>
        <v/>
      </c>
      <c r="AO64" s="13"/>
      <c r="AP64" s="11" t="str">
        <f t="shared" si="18"/>
        <v/>
      </c>
      <c r="AQ64" s="11" t="str">
        <f t="shared" si="19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11"/>
        <v>#VALUE!</v>
      </c>
      <c r="O65" s="11">
        <f t="shared" si="12"/>
        <v>0</v>
      </c>
      <c r="R65" s="12" t="str">
        <f>IF(Q65="","",VLOOKUP(Q65,Lists!$E:$F,2,FALSE))</f>
        <v/>
      </c>
      <c r="AE65" s="11" t="str">
        <f t="shared" si="13"/>
        <v/>
      </c>
      <c r="AF65" s="13"/>
      <c r="AG65" s="11" t="str">
        <f t="shared" si="14"/>
        <v/>
      </c>
      <c r="AH65" s="11" t="str">
        <f t="shared" si="15"/>
        <v/>
      </c>
      <c r="AL65" t="str">
        <f t="shared" si="16"/>
        <v/>
      </c>
      <c r="AN65" s="11" t="str">
        <f t="shared" si="17"/>
        <v/>
      </c>
      <c r="AO65" s="13"/>
      <c r="AP65" s="11" t="str">
        <f t="shared" si="18"/>
        <v/>
      </c>
      <c r="AQ65" s="11" t="str">
        <f t="shared" si="19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ref="N66:N97" si="20">L66 * (1 + M66)</f>
        <v>#VALUE!</v>
      </c>
      <c r="O66" s="11">
        <f t="shared" ref="O66:O97" si="21">IF(K66="Eigen Beheer",0,IF(AND(ISNUMBER(N66),I66&lt;&gt;"",H66&lt;&gt;""),YEARFRAC(H66,I66,4)*12*N66,0))</f>
        <v>0</v>
      </c>
      <c r="R66" s="12" t="str">
        <f>IF(Q66="","",VLOOKUP(Q66,Lists!$E:$F,2,FALSE))</f>
        <v/>
      </c>
      <c r="AE66" s="11" t="str">
        <f t="shared" ref="AE66:AE97" si="22">IF(AND(AC66&lt;&gt;"",AD66&lt;&gt;""),AC66*AD66,"")</f>
        <v/>
      </c>
      <c r="AF66" s="13"/>
      <c r="AG66" s="11" t="str">
        <f t="shared" ref="AG66:AG97" si="23">IF(AND(AE66&lt;&gt;"",AF66&lt;&gt;""),AE66*AF66,"")</f>
        <v/>
      </c>
      <c r="AH66" s="11" t="str">
        <f t="shared" ref="AH66:AH97" si="24">IF(AND(AE66&lt;&gt;"",AG66&lt;&gt;""),AE66+AG66,"")</f>
        <v/>
      </c>
      <c r="AL66" t="str">
        <f t="shared" ref="AL66:AL97" si="25"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 t="str">
        <f t="shared" ref="AN66:AN97" si="26">IF(AND(AL66&lt;&gt;"",AM66&lt;&gt;""),AL66*AM66,"")</f>
        <v/>
      </c>
      <c r="AO66" s="13"/>
      <c r="AP66" s="11" t="str">
        <f t="shared" ref="AP66:AP97" si="27">IF(AND(AN66&lt;&gt;"",AO66&lt;&gt;""),AN66*AO66,"")</f>
        <v/>
      </c>
      <c r="AQ66" s="11" t="str">
        <f t="shared" ref="AQ66:AQ97" si="28">IF(AND(AN66&lt;&gt;"",AP66&lt;&gt;""),AN66+AP66,"")</f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20"/>
        <v>#VALUE!</v>
      </c>
      <c r="O67" s="11">
        <f t="shared" si="21"/>
        <v>0</v>
      </c>
      <c r="R67" s="12" t="str">
        <f>IF(Q67="","",VLOOKUP(Q67,Lists!$E:$F,2,FALSE))</f>
        <v/>
      </c>
      <c r="AE67" s="11" t="str">
        <f t="shared" si="22"/>
        <v/>
      </c>
      <c r="AF67" s="13"/>
      <c r="AG67" s="11" t="str">
        <f t="shared" si="23"/>
        <v/>
      </c>
      <c r="AH67" s="11" t="str">
        <f t="shared" si="24"/>
        <v/>
      </c>
      <c r="AL67" t="str">
        <f t="shared" si="25"/>
        <v/>
      </c>
      <c r="AN67" s="11" t="str">
        <f t="shared" si="26"/>
        <v/>
      </c>
      <c r="AO67" s="13"/>
      <c r="AP67" s="11" t="str">
        <f t="shared" si="27"/>
        <v/>
      </c>
      <c r="AQ67" s="11" t="str">
        <f t="shared" si="28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20"/>
        <v>#VALUE!</v>
      </c>
      <c r="O68" s="11">
        <f t="shared" si="21"/>
        <v>0</v>
      </c>
      <c r="R68" s="12" t="str">
        <f>IF(Q68="","",VLOOKUP(Q68,Lists!$E:$F,2,FALSE))</f>
        <v/>
      </c>
      <c r="AE68" s="11" t="str">
        <f t="shared" si="22"/>
        <v/>
      </c>
      <c r="AF68" s="13"/>
      <c r="AG68" s="11" t="str">
        <f t="shared" si="23"/>
        <v/>
      </c>
      <c r="AH68" s="11" t="str">
        <f t="shared" si="24"/>
        <v/>
      </c>
      <c r="AL68" t="str">
        <f t="shared" si="25"/>
        <v/>
      </c>
      <c r="AN68" s="11" t="str">
        <f t="shared" si="26"/>
        <v/>
      </c>
      <c r="AO68" s="13"/>
      <c r="AP68" s="11" t="str">
        <f t="shared" si="27"/>
        <v/>
      </c>
      <c r="AQ68" s="11" t="str">
        <f t="shared" si="28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20"/>
        <v>#VALUE!</v>
      </c>
      <c r="O69" s="11">
        <f t="shared" si="21"/>
        <v>0</v>
      </c>
      <c r="R69" s="12" t="str">
        <f>IF(Q69="","",VLOOKUP(Q69,Lists!$E:$F,2,FALSE))</f>
        <v/>
      </c>
      <c r="AE69" s="11" t="str">
        <f t="shared" si="22"/>
        <v/>
      </c>
      <c r="AF69" s="13"/>
      <c r="AG69" s="11" t="str">
        <f t="shared" si="23"/>
        <v/>
      </c>
      <c r="AH69" s="11" t="str">
        <f t="shared" si="24"/>
        <v/>
      </c>
      <c r="AL69" t="str">
        <f t="shared" si="25"/>
        <v/>
      </c>
      <c r="AN69" s="11" t="str">
        <f t="shared" si="26"/>
        <v/>
      </c>
      <c r="AO69" s="13"/>
      <c r="AP69" s="11" t="str">
        <f t="shared" si="27"/>
        <v/>
      </c>
      <c r="AQ69" s="11" t="str">
        <f t="shared" si="28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20"/>
        <v>#VALUE!</v>
      </c>
      <c r="O70" s="11">
        <f t="shared" si="21"/>
        <v>0</v>
      </c>
      <c r="R70" s="12" t="str">
        <f>IF(Q70="","",VLOOKUP(Q70,Lists!$E:$F,2,FALSE))</f>
        <v/>
      </c>
      <c r="AE70" s="11" t="str">
        <f t="shared" si="22"/>
        <v/>
      </c>
      <c r="AF70" s="13"/>
      <c r="AG70" s="11" t="str">
        <f t="shared" si="23"/>
        <v/>
      </c>
      <c r="AH70" s="11" t="str">
        <f t="shared" si="24"/>
        <v/>
      </c>
      <c r="AL70" t="str">
        <f t="shared" si="25"/>
        <v/>
      </c>
      <c r="AN70" s="11" t="str">
        <f t="shared" si="26"/>
        <v/>
      </c>
      <c r="AO70" s="13"/>
      <c r="AP70" s="11" t="str">
        <f t="shared" si="27"/>
        <v/>
      </c>
      <c r="AQ70" s="11" t="str">
        <f t="shared" si="28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20"/>
        <v>#VALUE!</v>
      </c>
      <c r="O71" s="11">
        <f t="shared" si="21"/>
        <v>0</v>
      </c>
      <c r="R71" s="12" t="str">
        <f>IF(Q71="","",VLOOKUP(Q71,Lists!$E:$F,2,FALSE))</f>
        <v/>
      </c>
      <c r="AE71" s="11" t="str">
        <f t="shared" si="22"/>
        <v/>
      </c>
      <c r="AF71" s="13"/>
      <c r="AG71" s="11" t="str">
        <f t="shared" si="23"/>
        <v/>
      </c>
      <c r="AH71" s="11" t="str">
        <f t="shared" si="24"/>
        <v/>
      </c>
      <c r="AL71" t="str">
        <f t="shared" si="25"/>
        <v/>
      </c>
      <c r="AN71" s="11" t="str">
        <f t="shared" si="26"/>
        <v/>
      </c>
      <c r="AO71" s="13"/>
      <c r="AP71" s="11" t="str">
        <f t="shared" si="27"/>
        <v/>
      </c>
      <c r="AQ71" s="11" t="str">
        <f t="shared" si="28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20"/>
        <v>#VALUE!</v>
      </c>
      <c r="O72" s="11">
        <f t="shared" si="21"/>
        <v>0</v>
      </c>
      <c r="R72" s="12" t="str">
        <f>IF(Q72="","",VLOOKUP(Q72,Lists!$E:$F,2,FALSE))</f>
        <v/>
      </c>
      <c r="AE72" s="11" t="str">
        <f t="shared" si="22"/>
        <v/>
      </c>
      <c r="AF72" s="13"/>
      <c r="AG72" s="11" t="str">
        <f t="shared" si="23"/>
        <v/>
      </c>
      <c r="AH72" s="11" t="str">
        <f t="shared" si="24"/>
        <v/>
      </c>
      <c r="AL72" t="str">
        <f t="shared" si="25"/>
        <v/>
      </c>
      <c r="AN72" s="11" t="str">
        <f t="shared" si="26"/>
        <v/>
      </c>
      <c r="AO72" s="13"/>
      <c r="AP72" s="11" t="str">
        <f t="shared" si="27"/>
        <v/>
      </c>
      <c r="AQ72" s="11" t="str">
        <f t="shared" si="28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20"/>
        <v>#VALUE!</v>
      </c>
      <c r="O73" s="11">
        <f t="shared" si="21"/>
        <v>0</v>
      </c>
      <c r="R73" s="12" t="str">
        <f>IF(Q73="","",VLOOKUP(Q73,Lists!$E:$F,2,FALSE))</f>
        <v/>
      </c>
      <c r="AE73" s="11" t="str">
        <f t="shared" si="22"/>
        <v/>
      </c>
      <c r="AF73" s="13"/>
      <c r="AG73" s="11" t="str">
        <f t="shared" si="23"/>
        <v/>
      </c>
      <c r="AH73" s="11" t="str">
        <f t="shared" si="24"/>
        <v/>
      </c>
      <c r="AL73" t="str">
        <f t="shared" si="25"/>
        <v/>
      </c>
      <c r="AN73" s="11" t="str">
        <f t="shared" si="26"/>
        <v/>
      </c>
      <c r="AO73" s="13"/>
      <c r="AP73" s="11" t="str">
        <f t="shared" si="27"/>
        <v/>
      </c>
      <c r="AQ73" s="11" t="str">
        <f t="shared" si="28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20"/>
        <v>#VALUE!</v>
      </c>
      <c r="O74" s="11">
        <f t="shared" si="21"/>
        <v>0</v>
      </c>
      <c r="R74" s="12" t="str">
        <f>IF(Q74="","",VLOOKUP(Q74,Lists!$E:$F,2,FALSE))</f>
        <v/>
      </c>
      <c r="AE74" s="11" t="str">
        <f t="shared" si="22"/>
        <v/>
      </c>
      <c r="AF74" s="13"/>
      <c r="AG74" s="11" t="str">
        <f t="shared" si="23"/>
        <v/>
      </c>
      <c r="AH74" s="11" t="str">
        <f t="shared" si="24"/>
        <v/>
      </c>
      <c r="AL74" t="str">
        <f t="shared" si="25"/>
        <v/>
      </c>
      <c r="AN74" s="11" t="str">
        <f t="shared" si="26"/>
        <v/>
      </c>
      <c r="AO74" s="13"/>
      <c r="AP74" s="11" t="str">
        <f t="shared" si="27"/>
        <v/>
      </c>
      <c r="AQ74" s="11" t="str">
        <f t="shared" si="28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20"/>
        <v>#VALUE!</v>
      </c>
      <c r="O75" s="11">
        <f t="shared" si="21"/>
        <v>0</v>
      </c>
      <c r="R75" s="12" t="str">
        <f>IF(Q75="","",VLOOKUP(Q75,Lists!$E:$F,2,FALSE))</f>
        <v/>
      </c>
      <c r="AE75" s="11" t="str">
        <f t="shared" si="22"/>
        <v/>
      </c>
      <c r="AF75" s="13"/>
      <c r="AG75" s="11" t="str">
        <f t="shared" si="23"/>
        <v/>
      </c>
      <c r="AH75" s="11" t="str">
        <f t="shared" si="24"/>
        <v/>
      </c>
      <c r="AL75" t="str">
        <f t="shared" si="25"/>
        <v/>
      </c>
      <c r="AN75" s="11" t="str">
        <f t="shared" si="26"/>
        <v/>
      </c>
      <c r="AO75" s="13"/>
      <c r="AP75" s="11" t="str">
        <f t="shared" si="27"/>
        <v/>
      </c>
      <c r="AQ75" s="11" t="str">
        <f t="shared" si="28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20"/>
        <v>#VALUE!</v>
      </c>
      <c r="O76" s="11">
        <f t="shared" si="21"/>
        <v>0</v>
      </c>
      <c r="R76" s="12" t="str">
        <f>IF(Q76="","",VLOOKUP(Q76,Lists!$E:$F,2,FALSE))</f>
        <v/>
      </c>
      <c r="AE76" s="11" t="str">
        <f t="shared" si="22"/>
        <v/>
      </c>
      <c r="AF76" s="13"/>
      <c r="AG76" s="11" t="str">
        <f t="shared" si="23"/>
        <v/>
      </c>
      <c r="AH76" s="11" t="str">
        <f t="shared" si="24"/>
        <v/>
      </c>
      <c r="AL76" t="str">
        <f t="shared" si="25"/>
        <v/>
      </c>
      <c r="AN76" s="11" t="str">
        <f t="shared" si="26"/>
        <v/>
      </c>
      <c r="AO76" s="13"/>
      <c r="AP76" s="11" t="str">
        <f t="shared" si="27"/>
        <v/>
      </c>
      <c r="AQ76" s="11" t="str">
        <f t="shared" si="28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20"/>
        <v>#VALUE!</v>
      </c>
      <c r="O77" s="11">
        <f t="shared" si="21"/>
        <v>0</v>
      </c>
      <c r="R77" s="12" t="str">
        <f>IF(Q77="","",VLOOKUP(Q77,Lists!$E:$F,2,FALSE))</f>
        <v/>
      </c>
      <c r="AE77" s="11" t="str">
        <f t="shared" si="22"/>
        <v/>
      </c>
      <c r="AF77" s="13"/>
      <c r="AG77" s="11" t="str">
        <f t="shared" si="23"/>
        <v/>
      </c>
      <c r="AH77" s="11" t="str">
        <f t="shared" si="24"/>
        <v/>
      </c>
      <c r="AL77" t="str">
        <f t="shared" si="25"/>
        <v/>
      </c>
      <c r="AN77" s="11" t="str">
        <f t="shared" si="26"/>
        <v/>
      </c>
      <c r="AO77" s="13"/>
      <c r="AP77" s="11" t="str">
        <f t="shared" si="27"/>
        <v/>
      </c>
      <c r="AQ77" s="11" t="str">
        <f t="shared" si="28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20"/>
        <v>#VALUE!</v>
      </c>
      <c r="O78" s="11">
        <f t="shared" si="21"/>
        <v>0</v>
      </c>
      <c r="R78" s="12" t="str">
        <f>IF(Q78="","",VLOOKUP(Q78,Lists!$E:$F,2,FALSE))</f>
        <v/>
      </c>
      <c r="AE78" s="11" t="str">
        <f t="shared" si="22"/>
        <v/>
      </c>
      <c r="AF78" s="13"/>
      <c r="AG78" s="11" t="str">
        <f t="shared" si="23"/>
        <v/>
      </c>
      <c r="AH78" s="11" t="str">
        <f t="shared" si="24"/>
        <v/>
      </c>
      <c r="AL78" t="str">
        <f t="shared" si="25"/>
        <v/>
      </c>
      <c r="AN78" s="11" t="str">
        <f t="shared" si="26"/>
        <v/>
      </c>
      <c r="AO78" s="13"/>
      <c r="AP78" s="11" t="str">
        <f t="shared" si="27"/>
        <v/>
      </c>
      <c r="AQ78" s="11" t="str">
        <f t="shared" si="28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20"/>
        <v>#VALUE!</v>
      </c>
      <c r="O79" s="11">
        <f t="shared" si="21"/>
        <v>0</v>
      </c>
      <c r="R79" s="12" t="str">
        <f>IF(Q79="","",VLOOKUP(Q79,Lists!$E:$F,2,FALSE))</f>
        <v/>
      </c>
      <c r="AE79" s="11" t="str">
        <f t="shared" si="22"/>
        <v/>
      </c>
      <c r="AF79" s="13"/>
      <c r="AG79" s="11" t="str">
        <f t="shared" si="23"/>
        <v/>
      </c>
      <c r="AH79" s="11" t="str">
        <f t="shared" si="24"/>
        <v/>
      </c>
      <c r="AL79" t="str">
        <f t="shared" si="25"/>
        <v/>
      </c>
      <c r="AN79" s="11" t="str">
        <f t="shared" si="26"/>
        <v/>
      </c>
      <c r="AO79" s="13"/>
      <c r="AP79" s="11" t="str">
        <f t="shared" si="27"/>
        <v/>
      </c>
      <c r="AQ79" s="11" t="str">
        <f t="shared" si="28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20"/>
        <v>#VALUE!</v>
      </c>
      <c r="O80" s="11">
        <f t="shared" si="21"/>
        <v>0</v>
      </c>
      <c r="R80" s="12" t="str">
        <f>IF(Q80="","",VLOOKUP(Q80,Lists!$E:$F,2,FALSE))</f>
        <v/>
      </c>
      <c r="AE80" s="11" t="str">
        <f t="shared" si="22"/>
        <v/>
      </c>
      <c r="AF80" s="13"/>
      <c r="AG80" s="11" t="str">
        <f t="shared" si="23"/>
        <v/>
      </c>
      <c r="AH80" s="11" t="str">
        <f t="shared" si="24"/>
        <v/>
      </c>
      <c r="AL80" t="str">
        <f t="shared" si="25"/>
        <v/>
      </c>
      <c r="AN80" s="11" t="str">
        <f t="shared" si="26"/>
        <v/>
      </c>
      <c r="AO80" s="13"/>
      <c r="AP80" s="11" t="str">
        <f t="shared" si="27"/>
        <v/>
      </c>
      <c r="AQ80" s="11" t="str">
        <f t="shared" si="28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20"/>
        <v>#VALUE!</v>
      </c>
      <c r="O81" s="11">
        <f t="shared" si="21"/>
        <v>0</v>
      </c>
      <c r="R81" s="12" t="str">
        <f>IF(Q81="","",VLOOKUP(Q81,Lists!$E:$F,2,FALSE))</f>
        <v/>
      </c>
      <c r="AE81" s="11" t="str">
        <f t="shared" si="22"/>
        <v/>
      </c>
      <c r="AF81" s="13"/>
      <c r="AG81" s="11" t="str">
        <f t="shared" si="23"/>
        <v/>
      </c>
      <c r="AH81" s="11" t="str">
        <f t="shared" si="24"/>
        <v/>
      </c>
      <c r="AL81" t="str">
        <f t="shared" si="25"/>
        <v/>
      </c>
      <c r="AN81" s="11" t="str">
        <f t="shared" si="26"/>
        <v/>
      </c>
      <c r="AO81" s="13"/>
      <c r="AP81" s="11" t="str">
        <f t="shared" si="27"/>
        <v/>
      </c>
      <c r="AQ81" s="11" t="str">
        <f t="shared" si="28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20"/>
        <v>#VALUE!</v>
      </c>
      <c r="O82" s="11">
        <f t="shared" si="21"/>
        <v>0</v>
      </c>
      <c r="R82" s="12" t="str">
        <f>IF(Q82="","",VLOOKUP(Q82,Lists!$E:$F,2,FALSE))</f>
        <v/>
      </c>
      <c r="AE82" s="11" t="str">
        <f t="shared" si="22"/>
        <v/>
      </c>
      <c r="AF82" s="13"/>
      <c r="AG82" s="11" t="str">
        <f t="shared" si="23"/>
        <v/>
      </c>
      <c r="AH82" s="11" t="str">
        <f t="shared" si="24"/>
        <v/>
      </c>
      <c r="AL82" t="str">
        <f t="shared" si="25"/>
        <v/>
      </c>
      <c r="AN82" s="11" t="str">
        <f t="shared" si="26"/>
        <v/>
      </c>
      <c r="AO82" s="13"/>
      <c r="AP82" s="11" t="str">
        <f t="shared" si="27"/>
        <v/>
      </c>
      <c r="AQ82" s="11" t="str">
        <f t="shared" si="28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20"/>
        <v>#VALUE!</v>
      </c>
      <c r="O83" s="11">
        <f t="shared" si="21"/>
        <v>0</v>
      </c>
      <c r="R83" s="12" t="str">
        <f>IF(Q83="","",VLOOKUP(Q83,Lists!$E:$F,2,FALSE))</f>
        <v/>
      </c>
      <c r="AE83" s="11" t="str">
        <f t="shared" si="22"/>
        <v/>
      </c>
      <c r="AF83" s="13"/>
      <c r="AG83" s="11" t="str">
        <f t="shared" si="23"/>
        <v/>
      </c>
      <c r="AH83" s="11" t="str">
        <f t="shared" si="24"/>
        <v/>
      </c>
      <c r="AL83" t="str">
        <f t="shared" si="25"/>
        <v/>
      </c>
      <c r="AN83" s="11" t="str">
        <f t="shared" si="26"/>
        <v/>
      </c>
      <c r="AO83" s="13"/>
      <c r="AP83" s="11" t="str">
        <f t="shared" si="27"/>
        <v/>
      </c>
      <c r="AQ83" s="11" t="str">
        <f t="shared" si="28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20"/>
        <v>#VALUE!</v>
      </c>
      <c r="O84" s="11">
        <f t="shared" si="21"/>
        <v>0</v>
      </c>
      <c r="R84" s="12" t="str">
        <f>IF(Q84="","",VLOOKUP(Q84,Lists!$E:$F,2,FALSE))</f>
        <v/>
      </c>
      <c r="AE84" s="11" t="str">
        <f t="shared" si="22"/>
        <v/>
      </c>
      <c r="AF84" s="13"/>
      <c r="AG84" s="11" t="str">
        <f t="shared" si="23"/>
        <v/>
      </c>
      <c r="AH84" s="11" t="str">
        <f t="shared" si="24"/>
        <v/>
      </c>
      <c r="AL84" t="str">
        <f t="shared" si="25"/>
        <v/>
      </c>
      <c r="AN84" s="11" t="str">
        <f t="shared" si="26"/>
        <v/>
      </c>
      <c r="AO84" s="13"/>
      <c r="AP84" s="11" t="str">
        <f t="shared" si="27"/>
        <v/>
      </c>
      <c r="AQ84" s="11" t="str">
        <f t="shared" si="28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20"/>
        <v>#VALUE!</v>
      </c>
      <c r="O85" s="11">
        <f t="shared" si="21"/>
        <v>0</v>
      </c>
      <c r="R85" s="12" t="str">
        <f>IF(Q85="","",VLOOKUP(Q85,Lists!$E:$F,2,FALSE))</f>
        <v/>
      </c>
      <c r="AE85" s="11" t="str">
        <f t="shared" si="22"/>
        <v/>
      </c>
      <c r="AF85" s="13"/>
      <c r="AG85" s="11" t="str">
        <f t="shared" si="23"/>
        <v/>
      </c>
      <c r="AH85" s="11" t="str">
        <f t="shared" si="24"/>
        <v/>
      </c>
      <c r="AL85" t="str">
        <f t="shared" si="25"/>
        <v/>
      </c>
      <c r="AN85" s="11" t="str">
        <f t="shared" si="26"/>
        <v/>
      </c>
      <c r="AO85" s="13"/>
      <c r="AP85" s="11" t="str">
        <f t="shared" si="27"/>
        <v/>
      </c>
      <c r="AQ85" s="11" t="str">
        <f t="shared" si="28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20"/>
        <v>#VALUE!</v>
      </c>
      <c r="O86" s="11">
        <f t="shared" si="21"/>
        <v>0</v>
      </c>
      <c r="R86" s="12" t="str">
        <f>IF(Q86="","",VLOOKUP(Q86,Lists!$E:$F,2,FALSE))</f>
        <v/>
      </c>
      <c r="AE86" s="11" t="str">
        <f t="shared" si="22"/>
        <v/>
      </c>
      <c r="AF86" s="13"/>
      <c r="AG86" s="11" t="str">
        <f t="shared" si="23"/>
        <v/>
      </c>
      <c r="AH86" s="11" t="str">
        <f t="shared" si="24"/>
        <v/>
      </c>
      <c r="AL86" t="str">
        <f t="shared" si="25"/>
        <v/>
      </c>
      <c r="AN86" s="11" t="str">
        <f t="shared" si="26"/>
        <v/>
      </c>
      <c r="AO86" s="13"/>
      <c r="AP86" s="11" t="str">
        <f t="shared" si="27"/>
        <v/>
      </c>
      <c r="AQ86" s="11" t="str">
        <f t="shared" si="28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20"/>
        <v>#VALUE!</v>
      </c>
      <c r="O87" s="11">
        <f t="shared" si="21"/>
        <v>0</v>
      </c>
      <c r="R87" s="12" t="str">
        <f>IF(Q87="","",VLOOKUP(Q87,Lists!$E:$F,2,FALSE))</f>
        <v/>
      </c>
      <c r="AE87" s="11" t="str">
        <f t="shared" si="22"/>
        <v/>
      </c>
      <c r="AF87" s="13"/>
      <c r="AG87" s="11" t="str">
        <f t="shared" si="23"/>
        <v/>
      </c>
      <c r="AH87" s="11" t="str">
        <f t="shared" si="24"/>
        <v/>
      </c>
      <c r="AL87" t="str">
        <f t="shared" si="25"/>
        <v/>
      </c>
      <c r="AN87" s="11" t="str">
        <f t="shared" si="26"/>
        <v/>
      </c>
      <c r="AO87" s="13"/>
      <c r="AP87" s="11" t="str">
        <f t="shared" si="27"/>
        <v/>
      </c>
      <c r="AQ87" s="11" t="str">
        <f t="shared" si="28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20"/>
        <v>#VALUE!</v>
      </c>
      <c r="O88" s="11">
        <f t="shared" si="21"/>
        <v>0</v>
      </c>
      <c r="R88" s="12" t="str">
        <f>IF(Q88="","",VLOOKUP(Q88,Lists!$E:$F,2,FALSE))</f>
        <v/>
      </c>
      <c r="AE88" s="11" t="str">
        <f t="shared" si="22"/>
        <v/>
      </c>
      <c r="AF88" s="13"/>
      <c r="AG88" s="11" t="str">
        <f t="shared" si="23"/>
        <v/>
      </c>
      <c r="AH88" s="11" t="str">
        <f t="shared" si="24"/>
        <v/>
      </c>
      <c r="AL88" t="str">
        <f t="shared" si="25"/>
        <v/>
      </c>
      <c r="AN88" s="11" t="str">
        <f t="shared" si="26"/>
        <v/>
      </c>
      <c r="AO88" s="13"/>
      <c r="AP88" s="11" t="str">
        <f t="shared" si="27"/>
        <v/>
      </c>
      <c r="AQ88" s="11" t="str">
        <f t="shared" si="28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20"/>
        <v>#VALUE!</v>
      </c>
      <c r="O89" s="11">
        <f t="shared" si="21"/>
        <v>0</v>
      </c>
      <c r="R89" s="12" t="str">
        <f>IF(Q89="","",VLOOKUP(Q89,Lists!$E:$F,2,FALSE))</f>
        <v/>
      </c>
      <c r="AE89" s="11" t="str">
        <f t="shared" si="22"/>
        <v/>
      </c>
      <c r="AF89" s="13"/>
      <c r="AG89" s="11" t="str">
        <f t="shared" si="23"/>
        <v/>
      </c>
      <c r="AH89" s="11" t="str">
        <f t="shared" si="24"/>
        <v/>
      </c>
      <c r="AL89" t="str">
        <f t="shared" si="25"/>
        <v/>
      </c>
      <c r="AN89" s="11" t="str">
        <f t="shared" si="26"/>
        <v/>
      </c>
      <c r="AO89" s="13"/>
      <c r="AP89" s="11" t="str">
        <f t="shared" si="27"/>
        <v/>
      </c>
      <c r="AQ89" s="11" t="str">
        <f t="shared" si="28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20"/>
        <v>#VALUE!</v>
      </c>
      <c r="O90" s="11">
        <f t="shared" si="21"/>
        <v>0</v>
      </c>
      <c r="R90" s="12" t="str">
        <f>IF(Q90="","",VLOOKUP(Q90,Lists!$E:$F,2,FALSE))</f>
        <v/>
      </c>
      <c r="AE90" s="11" t="str">
        <f t="shared" si="22"/>
        <v/>
      </c>
      <c r="AF90" s="13"/>
      <c r="AG90" s="11" t="str">
        <f t="shared" si="23"/>
        <v/>
      </c>
      <c r="AH90" s="11" t="str">
        <f t="shared" si="24"/>
        <v/>
      </c>
      <c r="AL90" t="str">
        <f t="shared" si="25"/>
        <v/>
      </c>
      <c r="AN90" s="11" t="str">
        <f t="shared" si="26"/>
        <v/>
      </c>
      <c r="AO90" s="13"/>
      <c r="AP90" s="11" t="str">
        <f t="shared" si="27"/>
        <v/>
      </c>
      <c r="AQ90" s="11" t="str">
        <f t="shared" si="28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20"/>
        <v>#VALUE!</v>
      </c>
      <c r="O91" s="11">
        <f t="shared" si="21"/>
        <v>0</v>
      </c>
      <c r="R91" s="12" t="str">
        <f>IF(Q91="","",VLOOKUP(Q91,Lists!$E:$F,2,FALSE))</f>
        <v/>
      </c>
      <c r="AE91" s="11" t="str">
        <f t="shared" si="22"/>
        <v/>
      </c>
      <c r="AF91" s="13"/>
      <c r="AG91" s="11" t="str">
        <f t="shared" si="23"/>
        <v/>
      </c>
      <c r="AH91" s="11" t="str">
        <f t="shared" si="24"/>
        <v/>
      </c>
      <c r="AL91" t="str">
        <f t="shared" si="25"/>
        <v/>
      </c>
      <c r="AN91" s="11" t="str">
        <f t="shared" si="26"/>
        <v/>
      </c>
      <c r="AO91" s="13"/>
      <c r="AP91" s="11" t="str">
        <f t="shared" si="27"/>
        <v/>
      </c>
      <c r="AQ91" s="11" t="str">
        <f t="shared" si="28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20"/>
        <v>#VALUE!</v>
      </c>
      <c r="O92" s="11">
        <f t="shared" si="21"/>
        <v>0</v>
      </c>
      <c r="R92" s="12" t="str">
        <f>IF(Q92="","",VLOOKUP(Q92,Lists!$E:$F,2,FALSE))</f>
        <v/>
      </c>
      <c r="AE92" s="11" t="str">
        <f t="shared" si="22"/>
        <v/>
      </c>
      <c r="AF92" s="13"/>
      <c r="AG92" s="11" t="str">
        <f t="shared" si="23"/>
        <v/>
      </c>
      <c r="AH92" s="11" t="str">
        <f t="shared" si="24"/>
        <v/>
      </c>
      <c r="AL92" t="str">
        <f t="shared" si="25"/>
        <v/>
      </c>
      <c r="AN92" s="11" t="str">
        <f t="shared" si="26"/>
        <v/>
      </c>
      <c r="AO92" s="13"/>
      <c r="AP92" s="11" t="str">
        <f t="shared" si="27"/>
        <v/>
      </c>
      <c r="AQ92" s="11" t="str">
        <f t="shared" si="28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20"/>
        <v>#VALUE!</v>
      </c>
      <c r="O93" s="11">
        <f t="shared" si="21"/>
        <v>0</v>
      </c>
      <c r="R93" s="12" t="str">
        <f>IF(Q93="","",VLOOKUP(Q93,Lists!$E:$F,2,FALSE))</f>
        <v/>
      </c>
      <c r="AE93" s="11" t="str">
        <f t="shared" si="22"/>
        <v/>
      </c>
      <c r="AF93" s="13"/>
      <c r="AG93" s="11" t="str">
        <f t="shared" si="23"/>
        <v/>
      </c>
      <c r="AH93" s="11" t="str">
        <f t="shared" si="24"/>
        <v/>
      </c>
      <c r="AL93" t="str">
        <f t="shared" si="25"/>
        <v/>
      </c>
      <c r="AN93" s="11" t="str">
        <f t="shared" si="26"/>
        <v/>
      </c>
      <c r="AO93" s="13"/>
      <c r="AP93" s="11" t="str">
        <f t="shared" si="27"/>
        <v/>
      </c>
      <c r="AQ93" s="11" t="str">
        <f t="shared" si="28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20"/>
        <v>#VALUE!</v>
      </c>
      <c r="O94" s="11">
        <f t="shared" si="21"/>
        <v>0</v>
      </c>
      <c r="R94" s="12" t="str">
        <f>IF(Q94="","",VLOOKUP(Q94,Lists!$E:$F,2,FALSE))</f>
        <v/>
      </c>
      <c r="AE94" s="11" t="str">
        <f t="shared" si="22"/>
        <v/>
      </c>
      <c r="AF94" s="13"/>
      <c r="AG94" s="11" t="str">
        <f t="shared" si="23"/>
        <v/>
      </c>
      <c r="AH94" s="11" t="str">
        <f t="shared" si="24"/>
        <v/>
      </c>
      <c r="AL94" t="str">
        <f t="shared" si="25"/>
        <v/>
      </c>
      <c r="AN94" s="11" t="str">
        <f t="shared" si="26"/>
        <v/>
      </c>
      <c r="AO94" s="13"/>
      <c r="AP94" s="11" t="str">
        <f t="shared" si="27"/>
        <v/>
      </c>
      <c r="AQ94" s="11" t="str">
        <f t="shared" si="28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20"/>
        <v>#VALUE!</v>
      </c>
      <c r="O95" s="11">
        <f t="shared" si="21"/>
        <v>0</v>
      </c>
      <c r="R95" s="12" t="str">
        <f>IF(Q95="","",VLOOKUP(Q95,Lists!$E:$F,2,FALSE))</f>
        <v/>
      </c>
      <c r="AE95" s="11" t="str">
        <f t="shared" si="22"/>
        <v/>
      </c>
      <c r="AF95" s="13"/>
      <c r="AG95" s="11" t="str">
        <f t="shared" si="23"/>
        <v/>
      </c>
      <c r="AH95" s="11" t="str">
        <f t="shared" si="24"/>
        <v/>
      </c>
      <c r="AL95" t="str">
        <f t="shared" si="25"/>
        <v/>
      </c>
      <c r="AN95" s="11" t="str">
        <f t="shared" si="26"/>
        <v/>
      </c>
      <c r="AO95" s="13"/>
      <c r="AP95" s="11" t="str">
        <f t="shared" si="27"/>
        <v/>
      </c>
      <c r="AQ95" s="11" t="str">
        <f t="shared" si="28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20"/>
        <v>#VALUE!</v>
      </c>
      <c r="O96" s="11">
        <f t="shared" si="21"/>
        <v>0</v>
      </c>
      <c r="R96" s="12" t="str">
        <f>IF(Q96="","",VLOOKUP(Q96,Lists!$E:$F,2,FALSE))</f>
        <v/>
      </c>
      <c r="AE96" s="11" t="str">
        <f t="shared" si="22"/>
        <v/>
      </c>
      <c r="AF96" s="13"/>
      <c r="AG96" s="11" t="str">
        <f t="shared" si="23"/>
        <v/>
      </c>
      <c r="AH96" s="11" t="str">
        <f t="shared" si="24"/>
        <v/>
      </c>
      <c r="AL96" t="str">
        <f t="shared" si="25"/>
        <v/>
      </c>
      <c r="AN96" s="11" t="str">
        <f t="shared" si="26"/>
        <v/>
      </c>
      <c r="AO96" s="13"/>
      <c r="AP96" s="11" t="str">
        <f t="shared" si="27"/>
        <v/>
      </c>
      <c r="AQ96" s="11" t="str">
        <f t="shared" si="28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20"/>
        <v>#VALUE!</v>
      </c>
      <c r="O97" s="11">
        <f t="shared" si="21"/>
        <v>0</v>
      </c>
      <c r="R97" s="12" t="str">
        <f>IF(Q97="","",VLOOKUP(Q97,Lists!$E:$F,2,FALSE))</f>
        <v/>
      </c>
      <c r="AE97" s="11" t="str">
        <f t="shared" si="22"/>
        <v/>
      </c>
      <c r="AF97" s="13"/>
      <c r="AG97" s="11" t="str">
        <f t="shared" si="23"/>
        <v/>
      </c>
      <c r="AH97" s="11" t="str">
        <f t="shared" si="24"/>
        <v/>
      </c>
      <c r="AL97" t="str">
        <f t="shared" si="25"/>
        <v/>
      </c>
      <c r="AN97" s="11" t="str">
        <f t="shared" si="26"/>
        <v/>
      </c>
      <c r="AO97" s="13"/>
      <c r="AP97" s="11" t="str">
        <f t="shared" si="27"/>
        <v/>
      </c>
      <c r="AQ97" s="11" t="str">
        <f t="shared" si="28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ref="N98:N129" si="29">L98 * (1 + M98)</f>
        <v>#VALUE!</v>
      </c>
      <c r="O98" s="11">
        <f t="shared" ref="O98:O129" si="30">IF(K98="Eigen Beheer",0,IF(AND(ISNUMBER(N98),I98&lt;&gt;"",H98&lt;&gt;""),YEARFRAC(H98,I98,4)*12*N98,0))</f>
        <v>0</v>
      </c>
      <c r="R98" s="12" t="str">
        <f>IF(Q98="","",VLOOKUP(Q98,Lists!$E:$F,2,FALSE))</f>
        <v/>
      </c>
      <c r="AE98" s="11" t="str">
        <f t="shared" ref="AE98:AE129" si="31">IF(AND(AC98&lt;&gt;"",AD98&lt;&gt;""),AC98*AD98,"")</f>
        <v/>
      </c>
      <c r="AF98" s="13"/>
      <c r="AG98" s="11" t="str">
        <f t="shared" ref="AG98:AG129" si="32">IF(AND(AE98&lt;&gt;"",AF98&lt;&gt;""),AE98*AF98,"")</f>
        <v/>
      </c>
      <c r="AH98" s="11" t="str">
        <f t="shared" ref="AH98:AH129" si="33">IF(AND(AE98&lt;&gt;"",AG98&lt;&gt;""),AE98+AG98,"")</f>
        <v/>
      </c>
      <c r="AL98" t="str">
        <f t="shared" ref="AL98:AL129" si="34"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 t="str">
        <f t="shared" ref="AN98:AN129" si="35">IF(AND(AL98&lt;&gt;"",AM98&lt;&gt;""),AL98*AM98,"")</f>
        <v/>
      </c>
      <c r="AO98" s="13"/>
      <c r="AP98" s="11" t="str">
        <f t="shared" ref="AP98:AP129" si="36">IF(AND(AN98&lt;&gt;"",AO98&lt;&gt;""),AN98*AO98,"")</f>
        <v/>
      </c>
      <c r="AQ98" s="11" t="str">
        <f t="shared" ref="AQ98:AQ129" si="37">IF(AND(AN98&lt;&gt;"",AP98&lt;&gt;""),AN98+AP98,"")</f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9"/>
        <v>#VALUE!</v>
      </c>
      <c r="O99" s="11">
        <f t="shared" si="30"/>
        <v>0</v>
      </c>
      <c r="R99" s="12" t="str">
        <f>IF(Q99="","",VLOOKUP(Q99,Lists!$E:$F,2,FALSE))</f>
        <v/>
      </c>
      <c r="AE99" s="11" t="str">
        <f t="shared" si="31"/>
        <v/>
      </c>
      <c r="AF99" s="13"/>
      <c r="AG99" s="11" t="str">
        <f t="shared" si="32"/>
        <v/>
      </c>
      <c r="AH99" s="11" t="str">
        <f t="shared" si="33"/>
        <v/>
      </c>
      <c r="AL99" t="str">
        <f t="shared" si="34"/>
        <v/>
      </c>
      <c r="AN99" s="11" t="str">
        <f t="shared" si="35"/>
        <v/>
      </c>
      <c r="AO99" s="13"/>
      <c r="AP99" s="11" t="str">
        <f t="shared" si="36"/>
        <v/>
      </c>
      <c r="AQ99" s="11" t="str">
        <f t="shared" si="37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9"/>
        <v>#VALUE!</v>
      </c>
      <c r="O100" s="11">
        <f t="shared" si="30"/>
        <v>0</v>
      </c>
      <c r="R100" s="12" t="str">
        <f>IF(Q100="","",VLOOKUP(Q100,Lists!$E:$F,2,FALSE))</f>
        <v/>
      </c>
      <c r="AE100" s="11" t="str">
        <f t="shared" si="31"/>
        <v/>
      </c>
      <c r="AF100" s="13"/>
      <c r="AG100" s="11" t="str">
        <f t="shared" si="32"/>
        <v/>
      </c>
      <c r="AH100" s="11" t="str">
        <f t="shared" si="33"/>
        <v/>
      </c>
      <c r="AL100" t="str">
        <f t="shared" si="34"/>
        <v/>
      </c>
      <c r="AN100" s="11" t="str">
        <f t="shared" si="35"/>
        <v/>
      </c>
      <c r="AO100" s="13"/>
      <c r="AP100" s="11" t="str">
        <f t="shared" si="36"/>
        <v/>
      </c>
      <c r="AQ100" s="11" t="str">
        <f t="shared" si="37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9"/>
        <v>#VALUE!</v>
      </c>
      <c r="O101" s="11">
        <f t="shared" si="30"/>
        <v>0</v>
      </c>
      <c r="R101" s="12" t="str">
        <f>IF(Q101="","",VLOOKUP(Q101,Lists!$E:$F,2,FALSE))</f>
        <v/>
      </c>
      <c r="AE101" s="11" t="str">
        <f t="shared" si="31"/>
        <v/>
      </c>
      <c r="AF101" s="13"/>
      <c r="AG101" s="11" t="str">
        <f t="shared" si="32"/>
        <v/>
      </c>
      <c r="AH101" s="11" t="str">
        <f t="shared" si="33"/>
        <v/>
      </c>
      <c r="AL101" t="str">
        <f t="shared" si="34"/>
        <v/>
      </c>
      <c r="AN101" s="11" t="str">
        <f t="shared" si="35"/>
        <v/>
      </c>
      <c r="AO101" s="13"/>
      <c r="AP101" s="11" t="str">
        <f t="shared" si="36"/>
        <v/>
      </c>
      <c r="AQ101" s="11" t="str">
        <f t="shared" si="37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9"/>
        <v>#VALUE!</v>
      </c>
      <c r="O102" s="11">
        <f t="shared" si="30"/>
        <v>0</v>
      </c>
      <c r="R102" s="12" t="str">
        <f>IF(Q102="","",VLOOKUP(Q102,Lists!$E:$F,2,FALSE))</f>
        <v/>
      </c>
      <c r="AE102" s="11" t="str">
        <f t="shared" si="31"/>
        <v/>
      </c>
      <c r="AF102" s="13"/>
      <c r="AG102" s="11" t="str">
        <f t="shared" si="32"/>
        <v/>
      </c>
      <c r="AH102" s="11" t="str">
        <f t="shared" si="33"/>
        <v/>
      </c>
      <c r="AL102" t="str">
        <f t="shared" si="34"/>
        <v/>
      </c>
      <c r="AN102" s="11" t="str">
        <f t="shared" si="35"/>
        <v/>
      </c>
      <c r="AO102" s="13"/>
      <c r="AP102" s="11" t="str">
        <f t="shared" si="36"/>
        <v/>
      </c>
      <c r="AQ102" s="11" t="str">
        <f t="shared" si="37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9"/>
        <v>#VALUE!</v>
      </c>
      <c r="O103" s="11">
        <f t="shared" si="30"/>
        <v>0</v>
      </c>
      <c r="R103" s="12" t="str">
        <f>IF(Q103="","",VLOOKUP(Q103,Lists!$E:$F,2,FALSE))</f>
        <v/>
      </c>
      <c r="AE103" s="11" t="str">
        <f t="shared" si="31"/>
        <v/>
      </c>
      <c r="AF103" s="13"/>
      <c r="AG103" s="11" t="str">
        <f t="shared" si="32"/>
        <v/>
      </c>
      <c r="AH103" s="11" t="str">
        <f t="shared" si="33"/>
        <v/>
      </c>
      <c r="AL103" t="str">
        <f t="shared" si="34"/>
        <v/>
      </c>
      <c r="AN103" s="11" t="str">
        <f t="shared" si="35"/>
        <v/>
      </c>
      <c r="AO103" s="13"/>
      <c r="AP103" s="11" t="str">
        <f t="shared" si="36"/>
        <v/>
      </c>
      <c r="AQ103" s="11" t="str">
        <f t="shared" si="37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9"/>
        <v>#VALUE!</v>
      </c>
      <c r="O104" s="11">
        <f t="shared" si="30"/>
        <v>0</v>
      </c>
      <c r="R104" s="12" t="str">
        <f>IF(Q104="","",VLOOKUP(Q104,Lists!$E:$F,2,FALSE))</f>
        <v/>
      </c>
      <c r="AE104" s="11" t="str">
        <f t="shared" si="31"/>
        <v/>
      </c>
      <c r="AF104" s="13"/>
      <c r="AG104" s="11" t="str">
        <f t="shared" si="32"/>
        <v/>
      </c>
      <c r="AH104" s="11" t="str">
        <f t="shared" si="33"/>
        <v/>
      </c>
      <c r="AL104" t="str">
        <f t="shared" si="34"/>
        <v/>
      </c>
      <c r="AN104" s="11" t="str">
        <f t="shared" si="35"/>
        <v/>
      </c>
      <c r="AO104" s="13"/>
      <c r="AP104" s="11" t="str">
        <f t="shared" si="36"/>
        <v/>
      </c>
      <c r="AQ104" s="11" t="str">
        <f t="shared" si="37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9"/>
        <v>#VALUE!</v>
      </c>
      <c r="O105" s="11">
        <f t="shared" si="30"/>
        <v>0</v>
      </c>
      <c r="R105" s="12" t="str">
        <f>IF(Q105="","",VLOOKUP(Q105,Lists!$E:$F,2,FALSE))</f>
        <v/>
      </c>
      <c r="AE105" s="11" t="str">
        <f t="shared" si="31"/>
        <v/>
      </c>
      <c r="AF105" s="13"/>
      <c r="AG105" s="11" t="str">
        <f t="shared" si="32"/>
        <v/>
      </c>
      <c r="AH105" s="11" t="str">
        <f t="shared" si="33"/>
        <v/>
      </c>
      <c r="AL105" t="str">
        <f t="shared" si="34"/>
        <v/>
      </c>
      <c r="AN105" s="11" t="str">
        <f t="shared" si="35"/>
        <v/>
      </c>
      <c r="AO105" s="13"/>
      <c r="AP105" s="11" t="str">
        <f t="shared" si="36"/>
        <v/>
      </c>
      <c r="AQ105" s="11" t="str">
        <f t="shared" si="37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9"/>
        <v>#VALUE!</v>
      </c>
      <c r="O106" s="11">
        <f t="shared" si="30"/>
        <v>0</v>
      </c>
      <c r="R106" s="12" t="str">
        <f>IF(Q106="","",VLOOKUP(Q106,Lists!$E:$F,2,FALSE))</f>
        <v/>
      </c>
      <c r="AE106" s="11" t="str">
        <f t="shared" si="31"/>
        <v/>
      </c>
      <c r="AF106" s="13"/>
      <c r="AG106" s="11" t="str">
        <f t="shared" si="32"/>
        <v/>
      </c>
      <c r="AH106" s="11" t="str">
        <f t="shared" si="33"/>
        <v/>
      </c>
      <c r="AL106" t="str">
        <f t="shared" si="34"/>
        <v/>
      </c>
      <c r="AN106" s="11" t="str">
        <f t="shared" si="35"/>
        <v/>
      </c>
      <c r="AO106" s="13"/>
      <c r="AP106" s="11" t="str">
        <f t="shared" si="36"/>
        <v/>
      </c>
      <c r="AQ106" s="11" t="str">
        <f t="shared" si="37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9"/>
        <v>#VALUE!</v>
      </c>
      <c r="O107" s="11">
        <f t="shared" si="30"/>
        <v>0</v>
      </c>
      <c r="R107" s="12" t="str">
        <f>IF(Q107="","",VLOOKUP(Q107,Lists!$E:$F,2,FALSE))</f>
        <v/>
      </c>
      <c r="AE107" s="11" t="str">
        <f t="shared" si="31"/>
        <v/>
      </c>
      <c r="AF107" s="13"/>
      <c r="AG107" s="11" t="str">
        <f t="shared" si="32"/>
        <v/>
      </c>
      <c r="AH107" s="11" t="str">
        <f t="shared" si="33"/>
        <v/>
      </c>
      <c r="AL107" t="str">
        <f t="shared" si="34"/>
        <v/>
      </c>
      <c r="AN107" s="11" t="str">
        <f t="shared" si="35"/>
        <v/>
      </c>
      <c r="AO107" s="13"/>
      <c r="AP107" s="11" t="str">
        <f t="shared" si="36"/>
        <v/>
      </c>
      <c r="AQ107" s="11" t="str">
        <f t="shared" si="37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9"/>
        <v>#VALUE!</v>
      </c>
      <c r="O108" s="11">
        <f t="shared" si="30"/>
        <v>0</v>
      </c>
      <c r="R108" s="12" t="str">
        <f>IF(Q108="","",VLOOKUP(Q108,Lists!$E:$F,2,FALSE))</f>
        <v/>
      </c>
      <c r="AE108" s="11" t="str">
        <f t="shared" si="31"/>
        <v/>
      </c>
      <c r="AF108" s="13"/>
      <c r="AG108" s="11" t="str">
        <f t="shared" si="32"/>
        <v/>
      </c>
      <c r="AH108" s="11" t="str">
        <f t="shared" si="33"/>
        <v/>
      </c>
      <c r="AL108" t="str">
        <f t="shared" si="34"/>
        <v/>
      </c>
      <c r="AN108" s="11" t="str">
        <f t="shared" si="35"/>
        <v/>
      </c>
      <c r="AO108" s="13"/>
      <c r="AP108" s="11" t="str">
        <f t="shared" si="36"/>
        <v/>
      </c>
      <c r="AQ108" s="11" t="str">
        <f t="shared" si="37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9"/>
        <v>#VALUE!</v>
      </c>
      <c r="O109" s="11">
        <f t="shared" si="30"/>
        <v>0</v>
      </c>
      <c r="R109" s="12" t="str">
        <f>IF(Q109="","",VLOOKUP(Q109,Lists!$E:$F,2,FALSE))</f>
        <v/>
      </c>
      <c r="AE109" s="11" t="str">
        <f t="shared" si="31"/>
        <v/>
      </c>
      <c r="AF109" s="13"/>
      <c r="AG109" s="11" t="str">
        <f t="shared" si="32"/>
        <v/>
      </c>
      <c r="AH109" s="11" t="str">
        <f t="shared" si="33"/>
        <v/>
      </c>
      <c r="AL109" t="str">
        <f t="shared" si="34"/>
        <v/>
      </c>
      <c r="AN109" s="11" t="str">
        <f t="shared" si="35"/>
        <v/>
      </c>
      <c r="AO109" s="13"/>
      <c r="AP109" s="11" t="str">
        <f t="shared" si="36"/>
        <v/>
      </c>
      <c r="AQ109" s="11" t="str">
        <f t="shared" si="37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9"/>
        <v>#VALUE!</v>
      </c>
      <c r="O110" s="11">
        <f t="shared" si="30"/>
        <v>0</v>
      </c>
      <c r="R110" s="12" t="str">
        <f>IF(Q110="","",VLOOKUP(Q110,Lists!$E:$F,2,FALSE))</f>
        <v/>
      </c>
      <c r="AE110" s="11" t="str">
        <f t="shared" si="31"/>
        <v/>
      </c>
      <c r="AF110" s="13"/>
      <c r="AG110" s="11" t="str">
        <f t="shared" si="32"/>
        <v/>
      </c>
      <c r="AH110" s="11" t="str">
        <f t="shared" si="33"/>
        <v/>
      </c>
      <c r="AL110" t="str">
        <f t="shared" si="34"/>
        <v/>
      </c>
      <c r="AN110" s="11" t="str">
        <f t="shared" si="35"/>
        <v/>
      </c>
      <c r="AO110" s="13"/>
      <c r="AP110" s="11" t="str">
        <f t="shared" si="36"/>
        <v/>
      </c>
      <c r="AQ110" s="11" t="str">
        <f t="shared" si="37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9"/>
        <v>#VALUE!</v>
      </c>
      <c r="O111" s="11">
        <f t="shared" si="30"/>
        <v>0</v>
      </c>
      <c r="R111" s="12" t="str">
        <f>IF(Q111="","",VLOOKUP(Q111,Lists!$E:$F,2,FALSE))</f>
        <v/>
      </c>
      <c r="AE111" s="11" t="str">
        <f t="shared" si="31"/>
        <v/>
      </c>
      <c r="AF111" s="13"/>
      <c r="AG111" s="11" t="str">
        <f t="shared" si="32"/>
        <v/>
      </c>
      <c r="AH111" s="11" t="str">
        <f t="shared" si="33"/>
        <v/>
      </c>
      <c r="AL111" t="str">
        <f t="shared" si="34"/>
        <v/>
      </c>
      <c r="AN111" s="11" t="str">
        <f t="shared" si="35"/>
        <v/>
      </c>
      <c r="AO111" s="13"/>
      <c r="AP111" s="11" t="str">
        <f t="shared" si="36"/>
        <v/>
      </c>
      <c r="AQ111" s="11" t="str">
        <f t="shared" si="37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9"/>
        <v>#VALUE!</v>
      </c>
      <c r="O112" s="11">
        <f t="shared" si="30"/>
        <v>0</v>
      </c>
      <c r="R112" s="12" t="str">
        <f>IF(Q112="","",VLOOKUP(Q112,Lists!$E:$F,2,FALSE))</f>
        <v/>
      </c>
      <c r="AE112" s="11" t="str">
        <f t="shared" si="31"/>
        <v/>
      </c>
      <c r="AF112" s="13"/>
      <c r="AG112" s="11" t="str">
        <f t="shared" si="32"/>
        <v/>
      </c>
      <c r="AH112" s="11" t="str">
        <f t="shared" si="33"/>
        <v/>
      </c>
      <c r="AL112" t="str">
        <f t="shared" si="34"/>
        <v/>
      </c>
      <c r="AN112" s="11" t="str">
        <f t="shared" si="35"/>
        <v/>
      </c>
      <c r="AO112" s="13"/>
      <c r="AP112" s="11" t="str">
        <f t="shared" si="36"/>
        <v/>
      </c>
      <c r="AQ112" s="11" t="str">
        <f t="shared" si="37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9"/>
        <v>#VALUE!</v>
      </c>
      <c r="O113" s="11">
        <f t="shared" si="30"/>
        <v>0</v>
      </c>
      <c r="R113" s="12" t="str">
        <f>IF(Q113="","",VLOOKUP(Q113,Lists!$E:$F,2,FALSE))</f>
        <v/>
      </c>
      <c r="AE113" s="11" t="str">
        <f t="shared" si="31"/>
        <v/>
      </c>
      <c r="AF113" s="13"/>
      <c r="AG113" s="11" t="str">
        <f t="shared" si="32"/>
        <v/>
      </c>
      <c r="AH113" s="11" t="str">
        <f t="shared" si="33"/>
        <v/>
      </c>
      <c r="AL113" t="str">
        <f t="shared" si="34"/>
        <v/>
      </c>
      <c r="AN113" s="11" t="str">
        <f t="shared" si="35"/>
        <v/>
      </c>
      <c r="AO113" s="13"/>
      <c r="AP113" s="11" t="str">
        <f t="shared" si="36"/>
        <v/>
      </c>
      <c r="AQ113" s="11" t="str">
        <f t="shared" si="37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9"/>
        <v>#VALUE!</v>
      </c>
      <c r="O114" s="11">
        <f t="shared" si="30"/>
        <v>0</v>
      </c>
      <c r="R114" s="12" t="str">
        <f>IF(Q114="","",VLOOKUP(Q114,Lists!$E:$F,2,FALSE))</f>
        <v/>
      </c>
      <c r="AE114" s="11" t="str">
        <f t="shared" si="31"/>
        <v/>
      </c>
      <c r="AF114" s="13"/>
      <c r="AG114" s="11" t="str">
        <f t="shared" si="32"/>
        <v/>
      </c>
      <c r="AH114" s="11" t="str">
        <f t="shared" si="33"/>
        <v/>
      </c>
      <c r="AL114" t="str">
        <f t="shared" si="34"/>
        <v/>
      </c>
      <c r="AN114" s="11" t="str">
        <f t="shared" si="35"/>
        <v/>
      </c>
      <c r="AO114" s="13"/>
      <c r="AP114" s="11" t="str">
        <f t="shared" si="36"/>
        <v/>
      </c>
      <c r="AQ114" s="11" t="str">
        <f t="shared" si="37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9"/>
        <v>#VALUE!</v>
      </c>
      <c r="O115" s="11">
        <f t="shared" si="30"/>
        <v>0</v>
      </c>
      <c r="R115" s="12" t="str">
        <f>IF(Q115="","",VLOOKUP(Q115,Lists!$E:$F,2,FALSE))</f>
        <v/>
      </c>
      <c r="AE115" s="11" t="str">
        <f t="shared" si="31"/>
        <v/>
      </c>
      <c r="AF115" s="13"/>
      <c r="AG115" s="11" t="str">
        <f t="shared" si="32"/>
        <v/>
      </c>
      <c r="AH115" s="11" t="str">
        <f t="shared" si="33"/>
        <v/>
      </c>
      <c r="AL115" t="str">
        <f t="shared" si="34"/>
        <v/>
      </c>
      <c r="AN115" s="11" t="str">
        <f t="shared" si="35"/>
        <v/>
      </c>
      <c r="AO115" s="13"/>
      <c r="AP115" s="11" t="str">
        <f t="shared" si="36"/>
        <v/>
      </c>
      <c r="AQ115" s="11" t="str">
        <f t="shared" si="37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9"/>
        <v>#VALUE!</v>
      </c>
      <c r="O116" s="11">
        <f t="shared" si="30"/>
        <v>0</v>
      </c>
      <c r="R116" s="12" t="str">
        <f>IF(Q116="","",VLOOKUP(Q116,Lists!$E:$F,2,FALSE))</f>
        <v/>
      </c>
      <c r="AE116" s="11" t="str">
        <f t="shared" si="31"/>
        <v/>
      </c>
      <c r="AF116" s="13"/>
      <c r="AG116" s="11" t="str">
        <f t="shared" si="32"/>
        <v/>
      </c>
      <c r="AH116" s="11" t="str">
        <f t="shared" si="33"/>
        <v/>
      </c>
      <c r="AL116" t="str">
        <f t="shared" si="34"/>
        <v/>
      </c>
      <c r="AN116" s="11" t="str">
        <f t="shared" si="35"/>
        <v/>
      </c>
      <c r="AO116" s="13"/>
      <c r="AP116" s="11" t="str">
        <f t="shared" si="36"/>
        <v/>
      </c>
      <c r="AQ116" s="11" t="str">
        <f t="shared" si="37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9"/>
        <v>#VALUE!</v>
      </c>
      <c r="O117" s="11">
        <f t="shared" si="30"/>
        <v>0</v>
      </c>
      <c r="R117" s="12" t="str">
        <f>IF(Q117="","",VLOOKUP(Q117,Lists!$E:$F,2,FALSE))</f>
        <v/>
      </c>
      <c r="AE117" s="11" t="str">
        <f t="shared" si="31"/>
        <v/>
      </c>
      <c r="AF117" s="13"/>
      <c r="AG117" s="11" t="str">
        <f t="shared" si="32"/>
        <v/>
      </c>
      <c r="AH117" s="11" t="str">
        <f t="shared" si="33"/>
        <v/>
      </c>
      <c r="AL117" t="str">
        <f t="shared" si="34"/>
        <v/>
      </c>
      <c r="AN117" s="11" t="str">
        <f t="shared" si="35"/>
        <v/>
      </c>
      <c r="AO117" s="13"/>
      <c r="AP117" s="11" t="str">
        <f t="shared" si="36"/>
        <v/>
      </c>
      <c r="AQ117" s="11" t="str">
        <f t="shared" si="37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9"/>
        <v>#VALUE!</v>
      </c>
      <c r="O118" s="11">
        <f t="shared" si="30"/>
        <v>0</v>
      </c>
      <c r="R118" s="12" t="str">
        <f>IF(Q118="","",VLOOKUP(Q118,Lists!$E:$F,2,FALSE))</f>
        <v/>
      </c>
      <c r="AE118" s="11" t="str">
        <f t="shared" si="31"/>
        <v/>
      </c>
      <c r="AF118" s="13"/>
      <c r="AG118" s="11" t="str">
        <f t="shared" si="32"/>
        <v/>
      </c>
      <c r="AH118" s="11" t="str">
        <f t="shared" si="33"/>
        <v/>
      </c>
      <c r="AL118" t="str">
        <f t="shared" si="34"/>
        <v/>
      </c>
      <c r="AN118" s="11" t="str">
        <f t="shared" si="35"/>
        <v/>
      </c>
      <c r="AO118" s="13"/>
      <c r="AP118" s="11" t="str">
        <f t="shared" si="36"/>
        <v/>
      </c>
      <c r="AQ118" s="11" t="str">
        <f t="shared" si="37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9"/>
        <v>#VALUE!</v>
      </c>
      <c r="O119" s="11">
        <f t="shared" si="30"/>
        <v>0</v>
      </c>
      <c r="R119" s="12" t="str">
        <f>IF(Q119="","",VLOOKUP(Q119,Lists!$E:$F,2,FALSE))</f>
        <v/>
      </c>
      <c r="AE119" s="11" t="str">
        <f t="shared" si="31"/>
        <v/>
      </c>
      <c r="AF119" s="13"/>
      <c r="AG119" s="11" t="str">
        <f t="shared" si="32"/>
        <v/>
      </c>
      <c r="AH119" s="11" t="str">
        <f t="shared" si="33"/>
        <v/>
      </c>
      <c r="AL119" t="str">
        <f t="shared" si="34"/>
        <v/>
      </c>
      <c r="AN119" s="11" t="str">
        <f t="shared" si="35"/>
        <v/>
      </c>
      <c r="AO119" s="13"/>
      <c r="AP119" s="11" t="str">
        <f t="shared" si="36"/>
        <v/>
      </c>
      <c r="AQ119" s="11" t="str">
        <f t="shared" si="37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29"/>
        <v>#VALUE!</v>
      </c>
      <c r="O120" s="11">
        <f t="shared" si="30"/>
        <v>0</v>
      </c>
      <c r="R120" s="12" t="str">
        <f>IF(Q120="","",VLOOKUP(Q120,Lists!$E:$F,2,FALSE))</f>
        <v/>
      </c>
      <c r="AE120" s="11" t="str">
        <f t="shared" si="31"/>
        <v/>
      </c>
      <c r="AF120" s="13"/>
      <c r="AG120" s="11" t="str">
        <f t="shared" si="32"/>
        <v/>
      </c>
      <c r="AH120" s="11" t="str">
        <f t="shared" si="33"/>
        <v/>
      </c>
      <c r="AL120" t="str">
        <f t="shared" si="34"/>
        <v/>
      </c>
      <c r="AN120" s="11" t="str">
        <f t="shared" si="35"/>
        <v/>
      </c>
      <c r="AO120" s="13"/>
      <c r="AP120" s="11" t="str">
        <f t="shared" si="36"/>
        <v/>
      </c>
      <c r="AQ120" s="11" t="str">
        <f t="shared" si="37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29"/>
        <v>#VALUE!</v>
      </c>
      <c r="O121" s="11">
        <f t="shared" si="30"/>
        <v>0</v>
      </c>
      <c r="R121" s="12" t="str">
        <f>IF(Q121="","",VLOOKUP(Q121,Lists!$E:$F,2,FALSE))</f>
        <v/>
      </c>
      <c r="AE121" s="11" t="str">
        <f t="shared" si="31"/>
        <v/>
      </c>
      <c r="AF121" s="13"/>
      <c r="AG121" s="11" t="str">
        <f t="shared" si="32"/>
        <v/>
      </c>
      <c r="AH121" s="11" t="str">
        <f t="shared" si="33"/>
        <v/>
      </c>
      <c r="AL121" t="str">
        <f t="shared" si="34"/>
        <v/>
      </c>
      <c r="AN121" s="11" t="str">
        <f t="shared" si="35"/>
        <v/>
      </c>
      <c r="AO121" s="13"/>
      <c r="AP121" s="11" t="str">
        <f t="shared" si="36"/>
        <v/>
      </c>
      <c r="AQ121" s="11" t="str">
        <f t="shared" si="37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29"/>
        <v>#VALUE!</v>
      </c>
      <c r="O122" s="11">
        <f t="shared" si="30"/>
        <v>0</v>
      </c>
      <c r="R122" s="12" t="str">
        <f>IF(Q122="","",VLOOKUP(Q122,Lists!$E:$F,2,FALSE))</f>
        <v/>
      </c>
      <c r="AE122" s="11" t="str">
        <f t="shared" si="31"/>
        <v/>
      </c>
      <c r="AF122" s="13"/>
      <c r="AG122" s="11" t="str">
        <f t="shared" si="32"/>
        <v/>
      </c>
      <c r="AH122" s="11" t="str">
        <f t="shared" si="33"/>
        <v/>
      </c>
      <c r="AL122" t="str">
        <f t="shared" si="34"/>
        <v/>
      </c>
      <c r="AN122" s="11" t="str">
        <f t="shared" si="35"/>
        <v/>
      </c>
      <c r="AO122" s="13"/>
      <c r="AP122" s="11" t="str">
        <f t="shared" si="36"/>
        <v/>
      </c>
      <c r="AQ122" s="11" t="str">
        <f t="shared" si="37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29"/>
        <v>#VALUE!</v>
      </c>
      <c r="O123" s="11">
        <f t="shared" si="30"/>
        <v>0</v>
      </c>
      <c r="R123" s="12" t="str">
        <f>IF(Q123="","",VLOOKUP(Q123,Lists!$E:$F,2,FALSE))</f>
        <v/>
      </c>
      <c r="AE123" s="11" t="str">
        <f t="shared" si="31"/>
        <v/>
      </c>
      <c r="AF123" s="13"/>
      <c r="AG123" s="11" t="str">
        <f t="shared" si="32"/>
        <v/>
      </c>
      <c r="AH123" s="11" t="str">
        <f t="shared" si="33"/>
        <v/>
      </c>
      <c r="AL123" t="str">
        <f t="shared" si="34"/>
        <v/>
      </c>
      <c r="AN123" s="11" t="str">
        <f t="shared" si="35"/>
        <v/>
      </c>
      <c r="AO123" s="13"/>
      <c r="AP123" s="11" t="str">
        <f t="shared" si="36"/>
        <v/>
      </c>
      <c r="AQ123" s="11" t="str">
        <f t="shared" si="37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29"/>
        <v>#VALUE!</v>
      </c>
      <c r="O124" s="11">
        <f t="shared" si="30"/>
        <v>0</v>
      </c>
      <c r="R124" s="12" t="str">
        <f>IF(Q124="","",VLOOKUP(Q124,Lists!$E:$F,2,FALSE))</f>
        <v/>
      </c>
      <c r="AE124" s="11" t="str">
        <f t="shared" si="31"/>
        <v/>
      </c>
      <c r="AF124" s="13"/>
      <c r="AG124" s="11" t="str">
        <f t="shared" si="32"/>
        <v/>
      </c>
      <c r="AH124" s="11" t="str">
        <f t="shared" si="33"/>
        <v/>
      </c>
      <c r="AL124" t="str">
        <f t="shared" si="34"/>
        <v/>
      </c>
      <c r="AN124" s="11" t="str">
        <f t="shared" si="35"/>
        <v/>
      </c>
      <c r="AO124" s="13"/>
      <c r="AP124" s="11" t="str">
        <f t="shared" si="36"/>
        <v/>
      </c>
      <c r="AQ124" s="11" t="str">
        <f t="shared" si="37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29"/>
        <v>#VALUE!</v>
      </c>
      <c r="O125" s="11">
        <f t="shared" si="30"/>
        <v>0</v>
      </c>
      <c r="R125" s="12" t="str">
        <f>IF(Q125="","",VLOOKUP(Q125,Lists!$E:$F,2,FALSE))</f>
        <v/>
      </c>
      <c r="AE125" s="11" t="str">
        <f t="shared" si="31"/>
        <v/>
      </c>
      <c r="AF125" s="13"/>
      <c r="AG125" s="11" t="str">
        <f t="shared" si="32"/>
        <v/>
      </c>
      <c r="AH125" s="11" t="str">
        <f t="shared" si="33"/>
        <v/>
      </c>
      <c r="AL125" t="str">
        <f t="shared" si="34"/>
        <v/>
      </c>
      <c r="AN125" s="11" t="str">
        <f t="shared" si="35"/>
        <v/>
      </c>
      <c r="AO125" s="13"/>
      <c r="AP125" s="11" t="str">
        <f t="shared" si="36"/>
        <v/>
      </c>
      <c r="AQ125" s="11" t="str">
        <f t="shared" si="37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29"/>
        <v>#VALUE!</v>
      </c>
      <c r="O126" s="11">
        <f t="shared" si="30"/>
        <v>0</v>
      </c>
      <c r="R126" s="12" t="str">
        <f>IF(Q126="","",VLOOKUP(Q126,Lists!$E:$F,2,FALSE))</f>
        <v/>
      </c>
      <c r="AE126" s="11" t="str">
        <f t="shared" si="31"/>
        <v/>
      </c>
      <c r="AF126" s="13"/>
      <c r="AG126" s="11" t="str">
        <f t="shared" si="32"/>
        <v/>
      </c>
      <c r="AH126" s="11" t="str">
        <f t="shared" si="33"/>
        <v/>
      </c>
      <c r="AL126" t="str">
        <f t="shared" si="34"/>
        <v/>
      </c>
      <c r="AN126" s="11" t="str">
        <f t="shared" si="35"/>
        <v/>
      </c>
      <c r="AO126" s="13"/>
      <c r="AP126" s="11" t="str">
        <f t="shared" si="36"/>
        <v/>
      </c>
      <c r="AQ126" s="11" t="str">
        <f t="shared" si="37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29"/>
        <v>#VALUE!</v>
      </c>
      <c r="O127" s="11">
        <f t="shared" si="30"/>
        <v>0</v>
      </c>
      <c r="R127" s="12" t="str">
        <f>IF(Q127="","",VLOOKUP(Q127,Lists!$E:$F,2,FALSE))</f>
        <v/>
      </c>
      <c r="AE127" s="11" t="str">
        <f t="shared" si="31"/>
        <v/>
      </c>
      <c r="AF127" s="13"/>
      <c r="AG127" s="11" t="str">
        <f t="shared" si="32"/>
        <v/>
      </c>
      <c r="AH127" s="11" t="str">
        <f t="shared" si="33"/>
        <v/>
      </c>
      <c r="AL127" t="str">
        <f t="shared" si="34"/>
        <v/>
      </c>
      <c r="AN127" s="11" t="str">
        <f t="shared" si="35"/>
        <v/>
      </c>
      <c r="AO127" s="13"/>
      <c r="AP127" s="11" t="str">
        <f t="shared" si="36"/>
        <v/>
      </c>
      <c r="AQ127" s="11" t="str">
        <f t="shared" si="37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29"/>
        <v>#VALUE!</v>
      </c>
      <c r="O128" s="11">
        <f t="shared" si="30"/>
        <v>0</v>
      </c>
      <c r="R128" s="12" t="str">
        <f>IF(Q128="","",VLOOKUP(Q128,Lists!$E:$F,2,FALSE))</f>
        <v/>
      </c>
      <c r="AE128" s="11" t="str">
        <f t="shared" si="31"/>
        <v/>
      </c>
      <c r="AF128" s="13"/>
      <c r="AG128" s="11" t="str">
        <f t="shared" si="32"/>
        <v/>
      </c>
      <c r="AH128" s="11" t="str">
        <f t="shared" si="33"/>
        <v/>
      </c>
      <c r="AL128" t="str">
        <f t="shared" si="34"/>
        <v/>
      </c>
      <c r="AN128" s="11" t="str">
        <f t="shared" si="35"/>
        <v/>
      </c>
      <c r="AO128" s="13"/>
      <c r="AP128" s="11" t="str">
        <f t="shared" si="36"/>
        <v/>
      </c>
      <c r="AQ128" s="11" t="str">
        <f t="shared" si="37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29"/>
        <v>#VALUE!</v>
      </c>
      <c r="O129" s="11">
        <f t="shared" si="30"/>
        <v>0</v>
      </c>
      <c r="R129" s="12" t="str">
        <f>IF(Q129="","",VLOOKUP(Q129,Lists!$E:$F,2,FALSE))</f>
        <v/>
      </c>
      <c r="AE129" s="11" t="str">
        <f t="shared" si="31"/>
        <v/>
      </c>
      <c r="AF129" s="13"/>
      <c r="AG129" s="11" t="str">
        <f t="shared" si="32"/>
        <v/>
      </c>
      <c r="AH129" s="11" t="str">
        <f t="shared" si="33"/>
        <v/>
      </c>
      <c r="AL129" t="str">
        <f t="shared" si="34"/>
        <v/>
      </c>
      <c r="AN129" s="11" t="str">
        <f t="shared" si="35"/>
        <v/>
      </c>
      <c r="AO129" s="13"/>
      <c r="AP129" s="11" t="str">
        <f t="shared" si="36"/>
        <v/>
      </c>
      <c r="AQ129" s="11" t="str">
        <f t="shared" si="37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ref="N130:N161" si="38">L130 * (1 + M130)</f>
        <v>#VALUE!</v>
      </c>
      <c r="O130" s="11">
        <f t="shared" ref="O130:O161" si="39">IF(K130="Eigen Beheer",0,IF(AND(ISNUMBER(N130),I130&lt;&gt;"",H130&lt;&gt;""),YEARFRAC(H130,I130,4)*12*N130,0))</f>
        <v>0</v>
      </c>
      <c r="R130" s="12" t="str">
        <f>IF(Q130="","",VLOOKUP(Q130,Lists!$E:$F,2,FALSE))</f>
        <v/>
      </c>
      <c r="AE130" s="11" t="str">
        <f t="shared" ref="AE130:AE161" si="40">IF(AND(AC130&lt;&gt;"",AD130&lt;&gt;""),AC130*AD130,"")</f>
        <v/>
      </c>
      <c r="AF130" s="13"/>
      <c r="AG130" s="11" t="str">
        <f t="shared" ref="AG130:AG161" si="41">IF(AND(AE130&lt;&gt;"",AF130&lt;&gt;""),AE130*AF130,"")</f>
        <v/>
      </c>
      <c r="AH130" s="11" t="str">
        <f t="shared" ref="AH130:AH161" si="42">IF(AND(AE130&lt;&gt;"",AG130&lt;&gt;""),AE130+AG130,"")</f>
        <v/>
      </c>
      <c r="AL130" t="str">
        <f t="shared" ref="AL130:AL161" si="43"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 t="str">
        <f t="shared" ref="AN130:AN161" si="44">IF(AND(AL130&lt;&gt;"",AM130&lt;&gt;""),AL130*AM130,"")</f>
        <v/>
      </c>
      <c r="AO130" s="13"/>
      <c r="AP130" s="11" t="str">
        <f t="shared" ref="AP130:AP161" si="45">IF(AND(AN130&lt;&gt;"",AO130&lt;&gt;""),AN130*AO130,"")</f>
        <v/>
      </c>
      <c r="AQ130" s="11" t="str">
        <f t="shared" ref="AQ130:AQ161" si="46">IF(AND(AN130&lt;&gt;"",AP130&lt;&gt;""),AN130+AP130,"")</f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8"/>
        <v>#VALUE!</v>
      </c>
      <c r="O131" s="11">
        <f t="shared" si="39"/>
        <v>0</v>
      </c>
      <c r="R131" s="12" t="str">
        <f>IF(Q131="","",VLOOKUP(Q131,Lists!$E:$F,2,FALSE))</f>
        <v/>
      </c>
      <c r="AE131" s="11" t="str">
        <f t="shared" si="40"/>
        <v/>
      </c>
      <c r="AF131" s="13"/>
      <c r="AG131" s="11" t="str">
        <f t="shared" si="41"/>
        <v/>
      </c>
      <c r="AH131" s="11" t="str">
        <f t="shared" si="42"/>
        <v/>
      </c>
      <c r="AL131" t="str">
        <f t="shared" si="43"/>
        <v/>
      </c>
      <c r="AN131" s="11" t="str">
        <f t="shared" si="44"/>
        <v/>
      </c>
      <c r="AO131" s="13"/>
      <c r="AP131" s="11" t="str">
        <f t="shared" si="45"/>
        <v/>
      </c>
      <c r="AQ131" s="11" t="str">
        <f t="shared" si="46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8"/>
        <v>#VALUE!</v>
      </c>
      <c r="O132" s="11">
        <f t="shared" si="39"/>
        <v>0</v>
      </c>
      <c r="R132" s="12" t="str">
        <f>IF(Q132="","",VLOOKUP(Q132,Lists!$E:$F,2,FALSE))</f>
        <v/>
      </c>
      <c r="AE132" s="11" t="str">
        <f t="shared" si="40"/>
        <v/>
      </c>
      <c r="AF132" s="13"/>
      <c r="AG132" s="11" t="str">
        <f t="shared" si="41"/>
        <v/>
      </c>
      <c r="AH132" s="11" t="str">
        <f t="shared" si="42"/>
        <v/>
      </c>
      <c r="AL132" t="str">
        <f t="shared" si="43"/>
        <v/>
      </c>
      <c r="AN132" s="11" t="str">
        <f t="shared" si="44"/>
        <v/>
      </c>
      <c r="AO132" s="13"/>
      <c r="AP132" s="11" t="str">
        <f t="shared" si="45"/>
        <v/>
      </c>
      <c r="AQ132" s="11" t="str">
        <f t="shared" si="46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8"/>
        <v>#VALUE!</v>
      </c>
      <c r="O133" s="11">
        <f t="shared" si="39"/>
        <v>0</v>
      </c>
      <c r="R133" s="12" t="str">
        <f>IF(Q133="","",VLOOKUP(Q133,Lists!$E:$F,2,FALSE))</f>
        <v/>
      </c>
      <c r="AE133" s="11" t="str">
        <f t="shared" si="40"/>
        <v/>
      </c>
      <c r="AF133" s="13"/>
      <c r="AG133" s="11" t="str">
        <f t="shared" si="41"/>
        <v/>
      </c>
      <c r="AH133" s="11" t="str">
        <f t="shared" si="42"/>
        <v/>
      </c>
      <c r="AL133" t="str">
        <f t="shared" si="43"/>
        <v/>
      </c>
      <c r="AN133" s="11" t="str">
        <f t="shared" si="44"/>
        <v/>
      </c>
      <c r="AO133" s="13"/>
      <c r="AP133" s="11" t="str">
        <f t="shared" si="45"/>
        <v/>
      </c>
      <c r="AQ133" s="11" t="str">
        <f t="shared" si="46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8"/>
        <v>#VALUE!</v>
      </c>
      <c r="O134" s="11">
        <f t="shared" si="39"/>
        <v>0</v>
      </c>
      <c r="R134" s="12" t="str">
        <f>IF(Q134="","",VLOOKUP(Q134,Lists!$E:$F,2,FALSE))</f>
        <v/>
      </c>
      <c r="AE134" s="11" t="str">
        <f t="shared" si="40"/>
        <v/>
      </c>
      <c r="AF134" s="13"/>
      <c r="AG134" s="11" t="str">
        <f t="shared" si="41"/>
        <v/>
      </c>
      <c r="AH134" s="11" t="str">
        <f t="shared" si="42"/>
        <v/>
      </c>
      <c r="AL134" t="str">
        <f t="shared" si="43"/>
        <v/>
      </c>
      <c r="AN134" s="11" t="str">
        <f t="shared" si="44"/>
        <v/>
      </c>
      <c r="AO134" s="13"/>
      <c r="AP134" s="11" t="str">
        <f t="shared" si="45"/>
        <v/>
      </c>
      <c r="AQ134" s="11" t="str">
        <f t="shared" si="46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8"/>
        <v>#VALUE!</v>
      </c>
      <c r="O135" s="11">
        <f t="shared" si="39"/>
        <v>0</v>
      </c>
      <c r="R135" s="12" t="str">
        <f>IF(Q135="","",VLOOKUP(Q135,Lists!$E:$F,2,FALSE))</f>
        <v/>
      </c>
      <c r="AE135" s="11" t="str">
        <f t="shared" si="40"/>
        <v/>
      </c>
      <c r="AF135" s="13"/>
      <c r="AG135" s="11" t="str">
        <f t="shared" si="41"/>
        <v/>
      </c>
      <c r="AH135" s="11" t="str">
        <f t="shared" si="42"/>
        <v/>
      </c>
      <c r="AL135" t="str">
        <f t="shared" si="43"/>
        <v/>
      </c>
      <c r="AN135" s="11" t="str">
        <f t="shared" si="44"/>
        <v/>
      </c>
      <c r="AO135" s="13"/>
      <c r="AP135" s="11" t="str">
        <f t="shared" si="45"/>
        <v/>
      </c>
      <c r="AQ135" s="11" t="str">
        <f t="shared" si="46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8"/>
        <v>#VALUE!</v>
      </c>
      <c r="O136" s="11">
        <f t="shared" si="39"/>
        <v>0</v>
      </c>
      <c r="R136" s="12" t="str">
        <f>IF(Q136="","",VLOOKUP(Q136,Lists!$E:$F,2,FALSE))</f>
        <v/>
      </c>
      <c r="AE136" s="11" t="str">
        <f t="shared" si="40"/>
        <v/>
      </c>
      <c r="AF136" s="13"/>
      <c r="AG136" s="11" t="str">
        <f t="shared" si="41"/>
        <v/>
      </c>
      <c r="AH136" s="11" t="str">
        <f t="shared" si="42"/>
        <v/>
      </c>
      <c r="AL136" t="str">
        <f t="shared" si="43"/>
        <v/>
      </c>
      <c r="AN136" s="11" t="str">
        <f t="shared" si="44"/>
        <v/>
      </c>
      <c r="AO136" s="13"/>
      <c r="AP136" s="11" t="str">
        <f t="shared" si="45"/>
        <v/>
      </c>
      <c r="AQ136" s="11" t="str">
        <f t="shared" si="46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8"/>
        <v>#VALUE!</v>
      </c>
      <c r="O137" s="11">
        <f t="shared" si="39"/>
        <v>0</v>
      </c>
      <c r="R137" s="12" t="str">
        <f>IF(Q137="","",VLOOKUP(Q137,Lists!$E:$F,2,FALSE))</f>
        <v/>
      </c>
      <c r="AE137" s="11" t="str">
        <f t="shared" si="40"/>
        <v/>
      </c>
      <c r="AF137" s="13"/>
      <c r="AG137" s="11" t="str">
        <f t="shared" si="41"/>
        <v/>
      </c>
      <c r="AH137" s="11" t="str">
        <f t="shared" si="42"/>
        <v/>
      </c>
      <c r="AL137" t="str">
        <f t="shared" si="43"/>
        <v/>
      </c>
      <c r="AN137" s="11" t="str">
        <f t="shared" si="44"/>
        <v/>
      </c>
      <c r="AO137" s="13"/>
      <c r="AP137" s="11" t="str">
        <f t="shared" si="45"/>
        <v/>
      </c>
      <c r="AQ137" s="11" t="str">
        <f t="shared" si="46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8"/>
        <v>#VALUE!</v>
      </c>
      <c r="O138" s="11">
        <f t="shared" si="39"/>
        <v>0</v>
      </c>
      <c r="R138" s="12" t="str">
        <f>IF(Q138="","",VLOOKUP(Q138,Lists!$E:$F,2,FALSE))</f>
        <v/>
      </c>
      <c r="AE138" s="11" t="str">
        <f t="shared" si="40"/>
        <v/>
      </c>
      <c r="AF138" s="13"/>
      <c r="AG138" s="11" t="str">
        <f t="shared" si="41"/>
        <v/>
      </c>
      <c r="AH138" s="11" t="str">
        <f t="shared" si="42"/>
        <v/>
      </c>
      <c r="AL138" t="str">
        <f t="shared" si="43"/>
        <v/>
      </c>
      <c r="AN138" s="11" t="str">
        <f t="shared" si="44"/>
        <v/>
      </c>
      <c r="AO138" s="13"/>
      <c r="AP138" s="11" t="str">
        <f t="shared" si="45"/>
        <v/>
      </c>
      <c r="AQ138" s="11" t="str">
        <f t="shared" si="46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8"/>
        <v>#VALUE!</v>
      </c>
      <c r="O139" s="11">
        <f t="shared" si="39"/>
        <v>0</v>
      </c>
      <c r="R139" s="12" t="str">
        <f>IF(Q139="","",VLOOKUP(Q139,Lists!$E:$F,2,FALSE))</f>
        <v/>
      </c>
      <c r="AE139" s="11" t="str">
        <f t="shared" si="40"/>
        <v/>
      </c>
      <c r="AF139" s="13"/>
      <c r="AG139" s="11" t="str">
        <f t="shared" si="41"/>
        <v/>
      </c>
      <c r="AH139" s="11" t="str">
        <f t="shared" si="42"/>
        <v/>
      </c>
      <c r="AL139" t="str">
        <f t="shared" si="43"/>
        <v/>
      </c>
      <c r="AN139" s="11" t="str">
        <f t="shared" si="44"/>
        <v/>
      </c>
      <c r="AO139" s="13"/>
      <c r="AP139" s="11" t="str">
        <f t="shared" si="45"/>
        <v/>
      </c>
      <c r="AQ139" s="11" t="str">
        <f t="shared" si="46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8"/>
        <v>#VALUE!</v>
      </c>
      <c r="O140" s="11">
        <f t="shared" si="39"/>
        <v>0</v>
      </c>
      <c r="R140" s="12" t="str">
        <f>IF(Q140="","",VLOOKUP(Q140,Lists!$E:$F,2,FALSE))</f>
        <v/>
      </c>
      <c r="AE140" s="11" t="str">
        <f t="shared" si="40"/>
        <v/>
      </c>
      <c r="AF140" s="13"/>
      <c r="AG140" s="11" t="str">
        <f t="shared" si="41"/>
        <v/>
      </c>
      <c r="AH140" s="11" t="str">
        <f t="shared" si="42"/>
        <v/>
      </c>
      <c r="AL140" t="str">
        <f t="shared" si="43"/>
        <v/>
      </c>
      <c r="AN140" s="11" t="str">
        <f t="shared" si="44"/>
        <v/>
      </c>
      <c r="AO140" s="13"/>
      <c r="AP140" s="11" t="str">
        <f t="shared" si="45"/>
        <v/>
      </c>
      <c r="AQ140" s="11" t="str">
        <f t="shared" si="46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8"/>
        <v>#VALUE!</v>
      </c>
      <c r="O141" s="11">
        <f t="shared" si="39"/>
        <v>0</v>
      </c>
      <c r="R141" s="12" t="str">
        <f>IF(Q141="","",VLOOKUP(Q141,Lists!$E:$F,2,FALSE))</f>
        <v/>
      </c>
      <c r="AE141" s="11" t="str">
        <f t="shared" si="40"/>
        <v/>
      </c>
      <c r="AF141" s="13"/>
      <c r="AG141" s="11" t="str">
        <f t="shared" si="41"/>
        <v/>
      </c>
      <c r="AH141" s="11" t="str">
        <f t="shared" si="42"/>
        <v/>
      </c>
      <c r="AL141" t="str">
        <f t="shared" si="43"/>
        <v/>
      </c>
      <c r="AN141" s="11" t="str">
        <f t="shared" si="44"/>
        <v/>
      </c>
      <c r="AO141" s="13"/>
      <c r="AP141" s="11" t="str">
        <f t="shared" si="45"/>
        <v/>
      </c>
      <c r="AQ141" s="11" t="str">
        <f t="shared" si="46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8"/>
        <v>#VALUE!</v>
      </c>
      <c r="O142" s="11">
        <f t="shared" si="39"/>
        <v>0</v>
      </c>
      <c r="R142" s="12" t="str">
        <f>IF(Q142="","",VLOOKUP(Q142,Lists!$E:$F,2,FALSE))</f>
        <v/>
      </c>
      <c r="AE142" s="11" t="str">
        <f t="shared" si="40"/>
        <v/>
      </c>
      <c r="AF142" s="13"/>
      <c r="AG142" s="11" t="str">
        <f t="shared" si="41"/>
        <v/>
      </c>
      <c r="AH142" s="11" t="str">
        <f t="shared" si="42"/>
        <v/>
      </c>
      <c r="AL142" t="str">
        <f t="shared" si="43"/>
        <v/>
      </c>
      <c r="AN142" s="11" t="str">
        <f t="shared" si="44"/>
        <v/>
      </c>
      <c r="AO142" s="13"/>
      <c r="AP142" s="11" t="str">
        <f t="shared" si="45"/>
        <v/>
      </c>
      <c r="AQ142" s="11" t="str">
        <f t="shared" si="46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8"/>
        <v>#VALUE!</v>
      </c>
      <c r="O143" s="11">
        <f t="shared" si="39"/>
        <v>0</v>
      </c>
      <c r="R143" s="12" t="str">
        <f>IF(Q143="","",VLOOKUP(Q143,Lists!$E:$F,2,FALSE))</f>
        <v/>
      </c>
      <c r="AE143" s="11" t="str">
        <f t="shared" si="40"/>
        <v/>
      </c>
      <c r="AF143" s="13"/>
      <c r="AG143" s="11" t="str">
        <f t="shared" si="41"/>
        <v/>
      </c>
      <c r="AH143" s="11" t="str">
        <f t="shared" si="42"/>
        <v/>
      </c>
      <c r="AL143" t="str">
        <f t="shared" si="43"/>
        <v/>
      </c>
      <c r="AN143" s="11" t="str">
        <f t="shared" si="44"/>
        <v/>
      </c>
      <c r="AO143" s="13"/>
      <c r="AP143" s="11" t="str">
        <f t="shared" si="45"/>
        <v/>
      </c>
      <c r="AQ143" s="11" t="str">
        <f t="shared" si="46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8"/>
        <v>#VALUE!</v>
      </c>
      <c r="O144" s="11">
        <f t="shared" si="39"/>
        <v>0</v>
      </c>
      <c r="R144" s="12" t="str">
        <f>IF(Q144="","",VLOOKUP(Q144,Lists!$E:$F,2,FALSE))</f>
        <v/>
      </c>
      <c r="AE144" s="11" t="str">
        <f t="shared" si="40"/>
        <v/>
      </c>
      <c r="AF144" s="13"/>
      <c r="AG144" s="11" t="str">
        <f t="shared" si="41"/>
        <v/>
      </c>
      <c r="AH144" s="11" t="str">
        <f t="shared" si="42"/>
        <v/>
      </c>
      <c r="AL144" t="str">
        <f t="shared" si="43"/>
        <v/>
      </c>
      <c r="AN144" s="11" t="str">
        <f t="shared" si="44"/>
        <v/>
      </c>
      <c r="AO144" s="13"/>
      <c r="AP144" s="11" t="str">
        <f t="shared" si="45"/>
        <v/>
      </c>
      <c r="AQ144" s="11" t="str">
        <f t="shared" si="46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8"/>
        <v>#VALUE!</v>
      </c>
      <c r="O145" s="11">
        <f t="shared" si="39"/>
        <v>0</v>
      </c>
      <c r="R145" s="12" t="str">
        <f>IF(Q145="","",VLOOKUP(Q145,Lists!$E:$F,2,FALSE))</f>
        <v/>
      </c>
      <c r="AE145" s="11" t="str">
        <f t="shared" si="40"/>
        <v/>
      </c>
      <c r="AF145" s="13"/>
      <c r="AG145" s="11" t="str">
        <f t="shared" si="41"/>
        <v/>
      </c>
      <c r="AH145" s="11" t="str">
        <f t="shared" si="42"/>
        <v/>
      </c>
      <c r="AL145" t="str">
        <f t="shared" si="43"/>
        <v/>
      </c>
      <c r="AN145" s="11" t="str">
        <f t="shared" si="44"/>
        <v/>
      </c>
      <c r="AO145" s="13"/>
      <c r="AP145" s="11" t="str">
        <f t="shared" si="45"/>
        <v/>
      </c>
      <c r="AQ145" s="11" t="str">
        <f t="shared" si="46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8"/>
        <v>#VALUE!</v>
      </c>
      <c r="O146" s="11">
        <f t="shared" si="39"/>
        <v>0</v>
      </c>
      <c r="R146" s="12" t="str">
        <f>IF(Q146="","",VLOOKUP(Q146,Lists!$E:$F,2,FALSE))</f>
        <v/>
      </c>
      <c r="AE146" s="11" t="str">
        <f t="shared" si="40"/>
        <v/>
      </c>
      <c r="AF146" s="13"/>
      <c r="AG146" s="11" t="str">
        <f t="shared" si="41"/>
        <v/>
      </c>
      <c r="AH146" s="11" t="str">
        <f t="shared" si="42"/>
        <v/>
      </c>
      <c r="AL146" t="str">
        <f t="shared" si="43"/>
        <v/>
      </c>
      <c r="AN146" s="11" t="str">
        <f t="shared" si="44"/>
        <v/>
      </c>
      <c r="AO146" s="13"/>
      <c r="AP146" s="11" t="str">
        <f t="shared" si="45"/>
        <v/>
      </c>
      <c r="AQ146" s="11" t="str">
        <f t="shared" si="46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8"/>
        <v>#VALUE!</v>
      </c>
      <c r="O147" s="11">
        <f t="shared" si="39"/>
        <v>0</v>
      </c>
      <c r="R147" s="12" t="str">
        <f>IF(Q147="","",VLOOKUP(Q147,Lists!$E:$F,2,FALSE))</f>
        <v/>
      </c>
      <c r="AE147" s="11" t="str">
        <f t="shared" si="40"/>
        <v/>
      </c>
      <c r="AF147" s="13"/>
      <c r="AG147" s="11" t="str">
        <f t="shared" si="41"/>
        <v/>
      </c>
      <c r="AH147" s="11" t="str">
        <f t="shared" si="42"/>
        <v/>
      </c>
      <c r="AL147" t="str">
        <f t="shared" si="43"/>
        <v/>
      </c>
      <c r="AN147" s="11" t="str">
        <f t="shared" si="44"/>
        <v/>
      </c>
      <c r="AO147" s="13"/>
      <c r="AP147" s="11" t="str">
        <f t="shared" si="45"/>
        <v/>
      </c>
      <c r="AQ147" s="11" t="str">
        <f t="shared" si="46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8"/>
        <v>#VALUE!</v>
      </c>
      <c r="O148" s="11">
        <f t="shared" si="39"/>
        <v>0</v>
      </c>
      <c r="R148" s="12" t="str">
        <f>IF(Q148="","",VLOOKUP(Q148,Lists!$E:$F,2,FALSE))</f>
        <v/>
      </c>
      <c r="AE148" s="11" t="str">
        <f t="shared" si="40"/>
        <v/>
      </c>
      <c r="AF148" s="13"/>
      <c r="AG148" s="11" t="str">
        <f t="shared" si="41"/>
        <v/>
      </c>
      <c r="AH148" s="11" t="str">
        <f t="shared" si="42"/>
        <v/>
      </c>
      <c r="AL148" t="str">
        <f t="shared" si="43"/>
        <v/>
      </c>
      <c r="AN148" s="11" t="str">
        <f t="shared" si="44"/>
        <v/>
      </c>
      <c r="AO148" s="13"/>
      <c r="AP148" s="11" t="str">
        <f t="shared" si="45"/>
        <v/>
      </c>
      <c r="AQ148" s="11" t="str">
        <f t="shared" si="46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8"/>
        <v>#VALUE!</v>
      </c>
      <c r="O149" s="11">
        <f t="shared" si="39"/>
        <v>0</v>
      </c>
      <c r="R149" s="12" t="str">
        <f>IF(Q149="","",VLOOKUP(Q149,Lists!$E:$F,2,FALSE))</f>
        <v/>
      </c>
      <c r="AE149" s="11" t="str">
        <f t="shared" si="40"/>
        <v/>
      </c>
      <c r="AF149" s="13"/>
      <c r="AG149" s="11" t="str">
        <f t="shared" si="41"/>
        <v/>
      </c>
      <c r="AH149" s="11" t="str">
        <f t="shared" si="42"/>
        <v/>
      </c>
      <c r="AL149" t="str">
        <f t="shared" si="43"/>
        <v/>
      </c>
      <c r="AN149" s="11" t="str">
        <f t="shared" si="44"/>
        <v/>
      </c>
      <c r="AO149" s="13"/>
      <c r="AP149" s="11" t="str">
        <f t="shared" si="45"/>
        <v/>
      </c>
      <c r="AQ149" s="11" t="str">
        <f t="shared" si="46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8"/>
        <v>#VALUE!</v>
      </c>
      <c r="O150" s="11">
        <f t="shared" si="39"/>
        <v>0</v>
      </c>
      <c r="R150" s="12" t="str">
        <f>IF(Q150="","",VLOOKUP(Q150,Lists!$E:$F,2,FALSE))</f>
        <v/>
      </c>
      <c r="AE150" s="11" t="str">
        <f t="shared" si="40"/>
        <v/>
      </c>
      <c r="AF150" s="13"/>
      <c r="AG150" s="11" t="str">
        <f t="shared" si="41"/>
        <v/>
      </c>
      <c r="AH150" s="11" t="str">
        <f t="shared" si="42"/>
        <v/>
      </c>
      <c r="AL150" t="str">
        <f t="shared" si="43"/>
        <v/>
      </c>
      <c r="AN150" s="11" t="str">
        <f t="shared" si="44"/>
        <v/>
      </c>
      <c r="AO150" s="13"/>
      <c r="AP150" s="11" t="str">
        <f t="shared" si="45"/>
        <v/>
      </c>
      <c r="AQ150" s="11" t="str">
        <f t="shared" si="46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8"/>
        <v>#VALUE!</v>
      </c>
      <c r="O151" s="11">
        <f t="shared" si="39"/>
        <v>0</v>
      </c>
      <c r="R151" s="12" t="str">
        <f>IF(Q151="","",VLOOKUP(Q151,Lists!$E:$F,2,FALSE))</f>
        <v/>
      </c>
      <c r="AE151" s="11" t="str">
        <f t="shared" si="40"/>
        <v/>
      </c>
      <c r="AF151" s="13"/>
      <c r="AG151" s="11" t="str">
        <f t="shared" si="41"/>
        <v/>
      </c>
      <c r="AH151" s="11" t="str">
        <f t="shared" si="42"/>
        <v/>
      </c>
      <c r="AL151" t="str">
        <f t="shared" si="43"/>
        <v/>
      </c>
      <c r="AN151" s="11" t="str">
        <f t="shared" si="44"/>
        <v/>
      </c>
      <c r="AO151" s="13"/>
      <c r="AP151" s="11" t="str">
        <f t="shared" si="45"/>
        <v/>
      </c>
      <c r="AQ151" s="11" t="str">
        <f t="shared" si="46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38"/>
        <v>#VALUE!</v>
      </c>
      <c r="O152" s="11">
        <f t="shared" si="39"/>
        <v>0</v>
      </c>
      <c r="R152" s="12" t="str">
        <f>IF(Q152="","",VLOOKUP(Q152,Lists!$E:$F,2,FALSE))</f>
        <v/>
      </c>
      <c r="AE152" s="11" t="str">
        <f t="shared" si="40"/>
        <v/>
      </c>
      <c r="AF152" s="13"/>
      <c r="AG152" s="11" t="str">
        <f t="shared" si="41"/>
        <v/>
      </c>
      <c r="AH152" s="11" t="str">
        <f t="shared" si="42"/>
        <v/>
      </c>
      <c r="AL152" t="str">
        <f t="shared" si="43"/>
        <v/>
      </c>
      <c r="AN152" s="11" t="str">
        <f t="shared" si="44"/>
        <v/>
      </c>
      <c r="AO152" s="13"/>
      <c r="AP152" s="11" t="str">
        <f t="shared" si="45"/>
        <v/>
      </c>
      <c r="AQ152" s="11" t="str">
        <f t="shared" si="46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38"/>
        <v>#VALUE!</v>
      </c>
      <c r="O153" s="11">
        <f t="shared" si="39"/>
        <v>0</v>
      </c>
      <c r="R153" s="12" t="str">
        <f>IF(Q153="","",VLOOKUP(Q153,Lists!$E:$F,2,FALSE))</f>
        <v/>
      </c>
      <c r="AE153" s="11" t="str">
        <f t="shared" si="40"/>
        <v/>
      </c>
      <c r="AF153" s="13"/>
      <c r="AG153" s="11" t="str">
        <f t="shared" si="41"/>
        <v/>
      </c>
      <c r="AH153" s="11" t="str">
        <f t="shared" si="42"/>
        <v/>
      </c>
      <c r="AL153" t="str">
        <f t="shared" si="43"/>
        <v/>
      </c>
      <c r="AN153" s="11" t="str">
        <f t="shared" si="44"/>
        <v/>
      </c>
      <c r="AO153" s="13"/>
      <c r="AP153" s="11" t="str">
        <f t="shared" si="45"/>
        <v/>
      </c>
      <c r="AQ153" s="11" t="str">
        <f t="shared" si="46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38"/>
        <v>#VALUE!</v>
      </c>
      <c r="O154" s="11">
        <f t="shared" si="39"/>
        <v>0</v>
      </c>
      <c r="R154" s="12" t="str">
        <f>IF(Q154="","",VLOOKUP(Q154,Lists!$E:$F,2,FALSE))</f>
        <v/>
      </c>
      <c r="AE154" s="11" t="str">
        <f t="shared" si="40"/>
        <v/>
      </c>
      <c r="AF154" s="13"/>
      <c r="AG154" s="11" t="str">
        <f t="shared" si="41"/>
        <v/>
      </c>
      <c r="AH154" s="11" t="str">
        <f t="shared" si="42"/>
        <v/>
      </c>
      <c r="AL154" t="str">
        <f t="shared" si="43"/>
        <v/>
      </c>
      <c r="AN154" s="11" t="str">
        <f t="shared" si="44"/>
        <v/>
      </c>
      <c r="AO154" s="13"/>
      <c r="AP154" s="11" t="str">
        <f t="shared" si="45"/>
        <v/>
      </c>
      <c r="AQ154" s="11" t="str">
        <f t="shared" si="46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38"/>
        <v>#VALUE!</v>
      </c>
      <c r="O155" s="11">
        <f t="shared" si="39"/>
        <v>0</v>
      </c>
      <c r="R155" s="12" t="str">
        <f>IF(Q155="","",VLOOKUP(Q155,Lists!$E:$F,2,FALSE))</f>
        <v/>
      </c>
      <c r="AE155" s="11" t="str">
        <f t="shared" si="40"/>
        <v/>
      </c>
      <c r="AF155" s="13"/>
      <c r="AG155" s="11" t="str">
        <f t="shared" si="41"/>
        <v/>
      </c>
      <c r="AH155" s="11" t="str">
        <f t="shared" si="42"/>
        <v/>
      </c>
      <c r="AL155" t="str">
        <f t="shared" si="43"/>
        <v/>
      </c>
      <c r="AN155" s="11" t="str">
        <f t="shared" si="44"/>
        <v/>
      </c>
      <c r="AO155" s="13"/>
      <c r="AP155" s="11" t="str">
        <f t="shared" si="45"/>
        <v/>
      </c>
      <c r="AQ155" s="11" t="str">
        <f t="shared" si="46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38"/>
        <v>#VALUE!</v>
      </c>
      <c r="O156" s="11">
        <f t="shared" si="39"/>
        <v>0</v>
      </c>
      <c r="R156" s="12" t="str">
        <f>IF(Q156="","",VLOOKUP(Q156,Lists!$E:$F,2,FALSE))</f>
        <v/>
      </c>
      <c r="AE156" s="11" t="str">
        <f t="shared" si="40"/>
        <v/>
      </c>
      <c r="AF156" s="13"/>
      <c r="AG156" s="11" t="str">
        <f t="shared" si="41"/>
        <v/>
      </c>
      <c r="AH156" s="11" t="str">
        <f t="shared" si="42"/>
        <v/>
      </c>
      <c r="AL156" t="str">
        <f t="shared" si="43"/>
        <v/>
      </c>
      <c r="AN156" s="11" t="str">
        <f t="shared" si="44"/>
        <v/>
      </c>
      <c r="AO156" s="13"/>
      <c r="AP156" s="11" t="str">
        <f t="shared" si="45"/>
        <v/>
      </c>
      <c r="AQ156" s="11" t="str">
        <f t="shared" si="46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38"/>
        <v>#VALUE!</v>
      </c>
      <c r="O157" s="11">
        <f t="shared" si="39"/>
        <v>0</v>
      </c>
      <c r="R157" s="12" t="str">
        <f>IF(Q157="","",VLOOKUP(Q157,Lists!$E:$F,2,FALSE))</f>
        <v/>
      </c>
      <c r="AE157" s="11" t="str">
        <f t="shared" si="40"/>
        <v/>
      </c>
      <c r="AF157" s="13"/>
      <c r="AG157" s="11" t="str">
        <f t="shared" si="41"/>
        <v/>
      </c>
      <c r="AH157" s="11" t="str">
        <f t="shared" si="42"/>
        <v/>
      </c>
      <c r="AL157" t="str">
        <f t="shared" si="43"/>
        <v/>
      </c>
      <c r="AN157" s="11" t="str">
        <f t="shared" si="44"/>
        <v/>
      </c>
      <c r="AO157" s="13"/>
      <c r="AP157" s="11" t="str">
        <f t="shared" si="45"/>
        <v/>
      </c>
      <c r="AQ157" s="11" t="str">
        <f t="shared" si="46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38"/>
        <v>#VALUE!</v>
      </c>
      <c r="O158" s="11">
        <f t="shared" si="39"/>
        <v>0</v>
      </c>
      <c r="R158" s="12" t="str">
        <f>IF(Q158="","",VLOOKUP(Q158,Lists!$E:$F,2,FALSE))</f>
        <v/>
      </c>
      <c r="AE158" s="11" t="str">
        <f t="shared" si="40"/>
        <v/>
      </c>
      <c r="AF158" s="13"/>
      <c r="AG158" s="11" t="str">
        <f t="shared" si="41"/>
        <v/>
      </c>
      <c r="AH158" s="11" t="str">
        <f t="shared" si="42"/>
        <v/>
      </c>
      <c r="AL158" t="str">
        <f t="shared" si="43"/>
        <v/>
      </c>
      <c r="AN158" s="11" t="str">
        <f t="shared" si="44"/>
        <v/>
      </c>
      <c r="AO158" s="13"/>
      <c r="AP158" s="11" t="str">
        <f t="shared" si="45"/>
        <v/>
      </c>
      <c r="AQ158" s="11" t="str">
        <f t="shared" si="46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38"/>
        <v>#VALUE!</v>
      </c>
      <c r="O159" s="11">
        <f t="shared" si="39"/>
        <v>0</v>
      </c>
      <c r="R159" s="12" t="str">
        <f>IF(Q159="","",VLOOKUP(Q159,Lists!$E:$F,2,FALSE))</f>
        <v/>
      </c>
      <c r="AE159" s="11" t="str">
        <f t="shared" si="40"/>
        <v/>
      </c>
      <c r="AF159" s="13"/>
      <c r="AG159" s="11" t="str">
        <f t="shared" si="41"/>
        <v/>
      </c>
      <c r="AH159" s="11" t="str">
        <f t="shared" si="42"/>
        <v/>
      </c>
      <c r="AL159" t="str">
        <f t="shared" si="43"/>
        <v/>
      </c>
      <c r="AN159" s="11" t="str">
        <f t="shared" si="44"/>
        <v/>
      </c>
      <c r="AO159" s="13"/>
      <c r="AP159" s="11" t="str">
        <f t="shared" si="45"/>
        <v/>
      </c>
      <c r="AQ159" s="11" t="str">
        <f t="shared" si="46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38"/>
        <v>#VALUE!</v>
      </c>
      <c r="O160" s="11">
        <f t="shared" si="39"/>
        <v>0</v>
      </c>
      <c r="R160" s="12" t="str">
        <f>IF(Q160="","",VLOOKUP(Q160,Lists!$E:$F,2,FALSE))</f>
        <v/>
      </c>
      <c r="AE160" s="11" t="str">
        <f t="shared" si="40"/>
        <v/>
      </c>
      <c r="AF160" s="13"/>
      <c r="AG160" s="11" t="str">
        <f t="shared" si="41"/>
        <v/>
      </c>
      <c r="AH160" s="11" t="str">
        <f t="shared" si="42"/>
        <v/>
      </c>
      <c r="AL160" t="str">
        <f t="shared" si="43"/>
        <v/>
      </c>
      <c r="AN160" s="11" t="str">
        <f t="shared" si="44"/>
        <v/>
      </c>
      <c r="AO160" s="13"/>
      <c r="AP160" s="11" t="str">
        <f t="shared" si="45"/>
        <v/>
      </c>
      <c r="AQ160" s="11" t="str">
        <f t="shared" si="46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38"/>
        <v>#VALUE!</v>
      </c>
      <c r="O161" s="11">
        <f t="shared" si="39"/>
        <v>0</v>
      </c>
      <c r="R161" s="12" t="str">
        <f>IF(Q161="","",VLOOKUP(Q161,Lists!$E:$F,2,FALSE))</f>
        <v/>
      </c>
      <c r="AE161" s="11" t="str">
        <f t="shared" si="40"/>
        <v/>
      </c>
      <c r="AF161" s="13"/>
      <c r="AG161" s="11" t="str">
        <f t="shared" si="41"/>
        <v/>
      </c>
      <c r="AH161" s="11" t="str">
        <f t="shared" si="42"/>
        <v/>
      </c>
      <c r="AL161" t="str">
        <f t="shared" si="43"/>
        <v/>
      </c>
      <c r="AN161" s="11" t="str">
        <f t="shared" si="44"/>
        <v/>
      </c>
      <c r="AO161" s="13"/>
      <c r="AP161" s="11" t="str">
        <f t="shared" si="45"/>
        <v/>
      </c>
      <c r="AQ161" s="11" t="str">
        <f t="shared" si="46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ref="N162:N193" si="47">L162 * (1 + M162)</f>
        <v>#VALUE!</v>
      </c>
      <c r="O162" s="11">
        <f t="shared" ref="O162:O193" si="48">IF(K162="Eigen Beheer",0,IF(AND(ISNUMBER(N162),I162&lt;&gt;"",H162&lt;&gt;""),YEARFRAC(H162,I162,4)*12*N162,0))</f>
        <v>0</v>
      </c>
      <c r="R162" s="12" t="str">
        <f>IF(Q162="","",VLOOKUP(Q162,Lists!$E:$F,2,FALSE))</f>
        <v/>
      </c>
      <c r="AE162" s="11" t="str">
        <f t="shared" ref="AE162:AE193" si="49">IF(AND(AC162&lt;&gt;"",AD162&lt;&gt;""),AC162*AD162,"")</f>
        <v/>
      </c>
      <c r="AF162" s="13"/>
      <c r="AG162" s="11" t="str">
        <f t="shared" ref="AG162:AG193" si="50">IF(AND(AE162&lt;&gt;"",AF162&lt;&gt;""),AE162*AF162,"")</f>
        <v/>
      </c>
      <c r="AH162" s="11" t="str">
        <f t="shared" ref="AH162:AH193" si="51">IF(AND(AE162&lt;&gt;"",AG162&lt;&gt;""),AE162+AG162,"")</f>
        <v/>
      </c>
      <c r="AL162" t="str">
        <f t="shared" ref="AL162:AL193" si="52"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 t="str">
        <f t="shared" ref="AN162:AN193" si="53">IF(AND(AL162&lt;&gt;"",AM162&lt;&gt;""),AL162*AM162,"")</f>
        <v/>
      </c>
      <c r="AO162" s="13"/>
      <c r="AP162" s="11" t="str">
        <f t="shared" ref="AP162:AP193" si="54">IF(AND(AN162&lt;&gt;"",AO162&lt;&gt;""),AN162*AO162,"")</f>
        <v/>
      </c>
      <c r="AQ162" s="11" t="str">
        <f t="shared" ref="AQ162:AQ193" si="55">IF(AND(AN162&lt;&gt;"",AP162&lt;&gt;""),AN162+AP162,"")</f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7"/>
        <v>#VALUE!</v>
      </c>
      <c r="O163" s="11">
        <f t="shared" si="48"/>
        <v>0</v>
      </c>
      <c r="R163" s="12" t="str">
        <f>IF(Q163="","",VLOOKUP(Q163,Lists!$E:$F,2,FALSE))</f>
        <v/>
      </c>
      <c r="AE163" s="11" t="str">
        <f t="shared" si="49"/>
        <v/>
      </c>
      <c r="AF163" s="13"/>
      <c r="AG163" s="11" t="str">
        <f t="shared" si="50"/>
        <v/>
      </c>
      <c r="AH163" s="11" t="str">
        <f t="shared" si="51"/>
        <v/>
      </c>
      <c r="AL163" t="str">
        <f t="shared" si="52"/>
        <v/>
      </c>
      <c r="AN163" s="11" t="str">
        <f t="shared" si="53"/>
        <v/>
      </c>
      <c r="AO163" s="13"/>
      <c r="AP163" s="11" t="str">
        <f t="shared" si="54"/>
        <v/>
      </c>
      <c r="AQ163" s="11" t="str">
        <f t="shared" si="55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7"/>
        <v>#VALUE!</v>
      </c>
      <c r="O164" s="11">
        <f t="shared" si="48"/>
        <v>0</v>
      </c>
      <c r="R164" s="12" t="str">
        <f>IF(Q164="","",VLOOKUP(Q164,Lists!$E:$F,2,FALSE))</f>
        <v/>
      </c>
      <c r="AE164" s="11" t="str">
        <f t="shared" si="49"/>
        <v/>
      </c>
      <c r="AF164" s="13"/>
      <c r="AG164" s="11" t="str">
        <f t="shared" si="50"/>
        <v/>
      </c>
      <c r="AH164" s="11" t="str">
        <f t="shared" si="51"/>
        <v/>
      </c>
      <c r="AL164" t="str">
        <f t="shared" si="52"/>
        <v/>
      </c>
      <c r="AN164" s="11" t="str">
        <f t="shared" si="53"/>
        <v/>
      </c>
      <c r="AO164" s="13"/>
      <c r="AP164" s="11" t="str">
        <f t="shared" si="54"/>
        <v/>
      </c>
      <c r="AQ164" s="11" t="str">
        <f t="shared" si="55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7"/>
        <v>#VALUE!</v>
      </c>
      <c r="O165" s="11">
        <f t="shared" si="48"/>
        <v>0</v>
      </c>
      <c r="R165" s="12" t="str">
        <f>IF(Q165="","",VLOOKUP(Q165,Lists!$E:$F,2,FALSE))</f>
        <v/>
      </c>
      <c r="AE165" s="11" t="str">
        <f t="shared" si="49"/>
        <v/>
      </c>
      <c r="AF165" s="13"/>
      <c r="AG165" s="11" t="str">
        <f t="shared" si="50"/>
        <v/>
      </c>
      <c r="AH165" s="11" t="str">
        <f t="shared" si="51"/>
        <v/>
      </c>
      <c r="AL165" t="str">
        <f t="shared" si="52"/>
        <v/>
      </c>
      <c r="AN165" s="11" t="str">
        <f t="shared" si="53"/>
        <v/>
      </c>
      <c r="AO165" s="13"/>
      <c r="AP165" s="11" t="str">
        <f t="shared" si="54"/>
        <v/>
      </c>
      <c r="AQ165" s="11" t="str">
        <f t="shared" si="55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7"/>
        <v>#VALUE!</v>
      </c>
      <c r="O166" s="11">
        <f t="shared" si="48"/>
        <v>0</v>
      </c>
      <c r="R166" s="12" t="str">
        <f>IF(Q166="","",VLOOKUP(Q166,Lists!$E:$F,2,FALSE))</f>
        <v/>
      </c>
      <c r="AE166" s="11" t="str">
        <f t="shared" si="49"/>
        <v/>
      </c>
      <c r="AF166" s="13"/>
      <c r="AG166" s="11" t="str">
        <f t="shared" si="50"/>
        <v/>
      </c>
      <c r="AH166" s="11" t="str">
        <f t="shared" si="51"/>
        <v/>
      </c>
      <c r="AL166" t="str">
        <f t="shared" si="52"/>
        <v/>
      </c>
      <c r="AN166" s="11" t="str">
        <f t="shared" si="53"/>
        <v/>
      </c>
      <c r="AO166" s="13"/>
      <c r="AP166" s="11" t="str">
        <f t="shared" si="54"/>
        <v/>
      </c>
      <c r="AQ166" s="11" t="str">
        <f t="shared" si="55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7"/>
        <v>#VALUE!</v>
      </c>
      <c r="O167" s="11">
        <f t="shared" si="48"/>
        <v>0</v>
      </c>
      <c r="R167" s="12" t="str">
        <f>IF(Q167="","",VLOOKUP(Q167,Lists!$E:$F,2,FALSE))</f>
        <v/>
      </c>
      <c r="AE167" s="11" t="str">
        <f t="shared" si="49"/>
        <v/>
      </c>
      <c r="AF167" s="13"/>
      <c r="AG167" s="11" t="str">
        <f t="shared" si="50"/>
        <v/>
      </c>
      <c r="AH167" s="11" t="str">
        <f t="shared" si="51"/>
        <v/>
      </c>
      <c r="AL167" t="str">
        <f t="shared" si="52"/>
        <v/>
      </c>
      <c r="AN167" s="11" t="str">
        <f t="shared" si="53"/>
        <v/>
      </c>
      <c r="AO167" s="13"/>
      <c r="AP167" s="11" t="str">
        <f t="shared" si="54"/>
        <v/>
      </c>
      <c r="AQ167" s="11" t="str">
        <f t="shared" si="55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7"/>
        <v>#VALUE!</v>
      </c>
      <c r="O168" s="11">
        <f t="shared" si="48"/>
        <v>0</v>
      </c>
      <c r="R168" s="12" t="str">
        <f>IF(Q168="","",VLOOKUP(Q168,Lists!$E:$F,2,FALSE))</f>
        <v/>
      </c>
      <c r="AE168" s="11" t="str">
        <f t="shared" si="49"/>
        <v/>
      </c>
      <c r="AF168" s="13"/>
      <c r="AG168" s="11" t="str">
        <f t="shared" si="50"/>
        <v/>
      </c>
      <c r="AH168" s="11" t="str">
        <f t="shared" si="51"/>
        <v/>
      </c>
      <c r="AL168" t="str">
        <f t="shared" si="52"/>
        <v/>
      </c>
      <c r="AN168" s="11" t="str">
        <f t="shared" si="53"/>
        <v/>
      </c>
      <c r="AO168" s="13"/>
      <c r="AP168" s="11" t="str">
        <f t="shared" si="54"/>
        <v/>
      </c>
      <c r="AQ168" s="11" t="str">
        <f t="shared" si="55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7"/>
        <v>#VALUE!</v>
      </c>
      <c r="O169" s="11">
        <f t="shared" si="48"/>
        <v>0</v>
      </c>
      <c r="R169" s="12" t="str">
        <f>IF(Q169="","",VLOOKUP(Q169,Lists!$E:$F,2,FALSE))</f>
        <v/>
      </c>
      <c r="AE169" s="11" t="str">
        <f t="shared" si="49"/>
        <v/>
      </c>
      <c r="AF169" s="13"/>
      <c r="AG169" s="11" t="str">
        <f t="shared" si="50"/>
        <v/>
      </c>
      <c r="AH169" s="11" t="str">
        <f t="shared" si="51"/>
        <v/>
      </c>
      <c r="AL169" t="str">
        <f t="shared" si="52"/>
        <v/>
      </c>
      <c r="AN169" s="11" t="str">
        <f t="shared" si="53"/>
        <v/>
      </c>
      <c r="AO169" s="13"/>
      <c r="AP169" s="11" t="str">
        <f t="shared" si="54"/>
        <v/>
      </c>
      <c r="AQ169" s="11" t="str">
        <f t="shared" si="55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7"/>
        <v>#VALUE!</v>
      </c>
      <c r="O170" s="11">
        <f t="shared" si="48"/>
        <v>0</v>
      </c>
      <c r="R170" s="12" t="str">
        <f>IF(Q170="","",VLOOKUP(Q170,Lists!$E:$F,2,FALSE))</f>
        <v/>
      </c>
      <c r="AE170" s="11" t="str">
        <f t="shared" si="49"/>
        <v/>
      </c>
      <c r="AF170" s="13"/>
      <c r="AG170" s="11" t="str">
        <f t="shared" si="50"/>
        <v/>
      </c>
      <c r="AH170" s="11" t="str">
        <f t="shared" si="51"/>
        <v/>
      </c>
      <c r="AL170" t="str">
        <f t="shared" si="52"/>
        <v/>
      </c>
      <c r="AN170" s="11" t="str">
        <f t="shared" si="53"/>
        <v/>
      </c>
      <c r="AO170" s="13"/>
      <c r="AP170" s="11" t="str">
        <f t="shared" si="54"/>
        <v/>
      </c>
      <c r="AQ170" s="11" t="str">
        <f t="shared" si="55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7"/>
        <v>#VALUE!</v>
      </c>
      <c r="O171" s="11">
        <f t="shared" si="48"/>
        <v>0</v>
      </c>
      <c r="R171" s="12" t="str">
        <f>IF(Q171="","",VLOOKUP(Q171,Lists!$E:$F,2,FALSE))</f>
        <v/>
      </c>
      <c r="AE171" s="11" t="str">
        <f t="shared" si="49"/>
        <v/>
      </c>
      <c r="AF171" s="13"/>
      <c r="AG171" s="11" t="str">
        <f t="shared" si="50"/>
        <v/>
      </c>
      <c r="AH171" s="11" t="str">
        <f t="shared" si="51"/>
        <v/>
      </c>
      <c r="AL171" t="str">
        <f t="shared" si="52"/>
        <v/>
      </c>
      <c r="AN171" s="11" t="str">
        <f t="shared" si="53"/>
        <v/>
      </c>
      <c r="AO171" s="13"/>
      <c r="AP171" s="11" t="str">
        <f t="shared" si="54"/>
        <v/>
      </c>
      <c r="AQ171" s="11" t="str">
        <f t="shared" si="55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7"/>
        <v>#VALUE!</v>
      </c>
      <c r="O172" s="11">
        <f t="shared" si="48"/>
        <v>0</v>
      </c>
      <c r="R172" s="12" t="str">
        <f>IF(Q172="","",VLOOKUP(Q172,Lists!$E:$F,2,FALSE))</f>
        <v/>
      </c>
      <c r="AE172" s="11" t="str">
        <f t="shared" si="49"/>
        <v/>
      </c>
      <c r="AF172" s="13"/>
      <c r="AG172" s="11" t="str">
        <f t="shared" si="50"/>
        <v/>
      </c>
      <c r="AH172" s="11" t="str">
        <f t="shared" si="51"/>
        <v/>
      </c>
      <c r="AL172" t="str">
        <f t="shared" si="52"/>
        <v/>
      </c>
      <c r="AN172" s="11" t="str">
        <f t="shared" si="53"/>
        <v/>
      </c>
      <c r="AO172" s="13"/>
      <c r="AP172" s="11" t="str">
        <f t="shared" si="54"/>
        <v/>
      </c>
      <c r="AQ172" s="11" t="str">
        <f t="shared" si="55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7"/>
        <v>#VALUE!</v>
      </c>
      <c r="O173" s="11">
        <f t="shared" si="48"/>
        <v>0</v>
      </c>
      <c r="R173" s="12" t="str">
        <f>IF(Q173="","",VLOOKUP(Q173,Lists!$E:$F,2,FALSE))</f>
        <v/>
      </c>
      <c r="AE173" s="11" t="str">
        <f t="shared" si="49"/>
        <v/>
      </c>
      <c r="AF173" s="13"/>
      <c r="AG173" s="11" t="str">
        <f t="shared" si="50"/>
        <v/>
      </c>
      <c r="AH173" s="11" t="str">
        <f t="shared" si="51"/>
        <v/>
      </c>
      <c r="AL173" t="str">
        <f t="shared" si="52"/>
        <v/>
      </c>
      <c r="AN173" s="11" t="str">
        <f t="shared" si="53"/>
        <v/>
      </c>
      <c r="AO173" s="13"/>
      <c r="AP173" s="11" t="str">
        <f t="shared" si="54"/>
        <v/>
      </c>
      <c r="AQ173" s="11" t="str">
        <f t="shared" si="55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7"/>
        <v>#VALUE!</v>
      </c>
      <c r="O174" s="11">
        <f t="shared" si="48"/>
        <v>0</v>
      </c>
      <c r="R174" s="12" t="str">
        <f>IF(Q174="","",VLOOKUP(Q174,Lists!$E:$F,2,FALSE))</f>
        <v/>
      </c>
      <c r="AE174" s="11" t="str">
        <f t="shared" si="49"/>
        <v/>
      </c>
      <c r="AF174" s="13"/>
      <c r="AG174" s="11" t="str">
        <f t="shared" si="50"/>
        <v/>
      </c>
      <c r="AH174" s="11" t="str">
        <f t="shared" si="51"/>
        <v/>
      </c>
      <c r="AL174" t="str">
        <f t="shared" si="52"/>
        <v/>
      </c>
      <c r="AN174" s="11" t="str">
        <f t="shared" si="53"/>
        <v/>
      </c>
      <c r="AO174" s="13"/>
      <c r="AP174" s="11" t="str">
        <f t="shared" si="54"/>
        <v/>
      </c>
      <c r="AQ174" s="11" t="str">
        <f t="shared" si="55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7"/>
        <v>#VALUE!</v>
      </c>
      <c r="O175" s="11">
        <f t="shared" si="48"/>
        <v>0</v>
      </c>
      <c r="R175" s="12" t="str">
        <f>IF(Q175="","",VLOOKUP(Q175,Lists!$E:$F,2,FALSE))</f>
        <v/>
      </c>
      <c r="AE175" s="11" t="str">
        <f t="shared" si="49"/>
        <v/>
      </c>
      <c r="AF175" s="13"/>
      <c r="AG175" s="11" t="str">
        <f t="shared" si="50"/>
        <v/>
      </c>
      <c r="AH175" s="11" t="str">
        <f t="shared" si="51"/>
        <v/>
      </c>
      <c r="AL175" t="str">
        <f t="shared" si="52"/>
        <v/>
      </c>
      <c r="AN175" s="11" t="str">
        <f t="shared" si="53"/>
        <v/>
      </c>
      <c r="AO175" s="13"/>
      <c r="AP175" s="11" t="str">
        <f t="shared" si="54"/>
        <v/>
      </c>
      <c r="AQ175" s="11" t="str">
        <f t="shared" si="55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7"/>
        <v>#VALUE!</v>
      </c>
      <c r="O176" s="11">
        <f t="shared" si="48"/>
        <v>0</v>
      </c>
      <c r="R176" s="12" t="str">
        <f>IF(Q176="","",VLOOKUP(Q176,Lists!$E:$F,2,FALSE))</f>
        <v/>
      </c>
      <c r="AE176" s="11" t="str">
        <f t="shared" si="49"/>
        <v/>
      </c>
      <c r="AF176" s="13"/>
      <c r="AG176" s="11" t="str">
        <f t="shared" si="50"/>
        <v/>
      </c>
      <c r="AH176" s="11" t="str">
        <f t="shared" si="51"/>
        <v/>
      </c>
      <c r="AL176" t="str">
        <f t="shared" si="52"/>
        <v/>
      </c>
      <c r="AN176" s="11" t="str">
        <f t="shared" si="53"/>
        <v/>
      </c>
      <c r="AO176" s="13"/>
      <c r="AP176" s="11" t="str">
        <f t="shared" si="54"/>
        <v/>
      </c>
      <c r="AQ176" s="11" t="str">
        <f t="shared" si="55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7"/>
        <v>#VALUE!</v>
      </c>
      <c r="O177" s="11">
        <f t="shared" si="48"/>
        <v>0</v>
      </c>
      <c r="R177" s="12" t="str">
        <f>IF(Q177="","",VLOOKUP(Q177,Lists!$E:$F,2,FALSE))</f>
        <v/>
      </c>
      <c r="AE177" s="11" t="str">
        <f t="shared" si="49"/>
        <v/>
      </c>
      <c r="AF177" s="13"/>
      <c r="AG177" s="11" t="str">
        <f t="shared" si="50"/>
        <v/>
      </c>
      <c r="AH177" s="11" t="str">
        <f t="shared" si="51"/>
        <v/>
      </c>
      <c r="AL177" t="str">
        <f t="shared" si="52"/>
        <v/>
      </c>
      <c r="AN177" s="11" t="str">
        <f t="shared" si="53"/>
        <v/>
      </c>
      <c r="AO177" s="13"/>
      <c r="AP177" s="11" t="str">
        <f t="shared" si="54"/>
        <v/>
      </c>
      <c r="AQ177" s="11" t="str">
        <f t="shared" si="55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7"/>
        <v>#VALUE!</v>
      </c>
      <c r="O178" s="11">
        <f t="shared" si="48"/>
        <v>0</v>
      </c>
      <c r="R178" s="12" t="str">
        <f>IF(Q178="","",VLOOKUP(Q178,Lists!$E:$F,2,FALSE))</f>
        <v/>
      </c>
      <c r="AE178" s="11" t="str">
        <f t="shared" si="49"/>
        <v/>
      </c>
      <c r="AF178" s="13"/>
      <c r="AG178" s="11" t="str">
        <f t="shared" si="50"/>
        <v/>
      </c>
      <c r="AH178" s="11" t="str">
        <f t="shared" si="51"/>
        <v/>
      </c>
      <c r="AL178" t="str">
        <f t="shared" si="52"/>
        <v/>
      </c>
      <c r="AN178" s="11" t="str">
        <f t="shared" si="53"/>
        <v/>
      </c>
      <c r="AO178" s="13"/>
      <c r="AP178" s="11" t="str">
        <f t="shared" si="54"/>
        <v/>
      </c>
      <c r="AQ178" s="11" t="str">
        <f t="shared" si="55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7"/>
        <v>#VALUE!</v>
      </c>
      <c r="O179" s="11">
        <f t="shared" si="48"/>
        <v>0</v>
      </c>
      <c r="R179" s="12" t="str">
        <f>IF(Q179="","",VLOOKUP(Q179,Lists!$E:$F,2,FALSE))</f>
        <v/>
      </c>
      <c r="AE179" s="11" t="str">
        <f t="shared" si="49"/>
        <v/>
      </c>
      <c r="AF179" s="13"/>
      <c r="AG179" s="11" t="str">
        <f t="shared" si="50"/>
        <v/>
      </c>
      <c r="AH179" s="11" t="str">
        <f t="shared" si="51"/>
        <v/>
      </c>
      <c r="AL179" t="str">
        <f t="shared" si="52"/>
        <v/>
      </c>
      <c r="AN179" s="11" t="str">
        <f t="shared" si="53"/>
        <v/>
      </c>
      <c r="AO179" s="13"/>
      <c r="AP179" s="11" t="str">
        <f t="shared" si="54"/>
        <v/>
      </c>
      <c r="AQ179" s="11" t="str">
        <f t="shared" si="55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7"/>
        <v>#VALUE!</v>
      </c>
      <c r="O180" s="11">
        <f t="shared" si="48"/>
        <v>0</v>
      </c>
      <c r="R180" s="12" t="str">
        <f>IF(Q180="","",VLOOKUP(Q180,Lists!$E:$F,2,FALSE))</f>
        <v/>
      </c>
      <c r="AE180" s="11" t="str">
        <f t="shared" si="49"/>
        <v/>
      </c>
      <c r="AF180" s="13"/>
      <c r="AG180" s="11" t="str">
        <f t="shared" si="50"/>
        <v/>
      </c>
      <c r="AH180" s="11" t="str">
        <f t="shared" si="51"/>
        <v/>
      </c>
      <c r="AL180" t="str">
        <f t="shared" si="52"/>
        <v/>
      </c>
      <c r="AN180" s="11" t="str">
        <f t="shared" si="53"/>
        <v/>
      </c>
      <c r="AO180" s="13"/>
      <c r="AP180" s="11" t="str">
        <f t="shared" si="54"/>
        <v/>
      </c>
      <c r="AQ180" s="11" t="str">
        <f t="shared" si="55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7"/>
        <v>#VALUE!</v>
      </c>
      <c r="O181" s="11">
        <f t="shared" si="48"/>
        <v>0</v>
      </c>
      <c r="R181" s="12" t="str">
        <f>IF(Q181="","",VLOOKUP(Q181,Lists!$E:$F,2,FALSE))</f>
        <v/>
      </c>
      <c r="AE181" s="11" t="str">
        <f t="shared" si="49"/>
        <v/>
      </c>
      <c r="AF181" s="13"/>
      <c r="AG181" s="11" t="str">
        <f t="shared" si="50"/>
        <v/>
      </c>
      <c r="AH181" s="11" t="str">
        <f t="shared" si="51"/>
        <v/>
      </c>
      <c r="AL181" t="str">
        <f t="shared" si="52"/>
        <v/>
      </c>
      <c r="AN181" s="11" t="str">
        <f t="shared" si="53"/>
        <v/>
      </c>
      <c r="AO181" s="13"/>
      <c r="AP181" s="11" t="str">
        <f t="shared" si="54"/>
        <v/>
      </c>
      <c r="AQ181" s="11" t="str">
        <f t="shared" si="55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7"/>
        <v>#VALUE!</v>
      </c>
      <c r="O182" s="11">
        <f t="shared" si="48"/>
        <v>0</v>
      </c>
      <c r="R182" s="12" t="str">
        <f>IF(Q182="","",VLOOKUP(Q182,Lists!$E:$F,2,FALSE))</f>
        <v/>
      </c>
      <c r="AE182" s="11" t="str">
        <f t="shared" si="49"/>
        <v/>
      </c>
      <c r="AF182" s="13"/>
      <c r="AG182" s="11" t="str">
        <f t="shared" si="50"/>
        <v/>
      </c>
      <c r="AH182" s="11" t="str">
        <f t="shared" si="51"/>
        <v/>
      </c>
      <c r="AL182" t="str">
        <f t="shared" si="52"/>
        <v/>
      </c>
      <c r="AN182" s="11" t="str">
        <f t="shared" si="53"/>
        <v/>
      </c>
      <c r="AO182" s="13"/>
      <c r="AP182" s="11" t="str">
        <f t="shared" si="54"/>
        <v/>
      </c>
      <c r="AQ182" s="11" t="str">
        <f t="shared" si="55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7"/>
        <v>#VALUE!</v>
      </c>
      <c r="O183" s="11">
        <f t="shared" si="48"/>
        <v>0</v>
      </c>
      <c r="R183" s="12" t="str">
        <f>IF(Q183="","",VLOOKUP(Q183,Lists!$E:$F,2,FALSE))</f>
        <v/>
      </c>
      <c r="AE183" s="11" t="str">
        <f t="shared" si="49"/>
        <v/>
      </c>
      <c r="AF183" s="13"/>
      <c r="AG183" s="11" t="str">
        <f t="shared" si="50"/>
        <v/>
      </c>
      <c r="AH183" s="11" t="str">
        <f t="shared" si="51"/>
        <v/>
      </c>
      <c r="AL183" t="str">
        <f t="shared" si="52"/>
        <v/>
      </c>
      <c r="AN183" s="11" t="str">
        <f t="shared" si="53"/>
        <v/>
      </c>
      <c r="AO183" s="13"/>
      <c r="AP183" s="11" t="str">
        <f t="shared" si="54"/>
        <v/>
      </c>
      <c r="AQ183" s="11" t="str">
        <f t="shared" si="55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si="47"/>
        <v>#VALUE!</v>
      </c>
      <c r="O184" s="11">
        <f t="shared" si="48"/>
        <v>0</v>
      </c>
      <c r="R184" s="12" t="str">
        <f>IF(Q184="","",VLOOKUP(Q184,Lists!$E:$F,2,FALSE))</f>
        <v/>
      </c>
      <c r="AE184" s="11" t="str">
        <f t="shared" si="49"/>
        <v/>
      </c>
      <c r="AF184" s="13"/>
      <c r="AG184" s="11" t="str">
        <f t="shared" si="50"/>
        <v/>
      </c>
      <c r="AH184" s="11" t="str">
        <f t="shared" si="51"/>
        <v/>
      </c>
      <c r="AL184" t="str">
        <f t="shared" si="52"/>
        <v/>
      </c>
      <c r="AN184" s="11" t="str">
        <f t="shared" si="53"/>
        <v/>
      </c>
      <c r="AO184" s="13"/>
      <c r="AP184" s="11" t="str">
        <f t="shared" si="54"/>
        <v/>
      </c>
      <c r="AQ184" s="11" t="str">
        <f t="shared" si="55"/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47"/>
        <v>#VALUE!</v>
      </c>
      <c r="O185" s="11">
        <f t="shared" si="48"/>
        <v>0</v>
      </c>
      <c r="R185" s="12" t="str">
        <f>IF(Q185="","",VLOOKUP(Q185,Lists!$E:$F,2,FALSE))</f>
        <v/>
      </c>
      <c r="AE185" s="11" t="str">
        <f t="shared" si="49"/>
        <v/>
      </c>
      <c r="AF185" s="13"/>
      <c r="AG185" s="11" t="str">
        <f t="shared" si="50"/>
        <v/>
      </c>
      <c r="AH185" s="11" t="str">
        <f t="shared" si="51"/>
        <v/>
      </c>
      <c r="AL185" t="str">
        <f t="shared" si="52"/>
        <v/>
      </c>
      <c r="AN185" s="11" t="str">
        <f t="shared" si="53"/>
        <v/>
      </c>
      <c r="AO185" s="13"/>
      <c r="AP185" s="11" t="str">
        <f t="shared" si="54"/>
        <v/>
      </c>
      <c r="AQ185" s="11" t="str">
        <f t="shared" si="55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47"/>
        <v>#VALUE!</v>
      </c>
      <c r="O186" s="11">
        <f t="shared" si="48"/>
        <v>0</v>
      </c>
      <c r="R186" s="12" t="str">
        <f>IF(Q186="","",VLOOKUP(Q186,Lists!$E:$F,2,FALSE))</f>
        <v/>
      </c>
      <c r="AE186" s="11" t="str">
        <f t="shared" si="49"/>
        <v/>
      </c>
      <c r="AF186" s="13"/>
      <c r="AG186" s="11" t="str">
        <f t="shared" si="50"/>
        <v/>
      </c>
      <c r="AH186" s="11" t="str">
        <f t="shared" si="51"/>
        <v/>
      </c>
      <c r="AL186" t="str">
        <f t="shared" si="52"/>
        <v/>
      </c>
      <c r="AN186" s="11" t="str">
        <f t="shared" si="53"/>
        <v/>
      </c>
      <c r="AO186" s="13"/>
      <c r="AP186" s="11" t="str">
        <f t="shared" si="54"/>
        <v/>
      </c>
      <c r="AQ186" s="11" t="str">
        <f t="shared" si="55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47"/>
        <v>#VALUE!</v>
      </c>
      <c r="O187" s="11">
        <f t="shared" si="48"/>
        <v>0</v>
      </c>
      <c r="R187" s="12" t="str">
        <f>IF(Q187="","",VLOOKUP(Q187,Lists!$E:$F,2,FALSE))</f>
        <v/>
      </c>
      <c r="AE187" s="11" t="str">
        <f t="shared" si="49"/>
        <v/>
      </c>
      <c r="AF187" s="13"/>
      <c r="AG187" s="11" t="str">
        <f t="shared" si="50"/>
        <v/>
      </c>
      <c r="AH187" s="11" t="str">
        <f t="shared" si="51"/>
        <v/>
      </c>
      <c r="AL187" t="str">
        <f t="shared" si="52"/>
        <v/>
      </c>
      <c r="AN187" s="11" t="str">
        <f t="shared" si="53"/>
        <v/>
      </c>
      <c r="AO187" s="13"/>
      <c r="AP187" s="11" t="str">
        <f t="shared" si="54"/>
        <v/>
      </c>
      <c r="AQ187" s="11" t="str">
        <f t="shared" si="55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47"/>
        <v>#VALUE!</v>
      </c>
      <c r="O188" s="11">
        <f t="shared" si="48"/>
        <v>0</v>
      </c>
      <c r="R188" s="12" t="str">
        <f>IF(Q188="","",VLOOKUP(Q188,Lists!$E:$F,2,FALSE))</f>
        <v/>
      </c>
      <c r="AE188" s="11" t="str">
        <f t="shared" si="49"/>
        <v/>
      </c>
      <c r="AF188" s="13"/>
      <c r="AG188" s="11" t="str">
        <f t="shared" si="50"/>
        <v/>
      </c>
      <c r="AH188" s="11" t="str">
        <f t="shared" si="51"/>
        <v/>
      </c>
      <c r="AL188" t="str">
        <f t="shared" si="52"/>
        <v/>
      </c>
      <c r="AN188" s="11" t="str">
        <f t="shared" si="53"/>
        <v/>
      </c>
      <c r="AO188" s="13"/>
      <c r="AP188" s="11" t="str">
        <f t="shared" si="54"/>
        <v/>
      </c>
      <c r="AQ188" s="11" t="str">
        <f t="shared" si="55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47"/>
        <v>#VALUE!</v>
      </c>
      <c r="O189" s="11">
        <f t="shared" si="48"/>
        <v>0</v>
      </c>
      <c r="R189" s="12" t="str">
        <f>IF(Q189="","",VLOOKUP(Q189,Lists!$E:$F,2,FALSE))</f>
        <v/>
      </c>
      <c r="AE189" s="11" t="str">
        <f t="shared" si="49"/>
        <v/>
      </c>
      <c r="AF189" s="13"/>
      <c r="AG189" s="11" t="str">
        <f t="shared" si="50"/>
        <v/>
      </c>
      <c r="AH189" s="11" t="str">
        <f t="shared" si="51"/>
        <v/>
      </c>
      <c r="AL189" t="str">
        <f t="shared" si="52"/>
        <v/>
      </c>
      <c r="AN189" s="11" t="str">
        <f t="shared" si="53"/>
        <v/>
      </c>
      <c r="AO189" s="13"/>
      <c r="AP189" s="11" t="str">
        <f t="shared" si="54"/>
        <v/>
      </c>
      <c r="AQ189" s="11" t="str">
        <f t="shared" si="55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47"/>
        <v>#VALUE!</v>
      </c>
      <c r="O190" s="11">
        <f t="shared" si="48"/>
        <v>0</v>
      </c>
      <c r="R190" s="12" t="str">
        <f>IF(Q190="","",VLOOKUP(Q190,Lists!$E:$F,2,FALSE))</f>
        <v/>
      </c>
      <c r="AE190" s="11" t="str">
        <f t="shared" si="49"/>
        <v/>
      </c>
      <c r="AF190" s="13"/>
      <c r="AG190" s="11" t="str">
        <f t="shared" si="50"/>
        <v/>
      </c>
      <c r="AH190" s="11" t="str">
        <f t="shared" si="51"/>
        <v/>
      </c>
      <c r="AL190" t="str">
        <f t="shared" si="52"/>
        <v/>
      </c>
      <c r="AN190" s="11" t="str">
        <f t="shared" si="53"/>
        <v/>
      </c>
      <c r="AO190" s="13"/>
      <c r="AP190" s="11" t="str">
        <f t="shared" si="54"/>
        <v/>
      </c>
      <c r="AQ190" s="11" t="str">
        <f t="shared" si="55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47"/>
        <v>#VALUE!</v>
      </c>
      <c r="O191" s="11">
        <f t="shared" si="48"/>
        <v>0</v>
      </c>
      <c r="R191" s="12" t="str">
        <f>IF(Q191="","",VLOOKUP(Q191,Lists!$E:$F,2,FALSE))</f>
        <v/>
      </c>
      <c r="AE191" s="11" t="str">
        <f t="shared" si="49"/>
        <v/>
      </c>
      <c r="AF191" s="13"/>
      <c r="AG191" s="11" t="str">
        <f t="shared" si="50"/>
        <v/>
      </c>
      <c r="AH191" s="11" t="str">
        <f t="shared" si="51"/>
        <v/>
      </c>
      <c r="AL191" t="str">
        <f t="shared" si="52"/>
        <v/>
      </c>
      <c r="AN191" s="11" t="str">
        <f t="shared" si="53"/>
        <v/>
      </c>
      <c r="AO191" s="13"/>
      <c r="AP191" s="11" t="str">
        <f t="shared" si="54"/>
        <v/>
      </c>
      <c r="AQ191" s="11" t="str">
        <f t="shared" si="55"/>
        <v/>
      </c>
    </row>
    <row r="192" spans="4:43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v>0.21</v>
      </c>
      <c r="N192" s="11" t="e">
        <f t="shared" si="47"/>
        <v>#VALUE!</v>
      </c>
      <c r="O192" s="11">
        <f t="shared" si="48"/>
        <v>0</v>
      </c>
      <c r="R192" s="12" t="str">
        <f>IF(Q192="","",VLOOKUP(Q192,Lists!$E:$F,2,FALSE))</f>
        <v/>
      </c>
      <c r="AE192" s="11" t="str">
        <f t="shared" si="49"/>
        <v/>
      </c>
      <c r="AF192" s="13"/>
      <c r="AG192" s="11" t="str">
        <f t="shared" si="50"/>
        <v/>
      </c>
      <c r="AH192" s="11" t="str">
        <f t="shared" si="51"/>
        <v/>
      </c>
      <c r="AL192" t="str">
        <f t="shared" si="52"/>
        <v/>
      </c>
      <c r="AN192" s="11" t="str">
        <f t="shared" si="53"/>
        <v/>
      </c>
      <c r="AO192" s="13"/>
      <c r="AP192" s="11" t="str">
        <f t="shared" si="54"/>
        <v/>
      </c>
      <c r="AQ192" s="11" t="str">
        <f t="shared" si="55"/>
        <v/>
      </c>
    </row>
    <row r="193" spans="4:43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v>0.21</v>
      </c>
      <c r="N193" s="11" t="e">
        <f t="shared" si="47"/>
        <v>#VALUE!</v>
      </c>
      <c r="O193" s="11">
        <f t="shared" si="48"/>
        <v>0</v>
      </c>
      <c r="R193" s="12" t="str">
        <f>IF(Q193="","",VLOOKUP(Q193,Lists!$E:$F,2,FALSE))</f>
        <v/>
      </c>
      <c r="AE193" s="11" t="str">
        <f t="shared" si="49"/>
        <v/>
      </c>
      <c r="AF193" s="13"/>
      <c r="AG193" s="11" t="str">
        <f t="shared" si="50"/>
        <v/>
      </c>
      <c r="AH193" s="11" t="str">
        <f t="shared" si="51"/>
        <v/>
      </c>
      <c r="AL193" t="str">
        <f t="shared" si="52"/>
        <v/>
      </c>
      <c r="AN193" s="11" t="str">
        <f t="shared" si="53"/>
        <v/>
      </c>
      <c r="AO193" s="13"/>
      <c r="AP193" s="11" t="str">
        <f t="shared" si="54"/>
        <v/>
      </c>
      <c r="AQ193" s="11" t="str">
        <f t="shared" si="55"/>
        <v/>
      </c>
    </row>
    <row r="194" spans="4:43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v>0.21</v>
      </c>
      <c r="N194" s="11" t="e">
        <f t="shared" ref="N194:N201" si="56">L194 * (1 + M194)</f>
        <v>#VALUE!</v>
      </c>
      <c r="O194" s="11">
        <f t="shared" ref="O194:O201" si="57">IF(K194="Eigen Beheer",0,IF(AND(ISNUMBER(N194),I194&lt;&gt;"",H194&lt;&gt;""),YEARFRAC(H194,I194,4)*12*N194,0))</f>
        <v>0</v>
      </c>
      <c r="R194" s="12" t="str">
        <f>IF(Q194="","",VLOOKUP(Q194,Lists!$E:$F,2,FALSE))</f>
        <v/>
      </c>
      <c r="AE194" s="11" t="str">
        <f t="shared" ref="AE194:AE201" si="58">IF(AND(AC194&lt;&gt;"",AD194&lt;&gt;""),AC194*AD194,"")</f>
        <v/>
      </c>
      <c r="AF194" s="13"/>
      <c r="AG194" s="11" t="str">
        <f t="shared" ref="AG194:AG201" si="59">IF(AND(AE194&lt;&gt;"",AF194&lt;&gt;""),AE194*AF194,"")</f>
        <v/>
      </c>
      <c r="AH194" s="11" t="str">
        <f t="shared" ref="AH194:AH201" si="60">IF(AND(AE194&lt;&gt;"",AG194&lt;&gt;""),AE194+AG194,"")</f>
        <v/>
      </c>
      <c r="AL194" t="str">
        <f t="shared" ref="AL194:AL201" si="61"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 t="str">
        <f t="shared" ref="AN194:AN201" si="62">IF(AND(AL194&lt;&gt;"",AM194&lt;&gt;""),AL194*AM194,"")</f>
        <v/>
      </c>
      <c r="AO194" s="13"/>
      <c r="AP194" s="11" t="str">
        <f t="shared" ref="AP194:AP201" si="63">IF(AND(AN194&lt;&gt;"",AO194&lt;&gt;""),AN194*AO194,"")</f>
        <v/>
      </c>
      <c r="AQ194" s="11" t="str">
        <f t="shared" ref="AQ194:AQ201" si="64">IF(AND(AN194&lt;&gt;"",AP194&lt;&gt;""),AN194+AP194,"")</f>
        <v/>
      </c>
    </row>
    <row r="195" spans="4:43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v>0.21</v>
      </c>
      <c r="N195" s="11" t="e">
        <f t="shared" si="56"/>
        <v>#VALUE!</v>
      </c>
      <c r="O195" s="11">
        <f t="shared" si="57"/>
        <v>0</v>
      </c>
      <c r="R195" s="12" t="str">
        <f>IF(Q195="","",VLOOKUP(Q195,Lists!$E:$F,2,FALSE))</f>
        <v/>
      </c>
      <c r="AE195" s="11" t="str">
        <f t="shared" si="58"/>
        <v/>
      </c>
      <c r="AF195" s="13"/>
      <c r="AG195" s="11" t="str">
        <f t="shared" si="59"/>
        <v/>
      </c>
      <c r="AH195" s="11" t="str">
        <f t="shared" si="60"/>
        <v/>
      </c>
      <c r="AL195" t="str">
        <f t="shared" si="61"/>
        <v/>
      </c>
      <c r="AN195" s="11" t="str">
        <f t="shared" si="62"/>
        <v/>
      </c>
      <c r="AO195" s="13"/>
      <c r="AP195" s="11" t="str">
        <f t="shared" si="63"/>
        <v/>
      </c>
      <c r="AQ195" s="11" t="str">
        <f t="shared" si="64"/>
        <v/>
      </c>
    </row>
    <row r="196" spans="4:43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v>0.21</v>
      </c>
      <c r="N196" s="11" t="e">
        <f t="shared" si="56"/>
        <v>#VALUE!</v>
      </c>
      <c r="O196" s="11">
        <f t="shared" si="57"/>
        <v>0</v>
      </c>
      <c r="R196" s="12" t="str">
        <f>IF(Q196="","",VLOOKUP(Q196,Lists!$E:$F,2,FALSE))</f>
        <v/>
      </c>
      <c r="AE196" s="11" t="str">
        <f t="shared" si="58"/>
        <v/>
      </c>
      <c r="AF196" s="13"/>
      <c r="AG196" s="11" t="str">
        <f t="shared" si="59"/>
        <v/>
      </c>
      <c r="AH196" s="11" t="str">
        <f t="shared" si="60"/>
        <v/>
      </c>
      <c r="AL196" t="str">
        <f t="shared" si="61"/>
        <v/>
      </c>
      <c r="AN196" s="11" t="str">
        <f t="shared" si="62"/>
        <v/>
      </c>
      <c r="AO196" s="13"/>
      <c r="AP196" s="11" t="str">
        <f t="shared" si="63"/>
        <v/>
      </c>
      <c r="AQ196" s="11" t="str">
        <f t="shared" si="64"/>
        <v/>
      </c>
    </row>
    <row r="197" spans="4:43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v>0.21</v>
      </c>
      <c r="N197" s="11" t="e">
        <f t="shared" si="56"/>
        <v>#VALUE!</v>
      </c>
      <c r="O197" s="11">
        <f t="shared" si="57"/>
        <v>0</v>
      </c>
      <c r="R197" s="12" t="str">
        <f>IF(Q197="","",VLOOKUP(Q197,Lists!$E:$F,2,FALSE))</f>
        <v/>
      </c>
      <c r="AE197" s="11" t="str">
        <f t="shared" si="58"/>
        <v/>
      </c>
      <c r="AF197" s="13"/>
      <c r="AG197" s="11" t="str">
        <f t="shared" si="59"/>
        <v/>
      </c>
      <c r="AH197" s="11" t="str">
        <f t="shared" si="60"/>
        <v/>
      </c>
      <c r="AL197" t="str">
        <f t="shared" si="61"/>
        <v/>
      </c>
      <c r="AN197" s="11" t="str">
        <f t="shared" si="62"/>
        <v/>
      </c>
      <c r="AO197" s="13"/>
      <c r="AP197" s="11" t="str">
        <f t="shared" si="63"/>
        <v/>
      </c>
      <c r="AQ197" s="11" t="str">
        <f t="shared" si="64"/>
        <v/>
      </c>
    </row>
    <row r="198" spans="4:43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v>0.21</v>
      </c>
      <c r="N198" s="11" t="e">
        <f t="shared" si="56"/>
        <v>#VALUE!</v>
      </c>
      <c r="O198" s="11">
        <f t="shared" si="57"/>
        <v>0</v>
      </c>
      <c r="R198" s="12" t="str">
        <f>IF(Q198="","",VLOOKUP(Q198,Lists!$E:$F,2,FALSE))</f>
        <v/>
      </c>
      <c r="AE198" s="11" t="str">
        <f t="shared" si="58"/>
        <v/>
      </c>
      <c r="AF198" s="13"/>
      <c r="AG198" s="11" t="str">
        <f t="shared" si="59"/>
        <v/>
      </c>
      <c r="AH198" s="11" t="str">
        <f t="shared" si="60"/>
        <v/>
      </c>
      <c r="AL198" t="str">
        <f t="shared" si="61"/>
        <v/>
      </c>
      <c r="AN198" s="11" t="str">
        <f t="shared" si="62"/>
        <v/>
      </c>
      <c r="AO198" s="13"/>
      <c r="AP198" s="11" t="str">
        <f t="shared" si="63"/>
        <v/>
      </c>
      <c r="AQ198" s="11" t="str">
        <f t="shared" si="64"/>
        <v/>
      </c>
    </row>
    <row r="199" spans="4:43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v>0.21</v>
      </c>
      <c r="N199" s="11" t="e">
        <f t="shared" si="56"/>
        <v>#VALUE!</v>
      </c>
      <c r="O199" s="11">
        <f t="shared" si="57"/>
        <v>0</v>
      </c>
      <c r="R199" s="12" t="str">
        <f>IF(Q199="","",VLOOKUP(Q199,Lists!$E:$F,2,FALSE))</f>
        <v/>
      </c>
      <c r="AE199" s="11" t="str">
        <f t="shared" si="58"/>
        <v/>
      </c>
      <c r="AF199" s="13"/>
      <c r="AG199" s="11" t="str">
        <f t="shared" si="59"/>
        <v/>
      </c>
      <c r="AH199" s="11" t="str">
        <f t="shared" si="60"/>
        <v/>
      </c>
      <c r="AL199" t="str">
        <f t="shared" si="61"/>
        <v/>
      </c>
      <c r="AN199" s="11" t="str">
        <f t="shared" si="62"/>
        <v/>
      </c>
      <c r="AO199" s="13"/>
      <c r="AP199" s="11" t="str">
        <f t="shared" si="63"/>
        <v/>
      </c>
      <c r="AQ199" s="11" t="str">
        <f t="shared" si="64"/>
        <v/>
      </c>
    </row>
    <row r="200" spans="4:43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v>0.21</v>
      </c>
      <c r="N200" s="11" t="e">
        <f t="shared" si="56"/>
        <v>#VALUE!</v>
      </c>
      <c r="O200" s="11">
        <f t="shared" si="57"/>
        <v>0</v>
      </c>
      <c r="R200" s="12" t="str">
        <f>IF(Q200="","",VLOOKUP(Q200,Lists!$E:$F,2,FALSE))</f>
        <v/>
      </c>
      <c r="AE200" s="11" t="str">
        <f t="shared" si="58"/>
        <v/>
      </c>
      <c r="AF200" s="13"/>
      <c r="AG200" s="11" t="str">
        <f t="shared" si="59"/>
        <v/>
      </c>
      <c r="AH200" s="11" t="str">
        <f t="shared" si="60"/>
        <v/>
      </c>
      <c r="AL200" t="str">
        <f t="shared" si="61"/>
        <v/>
      </c>
      <c r="AN200" s="11" t="str">
        <f t="shared" si="62"/>
        <v/>
      </c>
      <c r="AO200" s="13"/>
      <c r="AP200" s="11" t="str">
        <f t="shared" si="63"/>
        <v/>
      </c>
      <c r="AQ200" s="11" t="str">
        <f t="shared" si="64"/>
        <v/>
      </c>
    </row>
    <row r="201" spans="4:43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v>0.21</v>
      </c>
      <c r="N201" s="11" t="e">
        <f t="shared" si="56"/>
        <v>#VALUE!</v>
      </c>
      <c r="O201" s="11">
        <f t="shared" si="57"/>
        <v>0</v>
      </c>
      <c r="R201" s="12" t="str">
        <f>IF(Q201="","",VLOOKUP(Q201,Lists!$E:$F,2,FALSE))</f>
        <v/>
      </c>
      <c r="AE201" s="11" t="str">
        <f t="shared" si="58"/>
        <v/>
      </c>
      <c r="AF201" s="13"/>
      <c r="AG201" s="11" t="str">
        <f t="shared" si="59"/>
        <v/>
      </c>
      <c r="AH201" s="11" t="str">
        <f t="shared" si="60"/>
        <v/>
      </c>
      <c r="AL201" t="str">
        <f t="shared" si="61"/>
        <v/>
      </c>
      <c r="AN201" s="11" t="str">
        <f t="shared" si="62"/>
        <v/>
      </c>
      <c r="AO201" s="13"/>
      <c r="AP201" s="11" t="str">
        <f t="shared" si="63"/>
        <v/>
      </c>
      <c r="AQ201" s="11" t="str">
        <f t="shared" si="64"/>
        <v/>
      </c>
    </row>
  </sheetData>
  <phoneticPr fontId="4" type="noConversion"/>
  <conditionalFormatting sqref="D2:U5000">
    <cfRule type="expression" dxfId="3" priority="5" stopIfTrue="1">
      <formula>$B2&lt;&gt;"Basis"</formula>
    </cfRule>
  </conditionalFormatting>
  <conditionalFormatting sqref="V2:AA5000">
    <cfRule type="expression" dxfId="2" priority="4" stopIfTrue="1">
      <formula>$B2&lt;&gt;"GWE"</formula>
    </cfRule>
  </conditionalFormatting>
  <conditionalFormatting sqref="AB2:AH5000">
    <cfRule type="expression" dxfId="1" priority="3" stopIfTrue="1">
      <formula>$B2&lt;&gt;"Schoonmaak"</formula>
    </cfRule>
  </conditionalFormatting>
  <conditionalFormatting sqref="AI2:AQ5000">
    <cfRule type="expression" dxfId="0" priority="1" stopIfTrue="1">
      <formula>AND($B2&lt;&gt;"Schade",$B2&lt;&gt;"Extra",$B2&lt;&gt;"GWE_Item")</formula>
    </cfRule>
  </conditionalFormatting>
  <dataValidations count="2">
    <dataValidation type="list" sqref="B2:B5000" xr:uid="{00000000-0002-0000-0100-000000000000}">
      <formula1>"Basis,GWE,GWE_Item,Schoonmaak,Schade,Extra"</formula1>
    </dataValidation>
    <dataValidation type="list" allowBlank="1" sqref="AI3:AI13" xr:uid="{8746E3BC-6A7E-A843-9936-1405D31D8BE3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1000000}">
          <x14:formula1>
            <xm:f>Lists!$A$2:$A$5000</xm:f>
          </x14:formula1>
          <xm:sqref>A16:A5000</xm:sqref>
        </x14:dataValidation>
        <x14:dataValidation type="list" allowBlank="1" xr:uid="{00000000-0002-0000-0100-000002000000}">
          <x14:formula1>
            <xm:f>Lists!$C$2:$C$5000</xm:f>
          </x14:formula1>
          <xm:sqref>C16:C5000</xm:sqref>
        </x14:dataValidation>
        <x14:dataValidation type="list" allowBlank="1" xr:uid="{00000000-0002-0000-0100-000003000000}">
          <x14:formula1>
            <xm:f>Lists!$K$2:$K$3</xm:f>
          </x14:formula1>
          <xm:sqref>K2:K5000</xm:sqref>
        </x14:dataValidation>
        <x14:dataValidation type="list" allowBlank="1" xr:uid="{00000000-0002-0000-0100-000004000000}">
          <x14:formula1>
            <xm:f>Lists!$I$2:$I$5</xm:f>
          </x14:formula1>
          <xm:sqref>P2:P5000</xm:sqref>
        </x14:dataValidation>
        <x14:dataValidation type="list" allowBlank="1" xr:uid="{00000000-0002-0000-0100-000005000000}">
          <x14:formula1>
            <xm:f>Lists!$E$2:$E$100</xm:f>
          </x14:formula1>
          <xm:sqref>Q2:Q5000</xm:sqref>
        </x14:dataValidation>
        <x14:dataValidation type="list" allowBlank="1" xr:uid="{00000000-0002-0000-0100-000006000000}">
          <x14:formula1>
            <xm:f>Lists!$M$2:$M$6</xm:f>
          </x14:formula1>
          <xm:sqref>AB2:AB13 AB15:AB5000</xm:sqref>
        </x14:dataValidation>
        <x14:dataValidation type="list" allowBlank="1" xr:uid="{00000000-0002-0000-0100-000007000000}">
          <x14:formula1>
            <xm:f>Lists!$O$2:$O$5</xm:f>
          </x14:formula1>
          <xm:sqref>AI2 AI14:AI5000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3"/>
  <sheetViews>
    <sheetView topLeftCell="A65" workbookViewId="0">
      <selection activeCell="A74" sqref="A74"/>
    </sheetView>
  </sheetViews>
  <sheetFormatPr baseColWidth="10" defaultColWidth="8.83203125" defaultRowHeight="15" x14ac:dyDescent="0.2"/>
  <cols>
    <col min="8" max="8" width="11.5" bestFit="1" customWidth="1"/>
  </cols>
  <sheetData>
    <row r="1" spans="1:15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</row>
    <row r="2" spans="1:15" x14ac:dyDescent="0.2">
      <c r="A2" t="s">
        <v>51</v>
      </c>
      <c r="B2" t="s">
        <v>52</v>
      </c>
      <c r="C2" t="s">
        <v>53</v>
      </c>
      <c r="D2">
        <v>50223</v>
      </c>
      <c r="E2" t="s">
        <v>54</v>
      </c>
      <c r="F2">
        <v>98</v>
      </c>
      <c r="G2">
        <v>200</v>
      </c>
      <c r="H2">
        <v>0</v>
      </c>
      <c r="I2" t="s">
        <v>55</v>
      </c>
      <c r="K2" t="s">
        <v>56</v>
      </c>
      <c r="M2" t="s">
        <v>57</v>
      </c>
      <c r="O2" t="s">
        <v>58</v>
      </c>
    </row>
    <row r="3" spans="1:15" x14ac:dyDescent="0.2">
      <c r="A3" t="s">
        <v>59</v>
      </c>
      <c r="B3" t="s">
        <v>60</v>
      </c>
      <c r="C3" t="s">
        <v>61</v>
      </c>
      <c r="D3">
        <v>50224</v>
      </c>
      <c r="E3" t="s">
        <v>62</v>
      </c>
      <c r="F3">
        <v>82</v>
      </c>
      <c r="G3">
        <v>0</v>
      </c>
      <c r="H3">
        <v>0</v>
      </c>
      <c r="I3" t="s">
        <v>63</v>
      </c>
      <c r="K3" t="s">
        <v>64</v>
      </c>
      <c r="M3" t="s">
        <v>65</v>
      </c>
      <c r="O3" t="s">
        <v>66</v>
      </c>
    </row>
    <row r="4" spans="1:15" x14ac:dyDescent="0.2">
      <c r="A4" t="s">
        <v>67</v>
      </c>
      <c r="B4" t="s">
        <v>68</v>
      </c>
      <c r="C4" t="s">
        <v>69</v>
      </c>
      <c r="D4">
        <v>94</v>
      </c>
      <c r="E4" t="s">
        <v>70</v>
      </c>
      <c r="F4">
        <v>95</v>
      </c>
      <c r="G4">
        <v>0</v>
      </c>
      <c r="H4">
        <v>3300</v>
      </c>
      <c r="I4" t="s">
        <v>71</v>
      </c>
      <c r="M4" t="s">
        <v>72</v>
      </c>
      <c r="O4" t="s">
        <v>73</v>
      </c>
    </row>
    <row r="5" spans="1:15" x14ac:dyDescent="0.2">
      <c r="A5" t="s">
        <v>74</v>
      </c>
      <c r="B5" t="s">
        <v>75</v>
      </c>
      <c r="C5" t="s">
        <v>69</v>
      </c>
      <c r="D5">
        <v>100151</v>
      </c>
      <c r="E5" t="s">
        <v>76</v>
      </c>
      <c r="F5">
        <v>81</v>
      </c>
      <c r="G5">
        <v>0</v>
      </c>
      <c r="H5">
        <v>2550</v>
      </c>
      <c r="I5" t="s">
        <v>77</v>
      </c>
      <c r="M5" t="s">
        <v>78</v>
      </c>
      <c r="O5" t="s">
        <v>79</v>
      </c>
    </row>
    <row r="6" spans="1:15" x14ac:dyDescent="0.2">
      <c r="A6" t="s">
        <v>80</v>
      </c>
      <c r="B6" t="s">
        <v>81</v>
      </c>
      <c r="C6" t="s">
        <v>82</v>
      </c>
      <c r="D6">
        <v>50146</v>
      </c>
      <c r="E6" t="s">
        <v>83</v>
      </c>
      <c r="F6">
        <v>28</v>
      </c>
      <c r="G6">
        <v>0</v>
      </c>
      <c r="H6">
        <v>2271.7600000000002</v>
      </c>
      <c r="M6" t="s">
        <v>84</v>
      </c>
    </row>
    <row r="7" spans="1:15" x14ac:dyDescent="0.2">
      <c r="A7" t="s">
        <v>85</v>
      </c>
      <c r="B7" t="s">
        <v>86</v>
      </c>
      <c r="C7" t="s">
        <v>87</v>
      </c>
      <c r="D7">
        <v>50405</v>
      </c>
      <c r="E7" t="s">
        <v>88</v>
      </c>
      <c r="F7">
        <v>24</v>
      </c>
      <c r="G7">
        <v>0</v>
      </c>
      <c r="H7">
        <v>1940</v>
      </c>
    </row>
    <row r="8" spans="1:15" x14ac:dyDescent="0.2">
      <c r="A8" t="s">
        <v>89</v>
      </c>
      <c r="B8" t="s">
        <v>90</v>
      </c>
      <c r="C8" t="s">
        <v>91</v>
      </c>
      <c r="D8">
        <v>74</v>
      </c>
      <c r="E8" t="s">
        <v>92</v>
      </c>
      <c r="F8">
        <v>6</v>
      </c>
      <c r="G8">
        <v>0</v>
      </c>
      <c r="H8">
        <v>2022.35</v>
      </c>
    </row>
    <row r="9" spans="1:15" x14ac:dyDescent="0.2">
      <c r="A9" t="s">
        <v>93</v>
      </c>
      <c r="B9" t="s">
        <v>94</v>
      </c>
      <c r="C9" t="s">
        <v>76</v>
      </c>
      <c r="D9">
        <v>50142</v>
      </c>
      <c r="E9" t="s">
        <v>95</v>
      </c>
      <c r="F9">
        <v>46</v>
      </c>
      <c r="G9">
        <v>0</v>
      </c>
      <c r="H9">
        <v>2300</v>
      </c>
    </row>
    <row r="10" spans="1:15" x14ac:dyDescent="0.2">
      <c r="A10" t="s">
        <v>96</v>
      </c>
      <c r="B10" t="s">
        <v>97</v>
      </c>
      <c r="C10" t="s">
        <v>98</v>
      </c>
      <c r="D10">
        <v>72</v>
      </c>
      <c r="E10" t="s">
        <v>99</v>
      </c>
      <c r="F10">
        <v>85</v>
      </c>
      <c r="G10">
        <v>500</v>
      </c>
      <c r="H10">
        <v>2255</v>
      </c>
    </row>
    <row r="11" spans="1:15" x14ac:dyDescent="0.2">
      <c r="A11" t="s">
        <v>100</v>
      </c>
      <c r="B11" t="s">
        <v>101</v>
      </c>
      <c r="C11" t="s">
        <v>83</v>
      </c>
      <c r="D11">
        <v>100098</v>
      </c>
      <c r="E11" t="s">
        <v>102</v>
      </c>
      <c r="F11">
        <v>94</v>
      </c>
      <c r="G11">
        <v>250</v>
      </c>
      <c r="H11">
        <v>2594.12</v>
      </c>
    </row>
    <row r="12" spans="1:15" x14ac:dyDescent="0.2">
      <c r="A12" t="s">
        <v>103</v>
      </c>
      <c r="B12" t="s">
        <v>104</v>
      </c>
      <c r="C12" t="s">
        <v>105</v>
      </c>
      <c r="D12">
        <v>50189</v>
      </c>
      <c r="E12" t="s">
        <v>106</v>
      </c>
      <c r="F12">
        <v>52</v>
      </c>
      <c r="G12">
        <v>0</v>
      </c>
      <c r="H12">
        <v>0</v>
      </c>
    </row>
    <row r="13" spans="1:15" x14ac:dyDescent="0.2">
      <c r="A13" t="s">
        <v>107</v>
      </c>
      <c r="B13" t="s">
        <v>108</v>
      </c>
      <c r="C13" t="s">
        <v>88</v>
      </c>
      <c r="D13">
        <v>86</v>
      </c>
      <c r="E13" t="s">
        <v>109</v>
      </c>
      <c r="F13">
        <v>45</v>
      </c>
      <c r="G13">
        <v>350</v>
      </c>
      <c r="H13">
        <v>0</v>
      </c>
    </row>
    <row r="14" spans="1:15" x14ac:dyDescent="0.2">
      <c r="A14" t="s">
        <v>110</v>
      </c>
      <c r="B14" t="s">
        <v>111</v>
      </c>
      <c r="C14" t="s">
        <v>112</v>
      </c>
      <c r="D14">
        <v>44</v>
      </c>
      <c r="E14" t="s">
        <v>113</v>
      </c>
      <c r="F14">
        <v>18</v>
      </c>
      <c r="G14">
        <v>400</v>
      </c>
      <c r="H14">
        <v>0</v>
      </c>
    </row>
    <row r="15" spans="1:15" x14ac:dyDescent="0.2">
      <c r="A15" t="s">
        <v>114</v>
      </c>
      <c r="B15" t="s">
        <v>115</v>
      </c>
      <c r="C15" t="s">
        <v>116</v>
      </c>
      <c r="D15">
        <v>64</v>
      </c>
      <c r="E15" t="s">
        <v>117</v>
      </c>
      <c r="F15">
        <v>83</v>
      </c>
      <c r="G15">
        <v>300</v>
      </c>
      <c r="H15">
        <v>0</v>
      </c>
    </row>
    <row r="16" spans="1:15" x14ac:dyDescent="0.2">
      <c r="A16" t="s">
        <v>118</v>
      </c>
      <c r="B16" t="s">
        <v>119</v>
      </c>
      <c r="C16" t="s">
        <v>120</v>
      </c>
      <c r="D16">
        <v>50353</v>
      </c>
      <c r="E16" t="s">
        <v>121</v>
      </c>
      <c r="F16">
        <v>115</v>
      </c>
      <c r="G16">
        <v>0</v>
      </c>
      <c r="H16">
        <v>0</v>
      </c>
    </row>
    <row r="17" spans="1:8" x14ac:dyDescent="0.2">
      <c r="A17" t="s">
        <v>122</v>
      </c>
      <c r="B17" t="s">
        <v>123</v>
      </c>
      <c r="C17" t="s">
        <v>124</v>
      </c>
      <c r="D17">
        <v>50332</v>
      </c>
      <c r="E17" t="s">
        <v>125</v>
      </c>
      <c r="F17">
        <v>80</v>
      </c>
      <c r="G17">
        <v>300</v>
      </c>
      <c r="H17">
        <v>0</v>
      </c>
    </row>
    <row r="18" spans="1:8" x14ac:dyDescent="0.2">
      <c r="A18" t="s">
        <v>126</v>
      </c>
      <c r="B18" t="s">
        <v>127</v>
      </c>
      <c r="C18" t="s">
        <v>128</v>
      </c>
      <c r="D18">
        <v>50315</v>
      </c>
      <c r="E18" t="s">
        <v>129</v>
      </c>
      <c r="F18">
        <v>91</v>
      </c>
      <c r="G18">
        <v>0</v>
      </c>
      <c r="H18">
        <v>0</v>
      </c>
    </row>
    <row r="19" spans="1:8" x14ac:dyDescent="0.2">
      <c r="A19" t="s">
        <v>130</v>
      </c>
      <c r="B19" t="s">
        <v>131</v>
      </c>
      <c r="C19" t="s">
        <v>132</v>
      </c>
      <c r="D19">
        <v>50352</v>
      </c>
      <c r="E19" t="s">
        <v>133</v>
      </c>
      <c r="F19">
        <v>120</v>
      </c>
      <c r="G19">
        <v>0</v>
      </c>
      <c r="H19">
        <v>0</v>
      </c>
    </row>
    <row r="20" spans="1:8" x14ac:dyDescent="0.2">
      <c r="A20" t="s">
        <v>134</v>
      </c>
      <c r="B20" t="s">
        <v>135</v>
      </c>
      <c r="C20" t="s">
        <v>136</v>
      </c>
      <c r="D20">
        <v>50348</v>
      </c>
      <c r="E20" t="s">
        <v>137</v>
      </c>
      <c r="F20">
        <v>71</v>
      </c>
      <c r="G20">
        <v>450</v>
      </c>
      <c r="H20">
        <v>2176.4699999999998</v>
      </c>
    </row>
    <row r="21" spans="1:8" x14ac:dyDescent="0.2">
      <c r="A21" t="s">
        <v>138</v>
      </c>
      <c r="B21" t="s">
        <v>139</v>
      </c>
      <c r="C21" t="s">
        <v>140</v>
      </c>
      <c r="D21">
        <v>31</v>
      </c>
      <c r="E21" t="s">
        <v>141</v>
      </c>
      <c r="F21">
        <v>9</v>
      </c>
      <c r="G21">
        <v>0</v>
      </c>
      <c r="H21">
        <v>0</v>
      </c>
    </row>
    <row r="22" spans="1:8" x14ac:dyDescent="0.2">
      <c r="A22" t="s">
        <v>142</v>
      </c>
      <c r="B22" t="s">
        <v>143</v>
      </c>
      <c r="C22" t="s">
        <v>144</v>
      </c>
      <c r="D22">
        <v>50287</v>
      </c>
      <c r="E22" t="s">
        <v>145</v>
      </c>
      <c r="F22">
        <v>114</v>
      </c>
      <c r="G22">
        <v>200</v>
      </c>
      <c r="H22">
        <v>0</v>
      </c>
    </row>
    <row r="23" spans="1:8" x14ac:dyDescent="0.2">
      <c r="A23" t="s">
        <v>146</v>
      </c>
      <c r="B23" t="s">
        <v>147</v>
      </c>
      <c r="C23" t="s">
        <v>148</v>
      </c>
      <c r="D23">
        <v>50157</v>
      </c>
      <c r="E23" t="s">
        <v>149</v>
      </c>
      <c r="F23">
        <v>19</v>
      </c>
      <c r="G23">
        <v>0</v>
      </c>
      <c r="H23">
        <v>0</v>
      </c>
    </row>
    <row r="24" spans="1:8" x14ac:dyDescent="0.2">
      <c r="A24" t="s">
        <v>150</v>
      </c>
      <c r="B24" t="s">
        <v>151</v>
      </c>
      <c r="C24" t="s">
        <v>152</v>
      </c>
      <c r="D24">
        <v>50299</v>
      </c>
      <c r="E24" t="s">
        <v>153</v>
      </c>
      <c r="F24">
        <v>108</v>
      </c>
      <c r="G24">
        <v>250</v>
      </c>
      <c r="H24">
        <v>0</v>
      </c>
    </row>
    <row r="25" spans="1:8" x14ac:dyDescent="0.2">
      <c r="A25" t="s">
        <v>154</v>
      </c>
      <c r="B25" t="s">
        <v>155</v>
      </c>
      <c r="C25" t="s">
        <v>156</v>
      </c>
      <c r="D25">
        <v>50008</v>
      </c>
      <c r="E25" t="s">
        <v>157</v>
      </c>
      <c r="F25">
        <v>109</v>
      </c>
      <c r="G25">
        <v>250</v>
      </c>
      <c r="H25">
        <v>0</v>
      </c>
    </row>
    <row r="26" spans="1:8" x14ac:dyDescent="0.2">
      <c r="A26" t="s">
        <v>158</v>
      </c>
      <c r="B26" t="s">
        <v>159</v>
      </c>
      <c r="C26" t="s">
        <v>160</v>
      </c>
      <c r="D26">
        <v>50175</v>
      </c>
      <c r="E26" t="s">
        <v>161</v>
      </c>
      <c r="F26">
        <v>56</v>
      </c>
      <c r="G26">
        <v>300</v>
      </c>
      <c r="H26">
        <v>0</v>
      </c>
    </row>
    <row r="27" spans="1:8" x14ac:dyDescent="0.2">
      <c r="A27" t="s">
        <v>162</v>
      </c>
      <c r="B27" t="s">
        <v>163</v>
      </c>
      <c r="C27" t="s">
        <v>99</v>
      </c>
      <c r="D27">
        <v>50169</v>
      </c>
      <c r="E27" t="s">
        <v>164</v>
      </c>
      <c r="F27">
        <v>48</v>
      </c>
      <c r="G27">
        <v>0</v>
      </c>
      <c r="H27">
        <v>0</v>
      </c>
    </row>
    <row r="28" spans="1:8" x14ac:dyDescent="0.2">
      <c r="A28" t="s">
        <v>165</v>
      </c>
      <c r="B28" t="s">
        <v>166</v>
      </c>
      <c r="C28" t="s">
        <v>106</v>
      </c>
      <c r="D28">
        <v>100265</v>
      </c>
      <c r="E28" t="s">
        <v>167</v>
      </c>
      <c r="F28">
        <v>84</v>
      </c>
      <c r="G28">
        <v>600</v>
      </c>
      <c r="H28">
        <v>0</v>
      </c>
    </row>
    <row r="29" spans="1:8" x14ac:dyDescent="0.2">
      <c r="A29" t="s">
        <v>168</v>
      </c>
      <c r="B29" t="s">
        <v>169</v>
      </c>
      <c r="C29" t="s">
        <v>170</v>
      </c>
      <c r="D29">
        <v>50254</v>
      </c>
      <c r="E29" t="s">
        <v>171</v>
      </c>
      <c r="F29">
        <v>59</v>
      </c>
      <c r="G29">
        <v>600</v>
      </c>
      <c r="H29">
        <v>0</v>
      </c>
    </row>
    <row r="30" spans="1:8" x14ac:dyDescent="0.2">
      <c r="A30" t="s">
        <v>172</v>
      </c>
      <c r="B30" t="s">
        <v>173</v>
      </c>
      <c r="C30" t="s">
        <v>174</v>
      </c>
      <c r="D30">
        <v>50330</v>
      </c>
      <c r="E30" t="s">
        <v>175</v>
      </c>
      <c r="F30">
        <v>92</v>
      </c>
      <c r="G30">
        <v>450</v>
      </c>
      <c r="H30">
        <v>0</v>
      </c>
    </row>
    <row r="31" spans="1:8" x14ac:dyDescent="0.2">
      <c r="A31" t="s">
        <v>176</v>
      </c>
      <c r="B31" t="s">
        <v>177</v>
      </c>
      <c r="C31" t="s">
        <v>178</v>
      </c>
      <c r="D31">
        <v>50101</v>
      </c>
      <c r="E31" t="s">
        <v>179</v>
      </c>
      <c r="F31">
        <v>58</v>
      </c>
      <c r="G31">
        <v>0</v>
      </c>
      <c r="H31">
        <v>0</v>
      </c>
    </row>
    <row r="32" spans="1:8" x14ac:dyDescent="0.2">
      <c r="A32" t="s">
        <v>180</v>
      </c>
      <c r="B32" t="s">
        <v>181</v>
      </c>
      <c r="C32" t="s">
        <v>182</v>
      </c>
      <c r="D32">
        <v>38</v>
      </c>
      <c r="E32" t="s">
        <v>183</v>
      </c>
      <c r="F32">
        <v>121</v>
      </c>
      <c r="G32">
        <v>0</v>
      </c>
      <c r="H32">
        <v>0</v>
      </c>
    </row>
    <row r="33" spans="1:8" x14ac:dyDescent="0.2">
      <c r="A33" t="s">
        <v>184</v>
      </c>
      <c r="B33" t="s">
        <v>185</v>
      </c>
      <c r="C33" t="s">
        <v>186</v>
      </c>
      <c r="D33">
        <v>50401</v>
      </c>
      <c r="E33" t="s">
        <v>187</v>
      </c>
      <c r="F33">
        <v>1</v>
      </c>
      <c r="G33">
        <v>250</v>
      </c>
      <c r="H33">
        <v>0</v>
      </c>
    </row>
    <row r="34" spans="1:8" x14ac:dyDescent="0.2">
      <c r="A34" t="s">
        <v>188</v>
      </c>
      <c r="B34" t="s">
        <v>189</v>
      </c>
      <c r="C34" t="s">
        <v>190</v>
      </c>
      <c r="D34">
        <v>50302</v>
      </c>
      <c r="E34" t="s">
        <v>191</v>
      </c>
      <c r="F34">
        <v>14</v>
      </c>
      <c r="G34">
        <v>0</v>
      </c>
      <c r="H34">
        <v>0</v>
      </c>
    </row>
    <row r="35" spans="1:8" x14ac:dyDescent="0.2">
      <c r="A35" t="s">
        <v>192</v>
      </c>
      <c r="B35" t="s">
        <v>193</v>
      </c>
      <c r="C35" t="s">
        <v>194</v>
      </c>
      <c r="D35">
        <v>50419</v>
      </c>
      <c r="E35" t="s">
        <v>195</v>
      </c>
      <c r="F35">
        <v>35</v>
      </c>
      <c r="G35">
        <v>0</v>
      </c>
      <c r="H35">
        <v>0</v>
      </c>
    </row>
    <row r="36" spans="1:8" x14ac:dyDescent="0.2">
      <c r="A36" t="s">
        <v>196</v>
      </c>
      <c r="B36" t="s">
        <v>197</v>
      </c>
      <c r="C36" t="s">
        <v>198</v>
      </c>
      <c r="D36">
        <v>50257</v>
      </c>
      <c r="E36" t="s">
        <v>199</v>
      </c>
      <c r="F36">
        <v>65</v>
      </c>
      <c r="G36">
        <v>0</v>
      </c>
      <c r="H36">
        <v>0</v>
      </c>
    </row>
    <row r="37" spans="1:8" x14ac:dyDescent="0.2">
      <c r="A37" t="s">
        <v>200</v>
      </c>
      <c r="B37" t="s">
        <v>201</v>
      </c>
      <c r="C37" t="s">
        <v>202</v>
      </c>
      <c r="D37">
        <v>2</v>
      </c>
      <c r="E37" t="s">
        <v>203</v>
      </c>
      <c r="F37">
        <v>64</v>
      </c>
      <c r="G37">
        <v>0</v>
      </c>
      <c r="H37">
        <v>0</v>
      </c>
    </row>
    <row r="38" spans="1:8" x14ac:dyDescent="0.2">
      <c r="A38" t="s">
        <v>204</v>
      </c>
      <c r="B38" t="s">
        <v>205</v>
      </c>
      <c r="C38" t="s">
        <v>117</v>
      </c>
      <c r="D38">
        <v>58</v>
      </c>
      <c r="E38" t="s">
        <v>206</v>
      </c>
      <c r="F38">
        <v>76</v>
      </c>
      <c r="G38">
        <v>300</v>
      </c>
      <c r="H38">
        <v>0</v>
      </c>
    </row>
    <row r="39" spans="1:8" x14ac:dyDescent="0.2">
      <c r="A39" t="s">
        <v>207</v>
      </c>
      <c r="B39" t="s">
        <v>208</v>
      </c>
      <c r="C39" t="s">
        <v>209</v>
      </c>
      <c r="D39">
        <v>100191</v>
      </c>
      <c r="E39" t="s">
        <v>210</v>
      </c>
      <c r="F39">
        <v>10</v>
      </c>
      <c r="G39">
        <v>0</v>
      </c>
      <c r="H39">
        <v>1929.41</v>
      </c>
    </row>
    <row r="40" spans="1:8" x14ac:dyDescent="0.2">
      <c r="A40" t="s">
        <v>211</v>
      </c>
      <c r="B40" t="s">
        <v>212</v>
      </c>
      <c r="C40" t="s">
        <v>213</v>
      </c>
      <c r="D40">
        <v>100178</v>
      </c>
      <c r="E40" t="s">
        <v>214</v>
      </c>
      <c r="F40">
        <v>97</v>
      </c>
      <c r="G40">
        <v>0</v>
      </c>
      <c r="H40">
        <v>1821.75</v>
      </c>
    </row>
    <row r="41" spans="1:8" x14ac:dyDescent="0.2">
      <c r="A41" t="s">
        <v>215</v>
      </c>
      <c r="B41" t="s">
        <v>216</v>
      </c>
      <c r="C41" t="s">
        <v>217</v>
      </c>
      <c r="D41">
        <v>50446</v>
      </c>
      <c r="E41" t="s">
        <v>218</v>
      </c>
      <c r="F41">
        <v>86</v>
      </c>
      <c r="G41">
        <v>0</v>
      </c>
      <c r="H41">
        <v>2275.29</v>
      </c>
    </row>
    <row r="42" spans="1:8" x14ac:dyDescent="0.2">
      <c r="A42" t="s">
        <v>219</v>
      </c>
      <c r="B42" t="s">
        <v>220</v>
      </c>
      <c r="C42" t="s">
        <v>221</v>
      </c>
      <c r="D42">
        <v>100243</v>
      </c>
      <c r="E42" t="s">
        <v>222</v>
      </c>
      <c r="F42">
        <v>16</v>
      </c>
      <c r="G42">
        <v>0</v>
      </c>
      <c r="H42">
        <v>1691.63</v>
      </c>
    </row>
    <row r="43" spans="1:8" x14ac:dyDescent="0.2">
      <c r="A43" t="s">
        <v>223</v>
      </c>
      <c r="B43" t="s">
        <v>224</v>
      </c>
      <c r="C43" t="s">
        <v>225</v>
      </c>
      <c r="D43">
        <v>100203</v>
      </c>
      <c r="E43" t="s">
        <v>226</v>
      </c>
      <c r="F43">
        <v>51</v>
      </c>
      <c r="G43">
        <v>0</v>
      </c>
      <c r="H43">
        <v>1623.96</v>
      </c>
    </row>
    <row r="44" spans="1:8" x14ac:dyDescent="0.2">
      <c r="A44" t="s">
        <v>227</v>
      </c>
      <c r="B44" t="s">
        <v>228</v>
      </c>
      <c r="C44" t="s">
        <v>229</v>
      </c>
      <c r="D44">
        <v>100206</v>
      </c>
      <c r="E44" t="s">
        <v>230</v>
      </c>
      <c r="F44">
        <v>61</v>
      </c>
      <c r="G44">
        <v>0</v>
      </c>
      <c r="H44">
        <v>1780</v>
      </c>
    </row>
    <row r="45" spans="1:8" x14ac:dyDescent="0.2">
      <c r="A45" t="s">
        <v>231</v>
      </c>
      <c r="B45" t="s">
        <v>232</v>
      </c>
      <c r="C45" t="s">
        <v>233</v>
      </c>
      <c r="D45">
        <v>50151</v>
      </c>
      <c r="E45" t="s">
        <v>234</v>
      </c>
      <c r="F45">
        <v>87</v>
      </c>
      <c r="G45">
        <v>0</v>
      </c>
      <c r="H45">
        <v>0</v>
      </c>
    </row>
    <row r="46" spans="1:8" x14ac:dyDescent="0.2">
      <c r="A46" t="s">
        <v>235</v>
      </c>
      <c r="B46" t="s">
        <v>236</v>
      </c>
      <c r="C46" t="s">
        <v>237</v>
      </c>
      <c r="D46">
        <v>50221</v>
      </c>
      <c r="E46" t="s">
        <v>238</v>
      </c>
      <c r="F46">
        <v>103</v>
      </c>
      <c r="G46">
        <v>250</v>
      </c>
      <c r="H46">
        <v>2314.12</v>
      </c>
    </row>
    <row r="47" spans="1:8" x14ac:dyDescent="0.2">
      <c r="A47" t="s">
        <v>239</v>
      </c>
      <c r="B47" t="s">
        <v>240</v>
      </c>
      <c r="C47" t="s">
        <v>241</v>
      </c>
      <c r="D47">
        <v>63</v>
      </c>
      <c r="E47" t="s">
        <v>242</v>
      </c>
      <c r="F47">
        <v>20</v>
      </c>
      <c r="G47">
        <v>0</v>
      </c>
      <c r="H47">
        <v>1965.88</v>
      </c>
    </row>
    <row r="48" spans="1:8" x14ac:dyDescent="0.2">
      <c r="A48" t="s">
        <v>243</v>
      </c>
      <c r="B48" t="s">
        <v>244</v>
      </c>
      <c r="C48" t="s">
        <v>245</v>
      </c>
      <c r="D48">
        <v>91</v>
      </c>
      <c r="E48" t="s">
        <v>246</v>
      </c>
      <c r="F48">
        <v>55</v>
      </c>
      <c r="G48">
        <v>325</v>
      </c>
      <c r="H48">
        <v>1864.71</v>
      </c>
    </row>
    <row r="49" spans="1:8" x14ac:dyDescent="0.2">
      <c r="A49" t="s">
        <v>247</v>
      </c>
      <c r="B49" t="s">
        <v>248</v>
      </c>
      <c r="C49" t="s">
        <v>249</v>
      </c>
      <c r="D49">
        <v>50246</v>
      </c>
      <c r="E49" t="s">
        <v>250</v>
      </c>
      <c r="F49">
        <v>31</v>
      </c>
      <c r="G49">
        <v>250</v>
      </c>
      <c r="H49">
        <v>2507.06</v>
      </c>
    </row>
    <row r="50" spans="1:8" x14ac:dyDescent="0.2">
      <c r="A50" t="s">
        <v>251</v>
      </c>
      <c r="B50" t="s">
        <v>252</v>
      </c>
      <c r="C50" t="s">
        <v>253</v>
      </c>
      <c r="D50">
        <v>50361</v>
      </c>
      <c r="E50" t="s">
        <v>254</v>
      </c>
      <c r="F50">
        <v>36</v>
      </c>
      <c r="G50">
        <v>450</v>
      </c>
      <c r="H50">
        <v>4600</v>
      </c>
    </row>
    <row r="51" spans="1:8" x14ac:dyDescent="0.2">
      <c r="A51" t="s">
        <v>255</v>
      </c>
      <c r="B51" t="s">
        <v>256</v>
      </c>
      <c r="C51" t="s">
        <v>257</v>
      </c>
      <c r="D51">
        <v>50167</v>
      </c>
      <c r="E51" t="s">
        <v>258</v>
      </c>
      <c r="F51">
        <v>73</v>
      </c>
      <c r="G51">
        <v>0</v>
      </c>
      <c r="H51">
        <v>0</v>
      </c>
    </row>
    <row r="52" spans="1:8" x14ac:dyDescent="0.2">
      <c r="A52" t="s">
        <v>259</v>
      </c>
      <c r="B52" t="s">
        <v>260</v>
      </c>
      <c r="C52" t="s">
        <v>261</v>
      </c>
      <c r="D52">
        <v>50143</v>
      </c>
      <c r="E52" t="s">
        <v>262</v>
      </c>
      <c r="F52">
        <v>8</v>
      </c>
      <c r="G52">
        <v>250</v>
      </c>
      <c r="H52">
        <v>1900</v>
      </c>
    </row>
    <row r="53" spans="1:8" x14ac:dyDescent="0.2">
      <c r="A53" t="s">
        <v>263</v>
      </c>
      <c r="B53" t="s">
        <v>264</v>
      </c>
      <c r="C53" t="s">
        <v>265</v>
      </c>
      <c r="D53">
        <v>50172</v>
      </c>
      <c r="E53" t="s">
        <v>266</v>
      </c>
      <c r="F53">
        <v>96</v>
      </c>
      <c r="G53">
        <v>300</v>
      </c>
      <c r="H53">
        <v>3860</v>
      </c>
    </row>
    <row r="54" spans="1:8" x14ac:dyDescent="0.2">
      <c r="A54" t="s">
        <v>267</v>
      </c>
      <c r="B54" t="s">
        <v>268</v>
      </c>
      <c r="C54" t="s">
        <v>269</v>
      </c>
      <c r="D54">
        <v>50282</v>
      </c>
      <c r="E54" t="s">
        <v>270</v>
      </c>
      <c r="F54">
        <v>70</v>
      </c>
      <c r="G54">
        <v>0</v>
      </c>
      <c r="H54">
        <v>2295.29</v>
      </c>
    </row>
    <row r="55" spans="1:8" x14ac:dyDescent="0.2">
      <c r="A55" t="s">
        <v>271</v>
      </c>
      <c r="B55" t="s">
        <v>272</v>
      </c>
      <c r="C55" t="s">
        <v>273</v>
      </c>
      <c r="D55">
        <v>50019</v>
      </c>
      <c r="E55" t="s">
        <v>274</v>
      </c>
      <c r="F55">
        <v>53</v>
      </c>
      <c r="G55">
        <v>400</v>
      </c>
      <c r="H55">
        <v>2356.4699999999998</v>
      </c>
    </row>
    <row r="56" spans="1:8" x14ac:dyDescent="0.2">
      <c r="A56" t="s">
        <v>275</v>
      </c>
      <c r="B56" t="s">
        <v>276</v>
      </c>
      <c r="C56" t="s">
        <v>277</v>
      </c>
      <c r="D56">
        <v>50201</v>
      </c>
      <c r="E56" t="s">
        <v>278</v>
      </c>
      <c r="F56">
        <v>25</v>
      </c>
      <c r="G56">
        <v>250</v>
      </c>
      <c r="H56">
        <v>1714.12</v>
      </c>
    </row>
    <row r="57" spans="1:8" x14ac:dyDescent="0.2">
      <c r="A57" t="s">
        <v>279</v>
      </c>
      <c r="B57" t="s">
        <v>280</v>
      </c>
      <c r="C57" t="s">
        <v>281</v>
      </c>
      <c r="D57">
        <v>56</v>
      </c>
      <c r="E57" t="s">
        <v>282</v>
      </c>
      <c r="F57">
        <v>21</v>
      </c>
      <c r="G57">
        <v>0</v>
      </c>
      <c r="H57">
        <v>0</v>
      </c>
    </row>
    <row r="58" spans="1:8" x14ac:dyDescent="0.2">
      <c r="A58" t="s">
        <v>283</v>
      </c>
      <c r="B58" t="s">
        <v>284</v>
      </c>
      <c r="C58" t="s">
        <v>161</v>
      </c>
      <c r="D58">
        <v>48</v>
      </c>
      <c r="E58" t="s">
        <v>285</v>
      </c>
      <c r="F58">
        <v>74</v>
      </c>
      <c r="G58">
        <v>0</v>
      </c>
      <c r="H58">
        <v>0</v>
      </c>
    </row>
    <row r="59" spans="1:8" x14ac:dyDescent="0.2">
      <c r="A59" t="s">
        <v>286</v>
      </c>
      <c r="B59" t="s">
        <v>287</v>
      </c>
      <c r="C59" t="s">
        <v>288</v>
      </c>
      <c r="D59">
        <v>50294</v>
      </c>
      <c r="E59" t="s">
        <v>289</v>
      </c>
      <c r="F59">
        <v>88</v>
      </c>
      <c r="G59">
        <v>0</v>
      </c>
      <c r="H59">
        <v>2111.7600000000002</v>
      </c>
    </row>
    <row r="60" spans="1:8" x14ac:dyDescent="0.2">
      <c r="A60" t="s">
        <v>290</v>
      </c>
      <c r="B60" t="s">
        <v>291</v>
      </c>
      <c r="C60" t="s">
        <v>292</v>
      </c>
      <c r="D60">
        <v>50214</v>
      </c>
      <c r="E60" t="s">
        <v>293</v>
      </c>
      <c r="F60">
        <v>122</v>
      </c>
      <c r="G60">
        <v>0</v>
      </c>
      <c r="H60">
        <v>2810.7</v>
      </c>
    </row>
    <row r="61" spans="1:8" x14ac:dyDescent="0.2">
      <c r="A61" t="s">
        <v>294</v>
      </c>
      <c r="B61" t="s">
        <v>295</v>
      </c>
      <c r="C61" t="s">
        <v>296</v>
      </c>
      <c r="D61">
        <v>100213</v>
      </c>
      <c r="E61" t="s">
        <v>297</v>
      </c>
      <c r="F61">
        <v>99</v>
      </c>
      <c r="G61">
        <v>0</v>
      </c>
      <c r="H61">
        <v>2498.54</v>
      </c>
    </row>
    <row r="62" spans="1:8" x14ac:dyDescent="0.2">
      <c r="A62" t="s">
        <v>298</v>
      </c>
      <c r="B62" t="s">
        <v>299</v>
      </c>
      <c r="C62" t="s">
        <v>300</v>
      </c>
      <c r="D62">
        <v>50427</v>
      </c>
      <c r="E62" t="s">
        <v>301</v>
      </c>
      <c r="F62">
        <v>111</v>
      </c>
      <c r="G62">
        <v>0</v>
      </c>
      <c r="H62">
        <v>1442.35</v>
      </c>
    </row>
    <row r="63" spans="1:8" x14ac:dyDescent="0.2">
      <c r="A63" t="s">
        <v>302</v>
      </c>
      <c r="B63" t="s">
        <v>303</v>
      </c>
      <c r="C63" t="s">
        <v>304</v>
      </c>
      <c r="D63">
        <v>50231</v>
      </c>
      <c r="E63" t="s">
        <v>305</v>
      </c>
      <c r="F63">
        <v>44</v>
      </c>
      <c r="G63">
        <v>450</v>
      </c>
      <c r="H63">
        <v>0</v>
      </c>
    </row>
    <row r="64" spans="1:8" x14ac:dyDescent="0.2">
      <c r="A64" t="s">
        <v>306</v>
      </c>
      <c r="B64" t="s">
        <v>307</v>
      </c>
      <c r="C64" t="s">
        <v>308</v>
      </c>
      <c r="D64">
        <v>50230</v>
      </c>
      <c r="E64" t="s">
        <v>309</v>
      </c>
      <c r="F64">
        <v>4</v>
      </c>
      <c r="G64">
        <v>130</v>
      </c>
      <c r="H64">
        <v>0</v>
      </c>
    </row>
    <row r="65" spans="1:8" x14ac:dyDescent="0.2">
      <c r="A65" t="s">
        <v>310</v>
      </c>
      <c r="B65" t="s">
        <v>311</v>
      </c>
      <c r="C65" t="s">
        <v>312</v>
      </c>
      <c r="D65">
        <v>50263</v>
      </c>
      <c r="E65" t="s">
        <v>313</v>
      </c>
      <c r="F65">
        <v>90</v>
      </c>
      <c r="G65">
        <v>0</v>
      </c>
      <c r="H65">
        <v>0</v>
      </c>
    </row>
    <row r="66" spans="1:8" x14ac:dyDescent="0.2">
      <c r="A66" t="s">
        <v>314</v>
      </c>
      <c r="B66" t="s">
        <v>315</v>
      </c>
      <c r="C66" t="s">
        <v>316</v>
      </c>
      <c r="D66">
        <v>50300</v>
      </c>
      <c r="E66" t="s">
        <v>317</v>
      </c>
      <c r="F66">
        <v>32</v>
      </c>
      <c r="G66">
        <v>0</v>
      </c>
      <c r="H66">
        <v>0</v>
      </c>
    </row>
    <row r="67" spans="1:8" x14ac:dyDescent="0.2">
      <c r="A67" t="s">
        <v>318</v>
      </c>
      <c r="B67" t="s">
        <v>319</v>
      </c>
      <c r="C67" t="s">
        <v>320</v>
      </c>
      <c r="D67">
        <v>50247</v>
      </c>
      <c r="E67" t="s">
        <v>321</v>
      </c>
      <c r="F67">
        <v>40</v>
      </c>
      <c r="G67">
        <v>0</v>
      </c>
      <c r="H67">
        <v>0</v>
      </c>
    </row>
    <row r="68" spans="1:8" x14ac:dyDescent="0.2">
      <c r="A68" t="s">
        <v>322</v>
      </c>
      <c r="B68" t="s">
        <v>323</v>
      </c>
      <c r="C68" t="s">
        <v>324</v>
      </c>
      <c r="D68">
        <v>50203</v>
      </c>
      <c r="E68" t="s">
        <v>325</v>
      </c>
      <c r="F68">
        <v>7</v>
      </c>
      <c r="G68">
        <v>0</v>
      </c>
      <c r="H68">
        <v>2909.6</v>
      </c>
    </row>
    <row r="69" spans="1:8" x14ac:dyDescent="0.2">
      <c r="A69" t="s">
        <v>326</v>
      </c>
      <c r="B69" t="s">
        <v>327</v>
      </c>
      <c r="C69" t="s">
        <v>328</v>
      </c>
      <c r="D69">
        <v>50208</v>
      </c>
      <c r="E69" t="s">
        <v>329</v>
      </c>
      <c r="F69">
        <v>37</v>
      </c>
      <c r="G69">
        <v>0</v>
      </c>
      <c r="H69">
        <v>2165.2600000000002</v>
      </c>
    </row>
    <row r="70" spans="1:8" x14ac:dyDescent="0.2">
      <c r="A70" t="s">
        <v>330</v>
      </c>
      <c r="B70" t="s">
        <v>331</v>
      </c>
      <c r="C70" t="s">
        <v>332</v>
      </c>
      <c r="D70">
        <v>50225</v>
      </c>
      <c r="E70" t="s">
        <v>333</v>
      </c>
      <c r="F70">
        <v>50</v>
      </c>
      <c r="G70">
        <v>0</v>
      </c>
      <c r="H70">
        <v>1763.53</v>
      </c>
    </row>
    <row r="71" spans="1:8" x14ac:dyDescent="0.2">
      <c r="A71" t="s">
        <v>334</v>
      </c>
      <c r="B71" t="s">
        <v>335</v>
      </c>
      <c r="C71" t="s">
        <v>336</v>
      </c>
      <c r="D71">
        <v>50226</v>
      </c>
      <c r="E71" t="s">
        <v>337</v>
      </c>
      <c r="F71">
        <v>69</v>
      </c>
      <c r="G71">
        <v>0</v>
      </c>
      <c r="H71">
        <v>2850</v>
      </c>
    </row>
    <row r="72" spans="1:8" x14ac:dyDescent="0.2">
      <c r="A72" t="s">
        <v>338</v>
      </c>
      <c r="B72" t="s">
        <v>339</v>
      </c>
      <c r="C72" t="s">
        <v>340</v>
      </c>
      <c r="D72">
        <v>50237</v>
      </c>
      <c r="E72" t="s">
        <v>341</v>
      </c>
      <c r="F72">
        <v>107</v>
      </c>
      <c r="G72">
        <v>0</v>
      </c>
      <c r="H72">
        <v>2143.5300000000002</v>
      </c>
    </row>
    <row r="73" spans="1:8" x14ac:dyDescent="0.2">
      <c r="A73" t="s">
        <v>342</v>
      </c>
      <c r="B73" t="s">
        <v>343</v>
      </c>
      <c r="C73" t="s">
        <v>344</v>
      </c>
      <c r="D73">
        <v>50243</v>
      </c>
      <c r="E73" t="s">
        <v>345</v>
      </c>
      <c r="F73">
        <v>49</v>
      </c>
      <c r="G73">
        <v>0</v>
      </c>
      <c r="H73">
        <v>2509.41</v>
      </c>
    </row>
    <row r="74" spans="1:8" x14ac:dyDescent="0.2">
      <c r="A74" t="s">
        <v>346</v>
      </c>
      <c r="B74" t="s">
        <v>347</v>
      </c>
      <c r="C74" t="s">
        <v>348</v>
      </c>
      <c r="D74">
        <v>50211</v>
      </c>
      <c r="E74" t="s">
        <v>349</v>
      </c>
      <c r="F74">
        <v>100</v>
      </c>
      <c r="G74">
        <v>0</v>
      </c>
      <c r="H74">
        <v>0</v>
      </c>
    </row>
    <row r="75" spans="1:8" x14ac:dyDescent="0.2">
      <c r="A75" t="s">
        <v>350</v>
      </c>
      <c r="B75" t="s">
        <v>351</v>
      </c>
      <c r="C75" t="s">
        <v>352</v>
      </c>
      <c r="D75">
        <v>50242</v>
      </c>
      <c r="E75" t="s">
        <v>353</v>
      </c>
      <c r="F75">
        <v>72</v>
      </c>
      <c r="G75">
        <v>0</v>
      </c>
      <c r="H75">
        <v>1552.29</v>
      </c>
    </row>
    <row r="76" spans="1:8" x14ac:dyDescent="0.2">
      <c r="A76" t="s">
        <v>354</v>
      </c>
      <c r="B76" t="s">
        <v>355</v>
      </c>
      <c r="C76" t="s">
        <v>356</v>
      </c>
      <c r="D76">
        <v>50209</v>
      </c>
      <c r="E76" t="s">
        <v>357</v>
      </c>
      <c r="F76">
        <v>68</v>
      </c>
      <c r="G76">
        <v>450</v>
      </c>
      <c r="H76">
        <v>4850</v>
      </c>
    </row>
    <row r="77" spans="1:8" x14ac:dyDescent="0.2">
      <c r="A77" t="s">
        <v>358</v>
      </c>
      <c r="B77" t="s">
        <v>359</v>
      </c>
      <c r="C77" t="s">
        <v>360</v>
      </c>
      <c r="D77">
        <v>50273</v>
      </c>
      <c r="E77" t="s">
        <v>361</v>
      </c>
      <c r="F77">
        <v>43</v>
      </c>
      <c r="G77">
        <v>0</v>
      </c>
      <c r="H77">
        <v>2498.54</v>
      </c>
    </row>
    <row r="78" spans="1:8" x14ac:dyDescent="0.2">
      <c r="A78" t="s">
        <v>362</v>
      </c>
      <c r="B78" t="s">
        <v>363</v>
      </c>
      <c r="C78" t="s">
        <v>364</v>
      </c>
      <c r="D78">
        <v>34</v>
      </c>
      <c r="E78" t="s">
        <v>365</v>
      </c>
      <c r="F78">
        <v>105</v>
      </c>
      <c r="G78">
        <v>0</v>
      </c>
      <c r="H78">
        <v>2054.12</v>
      </c>
    </row>
    <row r="79" spans="1:8" x14ac:dyDescent="0.2">
      <c r="A79" t="s">
        <v>366</v>
      </c>
      <c r="B79" t="s">
        <v>367</v>
      </c>
      <c r="C79" t="s">
        <v>368</v>
      </c>
      <c r="D79">
        <v>100233</v>
      </c>
      <c r="E79" t="s">
        <v>369</v>
      </c>
      <c r="F79">
        <v>104</v>
      </c>
      <c r="G79">
        <v>250</v>
      </c>
      <c r="H79">
        <v>1700</v>
      </c>
    </row>
    <row r="80" spans="1:8" x14ac:dyDescent="0.2">
      <c r="A80" t="s">
        <v>370</v>
      </c>
      <c r="B80" t="s">
        <v>371</v>
      </c>
      <c r="C80" t="s">
        <v>372</v>
      </c>
      <c r="D80">
        <v>50375</v>
      </c>
      <c r="E80" t="s">
        <v>373</v>
      </c>
      <c r="F80">
        <v>78</v>
      </c>
      <c r="G80">
        <v>0</v>
      </c>
      <c r="H80">
        <v>2841.93</v>
      </c>
    </row>
    <row r="81" spans="1:8" x14ac:dyDescent="0.2">
      <c r="A81" t="s">
        <v>374</v>
      </c>
      <c r="B81" t="s">
        <v>375</v>
      </c>
      <c r="C81" t="s">
        <v>376</v>
      </c>
      <c r="D81">
        <v>50431</v>
      </c>
      <c r="E81" t="s">
        <v>377</v>
      </c>
      <c r="F81">
        <v>13</v>
      </c>
      <c r="G81">
        <v>0</v>
      </c>
      <c r="H81">
        <v>3608.79</v>
      </c>
    </row>
    <row r="82" spans="1:8" x14ac:dyDescent="0.2">
      <c r="A82" t="s">
        <v>378</v>
      </c>
      <c r="B82" t="s">
        <v>379</v>
      </c>
      <c r="C82" t="s">
        <v>380</v>
      </c>
      <c r="D82">
        <v>100135</v>
      </c>
      <c r="E82" t="s">
        <v>381</v>
      </c>
      <c r="F82">
        <v>11</v>
      </c>
      <c r="G82">
        <v>0</v>
      </c>
      <c r="H82">
        <v>1580</v>
      </c>
    </row>
    <row r="83" spans="1:8" x14ac:dyDescent="0.2">
      <c r="A83" t="s">
        <v>382</v>
      </c>
      <c r="B83" t="s">
        <v>383</v>
      </c>
      <c r="C83" t="s">
        <v>384</v>
      </c>
      <c r="D83">
        <v>50192</v>
      </c>
      <c r="E83" t="s">
        <v>385</v>
      </c>
      <c r="F83">
        <v>93</v>
      </c>
      <c r="G83">
        <v>0</v>
      </c>
      <c r="H83">
        <v>1648.24</v>
      </c>
    </row>
    <row r="84" spans="1:8" x14ac:dyDescent="0.2">
      <c r="A84" t="s">
        <v>386</v>
      </c>
      <c r="B84" t="s">
        <v>387</v>
      </c>
      <c r="C84" t="s">
        <v>388</v>
      </c>
      <c r="D84">
        <v>50020</v>
      </c>
      <c r="E84" t="s">
        <v>389</v>
      </c>
      <c r="F84">
        <v>123</v>
      </c>
      <c r="G84">
        <v>0</v>
      </c>
      <c r="H84">
        <v>2157.65</v>
      </c>
    </row>
    <row r="85" spans="1:8" x14ac:dyDescent="0.2">
      <c r="A85" t="s">
        <v>390</v>
      </c>
      <c r="B85" t="s">
        <v>391</v>
      </c>
      <c r="C85" t="s">
        <v>392</v>
      </c>
      <c r="D85">
        <v>100133</v>
      </c>
      <c r="E85" t="s">
        <v>393</v>
      </c>
      <c r="F85">
        <v>34</v>
      </c>
      <c r="G85">
        <v>0</v>
      </c>
      <c r="H85">
        <v>0</v>
      </c>
    </row>
    <row r="86" spans="1:8" x14ac:dyDescent="0.2">
      <c r="A86" t="s">
        <v>394</v>
      </c>
      <c r="B86" t="s">
        <v>395</v>
      </c>
      <c r="C86" t="s">
        <v>396</v>
      </c>
      <c r="D86">
        <v>100238</v>
      </c>
      <c r="E86" t="s">
        <v>397</v>
      </c>
      <c r="F86">
        <v>113</v>
      </c>
      <c r="G86">
        <v>0</v>
      </c>
      <c r="H86">
        <v>1768.24</v>
      </c>
    </row>
    <row r="87" spans="1:8" x14ac:dyDescent="0.2">
      <c r="A87" t="s">
        <v>398</v>
      </c>
      <c r="B87" t="s">
        <v>399</v>
      </c>
      <c r="C87" t="s">
        <v>400</v>
      </c>
      <c r="D87">
        <v>50186</v>
      </c>
      <c r="E87" t="s">
        <v>401</v>
      </c>
      <c r="F87">
        <v>26</v>
      </c>
      <c r="G87">
        <v>0</v>
      </c>
      <c r="H87">
        <v>3789.24</v>
      </c>
    </row>
    <row r="88" spans="1:8" x14ac:dyDescent="0.2">
      <c r="A88" t="s">
        <v>402</v>
      </c>
      <c r="B88" t="s">
        <v>403</v>
      </c>
      <c r="C88" t="s">
        <v>404</v>
      </c>
      <c r="D88">
        <v>50236</v>
      </c>
      <c r="E88" t="s">
        <v>405</v>
      </c>
      <c r="F88">
        <v>106</v>
      </c>
      <c r="G88">
        <v>0</v>
      </c>
      <c r="H88">
        <v>2018.82</v>
      </c>
    </row>
    <row r="89" spans="1:8" x14ac:dyDescent="0.2">
      <c r="A89" t="s">
        <v>406</v>
      </c>
      <c r="B89" t="s">
        <v>407</v>
      </c>
      <c r="C89" t="s">
        <v>408</v>
      </c>
      <c r="D89">
        <v>50429</v>
      </c>
      <c r="E89" t="s">
        <v>409</v>
      </c>
      <c r="F89">
        <v>112</v>
      </c>
      <c r="G89">
        <v>0</v>
      </c>
      <c r="H89">
        <v>2510.59</v>
      </c>
    </row>
    <row r="90" spans="1:8" x14ac:dyDescent="0.2">
      <c r="A90" t="s">
        <v>410</v>
      </c>
      <c r="B90" t="s">
        <v>411</v>
      </c>
      <c r="C90" t="s">
        <v>412</v>
      </c>
      <c r="D90">
        <v>50139</v>
      </c>
      <c r="E90" t="s">
        <v>413</v>
      </c>
      <c r="F90">
        <v>124</v>
      </c>
      <c r="G90">
        <v>0</v>
      </c>
      <c r="H90">
        <v>2750</v>
      </c>
    </row>
    <row r="91" spans="1:8" x14ac:dyDescent="0.2">
      <c r="A91" t="s">
        <v>414</v>
      </c>
      <c r="B91" t="s">
        <v>415</v>
      </c>
      <c r="C91" t="s">
        <v>416</v>
      </c>
      <c r="D91">
        <v>50159</v>
      </c>
      <c r="E91" t="s">
        <v>417</v>
      </c>
      <c r="F91">
        <v>110</v>
      </c>
      <c r="G91">
        <v>400</v>
      </c>
      <c r="H91">
        <v>3300</v>
      </c>
    </row>
    <row r="92" spans="1:8" x14ac:dyDescent="0.2">
      <c r="A92" t="s">
        <v>418</v>
      </c>
      <c r="B92" t="s">
        <v>419</v>
      </c>
      <c r="C92" t="s">
        <v>420</v>
      </c>
      <c r="D92">
        <v>50435</v>
      </c>
      <c r="E92" t="s">
        <v>421</v>
      </c>
      <c r="F92">
        <v>119</v>
      </c>
      <c r="G92">
        <v>0</v>
      </c>
      <c r="H92">
        <v>0</v>
      </c>
    </row>
    <row r="93" spans="1:8" x14ac:dyDescent="0.2">
      <c r="A93" t="s">
        <v>422</v>
      </c>
      <c r="B93" t="s">
        <v>423</v>
      </c>
      <c r="C93" t="s">
        <v>424</v>
      </c>
      <c r="D93">
        <v>95</v>
      </c>
      <c r="E93" t="s">
        <v>425</v>
      </c>
      <c r="F93">
        <v>67</v>
      </c>
      <c r="G93">
        <v>400</v>
      </c>
      <c r="H93">
        <v>6140.29</v>
      </c>
    </row>
    <row r="94" spans="1:8" x14ac:dyDescent="0.2">
      <c r="A94" t="s">
        <v>426</v>
      </c>
      <c r="B94" t="s">
        <v>427</v>
      </c>
      <c r="C94" t="s">
        <v>428</v>
      </c>
      <c r="D94">
        <v>50218</v>
      </c>
      <c r="E94" t="s">
        <v>429</v>
      </c>
      <c r="F94">
        <v>62</v>
      </c>
      <c r="G94">
        <v>0</v>
      </c>
      <c r="H94">
        <v>1734.98</v>
      </c>
    </row>
    <row r="95" spans="1:8" x14ac:dyDescent="0.2">
      <c r="A95" t="s">
        <v>430</v>
      </c>
      <c r="B95" t="s">
        <v>431</v>
      </c>
      <c r="C95" t="s">
        <v>432</v>
      </c>
      <c r="D95">
        <v>50178</v>
      </c>
      <c r="E95" t="s">
        <v>433</v>
      </c>
      <c r="F95">
        <v>17</v>
      </c>
      <c r="G95">
        <v>200</v>
      </c>
      <c r="H95">
        <v>0</v>
      </c>
    </row>
    <row r="96" spans="1:8" x14ac:dyDescent="0.2">
      <c r="A96" t="s">
        <v>434</v>
      </c>
      <c r="B96" t="s">
        <v>435</v>
      </c>
      <c r="C96" t="s">
        <v>436</v>
      </c>
      <c r="D96">
        <v>17</v>
      </c>
      <c r="E96" t="s">
        <v>437</v>
      </c>
      <c r="F96">
        <v>118</v>
      </c>
      <c r="G96">
        <v>0</v>
      </c>
      <c r="H96">
        <v>6140.29</v>
      </c>
    </row>
    <row r="97" spans="1:8" x14ac:dyDescent="0.2">
      <c r="A97" t="s">
        <v>438</v>
      </c>
      <c r="B97" t="s">
        <v>439</v>
      </c>
      <c r="C97" t="s">
        <v>440</v>
      </c>
      <c r="D97">
        <v>83</v>
      </c>
      <c r="E97" t="s">
        <v>441</v>
      </c>
      <c r="F97">
        <v>47</v>
      </c>
      <c r="G97">
        <v>0</v>
      </c>
      <c r="H97">
        <v>2446.35</v>
      </c>
    </row>
    <row r="98" spans="1:8" x14ac:dyDescent="0.2">
      <c r="A98" t="s">
        <v>442</v>
      </c>
      <c r="B98" t="s">
        <v>443</v>
      </c>
      <c r="C98" t="s">
        <v>444</v>
      </c>
      <c r="D98">
        <v>50293</v>
      </c>
      <c r="E98" t="s">
        <v>445</v>
      </c>
      <c r="F98">
        <v>33</v>
      </c>
      <c r="G98">
        <v>0</v>
      </c>
      <c r="H98">
        <v>4755.4399999999996</v>
      </c>
    </row>
    <row r="99" spans="1:8" x14ac:dyDescent="0.2">
      <c r="A99" t="s">
        <v>446</v>
      </c>
      <c r="B99" t="s">
        <v>447</v>
      </c>
      <c r="C99" t="s">
        <v>448</v>
      </c>
      <c r="D99">
        <v>50268</v>
      </c>
      <c r="E99" t="s">
        <v>449</v>
      </c>
      <c r="F99">
        <v>30</v>
      </c>
      <c r="G99">
        <v>0</v>
      </c>
      <c r="H99">
        <v>1723.44</v>
      </c>
    </row>
    <row r="100" spans="1:8" x14ac:dyDescent="0.2">
      <c r="A100" t="s">
        <v>450</v>
      </c>
      <c r="B100" t="s">
        <v>451</v>
      </c>
      <c r="C100" t="s">
        <v>452</v>
      </c>
      <c r="D100">
        <v>50181</v>
      </c>
      <c r="E100" t="s">
        <v>453</v>
      </c>
      <c r="F100">
        <v>101</v>
      </c>
      <c r="G100">
        <v>0</v>
      </c>
      <c r="H100">
        <v>1993.32</v>
      </c>
    </row>
    <row r="101" spans="1:8" x14ac:dyDescent="0.2">
      <c r="A101" t="s">
        <v>454</v>
      </c>
      <c r="B101" t="s">
        <v>455</v>
      </c>
      <c r="C101" t="s">
        <v>456</v>
      </c>
      <c r="D101">
        <v>37</v>
      </c>
      <c r="E101" t="s">
        <v>457</v>
      </c>
      <c r="F101">
        <v>66</v>
      </c>
      <c r="G101">
        <v>0</v>
      </c>
      <c r="H101">
        <v>2253.77</v>
      </c>
    </row>
    <row r="102" spans="1:8" x14ac:dyDescent="0.2">
      <c r="A102" t="s">
        <v>458</v>
      </c>
      <c r="B102" t="s">
        <v>459</v>
      </c>
      <c r="C102" t="s">
        <v>460</v>
      </c>
      <c r="D102">
        <v>50286</v>
      </c>
      <c r="E102" t="s">
        <v>461</v>
      </c>
      <c r="F102">
        <v>116</v>
      </c>
      <c r="G102">
        <v>0</v>
      </c>
      <c r="H102">
        <v>2192.94</v>
      </c>
    </row>
    <row r="103" spans="1:8" x14ac:dyDescent="0.2">
      <c r="A103" t="s">
        <v>462</v>
      </c>
      <c r="B103" t="s">
        <v>463</v>
      </c>
      <c r="C103" t="s">
        <v>464</v>
      </c>
      <c r="D103">
        <v>100137</v>
      </c>
      <c r="E103" t="s">
        <v>465</v>
      </c>
      <c r="F103">
        <v>79</v>
      </c>
      <c r="G103">
        <v>300</v>
      </c>
      <c r="H103">
        <v>2446.35</v>
      </c>
    </row>
    <row r="104" spans="1:8" x14ac:dyDescent="0.2">
      <c r="A104" t="s">
        <v>466</v>
      </c>
      <c r="B104" t="s">
        <v>467</v>
      </c>
      <c r="C104" t="s">
        <v>468</v>
      </c>
      <c r="D104">
        <v>50267</v>
      </c>
      <c r="E104" t="s">
        <v>469</v>
      </c>
      <c r="F104">
        <v>5</v>
      </c>
      <c r="G104">
        <v>0</v>
      </c>
      <c r="H104">
        <v>2253.77</v>
      </c>
    </row>
    <row r="105" spans="1:8" x14ac:dyDescent="0.2">
      <c r="A105" t="s">
        <v>470</v>
      </c>
      <c r="B105" t="s">
        <v>471</v>
      </c>
      <c r="C105" t="s">
        <v>472</v>
      </c>
      <c r="D105">
        <v>100109</v>
      </c>
      <c r="E105" t="s">
        <v>473</v>
      </c>
      <c r="F105">
        <v>29</v>
      </c>
      <c r="G105">
        <v>0</v>
      </c>
      <c r="H105">
        <v>2602.5</v>
      </c>
    </row>
    <row r="106" spans="1:8" x14ac:dyDescent="0.2">
      <c r="A106" t="s">
        <v>474</v>
      </c>
      <c r="B106" t="s">
        <v>475</v>
      </c>
      <c r="C106" t="s">
        <v>476</v>
      </c>
      <c r="D106">
        <v>51</v>
      </c>
      <c r="E106" t="s">
        <v>477</v>
      </c>
      <c r="F106">
        <v>89</v>
      </c>
      <c r="G106">
        <v>0</v>
      </c>
      <c r="H106">
        <v>3426.56</v>
      </c>
    </row>
    <row r="107" spans="1:8" x14ac:dyDescent="0.2">
      <c r="A107" t="s">
        <v>478</v>
      </c>
      <c r="B107" t="s">
        <v>479</v>
      </c>
      <c r="C107" t="s">
        <v>480</v>
      </c>
      <c r="D107">
        <v>50216</v>
      </c>
      <c r="E107" t="s">
        <v>481</v>
      </c>
      <c r="F107">
        <v>75</v>
      </c>
      <c r="G107">
        <v>0</v>
      </c>
      <c r="H107">
        <v>0</v>
      </c>
    </row>
    <row r="108" spans="1:8" x14ac:dyDescent="0.2">
      <c r="A108" t="s">
        <v>482</v>
      </c>
      <c r="B108" t="s">
        <v>483</v>
      </c>
      <c r="C108" t="s">
        <v>484</v>
      </c>
      <c r="D108">
        <v>100142</v>
      </c>
      <c r="E108" t="s">
        <v>485</v>
      </c>
      <c r="F108">
        <v>39</v>
      </c>
      <c r="G108">
        <v>300</v>
      </c>
      <c r="H108">
        <v>2450</v>
      </c>
    </row>
    <row r="109" spans="1:8" x14ac:dyDescent="0.2">
      <c r="A109" t="s">
        <v>486</v>
      </c>
      <c r="B109" t="s">
        <v>487</v>
      </c>
      <c r="C109" t="s">
        <v>488</v>
      </c>
      <c r="D109">
        <v>100195</v>
      </c>
      <c r="E109" t="s">
        <v>489</v>
      </c>
      <c r="F109">
        <v>23</v>
      </c>
      <c r="G109">
        <v>0</v>
      </c>
      <c r="H109">
        <v>2052.94</v>
      </c>
    </row>
    <row r="110" spans="1:8" x14ac:dyDescent="0.2">
      <c r="A110" t="s">
        <v>490</v>
      </c>
      <c r="B110" t="s">
        <v>491</v>
      </c>
      <c r="C110" t="s">
        <v>195</v>
      </c>
      <c r="D110">
        <v>50367</v>
      </c>
      <c r="E110" t="s">
        <v>492</v>
      </c>
      <c r="F110">
        <v>102</v>
      </c>
      <c r="G110">
        <v>0</v>
      </c>
      <c r="H110">
        <v>3643.5</v>
      </c>
    </row>
    <row r="111" spans="1:8" x14ac:dyDescent="0.2">
      <c r="A111" t="s">
        <v>493</v>
      </c>
      <c r="B111" t="s">
        <v>494</v>
      </c>
      <c r="C111" t="s">
        <v>495</v>
      </c>
      <c r="D111">
        <v>50184</v>
      </c>
      <c r="E111" t="s">
        <v>496</v>
      </c>
      <c r="F111">
        <v>41</v>
      </c>
      <c r="G111">
        <v>0</v>
      </c>
      <c r="H111">
        <v>1702.35</v>
      </c>
    </row>
    <row r="112" spans="1:8" x14ac:dyDescent="0.2">
      <c r="A112" t="s">
        <v>497</v>
      </c>
      <c r="B112" t="s">
        <v>498</v>
      </c>
      <c r="C112" t="s">
        <v>499</v>
      </c>
      <c r="D112">
        <v>100138</v>
      </c>
      <c r="E112" t="s">
        <v>500</v>
      </c>
      <c r="F112">
        <v>15</v>
      </c>
      <c r="G112">
        <v>0</v>
      </c>
      <c r="H112">
        <v>4575</v>
      </c>
    </row>
    <row r="113" spans="1:8" x14ac:dyDescent="0.2">
      <c r="A113" t="s">
        <v>501</v>
      </c>
      <c r="B113" t="s">
        <v>502</v>
      </c>
      <c r="C113" t="s">
        <v>503</v>
      </c>
      <c r="D113">
        <v>100175</v>
      </c>
      <c r="E113" t="s">
        <v>504</v>
      </c>
      <c r="F113">
        <v>77</v>
      </c>
      <c r="G113">
        <v>0</v>
      </c>
      <c r="H113">
        <v>2058.8200000000002</v>
      </c>
    </row>
    <row r="114" spans="1:8" x14ac:dyDescent="0.2">
      <c r="A114" t="s">
        <v>505</v>
      </c>
      <c r="B114" t="s">
        <v>506</v>
      </c>
      <c r="C114" t="s">
        <v>507</v>
      </c>
      <c r="D114">
        <v>50397</v>
      </c>
      <c r="E114" t="s">
        <v>508</v>
      </c>
      <c r="F114">
        <v>22</v>
      </c>
      <c r="G114">
        <v>500</v>
      </c>
      <c r="H114">
        <v>4372.2</v>
      </c>
    </row>
    <row r="115" spans="1:8" x14ac:dyDescent="0.2">
      <c r="A115" t="s">
        <v>509</v>
      </c>
      <c r="B115" t="s">
        <v>510</v>
      </c>
      <c r="C115" t="s">
        <v>511</v>
      </c>
      <c r="D115">
        <v>13</v>
      </c>
      <c r="E115" t="s">
        <v>512</v>
      </c>
      <c r="F115">
        <v>42</v>
      </c>
      <c r="G115">
        <v>200</v>
      </c>
      <c r="H115">
        <v>3239.85</v>
      </c>
    </row>
    <row r="116" spans="1:8" x14ac:dyDescent="0.2">
      <c r="A116" t="s">
        <v>513</v>
      </c>
      <c r="B116" t="s">
        <v>514</v>
      </c>
      <c r="C116" t="s">
        <v>515</v>
      </c>
      <c r="D116">
        <v>59</v>
      </c>
      <c r="E116" t="s">
        <v>516</v>
      </c>
      <c r="F116">
        <v>2</v>
      </c>
      <c r="G116">
        <v>0</v>
      </c>
      <c r="H116">
        <v>0</v>
      </c>
    </row>
    <row r="117" spans="1:8" x14ac:dyDescent="0.2">
      <c r="A117" t="s">
        <v>517</v>
      </c>
      <c r="B117" t="s">
        <v>518</v>
      </c>
      <c r="C117" t="s">
        <v>519</v>
      </c>
      <c r="D117">
        <v>50271</v>
      </c>
      <c r="E117" t="s">
        <v>520</v>
      </c>
      <c r="F117">
        <v>12</v>
      </c>
      <c r="G117">
        <v>250</v>
      </c>
      <c r="H117">
        <v>2100</v>
      </c>
    </row>
    <row r="118" spans="1:8" x14ac:dyDescent="0.2">
      <c r="A118" t="s">
        <v>521</v>
      </c>
      <c r="B118" t="s">
        <v>522</v>
      </c>
      <c r="C118" t="s">
        <v>523</v>
      </c>
      <c r="D118">
        <v>89</v>
      </c>
      <c r="E118" t="s">
        <v>524</v>
      </c>
      <c r="F118">
        <v>38</v>
      </c>
      <c r="G118">
        <v>0</v>
      </c>
      <c r="H118">
        <v>2165.88</v>
      </c>
    </row>
    <row r="119" spans="1:8" x14ac:dyDescent="0.2">
      <c r="A119" t="s">
        <v>525</v>
      </c>
      <c r="B119" t="s">
        <v>526</v>
      </c>
      <c r="C119" t="s">
        <v>527</v>
      </c>
      <c r="D119">
        <v>50141</v>
      </c>
      <c r="E119" t="s">
        <v>528</v>
      </c>
      <c r="F119">
        <v>54</v>
      </c>
      <c r="G119">
        <v>0</v>
      </c>
      <c r="H119">
        <v>2186.1</v>
      </c>
    </row>
    <row r="120" spans="1:8" x14ac:dyDescent="0.2">
      <c r="A120" t="s">
        <v>529</v>
      </c>
      <c r="B120" t="s">
        <v>530</v>
      </c>
      <c r="C120" t="s">
        <v>531</v>
      </c>
      <c r="D120">
        <v>50309</v>
      </c>
      <c r="E120" t="s">
        <v>532</v>
      </c>
      <c r="F120">
        <v>63</v>
      </c>
      <c r="G120">
        <v>0</v>
      </c>
      <c r="H120">
        <v>2169.06</v>
      </c>
    </row>
    <row r="121" spans="1:8" x14ac:dyDescent="0.2">
      <c r="A121" t="s">
        <v>533</v>
      </c>
      <c r="B121" t="s">
        <v>534</v>
      </c>
      <c r="C121" t="s">
        <v>535</v>
      </c>
      <c r="D121">
        <v>100177</v>
      </c>
      <c r="E121" t="s">
        <v>536</v>
      </c>
      <c r="F121">
        <v>27</v>
      </c>
      <c r="G121">
        <v>0</v>
      </c>
      <c r="H121">
        <v>1750</v>
      </c>
    </row>
    <row r="122" spans="1:8" x14ac:dyDescent="0.2">
      <c r="A122" t="s">
        <v>537</v>
      </c>
      <c r="B122" t="s">
        <v>538</v>
      </c>
      <c r="C122" t="s">
        <v>539</v>
      </c>
      <c r="D122">
        <v>18</v>
      </c>
      <c r="E122" t="s">
        <v>540</v>
      </c>
      <c r="F122">
        <v>117</v>
      </c>
      <c r="G122">
        <v>250</v>
      </c>
      <c r="H122">
        <v>2575</v>
      </c>
    </row>
    <row r="123" spans="1:8" x14ac:dyDescent="0.2">
      <c r="A123" t="s">
        <v>541</v>
      </c>
      <c r="B123" t="s">
        <v>542</v>
      </c>
      <c r="C123" t="s">
        <v>543</v>
      </c>
      <c r="D123">
        <v>50402</v>
      </c>
      <c r="E123" t="s">
        <v>544</v>
      </c>
      <c r="F123">
        <v>57</v>
      </c>
      <c r="G123">
        <v>0</v>
      </c>
      <c r="H123">
        <v>0</v>
      </c>
    </row>
    <row r="124" spans="1:8" x14ac:dyDescent="0.2">
      <c r="A124" t="s">
        <v>545</v>
      </c>
      <c r="B124" t="s">
        <v>546</v>
      </c>
      <c r="C124" t="s">
        <v>547</v>
      </c>
      <c r="D124">
        <v>50222</v>
      </c>
      <c r="E124" t="s">
        <v>548</v>
      </c>
      <c r="F124">
        <v>60</v>
      </c>
      <c r="G124">
        <v>0</v>
      </c>
      <c r="H124">
        <v>1750</v>
      </c>
    </row>
    <row r="125" spans="1:8" x14ac:dyDescent="0.2">
      <c r="A125" t="s">
        <v>549</v>
      </c>
      <c r="B125" t="s">
        <v>550</v>
      </c>
      <c r="C125" t="s">
        <v>551</v>
      </c>
      <c r="D125">
        <v>40</v>
      </c>
      <c r="E125" t="s">
        <v>552</v>
      </c>
      <c r="F125">
        <v>3</v>
      </c>
      <c r="G125">
        <v>250</v>
      </c>
      <c r="H125">
        <v>2250</v>
      </c>
    </row>
    <row r="126" spans="1:8" x14ac:dyDescent="0.2">
      <c r="A126" t="s">
        <v>553</v>
      </c>
      <c r="B126" t="s">
        <v>554</v>
      </c>
      <c r="C126" t="s">
        <v>555</v>
      </c>
      <c r="D126">
        <v>50448</v>
      </c>
      <c r="G126">
        <v>0</v>
      </c>
      <c r="H126">
        <v>0</v>
      </c>
    </row>
    <row r="127" spans="1:8" x14ac:dyDescent="0.2">
      <c r="A127" t="s">
        <v>556</v>
      </c>
      <c r="B127" t="s">
        <v>557</v>
      </c>
      <c r="C127" t="s">
        <v>558</v>
      </c>
      <c r="D127">
        <v>84</v>
      </c>
      <c r="G127">
        <v>450</v>
      </c>
      <c r="H127">
        <v>5500</v>
      </c>
    </row>
    <row r="128" spans="1:8" x14ac:dyDescent="0.2">
      <c r="A128" t="s">
        <v>559</v>
      </c>
      <c r="B128" t="s">
        <v>560</v>
      </c>
      <c r="C128" t="s">
        <v>561</v>
      </c>
      <c r="D128">
        <v>50026</v>
      </c>
      <c r="G128">
        <v>0</v>
      </c>
      <c r="H128">
        <v>1750</v>
      </c>
    </row>
    <row r="129" spans="1:8" x14ac:dyDescent="0.2">
      <c r="A129" t="s">
        <v>562</v>
      </c>
      <c r="B129" t="s">
        <v>563</v>
      </c>
      <c r="C129" t="s">
        <v>564</v>
      </c>
      <c r="D129">
        <v>50168</v>
      </c>
      <c r="G129">
        <v>0</v>
      </c>
      <c r="H129">
        <v>3409.28</v>
      </c>
    </row>
    <row r="130" spans="1:8" x14ac:dyDescent="0.2">
      <c r="A130" t="s">
        <v>565</v>
      </c>
      <c r="B130" t="s">
        <v>566</v>
      </c>
      <c r="C130" t="s">
        <v>206</v>
      </c>
      <c r="D130">
        <v>100125</v>
      </c>
      <c r="G130">
        <v>0</v>
      </c>
      <c r="H130">
        <v>2363.0700000000002</v>
      </c>
    </row>
    <row r="131" spans="1:8" x14ac:dyDescent="0.2">
      <c r="A131" t="s">
        <v>567</v>
      </c>
      <c r="B131" t="s">
        <v>568</v>
      </c>
      <c r="C131" t="s">
        <v>569</v>
      </c>
      <c r="D131">
        <v>100262</v>
      </c>
      <c r="G131">
        <v>250</v>
      </c>
      <c r="H131">
        <v>2446.35</v>
      </c>
    </row>
    <row r="132" spans="1:8" x14ac:dyDescent="0.2">
      <c r="A132" t="s">
        <v>570</v>
      </c>
      <c r="B132" t="s">
        <v>571</v>
      </c>
      <c r="C132" t="s">
        <v>572</v>
      </c>
      <c r="D132">
        <v>50433</v>
      </c>
      <c r="G132">
        <v>0</v>
      </c>
      <c r="H132">
        <v>0</v>
      </c>
    </row>
    <row r="133" spans="1:8" x14ac:dyDescent="0.2">
      <c r="A133" t="s">
        <v>573</v>
      </c>
      <c r="B133" t="s">
        <v>574</v>
      </c>
      <c r="C133" t="s">
        <v>575</v>
      </c>
      <c r="D133">
        <v>7</v>
      </c>
      <c r="G133">
        <v>0</v>
      </c>
      <c r="H133">
        <v>1829.53</v>
      </c>
    </row>
    <row r="134" spans="1:8" x14ac:dyDescent="0.2">
      <c r="A134" t="s">
        <v>576</v>
      </c>
      <c r="B134" t="s">
        <v>577</v>
      </c>
      <c r="C134" t="s">
        <v>578</v>
      </c>
      <c r="D134">
        <v>50426</v>
      </c>
      <c r="G134">
        <v>0</v>
      </c>
      <c r="H134">
        <v>0</v>
      </c>
    </row>
    <row r="135" spans="1:8" x14ac:dyDescent="0.2">
      <c r="A135" t="s">
        <v>579</v>
      </c>
      <c r="B135" t="s">
        <v>580</v>
      </c>
      <c r="C135" t="s">
        <v>581</v>
      </c>
      <c r="D135">
        <v>50394</v>
      </c>
      <c r="G135">
        <v>0</v>
      </c>
      <c r="H135">
        <v>1974.12</v>
      </c>
    </row>
    <row r="136" spans="1:8" x14ac:dyDescent="0.2">
      <c r="A136" t="s">
        <v>582</v>
      </c>
      <c r="B136" t="s">
        <v>583</v>
      </c>
      <c r="C136" t="s">
        <v>584</v>
      </c>
      <c r="D136">
        <v>50439</v>
      </c>
      <c r="G136">
        <v>250</v>
      </c>
      <c r="H136">
        <v>2240.44</v>
      </c>
    </row>
    <row r="137" spans="1:8" x14ac:dyDescent="0.2">
      <c r="A137" t="s">
        <v>585</v>
      </c>
      <c r="B137" t="s">
        <v>586</v>
      </c>
      <c r="C137" t="s">
        <v>587</v>
      </c>
      <c r="D137">
        <v>50252</v>
      </c>
      <c r="G137">
        <v>0</v>
      </c>
      <c r="H137">
        <v>2342.25</v>
      </c>
    </row>
    <row r="138" spans="1:8" x14ac:dyDescent="0.2">
      <c r="A138" t="s">
        <v>588</v>
      </c>
      <c r="B138" t="s">
        <v>589</v>
      </c>
      <c r="C138" t="s">
        <v>590</v>
      </c>
      <c r="D138">
        <v>30</v>
      </c>
      <c r="G138">
        <v>250</v>
      </c>
      <c r="H138">
        <v>2602.5</v>
      </c>
    </row>
    <row r="139" spans="1:8" x14ac:dyDescent="0.2">
      <c r="A139" t="s">
        <v>591</v>
      </c>
      <c r="B139" t="s">
        <v>592</v>
      </c>
      <c r="C139" t="s">
        <v>593</v>
      </c>
      <c r="D139">
        <v>52</v>
      </c>
      <c r="G139">
        <v>0</v>
      </c>
      <c r="H139">
        <v>1977.9</v>
      </c>
    </row>
    <row r="140" spans="1:8" x14ac:dyDescent="0.2">
      <c r="A140" t="s">
        <v>594</v>
      </c>
      <c r="B140" t="s">
        <v>595</v>
      </c>
      <c r="C140" t="s">
        <v>596</v>
      </c>
      <c r="D140">
        <v>87</v>
      </c>
      <c r="G140">
        <v>0</v>
      </c>
      <c r="H140">
        <v>2082</v>
      </c>
    </row>
    <row r="141" spans="1:8" x14ac:dyDescent="0.2">
      <c r="A141" t="s">
        <v>597</v>
      </c>
      <c r="B141" t="s">
        <v>598</v>
      </c>
      <c r="C141" t="s">
        <v>599</v>
      </c>
      <c r="D141">
        <v>22</v>
      </c>
      <c r="G141">
        <v>0</v>
      </c>
      <c r="H141">
        <v>0</v>
      </c>
    </row>
    <row r="142" spans="1:8" x14ac:dyDescent="0.2">
      <c r="A142" t="s">
        <v>600</v>
      </c>
      <c r="B142" t="s">
        <v>601</v>
      </c>
      <c r="C142" t="s">
        <v>602</v>
      </c>
      <c r="D142">
        <v>50176</v>
      </c>
      <c r="G142">
        <v>250</v>
      </c>
      <c r="H142">
        <v>2315.29</v>
      </c>
    </row>
    <row r="143" spans="1:8" x14ac:dyDescent="0.2">
      <c r="A143" t="s">
        <v>603</v>
      </c>
      <c r="B143" t="s">
        <v>604</v>
      </c>
      <c r="C143" t="s">
        <v>605</v>
      </c>
      <c r="D143">
        <v>50308</v>
      </c>
      <c r="G143">
        <v>0</v>
      </c>
      <c r="H143">
        <v>1503.32</v>
      </c>
    </row>
    <row r="144" spans="1:8" x14ac:dyDescent="0.2">
      <c r="A144" t="s">
        <v>606</v>
      </c>
      <c r="B144" t="s">
        <v>607</v>
      </c>
      <c r="C144" t="s">
        <v>608</v>
      </c>
      <c r="D144">
        <v>50215</v>
      </c>
      <c r="G144">
        <v>0</v>
      </c>
      <c r="H144">
        <v>1503.32</v>
      </c>
    </row>
    <row r="145" spans="1:8" x14ac:dyDescent="0.2">
      <c r="A145" t="s">
        <v>609</v>
      </c>
      <c r="B145" t="s">
        <v>610</v>
      </c>
      <c r="C145" t="s">
        <v>611</v>
      </c>
      <c r="D145">
        <v>11</v>
      </c>
      <c r="G145">
        <v>0</v>
      </c>
      <c r="H145">
        <v>1503.32</v>
      </c>
    </row>
    <row r="146" spans="1:8" x14ac:dyDescent="0.2">
      <c r="A146" t="s">
        <v>612</v>
      </c>
      <c r="B146" t="s">
        <v>613</v>
      </c>
      <c r="C146" t="s">
        <v>614</v>
      </c>
      <c r="D146">
        <v>50170</v>
      </c>
      <c r="G146">
        <v>0</v>
      </c>
      <c r="H146">
        <v>2065.88</v>
      </c>
    </row>
    <row r="147" spans="1:8" x14ac:dyDescent="0.2">
      <c r="A147" t="s">
        <v>615</v>
      </c>
      <c r="B147" t="s">
        <v>616</v>
      </c>
      <c r="C147" t="s">
        <v>617</v>
      </c>
      <c r="D147">
        <v>45</v>
      </c>
      <c r="G147">
        <v>0</v>
      </c>
      <c r="H147">
        <v>2255</v>
      </c>
    </row>
    <row r="148" spans="1:8" x14ac:dyDescent="0.2">
      <c r="A148" t="s">
        <v>618</v>
      </c>
      <c r="B148" t="s">
        <v>619</v>
      </c>
      <c r="C148" t="s">
        <v>620</v>
      </c>
      <c r="D148">
        <v>76</v>
      </c>
      <c r="G148">
        <v>350</v>
      </c>
      <c r="H148">
        <v>0</v>
      </c>
    </row>
    <row r="149" spans="1:8" x14ac:dyDescent="0.2">
      <c r="A149" t="s">
        <v>621</v>
      </c>
      <c r="B149" t="s">
        <v>622</v>
      </c>
      <c r="C149" t="s">
        <v>623</v>
      </c>
      <c r="D149">
        <v>50213</v>
      </c>
      <c r="G149">
        <v>300</v>
      </c>
      <c r="H149">
        <v>0</v>
      </c>
    </row>
    <row r="150" spans="1:8" x14ac:dyDescent="0.2">
      <c r="A150" t="s">
        <v>624</v>
      </c>
      <c r="B150" t="s">
        <v>625</v>
      </c>
      <c r="C150" t="s">
        <v>626</v>
      </c>
      <c r="D150">
        <v>50396</v>
      </c>
      <c r="G150">
        <v>0</v>
      </c>
      <c r="H150">
        <v>2255</v>
      </c>
    </row>
    <row r="151" spans="1:8" x14ac:dyDescent="0.2">
      <c r="A151" t="s">
        <v>627</v>
      </c>
      <c r="B151" t="s">
        <v>628</v>
      </c>
      <c r="C151" t="s">
        <v>629</v>
      </c>
      <c r="D151">
        <v>50305</v>
      </c>
      <c r="G151">
        <v>350</v>
      </c>
      <c r="H151">
        <v>2575</v>
      </c>
    </row>
    <row r="152" spans="1:8" x14ac:dyDescent="0.2">
      <c r="A152" t="s">
        <v>630</v>
      </c>
      <c r="B152" t="s">
        <v>631</v>
      </c>
      <c r="C152" t="s">
        <v>632</v>
      </c>
      <c r="D152">
        <v>50033</v>
      </c>
      <c r="G152">
        <v>0</v>
      </c>
      <c r="H152">
        <v>2255</v>
      </c>
    </row>
    <row r="153" spans="1:8" x14ac:dyDescent="0.2">
      <c r="A153" t="s">
        <v>633</v>
      </c>
      <c r="B153" t="s">
        <v>634</v>
      </c>
      <c r="C153" t="s">
        <v>635</v>
      </c>
      <c r="D153">
        <v>50288</v>
      </c>
      <c r="G153">
        <v>0</v>
      </c>
      <c r="H153">
        <v>0</v>
      </c>
    </row>
    <row r="154" spans="1:8" x14ac:dyDescent="0.2">
      <c r="A154" t="s">
        <v>636</v>
      </c>
      <c r="B154" t="s">
        <v>637</v>
      </c>
      <c r="C154" t="s">
        <v>638</v>
      </c>
      <c r="D154">
        <v>100108</v>
      </c>
      <c r="G154">
        <v>250</v>
      </c>
      <c r="H154">
        <v>2500</v>
      </c>
    </row>
    <row r="155" spans="1:8" x14ac:dyDescent="0.2">
      <c r="A155" t="s">
        <v>639</v>
      </c>
      <c r="B155" t="s">
        <v>640</v>
      </c>
      <c r="C155" t="s">
        <v>641</v>
      </c>
      <c r="D155">
        <v>50102</v>
      </c>
      <c r="G155">
        <v>0</v>
      </c>
      <c r="H155">
        <v>1503.32</v>
      </c>
    </row>
    <row r="156" spans="1:8" x14ac:dyDescent="0.2">
      <c r="A156" t="s">
        <v>642</v>
      </c>
      <c r="B156" t="s">
        <v>643</v>
      </c>
      <c r="C156" t="s">
        <v>644</v>
      </c>
      <c r="D156">
        <v>50283</v>
      </c>
      <c r="G156">
        <v>0</v>
      </c>
      <c r="H156">
        <v>2300</v>
      </c>
    </row>
    <row r="157" spans="1:8" x14ac:dyDescent="0.2">
      <c r="A157" t="s">
        <v>645</v>
      </c>
      <c r="B157" t="s">
        <v>646</v>
      </c>
      <c r="C157" t="s">
        <v>647</v>
      </c>
      <c r="D157">
        <v>100139</v>
      </c>
      <c r="G157">
        <v>0</v>
      </c>
      <c r="H157">
        <v>2255</v>
      </c>
    </row>
    <row r="158" spans="1:8" x14ac:dyDescent="0.2">
      <c r="A158" t="s">
        <v>648</v>
      </c>
      <c r="B158" t="s">
        <v>649</v>
      </c>
      <c r="C158" t="s">
        <v>250</v>
      </c>
      <c r="D158">
        <v>50415</v>
      </c>
      <c r="G158">
        <v>0</v>
      </c>
      <c r="H158">
        <v>2250</v>
      </c>
    </row>
    <row r="159" spans="1:8" x14ac:dyDescent="0.2">
      <c r="A159" t="s">
        <v>650</v>
      </c>
      <c r="B159" t="s">
        <v>651</v>
      </c>
      <c r="C159" t="s">
        <v>652</v>
      </c>
      <c r="D159">
        <v>50347</v>
      </c>
      <c r="G159">
        <v>300</v>
      </c>
      <c r="H159">
        <v>1683.53</v>
      </c>
    </row>
    <row r="160" spans="1:8" x14ac:dyDescent="0.2">
      <c r="A160" t="s">
        <v>653</v>
      </c>
      <c r="B160" t="s">
        <v>654</v>
      </c>
      <c r="C160" t="s">
        <v>655</v>
      </c>
      <c r="D160">
        <v>97</v>
      </c>
      <c r="G160">
        <v>300</v>
      </c>
      <c r="H160">
        <v>2422.35</v>
      </c>
    </row>
    <row r="161" spans="1:8" x14ac:dyDescent="0.2">
      <c r="A161" t="s">
        <v>656</v>
      </c>
      <c r="B161" t="s">
        <v>657</v>
      </c>
      <c r="C161" t="s">
        <v>658</v>
      </c>
      <c r="D161">
        <v>100112</v>
      </c>
      <c r="G161">
        <v>300</v>
      </c>
      <c r="H161">
        <v>2284.71</v>
      </c>
    </row>
    <row r="162" spans="1:8" x14ac:dyDescent="0.2">
      <c r="A162" t="s">
        <v>659</v>
      </c>
      <c r="B162" t="s">
        <v>660</v>
      </c>
      <c r="C162" t="s">
        <v>661</v>
      </c>
      <c r="D162">
        <v>50304</v>
      </c>
      <c r="G162">
        <v>300</v>
      </c>
      <c r="H162">
        <v>1855.29</v>
      </c>
    </row>
    <row r="163" spans="1:8" x14ac:dyDescent="0.2">
      <c r="A163" t="s">
        <v>662</v>
      </c>
      <c r="B163" t="s">
        <v>663</v>
      </c>
      <c r="C163" t="s">
        <v>664</v>
      </c>
      <c r="D163">
        <v>50136</v>
      </c>
      <c r="G163">
        <v>200</v>
      </c>
      <c r="H163">
        <v>1642.35</v>
      </c>
    </row>
    <row r="164" spans="1:8" x14ac:dyDescent="0.2">
      <c r="A164" t="s">
        <v>665</v>
      </c>
      <c r="B164" t="s">
        <v>666</v>
      </c>
      <c r="C164" t="s">
        <v>667</v>
      </c>
      <c r="D164">
        <v>55</v>
      </c>
      <c r="G164">
        <v>200</v>
      </c>
      <c r="H164">
        <v>1978.82</v>
      </c>
    </row>
    <row r="165" spans="1:8" x14ac:dyDescent="0.2">
      <c r="A165" t="s">
        <v>668</v>
      </c>
      <c r="B165" t="s">
        <v>669</v>
      </c>
      <c r="C165" t="s">
        <v>670</v>
      </c>
      <c r="D165">
        <v>100094</v>
      </c>
      <c r="G165">
        <v>250</v>
      </c>
      <c r="H165">
        <v>1772.94</v>
      </c>
    </row>
    <row r="166" spans="1:8" x14ac:dyDescent="0.2">
      <c r="A166" t="s">
        <v>671</v>
      </c>
      <c r="B166" t="s">
        <v>672</v>
      </c>
      <c r="C166" t="s">
        <v>673</v>
      </c>
      <c r="D166">
        <v>50173</v>
      </c>
      <c r="G166">
        <v>250</v>
      </c>
      <c r="H166">
        <v>1795.29</v>
      </c>
    </row>
    <row r="167" spans="1:8" x14ac:dyDescent="0.2">
      <c r="A167" t="s">
        <v>674</v>
      </c>
      <c r="B167" t="s">
        <v>675</v>
      </c>
      <c r="C167" t="s">
        <v>676</v>
      </c>
      <c r="D167">
        <v>50289</v>
      </c>
      <c r="G167">
        <v>350</v>
      </c>
      <c r="H167">
        <v>1735.29</v>
      </c>
    </row>
    <row r="168" spans="1:8" x14ac:dyDescent="0.2">
      <c r="A168" t="s">
        <v>677</v>
      </c>
      <c r="B168" t="s">
        <v>678</v>
      </c>
      <c r="C168" t="s">
        <v>679</v>
      </c>
      <c r="D168">
        <v>50160</v>
      </c>
      <c r="G168">
        <v>350</v>
      </c>
      <c r="H168">
        <v>1884.71</v>
      </c>
    </row>
    <row r="169" spans="1:8" x14ac:dyDescent="0.2">
      <c r="A169" t="s">
        <v>680</v>
      </c>
      <c r="B169" t="s">
        <v>681</v>
      </c>
      <c r="C169" t="s">
        <v>682</v>
      </c>
      <c r="D169">
        <v>100136</v>
      </c>
      <c r="G169">
        <v>300</v>
      </c>
      <c r="H169">
        <v>2196.4699999999998</v>
      </c>
    </row>
    <row r="170" spans="1:8" x14ac:dyDescent="0.2">
      <c r="A170" t="s">
        <v>683</v>
      </c>
      <c r="B170" t="s">
        <v>684</v>
      </c>
      <c r="C170" t="s">
        <v>685</v>
      </c>
      <c r="D170">
        <v>50295</v>
      </c>
      <c r="G170">
        <v>400</v>
      </c>
      <c r="H170">
        <v>2283.5300000000002</v>
      </c>
    </row>
    <row r="171" spans="1:8" x14ac:dyDescent="0.2">
      <c r="A171" t="s">
        <v>686</v>
      </c>
      <c r="B171" t="s">
        <v>687</v>
      </c>
      <c r="C171" t="s">
        <v>688</v>
      </c>
      <c r="D171">
        <v>50329</v>
      </c>
      <c r="G171">
        <v>400</v>
      </c>
      <c r="H171">
        <v>2028.24</v>
      </c>
    </row>
    <row r="172" spans="1:8" x14ac:dyDescent="0.2">
      <c r="A172" t="s">
        <v>689</v>
      </c>
      <c r="B172" t="s">
        <v>690</v>
      </c>
      <c r="C172" t="s">
        <v>691</v>
      </c>
      <c r="D172">
        <v>50467</v>
      </c>
      <c r="G172">
        <v>300</v>
      </c>
      <c r="H172">
        <v>2361.1799999999998</v>
      </c>
    </row>
    <row r="173" spans="1:8" x14ac:dyDescent="0.2">
      <c r="A173" t="s">
        <v>692</v>
      </c>
      <c r="B173" t="s">
        <v>693</v>
      </c>
      <c r="C173" t="s">
        <v>694</v>
      </c>
      <c r="D173">
        <v>50198</v>
      </c>
      <c r="G173">
        <v>200</v>
      </c>
      <c r="H173">
        <v>1818.82</v>
      </c>
    </row>
    <row r="174" spans="1:8" x14ac:dyDescent="0.2">
      <c r="A174" t="s">
        <v>695</v>
      </c>
      <c r="B174" t="s">
        <v>696</v>
      </c>
      <c r="C174" t="s">
        <v>697</v>
      </c>
      <c r="D174">
        <v>96</v>
      </c>
      <c r="G174">
        <v>300</v>
      </c>
      <c r="H174">
        <v>1902.35</v>
      </c>
    </row>
    <row r="175" spans="1:8" x14ac:dyDescent="0.2">
      <c r="A175" t="s">
        <v>698</v>
      </c>
      <c r="B175" t="s">
        <v>699</v>
      </c>
      <c r="C175" t="s">
        <v>700</v>
      </c>
      <c r="D175">
        <v>35</v>
      </c>
      <c r="G175">
        <v>400</v>
      </c>
      <c r="H175">
        <v>2516.4699999999998</v>
      </c>
    </row>
    <row r="176" spans="1:8" x14ac:dyDescent="0.2">
      <c r="A176" t="s">
        <v>701</v>
      </c>
      <c r="B176" t="s">
        <v>702</v>
      </c>
      <c r="C176" t="s">
        <v>703</v>
      </c>
      <c r="D176">
        <v>50152</v>
      </c>
      <c r="G176">
        <v>200</v>
      </c>
      <c r="H176">
        <v>4164</v>
      </c>
    </row>
    <row r="177" spans="1:8" x14ac:dyDescent="0.2">
      <c r="A177" t="s">
        <v>704</v>
      </c>
      <c r="B177" t="s">
        <v>705</v>
      </c>
      <c r="C177" t="s">
        <v>706</v>
      </c>
      <c r="D177">
        <v>100228</v>
      </c>
      <c r="G177">
        <v>0</v>
      </c>
      <c r="H177">
        <v>2841.93</v>
      </c>
    </row>
    <row r="178" spans="1:8" x14ac:dyDescent="0.2">
      <c r="A178" t="s">
        <v>707</v>
      </c>
      <c r="B178" t="s">
        <v>708</v>
      </c>
      <c r="C178" t="s">
        <v>709</v>
      </c>
      <c r="D178">
        <v>25</v>
      </c>
      <c r="G178">
        <v>0</v>
      </c>
      <c r="H178">
        <v>2444.71</v>
      </c>
    </row>
    <row r="179" spans="1:8" x14ac:dyDescent="0.2">
      <c r="A179" t="s">
        <v>710</v>
      </c>
      <c r="B179" t="s">
        <v>711</v>
      </c>
      <c r="C179" t="s">
        <v>712</v>
      </c>
      <c r="D179">
        <v>50373</v>
      </c>
      <c r="G179">
        <v>0</v>
      </c>
      <c r="H179">
        <v>1769.41</v>
      </c>
    </row>
    <row r="180" spans="1:8" x14ac:dyDescent="0.2">
      <c r="A180" t="s">
        <v>713</v>
      </c>
      <c r="B180" t="s">
        <v>714</v>
      </c>
      <c r="C180" t="s">
        <v>715</v>
      </c>
      <c r="D180">
        <v>50228</v>
      </c>
      <c r="G180">
        <v>0</v>
      </c>
      <c r="H180">
        <v>0</v>
      </c>
    </row>
    <row r="181" spans="1:8" x14ac:dyDescent="0.2">
      <c r="A181" t="s">
        <v>716</v>
      </c>
      <c r="B181" t="s">
        <v>717</v>
      </c>
      <c r="C181" t="s">
        <v>718</v>
      </c>
      <c r="D181">
        <v>50164</v>
      </c>
      <c r="G181">
        <v>0</v>
      </c>
      <c r="H181">
        <v>2593.81</v>
      </c>
    </row>
    <row r="182" spans="1:8" x14ac:dyDescent="0.2">
      <c r="A182" t="s">
        <v>719</v>
      </c>
      <c r="B182" t="s">
        <v>720</v>
      </c>
      <c r="C182" t="s">
        <v>721</v>
      </c>
      <c r="D182">
        <v>50162</v>
      </c>
      <c r="G182">
        <v>0</v>
      </c>
      <c r="H182">
        <v>2593.81</v>
      </c>
    </row>
    <row r="183" spans="1:8" x14ac:dyDescent="0.2">
      <c r="A183" t="s">
        <v>722</v>
      </c>
      <c r="B183" t="s">
        <v>723</v>
      </c>
      <c r="C183" t="s">
        <v>724</v>
      </c>
      <c r="D183">
        <v>68</v>
      </c>
      <c r="G183">
        <v>0</v>
      </c>
      <c r="H183">
        <v>2444.71</v>
      </c>
    </row>
    <row r="184" spans="1:8" x14ac:dyDescent="0.2">
      <c r="A184" t="s">
        <v>725</v>
      </c>
      <c r="B184" t="s">
        <v>726</v>
      </c>
      <c r="C184" t="s">
        <v>727</v>
      </c>
      <c r="D184">
        <v>41</v>
      </c>
      <c r="G184">
        <v>0</v>
      </c>
      <c r="H184">
        <v>2108.6999999999998</v>
      </c>
    </row>
    <row r="185" spans="1:8" x14ac:dyDescent="0.2">
      <c r="A185" t="s">
        <v>728</v>
      </c>
      <c r="B185" t="s">
        <v>729</v>
      </c>
      <c r="C185" t="s">
        <v>730</v>
      </c>
      <c r="D185">
        <v>100088</v>
      </c>
      <c r="G185">
        <v>200</v>
      </c>
      <c r="H185">
        <v>2400</v>
      </c>
    </row>
    <row r="186" spans="1:8" x14ac:dyDescent="0.2">
      <c r="A186" t="s">
        <v>731</v>
      </c>
      <c r="B186" t="s">
        <v>732</v>
      </c>
      <c r="C186" t="s">
        <v>733</v>
      </c>
      <c r="D186">
        <v>100095</v>
      </c>
      <c r="G186">
        <v>300</v>
      </c>
      <c r="H186">
        <v>2650</v>
      </c>
    </row>
    <row r="187" spans="1:8" x14ac:dyDescent="0.2">
      <c r="A187" t="s">
        <v>734</v>
      </c>
      <c r="B187" t="s">
        <v>735</v>
      </c>
      <c r="C187" t="s">
        <v>736</v>
      </c>
      <c r="D187">
        <v>100101</v>
      </c>
      <c r="G187">
        <v>250</v>
      </c>
      <c r="H187">
        <v>2250</v>
      </c>
    </row>
    <row r="188" spans="1:8" x14ac:dyDescent="0.2">
      <c r="A188" t="s">
        <v>737</v>
      </c>
      <c r="B188" t="s">
        <v>738</v>
      </c>
      <c r="C188" t="s">
        <v>739</v>
      </c>
      <c r="D188">
        <v>50420</v>
      </c>
      <c r="G188">
        <v>550</v>
      </c>
      <c r="H188">
        <v>4000</v>
      </c>
    </row>
    <row r="189" spans="1:8" x14ac:dyDescent="0.2">
      <c r="A189" t="s">
        <v>740</v>
      </c>
      <c r="B189" t="s">
        <v>741</v>
      </c>
      <c r="C189" t="s">
        <v>742</v>
      </c>
      <c r="D189">
        <v>100248</v>
      </c>
      <c r="G189">
        <v>300</v>
      </c>
      <c r="H189">
        <v>3775</v>
      </c>
    </row>
    <row r="190" spans="1:8" x14ac:dyDescent="0.2">
      <c r="A190" t="s">
        <v>743</v>
      </c>
      <c r="B190" t="s">
        <v>744</v>
      </c>
      <c r="C190" t="s">
        <v>745</v>
      </c>
      <c r="D190">
        <v>100106</v>
      </c>
      <c r="G190">
        <v>0</v>
      </c>
      <c r="H190">
        <v>0</v>
      </c>
    </row>
    <row r="191" spans="1:8" x14ac:dyDescent="0.2">
      <c r="A191" t="s">
        <v>746</v>
      </c>
      <c r="B191" t="s">
        <v>747</v>
      </c>
      <c r="C191" t="s">
        <v>748</v>
      </c>
      <c r="D191">
        <v>50163</v>
      </c>
      <c r="G191">
        <v>200</v>
      </c>
      <c r="H191">
        <v>2363.0700000000002</v>
      </c>
    </row>
    <row r="192" spans="1:8" x14ac:dyDescent="0.2">
      <c r="A192" t="s">
        <v>749</v>
      </c>
      <c r="B192" t="s">
        <v>750</v>
      </c>
      <c r="C192" t="s">
        <v>301</v>
      </c>
      <c r="D192">
        <v>50449</v>
      </c>
      <c r="G192">
        <v>100</v>
      </c>
      <c r="H192">
        <v>1610.06</v>
      </c>
    </row>
    <row r="193" spans="1:8" x14ac:dyDescent="0.2">
      <c r="A193" t="s">
        <v>751</v>
      </c>
      <c r="B193" t="s">
        <v>752</v>
      </c>
      <c r="C193" t="s">
        <v>753</v>
      </c>
      <c r="D193">
        <v>50301</v>
      </c>
      <c r="G193">
        <v>0</v>
      </c>
      <c r="H193">
        <v>1867.66</v>
      </c>
    </row>
    <row r="194" spans="1:8" x14ac:dyDescent="0.2">
      <c r="A194" t="s">
        <v>754</v>
      </c>
      <c r="B194" t="s">
        <v>755</v>
      </c>
      <c r="C194" t="s">
        <v>756</v>
      </c>
      <c r="D194">
        <v>10</v>
      </c>
      <c r="G194">
        <v>0</v>
      </c>
      <c r="H194">
        <v>0</v>
      </c>
    </row>
    <row r="195" spans="1:8" x14ac:dyDescent="0.2">
      <c r="A195" t="s">
        <v>757</v>
      </c>
      <c r="B195" t="s">
        <v>758</v>
      </c>
      <c r="C195" t="s">
        <v>759</v>
      </c>
      <c r="D195">
        <v>50210</v>
      </c>
      <c r="G195">
        <v>0</v>
      </c>
      <c r="H195">
        <v>2350</v>
      </c>
    </row>
    <row r="196" spans="1:8" x14ac:dyDescent="0.2">
      <c r="A196" t="s">
        <v>760</v>
      </c>
      <c r="B196" t="s">
        <v>761</v>
      </c>
      <c r="C196" t="s">
        <v>762</v>
      </c>
      <c r="D196">
        <v>85</v>
      </c>
      <c r="G196">
        <v>250</v>
      </c>
      <c r="H196">
        <v>2400</v>
      </c>
    </row>
    <row r="197" spans="1:8" x14ac:dyDescent="0.2">
      <c r="A197" t="s">
        <v>763</v>
      </c>
      <c r="B197" t="s">
        <v>764</v>
      </c>
      <c r="C197" t="s">
        <v>765</v>
      </c>
      <c r="D197">
        <v>50279</v>
      </c>
      <c r="G197">
        <v>250</v>
      </c>
      <c r="H197">
        <v>2500</v>
      </c>
    </row>
    <row r="198" spans="1:8" x14ac:dyDescent="0.2">
      <c r="A198" t="s">
        <v>766</v>
      </c>
      <c r="B198" t="s">
        <v>767</v>
      </c>
      <c r="C198" t="s">
        <v>768</v>
      </c>
      <c r="D198">
        <v>50039</v>
      </c>
      <c r="G198">
        <v>600</v>
      </c>
      <c r="H198">
        <v>4750</v>
      </c>
    </row>
    <row r="199" spans="1:8" x14ac:dyDescent="0.2">
      <c r="A199" t="s">
        <v>769</v>
      </c>
      <c r="B199" t="s">
        <v>770</v>
      </c>
      <c r="C199" t="s">
        <v>771</v>
      </c>
      <c r="D199">
        <v>100247</v>
      </c>
      <c r="G199">
        <v>0</v>
      </c>
      <c r="H199">
        <v>2737.83</v>
      </c>
    </row>
    <row r="200" spans="1:8" x14ac:dyDescent="0.2">
      <c r="A200" t="s">
        <v>772</v>
      </c>
      <c r="B200" t="s">
        <v>773</v>
      </c>
      <c r="C200" t="s">
        <v>774</v>
      </c>
      <c r="D200">
        <v>100244</v>
      </c>
      <c r="G200">
        <v>450</v>
      </c>
      <c r="H200">
        <v>0</v>
      </c>
    </row>
    <row r="201" spans="1:8" x14ac:dyDescent="0.2">
      <c r="A201" t="s">
        <v>775</v>
      </c>
      <c r="B201" t="s">
        <v>776</v>
      </c>
      <c r="C201" t="s">
        <v>777</v>
      </c>
      <c r="D201">
        <v>100239</v>
      </c>
      <c r="G201">
        <v>0</v>
      </c>
      <c r="H201">
        <v>1436.58</v>
      </c>
    </row>
    <row r="202" spans="1:8" x14ac:dyDescent="0.2">
      <c r="A202" t="s">
        <v>778</v>
      </c>
      <c r="B202" t="s">
        <v>779</v>
      </c>
      <c r="C202" t="s">
        <v>780</v>
      </c>
      <c r="D202">
        <v>50349</v>
      </c>
      <c r="G202">
        <v>250</v>
      </c>
      <c r="H202">
        <v>0</v>
      </c>
    </row>
    <row r="203" spans="1:8" x14ac:dyDescent="0.2">
      <c r="A203" t="s">
        <v>781</v>
      </c>
      <c r="B203" t="s">
        <v>782</v>
      </c>
      <c r="C203" t="s">
        <v>783</v>
      </c>
      <c r="D203">
        <v>100201</v>
      </c>
      <c r="G203">
        <v>0</v>
      </c>
      <c r="H203">
        <v>1436.58</v>
      </c>
    </row>
    <row r="204" spans="1:8" x14ac:dyDescent="0.2">
      <c r="A204" t="s">
        <v>784</v>
      </c>
      <c r="B204" t="s">
        <v>785</v>
      </c>
      <c r="C204" t="s">
        <v>786</v>
      </c>
      <c r="D204">
        <v>50041</v>
      </c>
      <c r="G204">
        <v>200</v>
      </c>
      <c r="H204">
        <v>2855.46</v>
      </c>
    </row>
    <row r="205" spans="1:8" x14ac:dyDescent="0.2">
      <c r="A205" t="s">
        <v>787</v>
      </c>
      <c r="B205" t="s">
        <v>788</v>
      </c>
      <c r="C205" t="s">
        <v>789</v>
      </c>
      <c r="D205">
        <v>50</v>
      </c>
      <c r="G205">
        <v>200</v>
      </c>
      <c r="H205">
        <v>2853.27</v>
      </c>
    </row>
    <row r="206" spans="1:8" x14ac:dyDescent="0.2">
      <c r="A206" t="s">
        <v>790</v>
      </c>
      <c r="B206" t="s">
        <v>791</v>
      </c>
      <c r="C206" t="s">
        <v>792</v>
      </c>
      <c r="D206">
        <v>12</v>
      </c>
      <c r="G206">
        <v>0</v>
      </c>
      <c r="H206">
        <v>2914.8</v>
      </c>
    </row>
    <row r="207" spans="1:8" x14ac:dyDescent="0.2">
      <c r="A207" t="s">
        <v>793</v>
      </c>
      <c r="B207" t="s">
        <v>794</v>
      </c>
      <c r="C207" t="s">
        <v>795</v>
      </c>
      <c r="D207">
        <v>100140</v>
      </c>
      <c r="G207">
        <v>0</v>
      </c>
      <c r="H207">
        <v>3643.5</v>
      </c>
    </row>
    <row r="208" spans="1:8" x14ac:dyDescent="0.2">
      <c r="A208" t="s">
        <v>796</v>
      </c>
      <c r="B208" t="s">
        <v>797</v>
      </c>
      <c r="C208" t="s">
        <v>798</v>
      </c>
      <c r="D208">
        <v>50270</v>
      </c>
      <c r="G208">
        <v>0</v>
      </c>
      <c r="H208">
        <v>0</v>
      </c>
    </row>
    <row r="209" spans="1:8" x14ac:dyDescent="0.2">
      <c r="A209" t="s">
        <v>799</v>
      </c>
      <c r="B209" t="s">
        <v>800</v>
      </c>
      <c r="C209" t="s">
        <v>801</v>
      </c>
      <c r="D209">
        <v>100231</v>
      </c>
      <c r="G209">
        <v>0</v>
      </c>
      <c r="H209">
        <v>1954.12</v>
      </c>
    </row>
    <row r="210" spans="1:8" x14ac:dyDescent="0.2">
      <c r="A210" t="s">
        <v>802</v>
      </c>
      <c r="B210" t="s">
        <v>803</v>
      </c>
      <c r="C210" t="s">
        <v>804</v>
      </c>
      <c r="D210">
        <v>88</v>
      </c>
      <c r="G210">
        <v>0</v>
      </c>
      <c r="H210">
        <v>0</v>
      </c>
    </row>
    <row r="211" spans="1:8" x14ac:dyDescent="0.2">
      <c r="A211" t="s">
        <v>805</v>
      </c>
      <c r="B211" t="s">
        <v>806</v>
      </c>
      <c r="C211" t="s">
        <v>807</v>
      </c>
      <c r="D211">
        <v>36</v>
      </c>
      <c r="G211">
        <v>0</v>
      </c>
      <c r="H211">
        <v>0</v>
      </c>
    </row>
    <row r="212" spans="1:8" x14ac:dyDescent="0.2">
      <c r="A212" t="s">
        <v>808</v>
      </c>
      <c r="B212" t="s">
        <v>809</v>
      </c>
      <c r="C212" t="s">
        <v>810</v>
      </c>
      <c r="D212">
        <v>50098</v>
      </c>
      <c r="G212">
        <v>0</v>
      </c>
      <c r="H212">
        <v>0</v>
      </c>
    </row>
    <row r="213" spans="1:8" x14ac:dyDescent="0.2">
      <c r="A213" t="s">
        <v>811</v>
      </c>
      <c r="B213" t="s">
        <v>812</v>
      </c>
      <c r="C213" t="s">
        <v>813</v>
      </c>
      <c r="D213">
        <v>50311</v>
      </c>
      <c r="G213">
        <v>0</v>
      </c>
      <c r="H213">
        <v>2375</v>
      </c>
    </row>
    <row r="214" spans="1:8" x14ac:dyDescent="0.2">
      <c r="A214" t="s">
        <v>814</v>
      </c>
      <c r="B214" t="s">
        <v>815</v>
      </c>
      <c r="C214" t="s">
        <v>816</v>
      </c>
      <c r="D214">
        <v>50047</v>
      </c>
      <c r="G214">
        <v>0</v>
      </c>
      <c r="H214">
        <v>2750</v>
      </c>
    </row>
    <row r="215" spans="1:8" x14ac:dyDescent="0.2">
      <c r="A215" t="s">
        <v>817</v>
      </c>
      <c r="B215" t="s">
        <v>818</v>
      </c>
      <c r="C215" t="s">
        <v>819</v>
      </c>
      <c r="D215">
        <v>73</v>
      </c>
      <c r="G215">
        <v>0</v>
      </c>
      <c r="H215">
        <v>2300</v>
      </c>
    </row>
    <row r="216" spans="1:8" x14ac:dyDescent="0.2">
      <c r="A216" t="s">
        <v>820</v>
      </c>
      <c r="B216" t="s">
        <v>821</v>
      </c>
      <c r="C216" t="s">
        <v>822</v>
      </c>
      <c r="D216">
        <v>50307</v>
      </c>
      <c r="G216">
        <v>0</v>
      </c>
      <c r="H216">
        <v>1934.12</v>
      </c>
    </row>
    <row r="217" spans="1:8" x14ac:dyDescent="0.2">
      <c r="A217" t="s">
        <v>823</v>
      </c>
      <c r="B217" t="s">
        <v>824</v>
      </c>
      <c r="C217" t="s">
        <v>825</v>
      </c>
      <c r="D217">
        <v>50148</v>
      </c>
      <c r="G217">
        <v>200</v>
      </c>
      <c r="H217">
        <v>1877.65</v>
      </c>
    </row>
    <row r="218" spans="1:8" x14ac:dyDescent="0.2">
      <c r="A218" t="s">
        <v>826</v>
      </c>
      <c r="B218" t="s">
        <v>827</v>
      </c>
      <c r="C218" t="s">
        <v>828</v>
      </c>
      <c r="D218">
        <v>50376</v>
      </c>
      <c r="G218">
        <v>0</v>
      </c>
      <c r="H218">
        <v>0</v>
      </c>
    </row>
    <row r="219" spans="1:8" x14ac:dyDescent="0.2">
      <c r="A219" t="s">
        <v>829</v>
      </c>
      <c r="B219" t="s">
        <v>830</v>
      </c>
      <c r="C219" t="s">
        <v>831</v>
      </c>
      <c r="D219">
        <v>53</v>
      </c>
      <c r="G219">
        <v>0</v>
      </c>
      <c r="H219">
        <v>0</v>
      </c>
    </row>
    <row r="220" spans="1:8" x14ac:dyDescent="0.2">
      <c r="A220" t="s">
        <v>832</v>
      </c>
      <c r="B220" t="s">
        <v>833</v>
      </c>
      <c r="C220" t="s">
        <v>834</v>
      </c>
      <c r="D220">
        <v>100155</v>
      </c>
      <c r="G220">
        <v>0</v>
      </c>
      <c r="H220">
        <v>2082</v>
      </c>
    </row>
    <row r="221" spans="1:8" x14ac:dyDescent="0.2">
      <c r="A221" t="s">
        <v>835</v>
      </c>
      <c r="B221" t="s">
        <v>836</v>
      </c>
      <c r="C221" t="s">
        <v>837</v>
      </c>
      <c r="D221">
        <v>100169</v>
      </c>
      <c r="G221">
        <v>300</v>
      </c>
      <c r="H221">
        <v>3300</v>
      </c>
    </row>
    <row r="222" spans="1:8" x14ac:dyDescent="0.2">
      <c r="A222" t="s">
        <v>838</v>
      </c>
      <c r="B222" t="s">
        <v>839</v>
      </c>
      <c r="C222" t="s">
        <v>840</v>
      </c>
      <c r="D222">
        <v>50217</v>
      </c>
      <c r="G222">
        <v>0</v>
      </c>
      <c r="H222">
        <v>4033.88</v>
      </c>
    </row>
    <row r="223" spans="1:8" x14ac:dyDescent="0.2">
      <c r="A223" t="s">
        <v>841</v>
      </c>
      <c r="B223" t="s">
        <v>842</v>
      </c>
      <c r="C223" t="s">
        <v>843</v>
      </c>
      <c r="D223">
        <v>100221</v>
      </c>
      <c r="G223">
        <v>300</v>
      </c>
      <c r="H223">
        <v>2550</v>
      </c>
    </row>
    <row r="224" spans="1:8" x14ac:dyDescent="0.2">
      <c r="A224" t="s">
        <v>844</v>
      </c>
      <c r="B224" t="s">
        <v>845</v>
      </c>
      <c r="C224" t="s">
        <v>846</v>
      </c>
      <c r="D224">
        <v>50395</v>
      </c>
      <c r="G224">
        <v>200</v>
      </c>
      <c r="H224">
        <v>3600</v>
      </c>
    </row>
    <row r="225" spans="1:8" x14ac:dyDescent="0.2">
      <c r="A225" t="s">
        <v>847</v>
      </c>
      <c r="B225" t="s">
        <v>848</v>
      </c>
      <c r="C225" t="s">
        <v>849</v>
      </c>
      <c r="D225">
        <v>50327</v>
      </c>
      <c r="G225">
        <v>200</v>
      </c>
      <c r="H225">
        <v>1861.18</v>
      </c>
    </row>
    <row r="226" spans="1:8" x14ac:dyDescent="0.2">
      <c r="A226" t="s">
        <v>850</v>
      </c>
      <c r="B226" t="s">
        <v>851</v>
      </c>
      <c r="C226" t="s">
        <v>353</v>
      </c>
      <c r="D226">
        <v>65</v>
      </c>
      <c r="G226">
        <v>200</v>
      </c>
      <c r="H226">
        <v>3250</v>
      </c>
    </row>
    <row r="227" spans="1:8" x14ac:dyDescent="0.2">
      <c r="A227" t="s">
        <v>852</v>
      </c>
      <c r="B227" t="s">
        <v>853</v>
      </c>
      <c r="C227" t="s">
        <v>854</v>
      </c>
      <c r="D227">
        <v>75</v>
      </c>
      <c r="G227">
        <v>0</v>
      </c>
      <c r="H227">
        <v>5710.93</v>
      </c>
    </row>
    <row r="228" spans="1:8" x14ac:dyDescent="0.2">
      <c r="A228" t="s">
        <v>855</v>
      </c>
      <c r="B228" t="s">
        <v>856</v>
      </c>
      <c r="C228" t="s">
        <v>857</v>
      </c>
      <c r="D228">
        <v>1</v>
      </c>
      <c r="G228">
        <v>0</v>
      </c>
      <c r="H228">
        <v>2350</v>
      </c>
    </row>
    <row r="229" spans="1:8" x14ac:dyDescent="0.2">
      <c r="A229" t="s">
        <v>858</v>
      </c>
      <c r="B229" t="s">
        <v>859</v>
      </c>
      <c r="C229" t="s">
        <v>860</v>
      </c>
      <c r="D229">
        <v>14</v>
      </c>
      <c r="G229">
        <v>0</v>
      </c>
      <c r="H229">
        <v>2053.7399999999998</v>
      </c>
    </row>
    <row r="230" spans="1:8" x14ac:dyDescent="0.2">
      <c r="A230" t="s">
        <v>861</v>
      </c>
      <c r="B230" t="s">
        <v>862</v>
      </c>
      <c r="C230" t="s">
        <v>863</v>
      </c>
      <c r="D230">
        <v>50275</v>
      </c>
      <c r="G230">
        <v>0</v>
      </c>
      <c r="H230">
        <v>2160</v>
      </c>
    </row>
    <row r="231" spans="1:8" x14ac:dyDescent="0.2">
      <c r="A231" t="s">
        <v>864</v>
      </c>
      <c r="B231" t="s">
        <v>865</v>
      </c>
      <c r="C231" t="s">
        <v>866</v>
      </c>
      <c r="D231">
        <v>100170</v>
      </c>
      <c r="G231">
        <v>0</v>
      </c>
      <c r="H231">
        <v>2149.41</v>
      </c>
    </row>
    <row r="232" spans="1:8" x14ac:dyDescent="0.2">
      <c r="A232" t="s">
        <v>864</v>
      </c>
      <c r="B232" t="s">
        <v>867</v>
      </c>
      <c r="C232" t="s">
        <v>868</v>
      </c>
      <c r="D232">
        <v>50248</v>
      </c>
      <c r="G232">
        <v>0</v>
      </c>
      <c r="H232">
        <v>1937.65</v>
      </c>
    </row>
    <row r="233" spans="1:8" x14ac:dyDescent="0.2">
      <c r="A233" t="s">
        <v>869</v>
      </c>
      <c r="B233" t="s">
        <v>870</v>
      </c>
      <c r="C233" t="s">
        <v>871</v>
      </c>
      <c r="D233">
        <v>50399</v>
      </c>
      <c r="G233">
        <v>0</v>
      </c>
      <c r="H233">
        <v>2250</v>
      </c>
    </row>
    <row r="234" spans="1:8" x14ac:dyDescent="0.2">
      <c r="A234" t="s">
        <v>872</v>
      </c>
      <c r="B234" t="s">
        <v>873</v>
      </c>
      <c r="C234" t="s">
        <v>874</v>
      </c>
      <c r="D234">
        <v>50468</v>
      </c>
      <c r="G234">
        <v>250</v>
      </c>
      <c r="H234">
        <v>3325</v>
      </c>
    </row>
    <row r="235" spans="1:8" x14ac:dyDescent="0.2">
      <c r="A235" t="s">
        <v>875</v>
      </c>
      <c r="B235" t="s">
        <v>876</v>
      </c>
      <c r="C235" t="s">
        <v>877</v>
      </c>
      <c r="D235">
        <v>100173</v>
      </c>
      <c r="G235">
        <v>100</v>
      </c>
      <c r="H235">
        <v>2196.5100000000002</v>
      </c>
    </row>
    <row r="236" spans="1:8" x14ac:dyDescent="0.2">
      <c r="A236" t="s">
        <v>878</v>
      </c>
      <c r="B236" t="s">
        <v>879</v>
      </c>
      <c r="C236" t="s">
        <v>880</v>
      </c>
      <c r="D236">
        <v>100197</v>
      </c>
      <c r="G236">
        <v>100</v>
      </c>
      <c r="H236">
        <v>2737.83</v>
      </c>
    </row>
    <row r="237" spans="1:8" x14ac:dyDescent="0.2">
      <c r="A237" t="s">
        <v>881</v>
      </c>
      <c r="B237" t="s">
        <v>882</v>
      </c>
      <c r="C237" t="s">
        <v>883</v>
      </c>
      <c r="D237">
        <v>50320</v>
      </c>
      <c r="G237">
        <v>250</v>
      </c>
      <c r="H237">
        <v>2351.7600000000002</v>
      </c>
    </row>
    <row r="238" spans="1:8" x14ac:dyDescent="0.2">
      <c r="A238" t="s">
        <v>884</v>
      </c>
      <c r="B238" t="s">
        <v>885</v>
      </c>
      <c r="C238" t="s">
        <v>886</v>
      </c>
      <c r="D238">
        <v>8</v>
      </c>
      <c r="G238">
        <v>250</v>
      </c>
      <c r="H238">
        <v>2909.6</v>
      </c>
    </row>
    <row r="239" spans="1:8" x14ac:dyDescent="0.2">
      <c r="A239" t="s">
        <v>887</v>
      </c>
      <c r="B239" t="s">
        <v>888</v>
      </c>
      <c r="C239" t="s">
        <v>889</v>
      </c>
      <c r="D239">
        <v>50306</v>
      </c>
      <c r="G239">
        <v>250</v>
      </c>
      <c r="H239">
        <v>2909.6</v>
      </c>
    </row>
    <row r="240" spans="1:8" x14ac:dyDescent="0.2">
      <c r="A240" t="s">
        <v>890</v>
      </c>
      <c r="B240" t="s">
        <v>891</v>
      </c>
      <c r="C240" t="s">
        <v>892</v>
      </c>
      <c r="D240">
        <v>49</v>
      </c>
      <c r="G240">
        <v>200</v>
      </c>
      <c r="H240">
        <v>3157.68</v>
      </c>
    </row>
    <row r="241" spans="1:8" x14ac:dyDescent="0.2">
      <c r="A241" t="s">
        <v>893</v>
      </c>
      <c r="B241" t="s">
        <v>894</v>
      </c>
      <c r="C241" t="s">
        <v>895</v>
      </c>
      <c r="D241">
        <v>50266</v>
      </c>
      <c r="G241">
        <v>250</v>
      </c>
      <c r="H241">
        <v>2498.54</v>
      </c>
    </row>
    <row r="242" spans="1:8" x14ac:dyDescent="0.2">
      <c r="A242" t="s">
        <v>896</v>
      </c>
      <c r="B242" t="s">
        <v>897</v>
      </c>
      <c r="C242" t="s">
        <v>898</v>
      </c>
      <c r="D242">
        <v>50462</v>
      </c>
      <c r="G242">
        <v>250</v>
      </c>
      <c r="H242">
        <v>2394.3000000000002</v>
      </c>
    </row>
    <row r="243" spans="1:8" x14ac:dyDescent="0.2">
      <c r="A243" t="s">
        <v>899</v>
      </c>
      <c r="B243" t="s">
        <v>900</v>
      </c>
      <c r="C243" t="s">
        <v>901</v>
      </c>
      <c r="D243">
        <v>50001</v>
      </c>
      <c r="G243">
        <v>0</v>
      </c>
      <c r="H243">
        <v>1450</v>
      </c>
    </row>
    <row r="244" spans="1:8" x14ac:dyDescent="0.2">
      <c r="A244" t="s">
        <v>902</v>
      </c>
      <c r="B244" t="s">
        <v>903</v>
      </c>
      <c r="C244" t="s">
        <v>904</v>
      </c>
      <c r="D244">
        <v>50436</v>
      </c>
      <c r="G244">
        <v>0</v>
      </c>
      <c r="H244">
        <v>2500</v>
      </c>
    </row>
    <row r="245" spans="1:8" x14ac:dyDescent="0.2">
      <c r="A245" t="s">
        <v>905</v>
      </c>
      <c r="B245" t="s">
        <v>906</v>
      </c>
      <c r="C245" t="s">
        <v>907</v>
      </c>
      <c r="D245">
        <v>50364</v>
      </c>
      <c r="G245">
        <v>260</v>
      </c>
      <c r="H245">
        <v>3608.79</v>
      </c>
    </row>
    <row r="246" spans="1:8" x14ac:dyDescent="0.2">
      <c r="A246" t="s">
        <v>908</v>
      </c>
      <c r="B246" t="s">
        <v>909</v>
      </c>
      <c r="C246" t="s">
        <v>910</v>
      </c>
      <c r="D246">
        <v>50460</v>
      </c>
      <c r="G246">
        <v>0</v>
      </c>
      <c r="H246">
        <v>3800</v>
      </c>
    </row>
    <row r="247" spans="1:8" x14ac:dyDescent="0.2">
      <c r="A247" t="s">
        <v>911</v>
      </c>
      <c r="B247" t="s">
        <v>912</v>
      </c>
      <c r="C247" t="s">
        <v>913</v>
      </c>
      <c r="D247">
        <v>50194</v>
      </c>
      <c r="G247">
        <v>0</v>
      </c>
      <c r="H247">
        <v>2498.4</v>
      </c>
    </row>
    <row r="248" spans="1:8" x14ac:dyDescent="0.2">
      <c r="A248" t="s">
        <v>914</v>
      </c>
      <c r="B248" t="s">
        <v>915</v>
      </c>
      <c r="C248" t="s">
        <v>916</v>
      </c>
      <c r="D248">
        <v>100235</v>
      </c>
      <c r="G248">
        <v>300</v>
      </c>
      <c r="H248">
        <v>2932.13</v>
      </c>
    </row>
    <row r="249" spans="1:8" x14ac:dyDescent="0.2">
      <c r="A249" t="s">
        <v>917</v>
      </c>
      <c r="B249" t="s">
        <v>918</v>
      </c>
      <c r="C249" t="s">
        <v>919</v>
      </c>
      <c r="D249">
        <v>50259</v>
      </c>
      <c r="G249">
        <v>0</v>
      </c>
      <c r="H249">
        <v>0</v>
      </c>
    </row>
    <row r="250" spans="1:8" x14ac:dyDescent="0.2">
      <c r="A250" t="s">
        <v>920</v>
      </c>
      <c r="B250" t="s">
        <v>921</v>
      </c>
      <c r="C250" t="s">
        <v>922</v>
      </c>
      <c r="D250">
        <v>100141</v>
      </c>
      <c r="G250">
        <v>0</v>
      </c>
      <c r="H250">
        <v>0</v>
      </c>
    </row>
    <row r="251" spans="1:8" x14ac:dyDescent="0.2">
      <c r="A251" t="s">
        <v>923</v>
      </c>
      <c r="B251" t="s">
        <v>924</v>
      </c>
      <c r="C251" t="s">
        <v>925</v>
      </c>
      <c r="D251">
        <v>42</v>
      </c>
      <c r="G251">
        <v>0</v>
      </c>
      <c r="H251">
        <v>2450</v>
      </c>
    </row>
    <row r="252" spans="1:8" x14ac:dyDescent="0.2">
      <c r="A252" t="s">
        <v>926</v>
      </c>
      <c r="B252" t="s">
        <v>927</v>
      </c>
      <c r="C252" t="s">
        <v>928</v>
      </c>
      <c r="D252">
        <v>61</v>
      </c>
      <c r="G252">
        <v>0</v>
      </c>
      <c r="H252">
        <v>0</v>
      </c>
    </row>
    <row r="253" spans="1:8" x14ac:dyDescent="0.2">
      <c r="A253" t="s">
        <v>929</v>
      </c>
      <c r="B253" t="s">
        <v>930</v>
      </c>
      <c r="C253" t="s">
        <v>931</v>
      </c>
      <c r="D253">
        <v>50233</v>
      </c>
      <c r="G253">
        <v>250</v>
      </c>
      <c r="H253">
        <v>2800</v>
      </c>
    </row>
    <row r="254" spans="1:8" x14ac:dyDescent="0.2">
      <c r="A254" t="s">
        <v>932</v>
      </c>
      <c r="B254" t="s">
        <v>933</v>
      </c>
      <c r="C254" t="s">
        <v>934</v>
      </c>
      <c r="D254">
        <v>100259</v>
      </c>
      <c r="G254">
        <v>0</v>
      </c>
      <c r="H254">
        <v>1436.58</v>
      </c>
    </row>
    <row r="255" spans="1:8" x14ac:dyDescent="0.2">
      <c r="A255" t="s">
        <v>935</v>
      </c>
      <c r="B255" t="s">
        <v>936</v>
      </c>
      <c r="C255" t="s">
        <v>937</v>
      </c>
      <c r="D255">
        <v>50314</v>
      </c>
      <c r="G255">
        <v>0</v>
      </c>
      <c r="H255">
        <v>0</v>
      </c>
    </row>
    <row r="256" spans="1:8" x14ac:dyDescent="0.2">
      <c r="A256" t="s">
        <v>938</v>
      </c>
      <c r="B256" t="s">
        <v>939</v>
      </c>
      <c r="C256" t="s">
        <v>940</v>
      </c>
      <c r="D256">
        <v>50255</v>
      </c>
      <c r="G256">
        <v>0</v>
      </c>
      <c r="H256">
        <v>1783.53</v>
      </c>
    </row>
    <row r="257" spans="1:8" x14ac:dyDescent="0.2">
      <c r="A257" t="s">
        <v>941</v>
      </c>
      <c r="B257" t="s">
        <v>942</v>
      </c>
      <c r="C257" t="s">
        <v>943</v>
      </c>
      <c r="D257">
        <v>50196</v>
      </c>
      <c r="G257">
        <v>0</v>
      </c>
      <c r="H257">
        <v>1700</v>
      </c>
    </row>
    <row r="258" spans="1:8" x14ac:dyDescent="0.2">
      <c r="A258" t="s">
        <v>944</v>
      </c>
      <c r="B258" t="s">
        <v>945</v>
      </c>
      <c r="C258" t="s">
        <v>946</v>
      </c>
      <c r="D258">
        <v>28</v>
      </c>
      <c r="G258">
        <v>375</v>
      </c>
      <c r="H258">
        <v>1850</v>
      </c>
    </row>
    <row r="259" spans="1:8" x14ac:dyDescent="0.2">
      <c r="A259" t="s">
        <v>947</v>
      </c>
      <c r="B259" t="s">
        <v>948</v>
      </c>
      <c r="C259" t="s">
        <v>949</v>
      </c>
      <c r="D259">
        <v>50207</v>
      </c>
      <c r="G259">
        <v>300</v>
      </c>
      <c r="H259">
        <v>2250</v>
      </c>
    </row>
    <row r="260" spans="1:8" x14ac:dyDescent="0.2">
      <c r="A260" t="s">
        <v>950</v>
      </c>
      <c r="B260" t="s">
        <v>951</v>
      </c>
      <c r="C260" t="s">
        <v>952</v>
      </c>
      <c r="D260">
        <v>50205</v>
      </c>
      <c r="G260">
        <v>0</v>
      </c>
      <c r="H260">
        <v>0</v>
      </c>
    </row>
    <row r="261" spans="1:8" x14ac:dyDescent="0.2">
      <c r="A261" t="s">
        <v>953</v>
      </c>
      <c r="B261" t="s">
        <v>954</v>
      </c>
      <c r="C261" t="s">
        <v>955</v>
      </c>
      <c r="D261">
        <v>50100</v>
      </c>
      <c r="G261">
        <v>0</v>
      </c>
      <c r="H261">
        <v>3275</v>
      </c>
    </row>
    <row r="262" spans="1:8" x14ac:dyDescent="0.2">
      <c r="A262" t="s">
        <v>956</v>
      </c>
      <c r="B262" t="s">
        <v>957</v>
      </c>
      <c r="C262" t="s">
        <v>958</v>
      </c>
      <c r="D262">
        <v>50154</v>
      </c>
      <c r="G262">
        <v>200</v>
      </c>
      <c r="H262">
        <v>1957.65</v>
      </c>
    </row>
    <row r="263" spans="1:8" x14ac:dyDescent="0.2">
      <c r="A263" t="s">
        <v>959</v>
      </c>
      <c r="B263" t="s">
        <v>960</v>
      </c>
      <c r="C263" t="s">
        <v>961</v>
      </c>
      <c r="D263">
        <v>100250</v>
      </c>
      <c r="G263">
        <v>300</v>
      </c>
      <c r="H263">
        <v>2169.06</v>
      </c>
    </row>
    <row r="264" spans="1:8" x14ac:dyDescent="0.2">
      <c r="A264" t="s">
        <v>962</v>
      </c>
      <c r="B264" t="s">
        <v>963</v>
      </c>
      <c r="C264" t="s">
        <v>964</v>
      </c>
      <c r="D264">
        <v>100224</v>
      </c>
      <c r="G264">
        <v>200</v>
      </c>
      <c r="H264">
        <v>0</v>
      </c>
    </row>
    <row r="265" spans="1:8" x14ac:dyDescent="0.2">
      <c r="A265" t="s">
        <v>965</v>
      </c>
      <c r="B265" t="s">
        <v>966</v>
      </c>
      <c r="C265" t="s">
        <v>967</v>
      </c>
      <c r="D265">
        <v>100212</v>
      </c>
      <c r="G265">
        <v>200</v>
      </c>
      <c r="H265">
        <v>0</v>
      </c>
    </row>
    <row r="266" spans="1:8" x14ac:dyDescent="0.2">
      <c r="A266" t="s">
        <v>968</v>
      </c>
      <c r="B266" t="s">
        <v>969</v>
      </c>
      <c r="C266" t="s">
        <v>385</v>
      </c>
      <c r="D266">
        <v>93</v>
      </c>
      <c r="G266">
        <v>200</v>
      </c>
      <c r="H266">
        <v>0</v>
      </c>
    </row>
    <row r="267" spans="1:8" x14ac:dyDescent="0.2">
      <c r="A267" t="s">
        <v>970</v>
      </c>
      <c r="B267" t="s">
        <v>971</v>
      </c>
      <c r="C267" t="s">
        <v>972</v>
      </c>
      <c r="D267">
        <v>50398</v>
      </c>
      <c r="G267">
        <v>0</v>
      </c>
      <c r="H267">
        <v>1816.47</v>
      </c>
    </row>
    <row r="268" spans="1:8" x14ac:dyDescent="0.2">
      <c r="A268" t="s">
        <v>973</v>
      </c>
      <c r="B268" t="s">
        <v>974</v>
      </c>
      <c r="C268" t="s">
        <v>975</v>
      </c>
      <c r="D268">
        <v>50441</v>
      </c>
      <c r="G268">
        <v>0</v>
      </c>
      <c r="H268">
        <v>1834.12</v>
      </c>
    </row>
    <row r="269" spans="1:8" x14ac:dyDescent="0.2">
      <c r="A269" t="s">
        <v>976</v>
      </c>
      <c r="B269" t="s">
        <v>977</v>
      </c>
      <c r="C269" t="s">
        <v>978</v>
      </c>
      <c r="D269">
        <v>50130</v>
      </c>
      <c r="G269">
        <v>350</v>
      </c>
      <c r="H269">
        <v>2900</v>
      </c>
    </row>
    <row r="270" spans="1:8" x14ac:dyDescent="0.2">
      <c r="A270" t="s">
        <v>979</v>
      </c>
      <c r="B270" t="s">
        <v>980</v>
      </c>
      <c r="C270" t="s">
        <v>981</v>
      </c>
      <c r="D270">
        <v>71</v>
      </c>
      <c r="G270">
        <v>0</v>
      </c>
      <c r="H270">
        <v>3275</v>
      </c>
    </row>
    <row r="271" spans="1:8" x14ac:dyDescent="0.2">
      <c r="A271" t="s">
        <v>982</v>
      </c>
      <c r="B271" t="s">
        <v>983</v>
      </c>
      <c r="C271" t="s">
        <v>389</v>
      </c>
      <c r="D271">
        <v>100121</v>
      </c>
      <c r="G271">
        <v>0</v>
      </c>
      <c r="H271">
        <v>2663.43</v>
      </c>
    </row>
    <row r="272" spans="1:8" x14ac:dyDescent="0.2">
      <c r="A272" t="s">
        <v>984</v>
      </c>
      <c r="B272" t="s">
        <v>985</v>
      </c>
      <c r="C272" t="s">
        <v>986</v>
      </c>
      <c r="D272">
        <v>100260</v>
      </c>
      <c r="G272">
        <v>300</v>
      </c>
      <c r="H272">
        <v>3250</v>
      </c>
    </row>
    <row r="273" spans="1:8" x14ac:dyDescent="0.2">
      <c r="A273" t="s">
        <v>987</v>
      </c>
      <c r="B273" t="s">
        <v>988</v>
      </c>
      <c r="C273" t="s">
        <v>989</v>
      </c>
      <c r="D273">
        <v>50430</v>
      </c>
      <c r="G273">
        <v>150</v>
      </c>
      <c r="H273">
        <v>1600</v>
      </c>
    </row>
    <row r="274" spans="1:8" x14ac:dyDescent="0.2">
      <c r="A274" t="s">
        <v>990</v>
      </c>
      <c r="B274" t="s">
        <v>991</v>
      </c>
      <c r="C274" t="s">
        <v>992</v>
      </c>
      <c r="D274">
        <v>100172</v>
      </c>
      <c r="G274">
        <v>250</v>
      </c>
      <c r="H274">
        <v>2082</v>
      </c>
    </row>
    <row r="275" spans="1:8" x14ac:dyDescent="0.2">
      <c r="A275" t="s">
        <v>993</v>
      </c>
      <c r="B275" t="s">
        <v>994</v>
      </c>
      <c r="C275" t="s">
        <v>401</v>
      </c>
      <c r="D275">
        <v>50381</v>
      </c>
      <c r="G275">
        <v>0</v>
      </c>
      <c r="H275">
        <v>3500</v>
      </c>
    </row>
    <row r="276" spans="1:8" x14ac:dyDescent="0.2">
      <c r="A276" t="s">
        <v>995</v>
      </c>
      <c r="B276" t="s">
        <v>996</v>
      </c>
      <c r="C276" t="s">
        <v>997</v>
      </c>
      <c r="D276">
        <v>50408</v>
      </c>
      <c r="G276">
        <v>0</v>
      </c>
      <c r="H276">
        <v>2056.4699999999998</v>
      </c>
    </row>
    <row r="277" spans="1:8" x14ac:dyDescent="0.2">
      <c r="A277" t="s">
        <v>998</v>
      </c>
      <c r="B277" t="s">
        <v>999</v>
      </c>
      <c r="C277" t="s">
        <v>1000</v>
      </c>
      <c r="D277">
        <v>50298</v>
      </c>
      <c r="G277">
        <v>250</v>
      </c>
      <c r="H277">
        <v>0</v>
      </c>
    </row>
    <row r="278" spans="1:8" x14ac:dyDescent="0.2">
      <c r="A278" t="s">
        <v>1001</v>
      </c>
      <c r="B278" t="s">
        <v>1002</v>
      </c>
      <c r="C278" t="s">
        <v>1003</v>
      </c>
      <c r="D278">
        <v>50138</v>
      </c>
      <c r="G278">
        <v>0</v>
      </c>
      <c r="H278">
        <v>0</v>
      </c>
    </row>
    <row r="279" spans="1:8" x14ac:dyDescent="0.2">
      <c r="A279" t="s">
        <v>1004</v>
      </c>
      <c r="B279" t="s">
        <v>1005</v>
      </c>
      <c r="C279" t="s">
        <v>1006</v>
      </c>
      <c r="D279">
        <v>54</v>
      </c>
      <c r="G279">
        <v>250</v>
      </c>
      <c r="H279">
        <v>0</v>
      </c>
    </row>
    <row r="280" spans="1:8" x14ac:dyDescent="0.2">
      <c r="A280" t="s">
        <v>1007</v>
      </c>
      <c r="B280" t="s">
        <v>1008</v>
      </c>
      <c r="C280" t="s">
        <v>1009</v>
      </c>
      <c r="D280">
        <v>50161</v>
      </c>
      <c r="G280">
        <v>0</v>
      </c>
      <c r="H280">
        <v>2663.43</v>
      </c>
    </row>
    <row r="281" spans="1:8" x14ac:dyDescent="0.2">
      <c r="A281" t="s">
        <v>1010</v>
      </c>
      <c r="B281" t="s">
        <v>1011</v>
      </c>
      <c r="C281" t="s">
        <v>1012</v>
      </c>
      <c r="D281">
        <v>70</v>
      </c>
      <c r="G281">
        <v>0</v>
      </c>
      <c r="H281">
        <v>3383.25</v>
      </c>
    </row>
    <row r="282" spans="1:8" x14ac:dyDescent="0.2">
      <c r="A282" t="s">
        <v>1013</v>
      </c>
      <c r="B282" t="s">
        <v>1014</v>
      </c>
      <c r="C282" t="s">
        <v>1015</v>
      </c>
      <c r="D282">
        <v>50297</v>
      </c>
      <c r="G282">
        <v>400</v>
      </c>
      <c r="H282">
        <v>0</v>
      </c>
    </row>
    <row r="283" spans="1:8" x14ac:dyDescent="0.2">
      <c r="A283" t="s">
        <v>1016</v>
      </c>
      <c r="B283" t="s">
        <v>1017</v>
      </c>
      <c r="C283" t="s">
        <v>1018</v>
      </c>
      <c r="D283">
        <v>100251</v>
      </c>
      <c r="G283">
        <v>0</v>
      </c>
      <c r="H283">
        <v>2250</v>
      </c>
    </row>
    <row r="284" spans="1:8" x14ac:dyDescent="0.2">
      <c r="A284" t="s">
        <v>1019</v>
      </c>
      <c r="B284" t="s">
        <v>1020</v>
      </c>
      <c r="C284" t="s">
        <v>1021</v>
      </c>
      <c r="D284">
        <v>100153</v>
      </c>
      <c r="G284">
        <v>250</v>
      </c>
      <c r="H284">
        <v>2394.3000000000002</v>
      </c>
    </row>
    <row r="285" spans="1:8" x14ac:dyDescent="0.2">
      <c r="A285" t="s">
        <v>1022</v>
      </c>
      <c r="B285" t="s">
        <v>1023</v>
      </c>
      <c r="C285" t="s">
        <v>1024</v>
      </c>
      <c r="D285">
        <v>100176</v>
      </c>
      <c r="G285">
        <v>100</v>
      </c>
      <c r="H285">
        <v>1503.32</v>
      </c>
    </row>
    <row r="286" spans="1:8" x14ac:dyDescent="0.2">
      <c r="A286" t="s">
        <v>1025</v>
      </c>
      <c r="B286" t="s">
        <v>1026</v>
      </c>
      <c r="C286" t="s">
        <v>1027</v>
      </c>
      <c r="D286">
        <v>5</v>
      </c>
      <c r="G286">
        <v>100</v>
      </c>
      <c r="H286">
        <v>1503.32</v>
      </c>
    </row>
    <row r="287" spans="1:8" x14ac:dyDescent="0.2">
      <c r="A287" t="s">
        <v>1028</v>
      </c>
      <c r="B287" t="s">
        <v>1029</v>
      </c>
      <c r="C287" t="s">
        <v>1030</v>
      </c>
      <c r="D287">
        <v>50310</v>
      </c>
      <c r="G287">
        <v>100</v>
      </c>
      <c r="H287">
        <v>1503.32</v>
      </c>
    </row>
    <row r="288" spans="1:8" x14ac:dyDescent="0.2">
      <c r="A288" t="s">
        <v>1031</v>
      </c>
      <c r="B288" t="s">
        <v>1032</v>
      </c>
      <c r="C288" t="s">
        <v>1033</v>
      </c>
      <c r="D288">
        <v>50104</v>
      </c>
      <c r="G288">
        <v>150</v>
      </c>
      <c r="H288">
        <v>2255</v>
      </c>
    </row>
    <row r="289" spans="1:8" x14ac:dyDescent="0.2">
      <c r="A289" t="s">
        <v>1034</v>
      </c>
      <c r="B289" t="s">
        <v>1035</v>
      </c>
      <c r="C289" t="s">
        <v>1036</v>
      </c>
      <c r="D289">
        <v>32</v>
      </c>
      <c r="G289">
        <v>150</v>
      </c>
      <c r="H289">
        <v>2255</v>
      </c>
    </row>
    <row r="290" spans="1:8" x14ac:dyDescent="0.2">
      <c r="A290" t="s">
        <v>1037</v>
      </c>
      <c r="B290" t="s">
        <v>1038</v>
      </c>
      <c r="C290" t="s">
        <v>1039</v>
      </c>
      <c r="D290">
        <v>50179</v>
      </c>
      <c r="G290">
        <v>150</v>
      </c>
      <c r="H290">
        <v>2255</v>
      </c>
    </row>
    <row r="291" spans="1:8" x14ac:dyDescent="0.2">
      <c r="A291" t="s">
        <v>1040</v>
      </c>
      <c r="B291" t="s">
        <v>1041</v>
      </c>
      <c r="C291" t="s">
        <v>1042</v>
      </c>
      <c r="D291">
        <v>100102</v>
      </c>
      <c r="G291">
        <v>150</v>
      </c>
      <c r="H291">
        <v>2255</v>
      </c>
    </row>
    <row r="292" spans="1:8" x14ac:dyDescent="0.2">
      <c r="A292" t="s">
        <v>1043</v>
      </c>
      <c r="B292" t="s">
        <v>1044</v>
      </c>
      <c r="C292" t="s">
        <v>449</v>
      </c>
      <c r="D292">
        <v>6</v>
      </c>
      <c r="G292">
        <v>100</v>
      </c>
      <c r="H292">
        <v>1503.32</v>
      </c>
    </row>
    <row r="293" spans="1:8" x14ac:dyDescent="0.2">
      <c r="A293" t="s">
        <v>1045</v>
      </c>
      <c r="B293" t="s">
        <v>1046</v>
      </c>
      <c r="C293" t="s">
        <v>1047</v>
      </c>
      <c r="D293">
        <v>50264</v>
      </c>
      <c r="G293">
        <v>150</v>
      </c>
      <c r="H293">
        <v>2300</v>
      </c>
    </row>
    <row r="294" spans="1:8" x14ac:dyDescent="0.2">
      <c r="A294" t="s">
        <v>1048</v>
      </c>
      <c r="B294" t="s">
        <v>1049</v>
      </c>
      <c r="C294" t="s">
        <v>1050</v>
      </c>
      <c r="D294">
        <v>100234</v>
      </c>
      <c r="G294">
        <v>150</v>
      </c>
      <c r="H294">
        <v>2255</v>
      </c>
    </row>
    <row r="295" spans="1:8" x14ac:dyDescent="0.2">
      <c r="A295" t="s">
        <v>1051</v>
      </c>
      <c r="B295" t="s">
        <v>1052</v>
      </c>
      <c r="C295" t="s">
        <v>1053</v>
      </c>
      <c r="D295">
        <v>26</v>
      </c>
      <c r="G295">
        <v>0</v>
      </c>
      <c r="H295">
        <v>3275</v>
      </c>
    </row>
    <row r="296" spans="1:8" x14ac:dyDescent="0.2">
      <c r="A296" t="s">
        <v>1054</v>
      </c>
      <c r="B296" t="s">
        <v>1055</v>
      </c>
      <c r="C296" t="s">
        <v>1056</v>
      </c>
      <c r="D296">
        <v>23</v>
      </c>
      <c r="G296">
        <v>150</v>
      </c>
      <c r="H296">
        <v>3500</v>
      </c>
    </row>
    <row r="297" spans="1:8" x14ac:dyDescent="0.2">
      <c r="A297" t="s">
        <v>1057</v>
      </c>
      <c r="B297" t="s">
        <v>1058</v>
      </c>
      <c r="C297" t="s">
        <v>461</v>
      </c>
      <c r="D297">
        <v>100150</v>
      </c>
      <c r="G297">
        <v>250</v>
      </c>
      <c r="H297">
        <v>2850</v>
      </c>
    </row>
    <row r="298" spans="1:8" x14ac:dyDescent="0.2">
      <c r="A298" t="s">
        <v>1059</v>
      </c>
      <c r="B298" t="s">
        <v>1060</v>
      </c>
      <c r="C298" t="s">
        <v>1061</v>
      </c>
      <c r="D298">
        <v>67</v>
      </c>
      <c r="G298">
        <v>0</v>
      </c>
      <c r="H298">
        <v>2516.83</v>
      </c>
    </row>
    <row r="299" spans="1:8" x14ac:dyDescent="0.2">
      <c r="A299" t="s">
        <v>1062</v>
      </c>
      <c r="B299" t="s">
        <v>1063</v>
      </c>
      <c r="C299" t="s">
        <v>1064</v>
      </c>
      <c r="D299">
        <v>47</v>
      </c>
      <c r="G299">
        <v>200</v>
      </c>
      <c r="H299">
        <v>2040</v>
      </c>
    </row>
    <row r="300" spans="1:8" x14ac:dyDescent="0.2">
      <c r="A300" t="s">
        <v>1065</v>
      </c>
      <c r="B300" t="s">
        <v>1066</v>
      </c>
      <c r="C300" t="s">
        <v>1067</v>
      </c>
      <c r="D300">
        <v>100179</v>
      </c>
      <c r="G300">
        <v>200</v>
      </c>
      <c r="H300">
        <v>2175.29</v>
      </c>
    </row>
    <row r="301" spans="1:8" x14ac:dyDescent="0.2">
      <c r="A301" t="s">
        <v>1068</v>
      </c>
      <c r="B301" t="s">
        <v>1069</v>
      </c>
      <c r="C301" t="s">
        <v>1070</v>
      </c>
      <c r="D301">
        <v>100128</v>
      </c>
      <c r="G301">
        <v>0</v>
      </c>
      <c r="H301">
        <v>0</v>
      </c>
    </row>
    <row r="302" spans="1:8" x14ac:dyDescent="0.2">
      <c r="A302" t="s">
        <v>1071</v>
      </c>
      <c r="B302" t="s">
        <v>1072</v>
      </c>
      <c r="C302" t="s">
        <v>1073</v>
      </c>
      <c r="D302">
        <v>50261</v>
      </c>
      <c r="G302">
        <v>0</v>
      </c>
      <c r="H302">
        <v>0</v>
      </c>
    </row>
    <row r="303" spans="1:8" x14ac:dyDescent="0.2">
      <c r="A303" t="s">
        <v>1074</v>
      </c>
      <c r="B303" t="s">
        <v>1075</v>
      </c>
      <c r="C303" t="s">
        <v>1076</v>
      </c>
      <c r="D303">
        <v>21</v>
      </c>
      <c r="G303">
        <v>0</v>
      </c>
      <c r="H303">
        <v>0</v>
      </c>
    </row>
    <row r="304" spans="1:8" x14ac:dyDescent="0.2">
      <c r="A304" t="s">
        <v>1077</v>
      </c>
      <c r="B304" t="s">
        <v>1078</v>
      </c>
      <c r="C304" t="s">
        <v>1079</v>
      </c>
      <c r="D304">
        <v>100190</v>
      </c>
      <c r="G304">
        <v>300</v>
      </c>
      <c r="H304">
        <v>2950</v>
      </c>
    </row>
    <row r="305" spans="1:8" x14ac:dyDescent="0.2">
      <c r="A305" t="s">
        <v>1080</v>
      </c>
      <c r="B305" t="s">
        <v>1081</v>
      </c>
      <c r="C305" t="s">
        <v>1082</v>
      </c>
      <c r="D305">
        <v>100200</v>
      </c>
      <c r="G305">
        <v>0</v>
      </c>
      <c r="H305">
        <v>3275</v>
      </c>
    </row>
    <row r="306" spans="1:8" x14ac:dyDescent="0.2">
      <c r="A306" t="s">
        <v>1083</v>
      </c>
      <c r="B306" t="s">
        <v>1084</v>
      </c>
      <c r="C306" t="s">
        <v>1085</v>
      </c>
      <c r="D306">
        <v>50461</v>
      </c>
      <c r="G306">
        <v>0</v>
      </c>
      <c r="H306">
        <v>3250</v>
      </c>
    </row>
    <row r="307" spans="1:8" x14ac:dyDescent="0.2">
      <c r="A307" t="s">
        <v>1086</v>
      </c>
      <c r="B307" t="s">
        <v>1087</v>
      </c>
      <c r="C307" t="s">
        <v>1088</v>
      </c>
      <c r="D307">
        <v>66</v>
      </c>
      <c r="G307">
        <v>0</v>
      </c>
      <c r="H307">
        <v>0</v>
      </c>
    </row>
    <row r="308" spans="1:8" x14ac:dyDescent="0.2">
      <c r="A308" t="s">
        <v>1089</v>
      </c>
      <c r="B308" t="s">
        <v>1090</v>
      </c>
      <c r="C308" t="s">
        <v>1091</v>
      </c>
      <c r="D308">
        <v>50200</v>
      </c>
      <c r="G308">
        <v>0</v>
      </c>
      <c r="H308">
        <v>2275</v>
      </c>
    </row>
    <row r="309" spans="1:8" x14ac:dyDescent="0.2">
      <c r="A309" t="s">
        <v>1092</v>
      </c>
      <c r="B309" t="s">
        <v>1093</v>
      </c>
      <c r="C309" t="s">
        <v>1094</v>
      </c>
      <c r="D309">
        <v>98</v>
      </c>
      <c r="G309">
        <v>150</v>
      </c>
      <c r="H309">
        <v>0</v>
      </c>
    </row>
    <row r="310" spans="1:8" x14ac:dyDescent="0.2">
      <c r="A310" t="s">
        <v>1095</v>
      </c>
      <c r="B310" t="s">
        <v>1096</v>
      </c>
      <c r="C310" t="s">
        <v>1097</v>
      </c>
      <c r="D310">
        <v>77</v>
      </c>
      <c r="G310">
        <v>150</v>
      </c>
      <c r="H310">
        <v>0</v>
      </c>
    </row>
    <row r="311" spans="1:8" x14ac:dyDescent="0.2">
      <c r="A311" t="s">
        <v>1098</v>
      </c>
      <c r="B311" t="s">
        <v>1099</v>
      </c>
      <c r="C311" t="s">
        <v>1100</v>
      </c>
      <c r="D311">
        <v>50149</v>
      </c>
      <c r="G311">
        <v>150</v>
      </c>
      <c r="H311">
        <v>0</v>
      </c>
    </row>
    <row r="312" spans="1:8" x14ac:dyDescent="0.2">
      <c r="A312" t="s">
        <v>1101</v>
      </c>
      <c r="B312" t="s">
        <v>1102</v>
      </c>
      <c r="C312" t="s">
        <v>1103</v>
      </c>
      <c r="D312">
        <v>50292</v>
      </c>
      <c r="G312">
        <v>150</v>
      </c>
      <c r="H312">
        <v>0</v>
      </c>
    </row>
    <row r="313" spans="1:8" x14ac:dyDescent="0.2">
      <c r="A313" t="s">
        <v>1104</v>
      </c>
      <c r="B313" t="s">
        <v>1105</v>
      </c>
      <c r="C313" t="s">
        <v>489</v>
      </c>
      <c r="D313">
        <v>50185</v>
      </c>
      <c r="G313">
        <v>0</v>
      </c>
      <c r="H313">
        <v>0</v>
      </c>
    </row>
    <row r="314" spans="1:8" x14ac:dyDescent="0.2">
      <c r="A314" t="s">
        <v>1106</v>
      </c>
      <c r="B314" t="s">
        <v>1107</v>
      </c>
      <c r="C314" t="s">
        <v>492</v>
      </c>
      <c r="D314">
        <v>50166</v>
      </c>
      <c r="G314">
        <v>250</v>
      </c>
      <c r="H314">
        <v>2300</v>
      </c>
    </row>
    <row r="315" spans="1:8" x14ac:dyDescent="0.2">
      <c r="A315" t="s">
        <v>1108</v>
      </c>
      <c r="B315" t="s">
        <v>1109</v>
      </c>
      <c r="C315" t="s">
        <v>1110</v>
      </c>
      <c r="D315">
        <v>90</v>
      </c>
      <c r="G315">
        <v>300</v>
      </c>
      <c r="H315">
        <v>2855.46</v>
      </c>
    </row>
    <row r="316" spans="1:8" x14ac:dyDescent="0.2">
      <c r="A316" t="s">
        <v>1111</v>
      </c>
      <c r="B316" t="s">
        <v>1112</v>
      </c>
      <c r="C316" t="s">
        <v>1113</v>
      </c>
      <c r="D316">
        <v>4</v>
      </c>
      <c r="G316">
        <v>0</v>
      </c>
      <c r="H316">
        <v>0</v>
      </c>
    </row>
    <row r="317" spans="1:8" x14ac:dyDescent="0.2">
      <c r="A317" t="s">
        <v>1114</v>
      </c>
      <c r="B317" t="s">
        <v>1115</v>
      </c>
      <c r="C317" t="s">
        <v>1116</v>
      </c>
      <c r="D317">
        <v>50312</v>
      </c>
      <c r="G317">
        <v>300</v>
      </c>
      <c r="H317">
        <v>2350</v>
      </c>
    </row>
    <row r="318" spans="1:8" x14ac:dyDescent="0.2">
      <c r="A318" t="s">
        <v>1117</v>
      </c>
      <c r="B318" t="s">
        <v>1118</v>
      </c>
      <c r="C318" t="s">
        <v>1119</v>
      </c>
      <c r="D318">
        <v>50199</v>
      </c>
      <c r="G318">
        <v>0</v>
      </c>
      <c r="H318">
        <v>2150</v>
      </c>
    </row>
    <row r="319" spans="1:8" x14ac:dyDescent="0.2">
      <c r="A319" t="s">
        <v>1120</v>
      </c>
      <c r="B319" t="s">
        <v>1121</v>
      </c>
      <c r="C319" t="s">
        <v>1122</v>
      </c>
      <c r="D319">
        <v>50080</v>
      </c>
      <c r="G319">
        <v>0</v>
      </c>
      <c r="H319">
        <v>0</v>
      </c>
    </row>
    <row r="320" spans="1:8" x14ac:dyDescent="0.2">
      <c r="A320" t="s">
        <v>1123</v>
      </c>
      <c r="B320" t="s">
        <v>1124</v>
      </c>
      <c r="C320" t="s">
        <v>1125</v>
      </c>
      <c r="D320">
        <v>33</v>
      </c>
      <c r="G320">
        <v>0</v>
      </c>
      <c r="H320">
        <v>0</v>
      </c>
    </row>
    <row r="321" spans="1:8" x14ac:dyDescent="0.2">
      <c r="A321" t="s">
        <v>1126</v>
      </c>
      <c r="B321" t="s">
        <v>1127</v>
      </c>
      <c r="C321" t="s">
        <v>1128</v>
      </c>
      <c r="D321">
        <v>50434</v>
      </c>
      <c r="G321">
        <v>0</v>
      </c>
      <c r="H321">
        <v>0</v>
      </c>
    </row>
    <row r="322" spans="1:8" x14ac:dyDescent="0.2">
      <c r="A322" t="s">
        <v>1129</v>
      </c>
      <c r="B322" t="s">
        <v>1130</v>
      </c>
      <c r="C322" t="s">
        <v>1131</v>
      </c>
      <c r="D322">
        <v>50444</v>
      </c>
      <c r="G322">
        <v>500</v>
      </c>
      <c r="H322">
        <v>2076.4699999999998</v>
      </c>
    </row>
    <row r="323" spans="1:8" x14ac:dyDescent="0.2">
      <c r="A323" t="s">
        <v>1132</v>
      </c>
      <c r="B323" t="s">
        <v>1133</v>
      </c>
      <c r="C323" t="s">
        <v>1134</v>
      </c>
      <c r="D323">
        <v>50285</v>
      </c>
      <c r="G323">
        <v>0</v>
      </c>
      <c r="H323">
        <v>2053.7399999999998</v>
      </c>
    </row>
    <row r="324" spans="1:8" x14ac:dyDescent="0.2">
      <c r="A324" t="s">
        <v>1135</v>
      </c>
      <c r="B324" t="s">
        <v>1136</v>
      </c>
      <c r="C324" t="s">
        <v>1137</v>
      </c>
      <c r="D324">
        <v>50334</v>
      </c>
      <c r="G324">
        <v>0</v>
      </c>
      <c r="H324">
        <v>0</v>
      </c>
    </row>
    <row r="325" spans="1:8" x14ac:dyDescent="0.2">
      <c r="A325" t="s">
        <v>1138</v>
      </c>
      <c r="B325" t="s">
        <v>1139</v>
      </c>
      <c r="C325" t="s">
        <v>1140</v>
      </c>
      <c r="D325">
        <v>50265</v>
      </c>
      <c r="G325">
        <v>0</v>
      </c>
      <c r="H325">
        <v>6282.85</v>
      </c>
    </row>
    <row r="326" spans="1:8" x14ac:dyDescent="0.2">
      <c r="A326" t="s">
        <v>1141</v>
      </c>
      <c r="B326" t="s">
        <v>1142</v>
      </c>
      <c r="C326" t="s">
        <v>1143</v>
      </c>
      <c r="D326">
        <v>24</v>
      </c>
      <c r="G326">
        <v>300</v>
      </c>
      <c r="H326">
        <v>3100</v>
      </c>
    </row>
    <row r="327" spans="1:8" x14ac:dyDescent="0.2">
      <c r="A327" t="s">
        <v>1144</v>
      </c>
      <c r="B327" t="s">
        <v>1145</v>
      </c>
      <c r="C327" t="s">
        <v>1146</v>
      </c>
      <c r="D327">
        <v>100096</v>
      </c>
      <c r="G327">
        <v>0</v>
      </c>
      <c r="H327">
        <v>3123</v>
      </c>
    </row>
    <row r="328" spans="1:8" x14ac:dyDescent="0.2">
      <c r="A328" t="s">
        <v>1147</v>
      </c>
      <c r="B328" t="s">
        <v>1148</v>
      </c>
      <c r="C328" t="s">
        <v>1149</v>
      </c>
      <c r="D328">
        <v>100126</v>
      </c>
      <c r="G328">
        <v>0</v>
      </c>
      <c r="H328">
        <v>1830.43</v>
      </c>
    </row>
    <row r="329" spans="1:8" x14ac:dyDescent="0.2">
      <c r="A329" t="s">
        <v>1150</v>
      </c>
      <c r="B329" t="s">
        <v>1151</v>
      </c>
      <c r="C329" t="s">
        <v>1152</v>
      </c>
      <c r="D329">
        <v>20</v>
      </c>
      <c r="G329">
        <v>200</v>
      </c>
      <c r="H329">
        <v>1784.67</v>
      </c>
    </row>
    <row r="330" spans="1:8" x14ac:dyDescent="0.2">
      <c r="A330" t="s">
        <v>1153</v>
      </c>
      <c r="B330" t="s">
        <v>1154</v>
      </c>
      <c r="C330" t="s">
        <v>1155</v>
      </c>
      <c r="D330">
        <v>50368</v>
      </c>
      <c r="G330">
        <v>250</v>
      </c>
      <c r="H330">
        <v>2500</v>
      </c>
    </row>
    <row r="331" spans="1:8" x14ac:dyDescent="0.2">
      <c r="A331" t="s">
        <v>1156</v>
      </c>
      <c r="B331" t="s">
        <v>1157</v>
      </c>
      <c r="C331" t="s">
        <v>1158</v>
      </c>
      <c r="D331">
        <v>100152</v>
      </c>
      <c r="G331">
        <v>0</v>
      </c>
      <c r="H331">
        <v>0</v>
      </c>
    </row>
    <row r="332" spans="1:8" x14ac:dyDescent="0.2">
      <c r="A332" t="s">
        <v>1159</v>
      </c>
      <c r="B332" t="s">
        <v>1160</v>
      </c>
      <c r="C332" t="s">
        <v>1161</v>
      </c>
      <c r="D332">
        <v>50335</v>
      </c>
      <c r="G332">
        <v>400</v>
      </c>
      <c r="H332">
        <v>3800</v>
      </c>
    </row>
    <row r="333" spans="1:8" x14ac:dyDescent="0.2">
      <c r="A333" t="s">
        <v>1162</v>
      </c>
      <c r="B333" t="s">
        <v>1163</v>
      </c>
      <c r="C333" t="s">
        <v>1164</v>
      </c>
      <c r="D333">
        <v>100154</v>
      </c>
      <c r="G333">
        <v>250</v>
      </c>
      <c r="H333">
        <v>2498.4</v>
      </c>
    </row>
    <row r="334" spans="1:8" x14ac:dyDescent="0.2">
      <c r="A334" t="s">
        <v>1165</v>
      </c>
      <c r="B334" t="s">
        <v>1166</v>
      </c>
      <c r="C334" t="s">
        <v>1167</v>
      </c>
      <c r="D334">
        <v>92</v>
      </c>
      <c r="G334">
        <v>0</v>
      </c>
      <c r="H334">
        <v>2234.29</v>
      </c>
    </row>
    <row r="335" spans="1:8" x14ac:dyDescent="0.2">
      <c r="A335" t="s">
        <v>1168</v>
      </c>
      <c r="B335" t="s">
        <v>1169</v>
      </c>
      <c r="C335" t="s">
        <v>1167</v>
      </c>
      <c r="D335">
        <v>50445</v>
      </c>
      <c r="G335">
        <v>250</v>
      </c>
      <c r="H335">
        <v>2300</v>
      </c>
    </row>
    <row r="336" spans="1:8" x14ac:dyDescent="0.2">
      <c r="A336" t="s">
        <v>1170</v>
      </c>
      <c r="B336" t="s">
        <v>1171</v>
      </c>
      <c r="C336" t="s">
        <v>1172</v>
      </c>
      <c r="D336">
        <v>50338</v>
      </c>
      <c r="G336">
        <v>0</v>
      </c>
      <c r="H336">
        <v>1560</v>
      </c>
    </row>
    <row r="337" spans="1:8" x14ac:dyDescent="0.2">
      <c r="A337" t="s">
        <v>1173</v>
      </c>
      <c r="B337" t="s">
        <v>1174</v>
      </c>
      <c r="C337" t="s">
        <v>1175</v>
      </c>
      <c r="D337">
        <v>100089</v>
      </c>
      <c r="G337">
        <v>400</v>
      </c>
      <c r="H337">
        <v>1710.59</v>
      </c>
    </row>
    <row r="338" spans="1:8" x14ac:dyDescent="0.2">
      <c r="A338" t="s">
        <v>1176</v>
      </c>
      <c r="B338" t="s">
        <v>1177</v>
      </c>
      <c r="C338" t="s">
        <v>1178</v>
      </c>
      <c r="D338">
        <v>100183</v>
      </c>
      <c r="G338">
        <v>0</v>
      </c>
      <c r="H338">
        <v>2364.3000000000002</v>
      </c>
    </row>
    <row r="339" spans="1:8" x14ac:dyDescent="0.2">
      <c r="A339" t="s">
        <v>1179</v>
      </c>
      <c r="B339" t="s">
        <v>1180</v>
      </c>
      <c r="C339" t="s">
        <v>1181</v>
      </c>
      <c r="D339">
        <v>16</v>
      </c>
      <c r="G339">
        <v>0</v>
      </c>
      <c r="H339">
        <v>2100</v>
      </c>
    </row>
    <row r="340" spans="1:8" x14ac:dyDescent="0.2">
      <c r="A340" t="s">
        <v>1182</v>
      </c>
      <c r="B340" t="s">
        <v>1183</v>
      </c>
      <c r="C340" t="s">
        <v>1184</v>
      </c>
      <c r="D340">
        <v>50144</v>
      </c>
      <c r="G340">
        <v>0</v>
      </c>
      <c r="H340">
        <v>2449.11</v>
      </c>
    </row>
    <row r="341" spans="1:8" x14ac:dyDescent="0.2">
      <c r="A341" t="s">
        <v>1185</v>
      </c>
      <c r="B341" t="s">
        <v>1186</v>
      </c>
      <c r="C341" t="s">
        <v>1187</v>
      </c>
      <c r="D341">
        <v>69</v>
      </c>
      <c r="G341">
        <v>0</v>
      </c>
      <c r="H341">
        <v>2498.54</v>
      </c>
    </row>
    <row r="342" spans="1:8" x14ac:dyDescent="0.2">
      <c r="A342" t="s">
        <v>1188</v>
      </c>
      <c r="B342" t="s">
        <v>1189</v>
      </c>
      <c r="C342" t="s">
        <v>1190</v>
      </c>
      <c r="D342">
        <v>27</v>
      </c>
      <c r="G342">
        <v>300</v>
      </c>
      <c r="H342">
        <v>2650</v>
      </c>
    </row>
    <row r="343" spans="1:8" x14ac:dyDescent="0.2">
      <c r="A343" t="s">
        <v>1191</v>
      </c>
      <c r="B343" t="s">
        <v>1192</v>
      </c>
      <c r="C343" t="s">
        <v>1193</v>
      </c>
      <c r="D343">
        <v>100105</v>
      </c>
      <c r="G343">
        <v>250</v>
      </c>
      <c r="H343">
        <v>2593.81</v>
      </c>
    </row>
    <row r="344" spans="1:8" x14ac:dyDescent="0.2">
      <c r="A344" t="s">
        <v>1194</v>
      </c>
      <c r="B344" t="s">
        <v>1195</v>
      </c>
      <c r="C344" t="s">
        <v>1193</v>
      </c>
      <c r="D344">
        <v>100168</v>
      </c>
      <c r="G344">
        <v>0</v>
      </c>
      <c r="H344">
        <v>2449.11</v>
      </c>
    </row>
    <row r="345" spans="1:8" x14ac:dyDescent="0.2">
      <c r="A345" t="s">
        <v>1196</v>
      </c>
      <c r="B345" t="s">
        <v>1197</v>
      </c>
      <c r="C345" t="s">
        <v>1198</v>
      </c>
      <c r="D345">
        <v>50132</v>
      </c>
      <c r="G345">
        <v>0</v>
      </c>
      <c r="H345">
        <v>3608.8</v>
      </c>
    </row>
    <row r="346" spans="1:8" x14ac:dyDescent="0.2">
      <c r="A346" t="s">
        <v>1199</v>
      </c>
      <c r="B346" t="s">
        <v>1200</v>
      </c>
      <c r="C346" t="s">
        <v>1201</v>
      </c>
      <c r="D346">
        <v>19</v>
      </c>
      <c r="G346">
        <v>260</v>
      </c>
      <c r="H346">
        <v>2663.43</v>
      </c>
    </row>
    <row r="347" spans="1:8" x14ac:dyDescent="0.2">
      <c r="A347" t="s">
        <v>1202</v>
      </c>
      <c r="B347" t="s">
        <v>1203</v>
      </c>
      <c r="C347" t="s">
        <v>1204</v>
      </c>
      <c r="D347">
        <v>50274</v>
      </c>
      <c r="G347">
        <v>0</v>
      </c>
      <c r="H347">
        <v>3383.25</v>
      </c>
    </row>
    <row r="348" spans="1:8" x14ac:dyDescent="0.2">
      <c r="A348" t="s">
        <v>1205</v>
      </c>
      <c r="B348" t="s">
        <v>1206</v>
      </c>
      <c r="C348" t="s">
        <v>1207</v>
      </c>
      <c r="D348">
        <v>50440</v>
      </c>
      <c r="G348">
        <v>375</v>
      </c>
      <c r="H348">
        <v>2491.65</v>
      </c>
    </row>
    <row r="349" spans="1:8" x14ac:dyDescent="0.2">
      <c r="A349" t="s">
        <v>1208</v>
      </c>
      <c r="B349" t="s">
        <v>1209</v>
      </c>
      <c r="C349" t="s">
        <v>1210</v>
      </c>
      <c r="D349">
        <v>100166</v>
      </c>
      <c r="G349">
        <v>0</v>
      </c>
      <c r="H349">
        <v>2316.23</v>
      </c>
    </row>
    <row r="350" spans="1:8" x14ac:dyDescent="0.2">
      <c r="A350" t="s">
        <v>1211</v>
      </c>
      <c r="B350" t="s">
        <v>1212</v>
      </c>
      <c r="C350" t="s">
        <v>1213</v>
      </c>
      <c r="D350">
        <v>50083</v>
      </c>
      <c r="G350">
        <v>200</v>
      </c>
      <c r="H350">
        <v>2150</v>
      </c>
    </row>
    <row r="351" spans="1:8" x14ac:dyDescent="0.2">
      <c r="A351" t="s">
        <v>1214</v>
      </c>
      <c r="B351" t="s">
        <v>1215</v>
      </c>
      <c r="C351" t="s">
        <v>1216</v>
      </c>
      <c r="D351">
        <v>78</v>
      </c>
      <c r="G351">
        <v>0</v>
      </c>
      <c r="H351">
        <v>2400</v>
      </c>
    </row>
    <row r="352" spans="1:8" x14ac:dyDescent="0.2">
      <c r="A352" t="s">
        <v>1217</v>
      </c>
      <c r="B352" t="s">
        <v>1218</v>
      </c>
      <c r="C352" t="s">
        <v>1219</v>
      </c>
      <c r="D352">
        <v>50251</v>
      </c>
      <c r="G352">
        <v>0</v>
      </c>
      <c r="H352">
        <v>2016.47</v>
      </c>
    </row>
    <row r="353" spans="1:8" x14ac:dyDescent="0.2">
      <c r="A353" t="s">
        <v>1220</v>
      </c>
      <c r="B353" t="s">
        <v>1221</v>
      </c>
      <c r="C353" t="s">
        <v>1222</v>
      </c>
      <c r="D353">
        <v>50129</v>
      </c>
      <c r="G353">
        <v>0</v>
      </c>
      <c r="H353">
        <v>0</v>
      </c>
    </row>
    <row r="354" spans="1:8" x14ac:dyDescent="0.2">
      <c r="A354" t="s">
        <v>1223</v>
      </c>
      <c r="B354" t="s">
        <v>1224</v>
      </c>
      <c r="C354" t="s">
        <v>1225</v>
      </c>
      <c r="D354">
        <v>50099</v>
      </c>
      <c r="G354">
        <v>0</v>
      </c>
      <c r="H354">
        <v>2650</v>
      </c>
    </row>
    <row r="355" spans="1:8" x14ac:dyDescent="0.2">
      <c r="A355" t="s">
        <v>1226</v>
      </c>
      <c r="B355" t="s">
        <v>1227</v>
      </c>
      <c r="C355" t="s">
        <v>1228</v>
      </c>
      <c r="D355">
        <v>100124</v>
      </c>
      <c r="G355">
        <v>120</v>
      </c>
      <c r="H355">
        <v>0</v>
      </c>
    </row>
    <row r="356" spans="1:8" x14ac:dyDescent="0.2">
      <c r="A356" t="s">
        <v>1229</v>
      </c>
      <c r="B356" t="s">
        <v>1230</v>
      </c>
      <c r="C356" t="s">
        <v>1231</v>
      </c>
      <c r="D356">
        <v>29</v>
      </c>
      <c r="G356">
        <v>0</v>
      </c>
      <c r="H356">
        <v>1560</v>
      </c>
    </row>
    <row r="357" spans="1:8" x14ac:dyDescent="0.2">
      <c r="A357" t="s">
        <v>1232</v>
      </c>
      <c r="B357" t="s">
        <v>1233</v>
      </c>
      <c r="C357" t="s">
        <v>1234</v>
      </c>
      <c r="D357">
        <v>62</v>
      </c>
      <c r="G357">
        <v>0</v>
      </c>
      <c r="H357">
        <v>0</v>
      </c>
    </row>
    <row r="358" spans="1:8" x14ac:dyDescent="0.2">
      <c r="A358" t="s">
        <v>1235</v>
      </c>
      <c r="B358" t="s">
        <v>1236</v>
      </c>
      <c r="C358" t="s">
        <v>1237</v>
      </c>
      <c r="D358">
        <v>50234</v>
      </c>
      <c r="G358">
        <v>0</v>
      </c>
      <c r="H358">
        <v>0</v>
      </c>
    </row>
    <row r="359" spans="1:8" x14ac:dyDescent="0.2">
      <c r="A359" t="s">
        <v>1238</v>
      </c>
      <c r="B359" t="s">
        <v>1239</v>
      </c>
      <c r="C359" t="s">
        <v>1240</v>
      </c>
      <c r="D359">
        <v>50158</v>
      </c>
      <c r="G359">
        <v>250</v>
      </c>
      <c r="H359">
        <v>2100</v>
      </c>
    </row>
    <row r="360" spans="1:8" x14ac:dyDescent="0.2">
      <c r="A360" t="s">
        <v>1241</v>
      </c>
      <c r="B360" t="s">
        <v>1242</v>
      </c>
      <c r="C360" t="s">
        <v>1243</v>
      </c>
      <c r="D360">
        <v>50174</v>
      </c>
      <c r="G360">
        <v>0</v>
      </c>
      <c r="H360">
        <v>1650</v>
      </c>
    </row>
    <row r="361" spans="1:8" x14ac:dyDescent="0.2">
      <c r="A361" t="s">
        <v>1244</v>
      </c>
      <c r="B361" t="s">
        <v>1245</v>
      </c>
      <c r="C361" t="s">
        <v>1246</v>
      </c>
      <c r="D361">
        <v>100110</v>
      </c>
      <c r="G361">
        <v>0</v>
      </c>
      <c r="H361">
        <v>2500</v>
      </c>
    </row>
    <row r="362" spans="1:8" x14ac:dyDescent="0.2">
      <c r="A362" t="s">
        <v>1247</v>
      </c>
      <c r="B362" t="s">
        <v>1248</v>
      </c>
      <c r="C362" t="s">
        <v>1249</v>
      </c>
      <c r="D362">
        <v>50410</v>
      </c>
      <c r="G362">
        <v>350</v>
      </c>
      <c r="H362">
        <v>0</v>
      </c>
    </row>
    <row r="363" spans="1:8" x14ac:dyDescent="0.2">
      <c r="A363" t="s">
        <v>1250</v>
      </c>
      <c r="B363" t="s">
        <v>1251</v>
      </c>
      <c r="C363" t="s">
        <v>1252</v>
      </c>
      <c r="D363">
        <v>39</v>
      </c>
      <c r="G363">
        <v>200</v>
      </c>
      <c r="H363">
        <v>2000</v>
      </c>
    </row>
    <row r="364" spans="1:8" x14ac:dyDescent="0.2">
      <c r="A364" t="s">
        <v>1253</v>
      </c>
      <c r="B364" t="s">
        <v>1254</v>
      </c>
      <c r="C364" t="s">
        <v>1255</v>
      </c>
      <c r="D364">
        <v>100123</v>
      </c>
      <c r="G364">
        <v>200</v>
      </c>
      <c r="H364">
        <v>2737.83</v>
      </c>
    </row>
    <row r="365" spans="1:8" x14ac:dyDescent="0.2">
      <c r="A365" t="s">
        <v>1256</v>
      </c>
      <c r="B365" t="s">
        <v>1257</v>
      </c>
      <c r="C365" t="s">
        <v>1258</v>
      </c>
      <c r="D365">
        <v>50188</v>
      </c>
      <c r="G365">
        <v>0</v>
      </c>
      <c r="H365">
        <v>4000</v>
      </c>
    </row>
    <row r="366" spans="1:8" x14ac:dyDescent="0.2">
      <c r="A366" t="s">
        <v>1259</v>
      </c>
      <c r="B366" t="s">
        <v>1260</v>
      </c>
      <c r="C366" t="s">
        <v>1261</v>
      </c>
      <c r="D366">
        <v>100174</v>
      </c>
      <c r="G366">
        <v>200</v>
      </c>
      <c r="H366">
        <v>2449.11</v>
      </c>
    </row>
    <row r="367" spans="1:8" x14ac:dyDescent="0.2">
      <c r="A367" t="s">
        <v>1262</v>
      </c>
      <c r="B367" t="s">
        <v>1263</v>
      </c>
      <c r="C367" t="s">
        <v>1264</v>
      </c>
      <c r="D367">
        <v>100237</v>
      </c>
      <c r="G367">
        <v>260</v>
      </c>
      <c r="H367">
        <v>3608.8</v>
      </c>
    </row>
    <row r="368" spans="1:8" x14ac:dyDescent="0.2">
      <c r="A368" t="s">
        <v>1265</v>
      </c>
      <c r="B368" t="s">
        <v>1266</v>
      </c>
      <c r="C368" t="s">
        <v>1267</v>
      </c>
      <c r="D368">
        <v>50409</v>
      </c>
      <c r="G368">
        <v>250</v>
      </c>
      <c r="H368">
        <v>2170</v>
      </c>
    </row>
    <row r="369" spans="1:8" x14ac:dyDescent="0.2">
      <c r="A369" t="s">
        <v>1268</v>
      </c>
      <c r="B369" t="s">
        <v>1269</v>
      </c>
      <c r="C369" t="s">
        <v>1270</v>
      </c>
      <c r="D369">
        <v>50235</v>
      </c>
      <c r="G369">
        <v>0</v>
      </c>
      <c r="H369">
        <v>0</v>
      </c>
    </row>
    <row r="370" spans="1:8" x14ac:dyDescent="0.2">
      <c r="A370" t="s">
        <v>1271</v>
      </c>
      <c r="B370" t="s">
        <v>1272</v>
      </c>
      <c r="C370" t="s">
        <v>1273</v>
      </c>
      <c r="D370">
        <v>50095</v>
      </c>
      <c r="G370">
        <v>0</v>
      </c>
      <c r="H370">
        <v>0</v>
      </c>
    </row>
    <row r="371" spans="1:8" x14ac:dyDescent="0.2">
      <c r="A371" t="s">
        <v>1274</v>
      </c>
      <c r="B371" t="s">
        <v>1275</v>
      </c>
      <c r="C371" t="s">
        <v>1276</v>
      </c>
      <c r="D371">
        <v>100225</v>
      </c>
      <c r="G371">
        <v>250</v>
      </c>
      <c r="H371">
        <v>0</v>
      </c>
    </row>
    <row r="372" spans="1:8" x14ac:dyDescent="0.2">
      <c r="A372" t="s">
        <v>1277</v>
      </c>
      <c r="B372" t="s">
        <v>1278</v>
      </c>
      <c r="C372" t="s">
        <v>1279</v>
      </c>
      <c r="D372">
        <v>50272</v>
      </c>
      <c r="G372">
        <v>350</v>
      </c>
      <c r="H372">
        <v>4750</v>
      </c>
    </row>
    <row r="373" spans="1:8" x14ac:dyDescent="0.2">
      <c r="A373" t="s">
        <v>1280</v>
      </c>
      <c r="B373" t="s">
        <v>1281</v>
      </c>
      <c r="C373" t="s">
        <v>1282</v>
      </c>
      <c r="D373">
        <v>60</v>
      </c>
      <c r="G373">
        <v>350</v>
      </c>
      <c r="H373">
        <v>2202.35</v>
      </c>
    </row>
    <row r="374" spans="1:8" x14ac:dyDescent="0.2">
      <c r="A374" t="s">
        <v>1283</v>
      </c>
      <c r="B374" t="s">
        <v>1284</v>
      </c>
      <c r="C374" t="s">
        <v>1285</v>
      </c>
      <c r="D374">
        <v>50182</v>
      </c>
      <c r="G374">
        <v>150</v>
      </c>
      <c r="H374">
        <v>2888.78</v>
      </c>
    </row>
    <row r="375" spans="1:8" x14ac:dyDescent="0.2">
      <c r="A375" t="s">
        <v>1286</v>
      </c>
      <c r="B375" t="s">
        <v>1287</v>
      </c>
      <c r="C375" t="s">
        <v>1288</v>
      </c>
      <c r="D375">
        <v>50447</v>
      </c>
      <c r="G375">
        <v>500</v>
      </c>
      <c r="H375">
        <v>5361.15</v>
      </c>
    </row>
    <row r="376" spans="1:8" x14ac:dyDescent="0.2">
      <c r="A376" t="s">
        <v>1289</v>
      </c>
      <c r="B376" t="s">
        <v>1290</v>
      </c>
      <c r="C376" t="s">
        <v>1291</v>
      </c>
      <c r="D376">
        <v>57</v>
      </c>
      <c r="G376">
        <v>250</v>
      </c>
      <c r="H376">
        <v>2750</v>
      </c>
    </row>
    <row r="377" spans="1:8" x14ac:dyDescent="0.2">
      <c r="A377" t="s">
        <v>1292</v>
      </c>
      <c r="B377" t="s">
        <v>1293</v>
      </c>
      <c r="G377">
        <v>300</v>
      </c>
      <c r="H377">
        <v>0</v>
      </c>
    </row>
    <row r="378" spans="1:8" x14ac:dyDescent="0.2">
      <c r="A378" t="s">
        <v>1294</v>
      </c>
      <c r="B378" t="s">
        <v>1295</v>
      </c>
      <c r="G378">
        <v>300</v>
      </c>
      <c r="H378">
        <v>3955.8</v>
      </c>
    </row>
    <row r="379" spans="1:8" x14ac:dyDescent="0.2">
      <c r="A379" t="s">
        <v>1296</v>
      </c>
      <c r="B379" t="s">
        <v>1297</v>
      </c>
      <c r="G379">
        <v>350</v>
      </c>
      <c r="H379">
        <v>2394.3000000000002</v>
      </c>
    </row>
    <row r="380" spans="1:8" x14ac:dyDescent="0.2">
      <c r="A380" t="s">
        <v>1298</v>
      </c>
      <c r="B380" t="s">
        <v>1299</v>
      </c>
      <c r="G380">
        <v>300</v>
      </c>
      <c r="H380">
        <v>2700</v>
      </c>
    </row>
    <row r="381" spans="1:8" x14ac:dyDescent="0.2">
      <c r="A381" t="s">
        <v>1300</v>
      </c>
      <c r="B381" t="s">
        <v>1301</v>
      </c>
      <c r="G381">
        <v>200</v>
      </c>
      <c r="H381">
        <v>2000</v>
      </c>
    </row>
    <row r="382" spans="1:8" x14ac:dyDescent="0.2">
      <c r="A382" t="s">
        <v>1302</v>
      </c>
      <c r="B382" t="s">
        <v>1303</v>
      </c>
      <c r="G382">
        <v>0</v>
      </c>
      <c r="H382">
        <v>2909.6</v>
      </c>
    </row>
    <row r="383" spans="1:8" x14ac:dyDescent="0.2">
      <c r="A383" t="s">
        <v>1304</v>
      </c>
      <c r="B383" t="s">
        <v>1305</v>
      </c>
      <c r="G383">
        <v>0</v>
      </c>
      <c r="H383">
        <v>2394.3000000000002</v>
      </c>
    </row>
    <row r="384" spans="1:8" x14ac:dyDescent="0.2">
      <c r="A384" t="s">
        <v>1306</v>
      </c>
      <c r="B384" t="s">
        <v>1307</v>
      </c>
      <c r="G384">
        <v>0</v>
      </c>
      <c r="H384">
        <v>2928.69</v>
      </c>
    </row>
    <row r="385" spans="1:8" x14ac:dyDescent="0.2">
      <c r="A385" t="s">
        <v>1308</v>
      </c>
      <c r="B385" t="s">
        <v>1309</v>
      </c>
      <c r="G385">
        <v>250</v>
      </c>
      <c r="H385">
        <v>2316.23</v>
      </c>
    </row>
    <row r="386" spans="1:8" x14ac:dyDescent="0.2">
      <c r="A386" t="s">
        <v>1310</v>
      </c>
      <c r="B386" t="s">
        <v>1311</v>
      </c>
      <c r="G386">
        <v>390</v>
      </c>
      <c r="H386">
        <v>0</v>
      </c>
    </row>
    <row r="387" spans="1:8" x14ac:dyDescent="0.2">
      <c r="A387" t="s">
        <v>1312</v>
      </c>
      <c r="B387" t="s">
        <v>1313</v>
      </c>
      <c r="G387">
        <v>0</v>
      </c>
      <c r="H387">
        <v>0</v>
      </c>
    </row>
    <row r="388" spans="1:8" x14ac:dyDescent="0.2">
      <c r="A388" t="s">
        <v>1314</v>
      </c>
      <c r="B388" t="s">
        <v>1315</v>
      </c>
      <c r="G388">
        <v>0</v>
      </c>
      <c r="H388">
        <v>1700</v>
      </c>
    </row>
    <row r="389" spans="1:8" x14ac:dyDescent="0.2">
      <c r="A389" t="s">
        <v>1316</v>
      </c>
      <c r="B389" t="s">
        <v>1317</v>
      </c>
      <c r="G389">
        <v>0</v>
      </c>
      <c r="H389">
        <v>2224.71</v>
      </c>
    </row>
    <row r="390" spans="1:8" x14ac:dyDescent="0.2">
      <c r="A390" t="s">
        <v>1318</v>
      </c>
      <c r="B390" t="s">
        <v>1319</v>
      </c>
      <c r="G390">
        <v>0</v>
      </c>
      <c r="H390">
        <v>2170</v>
      </c>
    </row>
    <row r="391" spans="1:8" x14ac:dyDescent="0.2">
      <c r="A391" t="s">
        <v>1320</v>
      </c>
      <c r="B391" t="s">
        <v>1321</v>
      </c>
      <c r="G391">
        <v>0</v>
      </c>
      <c r="H391">
        <v>0</v>
      </c>
    </row>
    <row r="392" spans="1:8" x14ac:dyDescent="0.2">
      <c r="A392" t="s">
        <v>1322</v>
      </c>
      <c r="B392" t="s">
        <v>1323</v>
      </c>
      <c r="G392">
        <v>0</v>
      </c>
      <c r="H392">
        <v>1560</v>
      </c>
    </row>
    <row r="393" spans="1:8" x14ac:dyDescent="0.2">
      <c r="A393" t="s">
        <v>1324</v>
      </c>
      <c r="B393" t="s">
        <v>1325</v>
      </c>
      <c r="G393">
        <v>0</v>
      </c>
      <c r="H39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D45446-CE23-4BE6-BF3A-D8E3D75CBD51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7c6541c9-858d-46cc-aee4-1fa681dc1bd6"/>
    <ds:schemaRef ds:uri="http://schemas.openxmlformats.org/package/2006/metadata/core-properties"/>
    <ds:schemaRef ds:uri="7e7f2dcd-0c2b-4478-ad05-247cf739c5b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7711FD6-2BD8-447F-A9F2-7D3BE41E01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B9DC99-0BF9-41C5-BEA3-F81557A17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2025-12-16T11:38:31Z</dcterms:created>
  <dcterms:modified xsi:type="dcterms:W3CDTF">2025-12-24T13:58:59Z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