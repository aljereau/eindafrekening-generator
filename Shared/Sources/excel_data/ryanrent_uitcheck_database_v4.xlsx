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207" documentId="11_DC17FACF8F94CBD6AE3F9C9ADCE31BD881F6A41C" xr6:coauthVersionLast="47" xr6:coauthVersionMax="47" xr10:uidLastSave="{5DC68269-349D-7E4A-8B4C-B565BB704B54}"/>
  <bookViews>
    <workbookView xWindow="0" yWindow="860" windowWidth="34560" windowHeight="20240" xr2:uid="{00000000-000D-0000-FFFF-FFFF00000000}"/>
  </bookViews>
  <sheets>
    <sheet name="LIJSTEN" sheetId="1" r:id="rId1"/>
    <sheet name="HUIZEN_MASTER" sheetId="2" r:id="rId2"/>
    <sheet name="WONING_CYCLI" sheetId="3" r:id="rId3"/>
    <sheet name="ACTIES" sheetId="4" r:id="rId4"/>
    <sheet name="BRON_UITCHECK_TRACKING" sheetId="5" r:id="rId5"/>
    <sheet name="OG_HUIZEN_LIJST" sheetId="6" r:id="rId6"/>
  </sheets>
  <definedNames>
    <definedName name="lst_actie_type">LIJSTEN!$B$2:$B$7</definedName>
    <definedName name="lst_bestemming">LIJSTEN!$E$2:$E$3</definedName>
    <definedName name="lst_huis_id">HUIZEN_MASTER!#REF!</definedName>
    <definedName name="lst_ja_nee_onbekend">LIJSTEN!$C$2:$C$4</definedName>
    <definedName name="lst_klant_type">LIJSTEN!$D$2:$D$4</definedName>
    <definedName name="lst_sleuteloverdracht_methode">LIJSTEN!$F$2:$F$4</definedName>
    <definedName name="lst_status">LIJSTEN!$A$2:$A$12</definedName>
    <definedName name="lst_uitvoerder_team">LIJSTEN!$G$2:$G$5</definedName>
    <definedName name="lst_uren">LIJSTEN!$H$2:$H$26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4" l="1"/>
  <c r="C60" i="4"/>
  <c r="L47" i="3"/>
  <c r="U47" i="3"/>
  <c r="L48" i="3"/>
  <c r="U48" i="3"/>
  <c r="C48" i="3"/>
  <c r="C47" i="3"/>
  <c r="A47" i="2"/>
  <c r="A46" i="2"/>
  <c r="C46" i="3" l="1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L43" i="3"/>
  <c r="L42" i="3"/>
  <c r="L41" i="3"/>
  <c r="L39" i="3"/>
  <c r="L38" i="3"/>
  <c r="L37" i="3"/>
  <c r="L36" i="3"/>
  <c r="L35" i="3"/>
  <c r="L34" i="3"/>
  <c r="L33" i="3"/>
  <c r="L29" i="3"/>
  <c r="L28" i="3"/>
  <c r="L27" i="3"/>
  <c r="L22" i="3"/>
  <c r="L21" i="3"/>
  <c r="L20" i="3"/>
  <c r="L19" i="3"/>
  <c r="L14" i="3"/>
  <c r="L13" i="3"/>
  <c r="L7" i="3"/>
  <c r="L6" i="3"/>
  <c r="L5" i="3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8" i="2"/>
  <c r="L3" i="3"/>
  <c r="U46" i="3"/>
  <c r="L46" i="3"/>
  <c r="U45" i="3"/>
  <c r="L45" i="3"/>
  <c r="U44" i="3"/>
  <c r="L44" i="3"/>
  <c r="U43" i="3"/>
  <c r="U42" i="3"/>
  <c r="U41" i="3"/>
  <c r="L40" i="3"/>
  <c r="L32" i="3"/>
  <c r="L31" i="3"/>
  <c r="L30" i="3"/>
  <c r="U28" i="3"/>
  <c r="U27" i="3"/>
  <c r="L26" i="3"/>
  <c r="U25" i="3"/>
  <c r="L25" i="3"/>
  <c r="U24" i="3"/>
  <c r="L24" i="3"/>
  <c r="U23" i="3"/>
  <c r="L23" i="3"/>
  <c r="U20" i="3"/>
  <c r="U19" i="3"/>
  <c r="U18" i="3"/>
  <c r="L18" i="3"/>
  <c r="U17" i="3"/>
  <c r="L17" i="3"/>
  <c r="U16" i="3"/>
  <c r="L16" i="3"/>
  <c r="U15" i="3"/>
  <c r="L15" i="3"/>
  <c r="U14" i="3"/>
  <c r="U13" i="3"/>
  <c r="U12" i="3"/>
  <c r="L12" i="3"/>
  <c r="U11" i="3"/>
  <c r="L11" i="3"/>
  <c r="U10" i="3"/>
  <c r="L10" i="3"/>
  <c r="U9" i="3"/>
  <c r="L9" i="3"/>
  <c r="U8" i="3"/>
  <c r="L8" i="3"/>
  <c r="U7" i="3"/>
  <c r="U6" i="3"/>
  <c r="U5" i="3"/>
  <c r="U4" i="3"/>
  <c r="L4" i="3"/>
  <c r="U3" i="3"/>
  <c r="U2" i="3"/>
  <c r="C3" i="4" l="1"/>
  <c r="C41" i="4"/>
  <c r="C44" i="4"/>
  <c r="C43" i="4"/>
  <c r="C15" i="4"/>
  <c r="C27" i="4"/>
  <c r="C53" i="4"/>
  <c r="C9" i="4"/>
  <c r="C56" i="4"/>
  <c r="C28" i="4"/>
  <c r="C14" i="4"/>
  <c r="C40" i="4"/>
  <c r="C12" i="4"/>
  <c r="C51" i="4"/>
  <c r="C37" i="4"/>
  <c r="C23" i="4"/>
  <c r="C50" i="4"/>
  <c r="C36" i="4"/>
  <c r="C22" i="4"/>
  <c r="C8" i="4"/>
  <c r="C58" i="4"/>
  <c r="C30" i="4"/>
  <c r="C16" i="4"/>
  <c r="C57" i="4"/>
  <c r="C29" i="4"/>
  <c r="C42" i="4"/>
  <c r="C13" i="4"/>
  <c r="C7" i="4"/>
  <c r="C52" i="4"/>
  <c r="C38" i="4"/>
  <c r="C10" i="4"/>
  <c r="C49" i="4"/>
  <c r="C35" i="4"/>
  <c r="C21" i="4"/>
  <c r="C48" i="4"/>
  <c r="C34" i="4"/>
  <c r="C20" i="4"/>
  <c r="C6" i="4"/>
  <c r="C55" i="4"/>
  <c r="C26" i="4"/>
  <c r="C24" i="4"/>
  <c r="C47" i="4"/>
  <c r="C33" i="4"/>
  <c r="C19" i="4"/>
  <c r="C5" i="4"/>
  <c r="C54" i="4"/>
  <c r="C39" i="4"/>
  <c r="C25" i="4"/>
  <c r="C11" i="4"/>
  <c r="C2" i="4"/>
  <c r="C46" i="4"/>
  <c r="C32" i="4"/>
  <c r="C18" i="4"/>
  <c r="C4" i="4"/>
  <c r="C59" i="4"/>
  <c r="C45" i="4"/>
  <c r="C31" i="4"/>
  <c r="C17" i="4"/>
  <c r="L2" i="3"/>
  <c r="D47" i="4" s="1"/>
  <c r="D49" i="4" l="1"/>
  <c r="D46" i="4"/>
  <c r="D15" i="4"/>
  <c r="D51" i="4"/>
  <c r="D50" i="4"/>
  <c r="D44" i="4"/>
  <c r="D8" i="4"/>
  <c r="D9" i="4"/>
  <c r="D2" i="4"/>
  <c r="D54" i="4"/>
  <c r="D35" i="4"/>
  <c r="D5" i="4"/>
  <c r="D22" i="4"/>
  <c r="D45" i="4"/>
  <c r="D6" i="4"/>
  <c r="D16" i="4"/>
  <c r="D40" i="4"/>
  <c r="D42" i="4"/>
  <c r="D18" i="4"/>
  <c r="D37" i="4"/>
  <c r="D14" i="4"/>
  <c r="D53" i="4"/>
  <c r="D41" i="4"/>
  <c r="D20" i="4"/>
  <c r="D33" i="4"/>
  <c r="D21" i="4"/>
  <c r="D19" i="4"/>
  <c r="D29" i="4"/>
  <c r="D10" i="4"/>
  <c r="D43" i="4"/>
  <c r="D4" i="4"/>
  <c r="D24" i="4"/>
  <c r="D26" i="4"/>
  <c r="D31" i="4"/>
  <c r="D38" i="4"/>
  <c r="D56" i="4"/>
  <c r="D11" i="4"/>
  <c r="D59" i="4"/>
  <c r="D58" i="4"/>
  <c r="D52" i="4"/>
  <c r="D39" i="4"/>
  <c r="D48" i="4"/>
  <c r="D34" i="4"/>
  <c r="D12" i="4"/>
  <c r="D13" i="4"/>
  <c r="D3" i="4"/>
  <c r="D57" i="4"/>
  <c r="D36" i="4"/>
  <c r="D7" i="4"/>
  <c r="D17" i="4"/>
  <c r="D27" i="4"/>
  <c r="D55" i="4"/>
  <c r="D28" i="4"/>
  <c r="D23" i="4"/>
  <c r="D32" i="4"/>
  <c r="D25" i="4"/>
  <c r="D30" i="4"/>
  <c r="Q48" i="3" l="1"/>
  <c r="M47" i="3"/>
  <c r="M45" i="3"/>
  <c r="N47" i="3"/>
  <c r="O47" i="3"/>
  <c r="P47" i="3"/>
  <c r="Q47" i="3"/>
  <c r="R47" i="3"/>
  <c r="S47" i="3"/>
  <c r="M48" i="3"/>
  <c r="O48" i="3"/>
  <c r="N48" i="3"/>
  <c r="P48" i="3"/>
  <c r="R48" i="3"/>
  <c r="S48" i="3"/>
  <c r="P39" i="3"/>
  <c r="U39" i="3" s="1"/>
  <c r="P31" i="3"/>
  <c r="U31" i="3" s="1"/>
  <c r="R13" i="3"/>
  <c r="S9" i="3"/>
  <c r="R34" i="3"/>
  <c r="S24" i="3"/>
  <c r="Q23" i="3"/>
  <c r="N36" i="3"/>
  <c r="R26" i="3"/>
  <c r="O28" i="3"/>
  <c r="R41" i="3"/>
  <c r="N6" i="3"/>
  <c r="O12" i="3"/>
  <c r="O22" i="3"/>
  <c r="M17" i="3"/>
  <c r="N35" i="3"/>
  <c r="R37" i="3"/>
  <c r="N41" i="3"/>
  <c r="O32" i="3"/>
  <c r="O26" i="3"/>
  <c r="R15" i="3"/>
  <c r="P15" i="3"/>
  <c r="Q35" i="3"/>
  <c r="O3" i="3"/>
  <c r="R18" i="3"/>
  <c r="O18" i="3"/>
  <c r="N12" i="3"/>
  <c r="O40" i="3"/>
  <c r="M30" i="3"/>
  <c r="N27" i="3"/>
  <c r="N5" i="3"/>
  <c r="R9" i="3"/>
  <c r="R44" i="3"/>
  <c r="Q38" i="3"/>
  <c r="S31" i="3"/>
  <c r="P20" i="3"/>
  <c r="Q24" i="3"/>
  <c r="R19" i="3"/>
  <c r="R12" i="3"/>
  <c r="Q20" i="3"/>
  <c r="O9" i="3"/>
  <c r="Q14" i="3"/>
  <c r="N18" i="3"/>
  <c r="P21" i="3"/>
  <c r="U21" i="3" s="1"/>
  <c r="P22" i="3"/>
  <c r="U22" i="3" s="1"/>
  <c r="P40" i="3"/>
  <c r="U40" i="3" s="1"/>
  <c r="M28" i="3"/>
  <c r="M37" i="3"/>
  <c r="Q27" i="3"/>
  <c r="N14" i="3"/>
  <c r="M39" i="3"/>
  <c r="N24" i="3"/>
  <c r="M12" i="3"/>
  <c r="Q17" i="3"/>
  <c r="O36" i="3"/>
  <c r="N9" i="3"/>
  <c r="N4" i="3"/>
  <c r="P12" i="3"/>
  <c r="M15" i="3"/>
  <c r="N31" i="3"/>
  <c r="M7" i="3"/>
  <c r="P7" i="3"/>
  <c r="S20" i="3"/>
  <c r="M38" i="3"/>
  <c r="R7" i="3"/>
  <c r="N21" i="3"/>
  <c r="S12" i="3"/>
  <c r="M18" i="3"/>
  <c r="Q3" i="3"/>
  <c r="S41" i="3"/>
  <c r="P3" i="3"/>
  <c r="Q42" i="3"/>
  <c r="M43" i="3"/>
  <c r="N25" i="3"/>
  <c r="S3" i="3"/>
  <c r="R45" i="3"/>
  <c r="Q31" i="3"/>
  <c r="Q44" i="3"/>
  <c r="R3" i="3"/>
  <c r="S10" i="3"/>
  <c r="N30" i="3"/>
  <c r="Q40" i="3"/>
  <c r="N44" i="3"/>
  <c r="O14" i="3"/>
  <c r="M16" i="3"/>
  <c r="O10" i="3"/>
  <c r="O23" i="3"/>
  <c r="O15" i="3"/>
  <c r="S40" i="3"/>
  <c r="O17" i="3"/>
  <c r="R11" i="3"/>
  <c r="S23" i="3"/>
  <c r="P29" i="3"/>
  <c r="U29" i="3" s="1"/>
  <c r="P37" i="3"/>
  <c r="U37" i="3" s="1"/>
  <c r="M25" i="3"/>
  <c r="M35" i="3"/>
  <c r="Q5" i="3"/>
  <c r="Q25" i="3"/>
  <c r="S29" i="3"/>
  <c r="M27" i="3"/>
  <c r="S18" i="3"/>
  <c r="Q9" i="3"/>
  <c r="M26" i="3"/>
  <c r="Q19" i="3"/>
  <c r="R22" i="3"/>
  <c r="P46" i="3"/>
  <c r="N32" i="3"/>
  <c r="Q18" i="3"/>
  <c r="M5" i="3"/>
  <c r="S44" i="3"/>
  <c r="M32" i="3"/>
  <c r="O13" i="3"/>
  <c r="N42" i="3"/>
  <c r="N34" i="3"/>
  <c r="R31" i="3"/>
  <c r="N29" i="3"/>
  <c r="O38" i="3"/>
  <c r="S33" i="3"/>
  <c r="P5" i="3"/>
  <c r="N22" i="3"/>
  <c r="P16" i="3"/>
  <c r="M40" i="3"/>
  <c r="S4" i="3"/>
  <c r="S43" i="3"/>
  <c r="R46" i="3"/>
  <c r="M2" i="3"/>
  <c r="M21" i="3"/>
  <c r="Q39" i="3"/>
  <c r="M29" i="3"/>
  <c r="Q2" i="3"/>
  <c r="R23" i="3"/>
  <c r="M4" i="3"/>
  <c r="M22" i="3"/>
  <c r="O25" i="3"/>
  <c r="O37" i="3"/>
  <c r="R43" i="3"/>
  <c r="S39" i="3"/>
  <c r="Q37" i="3"/>
  <c r="S35" i="3"/>
  <c r="M14" i="3"/>
  <c r="R28" i="3"/>
  <c r="O39" i="3"/>
  <c r="P30" i="3"/>
  <c r="U30" i="3" s="1"/>
  <c r="P33" i="3"/>
  <c r="U33" i="3" s="1"/>
  <c r="O21" i="3"/>
  <c r="O41" i="3"/>
  <c r="Q45" i="3"/>
  <c r="R27" i="3"/>
  <c r="S38" i="3"/>
  <c r="P18" i="3"/>
  <c r="P11" i="3"/>
  <c r="O29" i="3"/>
  <c r="R8" i="3"/>
  <c r="S37" i="3"/>
  <c r="O11" i="3"/>
  <c r="N33" i="3"/>
  <c r="N39" i="3"/>
  <c r="R10" i="3"/>
  <c r="S36" i="3"/>
  <c r="M8" i="3"/>
  <c r="M6" i="3"/>
  <c r="P9" i="3"/>
  <c r="O35" i="3"/>
  <c r="P2" i="3"/>
  <c r="S17" i="3"/>
  <c r="O7" i="3"/>
  <c r="S45" i="3"/>
  <c r="Q21" i="3"/>
  <c r="O30" i="3"/>
  <c r="P19" i="3"/>
  <c r="P41" i="3"/>
  <c r="N40" i="3"/>
  <c r="R25" i="3"/>
  <c r="O43" i="3"/>
  <c r="O4" i="3"/>
  <c r="S2" i="3"/>
  <c r="N20" i="3"/>
  <c r="S46" i="3"/>
  <c r="Q33" i="3"/>
  <c r="N28" i="3"/>
  <c r="M34" i="3"/>
  <c r="M44" i="3"/>
  <c r="P23" i="3"/>
  <c r="P25" i="3"/>
  <c r="M24" i="3"/>
  <c r="M42" i="3"/>
  <c r="S7" i="3"/>
  <c r="S8" i="3"/>
  <c r="M13" i="3"/>
  <c r="P35" i="3"/>
  <c r="U35" i="3" s="1"/>
  <c r="P38" i="3"/>
  <c r="U38" i="3" s="1"/>
  <c r="Q30" i="3"/>
  <c r="Q22" i="3"/>
  <c r="O42" i="3"/>
  <c r="N43" i="3"/>
  <c r="P6" i="3"/>
  <c r="R40" i="3"/>
  <c r="Q11" i="3"/>
  <c r="Q6" i="3"/>
  <c r="N10" i="3"/>
  <c r="N45" i="3"/>
  <c r="N38" i="3"/>
  <c r="Q4" i="3"/>
  <c r="N17" i="3"/>
  <c r="Q8" i="3"/>
  <c r="S42" i="3"/>
  <c r="Q32" i="3"/>
  <c r="O45" i="3"/>
  <c r="S32" i="3"/>
  <c r="O2" i="3"/>
  <c r="N46" i="3"/>
  <c r="S16" i="3"/>
  <c r="P43" i="3"/>
  <c r="O44" i="3"/>
  <c r="R24" i="3"/>
  <c r="R16" i="3"/>
  <c r="P27" i="3"/>
  <c r="Q10" i="3"/>
  <c r="P44" i="3"/>
  <c r="P24" i="3"/>
  <c r="Q34" i="3"/>
  <c r="S13" i="3"/>
  <c r="O46" i="3"/>
  <c r="R4" i="3"/>
  <c r="N23" i="3"/>
  <c r="P10" i="3"/>
  <c r="P45" i="3"/>
  <c r="R29" i="3"/>
  <c r="O27" i="3"/>
  <c r="M46" i="3"/>
  <c r="R30" i="3"/>
  <c r="P34" i="3"/>
  <c r="U34" i="3" s="1"/>
  <c r="P26" i="3"/>
  <c r="U26" i="3" s="1"/>
  <c r="S27" i="3"/>
  <c r="S22" i="3"/>
  <c r="S25" i="3"/>
  <c r="P42" i="3"/>
  <c r="O8" i="3"/>
  <c r="N37" i="3"/>
  <c r="R17" i="3"/>
  <c r="R35" i="3"/>
  <c r="S28" i="3"/>
  <c r="P17" i="3"/>
  <c r="R21" i="3"/>
  <c r="M3" i="3"/>
  <c r="R38" i="3"/>
  <c r="M23" i="3"/>
  <c r="Q41" i="3"/>
  <c r="S6" i="3"/>
  <c r="S30" i="3"/>
  <c r="P13" i="3"/>
  <c r="M31" i="3"/>
  <c r="M41" i="3"/>
  <c r="O24" i="3"/>
  <c r="O19" i="3"/>
  <c r="N7" i="3"/>
  <c r="R20" i="3"/>
  <c r="R32" i="3"/>
  <c r="P28" i="3"/>
  <c r="R14" i="3"/>
  <c r="O34" i="3"/>
  <c r="O33" i="3"/>
  <c r="M19" i="3"/>
  <c r="N11" i="3"/>
  <c r="N3" i="3"/>
  <c r="N15" i="3"/>
  <c r="Q36" i="3"/>
  <c r="S15" i="3"/>
  <c r="Q16" i="3"/>
  <c r="Q7" i="3"/>
  <c r="R42" i="3"/>
  <c r="R6" i="3"/>
  <c r="O6" i="3"/>
  <c r="Q13" i="3"/>
  <c r="M10" i="3"/>
  <c r="P36" i="3"/>
  <c r="U36" i="3" s="1"/>
  <c r="P32" i="3"/>
  <c r="U32" i="3" s="1"/>
  <c r="Q29" i="3"/>
  <c r="Q28" i="3"/>
  <c r="P8" i="3"/>
  <c r="O16" i="3"/>
  <c r="O5" i="3"/>
  <c r="N13" i="3"/>
  <c r="R2" i="3"/>
  <c r="Q46" i="3"/>
  <c r="M33" i="3"/>
  <c r="O31" i="3"/>
  <c r="S26" i="3"/>
  <c r="R36" i="3"/>
  <c r="N8" i="3"/>
  <c r="M36" i="3"/>
  <c r="N19" i="3"/>
  <c r="R33" i="3"/>
  <c r="Q26" i="3"/>
  <c r="R5" i="3"/>
  <c r="N2" i="3"/>
  <c r="M11" i="3"/>
  <c r="S34" i="3"/>
  <c r="S11" i="3"/>
  <c r="N26" i="3"/>
  <c r="P4" i="3"/>
  <c r="S21" i="3"/>
  <c r="S19" i="3"/>
  <c r="N16" i="3"/>
  <c r="S5" i="3"/>
  <c r="Q15" i="3"/>
  <c r="P14" i="3"/>
  <c r="Q12" i="3"/>
  <c r="S14" i="3"/>
  <c r="M9" i="3"/>
  <c r="O20" i="3"/>
  <c r="M20" i="3"/>
  <c r="R39" i="3"/>
  <c r="Q43" i="3"/>
</calcChain>
</file>

<file path=xl/sharedStrings.xml><?xml version="1.0" encoding="utf-8"?>
<sst xmlns="http://schemas.openxmlformats.org/spreadsheetml/2006/main" count="4127" uniqueCount="1976">
  <si>
    <t>status</t>
  </si>
  <si>
    <t>actie_type</t>
  </si>
  <si>
    <t>ja_nee_onbekend</t>
  </si>
  <si>
    <t>klant_type</t>
  </si>
  <si>
    <t>bestemming</t>
  </si>
  <si>
    <t>sleuteloverdracht_methode</t>
  </si>
  <si>
    <t>uitvoerder_team</t>
  </si>
  <si>
    <t>uren</t>
  </si>
  <si>
    <t>NIET_GESTART</t>
  </si>
  <si>
    <t>VOORINSPECTIE</t>
  </si>
  <si>
    <t>JA</t>
  </si>
  <si>
    <t>TRADIRO</t>
  </si>
  <si>
    <t>OPNIEUW_VERHUREN</t>
  </si>
  <si>
    <t>PERSOONLIJK</t>
  </si>
  <si>
    <t>INTERN</t>
  </si>
  <si>
    <t>VOORINSPECTIE_GEPLAND</t>
  </si>
  <si>
    <t>UITCHECK</t>
  </si>
  <si>
    <t>NEE</t>
  </si>
  <si>
    <t>EXTERN</t>
  </si>
  <si>
    <t>TERUG_NAAR_EIGENAAR</t>
  </si>
  <si>
    <t>IN_WONING_ACHTERGELATEN</t>
  </si>
  <si>
    <t>AANNEMER</t>
  </si>
  <si>
    <t>VOORINSPECTIE_UITGEVOERD</t>
  </si>
  <si>
    <t>SCHOONMAAK</t>
  </si>
  <si>
    <t>ONBEKEND</t>
  </si>
  <si>
    <t>EIGENAAR</t>
  </si>
  <si>
    <t>ANDERS</t>
  </si>
  <si>
    <t>SCHOONMAAKBEDRIJF</t>
  </si>
  <si>
    <t>UITCHECK_GEPLAND</t>
  </si>
  <si>
    <t>INCHECK</t>
  </si>
  <si>
    <t>UITCHECK_UITGEVOERD</t>
  </si>
  <si>
    <t>OVERDRACHT_EIGENAAR</t>
  </si>
  <si>
    <t>SCHOONMAAK_NODIG</t>
  </si>
  <si>
    <t>REPARATIE</t>
  </si>
  <si>
    <t>KLAAR_VOOR_INCHECK</t>
  </si>
  <si>
    <t>INCHECK_GEPLAND</t>
  </si>
  <si>
    <t>INCHECK_UITGEVOERD</t>
  </si>
  <si>
    <t>AFGEROND</t>
  </si>
  <si>
    <t>huis_id</t>
  </si>
  <si>
    <t>adres_weergave</t>
  </si>
  <si>
    <t>actief</t>
  </si>
  <si>
    <t>Kerkweg 9a [huis 135] Hensbroek</t>
  </si>
  <si>
    <t>Jasmijnrijn 37 Zundert</t>
  </si>
  <si>
    <t>Wedderweg 3a  Vrieschenloo</t>
  </si>
  <si>
    <t>Monsterseweg 26A, 'S-GRAVENZANDE</t>
  </si>
  <si>
    <t>Nunspeetlaan 53 Den Haag</t>
  </si>
  <si>
    <t>Akkerweg 41 [huis018] Den oever</t>
  </si>
  <si>
    <t>Akkerweg 41 [huis040] Den oever</t>
  </si>
  <si>
    <t>Akkerweg 41 [huis038] Den oever</t>
  </si>
  <si>
    <t>Akkerweg 41 [huis058] Den oever</t>
  </si>
  <si>
    <t>Moureauveld 8 Roosendaal</t>
  </si>
  <si>
    <t xml:space="preserve">Schoonegge 84 </t>
  </si>
  <si>
    <t xml:space="preserve">Kapershoek 11 </t>
  </si>
  <si>
    <t>Akkerweg 41 [ huisnummer 10 ]</t>
  </si>
  <si>
    <t>Akkerweg 41 [ huisnummer 16 ]</t>
  </si>
  <si>
    <t>Akkerweg 41 [ huisnummer 19 ]</t>
  </si>
  <si>
    <t>Akkerweg 41 [ huisnummer 55 ]</t>
  </si>
  <si>
    <t>Akkerweg 41 [ huisnummer 56 ]</t>
  </si>
  <si>
    <t>Kierkegaardhof 54, Huizen</t>
  </si>
  <si>
    <t>Putsebocht 136, Rotterdam</t>
  </si>
  <si>
    <t>Piersonstraat 8, Schiedam</t>
  </si>
  <si>
    <t>Kerkerwervensingel 127</t>
  </si>
  <si>
    <t>Akkerweg 41 [ huisnummer 14 ]</t>
  </si>
  <si>
    <t>Akkerweg 41 [ huisnummer 20 ]</t>
  </si>
  <si>
    <t xml:space="preserve">Akkerweg 41 [ huisnummer 42 ] </t>
  </si>
  <si>
    <t>Van Maanenstraat 14A</t>
  </si>
  <si>
    <t>Prunuslaan 36, Nieuwolda</t>
  </si>
  <si>
    <t>Bettingeslag 10, Emmen</t>
  </si>
  <si>
    <t>Korte Singelstraat 21 -2</t>
  </si>
  <si>
    <t>Korte Singelstraat 21 -3</t>
  </si>
  <si>
    <t>Opaal 9</t>
  </si>
  <si>
    <t>Wilhelminastraat 8</t>
  </si>
  <si>
    <t>Laan op Zuid 949, Rotterdam</t>
  </si>
  <si>
    <t>Scheepjesbrug 814, Meerkerk</t>
  </si>
  <si>
    <t>Flankstraat 11, Sas van Gent</t>
  </si>
  <si>
    <t>Sint liduinastraat 76A, Schiedam</t>
  </si>
  <si>
    <t>Kerstendijk 125 Rotterdam</t>
  </si>
  <si>
    <t>Kruisweg 16, Woubrugge</t>
  </si>
  <si>
    <t>Ofwegen 1A, Woubrugge</t>
  </si>
  <si>
    <t>Schoonegge 84, Rotterdam</t>
  </si>
  <si>
    <t>Cloosterstraat 23A, Kloosterzande</t>
  </si>
  <si>
    <t>Hoge Noordweg 27B, Naaldwijk</t>
  </si>
  <si>
    <t>Groeneweg 71 , 'S-GRAVENZANDE</t>
  </si>
  <si>
    <t>Industriestraat 9 Dongen</t>
  </si>
  <si>
    <t>Wijngaard 66, Lelystad</t>
  </si>
  <si>
    <t>Vierambachtsstraat 32B 01, Rotterdam</t>
  </si>
  <si>
    <t>cyclus_id</t>
  </si>
  <si>
    <t>is_actief</t>
  </si>
  <si>
    <t>einddatum_huurder</t>
  </si>
  <si>
    <t>startdatum_nieuwe_huurder</t>
  </si>
  <si>
    <t>laatst_bijgewerkt</t>
  </si>
  <si>
    <t>interne_opmerking</t>
  </si>
  <si>
    <t>sleutel_actief</t>
  </si>
  <si>
    <t>check_voorinspectie_gepland</t>
  </si>
  <si>
    <t>check_voorinspectie_uitgevoerd</t>
  </si>
  <si>
    <t>check_uitcheck_gepland</t>
  </si>
  <si>
    <t>check_uitcheck_uitgevoerd</t>
  </si>
  <si>
    <t>check_schoonmaak</t>
  </si>
  <si>
    <t>check_incheck_gepland</t>
  </si>
  <si>
    <t>check_incheck_uitgevoerd</t>
  </si>
  <si>
    <t>foutmelding</t>
  </si>
  <si>
    <t>C0001</t>
  </si>
  <si>
    <t>2025-12-19 15:37</t>
  </si>
  <si>
    <t>nan</t>
  </si>
  <si>
    <t>C0002</t>
  </si>
  <si>
    <t>C0003</t>
  </si>
  <si>
    <t>07-11 Ana</t>
  </si>
  <si>
    <t>Woensdag 29-10 avond vertrekken de bewoners</t>
  </si>
  <si>
    <t>C0004</t>
  </si>
  <si>
    <t>Gaat deze woning terug naar Tr of naar eigenaar? Christa</t>
  </si>
  <si>
    <t>C0005</t>
  </si>
  <si>
    <t xml:space="preserve">woning moet worden leeggehaald </t>
  </si>
  <si>
    <t>C0006</t>
  </si>
  <si>
    <t>C0007</t>
  </si>
  <si>
    <t>C0008</t>
  </si>
  <si>
    <t>C0009</t>
  </si>
  <si>
    <t>huis is al leeg 30-10.</t>
  </si>
  <si>
    <t>C0010</t>
  </si>
  <si>
    <t>C0011</t>
  </si>
  <si>
    <t>schoonmaak nodig</t>
  </si>
  <si>
    <t>C0012</t>
  </si>
  <si>
    <t>C0013</t>
  </si>
  <si>
    <t>Samen met Ricky met SNF dag?</t>
  </si>
  <si>
    <t>C0014</t>
  </si>
  <si>
    <t>C0015</t>
  </si>
  <si>
    <t>C0016</t>
  </si>
  <si>
    <t>C0017</t>
  </si>
  <si>
    <t>C0018</t>
  </si>
  <si>
    <t>14-11-2025 Jakub</t>
  </si>
  <si>
    <t>met bedlinnen</t>
  </si>
  <si>
    <t>C0019</t>
  </si>
  <si>
    <t>Dion levert op aan eigenaar 05-12,</t>
  </si>
  <si>
    <t>C0020</t>
  </si>
  <si>
    <t>met  bedlinnen voor 3pers, HTC breng de sleutel naar kantoor</t>
  </si>
  <si>
    <t>C0021</t>
  </si>
  <si>
    <t>outcheck is gedaan. Moet het nog leeg?</t>
  </si>
  <si>
    <t>C0022</t>
  </si>
  <si>
    <t>Via mail aan Chris gevraagd of hij de outcheck kan doen</t>
  </si>
  <si>
    <t>C0023</t>
  </si>
  <si>
    <t>C0024</t>
  </si>
  <si>
    <t>C0025</t>
  </si>
  <si>
    <t>Eigenaar is gemaild voor sleutel overdracht</t>
  </si>
  <si>
    <t>C0026</t>
  </si>
  <si>
    <t xml:space="preserve">Christa? </t>
  </si>
  <si>
    <t>C0027</t>
  </si>
  <si>
    <t>Christa?</t>
  </si>
  <si>
    <t>C0028</t>
  </si>
  <si>
    <t>C0029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</si>
  <si>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</si>
  <si>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C0030</t>
  </si>
  <si>
    <t>C0031</t>
  </si>
  <si>
    <t>C0032</t>
  </si>
  <si>
    <t>C0033</t>
  </si>
  <si>
    <t>C0034</t>
  </si>
  <si>
    <t>C0035</t>
  </si>
  <si>
    <t xml:space="preserve">Eigenaar is gemaild </t>
  </si>
  <si>
    <t>C0036</t>
  </si>
  <si>
    <t>C0037</t>
  </si>
  <si>
    <t>C0038</t>
  </si>
  <si>
    <t>C0039</t>
  </si>
  <si>
    <t>29-12 pre met eigenaar</t>
  </si>
  <si>
    <t>C0040</t>
  </si>
  <si>
    <t>C0041</t>
  </si>
  <si>
    <t>C0042</t>
  </si>
  <si>
    <t>C0043</t>
  </si>
  <si>
    <t>nieuw adres</t>
  </si>
  <si>
    <t>C0044</t>
  </si>
  <si>
    <t>Zonder bedlinnen</t>
  </si>
  <si>
    <t>C0045</t>
  </si>
  <si>
    <t>actie_id</t>
  </si>
  <si>
    <t>gepland_op</t>
  </si>
  <si>
    <t>uitgevoerd_op</t>
  </si>
  <si>
    <t>uitgevoerd_door</t>
  </si>
  <si>
    <t>fotos_gemaakt</t>
  </si>
  <si>
    <t>issues_gevonden</t>
  </si>
  <si>
    <t>verwachte_schoonmaak_uren</t>
  </si>
  <si>
    <t>werkelijke_schoonmaak_uren</t>
  </si>
  <si>
    <t>sleutels_bevestigd</t>
  </si>
  <si>
    <t>opmerking</t>
  </si>
  <si>
    <t>A00001</t>
  </si>
  <si>
    <t>A00002</t>
  </si>
  <si>
    <t>Jamie</t>
  </si>
  <si>
    <t>A00003</t>
  </si>
  <si>
    <t>A00004</t>
  </si>
  <si>
    <t>Ana</t>
  </si>
  <si>
    <t>A00005</t>
  </si>
  <si>
    <t xml:space="preserve">kan je </t>
  </si>
  <si>
    <t>A00006</t>
  </si>
  <si>
    <t>A00007</t>
  </si>
  <si>
    <t>Christa</t>
  </si>
  <si>
    <t>A00008</t>
  </si>
  <si>
    <t>A00009</t>
  </si>
  <si>
    <t>A00010</t>
  </si>
  <si>
    <t>A00011</t>
  </si>
  <si>
    <t>A00012</t>
  </si>
  <si>
    <t>Dion</t>
  </si>
  <si>
    <t>A00013</t>
  </si>
  <si>
    <t>A00014</t>
  </si>
  <si>
    <t>A00015</t>
  </si>
  <si>
    <t>A00016</t>
  </si>
  <si>
    <t>A00017</t>
  </si>
  <si>
    <t>A00018</t>
  </si>
  <si>
    <t>A00019</t>
  </si>
  <si>
    <t>A00020</t>
  </si>
  <si>
    <t>A00021</t>
  </si>
  <si>
    <t>A00022</t>
  </si>
  <si>
    <t>tradiro lady on 16-12</t>
  </si>
  <si>
    <t>A00023</t>
  </si>
  <si>
    <t>A00024</t>
  </si>
  <si>
    <t>is schoon</t>
  </si>
  <si>
    <t>A00025</t>
  </si>
  <si>
    <t>Chris</t>
  </si>
  <si>
    <t>A00026</t>
  </si>
  <si>
    <t>A00027</t>
  </si>
  <si>
    <t>A00028</t>
  </si>
  <si>
    <t>Ricky</t>
  </si>
  <si>
    <t>A00029</t>
  </si>
  <si>
    <t>Plannen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</si>
  <si>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</si>
  <si>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</si>
  <si>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</si>
  <si>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</si>
  <si>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</si>
  <si>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</si>
  <si>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</si>
  <si>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</si>
  <si>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</si>
  <si>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</si>
  <si>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</si>
  <si>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</si>
  <si>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</si>
  <si>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</si>
  <si>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</si>
  <si>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</si>
  <si>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</si>
  <si>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</si>
  <si>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</si>
  <si>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Ricky + Jakub + scott</t>
  </si>
  <si>
    <t>A00049</t>
  </si>
  <si>
    <t>A00050</t>
  </si>
  <si>
    <t>A00051</t>
  </si>
  <si>
    <t>A00052</t>
  </si>
  <si>
    <t>29-12-2025- dion</t>
  </si>
  <si>
    <t>Ricky-scott</t>
  </si>
  <si>
    <t>A00053</t>
  </si>
  <si>
    <t>A00054</t>
  </si>
  <si>
    <t>A00055</t>
  </si>
  <si>
    <t>A00056</t>
  </si>
  <si>
    <t>A00057</t>
  </si>
  <si>
    <t>Ricky- scott</t>
  </si>
  <si>
    <t>A00058</t>
  </si>
  <si>
    <t>Adres</t>
  </si>
  <si>
    <t>uitcheck</t>
  </si>
  <si>
    <t>Klant</t>
  </si>
  <si>
    <t>Datum</t>
  </si>
  <si>
    <t>nieuwe Huurder</t>
  </si>
  <si>
    <t>Datum Vooroplevering (PRE)</t>
  </si>
  <si>
    <t xml:space="preserve"> Uitcheck Datum </t>
  </si>
  <si>
    <t>Wie</t>
  </si>
  <si>
    <t>Schoonmaak</t>
  </si>
  <si>
    <t>VIS (checkin)</t>
  </si>
  <si>
    <t xml:space="preserve">Opmerkingen </t>
  </si>
  <si>
    <t>rented from</t>
  </si>
  <si>
    <t>Bed linnen</t>
  </si>
  <si>
    <t>Timing</t>
  </si>
  <si>
    <t>RR is cleaning</t>
  </si>
  <si>
    <t>park wil do this</t>
  </si>
  <si>
    <t xml:space="preserve">Pre eindinspectie </t>
  </si>
  <si>
    <t>EG facility</t>
  </si>
  <si>
    <t>PRP</t>
  </si>
  <si>
    <t>Compierekade Alphen ad Rijn</t>
  </si>
  <si>
    <t>PPL direkt</t>
  </si>
  <si>
    <t>Terug naar de eigenaar</t>
  </si>
  <si>
    <t>Uitzendwerk</t>
  </si>
  <si>
    <t>Eemsdelta</t>
  </si>
  <si>
    <t>FISSH</t>
  </si>
  <si>
    <t>verhuisd naar 75</t>
  </si>
  <si>
    <t>Buurman Vastgoed B.V.</t>
  </si>
  <si>
    <t>Dit en Larex</t>
  </si>
  <si>
    <t>Zuidhoek, Rotterdam</t>
  </si>
  <si>
    <t>Uitzendbureau Bakker</t>
  </si>
  <si>
    <t>3uur schoonmaak voor dame Tradiro. Nog niet gevraagd</t>
  </si>
  <si>
    <t>Otto?</t>
  </si>
  <si>
    <t>Labour housing</t>
  </si>
  <si>
    <t>NL-Realty</t>
  </si>
  <si>
    <t>BW-engineering</t>
  </si>
  <si>
    <t>Tradiro</t>
  </si>
  <si>
    <t>HTC</t>
  </si>
  <si>
    <t>Impess</t>
  </si>
  <si>
    <t>Light</t>
  </si>
  <si>
    <t>Focuzop</t>
  </si>
  <si>
    <t>Devon visser</t>
  </si>
  <si>
    <t>Construction</t>
  </si>
  <si>
    <t>Transport people</t>
  </si>
  <si>
    <t>Goti</t>
  </si>
  <si>
    <t>UAB Toromega</t>
  </si>
  <si>
    <t>Flextalent</t>
  </si>
  <si>
    <t>Bedrijven bakker</t>
  </si>
  <si>
    <t>GAP</t>
  </si>
  <si>
    <t>Oranjegroep</t>
  </si>
  <si>
    <t>Wacht op mail</t>
  </si>
  <si>
    <t>Oostkracht Bemiddeling B.V.</t>
  </si>
  <si>
    <t>Column1</t>
  </si>
  <si>
    <t>Commentaar</t>
  </si>
  <si>
    <t>id</t>
  </si>
  <si>
    <t>object_id</t>
  </si>
  <si>
    <t>adres</t>
  </si>
  <si>
    <t>postcode</t>
  </si>
  <si>
    <t>plaats</t>
  </si>
  <si>
    <t>woning_type</t>
  </si>
  <si>
    <t>0001</t>
  </si>
  <si>
    <t>Nunspeetlaan 14</t>
  </si>
  <si>
    <t>2573 HG</t>
  </si>
  <si>
    <t>Den Haag</t>
  </si>
  <si>
    <t>Vakantiepark</t>
  </si>
  <si>
    <t>active</t>
  </si>
  <si>
    <t>0002</t>
  </si>
  <si>
    <t>Allard Piersonlaan 142</t>
  </si>
  <si>
    <t>2522 MT</t>
  </si>
  <si>
    <t>Appartement</t>
  </si>
  <si>
    <t>0003</t>
  </si>
  <si>
    <t>Acacia 2</t>
  </si>
  <si>
    <t>3224EB</t>
  </si>
  <si>
    <t>Hellevoetsluis</t>
  </si>
  <si>
    <t>0004</t>
  </si>
  <si>
    <t>Broekweg 25</t>
  </si>
  <si>
    <t>3131 HC</t>
  </si>
  <si>
    <t>Vlaardingen</t>
  </si>
  <si>
    <t>0005</t>
  </si>
  <si>
    <t>Ringbaan Oost 327</t>
  </si>
  <si>
    <t>5014 GG</t>
  </si>
  <si>
    <t>Tilburg</t>
  </si>
  <si>
    <t>0006</t>
  </si>
  <si>
    <t>Enschotsestraat 163</t>
  </si>
  <si>
    <t>5014 DD</t>
  </si>
  <si>
    <t>0007</t>
  </si>
  <si>
    <t>Adriaan Baasstraat 34</t>
  </si>
  <si>
    <t>7902HN</t>
  </si>
  <si>
    <t>Hoogeveen</t>
  </si>
  <si>
    <t>0008</t>
  </si>
  <si>
    <t>Arkelse Onderweg 24a</t>
  </si>
  <si>
    <t>4206AH</t>
  </si>
  <si>
    <t>Gorinchem</t>
  </si>
  <si>
    <t>0009</t>
  </si>
  <si>
    <t>Galgeweg 48-A</t>
  </si>
  <si>
    <t>2691MG</t>
  </si>
  <si>
    <t>s-Gravenzande</t>
  </si>
  <si>
    <t>0010</t>
  </si>
  <si>
    <t>Kethelweg 1B</t>
  </si>
  <si>
    <t>3135 GA</t>
  </si>
  <si>
    <t>0011</t>
  </si>
  <si>
    <t>Kethelweg 1C</t>
  </si>
  <si>
    <t>0012</t>
  </si>
  <si>
    <t>Baarlelaan 27</t>
  </si>
  <si>
    <t>7906GB</t>
  </si>
  <si>
    <t>0013</t>
  </si>
  <si>
    <t>Baarsveen 197</t>
  </si>
  <si>
    <t>3205 BB</t>
  </si>
  <si>
    <t>Spijkenisse</t>
  </si>
  <si>
    <t>0014</t>
  </si>
  <si>
    <t>Abelenlaan 143</t>
  </si>
  <si>
    <t>3181WD</t>
  </si>
  <si>
    <t>Rozenburg</t>
  </si>
  <si>
    <t>0015</t>
  </si>
  <si>
    <t xml:space="preserve">Maasdijk 69 </t>
  </si>
  <si>
    <t>2691NZ</t>
  </si>
  <si>
    <t>S-Gravenzande</t>
  </si>
  <si>
    <t>0016</t>
  </si>
  <si>
    <t>van Scorelstraat 73</t>
  </si>
  <si>
    <t>3141 TH</t>
  </si>
  <si>
    <t>Maassluis</t>
  </si>
  <si>
    <t>0017</t>
  </si>
  <si>
    <t>G.A. Brederolaan 75B</t>
  </si>
  <si>
    <t>3141 CD</t>
  </si>
  <si>
    <t>0018</t>
  </si>
  <si>
    <t>Meester G. Groen van Prinsterlaan 313</t>
  </si>
  <si>
    <t>1181 TV</t>
  </si>
  <si>
    <t>Amstelveen</t>
  </si>
  <si>
    <t>0019</t>
  </si>
  <si>
    <t>Franselaan 273B</t>
  </si>
  <si>
    <t>3028 AC</t>
  </si>
  <si>
    <t>Rotterdam</t>
  </si>
  <si>
    <t>0020</t>
  </si>
  <si>
    <t>Mr. Troelstrastraat 37</t>
  </si>
  <si>
    <t>3131 HR</t>
  </si>
  <si>
    <t>0021</t>
  </si>
  <si>
    <t>Vaartweg 106C</t>
  </si>
  <si>
    <t>3131 HV</t>
  </si>
  <si>
    <t>0022</t>
  </si>
  <si>
    <t>2e van Leydengaelstraat 6</t>
  </si>
  <si>
    <t>d</t>
  </si>
  <si>
    <t>0023</t>
  </si>
  <si>
    <t>Desiree Geeraertstraat 1 B</t>
  </si>
  <si>
    <t>5111 CH</t>
  </si>
  <si>
    <t>Baarle-Nassau</t>
  </si>
  <si>
    <t>0024</t>
  </si>
  <si>
    <t>Desiree Geeraertstraat 1 C</t>
  </si>
  <si>
    <t>0025</t>
  </si>
  <si>
    <t>Groenelaan 30B</t>
  </si>
  <si>
    <t>3114 CH</t>
  </si>
  <si>
    <t>Schiedam</t>
  </si>
  <si>
    <t>0026</t>
  </si>
  <si>
    <t>Chopinstraat 39C</t>
  </si>
  <si>
    <t>3131 DB</t>
  </si>
  <si>
    <t>0027</t>
  </si>
  <si>
    <t>Buizerdstraat 210</t>
  </si>
  <si>
    <t>3145 AD</t>
  </si>
  <si>
    <t>0028</t>
  </si>
  <si>
    <t>Lange kruisweg 12</t>
  </si>
  <si>
    <t>2676 BL</t>
  </si>
  <si>
    <t>Maasdijk</t>
  </si>
  <si>
    <t>0029</t>
  </si>
  <si>
    <t>Madeliefstraat 46c</t>
  </si>
  <si>
    <t>3083TJ</t>
  </si>
  <si>
    <t>0030</t>
  </si>
  <si>
    <t>Curacaolaan 88</t>
  </si>
  <si>
    <t>3131 XD</t>
  </si>
  <si>
    <t>0031</t>
  </si>
  <si>
    <t>Hogenbanweg 331</t>
  </si>
  <si>
    <t>3112 CK</t>
  </si>
  <si>
    <t>0032</t>
  </si>
  <si>
    <t>Jacob van offwegenlaan 26</t>
  </si>
  <si>
    <t>2282 HR</t>
  </si>
  <si>
    <t>Rijswijk</t>
  </si>
  <si>
    <t>0033</t>
  </si>
  <si>
    <t>Kethelweg 66C</t>
  </si>
  <si>
    <t>3135 GM</t>
  </si>
  <si>
    <t>0034</t>
  </si>
  <si>
    <t>Kethelweg 68A</t>
  </si>
  <si>
    <t>0035</t>
  </si>
  <si>
    <t>Messchaertplein 39</t>
  </si>
  <si>
    <t>3131 TG</t>
  </si>
  <si>
    <t>0036</t>
  </si>
  <si>
    <t>Messchaertplein 40</t>
  </si>
  <si>
    <t>0037</t>
  </si>
  <si>
    <t>3117 AW</t>
  </si>
  <si>
    <t>0038</t>
  </si>
  <si>
    <t>Westfrankelandsestraat 108</t>
  </si>
  <si>
    <t>0039</t>
  </si>
  <si>
    <t>Inundatiestraat 3</t>
  </si>
  <si>
    <t>4551 VE</t>
  </si>
  <si>
    <t>Sas van Gent</t>
  </si>
  <si>
    <t>0040</t>
  </si>
  <si>
    <t>Beatrixstraat 3</t>
  </si>
  <si>
    <t>3181 GA</t>
  </si>
  <si>
    <t>0041</t>
  </si>
  <si>
    <t>Nunspeetlaan 53</t>
  </si>
  <si>
    <t>2573 HB</t>
  </si>
  <si>
    <t>0042</t>
  </si>
  <si>
    <t>Parallelweg 110A</t>
  </si>
  <si>
    <t>3131 DK</t>
  </si>
  <si>
    <t>0043</t>
  </si>
  <si>
    <t>Amperelaan 23</t>
  </si>
  <si>
    <t>8451 BW</t>
  </si>
  <si>
    <t>Oudeschoot</t>
  </si>
  <si>
    <t>0044</t>
  </si>
  <si>
    <t>Pleinweg 101 A</t>
  </si>
  <si>
    <t>3081 JH</t>
  </si>
  <si>
    <t>0045</t>
  </si>
  <si>
    <t>Pleinweg 101 B</t>
  </si>
  <si>
    <t>0046</t>
  </si>
  <si>
    <t>Nieuwenhoornstraat 46B</t>
  </si>
  <si>
    <t>3082 VJ</t>
  </si>
  <si>
    <t>0047</t>
  </si>
  <si>
    <t>Bisschopstraat 68</t>
  </si>
  <si>
    <t>8325BD</t>
  </si>
  <si>
    <t>Vollenhove</t>
  </si>
  <si>
    <t>0048</t>
  </si>
  <si>
    <t>Bliek 41</t>
  </si>
  <si>
    <t>3225XB</t>
  </si>
  <si>
    <t>0049</t>
  </si>
  <si>
    <t>Bornerbroeksestraat 129A</t>
  </si>
  <si>
    <t>7601BE</t>
  </si>
  <si>
    <t>Almelo</t>
  </si>
  <si>
    <t>0050</t>
  </si>
  <si>
    <t>Sint Josephstraat 61</t>
  </si>
  <si>
    <t>5017GD</t>
  </si>
  <si>
    <t>0051</t>
  </si>
  <si>
    <t>Coehoorn van Scheltingaweg 12</t>
  </si>
  <si>
    <t>8442EX</t>
  </si>
  <si>
    <t>Heerenveen</t>
  </si>
  <si>
    <t>0052</t>
  </si>
  <si>
    <t>Coehoorn van Scheltingaweg 66</t>
  </si>
  <si>
    <t>8442GA</t>
  </si>
  <si>
    <t>0053</t>
  </si>
  <si>
    <t xml:space="preserve">Curcumastraat 39 </t>
  </si>
  <si>
    <t>3193XA</t>
  </si>
  <si>
    <t>Hoogvliet</t>
  </si>
  <si>
    <t>0054</t>
  </si>
  <si>
    <t>De Gasperistraat 11</t>
  </si>
  <si>
    <t>4463 KJ</t>
  </si>
  <si>
    <t>Goes</t>
  </si>
  <si>
    <t>0055</t>
  </si>
  <si>
    <t>Baanhoek 139</t>
  </si>
  <si>
    <t>3361GC</t>
  </si>
  <si>
    <t>Sliedrecht</t>
  </si>
  <si>
    <t>0056</t>
  </si>
  <si>
    <t>De Hooidollen 606</t>
  </si>
  <si>
    <t>8918JZ</t>
  </si>
  <si>
    <t>Leeuwarden</t>
  </si>
  <si>
    <t>0057</t>
  </si>
  <si>
    <t xml:space="preserve">Markt 5 </t>
  </si>
  <si>
    <t>3142 GE</t>
  </si>
  <si>
    <t>0058</t>
  </si>
  <si>
    <t>Deugenweerd 18</t>
  </si>
  <si>
    <t>7271XT</t>
  </si>
  <si>
    <t>Borculo</t>
  </si>
  <si>
    <t>0059</t>
  </si>
  <si>
    <t>Dieptol 63</t>
  </si>
  <si>
    <t>8332BK</t>
  </si>
  <si>
    <t xml:space="preserve">Steenwijk </t>
  </si>
  <si>
    <t>0060</t>
  </si>
  <si>
    <t>Besterdring 6</t>
  </si>
  <si>
    <t>5014 HG</t>
  </si>
  <si>
    <t>0061</t>
  </si>
  <si>
    <t xml:space="preserve">Dwarsweg 44 </t>
  </si>
  <si>
    <t>3181HG</t>
  </si>
  <si>
    <t>0062</t>
  </si>
  <si>
    <t>Eendrachtstraat 22</t>
  </si>
  <si>
    <t>3241CD</t>
  </si>
  <si>
    <t>Middelharnis</t>
  </si>
  <si>
    <t>0063</t>
  </si>
  <si>
    <t xml:space="preserve">Energieweg 40 </t>
  </si>
  <si>
    <t>3133EC</t>
  </si>
  <si>
    <t>0064</t>
  </si>
  <si>
    <t>Enk 6</t>
  </si>
  <si>
    <t>7621ES</t>
  </si>
  <si>
    <t>Borne</t>
  </si>
  <si>
    <t>0065</t>
  </si>
  <si>
    <t xml:space="preserve">Esdoornlaan 68 </t>
  </si>
  <si>
    <t>3181XD</t>
  </si>
  <si>
    <t>0066</t>
  </si>
  <si>
    <t xml:space="preserve">Dorpsstraat 73 </t>
  </si>
  <si>
    <t>2841 BH</t>
  </si>
  <si>
    <t>Moordrecht</t>
  </si>
  <si>
    <t>0067</t>
  </si>
  <si>
    <t>Franz Liszstraat 5</t>
  </si>
  <si>
    <t>4536EA</t>
  </si>
  <si>
    <t>Terneuzen</t>
  </si>
  <si>
    <t>0068</t>
  </si>
  <si>
    <t>F.Erensstraat 21</t>
  </si>
  <si>
    <t>6136JE</t>
  </si>
  <si>
    <t>Sittard</t>
  </si>
  <si>
    <t>0069</t>
  </si>
  <si>
    <t>Gaffelaar 3</t>
  </si>
  <si>
    <t>8802NR</t>
  </si>
  <si>
    <t>Franeker</t>
  </si>
  <si>
    <t>0070</t>
  </si>
  <si>
    <t>Geleenstraat 1</t>
  </si>
  <si>
    <t xml:space="preserve">6133XK </t>
  </si>
  <si>
    <t>0071</t>
  </si>
  <si>
    <t>H. Algraplein 25</t>
  </si>
  <si>
    <t>8802RE</t>
  </si>
  <si>
    <t>0072</t>
  </si>
  <si>
    <t>Heemskerkstraat 19</t>
  </si>
  <si>
    <t>9866AR</t>
  </si>
  <si>
    <t>Lutjegast</t>
  </si>
  <si>
    <t>0073</t>
  </si>
  <si>
    <t>Hendrik Deddenstraat 26</t>
  </si>
  <si>
    <t>8395PX</t>
  </si>
  <si>
    <t>Steggerda</t>
  </si>
  <si>
    <t>0074</t>
  </si>
  <si>
    <t>Monseigneur W.M. Bekkerslaan 34</t>
  </si>
  <si>
    <t>3141 SK</t>
  </si>
  <si>
    <t>0075</t>
  </si>
  <si>
    <t>Hoofdstraat 110</t>
  </si>
  <si>
    <t>5473AT</t>
  </si>
  <si>
    <t>Heeswijk-Dinther</t>
  </si>
  <si>
    <t>0076</t>
  </si>
  <si>
    <t>Molendijk 4</t>
  </si>
  <si>
    <t>3255AL</t>
  </si>
  <si>
    <t>Oude-Tonge</t>
  </si>
  <si>
    <t>0077</t>
  </si>
  <si>
    <t>Voorstraat 10</t>
  </si>
  <si>
    <t>3255AX</t>
  </si>
  <si>
    <t>0078</t>
  </si>
  <si>
    <t>Hooizolder 6</t>
  </si>
  <si>
    <t>9205 CA</t>
  </si>
  <si>
    <t>Drachten</t>
  </si>
  <si>
    <t>0079</t>
  </si>
  <si>
    <t>Ploegstraat 2a</t>
  </si>
  <si>
    <t>3114 NP</t>
  </si>
  <si>
    <t>0080</t>
  </si>
  <si>
    <t>Voorstraat 25</t>
  </si>
  <si>
    <t>3135 HV</t>
  </si>
  <si>
    <t>0081</t>
  </si>
  <si>
    <t>Patrijsstraat 39</t>
  </si>
  <si>
    <t>3353 AZ</t>
  </si>
  <si>
    <t>Papendrecht</t>
  </si>
  <si>
    <t>0082</t>
  </si>
  <si>
    <t>Kanaal van Steenenhoek Z.Z. 10</t>
  </si>
  <si>
    <t>4202LS</t>
  </si>
  <si>
    <t>0083</t>
  </si>
  <si>
    <t>Pastoriedijk 89</t>
  </si>
  <si>
    <t>3195HA</t>
  </si>
  <si>
    <t>Pernis</t>
  </si>
  <si>
    <t>0084</t>
  </si>
  <si>
    <t>Kerkdreef 42</t>
  </si>
  <si>
    <t>4571GJ</t>
  </si>
  <si>
    <t>Axel</t>
  </si>
  <si>
    <t>0085</t>
  </si>
  <si>
    <t>Kierkegaardhof 54</t>
  </si>
  <si>
    <t>1277 AL</t>
  </si>
  <si>
    <t>Huizen</t>
  </si>
  <si>
    <t>0086</t>
  </si>
  <si>
    <t>Kleine Beer 60</t>
  </si>
  <si>
    <t>7904 LV</t>
  </si>
  <si>
    <t>0087</t>
  </si>
  <si>
    <t>Jasmijnring 37</t>
  </si>
  <si>
    <t>4881 HT</t>
  </si>
  <si>
    <t>Zundert</t>
  </si>
  <si>
    <t>0088</t>
  </si>
  <si>
    <t>Kethelweg 66A</t>
  </si>
  <si>
    <t>3135GM</t>
  </si>
  <si>
    <t>0089</t>
  </si>
  <si>
    <t>3038CZ</t>
  </si>
  <si>
    <t>0090</t>
  </si>
  <si>
    <t>Laan van Nieuw Blankenburg 278</t>
  </si>
  <si>
    <t>3181AL</t>
  </si>
  <si>
    <t>0091</t>
  </si>
  <si>
    <t>Landsteinerhof 68</t>
  </si>
  <si>
    <t>7908 BC</t>
  </si>
  <si>
    <t>0092</t>
  </si>
  <si>
    <t>Lange Brink 3</t>
  </si>
  <si>
    <t>8315AH</t>
  </si>
  <si>
    <t>Luttelgeest</t>
  </si>
  <si>
    <t>0093</t>
  </si>
  <si>
    <t>Fabristraat 34A</t>
  </si>
  <si>
    <t>3117 ML</t>
  </si>
  <si>
    <t>0094</t>
  </si>
  <si>
    <t>Fabristraat 34B</t>
  </si>
  <si>
    <t>0095</t>
  </si>
  <si>
    <t>Engelsestraat 16L3</t>
  </si>
  <si>
    <t>3028CG</t>
  </si>
  <si>
    <t>0096</t>
  </si>
  <si>
    <t>Loggerstraat 3</t>
  </si>
  <si>
    <t>8862ZN</t>
  </si>
  <si>
    <t>Harlingen</t>
  </si>
  <si>
    <t>0097</t>
  </si>
  <si>
    <t>Burchstraat 16A</t>
  </si>
  <si>
    <t>4501 BJ</t>
  </si>
  <si>
    <t>Oostburg</t>
  </si>
  <si>
    <t>0098</t>
  </si>
  <si>
    <t>Melis Stokezijde 94</t>
  </si>
  <si>
    <t>2543GG</t>
  </si>
  <si>
    <t>0099</t>
  </si>
  <si>
    <t>Steenen Dijck 87</t>
  </si>
  <si>
    <t>3146 BX</t>
  </si>
  <si>
    <t>0100</t>
  </si>
  <si>
    <t>Molenweg 135</t>
  </si>
  <si>
    <t>3181AW</t>
  </si>
  <si>
    <t>0101</t>
  </si>
  <si>
    <t>Moureauveld 8</t>
  </si>
  <si>
    <t>4702MA</t>
  </si>
  <si>
    <t>Roosendaal</t>
  </si>
  <si>
    <t>0102</t>
  </si>
  <si>
    <t>Narcissenstraat 9</t>
  </si>
  <si>
    <t>3181WT</t>
  </si>
  <si>
    <t>0103</t>
  </si>
  <si>
    <t xml:space="preserve">Narcissenstraat 23 </t>
  </si>
  <si>
    <t xml:space="preserve">Rozenburg </t>
  </si>
  <si>
    <t>0104</t>
  </si>
  <si>
    <t>Narcissenstraat 37</t>
  </si>
  <si>
    <t>0105</t>
  </si>
  <si>
    <t>Wieldraaierstraat 39</t>
  </si>
  <si>
    <t>4204EW</t>
  </si>
  <si>
    <t>0106</t>
  </si>
  <si>
    <t>Prinses Wilhelminastraat 9</t>
  </si>
  <si>
    <t>3467 PK</t>
  </si>
  <si>
    <t>Hekendorp</t>
  </si>
  <si>
    <t>0107</t>
  </si>
  <si>
    <t>Hoefslag 8</t>
  </si>
  <si>
    <t>8391BJ</t>
  </si>
  <si>
    <t>Noordwolde</t>
  </si>
  <si>
    <t>0108</t>
  </si>
  <si>
    <t>Nieuwe Zeedijk 1K 308</t>
  </si>
  <si>
    <t>3221LZ</t>
  </si>
  <si>
    <t>0109</t>
  </si>
  <si>
    <t>Geldersestraat 91</t>
  </si>
  <si>
    <t>4191BB</t>
  </si>
  <si>
    <t>Geldermalsen</t>
  </si>
  <si>
    <t>0110</t>
  </si>
  <si>
    <t>4337MA</t>
  </si>
  <si>
    <t>Middelburg</t>
  </si>
  <si>
    <t>0111</t>
  </si>
  <si>
    <t>Oosterstraat 89</t>
  </si>
  <si>
    <t>3134NN</t>
  </si>
  <si>
    <t>0112</t>
  </si>
  <si>
    <t>Oudewefslaan 84</t>
  </si>
  <si>
    <t>9675 EW</t>
  </si>
  <si>
    <t>Winschoten</t>
  </si>
  <si>
    <t>0113</t>
  </si>
  <si>
    <t>Peursumseweg 119A</t>
  </si>
  <si>
    <t>3381 KV</t>
  </si>
  <si>
    <t>Giessenburg</t>
  </si>
  <si>
    <t>0114</t>
  </si>
  <si>
    <t>Piersonstraat 8</t>
  </si>
  <si>
    <t>3119RG</t>
  </si>
  <si>
    <t>0115</t>
  </si>
  <si>
    <t>Poppestraat 59</t>
  </si>
  <si>
    <t>4711EW</t>
  </si>
  <si>
    <t>St. Willebrord</t>
  </si>
  <si>
    <t>0116</t>
  </si>
  <si>
    <t>Prins Bernhardstraat 40</t>
  </si>
  <si>
    <t xml:space="preserve">9974 RV </t>
  </si>
  <si>
    <t>Zoutkamp</t>
  </si>
  <si>
    <t>0117</t>
  </si>
  <si>
    <t>Prunuslaan 36</t>
  </si>
  <si>
    <t>9944AT</t>
  </si>
  <si>
    <t>Nieuwolda</t>
  </si>
  <si>
    <t>0118</t>
  </si>
  <si>
    <t>Marathonlaan 26</t>
  </si>
  <si>
    <t>2807BB</t>
  </si>
  <si>
    <t>Gouda</t>
  </si>
  <si>
    <t>0119</t>
  </si>
  <si>
    <t>Koningin Julianastraat 27</t>
  </si>
  <si>
    <t>3466LG</t>
  </si>
  <si>
    <t>Waarder</t>
  </si>
  <si>
    <t>0120</t>
  </si>
  <si>
    <t>Plaats 10</t>
  </si>
  <si>
    <t>3086HL</t>
  </si>
  <si>
    <t>0121</t>
  </si>
  <si>
    <t>Rivierdijk 794</t>
  </si>
  <si>
    <t>3371EM</t>
  </si>
  <si>
    <t>Hardinxveld - Giessendam</t>
  </si>
  <si>
    <t>0122</t>
  </si>
  <si>
    <t xml:space="preserve">Kethelweg 66B </t>
  </si>
  <si>
    <t>0123</t>
  </si>
  <si>
    <t>Snecanusstraat 12</t>
  </si>
  <si>
    <t>8607BK</t>
  </si>
  <si>
    <t>Sneek</t>
  </si>
  <si>
    <t>0124</t>
  </si>
  <si>
    <t>Snoekenveen 242</t>
  </si>
  <si>
    <t>3205CN</t>
  </si>
  <si>
    <t>0125</t>
  </si>
  <si>
    <t>Korte Singelstraat 21-3</t>
  </si>
  <si>
    <t xml:space="preserve">3112 GA </t>
  </si>
  <si>
    <t>0126</t>
  </si>
  <si>
    <t>Korte Singelstraat 21-2</t>
  </si>
  <si>
    <t>0127</t>
  </si>
  <si>
    <t>Struitenweg 19b</t>
  </si>
  <si>
    <t>3082WP</t>
  </si>
  <si>
    <t>0128</t>
  </si>
  <si>
    <t>Tesselschadelaan 45</t>
  </si>
  <si>
    <t>4707CJ</t>
  </si>
  <si>
    <t>0129</t>
  </si>
  <si>
    <t xml:space="preserve">Utrechtse straatweg 7 </t>
  </si>
  <si>
    <t>3421GL</t>
  </si>
  <si>
    <t>Oudewater</t>
  </si>
  <si>
    <t>0130</t>
  </si>
  <si>
    <t>Van Langedonckstraat 80</t>
  </si>
  <si>
    <t>3076 SM</t>
  </si>
  <si>
    <t>0131</t>
  </si>
  <si>
    <t xml:space="preserve">Chopinstraat 35A </t>
  </si>
  <si>
    <t xml:space="preserve">3131DB </t>
  </si>
  <si>
    <t>0132</t>
  </si>
  <si>
    <t>Voeghoutenstraat 236</t>
  </si>
  <si>
    <t>7891LJ</t>
  </si>
  <si>
    <t>Klazienaveen</t>
  </si>
  <si>
    <t>0133</t>
  </si>
  <si>
    <t>Herenpad 20 A</t>
  </si>
  <si>
    <t xml:space="preserve">3111 LN </t>
  </si>
  <si>
    <t>0134</t>
  </si>
  <si>
    <t>Herenpad 20 B</t>
  </si>
  <si>
    <t>0135</t>
  </si>
  <si>
    <t>Ampèrestraat 36A</t>
  </si>
  <si>
    <t>3112MD</t>
  </si>
  <si>
    <t>0136</t>
  </si>
  <si>
    <t>Elisadonk 220</t>
  </si>
  <si>
    <t>4707ER</t>
  </si>
  <si>
    <t>0137</t>
  </si>
  <si>
    <t>Venkelstraat 29A</t>
  </si>
  <si>
    <t>Brielle</t>
  </si>
  <si>
    <t>0138</t>
  </si>
  <si>
    <t>Westercluft 134</t>
  </si>
  <si>
    <t>8332AH</t>
  </si>
  <si>
    <t>Steenwijk</t>
  </si>
  <si>
    <t>0139</t>
  </si>
  <si>
    <t xml:space="preserve">Wilgensingel 63 </t>
  </si>
  <si>
    <t>3181XK</t>
  </si>
  <si>
    <t>0140</t>
  </si>
  <si>
    <t>Wilgenstraat 37</t>
  </si>
  <si>
    <t>5038PB</t>
  </si>
  <si>
    <t>0141</t>
  </si>
  <si>
    <t>4696 BS</t>
  </si>
  <si>
    <t>Stavenisse</t>
  </si>
  <si>
    <t>0142</t>
  </si>
  <si>
    <t>Wilhelmina Druckerstraat 68</t>
  </si>
  <si>
    <t>7741 RM</t>
  </si>
  <si>
    <t>Coevorden</t>
  </si>
  <si>
    <t>0143</t>
  </si>
  <si>
    <t>Willem Lodewijkstraat 8</t>
  </si>
  <si>
    <t>8801EL</t>
  </si>
  <si>
    <t>0144</t>
  </si>
  <si>
    <t>Scheepjesbrug 433</t>
  </si>
  <si>
    <t>4231ZZ</t>
  </si>
  <si>
    <t>Meerkerk</t>
  </si>
  <si>
    <t>0145</t>
  </si>
  <si>
    <t>Wouwbaan 230</t>
  </si>
  <si>
    <t>4703TA</t>
  </si>
  <si>
    <t>0146</t>
  </si>
  <si>
    <t>Johan Willem Frisostraat 36</t>
  </si>
  <si>
    <t>8606CW</t>
  </si>
  <si>
    <t>0147</t>
  </si>
  <si>
    <t>Hugo de Grootstraat 72A &amp; B</t>
  </si>
  <si>
    <t>2518 EG</t>
  </si>
  <si>
    <t>0148</t>
  </si>
  <si>
    <t>2e Maasbosstraat 2 a</t>
  </si>
  <si>
    <t>3134XJ</t>
  </si>
  <si>
    <t>VLAARDINGEN</t>
  </si>
  <si>
    <t>0149</t>
  </si>
  <si>
    <t>2e Maasbosstraat 2 b</t>
  </si>
  <si>
    <t>0150</t>
  </si>
  <si>
    <t>2e Maasbosstraat 2 c</t>
  </si>
  <si>
    <t>0151</t>
  </si>
  <si>
    <t>Datheenstraat 255</t>
  </si>
  <si>
    <t>3132PG</t>
  </si>
  <si>
    <t>0152</t>
  </si>
  <si>
    <t>Beeklaan 294</t>
  </si>
  <si>
    <t>2562AV</t>
  </si>
  <si>
    <t>0153</t>
  </si>
  <si>
    <t>Deensestraat 6A2</t>
  </si>
  <si>
    <t>3028GH</t>
  </si>
  <si>
    <t>0154</t>
  </si>
  <si>
    <t>Rubensplein 6B3</t>
  </si>
  <si>
    <t>3117BK</t>
  </si>
  <si>
    <t>0155</t>
  </si>
  <si>
    <t>Broersveld 150A</t>
  </si>
  <si>
    <t>3111LK</t>
  </si>
  <si>
    <t>SCHIEDAM</t>
  </si>
  <si>
    <t>0156</t>
  </si>
  <si>
    <t>Broersvest 74 c</t>
  </si>
  <si>
    <t>3112DG</t>
  </si>
  <si>
    <t>0157</t>
  </si>
  <si>
    <t>Kuipers-Rietbergpad 15</t>
  </si>
  <si>
    <t>3191BP</t>
  </si>
  <si>
    <t>0158</t>
  </si>
  <si>
    <t>Visartstraat 31</t>
  </si>
  <si>
    <t>4541BA</t>
  </si>
  <si>
    <t>Sluiskil</t>
  </si>
  <si>
    <t>0159</t>
  </si>
  <si>
    <t>Kastanjelaan 232</t>
  </si>
  <si>
    <t>4621HL</t>
  </si>
  <si>
    <t>Bergen op Zoom</t>
  </si>
  <si>
    <t>0160</t>
  </si>
  <si>
    <t>Chopinstraat 33C</t>
  </si>
  <si>
    <t>3131DB</t>
  </si>
  <si>
    <t>0161</t>
  </si>
  <si>
    <t>Willem de Rijkelaan 134</t>
  </si>
  <si>
    <t>2741VL</t>
  </si>
  <si>
    <t>Waddinxveen</t>
  </si>
  <si>
    <t>0162</t>
  </si>
  <si>
    <t xml:space="preserve">Coornhertstraat 95 </t>
  </si>
  <si>
    <t>3132GB</t>
  </si>
  <si>
    <t>0163</t>
  </si>
  <si>
    <t>Curacaolaan 24</t>
  </si>
  <si>
    <t>3131XC</t>
  </si>
  <si>
    <t>0164</t>
  </si>
  <si>
    <t>Sint-Annalandstraat 116</t>
  </si>
  <si>
    <t>3086TG</t>
  </si>
  <si>
    <t>0165</t>
  </si>
  <si>
    <t>De Driesprong 17</t>
  </si>
  <si>
    <t>2295LL</t>
  </si>
  <si>
    <t>KWINTSHEUL</t>
  </si>
  <si>
    <t>0166</t>
  </si>
  <si>
    <t>Nieuwkerstraat 78</t>
  </si>
  <si>
    <t>3311 TK</t>
  </si>
  <si>
    <t>Dordrecht</t>
  </si>
  <si>
    <t>0167</t>
  </si>
  <si>
    <t>Vogelschorstraat 24</t>
  </si>
  <si>
    <t>4541 AZ</t>
  </si>
  <si>
    <t>0168</t>
  </si>
  <si>
    <t>Engelsestraat 16L1</t>
  </si>
  <si>
    <t>ROTTERDAM</t>
  </si>
  <si>
    <t>0169</t>
  </si>
  <si>
    <t>de Genestetstraat 32</t>
  </si>
  <si>
    <t>4532GB</t>
  </si>
  <si>
    <t>TERNEUZEN</t>
  </si>
  <si>
    <t>0170</t>
  </si>
  <si>
    <t>Goudestein 30</t>
  </si>
  <si>
    <t>3085DB</t>
  </si>
  <si>
    <t>0171</t>
  </si>
  <si>
    <t>Wijdstraat 13</t>
  </si>
  <si>
    <t>3421 AJ</t>
  </si>
  <si>
    <t>0172</t>
  </si>
  <si>
    <t>Groeneweg 127</t>
  </si>
  <si>
    <t>2691ML</t>
  </si>
  <si>
    <t>'S-GRAVENZANDE</t>
  </si>
  <si>
    <t>0173</t>
  </si>
  <si>
    <t xml:space="preserve">Groeneweg 71 </t>
  </si>
  <si>
    <t>2691MK</t>
  </si>
  <si>
    <t>S-GRAVENZANDE</t>
  </si>
  <si>
    <t>0174</t>
  </si>
  <si>
    <t>Groeneweg 74</t>
  </si>
  <si>
    <t>2691MR</t>
  </si>
  <si>
    <t>0175</t>
  </si>
  <si>
    <t>Hagastraat 8</t>
  </si>
  <si>
    <t>3114ND</t>
  </si>
  <si>
    <t>0176</t>
  </si>
  <si>
    <t xml:space="preserve">Herautpad 22 </t>
  </si>
  <si>
    <t>3119DL</t>
  </si>
  <si>
    <t>0177</t>
  </si>
  <si>
    <t>Hoge Noordweg 27B</t>
  </si>
  <si>
    <t>2671DZ</t>
  </si>
  <si>
    <t>NAALDWIJK</t>
  </si>
  <si>
    <t>0178</t>
  </si>
  <si>
    <t>Hoge Noordweg 28</t>
  </si>
  <si>
    <t>0179</t>
  </si>
  <si>
    <t>Rooseveltlaan 185</t>
  </si>
  <si>
    <t>4624 DM</t>
  </si>
  <si>
    <t>0180</t>
  </si>
  <si>
    <t>Liesveld 100</t>
  </si>
  <si>
    <t>3131CM</t>
  </si>
  <si>
    <t>0181</t>
  </si>
  <si>
    <t>Hontenissestraat 124</t>
  </si>
  <si>
    <t>3086KJ</t>
  </si>
  <si>
    <t>0182</t>
  </si>
  <si>
    <t>Malzwin 34</t>
  </si>
  <si>
    <t>8223 XG</t>
  </si>
  <si>
    <t>Lelystad</t>
  </si>
  <si>
    <t>0183</t>
  </si>
  <si>
    <t xml:space="preserve">Hugo de Vriesstraat 54 </t>
  </si>
  <si>
    <t>3132TG</t>
  </si>
  <si>
    <t>0184</t>
  </si>
  <si>
    <t>Mathenesserdijk 261-C03</t>
  </si>
  <si>
    <t>3027 BN</t>
  </si>
  <si>
    <t>0185</t>
  </si>
  <si>
    <t>Laan van Nieuw Blankenburg 328</t>
  </si>
  <si>
    <t xml:space="preserve">3181AM </t>
  </si>
  <si>
    <t>0186</t>
  </si>
  <si>
    <t xml:space="preserve">Woutersweg 20 </t>
  </si>
  <si>
    <t>2691 PR</t>
  </si>
  <si>
    <t xml:space="preserve"> 's-Gravenzande</t>
  </si>
  <si>
    <t>0187</t>
  </si>
  <si>
    <t>Jacob van Lennepstraat 13 A</t>
  </si>
  <si>
    <t>3117SH</t>
  </si>
  <si>
    <t>0188</t>
  </si>
  <si>
    <t>Jacob van Lennepstraat 13 b</t>
  </si>
  <si>
    <t>0189</t>
  </si>
  <si>
    <t>Jacob van Lennepstraat 34</t>
  </si>
  <si>
    <t>3117SK</t>
  </si>
  <si>
    <t>0190</t>
  </si>
  <si>
    <t>Achterdijk 47A</t>
  </si>
  <si>
    <t>4243 TM</t>
  </si>
  <si>
    <t>Nieuwland</t>
  </si>
  <si>
    <t>0191</t>
  </si>
  <si>
    <t>Jan van Arkelstraat 118</t>
  </si>
  <si>
    <t>3132VP</t>
  </si>
  <si>
    <t>0192</t>
  </si>
  <si>
    <t xml:space="preserve">Kaapsebos 11 </t>
  </si>
  <si>
    <t>2676BX</t>
  </si>
  <si>
    <t>MAASDIJK</t>
  </si>
  <si>
    <t>0193</t>
  </si>
  <si>
    <t>Kapershoek 11</t>
  </si>
  <si>
    <t>3085ED</t>
  </si>
  <si>
    <t>0194</t>
  </si>
  <si>
    <t>Keesomstraat 22</t>
  </si>
  <si>
    <t>3132TJ</t>
  </si>
  <si>
    <t>0195</t>
  </si>
  <si>
    <t xml:space="preserve">Keesomstraat 50 </t>
  </si>
  <si>
    <t>0196</t>
  </si>
  <si>
    <t>Keesomstraat 54</t>
  </si>
  <si>
    <t>0197</t>
  </si>
  <si>
    <t>Scheepjesbrug 814</t>
  </si>
  <si>
    <t>0198</t>
  </si>
  <si>
    <t>Krabbendijkestraat 456</t>
  </si>
  <si>
    <t>3086 LV</t>
  </si>
  <si>
    <t>0199</t>
  </si>
  <si>
    <t>Kerstendijk 125</t>
  </si>
  <si>
    <t>3079EV</t>
  </si>
  <si>
    <t>0200</t>
  </si>
  <si>
    <t>Stal 355</t>
  </si>
  <si>
    <t xml:space="preserve">9205AN </t>
  </si>
  <si>
    <t xml:space="preserve">Drachten </t>
  </si>
  <si>
    <t>0201</t>
  </si>
  <si>
    <t>Amberberg 14</t>
  </si>
  <si>
    <t>4707 NM</t>
  </si>
  <si>
    <t>0202</t>
  </si>
  <si>
    <t>Kimbrenoord 15</t>
  </si>
  <si>
    <t>3079KC</t>
  </si>
  <si>
    <t>0203</t>
  </si>
  <si>
    <t>Dorpstraat 48</t>
  </si>
  <si>
    <t>3411AG</t>
  </si>
  <si>
    <t>Lopik</t>
  </si>
  <si>
    <t>0204</t>
  </si>
  <si>
    <t xml:space="preserve">Punter 22 34 </t>
  </si>
  <si>
    <t>8242DT</t>
  </si>
  <si>
    <t>0205</t>
  </si>
  <si>
    <t xml:space="preserve">Kreekrug 1 </t>
  </si>
  <si>
    <t>2678PR</t>
  </si>
  <si>
    <t>DE LIER</t>
  </si>
  <si>
    <t>0206</t>
  </si>
  <si>
    <t>Kruiningenstraat 152</t>
  </si>
  <si>
    <t>3086KS</t>
  </si>
  <si>
    <t>0207</t>
  </si>
  <si>
    <t>Kwikstaartweg 45</t>
  </si>
  <si>
    <t>3136JH</t>
  </si>
  <si>
    <t>0208</t>
  </si>
  <si>
    <t>Mr. L.A. Kesperweg 31A</t>
  </si>
  <si>
    <t>3135BS</t>
  </si>
  <si>
    <t>0209</t>
  </si>
  <si>
    <t>Laan van Adrichem 12</t>
  </si>
  <si>
    <t>2678CZ</t>
  </si>
  <si>
    <t>0210</t>
  </si>
  <si>
    <t>Lorentzstraat 73</t>
  </si>
  <si>
    <t>3132SP</t>
  </si>
  <si>
    <t>0211</t>
  </si>
  <si>
    <t xml:space="preserve">Maasdijk 206 </t>
  </si>
  <si>
    <t>0212</t>
  </si>
  <si>
    <t>Wijngaard 66</t>
  </si>
  <si>
    <t>8121CD</t>
  </si>
  <si>
    <t>0213</t>
  </si>
  <si>
    <t>Mr. Troelstrastraat 11</t>
  </si>
  <si>
    <t>3131HR</t>
  </si>
  <si>
    <t>0214</t>
  </si>
  <si>
    <t>Mendelssohnplein 13D</t>
  </si>
  <si>
    <t>3131RD</t>
  </si>
  <si>
    <t>0215</t>
  </si>
  <si>
    <t>Mendelssohnplein 10C</t>
  </si>
  <si>
    <t>0216</t>
  </si>
  <si>
    <t>Mendelssohnplein 46a</t>
  </si>
  <si>
    <t>3131RK</t>
  </si>
  <si>
    <t>0217</t>
  </si>
  <si>
    <t>Middelrode 8</t>
  </si>
  <si>
    <t>3085CR</t>
  </si>
  <si>
    <t>0218</t>
  </si>
  <si>
    <t>P.F. Catsstraat 8</t>
  </si>
  <si>
    <t>8801VC</t>
  </si>
  <si>
    <t>0219</t>
  </si>
  <si>
    <t>Miltonstraat 55</t>
  </si>
  <si>
    <t>3076TG</t>
  </si>
  <si>
    <t>0220</t>
  </si>
  <si>
    <t>Miltonstraat 85</t>
  </si>
  <si>
    <t>3076TH</t>
  </si>
  <si>
    <t>0221</t>
  </si>
  <si>
    <t>Molenstraat 10</t>
  </si>
  <si>
    <t>2671EX</t>
  </si>
  <si>
    <t>0222</t>
  </si>
  <si>
    <t>Molenstraat 23</t>
  </si>
  <si>
    <t>2671EW</t>
  </si>
  <si>
    <t>0223</t>
  </si>
  <si>
    <t>Acacialaan 9</t>
  </si>
  <si>
    <t>2641 aa</t>
  </si>
  <si>
    <t>Pijnacker</t>
  </si>
  <si>
    <t>0224</t>
  </si>
  <si>
    <t>Nicolaas Beetsstraat 29</t>
  </si>
  <si>
    <t>3131GP</t>
  </si>
  <si>
    <t>0225</t>
  </si>
  <si>
    <t>Kerkwerversingel 127</t>
  </si>
  <si>
    <t>3086 HL</t>
  </si>
  <si>
    <t>0226</t>
  </si>
  <si>
    <t>Rivierdijk 793</t>
  </si>
  <si>
    <t>3371 EM</t>
  </si>
  <si>
    <t>0227</t>
  </si>
  <si>
    <t xml:space="preserve">Oostlaan 3 </t>
  </si>
  <si>
    <t>2678NK</t>
  </si>
  <si>
    <t>0228</t>
  </si>
  <si>
    <t xml:space="preserve">Parallelweg 122A </t>
  </si>
  <si>
    <t>3131DL</t>
  </si>
  <si>
    <t>0229</t>
  </si>
  <si>
    <t>Parallelweg 98B</t>
  </si>
  <si>
    <t>3131DJ</t>
  </si>
  <si>
    <t>0230</t>
  </si>
  <si>
    <t>Pasteursingel 61B</t>
  </si>
  <si>
    <t>3028EJ</t>
  </si>
  <si>
    <t>0231</t>
  </si>
  <si>
    <t>Platostraat 80</t>
  </si>
  <si>
    <t>3076BP</t>
  </si>
  <si>
    <t>0232</t>
  </si>
  <si>
    <t>Zuidhoek 209D</t>
  </si>
  <si>
    <t>3082PH</t>
  </si>
  <si>
    <t>0233</t>
  </si>
  <si>
    <t>Rembrandtstraat 20B</t>
  </si>
  <si>
    <t>2671GD</t>
  </si>
  <si>
    <t>0234</t>
  </si>
  <si>
    <t>Rotterdamsedijk 154B</t>
  </si>
  <si>
    <t>3112BJ</t>
  </si>
  <si>
    <t>0235</t>
  </si>
  <si>
    <t>Rubensplein 3 B</t>
  </si>
  <si>
    <t>0236</t>
  </si>
  <si>
    <t xml:space="preserve">Schalkeroord 389 </t>
  </si>
  <si>
    <t>3079WH</t>
  </si>
  <si>
    <t>0237</t>
  </si>
  <si>
    <t>Schere 238</t>
  </si>
  <si>
    <t>3085DZ</t>
  </si>
  <si>
    <t>0238</t>
  </si>
  <si>
    <t xml:space="preserve">Van der Werffstraat 370 </t>
  </si>
  <si>
    <t>3132WK</t>
  </si>
  <si>
    <t>0239</t>
  </si>
  <si>
    <t>Schoonegge 110</t>
  </si>
  <si>
    <t>3085CZ</t>
  </si>
  <si>
    <t>0240</t>
  </si>
  <si>
    <t>Schoonegge 84</t>
  </si>
  <si>
    <t>3085CX</t>
  </si>
  <si>
    <t>0241</t>
  </si>
  <si>
    <t>van der Werffstraat 166</t>
  </si>
  <si>
    <t>3132WG</t>
  </si>
  <si>
    <t>0242</t>
  </si>
  <si>
    <t>Sint Liduinastraat 76 A</t>
  </si>
  <si>
    <t>3117CV</t>
  </si>
  <si>
    <t>0243</t>
  </si>
  <si>
    <t>Sint Liduinastraat 80A</t>
  </si>
  <si>
    <t>0244</t>
  </si>
  <si>
    <t>Sint Liduinastraat 80B</t>
  </si>
  <si>
    <t>0245</t>
  </si>
  <si>
    <t>van der Werffstraat 240</t>
  </si>
  <si>
    <t>3132WH</t>
  </si>
  <si>
    <t>0246</t>
  </si>
  <si>
    <t>Socratesstraat 168</t>
  </si>
  <si>
    <t>3076BZ</t>
  </si>
  <si>
    <t>0247</t>
  </si>
  <si>
    <t>Spoorsingel 154b</t>
  </si>
  <si>
    <t>3134XW</t>
  </si>
  <si>
    <t>0248</t>
  </si>
  <si>
    <t>van der Waalsstraat 16</t>
  </si>
  <si>
    <t>3135HV</t>
  </si>
  <si>
    <t>0249</t>
  </si>
  <si>
    <t>Tholenstraat 114</t>
  </si>
  <si>
    <t>3086TP</t>
  </si>
  <si>
    <t>0250</t>
  </si>
  <si>
    <t>van der Waalsstraat 70</t>
  </si>
  <si>
    <t>3132TN</t>
  </si>
  <si>
    <t>0251</t>
  </si>
  <si>
    <t>Middenbaan Noord 18A</t>
  </si>
  <si>
    <t>3191EM</t>
  </si>
  <si>
    <t>0252</t>
  </si>
  <si>
    <t xml:space="preserve">Middenbaan Noord 18B </t>
  </si>
  <si>
    <t>0253</t>
  </si>
  <si>
    <t>Middenbaan Noord 18C</t>
  </si>
  <si>
    <t>0254</t>
  </si>
  <si>
    <t>Middenbaan Noord 20A</t>
  </si>
  <si>
    <t>0255</t>
  </si>
  <si>
    <t>Middenbaan Noord 20B</t>
  </si>
  <si>
    <t>0256</t>
  </si>
  <si>
    <t>Middenbaan Noord 20C</t>
  </si>
  <si>
    <t>0257</t>
  </si>
  <si>
    <t>Middenbaan Noord 22A</t>
  </si>
  <si>
    <t>0258</t>
  </si>
  <si>
    <t>Middenbaan Noord 22B</t>
  </si>
  <si>
    <t>0259</t>
  </si>
  <si>
    <t xml:space="preserve">Middenbaan Noord 22C </t>
  </si>
  <si>
    <t>0260</t>
  </si>
  <si>
    <t>Persoonsdam 176</t>
  </si>
  <si>
    <t>3071EE</t>
  </si>
  <si>
    <t>0261</t>
  </si>
  <si>
    <t>Persoonsdam 177</t>
  </si>
  <si>
    <t>0262</t>
  </si>
  <si>
    <t>Persoonsdam 178</t>
  </si>
  <si>
    <t>0263</t>
  </si>
  <si>
    <t>Persoonsdam 179</t>
  </si>
  <si>
    <t>0264</t>
  </si>
  <si>
    <t>Persoonsdam 180</t>
  </si>
  <si>
    <t>0265</t>
  </si>
  <si>
    <t>Persoonsdam 181</t>
  </si>
  <si>
    <t>0266</t>
  </si>
  <si>
    <t>Persoonsdam 182</t>
  </si>
  <si>
    <t>0267</t>
  </si>
  <si>
    <t>Persoonsdam 194</t>
  </si>
  <si>
    <t>0268</t>
  </si>
  <si>
    <t>Persoonsdam 198</t>
  </si>
  <si>
    <t>0269</t>
  </si>
  <si>
    <t>Professor Kamerlingh Onneslaan 134 A</t>
  </si>
  <si>
    <t xml:space="preserve">3112 VL </t>
  </si>
  <si>
    <t>0270</t>
  </si>
  <si>
    <t>Professor Kamerlingh Onneslaan 134 B1</t>
  </si>
  <si>
    <t>0271</t>
  </si>
  <si>
    <t>Professor Kamerlingh Onneslaan 134 B2</t>
  </si>
  <si>
    <t>0272</t>
  </si>
  <si>
    <t>Professor Kamerlingh Onneslaan 134 B3</t>
  </si>
  <si>
    <t>0273</t>
  </si>
  <si>
    <t>Fenacoliuslaan 56B</t>
  </si>
  <si>
    <t>3143AE</t>
  </si>
  <si>
    <t>0274</t>
  </si>
  <si>
    <t>Karel Doormanlaan 21A</t>
  </si>
  <si>
    <t>2678EX</t>
  </si>
  <si>
    <t>0275</t>
  </si>
  <si>
    <t>Burgemeester Crezeelaan 76</t>
  </si>
  <si>
    <t>2678KZ</t>
  </si>
  <si>
    <t>0276</t>
  </si>
  <si>
    <t>Burgemeester Cramerlaan 82</t>
  </si>
  <si>
    <t>2678 AN</t>
  </si>
  <si>
    <t>0277</t>
  </si>
  <si>
    <t>Gerberalaan 113</t>
  </si>
  <si>
    <t>2671 KC</t>
  </si>
  <si>
    <t>Naaldwijk</t>
  </si>
  <si>
    <t>0278</t>
  </si>
  <si>
    <t>Lange Broekweg 46</t>
  </si>
  <si>
    <t>2671 DV</t>
  </si>
  <si>
    <t>0279</t>
  </si>
  <si>
    <t>Haagkamp 11</t>
  </si>
  <si>
    <t>2675 SK</t>
  </si>
  <si>
    <t>Honselersdijk</t>
  </si>
  <si>
    <t>0280</t>
  </si>
  <si>
    <t>Bovendijk 59</t>
  </si>
  <si>
    <t>2295 RW</t>
  </si>
  <si>
    <t>Kwintsheul</t>
  </si>
  <si>
    <t>0281</t>
  </si>
  <si>
    <t>Bovendijk 61</t>
  </si>
  <si>
    <t>0282</t>
  </si>
  <si>
    <t>Madeweg 25C</t>
  </si>
  <si>
    <t>2681 PJ</t>
  </si>
  <si>
    <t>Monster</t>
  </si>
  <si>
    <t>0283</t>
  </si>
  <si>
    <t>Madeweg 35A</t>
  </si>
  <si>
    <t>2681 PK</t>
  </si>
  <si>
    <t>0284</t>
  </si>
  <si>
    <t>Molenweg 3A</t>
  </si>
  <si>
    <t>2681 RD</t>
  </si>
  <si>
    <t>0285</t>
  </si>
  <si>
    <t>Poeldijkseweg 27</t>
  </si>
  <si>
    <t>2681 LT</t>
  </si>
  <si>
    <t>0286</t>
  </si>
  <si>
    <t>Waellandweg 12</t>
  </si>
  <si>
    <t>2681 LV</t>
  </si>
  <si>
    <t>0287</t>
  </si>
  <si>
    <t>Prins Willemweg 2</t>
  </si>
  <si>
    <t>3151 HM</t>
  </si>
  <si>
    <t>Hoek van Holland</t>
  </si>
  <si>
    <t>0288</t>
  </si>
  <si>
    <t>De Haak, Zekkenstraat 31A</t>
  </si>
  <si>
    <t>3151 XP</t>
  </si>
  <si>
    <t>0289</t>
  </si>
  <si>
    <t>De Haak, Zekkenstraat 31B</t>
  </si>
  <si>
    <t>0290</t>
  </si>
  <si>
    <t>De Haak, Zekkenstraat 56</t>
  </si>
  <si>
    <t>0291</t>
  </si>
  <si>
    <t>Koperwerf 28</t>
  </si>
  <si>
    <t>2544EN</t>
  </si>
  <si>
    <t>0292</t>
  </si>
  <si>
    <t>Burgemeester Stulemeijerlaan 71</t>
  </si>
  <si>
    <t>3118BC</t>
  </si>
  <si>
    <t>0293</t>
  </si>
  <si>
    <t>Akkerweg 41 [014]</t>
  </si>
  <si>
    <t>1779GJ</t>
  </si>
  <si>
    <t>Den oever</t>
  </si>
  <si>
    <t>0294</t>
  </si>
  <si>
    <t>Akkerweg 41 [015]</t>
  </si>
  <si>
    <t>Den Oever</t>
  </si>
  <si>
    <t>0295</t>
  </si>
  <si>
    <t>Akkerweg 41 [018]</t>
  </si>
  <si>
    <t>0296</t>
  </si>
  <si>
    <t>Akkerweg 41 [022]</t>
  </si>
  <si>
    <t>0297</t>
  </si>
  <si>
    <t>Akkerweg 41 [026]</t>
  </si>
  <si>
    <t>0298</t>
  </si>
  <si>
    <t>Akkerweg 41 [031]</t>
  </si>
  <si>
    <t>0299</t>
  </si>
  <si>
    <t>Akkerweg 41 [037]</t>
  </si>
  <si>
    <t>0300</t>
  </si>
  <si>
    <t>Akkerweg 41 [040]</t>
  </si>
  <si>
    <t>0301</t>
  </si>
  <si>
    <t>Akkerweg 41 [041]</t>
  </si>
  <si>
    <t>0302</t>
  </si>
  <si>
    <t>Akkerweg 41 [042]</t>
  </si>
  <si>
    <t>0303</t>
  </si>
  <si>
    <t>Akkerweg 41 [055]</t>
  </si>
  <si>
    <t>0304</t>
  </si>
  <si>
    <t>Akkerweg 41 [056]</t>
  </si>
  <si>
    <t>0305</t>
  </si>
  <si>
    <t>Akkerweg 41 [057]</t>
  </si>
  <si>
    <t>0306</t>
  </si>
  <si>
    <t>Akkerweg 41 [059]</t>
  </si>
  <si>
    <t>0307</t>
  </si>
  <si>
    <t>Akkerweg 41 [075]</t>
  </si>
  <si>
    <t>0308</t>
  </si>
  <si>
    <t>Kerkweg 9a [135]</t>
  </si>
  <si>
    <t>1711 RR</t>
  </si>
  <si>
    <t>Hensbroek</t>
  </si>
  <si>
    <t>0309</t>
  </si>
  <si>
    <t xml:space="preserve">Kerkweg 9a [137] </t>
  </si>
  <si>
    <t>0310</t>
  </si>
  <si>
    <t>Kerkweg 9a [210]</t>
  </si>
  <si>
    <t>0311</t>
  </si>
  <si>
    <t>Kerkweg 9a [269]</t>
  </si>
  <si>
    <t>1711RR</t>
  </si>
  <si>
    <t>0312</t>
  </si>
  <si>
    <t>Kerkweg 9A [333]</t>
  </si>
  <si>
    <t>0313</t>
  </si>
  <si>
    <t>Kerkweg 9A [334]</t>
  </si>
  <si>
    <t>0314</t>
  </si>
  <si>
    <t>Kerkweg 9A [338]</t>
  </si>
  <si>
    <t>0315</t>
  </si>
  <si>
    <t>Kerkweg 9a [342]</t>
  </si>
  <si>
    <t>0316</t>
  </si>
  <si>
    <t>Kerkweg 9a [346]</t>
  </si>
  <si>
    <t>0317</t>
  </si>
  <si>
    <t>Kerkweg 9A [347]</t>
  </si>
  <si>
    <t>0318</t>
  </si>
  <si>
    <t>Kerkweg 9a [349]</t>
  </si>
  <si>
    <t xml:space="preserve">Hensbroek </t>
  </si>
  <si>
    <t>0319</t>
  </si>
  <si>
    <t>Kerkweg 9a [356]</t>
  </si>
  <si>
    <t>0320</t>
  </si>
  <si>
    <t>Kerkweg 9a [359]</t>
  </si>
  <si>
    <t>0321</t>
  </si>
  <si>
    <t>Kerkweg 9a [453]</t>
  </si>
  <si>
    <t>0322</t>
  </si>
  <si>
    <t>Bettingeslag 10</t>
  </si>
  <si>
    <t>7824 HD</t>
  </si>
  <si>
    <t>Emmen</t>
  </si>
  <si>
    <t>0323</t>
  </si>
  <si>
    <t>Marnixstraat 32</t>
  </si>
  <si>
    <t>7553 LC</t>
  </si>
  <si>
    <t>Hengelo</t>
  </si>
  <si>
    <t>0324</t>
  </si>
  <si>
    <t>Van Swinderenstraat 21</t>
  </si>
  <si>
    <t>7741 VK</t>
  </si>
  <si>
    <t>0325</t>
  </si>
  <si>
    <t>Hendriklaan 49</t>
  </si>
  <si>
    <t>6043 BN</t>
  </si>
  <si>
    <t>Roermond</t>
  </si>
  <si>
    <t>0326</t>
  </si>
  <si>
    <t>Akkerweg 41 [068]</t>
  </si>
  <si>
    <t>0327</t>
  </si>
  <si>
    <t>Putter 42</t>
  </si>
  <si>
    <t>4872 PD</t>
  </si>
  <si>
    <t>Etten-Leur</t>
  </si>
  <si>
    <t>0328</t>
  </si>
  <si>
    <t>Noordmolenstraat 36a</t>
  </si>
  <si>
    <t>3111PD</t>
  </si>
  <si>
    <t>0329</t>
  </si>
  <si>
    <t>Noordmolenstraat 36b</t>
  </si>
  <si>
    <t>0330</t>
  </si>
  <si>
    <t>Noordmolenstraat 36c</t>
  </si>
  <si>
    <t>0331</t>
  </si>
  <si>
    <t>Flankstraat 11</t>
  </si>
  <si>
    <t>4551 AR</t>
  </si>
  <si>
    <t>0332</t>
  </si>
  <si>
    <t>Kerkweg 9a [340]</t>
  </si>
  <si>
    <t>0333</t>
  </si>
  <si>
    <t>Kethelweg 66 D</t>
  </si>
  <si>
    <t>0334</t>
  </si>
  <si>
    <t>Hof van zeeland 2</t>
  </si>
  <si>
    <t>4451 RS</t>
  </si>
  <si>
    <t xml:space="preserve">Heinkenszand </t>
  </si>
  <si>
    <t>0335</t>
  </si>
  <si>
    <t>Molenweg 3B</t>
  </si>
  <si>
    <t>0336</t>
  </si>
  <si>
    <t>Ofwegen 1A</t>
  </si>
  <si>
    <t>2481 KA</t>
  </si>
  <si>
    <t>Woubrugge</t>
  </si>
  <si>
    <t>0337</t>
  </si>
  <si>
    <t>Kruisweg 16</t>
  </si>
  <si>
    <t>0338</t>
  </si>
  <si>
    <t>Kerkweg 9a [348]</t>
  </si>
  <si>
    <t>0339</t>
  </si>
  <si>
    <t>Kerkweg 9a [357]</t>
  </si>
  <si>
    <t>0340</t>
  </si>
  <si>
    <t>Professor Poelslaan 58C</t>
  </si>
  <si>
    <t>3028ET</t>
  </si>
  <si>
    <t>0341</t>
  </si>
  <si>
    <t>Akkerweg 41 [010]</t>
  </si>
  <si>
    <t>0342</t>
  </si>
  <si>
    <t>Akkerweg 41 [016]</t>
  </si>
  <si>
    <t>0343</t>
  </si>
  <si>
    <t>Akkerweg 41 [019]</t>
  </si>
  <si>
    <t>0344</t>
  </si>
  <si>
    <t>Pastoor Gillisstraat 81-A</t>
  </si>
  <si>
    <t>5121 CC</t>
  </si>
  <si>
    <t xml:space="preserve">Rijen </t>
  </si>
  <si>
    <t>0345</t>
  </si>
  <si>
    <t>Compierekade 15</t>
  </si>
  <si>
    <t>2404 NA</t>
  </si>
  <si>
    <t>Alphen a/d Rijn</t>
  </si>
  <si>
    <t>0346</t>
  </si>
  <si>
    <t>Beukenlaan 53</t>
  </si>
  <si>
    <t>3181XA</t>
  </si>
  <si>
    <t>0347</t>
  </si>
  <si>
    <t>Van Ruijsdaellaan 72 A</t>
  </si>
  <si>
    <t>3117XV</t>
  </si>
  <si>
    <t>0348</t>
  </si>
  <si>
    <t>Wagenstraat 70</t>
  </si>
  <si>
    <t>4845CW</t>
  </si>
  <si>
    <t>Wagenberg</t>
  </si>
  <si>
    <t>0349</t>
  </si>
  <si>
    <t>Persoonsdam 196</t>
  </si>
  <si>
    <t>0350</t>
  </si>
  <si>
    <t>Akkerweg 41 [035]</t>
  </si>
  <si>
    <t>0351</t>
  </si>
  <si>
    <t>Van Ruijsdaellaan 72 B</t>
  </si>
  <si>
    <t>0352</t>
  </si>
  <si>
    <t>Van Ruijsdaellaan 72 C</t>
  </si>
  <si>
    <t>0353</t>
  </si>
  <si>
    <t>Archimedesstraat 6 B</t>
  </si>
  <si>
    <t xml:space="preserve">3112DB </t>
  </si>
  <si>
    <t>0354</t>
  </si>
  <si>
    <t>Dorpsstraat 48</t>
  </si>
  <si>
    <t>2445 AN</t>
  </si>
  <si>
    <t>Aarlanderveen</t>
  </si>
  <si>
    <t>0355</t>
  </si>
  <si>
    <t>Van Hoofsweg 4</t>
  </si>
  <si>
    <t>4681SJ</t>
  </si>
  <si>
    <t>Nieuw-Vossemeer</t>
  </si>
  <si>
    <t>0356</t>
  </si>
  <si>
    <t>Akkerweg 41 [036]</t>
  </si>
  <si>
    <t>0357</t>
  </si>
  <si>
    <t>Akkerweg 41 [038]</t>
  </si>
  <si>
    <t>0358</t>
  </si>
  <si>
    <t>Monsterseweg 26A</t>
  </si>
  <si>
    <t>2691JH</t>
  </si>
  <si>
    <t>0359</t>
  </si>
  <si>
    <t>Kimbrenoord 49</t>
  </si>
  <si>
    <t>3079 KC</t>
  </si>
  <si>
    <t>0360</t>
  </si>
  <si>
    <t>Kruiningenstraat 185</t>
  </si>
  <si>
    <t>3086 KM</t>
  </si>
  <si>
    <t>0361</t>
  </si>
  <si>
    <t>Putsebocht 136 B01</t>
  </si>
  <si>
    <t>3073 HS</t>
  </si>
  <si>
    <t>0362</t>
  </si>
  <si>
    <t>Ruigenhoek 69</t>
  </si>
  <si>
    <t>3085 EM</t>
  </si>
  <si>
    <t>0363</t>
  </si>
  <si>
    <t>Rietdijkstraat 56A</t>
  </si>
  <si>
    <t>3151 GJ</t>
  </si>
  <si>
    <t>0364</t>
  </si>
  <si>
    <t>Rietdijkstraat 56B</t>
  </si>
  <si>
    <t>0365</t>
  </si>
  <si>
    <t>Laan op Zuid 949</t>
  </si>
  <si>
    <t>3072 DB</t>
  </si>
  <si>
    <t>0366</t>
  </si>
  <si>
    <t>Lekdijk 14</t>
  </si>
  <si>
    <t>2921 AD</t>
  </si>
  <si>
    <t>Krimpen aan den Ijsel</t>
  </si>
  <si>
    <t>0367</t>
  </si>
  <si>
    <t>Baanhoek 137</t>
  </si>
  <si>
    <t>0368</t>
  </si>
  <si>
    <t>Wedderweg 3</t>
  </si>
  <si>
    <t>9699 RA</t>
  </si>
  <si>
    <t>Vriescheloo</t>
  </si>
  <si>
    <t>0369</t>
  </si>
  <si>
    <t>Oranjestraat 63</t>
  </si>
  <si>
    <t>3111 AN</t>
  </si>
  <si>
    <t>0370</t>
  </si>
  <si>
    <t>Cloosterstraat 23A</t>
  </si>
  <si>
    <t>4587 CA</t>
  </si>
  <si>
    <t xml:space="preserve">Kloosterzande </t>
  </si>
  <si>
    <t>0371</t>
  </si>
  <si>
    <t>Zwingel 8B</t>
  </si>
  <si>
    <t>4926 DC</t>
  </si>
  <si>
    <t>Lage Zwaluwe</t>
  </si>
  <si>
    <t>0372</t>
  </si>
  <si>
    <t>Akkerweg 41 [011]</t>
  </si>
  <si>
    <t>0373</t>
  </si>
  <si>
    <t>Akkerweg 41 [017]</t>
  </si>
  <si>
    <t>0374</t>
  </si>
  <si>
    <t>Vierambachtsstraat 32-B01</t>
  </si>
  <si>
    <t>3023AN</t>
  </si>
  <si>
    <t>0375</t>
  </si>
  <si>
    <t xml:space="preserve">Cubalaan 25 </t>
  </si>
  <si>
    <t>2685 LA</t>
  </si>
  <si>
    <t xml:space="preserve">Poeldijk </t>
  </si>
  <si>
    <t>0376</t>
  </si>
  <si>
    <t>Zwethkade Zuid 30A</t>
  </si>
  <si>
    <t>2635CV</t>
  </si>
  <si>
    <t>Den Hoorn</t>
  </si>
  <si>
    <t>0377</t>
  </si>
  <si>
    <t>Rijpstraat 24</t>
  </si>
  <si>
    <t>3151BV</t>
  </si>
  <si>
    <t>0378</t>
  </si>
  <si>
    <t>Poeldijkseweg 29</t>
  </si>
  <si>
    <t>0379</t>
  </si>
  <si>
    <t>Akkerweg 41 [074]</t>
  </si>
  <si>
    <t>1779 GJ</t>
  </si>
  <si>
    <t>0380</t>
  </si>
  <si>
    <t>Parallelweg 114C</t>
  </si>
  <si>
    <t>3131 DL</t>
  </si>
  <si>
    <t>0381</t>
  </si>
  <si>
    <t>Parallelweg 134B</t>
  </si>
  <si>
    <t>3131 DM</t>
  </si>
  <si>
    <t>0382</t>
  </si>
  <si>
    <t xml:space="preserve">Kwekerslaan 7 </t>
  </si>
  <si>
    <t>2691 NP</t>
  </si>
  <si>
    <t>0383</t>
  </si>
  <si>
    <t>Akkerweg 41 [020]</t>
  </si>
  <si>
    <t>0384</t>
  </si>
  <si>
    <t>Akkerweg 41 [058]</t>
  </si>
  <si>
    <t>0385</t>
  </si>
  <si>
    <t>Lavendelpad 6</t>
  </si>
  <si>
    <t>3295RD</t>
  </si>
  <si>
    <t>s-Gravendeel</t>
  </si>
  <si>
    <t>0386</t>
  </si>
  <si>
    <t>Poolsestraat 29A</t>
  </si>
  <si>
    <t>3028EN</t>
  </si>
  <si>
    <t>0387</t>
  </si>
  <si>
    <t xml:space="preserve">Verschansing 21 </t>
  </si>
  <si>
    <t>3181 NG</t>
  </si>
  <si>
    <t>0388</t>
  </si>
  <si>
    <t>1e Middellandstraat 104A</t>
  </si>
  <si>
    <t>3021BH</t>
  </si>
  <si>
    <t>0389</t>
  </si>
  <si>
    <t>Kritostraat 54</t>
  </si>
  <si>
    <t>3076 BH</t>
  </si>
  <si>
    <t>0390</t>
  </si>
  <si>
    <t>Roerdompstraat 4B</t>
  </si>
  <si>
    <t>2953ER</t>
  </si>
  <si>
    <t>Alblasserdam</t>
  </si>
  <si>
    <t>0391</t>
  </si>
  <si>
    <t>Industriestraat 9</t>
  </si>
  <si>
    <t>5107 NC</t>
  </si>
  <si>
    <t>Dongen</t>
  </si>
  <si>
    <t>0392</t>
  </si>
  <si>
    <t>Burgemeester Baumannlaan 175H</t>
  </si>
  <si>
    <t>3042AD</t>
  </si>
  <si>
    <t>A-00001</t>
  </si>
  <si>
    <t>Dag Hammarskjöldlaan 80</t>
  </si>
  <si>
    <t>archived</t>
  </si>
  <si>
    <t>A-0002</t>
  </si>
  <si>
    <t>Energieweg 40</t>
  </si>
  <si>
    <t>A-0003</t>
  </si>
  <si>
    <t>Frans Halsstraat 16b</t>
  </si>
  <si>
    <t>spijkenisse</t>
  </si>
  <si>
    <t>A-0005</t>
  </si>
  <si>
    <t>Van der Fuyckstraat 66</t>
  </si>
  <si>
    <t>A-0006</t>
  </si>
  <si>
    <t>Van 't Hoffstraat 22</t>
  </si>
  <si>
    <t>A-0009</t>
  </si>
  <si>
    <t>Cecilia Benninghastraat 19</t>
  </si>
  <si>
    <t>Tzummarum</t>
  </si>
  <si>
    <t>A-0010</t>
  </si>
  <si>
    <t>Van Hogendorplaan 284</t>
  </si>
  <si>
    <t>A-0011</t>
  </si>
  <si>
    <t>Voorstraat 86a</t>
  </si>
  <si>
    <t>A-0012</t>
  </si>
  <si>
    <t>Winterakoniet 21</t>
  </si>
  <si>
    <t>A-0013</t>
  </si>
  <si>
    <t>Groningerstraatweg 26</t>
  </si>
  <si>
    <t>A-0014</t>
  </si>
  <si>
    <t>Van Viandenstraat 37</t>
  </si>
  <si>
    <t>A-0016</t>
  </si>
  <si>
    <t>Nieuwestad 8</t>
  </si>
  <si>
    <t>A-0017</t>
  </si>
  <si>
    <t>Rijsstraatweg 80</t>
  </si>
  <si>
    <t>Noardburgum</t>
  </si>
  <si>
    <t>A-0018</t>
  </si>
  <si>
    <t>Burgemeerster van Haarenlaan 905</t>
  </si>
  <si>
    <t>A-0020</t>
  </si>
  <si>
    <t>St. Willibrordusstraat 55</t>
  </si>
  <si>
    <t>'s-Hertogenbosch</t>
  </si>
  <si>
    <t>A-0024</t>
  </si>
  <si>
    <t>Hooilandseweg 46</t>
  </si>
  <si>
    <t>Roodeschool</t>
  </si>
  <si>
    <t>A-0025</t>
  </si>
  <si>
    <t>Bleeklaan 69</t>
  </si>
  <si>
    <t>A-0026</t>
  </si>
  <si>
    <t>Willem Marisstraat 4</t>
  </si>
  <si>
    <t>A-0027</t>
  </si>
  <si>
    <t>Hooilandseweg 113</t>
  </si>
  <si>
    <t>A-0028</t>
  </si>
  <si>
    <t>Aerdberg 6</t>
  </si>
  <si>
    <t>Steyl</t>
  </si>
  <si>
    <t>A-0029</t>
  </si>
  <si>
    <t>Rhoonsestraat 18b</t>
  </si>
  <si>
    <t>A-0031</t>
  </si>
  <si>
    <t>Kerkweg 25</t>
  </si>
  <si>
    <t>Driebruggen</t>
  </si>
  <si>
    <t>A-0033</t>
  </si>
  <si>
    <t>Inialoane 2</t>
  </si>
  <si>
    <t>Garyp</t>
  </si>
  <si>
    <t>A-0037</t>
  </si>
  <si>
    <t>Scholeksterstraat 7</t>
  </si>
  <si>
    <t>A-0038</t>
  </si>
  <si>
    <t>Winston Churchillaan 18a</t>
  </si>
  <si>
    <t>A-0039</t>
  </si>
  <si>
    <t>Ebenhaëzerstraat 38a</t>
  </si>
  <si>
    <t>A-0040</t>
  </si>
  <si>
    <t>Lauernessestraat 8</t>
  </si>
  <si>
    <t>A-0041</t>
  </si>
  <si>
    <t>Beemd 55</t>
  </si>
  <si>
    <t>A-0042</t>
  </si>
  <si>
    <t>Eendrachtsweg 71b</t>
  </si>
  <si>
    <t>A-0043</t>
  </si>
  <si>
    <t>A.H. Verweijweg 6</t>
  </si>
  <si>
    <t>Berkel en Rodenrijs</t>
  </si>
  <si>
    <t>A-0044</t>
  </si>
  <si>
    <t>Eendrachtsweg 71h</t>
  </si>
  <si>
    <t>A-0045</t>
  </si>
  <si>
    <t>Damstraat 1</t>
  </si>
  <si>
    <t>A-0046</t>
  </si>
  <si>
    <t>Damstraat 1b</t>
  </si>
  <si>
    <t>A-0048</t>
  </si>
  <si>
    <t>Lange Reed 20</t>
  </si>
  <si>
    <t>A-0049</t>
  </si>
  <si>
    <t>Lange Reed 20a</t>
  </si>
  <si>
    <t>A-0050</t>
  </si>
  <si>
    <t>Lange Reed 20b</t>
  </si>
  <si>
    <t>A-0051</t>
  </si>
  <si>
    <t>De Poon 30</t>
  </si>
  <si>
    <t>Makkum</t>
  </si>
  <si>
    <t>A-0052</t>
  </si>
  <si>
    <t>De Stad 1b</t>
  </si>
  <si>
    <t>Oirschot</t>
  </si>
  <si>
    <t>A-0053</t>
  </si>
  <si>
    <t>De Visserstraat 60</t>
  </si>
  <si>
    <t>A-0054</t>
  </si>
  <si>
    <t>Het Kerkehout 64</t>
  </si>
  <si>
    <t>Wassenaar</t>
  </si>
  <si>
    <t>A-0055</t>
  </si>
  <si>
    <t>Hoofdstraat 32</t>
  </si>
  <si>
    <t>A-0057</t>
  </si>
  <si>
    <t>Jordaensplein 30</t>
  </si>
  <si>
    <t>A-0058</t>
  </si>
  <si>
    <t>Kade 26</t>
  </si>
  <si>
    <t>A-0059</t>
  </si>
  <si>
    <t>Kade 26a</t>
  </si>
  <si>
    <t>A-0060</t>
  </si>
  <si>
    <t>Kanaalweg 35</t>
  </si>
  <si>
    <t>A-0062</t>
  </si>
  <si>
    <t>Mark 10</t>
  </si>
  <si>
    <t>Spijk</t>
  </si>
  <si>
    <t>A-0063</t>
  </si>
  <si>
    <t>Menno ter Braakstraat 26b</t>
  </si>
  <si>
    <t>A-0064</t>
  </si>
  <si>
    <t>Molenweg 1</t>
  </si>
  <si>
    <t>Veghel</t>
  </si>
  <si>
    <t>A-0065</t>
  </si>
  <si>
    <t>Nispensestraat 2c</t>
  </si>
  <si>
    <t>A-0067</t>
  </si>
  <si>
    <t>Raadhuisplein 3</t>
  </si>
  <si>
    <t>A-0068</t>
  </si>
  <si>
    <t>Spijksekweldijk 208</t>
  </si>
  <si>
    <t>A-0070</t>
  </si>
  <si>
    <t>Torenmolen 1</t>
  </si>
  <si>
    <t>Amsterdam</t>
  </si>
  <si>
    <t>A-0071</t>
  </si>
  <si>
    <t>Vliethorn 6</t>
  </si>
  <si>
    <t>Farmsum</t>
  </si>
  <si>
    <t>A-0072</t>
  </si>
  <si>
    <t>Hoofdweg 34 (Bungalow 8)</t>
  </si>
  <si>
    <t>Scharmer</t>
  </si>
  <si>
    <t>A-0074</t>
  </si>
  <si>
    <t>Kerkdreef 46</t>
  </si>
  <si>
    <t>A-0076</t>
  </si>
  <si>
    <t>Noordstraat 55</t>
  </si>
  <si>
    <t>A-0077</t>
  </si>
  <si>
    <t>Voorweg 1</t>
  </si>
  <si>
    <t>Oostvoorne</t>
  </si>
  <si>
    <t>A-0078</t>
  </si>
  <si>
    <t>De Veste 15-45</t>
  </si>
  <si>
    <t>A-0079</t>
  </si>
  <si>
    <t>Julianastraat 59</t>
  </si>
  <si>
    <t>A-0080</t>
  </si>
  <si>
    <t>Hoofdweg 34 (Bungalow 101)</t>
  </si>
  <si>
    <t>A-0083</t>
  </si>
  <si>
    <t>Mr Troelstrastraat 49</t>
  </si>
  <si>
    <t>A-0084</t>
  </si>
  <si>
    <t>Akkersplein 90</t>
  </si>
  <si>
    <t>Heerenveen (Opzegd per 31 okt 2020)</t>
  </si>
  <si>
    <t>A-0085</t>
  </si>
  <si>
    <t>Ceresweg 54c</t>
  </si>
  <si>
    <t>A-0086</t>
  </si>
  <si>
    <t>Coehoorn van Scheltingaweg 82</t>
  </si>
  <si>
    <t>A-0087</t>
  </si>
  <si>
    <t>De Terp 25</t>
  </si>
  <si>
    <t>Witmarsum</t>
  </si>
  <si>
    <t>A-0088</t>
  </si>
  <si>
    <t>Jasmijnring 35</t>
  </si>
  <si>
    <t>A-0089</t>
  </si>
  <si>
    <t>Dijkstraat 66</t>
  </si>
  <si>
    <t>A-0091</t>
  </si>
  <si>
    <t>Botter 33 - 6</t>
  </si>
  <si>
    <t>A-0092</t>
  </si>
  <si>
    <t>Nibelungenhof 22</t>
  </si>
  <si>
    <t>A-0093</t>
  </si>
  <si>
    <t>Julianalaan 4</t>
  </si>
  <si>
    <t>Midlum</t>
  </si>
  <si>
    <t>A-0094</t>
  </si>
  <si>
    <t>Marisstraat 9</t>
  </si>
  <si>
    <t>A-0095</t>
  </si>
  <si>
    <t>Parallelweg 96A</t>
  </si>
  <si>
    <t>A-0097</t>
  </si>
  <si>
    <t>Ring 57</t>
  </si>
  <si>
    <t>A-0098</t>
  </si>
  <si>
    <t>Tramstraat 13</t>
  </si>
  <si>
    <t>A-0099</t>
  </si>
  <si>
    <t>Lauernessestraat 17</t>
  </si>
  <si>
    <t>A-0100</t>
  </si>
  <si>
    <t>Dorpsstraat 9b</t>
  </si>
  <si>
    <t>Gemonde</t>
  </si>
  <si>
    <t>A-0101</t>
  </si>
  <si>
    <t>Populierenlaan 4</t>
  </si>
  <si>
    <t>Velddriel</t>
  </si>
  <si>
    <t>A-0102</t>
  </si>
  <si>
    <t>Van Renesselaan 32</t>
  </si>
  <si>
    <t>A-0105</t>
  </si>
  <si>
    <t>Spijkesteeg 1</t>
  </si>
  <si>
    <t>A-0106</t>
  </si>
  <si>
    <t>Oudedijk 147</t>
  </si>
  <si>
    <t>Odilliapeel</t>
  </si>
  <si>
    <t>A-0108</t>
  </si>
  <si>
    <t>Westendorpweg 13</t>
  </si>
  <si>
    <t>Losdorp</t>
  </si>
  <si>
    <t>A-0109</t>
  </si>
  <si>
    <t>Broeksteeg 7</t>
  </si>
  <si>
    <t>Tricht</t>
  </si>
  <si>
    <t>A-0111</t>
  </si>
  <si>
    <t>Hooilandseweg 30</t>
  </si>
  <si>
    <t>Roodenschol</t>
  </si>
  <si>
    <t>A-0112</t>
  </si>
  <si>
    <t>Bazeldijk 26</t>
  </si>
  <si>
    <t>Hoogblokland</t>
  </si>
  <si>
    <t>A-0113</t>
  </si>
  <si>
    <t>Minckelersweg 24</t>
  </si>
  <si>
    <t>Hoogerheide</t>
  </si>
  <si>
    <t>A-0114</t>
  </si>
  <si>
    <t>Sonsbrug 50</t>
  </si>
  <si>
    <t>Acquoy (Opgezegd per 31 mei 2023)</t>
  </si>
  <si>
    <t>A-0116</t>
  </si>
  <si>
    <t>Zakdragerstraat 15</t>
  </si>
  <si>
    <t>Gorinchem (Opgezegd per 31 dec 2021)</t>
  </si>
  <si>
    <t>A-0117</t>
  </si>
  <si>
    <t>Westwagenstraat 55</t>
  </si>
  <si>
    <t>A-0118</t>
  </si>
  <si>
    <t>2691NP</t>
  </si>
  <si>
    <t>A-0119</t>
  </si>
  <si>
    <t>Grote Bredeplaats 18a</t>
  </si>
  <si>
    <t>A-0120</t>
  </si>
  <si>
    <t>Bergsestraat 56</t>
  </si>
  <si>
    <t>Huijbergen (Opgezegd per 31 juli 2022)</t>
  </si>
  <si>
    <t>A-0121</t>
  </si>
  <si>
    <t>Waterstraat 4</t>
  </si>
  <si>
    <t>Delfzijl</t>
  </si>
  <si>
    <t>A-0122</t>
  </si>
  <si>
    <t>Grote Spuistraat 40</t>
  </si>
  <si>
    <t>Dordrecht (Opgezegd per 31 dec 2022)</t>
  </si>
  <si>
    <t>A-0123</t>
  </si>
  <si>
    <t>Seringenstraat 5</t>
  </si>
  <si>
    <t>Gennep</t>
  </si>
  <si>
    <t>A-0124</t>
  </si>
  <si>
    <t>De Ruyterweg 33</t>
  </si>
  <si>
    <t>Leeuwarden (Opgezegd 16 mei 2021)</t>
  </si>
  <si>
    <t>A-0126</t>
  </si>
  <si>
    <t>Vrieseweg 135</t>
  </si>
  <si>
    <t>A-0127</t>
  </si>
  <si>
    <t>Prins Willem-Alexandersingel 53</t>
  </si>
  <si>
    <t>Beesd</t>
  </si>
  <si>
    <t>A-0129</t>
  </si>
  <si>
    <t>Klaverweide 42</t>
  </si>
  <si>
    <t>Delfzijl (Opgezegd per 31 aug 2022)</t>
  </si>
  <si>
    <t>A-0130</t>
  </si>
  <si>
    <t>Zuidstraat 12</t>
  </si>
  <si>
    <t>Dreischor</t>
  </si>
  <si>
    <t>A-0132</t>
  </si>
  <si>
    <t>Staringstraat 120</t>
  </si>
  <si>
    <t>Oss (Opgezegd per 31 okt 2022)</t>
  </si>
  <si>
    <t>A-0133</t>
  </si>
  <si>
    <t>Nyckle Haismawei 11</t>
  </si>
  <si>
    <t>A-0135</t>
  </si>
  <si>
    <t>Marowijnstraat 7</t>
  </si>
  <si>
    <t>Leeuwarden (Opgezegd per 31 januari 2022)</t>
  </si>
  <si>
    <t>A-0137</t>
  </si>
  <si>
    <t>Park a/h Vossemeer 10A</t>
  </si>
  <si>
    <t>Nieuw-Vossemeer (Opgezegd 31 mrt 22)</t>
  </si>
  <si>
    <t>A-0138</t>
  </si>
  <si>
    <t>Park a/h Vossenmeer 22A</t>
  </si>
  <si>
    <t>A-0139</t>
  </si>
  <si>
    <t>Bernhardweg 33</t>
  </si>
  <si>
    <t>Oijen</t>
  </si>
  <si>
    <t>A-0140</t>
  </si>
  <si>
    <t>Kleinzand 18</t>
  </si>
  <si>
    <t>A-0141</t>
  </si>
  <si>
    <t>Evert C. Slimstraat 4</t>
  </si>
  <si>
    <t>Sint Annaparochie</t>
  </si>
  <si>
    <t>A-0144</t>
  </si>
  <si>
    <t>Markt 19</t>
  </si>
  <si>
    <t>Oudenbosch</t>
  </si>
  <si>
    <t>A-0148</t>
  </si>
  <si>
    <t>Bellstraat 7</t>
  </si>
  <si>
    <t>A-0150</t>
  </si>
  <si>
    <t>De Terp 27</t>
  </si>
  <si>
    <t>A-0153</t>
  </si>
  <si>
    <t>Kwartel 8</t>
  </si>
  <si>
    <t>Dokkum</t>
  </si>
  <si>
    <t>A-0154</t>
  </si>
  <si>
    <t>De Grouw 30</t>
  </si>
  <si>
    <t>Leek</t>
  </si>
  <si>
    <t>A-0156</t>
  </si>
  <si>
    <t>De Riede 10</t>
  </si>
  <si>
    <t>Slagharen (Opgezegd per 31 maart 2023)</t>
  </si>
  <si>
    <t>A-0159</t>
  </si>
  <si>
    <t>Ambonstraat 96</t>
  </si>
  <si>
    <t>A-0160</t>
  </si>
  <si>
    <t>Karel Doormanlaan 238</t>
  </si>
  <si>
    <t>Hilversum</t>
  </si>
  <si>
    <t>A-0164</t>
  </si>
  <si>
    <t>Voorstraat 53</t>
  </si>
  <si>
    <t>Willemstad</t>
  </si>
  <si>
    <t>A-0165</t>
  </si>
  <si>
    <t>Zuiderkruis 15</t>
  </si>
  <si>
    <t>A-0168</t>
  </si>
  <si>
    <t>Hoofdstraat 266</t>
  </si>
  <si>
    <t>Overdinkel</t>
  </si>
  <si>
    <t>A-0169</t>
  </si>
  <si>
    <t>Roemer Visscherstraat 148</t>
  </si>
  <si>
    <t>A-0177</t>
  </si>
  <si>
    <t>A-0179</t>
  </si>
  <si>
    <t>Tulpenstraat 27</t>
  </si>
  <si>
    <t>Meppel</t>
  </si>
  <si>
    <t>A-0181</t>
  </si>
  <si>
    <t>Rijksweg Zuid 161</t>
  </si>
  <si>
    <t>A-0182</t>
  </si>
  <si>
    <t>Grote Buren 27</t>
  </si>
  <si>
    <t>Pingjum</t>
  </si>
  <si>
    <t>A-0184</t>
  </si>
  <si>
    <t>Leeg</t>
  </si>
  <si>
    <t>A-0185</t>
  </si>
  <si>
    <t>Vossepol 39</t>
  </si>
  <si>
    <t>Surhuisterveen</t>
  </si>
  <si>
    <t>A-0188</t>
  </si>
  <si>
    <t>Nesserwei  2</t>
  </si>
  <si>
    <t>Ternaard</t>
  </si>
  <si>
    <t>A-0192</t>
  </si>
  <si>
    <t>Hooizolder 296</t>
  </si>
  <si>
    <t>A-0194</t>
  </si>
  <si>
    <t>Poststraat 4</t>
  </si>
  <si>
    <t>Philippine (Opgezegd per 31 dec 2022)</t>
  </si>
  <si>
    <t>A-0195</t>
  </si>
  <si>
    <t>Meinardswei 74</t>
  </si>
  <si>
    <t>Minnertsga (CB-Homes)</t>
  </si>
  <si>
    <t>A-0196</t>
  </si>
  <si>
    <t>Meinardswei 86</t>
  </si>
  <si>
    <t>A-0197</t>
  </si>
  <si>
    <t>Schoutstraat 15</t>
  </si>
  <si>
    <t>Heerlen</t>
  </si>
  <si>
    <t>A-0198</t>
  </si>
  <si>
    <t>Berkstraat 37</t>
  </si>
  <si>
    <t>Nieuwegein (CB-Homes)</t>
  </si>
  <si>
    <t>A-0199</t>
  </si>
  <si>
    <t>Leenheerstraat 16</t>
  </si>
  <si>
    <t>A-0200</t>
  </si>
  <si>
    <t>Meinardswei 54-56</t>
  </si>
  <si>
    <t>A-0204</t>
  </si>
  <si>
    <t>Hofmark 381</t>
  </si>
  <si>
    <t>Almere</t>
  </si>
  <si>
    <t>A-0207</t>
  </si>
  <si>
    <t>Kloosterstraat 18</t>
  </si>
  <si>
    <t>Biervliet</t>
  </si>
  <si>
    <t>A-0208</t>
  </si>
  <si>
    <t>Beethovenhof 78</t>
  </si>
  <si>
    <t>A-0209</t>
  </si>
  <si>
    <t>Frans Bekkenstraat 72e</t>
  </si>
  <si>
    <t>A-0211</t>
  </si>
  <si>
    <t>Kuilenstraat 13</t>
  </si>
  <si>
    <t>Meerssen</t>
  </si>
  <si>
    <t>A-0212</t>
  </si>
  <si>
    <t>Robinsonstraat 203</t>
  </si>
  <si>
    <t>A-0213</t>
  </si>
  <si>
    <t>Jan Snouckstraat 2</t>
  </si>
  <si>
    <t>Schelluinen</t>
  </si>
  <si>
    <t>A-0214</t>
  </si>
  <si>
    <t>Jericholaan 42B</t>
  </si>
  <si>
    <t>A-0215</t>
  </si>
  <si>
    <t>Willem van Arkellaan 25</t>
  </si>
  <si>
    <t>A-0216</t>
  </si>
  <si>
    <t>Benthuizerstraat 30B</t>
  </si>
  <si>
    <t>A-0219</t>
  </si>
  <si>
    <t>Kapelstraat 5</t>
  </si>
  <si>
    <t>Maurik</t>
  </si>
  <si>
    <t>A-0223</t>
  </si>
  <si>
    <t>Harixmaweg 4</t>
  </si>
  <si>
    <t>A-0224</t>
  </si>
  <si>
    <t>Nieuwe Steeg 68</t>
  </si>
  <si>
    <t>Herwijnen</t>
  </si>
  <si>
    <t>A-0226</t>
  </si>
  <si>
    <t>Parkweg 21</t>
  </si>
  <si>
    <t>A-0229</t>
  </si>
  <si>
    <t>Aziëlaan 764</t>
  </si>
  <si>
    <t>Utrecht</t>
  </si>
  <si>
    <t>A-0230</t>
  </si>
  <si>
    <t>Bastion 117</t>
  </si>
  <si>
    <t>A-0231</t>
  </si>
  <si>
    <t>Lavasweg 35</t>
  </si>
  <si>
    <t>A-0236</t>
  </si>
  <si>
    <t>Aleidisstraat 6</t>
  </si>
  <si>
    <t>A-0238</t>
  </si>
  <si>
    <t>Acherdijk 47</t>
  </si>
  <si>
    <t>A-0239</t>
  </si>
  <si>
    <t>A-0240</t>
  </si>
  <si>
    <t>Rhodensteijnselaan 15</t>
  </si>
  <si>
    <t>Langbroek</t>
  </si>
  <si>
    <t>A-0241</t>
  </si>
  <si>
    <t>Middenbaan Noord 18a</t>
  </si>
  <si>
    <t>A-0252</t>
  </si>
  <si>
    <t>Azielaan 764</t>
  </si>
  <si>
    <t>A-0253</t>
  </si>
  <si>
    <t>Lydsedyk 1</t>
  </si>
  <si>
    <t>Bitgummole</t>
  </si>
  <si>
    <t>A-0254</t>
  </si>
  <si>
    <t>Scheepjesbrug 406</t>
  </si>
  <si>
    <t>A-0255</t>
  </si>
  <si>
    <t>Baliendijk 7</t>
  </si>
  <si>
    <t>Breda</t>
  </si>
  <si>
    <t>A-0259</t>
  </si>
  <si>
    <t>P.F. Catstraat 8</t>
  </si>
  <si>
    <t>A-0264</t>
  </si>
  <si>
    <t>Steenovenstraat Belgie</t>
  </si>
  <si>
    <t>A-0271</t>
  </si>
  <si>
    <t>Volkelseweg 19-21</t>
  </si>
  <si>
    <t>Boekel</t>
  </si>
  <si>
    <t>A-0272</t>
  </si>
  <si>
    <t>Adminiraliteitskade 80-02</t>
  </si>
  <si>
    <t>A-0274</t>
  </si>
  <si>
    <t>Kremerstraat 25</t>
  </si>
  <si>
    <t>A Bergen op Zoom</t>
  </si>
  <si>
    <t>A-0275</t>
  </si>
  <si>
    <t>Stuwwal 2</t>
  </si>
  <si>
    <t>015 Den Oever</t>
  </si>
  <si>
    <t>A-0277</t>
  </si>
  <si>
    <t>2e</t>
  </si>
  <si>
    <t>van Leydengaelstraat 6 Vlaardingen</t>
  </si>
  <si>
    <t>A-0289</t>
  </si>
  <si>
    <t>Ingenier J.P. van Muijlwijkstraat 116</t>
  </si>
  <si>
    <t>Arnhem</t>
  </si>
  <si>
    <t>A-0295</t>
  </si>
  <si>
    <t>Laan van Spaland 11</t>
  </si>
  <si>
    <t>A-0297</t>
  </si>
  <si>
    <t>Madoeralaan 82</t>
  </si>
  <si>
    <t>Ede</t>
  </si>
  <si>
    <t>A-0304</t>
  </si>
  <si>
    <t>Pieter Jelle Troelstraweg 2A</t>
  </si>
  <si>
    <t>Maasluis</t>
  </si>
  <si>
    <t>A-0306</t>
  </si>
  <si>
    <t>Stroodorpe 1</t>
  </si>
  <si>
    <t>A-0311</t>
  </si>
  <si>
    <t>Goghlaan 36</t>
  </si>
  <si>
    <t>A-0312</t>
  </si>
  <si>
    <t>Irenestraat 99</t>
  </si>
  <si>
    <t>Sint Willebrord</t>
  </si>
  <si>
    <t>A-0317</t>
  </si>
  <si>
    <t>Maasdijk 28A</t>
  </si>
  <si>
    <t>Aalst</t>
  </si>
  <si>
    <t>A-0318</t>
  </si>
  <si>
    <t>Bloklaan 22a</t>
  </si>
  <si>
    <t>Loosdrecht</t>
  </si>
  <si>
    <t>A-0320</t>
  </si>
  <si>
    <t>Eikstraat 23</t>
  </si>
  <si>
    <t>A-0321</t>
  </si>
  <si>
    <t>Rietbergpad 15</t>
  </si>
  <si>
    <t>A-0327</t>
  </si>
  <si>
    <t>Verbindingsstraat 20</t>
  </si>
  <si>
    <t>Essen</t>
  </si>
  <si>
    <t>A-0335</t>
  </si>
  <si>
    <t>Korte Singelstraat 21C</t>
  </si>
  <si>
    <t>A-0337</t>
  </si>
  <si>
    <t>Nobelstraat 52</t>
  </si>
  <si>
    <t>A-0338</t>
  </si>
  <si>
    <t>Dorpsstraat 58</t>
  </si>
  <si>
    <t>OUDE-NIEDORP</t>
  </si>
  <si>
    <t>A-0352</t>
  </si>
  <si>
    <t>3e</t>
  </si>
  <si>
    <t>Industriestraat 11 Vlaardingen</t>
  </si>
  <si>
    <t>A-0353</t>
  </si>
  <si>
    <t>4881HT</t>
  </si>
  <si>
    <t>A-0373</t>
  </si>
  <si>
    <t>Professor Kamerlingh Onneslaan 134</t>
  </si>
  <si>
    <t>A Schiedam</t>
  </si>
  <si>
    <t>A-0387</t>
  </si>
  <si>
    <t>Kerkweg 9a [huis 338] Hensbroek</t>
  </si>
  <si>
    <t>A-0416</t>
  </si>
  <si>
    <t>Utrechtsestraatweg 7</t>
  </si>
  <si>
    <t>A-0420</t>
  </si>
  <si>
    <t>Madeliefstraat 46C</t>
  </si>
  <si>
    <t>A-0423</t>
  </si>
  <si>
    <t>Kerkweg 9a [huisnummer 101]  Hensbroek</t>
  </si>
  <si>
    <t>A-0433</t>
  </si>
  <si>
    <t>Kerkweg 9a</t>
  </si>
  <si>
    <t>[huis 135] Hensbroek</t>
  </si>
  <si>
    <t>A-0441</t>
  </si>
  <si>
    <t>Aamberberg 232</t>
  </si>
  <si>
    <t>A-0445</t>
  </si>
  <si>
    <t>De Zwingel 8B</t>
  </si>
  <si>
    <t>4926DC</t>
  </si>
  <si>
    <t>A-0447</t>
  </si>
  <si>
    <t>C0046</t>
  </si>
  <si>
    <t>C0047</t>
  </si>
  <si>
    <t>A00059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</si>
</sst>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00B05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3" fillId="0" borderId="0" xfId="0" applyNumberFormat="1" applyFont="1"/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huizen" displayName="tbl_huizen" ref="A1:D48">
  <autoFilter ref="A1:D48" xr:uid="{00000000-0009-0000-0100-000001000000}"/>
  <tableColumns count="4">
    <tableColumn id="5" xr3:uid="{70E0D5A4-387B-0149-81B8-B6199F919B70}" name="object_id" dataDxfId="0">
      <calculatedColumnFormula>_xlfn.XLOOKUP(tbl_huizen[[#This Row],[adres_weergave]],OG_HUIZEN_LIJST!C:C,OG_HUIZEN_LIJST!B:B,"",0)</calculatedColumnFormula>
    </tableColumn>
    <tableColumn id="2" xr3:uid="{00000000-0010-0000-0000-000002000000}" name="adres_weergave"/>
    <tableColumn id="3" xr3:uid="{00000000-0010-0000-0000-000003000000}" name="actief"/>
    <tableColumn id="4" xr3:uid="{88672252-DAC9-0547-B1A8-8C7E019BDAD4}" name="Column1" dataDxfId="1">
      <calculatedColumnFormula>_xlfn.XLOOKUP(tbl_huizen[[#This Row],[adres_weergave]],OG_HUIZEN_LIJST!C:C,OG_HUIZEN_LIJST!B:B,"",3)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ycli" displayName="tbl_cycli" ref="A1:U48">
  <autoFilter ref="A1:U48" xr:uid="{00000000-0009-0000-0100-000002000000}"/>
  <tableColumns count="21">
    <tableColumn id="1" xr3:uid="{00000000-0010-0000-0100-000001000000}" name="cyclus_id"/>
    <tableColumn id="2" xr3:uid="{00000000-0010-0000-0100-000002000000}" name="huis_id"/>
    <tableColumn id="3" xr3:uid="{00000000-0010-0000-0100-000003000000}" name="adres_weergave">
      <calculatedColumnFormula>_xlfn.XLOOKUP(tbl_cycli[[#This Row],[huis_id]],OG_HUIZEN_LIJST!B:B,OG_HUIZEN_LIJST!C:C,"",0)</calculatedColumnFormula>
    </tableColumn>
    <tableColumn id="4" xr3:uid="{00000000-0010-0000-0100-000004000000}" name="is_actief"/>
    <tableColumn id="5" xr3:uid="{00000000-0010-0000-0100-000005000000}" name="klant_type"/>
    <tableColumn id="6" xr3:uid="{00000000-0010-0000-0100-000006000000}" name="bestemming"/>
    <tableColumn id="7" xr3:uid="{00000000-0010-0000-0100-000007000000}" name="einddatum_huurder"/>
    <tableColumn id="8" xr3:uid="{00000000-0010-0000-0100-000008000000}" name="startdatum_nieuwe_huurder"/>
    <tableColumn id="9" xr3:uid="{00000000-0010-0000-0100-000009000000}" name="status"/>
    <tableColumn id="10" xr3:uid="{00000000-0010-0000-0100-00000A000000}" name="laatst_bijgewerkt"/>
    <tableColumn id="11" xr3:uid="{00000000-0010-0000-0100-00000B000000}" name="interne_opmerking"/>
    <tableColumn id="12" xr3:uid="{00000000-0010-0000-0100-00000C000000}" name="sleutel_actief"/>
    <tableColumn id="13" xr3:uid="{00000000-0010-0000-0100-00000D000000}" name="check_voorinspectie_gepland"/>
    <tableColumn id="14" xr3:uid="{00000000-0010-0000-0100-00000E000000}" name="check_voorinspectie_uitgevoerd"/>
    <tableColumn id="15" xr3:uid="{00000000-0010-0000-0100-00000F000000}" name="check_uitcheck_gepland"/>
    <tableColumn id="16" xr3:uid="{00000000-0010-0000-0100-000010000000}" name="check_uitcheck_uitgevoerd"/>
    <tableColumn id="17" xr3:uid="{00000000-0010-0000-0100-000011000000}" name="check_schoonmaak"/>
    <tableColumn id="18" xr3:uid="{00000000-0010-0000-0100-000012000000}" name="check_incheck_gepland"/>
    <tableColumn id="19" xr3:uid="{00000000-0010-0000-0100-000013000000}" name="check_incheck_uitgevoerd"/>
    <tableColumn id="20" xr3:uid="{00000000-0010-0000-0100-000014000000}" name="foutmelding"/>
    <tableColumn id="21" xr3:uid="{00000000-0010-0000-0100-000015000000}" name="Commenta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acties" displayName="tbl_acties" ref="A1:O60">
  <autoFilter ref="A1:O60" xr:uid="{00000000-0009-0000-0100-000003000000}"/>
  <tableColumns count="15">
    <tableColumn id="1" xr3:uid="{00000000-0010-0000-0200-000001000000}" name="actie_id"/>
    <tableColumn id="2" xr3:uid="{00000000-0010-0000-0200-000002000000}" name="object_id"/>
    <tableColumn id="3" xr3:uid="{00000000-0010-0000-0200-000003000000}" name="adres_weergave">
      <calculatedColumnFormula>_xlfn.XLOOKUP(tbl_acties[[#This Row],[object_id]],HUIZEN_MASTER!A:A,HUIZEN_MASTER!B:B,"",0)</calculatedColumnFormula>
    </tableColumn>
    <tableColumn id="4" xr3:uid="{00000000-0010-0000-0200-000004000000}" name="cyclus_id"/>
    <tableColumn id="5" xr3:uid="{00000000-0010-0000-0200-000005000000}" name="actie_type"/>
    <tableColumn id="6" xr3:uid="{00000000-0010-0000-0200-000006000000}" name="gepland_op"/>
    <tableColumn id="7" xr3:uid="{00000000-0010-0000-0200-000007000000}" name="uitgevoerd_op"/>
    <tableColumn id="8" xr3:uid="{00000000-0010-0000-0200-000008000000}" name="uitgevoerd_door"/>
    <tableColumn id="9" xr3:uid="{00000000-0010-0000-0200-000009000000}" name="fotos_gemaakt"/>
    <tableColumn id="10" xr3:uid="{00000000-0010-0000-0200-00000A000000}" name="issues_gevonden"/>
    <tableColumn id="11" xr3:uid="{00000000-0010-0000-0200-00000B000000}" name="verwachte_schoonmaak_uren"/>
    <tableColumn id="12" xr3:uid="{00000000-0010-0000-0200-00000C000000}" name="werkelijke_schoonmaak_uren"/>
    <tableColumn id="13" xr3:uid="{00000000-0010-0000-0200-00000D000000}" name="sleutels_bevestigd"/>
    <tableColumn id="14" xr3:uid="{00000000-0010-0000-0200-00000E000000}" name="sleuteloverdracht_methode"/>
    <tableColumn id="15" xr3:uid="{00000000-0010-0000-0200-00000F000000}" name="opmerk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showGridLines="0" tabSelected="1" workbookViewId="0">
      <pane ySplit="1" topLeftCell="A2" activePane="bottomLeft" state="frozen"/>
      <selection pane="bottomLeft" activeCell="B11" sqref="B11"/>
    </sheetView>
  </sheetViews>
  <sheetFormatPr baseColWidth="10" defaultColWidth="8.83203125" defaultRowHeight="15" x14ac:dyDescent="0.2"/>
  <cols>
    <col min="1" max="1" width="26.83203125" style="4" customWidth="1"/>
    <col min="2" max="5" width="20" style="4" customWidth="1"/>
    <col min="6" max="6" width="27" style="4" customWidth="1"/>
    <col min="7" max="8" width="20" style="4" customWidth="1"/>
    <col min="9" max="16384" width="8.83203125" style="4"/>
  </cols>
  <sheetData>
    <row r="1" spans="1:8" ht="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" x14ac:dyDescent="0.2">
      <c r="A2" s="5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>
        <v>0</v>
      </c>
    </row>
    <row r="3" spans="1:8" ht="16" x14ac:dyDescent="0.2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>
        <v>0.5</v>
      </c>
    </row>
    <row r="4" spans="1:8" ht="16" x14ac:dyDescent="0.2">
      <c r="A4" s="5" t="s">
        <v>22</v>
      </c>
      <c r="B4" s="5" t="s">
        <v>23</v>
      </c>
      <c r="C4" s="5" t="s">
        <v>24</v>
      </c>
      <c r="D4" s="5" t="s">
        <v>25</v>
      </c>
      <c r="F4" s="5" t="s">
        <v>26</v>
      </c>
      <c r="G4" s="5" t="s">
        <v>27</v>
      </c>
      <c r="H4" s="5">
        <v>1</v>
      </c>
    </row>
    <row r="5" spans="1:8" ht="16" x14ac:dyDescent="0.2">
      <c r="A5" s="5" t="s">
        <v>28</v>
      </c>
      <c r="B5" s="5" t="s">
        <v>29</v>
      </c>
      <c r="G5" s="5" t="s">
        <v>25</v>
      </c>
      <c r="H5" s="5">
        <v>1.5</v>
      </c>
    </row>
    <row r="6" spans="1:8" ht="16" x14ac:dyDescent="0.2">
      <c r="A6" s="5" t="s">
        <v>30</v>
      </c>
      <c r="B6" s="5" t="s">
        <v>31</v>
      </c>
      <c r="H6" s="5">
        <v>2</v>
      </c>
    </row>
    <row r="7" spans="1:8" ht="16" x14ac:dyDescent="0.2">
      <c r="A7" s="5" t="s">
        <v>32</v>
      </c>
      <c r="B7" s="5" t="s">
        <v>33</v>
      </c>
      <c r="H7" s="5">
        <v>2.5</v>
      </c>
    </row>
    <row r="8" spans="1:8" ht="16" x14ac:dyDescent="0.2">
      <c r="A8" s="5" t="s">
        <v>34</v>
      </c>
      <c r="H8" s="5">
        <v>3</v>
      </c>
    </row>
    <row r="9" spans="1:8" ht="16" x14ac:dyDescent="0.2">
      <c r="A9" s="5" t="s">
        <v>35</v>
      </c>
      <c r="H9" s="5">
        <v>3.5</v>
      </c>
    </row>
    <row r="10" spans="1:8" ht="16" x14ac:dyDescent="0.2">
      <c r="A10" s="5" t="s">
        <v>36</v>
      </c>
      <c r="H10" s="5">
        <v>4</v>
      </c>
    </row>
    <row r="11" spans="1:8" ht="16" x14ac:dyDescent="0.2">
      <c r="A11" s="5" t="s">
        <v>19</v>
      </c>
      <c r="H11" s="5">
        <v>4.5</v>
      </c>
    </row>
    <row r="12" spans="1:8" ht="16" x14ac:dyDescent="0.2">
      <c r="A12" s="5" t="s">
        <v>37</v>
      </c>
      <c r="H12" s="5">
        <v>5</v>
      </c>
    </row>
    <row r="13" spans="1:8" x14ac:dyDescent="0.2">
      <c r="H13" s="5">
        <v>5.5</v>
      </c>
    </row>
    <row r="14" spans="1:8" x14ac:dyDescent="0.2">
      <c r="H14" s="5">
        <v>6</v>
      </c>
    </row>
    <row r="15" spans="1:8" x14ac:dyDescent="0.2">
      <c r="H15" s="5">
        <v>6.5</v>
      </c>
    </row>
    <row r="16" spans="1:8" x14ac:dyDescent="0.2">
      <c r="H16" s="5">
        <v>7</v>
      </c>
    </row>
    <row r="17" spans="8:8" x14ac:dyDescent="0.2">
      <c r="H17" s="5">
        <v>7.5</v>
      </c>
    </row>
    <row r="18" spans="8:8" x14ac:dyDescent="0.2">
      <c r="H18" s="5">
        <v>8</v>
      </c>
    </row>
    <row r="19" spans="8:8" x14ac:dyDescent="0.2">
      <c r="H19" s="5">
        <v>8.5</v>
      </c>
    </row>
    <row r="20" spans="8:8" x14ac:dyDescent="0.2">
      <c r="H20" s="5">
        <v>9</v>
      </c>
    </row>
    <row r="21" spans="8:8" x14ac:dyDescent="0.2">
      <c r="H21" s="5">
        <v>9.5</v>
      </c>
    </row>
    <row r="22" spans="8:8" x14ac:dyDescent="0.2">
      <c r="H22" s="5">
        <v>10</v>
      </c>
    </row>
    <row r="23" spans="8:8" x14ac:dyDescent="0.2">
      <c r="H23" s="5">
        <v>10.5</v>
      </c>
    </row>
    <row r="24" spans="8:8" x14ac:dyDescent="0.2">
      <c r="H24" s="5">
        <v>11</v>
      </c>
    </row>
    <row r="25" spans="8:8" x14ac:dyDescent="0.2">
      <c r="H25" s="5">
        <v>11.5</v>
      </c>
    </row>
    <row r="26" spans="8:8" x14ac:dyDescent="0.2">
      <c r="H26" s="5">
        <v>12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showGridLines="0" workbookViewId="0">
      <pane ySplit="1" topLeftCell="A2" activePane="bottomLeft" state="frozen"/>
      <selection pane="bottomLeft" activeCell="I36" sqref="I36"/>
    </sheetView>
  </sheetViews>
  <sheetFormatPr baseColWidth="10" defaultColWidth="8.83203125" defaultRowHeight="15" x14ac:dyDescent="0.2"/>
  <cols>
    <col min="1" max="1" width="10" customWidth="1"/>
    <col min="2" max="2" width="50" customWidth="1"/>
    <col min="3" max="3" width="10" customWidth="1"/>
    <col min="4" max="4" width="22" bestFit="1" customWidth="1"/>
  </cols>
  <sheetData>
    <row r="1" spans="1:4" ht="16" x14ac:dyDescent="0.2">
      <c r="A1" s="1" t="s">
        <v>305</v>
      </c>
      <c r="B1" s="1" t="s">
        <v>39</v>
      </c>
      <c r="C1" s="1" t="s">
        <v>40</v>
      </c>
      <c r="D1" t="s">
        <v>302</v>
      </c>
    </row>
    <row r="2" spans="1:4" x14ac:dyDescent="0.2">
      <c r="A2" t="str">
        <f>_xlfn.XLOOKUP(tbl_huizen[[#This Row],[adres_weergave]],OG_HUIZEN_LIJST!C:C,OG_HUIZEN_LIJST!B:B,"",0)</f>
        <v>0308</v>
      </c>
      <c r="B2" t="s">
        <v>1265</v>
      </c>
      <c r="C2" t="s">
        <v>10</v>
      </c>
      <c r="D2" t="s">
        <v>1265</v>
      </c>
    </row>
    <row r="3" spans="1:4" x14ac:dyDescent="0.2">
      <c r="A3" t="str">
        <f>_xlfn.XLOOKUP(tbl_huizen[[#This Row],[adres_weergave]],OG_HUIZEN_LIJST!C:C,OG_HUIZEN_LIJST!B:B,"",0)</f>
        <v>A-0088</v>
      </c>
      <c r="B3" t="s">
        <v>1656</v>
      </c>
      <c r="C3" t="s">
        <v>10</v>
      </c>
      <c r="D3" t="s">
        <v>1656</v>
      </c>
    </row>
    <row r="4" spans="1:4" x14ac:dyDescent="0.2">
      <c r="A4" t="str">
        <f>_xlfn.XLOOKUP(tbl_huizen[[#This Row],[adres_weergave]],OG_HUIZEN_LIJST!C:C,OG_HUIZEN_LIJST!B:B,"",0)</f>
        <v>0368</v>
      </c>
      <c r="B4" t="s">
        <v>1427</v>
      </c>
      <c r="C4" t="s">
        <v>10</v>
      </c>
      <c r="D4" t="s">
        <v>1427</v>
      </c>
    </row>
    <row r="5" spans="1:4" x14ac:dyDescent="0.2">
      <c r="A5" t="str">
        <f>_xlfn.XLOOKUP(tbl_huizen[[#This Row],[adres_weergave]],OG_HUIZEN_LIJST!C:C,OG_HUIZEN_LIJST!B:B,"",0)</f>
        <v>0358</v>
      </c>
      <c r="B5" t="s">
        <v>1398</v>
      </c>
      <c r="C5" t="s">
        <v>10</v>
      </c>
      <c r="D5" t="s">
        <v>1398</v>
      </c>
    </row>
    <row r="6" spans="1:4" x14ac:dyDescent="0.2">
      <c r="A6" t="str">
        <f>_xlfn.XLOOKUP(tbl_huizen[[#This Row],[adres_weergave]],OG_HUIZEN_LIJST!C:C,OG_HUIZEN_LIJST!B:B,"",0)</f>
        <v>0041</v>
      </c>
      <c r="B6" t="s">
        <v>446</v>
      </c>
      <c r="C6" t="s">
        <v>10</v>
      </c>
      <c r="D6" t="s">
        <v>446</v>
      </c>
    </row>
    <row r="7" spans="1:4" x14ac:dyDescent="0.2">
      <c r="A7" t="str">
        <f>_xlfn.XLOOKUP(tbl_huizen[[#This Row],[adres_weergave]],OG_HUIZEN_LIJST!C:C,OG_HUIZEN_LIJST!B:B,"",0)</f>
        <v>0295</v>
      </c>
      <c r="B7" t="s">
        <v>1239</v>
      </c>
      <c r="C7" t="s">
        <v>10</v>
      </c>
      <c r="D7" t="s">
        <v>1239</v>
      </c>
    </row>
    <row r="8" spans="1:4" x14ac:dyDescent="0.2">
      <c r="A8" t="str">
        <f>_xlfn.XLOOKUP(tbl_huizen[[#This Row],[adres_weergave]],OG_HUIZEN_LIJST!C:C,OG_HUIZEN_LIJST!B:B,"",0)</f>
        <v>0300</v>
      </c>
      <c r="B8" t="s">
        <v>1249</v>
      </c>
      <c r="C8" t="s">
        <v>10</v>
      </c>
      <c r="D8" t="s">
        <v>1249</v>
      </c>
    </row>
    <row r="9" spans="1:4" x14ac:dyDescent="0.2">
      <c r="A9" t="str">
        <f>_xlfn.XLOOKUP(tbl_huizen[[#This Row],[adres_weergave]],OG_HUIZEN_LIJST!C:C,OG_HUIZEN_LIJST!B:B,"",0)</f>
        <v>0357</v>
      </c>
      <c r="B9" t="s">
        <v>1396</v>
      </c>
      <c r="C9" t="s">
        <v>10</v>
      </c>
      <c r="D9" t="s">
        <v>1396</v>
      </c>
    </row>
    <row r="10" spans="1:4" x14ac:dyDescent="0.2">
      <c r="A10" t="str">
        <f>_xlfn.XLOOKUP(tbl_huizen[[#This Row],[adres_weergave]],OG_HUIZEN_LIJST!C:C,OG_HUIZEN_LIJST!B:B,"",0)</f>
        <v>0384</v>
      </c>
      <c r="B10" t="s">
        <v>1476</v>
      </c>
      <c r="C10" t="s">
        <v>10</v>
      </c>
      <c r="D10" t="s">
        <v>1476</v>
      </c>
    </row>
    <row r="11" spans="1:4" x14ac:dyDescent="0.2">
      <c r="A11" t="str">
        <f>_xlfn.XLOOKUP(tbl_huizen[[#This Row],[adres_weergave]],OG_HUIZEN_LIJST!C:C,OG_HUIZEN_LIJST!B:B,"",0)</f>
        <v>0101</v>
      </c>
      <c r="B11" t="s">
        <v>652</v>
      </c>
      <c r="C11" t="s">
        <v>10</v>
      </c>
      <c r="D11" t="s">
        <v>652</v>
      </c>
    </row>
    <row r="12" spans="1:4" x14ac:dyDescent="0.2">
      <c r="A12" t="str">
        <f>_xlfn.XLOOKUP(tbl_huizen[[#This Row],[adres_weergave]],OG_HUIZEN_LIJST!C:C,OG_HUIZEN_LIJST!B:B,"",0)</f>
        <v>0240</v>
      </c>
      <c r="B12" t="s">
        <v>1092</v>
      </c>
      <c r="C12" t="s">
        <v>10</v>
      </c>
      <c r="D12" t="s">
        <v>1092</v>
      </c>
    </row>
    <row r="13" spans="1:4" x14ac:dyDescent="0.2">
      <c r="A13" t="str">
        <f>_xlfn.XLOOKUP(tbl_huizen[[#This Row],[adres_weergave]],OG_HUIZEN_LIJST!C:C,OG_HUIZEN_LIJST!B:B,"",0)</f>
        <v>0193</v>
      </c>
      <c r="B13" t="s">
        <v>953</v>
      </c>
      <c r="C13" t="s">
        <v>10</v>
      </c>
      <c r="D13" t="s">
        <v>953</v>
      </c>
    </row>
    <row r="14" spans="1:4" x14ac:dyDescent="0.2">
      <c r="A14" t="str">
        <f>_xlfn.XLOOKUP(tbl_huizen[[#This Row],[adres_weergave]],OG_HUIZEN_LIJST!C:C,OG_HUIZEN_LIJST!B:B,"",0)</f>
        <v>0341</v>
      </c>
      <c r="B14" t="s">
        <v>1351</v>
      </c>
      <c r="C14" t="s">
        <v>10</v>
      </c>
      <c r="D14" t="s">
        <v>1351</v>
      </c>
    </row>
    <row r="15" spans="1:4" x14ac:dyDescent="0.2">
      <c r="A15" t="str">
        <f>_xlfn.XLOOKUP(tbl_huizen[[#This Row],[adres_weergave]],OG_HUIZEN_LIJST!C:C,OG_HUIZEN_LIJST!B:B,"",0)</f>
        <v>0342</v>
      </c>
      <c r="B15" t="s">
        <v>1353</v>
      </c>
      <c r="C15" t="s">
        <v>10</v>
      </c>
      <c r="D15" t="s">
        <v>1353</v>
      </c>
    </row>
    <row r="16" spans="1:4" x14ac:dyDescent="0.2">
      <c r="A16" t="str">
        <f>_xlfn.XLOOKUP(tbl_huizen[[#This Row],[adres_weergave]],OG_HUIZEN_LIJST!C:C,OG_HUIZEN_LIJST!B:B,"",0)</f>
        <v>0343</v>
      </c>
      <c r="B16" t="s">
        <v>1355</v>
      </c>
      <c r="C16" t="s">
        <v>10</v>
      </c>
      <c r="D16" t="s">
        <v>1355</v>
      </c>
    </row>
    <row r="17" spans="1:4" x14ac:dyDescent="0.2">
      <c r="A17" t="str">
        <f>_xlfn.XLOOKUP(tbl_huizen[[#This Row],[adres_weergave]],OG_HUIZEN_LIJST!C:C,OG_HUIZEN_LIJST!B:B,"",0)</f>
        <v>0303</v>
      </c>
      <c r="B17" t="s">
        <v>1255</v>
      </c>
      <c r="C17" t="s">
        <v>10</v>
      </c>
      <c r="D17" t="s">
        <v>1255</v>
      </c>
    </row>
    <row r="18" spans="1:4" x14ac:dyDescent="0.2">
      <c r="A18" t="str">
        <f>_xlfn.XLOOKUP(tbl_huizen[[#This Row],[adres_weergave]],OG_HUIZEN_LIJST!C:C,OG_HUIZEN_LIJST!B:B,"",0)</f>
        <v>0304</v>
      </c>
      <c r="B18" t="s">
        <v>1257</v>
      </c>
      <c r="C18" t="s">
        <v>10</v>
      </c>
      <c r="D18" t="s">
        <v>1257</v>
      </c>
    </row>
    <row r="19" spans="1:4" x14ac:dyDescent="0.2">
      <c r="A19" t="str">
        <f>_xlfn.XLOOKUP(tbl_huizen[[#This Row],[adres_weergave]],OG_HUIZEN_LIJST!C:C,OG_HUIZEN_LIJST!B:B,"",0)</f>
        <v>0085</v>
      </c>
      <c r="B19" t="s">
        <v>601</v>
      </c>
      <c r="C19" t="s">
        <v>10</v>
      </c>
      <c r="D19" t="s">
        <v>601</v>
      </c>
    </row>
    <row r="20" spans="1:4" x14ac:dyDescent="0.2">
      <c r="A20" t="str">
        <f>_xlfn.XLOOKUP(tbl_huizen[[#This Row],[adres_weergave]],OG_HUIZEN_LIJST!C:C,OG_HUIZEN_LIJST!B:B,"",0)</f>
        <v>0361</v>
      </c>
      <c r="B20" t="s">
        <v>1407</v>
      </c>
      <c r="C20" t="s">
        <v>10</v>
      </c>
      <c r="D20" t="s">
        <v>1407</v>
      </c>
    </row>
    <row r="21" spans="1:4" x14ac:dyDescent="0.2">
      <c r="A21" t="str">
        <f>_xlfn.XLOOKUP(tbl_huizen[[#This Row],[adres_weergave]],OG_HUIZEN_LIJST!C:C,OG_HUIZEN_LIJST!B:B,"",0)</f>
        <v>0114</v>
      </c>
      <c r="B21" t="s">
        <v>696</v>
      </c>
      <c r="C21" t="s">
        <v>10</v>
      </c>
      <c r="D21" t="s">
        <v>696</v>
      </c>
    </row>
    <row r="22" spans="1:4" x14ac:dyDescent="0.2">
      <c r="A22" t="str">
        <f>_xlfn.XLOOKUP(tbl_huizen[[#This Row],[adres_weergave]],OG_HUIZEN_LIJST!C:C,OG_HUIZEN_LIJST!B:B,"",0)</f>
        <v>0225</v>
      </c>
      <c r="B22" t="s">
        <v>1048</v>
      </c>
      <c r="C22" t="s">
        <v>10</v>
      </c>
      <c r="D22" t="s">
        <v>1048</v>
      </c>
    </row>
    <row r="23" spans="1:4" x14ac:dyDescent="0.2">
      <c r="A23" t="str">
        <f>_xlfn.XLOOKUP(tbl_huizen[[#This Row],[adres_weergave]],OG_HUIZEN_LIJST!C:C,OG_HUIZEN_LIJST!B:B,"",0)</f>
        <v>0293</v>
      </c>
      <c r="B23" t="s">
        <v>1232</v>
      </c>
      <c r="C23" t="s">
        <v>10</v>
      </c>
      <c r="D23" t="s">
        <v>1232</v>
      </c>
    </row>
    <row r="24" spans="1:4" x14ac:dyDescent="0.2">
      <c r="A24" t="str">
        <f>_xlfn.XLOOKUP(tbl_huizen[[#This Row],[adres_weergave]],OG_HUIZEN_LIJST!C:C,OG_HUIZEN_LIJST!B:B,"",0)</f>
        <v>0383</v>
      </c>
      <c r="B24" t="s">
        <v>1474</v>
      </c>
      <c r="C24" t="s">
        <v>10</v>
      </c>
      <c r="D24" t="s">
        <v>1474</v>
      </c>
    </row>
    <row r="25" spans="1:4" x14ac:dyDescent="0.2">
      <c r="A25" t="str">
        <f>_xlfn.XLOOKUP(tbl_huizen[[#This Row],[adres_weergave]],OG_HUIZEN_LIJST!C:C,OG_HUIZEN_LIJST!B:B,"",0)</f>
        <v>0302</v>
      </c>
      <c r="B25" t="s">
        <v>1253</v>
      </c>
      <c r="C25" t="s">
        <v>10</v>
      </c>
      <c r="D25" t="s">
        <v>1253</v>
      </c>
    </row>
    <row r="26" spans="1:4" x14ac:dyDescent="0.2">
      <c r="A26" t="str">
        <f>_xlfn.XLOOKUP(tbl_huizen[[#This Row],[adres_weergave]],OG_HUIZEN_LIJST!C:C,OG_HUIZEN_LIJST!B:B,"",0)</f>
        <v>0089</v>
      </c>
      <c r="B26" t="s">
        <v>65</v>
      </c>
      <c r="C26" t="s">
        <v>10</v>
      </c>
      <c r="D26" t="s">
        <v>65</v>
      </c>
    </row>
    <row r="27" spans="1:4" x14ac:dyDescent="0.2">
      <c r="A27" t="str">
        <f>_xlfn.XLOOKUP(tbl_huizen[[#This Row],[adres_weergave]],OG_HUIZEN_LIJST!C:C,OG_HUIZEN_LIJST!B:B,"",0)</f>
        <v>0117</v>
      </c>
      <c r="B27" t="s">
        <v>707</v>
      </c>
      <c r="C27" t="s">
        <v>10</v>
      </c>
      <c r="D27" t="s">
        <v>707</v>
      </c>
    </row>
    <row r="28" spans="1:4" x14ac:dyDescent="0.2">
      <c r="A28" t="str">
        <f>_xlfn.XLOOKUP(tbl_huizen[[#This Row],[adres_weergave]],OG_HUIZEN_LIJST!C:C,OG_HUIZEN_LIJST!B:B,"",0)</f>
        <v>0322</v>
      </c>
      <c r="B28" t="s">
        <v>1297</v>
      </c>
      <c r="C28" t="s">
        <v>10</v>
      </c>
      <c r="D28" t="s">
        <v>1297</v>
      </c>
    </row>
    <row r="29" spans="1:4" x14ac:dyDescent="0.2">
      <c r="A29" t="str">
        <f>_xlfn.XLOOKUP(tbl_huizen[[#This Row],[adres_weergave]],OG_HUIZEN_LIJST!C:C,OG_HUIZEN_LIJST!B:B,"",0)</f>
        <v>0126</v>
      </c>
      <c r="B29" t="s">
        <v>738</v>
      </c>
      <c r="C29" t="s">
        <v>10</v>
      </c>
      <c r="D29" t="s">
        <v>738</v>
      </c>
    </row>
    <row r="30" spans="1:4" x14ac:dyDescent="0.2">
      <c r="A30" t="str">
        <f>_xlfn.XLOOKUP(tbl_huizen[[#This Row],[adres_weergave]],OG_HUIZEN_LIJST!C:C,OG_HUIZEN_LIJST!B:B,"",0)</f>
        <v>0126</v>
      </c>
      <c r="B30" t="s">
        <v>738</v>
      </c>
      <c r="C30" t="s">
        <v>10</v>
      </c>
      <c r="D30" t="s">
        <v>738</v>
      </c>
    </row>
    <row r="31" spans="1:4" x14ac:dyDescent="0.2">
      <c r="A31" t="str">
        <f>_xlfn.XLOOKUP(tbl_huizen[[#This Row],[adres_weergave]],OG_HUIZEN_LIJST!C:C,OG_HUIZEN_LIJST!B:B,"",0)</f>
        <v>0110</v>
      </c>
      <c r="B31" t="s">
        <v>70</v>
      </c>
      <c r="C31" t="s">
        <v>10</v>
      </c>
      <c r="D31" t="s">
        <v>70</v>
      </c>
    </row>
    <row r="32" spans="1:4" x14ac:dyDescent="0.2">
      <c r="A32" t="str">
        <f>_xlfn.XLOOKUP(tbl_huizen[[#This Row],[adres_weergave]],OG_HUIZEN_LIJST!C:C,OG_HUIZEN_LIJST!B:B,"",0)</f>
        <v>0141</v>
      </c>
      <c r="B32" t="s">
        <v>71</v>
      </c>
      <c r="C32" t="s">
        <v>10</v>
      </c>
      <c r="D32" t="s">
        <v>71</v>
      </c>
    </row>
    <row r="33" spans="1:4" x14ac:dyDescent="0.2">
      <c r="A33" t="str">
        <f>_xlfn.XLOOKUP(tbl_huizen[[#This Row],[adres_weergave]],OG_HUIZEN_LIJST!C:C,OG_HUIZEN_LIJST!B:B,"",0)</f>
        <v>0365</v>
      </c>
      <c r="B33" t="s">
        <v>1418</v>
      </c>
      <c r="C33" t="s">
        <v>10</v>
      </c>
      <c r="D33" t="s">
        <v>1418</v>
      </c>
    </row>
    <row r="34" spans="1:4" x14ac:dyDescent="0.2">
      <c r="A34" t="str">
        <f>_xlfn.XLOOKUP(tbl_huizen[[#This Row],[adres_weergave]],OG_HUIZEN_LIJST!C:C,OG_HUIZEN_LIJST!B:B,"",0)</f>
        <v>0144</v>
      </c>
      <c r="B34" t="s">
        <v>794</v>
      </c>
      <c r="C34" t="s">
        <v>10</v>
      </c>
      <c r="D34" t="s">
        <v>794</v>
      </c>
    </row>
    <row r="35" spans="1:4" x14ac:dyDescent="0.2">
      <c r="A35" t="str">
        <f>_xlfn.XLOOKUP(tbl_huizen[[#This Row],[adres_weergave]],OG_HUIZEN_LIJST!C:C,OG_HUIZEN_LIJST!B:B,"",0)</f>
        <v>0331</v>
      </c>
      <c r="B35" t="s">
        <v>1325</v>
      </c>
      <c r="C35" t="s">
        <v>10</v>
      </c>
      <c r="D35" t="s">
        <v>1325</v>
      </c>
    </row>
    <row r="36" spans="1:4" x14ac:dyDescent="0.2">
      <c r="A36" t="str">
        <f>_xlfn.XLOOKUP(tbl_huizen[[#This Row],[adres_weergave]],OG_HUIZEN_LIJST!C:C,OG_HUIZEN_LIJST!B:B,"",0)</f>
        <v>0242</v>
      </c>
      <c r="B36" t="s">
        <v>1098</v>
      </c>
      <c r="C36" t="s">
        <v>10</v>
      </c>
      <c r="D36" t="s">
        <v>1098</v>
      </c>
    </row>
    <row r="37" spans="1:4" x14ac:dyDescent="0.2">
      <c r="A37" t="str">
        <f>_xlfn.XLOOKUP(tbl_huizen[[#This Row],[adres_weergave]],OG_HUIZEN_LIJST!C:C,OG_HUIZEN_LIJST!B:B,"",0)</f>
        <v>0199</v>
      </c>
      <c r="B37" t="s">
        <v>968</v>
      </c>
      <c r="C37" t="s">
        <v>10</v>
      </c>
      <c r="D37" t="s">
        <v>968</v>
      </c>
    </row>
    <row r="38" spans="1:4" x14ac:dyDescent="0.2">
      <c r="A38" t="str">
        <f>_xlfn.XLOOKUP(tbl_huizen[[#This Row],[adres_weergave]],OG_HUIZEN_LIJST!C:C,OG_HUIZEN_LIJST!B:B,"",0)</f>
        <v>0337</v>
      </c>
      <c r="B38" t="s">
        <v>1342</v>
      </c>
      <c r="C38" t="s">
        <v>10</v>
      </c>
      <c r="D38" t="s">
        <v>1342</v>
      </c>
    </row>
    <row r="39" spans="1:4" x14ac:dyDescent="0.2">
      <c r="A39" t="str">
        <f>_xlfn.XLOOKUP(tbl_huizen[[#This Row],[adres_weergave]],OG_HUIZEN_LIJST!C:C,OG_HUIZEN_LIJST!B:B,"",0)</f>
        <v>0336</v>
      </c>
      <c r="B39" t="s">
        <v>1338</v>
      </c>
      <c r="C39" t="s">
        <v>10</v>
      </c>
      <c r="D39" t="s">
        <v>1338</v>
      </c>
    </row>
    <row r="40" spans="1:4" x14ac:dyDescent="0.2">
      <c r="A40" t="str">
        <f>_xlfn.XLOOKUP(tbl_huizen[[#This Row],[adres_weergave]],OG_HUIZEN_LIJST!C:C,OG_HUIZEN_LIJST!B:B,"",0)</f>
        <v>0240</v>
      </c>
      <c r="B40" t="s">
        <v>1092</v>
      </c>
      <c r="C40" t="s">
        <v>10</v>
      </c>
      <c r="D40" t="s">
        <v>1092</v>
      </c>
    </row>
    <row r="41" spans="1:4" x14ac:dyDescent="0.2">
      <c r="A41" t="str">
        <f>_xlfn.XLOOKUP(tbl_huizen[[#This Row],[adres_weergave]],OG_HUIZEN_LIJST!C:C,OG_HUIZEN_LIJST!B:B,"",0)</f>
        <v>0370</v>
      </c>
      <c r="B41" t="s">
        <v>1434</v>
      </c>
      <c r="C41" t="s">
        <v>10</v>
      </c>
      <c r="D41" t="s">
        <v>1434</v>
      </c>
    </row>
    <row r="42" spans="1:4" x14ac:dyDescent="0.2">
      <c r="A42" t="str">
        <f>_xlfn.XLOOKUP(tbl_huizen[[#This Row],[adres_weergave]],OG_HUIZEN_LIJST!C:C,OG_HUIZEN_LIJST!B:B,"",0)</f>
        <v>0177</v>
      </c>
      <c r="B42" t="s">
        <v>902</v>
      </c>
      <c r="C42" t="s">
        <v>10</v>
      </c>
      <c r="D42" t="s">
        <v>902</v>
      </c>
    </row>
    <row r="43" spans="1:4" x14ac:dyDescent="0.2">
      <c r="A43" t="str">
        <f>_xlfn.XLOOKUP(tbl_huizen[[#This Row],[adres_weergave]],OG_HUIZEN_LIJST!C:C,OG_HUIZEN_LIJST!B:B,"",0)</f>
        <v>0173</v>
      </c>
      <c r="B43" t="s">
        <v>889</v>
      </c>
      <c r="C43" t="s">
        <v>10</v>
      </c>
      <c r="D43" t="s">
        <v>889</v>
      </c>
    </row>
    <row r="44" spans="1:4" x14ac:dyDescent="0.2">
      <c r="A44" t="str">
        <f>_xlfn.XLOOKUP(tbl_huizen[[#This Row],[adres_weergave]],OG_HUIZEN_LIJST!C:C,OG_HUIZEN_LIJST!B:B,"",0)</f>
        <v>0391</v>
      </c>
      <c r="B44" t="s">
        <v>1498</v>
      </c>
      <c r="C44" t="s">
        <v>10</v>
      </c>
      <c r="D44" t="s">
        <v>1498</v>
      </c>
    </row>
    <row r="45" spans="1:4" x14ac:dyDescent="0.2">
      <c r="A45" t="str">
        <f>_xlfn.XLOOKUP(tbl_huizen[[#This Row],[adres_weergave]],OG_HUIZEN_LIJST!C:C,OG_HUIZEN_LIJST!B:B,"",0)</f>
        <v>0212</v>
      </c>
      <c r="B45" t="s">
        <v>1009</v>
      </c>
      <c r="C45" t="s">
        <v>10</v>
      </c>
      <c r="D45" t="s">
        <v>1009</v>
      </c>
    </row>
    <row r="46" spans="1:4" x14ac:dyDescent="0.2">
      <c r="A46" s="7" t="str">
        <f>_xlfn.XLOOKUP(tbl_huizen[[#This Row],[adres_weergave]],OG_HUIZEN_LIJST!C:C,OG_HUIZEN_LIJST!B:B,"",0)</f>
        <v>0345</v>
      </c>
      <c r="B46" s="8" t="s">
        <v>1361</v>
      </c>
      <c r="C46" s="8" t="s">
        <v>10</v>
      </c>
      <c r="D46" s="7" t="s">
        <v>1361</v>
      </c>
    </row>
    <row r="47" spans="1:4" x14ac:dyDescent="0.2">
      <c r="A47" s="7" t="str">
        <f>_xlfn.XLOOKUP(tbl_huizen[[#This Row],[adres_weergave]],OG_HUIZEN_LIJST!C:C,OG_HUIZEN_LIJST!B:B,"",0)</f>
        <v>0232</v>
      </c>
      <c r="B47" s="8" t="s">
        <v>1069</v>
      </c>
      <c r="C47" s="8" t="s">
        <v>10</v>
      </c>
      <c r="D47" s="7" t="s">
        <v>1069</v>
      </c>
    </row>
    <row r="48" spans="1:4" x14ac:dyDescent="0.2">
      <c r="A48" t="str">
        <f>_xlfn.XLOOKUP(tbl_huizen[[#This Row],[adres_weergave]],OG_HUIZEN_LIJST!C:C,OG_HUIZEN_LIJST!B:B,"",0)</f>
        <v>0374</v>
      </c>
      <c r="B48" t="s">
        <v>1446</v>
      </c>
      <c r="C48" t="s">
        <v>10</v>
      </c>
      <c r="D48" t="s">
        <v>1446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7E80819-279D-124A-8E08-4DE1395779CB}">
          <x14:formula1>
            <xm:f>OG_HUIZEN_LIJST!$C$2:$C$586</xm:f>
          </x14:formula1>
          <xm:sqref>D2:D48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8"/>
  <sheetViews>
    <sheetView showGridLines="0" workbookViewId="0">
      <pane ySplit="1" topLeftCell="A2" activePane="bottomLeft" state="frozen"/>
      <selection pane="bottomLeft" activeCell="E48" sqref="E48"/>
    </sheetView>
  </sheetViews>
  <sheetFormatPr baseColWidth="10" defaultColWidth="8.83203125" defaultRowHeight="15" x14ac:dyDescent="0.2"/>
  <cols>
    <col min="1" max="2" width="10" customWidth="1"/>
    <col min="3" max="3" width="24" customWidth="1"/>
    <col min="4" max="10" width="18" customWidth="1"/>
    <col min="11" max="11" width="48" bestFit="1" customWidth="1"/>
    <col min="12" max="20" width="18" customWidth="1"/>
    <col min="21" max="21" width="55" customWidth="1"/>
  </cols>
  <sheetData>
    <row r="1" spans="1:21" ht="32" x14ac:dyDescent="0.2">
      <c r="A1" s="1" t="s">
        <v>86</v>
      </c>
      <c r="B1" s="1" t="s">
        <v>38</v>
      </c>
      <c r="C1" s="1" t="s">
        <v>39</v>
      </c>
      <c r="D1" s="1" t="s">
        <v>87</v>
      </c>
      <c r="E1" s="1" t="s">
        <v>3</v>
      </c>
      <c r="F1" s="1" t="s">
        <v>4</v>
      </c>
      <c r="G1" s="1" t="s">
        <v>88</v>
      </c>
      <c r="H1" s="1" t="s">
        <v>89</v>
      </c>
      <c r="I1" s="1" t="s">
        <v>0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t="s">
        <v>303</v>
      </c>
    </row>
    <row r="2" spans="1:21" x14ac:dyDescent="0.2">
      <c r="A2" t="s">
        <v>101</v>
      </c>
      <c r="B2" t="s">
        <v>1264</v>
      </c>
      <c r="C2" t="str">
        <f>_xlfn.XLOOKUP(tbl_cycli[[#This Row],[huis_id]],OG_HUIZEN_LIJST!B:B,OG_HUIZEN_LIJST!C:C,"",0)</f>
        <v>Kerkweg 9a [135]</v>
      </c>
      <c r="D2" t="s">
        <v>10</v>
      </c>
      <c r="E2" t="s">
        <v>18</v>
      </c>
      <c r="G2" s="2">
        <v>45804</v>
      </c>
      <c r="I2" t="s">
        <v>8</v>
      </c>
      <c r="J2" t="s">
        <v>102</v>
      </c>
      <c r="K2" t="s">
        <v>103</v>
      </c>
      <c r="L2" t="str">
        <f>B2&amp;"|"&amp;D2</f>
        <v>0308|JA</v>
      </c>
      <c r="M2" t="str">
        <f>IF(COUNTIFS(tbl_acties[cyclus_id],A2,tbl_acties[actie_type],"VOORINSPECTIE",tbl_acties[gepland_op],"&lt;&gt;")&gt;0,"OK","MIS")</f>
        <v>MIS</v>
      </c>
      <c r="N2" t="str">
        <f>IF(COUNTIFS(tbl_acties[cyclus_id],A2,tbl_acties[actie_type],"VOORINSPECTIE",tbl_acties[uitgevoerd_op],"&lt;&gt;")&gt;0,"OK","MIS")</f>
        <v>MIS</v>
      </c>
      <c r="O2" t="str">
        <f>IF(COUNTIFS(tbl_acties[cyclus_id],A2,tbl_acties[actie_type],"UITCHECK",tbl_acties[gepland_op],"&lt;&gt;")&gt;0,"OK","MIS")</f>
        <v>MIS</v>
      </c>
      <c r="P2" t="str">
        <f>IF(COUNTIFS(tbl_acties[cyclus_id],A2,tbl_acties[actie_type],"UITCHECK",tbl_acties[uitgevoerd_op],"&lt;&gt;",tbl_acties[verwachte_schoonmaak_uren],"&lt;&gt;")&gt;0,"OK","MIS")</f>
        <v>MIS</v>
      </c>
      <c r="Q2" t="str">
        <f>IF(COUNTIFS(tbl_acties[cyclus_id],A2,tbl_acties[actie_type],"SCHOONMAAK",tbl_acties[uitgevoerd_op],"&lt;&gt;",tbl_acties[werkelijke_schoonmaak_uren],"&lt;&gt;")&gt;0,"OK","MIS")</f>
        <v>MIS</v>
      </c>
      <c r="R2" t="str">
        <f>IF(COUNTIFS(tbl_acties[cyclus_id],A2,tbl_acties[actie_type],"INCHECK",tbl_acties[gepland_op],"&lt;&gt;")&gt;0,"OK","MIS")</f>
        <v>MIS</v>
      </c>
      <c r="S2" t="str">
        <f>IF(COUNTIFS(tbl_acties[cyclus_id],A2,tbl_acties[actie_type],"INCHECK",tbl_acties[uitgevoerd_op],"&lt;&gt;",tbl_acties[sleutels_bevestigd],"JA")&gt;0,"OK","MIS")</f>
        <v>MIS</v>
      </c>
      <c r="U2" t="str">
        <f t="shared" ref="U2:U46" si="0">IF(I2="UITCHECK_UITGEVOERD",IF(P2="OK","","FOUT: uitcheck mist uitgevoerd_op of verwachte uren"),IF(I2="SCHOONMAAK_NODIG",IF(P2="OK","","FOUT: schoonmaak kan pas na uitcheck"),IF(I2="INCHECK_UITGEVOERD",IF(S2="OK","","FOUT: incheck mist sleutelbevestiging/uitgevoerd"),"")))</f>
        <v/>
      </c>
    </row>
    <row r="3" spans="1:21" x14ac:dyDescent="0.2">
      <c r="A3" t="s">
        <v>104</v>
      </c>
      <c r="B3" t="s">
        <v>1655</v>
      </c>
      <c r="C3" t="str">
        <f>_xlfn.XLOOKUP(tbl_cycli[[#This Row],[huis_id]],OG_HUIZEN_LIJST!B:B,OG_HUIZEN_LIJST!C:C,"",0)</f>
        <v>Jasmijnring 35</v>
      </c>
      <c r="D3" t="s">
        <v>10</v>
      </c>
      <c r="E3" t="s">
        <v>18</v>
      </c>
      <c r="G3" s="2">
        <v>45930</v>
      </c>
      <c r="I3" t="s">
        <v>28</v>
      </c>
      <c r="J3" t="s">
        <v>102</v>
      </c>
      <c r="K3" t="s">
        <v>103</v>
      </c>
      <c r="L3" t="str">
        <f>B3&amp;"|"&amp;D3</f>
        <v>A-0088|JA</v>
      </c>
      <c r="M3" t="str">
        <f>IF(COUNTIFS(tbl_acties[cyclus_id],A3,tbl_acties[actie_type],"VOORINSPECTIE",tbl_acties[gepland_op],"&lt;&gt;")&gt;0,"OK","MIS")</f>
        <v>MIS</v>
      </c>
      <c r="N3" t="str">
        <f>IF(COUNTIFS(tbl_acties[cyclus_id],A3,tbl_acties[actie_type],"VOORINSPECTIE",tbl_acties[uitgevoerd_op],"&lt;&gt;")&gt;0,"OK","MIS")</f>
        <v>MIS</v>
      </c>
      <c r="O3" t="str">
        <f>IF(COUNTIFS(tbl_acties[cyclus_id],A3,tbl_acties[actie_type],"UITCHECK",tbl_acties[gepland_op],"&lt;&gt;")&gt;0,"OK","MIS")</f>
        <v>OK</v>
      </c>
      <c r="P3" t="str">
        <f>IF(COUNTIFS(tbl_acties[cyclus_id],A3,tbl_acties[actie_type],"UITCHECK",tbl_acties[uitgevoerd_op],"&lt;&gt;",tbl_acties[verwachte_schoonmaak_uren],"&lt;&gt;")&gt;0,"OK","MIS")</f>
        <v>MIS</v>
      </c>
      <c r="Q3" t="str">
        <f>IF(COUNTIFS(tbl_acties[cyclus_id],A3,tbl_acties[actie_type],"SCHOONMAAK",tbl_acties[uitgevoerd_op],"&lt;&gt;",tbl_acties[werkelijke_schoonmaak_uren],"&lt;&gt;")&gt;0,"OK","MIS")</f>
        <v>MIS</v>
      </c>
      <c r="R3" t="str">
        <f>IF(COUNTIFS(tbl_acties[cyclus_id],A3,tbl_acties[actie_type],"INCHECK",tbl_acties[gepland_op],"&lt;&gt;")&gt;0,"OK","MIS")</f>
        <v>MIS</v>
      </c>
      <c r="S3" t="str">
        <f>IF(COUNTIFS(tbl_acties[cyclus_id],A3,tbl_acties[actie_type],"INCHECK",tbl_acties[uitgevoerd_op],"&lt;&gt;",tbl_acties[sleutels_bevestigd],"JA")&gt;0,"OK","MIS")</f>
        <v>MIS</v>
      </c>
      <c r="U3" t="str">
        <f t="shared" si="0"/>
        <v/>
      </c>
    </row>
    <row r="4" spans="1:21" x14ac:dyDescent="0.2">
      <c r="A4" t="s">
        <v>105</v>
      </c>
      <c r="B4" t="s">
        <v>1426</v>
      </c>
      <c r="C4" t="str">
        <f>_xlfn.XLOOKUP(tbl_cycli[[#This Row],[huis_id]],OG_HUIZEN_LIJST!B:B,OG_HUIZEN_LIJST!C:C,"",0)</f>
        <v>Wedderweg 3</v>
      </c>
      <c r="D4" t="s">
        <v>10</v>
      </c>
      <c r="E4" t="s">
        <v>18</v>
      </c>
      <c r="G4" s="2">
        <v>45961</v>
      </c>
      <c r="H4" t="s">
        <v>106</v>
      </c>
      <c r="I4" t="s">
        <v>35</v>
      </c>
      <c r="J4" t="s">
        <v>102</v>
      </c>
      <c r="K4" t="s">
        <v>107</v>
      </c>
      <c r="L4" t="str">
        <f>B4&amp;"|"&amp;D4</f>
        <v>0368|JA</v>
      </c>
      <c r="M4" t="str">
        <f>IF(COUNTIFS(tbl_acties[cyclus_id],A4,tbl_acties[actie_type],"VOORINSPECTIE",tbl_acties[gepland_op],"&lt;&gt;")&gt;0,"OK","MIS")</f>
        <v>MIS</v>
      </c>
      <c r="N4" t="str">
        <f>IF(COUNTIFS(tbl_acties[cyclus_id],A4,tbl_acties[actie_type],"VOORINSPECTIE",tbl_acties[uitgevoerd_op],"&lt;&gt;")&gt;0,"OK","MIS")</f>
        <v>MIS</v>
      </c>
      <c r="O4" t="str">
        <f>IF(COUNTIFS(tbl_acties[cyclus_id],A4,tbl_acties[actie_type],"UITCHECK",tbl_acties[gepland_op],"&lt;&gt;")&gt;0,"OK","MIS")</f>
        <v>OK</v>
      </c>
      <c r="P4" t="str">
        <f>IF(COUNTIFS(tbl_acties[cyclus_id],A4,tbl_acties[actie_type],"UITCHECK",tbl_acties[uitgevoerd_op],"&lt;&gt;",tbl_acties[verwachte_schoonmaak_uren],"&lt;&gt;")&gt;0,"OK","MIS")</f>
        <v>MIS</v>
      </c>
      <c r="Q4" t="str">
        <f>IF(COUNTIFS(tbl_acties[cyclus_id],A4,tbl_acties[actie_type],"SCHOONMAAK",tbl_acties[uitgevoerd_op],"&lt;&gt;",tbl_acties[werkelijke_schoonmaak_uren],"&lt;&gt;")&gt;0,"OK","MIS")</f>
        <v>MIS</v>
      </c>
      <c r="R4" t="str">
        <f>IF(COUNTIFS(tbl_acties[cyclus_id],A4,tbl_acties[actie_type],"INCHECK",tbl_acties[gepland_op],"&lt;&gt;")&gt;0,"OK","MIS")</f>
        <v>MIS</v>
      </c>
      <c r="S4" t="str">
        <f>IF(COUNTIFS(tbl_acties[cyclus_id],A4,tbl_acties[actie_type],"INCHECK",tbl_acties[uitgevoerd_op],"&lt;&gt;",tbl_acties[sleutels_bevestigd],"JA")&gt;0,"OK","MIS")</f>
        <v>MIS</v>
      </c>
      <c r="U4" t="str">
        <f t="shared" si="0"/>
        <v/>
      </c>
    </row>
    <row r="5" spans="1:21" x14ac:dyDescent="0.2">
      <c r="A5" t="s">
        <v>108</v>
      </c>
      <c r="B5" t="s">
        <v>1397</v>
      </c>
      <c r="C5" t="str">
        <f>_xlfn.XLOOKUP(tbl_cycli[[#This Row],[huis_id]],OG_HUIZEN_LIJST!B:B,OG_HUIZEN_LIJST!C:C,"",0)</f>
        <v>Monsterseweg 26A</v>
      </c>
      <c r="D5" t="s">
        <v>10</v>
      </c>
      <c r="E5" t="s">
        <v>11</v>
      </c>
      <c r="G5" s="2">
        <v>45967</v>
      </c>
      <c r="I5" t="s">
        <v>28</v>
      </c>
      <c r="J5" t="s">
        <v>102</v>
      </c>
      <c r="K5" t="s">
        <v>109</v>
      </c>
      <c r="L5" t="str">
        <f>B5&amp;"|"&amp;D5</f>
        <v>0358|JA</v>
      </c>
      <c r="M5" t="str">
        <f>IF(COUNTIFS(tbl_acties[cyclus_id],A5,tbl_acties[actie_type],"VOORINSPECTIE",tbl_acties[gepland_op],"&lt;&gt;")&gt;0,"OK","MIS")</f>
        <v>MIS</v>
      </c>
      <c r="N5" t="str">
        <f>IF(COUNTIFS(tbl_acties[cyclus_id],A5,tbl_acties[actie_type],"VOORINSPECTIE",tbl_acties[uitgevoerd_op],"&lt;&gt;")&gt;0,"OK","MIS")</f>
        <v>MIS</v>
      </c>
      <c r="O5" t="str">
        <f>IF(COUNTIFS(tbl_acties[cyclus_id],A5,tbl_acties[actie_type],"UITCHECK",tbl_acties[gepland_op],"&lt;&gt;")&gt;0,"OK","MIS")</f>
        <v>OK</v>
      </c>
      <c r="P5" t="str">
        <f>IF(COUNTIFS(tbl_acties[cyclus_id],A5,tbl_acties[actie_type],"UITCHECK",tbl_acties[uitgevoerd_op],"&lt;&gt;",tbl_acties[verwachte_schoonmaak_uren],"&lt;&gt;")&gt;0,"OK","MIS")</f>
        <v>MIS</v>
      </c>
      <c r="Q5" t="str">
        <f>IF(COUNTIFS(tbl_acties[cyclus_id],A5,tbl_acties[actie_type],"SCHOONMAAK",tbl_acties[uitgevoerd_op],"&lt;&gt;",tbl_acties[werkelijke_schoonmaak_uren],"&lt;&gt;")&gt;0,"OK","MIS")</f>
        <v>MIS</v>
      </c>
      <c r="R5" t="str">
        <f>IF(COUNTIFS(tbl_acties[cyclus_id],A5,tbl_acties[actie_type],"INCHECK",tbl_acties[gepland_op],"&lt;&gt;")&gt;0,"OK","MIS")</f>
        <v>MIS</v>
      </c>
      <c r="S5" t="str">
        <f>IF(COUNTIFS(tbl_acties[cyclus_id],A5,tbl_acties[actie_type],"INCHECK",tbl_acties[uitgevoerd_op],"&lt;&gt;",tbl_acties[sleutels_bevestigd],"JA")&gt;0,"OK","MIS")</f>
        <v>MIS</v>
      </c>
      <c r="U5" t="str">
        <f t="shared" si="0"/>
        <v/>
      </c>
    </row>
    <row r="6" spans="1:21" x14ac:dyDescent="0.2">
      <c r="A6" t="s">
        <v>110</v>
      </c>
      <c r="B6" t="s">
        <v>445</v>
      </c>
      <c r="C6" t="str">
        <f>_xlfn.XLOOKUP(tbl_cycli[[#This Row],[huis_id]],OG_HUIZEN_LIJST!B:B,OG_HUIZEN_LIJST!C:C,"",0)</f>
        <v>Nunspeetlaan 53</v>
      </c>
      <c r="D6" t="s">
        <v>10</v>
      </c>
      <c r="E6" t="s">
        <v>18</v>
      </c>
      <c r="G6" s="2">
        <v>45989</v>
      </c>
      <c r="I6" t="s">
        <v>28</v>
      </c>
      <c r="J6" t="s">
        <v>102</v>
      </c>
      <c r="K6" t="s">
        <v>111</v>
      </c>
      <c r="L6" t="str">
        <f>B6&amp;"|"&amp;D6</f>
        <v>0041|JA</v>
      </c>
      <c r="M6" t="str">
        <f>IF(COUNTIFS(tbl_acties[cyclus_id],A6,tbl_acties[actie_type],"VOORINSPECTIE",tbl_acties[gepland_op],"&lt;&gt;")&gt;0,"OK","MIS")</f>
        <v>MIS</v>
      </c>
      <c r="N6" t="str">
        <f>IF(COUNTIFS(tbl_acties[cyclus_id],A6,tbl_acties[actie_type],"VOORINSPECTIE",tbl_acties[uitgevoerd_op],"&lt;&gt;")&gt;0,"OK","MIS")</f>
        <v>MIS</v>
      </c>
      <c r="O6" t="str">
        <f>IF(COUNTIFS(tbl_acties[cyclus_id],A6,tbl_acties[actie_type],"UITCHECK",tbl_acties[gepland_op],"&lt;&gt;")&gt;0,"OK","MIS")</f>
        <v>MIS</v>
      </c>
      <c r="P6" t="str">
        <f>IF(COUNTIFS(tbl_acties[cyclus_id],A6,tbl_acties[actie_type],"UITCHECK",tbl_acties[uitgevoerd_op],"&lt;&gt;",tbl_acties[verwachte_schoonmaak_uren],"&lt;&gt;")&gt;0,"OK","MIS")</f>
        <v>MIS</v>
      </c>
      <c r="Q6" t="str">
        <f>IF(COUNTIFS(tbl_acties[cyclus_id],A6,tbl_acties[actie_type],"SCHOONMAAK",tbl_acties[uitgevoerd_op],"&lt;&gt;",tbl_acties[werkelijke_schoonmaak_uren],"&lt;&gt;")&gt;0,"OK","MIS")</f>
        <v>MIS</v>
      </c>
      <c r="R6" t="str">
        <f>IF(COUNTIFS(tbl_acties[cyclus_id],A6,tbl_acties[actie_type],"INCHECK",tbl_acties[gepland_op],"&lt;&gt;")&gt;0,"OK","MIS")</f>
        <v>MIS</v>
      </c>
      <c r="S6" t="str">
        <f>IF(COUNTIFS(tbl_acties[cyclus_id],A6,tbl_acties[actie_type],"INCHECK",tbl_acties[uitgevoerd_op],"&lt;&gt;",tbl_acties[sleutels_bevestigd],"JA")&gt;0,"OK","MIS")</f>
        <v>MIS</v>
      </c>
      <c r="U6" t="str">
        <f t="shared" si="0"/>
        <v/>
      </c>
    </row>
    <row r="7" spans="1:21" x14ac:dyDescent="0.2">
      <c r="A7" t="s">
        <v>112</v>
      </c>
      <c r="B7" t="s">
        <v>1238</v>
      </c>
      <c r="C7" t="str">
        <f>_xlfn.XLOOKUP(tbl_cycli[[#This Row],[huis_id]],OG_HUIZEN_LIJST!B:B,OG_HUIZEN_LIJST!C:C,"",0)</f>
        <v>Akkerweg 41 [018]</v>
      </c>
      <c r="D7" t="s">
        <v>10</v>
      </c>
      <c r="E7" t="s">
        <v>18</v>
      </c>
      <c r="G7" s="2">
        <v>45962</v>
      </c>
      <c r="I7" t="s">
        <v>28</v>
      </c>
      <c r="J7" t="s">
        <v>102</v>
      </c>
      <c r="K7" t="s">
        <v>103</v>
      </c>
      <c r="L7" t="str">
        <f>B7&amp;"|"&amp;D7</f>
        <v>0295|JA</v>
      </c>
      <c r="M7" t="str">
        <f>IF(COUNTIFS(tbl_acties[cyclus_id],A7,tbl_acties[actie_type],"VOORINSPECTIE",tbl_acties[gepland_op],"&lt;&gt;")&gt;0,"OK","MIS")</f>
        <v>MIS</v>
      </c>
      <c r="N7" t="str">
        <f>IF(COUNTIFS(tbl_acties[cyclus_id],A7,tbl_acties[actie_type],"VOORINSPECTIE",tbl_acties[uitgevoerd_op],"&lt;&gt;")&gt;0,"OK","MIS")</f>
        <v>MIS</v>
      </c>
      <c r="O7" t="str">
        <f>IF(COUNTIFS(tbl_acties[cyclus_id],A7,tbl_acties[actie_type],"UITCHECK",tbl_acties[gepland_op],"&lt;&gt;")&gt;0,"OK","MIS")</f>
        <v>OK</v>
      </c>
      <c r="P7" t="str">
        <f>IF(COUNTIFS(tbl_acties[cyclus_id],A7,tbl_acties[actie_type],"UITCHECK",tbl_acties[uitgevoerd_op],"&lt;&gt;",tbl_acties[verwachte_schoonmaak_uren],"&lt;&gt;")&gt;0,"OK","MIS")</f>
        <v>MIS</v>
      </c>
      <c r="Q7" t="str">
        <f>IF(COUNTIFS(tbl_acties[cyclus_id],A7,tbl_acties[actie_type],"SCHOONMAAK",tbl_acties[uitgevoerd_op],"&lt;&gt;",tbl_acties[werkelijke_schoonmaak_uren],"&lt;&gt;")&gt;0,"OK","MIS")</f>
        <v>MIS</v>
      </c>
      <c r="R7" t="str">
        <f>IF(COUNTIFS(tbl_acties[cyclus_id],A7,tbl_acties[actie_type],"INCHECK",tbl_acties[gepland_op],"&lt;&gt;")&gt;0,"OK","MIS")</f>
        <v>MIS</v>
      </c>
      <c r="S7" t="str">
        <f>IF(COUNTIFS(tbl_acties[cyclus_id],A7,tbl_acties[actie_type],"INCHECK",tbl_acties[uitgevoerd_op],"&lt;&gt;",tbl_acties[sleutels_bevestigd],"JA")&gt;0,"OK","MIS")</f>
        <v>MIS</v>
      </c>
      <c r="U7" t="str">
        <f t="shared" si="0"/>
        <v/>
      </c>
    </row>
    <row r="8" spans="1:21" x14ac:dyDescent="0.2">
      <c r="A8" t="s">
        <v>113</v>
      </c>
      <c r="B8" t="s">
        <v>1248</v>
      </c>
      <c r="C8" t="str">
        <f>_xlfn.XLOOKUP(tbl_cycli[[#This Row],[huis_id]],OG_HUIZEN_LIJST!B:B,OG_HUIZEN_LIJST!C:C,"",0)</f>
        <v>Akkerweg 41 [040]</v>
      </c>
      <c r="D8" t="s">
        <v>10</v>
      </c>
      <c r="E8" t="s">
        <v>18</v>
      </c>
      <c r="G8" s="2">
        <v>45991</v>
      </c>
      <c r="I8" t="s">
        <v>28</v>
      </c>
      <c r="J8" t="s">
        <v>102</v>
      </c>
      <c r="K8" t="s">
        <v>103</v>
      </c>
      <c r="L8" t="str">
        <f>B8&amp;"|"&amp;D8</f>
        <v>0300|JA</v>
      </c>
      <c r="M8" t="str">
        <f>IF(COUNTIFS(tbl_acties[cyclus_id],A8,tbl_acties[actie_type],"VOORINSPECTIE",tbl_acties[gepland_op],"&lt;&gt;")&gt;0,"OK","MIS")</f>
        <v>MIS</v>
      </c>
      <c r="N8" t="str">
        <f>IF(COUNTIFS(tbl_acties[cyclus_id],A8,tbl_acties[actie_type],"VOORINSPECTIE",tbl_acties[uitgevoerd_op],"&lt;&gt;")&gt;0,"OK","MIS")</f>
        <v>MIS</v>
      </c>
      <c r="O8" t="str">
        <f>IF(COUNTIFS(tbl_acties[cyclus_id],A8,tbl_acties[actie_type],"UITCHECK",tbl_acties[gepland_op],"&lt;&gt;")&gt;0,"OK","MIS")</f>
        <v>OK</v>
      </c>
      <c r="P8" t="str">
        <f>IF(COUNTIFS(tbl_acties[cyclus_id],A8,tbl_acties[actie_type],"UITCHECK",tbl_acties[uitgevoerd_op],"&lt;&gt;",tbl_acties[verwachte_schoonmaak_uren],"&lt;&gt;")&gt;0,"OK","MIS")</f>
        <v>MIS</v>
      </c>
      <c r="Q8" t="str">
        <f>IF(COUNTIFS(tbl_acties[cyclus_id],A8,tbl_acties[actie_type],"SCHOONMAAK",tbl_acties[uitgevoerd_op],"&lt;&gt;",tbl_acties[werkelijke_schoonmaak_uren],"&lt;&gt;")&gt;0,"OK","MIS")</f>
        <v>MIS</v>
      </c>
      <c r="R8" t="str">
        <f>IF(COUNTIFS(tbl_acties[cyclus_id],A8,tbl_acties[actie_type],"INCHECK",tbl_acties[gepland_op],"&lt;&gt;")&gt;0,"OK","MIS")</f>
        <v>MIS</v>
      </c>
      <c r="S8" t="str">
        <f>IF(COUNTIFS(tbl_acties[cyclus_id],A8,tbl_acties[actie_type],"INCHECK",tbl_acties[uitgevoerd_op],"&lt;&gt;",tbl_acties[sleutels_bevestigd],"JA")&gt;0,"OK","MIS")</f>
        <v>MIS</v>
      </c>
      <c r="U8" t="str">
        <f t="shared" si="0"/>
        <v/>
      </c>
    </row>
    <row r="9" spans="1:21" x14ac:dyDescent="0.2">
      <c r="A9" t="s">
        <v>114</v>
      </c>
      <c r="B9" t="s">
        <v>1395</v>
      </c>
      <c r="C9" t="str">
        <f>_xlfn.XLOOKUP(tbl_cycli[[#This Row],[huis_id]],OG_HUIZEN_LIJST!B:B,OG_HUIZEN_LIJST!C:C,"",0)</f>
        <v>Akkerweg 41 [038]</v>
      </c>
      <c r="D9" t="s">
        <v>10</v>
      </c>
      <c r="E9" t="s">
        <v>18</v>
      </c>
      <c r="G9" s="2">
        <v>45962</v>
      </c>
      <c r="I9" t="s">
        <v>8</v>
      </c>
      <c r="J9" t="s">
        <v>102</v>
      </c>
      <c r="K9" t="s">
        <v>103</v>
      </c>
      <c r="L9" t="str">
        <f>B9&amp;"|"&amp;D9</f>
        <v>0357|JA</v>
      </c>
      <c r="M9" t="str">
        <f>IF(COUNTIFS(tbl_acties[cyclus_id],A9,tbl_acties[actie_type],"VOORINSPECTIE",tbl_acties[gepland_op],"&lt;&gt;")&gt;0,"OK","MIS")</f>
        <v>MIS</v>
      </c>
      <c r="N9" t="str">
        <f>IF(COUNTIFS(tbl_acties[cyclus_id],A9,tbl_acties[actie_type],"VOORINSPECTIE",tbl_acties[uitgevoerd_op],"&lt;&gt;")&gt;0,"OK","MIS")</f>
        <v>MIS</v>
      </c>
      <c r="O9" t="str">
        <f>IF(COUNTIFS(tbl_acties[cyclus_id],A9,tbl_acties[actie_type],"UITCHECK",tbl_acties[gepland_op],"&lt;&gt;")&gt;0,"OK","MIS")</f>
        <v>MIS</v>
      </c>
      <c r="P9" t="str">
        <f>IF(COUNTIFS(tbl_acties[cyclus_id],A9,tbl_acties[actie_type],"UITCHECK",tbl_acties[uitgevoerd_op],"&lt;&gt;",tbl_acties[verwachte_schoonmaak_uren],"&lt;&gt;")&gt;0,"OK","MIS")</f>
        <v>MIS</v>
      </c>
      <c r="Q9" t="str">
        <f>IF(COUNTIFS(tbl_acties[cyclus_id],A9,tbl_acties[actie_type],"SCHOONMAAK",tbl_acties[uitgevoerd_op],"&lt;&gt;",tbl_acties[werkelijke_schoonmaak_uren],"&lt;&gt;")&gt;0,"OK","MIS")</f>
        <v>MIS</v>
      </c>
      <c r="R9" t="str">
        <f>IF(COUNTIFS(tbl_acties[cyclus_id],A9,tbl_acties[actie_type],"INCHECK",tbl_acties[gepland_op],"&lt;&gt;")&gt;0,"OK","MIS")</f>
        <v>MIS</v>
      </c>
      <c r="S9" t="str">
        <f>IF(COUNTIFS(tbl_acties[cyclus_id],A9,tbl_acties[actie_type],"INCHECK",tbl_acties[uitgevoerd_op],"&lt;&gt;",tbl_acties[sleutels_bevestigd],"JA")&gt;0,"OK","MIS")</f>
        <v>MIS</v>
      </c>
      <c r="U9" t="str">
        <f t="shared" si="0"/>
        <v/>
      </c>
    </row>
    <row r="10" spans="1:21" x14ac:dyDescent="0.2">
      <c r="A10" t="s">
        <v>115</v>
      </c>
      <c r="B10" t="s">
        <v>1475</v>
      </c>
      <c r="C10" t="str">
        <f>_xlfn.XLOOKUP(tbl_cycli[[#This Row],[huis_id]],OG_HUIZEN_LIJST!B:B,OG_HUIZEN_LIJST!C:C,"",0)</f>
        <v>Akkerweg 41 [058]</v>
      </c>
      <c r="D10" t="s">
        <v>10</v>
      </c>
      <c r="E10" t="s">
        <v>18</v>
      </c>
      <c r="G10" s="2">
        <v>45991</v>
      </c>
      <c r="I10" t="s">
        <v>28</v>
      </c>
      <c r="J10" t="s">
        <v>102</v>
      </c>
      <c r="K10" t="s">
        <v>116</v>
      </c>
      <c r="L10" t="str">
        <f>B10&amp;"|"&amp;D10</f>
        <v>0384|JA</v>
      </c>
      <c r="M10" t="str">
        <f>IF(COUNTIFS(tbl_acties[cyclus_id],A10,tbl_acties[actie_type],"VOORINSPECTIE",tbl_acties[gepland_op],"&lt;&gt;")&gt;0,"OK","MIS")</f>
        <v>MIS</v>
      </c>
      <c r="N10" t="str">
        <f>IF(COUNTIFS(tbl_acties[cyclus_id],A10,tbl_acties[actie_type],"VOORINSPECTIE",tbl_acties[uitgevoerd_op],"&lt;&gt;")&gt;0,"OK","MIS")</f>
        <v>MIS</v>
      </c>
      <c r="O10" t="str">
        <f>IF(COUNTIFS(tbl_acties[cyclus_id],A10,tbl_acties[actie_type],"UITCHECK",tbl_acties[gepland_op],"&lt;&gt;")&gt;0,"OK","MIS")</f>
        <v>OK</v>
      </c>
      <c r="P10" t="str">
        <f>IF(COUNTIFS(tbl_acties[cyclus_id],A10,tbl_acties[actie_type],"UITCHECK",tbl_acties[uitgevoerd_op],"&lt;&gt;",tbl_acties[verwachte_schoonmaak_uren],"&lt;&gt;")&gt;0,"OK","MIS")</f>
        <v>MIS</v>
      </c>
      <c r="Q10" t="str">
        <f>IF(COUNTIFS(tbl_acties[cyclus_id],A10,tbl_acties[actie_type],"SCHOONMAAK",tbl_acties[uitgevoerd_op],"&lt;&gt;",tbl_acties[werkelijke_schoonmaak_uren],"&lt;&gt;")&gt;0,"OK","MIS")</f>
        <v>MIS</v>
      </c>
      <c r="R10" t="str">
        <f>IF(COUNTIFS(tbl_acties[cyclus_id],A10,tbl_acties[actie_type],"INCHECK",tbl_acties[gepland_op],"&lt;&gt;")&gt;0,"OK","MIS")</f>
        <v>MIS</v>
      </c>
      <c r="S10" t="str">
        <f>IF(COUNTIFS(tbl_acties[cyclus_id],A10,tbl_acties[actie_type],"INCHECK",tbl_acties[uitgevoerd_op],"&lt;&gt;",tbl_acties[sleutels_bevestigd],"JA")&gt;0,"OK","MIS")</f>
        <v>MIS</v>
      </c>
      <c r="U10" t="str">
        <f t="shared" si="0"/>
        <v/>
      </c>
    </row>
    <row r="11" spans="1:21" x14ac:dyDescent="0.2">
      <c r="A11" t="s">
        <v>117</v>
      </c>
      <c r="B11" t="s">
        <v>651</v>
      </c>
      <c r="C11" t="str">
        <f>_xlfn.XLOOKUP(tbl_cycli[[#This Row],[huis_id]],OG_HUIZEN_LIJST!B:B,OG_HUIZEN_LIJST!C:C,"",0)</f>
        <v>Moureauveld 8</v>
      </c>
      <c r="D11" t="s">
        <v>10</v>
      </c>
      <c r="E11" t="s">
        <v>18</v>
      </c>
      <c r="G11" s="2">
        <v>45991</v>
      </c>
      <c r="H11" s="2">
        <v>45996</v>
      </c>
      <c r="I11" t="s">
        <v>35</v>
      </c>
      <c r="J11" t="s">
        <v>102</v>
      </c>
      <c r="K11" t="s">
        <v>103</v>
      </c>
      <c r="L11" t="str">
        <f>B11&amp;"|"&amp;D11</f>
        <v>0101|JA</v>
      </c>
      <c r="M11" t="str">
        <f>IF(COUNTIFS(tbl_acties[cyclus_id],A11,tbl_acties[actie_type],"VOORINSPECTIE",tbl_acties[gepland_op],"&lt;&gt;")&gt;0,"OK","MIS")</f>
        <v>MIS</v>
      </c>
      <c r="N11" t="str">
        <f>IF(COUNTIFS(tbl_acties[cyclus_id],A11,tbl_acties[actie_type],"VOORINSPECTIE",tbl_acties[uitgevoerd_op],"&lt;&gt;")&gt;0,"OK","MIS")</f>
        <v>MIS</v>
      </c>
      <c r="O11" t="str">
        <f>IF(COUNTIFS(tbl_acties[cyclus_id],A11,tbl_acties[actie_type],"UITCHECK",tbl_acties[gepland_op],"&lt;&gt;")&gt;0,"OK","MIS")</f>
        <v>OK</v>
      </c>
      <c r="P11" t="str">
        <f>IF(COUNTIFS(tbl_acties[cyclus_id],A11,tbl_acties[actie_type],"UITCHECK",tbl_acties[uitgevoerd_op],"&lt;&gt;",tbl_acties[verwachte_schoonmaak_uren],"&lt;&gt;")&gt;0,"OK","MIS")</f>
        <v>MIS</v>
      </c>
      <c r="Q11" t="str">
        <f>IF(COUNTIFS(tbl_acties[cyclus_id],A11,tbl_acties[actie_type],"SCHOONMAAK",tbl_acties[uitgevoerd_op],"&lt;&gt;",tbl_acties[werkelijke_schoonmaak_uren],"&lt;&gt;")&gt;0,"OK","MIS")</f>
        <v>MIS</v>
      </c>
      <c r="R11" t="str">
        <f>IF(COUNTIFS(tbl_acties[cyclus_id],A11,tbl_acties[actie_type],"INCHECK",tbl_acties[gepland_op],"&lt;&gt;")&gt;0,"OK","MIS")</f>
        <v>OK</v>
      </c>
      <c r="S11" t="str">
        <f>IF(COUNTIFS(tbl_acties[cyclus_id],A11,tbl_acties[actie_type],"INCHECK",tbl_acties[uitgevoerd_op],"&lt;&gt;",tbl_acties[sleutels_bevestigd],"JA")&gt;0,"OK","MIS")</f>
        <v>MIS</v>
      </c>
      <c r="U11" t="str">
        <f t="shared" si="0"/>
        <v/>
      </c>
    </row>
    <row r="12" spans="1:21" x14ac:dyDescent="0.2">
      <c r="A12" t="s">
        <v>118</v>
      </c>
      <c r="B12" t="s">
        <v>1091</v>
      </c>
      <c r="C12" t="str">
        <f>_xlfn.XLOOKUP(tbl_cycli[[#This Row],[huis_id]],OG_HUIZEN_LIJST!B:B,OG_HUIZEN_LIJST!C:C,"",0)</f>
        <v>Schoonegge 84</v>
      </c>
      <c r="D12" t="s">
        <v>10</v>
      </c>
      <c r="E12" t="s">
        <v>11</v>
      </c>
      <c r="G12" s="2"/>
      <c r="I12" t="s">
        <v>28</v>
      </c>
      <c r="J12" t="s">
        <v>102</v>
      </c>
      <c r="K12" t="s">
        <v>119</v>
      </c>
      <c r="L12" t="str">
        <f>B12&amp;"|"&amp;D12</f>
        <v>0240|JA</v>
      </c>
      <c r="M12" t="str">
        <f>IF(COUNTIFS(tbl_acties[cyclus_id],A12,tbl_acties[actie_type],"VOORINSPECTIE",tbl_acties[gepland_op],"&lt;&gt;")&gt;0,"OK","MIS")</f>
        <v>OK</v>
      </c>
      <c r="N12" t="str">
        <f>IF(COUNTIFS(tbl_acties[cyclus_id],A12,tbl_acties[actie_type],"VOORINSPECTIE",tbl_acties[uitgevoerd_op],"&lt;&gt;")&gt;0,"OK","MIS")</f>
        <v>MIS</v>
      </c>
      <c r="O12" t="str">
        <f>IF(COUNTIFS(tbl_acties[cyclus_id],A12,tbl_acties[actie_type],"UITCHECK",tbl_acties[gepland_op],"&lt;&gt;")&gt;0,"OK","MIS")</f>
        <v>OK</v>
      </c>
      <c r="P12" t="str">
        <f>IF(COUNTIFS(tbl_acties[cyclus_id],A12,tbl_acties[actie_type],"UITCHECK",tbl_acties[uitgevoerd_op],"&lt;&gt;",tbl_acties[verwachte_schoonmaak_uren],"&lt;&gt;")&gt;0,"OK","MIS")</f>
        <v>MIS</v>
      </c>
      <c r="Q12" t="str">
        <f>IF(COUNTIFS(tbl_acties[cyclus_id],A12,tbl_acties[actie_type],"SCHOONMAAK",tbl_acties[uitgevoerd_op],"&lt;&gt;",tbl_acties[werkelijke_schoonmaak_uren],"&lt;&gt;")&gt;0,"OK","MIS")</f>
        <v>MIS</v>
      </c>
      <c r="R12" t="str">
        <f>IF(COUNTIFS(tbl_acties[cyclus_id],A12,tbl_acties[actie_type],"INCHECK",tbl_acties[gepland_op],"&lt;&gt;")&gt;0,"OK","MIS")</f>
        <v>MIS</v>
      </c>
      <c r="S12" t="str">
        <f>IF(COUNTIFS(tbl_acties[cyclus_id],A12,tbl_acties[actie_type],"INCHECK",tbl_acties[uitgevoerd_op],"&lt;&gt;",tbl_acties[sleutels_bevestigd],"JA")&gt;0,"OK","MIS")</f>
        <v>MIS</v>
      </c>
      <c r="U12" t="str">
        <f t="shared" si="0"/>
        <v/>
      </c>
    </row>
    <row r="13" spans="1:21" x14ac:dyDescent="0.2">
      <c r="A13" t="s">
        <v>120</v>
      </c>
      <c r="B13" t="s">
        <v>952</v>
      </c>
      <c r="C13" t="str">
        <f>_xlfn.XLOOKUP(tbl_cycli[[#This Row],[huis_id]],OG_HUIZEN_LIJST!B:B,OG_HUIZEN_LIJST!C:C,"",0)</f>
        <v>Kapershoek 11</v>
      </c>
      <c r="D13" t="s">
        <v>10</v>
      </c>
      <c r="E13" t="s">
        <v>11</v>
      </c>
      <c r="G13" s="2"/>
      <c r="H13" s="2">
        <v>46003</v>
      </c>
      <c r="I13" t="s">
        <v>35</v>
      </c>
      <c r="J13" t="s">
        <v>102</v>
      </c>
      <c r="K13" t="s">
        <v>103</v>
      </c>
      <c r="L13" t="str">
        <f>B13&amp;"|"&amp;D13</f>
        <v>0193|JA</v>
      </c>
      <c r="M13" t="str">
        <f>IF(COUNTIFS(tbl_acties[cyclus_id],A13,tbl_acties[actie_type],"VOORINSPECTIE",tbl_acties[gepland_op],"&lt;&gt;")&gt;0,"OK","MIS")</f>
        <v>MIS</v>
      </c>
      <c r="N13" t="str">
        <f>IF(COUNTIFS(tbl_acties[cyclus_id],A13,tbl_acties[actie_type],"VOORINSPECTIE",tbl_acties[uitgevoerd_op],"&lt;&gt;")&gt;0,"OK","MIS")</f>
        <v>MIS</v>
      </c>
      <c r="O13" t="str">
        <f>IF(COUNTIFS(tbl_acties[cyclus_id],A13,tbl_acties[actie_type],"UITCHECK",tbl_acties[gepland_op],"&lt;&gt;")&gt;0,"OK","MIS")</f>
        <v>MIS</v>
      </c>
      <c r="P13" t="str">
        <f>IF(COUNTIFS(tbl_acties[cyclus_id],A13,tbl_acties[actie_type],"UITCHECK",tbl_acties[uitgevoerd_op],"&lt;&gt;",tbl_acties[verwachte_schoonmaak_uren],"&lt;&gt;")&gt;0,"OK","MIS")</f>
        <v>MIS</v>
      </c>
      <c r="Q13" t="str">
        <f>IF(COUNTIFS(tbl_acties[cyclus_id],A13,tbl_acties[actie_type],"SCHOONMAAK",tbl_acties[uitgevoerd_op],"&lt;&gt;",tbl_acties[werkelijke_schoonmaak_uren],"&lt;&gt;")&gt;0,"OK","MIS")</f>
        <v>MIS</v>
      </c>
      <c r="R13" t="str">
        <f>IF(COUNTIFS(tbl_acties[cyclus_id],A13,tbl_acties[actie_type],"INCHECK",tbl_acties[gepland_op],"&lt;&gt;")&gt;0,"OK","MIS")</f>
        <v>OK</v>
      </c>
      <c r="S13" t="str">
        <f>IF(COUNTIFS(tbl_acties[cyclus_id],A13,tbl_acties[actie_type],"INCHECK",tbl_acties[uitgevoerd_op],"&lt;&gt;",tbl_acties[sleutels_bevestigd],"JA")&gt;0,"OK","MIS")</f>
        <v>MIS</v>
      </c>
      <c r="U13" t="str">
        <f t="shared" si="0"/>
        <v/>
      </c>
    </row>
    <row r="14" spans="1:21" x14ac:dyDescent="0.2">
      <c r="A14" t="s">
        <v>121</v>
      </c>
      <c r="B14" t="s">
        <v>1350</v>
      </c>
      <c r="C14" t="str">
        <f>_xlfn.XLOOKUP(tbl_cycli[[#This Row],[huis_id]],OG_HUIZEN_LIJST!B:B,OG_HUIZEN_LIJST!C:C,"",0)</f>
        <v>Akkerweg 41 [010]</v>
      </c>
      <c r="D14" t="s">
        <v>10</v>
      </c>
      <c r="E14" t="s">
        <v>18</v>
      </c>
      <c r="G14" s="2">
        <v>45992</v>
      </c>
      <c r="I14" t="s">
        <v>28</v>
      </c>
      <c r="J14" t="s">
        <v>102</v>
      </c>
      <c r="K14" t="s">
        <v>122</v>
      </c>
      <c r="L14" t="str">
        <f>B14&amp;"|"&amp;D14</f>
        <v>0341|JA</v>
      </c>
      <c r="M14" t="str">
        <f>IF(COUNTIFS(tbl_acties[cyclus_id],A14,tbl_acties[actie_type],"VOORINSPECTIE",tbl_acties[gepland_op],"&lt;&gt;")&gt;0,"OK","MIS")</f>
        <v>MIS</v>
      </c>
      <c r="N14" t="str">
        <f>IF(COUNTIFS(tbl_acties[cyclus_id],A14,tbl_acties[actie_type],"VOORINSPECTIE",tbl_acties[uitgevoerd_op],"&lt;&gt;")&gt;0,"OK","MIS")</f>
        <v>MIS</v>
      </c>
      <c r="O14" t="str">
        <f>IF(COUNTIFS(tbl_acties[cyclus_id],A14,tbl_acties[actie_type],"UITCHECK",tbl_acties[gepland_op],"&lt;&gt;")&gt;0,"OK","MIS")</f>
        <v>OK</v>
      </c>
      <c r="P14" t="str">
        <f>IF(COUNTIFS(tbl_acties[cyclus_id],A14,tbl_acties[actie_type],"UITCHECK",tbl_acties[uitgevoerd_op],"&lt;&gt;",tbl_acties[verwachte_schoonmaak_uren],"&lt;&gt;")&gt;0,"OK","MIS")</f>
        <v>MIS</v>
      </c>
      <c r="Q14" t="str">
        <f>IF(COUNTIFS(tbl_acties[cyclus_id],A14,tbl_acties[actie_type],"SCHOONMAAK",tbl_acties[uitgevoerd_op],"&lt;&gt;",tbl_acties[werkelijke_schoonmaak_uren],"&lt;&gt;")&gt;0,"OK","MIS")</f>
        <v>MIS</v>
      </c>
      <c r="R14" t="str">
        <f>IF(COUNTIFS(tbl_acties[cyclus_id],A14,tbl_acties[actie_type],"INCHECK",tbl_acties[gepland_op],"&lt;&gt;")&gt;0,"OK","MIS")</f>
        <v>MIS</v>
      </c>
      <c r="S14" t="str">
        <f>IF(COUNTIFS(tbl_acties[cyclus_id],A14,tbl_acties[actie_type],"INCHECK",tbl_acties[uitgevoerd_op],"&lt;&gt;",tbl_acties[sleutels_bevestigd],"JA")&gt;0,"OK","MIS")</f>
        <v>MIS</v>
      </c>
      <c r="U14" t="str">
        <f t="shared" si="0"/>
        <v/>
      </c>
    </row>
    <row r="15" spans="1:21" x14ac:dyDescent="0.2">
      <c r="A15" t="s">
        <v>123</v>
      </c>
      <c r="B15" t="s">
        <v>1352</v>
      </c>
      <c r="C15" t="str">
        <f>_xlfn.XLOOKUP(tbl_cycli[[#This Row],[huis_id]],OG_HUIZEN_LIJST!B:B,OG_HUIZEN_LIJST!C:C,"",0)</f>
        <v>Akkerweg 41 [016]</v>
      </c>
      <c r="D15" t="s">
        <v>10</v>
      </c>
      <c r="E15" t="s">
        <v>18</v>
      </c>
      <c r="G15" s="2">
        <v>45992</v>
      </c>
      <c r="I15" t="s">
        <v>28</v>
      </c>
      <c r="J15" t="s">
        <v>102</v>
      </c>
      <c r="K15" t="s">
        <v>122</v>
      </c>
      <c r="L15" t="str">
        <f>B15&amp;"|"&amp;D15</f>
        <v>0342|JA</v>
      </c>
      <c r="M15" t="str">
        <f>IF(COUNTIFS(tbl_acties[cyclus_id],A15,tbl_acties[actie_type],"VOORINSPECTIE",tbl_acties[gepland_op],"&lt;&gt;")&gt;0,"OK","MIS")</f>
        <v>MIS</v>
      </c>
      <c r="N15" t="str">
        <f>IF(COUNTIFS(tbl_acties[cyclus_id],A15,tbl_acties[actie_type],"VOORINSPECTIE",tbl_acties[uitgevoerd_op],"&lt;&gt;")&gt;0,"OK","MIS")</f>
        <v>MIS</v>
      </c>
      <c r="O15" t="str">
        <f>IF(COUNTIFS(tbl_acties[cyclus_id],A15,tbl_acties[actie_type],"UITCHECK",tbl_acties[gepland_op],"&lt;&gt;")&gt;0,"OK","MIS")</f>
        <v>OK</v>
      </c>
      <c r="P15" t="str">
        <f>IF(COUNTIFS(tbl_acties[cyclus_id],A15,tbl_acties[actie_type],"UITCHECK",tbl_acties[uitgevoerd_op],"&lt;&gt;",tbl_acties[verwachte_schoonmaak_uren],"&lt;&gt;")&gt;0,"OK","MIS")</f>
        <v>MIS</v>
      </c>
      <c r="Q15" t="str">
        <f>IF(COUNTIFS(tbl_acties[cyclus_id],A15,tbl_acties[actie_type],"SCHOONMAAK",tbl_acties[uitgevoerd_op],"&lt;&gt;",tbl_acties[werkelijke_schoonmaak_uren],"&lt;&gt;")&gt;0,"OK","MIS")</f>
        <v>MIS</v>
      </c>
      <c r="R15" t="str">
        <f>IF(COUNTIFS(tbl_acties[cyclus_id],A15,tbl_acties[actie_type],"INCHECK",tbl_acties[gepland_op],"&lt;&gt;")&gt;0,"OK","MIS")</f>
        <v>MIS</v>
      </c>
      <c r="S15" t="str">
        <f>IF(COUNTIFS(tbl_acties[cyclus_id],A15,tbl_acties[actie_type],"INCHECK",tbl_acties[uitgevoerd_op],"&lt;&gt;",tbl_acties[sleutels_bevestigd],"JA")&gt;0,"OK","MIS")</f>
        <v>MIS</v>
      </c>
      <c r="U15" t="str">
        <f t="shared" si="0"/>
        <v/>
      </c>
    </row>
    <row r="16" spans="1:21" x14ac:dyDescent="0.2">
      <c r="A16" t="s">
        <v>124</v>
      </c>
      <c r="B16" t="s">
        <v>1354</v>
      </c>
      <c r="C16" t="str">
        <f>_xlfn.XLOOKUP(tbl_cycli[[#This Row],[huis_id]],OG_HUIZEN_LIJST!B:B,OG_HUIZEN_LIJST!C:C,"",0)</f>
        <v>Akkerweg 41 [019]</v>
      </c>
      <c r="D16" t="s">
        <v>10</v>
      </c>
      <c r="E16" t="s">
        <v>18</v>
      </c>
      <c r="G16" s="2">
        <v>45992</v>
      </c>
      <c r="I16" t="s">
        <v>28</v>
      </c>
      <c r="J16" t="s">
        <v>102</v>
      </c>
      <c r="K16" t="s">
        <v>122</v>
      </c>
      <c r="L16" t="str">
        <f>B16&amp;"|"&amp;D16</f>
        <v>0343|JA</v>
      </c>
      <c r="M16" t="str">
        <f>IF(COUNTIFS(tbl_acties[cyclus_id],A16,tbl_acties[actie_type],"VOORINSPECTIE",tbl_acties[gepland_op],"&lt;&gt;")&gt;0,"OK","MIS")</f>
        <v>MIS</v>
      </c>
      <c r="N16" t="str">
        <f>IF(COUNTIFS(tbl_acties[cyclus_id],A16,tbl_acties[actie_type],"VOORINSPECTIE",tbl_acties[uitgevoerd_op],"&lt;&gt;")&gt;0,"OK","MIS")</f>
        <v>MIS</v>
      </c>
      <c r="O16" t="str">
        <f>IF(COUNTIFS(tbl_acties[cyclus_id],A16,tbl_acties[actie_type],"UITCHECK",tbl_acties[gepland_op],"&lt;&gt;")&gt;0,"OK","MIS")</f>
        <v>OK</v>
      </c>
      <c r="P16" t="str">
        <f>IF(COUNTIFS(tbl_acties[cyclus_id],A16,tbl_acties[actie_type],"UITCHECK",tbl_acties[uitgevoerd_op],"&lt;&gt;",tbl_acties[verwachte_schoonmaak_uren],"&lt;&gt;")&gt;0,"OK","MIS")</f>
        <v>MIS</v>
      </c>
      <c r="Q16" t="str">
        <f>IF(COUNTIFS(tbl_acties[cyclus_id],A16,tbl_acties[actie_type],"SCHOONMAAK",tbl_acties[uitgevoerd_op],"&lt;&gt;",tbl_acties[werkelijke_schoonmaak_uren],"&lt;&gt;")&gt;0,"OK","MIS")</f>
        <v>MIS</v>
      </c>
      <c r="R16" t="str">
        <f>IF(COUNTIFS(tbl_acties[cyclus_id],A16,tbl_acties[actie_type],"INCHECK",tbl_acties[gepland_op],"&lt;&gt;")&gt;0,"OK","MIS")</f>
        <v>MIS</v>
      </c>
      <c r="S16" t="str">
        <f>IF(COUNTIFS(tbl_acties[cyclus_id],A16,tbl_acties[actie_type],"INCHECK",tbl_acties[uitgevoerd_op],"&lt;&gt;",tbl_acties[sleutels_bevestigd],"JA")&gt;0,"OK","MIS")</f>
        <v>MIS</v>
      </c>
      <c r="U16" t="str">
        <f t="shared" si="0"/>
        <v/>
      </c>
    </row>
    <row r="17" spans="1:21" x14ac:dyDescent="0.2">
      <c r="A17" t="s">
        <v>125</v>
      </c>
      <c r="B17" t="s">
        <v>1254</v>
      </c>
      <c r="C17" t="str">
        <f>_xlfn.XLOOKUP(tbl_cycli[[#This Row],[huis_id]],OG_HUIZEN_LIJST!B:B,OG_HUIZEN_LIJST!C:C,"",0)</f>
        <v>Akkerweg 41 [055]</v>
      </c>
      <c r="D17" t="s">
        <v>10</v>
      </c>
      <c r="E17" t="s">
        <v>18</v>
      </c>
      <c r="G17" s="2">
        <v>45992</v>
      </c>
      <c r="I17" t="s">
        <v>28</v>
      </c>
      <c r="J17" t="s">
        <v>102</v>
      </c>
      <c r="K17" t="s">
        <v>122</v>
      </c>
      <c r="L17" t="str">
        <f>B17&amp;"|"&amp;D17</f>
        <v>0303|JA</v>
      </c>
      <c r="M17" t="str">
        <f>IF(COUNTIFS(tbl_acties[cyclus_id],A17,tbl_acties[actie_type],"VOORINSPECTIE",tbl_acties[gepland_op],"&lt;&gt;")&gt;0,"OK","MIS")</f>
        <v>MIS</v>
      </c>
      <c r="N17" t="str">
        <f>IF(COUNTIFS(tbl_acties[cyclus_id],A17,tbl_acties[actie_type],"VOORINSPECTIE",tbl_acties[uitgevoerd_op],"&lt;&gt;")&gt;0,"OK","MIS")</f>
        <v>MIS</v>
      </c>
      <c r="O17" t="str">
        <f>IF(COUNTIFS(tbl_acties[cyclus_id],A17,tbl_acties[actie_type],"UITCHECK",tbl_acties[gepland_op],"&lt;&gt;")&gt;0,"OK","MIS")</f>
        <v>OK</v>
      </c>
      <c r="P17" t="str">
        <f>IF(COUNTIFS(tbl_acties[cyclus_id],A17,tbl_acties[actie_type],"UITCHECK",tbl_acties[uitgevoerd_op],"&lt;&gt;",tbl_acties[verwachte_schoonmaak_uren],"&lt;&gt;")&gt;0,"OK","MIS")</f>
        <v>MIS</v>
      </c>
      <c r="Q17" t="str">
        <f>IF(COUNTIFS(tbl_acties[cyclus_id],A17,tbl_acties[actie_type],"SCHOONMAAK",tbl_acties[uitgevoerd_op],"&lt;&gt;",tbl_acties[werkelijke_schoonmaak_uren],"&lt;&gt;")&gt;0,"OK","MIS")</f>
        <v>MIS</v>
      </c>
      <c r="R17" t="str">
        <f>IF(COUNTIFS(tbl_acties[cyclus_id],A17,tbl_acties[actie_type],"INCHECK",tbl_acties[gepland_op],"&lt;&gt;")&gt;0,"OK","MIS")</f>
        <v>MIS</v>
      </c>
      <c r="S17" t="str">
        <f>IF(COUNTIFS(tbl_acties[cyclus_id],A17,tbl_acties[actie_type],"INCHECK",tbl_acties[uitgevoerd_op],"&lt;&gt;",tbl_acties[sleutels_bevestigd],"JA")&gt;0,"OK","MIS")</f>
        <v>MIS</v>
      </c>
      <c r="U17" t="str">
        <f t="shared" si="0"/>
        <v/>
      </c>
    </row>
    <row r="18" spans="1:21" x14ac:dyDescent="0.2">
      <c r="A18" t="s">
        <v>126</v>
      </c>
      <c r="B18" t="s">
        <v>1256</v>
      </c>
      <c r="C18" t="str">
        <f>_xlfn.XLOOKUP(tbl_cycli[[#This Row],[huis_id]],OG_HUIZEN_LIJST!B:B,OG_HUIZEN_LIJST!C:C,"",0)</f>
        <v>Akkerweg 41 [056]</v>
      </c>
      <c r="D18" t="s">
        <v>10</v>
      </c>
      <c r="E18" t="s">
        <v>18</v>
      </c>
      <c r="G18" s="2">
        <v>45992</v>
      </c>
      <c r="I18" t="s">
        <v>28</v>
      </c>
      <c r="J18" t="s">
        <v>102</v>
      </c>
      <c r="K18" t="s">
        <v>122</v>
      </c>
      <c r="L18" t="str">
        <f>B18&amp;"|"&amp;D18</f>
        <v>0304|JA</v>
      </c>
      <c r="M18" t="str">
        <f>IF(COUNTIFS(tbl_acties[cyclus_id],A18,tbl_acties[actie_type],"VOORINSPECTIE",tbl_acties[gepland_op],"&lt;&gt;")&gt;0,"OK","MIS")</f>
        <v>MIS</v>
      </c>
      <c r="N18" t="str">
        <f>IF(COUNTIFS(tbl_acties[cyclus_id],A18,tbl_acties[actie_type],"VOORINSPECTIE",tbl_acties[uitgevoerd_op],"&lt;&gt;")&gt;0,"OK","MIS")</f>
        <v>MIS</v>
      </c>
      <c r="O18" t="str">
        <f>IF(COUNTIFS(tbl_acties[cyclus_id],A18,tbl_acties[actie_type],"UITCHECK",tbl_acties[gepland_op],"&lt;&gt;")&gt;0,"OK","MIS")</f>
        <v>OK</v>
      </c>
      <c r="P18" t="str">
        <f>IF(COUNTIFS(tbl_acties[cyclus_id],A18,tbl_acties[actie_type],"UITCHECK",tbl_acties[uitgevoerd_op],"&lt;&gt;",tbl_acties[verwachte_schoonmaak_uren],"&lt;&gt;")&gt;0,"OK","MIS")</f>
        <v>MIS</v>
      </c>
      <c r="Q18" t="str">
        <f>IF(COUNTIFS(tbl_acties[cyclus_id],A18,tbl_acties[actie_type],"SCHOONMAAK",tbl_acties[uitgevoerd_op],"&lt;&gt;",tbl_acties[werkelijke_schoonmaak_uren],"&lt;&gt;")&gt;0,"OK","MIS")</f>
        <v>MIS</v>
      </c>
      <c r="R18" t="str">
        <f>IF(COUNTIFS(tbl_acties[cyclus_id],A18,tbl_acties[actie_type],"INCHECK",tbl_acties[gepland_op],"&lt;&gt;")&gt;0,"OK","MIS")</f>
        <v>MIS</v>
      </c>
      <c r="S18" t="str">
        <f>IF(COUNTIFS(tbl_acties[cyclus_id],A18,tbl_acties[actie_type],"INCHECK",tbl_acties[uitgevoerd_op],"&lt;&gt;",tbl_acties[sleutels_bevestigd],"JA")&gt;0,"OK","MIS")</f>
        <v>MIS</v>
      </c>
      <c r="U18" t="str">
        <f t="shared" si="0"/>
        <v/>
      </c>
    </row>
    <row r="19" spans="1:21" x14ac:dyDescent="0.2">
      <c r="A19" t="s">
        <v>127</v>
      </c>
      <c r="B19" t="s">
        <v>600</v>
      </c>
      <c r="C19" t="str">
        <f>_xlfn.XLOOKUP(tbl_cycli[[#This Row],[huis_id]],OG_HUIZEN_LIJST!B:B,OG_HUIZEN_LIJST!C:C,"",0)</f>
        <v>Kierkegaardhof 54</v>
      </c>
      <c r="D19" t="s">
        <v>10</v>
      </c>
      <c r="E19" t="s">
        <v>18</v>
      </c>
      <c r="G19" s="2">
        <v>45994</v>
      </c>
      <c r="H19" t="s">
        <v>128</v>
      </c>
      <c r="I19" t="s">
        <v>35</v>
      </c>
      <c r="J19" t="s">
        <v>102</v>
      </c>
      <c r="K19" t="s">
        <v>129</v>
      </c>
      <c r="L19" t="str">
        <f>B19&amp;"|"&amp;D19</f>
        <v>0085|JA</v>
      </c>
      <c r="M19" t="str">
        <f>IF(COUNTIFS(tbl_acties[cyclus_id],A19,tbl_acties[actie_type],"VOORINSPECTIE",tbl_acties[gepland_op],"&lt;&gt;")&gt;0,"OK","MIS")</f>
        <v>MIS</v>
      </c>
      <c r="N19" t="str">
        <f>IF(COUNTIFS(tbl_acties[cyclus_id],A19,tbl_acties[actie_type],"VOORINSPECTIE",tbl_acties[uitgevoerd_op],"&lt;&gt;")&gt;0,"OK","MIS")</f>
        <v>MIS</v>
      </c>
      <c r="O19" t="str">
        <f>IF(COUNTIFS(tbl_acties[cyclus_id],A19,tbl_acties[actie_type],"UITCHECK",tbl_acties[gepland_op],"&lt;&gt;")&gt;0,"OK","MIS")</f>
        <v>OK</v>
      </c>
      <c r="P19" t="str">
        <f>IF(COUNTIFS(tbl_acties[cyclus_id],A19,tbl_acties[actie_type],"UITCHECK",tbl_acties[uitgevoerd_op],"&lt;&gt;",tbl_acties[verwachte_schoonmaak_uren],"&lt;&gt;")&gt;0,"OK","MIS")</f>
        <v>MIS</v>
      </c>
      <c r="Q19" t="str">
        <f>IF(COUNTIFS(tbl_acties[cyclus_id],A19,tbl_acties[actie_type],"SCHOONMAAK",tbl_acties[uitgevoerd_op],"&lt;&gt;",tbl_acties[werkelijke_schoonmaak_uren],"&lt;&gt;")&gt;0,"OK","MIS")</f>
        <v>MIS</v>
      </c>
      <c r="R19" t="str">
        <f>IF(COUNTIFS(tbl_acties[cyclus_id],A19,tbl_acties[actie_type],"INCHECK",tbl_acties[gepland_op],"&lt;&gt;")&gt;0,"OK","MIS")</f>
        <v>MIS</v>
      </c>
      <c r="S19" t="str">
        <f>IF(COUNTIFS(tbl_acties[cyclus_id],A19,tbl_acties[actie_type],"INCHECK",tbl_acties[uitgevoerd_op],"&lt;&gt;",tbl_acties[sleutels_bevestigd],"JA")&gt;0,"OK","MIS")</f>
        <v>MIS</v>
      </c>
      <c r="U19" t="str">
        <f t="shared" si="0"/>
        <v/>
      </c>
    </row>
    <row r="20" spans="1:21" x14ac:dyDescent="0.2">
      <c r="A20" t="s">
        <v>130</v>
      </c>
      <c r="B20" t="s">
        <v>1406</v>
      </c>
      <c r="C20" t="str">
        <f>_xlfn.XLOOKUP(tbl_cycli[[#This Row],[huis_id]],OG_HUIZEN_LIJST!B:B,OG_HUIZEN_LIJST!C:C,"",0)</f>
        <v>Putsebocht 136 B01</v>
      </c>
      <c r="D20" t="s">
        <v>10</v>
      </c>
      <c r="E20" t="s">
        <v>11</v>
      </c>
      <c r="G20" s="2">
        <v>45996</v>
      </c>
      <c r="I20" t="s">
        <v>8</v>
      </c>
      <c r="J20" t="s">
        <v>102</v>
      </c>
      <c r="K20" t="s">
        <v>131</v>
      </c>
      <c r="L20" t="str">
        <f>B20&amp;"|"&amp;D20</f>
        <v>0361|JA</v>
      </c>
      <c r="M20" t="str">
        <f>IF(COUNTIFS(tbl_acties[cyclus_id],A20,tbl_acties[actie_type],"VOORINSPECTIE",tbl_acties[gepland_op],"&lt;&gt;")&gt;0,"OK","MIS")</f>
        <v>MIS</v>
      </c>
      <c r="N20" t="str">
        <f>IF(COUNTIFS(tbl_acties[cyclus_id],A20,tbl_acties[actie_type],"VOORINSPECTIE",tbl_acties[uitgevoerd_op],"&lt;&gt;")&gt;0,"OK","MIS")</f>
        <v>MIS</v>
      </c>
      <c r="O20" t="str">
        <f>IF(COUNTIFS(tbl_acties[cyclus_id],A20,tbl_acties[actie_type],"UITCHECK",tbl_acties[gepland_op],"&lt;&gt;")&gt;0,"OK","MIS")</f>
        <v>MIS</v>
      </c>
      <c r="P20" t="str">
        <f>IF(COUNTIFS(tbl_acties[cyclus_id],A20,tbl_acties[actie_type],"UITCHECK",tbl_acties[uitgevoerd_op],"&lt;&gt;",tbl_acties[verwachte_schoonmaak_uren],"&lt;&gt;")&gt;0,"OK","MIS")</f>
        <v>MIS</v>
      </c>
      <c r="Q20" t="str">
        <f>IF(COUNTIFS(tbl_acties[cyclus_id],A20,tbl_acties[actie_type],"SCHOONMAAK",tbl_acties[uitgevoerd_op],"&lt;&gt;",tbl_acties[werkelijke_schoonmaak_uren],"&lt;&gt;")&gt;0,"OK","MIS")</f>
        <v>MIS</v>
      </c>
      <c r="R20" t="str">
        <f>IF(COUNTIFS(tbl_acties[cyclus_id],A20,tbl_acties[actie_type],"INCHECK",tbl_acties[gepland_op],"&lt;&gt;")&gt;0,"OK","MIS")</f>
        <v>MIS</v>
      </c>
      <c r="S20" t="str">
        <f>IF(COUNTIFS(tbl_acties[cyclus_id],A20,tbl_acties[actie_type],"INCHECK",tbl_acties[uitgevoerd_op],"&lt;&gt;",tbl_acties[sleutels_bevestigd],"JA")&gt;0,"OK","MIS")</f>
        <v>MIS</v>
      </c>
      <c r="U20" t="str">
        <f t="shared" si="0"/>
        <v/>
      </c>
    </row>
    <row r="21" spans="1:21" x14ac:dyDescent="0.2">
      <c r="A21" t="s">
        <v>132</v>
      </c>
      <c r="B21" t="s">
        <v>695</v>
      </c>
      <c r="C21" t="str">
        <f>_xlfn.XLOOKUP(tbl_cycli[[#This Row],[huis_id]],OG_HUIZEN_LIJST!B:B,OG_HUIZEN_LIJST!C:C,"",0)</f>
        <v>Piersonstraat 8</v>
      </c>
      <c r="D21" t="s">
        <v>10</v>
      </c>
      <c r="E21" t="s">
        <v>18</v>
      </c>
      <c r="G21" s="2">
        <v>46006</v>
      </c>
      <c r="I21" t="s">
        <v>32</v>
      </c>
      <c r="J21" t="s">
        <v>102</v>
      </c>
      <c r="K21" t="s">
        <v>133</v>
      </c>
      <c r="L21" t="str">
        <f>B21&amp;"|"&amp;D21</f>
        <v>0114|JA</v>
      </c>
      <c r="M21" t="str">
        <f>IF(COUNTIFS(tbl_acties[cyclus_id],A21,tbl_acties[actie_type],"VOORINSPECTIE",tbl_acties[gepland_op],"&lt;&gt;")&gt;0,"OK","MIS")</f>
        <v>OK</v>
      </c>
      <c r="N21" t="str">
        <f>IF(COUNTIFS(tbl_acties[cyclus_id],A21,tbl_acties[actie_type],"VOORINSPECTIE",tbl_acties[uitgevoerd_op],"&lt;&gt;")&gt;0,"OK","MIS")</f>
        <v>MIS</v>
      </c>
      <c r="O21" t="str">
        <f>IF(COUNTIFS(tbl_acties[cyclus_id],A21,tbl_acties[actie_type],"UITCHECK",tbl_acties[gepland_op],"&lt;&gt;")&gt;0,"OK","MIS")</f>
        <v>OK</v>
      </c>
      <c r="P21" t="str">
        <f>IF(COUNTIFS(tbl_acties[cyclus_id],A21,tbl_acties[actie_type],"UITCHECK",tbl_acties[uitgevoerd_op],"&lt;&gt;",tbl_acties[verwachte_schoonmaak_uren],"&lt;&gt;")&gt;0,"OK","MIS")</f>
        <v>MIS</v>
      </c>
      <c r="Q21" t="str">
        <f>IF(COUNTIFS(tbl_acties[cyclus_id],A21,tbl_acties[actie_type],"SCHOONMAAK",tbl_acties[uitgevoerd_op],"&lt;&gt;",tbl_acties[werkelijke_schoonmaak_uren],"&lt;&gt;")&gt;0,"OK","MIS")</f>
        <v>MIS</v>
      </c>
      <c r="R21" t="str">
        <f>IF(COUNTIFS(tbl_acties[cyclus_id],A21,tbl_acties[actie_type],"INCHECK",tbl_acties[gepland_op],"&lt;&gt;")&gt;0,"OK","MIS")</f>
        <v>MIS</v>
      </c>
      <c r="S21" t="str">
        <f>IF(COUNTIFS(tbl_acties[cyclus_id],A21,tbl_acties[actie_type],"INCHECK",tbl_acties[uitgevoerd_op],"&lt;&gt;",tbl_acties[sleutels_bevestigd],"JA")&gt;0,"OK","MIS")</f>
        <v>MIS</v>
      </c>
      <c r="U21" t="str">
        <f t="shared" si="0"/>
        <v>FOUT: schoonmaak kan pas na uitcheck</v>
      </c>
    </row>
    <row r="22" spans="1:21" x14ac:dyDescent="0.2">
      <c r="A22" t="s">
        <v>134</v>
      </c>
      <c r="B22" t="s">
        <v>1047</v>
      </c>
      <c r="C22" t="str">
        <f>_xlfn.XLOOKUP(tbl_cycli[[#This Row],[huis_id]],OG_HUIZEN_LIJST!B:B,OG_HUIZEN_LIJST!C:C,"",0)</f>
        <v>Kerkwerversingel 127</v>
      </c>
      <c r="D22" t="s">
        <v>10</v>
      </c>
      <c r="E22" t="s">
        <v>18</v>
      </c>
      <c r="G22" s="2">
        <v>46007</v>
      </c>
      <c r="I22" t="s">
        <v>32</v>
      </c>
      <c r="J22" t="s">
        <v>102</v>
      </c>
      <c r="K22" t="s">
        <v>135</v>
      </c>
      <c r="L22" t="str">
        <f>B22&amp;"|"&amp;D22</f>
        <v>0225|JA</v>
      </c>
      <c r="M22" t="str">
        <f>IF(COUNTIFS(tbl_acties[cyclus_id],A22,tbl_acties[actie_type],"VOORINSPECTIE",tbl_acties[gepland_op],"&lt;&gt;")&gt;0,"OK","MIS")</f>
        <v>MIS</v>
      </c>
      <c r="N22" t="str">
        <f>IF(COUNTIFS(tbl_acties[cyclus_id],A22,tbl_acties[actie_type],"VOORINSPECTIE",tbl_acties[uitgevoerd_op],"&lt;&gt;")&gt;0,"OK","MIS")</f>
        <v>MIS</v>
      </c>
      <c r="O22" t="str">
        <f>IF(COUNTIFS(tbl_acties[cyclus_id],A22,tbl_acties[actie_type],"UITCHECK",tbl_acties[gepland_op],"&lt;&gt;")&gt;0,"OK","MIS")</f>
        <v>OK</v>
      </c>
      <c r="P22" t="str">
        <f>IF(COUNTIFS(tbl_acties[cyclus_id],A22,tbl_acties[actie_type],"UITCHECK",tbl_acties[uitgevoerd_op],"&lt;&gt;",tbl_acties[verwachte_schoonmaak_uren],"&lt;&gt;")&gt;0,"OK","MIS")</f>
        <v>MIS</v>
      </c>
      <c r="Q22" t="str">
        <f>IF(COUNTIFS(tbl_acties[cyclus_id],A22,tbl_acties[actie_type],"SCHOONMAAK",tbl_acties[uitgevoerd_op],"&lt;&gt;",tbl_acties[werkelijke_schoonmaak_uren],"&lt;&gt;")&gt;0,"OK","MIS")</f>
        <v>MIS</v>
      </c>
      <c r="R22" t="str">
        <f>IF(COUNTIFS(tbl_acties[cyclus_id],A22,tbl_acties[actie_type],"INCHECK",tbl_acties[gepland_op],"&lt;&gt;")&gt;0,"OK","MIS")</f>
        <v>MIS</v>
      </c>
      <c r="S22" t="str">
        <f>IF(COUNTIFS(tbl_acties[cyclus_id],A22,tbl_acties[actie_type],"INCHECK",tbl_acties[uitgevoerd_op],"&lt;&gt;",tbl_acties[sleutels_bevestigd],"JA")&gt;0,"OK","MIS")</f>
        <v>MIS</v>
      </c>
      <c r="U22" t="str">
        <f t="shared" si="0"/>
        <v>FOUT: schoonmaak kan pas na uitcheck</v>
      </c>
    </row>
    <row r="23" spans="1:21" x14ac:dyDescent="0.2">
      <c r="A23" t="s">
        <v>136</v>
      </c>
      <c r="B23" t="s">
        <v>1231</v>
      </c>
      <c r="C23" t="str">
        <f>_xlfn.XLOOKUP(tbl_cycli[[#This Row],[huis_id]],OG_HUIZEN_LIJST!B:B,OG_HUIZEN_LIJST!C:C,"",0)</f>
        <v>Akkerweg 41 [014]</v>
      </c>
      <c r="D23" t="s">
        <v>10</v>
      </c>
      <c r="E23" t="s">
        <v>18</v>
      </c>
      <c r="G23" s="2">
        <v>46022</v>
      </c>
      <c r="I23" t="s">
        <v>8</v>
      </c>
      <c r="J23" t="s">
        <v>102</v>
      </c>
      <c r="K23" t="s">
        <v>137</v>
      </c>
      <c r="L23" t="str">
        <f>B23&amp;"|"&amp;D23</f>
        <v>0293|JA</v>
      </c>
      <c r="M23" t="str">
        <f>IF(COUNTIFS(tbl_acties[cyclus_id],A23,tbl_acties[actie_type],"VOORINSPECTIE",tbl_acties[gepland_op],"&lt;&gt;")&gt;0,"OK","MIS")</f>
        <v>MIS</v>
      </c>
      <c r="N23" t="str">
        <f>IF(COUNTIFS(tbl_acties[cyclus_id],A23,tbl_acties[actie_type],"VOORINSPECTIE",tbl_acties[uitgevoerd_op],"&lt;&gt;")&gt;0,"OK","MIS")</f>
        <v>MIS</v>
      </c>
      <c r="O23" t="str">
        <f>IF(COUNTIFS(tbl_acties[cyclus_id],A23,tbl_acties[actie_type],"UITCHECK",tbl_acties[gepland_op],"&lt;&gt;")&gt;0,"OK","MIS")</f>
        <v>MIS</v>
      </c>
      <c r="P23" t="str">
        <f>IF(COUNTIFS(tbl_acties[cyclus_id],A23,tbl_acties[actie_type],"UITCHECK",tbl_acties[uitgevoerd_op],"&lt;&gt;",tbl_acties[verwachte_schoonmaak_uren],"&lt;&gt;")&gt;0,"OK","MIS")</f>
        <v>MIS</v>
      </c>
      <c r="Q23" t="str">
        <f>IF(COUNTIFS(tbl_acties[cyclus_id],A23,tbl_acties[actie_type],"SCHOONMAAK",tbl_acties[uitgevoerd_op],"&lt;&gt;",tbl_acties[werkelijke_schoonmaak_uren],"&lt;&gt;")&gt;0,"OK","MIS")</f>
        <v>MIS</v>
      </c>
      <c r="R23" t="str">
        <f>IF(COUNTIFS(tbl_acties[cyclus_id],A23,tbl_acties[actie_type],"INCHECK",tbl_acties[gepland_op],"&lt;&gt;")&gt;0,"OK","MIS")</f>
        <v>MIS</v>
      </c>
      <c r="S23" t="str">
        <f>IF(COUNTIFS(tbl_acties[cyclus_id],A23,tbl_acties[actie_type],"INCHECK",tbl_acties[uitgevoerd_op],"&lt;&gt;",tbl_acties[sleutels_bevestigd],"JA")&gt;0,"OK","MIS")</f>
        <v>MIS</v>
      </c>
      <c r="U23" t="str">
        <f t="shared" si="0"/>
        <v/>
      </c>
    </row>
    <row r="24" spans="1:21" x14ac:dyDescent="0.2">
      <c r="A24" t="s">
        <v>138</v>
      </c>
      <c r="B24" t="s">
        <v>1473</v>
      </c>
      <c r="C24" t="str">
        <f>_xlfn.XLOOKUP(tbl_cycli[[#This Row],[huis_id]],OG_HUIZEN_LIJST!B:B,OG_HUIZEN_LIJST!C:C,"",0)</f>
        <v>Akkerweg 41 [020]</v>
      </c>
      <c r="D24" t="s">
        <v>10</v>
      </c>
      <c r="E24" t="s">
        <v>18</v>
      </c>
      <c r="G24" s="2">
        <v>46022</v>
      </c>
      <c r="I24" t="s">
        <v>8</v>
      </c>
      <c r="J24" t="s">
        <v>102</v>
      </c>
      <c r="K24" t="s">
        <v>137</v>
      </c>
      <c r="L24" t="str">
        <f>B24&amp;"|"&amp;D24</f>
        <v>0383|JA</v>
      </c>
      <c r="M24" t="str">
        <f>IF(COUNTIFS(tbl_acties[cyclus_id],A24,tbl_acties[actie_type],"VOORINSPECTIE",tbl_acties[gepland_op],"&lt;&gt;")&gt;0,"OK","MIS")</f>
        <v>MIS</v>
      </c>
      <c r="N24" t="str">
        <f>IF(COUNTIFS(tbl_acties[cyclus_id],A24,tbl_acties[actie_type],"VOORINSPECTIE",tbl_acties[uitgevoerd_op],"&lt;&gt;")&gt;0,"OK","MIS")</f>
        <v>MIS</v>
      </c>
      <c r="O24" t="str">
        <f>IF(COUNTIFS(tbl_acties[cyclus_id],A24,tbl_acties[actie_type],"UITCHECK",tbl_acties[gepland_op],"&lt;&gt;")&gt;0,"OK","MIS")</f>
        <v>MIS</v>
      </c>
      <c r="P24" t="str">
        <f>IF(COUNTIFS(tbl_acties[cyclus_id],A24,tbl_acties[actie_type],"UITCHECK",tbl_acties[uitgevoerd_op],"&lt;&gt;",tbl_acties[verwachte_schoonmaak_uren],"&lt;&gt;")&gt;0,"OK","MIS")</f>
        <v>MIS</v>
      </c>
      <c r="Q24" t="str">
        <f>IF(COUNTIFS(tbl_acties[cyclus_id],A24,tbl_acties[actie_type],"SCHOONMAAK",tbl_acties[uitgevoerd_op],"&lt;&gt;",tbl_acties[werkelijke_schoonmaak_uren],"&lt;&gt;")&gt;0,"OK","MIS")</f>
        <v>MIS</v>
      </c>
      <c r="R24" t="str">
        <f>IF(COUNTIFS(tbl_acties[cyclus_id],A24,tbl_acties[actie_type],"INCHECK",tbl_acties[gepland_op],"&lt;&gt;")&gt;0,"OK","MIS")</f>
        <v>MIS</v>
      </c>
      <c r="S24" t="str">
        <f>IF(COUNTIFS(tbl_acties[cyclus_id],A24,tbl_acties[actie_type],"INCHECK",tbl_acties[uitgevoerd_op],"&lt;&gt;",tbl_acties[sleutels_bevestigd],"JA")&gt;0,"OK","MIS")</f>
        <v>MIS</v>
      </c>
      <c r="U24" t="str">
        <f t="shared" si="0"/>
        <v/>
      </c>
    </row>
    <row r="25" spans="1:21" x14ac:dyDescent="0.2">
      <c r="A25" t="s">
        <v>139</v>
      </c>
      <c r="B25" t="s">
        <v>1252</v>
      </c>
      <c r="C25" t="str">
        <f>_xlfn.XLOOKUP(tbl_cycli[[#This Row],[huis_id]],OG_HUIZEN_LIJST!B:B,OG_HUIZEN_LIJST!C:C,"",0)</f>
        <v>Akkerweg 41 [042]</v>
      </c>
      <c r="D25" t="s">
        <v>10</v>
      </c>
      <c r="E25" t="s">
        <v>18</v>
      </c>
      <c r="G25" s="2">
        <v>46022</v>
      </c>
      <c r="I25" t="s">
        <v>8</v>
      </c>
      <c r="J25" t="s">
        <v>102</v>
      </c>
      <c r="K25" t="s">
        <v>137</v>
      </c>
      <c r="L25" t="str">
        <f>B25&amp;"|"&amp;D25</f>
        <v>0302|JA</v>
      </c>
      <c r="M25" t="str">
        <f>IF(COUNTIFS(tbl_acties[cyclus_id],A25,tbl_acties[actie_type],"VOORINSPECTIE",tbl_acties[gepland_op],"&lt;&gt;")&gt;0,"OK","MIS")</f>
        <v>MIS</v>
      </c>
      <c r="N25" t="str">
        <f>IF(COUNTIFS(tbl_acties[cyclus_id],A25,tbl_acties[actie_type],"VOORINSPECTIE",tbl_acties[uitgevoerd_op],"&lt;&gt;")&gt;0,"OK","MIS")</f>
        <v>MIS</v>
      </c>
      <c r="O25" t="str">
        <f>IF(COUNTIFS(tbl_acties[cyclus_id],A25,tbl_acties[actie_type],"UITCHECK",tbl_acties[gepland_op],"&lt;&gt;")&gt;0,"OK","MIS")</f>
        <v>MIS</v>
      </c>
      <c r="P25" t="str">
        <f>IF(COUNTIFS(tbl_acties[cyclus_id],A25,tbl_acties[actie_type],"UITCHECK",tbl_acties[uitgevoerd_op],"&lt;&gt;",tbl_acties[verwachte_schoonmaak_uren],"&lt;&gt;")&gt;0,"OK","MIS")</f>
        <v>MIS</v>
      </c>
      <c r="Q25" t="str">
        <f>IF(COUNTIFS(tbl_acties[cyclus_id],A25,tbl_acties[actie_type],"SCHOONMAAK",tbl_acties[uitgevoerd_op],"&lt;&gt;",tbl_acties[werkelijke_schoonmaak_uren],"&lt;&gt;")&gt;0,"OK","MIS")</f>
        <v>MIS</v>
      </c>
      <c r="R25" t="str">
        <f>IF(COUNTIFS(tbl_acties[cyclus_id],A25,tbl_acties[actie_type],"INCHECK",tbl_acties[gepland_op],"&lt;&gt;")&gt;0,"OK","MIS")</f>
        <v>MIS</v>
      </c>
      <c r="S25" t="str">
        <f>IF(COUNTIFS(tbl_acties[cyclus_id],A25,tbl_acties[actie_type],"INCHECK",tbl_acties[uitgevoerd_op],"&lt;&gt;",tbl_acties[sleutels_bevestigd],"JA")&gt;0,"OK","MIS")</f>
        <v>MIS</v>
      </c>
      <c r="U25" t="str">
        <f t="shared" si="0"/>
        <v/>
      </c>
    </row>
    <row r="26" spans="1:21" x14ac:dyDescent="0.2">
      <c r="A26" t="s">
        <v>140</v>
      </c>
      <c r="B26" t="s">
        <v>614</v>
      </c>
      <c r="C26" t="str">
        <f>_xlfn.XLOOKUP(tbl_cycli[[#This Row],[huis_id]],OG_HUIZEN_LIJST!B:B,OG_HUIZEN_LIJST!C:C,"",0)</f>
        <v>Van Maanenstraat 14A</v>
      </c>
      <c r="D26" t="s">
        <v>10</v>
      </c>
      <c r="E26" t="s">
        <v>18</v>
      </c>
      <c r="G26" s="2">
        <v>46011</v>
      </c>
      <c r="I26" t="s">
        <v>32</v>
      </c>
      <c r="J26" t="s">
        <v>102</v>
      </c>
      <c r="K26" t="s">
        <v>141</v>
      </c>
      <c r="L26" t="str">
        <f>B26&amp;"|"&amp;D26</f>
        <v>0089|JA</v>
      </c>
      <c r="M26" t="str">
        <f>IF(COUNTIFS(tbl_acties[cyclus_id],A26,tbl_acties[actie_type],"VOORINSPECTIE",tbl_acties[gepland_op],"&lt;&gt;")&gt;0,"OK","MIS")</f>
        <v>MIS</v>
      </c>
      <c r="N26" t="str">
        <f>IF(COUNTIFS(tbl_acties[cyclus_id],A26,tbl_acties[actie_type],"VOORINSPECTIE",tbl_acties[uitgevoerd_op],"&lt;&gt;")&gt;0,"OK","MIS")</f>
        <v>MIS</v>
      </c>
      <c r="O26" t="str">
        <f>IF(COUNTIFS(tbl_acties[cyclus_id],A26,tbl_acties[actie_type],"UITCHECK",tbl_acties[gepland_op],"&lt;&gt;")&gt;0,"OK","MIS")</f>
        <v>OK</v>
      </c>
      <c r="P26" t="str">
        <f>IF(COUNTIFS(tbl_acties[cyclus_id],A26,tbl_acties[actie_type],"UITCHECK",tbl_acties[uitgevoerd_op],"&lt;&gt;",tbl_acties[verwachte_schoonmaak_uren],"&lt;&gt;")&gt;0,"OK","MIS")</f>
        <v>MIS</v>
      </c>
      <c r="Q26" t="str">
        <f>IF(COUNTIFS(tbl_acties[cyclus_id],A26,tbl_acties[actie_type],"SCHOONMAAK",tbl_acties[uitgevoerd_op],"&lt;&gt;",tbl_acties[werkelijke_schoonmaak_uren],"&lt;&gt;")&gt;0,"OK","MIS")</f>
        <v>MIS</v>
      </c>
      <c r="R26" t="str">
        <f>IF(COUNTIFS(tbl_acties[cyclus_id],A26,tbl_acties[actie_type],"INCHECK",tbl_acties[gepland_op],"&lt;&gt;")&gt;0,"OK","MIS")</f>
        <v>MIS</v>
      </c>
      <c r="S26" t="str">
        <f>IF(COUNTIFS(tbl_acties[cyclus_id],A26,tbl_acties[actie_type],"INCHECK",tbl_acties[uitgevoerd_op],"&lt;&gt;",tbl_acties[sleutels_bevestigd],"JA")&gt;0,"OK","MIS")</f>
        <v>MIS</v>
      </c>
      <c r="U26" t="str">
        <f t="shared" si="0"/>
        <v>FOUT: schoonmaak kan pas na uitcheck</v>
      </c>
    </row>
    <row r="27" spans="1:21" x14ac:dyDescent="0.2">
      <c r="A27" t="s">
        <v>142</v>
      </c>
      <c r="B27" t="s">
        <v>706</v>
      </c>
      <c r="C27" t="str">
        <f>_xlfn.XLOOKUP(tbl_cycli[[#This Row],[huis_id]],OG_HUIZEN_LIJST!B:B,OG_HUIZEN_LIJST!C:C,"",0)</f>
        <v>Prunuslaan 36</v>
      </c>
      <c r="D27" t="s">
        <v>10</v>
      </c>
      <c r="E27" t="s">
        <v>18</v>
      </c>
      <c r="G27" s="2">
        <v>46018</v>
      </c>
      <c r="I27" t="s">
        <v>8</v>
      </c>
      <c r="J27" t="s">
        <v>102</v>
      </c>
      <c r="K27" t="s">
        <v>143</v>
      </c>
      <c r="L27" t="str">
        <f>B27&amp;"|"&amp;D27</f>
        <v>0117|JA</v>
      </c>
      <c r="M27" t="str">
        <f>IF(COUNTIFS(tbl_acties[cyclus_id],A27,tbl_acties[actie_type],"VOORINSPECTIE",tbl_acties[gepland_op],"&lt;&gt;")&gt;0,"OK","MIS")</f>
        <v>MIS</v>
      </c>
      <c r="N27" t="str">
        <f>IF(COUNTIFS(tbl_acties[cyclus_id],A27,tbl_acties[actie_type],"VOORINSPECTIE",tbl_acties[uitgevoerd_op],"&lt;&gt;")&gt;0,"OK","MIS")</f>
        <v>MIS</v>
      </c>
      <c r="O27" t="str">
        <f>IF(COUNTIFS(tbl_acties[cyclus_id],A27,tbl_acties[actie_type],"UITCHECK",tbl_acties[gepland_op],"&lt;&gt;")&gt;0,"OK","MIS")</f>
        <v>MIS</v>
      </c>
      <c r="P27" t="str">
        <f>IF(COUNTIFS(tbl_acties[cyclus_id],A27,tbl_acties[actie_type],"UITCHECK",tbl_acties[uitgevoerd_op],"&lt;&gt;",tbl_acties[verwachte_schoonmaak_uren],"&lt;&gt;")&gt;0,"OK","MIS")</f>
        <v>MIS</v>
      </c>
      <c r="Q27" t="str">
        <f>IF(COUNTIFS(tbl_acties[cyclus_id],A27,tbl_acties[actie_type],"SCHOONMAAK",tbl_acties[uitgevoerd_op],"&lt;&gt;",tbl_acties[werkelijke_schoonmaak_uren],"&lt;&gt;")&gt;0,"OK","MIS")</f>
        <v>MIS</v>
      </c>
      <c r="R27" t="str">
        <f>IF(COUNTIFS(tbl_acties[cyclus_id],A27,tbl_acties[actie_type],"INCHECK",tbl_acties[gepland_op],"&lt;&gt;")&gt;0,"OK","MIS")</f>
        <v>MIS</v>
      </c>
      <c r="S27" t="str">
        <f>IF(COUNTIFS(tbl_acties[cyclus_id],A27,tbl_acties[actie_type],"INCHECK",tbl_acties[uitgevoerd_op],"&lt;&gt;",tbl_acties[sleutels_bevestigd],"JA")&gt;0,"OK","MIS")</f>
        <v>MIS</v>
      </c>
      <c r="U27" t="str">
        <f t="shared" si="0"/>
        <v/>
      </c>
    </row>
    <row r="28" spans="1:21" x14ac:dyDescent="0.2">
      <c r="A28" t="s">
        <v>144</v>
      </c>
      <c r="B28" t="s">
        <v>1296</v>
      </c>
      <c r="C28" t="str">
        <f>_xlfn.XLOOKUP(tbl_cycli[[#This Row],[huis_id]],OG_HUIZEN_LIJST!B:B,OG_HUIZEN_LIJST!C:C,"",0)</f>
        <v>Bettingeslag 10</v>
      </c>
      <c r="D28" t="s">
        <v>10</v>
      </c>
      <c r="E28" t="s">
        <v>18</v>
      </c>
      <c r="G28" s="2">
        <v>46019</v>
      </c>
      <c r="I28" t="s">
        <v>8</v>
      </c>
      <c r="J28" t="s">
        <v>102</v>
      </c>
      <c r="K28" t="s">
        <v>145</v>
      </c>
      <c r="L28" t="str">
        <f>B28&amp;"|"&amp;D28</f>
        <v>0322|JA</v>
      </c>
      <c r="M28" t="str">
        <f>IF(COUNTIFS(tbl_acties[cyclus_id],A28,tbl_acties[actie_type],"VOORINSPECTIE",tbl_acties[gepland_op],"&lt;&gt;")&gt;0,"OK","MIS")</f>
        <v>MIS</v>
      </c>
      <c r="N28" t="str">
        <f>IF(COUNTIFS(tbl_acties[cyclus_id],A28,tbl_acties[actie_type],"VOORINSPECTIE",tbl_acties[uitgevoerd_op],"&lt;&gt;")&gt;0,"OK","MIS")</f>
        <v>MIS</v>
      </c>
      <c r="O28" t="str">
        <f>IF(COUNTIFS(tbl_acties[cyclus_id],A28,tbl_acties[actie_type],"UITCHECK",tbl_acties[gepland_op],"&lt;&gt;")&gt;0,"OK","MIS")</f>
        <v>MIS</v>
      </c>
      <c r="P28" t="str">
        <f>IF(COUNTIFS(tbl_acties[cyclus_id],A28,tbl_acties[actie_type],"UITCHECK",tbl_acties[uitgevoerd_op],"&lt;&gt;",tbl_acties[verwachte_schoonmaak_uren],"&lt;&gt;")&gt;0,"OK","MIS")</f>
        <v>MIS</v>
      </c>
      <c r="Q28" t="str">
        <f>IF(COUNTIFS(tbl_acties[cyclus_id],A28,tbl_acties[actie_type],"SCHOONMAAK",tbl_acties[uitgevoerd_op],"&lt;&gt;",tbl_acties[werkelijke_schoonmaak_uren],"&lt;&gt;")&gt;0,"OK","MIS")</f>
        <v>MIS</v>
      </c>
      <c r="R28" t="str">
        <f>IF(COUNTIFS(tbl_acties[cyclus_id],A28,tbl_acties[actie_type],"INCHECK",tbl_acties[gepland_op],"&lt;&gt;")&gt;0,"OK","MIS")</f>
        <v>MIS</v>
      </c>
      <c r="S28" t="str">
        <f>IF(COUNTIFS(tbl_acties[cyclus_id],A28,tbl_acties[actie_type],"INCHECK",tbl_acties[uitgevoerd_op],"&lt;&gt;",tbl_acties[sleutels_bevestigd],"JA")&gt;0,"OK","MIS")</f>
        <v>MIS</v>
      </c>
      <c r="U28" t="str">
        <f t="shared" si="0"/>
        <v/>
      </c>
    </row>
    <row r="29" spans="1:21" x14ac:dyDescent="0.2">
      <c r="A29" t="s">
        <v>146</v>
      </c>
      <c r="B29" t="s">
        <v>737</v>
      </c>
      <c r="C29" t="str">
        <f>_xlfn.XLOOKUP(tbl_cycli[[#This Row],[huis_id]],OG_HUIZEN_LIJST!B:B,OG_HUIZEN_LIJST!C:C,"",0)</f>
        <v>Korte Singelstraat 21-2</v>
      </c>
      <c r="D29" t="s">
        <v>10</v>
      </c>
      <c r="E29" t="s">
        <v>18</v>
      </c>
      <c r="G29" s="2">
        <v>46022</v>
      </c>
      <c r="I29" t="s">
        <v>32</v>
      </c>
      <c r="J29" t="s">
        <v>102</v>
      </c>
      <c r="K29" t="s">
        <v>103</v>
      </c>
      <c r="L29" t="str">
        <f>B29&amp;"|"&amp;D29</f>
        <v>0126|JA</v>
      </c>
      <c r="M29" t="str">
        <f>IF(COUNTIFS(tbl_acties[cyclus_id],A29,tbl_acties[actie_type],"VOORINSPECTIE",tbl_acties[gepland_op],"&lt;&gt;")&gt;0,"OK","MIS")</f>
        <v>MIS</v>
      </c>
      <c r="N29" t="str">
        <f>IF(COUNTIFS(tbl_acties[cyclus_id],A29,tbl_acties[actie_type],"VOORINSPECTIE",tbl_acties[uitgevoerd_op],"&lt;&gt;")&gt;0,"OK","MIS")</f>
        <v>MIS</v>
      </c>
      <c r="O29" t="str">
        <f>IF(COUNTIFS(tbl_acties[cyclus_id],A29,tbl_acties[actie_type],"UITCHECK",tbl_acties[gepland_op],"&lt;&gt;")&gt;0,"OK","MIS")</f>
        <v>OK</v>
      </c>
      <c r="P29" t="str">
        <f>IF(COUNTIFS(tbl_acties[cyclus_id],A29,tbl_acties[actie_type],"UITCHECK",tbl_acties[uitgevoerd_op],"&lt;&gt;",tbl_acties[verwachte_schoonmaak_uren],"&lt;&gt;")&gt;0,"OK","MIS")</f>
        <v>MIS</v>
      </c>
      <c r="Q29" t="str">
        <f>IF(COUNTIFS(tbl_acties[cyclus_id],A29,tbl_acties[actie_type],"SCHOONMAAK",tbl_acties[uitgevoerd_op],"&lt;&gt;",tbl_acties[werkelijke_schoonmaak_uren],"&lt;&gt;")&gt;0,"OK","MIS")</f>
        <v>MIS</v>
      </c>
      <c r="R29" t="str">
        <f>IF(COUNTIFS(tbl_acties[cyclus_id],A29,tbl_acties[actie_type],"INCHECK",tbl_acties[gepland_op],"&lt;&gt;")&gt;0,"OK","MIS")</f>
        <v>MIS</v>
      </c>
      <c r="S29" t="str">
        <f>IF(COUNTIFS(tbl_acties[cyclus_id],A29,tbl_acties[actie_type],"INCHECK",tbl_acties[uitgevoerd_op],"&lt;&gt;",tbl_acties[sleutels_bevestigd],"JA")&gt;0,"OK","MIS")</f>
        <v>MIS</v>
      </c>
      <c r="U29" t="str">
        <f t="shared" si="0"/>
        <v>FOUT: schoonmaak kan pas na uitcheck</v>
      </c>
    </row>
    <row r="30" spans="1:21" x14ac:dyDescent="0.2">
      <c r="A30" t="s">
        <v>147</v>
      </c>
      <c r="B30" t="s">
        <v>737</v>
      </c>
      <c r="C30" t="str">
        <f>_xlfn.XLOOKUP(tbl_cycli[[#This Row],[huis_id]],OG_HUIZEN_LIJST!B:B,OG_HUIZEN_LIJST!C:C,"",0)</f>
        <v>Korte Singelstraat 21-2</v>
      </c>
      <c r="D30" t="s">
        <v>10</v>
      </c>
      <c r="E30" t="s">
        <v>18</v>
      </c>
      <c r="G30" s="2">
        <v>46022</v>
      </c>
      <c r="I30" t="s">
        <v>32</v>
      </c>
      <c r="J30" t="s">
        <v>102</v>
      </c>
      <c r="L30" t="str">
        <f>B30&amp;"|"&amp;D30</f>
        <v>0126|JA</v>
      </c>
      <c r="M30" t="str">
        <f>IF(COUNTIFS(tbl_acties[cyclus_id],A30,tbl_acties[actie_type],"VOORINSPECTIE",tbl_acties[gepland_op],"&lt;&gt;")&gt;0,"OK","MIS")</f>
        <v>MIS</v>
      </c>
      <c r="N30" t="str">
        <f>IF(COUNTIFS(tbl_acties[cyclus_id],A30,tbl_acties[actie_type],"VOORINSPECTIE",tbl_acties[uitgevoerd_op],"&lt;&gt;")&gt;0,"OK","MIS")</f>
        <v>MIS</v>
      </c>
      <c r="O30" t="str">
        <f>IF(COUNTIFS(tbl_acties[cyclus_id],A30,tbl_acties[actie_type],"UITCHECK",tbl_acties[gepland_op],"&lt;&gt;")&gt;0,"OK","MIS")</f>
        <v>MIS</v>
      </c>
      <c r="P30" t="str">
        <f>IF(COUNTIFS(tbl_acties[cyclus_id],A30,tbl_acties[actie_type],"UITCHECK",tbl_acties[uitgevoerd_op],"&lt;&gt;",tbl_acties[verwachte_schoonmaak_uren],"&lt;&gt;")&gt;0,"OK","MIS")</f>
        <v>MIS</v>
      </c>
      <c r="Q30" t="str">
        <f>IF(COUNTIFS(tbl_acties[cyclus_id],A30,tbl_acties[actie_type],"SCHOONMAAK",tbl_acties[uitgevoerd_op],"&lt;&gt;",tbl_acties[werkelijke_schoonmaak_uren],"&lt;&gt;")&gt;0,"OK","MIS")</f>
        <v>MIS</v>
      </c>
      <c r="R30" t="str">
        <f>IF(COUNTIFS(tbl_acties[cyclus_id],A30,tbl_acties[actie_type],"INCHECK",tbl_acties[gepland_op],"&lt;&gt;")&gt;0,"OK","MIS")</f>
        <v>MIS</v>
      </c>
      <c r="S30" t="str">
        <f>IF(COUNTIFS(tbl_acties[cyclus_id],A30,tbl_acties[actie_type],"INCHECK",tbl_acties[uitgevoerd_op],"&lt;&gt;",tbl_acties[sleutels_bevestigd],"JA")&gt;0,"OK","MIS")</f>
        <v>MIS</v>
      </c>
      <c r="U30" t="str">
        <f t="shared" si="0"/>
        <v>FOUT: schoonmaak kan pas na uitcheck</v>
      </c>
    </row>
    <row r="31" spans="1:21" x14ac:dyDescent="0.2">
      <c r="A31" t="s">
        <v>149</v>
      </c>
      <c r="B31" t="s">
        <v>681</v>
      </c>
      <c r="C31" t="str">
        <f>_xlfn.XLOOKUP(tbl_cycli[[#This Row],[huis_id]],OG_HUIZEN_LIJST!B:B,OG_HUIZEN_LIJST!C:C,"",0)</f>
        <v>Opaal 9</v>
      </c>
      <c r="D31" t="s">
        <v>10</v>
      </c>
      <c r="E31" t="s">
        <v>18</v>
      </c>
      <c r="G31" s="2">
        <v>46022</v>
      </c>
      <c r="I31" t="s">
        <v>32</v>
      </c>
      <c r="J31" t="s">
        <v>102</v>
      </c>
      <c r="K31" t="s">
        <v>103</v>
      </c>
      <c r="L31" t="str">
        <f>B31&amp;"|"&amp;D31</f>
        <v>0110|JA</v>
      </c>
      <c r="M31" t="str">
        <f>IF(COUNTIFS(tbl_acties[cyclus_id],A31,tbl_acties[actie_type],"VOORINSPECTIE",tbl_acties[gepland_op],"&lt;&gt;")&gt;0,"OK","MIS")</f>
        <v>MIS</v>
      </c>
      <c r="N31" t="str">
        <f>IF(COUNTIFS(tbl_acties[cyclus_id],A31,tbl_acties[actie_type],"VOORINSPECTIE",tbl_acties[uitgevoerd_op],"&lt;&gt;")&gt;0,"OK","MIS")</f>
        <v>MIS</v>
      </c>
      <c r="O31" t="str">
        <f>IF(COUNTIFS(tbl_acties[cyclus_id],A31,tbl_acties[actie_type],"UITCHECK",tbl_acties[gepland_op],"&lt;&gt;")&gt;0,"OK","MIS")</f>
        <v>OK</v>
      </c>
      <c r="P31" t="str">
        <f>IF(COUNTIFS(tbl_acties[cyclus_id],A31,tbl_acties[actie_type],"UITCHECK",tbl_acties[uitgevoerd_op],"&lt;&gt;",tbl_acties[verwachte_schoonmaak_uren],"&lt;&gt;")&gt;0,"OK","MIS")</f>
        <v>MIS</v>
      </c>
      <c r="Q31" t="str">
        <f>IF(COUNTIFS(tbl_acties[cyclus_id],A31,tbl_acties[actie_type],"SCHOONMAAK",tbl_acties[uitgevoerd_op],"&lt;&gt;",tbl_acties[werkelijke_schoonmaak_uren],"&lt;&gt;")&gt;0,"OK","MIS")</f>
        <v>MIS</v>
      </c>
      <c r="R31" t="str">
        <f>IF(COUNTIFS(tbl_acties[cyclus_id],A31,tbl_acties[actie_type],"INCHECK",tbl_acties[gepland_op],"&lt;&gt;")&gt;0,"OK","MIS")</f>
        <v>MIS</v>
      </c>
      <c r="S31" t="str">
        <f>IF(COUNTIFS(tbl_acties[cyclus_id],A31,tbl_acties[actie_type],"INCHECK",tbl_acties[uitgevoerd_op],"&lt;&gt;",tbl_acties[sleutels_bevestigd],"JA")&gt;0,"OK","MIS")</f>
        <v>MIS</v>
      </c>
      <c r="U31" t="str">
        <f t="shared" si="0"/>
        <v>FOUT: schoonmaak kan pas na uitcheck</v>
      </c>
    </row>
    <row r="32" spans="1:21" x14ac:dyDescent="0.2">
      <c r="A32" t="s">
        <v>150</v>
      </c>
      <c r="B32" t="s">
        <v>783</v>
      </c>
      <c r="C32" t="str">
        <f>_xlfn.XLOOKUP(tbl_cycli[[#This Row],[huis_id]],OG_HUIZEN_LIJST!B:B,OG_HUIZEN_LIJST!C:C,"",0)</f>
        <v>Wilhelminastraat 8</v>
      </c>
      <c r="D32" t="s">
        <v>10</v>
      </c>
      <c r="E32" t="s">
        <v>18</v>
      </c>
      <c r="G32" s="2">
        <v>46022</v>
      </c>
      <c r="I32" t="s">
        <v>32</v>
      </c>
      <c r="J32" t="s">
        <v>102</v>
      </c>
      <c r="K32" t="s">
        <v>103</v>
      </c>
      <c r="L32" t="str">
        <f>B32&amp;"|"&amp;D32</f>
        <v>0141|JA</v>
      </c>
      <c r="M32" t="str">
        <f>IF(COUNTIFS(tbl_acties[cyclus_id],A32,tbl_acties[actie_type],"VOORINSPECTIE",tbl_acties[gepland_op],"&lt;&gt;")&gt;0,"OK","MIS")</f>
        <v>MIS</v>
      </c>
      <c r="N32" t="str">
        <f>IF(COUNTIFS(tbl_acties[cyclus_id],A32,tbl_acties[actie_type],"VOORINSPECTIE",tbl_acties[uitgevoerd_op],"&lt;&gt;")&gt;0,"OK","MIS")</f>
        <v>MIS</v>
      </c>
      <c r="O32" t="str">
        <f>IF(COUNTIFS(tbl_acties[cyclus_id],A32,tbl_acties[actie_type],"UITCHECK",tbl_acties[gepland_op],"&lt;&gt;")&gt;0,"OK","MIS")</f>
        <v>OK</v>
      </c>
      <c r="P32" t="str">
        <f>IF(COUNTIFS(tbl_acties[cyclus_id],A32,tbl_acties[actie_type],"UITCHECK",tbl_acties[uitgevoerd_op],"&lt;&gt;",tbl_acties[verwachte_schoonmaak_uren],"&lt;&gt;")&gt;0,"OK","MIS")</f>
        <v>MIS</v>
      </c>
      <c r="Q32" t="str">
        <f>IF(COUNTIFS(tbl_acties[cyclus_id],A32,tbl_acties[actie_type],"SCHOONMAAK",tbl_acties[uitgevoerd_op],"&lt;&gt;",tbl_acties[werkelijke_schoonmaak_uren],"&lt;&gt;")&gt;0,"OK","MIS")</f>
        <v>MIS</v>
      </c>
      <c r="R32" t="str">
        <f>IF(COUNTIFS(tbl_acties[cyclus_id],A32,tbl_acties[actie_type],"INCHECK",tbl_acties[gepland_op],"&lt;&gt;")&gt;0,"OK","MIS")</f>
        <v>MIS</v>
      </c>
      <c r="S32" t="str">
        <f>IF(COUNTIFS(tbl_acties[cyclus_id],A32,tbl_acties[actie_type],"INCHECK",tbl_acties[uitgevoerd_op],"&lt;&gt;",tbl_acties[sleutels_bevestigd],"JA")&gt;0,"OK","MIS")</f>
        <v>MIS</v>
      </c>
      <c r="U32" t="str">
        <f t="shared" si="0"/>
        <v>FOUT: schoonmaak kan pas na uitcheck</v>
      </c>
    </row>
    <row r="33" spans="1:21" x14ac:dyDescent="0.2">
      <c r="A33" t="s">
        <v>151</v>
      </c>
      <c r="B33" t="s">
        <v>1417</v>
      </c>
      <c r="C33" t="str">
        <f>_xlfn.XLOOKUP(tbl_cycli[[#This Row],[huis_id]],OG_HUIZEN_LIJST!B:B,OG_HUIZEN_LIJST!C:C,"",0)</f>
        <v>Laan op Zuid 949</v>
      </c>
      <c r="D33" t="s">
        <v>10</v>
      </c>
      <c r="E33" t="s">
        <v>18</v>
      </c>
      <c r="G33" s="2">
        <v>46022</v>
      </c>
      <c r="I33" t="s">
        <v>32</v>
      </c>
      <c r="J33" t="s">
        <v>102</v>
      </c>
      <c r="K33" t="s">
        <v>103</v>
      </c>
      <c r="L33" t="str">
        <f>B33&amp;"|"&amp;D33</f>
        <v>0365|JA</v>
      </c>
      <c r="M33" t="str">
        <f>IF(COUNTIFS(tbl_acties[cyclus_id],A33,tbl_acties[actie_type],"VOORINSPECTIE",tbl_acties[gepland_op],"&lt;&gt;")&gt;0,"OK","MIS")</f>
        <v>MIS</v>
      </c>
      <c r="N33" t="str">
        <f>IF(COUNTIFS(tbl_acties[cyclus_id],A33,tbl_acties[actie_type],"VOORINSPECTIE",tbl_acties[uitgevoerd_op],"&lt;&gt;")&gt;0,"OK","MIS")</f>
        <v>MIS</v>
      </c>
      <c r="O33" t="str">
        <f>IF(COUNTIFS(tbl_acties[cyclus_id],A33,tbl_acties[actie_type],"UITCHECK",tbl_acties[gepland_op],"&lt;&gt;")&gt;0,"OK","MIS")</f>
        <v>OK</v>
      </c>
      <c r="P33" t="str">
        <f>IF(COUNTIFS(tbl_acties[cyclus_id],A33,tbl_acties[actie_type],"UITCHECK",tbl_acties[uitgevoerd_op],"&lt;&gt;",tbl_acties[verwachte_schoonmaak_uren],"&lt;&gt;")&gt;0,"OK","MIS")</f>
        <v>MIS</v>
      </c>
      <c r="Q33" t="str">
        <f>IF(COUNTIFS(tbl_acties[cyclus_id],A33,tbl_acties[actie_type],"SCHOONMAAK",tbl_acties[uitgevoerd_op],"&lt;&gt;",tbl_acties[werkelijke_schoonmaak_uren],"&lt;&gt;")&gt;0,"OK","MIS")</f>
        <v>MIS</v>
      </c>
      <c r="R33" t="str">
        <f>IF(COUNTIFS(tbl_acties[cyclus_id],A33,tbl_acties[actie_type],"INCHECK",tbl_acties[gepland_op],"&lt;&gt;")&gt;0,"OK","MIS")</f>
        <v>MIS</v>
      </c>
      <c r="S33" t="str">
        <f>IF(COUNTIFS(tbl_acties[cyclus_id],A33,tbl_acties[actie_type],"INCHECK",tbl_acties[uitgevoerd_op],"&lt;&gt;",tbl_acties[sleutels_bevestigd],"JA")&gt;0,"OK","MIS")</f>
        <v>MIS</v>
      </c>
      <c r="U33" t="str">
        <f t="shared" si="0"/>
        <v>FOUT: schoonmaak kan pas na uitcheck</v>
      </c>
    </row>
    <row r="34" spans="1:21" x14ac:dyDescent="0.2">
      <c r="A34" t="s">
        <v>152</v>
      </c>
      <c r="B34" t="s">
        <v>793</v>
      </c>
      <c r="C34" t="str">
        <f>_xlfn.XLOOKUP(tbl_cycli[[#This Row],[huis_id]],OG_HUIZEN_LIJST!B:B,OG_HUIZEN_LIJST!C:C,"",0)</f>
        <v>Scheepjesbrug 433</v>
      </c>
      <c r="D34" t="s">
        <v>10</v>
      </c>
      <c r="E34" t="s">
        <v>18</v>
      </c>
      <c r="G34" s="2">
        <v>46022</v>
      </c>
      <c r="I34" t="s">
        <v>32</v>
      </c>
      <c r="J34" t="s">
        <v>102</v>
      </c>
      <c r="K34" t="s">
        <v>103</v>
      </c>
      <c r="L34" t="str">
        <f>B34&amp;"|"&amp;D34</f>
        <v>0144|JA</v>
      </c>
      <c r="M34" t="str">
        <f>IF(COUNTIFS(tbl_acties[cyclus_id],A34,tbl_acties[actie_type],"VOORINSPECTIE",tbl_acties[gepland_op],"&lt;&gt;")&gt;0,"OK","MIS")</f>
        <v>MIS</v>
      </c>
      <c r="N34" t="str">
        <f>IF(COUNTIFS(tbl_acties[cyclus_id],A34,tbl_acties[actie_type],"VOORINSPECTIE",tbl_acties[uitgevoerd_op],"&lt;&gt;")&gt;0,"OK","MIS")</f>
        <v>MIS</v>
      </c>
      <c r="O34" t="str">
        <f>IF(COUNTIFS(tbl_acties[cyclus_id],A34,tbl_acties[actie_type],"UITCHECK",tbl_acties[gepland_op],"&lt;&gt;")&gt;0,"OK","MIS")</f>
        <v>OK</v>
      </c>
      <c r="P34" t="str">
        <f>IF(COUNTIFS(tbl_acties[cyclus_id],A34,tbl_acties[actie_type],"UITCHECK",tbl_acties[uitgevoerd_op],"&lt;&gt;",tbl_acties[verwachte_schoonmaak_uren],"&lt;&gt;")&gt;0,"OK","MIS")</f>
        <v>MIS</v>
      </c>
      <c r="Q34" t="str">
        <f>IF(COUNTIFS(tbl_acties[cyclus_id],A34,tbl_acties[actie_type],"SCHOONMAAK",tbl_acties[uitgevoerd_op],"&lt;&gt;",tbl_acties[werkelijke_schoonmaak_uren],"&lt;&gt;")&gt;0,"OK","MIS")</f>
        <v>MIS</v>
      </c>
      <c r="R34" t="str">
        <f>IF(COUNTIFS(tbl_acties[cyclus_id],A34,tbl_acties[actie_type],"INCHECK",tbl_acties[gepland_op],"&lt;&gt;")&gt;0,"OK","MIS")</f>
        <v>MIS</v>
      </c>
      <c r="S34" t="str">
        <f>IF(COUNTIFS(tbl_acties[cyclus_id],A34,tbl_acties[actie_type],"INCHECK",tbl_acties[uitgevoerd_op],"&lt;&gt;",tbl_acties[sleutels_bevestigd],"JA")&gt;0,"OK","MIS")</f>
        <v>MIS</v>
      </c>
      <c r="U34" t="str">
        <f t="shared" si="0"/>
        <v>FOUT: schoonmaak kan pas na uitcheck</v>
      </c>
    </row>
    <row r="35" spans="1:21" x14ac:dyDescent="0.2">
      <c r="A35" t="s">
        <v>153</v>
      </c>
      <c r="B35" t="s">
        <v>1324</v>
      </c>
      <c r="C35" t="str">
        <f>_xlfn.XLOOKUP(tbl_cycli[[#This Row],[huis_id]],OG_HUIZEN_LIJST!B:B,OG_HUIZEN_LIJST!C:C,"",0)</f>
        <v>Flankstraat 11</v>
      </c>
      <c r="D35" t="s">
        <v>10</v>
      </c>
      <c r="E35" t="s">
        <v>18</v>
      </c>
      <c r="G35" s="2">
        <v>46022</v>
      </c>
      <c r="I35" t="s">
        <v>32</v>
      </c>
      <c r="J35" t="s">
        <v>102</v>
      </c>
      <c r="K35" t="s">
        <v>103</v>
      </c>
      <c r="L35" t="str">
        <f>B35&amp;"|"&amp;D35</f>
        <v>0331|JA</v>
      </c>
      <c r="M35" t="str">
        <f>IF(COUNTIFS(tbl_acties[cyclus_id],A35,tbl_acties[actie_type],"VOORINSPECTIE",tbl_acties[gepland_op],"&lt;&gt;")&gt;0,"OK","MIS")</f>
        <v>MIS</v>
      </c>
      <c r="N35" t="str">
        <f>IF(COUNTIFS(tbl_acties[cyclus_id],A35,tbl_acties[actie_type],"VOORINSPECTIE",tbl_acties[uitgevoerd_op],"&lt;&gt;")&gt;0,"OK","MIS")</f>
        <v>MIS</v>
      </c>
      <c r="O35" t="str">
        <f>IF(COUNTIFS(tbl_acties[cyclus_id],A35,tbl_acties[actie_type],"UITCHECK",tbl_acties[gepland_op],"&lt;&gt;")&gt;0,"OK","MIS")</f>
        <v>OK</v>
      </c>
      <c r="P35" t="str">
        <f>IF(COUNTIFS(tbl_acties[cyclus_id],A35,tbl_acties[actie_type],"UITCHECK",tbl_acties[uitgevoerd_op],"&lt;&gt;",tbl_acties[verwachte_schoonmaak_uren],"&lt;&gt;")&gt;0,"OK","MIS")</f>
        <v>MIS</v>
      </c>
      <c r="Q35" t="str">
        <f>IF(COUNTIFS(tbl_acties[cyclus_id],A35,tbl_acties[actie_type],"SCHOONMAAK",tbl_acties[uitgevoerd_op],"&lt;&gt;",tbl_acties[werkelijke_schoonmaak_uren],"&lt;&gt;")&gt;0,"OK","MIS")</f>
        <v>MIS</v>
      </c>
      <c r="R35" t="str">
        <f>IF(COUNTIFS(tbl_acties[cyclus_id],A35,tbl_acties[actie_type],"INCHECK",tbl_acties[gepland_op],"&lt;&gt;")&gt;0,"OK","MIS")</f>
        <v>MIS</v>
      </c>
      <c r="S35" t="str">
        <f>IF(COUNTIFS(tbl_acties[cyclus_id],A35,tbl_acties[actie_type],"INCHECK",tbl_acties[uitgevoerd_op],"&lt;&gt;",tbl_acties[sleutels_bevestigd],"JA")&gt;0,"OK","MIS")</f>
        <v>MIS</v>
      </c>
      <c r="U35" t="str">
        <f t="shared" si="0"/>
        <v>FOUT: schoonmaak kan pas na uitcheck</v>
      </c>
    </row>
    <row r="36" spans="1:21" x14ac:dyDescent="0.2">
      <c r="A36" t="s">
        <v>154</v>
      </c>
      <c r="B36" t="s">
        <v>1097</v>
      </c>
      <c r="C36" t="str">
        <f>_xlfn.XLOOKUP(tbl_cycli[[#This Row],[huis_id]],OG_HUIZEN_LIJST!B:B,OG_HUIZEN_LIJST!C:C,"",0)</f>
        <v>Sint Liduinastraat 76 A</v>
      </c>
      <c r="D36" t="s">
        <v>10</v>
      </c>
      <c r="E36" t="s">
        <v>11</v>
      </c>
      <c r="G36" s="2">
        <v>46022</v>
      </c>
      <c r="I36" t="s">
        <v>32</v>
      </c>
      <c r="J36" t="s">
        <v>102</v>
      </c>
      <c r="K36" t="s">
        <v>155</v>
      </c>
      <c r="L36" t="str">
        <f>B36&amp;"|"&amp;D36</f>
        <v>0242|JA</v>
      </c>
      <c r="M36" t="str">
        <f>IF(COUNTIFS(tbl_acties[cyclus_id],A36,tbl_acties[actie_type],"VOORINSPECTIE",tbl_acties[gepland_op],"&lt;&gt;")&gt;0,"OK","MIS")</f>
        <v>MIS</v>
      </c>
      <c r="N36" t="str">
        <f>IF(COUNTIFS(tbl_acties[cyclus_id],A36,tbl_acties[actie_type],"VOORINSPECTIE",tbl_acties[uitgevoerd_op],"&lt;&gt;")&gt;0,"OK","MIS")</f>
        <v>MIS</v>
      </c>
      <c r="O36" t="str">
        <f>IF(COUNTIFS(tbl_acties[cyclus_id],A36,tbl_acties[actie_type],"UITCHECK",tbl_acties[gepland_op],"&lt;&gt;")&gt;0,"OK","MIS")</f>
        <v>OK</v>
      </c>
      <c r="P36" t="str">
        <f>IF(COUNTIFS(tbl_acties[cyclus_id],A36,tbl_acties[actie_type],"UITCHECK",tbl_acties[uitgevoerd_op],"&lt;&gt;",tbl_acties[verwachte_schoonmaak_uren],"&lt;&gt;")&gt;0,"OK","MIS")</f>
        <v>MIS</v>
      </c>
      <c r="Q36" t="str">
        <f>IF(COUNTIFS(tbl_acties[cyclus_id],A36,tbl_acties[actie_type],"SCHOONMAAK",tbl_acties[uitgevoerd_op],"&lt;&gt;",tbl_acties[werkelijke_schoonmaak_uren],"&lt;&gt;")&gt;0,"OK","MIS")</f>
        <v>MIS</v>
      </c>
      <c r="R36" t="str">
        <f>IF(COUNTIFS(tbl_acties[cyclus_id],A36,tbl_acties[actie_type],"INCHECK",tbl_acties[gepland_op],"&lt;&gt;")&gt;0,"OK","MIS")</f>
        <v>MIS</v>
      </c>
      <c r="S36" t="str">
        <f>IF(COUNTIFS(tbl_acties[cyclus_id],A36,tbl_acties[actie_type],"INCHECK",tbl_acties[uitgevoerd_op],"&lt;&gt;",tbl_acties[sleutels_bevestigd],"JA")&gt;0,"OK","MIS")</f>
        <v>MIS</v>
      </c>
      <c r="U36" t="str">
        <f t="shared" si="0"/>
        <v>FOUT: schoonmaak kan pas na uitcheck</v>
      </c>
    </row>
    <row r="37" spans="1:21" x14ac:dyDescent="0.2">
      <c r="A37" t="s">
        <v>156</v>
      </c>
      <c r="B37" t="s">
        <v>967</v>
      </c>
      <c r="C37" t="str">
        <f>_xlfn.XLOOKUP(tbl_cycli[[#This Row],[huis_id]],OG_HUIZEN_LIJST!B:B,OG_HUIZEN_LIJST!C:C,"",0)</f>
        <v>Kerstendijk 125</v>
      </c>
      <c r="D37" t="s">
        <v>10</v>
      </c>
      <c r="E37" t="s">
        <v>18</v>
      </c>
      <c r="G37" s="2">
        <v>46022</v>
      </c>
      <c r="I37" t="s">
        <v>32</v>
      </c>
      <c r="J37" t="s">
        <v>102</v>
      </c>
      <c r="K37" t="s">
        <v>103</v>
      </c>
      <c r="L37" t="str">
        <f>B37&amp;"|"&amp;D37</f>
        <v>0199|JA</v>
      </c>
      <c r="M37" t="str">
        <f>IF(COUNTIFS(tbl_acties[cyclus_id],A37,tbl_acties[actie_type],"VOORINSPECTIE",tbl_acties[gepland_op],"&lt;&gt;")&gt;0,"OK","MIS")</f>
        <v>MIS</v>
      </c>
      <c r="N37" t="str">
        <f>IF(COUNTIFS(tbl_acties[cyclus_id],A37,tbl_acties[actie_type],"VOORINSPECTIE",tbl_acties[uitgevoerd_op],"&lt;&gt;")&gt;0,"OK","MIS")</f>
        <v>MIS</v>
      </c>
      <c r="O37" t="str">
        <f>IF(COUNTIFS(tbl_acties[cyclus_id],A37,tbl_acties[actie_type],"UITCHECK",tbl_acties[gepland_op],"&lt;&gt;")&gt;0,"OK","MIS")</f>
        <v>OK</v>
      </c>
      <c r="P37" t="str">
        <f>IF(COUNTIFS(tbl_acties[cyclus_id],A37,tbl_acties[actie_type],"UITCHECK",tbl_acties[uitgevoerd_op],"&lt;&gt;",tbl_acties[verwachte_schoonmaak_uren],"&lt;&gt;")&gt;0,"OK","MIS")</f>
        <v>MIS</v>
      </c>
      <c r="Q37" t="str">
        <f>IF(COUNTIFS(tbl_acties[cyclus_id],A37,tbl_acties[actie_type],"SCHOONMAAK",tbl_acties[uitgevoerd_op],"&lt;&gt;",tbl_acties[werkelijke_schoonmaak_uren],"&lt;&gt;")&gt;0,"OK","MIS")</f>
        <v>MIS</v>
      </c>
      <c r="R37" t="str">
        <f>IF(COUNTIFS(tbl_acties[cyclus_id],A37,tbl_acties[actie_type],"INCHECK",tbl_acties[gepland_op],"&lt;&gt;")&gt;0,"OK","MIS")</f>
        <v>MIS</v>
      </c>
      <c r="S37" t="str">
        <f>IF(COUNTIFS(tbl_acties[cyclus_id],A37,tbl_acties[actie_type],"INCHECK",tbl_acties[uitgevoerd_op],"&lt;&gt;",tbl_acties[sleutels_bevestigd],"JA")&gt;0,"OK","MIS")</f>
        <v>MIS</v>
      </c>
      <c r="U37" t="str">
        <f t="shared" si="0"/>
        <v>FOUT: schoonmaak kan pas na uitcheck</v>
      </c>
    </row>
    <row r="38" spans="1:21" x14ac:dyDescent="0.2">
      <c r="A38" t="s">
        <v>157</v>
      </c>
      <c r="B38" t="s">
        <v>1341</v>
      </c>
      <c r="C38" t="str">
        <f>_xlfn.XLOOKUP(tbl_cycli[[#This Row],[huis_id]],OG_HUIZEN_LIJST!B:B,OG_HUIZEN_LIJST!C:C,"",0)</f>
        <v>Kruisweg 16</v>
      </c>
      <c r="D38" t="s">
        <v>10</v>
      </c>
      <c r="E38" t="s">
        <v>11</v>
      </c>
      <c r="G38" s="2">
        <v>46022</v>
      </c>
      <c r="I38" t="s">
        <v>32</v>
      </c>
      <c r="J38" t="s">
        <v>102</v>
      </c>
      <c r="K38" t="s">
        <v>103</v>
      </c>
      <c r="L38" t="str">
        <f>B38&amp;"|"&amp;D38</f>
        <v>0337|JA</v>
      </c>
      <c r="M38" t="str">
        <f>IF(COUNTIFS(tbl_acties[cyclus_id],A38,tbl_acties[actie_type],"VOORINSPECTIE",tbl_acties[gepland_op],"&lt;&gt;")&gt;0,"OK","MIS")</f>
        <v>MIS</v>
      </c>
      <c r="N38" t="str">
        <f>IF(COUNTIFS(tbl_acties[cyclus_id],A38,tbl_acties[actie_type],"VOORINSPECTIE",tbl_acties[uitgevoerd_op],"&lt;&gt;")&gt;0,"OK","MIS")</f>
        <v>MIS</v>
      </c>
      <c r="O38" t="str">
        <f>IF(COUNTIFS(tbl_acties[cyclus_id],A38,tbl_acties[actie_type],"UITCHECK",tbl_acties[gepland_op],"&lt;&gt;")&gt;0,"OK","MIS")</f>
        <v>OK</v>
      </c>
      <c r="P38" t="str">
        <f>IF(COUNTIFS(tbl_acties[cyclus_id],A38,tbl_acties[actie_type],"UITCHECK",tbl_acties[uitgevoerd_op],"&lt;&gt;",tbl_acties[verwachte_schoonmaak_uren],"&lt;&gt;")&gt;0,"OK","MIS")</f>
        <v>MIS</v>
      </c>
      <c r="Q38" t="str">
        <f>IF(COUNTIFS(tbl_acties[cyclus_id],A38,tbl_acties[actie_type],"SCHOONMAAK",tbl_acties[uitgevoerd_op],"&lt;&gt;",tbl_acties[werkelijke_schoonmaak_uren],"&lt;&gt;")&gt;0,"OK","MIS")</f>
        <v>MIS</v>
      </c>
      <c r="R38" t="str">
        <f>IF(COUNTIFS(tbl_acties[cyclus_id],A38,tbl_acties[actie_type],"INCHECK",tbl_acties[gepland_op],"&lt;&gt;")&gt;0,"OK","MIS")</f>
        <v>MIS</v>
      </c>
      <c r="S38" t="str">
        <f>IF(COUNTIFS(tbl_acties[cyclus_id],A38,tbl_acties[actie_type],"INCHECK",tbl_acties[uitgevoerd_op],"&lt;&gt;",tbl_acties[sleutels_bevestigd],"JA")&gt;0,"OK","MIS")</f>
        <v>MIS</v>
      </c>
      <c r="U38" t="str">
        <f t="shared" si="0"/>
        <v>FOUT: schoonmaak kan pas na uitcheck</v>
      </c>
    </row>
    <row r="39" spans="1:21" x14ac:dyDescent="0.2">
      <c r="A39" t="s">
        <v>158</v>
      </c>
      <c r="B39" t="s">
        <v>1337</v>
      </c>
      <c r="C39" t="str">
        <f>_xlfn.XLOOKUP(tbl_cycli[[#This Row],[huis_id]],OG_HUIZEN_LIJST!B:B,OG_HUIZEN_LIJST!C:C,"",0)</f>
        <v>Ofwegen 1A</v>
      </c>
      <c r="D39" t="s">
        <v>10</v>
      </c>
      <c r="E39" t="s">
        <v>11</v>
      </c>
      <c r="G39" s="2">
        <v>46022</v>
      </c>
      <c r="I39" t="s">
        <v>32</v>
      </c>
      <c r="J39" t="s">
        <v>102</v>
      </c>
      <c r="K39" t="s">
        <v>103</v>
      </c>
      <c r="L39" t="str">
        <f>B39&amp;"|"&amp;D39</f>
        <v>0336|JA</v>
      </c>
      <c r="M39" t="str">
        <f>IF(COUNTIFS(tbl_acties[cyclus_id],A39,tbl_acties[actie_type],"VOORINSPECTIE",tbl_acties[gepland_op],"&lt;&gt;")&gt;0,"OK","MIS")</f>
        <v>MIS</v>
      </c>
      <c r="N39" t="str">
        <f>IF(COUNTIFS(tbl_acties[cyclus_id],A39,tbl_acties[actie_type],"VOORINSPECTIE",tbl_acties[uitgevoerd_op],"&lt;&gt;")&gt;0,"OK","MIS")</f>
        <v>MIS</v>
      </c>
      <c r="O39" t="str">
        <f>IF(COUNTIFS(tbl_acties[cyclus_id],A39,tbl_acties[actie_type],"UITCHECK",tbl_acties[gepland_op],"&lt;&gt;")&gt;0,"OK","MIS")</f>
        <v>OK</v>
      </c>
      <c r="P39" t="str">
        <f>IF(COUNTIFS(tbl_acties[cyclus_id],A39,tbl_acties[actie_type],"UITCHECK",tbl_acties[uitgevoerd_op],"&lt;&gt;",tbl_acties[verwachte_schoonmaak_uren],"&lt;&gt;")&gt;0,"OK","MIS")</f>
        <v>MIS</v>
      </c>
      <c r="Q39" t="str">
        <f>IF(COUNTIFS(tbl_acties[cyclus_id],A39,tbl_acties[actie_type],"SCHOONMAAK",tbl_acties[uitgevoerd_op],"&lt;&gt;",tbl_acties[werkelijke_schoonmaak_uren],"&lt;&gt;")&gt;0,"OK","MIS")</f>
        <v>MIS</v>
      </c>
      <c r="R39" t="str">
        <f>IF(COUNTIFS(tbl_acties[cyclus_id],A39,tbl_acties[actie_type],"INCHECK",tbl_acties[gepland_op],"&lt;&gt;")&gt;0,"OK","MIS")</f>
        <v>MIS</v>
      </c>
      <c r="S39" t="str">
        <f>IF(COUNTIFS(tbl_acties[cyclus_id],A39,tbl_acties[actie_type],"INCHECK",tbl_acties[uitgevoerd_op],"&lt;&gt;",tbl_acties[sleutels_bevestigd],"JA")&gt;0,"OK","MIS")</f>
        <v>MIS</v>
      </c>
      <c r="U39" t="str">
        <f t="shared" si="0"/>
        <v>FOUT: schoonmaak kan pas na uitcheck</v>
      </c>
    </row>
    <row r="40" spans="1:21" x14ac:dyDescent="0.2">
      <c r="A40" t="s">
        <v>159</v>
      </c>
      <c r="B40" t="s">
        <v>1091</v>
      </c>
      <c r="C40" t="str">
        <f>_xlfn.XLOOKUP(tbl_cycli[[#This Row],[huis_id]],OG_HUIZEN_LIJST!B:B,OG_HUIZEN_LIJST!C:C,"",0)</f>
        <v>Schoonegge 84</v>
      </c>
      <c r="D40" t="s">
        <v>10</v>
      </c>
      <c r="G40" s="2">
        <v>46034</v>
      </c>
      <c r="I40" t="s">
        <v>32</v>
      </c>
      <c r="J40" t="s">
        <v>102</v>
      </c>
      <c r="K40" t="s">
        <v>160</v>
      </c>
      <c r="L40" t="str">
        <f>B40&amp;"|"&amp;D40</f>
        <v>0240|JA</v>
      </c>
      <c r="M40" t="str">
        <f>IF(COUNTIFS(tbl_acties[cyclus_id],A40,tbl_acties[actie_type],"VOORINSPECTIE",tbl_acties[gepland_op],"&lt;&gt;")&gt;0,"OK","MIS")</f>
        <v>MIS</v>
      </c>
      <c r="N40" t="str">
        <f>IF(COUNTIFS(tbl_acties[cyclus_id],A40,tbl_acties[actie_type],"VOORINSPECTIE",tbl_acties[uitgevoerd_op],"&lt;&gt;")&gt;0,"OK","MIS")</f>
        <v>MIS</v>
      </c>
      <c r="O40" t="str">
        <f>IF(COUNTIFS(tbl_acties[cyclus_id],A40,tbl_acties[actie_type],"UITCHECK",tbl_acties[gepland_op],"&lt;&gt;")&gt;0,"OK","MIS")</f>
        <v>MIS</v>
      </c>
      <c r="P40" t="str">
        <f>IF(COUNTIFS(tbl_acties[cyclus_id],A40,tbl_acties[actie_type],"UITCHECK",tbl_acties[uitgevoerd_op],"&lt;&gt;",tbl_acties[verwachte_schoonmaak_uren],"&lt;&gt;")&gt;0,"OK","MIS")</f>
        <v>MIS</v>
      </c>
      <c r="Q40" t="str">
        <f>IF(COUNTIFS(tbl_acties[cyclus_id],A40,tbl_acties[actie_type],"SCHOONMAAK",tbl_acties[uitgevoerd_op],"&lt;&gt;",tbl_acties[werkelijke_schoonmaak_uren],"&lt;&gt;")&gt;0,"OK","MIS")</f>
        <v>MIS</v>
      </c>
      <c r="R40" t="str">
        <f>IF(COUNTIFS(tbl_acties[cyclus_id],A40,tbl_acties[actie_type],"INCHECK",tbl_acties[gepland_op],"&lt;&gt;")&gt;0,"OK","MIS")</f>
        <v>MIS</v>
      </c>
      <c r="S40" t="str">
        <f>IF(COUNTIFS(tbl_acties[cyclus_id],A40,tbl_acties[actie_type],"INCHECK",tbl_acties[uitgevoerd_op],"&lt;&gt;",tbl_acties[sleutels_bevestigd],"JA")&gt;0,"OK","MIS")</f>
        <v>MIS</v>
      </c>
      <c r="U40" t="str">
        <f t="shared" si="0"/>
        <v>FOUT: schoonmaak kan pas na uitcheck</v>
      </c>
    </row>
    <row r="41" spans="1:21" x14ac:dyDescent="0.2">
      <c r="A41" t="s">
        <v>161</v>
      </c>
      <c r="B41" t="s">
        <v>1433</v>
      </c>
      <c r="C41" t="str">
        <f>_xlfn.XLOOKUP(tbl_cycli[[#This Row],[huis_id]],OG_HUIZEN_LIJST!B:B,OG_HUIZEN_LIJST!C:C,"",0)</f>
        <v>Cloosterstraat 23A</v>
      </c>
      <c r="D41" t="s">
        <v>10</v>
      </c>
      <c r="E41" t="s">
        <v>11</v>
      </c>
      <c r="G41" s="2">
        <v>46006</v>
      </c>
      <c r="I41" t="s">
        <v>8</v>
      </c>
      <c r="J41" t="s">
        <v>102</v>
      </c>
      <c r="K41" t="s">
        <v>103</v>
      </c>
      <c r="L41" t="str">
        <f>B41&amp;"|"&amp;D41</f>
        <v>0370|JA</v>
      </c>
      <c r="M41" t="str">
        <f>IF(COUNTIFS(tbl_acties[cyclus_id],A41,tbl_acties[actie_type],"VOORINSPECTIE",tbl_acties[gepland_op],"&lt;&gt;")&gt;0,"OK","MIS")</f>
        <v>MIS</v>
      </c>
      <c r="N41" t="str">
        <f>IF(COUNTIFS(tbl_acties[cyclus_id],A41,tbl_acties[actie_type],"VOORINSPECTIE",tbl_acties[uitgevoerd_op],"&lt;&gt;")&gt;0,"OK","MIS")</f>
        <v>MIS</v>
      </c>
      <c r="O41" t="str">
        <f>IF(COUNTIFS(tbl_acties[cyclus_id],A41,tbl_acties[actie_type],"UITCHECK",tbl_acties[gepland_op],"&lt;&gt;")&gt;0,"OK","MIS")</f>
        <v>MIS</v>
      </c>
      <c r="P41" t="str">
        <f>IF(COUNTIFS(tbl_acties[cyclus_id],A41,tbl_acties[actie_type],"UITCHECK",tbl_acties[uitgevoerd_op],"&lt;&gt;",tbl_acties[verwachte_schoonmaak_uren],"&lt;&gt;")&gt;0,"OK","MIS")</f>
        <v>MIS</v>
      </c>
      <c r="Q41" t="str">
        <f>IF(COUNTIFS(tbl_acties[cyclus_id],A41,tbl_acties[actie_type],"SCHOONMAAK",tbl_acties[uitgevoerd_op],"&lt;&gt;",tbl_acties[werkelijke_schoonmaak_uren],"&lt;&gt;")&gt;0,"OK","MIS")</f>
        <v>MIS</v>
      </c>
      <c r="R41" t="str">
        <f>IF(COUNTIFS(tbl_acties[cyclus_id],A41,tbl_acties[actie_type],"INCHECK",tbl_acties[gepland_op],"&lt;&gt;")&gt;0,"OK","MIS")</f>
        <v>MIS</v>
      </c>
      <c r="S41" t="str">
        <f>IF(COUNTIFS(tbl_acties[cyclus_id],A41,tbl_acties[actie_type],"INCHECK",tbl_acties[uitgevoerd_op],"&lt;&gt;",tbl_acties[sleutels_bevestigd],"JA")&gt;0,"OK","MIS")</f>
        <v>MIS</v>
      </c>
      <c r="U41" t="str">
        <f t="shared" si="0"/>
        <v/>
      </c>
    </row>
    <row r="42" spans="1:21" x14ac:dyDescent="0.2">
      <c r="A42" t="s">
        <v>162</v>
      </c>
      <c r="B42" t="s">
        <v>901</v>
      </c>
      <c r="C42" t="str">
        <f>_xlfn.XLOOKUP(tbl_cycli[[#This Row],[huis_id]],OG_HUIZEN_LIJST!B:B,OG_HUIZEN_LIJST!C:C,"",0)</f>
        <v>Hoge Noordweg 27B</v>
      </c>
      <c r="D42" t="s">
        <v>10</v>
      </c>
      <c r="E42" t="s">
        <v>11</v>
      </c>
      <c r="G42" s="2">
        <v>46003</v>
      </c>
      <c r="I42" t="s">
        <v>8</v>
      </c>
      <c r="J42" t="s">
        <v>102</v>
      </c>
      <c r="K42" t="s">
        <v>103</v>
      </c>
      <c r="L42" t="str">
        <f>B42&amp;"|"&amp;D42</f>
        <v>0177|JA</v>
      </c>
      <c r="M42" t="str">
        <f>IF(COUNTIFS(tbl_acties[cyclus_id],A42,tbl_acties[actie_type],"VOORINSPECTIE",tbl_acties[gepland_op],"&lt;&gt;")&gt;0,"OK","MIS")</f>
        <v>MIS</v>
      </c>
      <c r="N42" t="str">
        <f>IF(COUNTIFS(tbl_acties[cyclus_id],A42,tbl_acties[actie_type],"VOORINSPECTIE",tbl_acties[uitgevoerd_op],"&lt;&gt;")&gt;0,"OK","MIS")</f>
        <v>MIS</v>
      </c>
      <c r="O42" t="str">
        <f>IF(COUNTIFS(tbl_acties[cyclus_id],A42,tbl_acties[actie_type],"UITCHECK",tbl_acties[gepland_op],"&lt;&gt;")&gt;0,"OK","MIS")</f>
        <v>MIS</v>
      </c>
      <c r="P42" t="str">
        <f>IF(COUNTIFS(tbl_acties[cyclus_id],A42,tbl_acties[actie_type],"UITCHECK",tbl_acties[uitgevoerd_op],"&lt;&gt;",tbl_acties[verwachte_schoonmaak_uren],"&lt;&gt;")&gt;0,"OK","MIS")</f>
        <v>MIS</v>
      </c>
      <c r="Q42" t="str">
        <f>IF(COUNTIFS(tbl_acties[cyclus_id],A42,tbl_acties[actie_type],"SCHOONMAAK",tbl_acties[uitgevoerd_op],"&lt;&gt;",tbl_acties[werkelijke_schoonmaak_uren],"&lt;&gt;")&gt;0,"OK","MIS")</f>
        <v>MIS</v>
      </c>
      <c r="R42" t="str">
        <f>IF(COUNTIFS(tbl_acties[cyclus_id],A42,tbl_acties[actie_type],"INCHECK",tbl_acties[gepland_op],"&lt;&gt;")&gt;0,"OK","MIS")</f>
        <v>MIS</v>
      </c>
      <c r="S42" t="str">
        <f>IF(COUNTIFS(tbl_acties[cyclus_id],A42,tbl_acties[actie_type],"INCHECK",tbl_acties[uitgevoerd_op],"&lt;&gt;",tbl_acties[sleutels_bevestigd],"JA")&gt;0,"OK","MIS")</f>
        <v>MIS</v>
      </c>
      <c r="U42" t="str">
        <f t="shared" si="0"/>
        <v/>
      </c>
    </row>
    <row r="43" spans="1:21" x14ac:dyDescent="0.2">
      <c r="A43" t="s">
        <v>163</v>
      </c>
      <c r="B43" t="s">
        <v>888</v>
      </c>
      <c r="C43" t="str">
        <f>_xlfn.XLOOKUP(tbl_cycli[[#This Row],[huis_id]],OG_HUIZEN_LIJST!B:B,OG_HUIZEN_LIJST!C:C,"",0)</f>
        <v xml:space="preserve">Groeneweg 71 </v>
      </c>
      <c r="D43" t="s">
        <v>10</v>
      </c>
      <c r="E43" t="s">
        <v>11</v>
      </c>
      <c r="G43" s="2">
        <v>46006</v>
      </c>
      <c r="I43" t="s">
        <v>8</v>
      </c>
      <c r="J43" t="s">
        <v>102</v>
      </c>
      <c r="K43" t="s">
        <v>103</v>
      </c>
      <c r="L43" t="str">
        <f>B43&amp;"|"&amp;D43</f>
        <v>0173|JA</v>
      </c>
      <c r="M43" t="str">
        <f>IF(COUNTIFS(tbl_acties[cyclus_id],A43,tbl_acties[actie_type],"VOORINSPECTIE",tbl_acties[gepland_op],"&lt;&gt;")&gt;0,"OK","MIS")</f>
        <v>MIS</v>
      </c>
      <c r="N43" t="str">
        <f>IF(COUNTIFS(tbl_acties[cyclus_id],A43,tbl_acties[actie_type],"VOORINSPECTIE",tbl_acties[uitgevoerd_op],"&lt;&gt;")&gt;0,"OK","MIS")</f>
        <v>MIS</v>
      </c>
      <c r="O43" t="str">
        <f>IF(COUNTIFS(tbl_acties[cyclus_id],A43,tbl_acties[actie_type],"UITCHECK",tbl_acties[gepland_op],"&lt;&gt;")&gt;0,"OK","MIS")</f>
        <v>MIS</v>
      </c>
      <c r="P43" t="str">
        <f>IF(COUNTIFS(tbl_acties[cyclus_id],A43,tbl_acties[actie_type],"UITCHECK",tbl_acties[uitgevoerd_op],"&lt;&gt;",tbl_acties[verwachte_schoonmaak_uren],"&lt;&gt;")&gt;0,"OK","MIS")</f>
        <v>MIS</v>
      </c>
      <c r="Q43" t="str">
        <f>IF(COUNTIFS(tbl_acties[cyclus_id],A43,tbl_acties[actie_type],"SCHOONMAAK",tbl_acties[uitgevoerd_op],"&lt;&gt;",tbl_acties[werkelijke_schoonmaak_uren],"&lt;&gt;")&gt;0,"OK","MIS")</f>
        <v>MIS</v>
      </c>
      <c r="R43" t="str">
        <f>IF(COUNTIFS(tbl_acties[cyclus_id],A43,tbl_acties[actie_type],"INCHECK",tbl_acties[gepland_op],"&lt;&gt;")&gt;0,"OK","MIS")</f>
        <v>MIS</v>
      </c>
      <c r="S43" t="str">
        <f>IF(COUNTIFS(tbl_acties[cyclus_id],A43,tbl_acties[actie_type],"INCHECK",tbl_acties[uitgevoerd_op],"&lt;&gt;",tbl_acties[sleutels_bevestigd],"JA")&gt;0,"OK","MIS")</f>
        <v>MIS</v>
      </c>
      <c r="U43" t="str">
        <f t="shared" si="0"/>
        <v/>
      </c>
    </row>
    <row r="44" spans="1:21" x14ac:dyDescent="0.2">
      <c r="A44" t="s">
        <v>164</v>
      </c>
      <c r="B44" t="s">
        <v>1497</v>
      </c>
      <c r="C44" t="str">
        <f>_xlfn.XLOOKUP(tbl_cycli[[#This Row],[huis_id]],OG_HUIZEN_LIJST!B:B,OG_HUIZEN_LIJST!C:C,"",0)</f>
        <v>Industriestraat 9</v>
      </c>
      <c r="D44" t="s">
        <v>10</v>
      </c>
      <c r="G44" s="2"/>
      <c r="H44" s="2">
        <v>46023</v>
      </c>
      <c r="I44" t="s">
        <v>35</v>
      </c>
      <c r="J44" t="s">
        <v>102</v>
      </c>
      <c r="K44" t="s">
        <v>165</v>
      </c>
      <c r="L44" t="str">
        <f>B44&amp;"|"&amp;D44</f>
        <v>0391|JA</v>
      </c>
      <c r="M44" t="str">
        <f>IF(COUNTIFS(tbl_acties[cyclus_id],A44,tbl_acties[actie_type],"VOORINSPECTIE",tbl_acties[gepland_op],"&lt;&gt;")&gt;0,"OK","MIS")</f>
        <v>OK</v>
      </c>
      <c r="N44" t="str">
        <f>IF(COUNTIFS(tbl_acties[cyclus_id],A44,tbl_acties[actie_type],"VOORINSPECTIE",tbl_acties[uitgevoerd_op],"&lt;&gt;")&gt;0,"OK","MIS")</f>
        <v>MIS</v>
      </c>
      <c r="O44" t="str">
        <f>IF(COUNTIFS(tbl_acties[cyclus_id],A44,tbl_acties[actie_type],"UITCHECK",tbl_acties[gepland_op],"&lt;&gt;")&gt;0,"OK","MIS")</f>
        <v>MIS</v>
      </c>
      <c r="P44" t="str">
        <f>IF(COUNTIFS(tbl_acties[cyclus_id],A44,tbl_acties[actie_type],"UITCHECK",tbl_acties[uitgevoerd_op],"&lt;&gt;",tbl_acties[verwachte_schoonmaak_uren],"&lt;&gt;")&gt;0,"OK","MIS")</f>
        <v>MIS</v>
      </c>
      <c r="Q44" t="str">
        <f>IF(COUNTIFS(tbl_acties[cyclus_id],A44,tbl_acties[actie_type],"SCHOONMAAK",tbl_acties[uitgevoerd_op],"&lt;&gt;",tbl_acties[werkelijke_schoonmaak_uren],"&lt;&gt;")&gt;0,"OK","MIS")</f>
        <v>MIS</v>
      </c>
      <c r="R44" t="str">
        <f>IF(COUNTIFS(tbl_acties[cyclus_id],A44,tbl_acties[actie_type],"INCHECK",tbl_acties[gepland_op],"&lt;&gt;")&gt;0,"OK","MIS")</f>
        <v>OK</v>
      </c>
      <c r="S44" t="str">
        <f>IF(COUNTIFS(tbl_acties[cyclus_id],A44,tbl_acties[actie_type],"INCHECK",tbl_acties[uitgevoerd_op],"&lt;&gt;",tbl_acties[sleutels_bevestigd],"JA")&gt;0,"OK","MIS")</f>
        <v>MIS</v>
      </c>
      <c r="U44" t="str">
        <f t="shared" si="0"/>
        <v/>
      </c>
    </row>
    <row r="45" spans="1:21" x14ac:dyDescent="0.2">
      <c r="A45" t="s">
        <v>166</v>
      </c>
      <c r="B45" t="s">
        <v>1008</v>
      </c>
      <c r="C45" t="str">
        <f>_xlfn.XLOOKUP(tbl_cycli[[#This Row],[huis_id]],OG_HUIZEN_LIJST!B:B,OG_HUIZEN_LIJST!C:C,"",0)</f>
        <v>Wijngaard 66</v>
      </c>
      <c r="D45" t="s">
        <v>10</v>
      </c>
      <c r="E45" t="s">
        <v>18</v>
      </c>
      <c r="G45" s="2"/>
      <c r="H45" s="2">
        <v>46038</v>
      </c>
      <c r="I45" t="s">
        <v>35</v>
      </c>
      <c r="J45" t="s">
        <v>102</v>
      </c>
      <c r="K45" t="s">
        <v>167</v>
      </c>
      <c r="L45" t="str">
        <f>B45&amp;"|"&amp;D45</f>
        <v>0212|JA</v>
      </c>
      <c r="M45" t="str">
        <f>IF(COUNTIFS(tbl_acties[cyclus_id],A45,tbl_acties[actie_type],"VOORINSPECTIE",tbl_acties[gepland_op],"&lt;&gt;")&gt;0,"OK","MIS")</f>
        <v>MIS</v>
      </c>
      <c r="N45" t="str">
        <f>IF(COUNTIFS(tbl_acties[cyclus_id],A45,tbl_acties[actie_type],"VOORINSPECTIE",tbl_acties[uitgevoerd_op],"&lt;&gt;")&gt;0,"OK","MIS")</f>
        <v>MIS</v>
      </c>
      <c r="O45" t="str">
        <f>IF(COUNTIFS(tbl_acties[cyclus_id],A45,tbl_acties[actie_type],"UITCHECK",tbl_acties[gepland_op],"&lt;&gt;")&gt;0,"OK","MIS")</f>
        <v>OK</v>
      </c>
      <c r="P45" t="str">
        <f>IF(COUNTIFS(tbl_acties[cyclus_id],A45,tbl_acties[actie_type],"UITCHECK",tbl_acties[uitgevoerd_op],"&lt;&gt;",tbl_acties[verwachte_schoonmaak_uren],"&lt;&gt;")&gt;0,"OK","MIS")</f>
        <v>MIS</v>
      </c>
      <c r="Q45" t="str">
        <f>IF(COUNTIFS(tbl_acties[cyclus_id],A45,tbl_acties[actie_type],"SCHOONMAAK",tbl_acties[uitgevoerd_op],"&lt;&gt;",tbl_acties[werkelijke_schoonmaak_uren],"&lt;&gt;")&gt;0,"OK","MIS")</f>
        <v>MIS</v>
      </c>
      <c r="R45" t="str">
        <f>IF(COUNTIFS(tbl_acties[cyclus_id],A45,tbl_acties[actie_type],"INCHECK",tbl_acties[gepland_op],"&lt;&gt;")&gt;0,"OK","MIS")</f>
        <v>OK</v>
      </c>
      <c r="S45" t="str">
        <f>IF(COUNTIFS(tbl_acties[cyclus_id],A45,tbl_acties[actie_type],"INCHECK",tbl_acties[uitgevoerd_op],"&lt;&gt;",tbl_acties[sleutels_bevestigd],"JA")&gt;0,"OK","MIS")</f>
        <v>MIS</v>
      </c>
      <c r="U45" t="str">
        <f t="shared" si="0"/>
        <v/>
      </c>
    </row>
    <row r="46" spans="1:21" x14ac:dyDescent="0.2">
      <c r="A46" t="s">
        <v>168</v>
      </c>
      <c r="B46" t="s">
        <v>1445</v>
      </c>
      <c r="C46" t="str">
        <f>_xlfn.XLOOKUP(tbl_cycli[[#This Row],[huis_id]],OG_HUIZEN_LIJST!B:B,OG_HUIZEN_LIJST!C:C,"",0)</f>
        <v>Vierambachtsstraat 32-B01</v>
      </c>
      <c r="D46" t="s">
        <v>10</v>
      </c>
      <c r="E46" t="s">
        <v>18</v>
      </c>
      <c r="G46" s="2">
        <v>46030</v>
      </c>
      <c r="I46" t="s">
        <v>8</v>
      </c>
      <c r="J46" t="s">
        <v>102</v>
      </c>
      <c r="K46" t="s">
        <v>103</v>
      </c>
      <c r="L46" t="str">
        <f>B46&amp;"|"&amp;D46</f>
        <v>0374|JA</v>
      </c>
      <c r="M46" t="str">
        <f>IF(COUNTIFS(tbl_acties[cyclus_id],A46,tbl_acties[actie_type],"VOORINSPECTIE",tbl_acties[gepland_op],"&lt;&gt;")&gt;0,"OK","MIS")</f>
        <v>MIS</v>
      </c>
      <c r="N46" t="str">
        <f>IF(COUNTIFS(tbl_acties[cyclus_id],A46,tbl_acties[actie_type],"VOORINSPECTIE",tbl_acties[uitgevoerd_op],"&lt;&gt;")&gt;0,"OK","MIS")</f>
        <v>MIS</v>
      </c>
      <c r="O46" t="str">
        <f>IF(COUNTIFS(tbl_acties[cyclus_id],A46,tbl_acties[actie_type],"UITCHECK",tbl_acties[gepland_op],"&lt;&gt;")&gt;0,"OK","MIS")</f>
        <v>MIS</v>
      </c>
      <c r="P46" t="str">
        <f>IF(COUNTIFS(tbl_acties[cyclus_id],A46,tbl_acties[actie_type],"UITCHECK",tbl_acties[uitgevoerd_op],"&lt;&gt;",tbl_acties[verwachte_schoonmaak_uren],"&lt;&gt;")&gt;0,"OK","MIS")</f>
        <v>MIS</v>
      </c>
      <c r="Q46" t="str">
        <f>IF(COUNTIFS(tbl_acties[cyclus_id],A46,tbl_acties[actie_type],"SCHOONMAAK",tbl_acties[uitgevoerd_op],"&lt;&gt;",tbl_acties[werkelijke_schoonmaak_uren],"&lt;&gt;")&gt;0,"OK","MIS")</f>
        <v>MIS</v>
      </c>
      <c r="R46" t="str">
        <f>IF(COUNTIFS(tbl_acties[cyclus_id],A46,tbl_acties[actie_type],"INCHECK",tbl_acties[gepland_op],"&lt;&gt;")&gt;0,"OK","MIS")</f>
        <v>MIS</v>
      </c>
      <c r="S46" t="str">
        <f>IF(COUNTIFS(tbl_acties[cyclus_id],A46,tbl_acties[actie_type],"INCHECK",tbl_acties[uitgevoerd_op],"&lt;&gt;",tbl_acties[sleutels_bevestigd],"JA")&gt;0,"OK","MIS")</f>
        <v>MIS</v>
      </c>
      <c r="U46" t="str">
        <f t="shared" si="0"/>
        <v/>
      </c>
    </row>
    <row r="47" spans="1:21" x14ac:dyDescent="0.2">
      <c r="A47" t="s">
        <v>1973</v>
      </c>
      <c r="B47" s="9" t="s">
        <v>1360</v>
      </c>
      <c r="C47" t="str">
        <f>_xlfn.XLOOKUP(tbl_cycli[[#This Row],[huis_id]],OG_HUIZEN_LIJST!B:B,OG_HUIZEN_LIJST!C:C,"",0)</f>
        <v>Compierekade 15</v>
      </c>
      <c r="D47" t="s">
        <v>10</v>
      </c>
      <c r="L47" t="str">
        <f t="shared" ref="L47:L48" si="1">B47&amp;"|"&amp;D47</f>
        <v>0345|JA</v>
      </c>
      <c r="M47" t="str">
        <f>IF(COUNTIFS(tbl_acties[cyclus_id],A47,tbl_acties[actie_type],"VOORINSPECTIE",tbl_acties[gepland_op],"&lt;&gt;")&gt;0,"OK","MIS")</f>
        <v>MIS</v>
      </c>
      <c r="N47" t="str">
        <f>IF(COUNTIFS(tbl_acties[cyclus_id],A47,tbl_acties[actie_type],"VOORINSPECTIE",tbl_acties[uitgevoerd_op],"&lt;&gt;")&gt;0,"OK","MIS")</f>
        <v>MIS</v>
      </c>
      <c r="O47" t="str">
        <f>IF(COUNTIFS(tbl_acties[cyclus_id],A47,tbl_acties[actie_type],"UITCHECK",tbl_acties[gepland_op],"&lt;&gt;")&gt;0,"OK","MIS")</f>
        <v>MIS</v>
      </c>
      <c r="P47" t="str">
        <f>IF(COUNTIFS(tbl_acties[cyclus_id],A47,tbl_acties[actie_type],"UITCHECK",tbl_acties[uitgevoerd_op],"&lt;&gt;",tbl_acties[verwachte_schoonmaak_uren],"&lt;&gt;")&gt;0,"OK","MIS")</f>
        <v>MIS</v>
      </c>
      <c r="Q47" t="str">
        <f>IF(COUNTIFS(tbl_acties[cyclus_id],A47,tbl_acties[actie_type],"SCHOONMAAK",tbl_acties[uitgevoerd_op],"&lt;&gt;",tbl_acties[werkelijke_schoonmaak_uren],"&lt;&gt;")&gt;0,"OK","MIS")</f>
        <v>MIS</v>
      </c>
      <c r="R47" t="str">
        <f>IF(COUNTIFS(tbl_acties[cyclus_id],A47,tbl_acties[actie_type],"INCHECK",tbl_acties[gepland_op],"&lt;&gt;")&gt;0,"OK","MIS")</f>
        <v>MIS</v>
      </c>
      <c r="S47" t="str">
        <f>IF(COUNTIFS(tbl_acties[cyclus_id],A47,tbl_acties[actie_type],"INCHECK",tbl_acties[uitgevoerd_op],"&lt;&gt;",tbl_acties[sleutels_bevestigd],"JA")&gt;0,"OK","MIS")</f>
        <v>MIS</v>
      </c>
      <c r="U47" t="str">
        <f t="shared" ref="U47:U48" si="2">IF(I47="UITCHECK_UITGEVOERD",IF(P47="OK","","FOUT: uitcheck mist uitgevoerd_op of verwachte uren"),IF(I47="SCHOONMAAK_NODIG",IF(P47="OK","","FOUT: schoonmaak kan pas na uitcheck"),IF(I47="INCHECK_UITGEVOERD",IF(S47="OK","","FOUT: incheck mist sleutelbevestiging/uitgevoerd"),"")))</f>
        <v/>
      </c>
    </row>
    <row r="48" spans="1:21" x14ac:dyDescent="0.2">
      <c r="A48" t="s">
        <v>1974</v>
      </c>
      <c r="B48" s="9" t="s">
        <v>1068</v>
      </c>
      <c r="C48" t="str">
        <f>_xlfn.XLOOKUP(tbl_cycli[[#This Row],[huis_id]],OG_HUIZEN_LIJST!B:B,OG_HUIZEN_LIJST!C:C,"",0)</f>
        <v>Zuidhoek 209D</v>
      </c>
      <c r="D48" t="s">
        <v>10</v>
      </c>
      <c r="L48" t="str">
        <f t="shared" si="1"/>
        <v>0232|JA</v>
      </c>
      <c r="M48" t="str">
        <f>IF(COUNTIFS(tbl_acties[cyclus_id],A48,tbl_acties[actie_type],"VOORINSPECTIE",tbl_acties[gepland_op],"&lt;&gt;")&gt;0,"OK","MIS")</f>
        <v>MIS</v>
      </c>
      <c r="N48" t="str">
        <f>IF(COUNTIFS(tbl_acties[cyclus_id],A48,tbl_acties[actie_type],"VOORINSPECTIE",tbl_acties[uitgevoerd_op],"&lt;&gt;")&gt;0,"OK","MIS")</f>
        <v>MIS</v>
      </c>
      <c r="O48" t="str">
        <f>IF(COUNTIFS(tbl_acties[cyclus_id],A48,tbl_acties[actie_type],"UITCHECK",tbl_acties[gepland_op],"&lt;&gt;")&gt;0,"OK","MIS")</f>
        <v>MIS</v>
      </c>
      <c r="P48" t="str">
        <f>IF(COUNTIFS(tbl_acties[cyclus_id],A48,tbl_acties[actie_type],"UITCHECK",tbl_acties[uitgevoerd_op],"&lt;&gt;",tbl_acties[verwachte_schoonmaak_uren],"&lt;&gt;")&gt;0,"OK","MIS")</f>
        <v>MIS</v>
      </c>
      <c r="Q48" t="str">
        <f>IF(COUNTIFS(tbl_acties[cyclus_id],A48,tbl_acties[actie_type],"SCHOONMAAK",tbl_acties[uitgevoerd_op],"&lt;&gt;",tbl_acties[werkelijke_schoonmaak_uren],"&lt;&gt;")&gt;0,"OK","MIS")</f>
        <v>MIS</v>
      </c>
      <c r="R48" t="str">
        <f>IF(COUNTIFS(tbl_acties[cyclus_id],A48,tbl_acties[actie_type],"INCHECK",tbl_acties[gepland_op],"&lt;&gt;")&gt;0,"OK","MIS")</f>
        <v>MIS</v>
      </c>
      <c r="S48" t="str">
        <f>IF(COUNTIFS(tbl_acties[cyclus_id],A48,tbl_acties[actie_type],"INCHECK",tbl_acties[uitgevoerd_op],"&lt;&gt;",tbl_acties[sleutels_bevestigd],"JA")&gt;0,"OK","MIS")</f>
        <v>MIS</v>
      </c>
      <c r="U48" t="str">
        <f t="shared" si="2"/>
        <v/>
      </c>
    </row>
  </sheetData>
  <phoneticPr fontId="4" type="noConversion"/>
  <dataValidations count="5">
    <dataValidation type="list" sqref="B2:B59" xr:uid="{00000000-0002-0000-0200-000000000000}">
      <formula1>lst_huis_id</formula1>
    </dataValidation>
    <dataValidation type="list" sqref="D2:D48 I2:J59 M2:M59" xr:uid="{00000000-0002-0000-0200-000001000000}">
      <formula1>lst_ja_nee_onbekend</formula1>
    </dataValidation>
    <dataValidation type="list" sqref="E2:E48" xr:uid="{00000000-0002-0000-0200-000002000000}">
      <formula1>lst_klant_type</formula1>
    </dataValidation>
    <dataValidation type="list" sqref="F2:F48" xr:uid="{00000000-0002-0000-0200-000003000000}">
      <formula1>lst_bestemming</formula1>
    </dataValidation>
    <dataValidation type="list" sqref="I2:I46" xr:uid="{00000000-0002-0000-0200-000004000000}">
      <formula1>lst_status</formula1>
    </dataValidation>
  </dataValidations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"/>
  <sheetViews>
    <sheetView showGridLines="0" workbookViewId="0">
      <pane ySplit="1" topLeftCell="A24" activePane="bottomLeft" state="frozen"/>
      <selection pane="bottomLeft" activeCell="E60" sqref="E60"/>
    </sheetView>
  </sheetViews>
  <sheetFormatPr baseColWidth="10" defaultColWidth="8.83203125" defaultRowHeight="15" x14ac:dyDescent="0.2"/>
  <cols>
    <col min="1" max="2" width="10" customWidth="1"/>
    <col min="3" max="3" width="23.1640625" customWidth="1"/>
    <col min="4" max="4" width="10" customWidth="1"/>
    <col min="5" max="5" width="16" customWidth="1"/>
    <col min="6" max="6" width="16.6640625" bestFit="1" customWidth="1"/>
    <col min="7" max="7" width="14" customWidth="1"/>
    <col min="8" max="8" width="18" customWidth="1"/>
    <col min="9" max="9" width="12" customWidth="1"/>
    <col min="10" max="10" width="14" customWidth="1"/>
    <col min="11" max="12" width="22" customWidth="1"/>
    <col min="13" max="13" width="18" customWidth="1"/>
    <col min="14" max="14" width="24" customWidth="1"/>
    <col min="15" max="15" width="40" customWidth="1"/>
  </cols>
  <sheetData>
    <row r="1" spans="1:15" ht="32" x14ac:dyDescent="0.2">
      <c r="A1" s="1" t="s">
        <v>169</v>
      </c>
      <c r="B1" s="1" t="s">
        <v>305</v>
      </c>
      <c r="C1" s="1" t="s">
        <v>39</v>
      </c>
      <c r="D1" s="1" t="s">
        <v>86</v>
      </c>
      <c r="E1" s="1" t="s">
        <v>1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5</v>
      </c>
      <c r="O1" s="1" t="s">
        <v>178</v>
      </c>
    </row>
    <row r="2" spans="1:15" x14ac:dyDescent="0.2">
      <c r="A2" t="s">
        <v>179</v>
      </c>
      <c r="B2" t="s">
        <v>1655</v>
      </c>
      <c r="C2" t="str">
        <f>_xlfn.XLOOKUP(tbl_acties[[#This Row],[object_id]],HUIZEN_MASTER!A:A,HUIZEN_MASTER!B:B,"",0)</f>
        <v>Jasmijnring 35</v>
      </c>
      <c r="D2" t="str">
        <f>IFERROR(INDEX(tbl_cycli[cyclus_id],MATCH(B2&amp;"|JA",tbl_cycli[sleutel_actief],0)),"")</f>
        <v>C0002</v>
      </c>
      <c r="E2" t="s">
        <v>16</v>
      </c>
      <c r="F2" s="2">
        <v>45930</v>
      </c>
    </row>
    <row r="3" spans="1:15" x14ac:dyDescent="0.2">
      <c r="A3" t="s">
        <v>180</v>
      </c>
      <c r="B3" t="s">
        <v>1426</v>
      </c>
      <c r="C3" t="str">
        <f>_xlfn.XLOOKUP(tbl_acties[[#This Row],[object_id]],HUIZEN_MASTER!A:A,HUIZEN_MASTER!B:B,"",0)</f>
        <v>Wedderweg 3</v>
      </c>
      <c r="D3" t="str">
        <f>IFERROR(INDEX(tbl_cycli[cyclus_id],MATCH(B3&amp;"|JA",tbl_cycli[sleutel_actief],0)),"")</f>
        <v>C0003</v>
      </c>
      <c r="E3" t="s">
        <v>16</v>
      </c>
      <c r="F3" s="2">
        <v>45960</v>
      </c>
      <c r="H3" t="s">
        <v>181</v>
      </c>
    </row>
    <row r="4" spans="1:15" x14ac:dyDescent="0.2">
      <c r="A4" t="s">
        <v>182</v>
      </c>
      <c r="B4" t="s">
        <v>1426</v>
      </c>
      <c r="C4" t="str">
        <f>_xlfn.XLOOKUP(tbl_acties[[#This Row],[object_id]],HUIZEN_MASTER!A:A,HUIZEN_MASTER!B:B,"",0)</f>
        <v>Wedderweg 3</v>
      </c>
      <c r="D4" t="str">
        <f>IFERROR(INDEX(tbl_cycli[cyclus_id],MATCH(B4&amp;"|JA",tbl_cycli[sleutel_actief],0)),"")</f>
        <v>C0003</v>
      </c>
      <c r="E4" t="s">
        <v>29</v>
      </c>
      <c r="H4" t="s">
        <v>181</v>
      </c>
    </row>
    <row r="5" spans="1:15" x14ac:dyDescent="0.2">
      <c r="A5" t="s">
        <v>183</v>
      </c>
      <c r="B5" t="s">
        <v>1397</v>
      </c>
      <c r="C5" t="str">
        <f>_xlfn.XLOOKUP(tbl_acties[[#This Row],[object_id]],HUIZEN_MASTER!A:A,HUIZEN_MASTER!B:B,"",0)</f>
        <v>Monsterseweg 26A</v>
      </c>
      <c r="D5" t="str">
        <f>IFERROR(INDEX(tbl_cycli[cyclus_id],MATCH(B5&amp;"|JA",tbl_cycli[sleutel_actief],0)),"")</f>
        <v>C0004</v>
      </c>
      <c r="E5" t="s">
        <v>16</v>
      </c>
      <c r="F5" s="2">
        <v>45967</v>
      </c>
      <c r="H5" t="s">
        <v>184</v>
      </c>
    </row>
    <row r="6" spans="1:15" x14ac:dyDescent="0.2">
      <c r="A6" t="s">
        <v>185</v>
      </c>
      <c r="B6" t="s">
        <v>445</v>
      </c>
      <c r="C6" t="str">
        <f>_xlfn.XLOOKUP(tbl_acties[[#This Row],[object_id]],HUIZEN_MASTER!A:A,HUIZEN_MASTER!B:B,"",0)</f>
        <v>Nunspeetlaan 53</v>
      </c>
      <c r="D6" t="str">
        <f>IFERROR(INDEX(tbl_cycli[cyclus_id],MATCH(B6&amp;"|JA",tbl_cycli[sleutel_actief],0)),"")</f>
        <v>C0005</v>
      </c>
      <c r="E6" t="s">
        <v>16</v>
      </c>
      <c r="H6" t="s">
        <v>184</v>
      </c>
    </row>
    <row r="7" spans="1:15" x14ac:dyDescent="0.2">
      <c r="A7" t="s">
        <v>187</v>
      </c>
      <c r="B7" t="s">
        <v>1238</v>
      </c>
      <c r="C7" t="str">
        <f>_xlfn.XLOOKUP(tbl_acties[[#This Row],[object_id]],HUIZEN_MASTER!A:A,HUIZEN_MASTER!B:B,"",0)</f>
        <v>Akkerweg 41 [018]</v>
      </c>
      <c r="D7" t="str">
        <f>IFERROR(INDEX(tbl_cycli[cyclus_id],MATCH(B7&amp;"|JA",tbl_cycli[sleutel_actief],0)),"")</f>
        <v>C0006</v>
      </c>
      <c r="E7" t="s">
        <v>16</v>
      </c>
      <c r="F7" s="2">
        <v>45962</v>
      </c>
    </row>
    <row r="8" spans="1:15" x14ac:dyDescent="0.2">
      <c r="A8" t="s">
        <v>188</v>
      </c>
      <c r="B8" t="s">
        <v>1248</v>
      </c>
      <c r="C8" t="str">
        <f>_xlfn.XLOOKUP(tbl_acties[[#This Row],[object_id]],HUIZEN_MASTER!A:A,HUIZEN_MASTER!B:B,"",0)</f>
        <v>Akkerweg 41 [040]</v>
      </c>
      <c r="D8" t="str">
        <f>IFERROR(INDEX(tbl_cycli[cyclus_id],MATCH(B8&amp;"|JA",tbl_cycli[sleutel_actief],0)),"")</f>
        <v>C0007</v>
      </c>
      <c r="E8" t="s">
        <v>16</v>
      </c>
      <c r="F8" s="2">
        <v>45992</v>
      </c>
      <c r="H8" t="s">
        <v>189</v>
      </c>
    </row>
    <row r="9" spans="1:15" x14ac:dyDescent="0.2">
      <c r="A9" t="s">
        <v>190</v>
      </c>
      <c r="B9" t="s">
        <v>1475</v>
      </c>
      <c r="C9" t="str">
        <f>_xlfn.XLOOKUP(tbl_acties[[#This Row],[object_id]],HUIZEN_MASTER!A:A,HUIZEN_MASTER!B:B,"",0)</f>
        <v>Akkerweg 41 [058]</v>
      </c>
      <c r="D9" t="str">
        <f>IFERROR(INDEX(tbl_cycli[cyclus_id],MATCH(B9&amp;"|JA",tbl_cycli[sleutel_actief],0)),"")</f>
        <v>C0009</v>
      </c>
      <c r="E9" t="s">
        <v>16</v>
      </c>
      <c r="F9" s="2">
        <v>45992</v>
      </c>
      <c r="H9" t="s">
        <v>189</v>
      </c>
    </row>
    <row r="10" spans="1:15" x14ac:dyDescent="0.2">
      <c r="A10" t="s">
        <v>191</v>
      </c>
      <c r="B10" t="s">
        <v>651</v>
      </c>
      <c r="C10" t="str">
        <f>_xlfn.XLOOKUP(tbl_acties[[#This Row],[object_id]],HUIZEN_MASTER!A:A,HUIZEN_MASTER!B:B,"",0)</f>
        <v>Moureauveld 8</v>
      </c>
      <c r="D10" t="str">
        <f>IFERROR(INDEX(tbl_cycli[cyclus_id],MATCH(B10&amp;"|JA",tbl_cycli[sleutel_actief],0)),"")</f>
        <v>C0010</v>
      </c>
      <c r="E10" t="s">
        <v>16</v>
      </c>
      <c r="F10" s="2">
        <v>45975</v>
      </c>
      <c r="H10" t="s">
        <v>184</v>
      </c>
    </row>
    <row r="11" spans="1:15" x14ac:dyDescent="0.2">
      <c r="A11" t="s">
        <v>192</v>
      </c>
      <c r="B11" t="s">
        <v>651</v>
      </c>
      <c r="C11" t="str">
        <f>_xlfn.XLOOKUP(tbl_acties[[#This Row],[object_id]],HUIZEN_MASTER!A:A,HUIZEN_MASTER!B:B,"",0)</f>
        <v>Moureauveld 8</v>
      </c>
      <c r="D11" t="str">
        <f>IFERROR(INDEX(tbl_cycli[cyclus_id],MATCH(B11&amp;"|JA",tbl_cycli[sleutel_actief],0)),"")</f>
        <v>C0010</v>
      </c>
      <c r="E11" t="s">
        <v>29</v>
      </c>
      <c r="F11" s="2">
        <v>45996</v>
      </c>
      <c r="H11" t="s">
        <v>184</v>
      </c>
    </row>
    <row r="12" spans="1:15" x14ac:dyDescent="0.2">
      <c r="A12" t="s">
        <v>193</v>
      </c>
      <c r="B12" t="s">
        <v>1091</v>
      </c>
      <c r="C12" t="str">
        <f>_xlfn.XLOOKUP(tbl_acties[[#This Row],[object_id]],HUIZEN_MASTER!A:A,HUIZEN_MASTER!B:B,"",0)</f>
        <v>Schoonegge 84</v>
      </c>
      <c r="D12" t="str">
        <f>IFERROR(INDEX(tbl_cycli[cyclus_id],MATCH(B12&amp;"|JA",tbl_cycli[sleutel_actief],0)),"")</f>
        <v>C0011</v>
      </c>
      <c r="E12" t="s">
        <v>16</v>
      </c>
      <c r="F12" s="2">
        <v>45987</v>
      </c>
      <c r="H12" t="s">
        <v>184</v>
      </c>
    </row>
    <row r="13" spans="1:15" x14ac:dyDescent="0.2">
      <c r="A13" t="s">
        <v>194</v>
      </c>
      <c r="B13" t="s">
        <v>952</v>
      </c>
      <c r="C13" t="str">
        <f>_xlfn.XLOOKUP(tbl_acties[[#This Row],[object_id]],HUIZEN_MASTER!A:A,HUIZEN_MASTER!B:B,"",0)</f>
        <v>Kapershoek 11</v>
      </c>
      <c r="D13" t="str">
        <f>IFERROR(INDEX(tbl_cycli[cyclus_id],MATCH(B13&amp;"|JA",tbl_cycli[sleutel_actief],0)),"")</f>
        <v>C0012</v>
      </c>
      <c r="E13" t="s">
        <v>29</v>
      </c>
      <c r="F13" s="2">
        <v>46003</v>
      </c>
      <c r="H13" t="s">
        <v>195</v>
      </c>
    </row>
    <row r="14" spans="1:15" x14ac:dyDescent="0.2">
      <c r="A14" t="s">
        <v>196</v>
      </c>
      <c r="B14" t="s">
        <v>1350</v>
      </c>
      <c r="C14" t="str">
        <f>_xlfn.XLOOKUP(tbl_acties[[#This Row],[object_id]],HUIZEN_MASTER!A:A,HUIZEN_MASTER!B:B,"",0)</f>
        <v>Akkerweg 41 [010]</v>
      </c>
      <c r="D14" t="str">
        <f>IFERROR(INDEX(tbl_cycli[cyclus_id],MATCH(B14&amp;"|JA",tbl_cycli[sleutel_actief],0)),"")</f>
        <v>C0013</v>
      </c>
      <c r="E14" t="s">
        <v>16</v>
      </c>
      <c r="F14" s="2">
        <v>45992</v>
      </c>
      <c r="H14" t="s">
        <v>189</v>
      </c>
    </row>
    <row r="15" spans="1:15" x14ac:dyDescent="0.2">
      <c r="A15" t="s">
        <v>197</v>
      </c>
      <c r="B15" t="s">
        <v>1352</v>
      </c>
      <c r="C15" t="str">
        <f>_xlfn.XLOOKUP(tbl_acties[[#This Row],[object_id]],HUIZEN_MASTER!A:A,HUIZEN_MASTER!B:B,"",0)</f>
        <v>Akkerweg 41 [016]</v>
      </c>
      <c r="D15" t="str">
        <f>IFERROR(INDEX(tbl_cycli[cyclus_id],MATCH(B15&amp;"|JA",tbl_cycli[sleutel_actief],0)),"")</f>
        <v>C0014</v>
      </c>
      <c r="E15" t="s">
        <v>16</v>
      </c>
      <c r="F15" s="2">
        <v>45992</v>
      </c>
      <c r="H15" t="s">
        <v>189</v>
      </c>
    </row>
    <row r="16" spans="1:15" x14ac:dyDescent="0.2">
      <c r="A16" t="s">
        <v>198</v>
      </c>
      <c r="B16" t="s">
        <v>1354</v>
      </c>
      <c r="C16" t="str">
        <f>_xlfn.XLOOKUP(tbl_acties[[#This Row],[object_id]],HUIZEN_MASTER!A:A,HUIZEN_MASTER!B:B,"",0)</f>
        <v>Akkerweg 41 [019]</v>
      </c>
      <c r="D16" t="str">
        <f>IFERROR(INDEX(tbl_cycli[cyclus_id],MATCH(B16&amp;"|JA",tbl_cycli[sleutel_actief],0)),"")</f>
        <v>C0015</v>
      </c>
      <c r="E16" t="s">
        <v>16</v>
      </c>
      <c r="F16" s="2">
        <v>45992</v>
      </c>
      <c r="H16" t="s">
        <v>189</v>
      </c>
    </row>
    <row r="17" spans="1:15" x14ac:dyDescent="0.2">
      <c r="A17" t="s">
        <v>199</v>
      </c>
      <c r="B17" t="s">
        <v>1254</v>
      </c>
      <c r="C17" t="str">
        <f>_xlfn.XLOOKUP(tbl_acties[[#This Row],[object_id]],HUIZEN_MASTER!A:A,HUIZEN_MASTER!B:B,"",0)</f>
        <v>Akkerweg 41 [055]</v>
      </c>
      <c r="D17" t="str">
        <f>IFERROR(INDEX(tbl_cycli[cyclus_id],MATCH(B17&amp;"|JA",tbl_cycli[sleutel_actief],0)),"")</f>
        <v>C0016</v>
      </c>
      <c r="E17" t="s">
        <v>16</v>
      </c>
      <c r="F17" s="2">
        <v>45992</v>
      </c>
      <c r="H17" t="s">
        <v>189</v>
      </c>
    </row>
    <row r="18" spans="1:15" x14ac:dyDescent="0.2">
      <c r="A18" t="s">
        <v>200</v>
      </c>
      <c r="B18" t="s">
        <v>1256</v>
      </c>
      <c r="C18" t="str">
        <f>_xlfn.XLOOKUP(tbl_acties[[#This Row],[object_id]],HUIZEN_MASTER!A:A,HUIZEN_MASTER!B:B,"",0)</f>
        <v>Akkerweg 41 [056]</v>
      </c>
      <c r="D18" t="str">
        <f>IFERROR(INDEX(tbl_cycli[cyclus_id],MATCH(B18&amp;"|JA",tbl_cycli[sleutel_actief],0)),"")</f>
        <v>C0017</v>
      </c>
      <c r="E18" t="s">
        <v>16</v>
      </c>
      <c r="F18" s="2">
        <v>45992</v>
      </c>
      <c r="H18" t="s">
        <v>189</v>
      </c>
    </row>
    <row r="19" spans="1:15" x14ac:dyDescent="0.2">
      <c r="A19" t="s">
        <v>201</v>
      </c>
      <c r="B19" t="s">
        <v>600</v>
      </c>
      <c r="C19" t="str">
        <f>_xlfn.XLOOKUP(tbl_acties[[#This Row],[object_id]],HUIZEN_MASTER!A:A,HUIZEN_MASTER!B:B,"",0)</f>
        <v>Kierkegaardhof 54</v>
      </c>
      <c r="D19" t="str">
        <f>IFERROR(INDEX(tbl_cycli[cyclus_id],MATCH(B19&amp;"|JA",tbl_cycli[sleutel_actief],0)),"")</f>
        <v>C0018</v>
      </c>
      <c r="E19" t="s">
        <v>16</v>
      </c>
      <c r="F19" s="2">
        <v>45968</v>
      </c>
      <c r="H19" t="s">
        <v>184</v>
      </c>
    </row>
    <row r="20" spans="1:15" x14ac:dyDescent="0.2">
      <c r="A20" t="s">
        <v>202</v>
      </c>
      <c r="B20" t="s">
        <v>600</v>
      </c>
      <c r="C20" t="str">
        <f>_xlfn.XLOOKUP(tbl_acties[[#This Row],[object_id]],HUIZEN_MASTER!A:A,HUIZEN_MASTER!B:B,"",0)</f>
        <v>Kierkegaardhof 54</v>
      </c>
      <c r="D20" t="str">
        <f>IFERROR(INDEX(tbl_cycli[cyclus_id],MATCH(B20&amp;"|JA",tbl_cycli[sleutel_actief],0)),"")</f>
        <v>C0018</v>
      </c>
      <c r="E20" t="s">
        <v>29</v>
      </c>
      <c r="H20" t="s">
        <v>184</v>
      </c>
    </row>
    <row r="21" spans="1:15" x14ac:dyDescent="0.2">
      <c r="A21" t="s">
        <v>203</v>
      </c>
      <c r="B21" t="s">
        <v>695</v>
      </c>
      <c r="C21" t="str">
        <f>_xlfn.XLOOKUP(tbl_acties[[#This Row],[object_id]],HUIZEN_MASTER!A:A,HUIZEN_MASTER!B:B,"",0)</f>
        <v>Piersonstraat 8</v>
      </c>
      <c r="D21" t="str">
        <f>IFERROR(INDEX(tbl_cycli[cyclus_id],MATCH(B21&amp;"|JA",tbl_cycli[sleutel_actief],0)),"")</f>
        <v>C0020</v>
      </c>
      <c r="E21" t="s">
        <v>9</v>
      </c>
      <c r="F21" s="2">
        <v>45987</v>
      </c>
      <c r="H21" t="s">
        <v>184</v>
      </c>
    </row>
    <row r="22" spans="1:15" x14ac:dyDescent="0.2">
      <c r="A22" t="s">
        <v>204</v>
      </c>
      <c r="B22" t="s">
        <v>695</v>
      </c>
      <c r="C22" t="str">
        <f>_xlfn.XLOOKUP(tbl_acties[[#This Row],[object_id]],HUIZEN_MASTER!A:A,HUIZEN_MASTER!B:B,"",0)</f>
        <v>Piersonstraat 8</v>
      </c>
      <c r="D22" t="str">
        <f>IFERROR(INDEX(tbl_cycli[cyclus_id],MATCH(B22&amp;"|JA",tbl_cycli[sleutel_actief],0)),"")</f>
        <v>C0020</v>
      </c>
      <c r="E22" t="s">
        <v>16</v>
      </c>
      <c r="F22" s="2">
        <v>46006</v>
      </c>
      <c r="H22" t="s">
        <v>184</v>
      </c>
    </row>
    <row r="23" spans="1:15" x14ac:dyDescent="0.2">
      <c r="A23" t="s">
        <v>205</v>
      </c>
      <c r="B23" t="s">
        <v>695</v>
      </c>
      <c r="C23" t="str">
        <f>_xlfn.XLOOKUP(tbl_acties[[#This Row],[object_id]],HUIZEN_MASTER!A:A,HUIZEN_MASTER!B:B,"",0)</f>
        <v>Piersonstraat 8</v>
      </c>
      <c r="D23" t="str">
        <f>IFERROR(INDEX(tbl_cycli[cyclus_id],MATCH(B23&amp;"|JA",tbl_cycli[sleutel_actief],0)),"")</f>
        <v>C0020</v>
      </c>
      <c r="E23" t="s">
        <v>23</v>
      </c>
      <c r="H23" t="s">
        <v>184</v>
      </c>
      <c r="O23" t="s">
        <v>206</v>
      </c>
    </row>
    <row r="24" spans="1:15" x14ac:dyDescent="0.2">
      <c r="A24" t="s">
        <v>207</v>
      </c>
      <c r="B24" t="s">
        <v>1047</v>
      </c>
      <c r="C24" t="str">
        <f>_xlfn.XLOOKUP(tbl_acties[[#This Row],[object_id]],HUIZEN_MASTER!A:A,HUIZEN_MASTER!B:B,"",0)</f>
        <v>Kerkwerversingel 127</v>
      </c>
      <c r="D24" t="str">
        <f>IFERROR(INDEX(tbl_cycli[cyclus_id],MATCH(B24&amp;"|JA",tbl_cycli[sleutel_actief],0)),"")</f>
        <v>C0021</v>
      </c>
      <c r="E24" t="s">
        <v>16</v>
      </c>
      <c r="F24" s="2">
        <v>46007</v>
      </c>
      <c r="H24" t="s">
        <v>184</v>
      </c>
    </row>
    <row r="25" spans="1:15" x14ac:dyDescent="0.2">
      <c r="A25" t="s">
        <v>208</v>
      </c>
      <c r="B25" t="s">
        <v>1047</v>
      </c>
      <c r="C25" t="str">
        <f>_xlfn.XLOOKUP(tbl_acties[[#This Row],[object_id]],HUIZEN_MASTER!A:A,HUIZEN_MASTER!B:B,"",0)</f>
        <v>Kerkwerversingel 127</v>
      </c>
      <c r="D25" t="str">
        <f>IFERROR(INDEX(tbl_cycli[cyclus_id],MATCH(B25&amp;"|JA",tbl_cycli[sleutel_actief],0)),"")</f>
        <v>C0021</v>
      </c>
      <c r="E25" t="s">
        <v>23</v>
      </c>
      <c r="H25" t="s">
        <v>184</v>
      </c>
      <c r="O25" t="s">
        <v>209</v>
      </c>
    </row>
    <row r="26" spans="1:15" x14ac:dyDescent="0.2">
      <c r="A26" t="s">
        <v>210</v>
      </c>
      <c r="B26" t="s">
        <v>1231</v>
      </c>
      <c r="C26" t="str">
        <f>_xlfn.XLOOKUP(tbl_acties[[#This Row],[object_id]],HUIZEN_MASTER!A:A,HUIZEN_MASTER!B:B,"",0)</f>
        <v>Akkerweg 41 [014]</v>
      </c>
      <c r="D26" t="str">
        <f>IFERROR(INDEX(tbl_cycli[cyclus_id],MATCH(B26&amp;"|JA",tbl_cycli[sleutel_actief],0)),"")</f>
        <v>C0022</v>
      </c>
      <c r="E26" t="s">
        <v>23</v>
      </c>
      <c r="H26" t="s">
        <v>211</v>
      </c>
      <c r="O26" t="s">
        <v>211</v>
      </c>
    </row>
    <row r="27" spans="1:15" x14ac:dyDescent="0.2">
      <c r="A27" t="s">
        <v>212</v>
      </c>
      <c r="B27" t="s">
        <v>1473</v>
      </c>
      <c r="C27" t="str">
        <f>_xlfn.XLOOKUP(tbl_acties[[#This Row],[object_id]],HUIZEN_MASTER!A:A,HUIZEN_MASTER!B:B,"",0)</f>
        <v>Akkerweg 41 [020]</v>
      </c>
      <c r="D27" t="str">
        <f>IFERROR(INDEX(tbl_cycli[cyclus_id],MATCH(B27&amp;"|JA",tbl_cycli[sleutel_actief],0)),"")</f>
        <v>C0023</v>
      </c>
      <c r="E27" t="s">
        <v>23</v>
      </c>
      <c r="H27" t="s">
        <v>211</v>
      </c>
      <c r="O27" t="s">
        <v>211</v>
      </c>
    </row>
    <row r="28" spans="1:15" x14ac:dyDescent="0.2">
      <c r="A28" t="s">
        <v>213</v>
      </c>
      <c r="B28" t="s">
        <v>1252</v>
      </c>
      <c r="C28" t="str">
        <f>_xlfn.XLOOKUP(tbl_acties[[#This Row],[object_id]],HUIZEN_MASTER!A:A,HUIZEN_MASTER!B:B,"",0)</f>
        <v>Akkerweg 41 [042]</v>
      </c>
      <c r="D28" t="str">
        <f>IFERROR(INDEX(tbl_cycli[cyclus_id],MATCH(B28&amp;"|JA",tbl_cycli[sleutel_actief],0)),"")</f>
        <v>C0024</v>
      </c>
      <c r="E28" t="s">
        <v>23</v>
      </c>
      <c r="H28" t="s">
        <v>211</v>
      </c>
      <c r="O28" t="s">
        <v>211</v>
      </c>
    </row>
    <row r="29" spans="1:15" x14ac:dyDescent="0.2">
      <c r="A29" t="s">
        <v>214</v>
      </c>
      <c r="B29" t="s">
        <v>614</v>
      </c>
      <c r="C29" t="str">
        <f>_xlfn.XLOOKUP(tbl_acties[[#This Row],[object_id]],HUIZEN_MASTER!A:A,HUIZEN_MASTER!B:B,"",0)</f>
        <v>Van Maanenstraat 14A</v>
      </c>
      <c r="D29" t="str">
        <f>IFERROR(INDEX(tbl_cycli[cyclus_id],MATCH(B29&amp;"|JA",tbl_cycli[sleutel_actief],0)),"")</f>
        <v>C0025</v>
      </c>
      <c r="E29" t="s">
        <v>16</v>
      </c>
      <c r="F29" s="2">
        <v>46013</v>
      </c>
      <c r="H29" t="s">
        <v>215</v>
      </c>
    </row>
    <row r="30" spans="1:15" x14ac:dyDescent="0.2">
      <c r="A30" t="s">
        <v>216</v>
      </c>
      <c r="B30" t="s">
        <v>614</v>
      </c>
      <c r="C30" t="str">
        <f>_xlfn.XLOOKUP(tbl_acties[[#This Row],[object_id]],HUIZEN_MASTER!A:A,HUIZEN_MASTER!B:B,"",0)</f>
        <v>Van Maanenstraat 14A</v>
      </c>
      <c r="D30" t="str">
        <f>IFERROR(INDEX(tbl_cycli[cyclus_id],MATCH(B30&amp;"|JA",tbl_cycli[sleutel_actief],0)),"")</f>
        <v>C0025</v>
      </c>
      <c r="E30" t="s">
        <v>23</v>
      </c>
      <c r="H30" t="s">
        <v>215</v>
      </c>
      <c r="O30" t="s">
        <v>217</v>
      </c>
    </row>
    <row r="31" spans="1:15" x14ac:dyDescent="0.2">
      <c r="A31" t="s">
        <v>218</v>
      </c>
      <c r="B31" t="s">
        <v>737</v>
      </c>
      <c r="C31" t="str">
        <f>_xlfn.XLOOKUP(tbl_acties[[#This Row],[object_id]],HUIZEN_MASTER!A:A,HUIZEN_MASTER!B:B,"",0)</f>
        <v>Korte Singelstraat 21-2</v>
      </c>
      <c r="D31" t="str">
        <f>IFERROR(INDEX(tbl_cycli[cyclus_id],MATCH(B31&amp;"|JA",tbl_cycli[sleutel_actief],0)),"")</f>
        <v>C0028</v>
      </c>
      <c r="E31" t="s">
        <v>16</v>
      </c>
      <c r="F31" s="2">
        <v>46022</v>
      </c>
      <c r="H31" t="s">
        <v>195</v>
      </c>
    </row>
    <row r="32" spans="1:15" x14ac:dyDescent="0.2">
      <c r="A32" t="s">
        <v>219</v>
      </c>
      <c r="B32" t="s">
        <v>737</v>
      </c>
      <c r="C32" t="str">
        <f>_xlfn.XLOOKUP(tbl_acties[[#This Row],[object_id]],HUIZEN_MASTER!A:A,HUIZEN_MASTER!B:B,"",0)</f>
        <v>Korte Singelstraat 21-2</v>
      </c>
      <c r="D32" t="str">
        <f>IFERROR(INDEX(tbl_cycli[cyclus_id],MATCH(B32&amp;"|JA",tbl_cycli[sleutel_actief],0)),"")</f>
        <v>C0028</v>
      </c>
      <c r="E32" t="s">
        <v>23</v>
      </c>
      <c r="H32" t="s">
        <v>195</v>
      </c>
      <c r="O32" t="s">
        <v>217</v>
      </c>
    </row>
    <row r="33" spans="1:15" x14ac:dyDescent="0.2">
      <c r="A33" t="s">
        <v>220</v>
      </c>
      <c r="B33" t="s">
        <v>737</v>
      </c>
      <c r="C33" t="str">
        <f>_xlfn.XLOOKUP(tbl_acties[[#This Row],[object_id]],HUIZEN_MASTER!A:A,HUIZEN_MASTER!B:B,"",0)</f>
        <v>Korte Singelstraat 21-2</v>
      </c>
      <c r="D33" t="str">
        <f>IFERROR(INDEX(tbl_cycli[cyclus_id],MATCH(B33&amp;"|JA",tbl_cycli[sleutel_actief],0)),"")</f>
        <v>C0028</v>
      </c>
      <c r="E33" t="s">
        <v>16</v>
      </c>
      <c r="F33" s="2">
        <v>46022</v>
      </c>
      <c r="H33" t="s">
        <v>195</v>
      </c>
    </row>
    <row r="34" spans="1:15" x14ac:dyDescent="0.2">
      <c r="A34" t="s">
        <v>221</v>
      </c>
      <c r="B34" t="s">
        <v>737</v>
      </c>
      <c r="C34" t="str">
        <f>_xlfn.XLOOKUP(tbl_acties[[#This Row],[object_id]],HUIZEN_MASTER!A:A,HUIZEN_MASTER!B:B,"",0)</f>
        <v>Korte Singelstraat 21-2</v>
      </c>
      <c r="D34" t="str">
        <f>IFERROR(INDEX(tbl_cycli[cyclus_id],MATCH(B34&amp;"|JA",tbl_cycli[sleutel_actief],0)),"")</f>
        <v>C0028</v>
      </c>
      <c r="E34" t="s">
        <v>23</v>
      </c>
      <c r="H34" t="s">
        <v>195</v>
      </c>
      <c r="O34" t="s">
        <v>217</v>
      </c>
    </row>
    <row r="35" spans="1:15" x14ac:dyDescent="0.2">
      <c r="A35" t="s">
        <v>222</v>
      </c>
      <c r="B35" t="s">
        <v>681</v>
      </c>
      <c r="C35" t="str">
        <f>_xlfn.XLOOKUP(tbl_acties[[#This Row],[object_id]],HUIZEN_MASTER!A:A,HUIZEN_MASTER!B:B,"",0)</f>
        <v>Opaal 9</v>
      </c>
      <c r="D35" t="str">
        <f>IFERROR(INDEX(tbl_cycli[cyclus_id],MATCH(B35&amp;"|JA",tbl_cycli[sleutel_actief],0)),"")</f>
        <v>C0030</v>
      </c>
      <c r="E35" t="s">
        <v>16</v>
      </c>
      <c r="F35" s="2">
        <v>46022</v>
      </c>
      <c r="H35" t="s">
        <v>215</v>
      </c>
    </row>
    <row r="36" spans="1:15" x14ac:dyDescent="0.2">
      <c r="A36" t="s">
        <v>223</v>
      </c>
      <c r="B36" t="s">
        <v>681</v>
      </c>
      <c r="C36" t="str">
        <f>_xlfn.XLOOKUP(tbl_acties[[#This Row],[object_id]],HUIZEN_MASTER!A:A,HUIZEN_MASTER!B:B,"",0)</f>
        <v>Opaal 9</v>
      </c>
      <c r="D36" t="str">
        <f>IFERROR(INDEX(tbl_cycli[cyclus_id],MATCH(B36&amp;"|JA",tbl_cycli[sleutel_actief],0)),"")</f>
        <v>C0030</v>
      </c>
      <c r="E36" t="s">
        <v>23</v>
      </c>
      <c r="H36" t="s">
        <v>215</v>
      </c>
      <c r="O36" t="s">
        <v>217</v>
      </c>
    </row>
    <row r="37" spans="1:15" x14ac:dyDescent="0.2">
      <c r="A37" t="s">
        <v>224</v>
      </c>
      <c r="B37" t="s">
        <v>783</v>
      </c>
      <c r="C37" t="str">
        <f>_xlfn.XLOOKUP(tbl_acties[[#This Row],[object_id]],HUIZEN_MASTER!A:A,HUIZEN_MASTER!B:B,"",0)</f>
        <v>Wilhelminastraat 8</v>
      </c>
      <c r="D37" t="str">
        <f>IFERROR(INDEX(tbl_cycli[cyclus_id],MATCH(B37&amp;"|JA",tbl_cycli[sleutel_actief],0)),"")</f>
        <v>C0031</v>
      </c>
      <c r="E37" t="s">
        <v>16</v>
      </c>
      <c r="F37" s="2">
        <v>46022</v>
      </c>
      <c r="H37" t="s">
        <v>215</v>
      </c>
    </row>
    <row r="38" spans="1:15" x14ac:dyDescent="0.2">
      <c r="A38" t="s">
        <v>225</v>
      </c>
      <c r="B38" t="s">
        <v>783</v>
      </c>
      <c r="C38" t="str">
        <f>_xlfn.XLOOKUP(tbl_acties[[#This Row],[object_id]],HUIZEN_MASTER!A:A,HUIZEN_MASTER!B:B,"",0)</f>
        <v>Wilhelminastraat 8</v>
      </c>
      <c r="D38" t="str">
        <f>IFERROR(INDEX(tbl_cycli[cyclus_id],MATCH(B38&amp;"|JA",tbl_cycli[sleutel_actief],0)),"")</f>
        <v>C0031</v>
      </c>
      <c r="E38" t="s">
        <v>23</v>
      </c>
      <c r="H38" t="s">
        <v>215</v>
      </c>
      <c r="O38" t="s">
        <v>217</v>
      </c>
    </row>
    <row r="39" spans="1:15" x14ac:dyDescent="0.2">
      <c r="A39" t="s">
        <v>226</v>
      </c>
      <c r="B39" t="s">
        <v>1417</v>
      </c>
      <c r="C39" t="str">
        <f>_xlfn.XLOOKUP(tbl_acties[[#This Row],[object_id]],HUIZEN_MASTER!A:A,HUIZEN_MASTER!B:B,"",0)</f>
        <v>Laan op Zuid 949</v>
      </c>
      <c r="D39" t="str">
        <f>IFERROR(INDEX(tbl_cycli[cyclus_id],MATCH(B39&amp;"|JA",tbl_cycli[sleutel_actief],0)),"")</f>
        <v>C0032</v>
      </c>
      <c r="E39" t="s">
        <v>16</v>
      </c>
      <c r="F39" s="2">
        <v>46022</v>
      </c>
      <c r="H39" t="s">
        <v>195</v>
      </c>
    </row>
    <row r="40" spans="1:15" x14ac:dyDescent="0.2">
      <c r="A40" t="s">
        <v>227</v>
      </c>
      <c r="B40" t="s">
        <v>1417</v>
      </c>
      <c r="C40" t="str">
        <f>_xlfn.XLOOKUP(tbl_acties[[#This Row],[object_id]],HUIZEN_MASTER!A:A,HUIZEN_MASTER!B:B,"",0)</f>
        <v>Laan op Zuid 949</v>
      </c>
      <c r="D40" t="str">
        <f>IFERROR(INDEX(tbl_cycli[cyclus_id],MATCH(B40&amp;"|JA",tbl_cycli[sleutel_actief],0)),"")</f>
        <v>C0032</v>
      </c>
      <c r="E40" t="s">
        <v>23</v>
      </c>
      <c r="H40" t="s">
        <v>195</v>
      </c>
      <c r="O40" t="s">
        <v>217</v>
      </c>
    </row>
    <row r="41" spans="1:15" x14ac:dyDescent="0.2">
      <c r="A41" t="s">
        <v>228</v>
      </c>
      <c r="B41" t="s">
        <v>793</v>
      </c>
      <c r="C41" t="str">
        <f>_xlfn.XLOOKUP(tbl_acties[[#This Row],[object_id]],HUIZEN_MASTER!A:A,HUIZEN_MASTER!B:B,"",0)</f>
        <v>Scheepjesbrug 433</v>
      </c>
      <c r="D41" t="str">
        <f>IFERROR(INDEX(tbl_cycli[cyclus_id],MATCH(B41&amp;"|JA",tbl_cycli[sleutel_actief],0)),"")</f>
        <v>C0033</v>
      </c>
      <c r="E41" t="s">
        <v>16</v>
      </c>
      <c r="F41" s="2">
        <v>46022</v>
      </c>
      <c r="H41" t="s">
        <v>215</v>
      </c>
    </row>
    <row r="42" spans="1:15" x14ac:dyDescent="0.2">
      <c r="A42" t="s">
        <v>229</v>
      </c>
      <c r="B42" t="s">
        <v>793</v>
      </c>
      <c r="C42" t="str">
        <f>_xlfn.XLOOKUP(tbl_acties[[#This Row],[object_id]],HUIZEN_MASTER!A:A,HUIZEN_MASTER!B:B,"",0)</f>
        <v>Scheepjesbrug 433</v>
      </c>
      <c r="D42" t="str">
        <f>IFERROR(INDEX(tbl_cycli[cyclus_id],MATCH(B42&amp;"|JA",tbl_cycli[sleutel_actief],0)),"")</f>
        <v>C0033</v>
      </c>
      <c r="E42" t="s">
        <v>23</v>
      </c>
      <c r="H42" t="s">
        <v>215</v>
      </c>
      <c r="O42" t="s">
        <v>217</v>
      </c>
    </row>
    <row r="43" spans="1:15" x14ac:dyDescent="0.2">
      <c r="A43" t="s">
        <v>230</v>
      </c>
      <c r="B43" t="s">
        <v>1324</v>
      </c>
      <c r="C43" t="str">
        <f>_xlfn.XLOOKUP(tbl_acties[[#This Row],[object_id]],HUIZEN_MASTER!A:A,HUIZEN_MASTER!B:B,"",0)</f>
        <v>Flankstraat 11</v>
      </c>
      <c r="D43" t="str">
        <f>IFERROR(INDEX(tbl_cycli[cyclus_id],MATCH(B43&amp;"|JA",tbl_cycli[sleutel_actief],0)),"")</f>
        <v>C0034</v>
      </c>
      <c r="E43" t="s">
        <v>16</v>
      </c>
      <c r="F43" s="2">
        <v>46022</v>
      </c>
      <c r="H43" t="s">
        <v>215</v>
      </c>
    </row>
    <row r="44" spans="1:15" x14ac:dyDescent="0.2">
      <c r="A44" t="s">
        <v>231</v>
      </c>
      <c r="B44" t="s">
        <v>1324</v>
      </c>
      <c r="C44" t="str">
        <f>_xlfn.XLOOKUP(tbl_acties[[#This Row],[object_id]],HUIZEN_MASTER!A:A,HUIZEN_MASTER!B:B,"",0)</f>
        <v>Flankstraat 11</v>
      </c>
      <c r="D44" t="str">
        <f>IFERROR(INDEX(tbl_cycli[cyclus_id],MATCH(B44&amp;"|JA",tbl_cycli[sleutel_actief],0)),"")</f>
        <v>C0034</v>
      </c>
      <c r="E44" t="s">
        <v>23</v>
      </c>
      <c r="H44" t="s">
        <v>215</v>
      </c>
      <c r="O44" t="s">
        <v>217</v>
      </c>
    </row>
    <row r="45" spans="1:15" x14ac:dyDescent="0.2">
      <c r="A45" t="s">
        <v>232</v>
      </c>
      <c r="B45" t="s">
        <v>1097</v>
      </c>
      <c r="C45" t="str">
        <f>_xlfn.XLOOKUP(tbl_acties[[#This Row],[object_id]],HUIZEN_MASTER!A:A,HUIZEN_MASTER!B:B,"",0)</f>
        <v>Sint Liduinastraat 76 A</v>
      </c>
      <c r="D45" t="str">
        <f>IFERROR(INDEX(tbl_cycli[cyclus_id],MATCH(B45&amp;"|JA",tbl_cycli[sleutel_actief],0)),"")</f>
        <v>C0035</v>
      </c>
      <c r="E45" t="s">
        <v>16</v>
      </c>
      <c r="F45" s="2">
        <v>46014</v>
      </c>
      <c r="H45" t="s">
        <v>215</v>
      </c>
    </row>
    <row r="46" spans="1:15" x14ac:dyDescent="0.2">
      <c r="A46" t="s">
        <v>233</v>
      </c>
      <c r="B46" t="s">
        <v>1097</v>
      </c>
      <c r="C46" t="str">
        <f>_xlfn.XLOOKUP(tbl_acties[[#This Row],[object_id]],HUIZEN_MASTER!A:A,HUIZEN_MASTER!B:B,"",0)</f>
        <v>Sint Liduinastraat 76 A</v>
      </c>
      <c r="D46" t="str">
        <f>IFERROR(INDEX(tbl_cycli[cyclus_id],MATCH(B46&amp;"|JA",tbl_cycli[sleutel_actief],0)),"")</f>
        <v>C0035</v>
      </c>
      <c r="E46" t="s">
        <v>23</v>
      </c>
      <c r="H46" t="s">
        <v>215</v>
      </c>
      <c r="O46" t="s">
        <v>217</v>
      </c>
    </row>
    <row r="47" spans="1:15" x14ac:dyDescent="0.2">
      <c r="A47" t="s">
        <v>234</v>
      </c>
      <c r="B47" t="s">
        <v>967</v>
      </c>
      <c r="C47" t="str">
        <f>_xlfn.XLOOKUP(tbl_acties[[#This Row],[object_id]],HUIZEN_MASTER!A:A,HUIZEN_MASTER!B:B,"",0)</f>
        <v>Kerstendijk 125</v>
      </c>
      <c r="D47" t="str">
        <f>IFERROR(INDEX(tbl_cycli[cyclus_id],MATCH(B47&amp;"|JA",tbl_cycli[sleutel_actief],0)),"")</f>
        <v>C0036</v>
      </c>
      <c r="E47" t="s">
        <v>16</v>
      </c>
      <c r="F47" s="2">
        <v>46022</v>
      </c>
      <c r="H47" t="s">
        <v>195</v>
      </c>
    </row>
    <row r="48" spans="1:15" x14ac:dyDescent="0.2">
      <c r="A48" t="s">
        <v>235</v>
      </c>
      <c r="B48" t="s">
        <v>967</v>
      </c>
      <c r="C48" t="str">
        <f>_xlfn.XLOOKUP(tbl_acties[[#This Row],[object_id]],HUIZEN_MASTER!A:A,HUIZEN_MASTER!B:B,"",0)</f>
        <v>Kerstendijk 125</v>
      </c>
      <c r="D48" t="str">
        <f>IFERROR(INDEX(tbl_cycli[cyclus_id],MATCH(B48&amp;"|JA",tbl_cycli[sleutel_actief],0)),"")</f>
        <v>C0036</v>
      </c>
      <c r="E48" t="s">
        <v>23</v>
      </c>
      <c r="H48" t="s">
        <v>195</v>
      </c>
      <c r="O48" t="s">
        <v>217</v>
      </c>
    </row>
    <row r="49" spans="1:15" x14ac:dyDescent="0.2">
      <c r="A49" t="s">
        <v>236</v>
      </c>
      <c r="B49" t="s">
        <v>1341</v>
      </c>
      <c r="C49" t="str">
        <f>_xlfn.XLOOKUP(tbl_acties[[#This Row],[object_id]],HUIZEN_MASTER!A:A,HUIZEN_MASTER!B:B,"",0)</f>
        <v>Kruisweg 16</v>
      </c>
      <c r="D49" t="str">
        <f>IFERROR(INDEX(tbl_cycli[cyclus_id],MATCH(B49&amp;"|JA",tbl_cycli[sleutel_actief],0)),"")</f>
        <v>C0037</v>
      </c>
      <c r="E49" t="s">
        <v>16</v>
      </c>
      <c r="F49" s="2">
        <v>46024</v>
      </c>
      <c r="H49" t="s">
        <v>237</v>
      </c>
      <c r="I49" t="s">
        <v>10</v>
      </c>
      <c r="J49" t="s">
        <v>10</v>
      </c>
    </row>
    <row r="50" spans="1:15" x14ac:dyDescent="0.2">
      <c r="A50" t="s">
        <v>238</v>
      </c>
      <c r="B50" t="s">
        <v>1341</v>
      </c>
      <c r="C50" t="str">
        <f>_xlfn.XLOOKUP(tbl_acties[[#This Row],[object_id]],HUIZEN_MASTER!A:A,HUIZEN_MASTER!B:B,"",0)</f>
        <v>Kruisweg 16</v>
      </c>
      <c r="D50" t="str">
        <f>IFERROR(INDEX(tbl_cycli[cyclus_id],MATCH(B50&amp;"|JA",tbl_cycli[sleutel_actief],0)),"")</f>
        <v>C0037</v>
      </c>
      <c r="E50" t="s">
        <v>23</v>
      </c>
      <c r="H50" t="s">
        <v>237</v>
      </c>
      <c r="O50" t="s">
        <v>217</v>
      </c>
    </row>
    <row r="51" spans="1:15" x14ac:dyDescent="0.2">
      <c r="A51" t="s">
        <v>239</v>
      </c>
      <c r="B51" t="s">
        <v>1337</v>
      </c>
      <c r="C51" t="str">
        <f>_xlfn.XLOOKUP(tbl_acties[[#This Row],[object_id]],HUIZEN_MASTER!A:A,HUIZEN_MASTER!B:B,"",0)</f>
        <v>Ofwegen 1A</v>
      </c>
      <c r="D51" t="str">
        <f>IFERROR(INDEX(tbl_cycli[cyclus_id],MATCH(B51&amp;"|JA",tbl_cycli[sleutel_actief],0)),"")</f>
        <v>C0038</v>
      </c>
      <c r="E51" t="s">
        <v>16</v>
      </c>
      <c r="F51" s="2">
        <v>46024</v>
      </c>
      <c r="H51" t="s">
        <v>237</v>
      </c>
    </row>
    <row r="52" spans="1:15" x14ac:dyDescent="0.2">
      <c r="A52" t="s">
        <v>240</v>
      </c>
      <c r="B52" t="s">
        <v>1337</v>
      </c>
      <c r="C52" t="str">
        <f>_xlfn.XLOOKUP(tbl_acties[[#This Row],[object_id]],HUIZEN_MASTER!A:A,HUIZEN_MASTER!B:B,"",0)</f>
        <v>Ofwegen 1A</v>
      </c>
      <c r="D52" t="str">
        <f>IFERROR(INDEX(tbl_cycli[cyclus_id],MATCH(B52&amp;"|JA",tbl_cycli[sleutel_actief],0)),"")</f>
        <v>C0038</v>
      </c>
      <c r="E52" t="s">
        <v>23</v>
      </c>
      <c r="H52" t="s">
        <v>237</v>
      </c>
      <c r="O52" t="s">
        <v>217</v>
      </c>
    </row>
    <row r="53" spans="1:15" x14ac:dyDescent="0.2">
      <c r="A53" t="s">
        <v>241</v>
      </c>
      <c r="B53" t="s">
        <v>1091</v>
      </c>
      <c r="C53" t="str">
        <f>_xlfn.XLOOKUP(tbl_acties[[#This Row],[object_id]],HUIZEN_MASTER!A:A,HUIZEN_MASTER!B:B,"",0)</f>
        <v>Schoonegge 84</v>
      </c>
      <c r="D53" t="str">
        <f>IFERROR(INDEX(tbl_cycli[cyclus_id],MATCH(B53&amp;"|JA",tbl_cycli[sleutel_actief],0)),"")</f>
        <v>C0011</v>
      </c>
      <c r="E53" t="s">
        <v>9</v>
      </c>
      <c r="F53" s="2">
        <v>46385</v>
      </c>
      <c r="H53" t="s">
        <v>243</v>
      </c>
    </row>
    <row r="54" spans="1:15" x14ac:dyDescent="0.2">
      <c r="A54" t="s">
        <v>244</v>
      </c>
      <c r="B54" t="s">
        <v>1091</v>
      </c>
      <c r="C54" t="str">
        <f>_xlfn.XLOOKUP(tbl_acties[[#This Row],[object_id]],HUIZEN_MASTER!A:A,HUIZEN_MASTER!B:B,"",0)</f>
        <v>Schoonegge 84</v>
      </c>
      <c r="D54" t="str">
        <f>IFERROR(INDEX(tbl_cycli[cyclus_id],MATCH(B54&amp;"|JA",tbl_cycli[sleutel_actief],0)),"")</f>
        <v>C0011</v>
      </c>
      <c r="E54" t="s">
        <v>16</v>
      </c>
      <c r="F54" s="2">
        <v>46034</v>
      </c>
      <c r="H54" t="s">
        <v>243</v>
      </c>
    </row>
    <row r="55" spans="1:15" x14ac:dyDescent="0.2">
      <c r="A55" t="s">
        <v>245</v>
      </c>
      <c r="B55" t="s">
        <v>1091</v>
      </c>
      <c r="C55" t="str">
        <f>_xlfn.XLOOKUP(tbl_acties[[#This Row],[object_id]],HUIZEN_MASTER!A:A,HUIZEN_MASTER!B:B,"",0)</f>
        <v>Schoonegge 84</v>
      </c>
      <c r="D55" t="str">
        <f>IFERROR(INDEX(tbl_cycli[cyclus_id],MATCH(B55&amp;"|JA",tbl_cycli[sleutel_actief],0)),"")</f>
        <v>C0011</v>
      </c>
      <c r="E55" t="s">
        <v>23</v>
      </c>
      <c r="H55" t="s">
        <v>243</v>
      </c>
      <c r="O55" t="s">
        <v>209</v>
      </c>
    </row>
    <row r="56" spans="1:15" x14ac:dyDescent="0.2">
      <c r="A56" t="s">
        <v>246</v>
      </c>
      <c r="B56" t="s">
        <v>1497</v>
      </c>
      <c r="C56" t="str">
        <f>_xlfn.XLOOKUP(tbl_acties[[#This Row],[object_id]],HUIZEN_MASTER!A:A,HUIZEN_MASTER!B:B,"",0)</f>
        <v>Industriestraat 9</v>
      </c>
      <c r="D56" t="str">
        <f>IFERROR(INDEX(tbl_cycli[cyclus_id],MATCH(B56&amp;"|JA",tbl_cycli[sleutel_actief],0)),"")</f>
        <v>C0043</v>
      </c>
      <c r="E56" t="s">
        <v>9</v>
      </c>
      <c r="F56" s="2">
        <v>46024</v>
      </c>
    </row>
    <row r="57" spans="1:15" x14ac:dyDescent="0.2">
      <c r="A57" t="s">
        <v>247</v>
      </c>
      <c r="B57" t="s">
        <v>1497</v>
      </c>
      <c r="C57" t="str">
        <f>_xlfn.XLOOKUP(tbl_acties[[#This Row],[object_id]],HUIZEN_MASTER!A:A,HUIZEN_MASTER!B:B,"",0)</f>
        <v>Industriestraat 9</v>
      </c>
      <c r="D57" t="str">
        <f>IFERROR(INDEX(tbl_cycli[cyclus_id],MATCH(B57&amp;"|JA",tbl_cycli[sleutel_actief],0)),"")</f>
        <v>C0043</v>
      </c>
      <c r="E57" t="s">
        <v>29</v>
      </c>
      <c r="F57" s="2">
        <v>46023</v>
      </c>
    </row>
    <row r="58" spans="1:15" x14ac:dyDescent="0.2">
      <c r="A58" t="s">
        <v>248</v>
      </c>
      <c r="B58" t="s">
        <v>1008</v>
      </c>
      <c r="C58" t="str">
        <f>_xlfn.XLOOKUP(tbl_acties[[#This Row],[object_id]],HUIZEN_MASTER!A:A,HUIZEN_MASTER!B:B,"",0)</f>
        <v>Wijngaard 66</v>
      </c>
      <c r="D58" t="str">
        <f>IFERROR(INDEX(tbl_cycli[cyclus_id],MATCH(B58&amp;"|JA",tbl_cycli[sleutel_actief],0)),"")</f>
        <v>C0044</v>
      </c>
      <c r="E58" t="s">
        <v>16</v>
      </c>
      <c r="F58" s="2">
        <v>46035</v>
      </c>
      <c r="H58" t="s">
        <v>249</v>
      </c>
    </row>
    <row r="59" spans="1:15" x14ac:dyDescent="0.2">
      <c r="A59" t="s">
        <v>250</v>
      </c>
      <c r="B59" t="s">
        <v>1008</v>
      </c>
      <c r="C59" t="str">
        <f>_xlfn.XLOOKUP(tbl_acties[[#This Row],[object_id]],HUIZEN_MASTER!A:A,HUIZEN_MASTER!B:B,"",0)</f>
        <v>Wijngaard 66</v>
      </c>
      <c r="D59" t="str">
        <f>IFERROR(INDEX(tbl_cycli[cyclus_id],MATCH(B59&amp;"|JA",tbl_cycli[sleutel_actief],0)),"")</f>
        <v>C0044</v>
      </c>
      <c r="E59" t="s">
        <v>29</v>
      </c>
      <c r="F59" s="2">
        <v>46038</v>
      </c>
      <c r="H59" t="s">
        <v>249</v>
      </c>
    </row>
    <row r="60" spans="1:15" x14ac:dyDescent="0.2">
      <c r="A60" t="s">
        <v>1975</v>
      </c>
      <c r="B60" s="9" t="s">
        <v>1068</v>
      </c>
      <c r="C60" t="str">
        <f>_xlfn.XLOOKUP(tbl_acties[[#This Row],[object_id]],HUIZEN_MASTER!A:A,HUIZEN_MASTER!B:B,"",0)</f>
        <v>Zuidhoek 209D</v>
      </c>
      <c r="D60" t="str">
        <f>IFERROR(INDEX(tbl_cycli[cyclus_id],MATCH(B60&amp;"|JA",tbl_cycli[sleutel_actief],0)),"")</f>
        <v>C0047</v>
      </c>
      <c r="E60" t="s">
        <v>9</v>
      </c>
    </row>
  </sheetData>
  <phoneticPr fontId="4" type="noConversion"/>
  <dataValidations count="5">
    <dataValidation type="list" sqref="B2:B60" xr:uid="{00000000-0002-0000-0300-000000000000}">
      <formula1>lst_huis_id</formula1>
    </dataValidation>
    <dataValidation type="list" sqref="E2:E60" xr:uid="{00000000-0002-0000-0300-000001000000}">
      <formula1>lst_actie_type</formula1>
    </dataValidation>
    <dataValidation type="list" sqref="D2:D46 I2:J60 M2:M60" xr:uid="{00000000-0002-0000-0300-000002000000}">
      <formula1>lst_ja_nee_onbekend</formula1>
    </dataValidation>
    <dataValidation type="list" sqref="K2:L60" xr:uid="{00000000-0002-0000-0300-000004000000}">
      <formula1>lst_uren</formula1>
    </dataValidation>
    <dataValidation type="list" sqref="N2:N60" xr:uid="{00000000-0002-0000-0300-000007000000}">
      <formula1>lst_sleuteloverdracht_methode</formula1>
    </dataValidation>
  </dataValidations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9"/>
  <sheetViews>
    <sheetView showGridLines="0" workbookViewId="0">
      <pane ySplit="1" topLeftCell="A18" activePane="bottomLeft" state="frozen"/>
      <selection pane="bottomLeft" activeCell="A2" sqref="A2:A61"/>
    </sheetView>
  </sheetViews>
  <sheetFormatPr baseColWidth="10" defaultColWidth="8.83203125" defaultRowHeight="15" x14ac:dyDescent="0.2"/>
  <cols>
    <col min="1" max="1" width="50" customWidth="1"/>
    <col min="2" max="13" width="22" customWidth="1"/>
  </cols>
  <sheetData>
    <row r="1" spans="1:13" ht="32" x14ac:dyDescent="0.2">
      <c r="A1" s="1" t="s">
        <v>251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</row>
    <row r="2" spans="1:13" x14ac:dyDescent="0.2">
      <c r="B2" s="2"/>
    </row>
    <row r="3" spans="1:13" x14ac:dyDescent="0.2">
      <c r="B3" s="2">
        <v>45804</v>
      </c>
      <c r="C3" t="s">
        <v>264</v>
      </c>
      <c r="L3" t="s">
        <v>265</v>
      </c>
      <c r="M3" t="s">
        <v>266</v>
      </c>
    </row>
    <row r="4" spans="1:13" x14ac:dyDescent="0.2">
      <c r="A4" t="s">
        <v>41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2"/>
      <c r="F5" t="s">
        <v>267</v>
      </c>
    </row>
    <row r="6" spans="1:13" x14ac:dyDescent="0.2">
      <c r="B6" s="2">
        <v>45930</v>
      </c>
      <c r="C6" t="s">
        <v>268</v>
      </c>
      <c r="G6" s="2">
        <v>45930</v>
      </c>
    </row>
    <row r="7" spans="1:13" x14ac:dyDescent="0.2">
      <c r="A7" t="s">
        <v>42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2"/>
    </row>
    <row r="9" spans="1:13" x14ac:dyDescent="0.2">
      <c r="B9" s="2">
        <v>45961</v>
      </c>
      <c r="C9" t="s">
        <v>269</v>
      </c>
      <c r="G9" s="2">
        <v>45960</v>
      </c>
      <c r="H9" t="s">
        <v>181</v>
      </c>
      <c r="J9" t="s">
        <v>106</v>
      </c>
      <c r="K9" t="s">
        <v>107</v>
      </c>
    </row>
    <row r="10" spans="1:13" x14ac:dyDescent="0.2">
      <c r="A10" t="s">
        <v>43</v>
      </c>
      <c r="B10" s="2">
        <v>45961</v>
      </c>
      <c r="C10" t="s">
        <v>271</v>
      </c>
      <c r="D10" t="s">
        <v>272</v>
      </c>
      <c r="G10" s="2">
        <v>45931</v>
      </c>
      <c r="H10" t="s">
        <v>184</v>
      </c>
    </row>
    <row r="11" spans="1:13" x14ac:dyDescent="0.2">
      <c r="A11" t="s">
        <v>270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2"/>
    </row>
    <row r="14" spans="1:13" x14ac:dyDescent="0.2">
      <c r="B14" s="2">
        <v>45967</v>
      </c>
      <c r="C14" t="s">
        <v>11</v>
      </c>
      <c r="D14" t="s">
        <v>272</v>
      </c>
      <c r="G14" s="2">
        <v>45967</v>
      </c>
      <c r="H14" t="s">
        <v>184</v>
      </c>
      <c r="K14" t="s">
        <v>109</v>
      </c>
    </row>
    <row r="15" spans="1:13" x14ac:dyDescent="0.2">
      <c r="A15" t="s">
        <v>44</v>
      </c>
      <c r="B15" s="2">
        <v>45989</v>
      </c>
      <c r="C15" t="s">
        <v>271</v>
      </c>
      <c r="D15" t="s">
        <v>272</v>
      </c>
      <c r="G15" t="s">
        <v>186</v>
      </c>
      <c r="H15" t="s">
        <v>184</v>
      </c>
      <c r="K15" t="s">
        <v>111</v>
      </c>
    </row>
    <row r="16" spans="1:13" x14ac:dyDescent="0.2">
      <c r="A16" t="s">
        <v>45</v>
      </c>
      <c r="B16" s="2">
        <v>45962</v>
      </c>
      <c r="C16" t="s">
        <v>273</v>
      </c>
      <c r="D16" t="s">
        <v>272</v>
      </c>
      <c r="G16" s="2">
        <v>45962</v>
      </c>
    </row>
    <row r="17" spans="1:13" x14ac:dyDescent="0.2">
      <c r="A17" t="s">
        <v>46</v>
      </c>
      <c r="B17" s="2">
        <v>45991</v>
      </c>
      <c r="C17" t="s">
        <v>274</v>
      </c>
      <c r="G17" s="2">
        <v>45992</v>
      </c>
      <c r="H17" t="s">
        <v>189</v>
      </c>
    </row>
    <row r="18" spans="1:13" x14ac:dyDescent="0.2">
      <c r="A18" t="s">
        <v>47</v>
      </c>
      <c r="B18" s="2">
        <v>45962</v>
      </c>
      <c r="C18" t="s">
        <v>275</v>
      </c>
      <c r="D18" t="s">
        <v>276</v>
      </c>
    </row>
    <row r="19" spans="1:13" x14ac:dyDescent="0.2">
      <c r="A19" t="s">
        <v>48</v>
      </c>
      <c r="B19" s="2">
        <v>45991</v>
      </c>
      <c r="C19" t="s">
        <v>277</v>
      </c>
      <c r="D19" t="s">
        <v>272</v>
      </c>
      <c r="G19" s="2">
        <v>45992</v>
      </c>
      <c r="H19" t="s">
        <v>189</v>
      </c>
      <c r="K19" t="s">
        <v>116</v>
      </c>
    </row>
    <row r="20" spans="1:13" x14ac:dyDescent="0.2">
      <c r="A20" t="s">
        <v>49</v>
      </c>
      <c r="B20" s="2">
        <v>45991</v>
      </c>
      <c r="C20" t="s">
        <v>278</v>
      </c>
      <c r="G20" s="2">
        <v>45975</v>
      </c>
      <c r="H20" t="s">
        <v>184</v>
      </c>
      <c r="J20" s="2">
        <v>45996</v>
      </c>
    </row>
    <row r="21" spans="1:13" x14ac:dyDescent="0.2">
      <c r="A21" t="s">
        <v>50</v>
      </c>
      <c r="B21" s="2">
        <v>45982</v>
      </c>
      <c r="C21" t="s">
        <v>280</v>
      </c>
      <c r="G21" s="2">
        <v>45987</v>
      </c>
      <c r="H21" t="s">
        <v>184</v>
      </c>
      <c r="K21" t="s">
        <v>281</v>
      </c>
    </row>
    <row r="22" spans="1:13" x14ac:dyDescent="0.2">
      <c r="A22" t="s">
        <v>279</v>
      </c>
      <c r="B22" s="2"/>
      <c r="C22" t="s">
        <v>11</v>
      </c>
      <c r="E22" t="s">
        <v>282</v>
      </c>
      <c r="G22" s="2">
        <v>45987</v>
      </c>
      <c r="H22" t="s">
        <v>184</v>
      </c>
      <c r="K22" t="s">
        <v>119</v>
      </c>
    </row>
    <row r="23" spans="1:13" x14ac:dyDescent="0.2">
      <c r="A23" t="s">
        <v>51</v>
      </c>
      <c r="B23" s="2"/>
      <c r="C23" t="s">
        <v>11</v>
      </c>
      <c r="E23" t="s">
        <v>283</v>
      </c>
      <c r="H23" t="s">
        <v>195</v>
      </c>
      <c r="J23" s="2">
        <v>46003</v>
      </c>
    </row>
    <row r="24" spans="1:13" x14ac:dyDescent="0.2">
      <c r="A24" t="s">
        <v>52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2"/>
    </row>
    <row r="26" spans="1:13" x14ac:dyDescent="0.2">
      <c r="B26" s="2">
        <v>45992</v>
      </c>
      <c r="C26" t="s">
        <v>284</v>
      </c>
      <c r="D26" t="s">
        <v>272</v>
      </c>
      <c r="G26" s="2">
        <v>45992</v>
      </c>
      <c r="H26" t="s">
        <v>189</v>
      </c>
      <c r="K26" t="s">
        <v>122</v>
      </c>
    </row>
    <row r="27" spans="1:13" x14ac:dyDescent="0.2">
      <c r="A27" t="s">
        <v>53</v>
      </c>
      <c r="B27" s="2">
        <v>45992</v>
      </c>
      <c r="C27" t="s">
        <v>284</v>
      </c>
      <c r="D27" t="s">
        <v>272</v>
      </c>
      <c r="G27" s="2">
        <v>45992</v>
      </c>
      <c r="H27" t="s">
        <v>189</v>
      </c>
      <c r="K27" t="s">
        <v>122</v>
      </c>
    </row>
    <row r="28" spans="1:13" x14ac:dyDescent="0.2">
      <c r="A28" t="s">
        <v>54</v>
      </c>
      <c r="B28" s="2">
        <v>45992</v>
      </c>
      <c r="C28" t="s">
        <v>284</v>
      </c>
      <c r="D28" t="s">
        <v>272</v>
      </c>
      <c r="G28" s="2">
        <v>45992</v>
      </c>
      <c r="H28" t="s">
        <v>189</v>
      </c>
      <c r="K28" t="s">
        <v>122</v>
      </c>
    </row>
    <row r="29" spans="1:13" x14ac:dyDescent="0.2">
      <c r="A29" t="s">
        <v>55</v>
      </c>
      <c r="B29" s="2">
        <v>45992</v>
      </c>
      <c r="C29" t="s">
        <v>284</v>
      </c>
      <c r="G29" s="2">
        <v>45992</v>
      </c>
      <c r="H29" t="s">
        <v>189</v>
      </c>
      <c r="K29" t="s">
        <v>122</v>
      </c>
    </row>
    <row r="30" spans="1:13" x14ac:dyDescent="0.2">
      <c r="A30" t="s">
        <v>56</v>
      </c>
      <c r="B30" s="2">
        <v>45992</v>
      </c>
      <c r="C30" t="s">
        <v>284</v>
      </c>
      <c r="G30" s="2">
        <v>45992</v>
      </c>
      <c r="H30" t="s">
        <v>189</v>
      </c>
      <c r="K30" t="s">
        <v>122</v>
      </c>
    </row>
    <row r="31" spans="1:13" x14ac:dyDescent="0.2">
      <c r="A31" t="s">
        <v>57</v>
      </c>
      <c r="B31" s="2">
        <v>45994</v>
      </c>
      <c r="C31" t="s">
        <v>285</v>
      </c>
      <c r="G31" s="2">
        <v>45968</v>
      </c>
      <c r="H31" t="s">
        <v>184</v>
      </c>
      <c r="J31" t="s">
        <v>128</v>
      </c>
      <c r="K31" t="s">
        <v>129</v>
      </c>
    </row>
    <row r="32" spans="1:13" x14ac:dyDescent="0.2">
      <c r="A32" t="s">
        <v>58</v>
      </c>
      <c r="B32" s="2">
        <v>45996</v>
      </c>
      <c r="C32" t="s">
        <v>286</v>
      </c>
      <c r="D32" t="s">
        <v>272</v>
      </c>
      <c r="K32" t="s">
        <v>131</v>
      </c>
    </row>
    <row r="33" spans="1:11" x14ac:dyDescent="0.2">
      <c r="A33" t="s">
        <v>59</v>
      </c>
      <c r="B33" s="2">
        <v>46006</v>
      </c>
      <c r="C33" t="s">
        <v>287</v>
      </c>
      <c r="E33" t="s">
        <v>288</v>
      </c>
      <c r="F33" s="2">
        <v>45987</v>
      </c>
      <c r="G33" s="2">
        <v>46006</v>
      </c>
      <c r="H33" t="s">
        <v>184</v>
      </c>
      <c r="I33" t="s">
        <v>206</v>
      </c>
      <c r="K33" t="s">
        <v>133</v>
      </c>
    </row>
    <row r="34" spans="1:11" x14ac:dyDescent="0.2">
      <c r="A34" t="s">
        <v>60</v>
      </c>
      <c r="B34" s="2">
        <v>46007</v>
      </c>
      <c r="C34" t="s">
        <v>289</v>
      </c>
      <c r="D34" t="s">
        <v>272</v>
      </c>
      <c r="G34" s="2">
        <v>46007</v>
      </c>
      <c r="H34" t="s">
        <v>184</v>
      </c>
      <c r="I34" t="s">
        <v>209</v>
      </c>
      <c r="K34" t="s">
        <v>135</v>
      </c>
    </row>
    <row r="35" spans="1:11" x14ac:dyDescent="0.2">
      <c r="A35" t="s">
        <v>61</v>
      </c>
      <c r="B35" s="2">
        <v>46022</v>
      </c>
      <c r="C35" t="s">
        <v>277</v>
      </c>
      <c r="D35" t="s">
        <v>272</v>
      </c>
      <c r="H35" t="s">
        <v>211</v>
      </c>
      <c r="I35" t="s">
        <v>211</v>
      </c>
      <c r="K35" t="s">
        <v>137</v>
      </c>
    </row>
    <row r="36" spans="1:11" x14ac:dyDescent="0.2">
      <c r="A36" t="s">
        <v>62</v>
      </c>
      <c r="B36" s="2">
        <v>46022</v>
      </c>
      <c r="C36" t="s">
        <v>277</v>
      </c>
      <c r="D36" t="s">
        <v>272</v>
      </c>
      <c r="H36" t="s">
        <v>211</v>
      </c>
      <c r="I36" t="s">
        <v>211</v>
      </c>
      <c r="K36" t="s">
        <v>137</v>
      </c>
    </row>
    <row r="37" spans="1:11" x14ac:dyDescent="0.2">
      <c r="A37" t="s">
        <v>63</v>
      </c>
      <c r="B37" s="2">
        <v>46022</v>
      </c>
      <c r="C37" t="s">
        <v>277</v>
      </c>
      <c r="H37" t="s">
        <v>211</v>
      </c>
      <c r="I37" t="s">
        <v>211</v>
      </c>
      <c r="K37" t="s">
        <v>137</v>
      </c>
    </row>
    <row r="38" spans="1:11" x14ac:dyDescent="0.2">
      <c r="A38" t="s">
        <v>64</v>
      </c>
      <c r="B38" s="2">
        <v>46011</v>
      </c>
      <c r="C38" t="s">
        <v>290</v>
      </c>
      <c r="D38" t="s">
        <v>272</v>
      </c>
      <c r="G38" s="2">
        <v>46013</v>
      </c>
      <c r="H38" t="s">
        <v>215</v>
      </c>
      <c r="I38" t="s">
        <v>217</v>
      </c>
      <c r="K38" t="s">
        <v>141</v>
      </c>
    </row>
    <row r="39" spans="1:11" x14ac:dyDescent="0.2">
      <c r="A39" t="s">
        <v>65</v>
      </c>
      <c r="B39" s="2">
        <v>46018</v>
      </c>
      <c r="C39" t="s">
        <v>291</v>
      </c>
      <c r="K39" t="s">
        <v>143</v>
      </c>
    </row>
    <row r="40" spans="1:11" x14ac:dyDescent="0.2">
      <c r="A40" t="s">
        <v>66</v>
      </c>
      <c r="B40" s="2">
        <v>46019</v>
      </c>
      <c r="C40" t="s">
        <v>292</v>
      </c>
      <c r="K40" t="s">
        <v>145</v>
      </c>
    </row>
    <row r="41" spans="1:11" x14ac:dyDescent="0.2">
      <c r="A41" t="s">
        <v>67</v>
      </c>
      <c r="B41" s="2">
        <v>46022</v>
      </c>
      <c r="C41" t="s">
        <v>293</v>
      </c>
      <c r="G41" s="2">
        <v>46022</v>
      </c>
      <c r="H41" t="s">
        <v>195</v>
      </c>
      <c r="I41" t="s">
        <v>217</v>
      </c>
    </row>
    <row r="42" spans="1:11" x14ac:dyDescent="0.2">
      <c r="A42" t="s">
        <v>68</v>
      </c>
      <c r="B42" s="2">
        <v>46022</v>
      </c>
      <c r="C42" t="s">
        <v>293</v>
      </c>
      <c r="G42" s="2">
        <v>46022</v>
      </c>
      <c r="H42" t="s">
        <v>195</v>
      </c>
      <c r="I42" t="s">
        <v>217</v>
      </c>
      <c r="K42" t="s">
        <v>148</v>
      </c>
    </row>
    <row r="43" spans="1:11" x14ac:dyDescent="0.2">
      <c r="A43" t="s">
        <v>69</v>
      </c>
      <c r="B43" s="2">
        <v>46022</v>
      </c>
      <c r="C43" t="s">
        <v>294</v>
      </c>
      <c r="G43" s="2">
        <v>46022</v>
      </c>
      <c r="H43" t="s">
        <v>215</v>
      </c>
      <c r="I43" t="s">
        <v>217</v>
      </c>
    </row>
    <row r="44" spans="1:11" x14ac:dyDescent="0.2">
      <c r="A44" t="s">
        <v>70</v>
      </c>
      <c r="B44" s="2">
        <v>46022</v>
      </c>
      <c r="C44" t="s">
        <v>277</v>
      </c>
      <c r="G44" s="2">
        <v>46022</v>
      </c>
      <c r="H44" t="s">
        <v>215</v>
      </c>
      <c r="I44" t="s">
        <v>217</v>
      </c>
    </row>
    <row r="45" spans="1:11" x14ac:dyDescent="0.2">
      <c r="A45" t="s">
        <v>71</v>
      </c>
      <c r="B45" s="2">
        <v>46022</v>
      </c>
      <c r="C45" t="s">
        <v>295</v>
      </c>
      <c r="G45" s="2">
        <v>46022</v>
      </c>
      <c r="H45" t="s">
        <v>195</v>
      </c>
      <c r="I45" t="s">
        <v>217</v>
      </c>
    </row>
    <row r="46" spans="1:11" x14ac:dyDescent="0.2">
      <c r="A46" t="s">
        <v>72</v>
      </c>
      <c r="B46" s="2">
        <v>46022</v>
      </c>
      <c r="C46" t="s">
        <v>296</v>
      </c>
      <c r="G46" s="2">
        <v>46022</v>
      </c>
      <c r="H46" t="s">
        <v>215</v>
      </c>
      <c r="I46" t="s">
        <v>217</v>
      </c>
    </row>
    <row r="47" spans="1:11" x14ac:dyDescent="0.2">
      <c r="A47" t="s">
        <v>73</v>
      </c>
      <c r="B47" s="2">
        <v>46022</v>
      </c>
      <c r="C47" t="s">
        <v>297</v>
      </c>
      <c r="G47" s="2">
        <v>46022</v>
      </c>
      <c r="H47" t="s">
        <v>215</v>
      </c>
      <c r="I47" t="s">
        <v>217</v>
      </c>
    </row>
    <row r="48" spans="1:11" x14ac:dyDescent="0.2">
      <c r="A48" t="s">
        <v>74</v>
      </c>
      <c r="B48" s="2">
        <v>46022</v>
      </c>
      <c r="C48" t="s">
        <v>286</v>
      </c>
      <c r="D48" t="s">
        <v>272</v>
      </c>
      <c r="G48" s="2">
        <v>46014</v>
      </c>
      <c r="H48" t="s">
        <v>215</v>
      </c>
      <c r="I48" t="s">
        <v>217</v>
      </c>
      <c r="K48" t="s">
        <v>155</v>
      </c>
    </row>
    <row r="49" spans="1:13" x14ac:dyDescent="0.2">
      <c r="A49" t="s">
        <v>75</v>
      </c>
      <c r="B49" s="2">
        <v>46022</v>
      </c>
      <c r="C49" t="s">
        <v>298</v>
      </c>
      <c r="D49" t="s">
        <v>272</v>
      </c>
      <c r="G49" s="2">
        <v>46022</v>
      </c>
      <c r="H49" t="s">
        <v>195</v>
      </c>
      <c r="I49" t="s">
        <v>217</v>
      </c>
    </row>
    <row r="50" spans="1:13" x14ac:dyDescent="0.2">
      <c r="A50" t="s">
        <v>76</v>
      </c>
      <c r="B50" s="2">
        <v>46022</v>
      </c>
      <c r="C50" t="s">
        <v>286</v>
      </c>
      <c r="G50" s="2">
        <v>46024</v>
      </c>
      <c r="H50" t="s">
        <v>237</v>
      </c>
      <c r="I50" t="s">
        <v>217</v>
      </c>
    </row>
    <row r="51" spans="1:13" x14ac:dyDescent="0.2">
      <c r="A51" t="s">
        <v>77</v>
      </c>
      <c r="B51" s="2">
        <v>46022</v>
      </c>
      <c r="C51" t="s">
        <v>286</v>
      </c>
      <c r="G51" s="2">
        <v>46024</v>
      </c>
      <c r="H51" t="s">
        <v>237</v>
      </c>
      <c r="I51" t="s">
        <v>217</v>
      </c>
    </row>
    <row r="52" spans="1:13" x14ac:dyDescent="0.2">
      <c r="A52" t="s">
        <v>78</v>
      </c>
      <c r="B52" s="2">
        <v>46034</v>
      </c>
      <c r="D52" t="s">
        <v>272</v>
      </c>
      <c r="F52" t="s">
        <v>242</v>
      </c>
      <c r="G52" s="2">
        <v>46034</v>
      </c>
      <c r="H52" t="s">
        <v>243</v>
      </c>
      <c r="I52" t="s">
        <v>209</v>
      </c>
      <c r="K52" t="s">
        <v>160</v>
      </c>
    </row>
    <row r="53" spans="1:13" x14ac:dyDescent="0.2">
      <c r="A53" t="s">
        <v>79</v>
      </c>
      <c r="B53" s="2">
        <v>46006</v>
      </c>
      <c r="C53" t="s">
        <v>286</v>
      </c>
      <c r="D53" t="s">
        <v>272</v>
      </c>
    </row>
    <row r="54" spans="1:13" x14ac:dyDescent="0.2">
      <c r="A54" t="s">
        <v>80</v>
      </c>
      <c r="B54" s="2">
        <v>46003</v>
      </c>
      <c r="C54" t="s">
        <v>286</v>
      </c>
      <c r="D54" t="s">
        <v>272</v>
      </c>
    </row>
    <row r="55" spans="1:13" x14ac:dyDescent="0.2">
      <c r="A55" t="s">
        <v>81</v>
      </c>
      <c r="B55" s="2">
        <v>46006</v>
      </c>
      <c r="C55" t="s">
        <v>286</v>
      </c>
      <c r="D55" t="s">
        <v>272</v>
      </c>
    </row>
    <row r="56" spans="1:13" x14ac:dyDescent="0.2">
      <c r="A56" t="s">
        <v>82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2"/>
    </row>
    <row r="58" spans="1:13" x14ac:dyDescent="0.2">
      <c r="B58" s="2"/>
      <c r="F58" s="2">
        <v>46024</v>
      </c>
      <c r="J58" s="2">
        <v>46023</v>
      </c>
      <c r="K58" t="s">
        <v>165</v>
      </c>
    </row>
    <row r="59" spans="1:13" x14ac:dyDescent="0.2">
      <c r="A59" t="s">
        <v>83</v>
      </c>
      <c r="B59" s="2"/>
      <c r="C59" t="s">
        <v>299</v>
      </c>
      <c r="D59" t="s">
        <v>300</v>
      </c>
      <c r="E59" t="s">
        <v>278</v>
      </c>
      <c r="G59" s="2">
        <v>46035</v>
      </c>
      <c r="H59" t="s">
        <v>249</v>
      </c>
      <c r="J59" s="2">
        <v>46038</v>
      </c>
      <c r="K59" t="s">
        <v>167</v>
      </c>
    </row>
    <row r="60" spans="1:13" x14ac:dyDescent="0.2">
      <c r="A60" t="s">
        <v>84</v>
      </c>
      <c r="B60" s="2">
        <v>46030</v>
      </c>
      <c r="C60" t="s">
        <v>301</v>
      </c>
    </row>
    <row r="61" spans="1:13" x14ac:dyDescent="0.2">
      <c r="A61" t="s">
        <v>85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2"/>
    </row>
    <row r="66" spans="1:13" x14ac:dyDescent="0.2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B69" s="2"/>
    </row>
  </sheetData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13D5-BA50-784E-8604-5E43C9C2928B}">
  <dimension ref="A1:G586"/>
  <sheetViews>
    <sheetView workbookViewId="0">
      <selection activeCell="C1" sqref="C1:C1048576"/>
    </sheetView>
  </sheetViews>
  <sheetFormatPr baseColWidth="10" defaultRowHeight="15" x14ac:dyDescent="0.2"/>
  <cols>
    <col min="3" max="3" width="33.33203125" bestFit="1" customWidth="1"/>
  </cols>
  <sheetData>
    <row r="1" spans="1:7" x14ac:dyDescent="0.2">
      <c r="A1" s="6" t="s">
        <v>304</v>
      </c>
      <c r="B1" s="6" t="s">
        <v>305</v>
      </c>
      <c r="C1" s="6" t="s">
        <v>306</v>
      </c>
      <c r="D1" s="6" t="s">
        <v>307</v>
      </c>
      <c r="E1" s="6" t="s">
        <v>308</v>
      </c>
      <c r="F1" s="6" t="s">
        <v>309</v>
      </c>
      <c r="G1" s="6" t="s">
        <v>0</v>
      </c>
    </row>
    <row r="2" spans="1:7" x14ac:dyDescent="0.2">
      <c r="A2">
        <v>392</v>
      </c>
      <c r="B2" t="s">
        <v>310</v>
      </c>
      <c r="C2" t="s">
        <v>311</v>
      </c>
      <c r="D2" t="s">
        <v>312</v>
      </c>
      <c r="E2" t="s">
        <v>313</v>
      </c>
      <c r="F2" t="s">
        <v>314</v>
      </c>
      <c r="G2" t="s">
        <v>315</v>
      </c>
    </row>
    <row r="3" spans="1:7" x14ac:dyDescent="0.2">
      <c r="A3">
        <v>393</v>
      </c>
      <c r="B3" t="s">
        <v>316</v>
      </c>
      <c r="C3" t="s">
        <v>317</v>
      </c>
      <c r="D3" t="s">
        <v>318</v>
      </c>
      <c r="E3" t="s">
        <v>313</v>
      </c>
      <c r="F3" t="s">
        <v>319</v>
      </c>
      <c r="G3" t="s">
        <v>315</v>
      </c>
    </row>
    <row r="4" spans="1:7" x14ac:dyDescent="0.2">
      <c r="A4">
        <v>394</v>
      </c>
      <c r="B4" t="s">
        <v>320</v>
      </c>
      <c r="C4" t="s">
        <v>321</v>
      </c>
      <c r="D4" t="s">
        <v>322</v>
      </c>
      <c r="E4" t="s">
        <v>323</v>
      </c>
      <c r="F4" t="s">
        <v>319</v>
      </c>
      <c r="G4" t="s">
        <v>315</v>
      </c>
    </row>
    <row r="5" spans="1:7" x14ac:dyDescent="0.2">
      <c r="A5">
        <v>395</v>
      </c>
      <c r="B5" t="s">
        <v>324</v>
      </c>
      <c r="C5" t="s">
        <v>325</v>
      </c>
      <c r="D5" t="s">
        <v>326</v>
      </c>
      <c r="E5" t="s">
        <v>327</v>
      </c>
      <c r="F5" t="s">
        <v>319</v>
      </c>
      <c r="G5" t="s">
        <v>315</v>
      </c>
    </row>
    <row r="6" spans="1:7" x14ac:dyDescent="0.2">
      <c r="A6">
        <v>396</v>
      </c>
      <c r="B6" t="s">
        <v>328</v>
      </c>
      <c r="C6" t="s">
        <v>329</v>
      </c>
      <c r="D6" t="s">
        <v>330</v>
      </c>
      <c r="E6" t="s">
        <v>331</v>
      </c>
      <c r="F6" t="s">
        <v>319</v>
      </c>
      <c r="G6" t="s">
        <v>315</v>
      </c>
    </row>
    <row r="7" spans="1:7" x14ac:dyDescent="0.2">
      <c r="A7">
        <v>397</v>
      </c>
      <c r="B7" t="s">
        <v>332</v>
      </c>
      <c r="C7" t="s">
        <v>333</v>
      </c>
      <c r="D7" t="s">
        <v>334</v>
      </c>
      <c r="E7" t="s">
        <v>331</v>
      </c>
      <c r="F7" t="s">
        <v>319</v>
      </c>
      <c r="G7" t="s">
        <v>315</v>
      </c>
    </row>
    <row r="8" spans="1:7" x14ac:dyDescent="0.2">
      <c r="A8">
        <v>398</v>
      </c>
      <c r="B8" t="s">
        <v>335</v>
      </c>
      <c r="C8" t="s">
        <v>336</v>
      </c>
      <c r="D8" t="s">
        <v>337</v>
      </c>
      <c r="E8" t="s">
        <v>338</v>
      </c>
      <c r="F8" t="s">
        <v>319</v>
      </c>
      <c r="G8" t="s">
        <v>315</v>
      </c>
    </row>
    <row r="9" spans="1:7" x14ac:dyDescent="0.2">
      <c r="A9">
        <v>399</v>
      </c>
      <c r="B9" t="s">
        <v>339</v>
      </c>
      <c r="C9" t="s">
        <v>340</v>
      </c>
      <c r="D9" t="s">
        <v>341</v>
      </c>
      <c r="E9" t="s">
        <v>342</v>
      </c>
      <c r="F9" t="s">
        <v>319</v>
      </c>
      <c r="G9" t="s">
        <v>315</v>
      </c>
    </row>
    <row r="10" spans="1:7" x14ac:dyDescent="0.2">
      <c r="A10">
        <v>400</v>
      </c>
      <c r="B10" t="s">
        <v>343</v>
      </c>
      <c r="C10" t="s">
        <v>344</v>
      </c>
      <c r="D10" t="s">
        <v>345</v>
      </c>
      <c r="E10" t="s">
        <v>346</v>
      </c>
      <c r="F10" t="s">
        <v>319</v>
      </c>
      <c r="G10" t="s">
        <v>315</v>
      </c>
    </row>
    <row r="11" spans="1:7" x14ac:dyDescent="0.2">
      <c r="A11">
        <v>401</v>
      </c>
      <c r="B11" t="s">
        <v>347</v>
      </c>
      <c r="C11" t="s">
        <v>348</v>
      </c>
      <c r="D11" t="s">
        <v>349</v>
      </c>
      <c r="E11" t="s">
        <v>327</v>
      </c>
      <c r="F11" t="s">
        <v>314</v>
      </c>
      <c r="G11" t="s">
        <v>315</v>
      </c>
    </row>
    <row r="12" spans="1:7" x14ac:dyDescent="0.2">
      <c r="A12">
        <v>402</v>
      </c>
      <c r="B12" t="s">
        <v>350</v>
      </c>
      <c r="C12" t="s">
        <v>351</v>
      </c>
      <c r="D12" t="s">
        <v>349</v>
      </c>
      <c r="E12" t="s">
        <v>327</v>
      </c>
      <c r="F12" t="s">
        <v>314</v>
      </c>
      <c r="G12" t="s">
        <v>315</v>
      </c>
    </row>
    <row r="13" spans="1:7" x14ac:dyDescent="0.2">
      <c r="A13">
        <v>403</v>
      </c>
      <c r="B13" t="s">
        <v>352</v>
      </c>
      <c r="C13" t="s">
        <v>353</v>
      </c>
      <c r="D13" t="s">
        <v>354</v>
      </c>
      <c r="E13" t="s">
        <v>338</v>
      </c>
      <c r="F13" t="s">
        <v>319</v>
      </c>
      <c r="G13" t="s">
        <v>315</v>
      </c>
    </row>
    <row r="14" spans="1:7" x14ac:dyDescent="0.2">
      <c r="A14">
        <v>404</v>
      </c>
      <c r="B14" t="s">
        <v>355</v>
      </c>
      <c r="C14" t="s">
        <v>356</v>
      </c>
      <c r="D14" t="s">
        <v>357</v>
      </c>
      <c r="E14" t="s">
        <v>358</v>
      </c>
      <c r="F14" t="s">
        <v>319</v>
      </c>
      <c r="G14" t="s">
        <v>315</v>
      </c>
    </row>
    <row r="15" spans="1:7" x14ac:dyDescent="0.2">
      <c r="A15">
        <v>405</v>
      </c>
      <c r="B15" t="s">
        <v>359</v>
      </c>
      <c r="C15" t="s">
        <v>360</v>
      </c>
      <c r="D15" t="s">
        <v>361</v>
      </c>
      <c r="E15" t="s">
        <v>362</v>
      </c>
      <c r="F15" t="s">
        <v>319</v>
      </c>
      <c r="G15" t="s">
        <v>315</v>
      </c>
    </row>
    <row r="16" spans="1:7" x14ac:dyDescent="0.2">
      <c r="A16">
        <v>406</v>
      </c>
      <c r="B16" t="s">
        <v>363</v>
      </c>
      <c r="C16" t="s">
        <v>364</v>
      </c>
      <c r="D16" t="s">
        <v>365</v>
      </c>
      <c r="E16" t="s">
        <v>366</v>
      </c>
      <c r="F16" t="s">
        <v>314</v>
      </c>
      <c r="G16" t="s">
        <v>315</v>
      </c>
    </row>
    <row r="17" spans="1:7" x14ac:dyDescent="0.2">
      <c r="A17">
        <v>407</v>
      </c>
      <c r="B17" t="s">
        <v>367</v>
      </c>
      <c r="C17" t="s">
        <v>368</v>
      </c>
      <c r="D17" t="s">
        <v>369</v>
      </c>
      <c r="E17" t="s">
        <v>370</v>
      </c>
      <c r="F17" t="s">
        <v>319</v>
      </c>
      <c r="G17" t="s">
        <v>315</v>
      </c>
    </row>
    <row r="18" spans="1:7" x14ac:dyDescent="0.2">
      <c r="A18">
        <v>408</v>
      </c>
      <c r="B18" t="s">
        <v>371</v>
      </c>
      <c r="C18" t="s">
        <v>372</v>
      </c>
      <c r="D18" t="s">
        <v>373</v>
      </c>
      <c r="E18" t="s">
        <v>370</v>
      </c>
      <c r="F18" t="s">
        <v>319</v>
      </c>
      <c r="G18" t="s">
        <v>315</v>
      </c>
    </row>
    <row r="19" spans="1:7" x14ac:dyDescent="0.2">
      <c r="A19">
        <v>409</v>
      </c>
      <c r="B19" t="s">
        <v>374</v>
      </c>
      <c r="C19" t="s">
        <v>375</v>
      </c>
      <c r="D19" t="s">
        <v>376</v>
      </c>
      <c r="E19" t="s">
        <v>377</v>
      </c>
      <c r="F19" t="s">
        <v>319</v>
      </c>
      <c r="G19" t="s">
        <v>315</v>
      </c>
    </row>
    <row r="20" spans="1:7" x14ac:dyDescent="0.2">
      <c r="A20">
        <v>410</v>
      </c>
      <c r="B20" t="s">
        <v>378</v>
      </c>
      <c r="C20" t="s">
        <v>379</v>
      </c>
      <c r="D20" t="s">
        <v>380</v>
      </c>
      <c r="E20" t="s">
        <v>381</v>
      </c>
      <c r="F20" t="s">
        <v>319</v>
      </c>
      <c r="G20" t="s">
        <v>315</v>
      </c>
    </row>
    <row r="21" spans="1:7" x14ac:dyDescent="0.2">
      <c r="A21">
        <v>411</v>
      </c>
      <c r="B21" t="s">
        <v>382</v>
      </c>
      <c r="C21" t="s">
        <v>383</v>
      </c>
      <c r="D21" t="s">
        <v>384</v>
      </c>
      <c r="E21" t="s">
        <v>327</v>
      </c>
      <c r="F21" t="s">
        <v>314</v>
      </c>
      <c r="G21" t="s">
        <v>315</v>
      </c>
    </row>
    <row r="22" spans="1:7" x14ac:dyDescent="0.2">
      <c r="A22">
        <v>412</v>
      </c>
      <c r="B22" t="s">
        <v>385</v>
      </c>
      <c r="C22" t="s">
        <v>386</v>
      </c>
      <c r="D22" t="s">
        <v>387</v>
      </c>
      <c r="E22" t="s">
        <v>327</v>
      </c>
      <c r="F22" t="s">
        <v>319</v>
      </c>
      <c r="G22" t="s">
        <v>315</v>
      </c>
    </row>
    <row r="23" spans="1:7" x14ac:dyDescent="0.2">
      <c r="A23">
        <v>413</v>
      </c>
      <c r="B23" t="s">
        <v>388</v>
      </c>
      <c r="C23" t="s">
        <v>389</v>
      </c>
      <c r="D23" t="s">
        <v>390</v>
      </c>
      <c r="E23" t="s">
        <v>327</v>
      </c>
      <c r="F23" t="s">
        <v>314</v>
      </c>
      <c r="G23" t="s">
        <v>315</v>
      </c>
    </row>
    <row r="24" spans="1:7" x14ac:dyDescent="0.2">
      <c r="A24">
        <v>414</v>
      </c>
      <c r="B24" t="s">
        <v>391</v>
      </c>
      <c r="C24" t="s">
        <v>392</v>
      </c>
      <c r="D24" t="s">
        <v>393</v>
      </c>
      <c r="E24" t="s">
        <v>394</v>
      </c>
      <c r="F24" t="s">
        <v>314</v>
      </c>
      <c r="G24" t="s">
        <v>315</v>
      </c>
    </row>
    <row r="25" spans="1:7" x14ac:dyDescent="0.2">
      <c r="A25">
        <v>415</v>
      </c>
      <c r="B25" t="s">
        <v>395</v>
      </c>
      <c r="C25" t="s">
        <v>396</v>
      </c>
      <c r="D25" t="s">
        <v>393</v>
      </c>
      <c r="E25" t="s">
        <v>394</v>
      </c>
      <c r="F25" t="s">
        <v>314</v>
      </c>
      <c r="G25" t="s">
        <v>315</v>
      </c>
    </row>
    <row r="26" spans="1:7" x14ac:dyDescent="0.2">
      <c r="A26">
        <v>416</v>
      </c>
      <c r="B26" t="s">
        <v>397</v>
      </c>
      <c r="C26" t="s">
        <v>398</v>
      </c>
      <c r="D26" t="s">
        <v>399</v>
      </c>
      <c r="E26" t="s">
        <v>400</v>
      </c>
      <c r="F26" t="s">
        <v>319</v>
      </c>
      <c r="G26" t="s">
        <v>315</v>
      </c>
    </row>
    <row r="27" spans="1:7" x14ac:dyDescent="0.2">
      <c r="A27">
        <v>417</v>
      </c>
      <c r="B27" t="s">
        <v>401</v>
      </c>
      <c r="C27" t="s">
        <v>402</v>
      </c>
      <c r="D27" t="s">
        <v>403</v>
      </c>
      <c r="E27" t="s">
        <v>327</v>
      </c>
      <c r="F27" t="s">
        <v>314</v>
      </c>
      <c r="G27" t="s">
        <v>315</v>
      </c>
    </row>
    <row r="28" spans="1:7" x14ac:dyDescent="0.2">
      <c r="A28">
        <v>418</v>
      </c>
      <c r="B28" t="s">
        <v>404</v>
      </c>
      <c r="C28" t="s">
        <v>405</v>
      </c>
      <c r="D28" t="s">
        <v>406</v>
      </c>
      <c r="E28" t="s">
        <v>370</v>
      </c>
      <c r="F28" t="s">
        <v>319</v>
      </c>
      <c r="G28" t="s">
        <v>315</v>
      </c>
    </row>
    <row r="29" spans="1:7" x14ac:dyDescent="0.2">
      <c r="A29">
        <v>419</v>
      </c>
      <c r="B29" t="s">
        <v>407</v>
      </c>
      <c r="C29" t="s">
        <v>408</v>
      </c>
      <c r="D29" t="s">
        <v>409</v>
      </c>
      <c r="E29" t="s">
        <v>410</v>
      </c>
      <c r="F29" t="s">
        <v>319</v>
      </c>
      <c r="G29" t="s">
        <v>315</v>
      </c>
    </row>
    <row r="30" spans="1:7" x14ac:dyDescent="0.2">
      <c r="A30">
        <v>420</v>
      </c>
      <c r="B30" t="s">
        <v>411</v>
      </c>
      <c r="C30" t="s">
        <v>412</v>
      </c>
      <c r="D30" t="s">
        <v>413</v>
      </c>
      <c r="E30" t="s">
        <v>381</v>
      </c>
      <c r="F30" t="s">
        <v>319</v>
      </c>
      <c r="G30" t="s">
        <v>315</v>
      </c>
    </row>
    <row r="31" spans="1:7" x14ac:dyDescent="0.2">
      <c r="A31">
        <v>421</v>
      </c>
      <c r="B31" t="s">
        <v>414</v>
      </c>
      <c r="C31" t="s">
        <v>415</v>
      </c>
      <c r="D31" t="s">
        <v>416</v>
      </c>
      <c r="E31" t="s">
        <v>327</v>
      </c>
      <c r="F31" t="s">
        <v>314</v>
      </c>
      <c r="G31" t="s">
        <v>315</v>
      </c>
    </row>
    <row r="32" spans="1:7" x14ac:dyDescent="0.2">
      <c r="A32">
        <v>422</v>
      </c>
      <c r="B32" t="s">
        <v>417</v>
      </c>
      <c r="C32" t="s">
        <v>418</v>
      </c>
      <c r="D32" t="s">
        <v>419</v>
      </c>
      <c r="E32" t="s">
        <v>400</v>
      </c>
      <c r="F32" t="s">
        <v>319</v>
      </c>
      <c r="G32" t="s">
        <v>315</v>
      </c>
    </row>
    <row r="33" spans="1:7" x14ac:dyDescent="0.2">
      <c r="A33">
        <v>423</v>
      </c>
      <c r="B33" t="s">
        <v>420</v>
      </c>
      <c r="C33" t="s">
        <v>421</v>
      </c>
      <c r="D33" t="s">
        <v>422</v>
      </c>
      <c r="E33" t="s">
        <v>423</v>
      </c>
      <c r="F33" t="s">
        <v>319</v>
      </c>
      <c r="G33" t="s">
        <v>315</v>
      </c>
    </row>
    <row r="34" spans="1:7" x14ac:dyDescent="0.2">
      <c r="A34">
        <v>424</v>
      </c>
      <c r="B34" t="s">
        <v>424</v>
      </c>
      <c r="C34" t="s">
        <v>425</v>
      </c>
      <c r="D34" t="s">
        <v>426</v>
      </c>
      <c r="E34" t="s">
        <v>327</v>
      </c>
      <c r="F34" t="s">
        <v>314</v>
      </c>
      <c r="G34" t="s">
        <v>315</v>
      </c>
    </row>
    <row r="35" spans="1:7" x14ac:dyDescent="0.2">
      <c r="A35">
        <v>425</v>
      </c>
      <c r="B35" t="s">
        <v>427</v>
      </c>
      <c r="C35" t="s">
        <v>428</v>
      </c>
      <c r="D35" t="s">
        <v>426</v>
      </c>
      <c r="E35" t="s">
        <v>327</v>
      </c>
      <c r="F35" t="s">
        <v>314</v>
      </c>
      <c r="G35" t="s">
        <v>315</v>
      </c>
    </row>
    <row r="36" spans="1:7" x14ac:dyDescent="0.2">
      <c r="A36">
        <v>426</v>
      </c>
      <c r="B36" t="s">
        <v>429</v>
      </c>
      <c r="C36" t="s">
        <v>430</v>
      </c>
      <c r="D36" t="s">
        <v>431</v>
      </c>
      <c r="E36" t="s">
        <v>327</v>
      </c>
      <c r="F36" t="s">
        <v>314</v>
      </c>
      <c r="G36" t="s">
        <v>315</v>
      </c>
    </row>
    <row r="37" spans="1:7" x14ac:dyDescent="0.2">
      <c r="A37">
        <v>427</v>
      </c>
      <c r="B37" t="s">
        <v>432</v>
      </c>
      <c r="C37" t="s">
        <v>433</v>
      </c>
      <c r="D37" t="s">
        <v>431</v>
      </c>
      <c r="E37" t="s">
        <v>327</v>
      </c>
      <c r="F37" t="s">
        <v>314</v>
      </c>
      <c r="G37" t="s">
        <v>315</v>
      </c>
    </row>
    <row r="38" spans="1:7" x14ac:dyDescent="0.2">
      <c r="A38">
        <v>428</v>
      </c>
      <c r="B38" t="s">
        <v>434</v>
      </c>
      <c r="C38" t="s">
        <v>433</v>
      </c>
      <c r="D38" t="s">
        <v>435</v>
      </c>
      <c r="E38" t="s">
        <v>400</v>
      </c>
      <c r="F38" t="s">
        <v>314</v>
      </c>
      <c r="G38" t="s">
        <v>315</v>
      </c>
    </row>
    <row r="39" spans="1:7" x14ac:dyDescent="0.2">
      <c r="A39">
        <v>429</v>
      </c>
      <c r="B39" t="s">
        <v>436</v>
      </c>
      <c r="C39" t="s">
        <v>437</v>
      </c>
      <c r="D39" t="s">
        <v>435</v>
      </c>
      <c r="E39" t="s">
        <v>400</v>
      </c>
      <c r="F39" t="s">
        <v>319</v>
      </c>
      <c r="G39" t="s">
        <v>315</v>
      </c>
    </row>
    <row r="40" spans="1:7" x14ac:dyDescent="0.2">
      <c r="A40">
        <v>430</v>
      </c>
      <c r="B40" t="s">
        <v>438</v>
      </c>
      <c r="C40" t="s">
        <v>439</v>
      </c>
      <c r="D40" t="s">
        <v>440</v>
      </c>
      <c r="E40" t="s">
        <v>441</v>
      </c>
      <c r="F40" t="s">
        <v>319</v>
      </c>
      <c r="G40" t="s">
        <v>315</v>
      </c>
    </row>
    <row r="41" spans="1:7" x14ac:dyDescent="0.2">
      <c r="A41">
        <v>431</v>
      </c>
      <c r="B41" t="s">
        <v>442</v>
      </c>
      <c r="C41" t="s">
        <v>443</v>
      </c>
      <c r="D41" t="s">
        <v>444</v>
      </c>
      <c r="E41" t="s">
        <v>362</v>
      </c>
      <c r="F41" t="s">
        <v>319</v>
      </c>
      <c r="G41" t="s">
        <v>315</v>
      </c>
    </row>
    <row r="42" spans="1:7" x14ac:dyDescent="0.2">
      <c r="A42">
        <v>432</v>
      </c>
      <c r="B42" t="s">
        <v>445</v>
      </c>
      <c r="C42" t="s">
        <v>446</v>
      </c>
      <c r="D42" t="s">
        <v>447</v>
      </c>
      <c r="E42" t="s">
        <v>313</v>
      </c>
      <c r="F42" t="s">
        <v>314</v>
      </c>
      <c r="G42" t="s">
        <v>315</v>
      </c>
    </row>
    <row r="43" spans="1:7" x14ac:dyDescent="0.2">
      <c r="A43">
        <v>433</v>
      </c>
      <c r="B43" t="s">
        <v>448</v>
      </c>
      <c r="C43" t="s">
        <v>449</v>
      </c>
      <c r="D43" t="s">
        <v>450</v>
      </c>
      <c r="E43" t="s">
        <v>327</v>
      </c>
      <c r="F43" t="s">
        <v>314</v>
      </c>
      <c r="G43" t="s">
        <v>315</v>
      </c>
    </row>
    <row r="44" spans="1:7" x14ac:dyDescent="0.2">
      <c r="A44">
        <v>434</v>
      </c>
      <c r="B44" t="s">
        <v>451</v>
      </c>
      <c r="C44" t="s">
        <v>452</v>
      </c>
      <c r="D44" t="s">
        <v>453</v>
      </c>
      <c r="E44" t="s">
        <v>454</v>
      </c>
      <c r="F44" t="s">
        <v>319</v>
      </c>
      <c r="G44" t="s">
        <v>315</v>
      </c>
    </row>
    <row r="45" spans="1:7" x14ac:dyDescent="0.2">
      <c r="A45">
        <v>435</v>
      </c>
      <c r="B45" t="s">
        <v>455</v>
      </c>
      <c r="C45" t="s">
        <v>456</v>
      </c>
      <c r="D45" t="s">
        <v>457</v>
      </c>
      <c r="E45" t="s">
        <v>381</v>
      </c>
      <c r="F45" t="s">
        <v>314</v>
      </c>
      <c r="G45" t="s">
        <v>315</v>
      </c>
    </row>
    <row r="46" spans="1:7" x14ac:dyDescent="0.2">
      <c r="A46">
        <v>436</v>
      </c>
      <c r="B46" t="s">
        <v>458</v>
      </c>
      <c r="C46" t="s">
        <v>459</v>
      </c>
      <c r="D46" t="s">
        <v>457</v>
      </c>
      <c r="E46" t="s">
        <v>381</v>
      </c>
      <c r="F46" t="s">
        <v>314</v>
      </c>
      <c r="G46" t="s">
        <v>315</v>
      </c>
    </row>
    <row r="47" spans="1:7" x14ac:dyDescent="0.2">
      <c r="A47">
        <v>437</v>
      </c>
      <c r="B47" t="s">
        <v>460</v>
      </c>
      <c r="C47" t="s">
        <v>461</v>
      </c>
      <c r="D47" t="s">
        <v>462</v>
      </c>
      <c r="E47" t="s">
        <v>381</v>
      </c>
      <c r="F47" t="s">
        <v>319</v>
      </c>
      <c r="G47" t="s">
        <v>315</v>
      </c>
    </row>
    <row r="48" spans="1:7" x14ac:dyDescent="0.2">
      <c r="A48">
        <v>438</v>
      </c>
      <c r="B48" t="s">
        <v>463</v>
      </c>
      <c r="C48" t="s">
        <v>464</v>
      </c>
      <c r="D48" t="s">
        <v>465</v>
      </c>
      <c r="E48" t="s">
        <v>466</v>
      </c>
      <c r="F48" t="s">
        <v>319</v>
      </c>
      <c r="G48" t="s">
        <v>315</v>
      </c>
    </row>
    <row r="49" spans="1:7" x14ac:dyDescent="0.2">
      <c r="A49">
        <v>439</v>
      </c>
      <c r="B49" t="s">
        <v>467</v>
      </c>
      <c r="C49" t="s">
        <v>468</v>
      </c>
      <c r="D49" t="s">
        <v>469</v>
      </c>
      <c r="E49" t="s">
        <v>323</v>
      </c>
      <c r="F49" t="s">
        <v>319</v>
      </c>
      <c r="G49" t="s">
        <v>315</v>
      </c>
    </row>
    <row r="50" spans="1:7" x14ac:dyDescent="0.2">
      <c r="A50">
        <v>440</v>
      </c>
      <c r="B50" t="s">
        <v>470</v>
      </c>
      <c r="C50" t="s">
        <v>471</v>
      </c>
      <c r="D50" t="s">
        <v>472</v>
      </c>
      <c r="E50" t="s">
        <v>473</v>
      </c>
      <c r="F50" t="s">
        <v>319</v>
      </c>
      <c r="G50" t="s">
        <v>315</v>
      </c>
    </row>
    <row r="51" spans="1:7" x14ac:dyDescent="0.2">
      <c r="A51">
        <v>441</v>
      </c>
      <c r="B51" t="s">
        <v>474</v>
      </c>
      <c r="C51" t="s">
        <v>475</v>
      </c>
      <c r="D51" t="s">
        <v>476</v>
      </c>
      <c r="E51" t="s">
        <v>331</v>
      </c>
      <c r="F51" t="s">
        <v>319</v>
      </c>
      <c r="G51" t="s">
        <v>315</v>
      </c>
    </row>
    <row r="52" spans="1:7" x14ac:dyDescent="0.2">
      <c r="A52">
        <v>442</v>
      </c>
      <c r="B52" t="s">
        <v>477</v>
      </c>
      <c r="C52" t="s">
        <v>478</v>
      </c>
      <c r="D52" t="s">
        <v>479</v>
      </c>
      <c r="E52" t="s">
        <v>480</v>
      </c>
      <c r="F52" t="s">
        <v>314</v>
      </c>
      <c r="G52" t="s">
        <v>315</v>
      </c>
    </row>
    <row r="53" spans="1:7" x14ac:dyDescent="0.2">
      <c r="A53">
        <v>443</v>
      </c>
      <c r="B53" t="s">
        <v>481</v>
      </c>
      <c r="C53" t="s">
        <v>482</v>
      </c>
      <c r="D53" t="s">
        <v>483</v>
      </c>
      <c r="E53" t="s">
        <v>480</v>
      </c>
      <c r="F53" t="s">
        <v>314</v>
      </c>
      <c r="G53" t="s">
        <v>315</v>
      </c>
    </row>
    <row r="54" spans="1:7" x14ac:dyDescent="0.2">
      <c r="A54">
        <v>444</v>
      </c>
      <c r="B54" t="s">
        <v>484</v>
      </c>
      <c r="C54" t="s">
        <v>485</v>
      </c>
      <c r="D54" t="s">
        <v>486</v>
      </c>
      <c r="E54" t="s">
        <v>487</v>
      </c>
      <c r="F54" t="s">
        <v>319</v>
      </c>
      <c r="G54" t="s">
        <v>315</v>
      </c>
    </row>
    <row r="55" spans="1:7" x14ac:dyDescent="0.2">
      <c r="A55">
        <v>445</v>
      </c>
      <c r="B55" t="s">
        <v>488</v>
      </c>
      <c r="C55" t="s">
        <v>489</v>
      </c>
      <c r="D55" t="s">
        <v>490</v>
      </c>
      <c r="E55" t="s">
        <v>491</v>
      </c>
      <c r="F55" t="s">
        <v>319</v>
      </c>
      <c r="G55" t="s">
        <v>315</v>
      </c>
    </row>
    <row r="56" spans="1:7" x14ac:dyDescent="0.2">
      <c r="A56">
        <v>446</v>
      </c>
      <c r="B56" t="s">
        <v>492</v>
      </c>
      <c r="C56" t="s">
        <v>493</v>
      </c>
      <c r="D56" t="s">
        <v>494</v>
      </c>
      <c r="E56" t="s">
        <v>495</v>
      </c>
      <c r="F56" t="s">
        <v>314</v>
      </c>
      <c r="G56" t="s">
        <v>315</v>
      </c>
    </row>
    <row r="57" spans="1:7" x14ac:dyDescent="0.2">
      <c r="A57">
        <v>447</v>
      </c>
      <c r="B57" t="s">
        <v>496</v>
      </c>
      <c r="C57" t="s">
        <v>497</v>
      </c>
      <c r="D57" t="s">
        <v>498</v>
      </c>
      <c r="E57" t="s">
        <v>499</v>
      </c>
      <c r="F57" t="s">
        <v>319</v>
      </c>
      <c r="G57" t="s">
        <v>315</v>
      </c>
    </row>
    <row r="58" spans="1:7" x14ac:dyDescent="0.2">
      <c r="A58">
        <v>448</v>
      </c>
      <c r="B58" t="s">
        <v>500</v>
      </c>
      <c r="C58" t="s">
        <v>501</v>
      </c>
      <c r="D58" t="s">
        <v>502</v>
      </c>
      <c r="E58" t="s">
        <v>370</v>
      </c>
      <c r="F58" t="s">
        <v>319</v>
      </c>
      <c r="G58" t="s">
        <v>315</v>
      </c>
    </row>
    <row r="59" spans="1:7" x14ac:dyDescent="0.2">
      <c r="A59">
        <v>449</v>
      </c>
      <c r="B59" t="s">
        <v>503</v>
      </c>
      <c r="C59" t="s">
        <v>504</v>
      </c>
      <c r="D59" t="s">
        <v>505</v>
      </c>
      <c r="E59" t="s">
        <v>506</v>
      </c>
      <c r="F59" t="s">
        <v>319</v>
      </c>
      <c r="G59" t="s">
        <v>315</v>
      </c>
    </row>
    <row r="60" spans="1:7" x14ac:dyDescent="0.2">
      <c r="A60">
        <v>450</v>
      </c>
      <c r="B60" t="s">
        <v>507</v>
      </c>
      <c r="C60" t="s">
        <v>508</v>
      </c>
      <c r="D60" t="s">
        <v>509</v>
      </c>
      <c r="E60" t="s">
        <v>510</v>
      </c>
      <c r="F60" t="s">
        <v>319</v>
      </c>
      <c r="G60" t="s">
        <v>315</v>
      </c>
    </row>
    <row r="61" spans="1:7" x14ac:dyDescent="0.2">
      <c r="A61">
        <v>451</v>
      </c>
      <c r="B61" t="s">
        <v>511</v>
      </c>
      <c r="C61" t="s">
        <v>512</v>
      </c>
      <c r="D61" t="s">
        <v>513</v>
      </c>
      <c r="E61" t="s">
        <v>331</v>
      </c>
      <c r="F61" t="s">
        <v>319</v>
      </c>
      <c r="G61" t="s">
        <v>315</v>
      </c>
    </row>
    <row r="62" spans="1:7" x14ac:dyDescent="0.2">
      <c r="A62">
        <v>452</v>
      </c>
      <c r="B62" t="s">
        <v>514</v>
      </c>
      <c r="C62" t="s">
        <v>515</v>
      </c>
      <c r="D62" t="s">
        <v>516</v>
      </c>
      <c r="E62" t="s">
        <v>362</v>
      </c>
      <c r="F62" t="s">
        <v>319</v>
      </c>
      <c r="G62" t="s">
        <v>315</v>
      </c>
    </row>
    <row r="63" spans="1:7" x14ac:dyDescent="0.2">
      <c r="A63">
        <v>453</v>
      </c>
      <c r="B63" t="s">
        <v>517</v>
      </c>
      <c r="C63" t="s">
        <v>518</v>
      </c>
      <c r="D63" t="s">
        <v>519</v>
      </c>
      <c r="E63" t="s">
        <v>520</v>
      </c>
      <c r="F63" t="s">
        <v>319</v>
      </c>
      <c r="G63" t="s">
        <v>315</v>
      </c>
    </row>
    <row r="64" spans="1:7" x14ac:dyDescent="0.2">
      <c r="A64">
        <v>63</v>
      </c>
      <c r="B64" t="s">
        <v>521</v>
      </c>
      <c r="C64" t="s">
        <v>522</v>
      </c>
      <c r="D64" t="s">
        <v>523</v>
      </c>
      <c r="E64" t="s">
        <v>327</v>
      </c>
      <c r="F64" t="s">
        <v>319</v>
      </c>
      <c r="G64" t="s">
        <v>315</v>
      </c>
    </row>
    <row r="65" spans="1:7" x14ac:dyDescent="0.2">
      <c r="A65">
        <v>455</v>
      </c>
      <c r="B65" t="s">
        <v>524</v>
      </c>
      <c r="C65" t="s">
        <v>525</v>
      </c>
      <c r="D65" t="s">
        <v>526</v>
      </c>
      <c r="E65" t="s">
        <v>527</v>
      </c>
      <c r="F65" t="s">
        <v>319</v>
      </c>
      <c r="G65" t="s">
        <v>315</v>
      </c>
    </row>
    <row r="66" spans="1:7" x14ac:dyDescent="0.2">
      <c r="A66">
        <v>456</v>
      </c>
      <c r="B66" t="s">
        <v>528</v>
      </c>
      <c r="C66" t="s">
        <v>529</v>
      </c>
      <c r="D66" t="s">
        <v>530</v>
      </c>
      <c r="E66" t="s">
        <v>362</v>
      </c>
      <c r="F66" t="s">
        <v>319</v>
      </c>
      <c r="G66" t="s">
        <v>315</v>
      </c>
    </row>
    <row r="67" spans="1:7" x14ac:dyDescent="0.2">
      <c r="A67">
        <v>457</v>
      </c>
      <c r="B67" t="s">
        <v>531</v>
      </c>
      <c r="C67" t="s">
        <v>532</v>
      </c>
      <c r="D67" t="s">
        <v>533</v>
      </c>
      <c r="E67" t="s">
        <v>534</v>
      </c>
      <c r="F67" t="s">
        <v>314</v>
      </c>
      <c r="G67" t="s">
        <v>315</v>
      </c>
    </row>
    <row r="68" spans="1:7" x14ac:dyDescent="0.2">
      <c r="A68">
        <v>458</v>
      </c>
      <c r="B68" t="s">
        <v>535</v>
      </c>
      <c r="C68" t="s">
        <v>536</v>
      </c>
      <c r="D68" t="s">
        <v>537</v>
      </c>
      <c r="E68" t="s">
        <v>538</v>
      </c>
      <c r="F68" t="s">
        <v>319</v>
      </c>
      <c r="G68" t="s">
        <v>315</v>
      </c>
    </row>
    <row r="69" spans="1:7" x14ac:dyDescent="0.2">
      <c r="A69">
        <v>459</v>
      </c>
      <c r="B69" t="s">
        <v>539</v>
      </c>
      <c r="C69" t="s">
        <v>540</v>
      </c>
      <c r="D69" t="s">
        <v>541</v>
      </c>
      <c r="E69" t="s">
        <v>542</v>
      </c>
      <c r="F69" t="s">
        <v>319</v>
      </c>
      <c r="G69" t="s">
        <v>315</v>
      </c>
    </row>
    <row r="70" spans="1:7" x14ac:dyDescent="0.2">
      <c r="A70">
        <v>460</v>
      </c>
      <c r="B70" t="s">
        <v>543</v>
      </c>
      <c r="C70" t="s">
        <v>544</v>
      </c>
      <c r="D70" t="s">
        <v>545</v>
      </c>
      <c r="E70" t="s">
        <v>546</v>
      </c>
      <c r="F70" t="s">
        <v>319</v>
      </c>
      <c r="G70" t="s">
        <v>315</v>
      </c>
    </row>
    <row r="71" spans="1:7" x14ac:dyDescent="0.2">
      <c r="A71">
        <v>461</v>
      </c>
      <c r="B71" t="s">
        <v>547</v>
      </c>
      <c r="C71" t="s">
        <v>548</v>
      </c>
      <c r="D71" t="s">
        <v>549</v>
      </c>
      <c r="E71" t="s">
        <v>542</v>
      </c>
      <c r="F71" t="s">
        <v>319</v>
      </c>
      <c r="G71" t="s">
        <v>315</v>
      </c>
    </row>
    <row r="72" spans="1:7" x14ac:dyDescent="0.2">
      <c r="A72">
        <v>462</v>
      </c>
      <c r="B72" t="s">
        <v>550</v>
      </c>
      <c r="C72" t="s">
        <v>551</v>
      </c>
      <c r="D72" t="s">
        <v>552</v>
      </c>
      <c r="E72" t="s">
        <v>546</v>
      </c>
      <c r="F72" t="s">
        <v>319</v>
      </c>
      <c r="G72" t="s">
        <v>315</v>
      </c>
    </row>
    <row r="73" spans="1:7" x14ac:dyDescent="0.2">
      <c r="A73">
        <v>463</v>
      </c>
      <c r="B73" t="s">
        <v>553</v>
      </c>
      <c r="C73" t="s">
        <v>554</v>
      </c>
      <c r="D73" t="s">
        <v>555</v>
      </c>
      <c r="E73" t="s">
        <v>556</v>
      </c>
      <c r="F73" t="s">
        <v>319</v>
      </c>
      <c r="G73" t="s">
        <v>315</v>
      </c>
    </row>
    <row r="74" spans="1:7" x14ac:dyDescent="0.2">
      <c r="A74">
        <v>464</v>
      </c>
      <c r="B74" t="s">
        <v>557</v>
      </c>
      <c r="C74" t="s">
        <v>558</v>
      </c>
      <c r="D74" t="s">
        <v>559</v>
      </c>
      <c r="E74" t="s">
        <v>560</v>
      </c>
      <c r="F74" t="s">
        <v>319</v>
      </c>
      <c r="G74" t="s">
        <v>315</v>
      </c>
    </row>
    <row r="75" spans="1:7" x14ac:dyDescent="0.2">
      <c r="A75">
        <v>465</v>
      </c>
      <c r="B75" t="s">
        <v>561</v>
      </c>
      <c r="C75" t="s">
        <v>562</v>
      </c>
      <c r="D75" t="s">
        <v>563</v>
      </c>
      <c r="E75" t="s">
        <v>370</v>
      </c>
      <c r="F75" t="s">
        <v>319</v>
      </c>
      <c r="G75" t="s">
        <v>315</v>
      </c>
    </row>
    <row r="76" spans="1:7" x14ac:dyDescent="0.2">
      <c r="A76">
        <v>466</v>
      </c>
      <c r="B76" t="s">
        <v>564</v>
      </c>
      <c r="C76" t="s">
        <v>565</v>
      </c>
      <c r="D76" t="s">
        <v>566</v>
      </c>
      <c r="E76" t="s">
        <v>567</v>
      </c>
      <c r="F76" t="s">
        <v>319</v>
      </c>
      <c r="G76" t="s">
        <v>315</v>
      </c>
    </row>
    <row r="77" spans="1:7" x14ac:dyDescent="0.2">
      <c r="A77">
        <v>467</v>
      </c>
      <c r="B77" t="s">
        <v>568</v>
      </c>
      <c r="C77" t="s">
        <v>569</v>
      </c>
      <c r="D77" t="s">
        <v>570</v>
      </c>
      <c r="E77" t="s">
        <v>571</v>
      </c>
      <c r="F77" t="s">
        <v>319</v>
      </c>
      <c r="G77" t="s">
        <v>315</v>
      </c>
    </row>
    <row r="78" spans="1:7" x14ac:dyDescent="0.2">
      <c r="A78">
        <v>468</v>
      </c>
      <c r="B78" t="s">
        <v>572</v>
      </c>
      <c r="C78" t="s">
        <v>573</v>
      </c>
      <c r="D78" t="s">
        <v>574</v>
      </c>
      <c r="E78" t="s">
        <v>571</v>
      </c>
      <c r="F78" t="s">
        <v>314</v>
      </c>
      <c r="G78" t="s">
        <v>315</v>
      </c>
    </row>
    <row r="79" spans="1:7" x14ac:dyDescent="0.2">
      <c r="A79">
        <v>469</v>
      </c>
      <c r="B79" t="s">
        <v>575</v>
      </c>
      <c r="C79" t="s">
        <v>576</v>
      </c>
      <c r="D79" t="s">
        <v>577</v>
      </c>
      <c r="E79" t="s">
        <v>578</v>
      </c>
      <c r="F79" t="s">
        <v>319</v>
      </c>
      <c r="G79" t="s">
        <v>315</v>
      </c>
    </row>
    <row r="80" spans="1:7" x14ac:dyDescent="0.2">
      <c r="A80">
        <v>470</v>
      </c>
      <c r="B80" t="s">
        <v>579</v>
      </c>
      <c r="C80" t="s">
        <v>580</v>
      </c>
      <c r="D80" t="s">
        <v>581</v>
      </c>
      <c r="E80" t="s">
        <v>400</v>
      </c>
      <c r="F80" t="s">
        <v>319</v>
      </c>
      <c r="G80" t="s">
        <v>315</v>
      </c>
    </row>
    <row r="81" spans="1:7" x14ac:dyDescent="0.2">
      <c r="A81">
        <v>471</v>
      </c>
      <c r="B81" t="s">
        <v>582</v>
      </c>
      <c r="C81" t="s">
        <v>583</v>
      </c>
      <c r="D81" t="s">
        <v>584</v>
      </c>
      <c r="E81" t="s">
        <v>327</v>
      </c>
      <c r="F81" t="s">
        <v>314</v>
      </c>
      <c r="G81" t="s">
        <v>315</v>
      </c>
    </row>
    <row r="82" spans="1:7" x14ac:dyDescent="0.2">
      <c r="A82">
        <v>472</v>
      </c>
      <c r="B82" t="s">
        <v>585</v>
      </c>
      <c r="C82" t="s">
        <v>586</v>
      </c>
      <c r="D82" t="s">
        <v>587</v>
      </c>
      <c r="E82" t="s">
        <v>588</v>
      </c>
      <c r="F82" t="s">
        <v>319</v>
      </c>
      <c r="G82" t="s">
        <v>315</v>
      </c>
    </row>
    <row r="83" spans="1:7" x14ac:dyDescent="0.2">
      <c r="A83">
        <v>473</v>
      </c>
      <c r="B83" t="s">
        <v>589</v>
      </c>
      <c r="C83" t="s">
        <v>590</v>
      </c>
      <c r="D83" t="s">
        <v>591</v>
      </c>
      <c r="E83" t="s">
        <v>342</v>
      </c>
      <c r="F83" t="s">
        <v>319</v>
      </c>
      <c r="G83" t="s">
        <v>315</v>
      </c>
    </row>
    <row r="84" spans="1:7" x14ac:dyDescent="0.2">
      <c r="A84">
        <v>474</v>
      </c>
      <c r="B84" t="s">
        <v>592</v>
      </c>
      <c r="C84" t="s">
        <v>593</v>
      </c>
      <c r="D84" t="s">
        <v>594</v>
      </c>
      <c r="E84" t="s">
        <v>595</v>
      </c>
      <c r="F84" t="s">
        <v>319</v>
      </c>
      <c r="G84" t="s">
        <v>315</v>
      </c>
    </row>
    <row r="85" spans="1:7" x14ac:dyDescent="0.2">
      <c r="A85">
        <v>475</v>
      </c>
      <c r="B85" t="s">
        <v>596</v>
      </c>
      <c r="C85" t="s">
        <v>597</v>
      </c>
      <c r="D85" t="s">
        <v>598</v>
      </c>
      <c r="E85" t="s">
        <v>599</v>
      </c>
      <c r="F85" t="s">
        <v>319</v>
      </c>
      <c r="G85" t="s">
        <v>315</v>
      </c>
    </row>
    <row r="86" spans="1:7" x14ac:dyDescent="0.2">
      <c r="A86">
        <v>476</v>
      </c>
      <c r="B86" t="s">
        <v>600</v>
      </c>
      <c r="C86" t="s">
        <v>601</v>
      </c>
      <c r="D86" t="s">
        <v>602</v>
      </c>
      <c r="E86" t="s">
        <v>603</v>
      </c>
      <c r="F86" t="s">
        <v>319</v>
      </c>
      <c r="G86" t="s">
        <v>315</v>
      </c>
    </row>
    <row r="87" spans="1:7" x14ac:dyDescent="0.2">
      <c r="A87">
        <v>477</v>
      </c>
      <c r="B87" t="s">
        <v>604</v>
      </c>
      <c r="C87" t="s">
        <v>605</v>
      </c>
      <c r="D87" t="s">
        <v>606</v>
      </c>
      <c r="E87" t="s">
        <v>338</v>
      </c>
      <c r="F87" t="s">
        <v>319</v>
      </c>
      <c r="G87" t="s">
        <v>315</v>
      </c>
    </row>
    <row r="88" spans="1:7" x14ac:dyDescent="0.2">
      <c r="A88">
        <v>478</v>
      </c>
      <c r="B88" t="s">
        <v>607</v>
      </c>
      <c r="C88" t="s">
        <v>608</v>
      </c>
      <c r="D88" t="s">
        <v>609</v>
      </c>
      <c r="E88" t="s">
        <v>610</v>
      </c>
      <c r="F88" t="s">
        <v>319</v>
      </c>
      <c r="G88" t="s">
        <v>315</v>
      </c>
    </row>
    <row r="89" spans="1:7" x14ac:dyDescent="0.2">
      <c r="A89">
        <v>479</v>
      </c>
      <c r="B89" t="s">
        <v>611</v>
      </c>
      <c r="C89" t="s">
        <v>612</v>
      </c>
      <c r="D89" t="s">
        <v>613</v>
      </c>
      <c r="E89" t="s">
        <v>327</v>
      </c>
      <c r="F89" t="s">
        <v>314</v>
      </c>
      <c r="G89" t="s">
        <v>315</v>
      </c>
    </row>
    <row r="90" spans="1:7" x14ac:dyDescent="0.2">
      <c r="A90">
        <v>480</v>
      </c>
      <c r="B90" t="s">
        <v>614</v>
      </c>
      <c r="C90" t="s">
        <v>65</v>
      </c>
      <c r="D90" t="s">
        <v>615</v>
      </c>
      <c r="E90" t="s">
        <v>381</v>
      </c>
      <c r="F90" t="s">
        <v>319</v>
      </c>
      <c r="G90" t="s">
        <v>315</v>
      </c>
    </row>
    <row r="91" spans="1:7" x14ac:dyDescent="0.2">
      <c r="A91">
        <v>481</v>
      </c>
      <c r="B91" t="s">
        <v>616</v>
      </c>
      <c r="C91" t="s">
        <v>617</v>
      </c>
      <c r="D91" t="s">
        <v>618</v>
      </c>
      <c r="E91" t="s">
        <v>362</v>
      </c>
      <c r="F91" t="s">
        <v>314</v>
      </c>
      <c r="G91" t="s">
        <v>315</v>
      </c>
    </row>
    <row r="92" spans="1:7" x14ac:dyDescent="0.2">
      <c r="A92">
        <v>482</v>
      </c>
      <c r="B92" t="s">
        <v>619</v>
      </c>
      <c r="C92" t="s">
        <v>620</v>
      </c>
      <c r="D92" t="s">
        <v>621</v>
      </c>
      <c r="E92" t="s">
        <v>338</v>
      </c>
      <c r="F92" t="s">
        <v>319</v>
      </c>
      <c r="G92" t="s">
        <v>315</v>
      </c>
    </row>
    <row r="93" spans="1:7" x14ac:dyDescent="0.2">
      <c r="A93">
        <v>483</v>
      </c>
      <c r="B93" t="s">
        <v>622</v>
      </c>
      <c r="C93" t="s">
        <v>623</v>
      </c>
      <c r="D93" t="s">
        <v>624</v>
      </c>
      <c r="E93" t="s">
        <v>625</v>
      </c>
      <c r="F93" t="s">
        <v>319</v>
      </c>
      <c r="G93" t="s">
        <v>315</v>
      </c>
    </row>
    <row r="94" spans="1:7" x14ac:dyDescent="0.2">
      <c r="A94">
        <v>484</v>
      </c>
      <c r="B94" t="s">
        <v>626</v>
      </c>
      <c r="C94" t="s">
        <v>627</v>
      </c>
      <c r="D94" t="s">
        <v>628</v>
      </c>
      <c r="E94" t="s">
        <v>400</v>
      </c>
      <c r="F94" t="s">
        <v>314</v>
      </c>
      <c r="G94" t="s">
        <v>315</v>
      </c>
    </row>
    <row r="95" spans="1:7" x14ac:dyDescent="0.2">
      <c r="A95">
        <v>485</v>
      </c>
      <c r="B95" t="s">
        <v>629</v>
      </c>
      <c r="C95" t="s">
        <v>630</v>
      </c>
      <c r="D95" t="s">
        <v>628</v>
      </c>
      <c r="E95" t="s">
        <v>400</v>
      </c>
      <c r="F95" t="s">
        <v>314</v>
      </c>
      <c r="G95" t="s">
        <v>315</v>
      </c>
    </row>
    <row r="96" spans="1:7" x14ac:dyDescent="0.2">
      <c r="A96">
        <v>486</v>
      </c>
      <c r="B96" t="s">
        <v>631</v>
      </c>
      <c r="C96" t="s">
        <v>632</v>
      </c>
      <c r="D96" t="s">
        <v>633</v>
      </c>
      <c r="E96" t="s">
        <v>381</v>
      </c>
      <c r="F96" t="s">
        <v>314</v>
      </c>
      <c r="G96" t="s">
        <v>315</v>
      </c>
    </row>
    <row r="97" spans="1:7" x14ac:dyDescent="0.2">
      <c r="A97">
        <v>487</v>
      </c>
      <c r="B97" t="s">
        <v>634</v>
      </c>
      <c r="C97" t="s">
        <v>635</v>
      </c>
      <c r="D97" t="s">
        <v>636</v>
      </c>
      <c r="E97" t="s">
        <v>637</v>
      </c>
      <c r="F97" t="s">
        <v>319</v>
      </c>
      <c r="G97" t="s">
        <v>315</v>
      </c>
    </row>
    <row r="98" spans="1:7" x14ac:dyDescent="0.2">
      <c r="A98">
        <v>488</v>
      </c>
      <c r="B98" t="s">
        <v>638</v>
      </c>
      <c r="C98" t="s">
        <v>639</v>
      </c>
      <c r="D98" t="s">
        <v>640</v>
      </c>
      <c r="E98" t="s">
        <v>641</v>
      </c>
      <c r="F98" t="s">
        <v>319</v>
      </c>
      <c r="G98" t="s">
        <v>315</v>
      </c>
    </row>
    <row r="99" spans="1:7" x14ac:dyDescent="0.2">
      <c r="A99">
        <v>489</v>
      </c>
      <c r="B99" t="s">
        <v>642</v>
      </c>
      <c r="C99" t="s">
        <v>643</v>
      </c>
      <c r="D99" t="s">
        <v>644</v>
      </c>
      <c r="E99" t="s">
        <v>313</v>
      </c>
      <c r="F99" t="s">
        <v>319</v>
      </c>
      <c r="G99" t="s">
        <v>315</v>
      </c>
    </row>
    <row r="100" spans="1:7" x14ac:dyDescent="0.2">
      <c r="A100">
        <v>490</v>
      </c>
      <c r="B100" t="s">
        <v>645</v>
      </c>
      <c r="C100" t="s">
        <v>646</v>
      </c>
      <c r="D100" t="s">
        <v>647</v>
      </c>
      <c r="E100" t="s">
        <v>370</v>
      </c>
      <c r="F100" t="s">
        <v>319</v>
      </c>
      <c r="G100" t="s">
        <v>315</v>
      </c>
    </row>
    <row r="101" spans="1:7" x14ac:dyDescent="0.2">
      <c r="A101">
        <v>491</v>
      </c>
      <c r="B101" t="s">
        <v>648</v>
      </c>
      <c r="C101" t="s">
        <v>649</v>
      </c>
      <c r="D101" t="s">
        <v>650</v>
      </c>
      <c r="E101" t="s">
        <v>362</v>
      </c>
      <c r="F101" t="s">
        <v>314</v>
      </c>
      <c r="G101" t="s">
        <v>315</v>
      </c>
    </row>
    <row r="102" spans="1:7" x14ac:dyDescent="0.2">
      <c r="A102">
        <v>492</v>
      </c>
      <c r="B102" t="s">
        <v>651</v>
      </c>
      <c r="C102" t="s">
        <v>652</v>
      </c>
      <c r="D102" t="s">
        <v>653</v>
      </c>
      <c r="E102" t="s">
        <v>654</v>
      </c>
      <c r="F102" t="s">
        <v>319</v>
      </c>
      <c r="G102" t="s">
        <v>315</v>
      </c>
    </row>
    <row r="103" spans="1:7" x14ac:dyDescent="0.2">
      <c r="A103">
        <v>493</v>
      </c>
      <c r="B103" t="s">
        <v>655</v>
      </c>
      <c r="C103" t="s">
        <v>656</v>
      </c>
      <c r="D103" t="s">
        <v>657</v>
      </c>
      <c r="E103" t="s">
        <v>362</v>
      </c>
      <c r="F103" t="s">
        <v>314</v>
      </c>
      <c r="G103" t="s">
        <v>315</v>
      </c>
    </row>
    <row r="104" spans="1:7" x14ac:dyDescent="0.2">
      <c r="A104">
        <v>494</v>
      </c>
      <c r="B104" t="s">
        <v>658</v>
      </c>
      <c r="C104" t="s">
        <v>659</v>
      </c>
      <c r="D104" t="s">
        <v>657</v>
      </c>
      <c r="E104" t="s">
        <v>660</v>
      </c>
      <c r="F104" t="s">
        <v>314</v>
      </c>
      <c r="G104" t="s">
        <v>315</v>
      </c>
    </row>
    <row r="105" spans="1:7" x14ac:dyDescent="0.2">
      <c r="A105">
        <v>495</v>
      </c>
      <c r="B105" t="s">
        <v>661</v>
      </c>
      <c r="C105" t="s">
        <v>662</v>
      </c>
      <c r="D105" t="s">
        <v>657</v>
      </c>
      <c r="E105" t="s">
        <v>362</v>
      </c>
      <c r="F105" t="s">
        <v>314</v>
      </c>
      <c r="G105" t="s">
        <v>315</v>
      </c>
    </row>
    <row r="106" spans="1:7" x14ac:dyDescent="0.2">
      <c r="A106">
        <v>496</v>
      </c>
      <c r="B106" t="s">
        <v>663</v>
      </c>
      <c r="C106" t="s">
        <v>664</v>
      </c>
      <c r="D106" t="s">
        <v>665</v>
      </c>
      <c r="E106" t="s">
        <v>342</v>
      </c>
      <c r="F106" t="s">
        <v>319</v>
      </c>
      <c r="G106" t="s">
        <v>315</v>
      </c>
    </row>
    <row r="107" spans="1:7" x14ac:dyDescent="0.2">
      <c r="A107">
        <v>497</v>
      </c>
      <c r="B107" t="s">
        <v>666</v>
      </c>
      <c r="C107" t="s">
        <v>667</v>
      </c>
      <c r="D107" t="s">
        <v>668</v>
      </c>
      <c r="E107" t="s">
        <v>669</v>
      </c>
      <c r="F107" t="s">
        <v>319</v>
      </c>
      <c r="G107" t="s">
        <v>315</v>
      </c>
    </row>
    <row r="108" spans="1:7" x14ac:dyDescent="0.2">
      <c r="A108">
        <v>498</v>
      </c>
      <c r="B108" t="s">
        <v>670</v>
      </c>
      <c r="C108" t="s">
        <v>671</v>
      </c>
      <c r="D108" t="s">
        <v>672</v>
      </c>
      <c r="E108" t="s">
        <v>673</v>
      </c>
      <c r="F108" t="s">
        <v>319</v>
      </c>
      <c r="G108" t="s">
        <v>315</v>
      </c>
    </row>
    <row r="109" spans="1:7" x14ac:dyDescent="0.2">
      <c r="A109">
        <v>499</v>
      </c>
      <c r="B109" t="s">
        <v>674</v>
      </c>
      <c r="C109" t="s">
        <v>675</v>
      </c>
      <c r="D109" t="s">
        <v>676</v>
      </c>
      <c r="E109" t="s">
        <v>323</v>
      </c>
      <c r="F109" t="s">
        <v>319</v>
      </c>
      <c r="G109" t="s">
        <v>315</v>
      </c>
    </row>
    <row r="110" spans="1:7" x14ac:dyDescent="0.2">
      <c r="A110">
        <v>500</v>
      </c>
      <c r="B110" t="s">
        <v>677</v>
      </c>
      <c r="C110" t="s">
        <v>678</v>
      </c>
      <c r="D110" t="s">
        <v>679</v>
      </c>
      <c r="E110" t="s">
        <v>680</v>
      </c>
      <c r="F110" t="s">
        <v>319</v>
      </c>
      <c r="G110" t="s">
        <v>315</v>
      </c>
    </row>
    <row r="111" spans="1:7" x14ac:dyDescent="0.2">
      <c r="A111">
        <v>501</v>
      </c>
      <c r="B111" t="s">
        <v>681</v>
      </c>
      <c r="C111" t="s">
        <v>70</v>
      </c>
      <c r="D111" t="s">
        <v>682</v>
      </c>
      <c r="E111" t="s">
        <v>683</v>
      </c>
      <c r="F111" t="s">
        <v>319</v>
      </c>
      <c r="G111" t="s">
        <v>315</v>
      </c>
    </row>
    <row r="112" spans="1:7" x14ac:dyDescent="0.2">
      <c r="A112">
        <v>502</v>
      </c>
      <c r="B112" t="s">
        <v>684</v>
      </c>
      <c r="C112" t="s">
        <v>685</v>
      </c>
      <c r="D112" t="s">
        <v>686</v>
      </c>
      <c r="E112" t="s">
        <v>327</v>
      </c>
      <c r="F112" t="s">
        <v>319</v>
      </c>
      <c r="G112" t="s">
        <v>315</v>
      </c>
    </row>
    <row r="113" spans="1:7" x14ac:dyDescent="0.2">
      <c r="A113">
        <v>503</v>
      </c>
      <c r="B113" t="s">
        <v>687</v>
      </c>
      <c r="C113" t="s">
        <v>688</v>
      </c>
      <c r="D113" t="s">
        <v>689</v>
      </c>
      <c r="E113" t="s">
        <v>690</v>
      </c>
      <c r="F113" t="s">
        <v>319</v>
      </c>
      <c r="G113" t="s">
        <v>315</v>
      </c>
    </row>
    <row r="114" spans="1:7" x14ac:dyDescent="0.2">
      <c r="A114">
        <v>504</v>
      </c>
      <c r="B114" t="s">
        <v>691</v>
      </c>
      <c r="C114" t="s">
        <v>692</v>
      </c>
      <c r="D114" t="s">
        <v>693</v>
      </c>
      <c r="E114" t="s">
        <v>694</v>
      </c>
      <c r="F114" t="s">
        <v>319</v>
      </c>
      <c r="G114" t="s">
        <v>315</v>
      </c>
    </row>
    <row r="115" spans="1:7" x14ac:dyDescent="0.2">
      <c r="A115">
        <v>505</v>
      </c>
      <c r="B115" t="s">
        <v>695</v>
      </c>
      <c r="C115" t="s">
        <v>696</v>
      </c>
      <c r="D115" t="s">
        <v>697</v>
      </c>
      <c r="E115" t="s">
        <v>400</v>
      </c>
      <c r="F115" t="s">
        <v>319</v>
      </c>
      <c r="G115" t="s">
        <v>315</v>
      </c>
    </row>
    <row r="116" spans="1:7" x14ac:dyDescent="0.2">
      <c r="A116">
        <v>506</v>
      </c>
      <c r="B116" t="s">
        <v>698</v>
      </c>
      <c r="C116" t="s">
        <v>699</v>
      </c>
      <c r="D116" t="s">
        <v>700</v>
      </c>
      <c r="E116" t="s">
        <v>701</v>
      </c>
      <c r="F116" t="s">
        <v>319</v>
      </c>
      <c r="G116" t="s">
        <v>315</v>
      </c>
    </row>
    <row r="117" spans="1:7" x14ac:dyDescent="0.2">
      <c r="A117">
        <v>507</v>
      </c>
      <c r="B117" t="s">
        <v>702</v>
      </c>
      <c r="C117" t="s">
        <v>703</v>
      </c>
      <c r="D117" t="s">
        <v>704</v>
      </c>
      <c r="E117" t="s">
        <v>705</v>
      </c>
      <c r="F117" t="s">
        <v>319</v>
      </c>
      <c r="G117" t="s">
        <v>315</v>
      </c>
    </row>
    <row r="118" spans="1:7" x14ac:dyDescent="0.2">
      <c r="A118">
        <v>508</v>
      </c>
      <c r="B118" t="s">
        <v>706</v>
      </c>
      <c r="C118" t="s">
        <v>707</v>
      </c>
      <c r="D118" t="s">
        <v>708</v>
      </c>
      <c r="E118" t="s">
        <v>709</v>
      </c>
      <c r="F118" t="s">
        <v>319</v>
      </c>
      <c r="G118" t="s">
        <v>315</v>
      </c>
    </row>
    <row r="119" spans="1:7" x14ac:dyDescent="0.2">
      <c r="A119">
        <v>509</v>
      </c>
      <c r="B119" t="s">
        <v>710</v>
      </c>
      <c r="C119" t="s">
        <v>711</v>
      </c>
      <c r="D119" t="s">
        <v>712</v>
      </c>
      <c r="E119" t="s">
        <v>713</v>
      </c>
      <c r="F119" t="s">
        <v>319</v>
      </c>
      <c r="G119" t="s">
        <v>315</v>
      </c>
    </row>
    <row r="120" spans="1:7" x14ac:dyDescent="0.2">
      <c r="A120">
        <v>510</v>
      </c>
      <c r="B120" t="s">
        <v>714</v>
      </c>
      <c r="C120" t="s">
        <v>715</v>
      </c>
      <c r="D120" t="s">
        <v>716</v>
      </c>
      <c r="E120" t="s">
        <v>717</v>
      </c>
      <c r="F120" t="s">
        <v>319</v>
      </c>
      <c r="G120" t="s">
        <v>315</v>
      </c>
    </row>
    <row r="121" spans="1:7" x14ac:dyDescent="0.2">
      <c r="A121">
        <v>511</v>
      </c>
      <c r="B121" t="s">
        <v>718</v>
      </c>
      <c r="C121" t="s">
        <v>719</v>
      </c>
      <c r="D121" t="s">
        <v>720</v>
      </c>
      <c r="E121" t="s">
        <v>381</v>
      </c>
      <c r="G121" t="s">
        <v>315</v>
      </c>
    </row>
    <row r="122" spans="1:7" x14ac:dyDescent="0.2">
      <c r="A122">
        <v>988</v>
      </c>
      <c r="B122" t="s">
        <v>721</v>
      </c>
      <c r="C122" t="s">
        <v>722</v>
      </c>
      <c r="D122" t="s">
        <v>723</v>
      </c>
      <c r="E122" t="s">
        <v>724</v>
      </c>
      <c r="F122" t="s">
        <v>314</v>
      </c>
      <c r="G122" t="s">
        <v>315</v>
      </c>
    </row>
    <row r="123" spans="1:7" x14ac:dyDescent="0.2">
      <c r="A123">
        <v>513</v>
      </c>
      <c r="B123" t="s">
        <v>725</v>
      </c>
      <c r="C123" t="s">
        <v>726</v>
      </c>
      <c r="D123" t="s">
        <v>613</v>
      </c>
      <c r="E123" t="s">
        <v>327</v>
      </c>
      <c r="F123" t="s">
        <v>314</v>
      </c>
      <c r="G123" t="s">
        <v>315</v>
      </c>
    </row>
    <row r="124" spans="1:7" x14ac:dyDescent="0.2">
      <c r="A124">
        <v>514</v>
      </c>
      <c r="B124" t="s">
        <v>727</v>
      </c>
      <c r="C124" t="s">
        <v>728</v>
      </c>
      <c r="D124" t="s">
        <v>729</v>
      </c>
      <c r="E124" t="s">
        <v>730</v>
      </c>
      <c r="F124" t="s">
        <v>319</v>
      </c>
      <c r="G124" t="s">
        <v>315</v>
      </c>
    </row>
    <row r="125" spans="1:7" x14ac:dyDescent="0.2">
      <c r="A125">
        <v>515</v>
      </c>
      <c r="B125" t="s">
        <v>731</v>
      </c>
      <c r="C125" t="s">
        <v>732</v>
      </c>
      <c r="D125" t="s">
        <v>733</v>
      </c>
      <c r="E125" t="s">
        <v>358</v>
      </c>
      <c r="F125" t="s">
        <v>319</v>
      </c>
      <c r="G125" t="s">
        <v>315</v>
      </c>
    </row>
    <row r="126" spans="1:7" x14ac:dyDescent="0.2">
      <c r="A126">
        <v>516</v>
      </c>
      <c r="B126" t="s">
        <v>734</v>
      </c>
      <c r="C126" t="s">
        <v>735</v>
      </c>
      <c r="D126" t="s">
        <v>736</v>
      </c>
      <c r="E126" t="s">
        <v>400</v>
      </c>
      <c r="F126" t="s">
        <v>314</v>
      </c>
      <c r="G126" t="s">
        <v>315</v>
      </c>
    </row>
    <row r="127" spans="1:7" x14ac:dyDescent="0.2">
      <c r="A127">
        <v>517</v>
      </c>
      <c r="B127" t="s">
        <v>737</v>
      </c>
      <c r="C127" t="s">
        <v>738</v>
      </c>
      <c r="D127" t="s">
        <v>736</v>
      </c>
      <c r="E127" t="s">
        <v>400</v>
      </c>
      <c r="F127" t="s">
        <v>314</v>
      </c>
      <c r="G127" t="s">
        <v>315</v>
      </c>
    </row>
    <row r="128" spans="1:7" x14ac:dyDescent="0.2">
      <c r="A128">
        <v>518</v>
      </c>
      <c r="B128" t="s">
        <v>739</v>
      </c>
      <c r="C128" t="s">
        <v>740</v>
      </c>
      <c r="D128" t="s">
        <v>741</v>
      </c>
      <c r="E128" t="s">
        <v>381</v>
      </c>
      <c r="F128" t="s">
        <v>319</v>
      </c>
      <c r="G128" t="s">
        <v>315</v>
      </c>
    </row>
    <row r="129" spans="1:7" x14ac:dyDescent="0.2">
      <c r="A129">
        <v>519</v>
      </c>
      <c r="B129" t="s">
        <v>742</v>
      </c>
      <c r="C129" t="s">
        <v>743</v>
      </c>
      <c r="D129" t="s">
        <v>744</v>
      </c>
      <c r="E129" t="s">
        <v>654</v>
      </c>
      <c r="F129" t="s">
        <v>319</v>
      </c>
      <c r="G129" t="s">
        <v>315</v>
      </c>
    </row>
    <row r="130" spans="1:7" x14ac:dyDescent="0.2">
      <c r="A130">
        <v>520</v>
      </c>
      <c r="B130" t="s">
        <v>745</v>
      </c>
      <c r="C130" t="s">
        <v>746</v>
      </c>
      <c r="D130" t="s">
        <v>747</v>
      </c>
      <c r="E130" t="s">
        <v>748</v>
      </c>
      <c r="F130" t="s">
        <v>319</v>
      </c>
      <c r="G130" t="s">
        <v>315</v>
      </c>
    </row>
    <row r="131" spans="1:7" x14ac:dyDescent="0.2">
      <c r="A131">
        <v>521</v>
      </c>
      <c r="B131" t="s">
        <v>749</v>
      </c>
      <c r="C131" t="s">
        <v>750</v>
      </c>
      <c r="D131" t="s">
        <v>751</v>
      </c>
      <c r="E131" t="s">
        <v>381</v>
      </c>
      <c r="F131" t="s">
        <v>319</v>
      </c>
      <c r="G131" t="s">
        <v>315</v>
      </c>
    </row>
    <row r="132" spans="1:7" x14ac:dyDescent="0.2">
      <c r="A132">
        <v>522</v>
      </c>
      <c r="B132" t="s">
        <v>752</v>
      </c>
      <c r="C132" t="s">
        <v>753</v>
      </c>
      <c r="D132" t="s">
        <v>754</v>
      </c>
      <c r="E132" t="s">
        <v>327</v>
      </c>
      <c r="F132" t="s">
        <v>314</v>
      </c>
      <c r="G132" t="s">
        <v>315</v>
      </c>
    </row>
    <row r="133" spans="1:7" x14ac:dyDescent="0.2">
      <c r="A133">
        <v>523</v>
      </c>
      <c r="B133" t="s">
        <v>755</v>
      </c>
      <c r="C133" t="s">
        <v>756</v>
      </c>
      <c r="D133" t="s">
        <v>757</v>
      </c>
      <c r="E133" t="s">
        <v>758</v>
      </c>
      <c r="F133" t="s">
        <v>319</v>
      </c>
      <c r="G133" t="s">
        <v>315</v>
      </c>
    </row>
    <row r="134" spans="1:7" x14ac:dyDescent="0.2">
      <c r="A134">
        <v>524</v>
      </c>
      <c r="B134" t="s">
        <v>759</v>
      </c>
      <c r="C134" t="s">
        <v>760</v>
      </c>
      <c r="D134" t="s">
        <v>761</v>
      </c>
      <c r="E134" t="s">
        <v>400</v>
      </c>
      <c r="F134" t="s">
        <v>314</v>
      </c>
      <c r="G134" t="s">
        <v>315</v>
      </c>
    </row>
    <row r="135" spans="1:7" x14ac:dyDescent="0.2">
      <c r="A135">
        <v>525</v>
      </c>
      <c r="B135" t="s">
        <v>762</v>
      </c>
      <c r="C135" t="s">
        <v>763</v>
      </c>
      <c r="D135" t="s">
        <v>761</v>
      </c>
      <c r="E135" t="s">
        <v>400</v>
      </c>
      <c r="F135" t="s">
        <v>314</v>
      </c>
      <c r="G135" t="s">
        <v>315</v>
      </c>
    </row>
    <row r="136" spans="1:7" x14ac:dyDescent="0.2">
      <c r="A136">
        <v>526</v>
      </c>
      <c r="B136" t="s">
        <v>764</v>
      </c>
      <c r="C136" t="s">
        <v>765</v>
      </c>
      <c r="D136" t="s">
        <v>766</v>
      </c>
      <c r="E136" t="s">
        <v>400</v>
      </c>
      <c r="F136" t="s">
        <v>319</v>
      </c>
      <c r="G136" t="s">
        <v>315</v>
      </c>
    </row>
    <row r="137" spans="1:7" x14ac:dyDescent="0.2">
      <c r="A137">
        <v>527</v>
      </c>
      <c r="B137" t="s">
        <v>767</v>
      </c>
      <c r="C137" t="s">
        <v>768</v>
      </c>
      <c r="D137" t="s">
        <v>769</v>
      </c>
      <c r="E137" t="s">
        <v>654</v>
      </c>
      <c r="F137" t="s">
        <v>319</v>
      </c>
      <c r="G137" t="s">
        <v>315</v>
      </c>
    </row>
    <row r="138" spans="1:7" x14ac:dyDescent="0.2">
      <c r="A138">
        <v>528</v>
      </c>
      <c r="B138" t="s">
        <v>770</v>
      </c>
      <c r="C138" t="s">
        <v>771</v>
      </c>
      <c r="E138" t="s">
        <v>772</v>
      </c>
      <c r="F138" t="s">
        <v>319</v>
      </c>
      <c r="G138" t="s">
        <v>315</v>
      </c>
    </row>
    <row r="139" spans="1:7" x14ac:dyDescent="0.2">
      <c r="A139">
        <v>529</v>
      </c>
      <c r="B139" t="s">
        <v>773</v>
      </c>
      <c r="C139" t="s">
        <v>774</v>
      </c>
      <c r="D139" t="s">
        <v>775</v>
      </c>
      <c r="E139" t="s">
        <v>776</v>
      </c>
      <c r="F139" t="s">
        <v>319</v>
      </c>
      <c r="G139" t="s">
        <v>315</v>
      </c>
    </row>
    <row r="140" spans="1:7" x14ac:dyDescent="0.2">
      <c r="A140">
        <v>530</v>
      </c>
      <c r="B140" t="s">
        <v>777</v>
      </c>
      <c r="C140" t="s">
        <v>778</v>
      </c>
      <c r="D140" t="s">
        <v>779</v>
      </c>
      <c r="E140" t="s">
        <v>362</v>
      </c>
      <c r="F140" t="s">
        <v>319</v>
      </c>
      <c r="G140" t="s">
        <v>315</v>
      </c>
    </row>
    <row r="141" spans="1:7" x14ac:dyDescent="0.2">
      <c r="A141">
        <v>531</v>
      </c>
      <c r="B141" t="s">
        <v>780</v>
      </c>
      <c r="C141" t="s">
        <v>781</v>
      </c>
      <c r="D141" t="s">
        <v>782</v>
      </c>
      <c r="E141" t="s">
        <v>331</v>
      </c>
      <c r="F141" t="s">
        <v>319</v>
      </c>
      <c r="G141" t="s">
        <v>315</v>
      </c>
    </row>
    <row r="142" spans="1:7" x14ac:dyDescent="0.2">
      <c r="A142">
        <v>532</v>
      </c>
      <c r="B142" t="s">
        <v>783</v>
      </c>
      <c r="C142" t="s">
        <v>71</v>
      </c>
      <c r="D142" t="s">
        <v>784</v>
      </c>
      <c r="E142" t="s">
        <v>785</v>
      </c>
      <c r="F142" t="s">
        <v>319</v>
      </c>
      <c r="G142" t="s">
        <v>315</v>
      </c>
    </row>
    <row r="143" spans="1:7" x14ac:dyDescent="0.2">
      <c r="A143">
        <v>533</v>
      </c>
      <c r="B143" t="s">
        <v>786</v>
      </c>
      <c r="C143" t="s">
        <v>787</v>
      </c>
      <c r="D143" t="s">
        <v>788</v>
      </c>
      <c r="E143" t="s">
        <v>789</v>
      </c>
      <c r="F143" t="s">
        <v>319</v>
      </c>
      <c r="G143" t="s">
        <v>315</v>
      </c>
    </row>
    <row r="144" spans="1:7" x14ac:dyDescent="0.2">
      <c r="A144">
        <v>534</v>
      </c>
      <c r="B144" t="s">
        <v>790</v>
      </c>
      <c r="C144" t="s">
        <v>791</v>
      </c>
      <c r="D144" t="s">
        <v>792</v>
      </c>
      <c r="E144" t="s">
        <v>546</v>
      </c>
      <c r="F144" t="s">
        <v>319</v>
      </c>
      <c r="G144" t="s">
        <v>315</v>
      </c>
    </row>
    <row r="145" spans="1:7" x14ac:dyDescent="0.2">
      <c r="A145">
        <v>535</v>
      </c>
      <c r="B145" t="s">
        <v>793</v>
      </c>
      <c r="C145" t="s">
        <v>794</v>
      </c>
      <c r="D145" t="s">
        <v>795</v>
      </c>
      <c r="E145" t="s">
        <v>796</v>
      </c>
      <c r="F145" t="s">
        <v>314</v>
      </c>
      <c r="G145" t="s">
        <v>315</v>
      </c>
    </row>
    <row r="146" spans="1:7" x14ac:dyDescent="0.2">
      <c r="A146">
        <v>536</v>
      </c>
      <c r="B146" t="s">
        <v>797</v>
      </c>
      <c r="C146" t="s">
        <v>798</v>
      </c>
      <c r="D146" t="s">
        <v>799</v>
      </c>
      <c r="E146" t="s">
        <v>654</v>
      </c>
      <c r="F146" t="s">
        <v>319</v>
      </c>
      <c r="G146" t="s">
        <v>315</v>
      </c>
    </row>
    <row r="147" spans="1:7" x14ac:dyDescent="0.2">
      <c r="A147">
        <v>537</v>
      </c>
      <c r="B147" t="s">
        <v>800</v>
      </c>
      <c r="C147" t="s">
        <v>801</v>
      </c>
      <c r="D147" t="s">
        <v>802</v>
      </c>
      <c r="E147" t="s">
        <v>730</v>
      </c>
      <c r="F147" t="s">
        <v>319</v>
      </c>
      <c r="G147" t="s">
        <v>315</v>
      </c>
    </row>
    <row r="148" spans="1:7" x14ac:dyDescent="0.2">
      <c r="A148">
        <v>538</v>
      </c>
      <c r="B148" t="s">
        <v>803</v>
      </c>
      <c r="C148" t="s">
        <v>804</v>
      </c>
      <c r="D148" t="s">
        <v>805</v>
      </c>
      <c r="E148" t="s">
        <v>313</v>
      </c>
      <c r="F148" t="s">
        <v>319</v>
      </c>
      <c r="G148" t="s">
        <v>315</v>
      </c>
    </row>
    <row r="149" spans="1:7" x14ac:dyDescent="0.2">
      <c r="A149">
        <v>539</v>
      </c>
      <c r="B149" t="s">
        <v>806</v>
      </c>
      <c r="C149" t="s">
        <v>807</v>
      </c>
      <c r="D149" t="s">
        <v>808</v>
      </c>
      <c r="E149" t="s">
        <v>809</v>
      </c>
      <c r="F149" t="s">
        <v>314</v>
      </c>
      <c r="G149" t="s">
        <v>315</v>
      </c>
    </row>
    <row r="150" spans="1:7" x14ac:dyDescent="0.2">
      <c r="A150">
        <v>540</v>
      </c>
      <c r="B150" t="s">
        <v>810</v>
      </c>
      <c r="C150" t="s">
        <v>811</v>
      </c>
      <c r="D150" t="s">
        <v>808</v>
      </c>
      <c r="E150" t="s">
        <v>809</v>
      </c>
      <c r="F150" t="s">
        <v>314</v>
      </c>
      <c r="G150" t="s">
        <v>315</v>
      </c>
    </row>
    <row r="151" spans="1:7" x14ac:dyDescent="0.2">
      <c r="A151">
        <v>541</v>
      </c>
      <c r="B151" t="s">
        <v>812</v>
      </c>
      <c r="C151" t="s">
        <v>813</v>
      </c>
      <c r="D151" t="s">
        <v>808</v>
      </c>
      <c r="E151" t="s">
        <v>809</v>
      </c>
      <c r="F151" t="s">
        <v>314</v>
      </c>
      <c r="G151" t="s">
        <v>315</v>
      </c>
    </row>
    <row r="152" spans="1:7" x14ac:dyDescent="0.2">
      <c r="A152">
        <v>542</v>
      </c>
      <c r="B152" t="s">
        <v>814</v>
      </c>
      <c r="C152" t="s">
        <v>815</v>
      </c>
      <c r="D152" t="s">
        <v>816</v>
      </c>
      <c r="E152" t="s">
        <v>327</v>
      </c>
      <c r="F152" t="s">
        <v>319</v>
      </c>
      <c r="G152" t="s">
        <v>315</v>
      </c>
    </row>
    <row r="153" spans="1:7" x14ac:dyDescent="0.2">
      <c r="A153">
        <v>543</v>
      </c>
      <c r="B153" t="s">
        <v>817</v>
      </c>
      <c r="C153" t="s">
        <v>818</v>
      </c>
      <c r="D153" t="s">
        <v>819</v>
      </c>
      <c r="E153" t="s">
        <v>313</v>
      </c>
      <c r="F153" t="s">
        <v>319</v>
      </c>
      <c r="G153" t="s">
        <v>315</v>
      </c>
    </row>
    <row r="154" spans="1:7" x14ac:dyDescent="0.2">
      <c r="A154">
        <v>544</v>
      </c>
      <c r="B154" t="s">
        <v>820</v>
      </c>
      <c r="C154" t="s">
        <v>821</v>
      </c>
      <c r="D154" t="s">
        <v>822</v>
      </c>
      <c r="E154" t="s">
        <v>381</v>
      </c>
      <c r="F154" t="s">
        <v>319</v>
      </c>
      <c r="G154" t="s">
        <v>315</v>
      </c>
    </row>
    <row r="155" spans="1:7" x14ac:dyDescent="0.2">
      <c r="A155">
        <v>545</v>
      </c>
      <c r="B155" t="s">
        <v>823</v>
      </c>
      <c r="C155" t="s">
        <v>824</v>
      </c>
      <c r="D155" t="s">
        <v>825</v>
      </c>
      <c r="E155" t="s">
        <v>400</v>
      </c>
      <c r="F155" t="s">
        <v>314</v>
      </c>
      <c r="G155" t="s">
        <v>315</v>
      </c>
    </row>
    <row r="156" spans="1:7" x14ac:dyDescent="0.2">
      <c r="A156">
        <v>546</v>
      </c>
      <c r="B156" t="s">
        <v>826</v>
      </c>
      <c r="C156" t="s">
        <v>827</v>
      </c>
      <c r="D156" t="s">
        <v>828</v>
      </c>
      <c r="E156" t="s">
        <v>829</v>
      </c>
      <c r="F156" t="s">
        <v>319</v>
      </c>
      <c r="G156" t="s">
        <v>315</v>
      </c>
    </row>
    <row r="157" spans="1:7" x14ac:dyDescent="0.2">
      <c r="A157">
        <v>547</v>
      </c>
      <c r="B157" t="s">
        <v>830</v>
      </c>
      <c r="C157" t="s">
        <v>831</v>
      </c>
      <c r="D157" t="s">
        <v>832</v>
      </c>
      <c r="E157" t="s">
        <v>829</v>
      </c>
      <c r="F157" t="s">
        <v>319</v>
      </c>
      <c r="G157" t="s">
        <v>315</v>
      </c>
    </row>
    <row r="158" spans="1:7" x14ac:dyDescent="0.2">
      <c r="A158">
        <v>548</v>
      </c>
      <c r="B158" t="s">
        <v>833</v>
      </c>
      <c r="C158" t="s">
        <v>834</v>
      </c>
      <c r="D158" t="s">
        <v>835</v>
      </c>
      <c r="E158" t="s">
        <v>487</v>
      </c>
      <c r="F158" t="s">
        <v>319</v>
      </c>
      <c r="G158" t="s">
        <v>315</v>
      </c>
    </row>
    <row r="159" spans="1:7" x14ac:dyDescent="0.2">
      <c r="A159">
        <v>549</v>
      </c>
      <c r="B159" t="s">
        <v>836</v>
      </c>
      <c r="C159" t="s">
        <v>837</v>
      </c>
      <c r="D159" t="s">
        <v>838</v>
      </c>
      <c r="E159" t="s">
        <v>839</v>
      </c>
      <c r="F159" t="s">
        <v>319</v>
      </c>
      <c r="G159" t="s">
        <v>315</v>
      </c>
    </row>
    <row r="160" spans="1:7" x14ac:dyDescent="0.2">
      <c r="A160">
        <v>550</v>
      </c>
      <c r="B160" t="s">
        <v>840</v>
      </c>
      <c r="C160" t="s">
        <v>841</v>
      </c>
      <c r="D160" t="s">
        <v>842</v>
      </c>
      <c r="E160" t="s">
        <v>843</v>
      </c>
      <c r="F160" t="s">
        <v>319</v>
      </c>
      <c r="G160" t="s">
        <v>315</v>
      </c>
    </row>
    <row r="161" spans="1:7" x14ac:dyDescent="0.2">
      <c r="A161">
        <v>551</v>
      </c>
      <c r="B161" t="s">
        <v>844</v>
      </c>
      <c r="C161" t="s">
        <v>845</v>
      </c>
      <c r="D161" t="s">
        <v>846</v>
      </c>
      <c r="E161" t="s">
        <v>809</v>
      </c>
      <c r="F161" t="s">
        <v>314</v>
      </c>
      <c r="G161" t="s">
        <v>315</v>
      </c>
    </row>
    <row r="162" spans="1:7" x14ac:dyDescent="0.2">
      <c r="A162">
        <v>552</v>
      </c>
      <c r="B162" t="s">
        <v>847</v>
      </c>
      <c r="C162" t="s">
        <v>848</v>
      </c>
      <c r="D162" t="s">
        <v>849</v>
      </c>
      <c r="E162" t="s">
        <v>850</v>
      </c>
      <c r="F162" t="s">
        <v>319</v>
      </c>
      <c r="G162" t="s">
        <v>315</v>
      </c>
    </row>
    <row r="163" spans="1:7" x14ac:dyDescent="0.2">
      <c r="A163">
        <v>553</v>
      </c>
      <c r="B163" t="s">
        <v>851</v>
      </c>
      <c r="C163" t="s">
        <v>852</v>
      </c>
      <c r="D163" t="s">
        <v>853</v>
      </c>
      <c r="E163" t="s">
        <v>809</v>
      </c>
      <c r="F163" t="s">
        <v>319</v>
      </c>
      <c r="G163" t="s">
        <v>315</v>
      </c>
    </row>
    <row r="164" spans="1:7" x14ac:dyDescent="0.2">
      <c r="A164">
        <v>554</v>
      </c>
      <c r="B164" t="s">
        <v>854</v>
      </c>
      <c r="C164" t="s">
        <v>855</v>
      </c>
      <c r="D164" t="s">
        <v>856</v>
      </c>
      <c r="E164" t="s">
        <v>809</v>
      </c>
      <c r="F164" t="s">
        <v>314</v>
      </c>
      <c r="G164" t="s">
        <v>315</v>
      </c>
    </row>
    <row r="165" spans="1:7" x14ac:dyDescent="0.2">
      <c r="A165">
        <v>555</v>
      </c>
      <c r="B165" t="s">
        <v>857</v>
      </c>
      <c r="C165" t="s">
        <v>858</v>
      </c>
      <c r="D165" t="s">
        <v>859</v>
      </c>
      <c r="E165" t="s">
        <v>381</v>
      </c>
      <c r="F165" t="s">
        <v>319</v>
      </c>
      <c r="G165" t="s">
        <v>315</v>
      </c>
    </row>
    <row r="166" spans="1:7" x14ac:dyDescent="0.2">
      <c r="A166">
        <v>556</v>
      </c>
      <c r="B166" t="s">
        <v>860</v>
      </c>
      <c r="C166" t="s">
        <v>861</v>
      </c>
      <c r="D166" t="s">
        <v>862</v>
      </c>
      <c r="E166" t="s">
        <v>863</v>
      </c>
      <c r="F166" t="s">
        <v>319</v>
      </c>
      <c r="G166" t="s">
        <v>315</v>
      </c>
    </row>
    <row r="167" spans="1:7" x14ac:dyDescent="0.2">
      <c r="A167">
        <v>557</v>
      </c>
      <c r="B167" t="s">
        <v>864</v>
      </c>
      <c r="C167" t="s">
        <v>865</v>
      </c>
      <c r="D167" t="s">
        <v>866</v>
      </c>
      <c r="E167" t="s">
        <v>867</v>
      </c>
      <c r="F167" t="s">
        <v>319</v>
      </c>
      <c r="G167" t="s">
        <v>315</v>
      </c>
    </row>
    <row r="168" spans="1:7" x14ac:dyDescent="0.2">
      <c r="A168">
        <v>558</v>
      </c>
      <c r="B168" t="s">
        <v>868</v>
      </c>
      <c r="C168" t="s">
        <v>869</v>
      </c>
      <c r="D168" t="s">
        <v>870</v>
      </c>
      <c r="E168" t="s">
        <v>839</v>
      </c>
      <c r="F168" t="s">
        <v>319</v>
      </c>
      <c r="G168" t="s">
        <v>315</v>
      </c>
    </row>
    <row r="169" spans="1:7" x14ac:dyDescent="0.2">
      <c r="A169">
        <v>559</v>
      </c>
      <c r="B169" t="s">
        <v>871</v>
      </c>
      <c r="C169" t="s">
        <v>872</v>
      </c>
      <c r="D169" t="s">
        <v>633</v>
      </c>
      <c r="E169" t="s">
        <v>873</v>
      </c>
      <c r="F169" t="s">
        <v>314</v>
      </c>
      <c r="G169" t="s">
        <v>315</v>
      </c>
    </row>
    <row r="170" spans="1:7" x14ac:dyDescent="0.2">
      <c r="A170">
        <v>560</v>
      </c>
      <c r="B170" t="s">
        <v>874</v>
      </c>
      <c r="C170" t="s">
        <v>875</v>
      </c>
      <c r="D170" t="s">
        <v>876</v>
      </c>
      <c r="E170" t="s">
        <v>877</v>
      </c>
      <c r="F170" t="s">
        <v>319</v>
      </c>
      <c r="G170" t="s">
        <v>315</v>
      </c>
    </row>
    <row r="171" spans="1:7" x14ac:dyDescent="0.2">
      <c r="A171">
        <v>561</v>
      </c>
      <c r="B171" t="s">
        <v>878</v>
      </c>
      <c r="C171" t="s">
        <v>879</v>
      </c>
      <c r="D171" t="s">
        <v>880</v>
      </c>
      <c r="E171" t="s">
        <v>381</v>
      </c>
      <c r="F171" t="s">
        <v>319</v>
      </c>
      <c r="G171" t="s">
        <v>315</v>
      </c>
    </row>
    <row r="172" spans="1:7" x14ac:dyDescent="0.2">
      <c r="A172">
        <v>562</v>
      </c>
      <c r="B172" t="s">
        <v>881</v>
      </c>
      <c r="C172" t="s">
        <v>882</v>
      </c>
      <c r="D172" t="s">
        <v>883</v>
      </c>
      <c r="E172" t="s">
        <v>748</v>
      </c>
      <c r="F172" t="s">
        <v>319</v>
      </c>
      <c r="G172" t="s">
        <v>315</v>
      </c>
    </row>
    <row r="173" spans="1:7" x14ac:dyDescent="0.2">
      <c r="A173">
        <v>563</v>
      </c>
      <c r="B173" t="s">
        <v>884</v>
      </c>
      <c r="C173" t="s">
        <v>885</v>
      </c>
      <c r="D173" t="s">
        <v>886</v>
      </c>
      <c r="E173" t="s">
        <v>887</v>
      </c>
      <c r="F173" t="s">
        <v>314</v>
      </c>
      <c r="G173" t="s">
        <v>315</v>
      </c>
    </row>
    <row r="174" spans="1:7" x14ac:dyDescent="0.2">
      <c r="A174">
        <v>564</v>
      </c>
      <c r="B174" t="s">
        <v>888</v>
      </c>
      <c r="C174" t="s">
        <v>889</v>
      </c>
      <c r="D174" t="s">
        <v>890</v>
      </c>
      <c r="E174" t="s">
        <v>891</v>
      </c>
      <c r="F174" t="s">
        <v>314</v>
      </c>
      <c r="G174" t="s">
        <v>315</v>
      </c>
    </row>
    <row r="175" spans="1:7" x14ac:dyDescent="0.2">
      <c r="A175">
        <v>565</v>
      </c>
      <c r="B175" t="s">
        <v>892</v>
      </c>
      <c r="C175" t="s">
        <v>893</v>
      </c>
      <c r="D175" t="s">
        <v>894</v>
      </c>
      <c r="E175" t="s">
        <v>887</v>
      </c>
      <c r="F175" t="s">
        <v>314</v>
      </c>
      <c r="G175" t="s">
        <v>315</v>
      </c>
    </row>
    <row r="176" spans="1:7" x14ac:dyDescent="0.2">
      <c r="A176">
        <v>566</v>
      </c>
      <c r="B176" t="s">
        <v>895</v>
      </c>
      <c r="C176" t="s">
        <v>896</v>
      </c>
      <c r="D176" t="s">
        <v>897</v>
      </c>
      <c r="E176" t="s">
        <v>400</v>
      </c>
      <c r="F176" t="s">
        <v>319</v>
      </c>
      <c r="G176" t="s">
        <v>315</v>
      </c>
    </row>
    <row r="177" spans="1:7" x14ac:dyDescent="0.2">
      <c r="A177">
        <v>567</v>
      </c>
      <c r="B177" t="s">
        <v>898</v>
      </c>
      <c r="C177" t="s">
        <v>899</v>
      </c>
      <c r="D177" t="s">
        <v>900</v>
      </c>
      <c r="E177" t="s">
        <v>829</v>
      </c>
      <c r="F177" t="s">
        <v>319</v>
      </c>
      <c r="G177" t="s">
        <v>315</v>
      </c>
    </row>
    <row r="178" spans="1:7" x14ac:dyDescent="0.2">
      <c r="A178">
        <v>568</v>
      </c>
      <c r="B178" t="s">
        <v>901</v>
      </c>
      <c r="C178" t="s">
        <v>902</v>
      </c>
      <c r="D178" t="s">
        <v>903</v>
      </c>
      <c r="E178" t="s">
        <v>904</v>
      </c>
      <c r="F178" t="s">
        <v>314</v>
      </c>
      <c r="G178" t="s">
        <v>315</v>
      </c>
    </row>
    <row r="179" spans="1:7" x14ac:dyDescent="0.2">
      <c r="A179">
        <v>569</v>
      </c>
      <c r="B179" t="s">
        <v>905</v>
      </c>
      <c r="C179" t="s">
        <v>906</v>
      </c>
      <c r="D179" t="s">
        <v>903</v>
      </c>
      <c r="E179" t="s">
        <v>904</v>
      </c>
      <c r="F179" t="s">
        <v>314</v>
      </c>
      <c r="G179" t="s">
        <v>315</v>
      </c>
    </row>
    <row r="180" spans="1:7" x14ac:dyDescent="0.2">
      <c r="A180">
        <v>570</v>
      </c>
      <c r="B180" t="s">
        <v>907</v>
      </c>
      <c r="C180" t="s">
        <v>908</v>
      </c>
      <c r="D180" t="s">
        <v>909</v>
      </c>
      <c r="E180" t="s">
        <v>843</v>
      </c>
      <c r="F180" t="s">
        <v>319</v>
      </c>
      <c r="G180" t="s">
        <v>315</v>
      </c>
    </row>
    <row r="181" spans="1:7" x14ac:dyDescent="0.2">
      <c r="A181">
        <v>571</v>
      </c>
      <c r="B181" t="s">
        <v>910</v>
      </c>
      <c r="C181" t="s">
        <v>911</v>
      </c>
      <c r="D181" t="s">
        <v>912</v>
      </c>
      <c r="E181" t="s">
        <v>809</v>
      </c>
      <c r="F181" t="s">
        <v>319</v>
      </c>
      <c r="G181" t="s">
        <v>315</v>
      </c>
    </row>
    <row r="182" spans="1:7" x14ac:dyDescent="0.2">
      <c r="A182">
        <v>572</v>
      </c>
      <c r="B182" t="s">
        <v>913</v>
      </c>
      <c r="C182" t="s">
        <v>914</v>
      </c>
      <c r="D182" t="s">
        <v>915</v>
      </c>
      <c r="E182" t="s">
        <v>873</v>
      </c>
      <c r="F182" t="s">
        <v>319</v>
      </c>
      <c r="G182" t="s">
        <v>315</v>
      </c>
    </row>
    <row r="183" spans="1:7" x14ac:dyDescent="0.2">
      <c r="A183">
        <v>573</v>
      </c>
      <c r="B183" t="s">
        <v>916</v>
      </c>
      <c r="C183" t="s">
        <v>917</v>
      </c>
      <c r="D183" t="s">
        <v>918</v>
      </c>
      <c r="E183" t="s">
        <v>919</v>
      </c>
      <c r="F183" t="s">
        <v>319</v>
      </c>
      <c r="G183" t="s">
        <v>315</v>
      </c>
    </row>
    <row r="184" spans="1:7" x14ac:dyDescent="0.2">
      <c r="A184">
        <v>574</v>
      </c>
      <c r="B184" t="s">
        <v>920</v>
      </c>
      <c r="C184" t="s">
        <v>921</v>
      </c>
      <c r="D184" t="s">
        <v>922</v>
      </c>
      <c r="E184" t="s">
        <v>809</v>
      </c>
      <c r="F184" t="s">
        <v>319</v>
      </c>
      <c r="G184" t="s">
        <v>315</v>
      </c>
    </row>
    <row r="185" spans="1:7" x14ac:dyDescent="0.2">
      <c r="A185">
        <v>575</v>
      </c>
      <c r="B185" t="s">
        <v>923</v>
      </c>
      <c r="C185" t="s">
        <v>924</v>
      </c>
      <c r="D185" t="s">
        <v>925</v>
      </c>
      <c r="E185" t="s">
        <v>381</v>
      </c>
      <c r="F185" t="s">
        <v>319</v>
      </c>
      <c r="G185" t="s">
        <v>315</v>
      </c>
    </row>
    <row r="186" spans="1:7" x14ac:dyDescent="0.2">
      <c r="A186">
        <v>576</v>
      </c>
      <c r="B186" t="s">
        <v>926</v>
      </c>
      <c r="C186" t="s">
        <v>927</v>
      </c>
      <c r="D186" t="s">
        <v>928</v>
      </c>
      <c r="E186" t="s">
        <v>362</v>
      </c>
      <c r="F186" t="s">
        <v>314</v>
      </c>
      <c r="G186" t="s">
        <v>315</v>
      </c>
    </row>
    <row r="187" spans="1:7" x14ac:dyDescent="0.2">
      <c r="A187">
        <v>577</v>
      </c>
      <c r="B187" t="s">
        <v>929</v>
      </c>
      <c r="C187" t="s">
        <v>930</v>
      </c>
      <c r="D187" t="s">
        <v>931</v>
      </c>
      <c r="E187" t="s">
        <v>932</v>
      </c>
      <c r="F187" t="s">
        <v>319</v>
      </c>
      <c r="G187" t="s">
        <v>315</v>
      </c>
    </row>
    <row r="188" spans="1:7" x14ac:dyDescent="0.2">
      <c r="A188">
        <v>578</v>
      </c>
      <c r="B188" t="s">
        <v>933</v>
      </c>
      <c r="C188" t="s">
        <v>934</v>
      </c>
      <c r="D188" t="s">
        <v>935</v>
      </c>
      <c r="E188" t="s">
        <v>829</v>
      </c>
      <c r="F188" t="s">
        <v>314</v>
      </c>
      <c r="G188" t="s">
        <v>315</v>
      </c>
    </row>
    <row r="189" spans="1:7" x14ac:dyDescent="0.2">
      <c r="A189">
        <v>579</v>
      </c>
      <c r="B189" t="s">
        <v>936</v>
      </c>
      <c r="C189" t="s">
        <v>937</v>
      </c>
      <c r="D189" t="s">
        <v>935</v>
      </c>
      <c r="E189" t="s">
        <v>829</v>
      </c>
      <c r="F189" t="s">
        <v>314</v>
      </c>
      <c r="G189" t="s">
        <v>315</v>
      </c>
    </row>
    <row r="190" spans="1:7" x14ac:dyDescent="0.2">
      <c r="A190">
        <v>580</v>
      </c>
      <c r="B190" t="s">
        <v>938</v>
      </c>
      <c r="C190" t="s">
        <v>939</v>
      </c>
      <c r="D190" t="s">
        <v>940</v>
      </c>
      <c r="E190" t="s">
        <v>829</v>
      </c>
      <c r="F190" t="s">
        <v>314</v>
      </c>
      <c r="G190" t="s">
        <v>315</v>
      </c>
    </row>
    <row r="191" spans="1:7" x14ac:dyDescent="0.2">
      <c r="A191">
        <v>581</v>
      </c>
      <c r="B191" t="s">
        <v>941</v>
      </c>
      <c r="C191" t="s">
        <v>942</v>
      </c>
      <c r="D191" t="s">
        <v>943</v>
      </c>
      <c r="E191" t="s">
        <v>944</v>
      </c>
      <c r="F191" t="s">
        <v>319</v>
      </c>
      <c r="G191" t="s">
        <v>315</v>
      </c>
    </row>
    <row r="192" spans="1:7" x14ac:dyDescent="0.2">
      <c r="A192">
        <v>582</v>
      </c>
      <c r="B192" t="s">
        <v>945</v>
      </c>
      <c r="C192" t="s">
        <v>946</v>
      </c>
      <c r="D192" t="s">
        <v>947</v>
      </c>
      <c r="E192" t="s">
        <v>809</v>
      </c>
      <c r="F192" t="s">
        <v>319</v>
      </c>
      <c r="G192" t="s">
        <v>315</v>
      </c>
    </row>
    <row r="193" spans="1:7" x14ac:dyDescent="0.2">
      <c r="A193">
        <v>583</v>
      </c>
      <c r="B193" t="s">
        <v>948</v>
      </c>
      <c r="C193" t="s">
        <v>949</v>
      </c>
      <c r="D193" t="s">
        <v>950</v>
      </c>
      <c r="E193" t="s">
        <v>951</v>
      </c>
      <c r="F193" t="s">
        <v>319</v>
      </c>
      <c r="G193" t="s">
        <v>315</v>
      </c>
    </row>
    <row r="194" spans="1:7" x14ac:dyDescent="0.2">
      <c r="A194">
        <v>584</v>
      </c>
      <c r="B194" t="s">
        <v>952</v>
      </c>
      <c r="C194" t="s">
        <v>953</v>
      </c>
      <c r="D194" t="s">
        <v>954</v>
      </c>
      <c r="E194" t="s">
        <v>873</v>
      </c>
      <c r="F194" t="s">
        <v>319</v>
      </c>
      <c r="G194" t="s">
        <v>315</v>
      </c>
    </row>
    <row r="195" spans="1:7" x14ac:dyDescent="0.2">
      <c r="A195">
        <v>585</v>
      </c>
      <c r="B195" t="s">
        <v>955</v>
      </c>
      <c r="C195" t="s">
        <v>956</v>
      </c>
      <c r="D195" t="s">
        <v>957</v>
      </c>
      <c r="E195" t="s">
        <v>809</v>
      </c>
      <c r="F195" t="s">
        <v>314</v>
      </c>
      <c r="G195" t="s">
        <v>315</v>
      </c>
    </row>
    <row r="196" spans="1:7" x14ac:dyDescent="0.2">
      <c r="A196">
        <v>586</v>
      </c>
      <c r="B196" t="s">
        <v>958</v>
      </c>
      <c r="C196" t="s">
        <v>959</v>
      </c>
      <c r="D196" t="s">
        <v>957</v>
      </c>
      <c r="E196" t="s">
        <v>809</v>
      </c>
      <c r="F196" t="s">
        <v>314</v>
      </c>
      <c r="G196" t="s">
        <v>315</v>
      </c>
    </row>
    <row r="197" spans="1:7" x14ac:dyDescent="0.2">
      <c r="A197">
        <v>587</v>
      </c>
      <c r="B197" t="s">
        <v>960</v>
      </c>
      <c r="C197" t="s">
        <v>961</v>
      </c>
      <c r="D197" t="s">
        <v>957</v>
      </c>
      <c r="E197" t="s">
        <v>809</v>
      </c>
      <c r="F197" t="s">
        <v>314</v>
      </c>
      <c r="G197" t="s">
        <v>315</v>
      </c>
    </row>
    <row r="198" spans="1:7" x14ac:dyDescent="0.2">
      <c r="A198">
        <v>588</v>
      </c>
      <c r="B198" t="s">
        <v>962</v>
      </c>
      <c r="C198" t="s">
        <v>963</v>
      </c>
      <c r="D198" t="s">
        <v>795</v>
      </c>
      <c r="E198" t="s">
        <v>796</v>
      </c>
      <c r="F198" t="s">
        <v>314</v>
      </c>
      <c r="G198" t="s">
        <v>315</v>
      </c>
    </row>
    <row r="199" spans="1:7" x14ac:dyDescent="0.2">
      <c r="A199">
        <v>589</v>
      </c>
      <c r="B199" t="s">
        <v>964</v>
      </c>
      <c r="C199" t="s">
        <v>965</v>
      </c>
      <c r="D199" t="s">
        <v>966</v>
      </c>
      <c r="E199" t="s">
        <v>381</v>
      </c>
      <c r="F199" t="s">
        <v>319</v>
      </c>
      <c r="G199" t="s">
        <v>315</v>
      </c>
    </row>
    <row r="200" spans="1:7" x14ac:dyDescent="0.2">
      <c r="A200">
        <v>590</v>
      </c>
      <c r="B200" t="s">
        <v>967</v>
      </c>
      <c r="C200" t="s">
        <v>968</v>
      </c>
      <c r="D200" t="s">
        <v>969</v>
      </c>
      <c r="E200" t="s">
        <v>873</v>
      </c>
      <c r="F200" t="s">
        <v>319</v>
      </c>
      <c r="G200" t="s">
        <v>315</v>
      </c>
    </row>
    <row r="201" spans="1:7" x14ac:dyDescent="0.2">
      <c r="A201">
        <v>591</v>
      </c>
      <c r="B201" t="s">
        <v>970</v>
      </c>
      <c r="C201" t="s">
        <v>971</v>
      </c>
      <c r="D201" t="s">
        <v>972</v>
      </c>
      <c r="E201" t="s">
        <v>973</v>
      </c>
      <c r="F201" t="s">
        <v>319</v>
      </c>
      <c r="G201" t="s">
        <v>315</v>
      </c>
    </row>
    <row r="202" spans="1:7" x14ac:dyDescent="0.2">
      <c r="A202">
        <v>592</v>
      </c>
      <c r="B202" t="s">
        <v>974</v>
      </c>
      <c r="C202" t="s">
        <v>975</v>
      </c>
      <c r="D202" t="s">
        <v>976</v>
      </c>
      <c r="E202" t="s">
        <v>654</v>
      </c>
      <c r="F202" t="s">
        <v>319</v>
      </c>
      <c r="G202" t="s">
        <v>315</v>
      </c>
    </row>
    <row r="203" spans="1:7" x14ac:dyDescent="0.2">
      <c r="A203">
        <v>593</v>
      </c>
      <c r="B203" t="s">
        <v>977</v>
      </c>
      <c r="C203" t="s">
        <v>978</v>
      </c>
      <c r="D203" t="s">
        <v>979</v>
      </c>
      <c r="E203" t="s">
        <v>873</v>
      </c>
      <c r="F203" t="s">
        <v>314</v>
      </c>
      <c r="G203" t="s">
        <v>315</v>
      </c>
    </row>
    <row r="204" spans="1:7" x14ac:dyDescent="0.2">
      <c r="A204">
        <v>594</v>
      </c>
      <c r="B204" t="s">
        <v>980</v>
      </c>
      <c r="C204" t="s">
        <v>981</v>
      </c>
      <c r="D204" t="s">
        <v>982</v>
      </c>
      <c r="E204" t="s">
        <v>983</v>
      </c>
      <c r="F204" t="s">
        <v>319</v>
      </c>
      <c r="G204" t="s">
        <v>315</v>
      </c>
    </row>
    <row r="205" spans="1:7" x14ac:dyDescent="0.2">
      <c r="A205">
        <v>595</v>
      </c>
      <c r="B205" t="s">
        <v>984</v>
      </c>
      <c r="C205" t="s">
        <v>985</v>
      </c>
      <c r="D205" t="s">
        <v>986</v>
      </c>
      <c r="E205" t="s">
        <v>919</v>
      </c>
      <c r="F205" t="s">
        <v>319</v>
      </c>
      <c r="G205" t="s">
        <v>315</v>
      </c>
    </row>
    <row r="206" spans="1:7" x14ac:dyDescent="0.2">
      <c r="A206">
        <v>596</v>
      </c>
      <c r="B206" t="s">
        <v>987</v>
      </c>
      <c r="C206" t="s">
        <v>988</v>
      </c>
      <c r="D206" t="s">
        <v>989</v>
      </c>
      <c r="E206" t="s">
        <v>990</v>
      </c>
      <c r="F206" t="s">
        <v>319</v>
      </c>
      <c r="G206" t="s">
        <v>315</v>
      </c>
    </row>
    <row r="207" spans="1:7" x14ac:dyDescent="0.2">
      <c r="A207">
        <v>597</v>
      </c>
      <c r="B207" t="s">
        <v>991</v>
      </c>
      <c r="C207" t="s">
        <v>992</v>
      </c>
      <c r="D207" t="s">
        <v>993</v>
      </c>
      <c r="E207" t="s">
        <v>873</v>
      </c>
      <c r="F207" t="s">
        <v>314</v>
      </c>
      <c r="G207" t="s">
        <v>315</v>
      </c>
    </row>
    <row r="208" spans="1:7" x14ac:dyDescent="0.2">
      <c r="A208">
        <v>598</v>
      </c>
      <c r="B208" t="s">
        <v>994</v>
      </c>
      <c r="C208" t="s">
        <v>995</v>
      </c>
      <c r="D208" t="s">
        <v>996</v>
      </c>
      <c r="E208" t="s">
        <v>809</v>
      </c>
      <c r="F208" t="s">
        <v>319</v>
      </c>
      <c r="G208" t="s">
        <v>315</v>
      </c>
    </row>
    <row r="209" spans="1:7" x14ac:dyDescent="0.2">
      <c r="A209">
        <v>599</v>
      </c>
      <c r="B209" t="s">
        <v>997</v>
      </c>
      <c r="C209" t="s">
        <v>998</v>
      </c>
      <c r="D209" t="s">
        <v>999</v>
      </c>
      <c r="E209" t="s">
        <v>809</v>
      </c>
      <c r="F209" t="s">
        <v>319</v>
      </c>
      <c r="G209" t="s">
        <v>315</v>
      </c>
    </row>
    <row r="210" spans="1:7" x14ac:dyDescent="0.2">
      <c r="A210">
        <v>600</v>
      </c>
      <c r="B210" t="s">
        <v>1000</v>
      </c>
      <c r="C210" t="s">
        <v>1001</v>
      </c>
      <c r="D210" t="s">
        <v>1002</v>
      </c>
      <c r="E210" t="s">
        <v>990</v>
      </c>
      <c r="F210" t="s">
        <v>319</v>
      </c>
      <c r="G210" t="s">
        <v>315</v>
      </c>
    </row>
    <row r="211" spans="1:7" x14ac:dyDescent="0.2">
      <c r="A211">
        <v>601</v>
      </c>
      <c r="B211" t="s">
        <v>1003</v>
      </c>
      <c r="C211" t="s">
        <v>1004</v>
      </c>
      <c r="D211" t="s">
        <v>1005</v>
      </c>
      <c r="E211" t="s">
        <v>809</v>
      </c>
      <c r="F211" t="s">
        <v>319</v>
      </c>
      <c r="G211" t="s">
        <v>315</v>
      </c>
    </row>
    <row r="212" spans="1:7" x14ac:dyDescent="0.2">
      <c r="A212">
        <v>602</v>
      </c>
      <c r="B212" t="s">
        <v>1006</v>
      </c>
      <c r="C212" t="s">
        <v>1007</v>
      </c>
      <c r="D212" t="s">
        <v>365</v>
      </c>
      <c r="E212" t="s">
        <v>891</v>
      </c>
      <c r="F212" t="s">
        <v>314</v>
      </c>
      <c r="G212" t="s">
        <v>315</v>
      </c>
    </row>
    <row r="213" spans="1:7" x14ac:dyDescent="0.2">
      <c r="A213">
        <v>603</v>
      </c>
      <c r="B213" t="s">
        <v>1008</v>
      </c>
      <c r="C213" t="s">
        <v>1009</v>
      </c>
      <c r="D213" t="s">
        <v>1010</v>
      </c>
      <c r="E213" t="s">
        <v>919</v>
      </c>
      <c r="F213" t="s">
        <v>319</v>
      </c>
      <c r="G213" t="s">
        <v>315</v>
      </c>
    </row>
    <row r="214" spans="1:7" x14ac:dyDescent="0.2">
      <c r="A214">
        <v>604</v>
      </c>
      <c r="B214" t="s">
        <v>1011</v>
      </c>
      <c r="C214" t="s">
        <v>1012</v>
      </c>
      <c r="D214" t="s">
        <v>1013</v>
      </c>
      <c r="E214" t="s">
        <v>809</v>
      </c>
      <c r="F214" t="s">
        <v>314</v>
      </c>
      <c r="G214" t="s">
        <v>315</v>
      </c>
    </row>
    <row r="215" spans="1:7" x14ac:dyDescent="0.2">
      <c r="A215">
        <v>605</v>
      </c>
      <c r="B215" t="s">
        <v>1014</v>
      </c>
      <c r="C215" t="s">
        <v>1015</v>
      </c>
      <c r="D215" t="s">
        <v>1016</v>
      </c>
      <c r="E215" t="s">
        <v>809</v>
      </c>
      <c r="F215" t="s">
        <v>314</v>
      </c>
      <c r="G215" t="s">
        <v>315</v>
      </c>
    </row>
    <row r="216" spans="1:7" x14ac:dyDescent="0.2">
      <c r="A216">
        <v>606</v>
      </c>
      <c r="B216" t="s">
        <v>1017</v>
      </c>
      <c r="C216" t="s">
        <v>1018</v>
      </c>
      <c r="D216" t="s">
        <v>1016</v>
      </c>
      <c r="E216" t="s">
        <v>809</v>
      </c>
      <c r="F216" t="s">
        <v>314</v>
      </c>
      <c r="G216" t="s">
        <v>315</v>
      </c>
    </row>
    <row r="217" spans="1:7" x14ac:dyDescent="0.2">
      <c r="A217">
        <v>607</v>
      </c>
      <c r="B217" t="s">
        <v>1019</v>
      </c>
      <c r="C217" t="s">
        <v>1020</v>
      </c>
      <c r="D217" t="s">
        <v>1021</v>
      </c>
      <c r="E217" t="s">
        <v>809</v>
      </c>
      <c r="F217" t="s">
        <v>314</v>
      </c>
      <c r="G217" t="s">
        <v>315</v>
      </c>
    </row>
    <row r="218" spans="1:7" x14ac:dyDescent="0.2">
      <c r="A218">
        <v>608</v>
      </c>
      <c r="B218" t="s">
        <v>1022</v>
      </c>
      <c r="C218" t="s">
        <v>1023</v>
      </c>
      <c r="D218" t="s">
        <v>1024</v>
      </c>
      <c r="E218" t="s">
        <v>873</v>
      </c>
      <c r="F218" t="s">
        <v>319</v>
      </c>
      <c r="G218" t="s">
        <v>315</v>
      </c>
    </row>
    <row r="219" spans="1:7" x14ac:dyDescent="0.2">
      <c r="A219">
        <v>609</v>
      </c>
      <c r="B219" t="s">
        <v>1025</v>
      </c>
      <c r="C219" t="s">
        <v>1026</v>
      </c>
      <c r="D219" t="s">
        <v>1027</v>
      </c>
      <c r="E219" t="s">
        <v>546</v>
      </c>
      <c r="F219" t="s">
        <v>319</v>
      </c>
      <c r="G219" t="s">
        <v>315</v>
      </c>
    </row>
    <row r="220" spans="1:7" x14ac:dyDescent="0.2">
      <c r="A220">
        <v>610</v>
      </c>
      <c r="B220" t="s">
        <v>1028</v>
      </c>
      <c r="C220" t="s">
        <v>1029</v>
      </c>
      <c r="D220" t="s">
        <v>1030</v>
      </c>
      <c r="E220" t="s">
        <v>873</v>
      </c>
      <c r="F220" t="s">
        <v>314</v>
      </c>
      <c r="G220" t="s">
        <v>315</v>
      </c>
    </row>
    <row r="221" spans="1:7" x14ac:dyDescent="0.2">
      <c r="A221">
        <v>611</v>
      </c>
      <c r="B221" t="s">
        <v>1031</v>
      </c>
      <c r="C221" t="s">
        <v>1032</v>
      </c>
      <c r="D221" t="s">
        <v>1033</v>
      </c>
      <c r="E221" t="s">
        <v>873</v>
      </c>
      <c r="F221" t="s">
        <v>314</v>
      </c>
      <c r="G221" t="s">
        <v>315</v>
      </c>
    </row>
    <row r="222" spans="1:7" x14ac:dyDescent="0.2">
      <c r="A222">
        <v>612</v>
      </c>
      <c r="B222" t="s">
        <v>1034</v>
      </c>
      <c r="C222" t="s">
        <v>1035</v>
      </c>
      <c r="D222" t="s">
        <v>1036</v>
      </c>
      <c r="E222" t="s">
        <v>904</v>
      </c>
      <c r="F222" t="s">
        <v>314</v>
      </c>
      <c r="G222" t="s">
        <v>315</v>
      </c>
    </row>
    <row r="223" spans="1:7" x14ac:dyDescent="0.2">
      <c r="A223">
        <v>613</v>
      </c>
      <c r="B223" t="s">
        <v>1037</v>
      </c>
      <c r="C223" t="s">
        <v>1038</v>
      </c>
      <c r="D223" t="s">
        <v>1039</v>
      </c>
      <c r="E223" t="s">
        <v>904</v>
      </c>
      <c r="F223" t="s">
        <v>314</v>
      </c>
      <c r="G223" t="s">
        <v>315</v>
      </c>
    </row>
    <row r="224" spans="1:7" x14ac:dyDescent="0.2">
      <c r="A224">
        <v>614</v>
      </c>
      <c r="B224" t="s">
        <v>1040</v>
      </c>
      <c r="C224" t="s">
        <v>1041</v>
      </c>
      <c r="D224" t="s">
        <v>1042</v>
      </c>
      <c r="E224" t="s">
        <v>1043</v>
      </c>
      <c r="F224" t="s">
        <v>319</v>
      </c>
      <c r="G224" t="s">
        <v>315</v>
      </c>
    </row>
    <row r="225" spans="1:7" x14ac:dyDescent="0.2">
      <c r="A225">
        <v>615</v>
      </c>
      <c r="B225" t="s">
        <v>1044</v>
      </c>
      <c r="C225" t="s">
        <v>1045</v>
      </c>
      <c r="D225" t="s">
        <v>1046</v>
      </c>
      <c r="E225" t="s">
        <v>809</v>
      </c>
      <c r="F225" t="s">
        <v>319</v>
      </c>
      <c r="G225" t="s">
        <v>315</v>
      </c>
    </row>
    <row r="226" spans="1:7" x14ac:dyDescent="0.2">
      <c r="A226">
        <v>616</v>
      </c>
      <c r="B226" t="s">
        <v>1047</v>
      </c>
      <c r="C226" t="s">
        <v>1048</v>
      </c>
      <c r="D226" t="s">
        <v>1049</v>
      </c>
      <c r="E226" t="s">
        <v>873</v>
      </c>
      <c r="F226" t="s">
        <v>319</v>
      </c>
      <c r="G226" t="s">
        <v>315</v>
      </c>
    </row>
    <row r="227" spans="1:7" x14ac:dyDescent="0.2">
      <c r="A227">
        <v>617</v>
      </c>
      <c r="B227" t="s">
        <v>1050</v>
      </c>
      <c r="C227" t="s">
        <v>1051</v>
      </c>
      <c r="D227" t="s">
        <v>1052</v>
      </c>
      <c r="E227" t="s">
        <v>724</v>
      </c>
      <c r="F227" t="s">
        <v>314</v>
      </c>
      <c r="G227" t="s">
        <v>315</v>
      </c>
    </row>
    <row r="228" spans="1:7" x14ac:dyDescent="0.2">
      <c r="A228">
        <v>618</v>
      </c>
      <c r="B228" t="s">
        <v>1053</v>
      </c>
      <c r="C228" t="s">
        <v>1054</v>
      </c>
      <c r="D228" t="s">
        <v>1055</v>
      </c>
      <c r="E228" t="s">
        <v>990</v>
      </c>
      <c r="F228" t="s">
        <v>319</v>
      </c>
      <c r="G228" t="s">
        <v>315</v>
      </c>
    </row>
    <row r="229" spans="1:7" x14ac:dyDescent="0.2">
      <c r="A229">
        <v>619</v>
      </c>
      <c r="B229" t="s">
        <v>1056</v>
      </c>
      <c r="C229" t="s">
        <v>1057</v>
      </c>
      <c r="D229" t="s">
        <v>1058</v>
      </c>
      <c r="E229" t="s">
        <v>809</v>
      </c>
      <c r="F229" t="s">
        <v>314</v>
      </c>
      <c r="G229" t="s">
        <v>315</v>
      </c>
    </row>
    <row r="230" spans="1:7" x14ac:dyDescent="0.2">
      <c r="A230">
        <v>620</v>
      </c>
      <c r="B230" t="s">
        <v>1059</v>
      </c>
      <c r="C230" t="s">
        <v>1060</v>
      </c>
      <c r="D230" t="s">
        <v>1061</v>
      </c>
      <c r="E230" t="s">
        <v>809</v>
      </c>
      <c r="F230" t="s">
        <v>314</v>
      </c>
      <c r="G230" t="s">
        <v>315</v>
      </c>
    </row>
    <row r="231" spans="1:7" x14ac:dyDescent="0.2">
      <c r="A231">
        <v>621</v>
      </c>
      <c r="B231" t="s">
        <v>1062</v>
      </c>
      <c r="C231" t="s">
        <v>1063</v>
      </c>
      <c r="D231" t="s">
        <v>1064</v>
      </c>
      <c r="E231" t="s">
        <v>873</v>
      </c>
      <c r="F231" t="s">
        <v>319</v>
      </c>
      <c r="G231" t="s">
        <v>315</v>
      </c>
    </row>
    <row r="232" spans="1:7" x14ac:dyDescent="0.2">
      <c r="A232">
        <v>622</v>
      </c>
      <c r="B232" t="s">
        <v>1065</v>
      </c>
      <c r="C232" t="s">
        <v>1066</v>
      </c>
      <c r="D232" t="s">
        <v>1067</v>
      </c>
      <c r="E232" t="s">
        <v>873</v>
      </c>
      <c r="F232" t="s">
        <v>319</v>
      </c>
      <c r="G232" t="s">
        <v>315</v>
      </c>
    </row>
    <row r="233" spans="1:7" x14ac:dyDescent="0.2">
      <c r="A233">
        <v>623</v>
      </c>
      <c r="B233" t="s">
        <v>1068</v>
      </c>
      <c r="C233" t="s">
        <v>1069</v>
      </c>
      <c r="D233" t="s">
        <v>1070</v>
      </c>
      <c r="E233" t="s">
        <v>873</v>
      </c>
      <c r="F233" t="s">
        <v>319</v>
      </c>
      <c r="G233" t="s">
        <v>315</v>
      </c>
    </row>
    <row r="234" spans="1:7" x14ac:dyDescent="0.2">
      <c r="A234">
        <v>624</v>
      </c>
      <c r="B234" t="s">
        <v>1071</v>
      </c>
      <c r="C234" t="s">
        <v>1072</v>
      </c>
      <c r="D234" t="s">
        <v>1073</v>
      </c>
      <c r="E234" t="s">
        <v>904</v>
      </c>
      <c r="F234" t="s">
        <v>319</v>
      </c>
      <c r="G234" t="s">
        <v>315</v>
      </c>
    </row>
    <row r="235" spans="1:7" x14ac:dyDescent="0.2">
      <c r="A235">
        <v>625</v>
      </c>
      <c r="B235" t="s">
        <v>1074</v>
      </c>
      <c r="C235" t="s">
        <v>1075</v>
      </c>
      <c r="D235" t="s">
        <v>1076</v>
      </c>
      <c r="E235" t="s">
        <v>829</v>
      </c>
      <c r="F235" t="s">
        <v>319</v>
      </c>
      <c r="G235" t="s">
        <v>315</v>
      </c>
    </row>
    <row r="236" spans="1:7" x14ac:dyDescent="0.2">
      <c r="A236">
        <v>626</v>
      </c>
      <c r="B236" t="s">
        <v>1077</v>
      </c>
      <c r="C236" t="s">
        <v>1078</v>
      </c>
      <c r="D236" t="s">
        <v>825</v>
      </c>
      <c r="E236" t="s">
        <v>829</v>
      </c>
      <c r="F236" t="s">
        <v>314</v>
      </c>
      <c r="G236" t="s">
        <v>315</v>
      </c>
    </row>
    <row r="237" spans="1:7" x14ac:dyDescent="0.2">
      <c r="A237">
        <v>627</v>
      </c>
      <c r="B237" t="s">
        <v>1079</v>
      </c>
      <c r="C237" t="s">
        <v>1080</v>
      </c>
      <c r="D237" t="s">
        <v>1081</v>
      </c>
      <c r="E237" t="s">
        <v>873</v>
      </c>
      <c r="F237" t="s">
        <v>319</v>
      </c>
      <c r="G237" t="s">
        <v>315</v>
      </c>
    </row>
    <row r="238" spans="1:7" x14ac:dyDescent="0.2">
      <c r="A238">
        <v>628</v>
      </c>
      <c r="B238" t="s">
        <v>1082</v>
      </c>
      <c r="C238" t="s">
        <v>1083</v>
      </c>
      <c r="D238" t="s">
        <v>1084</v>
      </c>
      <c r="E238" t="s">
        <v>873</v>
      </c>
      <c r="F238" t="s">
        <v>319</v>
      </c>
      <c r="G238" t="s">
        <v>315</v>
      </c>
    </row>
    <row r="239" spans="1:7" x14ac:dyDescent="0.2">
      <c r="A239">
        <v>629</v>
      </c>
      <c r="B239" t="s">
        <v>1085</v>
      </c>
      <c r="C239" t="s">
        <v>1086</v>
      </c>
      <c r="D239" t="s">
        <v>1087</v>
      </c>
      <c r="E239" t="s">
        <v>809</v>
      </c>
      <c r="F239" t="s">
        <v>319</v>
      </c>
      <c r="G239" t="s">
        <v>315</v>
      </c>
    </row>
    <row r="240" spans="1:7" x14ac:dyDescent="0.2">
      <c r="A240">
        <v>630</v>
      </c>
      <c r="B240" t="s">
        <v>1088</v>
      </c>
      <c r="C240" t="s">
        <v>1089</v>
      </c>
      <c r="D240" t="s">
        <v>1090</v>
      </c>
      <c r="E240" t="s">
        <v>873</v>
      </c>
      <c r="F240" t="s">
        <v>314</v>
      </c>
      <c r="G240" t="s">
        <v>315</v>
      </c>
    </row>
    <row r="241" spans="1:7" x14ac:dyDescent="0.2">
      <c r="A241">
        <v>631</v>
      </c>
      <c r="B241" t="s">
        <v>1091</v>
      </c>
      <c r="C241" t="s">
        <v>1092</v>
      </c>
      <c r="D241" t="s">
        <v>1093</v>
      </c>
      <c r="E241" t="s">
        <v>873</v>
      </c>
      <c r="F241" t="s">
        <v>314</v>
      </c>
      <c r="G241" t="s">
        <v>315</v>
      </c>
    </row>
    <row r="242" spans="1:7" x14ac:dyDescent="0.2">
      <c r="A242">
        <v>632</v>
      </c>
      <c r="B242" t="s">
        <v>1094</v>
      </c>
      <c r="C242" t="s">
        <v>1095</v>
      </c>
      <c r="D242" t="s">
        <v>1096</v>
      </c>
      <c r="E242" t="s">
        <v>809</v>
      </c>
      <c r="F242" t="s">
        <v>314</v>
      </c>
      <c r="G242" t="s">
        <v>315</v>
      </c>
    </row>
    <row r="243" spans="1:7" x14ac:dyDescent="0.2">
      <c r="A243">
        <v>633</v>
      </c>
      <c r="B243" t="s">
        <v>1097</v>
      </c>
      <c r="C243" t="s">
        <v>1098</v>
      </c>
      <c r="D243" t="s">
        <v>1099</v>
      </c>
      <c r="E243" t="s">
        <v>829</v>
      </c>
      <c r="F243" t="s">
        <v>314</v>
      </c>
      <c r="G243" t="s">
        <v>315</v>
      </c>
    </row>
    <row r="244" spans="1:7" x14ac:dyDescent="0.2">
      <c r="A244">
        <v>634</v>
      </c>
      <c r="B244" t="s">
        <v>1100</v>
      </c>
      <c r="C244" t="s">
        <v>1101</v>
      </c>
      <c r="D244" t="s">
        <v>1099</v>
      </c>
      <c r="E244" t="s">
        <v>829</v>
      </c>
      <c r="F244" t="s">
        <v>314</v>
      </c>
      <c r="G244" t="s">
        <v>315</v>
      </c>
    </row>
    <row r="245" spans="1:7" x14ac:dyDescent="0.2">
      <c r="A245">
        <v>635</v>
      </c>
      <c r="B245" t="s">
        <v>1102</v>
      </c>
      <c r="C245" t="s">
        <v>1103</v>
      </c>
      <c r="D245" t="s">
        <v>1099</v>
      </c>
      <c r="E245" t="s">
        <v>829</v>
      </c>
      <c r="F245" t="s">
        <v>314</v>
      </c>
      <c r="G245" t="s">
        <v>315</v>
      </c>
    </row>
    <row r="246" spans="1:7" x14ac:dyDescent="0.2">
      <c r="A246">
        <v>636</v>
      </c>
      <c r="B246" t="s">
        <v>1104</v>
      </c>
      <c r="C246" t="s">
        <v>1105</v>
      </c>
      <c r="D246" t="s">
        <v>1106</v>
      </c>
      <c r="E246" t="s">
        <v>809</v>
      </c>
      <c r="F246" t="s">
        <v>314</v>
      </c>
      <c r="G246" t="s">
        <v>315</v>
      </c>
    </row>
    <row r="247" spans="1:7" x14ac:dyDescent="0.2">
      <c r="A247">
        <v>637</v>
      </c>
      <c r="B247" t="s">
        <v>1107</v>
      </c>
      <c r="C247" t="s">
        <v>1108</v>
      </c>
      <c r="D247" t="s">
        <v>1109</v>
      </c>
      <c r="E247" t="s">
        <v>873</v>
      </c>
      <c r="F247" t="s">
        <v>319</v>
      </c>
      <c r="G247" t="s">
        <v>315</v>
      </c>
    </row>
    <row r="248" spans="1:7" x14ac:dyDescent="0.2">
      <c r="A248">
        <v>638</v>
      </c>
      <c r="B248" t="s">
        <v>1110</v>
      </c>
      <c r="C248" t="s">
        <v>1111</v>
      </c>
      <c r="D248" t="s">
        <v>1112</v>
      </c>
      <c r="E248" t="s">
        <v>809</v>
      </c>
      <c r="F248" t="s">
        <v>319</v>
      </c>
      <c r="G248" t="s">
        <v>315</v>
      </c>
    </row>
    <row r="249" spans="1:7" x14ac:dyDescent="0.2">
      <c r="A249">
        <v>639</v>
      </c>
      <c r="B249" t="s">
        <v>1113</v>
      </c>
      <c r="C249" t="s">
        <v>1114</v>
      </c>
      <c r="D249" t="s">
        <v>1115</v>
      </c>
      <c r="E249" t="s">
        <v>327</v>
      </c>
      <c r="G249" t="s">
        <v>315</v>
      </c>
    </row>
    <row r="250" spans="1:7" x14ac:dyDescent="0.2">
      <c r="A250">
        <v>640</v>
      </c>
      <c r="B250" t="s">
        <v>1116</v>
      </c>
      <c r="C250" t="s">
        <v>1117</v>
      </c>
      <c r="D250" t="s">
        <v>1118</v>
      </c>
      <c r="E250" t="s">
        <v>873</v>
      </c>
      <c r="F250" t="s">
        <v>319</v>
      </c>
      <c r="G250" t="s">
        <v>315</v>
      </c>
    </row>
    <row r="251" spans="1:7" x14ac:dyDescent="0.2">
      <c r="A251">
        <v>641</v>
      </c>
      <c r="B251" t="s">
        <v>1119</v>
      </c>
      <c r="C251" t="s">
        <v>1120</v>
      </c>
      <c r="D251" t="s">
        <v>1121</v>
      </c>
      <c r="E251" t="s">
        <v>809</v>
      </c>
      <c r="F251" t="s">
        <v>314</v>
      </c>
      <c r="G251" t="s">
        <v>315</v>
      </c>
    </row>
    <row r="252" spans="1:7" x14ac:dyDescent="0.2">
      <c r="A252">
        <v>642</v>
      </c>
      <c r="B252" t="s">
        <v>1122</v>
      </c>
      <c r="C252" t="s">
        <v>1123</v>
      </c>
      <c r="D252" t="s">
        <v>1124</v>
      </c>
      <c r="E252" t="s">
        <v>487</v>
      </c>
      <c r="F252" t="s">
        <v>314</v>
      </c>
      <c r="G252" t="s">
        <v>315</v>
      </c>
    </row>
    <row r="253" spans="1:7" x14ac:dyDescent="0.2">
      <c r="A253">
        <v>643</v>
      </c>
      <c r="B253" t="s">
        <v>1125</v>
      </c>
      <c r="C253" t="s">
        <v>1126</v>
      </c>
      <c r="D253" t="s">
        <v>1124</v>
      </c>
      <c r="E253" t="s">
        <v>487</v>
      </c>
      <c r="F253" t="s">
        <v>314</v>
      </c>
      <c r="G253" t="s">
        <v>315</v>
      </c>
    </row>
    <row r="254" spans="1:7" x14ac:dyDescent="0.2">
      <c r="A254">
        <v>644</v>
      </c>
      <c r="B254" t="s">
        <v>1127</v>
      </c>
      <c r="C254" t="s">
        <v>1128</v>
      </c>
      <c r="D254" t="s">
        <v>1124</v>
      </c>
      <c r="E254" t="s">
        <v>487</v>
      </c>
      <c r="F254" t="s">
        <v>314</v>
      </c>
      <c r="G254" t="s">
        <v>315</v>
      </c>
    </row>
    <row r="255" spans="1:7" x14ac:dyDescent="0.2">
      <c r="A255">
        <v>254</v>
      </c>
      <c r="B255" t="s">
        <v>1129</v>
      </c>
      <c r="C255" t="s">
        <v>1130</v>
      </c>
      <c r="D255" t="s">
        <v>1124</v>
      </c>
      <c r="E255" t="s">
        <v>487</v>
      </c>
      <c r="F255" t="s">
        <v>314</v>
      </c>
      <c r="G255" t="s">
        <v>315</v>
      </c>
    </row>
    <row r="256" spans="1:7" x14ac:dyDescent="0.2">
      <c r="A256">
        <v>645</v>
      </c>
      <c r="B256" t="s">
        <v>1131</v>
      </c>
      <c r="C256" t="s">
        <v>1132</v>
      </c>
      <c r="D256" t="s">
        <v>1124</v>
      </c>
      <c r="E256" t="s">
        <v>487</v>
      </c>
      <c r="F256" t="s">
        <v>314</v>
      </c>
      <c r="G256" t="s">
        <v>315</v>
      </c>
    </row>
    <row r="257" spans="1:7" x14ac:dyDescent="0.2">
      <c r="A257">
        <v>646</v>
      </c>
      <c r="B257" t="s">
        <v>1133</v>
      </c>
      <c r="C257" t="s">
        <v>1134</v>
      </c>
      <c r="D257" t="s">
        <v>1124</v>
      </c>
      <c r="E257" t="s">
        <v>487</v>
      </c>
      <c r="F257" t="s">
        <v>314</v>
      </c>
      <c r="G257" t="s">
        <v>315</v>
      </c>
    </row>
    <row r="258" spans="1:7" x14ac:dyDescent="0.2">
      <c r="A258">
        <v>647</v>
      </c>
      <c r="B258" t="s">
        <v>1135</v>
      </c>
      <c r="C258" t="s">
        <v>1136</v>
      </c>
      <c r="D258" t="s">
        <v>1124</v>
      </c>
      <c r="E258" t="s">
        <v>487</v>
      </c>
      <c r="F258" t="s">
        <v>314</v>
      </c>
      <c r="G258" t="s">
        <v>315</v>
      </c>
    </row>
    <row r="259" spans="1:7" x14ac:dyDescent="0.2">
      <c r="A259">
        <v>648</v>
      </c>
      <c r="B259" t="s">
        <v>1137</v>
      </c>
      <c r="C259" t="s">
        <v>1138</v>
      </c>
      <c r="D259" t="s">
        <v>1124</v>
      </c>
      <c r="E259" t="s">
        <v>487</v>
      </c>
      <c r="F259" t="s">
        <v>314</v>
      </c>
      <c r="G259" t="s">
        <v>315</v>
      </c>
    </row>
    <row r="260" spans="1:7" x14ac:dyDescent="0.2">
      <c r="A260">
        <v>649</v>
      </c>
      <c r="B260" t="s">
        <v>1139</v>
      </c>
      <c r="C260" t="s">
        <v>1140</v>
      </c>
      <c r="D260" t="s">
        <v>1124</v>
      </c>
      <c r="E260" t="s">
        <v>487</v>
      </c>
      <c r="F260" t="s">
        <v>314</v>
      </c>
      <c r="G260" t="s">
        <v>315</v>
      </c>
    </row>
    <row r="261" spans="1:7" x14ac:dyDescent="0.2">
      <c r="A261">
        <v>650</v>
      </c>
      <c r="B261" t="s">
        <v>1141</v>
      </c>
      <c r="C261" t="s">
        <v>1142</v>
      </c>
      <c r="D261" t="s">
        <v>1143</v>
      </c>
      <c r="E261" t="s">
        <v>381</v>
      </c>
      <c r="F261" t="s">
        <v>314</v>
      </c>
      <c r="G261" t="s">
        <v>315</v>
      </c>
    </row>
    <row r="262" spans="1:7" x14ac:dyDescent="0.2">
      <c r="A262">
        <v>651</v>
      </c>
      <c r="B262" t="s">
        <v>1144</v>
      </c>
      <c r="C262" t="s">
        <v>1145</v>
      </c>
      <c r="D262" t="s">
        <v>1143</v>
      </c>
      <c r="E262" t="s">
        <v>381</v>
      </c>
      <c r="F262" t="s">
        <v>314</v>
      </c>
      <c r="G262" t="s">
        <v>315</v>
      </c>
    </row>
    <row r="263" spans="1:7" x14ac:dyDescent="0.2">
      <c r="A263">
        <v>652</v>
      </c>
      <c r="B263" t="s">
        <v>1146</v>
      </c>
      <c r="C263" t="s">
        <v>1147</v>
      </c>
      <c r="D263" t="s">
        <v>1143</v>
      </c>
      <c r="E263" t="s">
        <v>381</v>
      </c>
      <c r="F263" t="s">
        <v>314</v>
      </c>
      <c r="G263" t="s">
        <v>315</v>
      </c>
    </row>
    <row r="264" spans="1:7" x14ac:dyDescent="0.2">
      <c r="A264">
        <v>653</v>
      </c>
      <c r="B264" t="s">
        <v>1148</v>
      </c>
      <c r="C264" t="s">
        <v>1149</v>
      </c>
      <c r="D264" t="s">
        <v>1143</v>
      </c>
      <c r="E264" t="s">
        <v>381</v>
      </c>
      <c r="F264" t="s">
        <v>314</v>
      </c>
      <c r="G264" t="s">
        <v>315</v>
      </c>
    </row>
    <row r="265" spans="1:7" x14ac:dyDescent="0.2">
      <c r="A265">
        <v>654</v>
      </c>
      <c r="B265" t="s">
        <v>1150</v>
      </c>
      <c r="C265" t="s">
        <v>1151</v>
      </c>
      <c r="D265" t="s">
        <v>1143</v>
      </c>
      <c r="E265" t="s">
        <v>381</v>
      </c>
      <c r="F265" t="s">
        <v>314</v>
      </c>
      <c r="G265" t="s">
        <v>315</v>
      </c>
    </row>
    <row r="266" spans="1:7" x14ac:dyDescent="0.2">
      <c r="A266">
        <v>655</v>
      </c>
      <c r="B266" t="s">
        <v>1152</v>
      </c>
      <c r="C266" t="s">
        <v>1153</v>
      </c>
      <c r="D266" t="s">
        <v>1143</v>
      </c>
      <c r="E266" t="s">
        <v>381</v>
      </c>
      <c r="F266" t="s">
        <v>314</v>
      </c>
      <c r="G266" t="s">
        <v>315</v>
      </c>
    </row>
    <row r="267" spans="1:7" x14ac:dyDescent="0.2">
      <c r="A267">
        <v>656</v>
      </c>
      <c r="B267" t="s">
        <v>1154</v>
      </c>
      <c r="C267" t="s">
        <v>1155</v>
      </c>
      <c r="D267" t="s">
        <v>1143</v>
      </c>
      <c r="E267" t="s">
        <v>381</v>
      </c>
      <c r="F267" t="s">
        <v>314</v>
      </c>
      <c r="G267" t="s">
        <v>315</v>
      </c>
    </row>
    <row r="268" spans="1:7" x14ac:dyDescent="0.2">
      <c r="A268">
        <v>657</v>
      </c>
      <c r="B268" t="s">
        <v>1156</v>
      </c>
      <c r="C268" t="s">
        <v>1157</v>
      </c>
      <c r="D268" t="s">
        <v>1143</v>
      </c>
      <c r="E268" t="s">
        <v>381</v>
      </c>
      <c r="F268" t="s">
        <v>314</v>
      </c>
      <c r="G268" t="s">
        <v>315</v>
      </c>
    </row>
    <row r="269" spans="1:7" x14ac:dyDescent="0.2">
      <c r="A269">
        <v>658</v>
      </c>
      <c r="B269" t="s">
        <v>1158</v>
      </c>
      <c r="C269" t="s">
        <v>1159</v>
      </c>
      <c r="D269" t="s">
        <v>1143</v>
      </c>
      <c r="E269" t="s">
        <v>381</v>
      </c>
      <c r="F269" t="s">
        <v>314</v>
      </c>
      <c r="G269" t="s">
        <v>315</v>
      </c>
    </row>
    <row r="270" spans="1:7" x14ac:dyDescent="0.2">
      <c r="A270">
        <v>659</v>
      </c>
      <c r="B270" t="s">
        <v>1160</v>
      </c>
      <c r="C270" t="s">
        <v>1161</v>
      </c>
      <c r="D270" t="s">
        <v>1162</v>
      </c>
      <c r="E270" t="s">
        <v>400</v>
      </c>
      <c r="F270" t="s">
        <v>314</v>
      </c>
      <c r="G270" t="s">
        <v>315</v>
      </c>
    </row>
    <row r="271" spans="1:7" x14ac:dyDescent="0.2">
      <c r="A271">
        <v>660</v>
      </c>
      <c r="B271" t="s">
        <v>1163</v>
      </c>
      <c r="C271" t="s">
        <v>1164</v>
      </c>
      <c r="D271" t="s">
        <v>1162</v>
      </c>
      <c r="E271" t="s">
        <v>400</v>
      </c>
      <c r="F271" t="s">
        <v>314</v>
      </c>
      <c r="G271" t="s">
        <v>315</v>
      </c>
    </row>
    <row r="272" spans="1:7" x14ac:dyDescent="0.2">
      <c r="A272">
        <v>661</v>
      </c>
      <c r="B272" t="s">
        <v>1165</v>
      </c>
      <c r="C272" t="s">
        <v>1166</v>
      </c>
      <c r="D272" t="s">
        <v>1162</v>
      </c>
      <c r="E272" t="s">
        <v>400</v>
      </c>
      <c r="F272" t="s">
        <v>314</v>
      </c>
      <c r="G272" t="s">
        <v>315</v>
      </c>
    </row>
    <row r="273" spans="1:7" x14ac:dyDescent="0.2">
      <c r="A273">
        <v>662</v>
      </c>
      <c r="B273" t="s">
        <v>1167</v>
      </c>
      <c r="C273" t="s">
        <v>1168</v>
      </c>
      <c r="D273" t="s">
        <v>1162</v>
      </c>
      <c r="E273" t="s">
        <v>400</v>
      </c>
      <c r="F273" t="s">
        <v>314</v>
      </c>
      <c r="G273" t="s">
        <v>315</v>
      </c>
    </row>
    <row r="274" spans="1:7" x14ac:dyDescent="0.2">
      <c r="A274">
        <v>663</v>
      </c>
      <c r="B274" t="s">
        <v>1169</v>
      </c>
      <c r="C274" t="s">
        <v>1170</v>
      </c>
      <c r="D274" t="s">
        <v>1171</v>
      </c>
      <c r="E274" t="s">
        <v>370</v>
      </c>
      <c r="F274" t="s">
        <v>319</v>
      </c>
      <c r="G274" t="s">
        <v>315</v>
      </c>
    </row>
    <row r="275" spans="1:7" x14ac:dyDescent="0.2">
      <c r="A275">
        <v>664</v>
      </c>
      <c r="B275" t="s">
        <v>1172</v>
      </c>
      <c r="C275" t="s">
        <v>1173</v>
      </c>
      <c r="D275" t="s">
        <v>1174</v>
      </c>
      <c r="E275" t="s">
        <v>990</v>
      </c>
      <c r="F275" t="s">
        <v>319</v>
      </c>
      <c r="G275" t="s">
        <v>315</v>
      </c>
    </row>
    <row r="276" spans="1:7" x14ac:dyDescent="0.2">
      <c r="A276">
        <v>665</v>
      </c>
      <c r="B276" t="s">
        <v>1175</v>
      </c>
      <c r="C276" t="s">
        <v>1176</v>
      </c>
      <c r="D276" t="s">
        <v>1177</v>
      </c>
      <c r="E276" t="s">
        <v>990</v>
      </c>
      <c r="F276" t="s">
        <v>319</v>
      </c>
      <c r="G276" t="s">
        <v>315</v>
      </c>
    </row>
    <row r="277" spans="1:7" x14ac:dyDescent="0.2">
      <c r="A277">
        <v>666</v>
      </c>
      <c r="B277" t="s">
        <v>1178</v>
      </c>
      <c r="C277" t="s">
        <v>1179</v>
      </c>
      <c r="D277" t="s">
        <v>1180</v>
      </c>
      <c r="E277" t="s">
        <v>990</v>
      </c>
      <c r="F277" t="s">
        <v>319</v>
      </c>
      <c r="G277" t="s">
        <v>315</v>
      </c>
    </row>
    <row r="278" spans="1:7" x14ac:dyDescent="0.2">
      <c r="A278">
        <v>667</v>
      </c>
      <c r="B278" t="s">
        <v>1181</v>
      </c>
      <c r="C278" t="s">
        <v>1182</v>
      </c>
      <c r="D278" t="s">
        <v>1183</v>
      </c>
      <c r="E278" t="s">
        <v>1184</v>
      </c>
      <c r="F278" t="s">
        <v>319</v>
      </c>
      <c r="G278" t="s">
        <v>315</v>
      </c>
    </row>
    <row r="279" spans="1:7" x14ac:dyDescent="0.2">
      <c r="A279">
        <v>668</v>
      </c>
      <c r="B279" t="s">
        <v>1185</v>
      </c>
      <c r="C279" t="s">
        <v>1186</v>
      </c>
      <c r="D279" t="s">
        <v>1187</v>
      </c>
      <c r="E279" t="s">
        <v>1184</v>
      </c>
      <c r="F279" t="s">
        <v>319</v>
      </c>
      <c r="G279" t="s">
        <v>315</v>
      </c>
    </row>
    <row r="280" spans="1:7" x14ac:dyDescent="0.2">
      <c r="A280">
        <v>669</v>
      </c>
      <c r="B280" t="s">
        <v>1188</v>
      </c>
      <c r="C280" t="s">
        <v>1189</v>
      </c>
      <c r="D280" t="s">
        <v>1190</v>
      </c>
      <c r="E280" t="s">
        <v>1191</v>
      </c>
      <c r="F280" t="s">
        <v>319</v>
      </c>
      <c r="G280" t="s">
        <v>315</v>
      </c>
    </row>
    <row r="281" spans="1:7" x14ac:dyDescent="0.2">
      <c r="A281">
        <v>670</v>
      </c>
      <c r="B281" t="s">
        <v>1192</v>
      </c>
      <c r="C281" t="s">
        <v>1193</v>
      </c>
      <c r="D281" t="s">
        <v>1194</v>
      </c>
      <c r="E281" t="s">
        <v>1195</v>
      </c>
      <c r="F281" t="s">
        <v>314</v>
      </c>
      <c r="G281" t="s">
        <v>315</v>
      </c>
    </row>
    <row r="282" spans="1:7" x14ac:dyDescent="0.2">
      <c r="A282">
        <v>671</v>
      </c>
      <c r="B282" t="s">
        <v>1196</v>
      </c>
      <c r="C282" t="s">
        <v>1197</v>
      </c>
      <c r="D282" t="s">
        <v>1194</v>
      </c>
      <c r="E282" t="s">
        <v>1195</v>
      </c>
      <c r="F282" t="s">
        <v>314</v>
      </c>
      <c r="G282" t="s">
        <v>315</v>
      </c>
    </row>
    <row r="283" spans="1:7" x14ac:dyDescent="0.2">
      <c r="A283">
        <v>672</v>
      </c>
      <c r="B283" t="s">
        <v>1198</v>
      </c>
      <c r="C283" t="s">
        <v>1199</v>
      </c>
      <c r="D283" t="s">
        <v>1200</v>
      </c>
      <c r="E283" t="s">
        <v>1201</v>
      </c>
      <c r="F283" t="s">
        <v>314</v>
      </c>
      <c r="G283" t="s">
        <v>315</v>
      </c>
    </row>
    <row r="284" spans="1:7" x14ac:dyDescent="0.2">
      <c r="A284">
        <v>673</v>
      </c>
      <c r="B284" t="s">
        <v>1202</v>
      </c>
      <c r="C284" t="s">
        <v>1203</v>
      </c>
      <c r="D284" t="s">
        <v>1204</v>
      </c>
      <c r="E284" t="s">
        <v>1201</v>
      </c>
      <c r="F284" t="s">
        <v>314</v>
      </c>
      <c r="G284" t="s">
        <v>315</v>
      </c>
    </row>
    <row r="285" spans="1:7" x14ac:dyDescent="0.2">
      <c r="A285">
        <v>674</v>
      </c>
      <c r="B285" t="s">
        <v>1205</v>
      </c>
      <c r="C285" t="s">
        <v>1206</v>
      </c>
      <c r="D285" t="s">
        <v>1207</v>
      </c>
      <c r="E285" t="s">
        <v>1201</v>
      </c>
      <c r="F285" t="s">
        <v>314</v>
      </c>
      <c r="G285" t="s">
        <v>315</v>
      </c>
    </row>
    <row r="286" spans="1:7" x14ac:dyDescent="0.2">
      <c r="A286">
        <v>675</v>
      </c>
      <c r="B286" t="s">
        <v>1208</v>
      </c>
      <c r="C286" t="s">
        <v>1209</v>
      </c>
      <c r="D286" t="s">
        <v>1210</v>
      </c>
      <c r="E286" t="s">
        <v>1201</v>
      </c>
      <c r="F286" t="s">
        <v>314</v>
      </c>
      <c r="G286" t="s">
        <v>315</v>
      </c>
    </row>
    <row r="287" spans="1:7" x14ac:dyDescent="0.2">
      <c r="A287">
        <v>676</v>
      </c>
      <c r="B287" t="s">
        <v>1211</v>
      </c>
      <c r="C287" t="s">
        <v>1212</v>
      </c>
      <c r="D287" t="s">
        <v>1213</v>
      </c>
      <c r="E287" t="s">
        <v>1201</v>
      </c>
      <c r="F287" t="s">
        <v>319</v>
      </c>
      <c r="G287" t="s">
        <v>315</v>
      </c>
    </row>
    <row r="288" spans="1:7" x14ac:dyDescent="0.2">
      <c r="A288">
        <v>677</v>
      </c>
      <c r="B288" t="s">
        <v>1214</v>
      </c>
      <c r="C288" t="s">
        <v>1215</v>
      </c>
      <c r="D288" t="s">
        <v>1216</v>
      </c>
      <c r="E288" t="s">
        <v>1217</v>
      </c>
      <c r="F288" t="s">
        <v>319</v>
      </c>
      <c r="G288" t="s">
        <v>315</v>
      </c>
    </row>
    <row r="289" spans="1:7" x14ac:dyDescent="0.2">
      <c r="A289">
        <v>288</v>
      </c>
      <c r="B289" t="s">
        <v>1218</v>
      </c>
      <c r="C289" t="s">
        <v>1219</v>
      </c>
      <c r="D289" t="s">
        <v>1220</v>
      </c>
      <c r="E289" t="s">
        <v>1217</v>
      </c>
      <c r="F289" t="s">
        <v>314</v>
      </c>
      <c r="G289" t="s">
        <v>315</v>
      </c>
    </row>
    <row r="290" spans="1:7" x14ac:dyDescent="0.2">
      <c r="A290">
        <v>289</v>
      </c>
      <c r="B290" t="s">
        <v>1221</v>
      </c>
      <c r="C290" t="s">
        <v>1222</v>
      </c>
      <c r="D290" t="s">
        <v>1220</v>
      </c>
      <c r="E290" t="s">
        <v>1217</v>
      </c>
      <c r="F290" t="s">
        <v>314</v>
      </c>
      <c r="G290" t="s">
        <v>315</v>
      </c>
    </row>
    <row r="291" spans="1:7" x14ac:dyDescent="0.2">
      <c r="A291">
        <v>680</v>
      </c>
      <c r="B291" t="s">
        <v>1223</v>
      </c>
      <c r="C291" t="s">
        <v>1224</v>
      </c>
      <c r="D291" t="s">
        <v>1220</v>
      </c>
      <c r="E291" t="s">
        <v>1217</v>
      </c>
      <c r="F291" t="s">
        <v>314</v>
      </c>
      <c r="G291" t="s">
        <v>315</v>
      </c>
    </row>
    <row r="292" spans="1:7" x14ac:dyDescent="0.2">
      <c r="A292">
        <v>681</v>
      </c>
      <c r="B292" t="s">
        <v>1225</v>
      </c>
      <c r="C292" t="s">
        <v>1226</v>
      </c>
      <c r="D292" t="s">
        <v>1227</v>
      </c>
      <c r="E292" t="s">
        <v>313</v>
      </c>
      <c r="F292" t="s">
        <v>319</v>
      </c>
      <c r="G292" t="s">
        <v>315</v>
      </c>
    </row>
    <row r="293" spans="1:7" x14ac:dyDescent="0.2">
      <c r="A293">
        <v>682</v>
      </c>
      <c r="B293" t="s">
        <v>1228</v>
      </c>
      <c r="C293" t="s">
        <v>1229</v>
      </c>
      <c r="D293" t="s">
        <v>1230</v>
      </c>
      <c r="E293" t="s">
        <v>400</v>
      </c>
      <c r="F293" t="s">
        <v>319</v>
      </c>
      <c r="G293" t="s">
        <v>315</v>
      </c>
    </row>
    <row r="294" spans="1:7" x14ac:dyDescent="0.2">
      <c r="A294">
        <v>683</v>
      </c>
      <c r="B294" t="s">
        <v>1231</v>
      </c>
      <c r="C294" t="s">
        <v>1232</v>
      </c>
      <c r="D294" t="s">
        <v>1233</v>
      </c>
      <c r="E294" t="s">
        <v>1234</v>
      </c>
      <c r="F294" t="s">
        <v>314</v>
      </c>
      <c r="G294" t="s">
        <v>315</v>
      </c>
    </row>
    <row r="295" spans="1:7" x14ac:dyDescent="0.2">
      <c r="A295">
        <v>684</v>
      </c>
      <c r="B295" t="s">
        <v>1235</v>
      </c>
      <c r="C295" t="s">
        <v>1236</v>
      </c>
      <c r="D295" t="s">
        <v>1233</v>
      </c>
      <c r="E295" t="s">
        <v>1237</v>
      </c>
      <c r="F295" t="s">
        <v>314</v>
      </c>
      <c r="G295" t="s">
        <v>315</v>
      </c>
    </row>
    <row r="296" spans="1:7" x14ac:dyDescent="0.2">
      <c r="A296">
        <v>685</v>
      </c>
      <c r="B296" t="s">
        <v>1238</v>
      </c>
      <c r="C296" t="s">
        <v>1239</v>
      </c>
      <c r="D296" t="s">
        <v>1233</v>
      </c>
      <c r="E296" t="s">
        <v>1234</v>
      </c>
      <c r="F296" t="s">
        <v>314</v>
      </c>
      <c r="G296" t="s">
        <v>315</v>
      </c>
    </row>
    <row r="297" spans="1:7" x14ac:dyDescent="0.2">
      <c r="A297">
        <v>686</v>
      </c>
      <c r="B297" t="s">
        <v>1240</v>
      </c>
      <c r="C297" t="s">
        <v>1241</v>
      </c>
      <c r="D297" t="s">
        <v>1233</v>
      </c>
      <c r="E297" t="s">
        <v>1234</v>
      </c>
      <c r="F297" t="s">
        <v>314</v>
      </c>
      <c r="G297" t="s">
        <v>315</v>
      </c>
    </row>
    <row r="298" spans="1:7" x14ac:dyDescent="0.2">
      <c r="A298">
        <v>687</v>
      </c>
      <c r="B298" t="s">
        <v>1242</v>
      </c>
      <c r="C298" t="s">
        <v>1243</v>
      </c>
      <c r="D298" t="s">
        <v>1233</v>
      </c>
      <c r="E298" t="s">
        <v>1234</v>
      </c>
      <c r="F298" t="s">
        <v>314</v>
      </c>
      <c r="G298" t="s">
        <v>315</v>
      </c>
    </row>
    <row r="299" spans="1:7" x14ac:dyDescent="0.2">
      <c r="A299">
        <v>688</v>
      </c>
      <c r="B299" t="s">
        <v>1244</v>
      </c>
      <c r="C299" t="s">
        <v>1245</v>
      </c>
      <c r="D299" t="s">
        <v>1233</v>
      </c>
      <c r="E299" t="s">
        <v>1234</v>
      </c>
      <c r="F299" t="s">
        <v>314</v>
      </c>
      <c r="G299" t="s">
        <v>315</v>
      </c>
    </row>
    <row r="300" spans="1:7" x14ac:dyDescent="0.2">
      <c r="A300">
        <v>689</v>
      </c>
      <c r="B300" t="s">
        <v>1246</v>
      </c>
      <c r="C300" t="s">
        <v>1247</v>
      </c>
      <c r="D300" t="s">
        <v>1233</v>
      </c>
      <c r="E300" t="s">
        <v>1237</v>
      </c>
      <c r="F300" t="s">
        <v>314</v>
      </c>
      <c r="G300" t="s">
        <v>315</v>
      </c>
    </row>
    <row r="301" spans="1:7" x14ac:dyDescent="0.2">
      <c r="A301">
        <v>690</v>
      </c>
      <c r="B301" t="s">
        <v>1248</v>
      </c>
      <c r="C301" t="s">
        <v>1249</v>
      </c>
      <c r="D301" t="s">
        <v>1233</v>
      </c>
      <c r="E301" t="s">
        <v>1234</v>
      </c>
      <c r="F301" t="s">
        <v>314</v>
      </c>
      <c r="G301" t="s">
        <v>315</v>
      </c>
    </row>
    <row r="302" spans="1:7" x14ac:dyDescent="0.2">
      <c r="A302">
        <v>691</v>
      </c>
      <c r="B302" t="s">
        <v>1250</v>
      </c>
      <c r="C302" t="s">
        <v>1251</v>
      </c>
      <c r="D302" t="s">
        <v>1233</v>
      </c>
      <c r="E302" t="s">
        <v>1234</v>
      </c>
      <c r="F302" t="s">
        <v>314</v>
      </c>
      <c r="G302" t="s">
        <v>315</v>
      </c>
    </row>
    <row r="303" spans="1:7" x14ac:dyDescent="0.2">
      <c r="A303">
        <v>692</v>
      </c>
      <c r="B303" t="s">
        <v>1252</v>
      </c>
      <c r="C303" t="s">
        <v>1253</v>
      </c>
      <c r="D303" t="s">
        <v>1233</v>
      </c>
      <c r="E303" t="s">
        <v>1234</v>
      </c>
      <c r="F303" t="s">
        <v>314</v>
      </c>
      <c r="G303" t="s">
        <v>315</v>
      </c>
    </row>
    <row r="304" spans="1:7" x14ac:dyDescent="0.2">
      <c r="A304">
        <v>693</v>
      </c>
      <c r="B304" t="s">
        <v>1254</v>
      </c>
      <c r="C304" t="s">
        <v>1255</v>
      </c>
      <c r="D304" t="s">
        <v>1233</v>
      </c>
      <c r="E304" t="s">
        <v>1234</v>
      </c>
      <c r="F304" t="s">
        <v>314</v>
      </c>
      <c r="G304" t="s">
        <v>315</v>
      </c>
    </row>
    <row r="305" spans="1:7" x14ac:dyDescent="0.2">
      <c r="A305">
        <v>694</v>
      </c>
      <c r="B305" t="s">
        <v>1256</v>
      </c>
      <c r="C305" t="s">
        <v>1257</v>
      </c>
      <c r="D305" t="s">
        <v>1233</v>
      </c>
      <c r="E305" t="s">
        <v>1234</v>
      </c>
      <c r="F305" t="s">
        <v>314</v>
      </c>
      <c r="G305" t="s">
        <v>315</v>
      </c>
    </row>
    <row r="306" spans="1:7" x14ac:dyDescent="0.2">
      <c r="A306">
        <v>695</v>
      </c>
      <c r="B306" t="s">
        <v>1258</v>
      </c>
      <c r="C306" t="s">
        <v>1259</v>
      </c>
      <c r="D306" t="s">
        <v>1233</v>
      </c>
      <c r="E306" t="s">
        <v>1234</v>
      </c>
      <c r="F306" t="s">
        <v>314</v>
      </c>
      <c r="G306" t="s">
        <v>315</v>
      </c>
    </row>
    <row r="307" spans="1:7" x14ac:dyDescent="0.2">
      <c r="A307">
        <v>696</v>
      </c>
      <c r="B307" t="s">
        <v>1260</v>
      </c>
      <c r="C307" t="s">
        <v>1261</v>
      </c>
      <c r="D307" t="s">
        <v>1233</v>
      </c>
      <c r="E307" t="s">
        <v>1234</v>
      </c>
      <c r="F307" t="s">
        <v>314</v>
      </c>
      <c r="G307" t="s">
        <v>315</v>
      </c>
    </row>
    <row r="308" spans="1:7" x14ac:dyDescent="0.2">
      <c r="A308">
        <v>697</v>
      </c>
      <c r="B308" t="s">
        <v>1262</v>
      </c>
      <c r="C308" t="s">
        <v>1263</v>
      </c>
      <c r="D308" t="s">
        <v>1233</v>
      </c>
      <c r="E308" t="s">
        <v>1234</v>
      </c>
      <c r="F308" t="s">
        <v>314</v>
      </c>
      <c r="G308" t="s">
        <v>315</v>
      </c>
    </row>
    <row r="309" spans="1:7" x14ac:dyDescent="0.2">
      <c r="A309">
        <v>308</v>
      </c>
      <c r="B309" t="s">
        <v>1264</v>
      </c>
      <c r="C309" t="s">
        <v>1265</v>
      </c>
      <c r="D309" t="s">
        <v>1266</v>
      </c>
      <c r="E309" t="s">
        <v>1267</v>
      </c>
      <c r="F309" t="s">
        <v>314</v>
      </c>
      <c r="G309" t="s">
        <v>315</v>
      </c>
    </row>
    <row r="310" spans="1:7" x14ac:dyDescent="0.2">
      <c r="A310">
        <v>309</v>
      </c>
      <c r="B310" t="s">
        <v>1268</v>
      </c>
      <c r="C310" t="s">
        <v>1269</v>
      </c>
      <c r="D310" t="s">
        <v>1266</v>
      </c>
      <c r="E310" t="s">
        <v>1267</v>
      </c>
      <c r="F310" t="s">
        <v>314</v>
      </c>
      <c r="G310" t="s">
        <v>315</v>
      </c>
    </row>
    <row r="311" spans="1:7" x14ac:dyDescent="0.2">
      <c r="A311">
        <v>310</v>
      </c>
      <c r="B311" t="s">
        <v>1270</v>
      </c>
      <c r="C311" t="s">
        <v>1271</v>
      </c>
      <c r="D311" t="s">
        <v>1266</v>
      </c>
      <c r="E311" t="s">
        <v>1267</v>
      </c>
      <c r="F311" t="s">
        <v>314</v>
      </c>
      <c r="G311" t="s">
        <v>315</v>
      </c>
    </row>
    <row r="312" spans="1:7" x14ac:dyDescent="0.2">
      <c r="A312">
        <v>311</v>
      </c>
      <c r="B312" t="s">
        <v>1272</v>
      </c>
      <c r="C312" t="s">
        <v>1273</v>
      </c>
      <c r="D312" t="s">
        <v>1274</v>
      </c>
      <c r="E312" t="s">
        <v>1267</v>
      </c>
      <c r="F312" t="s">
        <v>314</v>
      </c>
      <c r="G312" t="s">
        <v>315</v>
      </c>
    </row>
    <row r="313" spans="1:7" x14ac:dyDescent="0.2">
      <c r="A313">
        <v>312</v>
      </c>
      <c r="B313" t="s">
        <v>1275</v>
      </c>
      <c r="C313" t="s">
        <v>1276</v>
      </c>
      <c r="D313" t="s">
        <v>1266</v>
      </c>
      <c r="E313" t="s">
        <v>1267</v>
      </c>
      <c r="F313" t="s">
        <v>314</v>
      </c>
      <c r="G313" t="s">
        <v>315</v>
      </c>
    </row>
    <row r="314" spans="1:7" x14ac:dyDescent="0.2">
      <c r="A314">
        <v>313</v>
      </c>
      <c r="B314" t="s">
        <v>1277</v>
      </c>
      <c r="C314" t="s">
        <v>1278</v>
      </c>
      <c r="D314" t="s">
        <v>1266</v>
      </c>
      <c r="E314" t="s">
        <v>1267</v>
      </c>
      <c r="F314" t="s">
        <v>314</v>
      </c>
      <c r="G314" t="s">
        <v>315</v>
      </c>
    </row>
    <row r="315" spans="1:7" x14ac:dyDescent="0.2">
      <c r="A315">
        <v>314</v>
      </c>
      <c r="B315" t="s">
        <v>1279</v>
      </c>
      <c r="C315" t="s">
        <v>1280</v>
      </c>
      <c r="D315" t="s">
        <v>1274</v>
      </c>
      <c r="E315" t="s">
        <v>1267</v>
      </c>
      <c r="F315" t="s">
        <v>314</v>
      </c>
      <c r="G315" t="s">
        <v>315</v>
      </c>
    </row>
    <row r="316" spans="1:7" x14ac:dyDescent="0.2">
      <c r="A316">
        <v>315</v>
      </c>
      <c r="B316" t="s">
        <v>1281</v>
      </c>
      <c r="C316" t="s">
        <v>1282</v>
      </c>
      <c r="D316" t="s">
        <v>1266</v>
      </c>
      <c r="E316" t="s">
        <v>1267</v>
      </c>
      <c r="F316" t="s">
        <v>314</v>
      </c>
      <c r="G316" t="s">
        <v>315</v>
      </c>
    </row>
    <row r="317" spans="1:7" x14ac:dyDescent="0.2">
      <c r="A317">
        <v>316</v>
      </c>
      <c r="B317" t="s">
        <v>1283</v>
      </c>
      <c r="C317" t="s">
        <v>1284</v>
      </c>
      <c r="D317" t="s">
        <v>1266</v>
      </c>
      <c r="E317" t="s">
        <v>1267</v>
      </c>
      <c r="F317" t="s">
        <v>314</v>
      </c>
      <c r="G317" t="s">
        <v>315</v>
      </c>
    </row>
    <row r="318" spans="1:7" x14ac:dyDescent="0.2">
      <c r="A318">
        <v>317</v>
      </c>
      <c r="B318" t="s">
        <v>1285</v>
      </c>
      <c r="C318" t="s">
        <v>1286</v>
      </c>
      <c r="D318" t="s">
        <v>1274</v>
      </c>
      <c r="E318" t="s">
        <v>1267</v>
      </c>
      <c r="F318" t="s">
        <v>314</v>
      </c>
      <c r="G318" t="s">
        <v>315</v>
      </c>
    </row>
    <row r="319" spans="1:7" x14ac:dyDescent="0.2">
      <c r="A319">
        <v>318</v>
      </c>
      <c r="B319" t="s">
        <v>1287</v>
      </c>
      <c r="C319" t="s">
        <v>1288</v>
      </c>
      <c r="D319" t="s">
        <v>1274</v>
      </c>
      <c r="E319" t="s">
        <v>1289</v>
      </c>
      <c r="F319" t="s">
        <v>314</v>
      </c>
      <c r="G319" t="s">
        <v>315</v>
      </c>
    </row>
    <row r="320" spans="1:7" x14ac:dyDescent="0.2">
      <c r="A320">
        <v>319</v>
      </c>
      <c r="B320" t="s">
        <v>1290</v>
      </c>
      <c r="C320" t="s">
        <v>1291</v>
      </c>
      <c r="D320" t="s">
        <v>1266</v>
      </c>
      <c r="E320" t="s">
        <v>1267</v>
      </c>
      <c r="F320" t="s">
        <v>314</v>
      </c>
      <c r="G320" t="s">
        <v>315</v>
      </c>
    </row>
    <row r="321" spans="1:7" x14ac:dyDescent="0.2">
      <c r="A321">
        <v>320</v>
      </c>
      <c r="B321" t="s">
        <v>1292</v>
      </c>
      <c r="C321" t="s">
        <v>1293</v>
      </c>
      <c r="D321" t="s">
        <v>1274</v>
      </c>
      <c r="E321" t="s">
        <v>1267</v>
      </c>
      <c r="F321" t="s">
        <v>314</v>
      </c>
      <c r="G321" t="s">
        <v>315</v>
      </c>
    </row>
    <row r="322" spans="1:7" x14ac:dyDescent="0.2">
      <c r="A322">
        <v>321</v>
      </c>
      <c r="B322" t="s">
        <v>1294</v>
      </c>
      <c r="C322" t="s">
        <v>1295</v>
      </c>
      <c r="D322" t="s">
        <v>1266</v>
      </c>
      <c r="E322" t="s">
        <v>1267</v>
      </c>
      <c r="F322" t="s">
        <v>314</v>
      </c>
      <c r="G322" t="s">
        <v>315</v>
      </c>
    </row>
    <row r="323" spans="1:7" x14ac:dyDescent="0.2">
      <c r="A323">
        <v>712</v>
      </c>
      <c r="B323" t="s">
        <v>1296</v>
      </c>
      <c r="C323" t="s">
        <v>1297</v>
      </c>
      <c r="D323" t="s">
        <v>1298</v>
      </c>
      <c r="E323" t="s">
        <v>1299</v>
      </c>
      <c r="F323" t="s">
        <v>319</v>
      </c>
      <c r="G323" t="s">
        <v>315</v>
      </c>
    </row>
    <row r="324" spans="1:7" x14ac:dyDescent="0.2">
      <c r="A324">
        <v>713</v>
      </c>
      <c r="B324" t="s">
        <v>1300</v>
      </c>
      <c r="C324" t="s">
        <v>1301</v>
      </c>
      <c r="D324" t="s">
        <v>1302</v>
      </c>
      <c r="E324" t="s">
        <v>1303</v>
      </c>
      <c r="F324" t="s">
        <v>319</v>
      </c>
      <c r="G324" t="s">
        <v>315</v>
      </c>
    </row>
    <row r="325" spans="1:7" x14ac:dyDescent="0.2">
      <c r="A325">
        <v>714</v>
      </c>
      <c r="B325" t="s">
        <v>1304</v>
      </c>
      <c r="C325" t="s">
        <v>1305</v>
      </c>
      <c r="D325" t="s">
        <v>1306</v>
      </c>
      <c r="E325" t="s">
        <v>789</v>
      </c>
      <c r="F325" t="s">
        <v>319</v>
      </c>
      <c r="G325" t="s">
        <v>315</v>
      </c>
    </row>
    <row r="326" spans="1:7" x14ac:dyDescent="0.2">
      <c r="A326">
        <v>715</v>
      </c>
      <c r="B326" t="s">
        <v>1307</v>
      </c>
      <c r="C326" t="s">
        <v>1308</v>
      </c>
      <c r="D326" t="s">
        <v>1309</v>
      </c>
      <c r="E326" t="s">
        <v>1310</v>
      </c>
      <c r="F326" t="s">
        <v>319</v>
      </c>
      <c r="G326" t="s">
        <v>315</v>
      </c>
    </row>
    <row r="327" spans="1:7" x14ac:dyDescent="0.2">
      <c r="A327">
        <v>716</v>
      </c>
      <c r="B327" t="s">
        <v>1311</v>
      </c>
      <c r="C327" t="s">
        <v>1312</v>
      </c>
      <c r="D327" t="s">
        <v>1233</v>
      </c>
      <c r="E327" t="s">
        <v>1234</v>
      </c>
      <c r="F327" t="s">
        <v>314</v>
      </c>
      <c r="G327" t="s">
        <v>315</v>
      </c>
    </row>
    <row r="328" spans="1:7" x14ac:dyDescent="0.2">
      <c r="A328">
        <v>717</v>
      </c>
      <c r="B328" t="s">
        <v>1313</v>
      </c>
      <c r="C328" t="s">
        <v>1314</v>
      </c>
      <c r="D328" t="s">
        <v>1315</v>
      </c>
      <c r="E328" t="s">
        <v>1316</v>
      </c>
      <c r="F328" t="s">
        <v>319</v>
      </c>
      <c r="G328" t="s">
        <v>315</v>
      </c>
    </row>
    <row r="329" spans="1:7" x14ac:dyDescent="0.2">
      <c r="A329">
        <v>718</v>
      </c>
      <c r="B329" t="s">
        <v>1317</v>
      </c>
      <c r="C329" t="s">
        <v>1318</v>
      </c>
      <c r="D329" t="s">
        <v>1319</v>
      </c>
      <c r="E329" t="s">
        <v>400</v>
      </c>
      <c r="F329" t="s">
        <v>314</v>
      </c>
      <c r="G329" t="s">
        <v>315</v>
      </c>
    </row>
    <row r="330" spans="1:7" x14ac:dyDescent="0.2">
      <c r="A330">
        <v>719</v>
      </c>
      <c r="B330" t="s">
        <v>1320</v>
      </c>
      <c r="C330" t="s">
        <v>1321</v>
      </c>
      <c r="D330" t="s">
        <v>1319</v>
      </c>
      <c r="E330" t="s">
        <v>400</v>
      </c>
      <c r="F330" t="s">
        <v>314</v>
      </c>
      <c r="G330" t="s">
        <v>315</v>
      </c>
    </row>
    <row r="331" spans="1:7" x14ac:dyDescent="0.2">
      <c r="A331">
        <v>720</v>
      </c>
      <c r="B331" t="s">
        <v>1322</v>
      </c>
      <c r="C331" t="s">
        <v>1323</v>
      </c>
      <c r="D331" t="s">
        <v>1319</v>
      </c>
      <c r="E331" t="s">
        <v>400</v>
      </c>
      <c r="F331" t="s">
        <v>314</v>
      </c>
      <c r="G331" t="s">
        <v>315</v>
      </c>
    </row>
    <row r="332" spans="1:7" x14ac:dyDescent="0.2">
      <c r="A332">
        <v>721</v>
      </c>
      <c r="B332" t="s">
        <v>1324</v>
      </c>
      <c r="C332" t="s">
        <v>1325</v>
      </c>
      <c r="D332" t="s">
        <v>1326</v>
      </c>
      <c r="E332" t="s">
        <v>441</v>
      </c>
      <c r="F332" t="s">
        <v>319</v>
      </c>
      <c r="G332" t="s">
        <v>315</v>
      </c>
    </row>
    <row r="333" spans="1:7" x14ac:dyDescent="0.2">
      <c r="A333">
        <v>332</v>
      </c>
      <c r="B333" t="s">
        <v>1327</v>
      </c>
      <c r="C333" t="s">
        <v>1328</v>
      </c>
      <c r="D333" t="s">
        <v>1266</v>
      </c>
      <c r="E333" t="s">
        <v>1267</v>
      </c>
      <c r="F333" t="s">
        <v>314</v>
      </c>
      <c r="G333" t="s">
        <v>315</v>
      </c>
    </row>
    <row r="334" spans="1:7" x14ac:dyDescent="0.2">
      <c r="A334">
        <v>723</v>
      </c>
      <c r="B334" t="s">
        <v>1329</v>
      </c>
      <c r="C334" t="s">
        <v>1330</v>
      </c>
      <c r="D334" t="s">
        <v>426</v>
      </c>
      <c r="E334" t="s">
        <v>327</v>
      </c>
      <c r="F334" t="s">
        <v>314</v>
      </c>
      <c r="G334" t="s">
        <v>315</v>
      </c>
    </row>
    <row r="335" spans="1:7" x14ac:dyDescent="0.2">
      <c r="A335">
        <v>724</v>
      </c>
      <c r="B335" t="s">
        <v>1331</v>
      </c>
      <c r="C335" t="s">
        <v>1332</v>
      </c>
      <c r="D335" t="s">
        <v>1333</v>
      </c>
      <c r="E335" t="s">
        <v>1334</v>
      </c>
      <c r="F335" t="s">
        <v>319</v>
      </c>
      <c r="G335" t="s">
        <v>315</v>
      </c>
    </row>
    <row r="336" spans="1:7" x14ac:dyDescent="0.2">
      <c r="A336">
        <v>725</v>
      </c>
      <c r="B336" t="s">
        <v>1335</v>
      </c>
      <c r="C336" t="s">
        <v>1336</v>
      </c>
      <c r="D336" t="s">
        <v>1207</v>
      </c>
      <c r="E336" t="s">
        <v>1201</v>
      </c>
      <c r="F336" t="s">
        <v>314</v>
      </c>
      <c r="G336" t="s">
        <v>315</v>
      </c>
    </row>
    <row r="337" spans="1:7" x14ac:dyDescent="0.2">
      <c r="A337">
        <v>726</v>
      </c>
      <c r="B337" t="s">
        <v>1337</v>
      </c>
      <c r="C337" t="s">
        <v>1338</v>
      </c>
      <c r="D337" t="s">
        <v>1339</v>
      </c>
      <c r="E337" t="s">
        <v>1340</v>
      </c>
      <c r="F337" t="s">
        <v>319</v>
      </c>
      <c r="G337" t="s">
        <v>315</v>
      </c>
    </row>
    <row r="338" spans="1:7" x14ac:dyDescent="0.2">
      <c r="A338">
        <v>727</v>
      </c>
      <c r="B338" t="s">
        <v>1341</v>
      </c>
      <c r="C338" t="s">
        <v>1342</v>
      </c>
      <c r="D338" t="s">
        <v>1339</v>
      </c>
      <c r="E338" t="s">
        <v>1340</v>
      </c>
      <c r="F338" t="s">
        <v>319</v>
      </c>
      <c r="G338" t="s">
        <v>315</v>
      </c>
    </row>
    <row r="339" spans="1:7" x14ac:dyDescent="0.2">
      <c r="A339">
        <v>338</v>
      </c>
      <c r="B339" t="s">
        <v>1343</v>
      </c>
      <c r="C339" t="s">
        <v>1344</v>
      </c>
      <c r="D339" t="s">
        <v>1266</v>
      </c>
      <c r="E339" t="s">
        <v>1267</v>
      </c>
      <c r="F339" t="s">
        <v>314</v>
      </c>
      <c r="G339" t="s">
        <v>315</v>
      </c>
    </row>
    <row r="340" spans="1:7" x14ac:dyDescent="0.2">
      <c r="A340">
        <v>339</v>
      </c>
      <c r="B340" t="s">
        <v>1345</v>
      </c>
      <c r="C340" t="s">
        <v>1346</v>
      </c>
      <c r="D340" t="s">
        <v>1266</v>
      </c>
      <c r="E340" t="s">
        <v>1267</v>
      </c>
      <c r="F340" t="s">
        <v>314</v>
      </c>
      <c r="G340" t="s">
        <v>315</v>
      </c>
    </row>
    <row r="341" spans="1:7" x14ac:dyDescent="0.2">
      <c r="A341">
        <v>730</v>
      </c>
      <c r="B341" t="s">
        <v>1347</v>
      </c>
      <c r="C341" t="s">
        <v>1348</v>
      </c>
      <c r="D341" t="s">
        <v>1349</v>
      </c>
      <c r="E341" t="s">
        <v>381</v>
      </c>
      <c r="F341" t="s">
        <v>319</v>
      </c>
      <c r="G341" t="s">
        <v>315</v>
      </c>
    </row>
    <row r="342" spans="1:7" x14ac:dyDescent="0.2">
      <c r="A342">
        <v>731</v>
      </c>
      <c r="B342" t="s">
        <v>1350</v>
      </c>
      <c r="C342" t="s">
        <v>1351</v>
      </c>
      <c r="D342" t="s">
        <v>1233</v>
      </c>
      <c r="E342" t="s">
        <v>1234</v>
      </c>
      <c r="F342" t="s">
        <v>314</v>
      </c>
      <c r="G342" t="s">
        <v>315</v>
      </c>
    </row>
    <row r="343" spans="1:7" x14ac:dyDescent="0.2">
      <c r="A343">
        <v>732</v>
      </c>
      <c r="B343" t="s">
        <v>1352</v>
      </c>
      <c r="C343" t="s">
        <v>1353</v>
      </c>
      <c r="D343" t="s">
        <v>1233</v>
      </c>
      <c r="E343" t="s">
        <v>1234</v>
      </c>
      <c r="F343" t="s">
        <v>314</v>
      </c>
      <c r="G343" t="s">
        <v>315</v>
      </c>
    </row>
    <row r="344" spans="1:7" x14ac:dyDescent="0.2">
      <c r="A344">
        <v>733</v>
      </c>
      <c r="B344" t="s">
        <v>1354</v>
      </c>
      <c r="C344" t="s">
        <v>1355</v>
      </c>
      <c r="D344" t="s">
        <v>1233</v>
      </c>
      <c r="E344" t="s">
        <v>1234</v>
      </c>
      <c r="F344" t="s">
        <v>314</v>
      </c>
      <c r="G344" t="s">
        <v>315</v>
      </c>
    </row>
    <row r="345" spans="1:7" x14ac:dyDescent="0.2">
      <c r="A345">
        <v>734</v>
      </c>
      <c r="B345" t="s">
        <v>1356</v>
      </c>
      <c r="C345" t="s">
        <v>1357</v>
      </c>
      <c r="D345" t="s">
        <v>1358</v>
      </c>
      <c r="E345" t="s">
        <v>1359</v>
      </c>
      <c r="F345" t="s">
        <v>319</v>
      </c>
      <c r="G345" t="s">
        <v>315</v>
      </c>
    </row>
    <row r="346" spans="1:7" x14ac:dyDescent="0.2">
      <c r="A346">
        <v>735</v>
      </c>
      <c r="B346" t="s">
        <v>1360</v>
      </c>
      <c r="C346" t="s">
        <v>1361</v>
      </c>
      <c r="D346" t="s">
        <v>1362</v>
      </c>
      <c r="E346" t="s">
        <v>1363</v>
      </c>
      <c r="F346" t="s">
        <v>319</v>
      </c>
      <c r="G346" t="s">
        <v>315</v>
      </c>
    </row>
    <row r="347" spans="1:7" x14ac:dyDescent="0.2">
      <c r="A347">
        <v>736</v>
      </c>
      <c r="B347" t="s">
        <v>1364</v>
      </c>
      <c r="C347" t="s">
        <v>1365</v>
      </c>
      <c r="D347" t="s">
        <v>1366</v>
      </c>
      <c r="E347" t="s">
        <v>362</v>
      </c>
      <c r="F347" t="s">
        <v>319</v>
      </c>
      <c r="G347" t="s">
        <v>315</v>
      </c>
    </row>
    <row r="348" spans="1:7" x14ac:dyDescent="0.2">
      <c r="A348">
        <v>737</v>
      </c>
      <c r="B348" t="s">
        <v>1367</v>
      </c>
      <c r="C348" t="s">
        <v>1368</v>
      </c>
      <c r="D348" t="s">
        <v>1369</v>
      </c>
      <c r="E348" t="s">
        <v>400</v>
      </c>
      <c r="F348" t="s">
        <v>314</v>
      </c>
      <c r="G348" t="s">
        <v>315</v>
      </c>
    </row>
    <row r="349" spans="1:7" x14ac:dyDescent="0.2">
      <c r="A349">
        <v>738</v>
      </c>
      <c r="B349" t="s">
        <v>1370</v>
      </c>
      <c r="C349" t="s">
        <v>1371</v>
      </c>
      <c r="D349" t="s">
        <v>1372</v>
      </c>
      <c r="E349" t="s">
        <v>1373</v>
      </c>
      <c r="F349" t="s">
        <v>319</v>
      </c>
      <c r="G349" t="s">
        <v>315</v>
      </c>
    </row>
    <row r="350" spans="1:7" x14ac:dyDescent="0.2">
      <c r="A350">
        <v>739</v>
      </c>
      <c r="B350" t="s">
        <v>1374</v>
      </c>
      <c r="C350" t="s">
        <v>1375</v>
      </c>
      <c r="D350" t="s">
        <v>1143</v>
      </c>
      <c r="E350" t="s">
        <v>381</v>
      </c>
      <c r="F350" t="s">
        <v>314</v>
      </c>
      <c r="G350" t="s">
        <v>315</v>
      </c>
    </row>
    <row r="351" spans="1:7" x14ac:dyDescent="0.2">
      <c r="A351">
        <v>740</v>
      </c>
      <c r="B351" t="s">
        <v>1376</v>
      </c>
      <c r="C351" t="s">
        <v>1377</v>
      </c>
      <c r="D351" t="s">
        <v>1233</v>
      </c>
      <c r="E351" t="s">
        <v>1234</v>
      </c>
      <c r="F351" t="s">
        <v>314</v>
      </c>
      <c r="G351" t="s">
        <v>315</v>
      </c>
    </row>
    <row r="352" spans="1:7" x14ac:dyDescent="0.2">
      <c r="A352">
        <v>741</v>
      </c>
      <c r="B352" t="s">
        <v>1378</v>
      </c>
      <c r="C352" t="s">
        <v>1379</v>
      </c>
      <c r="D352" t="s">
        <v>1369</v>
      </c>
      <c r="E352" t="s">
        <v>400</v>
      </c>
      <c r="F352" t="s">
        <v>314</v>
      </c>
      <c r="G352" t="s">
        <v>315</v>
      </c>
    </row>
    <row r="353" spans="1:7" x14ac:dyDescent="0.2">
      <c r="A353">
        <v>742</v>
      </c>
      <c r="B353" t="s">
        <v>1380</v>
      </c>
      <c r="C353" t="s">
        <v>1381</v>
      </c>
      <c r="D353" t="s">
        <v>1369</v>
      </c>
      <c r="E353" t="s">
        <v>400</v>
      </c>
      <c r="F353" t="s">
        <v>314</v>
      </c>
      <c r="G353" t="s">
        <v>315</v>
      </c>
    </row>
    <row r="354" spans="1:7" x14ac:dyDescent="0.2">
      <c r="A354">
        <v>743</v>
      </c>
      <c r="B354" t="s">
        <v>1382</v>
      </c>
      <c r="C354" t="s">
        <v>1383</v>
      </c>
      <c r="D354" t="s">
        <v>1384</v>
      </c>
      <c r="E354" t="s">
        <v>400</v>
      </c>
      <c r="F354" t="s">
        <v>319</v>
      </c>
      <c r="G354" t="s">
        <v>315</v>
      </c>
    </row>
    <row r="355" spans="1:7" x14ac:dyDescent="0.2">
      <c r="A355">
        <v>744</v>
      </c>
      <c r="B355" t="s">
        <v>1385</v>
      </c>
      <c r="C355" t="s">
        <v>1386</v>
      </c>
      <c r="D355" t="s">
        <v>1387</v>
      </c>
      <c r="E355" t="s">
        <v>1388</v>
      </c>
      <c r="F355" t="s">
        <v>314</v>
      </c>
      <c r="G355" t="s">
        <v>315</v>
      </c>
    </row>
    <row r="356" spans="1:7" x14ac:dyDescent="0.2">
      <c r="A356">
        <v>745</v>
      </c>
      <c r="B356" t="s">
        <v>1389</v>
      </c>
      <c r="C356" t="s">
        <v>1390</v>
      </c>
      <c r="D356" t="s">
        <v>1391</v>
      </c>
      <c r="E356" t="s">
        <v>1392</v>
      </c>
      <c r="F356" t="s">
        <v>319</v>
      </c>
      <c r="G356" t="s">
        <v>315</v>
      </c>
    </row>
    <row r="357" spans="1:7" x14ac:dyDescent="0.2">
      <c r="A357">
        <v>746</v>
      </c>
      <c r="B357" t="s">
        <v>1393</v>
      </c>
      <c r="C357" t="s">
        <v>1394</v>
      </c>
      <c r="D357" t="s">
        <v>1233</v>
      </c>
      <c r="E357" t="s">
        <v>1234</v>
      </c>
      <c r="F357" t="s">
        <v>314</v>
      </c>
      <c r="G357" t="s">
        <v>315</v>
      </c>
    </row>
    <row r="358" spans="1:7" x14ac:dyDescent="0.2">
      <c r="A358">
        <v>747</v>
      </c>
      <c r="B358" t="s">
        <v>1395</v>
      </c>
      <c r="C358" t="s">
        <v>1396</v>
      </c>
      <c r="D358" t="s">
        <v>1233</v>
      </c>
      <c r="E358" t="s">
        <v>1234</v>
      </c>
      <c r="F358" t="s">
        <v>314</v>
      </c>
      <c r="G358" t="s">
        <v>315</v>
      </c>
    </row>
    <row r="359" spans="1:7" x14ac:dyDescent="0.2">
      <c r="A359">
        <v>748</v>
      </c>
      <c r="B359" t="s">
        <v>1397</v>
      </c>
      <c r="C359" t="s">
        <v>1398</v>
      </c>
      <c r="D359" t="s">
        <v>1399</v>
      </c>
      <c r="E359" t="s">
        <v>891</v>
      </c>
      <c r="F359" t="s">
        <v>319</v>
      </c>
      <c r="G359" t="s">
        <v>315</v>
      </c>
    </row>
    <row r="360" spans="1:7" x14ac:dyDescent="0.2">
      <c r="A360">
        <v>749</v>
      </c>
      <c r="B360" t="s">
        <v>1400</v>
      </c>
      <c r="C360" t="s">
        <v>1401</v>
      </c>
      <c r="D360" t="s">
        <v>1402</v>
      </c>
      <c r="E360" t="s">
        <v>381</v>
      </c>
      <c r="F360" t="s">
        <v>314</v>
      </c>
      <c r="G360" t="s">
        <v>315</v>
      </c>
    </row>
    <row r="361" spans="1:7" x14ac:dyDescent="0.2">
      <c r="A361">
        <v>750</v>
      </c>
      <c r="B361" t="s">
        <v>1403</v>
      </c>
      <c r="C361" t="s">
        <v>1404</v>
      </c>
      <c r="D361" t="s">
        <v>1405</v>
      </c>
      <c r="E361" t="s">
        <v>381</v>
      </c>
      <c r="F361" t="s">
        <v>314</v>
      </c>
      <c r="G361" t="s">
        <v>315</v>
      </c>
    </row>
    <row r="362" spans="1:7" x14ac:dyDescent="0.2">
      <c r="A362">
        <v>751</v>
      </c>
      <c r="B362" t="s">
        <v>1406</v>
      </c>
      <c r="C362" t="s">
        <v>1407</v>
      </c>
      <c r="D362" t="s">
        <v>1408</v>
      </c>
      <c r="E362" t="s">
        <v>381</v>
      </c>
      <c r="F362" t="s">
        <v>319</v>
      </c>
      <c r="G362" t="s">
        <v>315</v>
      </c>
    </row>
    <row r="363" spans="1:7" x14ac:dyDescent="0.2">
      <c r="A363">
        <v>752</v>
      </c>
      <c r="B363" t="s">
        <v>1409</v>
      </c>
      <c r="C363" t="s">
        <v>1410</v>
      </c>
      <c r="D363" t="s">
        <v>1411</v>
      </c>
      <c r="E363" t="s">
        <v>381</v>
      </c>
      <c r="F363" t="s">
        <v>319</v>
      </c>
      <c r="G363" t="s">
        <v>315</v>
      </c>
    </row>
    <row r="364" spans="1:7" x14ac:dyDescent="0.2">
      <c r="A364">
        <v>753</v>
      </c>
      <c r="B364" t="s">
        <v>1412</v>
      </c>
      <c r="C364" t="s">
        <v>1413</v>
      </c>
      <c r="D364" t="s">
        <v>1414</v>
      </c>
      <c r="E364" t="s">
        <v>1217</v>
      </c>
      <c r="F364" t="s">
        <v>314</v>
      </c>
      <c r="G364" t="s">
        <v>315</v>
      </c>
    </row>
    <row r="365" spans="1:7" x14ac:dyDescent="0.2">
      <c r="A365">
        <v>754</v>
      </c>
      <c r="B365" t="s">
        <v>1415</v>
      </c>
      <c r="C365" t="s">
        <v>1416</v>
      </c>
      <c r="D365" t="s">
        <v>1414</v>
      </c>
      <c r="E365" t="s">
        <v>1217</v>
      </c>
      <c r="F365" t="s">
        <v>314</v>
      </c>
      <c r="G365" t="s">
        <v>315</v>
      </c>
    </row>
    <row r="366" spans="1:7" x14ac:dyDescent="0.2">
      <c r="A366">
        <v>755</v>
      </c>
      <c r="B366" t="s">
        <v>1417</v>
      </c>
      <c r="C366" t="s">
        <v>1418</v>
      </c>
      <c r="D366" t="s">
        <v>1419</v>
      </c>
      <c r="E366" t="s">
        <v>381</v>
      </c>
      <c r="F366" t="s">
        <v>319</v>
      </c>
      <c r="G366" t="s">
        <v>315</v>
      </c>
    </row>
    <row r="367" spans="1:7" x14ac:dyDescent="0.2">
      <c r="A367">
        <v>756</v>
      </c>
      <c r="B367" t="s">
        <v>1420</v>
      </c>
      <c r="C367" t="s">
        <v>1421</v>
      </c>
      <c r="D367" t="s">
        <v>1422</v>
      </c>
      <c r="E367" t="s">
        <v>1423</v>
      </c>
      <c r="F367" t="s">
        <v>319</v>
      </c>
      <c r="G367" t="s">
        <v>315</v>
      </c>
    </row>
    <row r="368" spans="1:7" x14ac:dyDescent="0.2">
      <c r="A368">
        <v>757</v>
      </c>
      <c r="B368" t="s">
        <v>1424</v>
      </c>
      <c r="C368" t="s">
        <v>1425</v>
      </c>
      <c r="D368" t="s">
        <v>494</v>
      </c>
      <c r="E368" t="s">
        <v>495</v>
      </c>
      <c r="F368" t="s">
        <v>314</v>
      </c>
      <c r="G368" t="s">
        <v>315</v>
      </c>
    </row>
    <row r="369" spans="1:7" x14ac:dyDescent="0.2">
      <c r="A369">
        <v>758</v>
      </c>
      <c r="B369" t="s">
        <v>1426</v>
      </c>
      <c r="C369" t="s">
        <v>1427</v>
      </c>
      <c r="D369" t="s">
        <v>1428</v>
      </c>
      <c r="E369" t="s">
        <v>1429</v>
      </c>
      <c r="F369" t="s">
        <v>319</v>
      </c>
      <c r="G369" t="s">
        <v>315</v>
      </c>
    </row>
    <row r="370" spans="1:7" x14ac:dyDescent="0.2">
      <c r="A370">
        <v>759</v>
      </c>
      <c r="B370" t="s">
        <v>1430</v>
      </c>
      <c r="C370" t="s">
        <v>1431</v>
      </c>
      <c r="D370" t="s">
        <v>1432</v>
      </c>
      <c r="E370" t="s">
        <v>400</v>
      </c>
      <c r="F370" t="s">
        <v>319</v>
      </c>
      <c r="G370" t="s">
        <v>315</v>
      </c>
    </row>
    <row r="371" spans="1:7" x14ac:dyDescent="0.2">
      <c r="A371">
        <v>760</v>
      </c>
      <c r="B371" t="s">
        <v>1433</v>
      </c>
      <c r="C371" t="s">
        <v>1434</v>
      </c>
      <c r="D371" t="s">
        <v>1435</v>
      </c>
      <c r="E371" t="s">
        <v>1436</v>
      </c>
      <c r="F371" t="s">
        <v>319</v>
      </c>
      <c r="G371" t="s">
        <v>315</v>
      </c>
    </row>
    <row r="372" spans="1:7" x14ac:dyDescent="0.2">
      <c r="A372">
        <v>761</v>
      </c>
      <c r="B372" t="s">
        <v>1437</v>
      </c>
      <c r="C372" t="s">
        <v>1438</v>
      </c>
      <c r="D372" t="s">
        <v>1439</v>
      </c>
      <c r="E372" t="s">
        <v>1440</v>
      </c>
      <c r="F372" t="s">
        <v>319</v>
      </c>
      <c r="G372" t="s">
        <v>315</v>
      </c>
    </row>
    <row r="373" spans="1:7" x14ac:dyDescent="0.2">
      <c r="A373">
        <v>762</v>
      </c>
      <c r="B373" t="s">
        <v>1441</v>
      </c>
      <c r="C373" t="s">
        <v>1442</v>
      </c>
      <c r="D373" t="s">
        <v>1233</v>
      </c>
      <c r="E373" t="s">
        <v>1234</v>
      </c>
      <c r="F373" t="s">
        <v>314</v>
      </c>
      <c r="G373" t="s">
        <v>315</v>
      </c>
    </row>
    <row r="374" spans="1:7" x14ac:dyDescent="0.2">
      <c r="A374">
        <v>763</v>
      </c>
      <c r="B374" t="s">
        <v>1443</v>
      </c>
      <c r="C374" t="s">
        <v>1444</v>
      </c>
      <c r="D374" t="s">
        <v>1233</v>
      </c>
      <c r="E374" t="s">
        <v>1234</v>
      </c>
      <c r="F374" t="s">
        <v>314</v>
      </c>
      <c r="G374" t="s">
        <v>315</v>
      </c>
    </row>
    <row r="375" spans="1:7" x14ac:dyDescent="0.2">
      <c r="A375">
        <v>764</v>
      </c>
      <c r="B375" t="s">
        <v>1445</v>
      </c>
      <c r="C375" t="s">
        <v>1446</v>
      </c>
      <c r="D375" t="s">
        <v>1447</v>
      </c>
      <c r="E375" t="s">
        <v>381</v>
      </c>
      <c r="F375" t="s">
        <v>319</v>
      </c>
      <c r="G375" t="s">
        <v>315</v>
      </c>
    </row>
    <row r="376" spans="1:7" x14ac:dyDescent="0.2">
      <c r="A376">
        <v>765</v>
      </c>
      <c r="B376" t="s">
        <v>1448</v>
      </c>
      <c r="C376" t="s">
        <v>1449</v>
      </c>
      <c r="D376" t="s">
        <v>1450</v>
      </c>
      <c r="E376" t="s">
        <v>1451</v>
      </c>
      <c r="F376" t="s">
        <v>319</v>
      </c>
      <c r="G376" t="s">
        <v>315</v>
      </c>
    </row>
    <row r="377" spans="1:7" x14ac:dyDescent="0.2">
      <c r="A377">
        <v>766</v>
      </c>
      <c r="B377" t="s">
        <v>1452</v>
      </c>
      <c r="C377" t="s">
        <v>1453</v>
      </c>
      <c r="D377" t="s">
        <v>1454</v>
      </c>
      <c r="E377" t="s">
        <v>1455</v>
      </c>
      <c r="F377" t="s">
        <v>319</v>
      </c>
      <c r="G377" t="s">
        <v>315</v>
      </c>
    </row>
    <row r="378" spans="1:7" x14ac:dyDescent="0.2">
      <c r="A378">
        <v>767</v>
      </c>
      <c r="B378" t="s">
        <v>1456</v>
      </c>
      <c r="C378" t="s">
        <v>1457</v>
      </c>
      <c r="D378" t="s">
        <v>1458</v>
      </c>
      <c r="E378" t="s">
        <v>1217</v>
      </c>
      <c r="F378" t="s">
        <v>319</v>
      </c>
      <c r="G378" t="s">
        <v>315</v>
      </c>
    </row>
    <row r="379" spans="1:7" x14ac:dyDescent="0.2">
      <c r="A379">
        <v>768</v>
      </c>
      <c r="B379" t="s">
        <v>1459</v>
      </c>
      <c r="C379" t="s">
        <v>1460</v>
      </c>
      <c r="D379" t="s">
        <v>1210</v>
      </c>
      <c r="E379" t="s">
        <v>1201</v>
      </c>
      <c r="F379" t="s">
        <v>314</v>
      </c>
      <c r="G379" t="s">
        <v>315</v>
      </c>
    </row>
    <row r="380" spans="1:7" x14ac:dyDescent="0.2">
      <c r="A380">
        <v>769</v>
      </c>
      <c r="B380" t="s">
        <v>1461</v>
      </c>
      <c r="C380" t="s">
        <v>1462</v>
      </c>
      <c r="D380" t="s">
        <v>1463</v>
      </c>
      <c r="E380" t="s">
        <v>1237</v>
      </c>
      <c r="F380" t="s">
        <v>314</v>
      </c>
      <c r="G380" t="s">
        <v>315</v>
      </c>
    </row>
    <row r="381" spans="1:7" x14ac:dyDescent="0.2">
      <c r="A381">
        <v>770</v>
      </c>
      <c r="B381" t="s">
        <v>1464</v>
      </c>
      <c r="C381" t="s">
        <v>1465</v>
      </c>
      <c r="D381" t="s">
        <v>1466</v>
      </c>
      <c r="E381" t="s">
        <v>327</v>
      </c>
      <c r="F381" t="s">
        <v>314</v>
      </c>
      <c r="G381" t="s">
        <v>315</v>
      </c>
    </row>
    <row r="382" spans="1:7" x14ac:dyDescent="0.2">
      <c r="A382">
        <v>771</v>
      </c>
      <c r="B382" t="s">
        <v>1467</v>
      </c>
      <c r="C382" t="s">
        <v>1468</v>
      </c>
      <c r="D382" t="s">
        <v>1469</v>
      </c>
      <c r="E382" t="s">
        <v>327</v>
      </c>
      <c r="F382" t="s">
        <v>314</v>
      </c>
      <c r="G382" t="s">
        <v>315</v>
      </c>
    </row>
    <row r="383" spans="1:7" x14ac:dyDescent="0.2">
      <c r="A383">
        <v>772</v>
      </c>
      <c r="B383" t="s">
        <v>1470</v>
      </c>
      <c r="C383" t="s">
        <v>1471</v>
      </c>
      <c r="D383" t="s">
        <v>1472</v>
      </c>
      <c r="E383" t="s">
        <v>891</v>
      </c>
      <c r="F383" t="s">
        <v>319</v>
      </c>
      <c r="G383" t="s">
        <v>315</v>
      </c>
    </row>
    <row r="384" spans="1:7" x14ac:dyDescent="0.2">
      <c r="A384">
        <v>383</v>
      </c>
      <c r="B384" t="s">
        <v>1473</v>
      </c>
      <c r="C384" t="s">
        <v>1474</v>
      </c>
      <c r="D384" t="s">
        <v>1233</v>
      </c>
      <c r="E384" t="s">
        <v>1234</v>
      </c>
      <c r="F384" t="s">
        <v>314</v>
      </c>
      <c r="G384" t="s">
        <v>315</v>
      </c>
    </row>
    <row r="385" spans="1:7" x14ac:dyDescent="0.2">
      <c r="A385">
        <v>774</v>
      </c>
      <c r="B385" t="s">
        <v>1475</v>
      </c>
      <c r="C385" t="s">
        <v>1476</v>
      </c>
      <c r="D385" t="s">
        <v>1233</v>
      </c>
      <c r="E385" t="s">
        <v>1234</v>
      </c>
      <c r="F385" t="s">
        <v>314</v>
      </c>
      <c r="G385" t="s">
        <v>315</v>
      </c>
    </row>
    <row r="386" spans="1:7" x14ac:dyDescent="0.2">
      <c r="A386">
        <v>990</v>
      </c>
      <c r="B386" t="s">
        <v>1477</v>
      </c>
      <c r="C386" t="s">
        <v>1478</v>
      </c>
      <c r="D386" t="s">
        <v>1479</v>
      </c>
      <c r="E386" t="s">
        <v>1480</v>
      </c>
      <c r="F386" t="s">
        <v>319</v>
      </c>
      <c r="G386" t="s">
        <v>315</v>
      </c>
    </row>
    <row r="387" spans="1:7" x14ac:dyDescent="0.2">
      <c r="A387">
        <v>776</v>
      </c>
      <c r="B387" t="s">
        <v>1481</v>
      </c>
      <c r="C387" t="s">
        <v>1482</v>
      </c>
      <c r="D387" t="s">
        <v>1483</v>
      </c>
      <c r="E387" t="s">
        <v>381</v>
      </c>
      <c r="F387" t="s">
        <v>319</v>
      </c>
      <c r="G387" t="s">
        <v>315</v>
      </c>
    </row>
    <row r="388" spans="1:7" x14ac:dyDescent="0.2">
      <c r="A388">
        <v>777</v>
      </c>
      <c r="B388" t="s">
        <v>1484</v>
      </c>
      <c r="C388" t="s">
        <v>1485</v>
      </c>
      <c r="D388" t="s">
        <v>1486</v>
      </c>
      <c r="E388" t="s">
        <v>362</v>
      </c>
      <c r="F388" t="s">
        <v>319</v>
      </c>
      <c r="G388" t="s">
        <v>315</v>
      </c>
    </row>
    <row r="389" spans="1:7" x14ac:dyDescent="0.2">
      <c r="A389">
        <v>778</v>
      </c>
      <c r="B389" t="s">
        <v>1487</v>
      </c>
      <c r="C389" t="s">
        <v>1488</v>
      </c>
      <c r="D389" t="s">
        <v>1489</v>
      </c>
      <c r="E389" t="s">
        <v>381</v>
      </c>
      <c r="F389" t="s">
        <v>314</v>
      </c>
      <c r="G389" t="s">
        <v>315</v>
      </c>
    </row>
    <row r="390" spans="1:7" x14ac:dyDescent="0.2">
      <c r="A390">
        <v>779</v>
      </c>
      <c r="B390" t="s">
        <v>1490</v>
      </c>
      <c r="C390" t="s">
        <v>1491</v>
      </c>
      <c r="D390" t="s">
        <v>1492</v>
      </c>
      <c r="E390" t="s">
        <v>381</v>
      </c>
      <c r="F390" t="s">
        <v>319</v>
      </c>
      <c r="G390" t="s">
        <v>315</v>
      </c>
    </row>
    <row r="391" spans="1:7" x14ac:dyDescent="0.2">
      <c r="A391">
        <v>780</v>
      </c>
      <c r="B391" t="s">
        <v>1493</v>
      </c>
      <c r="C391" t="s">
        <v>1494</v>
      </c>
      <c r="D391" t="s">
        <v>1495</v>
      </c>
      <c r="E391" t="s">
        <v>1496</v>
      </c>
      <c r="F391" t="s">
        <v>319</v>
      </c>
      <c r="G391" t="s">
        <v>315</v>
      </c>
    </row>
    <row r="392" spans="1:7" x14ac:dyDescent="0.2">
      <c r="A392">
        <v>991</v>
      </c>
      <c r="B392" t="s">
        <v>1497</v>
      </c>
      <c r="C392" t="s">
        <v>1498</v>
      </c>
      <c r="D392" t="s">
        <v>1499</v>
      </c>
      <c r="E392" t="s">
        <v>1500</v>
      </c>
      <c r="F392" t="s">
        <v>319</v>
      </c>
      <c r="G392" t="s">
        <v>315</v>
      </c>
    </row>
    <row r="393" spans="1:7" x14ac:dyDescent="0.2">
      <c r="A393">
        <v>992</v>
      </c>
      <c r="B393" t="s">
        <v>1501</v>
      </c>
      <c r="C393" t="s">
        <v>1502</v>
      </c>
      <c r="D393" t="s">
        <v>1503</v>
      </c>
      <c r="E393" t="s">
        <v>381</v>
      </c>
      <c r="F393" t="s">
        <v>319</v>
      </c>
      <c r="G393" t="s">
        <v>315</v>
      </c>
    </row>
    <row r="394" spans="1:7" x14ac:dyDescent="0.2">
      <c r="A394">
        <v>781</v>
      </c>
      <c r="B394" t="s">
        <v>1504</v>
      </c>
      <c r="C394" t="s">
        <v>1505</v>
      </c>
      <c r="E394" t="s">
        <v>323</v>
      </c>
      <c r="G394" t="s">
        <v>1506</v>
      </c>
    </row>
    <row r="395" spans="1:7" x14ac:dyDescent="0.2">
      <c r="A395">
        <v>782</v>
      </c>
      <c r="B395" t="s">
        <v>1507</v>
      </c>
      <c r="C395" t="s">
        <v>1508</v>
      </c>
      <c r="D395" t="s">
        <v>523</v>
      </c>
      <c r="E395" t="s">
        <v>327</v>
      </c>
      <c r="G395" t="s">
        <v>1506</v>
      </c>
    </row>
    <row r="396" spans="1:7" x14ac:dyDescent="0.2">
      <c r="A396">
        <v>783</v>
      </c>
      <c r="B396" t="s">
        <v>1509</v>
      </c>
      <c r="C396" t="s">
        <v>1510</v>
      </c>
      <c r="E396" t="s">
        <v>1511</v>
      </c>
      <c r="G396" t="s">
        <v>1506</v>
      </c>
    </row>
    <row r="397" spans="1:7" x14ac:dyDescent="0.2">
      <c r="A397">
        <v>784</v>
      </c>
      <c r="B397" t="s">
        <v>1512</v>
      </c>
      <c r="C397" t="s">
        <v>1513</v>
      </c>
      <c r="E397" t="s">
        <v>772</v>
      </c>
      <c r="G397" t="s">
        <v>1506</v>
      </c>
    </row>
    <row r="398" spans="1:7" x14ac:dyDescent="0.2">
      <c r="A398">
        <v>785</v>
      </c>
      <c r="B398" t="s">
        <v>1514</v>
      </c>
      <c r="C398" t="s">
        <v>1515</v>
      </c>
      <c r="E398" t="s">
        <v>327</v>
      </c>
      <c r="G398" t="s">
        <v>1506</v>
      </c>
    </row>
    <row r="399" spans="1:7" x14ac:dyDescent="0.2">
      <c r="A399">
        <v>786</v>
      </c>
      <c r="B399" t="s">
        <v>1516</v>
      </c>
      <c r="C399" t="s">
        <v>1517</v>
      </c>
      <c r="E399" t="s">
        <v>1518</v>
      </c>
      <c r="G399" t="s">
        <v>1506</v>
      </c>
    </row>
    <row r="400" spans="1:7" x14ac:dyDescent="0.2">
      <c r="A400">
        <v>788</v>
      </c>
      <c r="B400" t="s">
        <v>1519</v>
      </c>
      <c r="C400" t="s">
        <v>1520</v>
      </c>
      <c r="G400" t="s">
        <v>1506</v>
      </c>
    </row>
    <row r="401" spans="1:7" x14ac:dyDescent="0.2">
      <c r="A401">
        <v>789</v>
      </c>
      <c r="B401" t="s">
        <v>1521</v>
      </c>
      <c r="C401" t="s">
        <v>1522</v>
      </c>
      <c r="E401" t="s">
        <v>637</v>
      </c>
      <c r="G401" t="s">
        <v>1506</v>
      </c>
    </row>
    <row r="402" spans="1:7" x14ac:dyDescent="0.2">
      <c r="A402">
        <v>790</v>
      </c>
      <c r="B402" t="s">
        <v>1523</v>
      </c>
      <c r="C402" t="s">
        <v>1524</v>
      </c>
      <c r="E402" t="s">
        <v>499</v>
      </c>
      <c r="G402" t="s">
        <v>1506</v>
      </c>
    </row>
    <row r="403" spans="1:7" x14ac:dyDescent="0.2">
      <c r="A403">
        <v>791</v>
      </c>
      <c r="B403" t="s">
        <v>1525</v>
      </c>
      <c r="C403" t="s">
        <v>1526</v>
      </c>
      <c r="E403" t="s">
        <v>499</v>
      </c>
      <c r="G403" t="s">
        <v>1506</v>
      </c>
    </row>
    <row r="404" spans="1:7" x14ac:dyDescent="0.2">
      <c r="A404">
        <v>792</v>
      </c>
      <c r="B404" t="s">
        <v>1527</v>
      </c>
      <c r="C404" t="s">
        <v>1528</v>
      </c>
      <c r="E404" t="s">
        <v>327</v>
      </c>
      <c r="G404" t="s">
        <v>1506</v>
      </c>
    </row>
    <row r="405" spans="1:7" x14ac:dyDescent="0.2">
      <c r="A405">
        <v>793</v>
      </c>
      <c r="B405" t="s">
        <v>1529</v>
      </c>
      <c r="C405" t="s">
        <v>1530</v>
      </c>
      <c r="E405" t="s">
        <v>499</v>
      </c>
      <c r="G405" t="s">
        <v>1506</v>
      </c>
    </row>
    <row r="406" spans="1:7" x14ac:dyDescent="0.2">
      <c r="A406">
        <v>794</v>
      </c>
      <c r="B406" t="s">
        <v>1531</v>
      </c>
      <c r="C406" t="s">
        <v>1532</v>
      </c>
      <c r="E406" t="s">
        <v>1533</v>
      </c>
      <c r="G406" t="s">
        <v>1506</v>
      </c>
    </row>
    <row r="407" spans="1:7" x14ac:dyDescent="0.2">
      <c r="A407">
        <v>795</v>
      </c>
      <c r="B407" t="s">
        <v>1534</v>
      </c>
      <c r="C407" t="s">
        <v>1535</v>
      </c>
      <c r="G407" t="s">
        <v>1506</v>
      </c>
    </row>
    <row r="408" spans="1:7" x14ac:dyDescent="0.2">
      <c r="A408">
        <v>796</v>
      </c>
      <c r="B408" t="s">
        <v>1536</v>
      </c>
      <c r="C408" t="s">
        <v>1537</v>
      </c>
      <c r="E408" t="s">
        <v>1538</v>
      </c>
      <c r="G408" t="s">
        <v>1506</v>
      </c>
    </row>
    <row r="409" spans="1:7" x14ac:dyDescent="0.2">
      <c r="A409">
        <v>797</v>
      </c>
      <c r="B409" t="s">
        <v>1539</v>
      </c>
      <c r="C409" t="s">
        <v>1540</v>
      </c>
      <c r="E409" t="s">
        <v>1541</v>
      </c>
      <c r="G409" t="s">
        <v>1506</v>
      </c>
    </row>
    <row r="410" spans="1:7" x14ac:dyDescent="0.2">
      <c r="A410">
        <v>798</v>
      </c>
      <c r="B410" t="s">
        <v>1542</v>
      </c>
      <c r="C410" t="s">
        <v>1543</v>
      </c>
      <c r="E410" t="s">
        <v>499</v>
      </c>
      <c r="G410" t="s">
        <v>1506</v>
      </c>
    </row>
    <row r="411" spans="1:7" x14ac:dyDescent="0.2">
      <c r="A411">
        <v>799</v>
      </c>
      <c r="B411" t="s">
        <v>1544</v>
      </c>
      <c r="C411" t="s">
        <v>1545</v>
      </c>
      <c r="E411" t="s">
        <v>867</v>
      </c>
      <c r="G411" t="s">
        <v>1506</v>
      </c>
    </row>
    <row r="412" spans="1:7" x14ac:dyDescent="0.2">
      <c r="A412">
        <v>800</v>
      </c>
      <c r="B412" t="s">
        <v>1546</v>
      </c>
      <c r="C412" t="s">
        <v>1547</v>
      </c>
      <c r="E412" t="s">
        <v>1541</v>
      </c>
      <c r="G412" t="s">
        <v>1506</v>
      </c>
    </row>
    <row r="413" spans="1:7" x14ac:dyDescent="0.2">
      <c r="A413">
        <v>801</v>
      </c>
      <c r="B413" t="s">
        <v>1548</v>
      </c>
      <c r="C413" t="s">
        <v>1549</v>
      </c>
      <c r="E413" t="s">
        <v>1550</v>
      </c>
      <c r="G413" t="s">
        <v>1506</v>
      </c>
    </row>
    <row r="414" spans="1:7" x14ac:dyDescent="0.2">
      <c r="A414">
        <v>802</v>
      </c>
      <c r="B414" t="s">
        <v>1551</v>
      </c>
      <c r="C414" t="s">
        <v>1552</v>
      </c>
      <c r="E414" t="s">
        <v>400</v>
      </c>
      <c r="G414" t="s">
        <v>1506</v>
      </c>
    </row>
    <row r="415" spans="1:7" x14ac:dyDescent="0.2">
      <c r="A415">
        <v>803</v>
      </c>
      <c r="B415" t="s">
        <v>1553</v>
      </c>
      <c r="C415" t="s">
        <v>1554</v>
      </c>
      <c r="E415" t="s">
        <v>1555</v>
      </c>
      <c r="G415" t="s">
        <v>1506</v>
      </c>
    </row>
    <row r="416" spans="1:7" x14ac:dyDescent="0.2">
      <c r="A416">
        <v>804</v>
      </c>
      <c r="B416" t="s">
        <v>1556</v>
      </c>
      <c r="C416" t="s">
        <v>1557</v>
      </c>
      <c r="E416" t="s">
        <v>1558</v>
      </c>
      <c r="G416" t="s">
        <v>1506</v>
      </c>
    </row>
    <row r="417" spans="1:7" x14ac:dyDescent="0.2">
      <c r="A417">
        <v>805</v>
      </c>
      <c r="B417" t="s">
        <v>1559</v>
      </c>
      <c r="C417" t="s">
        <v>1560</v>
      </c>
      <c r="E417" t="s">
        <v>323</v>
      </c>
      <c r="G417" t="s">
        <v>1506</v>
      </c>
    </row>
    <row r="418" spans="1:7" x14ac:dyDescent="0.2">
      <c r="A418">
        <v>806</v>
      </c>
      <c r="B418" t="s">
        <v>1561</v>
      </c>
      <c r="C418" t="s">
        <v>1562</v>
      </c>
      <c r="E418" t="s">
        <v>358</v>
      </c>
      <c r="G418" t="s">
        <v>1506</v>
      </c>
    </row>
    <row r="419" spans="1:7" x14ac:dyDescent="0.2">
      <c r="A419">
        <v>807</v>
      </c>
      <c r="B419" t="s">
        <v>1563</v>
      </c>
      <c r="C419" t="s">
        <v>1564</v>
      </c>
      <c r="E419" t="s">
        <v>381</v>
      </c>
      <c r="G419" t="s">
        <v>1506</v>
      </c>
    </row>
    <row r="420" spans="1:7" x14ac:dyDescent="0.2">
      <c r="A420">
        <v>808</v>
      </c>
      <c r="B420" t="s">
        <v>1565</v>
      </c>
      <c r="C420" t="s">
        <v>1566</v>
      </c>
      <c r="E420" t="s">
        <v>487</v>
      </c>
      <c r="G420" t="s">
        <v>1506</v>
      </c>
    </row>
    <row r="421" spans="1:7" x14ac:dyDescent="0.2">
      <c r="A421">
        <v>809</v>
      </c>
      <c r="B421" t="s">
        <v>1567</v>
      </c>
      <c r="C421" t="s">
        <v>1568</v>
      </c>
      <c r="E421" t="s">
        <v>487</v>
      </c>
      <c r="G421" t="s">
        <v>1506</v>
      </c>
    </row>
    <row r="422" spans="1:7" x14ac:dyDescent="0.2">
      <c r="A422">
        <v>810</v>
      </c>
      <c r="B422" t="s">
        <v>1569</v>
      </c>
      <c r="C422" t="s">
        <v>1570</v>
      </c>
      <c r="E422" t="s">
        <v>381</v>
      </c>
      <c r="G422" t="s">
        <v>1506</v>
      </c>
    </row>
    <row r="423" spans="1:7" x14ac:dyDescent="0.2">
      <c r="A423">
        <v>811</v>
      </c>
      <c r="B423" t="s">
        <v>1571</v>
      </c>
      <c r="C423" t="s">
        <v>1572</v>
      </c>
      <c r="E423" t="s">
        <v>1573</v>
      </c>
      <c r="G423" t="s">
        <v>1506</v>
      </c>
    </row>
    <row r="424" spans="1:7" x14ac:dyDescent="0.2">
      <c r="A424">
        <v>812</v>
      </c>
      <c r="B424" t="s">
        <v>1574</v>
      </c>
      <c r="C424" t="s">
        <v>1575</v>
      </c>
      <c r="E424" t="s">
        <v>381</v>
      </c>
      <c r="G424" t="s">
        <v>1506</v>
      </c>
    </row>
    <row r="425" spans="1:7" x14ac:dyDescent="0.2">
      <c r="A425">
        <v>813</v>
      </c>
      <c r="B425" t="s">
        <v>1576</v>
      </c>
      <c r="C425" t="s">
        <v>1577</v>
      </c>
      <c r="E425" t="s">
        <v>654</v>
      </c>
      <c r="G425" t="s">
        <v>1506</v>
      </c>
    </row>
    <row r="426" spans="1:7" x14ac:dyDescent="0.2">
      <c r="A426">
        <v>814</v>
      </c>
      <c r="B426" t="s">
        <v>1578</v>
      </c>
      <c r="C426" t="s">
        <v>1579</v>
      </c>
      <c r="E426" t="s">
        <v>654</v>
      </c>
      <c r="G426" t="s">
        <v>1506</v>
      </c>
    </row>
    <row r="427" spans="1:7" x14ac:dyDescent="0.2">
      <c r="A427">
        <v>815</v>
      </c>
      <c r="B427" t="s">
        <v>1580</v>
      </c>
      <c r="C427" t="s">
        <v>1581</v>
      </c>
      <c r="G427" t="s">
        <v>1506</v>
      </c>
    </row>
    <row r="428" spans="1:7" x14ac:dyDescent="0.2">
      <c r="A428">
        <v>816</v>
      </c>
      <c r="B428" t="s">
        <v>1582</v>
      </c>
      <c r="C428" t="s">
        <v>1583</v>
      </c>
      <c r="G428" t="s">
        <v>1506</v>
      </c>
    </row>
    <row r="429" spans="1:7" x14ac:dyDescent="0.2">
      <c r="A429">
        <v>817</v>
      </c>
      <c r="B429" t="s">
        <v>1584</v>
      </c>
      <c r="C429" t="s">
        <v>1585</v>
      </c>
      <c r="G429" t="s">
        <v>1506</v>
      </c>
    </row>
    <row r="430" spans="1:7" x14ac:dyDescent="0.2">
      <c r="A430">
        <v>818</v>
      </c>
      <c r="B430" t="s">
        <v>1586</v>
      </c>
      <c r="C430" t="s">
        <v>1587</v>
      </c>
      <c r="E430" t="s">
        <v>1588</v>
      </c>
      <c r="G430" t="s">
        <v>1506</v>
      </c>
    </row>
    <row r="431" spans="1:7" x14ac:dyDescent="0.2">
      <c r="A431">
        <v>819</v>
      </c>
      <c r="B431" t="s">
        <v>1589</v>
      </c>
      <c r="C431" t="s">
        <v>1590</v>
      </c>
      <c r="E431" t="s">
        <v>1591</v>
      </c>
      <c r="G431" t="s">
        <v>1506</v>
      </c>
    </row>
    <row r="432" spans="1:7" x14ac:dyDescent="0.2">
      <c r="A432">
        <v>820</v>
      </c>
      <c r="B432" t="s">
        <v>1592</v>
      </c>
      <c r="C432" t="s">
        <v>1593</v>
      </c>
      <c r="E432" t="s">
        <v>867</v>
      </c>
      <c r="G432" t="s">
        <v>1506</v>
      </c>
    </row>
    <row r="433" spans="1:7" x14ac:dyDescent="0.2">
      <c r="A433">
        <v>821</v>
      </c>
      <c r="B433" t="s">
        <v>1594</v>
      </c>
      <c r="C433" t="s">
        <v>1595</v>
      </c>
      <c r="E433" t="s">
        <v>1596</v>
      </c>
      <c r="G433" t="s">
        <v>1506</v>
      </c>
    </row>
    <row r="434" spans="1:7" x14ac:dyDescent="0.2">
      <c r="A434">
        <v>822</v>
      </c>
      <c r="B434" t="s">
        <v>1597</v>
      </c>
      <c r="C434" t="s">
        <v>1598</v>
      </c>
      <c r="G434" t="s">
        <v>1506</v>
      </c>
    </row>
    <row r="435" spans="1:7" x14ac:dyDescent="0.2">
      <c r="A435">
        <v>823</v>
      </c>
      <c r="B435" t="s">
        <v>1599</v>
      </c>
      <c r="C435" t="s">
        <v>1600</v>
      </c>
      <c r="E435" t="s">
        <v>654</v>
      </c>
      <c r="G435" t="s">
        <v>1506</v>
      </c>
    </row>
    <row r="436" spans="1:7" x14ac:dyDescent="0.2">
      <c r="A436">
        <v>824</v>
      </c>
      <c r="B436" t="s">
        <v>1601</v>
      </c>
      <c r="C436" t="s">
        <v>1602</v>
      </c>
      <c r="E436" t="s">
        <v>654</v>
      </c>
      <c r="G436" t="s">
        <v>1506</v>
      </c>
    </row>
    <row r="437" spans="1:7" x14ac:dyDescent="0.2">
      <c r="A437">
        <v>825</v>
      </c>
      <c r="B437" t="s">
        <v>1603</v>
      </c>
      <c r="C437" t="s">
        <v>1604</v>
      </c>
      <c r="E437" t="s">
        <v>654</v>
      </c>
      <c r="G437" t="s">
        <v>1506</v>
      </c>
    </row>
    <row r="438" spans="1:7" x14ac:dyDescent="0.2">
      <c r="A438">
        <v>826</v>
      </c>
      <c r="B438" t="s">
        <v>1605</v>
      </c>
      <c r="C438" t="s">
        <v>1606</v>
      </c>
      <c r="E438" t="s">
        <v>637</v>
      </c>
      <c r="G438" t="s">
        <v>1506</v>
      </c>
    </row>
    <row r="439" spans="1:7" x14ac:dyDescent="0.2">
      <c r="A439">
        <v>827</v>
      </c>
      <c r="B439" t="s">
        <v>1607</v>
      </c>
      <c r="C439" t="s">
        <v>1608</v>
      </c>
      <c r="E439" t="s">
        <v>1609</v>
      </c>
      <c r="G439" t="s">
        <v>1506</v>
      </c>
    </row>
    <row r="440" spans="1:7" x14ac:dyDescent="0.2">
      <c r="A440">
        <v>828</v>
      </c>
      <c r="B440" t="s">
        <v>1610</v>
      </c>
      <c r="C440" t="s">
        <v>1611</v>
      </c>
      <c r="E440" t="s">
        <v>358</v>
      </c>
      <c r="G440" t="s">
        <v>1506</v>
      </c>
    </row>
    <row r="441" spans="1:7" x14ac:dyDescent="0.2">
      <c r="A441">
        <v>829</v>
      </c>
      <c r="B441" t="s">
        <v>1612</v>
      </c>
      <c r="C441" t="s">
        <v>1613</v>
      </c>
      <c r="E441" t="s">
        <v>1614</v>
      </c>
      <c r="G441" t="s">
        <v>1506</v>
      </c>
    </row>
    <row r="442" spans="1:7" x14ac:dyDescent="0.2">
      <c r="A442">
        <v>830</v>
      </c>
      <c r="B442" t="s">
        <v>1615</v>
      </c>
      <c r="C442" t="s">
        <v>1616</v>
      </c>
      <c r="E442" t="s">
        <v>654</v>
      </c>
      <c r="G442" t="s">
        <v>1506</v>
      </c>
    </row>
    <row r="443" spans="1:7" x14ac:dyDescent="0.2">
      <c r="A443">
        <v>831</v>
      </c>
      <c r="B443" t="s">
        <v>1617</v>
      </c>
      <c r="C443" t="s">
        <v>1618</v>
      </c>
      <c r="G443" t="s">
        <v>1506</v>
      </c>
    </row>
    <row r="444" spans="1:7" x14ac:dyDescent="0.2">
      <c r="A444">
        <v>832</v>
      </c>
      <c r="B444" t="s">
        <v>1619</v>
      </c>
      <c r="C444" t="s">
        <v>1620</v>
      </c>
      <c r="E444" t="s">
        <v>1609</v>
      </c>
      <c r="G444" t="s">
        <v>1506</v>
      </c>
    </row>
    <row r="445" spans="1:7" x14ac:dyDescent="0.2">
      <c r="A445">
        <v>833</v>
      </c>
      <c r="B445" t="s">
        <v>1621</v>
      </c>
      <c r="C445" t="s">
        <v>1622</v>
      </c>
      <c r="E445" t="s">
        <v>1623</v>
      </c>
      <c r="G445" t="s">
        <v>1506</v>
      </c>
    </row>
    <row r="446" spans="1:7" x14ac:dyDescent="0.2">
      <c r="A446">
        <v>834</v>
      </c>
      <c r="B446" t="s">
        <v>1624</v>
      </c>
      <c r="C446" t="s">
        <v>1625</v>
      </c>
      <c r="E446" t="s">
        <v>1626</v>
      </c>
      <c r="G446" t="s">
        <v>1506</v>
      </c>
    </row>
    <row r="447" spans="1:7" x14ac:dyDescent="0.2">
      <c r="A447">
        <v>835</v>
      </c>
      <c r="B447" t="s">
        <v>1627</v>
      </c>
      <c r="C447" t="s">
        <v>1628</v>
      </c>
      <c r="E447" t="s">
        <v>1629</v>
      </c>
      <c r="G447" t="s">
        <v>1506</v>
      </c>
    </row>
    <row r="448" spans="1:7" x14ac:dyDescent="0.2">
      <c r="A448">
        <v>836</v>
      </c>
      <c r="B448" t="s">
        <v>1630</v>
      </c>
      <c r="C448" t="s">
        <v>1631</v>
      </c>
      <c r="G448" t="s">
        <v>1506</v>
      </c>
    </row>
    <row r="449" spans="1:7" x14ac:dyDescent="0.2">
      <c r="A449">
        <v>837</v>
      </c>
      <c r="B449" t="s">
        <v>1632</v>
      </c>
      <c r="C449" t="s">
        <v>1633</v>
      </c>
      <c r="E449" t="s">
        <v>599</v>
      </c>
      <c r="G449" t="s">
        <v>1506</v>
      </c>
    </row>
    <row r="450" spans="1:7" x14ac:dyDescent="0.2">
      <c r="A450">
        <v>838</v>
      </c>
      <c r="B450" t="s">
        <v>1634</v>
      </c>
      <c r="C450" t="s">
        <v>1635</v>
      </c>
      <c r="E450" t="s">
        <v>1636</v>
      </c>
      <c r="G450" t="s">
        <v>1506</v>
      </c>
    </row>
    <row r="451" spans="1:7" x14ac:dyDescent="0.2">
      <c r="A451">
        <v>839</v>
      </c>
      <c r="B451" t="s">
        <v>1637</v>
      </c>
      <c r="C451" t="s">
        <v>1638</v>
      </c>
      <c r="E451" t="s">
        <v>919</v>
      </c>
      <c r="G451" t="s">
        <v>1506</v>
      </c>
    </row>
    <row r="452" spans="1:7" x14ac:dyDescent="0.2">
      <c r="A452">
        <v>840</v>
      </c>
      <c r="B452" t="s">
        <v>1639</v>
      </c>
      <c r="C452" t="s">
        <v>1640</v>
      </c>
      <c r="E452" t="s">
        <v>599</v>
      </c>
      <c r="G452" t="s">
        <v>1506</v>
      </c>
    </row>
    <row r="453" spans="1:7" x14ac:dyDescent="0.2">
      <c r="A453">
        <v>841</v>
      </c>
      <c r="B453" t="s">
        <v>1641</v>
      </c>
      <c r="C453" t="s">
        <v>1642</v>
      </c>
      <c r="E453" t="s">
        <v>1629</v>
      </c>
      <c r="G453" t="s">
        <v>1506</v>
      </c>
    </row>
    <row r="454" spans="1:7" x14ac:dyDescent="0.2">
      <c r="A454">
        <v>842</v>
      </c>
      <c r="B454" t="s">
        <v>1643</v>
      </c>
      <c r="C454" t="s">
        <v>1644</v>
      </c>
      <c r="G454" t="s">
        <v>1506</v>
      </c>
    </row>
    <row r="455" spans="1:7" x14ac:dyDescent="0.2">
      <c r="A455">
        <v>843</v>
      </c>
      <c r="B455" t="s">
        <v>1645</v>
      </c>
      <c r="C455" t="s">
        <v>1646</v>
      </c>
      <c r="E455" t="s">
        <v>1647</v>
      </c>
      <c r="G455" t="s">
        <v>1506</v>
      </c>
    </row>
    <row r="456" spans="1:7" x14ac:dyDescent="0.2">
      <c r="A456">
        <v>844</v>
      </c>
      <c r="B456" t="s">
        <v>1648</v>
      </c>
      <c r="C456" t="s">
        <v>1649</v>
      </c>
      <c r="G456" t="s">
        <v>1506</v>
      </c>
    </row>
    <row r="457" spans="1:7" x14ac:dyDescent="0.2">
      <c r="A457">
        <v>845</v>
      </c>
      <c r="B457" t="s">
        <v>1650</v>
      </c>
      <c r="C457" t="s">
        <v>1651</v>
      </c>
      <c r="E457" t="s">
        <v>480</v>
      </c>
      <c r="G457" t="s">
        <v>1506</v>
      </c>
    </row>
    <row r="458" spans="1:7" x14ac:dyDescent="0.2">
      <c r="A458">
        <v>846</v>
      </c>
      <c r="B458" t="s">
        <v>1652</v>
      </c>
      <c r="C458" t="s">
        <v>1653</v>
      </c>
      <c r="E458" t="s">
        <v>1654</v>
      </c>
      <c r="G458" t="s">
        <v>1506</v>
      </c>
    </row>
    <row r="459" spans="1:7" x14ac:dyDescent="0.2">
      <c r="A459">
        <v>847</v>
      </c>
      <c r="B459" t="s">
        <v>1655</v>
      </c>
      <c r="C459" t="s">
        <v>1656</v>
      </c>
      <c r="E459" t="s">
        <v>610</v>
      </c>
      <c r="G459" t="s">
        <v>1506</v>
      </c>
    </row>
    <row r="460" spans="1:7" x14ac:dyDescent="0.2">
      <c r="A460">
        <v>848</v>
      </c>
      <c r="B460" t="s">
        <v>1657</v>
      </c>
      <c r="C460" t="s">
        <v>1658</v>
      </c>
      <c r="E460" t="s">
        <v>538</v>
      </c>
      <c r="G460" t="s">
        <v>1506</v>
      </c>
    </row>
    <row r="461" spans="1:7" x14ac:dyDescent="0.2">
      <c r="A461">
        <v>849</v>
      </c>
      <c r="B461" t="s">
        <v>1659</v>
      </c>
      <c r="C461" t="s">
        <v>1660</v>
      </c>
      <c r="E461" t="s">
        <v>919</v>
      </c>
      <c r="G461" t="s">
        <v>1506</v>
      </c>
    </row>
    <row r="462" spans="1:7" x14ac:dyDescent="0.2">
      <c r="A462">
        <v>850</v>
      </c>
      <c r="B462" t="s">
        <v>1661</v>
      </c>
      <c r="C462" t="s">
        <v>1662</v>
      </c>
      <c r="E462" t="s">
        <v>487</v>
      </c>
      <c r="G462" t="s">
        <v>1506</v>
      </c>
    </row>
    <row r="463" spans="1:7" x14ac:dyDescent="0.2">
      <c r="A463">
        <v>851</v>
      </c>
      <c r="B463" t="s">
        <v>1663</v>
      </c>
      <c r="C463" t="s">
        <v>1664</v>
      </c>
      <c r="E463" t="s">
        <v>1665</v>
      </c>
      <c r="G463" t="s">
        <v>1506</v>
      </c>
    </row>
    <row r="464" spans="1:7" x14ac:dyDescent="0.2">
      <c r="A464">
        <v>852</v>
      </c>
      <c r="B464" t="s">
        <v>1666</v>
      </c>
      <c r="C464" t="s">
        <v>1667</v>
      </c>
      <c r="E464" t="s">
        <v>538</v>
      </c>
      <c r="G464" t="s">
        <v>1506</v>
      </c>
    </row>
    <row r="465" spans="1:7" x14ac:dyDescent="0.2">
      <c r="A465">
        <v>853</v>
      </c>
      <c r="B465" t="s">
        <v>1668</v>
      </c>
      <c r="C465" t="s">
        <v>1669</v>
      </c>
      <c r="E465" t="s">
        <v>327</v>
      </c>
      <c r="G465" t="s">
        <v>1506</v>
      </c>
    </row>
    <row r="466" spans="1:7" x14ac:dyDescent="0.2">
      <c r="A466">
        <v>854</v>
      </c>
      <c r="B466" t="s">
        <v>1670</v>
      </c>
      <c r="C466" t="s">
        <v>1671</v>
      </c>
      <c r="E466" t="s">
        <v>595</v>
      </c>
      <c r="G466" t="s">
        <v>1506</v>
      </c>
    </row>
    <row r="467" spans="1:7" x14ac:dyDescent="0.2">
      <c r="A467">
        <v>855</v>
      </c>
      <c r="B467" t="s">
        <v>1672</v>
      </c>
      <c r="C467" t="s">
        <v>1673</v>
      </c>
      <c r="E467" t="s">
        <v>538</v>
      </c>
      <c r="G467" t="s">
        <v>1506</v>
      </c>
    </row>
    <row r="468" spans="1:7" x14ac:dyDescent="0.2">
      <c r="A468">
        <v>856</v>
      </c>
      <c r="B468" t="s">
        <v>1674</v>
      </c>
      <c r="C468" t="s">
        <v>1675</v>
      </c>
      <c r="E468" t="s">
        <v>487</v>
      </c>
      <c r="G468" t="s">
        <v>1506</v>
      </c>
    </row>
    <row r="469" spans="1:7" x14ac:dyDescent="0.2">
      <c r="A469">
        <v>857</v>
      </c>
      <c r="B469" t="s">
        <v>1676</v>
      </c>
      <c r="C469" t="s">
        <v>1677</v>
      </c>
      <c r="E469" t="s">
        <v>1678</v>
      </c>
      <c r="G469" t="s">
        <v>1506</v>
      </c>
    </row>
    <row r="470" spans="1:7" x14ac:dyDescent="0.2">
      <c r="A470">
        <v>858</v>
      </c>
      <c r="B470" t="s">
        <v>1679</v>
      </c>
      <c r="C470" t="s">
        <v>1680</v>
      </c>
      <c r="E470" t="s">
        <v>1681</v>
      </c>
      <c r="G470" t="s">
        <v>1506</v>
      </c>
    </row>
    <row r="471" spans="1:7" x14ac:dyDescent="0.2">
      <c r="A471">
        <v>859</v>
      </c>
      <c r="B471" t="s">
        <v>1682</v>
      </c>
      <c r="C471" t="s">
        <v>1683</v>
      </c>
      <c r="G471" t="s">
        <v>1506</v>
      </c>
    </row>
    <row r="472" spans="1:7" x14ac:dyDescent="0.2">
      <c r="A472">
        <v>860</v>
      </c>
      <c r="B472" t="s">
        <v>1684</v>
      </c>
      <c r="C472" t="s">
        <v>1685</v>
      </c>
      <c r="E472" t="s">
        <v>1609</v>
      </c>
      <c r="G472" t="s">
        <v>1506</v>
      </c>
    </row>
    <row r="473" spans="1:7" x14ac:dyDescent="0.2">
      <c r="A473">
        <v>861</v>
      </c>
      <c r="B473" t="s">
        <v>1686</v>
      </c>
      <c r="C473" t="s">
        <v>1687</v>
      </c>
      <c r="E473" t="s">
        <v>1688</v>
      </c>
      <c r="G473" t="s">
        <v>1506</v>
      </c>
    </row>
    <row r="474" spans="1:7" x14ac:dyDescent="0.2">
      <c r="A474">
        <v>862</v>
      </c>
      <c r="B474" t="s">
        <v>1689</v>
      </c>
      <c r="C474" t="s">
        <v>1690</v>
      </c>
      <c r="E474" t="s">
        <v>1691</v>
      </c>
      <c r="G474" t="s">
        <v>1506</v>
      </c>
    </row>
    <row r="475" spans="1:7" x14ac:dyDescent="0.2">
      <c r="A475">
        <v>863</v>
      </c>
      <c r="B475" t="s">
        <v>1692</v>
      </c>
      <c r="C475" t="s">
        <v>1693</v>
      </c>
      <c r="E475" t="s">
        <v>1694</v>
      </c>
      <c r="G475" t="s">
        <v>1506</v>
      </c>
    </row>
    <row r="476" spans="1:7" x14ac:dyDescent="0.2">
      <c r="A476">
        <v>864</v>
      </c>
      <c r="B476" t="s">
        <v>1695</v>
      </c>
      <c r="C476" t="s">
        <v>1696</v>
      </c>
      <c r="E476" t="s">
        <v>1697</v>
      </c>
      <c r="G476" t="s">
        <v>1506</v>
      </c>
    </row>
    <row r="477" spans="1:7" x14ac:dyDescent="0.2">
      <c r="A477">
        <v>865</v>
      </c>
      <c r="B477" t="s">
        <v>1698</v>
      </c>
      <c r="C477" t="s">
        <v>1699</v>
      </c>
      <c r="E477" t="s">
        <v>1700</v>
      </c>
      <c r="G477" t="s">
        <v>1506</v>
      </c>
    </row>
    <row r="478" spans="1:7" x14ac:dyDescent="0.2">
      <c r="A478">
        <v>866</v>
      </c>
      <c r="B478" t="s">
        <v>1701</v>
      </c>
      <c r="C478" t="s">
        <v>1702</v>
      </c>
      <c r="E478" t="s">
        <v>1703</v>
      </c>
      <c r="G478" t="s">
        <v>1506</v>
      </c>
    </row>
    <row r="479" spans="1:7" x14ac:dyDescent="0.2">
      <c r="A479">
        <v>867</v>
      </c>
      <c r="B479" t="s">
        <v>1704</v>
      </c>
      <c r="C479" t="s">
        <v>1705</v>
      </c>
      <c r="E479" t="s">
        <v>1706</v>
      </c>
      <c r="G479" t="s">
        <v>1506</v>
      </c>
    </row>
    <row r="480" spans="1:7" x14ac:dyDescent="0.2">
      <c r="A480">
        <v>868</v>
      </c>
      <c r="B480" t="s">
        <v>1707</v>
      </c>
      <c r="C480" t="s">
        <v>1708</v>
      </c>
      <c r="E480" t="s">
        <v>1709</v>
      </c>
      <c r="G480" t="s">
        <v>1506</v>
      </c>
    </row>
    <row r="481" spans="1:7" x14ac:dyDescent="0.2">
      <c r="A481">
        <v>869</v>
      </c>
      <c r="B481" t="s">
        <v>1710</v>
      </c>
      <c r="C481" t="s">
        <v>1711</v>
      </c>
      <c r="E481" t="s">
        <v>1709</v>
      </c>
      <c r="G481" t="s">
        <v>1506</v>
      </c>
    </row>
    <row r="482" spans="1:7" x14ac:dyDescent="0.2">
      <c r="A482">
        <v>870</v>
      </c>
      <c r="B482" t="s">
        <v>1712</v>
      </c>
      <c r="C482" t="s">
        <v>1478</v>
      </c>
      <c r="D482" t="s">
        <v>1713</v>
      </c>
      <c r="E482" t="s">
        <v>891</v>
      </c>
      <c r="G482" t="s">
        <v>1506</v>
      </c>
    </row>
    <row r="483" spans="1:7" x14ac:dyDescent="0.2">
      <c r="A483">
        <v>871</v>
      </c>
      <c r="B483" t="s">
        <v>1714</v>
      </c>
      <c r="C483" t="s">
        <v>1715</v>
      </c>
      <c r="E483" t="s">
        <v>637</v>
      </c>
      <c r="G483" t="s">
        <v>1506</v>
      </c>
    </row>
    <row r="484" spans="1:7" x14ac:dyDescent="0.2">
      <c r="A484">
        <v>872</v>
      </c>
      <c r="B484" t="s">
        <v>1716</v>
      </c>
      <c r="C484" t="s">
        <v>1717</v>
      </c>
      <c r="E484" t="s">
        <v>1718</v>
      </c>
      <c r="G484" t="s">
        <v>1506</v>
      </c>
    </row>
    <row r="485" spans="1:7" x14ac:dyDescent="0.2">
      <c r="A485">
        <v>873</v>
      </c>
      <c r="B485" t="s">
        <v>1719</v>
      </c>
      <c r="C485" t="s">
        <v>1720</v>
      </c>
      <c r="E485" t="s">
        <v>1721</v>
      </c>
      <c r="G485" t="s">
        <v>1506</v>
      </c>
    </row>
    <row r="486" spans="1:7" x14ac:dyDescent="0.2">
      <c r="A486">
        <v>874</v>
      </c>
      <c r="B486" t="s">
        <v>1722</v>
      </c>
      <c r="C486" t="s">
        <v>1723</v>
      </c>
      <c r="E486" t="s">
        <v>1724</v>
      </c>
      <c r="G486" t="s">
        <v>1506</v>
      </c>
    </row>
    <row r="487" spans="1:7" x14ac:dyDescent="0.2">
      <c r="A487">
        <v>875</v>
      </c>
      <c r="B487" t="s">
        <v>1725</v>
      </c>
      <c r="C487" t="s">
        <v>1726</v>
      </c>
      <c r="E487" t="s">
        <v>1727</v>
      </c>
      <c r="G487" t="s">
        <v>1506</v>
      </c>
    </row>
    <row r="488" spans="1:7" x14ac:dyDescent="0.2">
      <c r="A488">
        <v>876</v>
      </c>
      <c r="B488" t="s">
        <v>1728</v>
      </c>
      <c r="C488" t="s">
        <v>1729</v>
      </c>
      <c r="E488" t="s">
        <v>1730</v>
      </c>
      <c r="G488" t="s">
        <v>1506</v>
      </c>
    </row>
    <row r="489" spans="1:7" x14ac:dyDescent="0.2">
      <c r="A489">
        <v>877</v>
      </c>
      <c r="B489" t="s">
        <v>1731</v>
      </c>
      <c r="C489" t="s">
        <v>1732</v>
      </c>
      <c r="E489" t="s">
        <v>1724</v>
      </c>
      <c r="G489" t="s">
        <v>1506</v>
      </c>
    </row>
    <row r="490" spans="1:7" x14ac:dyDescent="0.2">
      <c r="A490">
        <v>878</v>
      </c>
      <c r="B490" t="s">
        <v>1733</v>
      </c>
      <c r="C490" t="s">
        <v>1734</v>
      </c>
      <c r="E490" t="s">
        <v>1735</v>
      </c>
      <c r="G490" t="s">
        <v>1506</v>
      </c>
    </row>
    <row r="491" spans="1:7" x14ac:dyDescent="0.2">
      <c r="A491">
        <v>879</v>
      </c>
      <c r="B491" t="s">
        <v>1736</v>
      </c>
      <c r="C491" t="s">
        <v>1737</v>
      </c>
      <c r="E491" t="s">
        <v>1738</v>
      </c>
      <c r="G491" t="s">
        <v>1506</v>
      </c>
    </row>
    <row r="492" spans="1:7" x14ac:dyDescent="0.2">
      <c r="A492">
        <v>880</v>
      </c>
      <c r="B492" t="s">
        <v>1739</v>
      </c>
      <c r="C492" t="s">
        <v>1740</v>
      </c>
      <c r="E492" t="s">
        <v>1741</v>
      </c>
      <c r="G492" t="s">
        <v>1506</v>
      </c>
    </row>
    <row r="493" spans="1:7" x14ac:dyDescent="0.2">
      <c r="A493">
        <v>881</v>
      </c>
      <c r="B493" t="s">
        <v>1742</v>
      </c>
      <c r="C493" t="s">
        <v>1743</v>
      </c>
      <c r="E493" t="s">
        <v>1744</v>
      </c>
      <c r="G493" t="s">
        <v>1506</v>
      </c>
    </row>
    <row r="494" spans="1:7" x14ac:dyDescent="0.2">
      <c r="A494">
        <v>882</v>
      </c>
      <c r="B494" t="s">
        <v>1745</v>
      </c>
      <c r="C494" t="s">
        <v>1746</v>
      </c>
      <c r="E494" t="s">
        <v>499</v>
      </c>
      <c r="G494" t="s">
        <v>1506</v>
      </c>
    </row>
    <row r="495" spans="1:7" x14ac:dyDescent="0.2">
      <c r="A495">
        <v>883</v>
      </c>
      <c r="B495" t="s">
        <v>1747</v>
      </c>
      <c r="C495" t="s">
        <v>1748</v>
      </c>
      <c r="E495" t="s">
        <v>1749</v>
      </c>
      <c r="G495" t="s">
        <v>1506</v>
      </c>
    </row>
    <row r="496" spans="1:7" x14ac:dyDescent="0.2">
      <c r="A496">
        <v>884</v>
      </c>
      <c r="B496" t="s">
        <v>1750</v>
      </c>
      <c r="C496" t="s">
        <v>1751</v>
      </c>
      <c r="E496" t="s">
        <v>1752</v>
      </c>
      <c r="G496" t="s">
        <v>1506</v>
      </c>
    </row>
    <row r="497" spans="1:7" x14ac:dyDescent="0.2">
      <c r="A497">
        <v>885</v>
      </c>
      <c r="B497" t="s">
        <v>1753</v>
      </c>
      <c r="C497" t="s">
        <v>1754</v>
      </c>
      <c r="E497" t="s">
        <v>1392</v>
      </c>
      <c r="G497" t="s">
        <v>1506</v>
      </c>
    </row>
    <row r="498" spans="1:7" x14ac:dyDescent="0.2">
      <c r="A498">
        <v>886</v>
      </c>
      <c r="B498" t="s">
        <v>1755</v>
      </c>
      <c r="C498" t="s">
        <v>1756</v>
      </c>
      <c r="E498" t="s">
        <v>1757</v>
      </c>
      <c r="G498" t="s">
        <v>1506</v>
      </c>
    </row>
    <row r="499" spans="1:7" x14ac:dyDescent="0.2">
      <c r="A499">
        <v>887</v>
      </c>
      <c r="B499" t="s">
        <v>1758</v>
      </c>
      <c r="C499" t="s">
        <v>1759</v>
      </c>
      <c r="E499" t="s">
        <v>578</v>
      </c>
      <c r="G499" t="s">
        <v>1506</v>
      </c>
    </row>
    <row r="500" spans="1:7" x14ac:dyDescent="0.2">
      <c r="A500">
        <v>888</v>
      </c>
      <c r="B500" t="s">
        <v>1760</v>
      </c>
      <c r="C500" t="s">
        <v>1761</v>
      </c>
      <c r="E500" t="s">
        <v>1762</v>
      </c>
      <c r="G500" t="s">
        <v>1506</v>
      </c>
    </row>
    <row r="501" spans="1:7" x14ac:dyDescent="0.2">
      <c r="A501">
        <v>889</v>
      </c>
      <c r="B501" t="s">
        <v>1763</v>
      </c>
      <c r="C501" t="s">
        <v>1764</v>
      </c>
      <c r="E501" t="s">
        <v>1765</v>
      </c>
      <c r="G501" t="s">
        <v>1506</v>
      </c>
    </row>
    <row r="502" spans="1:7" x14ac:dyDescent="0.2">
      <c r="A502">
        <v>890</v>
      </c>
      <c r="B502" t="s">
        <v>1766</v>
      </c>
      <c r="C502" t="s">
        <v>1767</v>
      </c>
      <c r="E502" t="s">
        <v>454</v>
      </c>
      <c r="G502" t="s">
        <v>1506</v>
      </c>
    </row>
    <row r="503" spans="1:7" x14ac:dyDescent="0.2">
      <c r="A503">
        <v>891</v>
      </c>
      <c r="B503" t="s">
        <v>1768</v>
      </c>
      <c r="C503" t="s">
        <v>1769</v>
      </c>
      <c r="E503" t="s">
        <v>1654</v>
      </c>
      <c r="G503" t="s">
        <v>1506</v>
      </c>
    </row>
    <row r="504" spans="1:7" x14ac:dyDescent="0.2">
      <c r="A504">
        <v>892</v>
      </c>
      <c r="B504" t="s">
        <v>1770</v>
      </c>
      <c r="C504" t="s">
        <v>1771</v>
      </c>
      <c r="E504" t="s">
        <v>1772</v>
      </c>
      <c r="G504" t="s">
        <v>1506</v>
      </c>
    </row>
    <row r="505" spans="1:7" x14ac:dyDescent="0.2">
      <c r="A505">
        <v>893</v>
      </c>
      <c r="B505" t="s">
        <v>1773</v>
      </c>
      <c r="C505" t="s">
        <v>1774</v>
      </c>
      <c r="E505" t="s">
        <v>1775</v>
      </c>
      <c r="G505" t="s">
        <v>1506</v>
      </c>
    </row>
    <row r="506" spans="1:7" x14ac:dyDescent="0.2">
      <c r="A506">
        <v>894</v>
      </c>
      <c r="B506" t="s">
        <v>1776</v>
      </c>
      <c r="C506" t="s">
        <v>1777</v>
      </c>
      <c r="E506" t="s">
        <v>1778</v>
      </c>
      <c r="G506" t="s">
        <v>1506</v>
      </c>
    </row>
    <row r="507" spans="1:7" x14ac:dyDescent="0.2">
      <c r="A507">
        <v>895</v>
      </c>
      <c r="B507" t="s">
        <v>1779</v>
      </c>
      <c r="C507" t="s">
        <v>1780</v>
      </c>
      <c r="E507" t="s">
        <v>1363</v>
      </c>
      <c r="G507" t="s">
        <v>1506</v>
      </c>
    </row>
    <row r="508" spans="1:7" x14ac:dyDescent="0.2">
      <c r="A508">
        <v>896</v>
      </c>
      <c r="B508" t="s">
        <v>1781</v>
      </c>
      <c r="C508" t="s">
        <v>1782</v>
      </c>
      <c r="E508" t="s">
        <v>1783</v>
      </c>
      <c r="G508" t="s">
        <v>1506</v>
      </c>
    </row>
    <row r="509" spans="1:7" x14ac:dyDescent="0.2">
      <c r="A509">
        <v>897</v>
      </c>
      <c r="B509" t="s">
        <v>1784</v>
      </c>
      <c r="C509" t="s">
        <v>1785</v>
      </c>
      <c r="E509" t="s">
        <v>1786</v>
      </c>
      <c r="G509" t="s">
        <v>1506</v>
      </c>
    </row>
    <row r="510" spans="1:7" x14ac:dyDescent="0.2">
      <c r="A510">
        <v>898</v>
      </c>
      <c r="B510" t="s">
        <v>1787</v>
      </c>
      <c r="C510" t="s">
        <v>1788</v>
      </c>
      <c r="E510" t="s">
        <v>758</v>
      </c>
      <c r="G510" t="s">
        <v>1506</v>
      </c>
    </row>
    <row r="511" spans="1:7" x14ac:dyDescent="0.2">
      <c r="A511">
        <v>899</v>
      </c>
      <c r="B511" t="s">
        <v>1789</v>
      </c>
      <c r="C511" t="s">
        <v>1790</v>
      </c>
      <c r="E511" t="s">
        <v>1791</v>
      </c>
      <c r="G511" t="s">
        <v>1506</v>
      </c>
    </row>
    <row r="512" spans="1:7" x14ac:dyDescent="0.2">
      <c r="A512">
        <v>900</v>
      </c>
      <c r="B512" t="s">
        <v>1792</v>
      </c>
      <c r="C512" t="s">
        <v>1793</v>
      </c>
      <c r="E512" t="s">
        <v>327</v>
      </c>
      <c r="G512" t="s">
        <v>1506</v>
      </c>
    </row>
    <row r="513" spans="1:7" x14ac:dyDescent="0.2">
      <c r="A513">
        <v>902</v>
      </c>
      <c r="B513" t="s">
        <v>1794</v>
      </c>
      <c r="C513" t="s">
        <v>635</v>
      </c>
      <c r="E513" t="s">
        <v>637</v>
      </c>
      <c r="G513" t="s">
        <v>1506</v>
      </c>
    </row>
    <row r="514" spans="1:7" x14ac:dyDescent="0.2">
      <c r="A514">
        <v>903</v>
      </c>
      <c r="B514" t="s">
        <v>1795</v>
      </c>
      <c r="C514" t="s">
        <v>1796</v>
      </c>
      <c r="E514" t="s">
        <v>1797</v>
      </c>
      <c r="G514" t="s">
        <v>1506</v>
      </c>
    </row>
    <row r="515" spans="1:7" x14ac:dyDescent="0.2">
      <c r="A515">
        <v>904</v>
      </c>
      <c r="B515" t="s">
        <v>1798</v>
      </c>
      <c r="C515" t="s">
        <v>1799</v>
      </c>
      <c r="E515" t="s">
        <v>542</v>
      </c>
      <c r="G515" t="s">
        <v>1506</v>
      </c>
    </row>
    <row r="516" spans="1:7" x14ac:dyDescent="0.2">
      <c r="A516">
        <v>905</v>
      </c>
      <c r="B516" t="s">
        <v>1800</v>
      </c>
      <c r="C516" t="s">
        <v>1801</v>
      </c>
      <c r="E516" t="s">
        <v>1802</v>
      </c>
      <c r="G516" t="s">
        <v>1506</v>
      </c>
    </row>
    <row r="517" spans="1:7" x14ac:dyDescent="0.2">
      <c r="A517">
        <v>906</v>
      </c>
      <c r="B517" t="s">
        <v>1803</v>
      </c>
      <c r="C517" t="s">
        <v>1804</v>
      </c>
      <c r="G517" t="s">
        <v>1506</v>
      </c>
    </row>
    <row r="518" spans="1:7" x14ac:dyDescent="0.2">
      <c r="A518">
        <v>907</v>
      </c>
      <c r="B518" t="s">
        <v>1805</v>
      </c>
      <c r="C518" t="s">
        <v>1806</v>
      </c>
      <c r="E518" t="s">
        <v>1807</v>
      </c>
      <c r="G518" t="s">
        <v>1506</v>
      </c>
    </row>
    <row r="519" spans="1:7" x14ac:dyDescent="0.2">
      <c r="A519">
        <v>908</v>
      </c>
      <c r="B519" t="s">
        <v>1808</v>
      </c>
      <c r="C519" t="s">
        <v>1809</v>
      </c>
      <c r="E519" t="s">
        <v>1810</v>
      </c>
      <c r="G519" t="s">
        <v>1506</v>
      </c>
    </row>
    <row r="520" spans="1:7" x14ac:dyDescent="0.2">
      <c r="A520">
        <v>909</v>
      </c>
      <c r="B520" t="s">
        <v>1811</v>
      </c>
      <c r="C520" t="s">
        <v>1812</v>
      </c>
      <c r="E520" t="s">
        <v>578</v>
      </c>
      <c r="G520" t="s">
        <v>1506</v>
      </c>
    </row>
    <row r="521" spans="1:7" x14ac:dyDescent="0.2">
      <c r="A521">
        <v>910</v>
      </c>
      <c r="B521" t="s">
        <v>1813</v>
      </c>
      <c r="C521" t="s">
        <v>1814</v>
      </c>
      <c r="E521" t="s">
        <v>1815</v>
      </c>
      <c r="G521" t="s">
        <v>1506</v>
      </c>
    </row>
    <row r="522" spans="1:7" x14ac:dyDescent="0.2">
      <c r="A522">
        <v>911</v>
      </c>
      <c r="B522" t="s">
        <v>1816</v>
      </c>
      <c r="C522" t="s">
        <v>1817</v>
      </c>
      <c r="E522" t="s">
        <v>1818</v>
      </c>
      <c r="G522" t="s">
        <v>1506</v>
      </c>
    </row>
    <row r="523" spans="1:7" x14ac:dyDescent="0.2">
      <c r="A523">
        <v>912</v>
      </c>
      <c r="B523" t="s">
        <v>1819</v>
      </c>
      <c r="C523" t="s">
        <v>1820</v>
      </c>
      <c r="E523" t="s">
        <v>1818</v>
      </c>
      <c r="G523" t="s">
        <v>1506</v>
      </c>
    </row>
    <row r="524" spans="1:7" x14ac:dyDescent="0.2">
      <c r="A524">
        <v>913</v>
      </c>
      <c r="B524" t="s">
        <v>1821</v>
      </c>
      <c r="C524" t="s">
        <v>1822</v>
      </c>
      <c r="E524" t="s">
        <v>1823</v>
      </c>
      <c r="G524" t="s">
        <v>1506</v>
      </c>
    </row>
    <row r="525" spans="1:7" x14ac:dyDescent="0.2">
      <c r="A525">
        <v>914</v>
      </c>
      <c r="B525" t="s">
        <v>1824</v>
      </c>
      <c r="C525" t="s">
        <v>1825</v>
      </c>
      <c r="E525" t="s">
        <v>1826</v>
      </c>
      <c r="G525" t="s">
        <v>1506</v>
      </c>
    </row>
    <row r="526" spans="1:7" x14ac:dyDescent="0.2">
      <c r="A526">
        <v>915</v>
      </c>
      <c r="B526" t="s">
        <v>1827</v>
      </c>
      <c r="C526" t="s">
        <v>1828</v>
      </c>
      <c r="E526" t="s">
        <v>1823</v>
      </c>
      <c r="G526" t="s">
        <v>1506</v>
      </c>
    </row>
    <row r="527" spans="1:7" x14ac:dyDescent="0.2">
      <c r="A527">
        <v>916</v>
      </c>
      <c r="B527" t="s">
        <v>1829</v>
      </c>
      <c r="C527" t="s">
        <v>1830</v>
      </c>
      <c r="E527" t="s">
        <v>1818</v>
      </c>
      <c r="G527" t="s">
        <v>1506</v>
      </c>
    </row>
    <row r="528" spans="1:7" x14ac:dyDescent="0.2">
      <c r="A528">
        <v>917</v>
      </c>
      <c r="B528" t="s">
        <v>1831</v>
      </c>
      <c r="C528" t="s">
        <v>1832</v>
      </c>
      <c r="E528" t="s">
        <v>1833</v>
      </c>
      <c r="G528" t="s">
        <v>1506</v>
      </c>
    </row>
    <row r="529" spans="1:7" x14ac:dyDescent="0.2">
      <c r="A529">
        <v>918</v>
      </c>
      <c r="B529" t="s">
        <v>1834</v>
      </c>
      <c r="C529" t="s">
        <v>1835</v>
      </c>
      <c r="E529" t="s">
        <v>1836</v>
      </c>
      <c r="G529" t="s">
        <v>1506</v>
      </c>
    </row>
    <row r="530" spans="1:7" x14ac:dyDescent="0.2">
      <c r="A530">
        <v>919</v>
      </c>
      <c r="B530" t="s">
        <v>1837</v>
      </c>
      <c r="C530" t="s">
        <v>1838</v>
      </c>
      <c r="E530" t="s">
        <v>538</v>
      </c>
      <c r="G530" t="s">
        <v>1506</v>
      </c>
    </row>
    <row r="531" spans="1:7" x14ac:dyDescent="0.2">
      <c r="A531">
        <v>920</v>
      </c>
      <c r="B531" t="s">
        <v>1839</v>
      </c>
      <c r="C531" t="s">
        <v>1840</v>
      </c>
      <c r="E531" t="s">
        <v>381</v>
      </c>
      <c r="G531" t="s">
        <v>1506</v>
      </c>
    </row>
    <row r="532" spans="1:7" x14ac:dyDescent="0.2">
      <c r="A532">
        <v>921</v>
      </c>
      <c r="B532" t="s">
        <v>1841</v>
      </c>
      <c r="C532" t="s">
        <v>1842</v>
      </c>
      <c r="E532" t="s">
        <v>1843</v>
      </c>
      <c r="G532" t="s">
        <v>1506</v>
      </c>
    </row>
    <row r="533" spans="1:7" x14ac:dyDescent="0.2">
      <c r="A533">
        <v>922</v>
      </c>
      <c r="B533" t="s">
        <v>1844</v>
      </c>
      <c r="C533" t="s">
        <v>1845</v>
      </c>
      <c r="E533" t="s">
        <v>499</v>
      </c>
      <c r="G533" t="s">
        <v>1506</v>
      </c>
    </row>
    <row r="534" spans="1:7" x14ac:dyDescent="0.2">
      <c r="A534">
        <v>923</v>
      </c>
      <c r="B534" t="s">
        <v>1846</v>
      </c>
      <c r="C534" t="s">
        <v>1847</v>
      </c>
      <c r="E534" t="s">
        <v>1848</v>
      </c>
      <c r="G534" t="s">
        <v>1506</v>
      </c>
    </row>
    <row r="535" spans="1:7" x14ac:dyDescent="0.2">
      <c r="A535">
        <v>924</v>
      </c>
      <c r="B535" t="s">
        <v>1849</v>
      </c>
      <c r="C535" t="s">
        <v>1850</v>
      </c>
      <c r="E535" t="s">
        <v>381</v>
      </c>
      <c r="G535" t="s">
        <v>1506</v>
      </c>
    </row>
    <row r="536" spans="1:7" x14ac:dyDescent="0.2">
      <c r="A536">
        <v>925</v>
      </c>
      <c r="B536" t="s">
        <v>1851</v>
      </c>
      <c r="C536" t="s">
        <v>1852</v>
      </c>
      <c r="E536" t="s">
        <v>342</v>
      </c>
      <c r="G536" t="s">
        <v>1506</v>
      </c>
    </row>
    <row r="537" spans="1:7" x14ac:dyDescent="0.2">
      <c r="A537">
        <v>926</v>
      </c>
      <c r="B537" t="s">
        <v>1853</v>
      </c>
      <c r="C537" t="s">
        <v>1854</v>
      </c>
      <c r="E537" t="s">
        <v>381</v>
      </c>
      <c r="G537" t="s">
        <v>1506</v>
      </c>
    </row>
    <row r="538" spans="1:7" x14ac:dyDescent="0.2">
      <c r="A538">
        <v>927</v>
      </c>
      <c r="B538" t="s">
        <v>1855</v>
      </c>
      <c r="C538" t="s">
        <v>1856</v>
      </c>
      <c r="E538" t="s">
        <v>1857</v>
      </c>
      <c r="G538" t="s">
        <v>1506</v>
      </c>
    </row>
    <row r="539" spans="1:7" x14ac:dyDescent="0.2">
      <c r="A539">
        <v>928</v>
      </c>
      <c r="B539" t="s">
        <v>1858</v>
      </c>
      <c r="C539" t="s">
        <v>1859</v>
      </c>
      <c r="E539" t="s">
        <v>546</v>
      </c>
      <c r="G539" t="s">
        <v>1506</v>
      </c>
    </row>
    <row r="540" spans="1:7" x14ac:dyDescent="0.2">
      <c r="A540">
        <v>929</v>
      </c>
      <c r="B540" t="s">
        <v>1860</v>
      </c>
      <c r="C540" t="s">
        <v>1861</v>
      </c>
      <c r="E540" t="s">
        <v>1862</v>
      </c>
      <c r="G540" t="s">
        <v>1506</v>
      </c>
    </row>
    <row r="541" spans="1:7" x14ac:dyDescent="0.2">
      <c r="A541">
        <v>930</v>
      </c>
      <c r="B541" t="s">
        <v>1863</v>
      </c>
      <c r="C541" t="s">
        <v>1864</v>
      </c>
      <c r="E541" t="s">
        <v>1735</v>
      </c>
      <c r="G541" t="s">
        <v>1506</v>
      </c>
    </row>
    <row r="542" spans="1:7" x14ac:dyDescent="0.2">
      <c r="A542">
        <v>931</v>
      </c>
      <c r="B542" t="s">
        <v>1865</v>
      </c>
      <c r="C542" t="s">
        <v>1866</v>
      </c>
      <c r="E542" t="s">
        <v>1867</v>
      </c>
      <c r="G542" t="s">
        <v>1506</v>
      </c>
    </row>
    <row r="543" spans="1:7" x14ac:dyDescent="0.2">
      <c r="A543">
        <v>932</v>
      </c>
      <c r="B543" t="s">
        <v>1868</v>
      </c>
      <c r="C543" t="s">
        <v>1869</v>
      </c>
      <c r="E543" t="s">
        <v>919</v>
      </c>
      <c r="G543" t="s">
        <v>1506</v>
      </c>
    </row>
    <row r="544" spans="1:7" x14ac:dyDescent="0.2">
      <c r="A544">
        <v>933</v>
      </c>
      <c r="B544" t="s">
        <v>1870</v>
      </c>
      <c r="C544" t="s">
        <v>1871</v>
      </c>
      <c r="E544" t="s">
        <v>487</v>
      </c>
      <c r="G544" t="s">
        <v>1506</v>
      </c>
    </row>
    <row r="545" spans="1:7" x14ac:dyDescent="0.2">
      <c r="A545">
        <v>934</v>
      </c>
      <c r="B545" t="s">
        <v>1872</v>
      </c>
      <c r="C545" t="s">
        <v>1873</v>
      </c>
      <c r="E545" t="s">
        <v>381</v>
      </c>
      <c r="G545" t="s">
        <v>1506</v>
      </c>
    </row>
    <row r="546" spans="1:7" x14ac:dyDescent="0.2">
      <c r="A546">
        <v>935</v>
      </c>
      <c r="B546" t="s">
        <v>1874</v>
      </c>
      <c r="C546" t="s">
        <v>1875</v>
      </c>
      <c r="E546" t="s">
        <v>944</v>
      </c>
      <c r="G546" t="s">
        <v>1506</v>
      </c>
    </row>
    <row r="547" spans="1:7" x14ac:dyDescent="0.2">
      <c r="A547">
        <v>936</v>
      </c>
      <c r="B547" t="s">
        <v>1876</v>
      </c>
      <c r="C547" t="s">
        <v>722</v>
      </c>
      <c r="D547" t="s">
        <v>723</v>
      </c>
      <c r="E547" t="s">
        <v>724</v>
      </c>
      <c r="G547" t="s">
        <v>1506</v>
      </c>
    </row>
    <row r="548" spans="1:7" x14ac:dyDescent="0.2">
      <c r="A548">
        <v>937</v>
      </c>
      <c r="B548" t="s">
        <v>1877</v>
      </c>
      <c r="C548" t="s">
        <v>1878</v>
      </c>
      <c r="E548" t="s">
        <v>1879</v>
      </c>
      <c r="G548" t="s">
        <v>1506</v>
      </c>
    </row>
    <row r="549" spans="1:7" x14ac:dyDescent="0.2">
      <c r="A549">
        <v>938</v>
      </c>
      <c r="B549" t="s">
        <v>1880</v>
      </c>
      <c r="C549" t="s">
        <v>1881</v>
      </c>
      <c r="E549" t="s">
        <v>487</v>
      </c>
      <c r="G549" t="s">
        <v>1506</v>
      </c>
    </row>
    <row r="550" spans="1:7" x14ac:dyDescent="0.2">
      <c r="A550">
        <v>939</v>
      </c>
      <c r="B550" t="s">
        <v>1882</v>
      </c>
      <c r="C550" t="s">
        <v>1883</v>
      </c>
      <c r="E550" t="s">
        <v>1867</v>
      </c>
      <c r="G550" t="s">
        <v>1506</v>
      </c>
    </row>
    <row r="551" spans="1:7" x14ac:dyDescent="0.2">
      <c r="A551">
        <v>940</v>
      </c>
      <c r="B551" t="s">
        <v>1884</v>
      </c>
      <c r="C551" t="s">
        <v>1885</v>
      </c>
      <c r="E551" t="s">
        <v>1886</v>
      </c>
      <c r="G551" t="s">
        <v>1506</v>
      </c>
    </row>
    <row r="552" spans="1:7" x14ac:dyDescent="0.2">
      <c r="A552">
        <v>941</v>
      </c>
      <c r="B552" t="s">
        <v>1887</v>
      </c>
      <c r="C552" t="s">
        <v>1888</v>
      </c>
      <c r="E552" t="s">
        <v>796</v>
      </c>
      <c r="G552" t="s">
        <v>1506</v>
      </c>
    </row>
    <row r="553" spans="1:7" x14ac:dyDescent="0.2">
      <c r="A553">
        <v>942</v>
      </c>
      <c r="B553" t="s">
        <v>1889</v>
      </c>
      <c r="C553" t="s">
        <v>1890</v>
      </c>
      <c r="E553" t="s">
        <v>1891</v>
      </c>
      <c r="G553" t="s">
        <v>1506</v>
      </c>
    </row>
    <row r="554" spans="1:7" x14ac:dyDescent="0.2">
      <c r="A554">
        <v>943</v>
      </c>
      <c r="B554" t="s">
        <v>1892</v>
      </c>
      <c r="C554" t="s">
        <v>1893</v>
      </c>
      <c r="E554" t="s">
        <v>546</v>
      </c>
      <c r="G554" t="s">
        <v>1506</v>
      </c>
    </row>
    <row r="555" spans="1:7" x14ac:dyDescent="0.2">
      <c r="A555">
        <v>944</v>
      </c>
      <c r="B555" t="s">
        <v>1894</v>
      </c>
      <c r="C555" t="s">
        <v>1895</v>
      </c>
      <c r="G555" t="s">
        <v>1506</v>
      </c>
    </row>
    <row r="556" spans="1:7" x14ac:dyDescent="0.2">
      <c r="A556">
        <v>945</v>
      </c>
      <c r="B556" t="s">
        <v>1896</v>
      </c>
      <c r="C556" t="s">
        <v>1897</v>
      </c>
      <c r="E556" t="s">
        <v>1898</v>
      </c>
      <c r="G556" t="s">
        <v>1506</v>
      </c>
    </row>
    <row r="557" spans="1:7" x14ac:dyDescent="0.2">
      <c r="A557">
        <v>946</v>
      </c>
      <c r="B557" t="s">
        <v>1899</v>
      </c>
      <c r="C557" t="s">
        <v>1900</v>
      </c>
      <c r="E557" t="s">
        <v>381</v>
      </c>
      <c r="G557" t="s">
        <v>1506</v>
      </c>
    </row>
    <row r="558" spans="1:7" x14ac:dyDescent="0.2">
      <c r="A558">
        <v>947</v>
      </c>
      <c r="B558" t="s">
        <v>1901</v>
      </c>
      <c r="C558" t="s">
        <v>1902</v>
      </c>
      <c r="E558" t="s">
        <v>1903</v>
      </c>
      <c r="G558" t="s">
        <v>1506</v>
      </c>
    </row>
    <row r="559" spans="1:7" x14ac:dyDescent="0.2">
      <c r="A559">
        <v>948</v>
      </c>
      <c r="B559" t="s">
        <v>1904</v>
      </c>
      <c r="C559" t="s">
        <v>1905</v>
      </c>
      <c r="E559" t="s">
        <v>1906</v>
      </c>
      <c r="G559" t="s">
        <v>1506</v>
      </c>
    </row>
    <row r="560" spans="1:7" x14ac:dyDescent="0.2">
      <c r="A560">
        <v>949</v>
      </c>
      <c r="B560" t="s">
        <v>1907</v>
      </c>
      <c r="C560" t="s">
        <v>1908</v>
      </c>
      <c r="E560" t="s">
        <v>1909</v>
      </c>
      <c r="G560" t="s">
        <v>1506</v>
      </c>
    </row>
    <row r="561" spans="1:7" x14ac:dyDescent="0.2">
      <c r="A561">
        <v>950</v>
      </c>
      <c r="B561" t="s">
        <v>1910</v>
      </c>
      <c r="C561" t="s">
        <v>1911</v>
      </c>
      <c r="E561" t="s">
        <v>1912</v>
      </c>
      <c r="G561" t="s">
        <v>1506</v>
      </c>
    </row>
    <row r="562" spans="1:7" x14ac:dyDescent="0.2">
      <c r="A562">
        <v>951</v>
      </c>
      <c r="B562" t="s">
        <v>1913</v>
      </c>
      <c r="C562" t="s">
        <v>1914</v>
      </c>
      <c r="E562" t="s">
        <v>400</v>
      </c>
      <c r="G562" t="s">
        <v>1506</v>
      </c>
    </row>
    <row r="563" spans="1:7" x14ac:dyDescent="0.2">
      <c r="A563">
        <v>952</v>
      </c>
      <c r="B563" t="s">
        <v>1915</v>
      </c>
      <c r="C563" t="s">
        <v>1916</v>
      </c>
      <c r="E563" t="s">
        <v>1917</v>
      </c>
      <c r="G563" t="s">
        <v>1506</v>
      </c>
    </row>
    <row r="564" spans="1:7" x14ac:dyDescent="0.2">
      <c r="A564">
        <v>953</v>
      </c>
      <c r="B564" t="s">
        <v>1918</v>
      </c>
      <c r="C564" t="s">
        <v>1919</v>
      </c>
      <c r="E564" t="s">
        <v>1920</v>
      </c>
      <c r="G564" t="s">
        <v>1506</v>
      </c>
    </row>
    <row r="565" spans="1:7" x14ac:dyDescent="0.2">
      <c r="A565">
        <v>954</v>
      </c>
      <c r="B565" t="s">
        <v>1921</v>
      </c>
      <c r="C565" t="s">
        <v>1922</v>
      </c>
      <c r="E565" t="s">
        <v>839</v>
      </c>
      <c r="G565" t="s">
        <v>1506</v>
      </c>
    </row>
    <row r="566" spans="1:7" x14ac:dyDescent="0.2">
      <c r="A566">
        <v>955</v>
      </c>
      <c r="B566" t="s">
        <v>1923</v>
      </c>
      <c r="C566" t="s">
        <v>1924</v>
      </c>
      <c r="E566" t="s">
        <v>654</v>
      </c>
      <c r="G566" t="s">
        <v>1506</v>
      </c>
    </row>
    <row r="567" spans="1:7" x14ac:dyDescent="0.2">
      <c r="A567">
        <v>956</v>
      </c>
      <c r="B567" t="s">
        <v>1925</v>
      </c>
      <c r="C567" t="s">
        <v>1926</v>
      </c>
      <c r="E567" t="s">
        <v>1927</v>
      </c>
      <c r="G567" t="s">
        <v>1506</v>
      </c>
    </row>
    <row r="568" spans="1:7" x14ac:dyDescent="0.2">
      <c r="A568">
        <v>957</v>
      </c>
      <c r="B568" t="s">
        <v>1928</v>
      </c>
      <c r="C568" t="s">
        <v>1929</v>
      </c>
      <c r="E568" t="s">
        <v>1930</v>
      </c>
      <c r="G568" t="s">
        <v>1506</v>
      </c>
    </row>
    <row r="569" spans="1:7" x14ac:dyDescent="0.2">
      <c r="A569">
        <v>958</v>
      </c>
      <c r="B569" t="s">
        <v>1931</v>
      </c>
      <c r="C569" t="s">
        <v>1932</v>
      </c>
      <c r="E569" t="s">
        <v>1933</v>
      </c>
      <c r="G569" t="s">
        <v>1506</v>
      </c>
    </row>
    <row r="570" spans="1:7" x14ac:dyDescent="0.2">
      <c r="A570">
        <v>959</v>
      </c>
      <c r="B570" t="s">
        <v>1934</v>
      </c>
      <c r="C570" t="s">
        <v>1935</v>
      </c>
      <c r="E570" t="s">
        <v>843</v>
      </c>
      <c r="G570" t="s">
        <v>1506</v>
      </c>
    </row>
    <row r="571" spans="1:7" x14ac:dyDescent="0.2">
      <c r="A571">
        <v>960</v>
      </c>
      <c r="B571" t="s">
        <v>1936</v>
      </c>
      <c r="C571" t="s">
        <v>1937</v>
      </c>
      <c r="G571" t="s">
        <v>1506</v>
      </c>
    </row>
    <row r="572" spans="1:7" x14ac:dyDescent="0.2">
      <c r="A572">
        <v>961</v>
      </c>
      <c r="B572" t="s">
        <v>1938</v>
      </c>
      <c r="C572" t="s">
        <v>1939</v>
      </c>
      <c r="E572" t="s">
        <v>1940</v>
      </c>
      <c r="G572" t="s">
        <v>1506</v>
      </c>
    </row>
    <row r="573" spans="1:7" x14ac:dyDescent="0.2">
      <c r="A573">
        <v>962</v>
      </c>
      <c r="B573" t="s">
        <v>1941</v>
      </c>
      <c r="C573" t="s">
        <v>1942</v>
      </c>
      <c r="E573" t="s">
        <v>400</v>
      </c>
      <c r="G573" t="s">
        <v>1506</v>
      </c>
    </row>
    <row r="574" spans="1:7" x14ac:dyDescent="0.2">
      <c r="A574">
        <v>963</v>
      </c>
      <c r="B574" t="s">
        <v>1943</v>
      </c>
      <c r="C574" t="s">
        <v>1944</v>
      </c>
      <c r="E574" t="s">
        <v>772</v>
      </c>
      <c r="G574" t="s">
        <v>1506</v>
      </c>
    </row>
    <row r="575" spans="1:7" x14ac:dyDescent="0.2">
      <c r="A575">
        <v>964</v>
      </c>
      <c r="B575" t="s">
        <v>1945</v>
      </c>
      <c r="C575" t="s">
        <v>1946</v>
      </c>
      <c r="E575" t="s">
        <v>1947</v>
      </c>
      <c r="G575" t="s">
        <v>1506</v>
      </c>
    </row>
    <row r="576" spans="1:7" x14ac:dyDescent="0.2">
      <c r="A576">
        <v>965</v>
      </c>
      <c r="B576" t="s">
        <v>1948</v>
      </c>
      <c r="C576" t="s">
        <v>1949</v>
      </c>
      <c r="E576" t="s">
        <v>1950</v>
      </c>
      <c r="G576" t="s">
        <v>1506</v>
      </c>
    </row>
    <row r="577" spans="1:7" x14ac:dyDescent="0.2">
      <c r="A577">
        <v>966</v>
      </c>
      <c r="B577" t="s">
        <v>1951</v>
      </c>
      <c r="C577" t="s">
        <v>608</v>
      </c>
      <c r="D577" t="s">
        <v>1952</v>
      </c>
      <c r="E577" t="s">
        <v>610</v>
      </c>
      <c r="G577" t="s">
        <v>1506</v>
      </c>
    </row>
    <row r="578" spans="1:7" x14ac:dyDescent="0.2">
      <c r="A578">
        <v>967</v>
      </c>
      <c r="B578" t="s">
        <v>1953</v>
      </c>
      <c r="C578" t="s">
        <v>1954</v>
      </c>
      <c r="E578" t="s">
        <v>1955</v>
      </c>
      <c r="G578" t="s">
        <v>1506</v>
      </c>
    </row>
    <row r="579" spans="1:7" x14ac:dyDescent="0.2">
      <c r="A579">
        <v>980</v>
      </c>
      <c r="B579" t="s">
        <v>1956</v>
      </c>
      <c r="C579" t="s">
        <v>1957</v>
      </c>
      <c r="G579" t="s">
        <v>1506</v>
      </c>
    </row>
    <row r="580" spans="1:7" x14ac:dyDescent="0.2">
      <c r="A580">
        <v>969</v>
      </c>
      <c r="B580" t="s">
        <v>1958</v>
      </c>
      <c r="C580" t="s">
        <v>1959</v>
      </c>
      <c r="E580" t="s">
        <v>748</v>
      </c>
      <c r="G580" t="s">
        <v>1506</v>
      </c>
    </row>
    <row r="581" spans="1:7" x14ac:dyDescent="0.2">
      <c r="A581">
        <v>970</v>
      </c>
      <c r="B581" t="s">
        <v>1960</v>
      </c>
      <c r="C581" t="s">
        <v>1961</v>
      </c>
      <c r="D581" t="s">
        <v>413</v>
      </c>
      <c r="E581" t="s">
        <v>381</v>
      </c>
      <c r="G581" t="s">
        <v>1506</v>
      </c>
    </row>
    <row r="582" spans="1:7" x14ac:dyDescent="0.2">
      <c r="A582">
        <v>981</v>
      </c>
      <c r="B582" t="s">
        <v>1962</v>
      </c>
      <c r="C582" t="s">
        <v>1963</v>
      </c>
      <c r="G582" t="s">
        <v>1506</v>
      </c>
    </row>
    <row r="583" spans="1:7" x14ac:dyDescent="0.2">
      <c r="A583">
        <v>972</v>
      </c>
      <c r="B583" t="s">
        <v>1964</v>
      </c>
      <c r="C583" t="s">
        <v>1965</v>
      </c>
      <c r="E583" t="s">
        <v>1966</v>
      </c>
      <c r="G583" t="s">
        <v>1506</v>
      </c>
    </row>
    <row r="584" spans="1:7" x14ac:dyDescent="0.2">
      <c r="A584">
        <v>973</v>
      </c>
      <c r="B584" t="s">
        <v>1967</v>
      </c>
      <c r="C584" t="s">
        <v>1968</v>
      </c>
      <c r="E584" t="s">
        <v>843</v>
      </c>
      <c r="G584" t="s">
        <v>1506</v>
      </c>
    </row>
    <row r="585" spans="1:7" x14ac:dyDescent="0.2">
      <c r="A585">
        <v>974</v>
      </c>
      <c r="B585" t="s">
        <v>1969</v>
      </c>
      <c r="C585" t="s">
        <v>1970</v>
      </c>
      <c r="D585" t="s">
        <v>1971</v>
      </c>
      <c r="E585" t="s">
        <v>1440</v>
      </c>
      <c r="G585" t="s">
        <v>1506</v>
      </c>
    </row>
    <row r="586" spans="1:7" x14ac:dyDescent="0.2">
      <c r="A586">
        <v>975</v>
      </c>
      <c r="B586" t="s">
        <v>1972</v>
      </c>
      <c r="C586" t="s">
        <v>471</v>
      </c>
      <c r="D586" t="s">
        <v>472</v>
      </c>
      <c r="E586" t="s">
        <v>473</v>
      </c>
      <c r="G586" t="s">
        <v>1506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7a5dd83b0615c7ab65f6e497dc3f1a67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8b3083ab368e81f90f854d4b93d60013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E30D81-B565-4F8A-863C-6905EB781245}">
  <ds:schemaRefs>
    <ds:schemaRef ds:uri="7c6541c9-858d-46cc-aee4-1fa681dc1bd6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7e7f2dcd-0c2b-4478-ad05-247cf739c5b2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43EB7E1-6E7D-4838-9FE1-742EADC2A2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554B3E-01C8-4660-86A1-98EC8BC81B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f2dcd-0c2b-4478-ad05-247cf739c5b2"/>
    <ds:schemaRef ds:uri="7c6541c9-858d-46cc-aee4-1fa681dc1b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LIJSTEN</vt:lpstr>
      <vt:lpstr>HUIZEN_MASTER</vt:lpstr>
      <vt:lpstr>WONING_CYCLI</vt:lpstr>
      <vt:lpstr>ACTIES</vt:lpstr>
      <vt:lpstr>BRON_UITCHECK_TRACKING</vt:lpstr>
      <vt:lpstr>OG_HUIZEN_LIJST</vt:lpstr>
      <vt:lpstr>lst_actie_type</vt:lpstr>
      <vt:lpstr>lst_bestemming</vt:lpstr>
      <vt:lpstr>lst_ja_nee_onbekend</vt:lpstr>
      <vt:lpstr>lst_klant_type</vt:lpstr>
      <vt:lpstr>lst_sleuteloverdracht_methode</vt:lpstr>
      <vt:lpstr>lst_status</vt:lpstr>
      <vt:lpstr>lst_uitvoerder_team</vt:lpstr>
      <vt:lpstr>lst_uren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Aljereau Marten</cp:lastModifiedBy>
  <dcterms:created xsi:type="dcterms:W3CDTF">2025-12-19T15:37:58Z</dcterms:created>
  <dcterms:modified xsi:type="dcterms:W3CDTF">2025-12-22T13:06:31Z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  <property fmtid="{D5CDD505-2E9C-101B-9397-08002B2CF9AE}" pid="3" name="MediaServiceImageTags">
    <vt:lpwstr/>
  </property>
</Properties>
</file>