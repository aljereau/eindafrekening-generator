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3026194F-7C1F-1C42-9C74-101A2D45F3F0}" xr6:coauthVersionLast="47" xr6:coauthVersionMax="47" xr10:uidLastSave="{00000000-0000-0000-0000-000000000000}"/>
  <bookViews>
    <workbookView xWindow="-2220" yWindow="-21100" windowWidth="38400" windowHeight="21100" tabRatio="865" xr2:uid="{00000000-000D-0000-FFFF-FFFF00000000}"/>
  </bookViews>
  <sheets>
    <sheet name="Huizenlijst" sheetId="1" r:id="rId1"/>
    <sheet name="ICY" sheetId="34" r:id="rId2"/>
    <sheet name="Energie" sheetId="27" r:id="rId3"/>
    <sheet name="Energie leverancier" sheetId="32" r:id="rId4"/>
    <sheet name="Koperwerf meterstanden" sheetId="28" r:id="rId5"/>
    <sheet name="DT Kostprijs bij bezetting" sheetId="31" r:id="rId6"/>
    <sheet name="DT Verkorte lijst" sheetId="21" r:id="rId7"/>
    <sheet name="Container info" sheetId="24" r:id="rId8"/>
    <sheet name="Informatie huizen" sheetId="16" r:id="rId9"/>
    <sheet name="Ketel onderhoud" sheetId="22" r:id="rId10"/>
    <sheet name="Energiemeters" sheetId="9" r:id="rId11"/>
    <sheet name="Internet" sheetId="3" r:id="rId12"/>
    <sheet name="OUD Koperwerf " sheetId="25" r:id="rId13"/>
  </sheets>
  <definedNames>
    <definedName name="_xlnm._FilterDatabase" localSheetId="0" hidden="1">Huizenlijst!$B$1:$AV$23</definedName>
    <definedName name="_xlnm.Print_Area" localSheetId="0">Huizenlijst!$B$1:$AV$67</definedName>
    <definedName name="_xlnm.Print_Titles" localSheetId="0">Huizenlijst!$B:$B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5" i="1" l="1"/>
  <c r="AM14" i="1"/>
  <c r="AM13" i="1"/>
  <c r="AM12" i="1"/>
  <c r="AM11" i="1"/>
  <c r="AM4" i="1"/>
  <c r="AM20" i="1"/>
  <c r="AK21" i="1"/>
  <c r="AK15" i="1"/>
  <c r="AI21" i="1"/>
  <c r="AI15" i="1"/>
  <c r="AI12" i="1"/>
  <c r="AI9" i="1"/>
  <c r="AI7" i="1"/>
  <c r="AI6" i="1"/>
  <c r="AI5" i="1"/>
  <c r="AI4" i="1"/>
  <c r="AI3" i="1"/>
  <c r="AI2" i="1"/>
  <c r="D89" i="28"/>
  <c r="Q48" i="25"/>
  <c r="E67" i="25" l="1"/>
  <c r="E68" i="25" s="1"/>
  <c r="E69" i="25" s="1"/>
  <c r="Q41" i="25"/>
  <c r="Q40" i="25"/>
  <c r="Q39" i="25"/>
  <c r="Q46" i="25"/>
  <c r="E55" i="25"/>
  <c r="E49" i="25"/>
  <c r="E50" i="25" s="1"/>
  <c r="E51" i="25" s="1"/>
  <c r="E57" i="25" s="1"/>
  <c r="P42" i="25"/>
  <c r="Q42" i="25" l="1"/>
  <c r="Q56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Scholtes | AUB van Bergen</author>
  </authors>
  <commentList>
    <comment ref="F15" authorId="0" shapeId="0" xr:uid="{4AFD59B8-29FF-454F-B0E3-9CE2C0BAA1B4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1400 Jan Vink
620 Denise Vink
</t>
        </r>
      </text>
    </comment>
    <comment ref="Q15" authorId="0" shapeId="0" xr:uid="{DFB47417-A0C0-48BE-8450-0739DB2E8AE5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€ 1400 naar 5094
€ 620 naar 5095</t>
        </r>
      </text>
    </comment>
    <comment ref="F21" authorId="0" shapeId="0" xr:uid="{65F2ADB0-B0B0-44AA-9998-5179D0D87643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Vanaf 1/1-24 4% verhoging van € 1,500,- naar € 1.560,-</t>
        </r>
      </text>
    </comment>
  </commentList>
</comments>
</file>

<file path=xl/sharedStrings.xml><?xml version="1.0" encoding="utf-8"?>
<sst xmlns="http://schemas.openxmlformats.org/spreadsheetml/2006/main" count="2122" uniqueCount="848">
  <si>
    <t xml:space="preserve">Huis </t>
  </si>
  <si>
    <t xml:space="preserve">Tekening </t>
  </si>
  <si>
    <t xml:space="preserve">Lijst meters </t>
  </si>
  <si>
    <t>ja</t>
  </si>
  <si>
    <t>nee</t>
  </si>
  <si>
    <t>Alkemadelaan 5  Monster</t>
  </si>
  <si>
    <t>Alkemadelaan 7  Monster</t>
  </si>
  <si>
    <t>contract</t>
  </si>
  <si>
    <t xml:space="preserve">borg </t>
  </si>
  <si>
    <t>Bovendijk 59  Kwintsheul</t>
  </si>
  <si>
    <t>Bovendijk 61  Kwintsheul</t>
  </si>
  <si>
    <t>Grote Waard 21  Honselersdijk</t>
  </si>
  <si>
    <t>Burgemeester Crezeelaan 76  De Lier</t>
  </si>
  <si>
    <t xml:space="preserve">ja </t>
  </si>
  <si>
    <t>Haagkamp 11  Honselersdijk</t>
  </si>
  <si>
    <t>Lange Broekweg 46  Naaldwijk</t>
  </si>
  <si>
    <t>Molenweg 3 A  Monster</t>
  </si>
  <si>
    <t>Madeweg 25 C  Monster</t>
  </si>
  <si>
    <t>Rietdijkstraat 70  Hoek van Holland</t>
  </si>
  <si>
    <t>Waellandweg 12  Monster</t>
  </si>
  <si>
    <t>Postcode</t>
  </si>
  <si>
    <t>KPL</t>
  </si>
  <si>
    <t xml:space="preserve">Huur p/m </t>
  </si>
  <si>
    <t>Eigenaar</t>
  </si>
  <si>
    <t>Adres</t>
  </si>
  <si>
    <t>Woonplaats</t>
  </si>
  <si>
    <t>Contactpersoon</t>
  </si>
  <si>
    <t>Telefoon</t>
  </si>
  <si>
    <t xml:space="preserve">Mail </t>
  </si>
  <si>
    <t>Rekeningnr</t>
  </si>
  <si>
    <t>2295 RW</t>
  </si>
  <si>
    <t>2678 KZ</t>
  </si>
  <si>
    <t>2675 HK</t>
  </si>
  <si>
    <t>2671 DV</t>
  </si>
  <si>
    <t>2681 RD</t>
  </si>
  <si>
    <t>2681 PJ</t>
  </si>
  <si>
    <t>3151 GK</t>
  </si>
  <si>
    <t>2681 LV</t>
  </si>
  <si>
    <t>B59</t>
  </si>
  <si>
    <t>B61</t>
  </si>
  <si>
    <t>CZ</t>
  </si>
  <si>
    <t>HK</t>
  </si>
  <si>
    <t>L46</t>
  </si>
  <si>
    <t>MOL</t>
  </si>
  <si>
    <t>M25</t>
  </si>
  <si>
    <t>RD</t>
  </si>
  <si>
    <t>5002</t>
  </si>
  <si>
    <t>5003</t>
  </si>
  <si>
    <t>5004</t>
  </si>
  <si>
    <t>5005</t>
  </si>
  <si>
    <t>WAE</t>
  </si>
  <si>
    <t>5015</t>
  </si>
  <si>
    <t>5055</t>
  </si>
  <si>
    <t>5047</t>
  </si>
  <si>
    <t>5007</t>
  </si>
  <si>
    <t>F.A.S. van Bergen</t>
  </si>
  <si>
    <t>J. v. Bergen</t>
  </si>
  <si>
    <t>Rijpstraat 22</t>
  </si>
  <si>
    <t>3151 BV</t>
  </si>
  <si>
    <t>Hoek van Holland</t>
  </si>
  <si>
    <t>NL44ABNA0620327766</t>
  </si>
  <si>
    <t>jetvbergen@gmail.com</t>
  </si>
  <si>
    <t>Monster</t>
  </si>
  <si>
    <t>Naaldwijk</t>
  </si>
  <si>
    <t>Honselersdijk</t>
  </si>
  <si>
    <t>06-53299575</t>
  </si>
  <si>
    <t>piet@pietvijverberg.nl</t>
  </si>
  <si>
    <t>M. Nottet</t>
  </si>
  <si>
    <t>Nieuweweg 102</t>
  </si>
  <si>
    <t>2675 BE</t>
  </si>
  <si>
    <t>mnottet@caiway.nl</t>
  </si>
  <si>
    <t>06-50502637</t>
  </si>
  <si>
    <t>H. van Leeuwen</t>
  </si>
  <si>
    <t>Postbus 170</t>
  </si>
  <si>
    <t>2680 AD</t>
  </si>
  <si>
    <t>Petra</t>
  </si>
  <si>
    <t>06-51262904 / 0174-248804</t>
  </si>
  <si>
    <t>petra@huubvanleeuwen.nl</t>
  </si>
  <si>
    <t>K. Zuidgeest</t>
  </si>
  <si>
    <t>Oudecampsweg 7</t>
  </si>
  <si>
    <t>2678 NN</t>
  </si>
  <si>
    <t xml:space="preserve"> De Lier</t>
  </si>
  <si>
    <t>06-26146636</t>
  </si>
  <si>
    <t xml:space="preserve">KoosZuidgeest@zuidkoop.nl / k.zuidgeest@hetnet.nl </t>
  </si>
  <si>
    <t>NL05RABO0336208367</t>
  </si>
  <si>
    <t>Begin huur</t>
  </si>
  <si>
    <t>Eind Huur</t>
  </si>
  <si>
    <t>Opzegtermijn</t>
  </si>
  <si>
    <t>v.o.f. J.C. Mulder</t>
  </si>
  <si>
    <t>Van Poeljestraat 28</t>
  </si>
  <si>
    <t>2675 TB</t>
  </si>
  <si>
    <t>NL08RABO0343659077</t>
  </si>
  <si>
    <t>De Lier</t>
  </si>
  <si>
    <t>G. Hofland</t>
  </si>
  <si>
    <t>Goos Hofland</t>
  </si>
  <si>
    <t>Molenweg 3b</t>
  </si>
  <si>
    <t>Maup van der Ende</t>
  </si>
  <si>
    <t>06-54271085</t>
  </si>
  <si>
    <t>NL27RABO0343661063</t>
  </si>
  <si>
    <t>s-Gravenzande</t>
  </si>
  <si>
    <t>T. Olsthoorn</t>
  </si>
  <si>
    <t>Ravellaan 8</t>
  </si>
  <si>
    <t>2671 VT</t>
  </si>
  <si>
    <t>06-22413459</t>
  </si>
  <si>
    <t>NL92RABO0342957031</t>
  </si>
  <si>
    <t>tonolsthoorn@kpnmail.nl</t>
  </si>
  <si>
    <t>container info</t>
  </si>
  <si>
    <t>Vliet</t>
  </si>
  <si>
    <t>1x 1100 ltr / 1x pw / dinsdag</t>
  </si>
  <si>
    <t>BICT</t>
  </si>
  <si>
    <t>Ziggo</t>
  </si>
  <si>
    <t>2 maanden</t>
  </si>
  <si>
    <t>3 maanden</t>
  </si>
  <si>
    <t>1 maand</t>
  </si>
  <si>
    <t xml:space="preserve">Bedden </t>
  </si>
  <si>
    <t>Kamers</t>
  </si>
  <si>
    <t>BELANGRIJKE NUMMERS</t>
  </si>
  <si>
    <t>Bedrijf</t>
  </si>
  <si>
    <t xml:space="preserve">Klantnr </t>
  </si>
  <si>
    <t>Tel.nr.</t>
  </si>
  <si>
    <t>RobSat (Robert)</t>
  </si>
  <si>
    <t>Eneco</t>
  </si>
  <si>
    <t>Vitens</t>
  </si>
  <si>
    <t>Dunea storing</t>
  </si>
  <si>
    <t xml:space="preserve">Dunea  </t>
  </si>
  <si>
    <t xml:space="preserve">Essent </t>
  </si>
  <si>
    <t>06-19339421</t>
  </si>
  <si>
    <t>0900 - 0201</t>
  </si>
  <si>
    <t>0900-0650</t>
  </si>
  <si>
    <t>088-3474747</t>
  </si>
  <si>
    <t>www.evides.nl/storingen</t>
  </si>
  <si>
    <t>Ebenhaezerstraat 32a</t>
  </si>
  <si>
    <t>Iwan Velders (RB)</t>
  </si>
  <si>
    <t>06-27894794</t>
  </si>
  <si>
    <t xml:space="preserve">Gemeente Westland </t>
  </si>
  <si>
    <t>14 0174</t>
  </si>
  <si>
    <t>0800 - 1265</t>
  </si>
  <si>
    <t>0800 - 9009</t>
  </si>
  <si>
    <t>storing lijn</t>
  </si>
  <si>
    <t>land. storing lijn</t>
  </si>
  <si>
    <t>Gemeentewerven (Grofvuil)</t>
  </si>
  <si>
    <t>Naaldwijk, Hoogwerf 5</t>
  </si>
  <si>
    <t>Maandag t/m vrijdag</t>
  </si>
  <si>
    <t>08.00 - 16.00 uur</t>
  </si>
  <si>
    <t>Zaterdag</t>
  </si>
  <si>
    <t>08.30 - 11.30 uur</t>
  </si>
  <si>
    <t>Hoek v Holland, Zekkenstr 100a</t>
  </si>
  <si>
    <t>Woensdag en vrijdag</t>
  </si>
  <si>
    <t>12.00 - 16.00 uur</t>
  </si>
  <si>
    <t>09.00 - 16.00 uur</t>
  </si>
  <si>
    <t>Ton Olsthoorn</t>
  </si>
  <si>
    <t>1x 500 ltr / 1x pw / dinsdag</t>
  </si>
  <si>
    <t>Total GP</t>
  </si>
  <si>
    <t>Lange Broekweg 46</t>
  </si>
  <si>
    <t>0174-625887</t>
  </si>
  <si>
    <t xml:space="preserve">2678 EX </t>
  </si>
  <si>
    <t>21a</t>
  </si>
  <si>
    <t>De Rembrandt B.V.</t>
  </si>
  <si>
    <t>Flip van Adrichem</t>
  </si>
  <si>
    <t>Langestraat 48</t>
  </si>
  <si>
    <t>2691 BH</t>
  </si>
  <si>
    <t>06-41372342</t>
  </si>
  <si>
    <t>flip@eetcafedewitte.nl</t>
  </si>
  <si>
    <t>NL21RABO0156104105</t>
  </si>
  <si>
    <t>Factuur</t>
  </si>
  <si>
    <t xml:space="preserve">incl </t>
  </si>
  <si>
    <t>Grijs (OW), Groen (EW) / woensdag, Blauw laatste maandag vd maand</t>
  </si>
  <si>
    <t>Gemeente</t>
  </si>
  <si>
    <t>ondergrondse containers</t>
  </si>
  <si>
    <t>incl</t>
  </si>
  <si>
    <t>K018010473</t>
  </si>
  <si>
    <t>0171875194</t>
  </si>
  <si>
    <t>Stedin Netbeheer</t>
  </si>
  <si>
    <t>088-8963963</t>
  </si>
  <si>
    <t>Maasland</t>
  </si>
  <si>
    <t>Katwijkseweg 33  Wassenaar</t>
  </si>
  <si>
    <t>Karel Doormanlaan 21a  De Lier</t>
  </si>
  <si>
    <t>Installatie service Robert</t>
  </si>
  <si>
    <t>Robert Mangroelal</t>
  </si>
  <si>
    <t>06-53587450</t>
  </si>
  <si>
    <t>opmerking</t>
  </si>
  <si>
    <t>1x 1100 ltr / 1x pw / woensdag</t>
  </si>
  <si>
    <t>2x 1100 ltr / 1x pw / maandag</t>
  </si>
  <si>
    <t>2678 AN</t>
  </si>
  <si>
    <t>Burgemeester Cramerlaan 82 De Lier</t>
  </si>
  <si>
    <t>Piet van den Berg</t>
  </si>
  <si>
    <t>Burgemeester Cramerlaan 17</t>
  </si>
  <si>
    <t>2678 AL</t>
  </si>
  <si>
    <t>info@vandenbergdelier.nl</t>
  </si>
  <si>
    <t>06-38765032</t>
  </si>
  <si>
    <t>stroom via tuin eigenaar</t>
  </si>
  <si>
    <t>NL29ABNA0472271989</t>
  </si>
  <si>
    <t>incl.</t>
  </si>
  <si>
    <t>Zaaipad 4 Zevenhuizen</t>
  </si>
  <si>
    <t>2761 KD</t>
  </si>
  <si>
    <t>Prins Hendrikstraat 205A Hoek van Holland</t>
  </si>
  <si>
    <t>3151 AH</t>
  </si>
  <si>
    <t>ZP4</t>
  </si>
  <si>
    <t>Vliet / Gemeente</t>
  </si>
  <si>
    <t>Koperwerf 28, Den Haag</t>
  </si>
  <si>
    <t>2544 EN</t>
  </si>
  <si>
    <t>K28</t>
  </si>
  <si>
    <t>P. van den Berg</t>
  </si>
  <si>
    <t>Lammertink Projecten B.V.</t>
  </si>
  <si>
    <t>Hans Lammertink</t>
  </si>
  <si>
    <t>Rijpstraat 24, Hoek van Holland</t>
  </si>
  <si>
    <t>R24</t>
  </si>
  <si>
    <t>Gemeente / Vliet</t>
  </si>
  <si>
    <t>#</t>
  </si>
  <si>
    <t>STAD</t>
  </si>
  <si>
    <t>REFERENTIE</t>
  </si>
  <si>
    <t>Naam router</t>
  </si>
  <si>
    <t>Wifi wachtwoord</t>
  </si>
  <si>
    <t>Prins Hendrikstraat 166 Hoek van Holland</t>
  </si>
  <si>
    <t>Lilian van Oosten</t>
  </si>
  <si>
    <t>3151 NL</t>
  </si>
  <si>
    <t>06-37270022</t>
  </si>
  <si>
    <t xml:space="preserve">gemeente </t>
  </si>
  <si>
    <t>1e Scheepvaartstraat 24, Hoek van Holland</t>
  </si>
  <si>
    <t>S24</t>
  </si>
  <si>
    <t>G.A. van Oosten</t>
  </si>
  <si>
    <t>Grootzand 19</t>
  </si>
  <si>
    <t>3151 VD</t>
  </si>
  <si>
    <t>Zekkenstraat 56, Hoek van Holland</t>
  </si>
  <si>
    <t>3151 XP</t>
  </si>
  <si>
    <t>R.L. Koornneef</t>
  </si>
  <si>
    <t>Burgerweg 3</t>
  </si>
  <si>
    <t>3155 DA</t>
  </si>
  <si>
    <t>06-24266245 / 06-33733955</t>
  </si>
  <si>
    <t>Gas</t>
  </si>
  <si>
    <t>EAN</t>
  </si>
  <si>
    <t>Meternummer</t>
  </si>
  <si>
    <t>Elektra</t>
  </si>
  <si>
    <t>Water</t>
  </si>
  <si>
    <t>xxx</t>
  </si>
  <si>
    <t>21042 002108874507</t>
  </si>
  <si>
    <t>3T1513064</t>
  </si>
  <si>
    <t>nvt</t>
  </si>
  <si>
    <t>1991 91730831</t>
  </si>
  <si>
    <t>0021082512</t>
  </si>
  <si>
    <t>47656092</t>
  </si>
  <si>
    <t>3T1263093</t>
  </si>
  <si>
    <t>Kamer</t>
  </si>
  <si>
    <t>061617</t>
  </si>
  <si>
    <t>3T1316289</t>
  </si>
  <si>
    <t>3206324?</t>
  </si>
  <si>
    <t>6785752952</t>
  </si>
  <si>
    <t>3?2408888</t>
  </si>
  <si>
    <t>54592749</t>
  </si>
  <si>
    <t>3T2912057</t>
  </si>
  <si>
    <t>00002171</t>
  </si>
  <si>
    <t>3T1123500</t>
  </si>
  <si>
    <t>3T1123590</t>
  </si>
  <si>
    <t>96772752</t>
  </si>
  <si>
    <t>27098056</t>
  </si>
  <si>
    <t>3T1450436</t>
  </si>
  <si>
    <t>0039001604440116</t>
  </si>
  <si>
    <t>0034006796692216</t>
  </si>
  <si>
    <t>5181880043</t>
  </si>
  <si>
    <t>0044007310598018</t>
  </si>
  <si>
    <t>0044007310598818</t>
  </si>
  <si>
    <t>0044007310599018</t>
  </si>
  <si>
    <t>0044007310600118</t>
  </si>
  <si>
    <t>0044007310598918</t>
  </si>
  <si>
    <t>0044007310597918</t>
  </si>
  <si>
    <t>0044007310598718</t>
  </si>
  <si>
    <t>0044007310598118</t>
  </si>
  <si>
    <t>0044007310597818</t>
  </si>
  <si>
    <t>0044007310414918</t>
  </si>
  <si>
    <t>0044007310425318</t>
  </si>
  <si>
    <t>0044007310439218</t>
  </si>
  <si>
    <t>0044007310597618</t>
  </si>
  <si>
    <t>0044007310597518</t>
  </si>
  <si>
    <t>0044007310598218</t>
  </si>
  <si>
    <t>0044007310438918</t>
  </si>
  <si>
    <t>0044007310601218</t>
  </si>
  <si>
    <t>0044007310596818</t>
  </si>
  <si>
    <t>0044007310011818</t>
  </si>
  <si>
    <t>0044007310598618</t>
  </si>
  <si>
    <t>nb</t>
  </si>
  <si>
    <t>OT</t>
  </si>
  <si>
    <t xml:space="preserve">MSN </t>
  </si>
  <si>
    <t>Schietlood 2</t>
  </si>
  <si>
    <t>2495 AN</t>
  </si>
  <si>
    <t>Den Haag</t>
  </si>
  <si>
    <t>871689260010885678</t>
  </si>
  <si>
    <t>871689260010885531</t>
  </si>
  <si>
    <t>871689260010885654</t>
  </si>
  <si>
    <t>871689260010885593</t>
  </si>
  <si>
    <t>871689260010885579</t>
  </si>
  <si>
    <t>871689260010885562</t>
  </si>
  <si>
    <t>871689260010885470</t>
  </si>
  <si>
    <t>871689260010885555</t>
  </si>
  <si>
    <t>871689260010885500</t>
  </si>
  <si>
    <t>871689260010885623</t>
  </si>
  <si>
    <t>871689260010885661</t>
  </si>
  <si>
    <t>2675 SK</t>
  </si>
  <si>
    <t>Jan Mulder</t>
  </si>
  <si>
    <t>06-53690859</t>
  </si>
  <si>
    <t>Fenacoliuslaan 55b, Maassluis</t>
  </si>
  <si>
    <t>NL60KNAB0257738010</t>
  </si>
  <si>
    <t>P.H. Jagt</t>
  </si>
  <si>
    <t>Peter Jagt</t>
  </si>
  <si>
    <t>Haakweg 33</t>
  </si>
  <si>
    <t>3151 XD</t>
  </si>
  <si>
    <t>06-51609632</t>
  </si>
  <si>
    <t>peter@westhoekmakelaars.nl</t>
  </si>
  <si>
    <t>3143AB</t>
  </si>
  <si>
    <t>56b</t>
  </si>
  <si>
    <t>1x 660 ltr 1x pw di  // Grijs (OW) groen ( EW) donderdag</t>
  </si>
  <si>
    <t>1x 500 ltr / 1x pw / vrijdag</t>
  </si>
  <si>
    <t>15 april  ipv 5 maart aangevangen</t>
  </si>
  <si>
    <t>6maanden</t>
  </si>
  <si>
    <t>per maand</t>
  </si>
  <si>
    <t>1x 1100ltr / 1x pw / maandag</t>
  </si>
  <si>
    <t>06-11066729</t>
  </si>
  <si>
    <t xml:space="preserve">Francois Tomasoa   </t>
  </si>
  <si>
    <t>francois.tomasoa@essent.nl</t>
  </si>
  <si>
    <t>Essent klantnr: 0171875194 en 0171897063</t>
  </si>
  <si>
    <t>goos@hoflandfloweringplants.nl</t>
  </si>
  <si>
    <t>1x 500 ltr / 1xpw / vrijdag</t>
  </si>
  <si>
    <t>CASH</t>
  </si>
  <si>
    <t>Gerberalaan 113, Naaldwijk</t>
  </si>
  <si>
    <t>2671 KC</t>
  </si>
  <si>
    <t>Stichting MCM</t>
  </si>
  <si>
    <t>NL39RABO0334435080</t>
  </si>
  <si>
    <t>Prins Willemweg 2 Hoek van Holland</t>
  </si>
  <si>
    <t>3151 HM</t>
  </si>
  <si>
    <t>PWW</t>
  </si>
  <si>
    <t>A.J. Bouma - Scholtsz</t>
  </si>
  <si>
    <t>Kick Bouma</t>
  </si>
  <si>
    <t>Jan de Geuspad 26</t>
  </si>
  <si>
    <t>3151 KD</t>
  </si>
  <si>
    <t>Hoek van holland</t>
  </si>
  <si>
    <t>Z33</t>
  </si>
  <si>
    <t>Ontv. Huur p/w incl</t>
  </si>
  <si>
    <t>G/L/W verbruik</t>
  </si>
  <si>
    <t xml:space="preserve">Som van Bedden </t>
  </si>
  <si>
    <t>Container</t>
  </si>
  <si>
    <t>Tarief container</t>
  </si>
  <si>
    <t>Tarief internet</t>
  </si>
  <si>
    <t>Internet</t>
  </si>
  <si>
    <t>Belastingen p/m</t>
  </si>
  <si>
    <t>Koperwerf 28, Den Haag (I)</t>
  </si>
  <si>
    <t>Koperwerf 28, Den Haag (Stg MCM)</t>
  </si>
  <si>
    <t>Koperwerf 28, Den Haag (II)</t>
  </si>
  <si>
    <t>Som van Tarief container</t>
  </si>
  <si>
    <t>Som van Tarief internet</t>
  </si>
  <si>
    <t>Som van Belastingen p/m</t>
  </si>
  <si>
    <t>Postcode2</t>
  </si>
  <si>
    <t>Ton Trading (inventaris)</t>
  </si>
  <si>
    <t>Tonnie</t>
  </si>
  <si>
    <t>06-43026602</t>
  </si>
  <si>
    <t>Huub</t>
  </si>
  <si>
    <t>06-55331225</t>
  </si>
  <si>
    <t>Zekkenstraat 33 A, Hoek van Holland</t>
  </si>
  <si>
    <t>Zekkenstraat 33 B, Hoek van Holland</t>
  </si>
  <si>
    <t>06-81553153</t>
  </si>
  <si>
    <t>-</t>
  </si>
  <si>
    <t>MSN (Milieu Service Nederland)</t>
  </si>
  <si>
    <t>088-0809010</t>
  </si>
  <si>
    <t>opzeggingen</t>
  </si>
  <si>
    <t>vastgoed@milieuservice.nl</t>
  </si>
  <si>
    <t>Ben</t>
  </si>
  <si>
    <t>accountmanager</t>
  </si>
  <si>
    <t>Mark de Mooy</t>
  </si>
  <si>
    <t>Zekkenstraat 31/33 internet</t>
  </si>
  <si>
    <t>06-14543230</t>
  </si>
  <si>
    <t>Essent Zakelijk</t>
  </si>
  <si>
    <t>073-8501264</t>
  </si>
  <si>
    <t>1x 500 ltr / 1x 2pw / ma E-W</t>
  </si>
  <si>
    <t>NL83INGB0677182783</t>
  </si>
  <si>
    <t>Grijs (EW), Groen (OW) / dinsdag, Blauw 1e woensdag vd maand / Rol 500ltr vrijdag (EW)</t>
  </si>
  <si>
    <t>Redouan Chalhi</t>
  </si>
  <si>
    <t>06-11284134</t>
  </si>
  <si>
    <t>0174-297888</t>
  </si>
  <si>
    <t>1x 660 ltr   / 1x2 pw / donderdag/ O-W</t>
  </si>
  <si>
    <t>DoeMeerMetVerlichting.nl</t>
  </si>
  <si>
    <t>Theo Dongelmans</t>
  </si>
  <si>
    <t>06-20441111</t>
  </si>
  <si>
    <t>Prevent Brandbeveiliging</t>
  </si>
  <si>
    <t>0174-526700</t>
  </si>
  <si>
    <t>Koperwerf</t>
  </si>
  <si>
    <t>Ziggo Zakelijke Markt (internet)</t>
  </si>
  <si>
    <t>Deb 22024295 / Klantnr 50126662</t>
  </si>
  <si>
    <t>0800-0620</t>
  </si>
  <si>
    <t>Ziggo (RTV)</t>
  </si>
  <si>
    <t>30440929 of  32100711</t>
  </si>
  <si>
    <t>Van Vliet Containers / Renewi (losse container)</t>
  </si>
  <si>
    <t>Renewi (Van Vliet) rolcontainers</t>
  </si>
  <si>
    <t>088-700300</t>
  </si>
  <si>
    <t>Clean Energy (Koperwerf)</t>
  </si>
  <si>
    <t>085-0645990 klantenserv</t>
  </si>
  <si>
    <t>0800-9009 storing</t>
  </si>
  <si>
    <t>Madeweg 35 A Monster</t>
  </si>
  <si>
    <t>2681 PK</t>
  </si>
  <si>
    <t>M35</t>
  </si>
  <si>
    <t>van Spronsen Witgoed</t>
  </si>
  <si>
    <t>0174-385126</t>
  </si>
  <si>
    <t>van Spronsen</t>
  </si>
  <si>
    <t>Eneco Zakelijk</t>
  </si>
  <si>
    <t>40796370-1</t>
  </si>
  <si>
    <t>010-8909696</t>
  </si>
  <si>
    <t>1x 500 ltr / 1x p2w / vrijdag EW</t>
  </si>
  <si>
    <t>Huis van Bergen</t>
  </si>
  <si>
    <t>AUBpd123!@</t>
  </si>
  <si>
    <t xml:space="preserve">Kamers </t>
  </si>
  <si>
    <t>in 1x gehuurd / betaald</t>
  </si>
  <si>
    <t>Eigendom ketel</t>
  </si>
  <si>
    <t>Type CV ketel</t>
  </si>
  <si>
    <t>van Bergen</t>
  </si>
  <si>
    <t>1x 1300ltr / woensdag en vrijdag</t>
  </si>
  <si>
    <t>J.S. Vink Vastgoed</t>
  </si>
  <si>
    <t>Boomaweg 27</t>
  </si>
  <si>
    <t xml:space="preserve">2681 RH </t>
  </si>
  <si>
    <t>1 X 660 ltr/ 1x pw / woensdag</t>
  </si>
  <si>
    <t>Datum Gekeurd</t>
  </si>
  <si>
    <t>Datum  Nieuwe keuring</t>
  </si>
  <si>
    <t>Opmerkingen</t>
  </si>
  <si>
    <t>Combifort 38/80+</t>
  </si>
  <si>
    <t>Intergas HRE</t>
  </si>
  <si>
    <t>Remeha Avanta 35C</t>
  </si>
  <si>
    <t>Nefit</t>
  </si>
  <si>
    <t>Nieuw geplaatst, dit jaar keuring</t>
  </si>
  <si>
    <t>Remeha Avanta 28c</t>
  </si>
  <si>
    <t>Remeha Tzerra Ace</t>
  </si>
  <si>
    <t>Ketel vanuit loods eigenaar</t>
  </si>
  <si>
    <t>Ferroli</t>
  </si>
  <si>
    <t>Ferroli Blue Sense 4 22</t>
  </si>
  <si>
    <t>Nefit Excellent</t>
  </si>
  <si>
    <t>Remeha Avanta CW4</t>
  </si>
  <si>
    <t>Vaillant Eco Tec Plus</t>
  </si>
  <si>
    <t>Intergas Compact HRE</t>
  </si>
  <si>
    <t>Remeha Calenta</t>
  </si>
  <si>
    <t>nov-20 / ..</t>
  </si>
  <si>
    <t>nov-21 / ..</t>
  </si>
  <si>
    <t>1x Nieuw geplaatst, dit jaar keuring</t>
  </si>
  <si>
    <t>Remeha Calenta / Intergas HRE</t>
  </si>
  <si>
    <t>Nieuw geplaatst, volgend jaar keuring</t>
  </si>
  <si>
    <t>Dock Holland</t>
  </si>
  <si>
    <t>Centraal geregeld</t>
  </si>
  <si>
    <t>Boiler voor water, verwarming uit kas</t>
  </si>
  <si>
    <t>van Oosten</t>
  </si>
  <si>
    <t>Vijverberg</t>
  </si>
  <si>
    <t>Nottet</t>
  </si>
  <si>
    <t>van den Berg</t>
  </si>
  <si>
    <t>Zuidgeest</t>
  </si>
  <si>
    <t>Jagt</t>
  </si>
  <si>
    <t>van der Ende</t>
  </si>
  <si>
    <t>Koehler</t>
  </si>
  <si>
    <t>van Adrichem</t>
  </si>
  <si>
    <t>Mulder</t>
  </si>
  <si>
    <t>Nayeri</t>
  </si>
  <si>
    <t>Lammertink</t>
  </si>
  <si>
    <t>Hofland</t>
  </si>
  <si>
    <t>van Leeuwen</t>
  </si>
  <si>
    <t>Ruigrok</t>
  </si>
  <si>
    <t>Bouma</t>
  </si>
  <si>
    <t>Olsthoorn</t>
  </si>
  <si>
    <t>Kouwenhoven</t>
  </si>
  <si>
    <t>Vink</t>
  </si>
  <si>
    <t>Denise Vink</t>
  </si>
  <si>
    <t>Contractduur</t>
  </si>
  <si>
    <t>Einddatum contract</t>
  </si>
  <si>
    <t>Rijlabels</t>
  </si>
  <si>
    <t>(leeg)</t>
  </si>
  <si>
    <t>Eindtotaal</t>
  </si>
  <si>
    <t>Scharloo 29B, Brielle</t>
  </si>
  <si>
    <t>All In Rentals</t>
  </si>
  <si>
    <t>Scharloo 29C, Brielle</t>
  </si>
  <si>
    <t>Overig</t>
  </si>
  <si>
    <t xml:space="preserve">Som van Huur p/m </t>
  </si>
  <si>
    <t>871689290501250364</t>
  </si>
  <si>
    <t>871689290500449431</t>
  </si>
  <si>
    <t>1e Scheepvaartstraat 24, Hoek van Holland (Concordiastraat 4)</t>
  </si>
  <si>
    <t>871687800001555993</t>
  </si>
  <si>
    <t>871687810000292959</t>
  </si>
  <si>
    <t>871687800000305612</t>
  </si>
  <si>
    <t>871687810000293505</t>
  </si>
  <si>
    <t>3143 AE</t>
  </si>
  <si>
    <t>Fenacoliuslaan 56b Maassluis</t>
  </si>
  <si>
    <t>871689290501050391</t>
  </si>
  <si>
    <t>871689290500258446</t>
  </si>
  <si>
    <t>Gerberalaan 113 Naaldwijk</t>
  </si>
  <si>
    <t>871687810000022860</t>
  </si>
  <si>
    <t>871687800000018765</t>
  </si>
  <si>
    <t>871687810000101152</t>
  </si>
  <si>
    <t>871689260010885487</t>
  </si>
  <si>
    <t>871689260010885494</t>
  </si>
  <si>
    <t>871689260010885517</t>
  </si>
  <si>
    <t>871689260010885548</t>
  </si>
  <si>
    <t>871689260010885609</t>
  </si>
  <si>
    <t>871689260010885616</t>
  </si>
  <si>
    <t>871689260010885630</t>
  </si>
  <si>
    <t>871689260010885685</t>
  </si>
  <si>
    <t>871689260010885692</t>
  </si>
  <si>
    <t>Madeweg 35B  Monster</t>
  </si>
  <si>
    <t>871687810000150013</t>
  </si>
  <si>
    <t>871687800000155545</t>
  </si>
  <si>
    <t>871687810000154462</t>
  </si>
  <si>
    <t>871687800000160167</t>
  </si>
  <si>
    <t>871689290501243571</t>
  </si>
  <si>
    <t>871689290500442630</t>
  </si>
  <si>
    <t>871689290501206651</t>
  </si>
  <si>
    <t>871689290500407813</t>
  </si>
  <si>
    <t>Rietdijkstraat 70A  Hoek van Holland</t>
  </si>
  <si>
    <t>871689290501210788</t>
  </si>
  <si>
    <t>871689290500411964</t>
  </si>
  <si>
    <t>871689290500413678</t>
  </si>
  <si>
    <t>871689290501212485</t>
  </si>
  <si>
    <t>871687800000181704</t>
  </si>
  <si>
    <t>871687810000175818</t>
  </si>
  <si>
    <t>871687140022734022</t>
  </si>
  <si>
    <t>871690930000240003</t>
  </si>
  <si>
    <t>Prins Hendrikweg 14 Hoek van Holland</t>
  </si>
  <si>
    <t>Prins Hendrikweg 16-18 Hoek van Holland</t>
  </si>
  <si>
    <t>Zekkenstraat 9 unit4  Hoek van Holland</t>
  </si>
  <si>
    <t>3151 AE</t>
  </si>
  <si>
    <t>871689213001002905</t>
  </si>
  <si>
    <t>871689213000720794</t>
  </si>
  <si>
    <t>871689213000719941</t>
  </si>
  <si>
    <t>871689213000720169</t>
  </si>
  <si>
    <t>871689213000719958</t>
  </si>
  <si>
    <t>64 zonnepanelen aanwezig (voorschot +/- € 50,- per maand)</t>
  </si>
  <si>
    <t>miv 1/1-2022?</t>
  </si>
  <si>
    <t>1e etage</t>
  </si>
  <si>
    <t>Rechts</t>
  </si>
  <si>
    <t xml:space="preserve">Indeling </t>
  </si>
  <si>
    <t>Links</t>
  </si>
  <si>
    <t>5e etage</t>
  </si>
  <si>
    <t>6e etage</t>
  </si>
  <si>
    <t>7e etage</t>
  </si>
  <si>
    <t>Haakpad 27 Hoek van Holland</t>
  </si>
  <si>
    <t>3151 XC</t>
  </si>
  <si>
    <t>H27</t>
  </si>
  <si>
    <t>871689290500395103</t>
  </si>
  <si>
    <t>871689290501193968</t>
  </si>
  <si>
    <t>2022 € 5.200,- huur vermindering</t>
  </si>
  <si>
    <t>Mike</t>
  </si>
  <si>
    <t>06-39062737</t>
  </si>
  <si>
    <t>Laudry Expert</t>
  </si>
  <si>
    <t>Hugo Salomons</t>
  </si>
  <si>
    <t>0850030265 / 0682707674</t>
  </si>
  <si>
    <t>Parkweg 1-136 Hellevoetsluis</t>
  </si>
  <si>
    <t>Parkweg 1-138 Hellevoetsluis</t>
  </si>
  <si>
    <t>Parkweg 1-160 Hellevoetsluis</t>
  </si>
  <si>
    <t>Parkweg 1-311 Hellevoetsluis</t>
  </si>
  <si>
    <t>Parkweg 1-382 Hellevoetsluis</t>
  </si>
  <si>
    <t>Parkweg 1-388 Hellevoetsluis</t>
  </si>
  <si>
    <t>Engie</t>
  </si>
  <si>
    <t>Servicekosten</t>
  </si>
  <si>
    <t>Voorschot energie</t>
  </si>
  <si>
    <t>Huur</t>
  </si>
  <si>
    <t>week 9 / 2022 naar Hans Lammerting</t>
  </si>
  <si>
    <t>06-23615767 (denise) 06-53505331 (jan)</t>
  </si>
  <si>
    <t xml:space="preserve">Betaald in 1x </t>
  </si>
  <si>
    <t>Verdeeld in 65 per (5 jr / 13 per)</t>
  </si>
  <si>
    <t>Aantal kamers</t>
  </si>
  <si>
    <t>Per periode / per kamer</t>
  </si>
  <si>
    <t>Per week / per kamer</t>
  </si>
  <si>
    <t>Per periode (= 4 weken)</t>
  </si>
  <si>
    <t>Elektra betalen we zelf</t>
  </si>
  <si>
    <t>Per maand / per kamer</t>
  </si>
  <si>
    <t xml:space="preserve">Betalen per week per kamer </t>
  </si>
  <si>
    <t>(inclusief)</t>
  </si>
  <si>
    <t>Per week  / per kamer</t>
  </si>
  <si>
    <t>Totaal per week / per kamer</t>
  </si>
  <si>
    <t>PD extra kamers</t>
  </si>
  <si>
    <t>Betalen per maand voor extra kamers</t>
  </si>
  <si>
    <t>Maand</t>
  </si>
  <si>
    <t>Week</t>
  </si>
  <si>
    <t>Op basis van vergunning</t>
  </si>
  <si>
    <t>Aantal perioden</t>
  </si>
  <si>
    <t>60 terug naar Hans voor</t>
  </si>
  <si>
    <t>63 terug naar Hans voor</t>
  </si>
  <si>
    <t xml:space="preserve"> </t>
  </si>
  <si>
    <t>NIET VOOR LAMMERTINK</t>
  </si>
  <si>
    <t>4e etage</t>
  </si>
  <si>
    <t>elektra per</t>
  </si>
  <si>
    <t>Aantal kamers (miv 1/6-22)</t>
  </si>
  <si>
    <t>Vanaf 17/5 loopt elektra rechtstreeks via PD</t>
  </si>
  <si>
    <t>nog niet</t>
  </si>
  <si>
    <t>2 kamer nog leeg</t>
  </si>
  <si>
    <t>871689260010884992</t>
  </si>
  <si>
    <t>871689260010885784</t>
  </si>
  <si>
    <t>ingeruild</t>
  </si>
  <si>
    <t>871689260010885777</t>
  </si>
  <si>
    <t>871689260010885715</t>
  </si>
  <si>
    <t>871689260010885050</t>
  </si>
  <si>
    <t>871689260010885012</t>
  </si>
  <si>
    <t>871689260010885005</t>
  </si>
  <si>
    <t>871689260010885753</t>
  </si>
  <si>
    <t>871689260010885067</t>
  </si>
  <si>
    <t>871689260010885081</t>
  </si>
  <si>
    <t>871689260010885029</t>
  </si>
  <si>
    <t>871689260010885821</t>
  </si>
  <si>
    <t>871689260010885098</t>
  </si>
  <si>
    <t>871689260010885807</t>
  </si>
  <si>
    <t>871689260010885814</t>
  </si>
  <si>
    <t>871689260010885357</t>
  </si>
  <si>
    <t>871689260010885364</t>
  </si>
  <si>
    <t>871689260010885371</t>
  </si>
  <si>
    <t>871689260010885388</t>
  </si>
  <si>
    <t>871689260010885395</t>
  </si>
  <si>
    <t>871689260010885401</t>
  </si>
  <si>
    <t>871689260010885418</t>
  </si>
  <si>
    <t>871689260010885425</t>
  </si>
  <si>
    <t>871689260010885432</t>
  </si>
  <si>
    <t>871689260010885449</t>
  </si>
  <si>
    <t>871689260010885456</t>
  </si>
  <si>
    <t>871689260010885463</t>
  </si>
  <si>
    <t>871689260010885104</t>
  </si>
  <si>
    <t>ComCam</t>
  </si>
  <si>
    <t>Inclusief</t>
  </si>
  <si>
    <t>Exclusief</t>
  </si>
  <si>
    <t>Strandweg 25</t>
  </si>
  <si>
    <t>Energie Gas</t>
  </si>
  <si>
    <t>Energie Electra</t>
  </si>
  <si>
    <t>Leverancier Gas</t>
  </si>
  <si>
    <t>Leverancier Electra</t>
  </si>
  <si>
    <t>Energie Water</t>
  </si>
  <si>
    <t>Evides</t>
  </si>
  <si>
    <t>Inclusief met VS</t>
  </si>
  <si>
    <t xml:space="preserve">Total  </t>
  </si>
  <si>
    <t>Leverancier Water</t>
  </si>
  <si>
    <t>Ongedierte Bestrijding Westland</t>
  </si>
  <si>
    <t>Verhagen</t>
  </si>
  <si>
    <t>voorschot glw</t>
  </si>
  <si>
    <t>Som van voorschot glw</t>
  </si>
  <si>
    <t>Kst.pr. p/m p/b</t>
  </si>
  <si>
    <t>Kst.pr. p/m</t>
  </si>
  <si>
    <t>Som van Kst.pr. p/w p/b</t>
  </si>
  <si>
    <t>Som van Huur p/w p/b</t>
  </si>
  <si>
    <t>Totaal</t>
  </si>
  <si>
    <t>M. van der Enden</t>
  </si>
  <si>
    <t>dunea</t>
  </si>
  <si>
    <t>Grijs (EW), Groen (OW) / dinsdag, Blauw 1e woensdag vd maand / Rol 500ltr dinsdag (OW)</t>
  </si>
  <si>
    <t>PD</t>
  </si>
  <si>
    <t>ADM</t>
  </si>
  <si>
    <t>Omega</t>
  </si>
  <si>
    <t xml:space="preserve">085-2739900 </t>
  </si>
  <si>
    <t>Koperwerf 28</t>
  </si>
  <si>
    <t>Datum: 28-12-2022</t>
  </si>
  <si>
    <t xml:space="preserve">Site </t>
  </si>
  <si>
    <t>Capaciteit</t>
  </si>
  <si>
    <t>Door wie</t>
  </si>
  <si>
    <t>R</t>
  </si>
  <si>
    <t>Chauffeur/Owczarski</t>
  </si>
  <si>
    <t xml:space="preserve">leeg </t>
  </si>
  <si>
    <t xml:space="preserve">2 X UZK </t>
  </si>
  <si>
    <t xml:space="preserve">1 X UZK </t>
  </si>
  <si>
    <t xml:space="preserve">verhuurd Hans </t>
  </si>
  <si>
    <t>L</t>
  </si>
  <si>
    <t xml:space="preserve">2X UZK </t>
  </si>
  <si>
    <t xml:space="preserve">2 x UZK </t>
  </si>
  <si>
    <t xml:space="preserve">1x UZK </t>
  </si>
  <si>
    <t xml:space="preserve">2x UZK </t>
  </si>
  <si>
    <t xml:space="preserve">Leeg </t>
  </si>
  <si>
    <t>1xUZK</t>
  </si>
  <si>
    <t xml:space="preserve">2xUZK </t>
  </si>
  <si>
    <t xml:space="preserve">Chauffeur/Slawek </t>
  </si>
  <si>
    <t>2X UZK (Chauffeur Piotr)</t>
  </si>
  <si>
    <t xml:space="preserve">1X UZK </t>
  </si>
  <si>
    <t xml:space="preserve">Mike </t>
  </si>
  <si>
    <t xml:space="preserve">Angela </t>
  </si>
  <si>
    <t xml:space="preserve">L </t>
  </si>
  <si>
    <t xml:space="preserve">Electra laag </t>
  </si>
  <si>
    <t>Electra hoog</t>
  </si>
  <si>
    <t xml:space="preserve">Verdieping </t>
  </si>
  <si>
    <t>Aantal</t>
  </si>
  <si>
    <t>verhuurd Hans / Wolf</t>
  </si>
  <si>
    <t>Rietdijkstraat 56a Hoek van Holland</t>
  </si>
  <si>
    <t>Rietdijkstraat 56b Hoek van Holland</t>
  </si>
  <si>
    <t>3151 GJ</t>
  </si>
  <si>
    <t>56a</t>
  </si>
  <si>
    <t>S.A. van Bergen Vastgoed B.V.</t>
  </si>
  <si>
    <t>S.A. van Bergen</t>
  </si>
  <si>
    <t>3151 HV</t>
  </si>
  <si>
    <t>06-30412153</t>
  </si>
  <si>
    <t>bas.vanbergen@aubvanbergen.nl</t>
  </si>
  <si>
    <t>NL11RABO0318502364</t>
  </si>
  <si>
    <t>Tarief Gas</t>
  </si>
  <si>
    <t>Tarief E Hoog</t>
  </si>
  <si>
    <t>Tarief E Laag</t>
  </si>
  <si>
    <t>Tarief E Enkel</t>
  </si>
  <si>
    <t>Som van G/L/W verbruik</t>
  </si>
  <si>
    <t>nog toepassing  in berekening</t>
  </si>
  <si>
    <t>Fenacoliuslaan 56b, Maassluis</t>
  </si>
  <si>
    <t>Begindatum contract</t>
  </si>
  <si>
    <t>gedurende jaar</t>
  </si>
  <si>
    <t>Airco monteur Rietdijkstraat</t>
  </si>
  <si>
    <t>Arjan van Sliedrecht</t>
  </si>
  <si>
    <t>06-46355660</t>
  </si>
  <si>
    <t>06-54380779</t>
  </si>
  <si>
    <t>Jaren (Einddatum contract)</t>
  </si>
  <si>
    <t>2025</t>
  </si>
  <si>
    <t>Poeldijkseweg 29 Monster</t>
  </si>
  <si>
    <t>2681 LT</t>
  </si>
  <si>
    <t>P29</t>
  </si>
  <si>
    <t>P.C. Vijverberg</t>
  </si>
  <si>
    <t>Piet Vijverberg</t>
  </si>
  <si>
    <t>Van Koppenweg 24</t>
  </si>
  <si>
    <t>2672 EH</t>
  </si>
  <si>
    <t>NL95RABO0142277460</t>
  </si>
  <si>
    <t>janmul54@gmail.com</t>
  </si>
  <si>
    <t>Erven: Maup van der Ende</t>
  </si>
  <si>
    <t>Omega 4x 1000ltr 2x p/w</t>
  </si>
  <si>
    <t>info@jsvink.nl / d.j.vink@hotmail.com</t>
  </si>
  <si>
    <t>Poeldijkseweg 27 Monster</t>
  </si>
  <si>
    <t>P27</t>
  </si>
  <si>
    <t>1x 500 ltr / 1x pw / maandag</t>
  </si>
  <si>
    <t>M.J.W. van den Enden &amp; B.M. van den Enden</t>
  </si>
  <si>
    <t>Barbara van den Enden</t>
  </si>
  <si>
    <t>Bospolder 4a</t>
  </si>
  <si>
    <t>2675 BL</t>
  </si>
  <si>
    <t>endem3@caiway.nl</t>
  </si>
  <si>
    <t>06-51611737 Barbara / 06-54398790 Maup</t>
  </si>
  <si>
    <t>Checklist voor AUB Van Bergen Personeelsdiensten B.V.: Op welke locaties zitten welke bridges, thermostaten, transceivers etc.</t>
  </si>
  <si>
    <t>Deze lijst wordt op aanvraag gestuurd door ICY B.V. en heeft twee doelen:</t>
  </si>
  <si>
    <t xml:space="preserve">1. De klant checkt of de locaties en devices in onze gegevens nog steeds kloppen met de werkelijkheid </t>
  </si>
  <si>
    <t xml:space="preserve">2. De klant geeft eventueel met deze lijst wijzigingen op aan ICY B.V. </t>
  </si>
  <si>
    <t>LOCATIENAAM</t>
  </si>
  <si>
    <t>BRIDGE NAAM</t>
  </si>
  <si>
    <t>BRIDGE MACADRES</t>
  </si>
  <si>
    <t>DEVICE</t>
  </si>
  <si>
    <t>#ADRES</t>
  </si>
  <si>
    <t>Note</t>
  </si>
  <si>
    <t>De Lier - Cramerlaan 82</t>
  </si>
  <si>
    <t>2C:97:17:03:06:3A</t>
  </si>
  <si>
    <t>ICY1845TT Timer-Thermostat</t>
  </si>
  <si>
    <t>#c37e</t>
  </si>
  <si>
    <t>De Lier - Crezeelaan 76</t>
  </si>
  <si>
    <t>2C:97:17:03:06:3E</t>
  </si>
  <si>
    <t>#c37a</t>
  </si>
  <si>
    <t>De Lier - Karel Doormanlaan 21a</t>
  </si>
  <si>
    <t>2C:97:17:03:06:53</t>
  </si>
  <si>
    <t>Hoek van Holland - 1e Scheepvaartstraat 24</t>
  </si>
  <si>
    <t>2C:97:17:03:06:5C</t>
  </si>
  <si>
    <t>#c36a</t>
  </si>
  <si>
    <t>Hoek van Holland - Prins Willemweg 2</t>
  </si>
  <si>
    <t xml:space="preserve">Hoek van Holland - Prins Willemweg 2 </t>
  </si>
  <si>
    <t>2C:97:17:03:06:3D</t>
  </si>
  <si>
    <t>#c36e</t>
  </si>
  <si>
    <t>Hoek van Holland - Rietdijkstraat 56A</t>
  </si>
  <si>
    <t>2C:97:17:03:06:5A</t>
  </si>
  <si>
    <t>#c38d</t>
  </si>
  <si>
    <t>Hoek van Holland - Rietdijkstraat 56B</t>
  </si>
  <si>
    <t>2C:97:17:03:06:5B</t>
  </si>
  <si>
    <t>#c382</t>
  </si>
  <si>
    <t>Hoek van Holland - Rietdijkstraat 70</t>
  </si>
  <si>
    <t>2C:97:17:03:06:3C</t>
  </si>
  <si>
    <t>#c368</t>
  </si>
  <si>
    <t>Hoek van Holland - Zekkenstraat 31a</t>
  </si>
  <si>
    <t>#c365</t>
  </si>
  <si>
    <t>Hoek van Holland - Zekkenstraat 31b</t>
  </si>
  <si>
    <t>#c389</t>
  </si>
  <si>
    <t>Hoek van Holland - Zekkenstraat 56</t>
  </si>
  <si>
    <t>2C:97:17:03:06:33</t>
  </si>
  <si>
    <t>#c37d</t>
  </si>
  <si>
    <t>Honselersdijk - Haagkamp 11</t>
  </si>
  <si>
    <t>2C:97:17:03:06:4E</t>
  </si>
  <si>
    <t>#c372</t>
  </si>
  <si>
    <t>Kwintsheul - Bovendijk 59</t>
  </si>
  <si>
    <t>2C:97:17:03:06:57</t>
  </si>
  <si>
    <t>#c383</t>
  </si>
  <si>
    <t>Kwintsheul - Bovendijk 61</t>
  </si>
  <si>
    <t>2C:97:17:03:06:4D</t>
  </si>
  <si>
    <t>#c371</t>
  </si>
  <si>
    <t>Maassluis - Fenacoliuslaan 56b</t>
  </si>
  <si>
    <t>Maassluis -  Fenacoliuslaan 56b</t>
  </si>
  <si>
    <t>2C:97:17:03:06:3b</t>
  </si>
  <si>
    <t>#c366</t>
  </si>
  <si>
    <t>Monster - Madeweg 25c</t>
  </si>
  <si>
    <t>2C:97:17:03:06:50</t>
  </si>
  <si>
    <t>#c390</t>
  </si>
  <si>
    <t>Monster - Madeweg 35A</t>
  </si>
  <si>
    <t>Monster - Madeweg 35a</t>
  </si>
  <si>
    <t>2C:97:17:03:06:3F</t>
  </si>
  <si>
    <t>#c388</t>
  </si>
  <si>
    <t>Monster - Molenweg 3a</t>
  </si>
  <si>
    <t>2C:97:17:03:06:41</t>
  </si>
  <si>
    <t>#c369</t>
  </si>
  <si>
    <t>Monster - Poeldijkseweg 27</t>
  </si>
  <si>
    <t>2C:97:17:03:06:32</t>
  </si>
  <si>
    <t>#c381</t>
  </si>
  <si>
    <t>Monster - Poeldijkseweg 29</t>
  </si>
  <si>
    <t>2C:97:17:03:06:5E</t>
  </si>
  <si>
    <t>#c387</t>
  </si>
  <si>
    <t>Monster - Waellandweg 12</t>
  </si>
  <si>
    <t>#c384</t>
  </si>
  <si>
    <t>Naaldwijk - Gerberalaan 113</t>
  </si>
  <si>
    <t>2C:97:17:03:06:34</t>
  </si>
  <si>
    <t>#c37c</t>
  </si>
  <si>
    <t>Naaldwijk - Lange Broekweg 76</t>
  </si>
  <si>
    <t>2C:97:17:03:06:46</t>
  </si>
  <si>
    <t>#c370</t>
  </si>
  <si>
    <t>#c376</t>
  </si>
  <si>
    <t>NL96RABO0375644504</t>
  </si>
  <si>
    <t>1x 500 ltr / 1x pw / donderdag</t>
  </si>
  <si>
    <t>3B</t>
  </si>
  <si>
    <t>1x 660 ltr / 1x pw / donderdag</t>
  </si>
  <si>
    <t>Renewi / Gemeente</t>
  </si>
  <si>
    <t xml:space="preserve">Renewi   </t>
  </si>
  <si>
    <t>Renewi</t>
  </si>
  <si>
    <t>3A</t>
  </si>
  <si>
    <t>Gemeente &amp; Renewi</t>
  </si>
  <si>
    <t>Grijs (OW), Groen (EW) / Dinsdag (1x pw), Blauw laatste maandag vd maand / 1x 660 ltr 1x pw dinsdag</t>
  </si>
  <si>
    <t>Nieuwe Tuinen 7B</t>
  </si>
  <si>
    <t>2675 SE</t>
  </si>
  <si>
    <t>Kapittelland 16</t>
  </si>
  <si>
    <t>3151 ZB</t>
  </si>
  <si>
    <t>NL60RABO0323282903</t>
  </si>
  <si>
    <t>NL14RABO3291687140 en NL20RABO0129949140</t>
  </si>
  <si>
    <t>Contract van 2 jaar is inmiddels verlengd voor 2e keer</t>
  </si>
  <si>
    <t>In P4F bekend onder 31A en 31B</t>
  </si>
  <si>
    <t>Dennis Baak 06-24313837 (schoonzoon)</t>
  </si>
  <si>
    <t>Dennis Baak 06-24313837 (schoonzoon) / dbaak@l-groep.nl</t>
  </si>
  <si>
    <t>INMIDDELS LEEG OPGELEVERD</t>
  </si>
  <si>
    <t>Dennis Baak vragen of hij tijdelijk contactpersoon is</t>
  </si>
  <si>
    <t>06-53739975</t>
  </si>
  <si>
    <t>NL81INGB0112509347</t>
  </si>
  <si>
    <t>2026</t>
  </si>
  <si>
    <t>&lt;31-12-2025</t>
  </si>
  <si>
    <t>Bovendijk, 59 , Kwintsheul</t>
  </si>
  <si>
    <t>Bovendijk,61,  Kwintsheul</t>
  </si>
  <si>
    <t>Burgemeester Cramerlaan, 82, De Lier</t>
  </si>
  <si>
    <t>Burgemeester Crezeelaan, 76,  De Lier</t>
  </si>
  <si>
    <t>Fenacoliuslaan, 56b, Maassluis</t>
  </si>
  <si>
    <t>Haagkamp, 11,  Honselersdijk</t>
  </si>
  <si>
    <t>Karel Doormanlaan, 21a,  De Lier</t>
  </si>
  <si>
    <t>Koperwerf, 28, Den Haag (kamers)</t>
  </si>
  <si>
    <t>Koperwerf, 28, Den Haag (trefpunt)</t>
  </si>
  <si>
    <t>Lange Broekweg, 46,  Naaldwijk</t>
  </si>
  <si>
    <t>Molenweg,3A,  Monster</t>
  </si>
  <si>
    <t>Molenweg, 3 B,  Monster</t>
  </si>
  <si>
    <t>Madeweg, 25 C,  Monster</t>
  </si>
  <si>
    <t>Madeweg, 35 A, Monster</t>
  </si>
  <si>
    <t>Poeldijkseweg, 27, Monster</t>
  </si>
  <si>
    <t>Poeldijkseweg, 29, Monster</t>
  </si>
  <si>
    <t>Rietdijkstraat, 56a, Hoek van Holland</t>
  </si>
  <si>
    <t>Rietdijkstraat, 56b, Hoek van Holland</t>
  </si>
  <si>
    <t>Rijpstraat, 24, Hoek van Holland</t>
  </si>
  <si>
    <t>Waellandweg, 12,  Monster</t>
  </si>
  <si>
    <t>Zekkenstraat,33 A, Hoek van Holland</t>
  </si>
  <si>
    <t>Zekkenstraat, 33 B, Hoek van Holland</t>
  </si>
  <si>
    <t>0288</t>
  </si>
  <si>
    <t>0289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</si>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</sst>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#,##0_ ;\-#,##0\ "/>
    <numFmt numFmtId="165" formatCode="_ &quot;€&quot;\ * #,##0.00000_ ;_ &quot;€&quot;\ * \-#,##0.00000_ ;_ &quot;€&quot;\ * &quot;-&quot;?????_ ;_ @_ 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rgb="FF2D3138"/>
      <name val="Arial"/>
      <family val="2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1C3054"/>
      <name val="Open Sans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8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15" xfId="0" applyNumberFormat="1" applyFont="1" applyBorder="1"/>
    <xf numFmtId="49" fontId="1" fillId="0" borderId="21" xfId="0" applyNumberFormat="1" applyFont="1" applyBorder="1"/>
    <xf numFmtId="49" fontId="1" fillId="0" borderId="22" xfId="0" applyNumberFormat="1" applyFont="1" applyBorder="1"/>
    <xf numFmtId="49" fontId="1" fillId="0" borderId="23" xfId="0" applyNumberFormat="1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0" fontId="2" fillId="0" borderId="1" xfId="1" applyBorder="1"/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2" fillId="0" borderId="14" xfId="1" applyBorder="1"/>
    <xf numFmtId="0" fontId="8" fillId="0" borderId="11" xfId="0" applyFont="1" applyBorder="1"/>
    <xf numFmtId="0" fontId="8" fillId="0" borderId="1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2" fillId="0" borderId="12" xfId="1" applyBorder="1"/>
    <xf numFmtId="0" fontId="8" fillId="0" borderId="12" xfId="0" applyFont="1" applyBorder="1"/>
    <xf numFmtId="0" fontId="10" fillId="2" borderId="2" xfId="0" applyFont="1" applyFill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49" fontId="0" fillId="0" borderId="15" xfId="0" applyNumberFormat="1" applyBorder="1"/>
    <xf numFmtId="49" fontId="0" fillId="0" borderId="19" xfId="0" applyNumberFormat="1" applyBorder="1"/>
    <xf numFmtId="49" fontId="0" fillId="0" borderId="13" xfId="0" applyNumberFormat="1" applyBorder="1"/>
    <xf numFmtId="49" fontId="0" fillId="0" borderId="17" xfId="0" applyNumberFormat="1" applyBorder="1"/>
    <xf numFmtId="49" fontId="0" fillId="0" borderId="6" xfId="0" applyNumberFormat="1" applyBorder="1"/>
    <xf numFmtId="49" fontId="0" fillId="0" borderId="18" xfId="0" applyNumberFormat="1" applyBorder="1"/>
    <xf numFmtId="0" fontId="0" fillId="0" borderId="0" xfId="0" pivotButton="1"/>
    <xf numFmtId="0" fontId="8" fillId="0" borderId="0" xfId="0" applyFont="1"/>
    <xf numFmtId="44" fontId="8" fillId="0" borderId="12" xfId="0" applyNumberFormat="1" applyFont="1" applyBorder="1"/>
    <xf numFmtId="44" fontId="8" fillId="0" borderId="12" xfId="0" applyNumberFormat="1" applyFont="1" applyBorder="1" applyAlignment="1">
      <alignment horizontal="right"/>
    </xf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8" fillId="0" borderId="1" xfId="0" applyFont="1" applyBorder="1" applyAlignment="1">
      <alignment horizontal="left"/>
    </xf>
    <xf numFmtId="0" fontId="11" fillId="0" borderId="1" xfId="1" applyFont="1" applyBorder="1" applyAlignment="1">
      <alignment horizontal="right"/>
    </xf>
    <xf numFmtId="0" fontId="12" fillId="0" borderId="1" xfId="1" applyFont="1" applyBorder="1" applyAlignment="1">
      <alignment horizontal="right"/>
    </xf>
    <xf numFmtId="49" fontId="12" fillId="0" borderId="1" xfId="1" applyNumberFormat="1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0" fontId="9" fillId="0" borderId="14" xfId="0" applyFont="1" applyBorder="1"/>
    <xf numFmtId="0" fontId="8" fillId="0" borderId="25" xfId="0" applyFont="1" applyBorder="1"/>
    <xf numFmtId="0" fontId="8" fillId="0" borderId="1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pivotButton="1" applyAlignment="1">
      <alignment horizontal="right"/>
    </xf>
    <xf numFmtId="0" fontId="2" fillId="0" borderId="0" xfId="1" applyNumberFormat="1"/>
    <xf numFmtId="0" fontId="13" fillId="0" borderId="0" xfId="0" applyFont="1"/>
    <xf numFmtId="0" fontId="15" fillId="0" borderId="0" xfId="0" applyFont="1"/>
    <xf numFmtId="0" fontId="0" fillId="0" borderId="26" xfId="0" applyBorder="1"/>
    <xf numFmtId="0" fontId="0" fillId="0" borderId="27" xfId="0" applyBorder="1"/>
    <xf numFmtId="49" fontId="16" fillId="0" borderId="0" xfId="0" applyNumberFormat="1" applyFont="1"/>
    <xf numFmtId="0" fontId="0" fillId="6" borderId="0" xfId="0" applyFill="1"/>
    <xf numFmtId="0" fontId="0" fillId="0" borderId="15" xfId="0" applyBorder="1"/>
    <xf numFmtId="0" fontId="0" fillId="7" borderId="15" xfId="0" applyFill="1" applyBorder="1"/>
    <xf numFmtId="0" fontId="0" fillId="0" borderId="28" xfId="0" applyBorder="1"/>
    <xf numFmtId="44" fontId="0" fillId="0" borderId="28" xfId="0" applyNumberFormat="1" applyBorder="1"/>
    <xf numFmtId="44" fontId="0" fillId="0" borderId="15" xfId="0" applyNumberFormat="1" applyBorder="1"/>
    <xf numFmtId="43" fontId="0" fillId="0" borderId="28" xfId="0" applyNumberFormat="1" applyBorder="1"/>
    <xf numFmtId="44" fontId="0" fillId="0" borderId="27" xfId="0" applyNumberFormat="1" applyBorder="1"/>
    <xf numFmtId="44" fontId="0" fillId="0" borderId="29" xfId="0" applyNumberFormat="1" applyBorder="1"/>
    <xf numFmtId="164" fontId="0" fillId="0" borderId="28" xfId="0" applyNumberFormat="1" applyBorder="1"/>
    <xf numFmtId="0" fontId="0" fillId="0" borderId="15" xfId="0" applyBorder="1" applyAlignment="1">
      <alignment horizontal="right"/>
    </xf>
    <xf numFmtId="0" fontId="0" fillId="6" borderId="15" xfId="0" applyFill="1" applyBorder="1"/>
    <xf numFmtId="0" fontId="0" fillId="6" borderId="28" xfId="0" applyFill="1" applyBorder="1"/>
    <xf numFmtId="44" fontId="0" fillId="6" borderId="28" xfId="0" applyNumberFormat="1" applyFill="1" applyBorder="1"/>
    <xf numFmtId="0" fontId="0" fillId="6" borderId="16" xfId="0" applyFill="1" applyBorder="1"/>
    <xf numFmtId="0" fontId="0" fillId="6" borderId="1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49" fontId="0" fillId="6" borderId="17" xfId="0" applyNumberFormat="1" applyFill="1" applyBorder="1"/>
    <xf numFmtId="49" fontId="0" fillId="6" borderId="6" xfId="0" applyNumberFormat="1" applyFill="1" applyBorder="1"/>
    <xf numFmtId="49" fontId="0" fillId="6" borderId="18" xfId="0" applyNumberFormat="1" applyFill="1" applyBorder="1"/>
    <xf numFmtId="49" fontId="0" fillId="6" borderId="0" xfId="0" applyNumberFormat="1" applyFill="1"/>
    <xf numFmtId="49" fontId="0" fillId="0" borderId="30" xfId="0" applyNumberFormat="1" applyBorder="1"/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" fillId="6" borderId="33" xfId="0" applyFont="1" applyFill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6" borderId="31" xfId="0" applyFont="1" applyFill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2" xfId="0" applyBorder="1" applyAlignment="1">
      <alignment horizontal="center"/>
    </xf>
    <xf numFmtId="0" fontId="20" fillId="0" borderId="44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" fillId="6" borderId="45" xfId="0" applyFont="1" applyFill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" fillId="6" borderId="31" xfId="0" applyFont="1" applyFill="1" applyBorder="1"/>
    <xf numFmtId="0" fontId="0" fillId="0" borderId="30" xfId="0" applyBorder="1"/>
    <xf numFmtId="0" fontId="0" fillId="0" borderId="42" xfId="0" applyBorder="1"/>
    <xf numFmtId="0" fontId="0" fillId="0" borderId="32" xfId="0" applyBorder="1"/>
    <xf numFmtId="165" fontId="0" fillId="0" borderId="0" xfId="0" pivotButton="1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pivotButton="1" applyNumberFormat="1"/>
    <xf numFmtId="0" fontId="1" fillId="0" borderId="0" xfId="0" applyFont="1" applyAlignment="1">
      <alignment horizontal="left"/>
    </xf>
    <xf numFmtId="44" fontId="1" fillId="0" borderId="0" xfId="0" applyNumberFormat="1" applyFont="1"/>
    <xf numFmtId="1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left"/>
    </xf>
    <xf numFmtId="0" fontId="2" fillId="0" borderId="0" xfId="1" applyProtection="1"/>
    <xf numFmtId="165" fontId="0" fillId="0" borderId="0" xfId="0" applyNumberFormat="1" applyAlignment="1">
      <alignment horizontal="center"/>
    </xf>
    <xf numFmtId="165" fontId="0" fillId="6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left"/>
    </xf>
    <xf numFmtId="14" fontId="0" fillId="5" borderId="0" xfId="0" applyNumberFormat="1" applyFill="1"/>
    <xf numFmtId="14" fontId="2" fillId="0" borderId="0" xfId="1" applyNumberFormat="1" applyProtection="1"/>
    <xf numFmtId="49" fontId="0" fillId="0" borderId="0" xfId="0" applyNumberFormat="1" applyAlignment="1">
      <alignment horizontal="center"/>
    </xf>
    <xf numFmtId="44" fontId="0" fillId="5" borderId="0" xfId="0" applyNumberFormat="1" applyFill="1"/>
    <xf numFmtId="0" fontId="0" fillId="5" borderId="0" xfId="0" applyFill="1"/>
    <xf numFmtId="0" fontId="6" fillId="4" borderId="0" xfId="3" applyProtection="1"/>
    <xf numFmtId="14" fontId="7" fillId="5" borderId="0" xfId="2" applyNumberFormat="1" applyFont="1" applyFill="1" applyProtection="1"/>
    <xf numFmtId="0" fontId="7" fillId="5" borderId="0" xfId="2" applyFont="1" applyFill="1" applyProtection="1"/>
    <xf numFmtId="0" fontId="0" fillId="0" borderId="0" xfId="0" quotePrefix="1"/>
    <xf numFmtId="165" fontId="0" fillId="8" borderId="0" xfId="0" applyNumberFormat="1" applyFill="1" applyAlignment="1">
      <alignment horizontal="center"/>
    </xf>
    <xf numFmtId="44" fontId="0" fillId="6" borderId="0" xfId="0" applyNumberFormat="1" applyFill="1"/>
    <xf numFmtId="0" fontId="0" fillId="1" borderId="0" xfId="0" applyFill="1" applyAlignment="1">
      <alignment horizontal="center"/>
    </xf>
    <xf numFmtId="14" fontId="0" fillId="1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/>
    </xf>
    <xf numFmtId="44" fontId="7" fillId="7" borderId="0" xfId="0" applyNumberFormat="1" applyFont="1" applyFill="1"/>
    <xf numFmtId="44" fontId="0" fillId="7" borderId="0" xfId="0" applyNumberFormat="1" applyFill="1"/>
    <xf numFmtId="0" fontId="0" fillId="7" borderId="0" xfId="0" applyFill="1" applyAlignment="1">
      <alignment horizontal="center"/>
    </xf>
    <xf numFmtId="0" fontId="0" fillId="7" borderId="0" xfId="0" quotePrefix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vertical="center"/>
    </xf>
    <xf numFmtId="0" fontId="2" fillId="7" borderId="0" xfId="1" applyFill="1" applyAlignment="1" applyProtection="1">
      <alignment vertical="center"/>
    </xf>
    <xf numFmtId="0" fontId="0" fillId="7" borderId="0" xfId="0" applyFill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4" fontId="0" fillId="6" borderId="0" xfId="0" applyNumberFormat="1" applyFill="1" applyAlignment="1">
      <alignment vertical="center"/>
    </xf>
    <xf numFmtId="44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7" fillId="0" borderId="0" xfId="0" applyFont="1" applyAlignment="1">
      <alignment horizontal="left"/>
    </xf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22"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5" formatCode="_ &quot;€&quot;\ * #,##0.00000_ ;_ &quot;€&quot;\ * \-#,##0.00000_ ;_ &quot;€&quot;\ * &quot;-&quot;?????_ ;_ @_ "/>
    </dxf>
    <dxf>
      <numFmt numFmtId="165" formatCode="_ &quot;€&quot;\ * #,##0.00000_ ;_ &quot;€&quot;\ * \-#,##0.00000_ ;_ &quot;€&quot;\ * &quot;-&quot;???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enn Roedoe | AUB van Bergen" refreshedDate="44659.398010300923" createdVersion="6" refreshedVersion="7" minRefreshableVersion="3" recordCount="39" xr:uid="{00000000-000A-0000-FFFF-FFFF46000000}">
  <cacheSource type="worksheet">
    <worksheetSource ref="B1:AV23" sheet="Huizenlijst"/>
  </cacheSource>
  <cacheFields count="37">
    <cacheField name="Huis " numFmtId="0">
      <sharedItems count="45">
        <s v="1e Scheepvaartstraat 24, Hoek van Holland"/>
        <s v="Alkemadelaan 5  Monster"/>
        <s v="Alkemadelaan 7  Monster"/>
        <s v="Bovendijk 59  Kwintsheul"/>
        <s v="Bovendijk 61  Kwintsheul"/>
        <s v="Burgemeester Cramerlaan 82 De Lier"/>
        <s v="Burgemeester Crezeelaan 76  De Lier"/>
        <s v="Fenacoliuslaan 55b, Maassluis"/>
        <s v="Gerberalaan 113, Naaldwijk"/>
        <s v="Grote Waard 21  Honselersdijk"/>
        <s v="Haagkamp 11  Honselersdijk"/>
        <s v="Haakpad 27 Hoek van Holland"/>
        <s v="Karel Doormanlaan 21a  De Lier"/>
        <s v="Katwijkseweg 33  Wassenaar"/>
        <s v="Koperwerf 28, Den Haag (I)"/>
        <s v="Koperwerf 28, Den Haag (Stg MCM)"/>
        <s v="Koperwerf 28, Den Haag (II)"/>
        <s v="Lange Broekweg 46  Naaldwijk"/>
        <s v="Molenweg 3 A  Monster"/>
        <s v="Madeweg 25 C  Monster"/>
        <s v="Madeweg 35 A Monster"/>
        <s v="Parkweg 1-136 Hellevoetsluis"/>
        <s v="Parkweg 1-138 Hellevoetsluis"/>
        <s v="Parkweg 1-160 Hellevoetsluis"/>
        <s v="Parkweg 1-311 Hellevoetsluis"/>
        <s v="Parkweg 1-382 Hellevoetsluis"/>
        <s v="Parkweg 1-388 Hellevoetsluis"/>
        <s v="Prins Hendrikstraat 166 Hoek van Holland"/>
        <s v="Prins Hendrikstraat 205A Hoek van Holland"/>
        <s v="Prins Willemweg 2 Hoek van Holland"/>
        <s v="Rietdijkstraat 70  Hoek van Holland"/>
        <s v="Rijpstraat 24, Hoek van Holland"/>
        <s v="Scharloo 29B, Brielle"/>
        <s v="Scharloo 29C, Brielle"/>
        <s v="Waellandweg 12  Monster"/>
        <s v="Zaaipad 4 Zevenhuizen"/>
        <s v="Zekkenstraat 33 A, Hoek van Holland"/>
        <s v="Zekkenstraat 33 B, Hoek van Holland"/>
        <s v="Zekkenstraat 56, Hoek van Holland"/>
        <s v="Chrystantenweg 41, Bleiswijk" u="1"/>
        <s v="Assendelftlaan 2 Monster" u="1"/>
        <s v="Parkweg 1, Hellevoetsluis" u="1"/>
        <s v="Zuidwind 29  's-Gravenzande" u="1"/>
        <s v="Berckenrodelaan 8, 's-Gravenzande" u="1"/>
        <s v="Wilgenhof 57 Bergen op Zoom" u="1"/>
      </sharedItems>
    </cacheField>
    <cacheField name="Postcode" numFmtId="0">
      <sharedItems/>
    </cacheField>
    <cacheField name="KPL" numFmtId="0">
      <sharedItems containsMixedTypes="1" containsNumber="1" containsInteger="1" minValue="82" maxValue="205"/>
    </cacheField>
    <cacheField name="Huur p/m " numFmtId="44">
      <sharedItems containsString="0" containsBlank="1" containsNumber="1" minValue="950" maxValue="41553"/>
    </cacheField>
    <cacheField name="Ontv. Huur p/w incl" numFmtId="44">
      <sharedItems containsSemiMixedTypes="0" containsString="0" containsNumber="1" containsInteger="1" minValue="100" maxValue="100"/>
    </cacheField>
    <cacheField name="CASH" numFmtId="0">
      <sharedItems containsBlank="1" containsMixedTypes="1" containsNumber="1" containsInteger="1" minValue="5054" maxValue="5097"/>
    </cacheField>
    <cacheField name="Factuur" numFmtId="0">
      <sharedItems containsBlank="1"/>
    </cacheField>
    <cacheField name="Eigenaar" numFmtId="0">
      <sharedItems/>
    </cacheField>
    <cacheField name="Contactpersoon" numFmtId="0">
      <sharedItems/>
    </cacheField>
    <cacheField name="Adres" numFmtId="0">
      <sharedItems/>
    </cacheField>
    <cacheField name="Postcode2" numFmtId="0">
      <sharedItems/>
    </cacheField>
    <cacheField name="Woonplaats" numFmtId="0">
      <sharedItems/>
    </cacheField>
    <cacheField name="Telefoon" numFmtId="0">
      <sharedItems containsBlank="1"/>
    </cacheField>
    <cacheField name="Mail " numFmtId="0">
      <sharedItems/>
    </cacheField>
    <cacheField name="Rekeningnr" numFmtId="0">
      <sharedItems/>
    </cacheField>
    <cacheField name="Bedden " numFmtId="0">
      <sharedItems containsString="0" containsBlank="1" containsNumber="1" containsInteger="1" minValue="3" maxValue="102"/>
    </cacheField>
    <cacheField name="Kamers" numFmtId="0">
      <sharedItems containsString="0" containsBlank="1" containsNumber="1" containsInteger="1" minValue="2" maxValue="50"/>
    </cacheField>
    <cacheField name="Tekening " numFmtId="0">
      <sharedItems containsBlank="1"/>
    </cacheField>
    <cacheField name="Lijst meters " numFmtId="0">
      <sharedItems containsBlank="1"/>
    </cacheField>
    <cacheField name="glw leverancier" numFmtId="49">
      <sharedItems containsBlank="1"/>
    </cacheField>
    <cacheField name="Incl. G/L/W" numFmtId="0">
      <sharedItems/>
    </cacheField>
    <cacheField name="Contractduur" numFmtId="0">
      <sharedItems containsString="0" containsBlank="1" containsNumber="1" minValue="0.5" maxValue="5"/>
    </cacheField>
    <cacheField name="Einddatum contract" numFmtId="0">
      <sharedItems containsNonDate="0" containsDate="1" containsString="0" containsBlank="1" minDate="2022-01-01T00:00:00" maxDate="2026-01-01T00:00:00"/>
    </cacheField>
    <cacheField name="voorschot gl" numFmtId="44">
      <sharedItems containsSemiMixedTypes="0" containsString="0" containsNumber="1" minValue="0" maxValue="1365"/>
    </cacheField>
    <cacheField name="G/L/W verbruik" numFmtId="44">
      <sharedItems containsSemiMixedTypes="0" containsString="0" containsNumber="1" containsInteger="1" minValue="0" maxValue="0"/>
    </cacheField>
    <cacheField name="Belastingen p/m" numFmtId="44">
      <sharedItems containsSemiMixedTypes="0" containsString="0" containsNumber="1" minValue="0" maxValue="572.4"/>
    </cacheField>
    <cacheField name="Container" numFmtId="0">
      <sharedItems containsBlank="1" count="8">
        <s v="Gemeente"/>
        <s v="Vliet"/>
        <m/>
        <s v="MSN "/>
        <s v="Vliet / Gemeente"/>
        <s v="incl."/>
        <s v="Gemeente / Vliet"/>
        <s v="gemeente "/>
      </sharedItems>
    </cacheField>
    <cacheField name="Tarief container" numFmtId="44">
      <sharedItems containsSemiMixedTypes="0" containsString="0" containsNumber="1" minValue="0" maxValue="267.5"/>
    </cacheField>
    <cacheField name="container info" numFmtId="0">
      <sharedItems containsBlank="1" count="24">
        <s v="ondergrondse containers"/>
        <s v="2x 1100 ltr / 1x pw / maandag"/>
        <m/>
        <s v="1x 500 ltr / 1x pw / vrijdag"/>
        <s v="1x 660 ltr 1x pw di  // Grijs (OW) groen ( EW) donderdag"/>
        <s v="1x 1100 ltr / 1x pw / woensdag"/>
        <s v="1x 1100 ltr / 1x pw / dinsdag"/>
        <s v="Grijs (OW), Groen (EW) / woensdag, Blauw laatste maandag vd maand"/>
        <s v="1 X 660 ltr/ 1x pw / woensdag"/>
        <s v="1x 500 ltr / 1x pw / dinsdag"/>
        <s v="Grijs (EW), Groen (OW) / dinsdag, Blauw 1e woensdag vd maand / Rol 500ltr vrijdag (EW)"/>
        <s v="1x 500 ltr / 1xpw / vrijdag"/>
        <s v="1x 500 ltr / 1x p2w / vrijdag EW"/>
        <s v="1x 500 ltr / 1x 2pw / ma E-W"/>
        <s v="1x 660 ltr   / 1x2 pw / donderdag/ O-W"/>
        <s v="1x 1100ltr / 1x pw / maandag"/>
        <s v="1x 1300ltr / wo / 1x pw"/>
        <s v="Zie containerlijst" u="1"/>
        <s v="1x 1100 ltr / 1x p2w  / wo O-W" u="1"/>
        <s v="1x 1000ltr / 1x p2wk / woensdag EW" u="1"/>
        <s v="1x 1000ltr / 1x p2wk / maandag" u="1"/>
        <s v="1 X 660 ltr/ 1x pw / dinsdag" u="1"/>
        <s v="1x 500ltr / 1x pw / dinsdag" u="1"/>
        <s v="1x 1000ltr / 1x p2wk / maandag EW" u="1"/>
      </sharedItems>
    </cacheField>
    <cacheField name="Internet" numFmtId="0">
      <sharedItems containsBlank="1"/>
    </cacheField>
    <cacheField name="Tarief internet" numFmtId="44">
      <sharedItems containsString="0" containsBlank="1" containsNumber="1" minValue="0" maxValue="79"/>
    </cacheField>
    <cacheField name="contract" numFmtId="0">
      <sharedItems containsBlank="1"/>
    </cacheField>
    <cacheField name="borg " numFmtId="44">
      <sharedItems containsString="0" containsBlank="1" containsNumber="1" minValue="950" maxValue="118500"/>
    </cacheField>
    <cacheField name="Begin huur" numFmtId="14">
      <sharedItems containsNonDate="0" containsDate="1" containsString="0" containsBlank="1" minDate="2012-11-26T00:00:00" maxDate="2022-02-20T00:00:00"/>
    </cacheField>
    <cacheField name="Eind Huur" numFmtId="0">
      <sharedItems containsDate="1" containsBlank="1" containsMixedTypes="1" minDate="2020-03-01T00:00:00" maxDate="2024-05-06T00:00:00"/>
    </cacheField>
    <cacheField name="Opzegtermijn" numFmtId="0">
      <sharedItems containsBlank="1"/>
    </cacheField>
    <cacheField name="opme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5244.645774537035" createdVersion="8" refreshedVersion="8" minRefreshableVersion="3" recordCount="26" xr:uid="{8010782B-7AB5-49D5-A6CE-377B60180284}">
  <cacheSource type="worksheet">
    <worksheetSource ref="B1:AV23" sheet="Huizenlijst"/>
  </cacheSource>
  <cacheFields count="51">
    <cacheField name="Huis " numFmtId="0">
      <sharedItems containsBlank="1" count="37">
        <s v="1e Scheepvaartstraat 24, Hoek van Holland"/>
        <s v="Bovendijk 59  Kwintsheul"/>
        <s v="Bovendijk 61  Kwintsheul"/>
        <s v="Burgemeester Cramerlaan 82 De Lier"/>
        <s v="Burgemeester Crezeelaan 76  De Lier"/>
        <s v="Fenacoliuslaan 56b, Maassluis"/>
        <s v="Gerberalaan 113, Naaldwijk"/>
        <s v="Haagkamp 11  Honselersdijk"/>
        <s v="Karel Doormanlaan 21a  De Lier"/>
        <s v="Koperwerf 28, Den Haag (I)"/>
        <s v="Koperwerf 28, Den Haag (II)"/>
        <s v="Lange Broekweg 46  Naaldwijk"/>
        <s v="Molenweg 3 A  Monster"/>
        <s v="Madeweg 25 C  Monster"/>
        <s v="Madeweg 35 A Monster"/>
        <s v="Poeldijkseweg 27 Monster"/>
        <s v="Poeldijkseweg 29 Monster"/>
        <s v="Prins Willemweg 2 Hoek van Holland"/>
        <s v="Rietdijkstraat 70  Hoek van Holland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s v="Zekkenstraat 56, Hoek van Holland"/>
        <s v="Alkemadelaan 5  Monster" u="1"/>
        <s v="Alkemadelaan 7  Monster" u="1"/>
        <s v="Katwijkseweg 33  Wassenaar" u="1"/>
        <s v="Haakpad 27 Hoek van Holland" u="1"/>
        <m u="1"/>
        <s v="Prins Hendrikstraat 166 Hoek van Holland" u="1"/>
        <s v="Grote Waard 21  Honselersdijk" u="1"/>
        <s v="Scharloo 29B, Brielle" u="1"/>
        <s v="Scharloo 29C, Brielle" u="1"/>
        <s v="Koperwerf 28, Den Haag (Stg MCM)" u="1"/>
        <s v="Fenacoliuslaan 55b, Maassluis" u="1"/>
      </sharedItems>
    </cacheField>
    <cacheField name="Postcode" numFmtId="0">
      <sharedItems/>
    </cacheField>
    <cacheField name="ADM" numFmtId="0">
      <sharedItems/>
    </cacheField>
    <cacheField name="KPL" numFmtId="0">
      <sharedItems containsMixedTypes="1" containsNumber="1" containsInteger="1" minValue="82" maxValue="113"/>
    </cacheField>
    <cacheField name="Huur p/m " numFmtId="44">
      <sharedItems containsSemiMixedTypes="0" containsString="0" containsNumber="1" minValue="750" maxValue="28944.38"/>
    </cacheField>
    <cacheField name="Ontv. Huur p/w incl" numFmtId="44">
      <sharedItems containsSemiMixedTypes="0" containsString="0" containsNumber="1" containsInteger="1" minValue="110" maxValue="110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/>
    </cacheField>
    <cacheField name="Contactpersoon" numFmtId="0">
      <sharedItems/>
    </cacheField>
    <cacheField name="Adres" numFmtId="0">
      <sharedItems/>
    </cacheField>
    <cacheField name="Postcode2" numFmtId="0">
      <sharedItems/>
    </cacheField>
    <cacheField name="Woonplaats" numFmtId="0">
      <sharedItems/>
    </cacheField>
    <cacheField name="Telefoon" numFmtId="0">
      <sharedItems containsBlank="1"/>
    </cacheField>
    <cacheField name="Mail " numFmtId="0">
      <sharedItems containsBlank="1"/>
    </cacheField>
    <cacheField name="Rekeningnr" numFmtId="0">
      <sharedItems/>
    </cacheField>
    <cacheField name="Bedden " numFmtId="0">
      <sharedItems containsString="0" containsBlank="1" containsNumber="1" containsInteger="1" minValue="4" maxValue="97"/>
    </cacheField>
    <cacheField name="Kamers" numFmtId="0">
      <sharedItems containsString="0" containsBlank="1" containsNumber="1" containsInteger="1" minValue="2" maxValue="64"/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/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/>
    </cacheField>
    <cacheField name="Energie Electra" numFmtId="0">
      <sharedItems containsBlank="1"/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/>
    </cacheField>
    <cacheField name="Tarief E Hoog" numFmtId="165">
      <sharedItems containsString="0" containsBlank="1" containsNumber="1" minValue="0" maxValue="0.29319000000000001"/>
    </cacheField>
    <cacheField name="Tarief E Laag" numFmtId="165">
      <sharedItems containsString="0" containsBlank="1" containsNumber="1" minValue="0" maxValue="0.24836"/>
    </cacheField>
    <cacheField name="Energie Water" numFmtId="0">
      <sharedItems containsBlank="1"/>
    </cacheField>
    <cacheField name="Leverancier Water" numFmtId="0">
      <sharedItems containsBlank="1"/>
    </cacheField>
    <cacheField name="Contractduur" numFmtId="0">
      <sharedItems containsString="0" containsBlank="1" containsNumber="1" containsInteger="1" minValue="1" maxValue="5"/>
    </cacheField>
    <cacheField name="Begindatum contract" numFmtId="0">
      <sharedItems containsDate="1" containsBlank="1" containsMixedTypes="1" minDate="2021-01-01T00:00:00" maxDate="2023-02-02T00:00:00"/>
    </cacheField>
    <cacheField name="Einddatum contract" numFmtId="0">
      <sharedItems containsNonDate="0" containsDate="1" containsString="0" containsBlank="1" minDate="2025-12-31T00:00:00" maxDate="2026-03-02T00:00:00"/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44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/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/>
    </cacheField>
    <cacheField name="borg " numFmtId="44">
      <sharedItems containsString="0" containsBlank="1" containsNumber="1" containsInteger="1" minValue="950" maxValue="5000"/>
    </cacheField>
    <cacheField name="Begin huur" numFmtId="14">
      <sharedItems containsNonDate="0" containsDate="1" containsString="0" containsBlank="1" minDate="2012-11-26T00:00:00" maxDate="2023-01-02T00:00:00"/>
    </cacheField>
    <cacheField name="Eind Huur" numFmtId="0">
      <sharedItems containsDate="1" containsBlank="1" containsMixedTypes="1" minDate="2020-12-31T00:00:00" maxDate="2024-04-15T00:00:00"/>
    </cacheField>
    <cacheField name="Opzegtermijn" numFmtId="0">
      <sharedItems containsBlank="1"/>
    </cacheField>
    <cacheField name="opmerking" numFmtId="0">
      <sharedItems containsBlank="1"/>
    </cacheField>
    <cacheField name="Totaal" numFmtId="0" formula="'Huur p/m '+'voorschot glw'+'Tarief container'+'Tarief internet'" databaseField="0"/>
    <cacheField name="Veld1" numFmtId="0" formula="Totaal/'Bedden '" databaseField="0"/>
    <cacheField name="Kst.pr. p/w p/b" numFmtId="0" formula=" (Veld1*12)/52" databaseField="0"/>
    <cacheField name="Huur p/w p/b" numFmtId="0" formula="'Huur p/m '/'Bedden '*3/13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5244.647031250002" createdVersion="6" refreshedVersion="8" minRefreshableVersion="3" recordCount="27" xr:uid="{00000000-000A-0000-FFFF-FFFF55000000}">
  <cacheSource type="worksheet">
    <worksheetSource ref="B1:AV24" sheet="Huizenlijst"/>
  </cacheSource>
  <cacheFields count="47">
    <cacheField name="Huis " numFmtId="0">
      <sharedItems containsBlank="1" count="64">
        <s v="1e Scheepvaartstraat 24, Hoek van Holland"/>
        <s v="Bovendijk 59  Kwintsheul"/>
        <s v="Bovendijk 61  Kwintsheul"/>
        <s v="Burgemeester Cramerlaan 82 De Lier"/>
        <s v="Burgemeester Crezeelaan 76  De Lier"/>
        <s v="Fenacoliuslaan 56b, Maassluis"/>
        <s v="Gerberalaan 113, Naaldwijk"/>
        <s v="Haagkamp 11  Honselersdijk"/>
        <s v="Karel Doormanlaan 21a  De Lier"/>
        <s v="Koperwerf 28, Den Haag (I)"/>
        <s v="Koperwerf 28, Den Haag (II)"/>
        <s v="Lange Broekweg 46  Naaldwijk"/>
        <s v="Molenweg 3 A  Monster"/>
        <s v="Madeweg 25 C  Monster"/>
        <s v="Madeweg 35 A Monster"/>
        <s v="Poeldijkseweg 27 Monster"/>
        <s v="Poeldijkseweg 29 Monster"/>
        <s v="Prins Willemweg 2 Hoek van Holland"/>
        <s v="Rietdijkstraat 70  Hoek van Holland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s v="Zekkenstraat 56, Hoek van Holland"/>
        <m/>
        <s v="Alkemadelaan 5  Monster" u="1"/>
        <s v="Alkemadelaan 7  Monster" u="1"/>
        <s v="Katwijkseweg 33  Wassenaar" u="1"/>
        <s v="Haakpad 27 Hoek van Holland" u="1"/>
        <s v="Prins Hendrikstraat 166 Hoek van Holland" u="1"/>
        <s v="Zaaipad 4 Zevenhuizen" u="1"/>
        <s v="Scorelstraat 62  Maassluis" u="1"/>
        <s v="Grote Waard 21  Honselersdijk" u="1"/>
        <s v="Madeweg 31A Monster" u="1"/>
        <s v="Scharloo 29B, Brielle" u="1"/>
        <s v="Scharloo 29C, Brielle" u="1"/>
        <s v="Chrystantenweg 41, Bleiswijk" u="1"/>
        <s v="Zekkenstraat 33, Hoek van Holland" u="1"/>
        <s v="Koperwerf 28, Den Haag (Stg MCM)" u="1"/>
        <s v="G.A. Brederolaan 59c  Maassluis" u="1"/>
        <s v="Assendelftlaan 2 Monster" u="1"/>
        <s v="Parkweg 1, Hellevoetsluis" u="1"/>
        <s v="Prins Hendrikstraat 200 A  Hoek van Holland" u="1"/>
        <s v="Beekbergerweg 52 Loenen" u="1"/>
        <s v="Zevenbergjesweg 29  Voorthuizen" u="1"/>
        <s v="Zuidwind 29  's-Gravenzande" u="1"/>
        <s v="Wolsbergerweg 34, Voorthuizen" u="1"/>
        <s v="Berckenrodelaan 8, 's-Gravenzande" u="1"/>
        <s v="A.H. Verweijweg 29  Berkel en Rodenrijs" u="1"/>
        <s v="Prins Hendrikstraat 205A Hoek van Holland" u="1"/>
        <s v="Christinalaan 4 Zwartewaal" u="1"/>
        <s v="Zonneoord 220  Den Haag" u="1"/>
        <s v="Zonneoord 220, Den Haag" u="1"/>
        <s v="Tweede tochtstraat 106, Nieuwerkerk a\d Ijssel" u="1"/>
        <s v="Lange Zuiderweg 120  Voorthuizen" u="1"/>
        <s v="Fenacoliuslaan 55b, Maassluis" u="1"/>
        <s v="Zuidgeestlaan 3, Naaldwijk" u="1"/>
        <s v="Monsterseweg 26a 's-Gravenzande" u="1"/>
        <s v="Stationsweg 10, Hoek van Holland" u="1"/>
        <s v="Wilgenhof 57 Bergen op Zoom" u="1"/>
        <s v="Haagweg 49  Monster" u="1"/>
        <s v="Lange Zuiderweg 88  Voorthuizen" u="1"/>
      </sharedItems>
    </cacheField>
    <cacheField name="Postcode" numFmtId="0">
      <sharedItems containsBlank="1"/>
    </cacheField>
    <cacheField name="ADM" numFmtId="0">
      <sharedItems containsBlank="1"/>
    </cacheField>
    <cacheField name="KPL" numFmtId="0">
      <sharedItems containsBlank="1" containsMixedTypes="1" containsNumber="1" containsInteger="1" minValue="82" maxValue="113"/>
    </cacheField>
    <cacheField name="Huur p/m " numFmtId="44">
      <sharedItems containsString="0" containsBlank="1" containsNumber="1" minValue="750" maxValue="28944.38"/>
    </cacheField>
    <cacheField name="Ontv. Huur p/w incl" numFmtId="44">
      <sharedItems containsString="0" containsBlank="1" containsNumber="1" containsInteger="1" minValue="110" maxValue="110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 containsBlank="1" count="46">
        <s v="G.A. van Oosten"/>
        <s v="M. Nottet"/>
        <s v="P. van den Berg"/>
        <s v="K. Zuidgeest"/>
        <s v="P.H. Jagt"/>
        <s v="M. van der Enden"/>
        <s v="v.o.f. J.C. Mulder"/>
        <s v="De Rembrandt B.V."/>
        <s v="Lammertink Projecten B.V."/>
        <s v="G. Hofland"/>
        <s v="H. van Leeuwen"/>
        <s v="J.S. Vink Vastgoed"/>
        <s v="P.C. Vijverberg"/>
        <s v="A.J. Bouma - Scholtsz"/>
        <s v="Stichting MCM"/>
        <s v="S.A. van Bergen Vastgoed B.V."/>
        <s v="F.A.S. van Bergen"/>
        <s v="T. Olsthoorn"/>
        <s v="R.L. Koornneef"/>
        <m/>
        <s v="P. Vijverberg Beheer" u="1"/>
        <s v="Hotel Wassenaar" u="1"/>
        <s v="Dock Holland" u="1"/>
        <s v="HL van der Lans" u="1"/>
        <s v="T. Hees / A. Valstar" u="1"/>
        <s v="F. Ruigrok" u="1"/>
        <s v="Henk Louwe" u="1"/>
        <s v="Dock Holland Huisvesting B.V." u="1"/>
        <s v="H.A. Knoppert" u="1"/>
        <s v="L. Bouman" u="1"/>
        <s v="C.W.J. van Baalen &amp; A. van Baalen" u="1"/>
        <s v="D. van de Lagemaat" u="1"/>
        <s v="C. van Roekel-van Brummelen" u="1"/>
        <s v="E. Vlastuin" u="1"/>
        <s v="M. van der Ende" u="1"/>
        <s v="Schwagermann Beheer BV" u="1"/>
        <s v="Willem van Baalen" u="1"/>
        <s v="B. Kouwenhoven" u="1"/>
        <s v="J.H. Vijverberg" u="1"/>
        <s v="NL Realty" u="1"/>
        <s v="Rotterdam Rentals" u="1"/>
        <s v="Flex Housing B.V." u="1"/>
        <s v="F.G.M. Koehler en C.M. Koehler-Scholtes" u="1"/>
        <s v="C.J. Hoogendoorn Moerkapelle beheer" u="1"/>
        <s v="All In Rentals" u="1"/>
        <s v="HA Knoppert" u="1"/>
      </sharedItems>
    </cacheField>
    <cacheField name="Contactpersoon" numFmtId="0">
      <sharedItems containsBlank="1" count="42">
        <s v="Lilian van Oosten"/>
        <s v="M. Nottet"/>
        <s v="Piet van den Berg"/>
        <s v="K. Zuidgeest"/>
        <s v="Peter Jagt"/>
        <s v="Maup van der Ende"/>
        <s v="Jan Mulder"/>
        <s v="Flip van Adrichem"/>
        <s v="Hans Lammertink"/>
        <s v="Goos Hofland"/>
        <s v="Erven: Maup van der Ende"/>
        <s v="Petra"/>
        <s v="Denise Vink"/>
        <s v="Piet Vijverberg"/>
        <s v="Kick Bouma"/>
        <s v="J. v. Bergen"/>
        <s v="S.A. van Bergen"/>
        <s v="Ton Olsthoorn"/>
        <s v="R.L. Koornneef"/>
        <m/>
        <s v="P. Vijverberg" u="1"/>
        <s v="Reza Nayeri" u="1"/>
        <s v="Dhr. Van Brummelen" u="1"/>
        <s v="HL van der Lans" u="1"/>
        <s v="T. Hees / A. Valstar" u="1"/>
        <s v="Erik Knoppert" u="1"/>
        <s v="Henk Louwe" u="1"/>
        <s v="Freek Ruigrok" u="1"/>
        <s v="Randolf de Jong" u="1"/>
        <s v="Claudia Koehler" u="1"/>
        <s v="Willem van Baalen" u="1"/>
        <s v="Dhr. N.W. Melker" u="1"/>
        <s v="R. v.d. Brand / Leon" u="1"/>
        <s v="Bas Kouwenhoven" u="1"/>
        <s v="J.H. Vijverberg" u="1"/>
        <s v="C.J. Hoogendoorn" u="1"/>
        <s v="Jan Vink" u="1"/>
        <s v="Dick van de Lagemaat" u="1"/>
        <s v="P. Bouwman" u="1"/>
        <s v="S. Calor" u="1"/>
        <s v="Lubèrt de Leeuw" u="1"/>
        <s v="HA Knoppert" u="1"/>
      </sharedItems>
    </cacheField>
    <cacheField name="Adres" numFmtId="0">
      <sharedItems containsBlank="1" count="42">
        <s v="Grootzand 19"/>
        <s v="Nieuweweg 102"/>
        <s v="Burgemeester Cramerlaan 17"/>
        <s v="Oudecampsweg 7"/>
        <s v="Haakweg 33"/>
        <s v="Molenweg 3b"/>
        <s v="Van Poeljestraat 28"/>
        <s v="Langestraat 48"/>
        <s v="Schietlood 2"/>
        <s v="Lange Broekweg 46"/>
        <s v="Postbus 170"/>
        <s v="Boomaweg 27"/>
        <s v="Van Koppenweg 24"/>
        <s v="Jan de Geuspad 26"/>
        <s v="Rijpstraat 22"/>
        <s v="Strandweg 25"/>
        <s v="Ravellaan 8"/>
        <s v="Burgerweg 3"/>
        <m/>
        <s v="Alkemadelaan 3" u="1"/>
        <s v="Alkemadelaan 4" u="1"/>
        <s v="Katwijkseweg 33" u="1"/>
        <s v="Buijs Ballotstraat 5 BU 1" u="1"/>
        <s v="Honderdland 1" u="1"/>
        <s v="Tweede Tochtweg 106" u="1"/>
        <s v="Grote Waard 52" u="1"/>
        <s v="Asterhof 7" u="1"/>
        <s v="Groendalseweg 100" u="1"/>
        <s v="Aartsdijkweg 10" u="1"/>
        <s v="Polleveenseweg 15" u="1"/>
        <s v="Poeldijkseweg 10a" u="1"/>
        <s v="Essenbaan 19a (3,26)" u="1"/>
        <s v="Lange Zuiderweg 88" u="1"/>
        <s v="Heer Vrankestraat 14b" u="1"/>
        <s v="Albert Einsteinstraat 8" u="1"/>
        <s v="Van de Kasteelestraat 90" u="1"/>
        <s v="Boogschutterstraat 5" u="1"/>
        <s v="Oudelandstraat 48" u="1"/>
        <s v="Oudeveen 100" u="1"/>
        <s v="Postbus 385" u="1"/>
        <s v="Jupiter 40" u="1"/>
        <s v="Gerberaweg 9" u="1"/>
      </sharedItems>
    </cacheField>
    <cacheField name="Postcode2" numFmtId="0">
      <sharedItems containsBlank="1" count="41">
        <s v="3151 VD"/>
        <s v="2675 BE"/>
        <s v="2678 AL"/>
        <s v="2678 NN"/>
        <s v="3151 XD"/>
        <s v="2681 RD"/>
        <s v="2675 TB"/>
        <s v="2691 BH"/>
        <s v="2495 AN"/>
        <s v="2671 DV"/>
        <s v="2680 AD"/>
        <s v="2681 RH "/>
        <s v="2672 EH"/>
        <s v="3151 KD"/>
        <s v="3151 BV"/>
        <s v="3151 HV"/>
        <s v="2671 VT"/>
        <s v="3155 DA"/>
        <m/>
        <s v="2681 LX" u="1"/>
        <s v="2682 LX" u="1"/>
        <s v="2242 PC" u="1"/>
        <s v="3905 VV" u="1"/>
        <s v="2691 CG" u="1"/>
        <s v="3261 LP" u="1"/>
        <s v="2908 LJ" u="1"/>
        <s v="2913 LS" u="1"/>
        <s v="5015 BX" u="1"/>
        <s v="2691 LZ" u="1"/>
        <s v="2675 BX" u="1"/>
        <s v="2676 LS" u="1"/>
        <s v="2685 LR" u="1"/>
        <s v="2691 ZR" u="1"/>
        <s v="2693 BD" u="1"/>
        <s v="3781 NL" u="1"/>
        <s v="2665 AL" u="1"/>
        <s v="2676 LE" u="1"/>
        <s v="3781 PL" u="1"/>
        <s v="3036 LC" u="1"/>
        <s v="2651 WZ" u="1"/>
        <s v="3140 AJ" u="1"/>
      </sharedItems>
    </cacheField>
    <cacheField name="Woonplaats" numFmtId="0">
      <sharedItems containsBlank="1" count="23">
        <s v="Hoek van Holland"/>
        <s v="Honselersdijk"/>
        <s v="De Lier"/>
        <s v=" De Lier"/>
        <s v="Monster"/>
        <s v="s-Gravenzande"/>
        <s v="Den Haag"/>
        <s v="Naaldwijk"/>
        <s v="Maasland"/>
        <m/>
        <s v="Wassenaar" u="1"/>
        <s v="Maasdijk" u="1"/>
        <s v="Maassluis" u="1"/>
        <s v="Oud-Beijerland " u="1"/>
        <s v="Poeldijk" u="1"/>
        <s v="Bleiswijk" u="1"/>
        <s v="Berkel en Rodenrijs" u="1"/>
        <s v="Tilburg" u="1"/>
        <s v="Veenendaal" u="1"/>
        <s v="Nieuwerkerk a\d Ijssel" u="1"/>
        <s v="Rotterdam" u="1"/>
        <s v="Voorthuizen" u="1"/>
        <s v="Capelle a/d Ijssel" u="1"/>
      </sharedItems>
    </cacheField>
    <cacheField name="Telefoon" numFmtId="0">
      <sharedItems containsBlank="1" count="41">
        <s v="06-37270022"/>
        <s v="06-50502637"/>
        <s v="06-38765032"/>
        <s v="06-26146636"/>
        <s v="06-51609632"/>
        <s v="06-54271085"/>
        <s v="06-53690859"/>
        <s v="06-41372342"/>
        <s v="085-2739900 "/>
        <s v="0174-625887"/>
        <s v="06-51262904 / 0174-248804"/>
        <s v="06-23615767 (denise) 06-53505331 (jan)"/>
        <m/>
        <s v="06-81553153"/>
        <s v="06-30412153"/>
        <s v="06-22413459"/>
        <s v="06-24266245 / 06-33733955"/>
        <s v="06-53299575" u="1"/>
        <s v="06-53299576" u="1"/>
        <s v="070-3330600" u="1"/>
        <s v="0174-418281" u="1"/>
        <s v="06-12632425 / 0342-475760" u="1"/>
        <s v="06-51273788" u="1"/>
        <s v="0174-526595" u="1"/>
        <s v="Frank: 0174-220496 / Claudia: 06-55852315" u="1"/>
        <s v="06-47162545 / 0342-470924" u="1"/>
        <s v="06-23615767" u="1"/>
        <s v="06-20600679" u="1"/>
        <s v="06-53505331 / 0174-243342" u="1"/>
        <s v="06-51029525" u="1"/>
        <s v="06-28651046" u="1"/>
        <s v="06-26580994" u="1"/>
        <s v="06-51246574" u="1"/>
        <s v="06-51222550" u="1"/>
        <s v="06-14463466" u="1"/>
        <s v="0174-518474" u="1"/>
        <s v="085-0606351" u="1"/>
        <s v="06-53135485" u="1"/>
        <s v="06-51153656 (leon)" u="1"/>
        <s v="06-51623713" u="1"/>
        <s v="085-2739900 / 06-24889020 (Fred)" u="1"/>
      </sharedItems>
    </cacheField>
    <cacheField name="Mail " numFmtId="0">
      <sharedItems containsBlank="1"/>
    </cacheField>
    <cacheField name="Rekeningnr" numFmtId="0">
      <sharedItems containsBlank="1"/>
    </cacheField>
    <cacheField name="Bedden " numFmtId="0">
      <sharedItems containsString="0" containsBlank="1" containsNumber="1" containsInteger="1" minValue="3" maxValue="562" count="33">
        <n v="10"/>
        <n v="5"/>
        <n v="8"/>
        <n v="6"/>
        <n v="4"/>
        <n v="40"/>
        <n v="97"/>
        <n v="7"/>
        <m/>
        <n v="12"/>
        <n v="9"/>
        <n v="102" u="1"/>
        <n v="440" u="1"/>
        <n v="13" u="1"/>
        <n v="14" u="1"/>
        <n v="16" u="1"/>
        <n v="48" u="1"/>
        <n v="397" u="1"/>
        <n v="497" u="1"/>
        <n v="20" u="1"/>
        <n v="33" u="1"/>
        <n v="22" u="1"/>
        <n v="3" u="1"/>
        <n v="24" u="1"/>
        <n v="538" u="1"/>
        <n v="25" u="1"/>
        <n v="489" u="1"/>
        <n v="376" u="1"/>
        <n v="434" u="1"/>
        <n v="505" u="1"/>
        <n v="366" u="1"/>
        <n v="562" u="1"/>
        <n v="382" u="1"/>
      </sharedItems>
    </cacheField>
    <cacheField name="Kamers" numFmtId="0">
      <sharedItems containsString="0" containsBlank="1" containsNumber="1" containsInteger="1" minValue="2" maxValue="244" count="22">
        <n v="5"/>
        <n v="3"/>
        <n v="4"/>
        <n v="2"/>
        <n v="20"/>
        <n v="64"/>
        <m/>
        <n v="6"/>
        <n v="50" u="1"/>
        <n v="185" u="1"/>
        <n v="193" u="1"/>
        <n v="209" u="1"/>
        <n v="217" u="1"/>
        <n v="15" u="1"/>
        <n v="204" u="1"/>
        <n v="244" u="1"/>
        <n v="7" u="1"/>
        <n v="24" u="1"/>
        <n v="192" u="1"/>
        <n v="221" u="1"/>
        <n v="229" u="1"/>
        <n v="11" u="1"/>
      </sharedItems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/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/>
    </cacheField>
    <cacheField name="Energie Electra" numFmtId="0">
      <sharedItems containsBlank="1"/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/>
    </cacheField>
    <cacheField name="Tarief E Hoog" numFmtId="165">
      <sharedItems containsString="0" containsBlank="1" containsNumber="1" minValue="0" maxValue="0.29319000000000001"/>
    </cacheField>
    <cacheField name="Tarief E Laag" numFmtId="165">
      <sharedItems containsString="0" containsBlank="1" containsNumber="1" minValue="0" maxValue="0.24836"/>
    </cacheField>
    <cacheField name="Energie Water" numFmtId="0">
      <sharedItems containsBlank="1"/>
    </cacheField>
    <cacheField name="Leverancier Water" numFmtId="0">
      <sharedItems containsBlank="1"/>
    </cacheField>
    <cacheField name="Contractduur" numFmtId="0">
      <sharedItems containsString="0" containsBlank="1" containsNumber="1" containsInteger="1" minValue="1" maxValue="5"/>
    </cacheField>
    <cacheField name="Begindatum contract" numFmtId="0">
      <sharedItems containsDate="1" containsBlank="1" containsMixedTypes="1" minDate="2021-01-01T00:00:00" maxDate="2023-02-02T00:00:00"/>
    </cacheField>
    <cacheField name="Einddatum contract" numFmtId="0">
      <sharedItems containsNonDate="0" containsDate="1" containsString="0" containsBlank="1" minDate="2025-12-31T00:00:00" maxDate="2026-03-02T00:00:00"/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44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 count="8">
        <s v="BICT"/>
        <s v="incl"/>
        <s v="incl "/>
        <m/>
        <s v="Ziggo"/>
        <s v="incl."/>
        <s v="CaiWay" u="1"/>
        <s v="KPN" u="1"/>
      </sharedItems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 count="3">
        <s v="ja"/>
        <m/>
        <s v="?" u="1"/>
      </sharedItems>
    </cacheField>
    <cacheField name="borg " numFmtId="44">
      <sharedItems containsString="0" containsBlank="1" containsNumber="1" containsInteger="1" minValue="950" maxValue="5000"/>
    </cacheField>
    <cacheField name="Begin huur" numFmtId="14">
      <sharedItems containsNonDate="0" containsDate="1" containsString="0" containsBlank="1" minDate="2012-11-26T00:00:00" maxDate="2023-01-02T00:00:00"/>
    </cacheField>
    <cacheField name="Eind Huur" numFmtId="0">
      <sharedItems containsDate="1" containsBlank="1" containsMixedTypes="1" minDate="2020-12-31T00:00:00" maxDate="2024-04-15T00:00:00"/>
    </cacheField>
    <cacheField name="Opzegtermijn" numFmtId="0">
      <sharedItems containsBlank="1"/>
    </cacheField>
    <cacheField name="opme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6002.438913888887" createdVersion="7" refreshedVersion="8" minRefreshableVersion="3" recordCount="24" xr:uid="{A866A2F7-9ECB-4B7A-9F6B-FEC76F27F9F7}">
  <cacheSource type="worksheet">
    <worksheetSource ref="B1:AV25" sheet="Huizenlijst"/>
  </cacheSource>
  <cacheFields count="47">
    <cacheField name="Huis " numFmtId="0">
      <sharedItems containsBlank="1" count="57">
        <s v="Bovendijk 59  Kwintsheul"/>
        <s v="Bovendijk 61  Kwintsheul"/>
        <s v="Burgemeester Cramerlaan 82 De Lier"/>
        <s v="Burgemeester Crezeelaan 76  De Lier"/>
        <s v="Fenacoliuslaan 56b, Maassluis"/>
        <s v="Haagkamp 11  Honselersdijk"/>
        <s v="Karel Doormanlaan 21a  De Lier"/>
        <s v="Koperwerf 28, Den Haag (kamers)"/>
        <s v="Koperwerf 28, Den Haag (trefpunt)"/>
        <s v="Lange Broekweg 46  Naaldwijk"/>
        <s v="Molenweg 3 A  Monster"/>
        <s v="Molenweg 3 B  Monster"/>
        <s v="Madeweg 25 C  Monster"/>
        <s v="Madeweg 35 A Monster"/>
        <s v="Poeldijkseweg 27 Monster"/>
        <s v="Poeldijkseweg 29 Monster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m/>
        <s v="INMIDDELS LEEG OPGELEVERD"/>
        <s v="1e Scheepvaartstraat 24, Hoek van Holland" u="1"/>
        <s v="Gerberalaan 113, Naaldwijk" u="1"/>
        <s v="Koperwerf 28, Den Haag (I)" u="1"/>
        <s v="Koperwerf 28, Den Haag (II)" u="1"/>
        <s v="Prins Willemweg 2 Hoek van Holland" u="1"/>
        <s v="Rietdijkstraat 70  Hoek van Holland" u="1"/>
        <s v="Zekkenstraat 56, Hoek van Holland" u="1"/>
        <s v="Prins Hendrikweg 14" u="1"/>
        <s v="Prins Hendrikweg 16/18" u="1"/>
        <s v="Zekkenstraat 9 unit 4" u="1"/>
        <s v="Paul Krugerlaan 118" u="1"/>
        <s v="Strandweg 25" u="1"/>
        <s v="Dwarskulk 39" u="1"/>
        <s v="Wierstraat 100 AAK07" u="1"/>
        <s v="Hoefslag 32" u="1"/>
        <s v="Alkemadelaan 5  Monster" u="1"/>
        <s v="Alkemadelaan 7  Monster" u="1"/>
        <s v="Grote Waard 21  Honselersdijk" u="1"/>
        <s v="Katwijkseweg 33  Wassenaar" u="1"/>
        <s v="Haakpad 27 Hoek van Holland" u="1"/>
        <s v="Prins Hendrikstraat 166 Hoek van Holland" u="1"/>
        <s v="Zaaipad 4 Zevenhuizen" u="1"/>
        <s v="Scharloo 29B, Brielle" u="1"/>
        <s v="Scharloo 29C, Brielle" u="1"/>
        <s v="Chrystantenweg 41, Bleiswijk" u="1"/>
        <s v="Koperwerf 28, Den Haag (Stg MCM)" u="1"/>
        <s v="Assendelftlaan 2 Monster" u="1"/>
        <s v="Parkweg 1, Hellevoetsluis" u="1"/>
        <s v="Rode Kruislaan 29" u="1"/>
        <s v="Prins Hendrikstraat 205A Hoek van Holland" u="1"/>
        <s v="Zonneoord 220, Den Haag" u="1"/>
        <s v="Fenacoliuslaan 55b, Maassluis" u="1"/>
        <s v="Wilgenhof 57 Bergen op Zoom" u="1"/>
      </sharedItems>
    </cacheField>
    <cacheField name="Postcode" numFmtId="0">
      <sharedItems containsBlank="1"/>
    </cacheField>
    <cacheField name="ADM" numFmtId="0">
      <sharedItems containsBlank="1"/>
    </cacheField>
    <cacheField name="KPL" numFmtId="0">
      <sharedItems containsBlank="1" containsMixedTypes="1" containsNumber="1" containsInteger="1" minValue="82" maxValue="82"/>
    </cacheField>
    <cacheField name="Huur p/m " numFmtId="44">
      <sharedItems containsString="0" containsBlank="1" containsNumber="1" minValue="850" maxValue="41710"/>
    </cacheField>
    <cacheField name="Ontv. Huur p/w incl" numFmtId="44">
      <sharedItems containsString="0" containsBlank="1" containsNumber="1" containsInteger="1" minValue="119" maxValue="119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 containsBlank="1"/>
    </cacheField>
    <cacheField name="Contactpersoon" numFmtId="0">
      <sharedItems containsBlank="1"/>
    </cacheField>
    <cacheField name="Adres" numFmtId="0">
      <sharedItems containsBlank="1"/>
    </cacheField>
    <cacheField name="Postcode2" numFmtId="0">
      <sharedItems containsBlank="1"/>
    </cacheField>
    <cacheField name="Woonplaats" numFmtId="0">
      <sharedItems containsBlank="1"/>
    </cacheField>
    <cacheField name="Telefoon" numFmtId="0">
      <sharedItems containsBlank="1"/>
    </cacheField>
    <cacheField name="Mail " numFmtId="0">
      <sharedItems containsBlank="1"/>
    </cacheField>
    <cacheField name="Rekeningnr" numFmtId="0">
      <sharedItems containsBlank="1"/>
    </cacheField>
    <cacheField name="Bedden " numFmtId="0">
      <sharedItems containsString="0" containsBlank="1" containsNumber="1" containsInteger="1" minValue="4" maxValue="150"/>
    </cacheField>
    <cacheField name="Kamers" numFmtId="0">
      <sharedItems containsString="0" containsBlank="1" containsNumber="1" containsInteger="1" minValue="2" maxValue="86"/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/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/>
    </cacheField>
    <cacheField name="Energie Electra" numFmtId="0">
      <sharedItems containsBlank="1"/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/>
    </cacheField>
    <cacheField name="Tarief E Hoog" numFmtId="165">
      <sharedItems containsString="0" containsBlank="1" containsNumber="1" minValue="0" maxValue="0.29319000000000001"/>
    </cacheField>
    <cacheField name="Tarief E Laag" numFmtId="165">
      <sharedItems containsString="0" containsBlank="1" containsNumber="1" minValue="0" maxValue="0.24836"/>
    </cacheField>
    <cacheField name="Energie Water" numFmtId="0">
      <sharedItems containsBlank="1"/>
    </cacheField>
    <cacheField name="Leverancier Water" numFmtId="0">
      <sharedItems containsBlank="1"/>
    </cacheField>
    <cacheField name="Contractduur" numFmtId="0">
      <sharedItems containsString="0" containsBlank="1" containsNumber="1" minValue="0.5" maxValue="5" count="6">
        <n v="4"/>
        <n v="1"/>
        <m/>
        <n v="5"/>
        <n v="0.5" u="1"/>
        <n v="3" u="1"/>
      </sharedItems>
    </cacheField>
    <cacheField name="Begindatum contract" numFmtId="0">
      <sharedItems containsDate="1" containsBlank="1" containsMixedTypes="1" minDate="2021-01-01T00:00:00" maxDate="2025-01-03T00:00:00"/>
    </cacheField>
    <cacheField name="Einddatum contract" numFmtId="0">
      <sharedItems containsNonDate="0" containsDate="1" containsString="0" containsBlank="1" minDate="2022-01-01T00:00:00" maxDate="2026-03-02T00:00:00" count="12">
        <d v="2026-03-01T00:00:00"/>
        <m/>
        <d v="2025-12-31T00:00:00"/>
        <d v="2022-02-23T00:00:00" u="1"/>
        <d v="2022-01-01T00:00:00" u="1"/>
        <d v="2022-02-16T00:00:00" u="1"/>
        <d v="2022-02-07T00:00:00" u="1"/>
        <d v="2024-04-14T00:00:00" u="1"/>
        <d v="2022-04-08T00:00:00" u="1"/>
        <d v="2023-12-31T00:00:00" u="1"/>
        <d v="2022-04-11T00:00:00" u="1"/>
        <d v="2022-02-01T00:00:00" u="1"/>
      </sharedItems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0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/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/>
    </cacheField>
    <cacheField name="borg " numFmtId="44">
      <sharedItems containsString="0" containsBlank="1" containsNumber="1" containsInteger="1" minValue="1000" maxValue="3600"/>
    </cacheField>
    <cacheField name="Begin huur" numFmtId="0">
      <sharedItems containsNonDate="0" containsDate="1" containsString="0" containsBlank="1" minDate="2012-11-26T00:00:00" maxDate="2025-01-03T00:00:00"/>
    </cacheField>
    <cacheField name="Eind Huur" numFmtId="0">
      <sharedItems containsDate="1" containsBlank="1" containsMixedTypes="1" minDate="2020-12-31T00:00:00" maxDate="2027-07-01T00:00:00"/>
    </cacheField>
    <cacheField name="Opzegtermijn" numFmtId="0">
      <sharedItems containsBlank="1"/>
    </cacheField>
    <cacheField name="opme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en Scholtes | AUB van Bergen" refreshedDate="46002.438977199075" createdVersion="8" refreshedVersion="8" minRefreshableVersion="3" recordCount="29" xr:uid="{8873F076-85C9-4D25-8CED-F49994BB4565}">
  <cacheSource type="worksheet">
    <worksheetSource ref="B1:AV42" sheet="Huizenlijst"/>
  </cacheSource>
  <cacheFields count="50">
    <cacheField name="Huis " numFmtId="0">
      <sharedItems containsBlank="1" count="48">
        <s v="Bovendijk 59  Kwintsheul"/>
        <s v="Bovendijk 61  Kwintsheul"/>
        <s v="Burgemeester Cramerlaan 82 De Lier"/>
        <s v="Burgemeester Crezeelaan 76  De Lier"/>
        <s v="Fenacoliuslaan 56b, Maassluis"/>
        <s v="Haagkamp 11  Honselersdijk"/>
        <s v="Karel Doormanlaan 21a  De Lier"/>
        <s v="Koperwerf 28, Den Haag (kamers)"/>
        <s v="Koperwerf 28, Den Haag (trefpunt)"/>
        <s v="Lange Broekweg 46  Naaldwijk"/>
        <s v="Molenweg 3 A  Monster"/>
        <s v="Molenweg 3 B  Monster"/>
        <s v="Madeweg 25 C  Monster"/>
        <s v="Madeweg 35 A Monster"/>
        <s v="Poeldijkseweg 27 Monster"/>
        <s v="Poeldijkseweg 29 Monster"/>
        <s v="Rietdijkstraat 56a Hoek van Holland"/>
        <s v="Rietdijkstraat 56b Hoek van Holland"/>
        <s v="Rijpstraat 24, Hoek van Holland"/>
        <s v="Waellandweg 12  Monster"/>
        <s v="Zekkenstraat 33 A, Hoek van Holland"/>
        <s v="Zekkenstraat 33 B, Hoek van Holland"/>
        <m/>
        <s v="INMIDDELS LEEG OPGELEVERD"/>
        <s v="Dennis Baak vragen of hij tijdelijk contactpersoon is"/>
        <s v="1e Scheepvaartstraat 24, Hoek van Holland" u="1"/>
        <s v="Alkemadelaan 5  Monster" u="1"/>
        <s v="Alkemadelaan 7  Monster" u="1"/>
        <s v="Gerberalaan 113, Naaldwijk" u="1"/>
        <s v="Grote Waard 21  Honselersdijk" u="1"/>
        <s v="Katwijkseweg 33  Wassenaar" u="1"/>
        <s v="Koperwerf 28, Den Haag (I)" u="1"/>
        <s v="Koperwerf 28, Den Haag (II)" u="1"/>
        <s v="Prins Willemweg 2 Hoek van Holland" u="1"/>
        <s v="Rietdijkstraat 70  Hoek van Holland" u="1"/>
        <s v="Zekkenstraat 56, Hoek van Holland" u="1"/>
        <s v="Prins Hendrikweg 14" u="1"/>
        <s v="Prins Hendrikweg 16/18" u="1"/>
        <s v="Zekkenstraat 9 unit 4" u="1"/>
        <s v="Paul Krugerlaan 118" u="1"/>
        <s v="Strandweg 25" u="1"/>
        <s v="Dwarskulk 39" u="1"/>
        <s v="Wierstraat 100 AAK07" u="1"/>
        <s v="Hoefslag 32" u="1"/>
        <s v="Prins Hendrikweg 10" u="1"/>
        <s v="Prins Hendrikweg 12" u="1"/>
        <s v="Rode Kruislaan 29" u="1"/>
        <s v="Fenacoliuslaan 55b, Maassluis" u="1"/>
      </sharedItems>
    </cacheField>
    <cacheField name="Postcode" numFmtId="0">
      <sharedItems containsBlank="1"/>
    </cacheField>
    <cacheField name="ADM" numFmtId="0">
      <sharedItems containsBlank="1" count="4">
        <s v="PD"/>
        <m/>
        <s v="MCM" u="1"/>
        <s v="JS" u="1"/>
      </sharedItems>
    </cacheField>
    <cacheField name="KPL" numFmtId="0">
      <sharedItems containsBlank="1" containsMixedTypes="1" containsNumber="1" containsInteger="1" minValue="82" maxValue="82"/>
    </cacheField>
    <cacheField name="Huur p/m " numFmtId="44">
      <sharedItems containsString="0" containsBlank="1" containsNumber="1" minValue="850" maxValue="41710"/>
    </cacheField>
    <cacheField name="Ontv. Huur p/w incl" numFmtId="44">
      <sharedItems containsString="0" containsBlank="1" containsNumber="1" containsInteger="1" minValue="119" maxValue="119"/>
    </cacheField>
    <cacheField name="CASH" numFmtId="0">
      <sharedItems containsBlank="1" containsMixedTypes="1" containsNumber="1" containsInteger="1" minValue="5057" maxValue="5099"/>
    </cacheField>
    <cacheField name="Factuur" numFmtId="0">
      <sharedItems containsBlank="1"/>
    </cacheField>
    <cacheField name="Eigenaar" numFmtId="0">
      <sharedItems containsBlank="1"/>
    </cacheField>
    <cacheField name="Contactpersoon" numFmtId="0">
      <sharedItems containsBlank="1"/>
    </cacheField>
    <cacheField name="Adres" numFmtId="0">
      <sharedItems containsBlank="1"/>
    </cacheField>
    <cacheField name="Postcode2" numFmtId="0">
      <sharedItems containsBlank="1"/>
    </cacheField>
    <cacheField name="Woonplaats" numFmtId="0">
      <sharedItems containsBlank="1"/>
    </cacheField>
    <cacheField name="Telefoon" numFmtId="0">
      <sharedItems containsBlank="1"/>
    </cacheField>
    <cacheField name="Mail " numFmtId="0">
      <sharedItems containsBlank="1"/>
    </cacheField>
    <cacheField name="Rekeningnr" numFmtId="0">
      <sharedItems containsBlank="1"/>
    </cacheField>
    <cacheField name="Bedden " numFmtId="0">
      <sharedItems containsString="0" containsBlank="1" containsNumber="1" containsInteger="1" minValue="4" maxValue="150"/>
    </cacheField>
    <cacheField name="Kamers" numFmtId="0">
      <sharedItems containsString="0" containsBlank="1" containsNumber="1" containsInteger="1" minValue="2" maxValue="86"/>
    </cacheField>
    <cacheField name="Tekening " numFmtId="0">
      <sharedItems containsBlank="1"/>
    </cacheField>
    <cacheField name="Lijst meters " numFmtId="0">
      <sharedItems containsBlank="1"/>
    </cacheField>
    <cacheField name="Energie Gas" numFmtId="0">
      <sharedItems containsBlank="1" count="6">
        <s v="ComCam"/>
        <s v="Inclusief"/>
        <m/>
        <s v="Exclusief"/>
        <s v="Inclusief met VS" u="1"/>
        <s v="Afrekening verhuurder" u="1"/>
      </sharedItems>
    </cacheField>
    <cacheField name="Leverancier Gas" numFmtId="0">
      <sharedItems containsBlank="1"/>
    </cacheField>
    <cacheField name="Tarief Gas" numFmtId="165">
      <sharedItems containsString="0" containsBlank="1" containsNumber="1" minValue="0" maxValue="1.4824900000000001" count="7">
        <n v="1.46"/>
        <n v="0.80162"/>
        <n v="0"/>
        <m/>
        <n v="1.4824900000000001"/>
        <n v="0.17602000000000001"/>
        <n v="0.2465" u="1"/>
      </sharedItems>
    </cacheField>
    <cacheField name="Energie Electra" numFmtId="0">
      <sharedItems containsBlank="1" count="6">
        <s v="ComCam"/>
        <s v="Inclusief met VS"/>
        <s v="Inclusief"/>
        <m/>
        <s v="Exclusief"/>
        <s v="Afrekening verhuurder" u="1"/>
      </sharedItems>
    </cacheField>
    <cacheField name="Leverancier Electra" numFmtId="0">
      <sharedItems containsBlank="1"/>
    </cacheField>
    <cacheField name="Tarief E Enkel" numFmtId="165">
      <sharedItems containsString="0" containsBlank="1" containsNumber="1" minValue="0" maxValue="4.8300000000000003E-2" count="3">
        <n v="0"/>
        <m/>
        <n v="4.8300000000000003E-2"/>
      </sharedItems>
    </cacheField>
    <cacheField name="Tarief E Hoog" numFmtId="165">
      <sharedItems containsString="0" containsBlank="1" containsNumber="1" minValue="0" maxValue="0.29319000000000001" count="8">
        <n v="0.1145"/>
        <n v="0.29319000000000001"/>
        <n v="0"/>
        <n v="0.15779000000000001"/>
        <m/>
        <n v="0.28377999999999998"/>
        <n v="5.4030000000000002E-2"/>
        <n v="5.6160000000000002E-2" u="1"/>
      </sharedItems>
    </cacheField>
    <cacheField name="Tarief E Laag" numFmtId="165">
      <sharedItems containsString="0" containsBlank="1" containsNumber="1" minValue="0" maxValue="0.24836" count="8">
        <n v="0.11013000000000001"/>
        <n v="0.16794000000000001"/>
        <n v="0"/>
        <n v="0.12237000000000001"/>
        <m/>
        <n v="0.24836"/>
        <n v="4.2009999999999999E-2"/>
        <n v="4.2979999999999997E-2" u="1"/>
      </sharedItems>
    </cacheField>
    <cacheField name="Energie Water" numFmtId="0">
      <sharedItems containsBlank="1" count="5">
        <s v="Exclusief"/>
        <s v="Inclusief"/>
        <m/>
        <s v="Inclusief met VS" u="1"/>
        <s v="Afrekening verhuurder" u="1"/>
      </sharedItems>
    </cacheField>
    <cacheField name="Leverancier Water" numFmtId="0">
      <sharedItems containsBlank="1"/>
    </cacheField>
    <cacheField name="Contractduur" numFmtId="0">
      <sharedItems containsString="0" containsBlank="1" containsNumber="1" containsInteger="1" minValue="1" maxValue="5"/>
    </cacheField>
    <cacheField name="Begindatum contract" numFmtId="0">
      <sharedItems containsDate="1" containsBlank="1" containsMixedTypes="1" minDate="2021-01-01T00:00:00" maxDate="2025-01-03T00:00:00"/>
    </cacheField>
    <cacheField name="Einddatum contract" numFmtId="0">
      <sharedItems containsNonDate="0" containsDate="1" containsString="0" containsBlank="1" minDate="2022-01-01T00:00:00" maxDate="2026-03-02T00:00:00" count="10">
        <d v="2026-03-01T00:00:00"/>
        <m/>
        <d v="2025-12-31T00:00:00"/>
        <d v="2022-02-23T00:00:00" u="1"/>
        <d v="2022-01-01T00:00:00" u="1"/>
        <d v="2022-02-16T00:00:00" u="1"/>
        <d v="2022-02-07T00:00:00" u="1"/>
        <d v="2024-04-14T00:00:00" u="1"/>
        <d v="2022-04-08T00:00:00" u="1"/>
        <d v="2023-12-31T00:00:00" u="1"/>
      </sharedItems>
      <fieldGroup par="49"/>
    </cacheField>
    <cacheField name="voorschot glw" numFmtId="44">
      <sharedItems containsString="0" containsBlank="1" containsNumber="1" minValue="0" maxValue="13978.5"/>
    </cacheField>
    <cacheField name="G/L/W verbruik" numFmtId="44">
      <sharedItems containsString="0" containsBlank="1" containsNumber="1" containsInteger="1" minValue="0" maxValue="0"/>
    </cacheField>
    <cacheField name="Belastingen p/m" numFmtId="44">
      <sharedItems containsString="0" containsBlank="1" containsNumber="1" minValue="0" maxValue="207.61"/>
    </cacheField>
    <cacheField name="Container" numFmtId="0">
      <sharedItems containsBlank="1"/>
    </cacheField>
    <cacheField name="Tarief container" numFmtId="0">
      <sharedItems containsString="0" containsBlank="1" containsNumber="1" minValue="0" maxValue="845.56"/>
    </cacheField>
    <cacheField name="container info" numFmtId="0">
      <sharedItems containsBlank="1"/>
    </cacheField>
    <cacheField name="Internet" numFmtId="0">
      <sharedItems containsBlank="1"/>
    </cacheField>
    <cacheField name="Tarief internet" numFmtId="44">
      <sharedItems containsString="0" containsBlank="1" containsNumber="1" containsInteger="1" minValue="0" maxValue="395"/>
    </cacheField>
    <cacheField name="contract" numFmtId="0">
      <sharedItems containsBlank="1"/>
    </cacheField>
    <cacheField name="borg " numFmtId="44">
      <sharedItems containsString="0" containsBlank="1" containsNumber="1" containsInteger="1" minValue="1000" maxValue="3600"/>
    </cacheField>
    <cacheField name="Begin huur" numFmtId="0">
      <sharedItems containsNonDate="0" containsDate="1" containsString="0" containsBlank="1" minDate="2012-11-26T00:00:00" maxDate="2025-01-03T00:00:00"/>
    </cacheField>
    <cacheField name="Eind Huur" numFmtId="0">
      <sharedItems containsDate="1" containsBlank="1" containsMixedTypes="1" minDate="2020-12-31T00:00:00" maxDate="2027-07-01T00:00:00"/>
    </cacheField>
    <cacheField name="Opzegtermijn" numFmtId="0">
      <sharedItems containsBlank="1"/>
    </cacheField>
    <cacheField name="opmerking" numFmtId="0">
      <sharedItems containsBlank="1"/>
    </cacheField>
    <cacheField name="Maanden (Einddatum contract)" numFmtId="0" databaseField="0">
      <fieldGroup base="32">
        <rangePr groupBy="months" startDate="2025-12-31T00:00:00" endDate="2026-03-02T00:00:00"/>
        <groupItems count="14">
          <s v="&lt;31-12-2025"/>
          <s v="jan"/>
          <s v="feb"/>
          <s v="mrt"/>
          <s v="apr"/>
          <s v="mei"/>
          <s v="jun"/>
          <s v="jul"/>
          <s v="aug"/>
          <s v="sep"/>
          <s v="okt"/>
          <s v="nov"/>
          <s v="dec"/>
          <s v="&gt;2-3-2026"/>
        </groupItems>
      </fieldGroup>
    </cacheField>
    <cacheField name="Kwartalen (Einddatum contract)" numFmtId="0" databaseField="0">
      <fieldGroup base="32">
        <rangePr groupBy="quarters" startDate="2025-12-31T00:00:00" endDate="2026-03-02T00:00:00"/>
        <groupItems count="6">
          <s v="&lt;31-12-2025"/>
          <s v="Kwrt1"/>
          <s v="Kwrt2"/>
          <s v="Kwrt3"/>
          <s v="Kwrt4"/>
          <s v="&gt;2-3-2026"/>
        </groupItems>
      </fieldGroup>
    </cacheField>
    <cacheField name="Jaren (Einddatum contract)" numFmtId="0" databaseField="0">
      <fieldGroup base="32">
        <rangePr groupBy="years" startDate="2025-12-31T00:00:00" endDate="2026-03-02T00:00:00"/>
        <groupItems count="4">
          <s v="&lt;31-12-2025"/>
          <s v="2025"/>
          <s v="2026"/>
          <s v="&gt;2-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3151 NL"/>
    <s v="S24"/>
    <n v="2850"/>
    <n v="100"/>
    <n v="5083"/>
    <m/>
    <s v="G.A. van Oosten"/>
    <s v="Lilian van Oosten"/>
    <s v="Grootzand 19"/>
    <s v="3151 VD"/>
    <s v="Hoek van Holland"/>
    <s v="06-37270022"/>
    <s v="info@hfwk.nl"/>
    <s v="NL22ABNA0810531194"/>
    <n v="10"/>
    <n v="5"/>
    <s v="ja"/>
    <s v="ja"/>
    <s v="Essent"/>
    <s v="nee"/>
    <n v="1"/>
    <d v="2022-02-23T00:00:00"/>
    <n v="333.05785123966945"/>
    <n v="0"/>
    <n v="0"/>
    <x v="0"/>
    <n v="0"/>
    <x v="0"/>
    <s v="BICT"/>
    <n v="79"/>
    <s v="ja"/>
    <n v="5000"/>
    <d v="2019-09-01T00:00:00"/>
    <d v="2022-09-01T00:00:00"/>
    <s v="1-3 maanden"/>
    <m/>
  </r>
  <r>
    <x v="1"/>
    <s v="2681 LX"/>
    <s v="AK5"/>
    <n v="1565.16"/>
    <n v="100"/>
    <s v="5000"/>
    <m/>
    <s v="P. Vijverberg Beheer"/>
    <s v="P. Vijverberg"/>
    <s v="Alkemadelaan 3"/>
    <s v="2681 LX"/>
    <s v="Monster"/>
    <s v="06-53299575"/>
    <s v="piet@pietvijverberg.nl"/>
    <s v="NL07RABO0343634554"/>
    <n v="8"/>
    <n v="5"/>
    <s v="ja"/>
    <s v="nee"/>
    <m/>
    <s v="ja"/>
    <m/>
    <m/>
    <n v="0"/>
    <n v="0"/>
    <n v="177.22"/>
    <x v="1"/>
    <n v="149.47999999999999"/>
    <x v="1"/>
    <s v="BICT"/>
    <n v="39.5"/>
    <s v="ja"/>
    <m/>
    <d v="2018-01-01T00:00:00"/>
    <d v="2020-12-31T00:00:00"/>
    <s v="3 maanden"/>
    <m/>
  </r>
  <r>
    <x v="2"/>
    <s v="2681 LX"/>
    <s v="AK7"/>
    <n v="1565.16"/>
    <n v="100"/>
    <s v="5000"/>
    <m/>
    <s v="P. Vijverberg Beheer"/>
    <s v="P. Vijverberg"/>
    <s v="Alkemadelaan 4"/>
    <s v="2682 LX"/>
    <s v="Monster"/>
    <s v="06-53299576"/>
    <s v="piet@pietvijverberg.nl"/>
    <s v="NL07RABO0343634555"/>
    <n v="8"/>
    <n v="3"/>
    <s v="ja"/>
    <s v="nee"/>
    <m/>
    <s v="ja"/>
    <m/>
    <m/>
    <n v="0"/>
    <n v="0"/>
    <n v="115.88"/>
    <x v="2"/>
    <n v="149.47999999999999"/>
    <x v="2"/>
    <s v="BICT"/>
    <n v="39.5"/>
    <s v="ja"/>
    <m/>
    <d v="2018-01-01T00:00:00"/>
    <d v="2020-12-31T00:00:00"/>
    <s v="3 maanden"/>
    <m/>
  </r>
  <r>
    <x v="3"/>
    <s v="2295 RW"/>
    <s v="B59"/>
    <n v="1360"/>
    <n v="100"/>
    <s v="5047"/>
    <m/>
    <s v="M. Nottet"/>
    <s v="M. Nottet"/>
    <s v="Nieuweweg 102"/>
    <s v="2675 BE"/>
    <s v="Honselersdijk"/>
    <s v="06-50502637"/>
    <s v="mnottet@caiway.nl"/>
    <s v="NL49RABO0114184372"/>
    <n v="5"/>
    <n v="3"/>
    <s v="ja"/>
    <s v="ja"/>
    <m/>
    <s v="ja"/>
    <m/>
    <m/>
    <n v="0"/>
    <n v="0"/>
    <n v="35.96"/>
    <x v="3"/>
    <n v="82.88"/>
    <x v="3"/>
    <s v="BICT"/>
    <n v="79"/>
    <s v="ja"/>
    <m/>
    <d v="2014-06-01T00:00:00"/>
    <s v="nb"/>
    <s v="2 maanden"/>
    <m/>
  </r>
  <r>
    <x v="4"/>
    <s v="2295 RW"/>
    <s v="B61"/>
    <n v="2040"/>
    <n v="100"/>
    <s v="5047"/>
    <m/>
    <s v="M. Nottet"/>
    <s v="M. Nottet"/>
    <s v="Nieuweweg 102"/>
    <s v="2675 BE"/>
    <s v="Honselersdijk"/>
    <s v="06-50502637"/>
    <s v="mnottet@caiway.nl"/>
    <s v="NL49RABO0114184372"/>
    <n v="8"/>
    <n v="5"/>
    <s v="ja"/>
    <s v="ja"/>
    <m/>
    <s v="ja"/>
    <m/>
    <m/>
    <n v="0"/>
    <n v="0"/>
    <n v="44.03"/>
    <x v="2"/>
    <n v="82.88"/>
    <x v="2"/>
    <s v="BICT"/>
    <n v="79"/>
    <s v="ja"/>
    <m/>
    <d v="2014-06-01T00:00:00"/>
    <s v="nb"/>
    <s v="2 maanden"/>
    <m/>
  </r>
  <r>
    <x v="5"/>
    <s v="2678 AN"/>
    <n v="82"/>
    <n v="1200"/>
    <n v="100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s v="Essent / evides"/>
    <s v="nee"/>
    <n v="1"/>
    <d v="2022-02-23T00:00:00"/>
    <n v="499.17999999999995"/>
    <n v="0"/>
    <n v="0"/>
    <x v="4"/>
    <n v="34.973333333333336"/>
    <x v="4"/>
    <s v="BICT"/>
    <n v="79"/>
    <s v="ja"/>
    <n v="1200"/>
    <d v="2019-01-01T00:00:00"/>
    <d v="2020-12-31T00:00:00"/>
    <s v="3 maanden"/>
    <s v="stroom via tuin eigenaar"/>
  </r>
  <r>
    <x v="6"/>
    <s v="2678 KZ"/>
    <s v="CZ"/>
    <n v="1150"/>
    <n v="100"/>
    <s v="5003"/>
    <m/>
    <s v="K. Zuidgeest"/>
    <s v="K. Zuidgeest"/>
    <s v="Oudecampsweg 7"/>
    <s v="2678 NN"/>
    <s v=" De Lier"/>
    <s v="06-26146636"/>
    <s v="KoosZuidgeest@zuidkoop.nl / k.zuidgeest@hetnet.nl "/>
    <s v="NL05RABO0336208367"/>
    <n v="8"/>
    <n v="4"/>
    <s v="ja "/>
    <s v="ja"/>
    <s v="Total, E / Evides"/>
    <s v="nee"/>
    <n v="0.5"/>
    <d v="2022-01-01T00:00:00"/>
    <n v="527.27"/>
    <n v="0"/>
    <n v="65.61"/>
    <x v="3"/>
    <n v="154.71333333333334"/>
    <x v="5"/>
    <s v="BICT"/>
    <n v="0"/>
    <m/>
    <n v="2300"/>
    <d v="2012-11-26T00:00:00"/>
    <s v="nb"/>
    <s v="2 maanden"/>
    <m/>
  </r>
  <r>
    <x v="7"/>
    <s v="3143AB"/>
    <s v="56b"/>
    <n v="2150"/>
    <n v="100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s v="Essent \ Evides"/>
    <s v="nee"/>
    <n v="1"/>
    <d v="2022-02-16T00:00:00"/>
    <n v="121.49"/>
    <n v="0"/>
    <n v="0"/>
    <x v="0"/>
    <n v="0"/>
    <x v="0"/>
    <s v="BICT"/>
    <n v="79"/>
    <s v="ja"/>
    <n v="2150"/>
    <d v="2020-03-06T00:00:00"/>
    <d v="2021-03-06T00:00:00"/>
    <s v="6maanden"/>
    <s v="15 april  ipv 5 maart aangevangen"/>
  </r>
  <r>
    <x v="8"/>
    <s v="2671 KC"/>
    <n v="113"/>
    <n v="1150"/>
    <n v="100"/>
    <s v="5007"/>
    <m/>
    <s v="M. van der Ende"/>
    <s v="Maup van der Ende"/>
    <s v="Molenweg 3b"/>
    <s v="2681 RD"/>
    <s v="Monster"/>
    <s v="06-54271085"/>
    <s v="maup2@caiway.nl"/>
    <s v="NL30RABO0373250568"/>
    <n v="4"/>
    <n v="2"/>
    <s v="ja"/>
    <s v="nee"/>
    <s v="Essent \ Evides"/>
    <s v="nee"/>
    <n v="1"/>
    <d v="2022-02-07T00:00:00"/>
    <n v="99.17"/>
    <n v="0"/>
    <n v="64.962499999999991"/>
    <x v="2"/>
    <n v="0"/>
    <x v="2"/>
    <s v="BICT"/>
    <n v="79"/>
    <m/>
    <m/>
    <d v="2020-10-01T00:00:00"/>
    <m/>
    <m/>
    <m/>
  </r>
  <r>
    <x v="9"/>
    <s v="2675 BX"/>
    <s v="G21"/>
    <n v="2500"/>
    <n v="100"/>
    <s v="5050"/>
    <m/>
    <s v="F.G.M. Koehler en C.M. Koehler-Scholtes"/>
    <s v="Claudia Koehler"/>
    <s v="Grote Waard 52"/>
    <s v="2675 BX"/>
    <s v="Honselersdijk"/>
    <s v="Frank: 0174-220496 / Claudia: 06-55852315"/>
    <s v="prive@condubouw.nl"/>
    <s v="NL76RABO0368142108"/>
    <n v="12"/>
    <n v="6"/>
    <s v="ja"/>
    <s v="nee"/>
    <m/>
    <s v="ja"/>
    <m/>
    <m/>
    <n v="0"/>
    <n v="0"/>
    <n v="87.82"/>
    <x v="1"/>
    <n v="154.71333333333334"/>
    <x v="6"/>
    <s v="BICT"/>
    <n v="79"/>
    <m/>
    <n v="2100"/>
    <d v="2016-04-02T00:00:00"/>
    <s v="nb"/>
    <s v="3 maanden"/>
    <s v="2022 huurverhoging inc. Vs 600 gwe"/>
  </r>
  <r>
    <x v="10"/>
    <s v="2675 SK"/>
    <s v="HK"/>
    <n v="1500"/>
    <n v="100"/>
    <s v="5004"/>
    <m/>
    <s v="v.o.f. J.C. Mulder"/>
    <s v="Jan Mulder"/>
    <s v="Van Poeljestraat 28"/>
    <s v="2675 TB"/>
    <s v="Honselersdijk"/>
    <s v="06-53690859"/>
    <s v="mulderjc@kabelfoon.nl"/>
    <s v="NL08RABO0343659077"/>
    <n v="6"/>
    <n v="3"/>
    <s v="ja"/>
    <s v="ja"/>
    <s v="Essent"/>
    <s v="nee"/>
    <n v="1"/>
    <d v="2022-02-23T00:00:00"/>
    <n v="292.98"/>
    <n v="0"/>
    <n v="21.58"/>
    <x v="0"/>
    <n v="0"/>
    <x v="7"/>
    <s v="incl"/>
    <n v="0"/>
    <s v="ja"/>
    <m/>
    <d v="2012-11-26T00:00:00"/>
    <d v="2021-01-01T00:00:00"/>
    <s v="3 maanden"/>
    <m/>
  </r>
  <r>
    <x v="11"/>
    <s v="3151 XC"/>
    <s v="H27"/>
    <n v="1575"/>
    <n v="100"/>
    <n v="5097"/>
    <m/>
    <s v="C.W.J. van Baalen &amp; A. van Baalen"/>
    <s v="Willem van Baalen"/>
    <s v="Van de Kasteelestraat 90"/>
    <s v="2691 ZR"/>
    <s v="s-Gravenzande"/>
    <s v="06-14463466"/>
    <s v="agathavanbaalen@hotmail.com"/>
    <s v="NL10ABNA0522070094"/>
    <n v="8"/>
    <n v="6"/>
    <m/>
    <m/>
    <s v="Engie"/>
    <s v="nee"/>
    <n v="1"/>
    <d v="2022-02-01T00:00:00"/>
    <n v="0"/>
    <n v="0"/>
    <n v="0"/>
    <x v="3"/>
    <n v="0"/>
    <x v="2"/>
    <m/>
    <m/>
    <m/>
    <m/>
    <m/>
    <d v="2023-01-31T00:00:00"/>
    <s v="1 m,aand"/>
    <m/>
  </r>
  <r>
    <x v="12"/>
    <s v="2678 EX "/>
    <s v="21a"/>
    <n v="1150"/>
    <n v="100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m/>
    <s v="ja"/>
    <m/>
    <m/>
    <n v="0"/>
    <n v="0"/>
    <n v="57.080000000000005"/>
    <x v="3"/>
    <n v="96.57"/>
    <x v="8"/>
    <s v="incl "/>
    <n v="0"/>
    <s v="ja"/>
    <n v="1000"/>
    <d v="2018-03-01T00:00:00"/>
    <s v="OT"/>
    <s v="1 maand"/>
    <m/>
  </r>
  <r>
    <x v="13"/>
    <s v="2242 PC"/>
    <s v="K33"/>
    <n v="41553"/>
    <n v="100"/>
    <n v="5066"/>
    <s v="ja"/>
    <s v="Hotel Wassenaar"/>
    <s v="Reza Nayeri"/>
    <s v="Katwijkseweg 33"/>
    <s v="2242 PC"/>
    <s v="Wassenaar"/>
    <s v="070-3330600"/>
    <s v="reza@hotelwassenaar.nl reza.nayeri@gmail.com sl.hu@hotelwassenaar.nl"/>
    <s v="NL36ABNA0532683560"/>
    <n v="102"/>
    <n v="50"/>
    <s v="ja"/>
    <s v="nee"/>
    <m/>
    <s v="ja"/>
    <m/>
    <m/>
    <n v="0"/>
    <n v="0"/>
    <n v="0"/>
    <x v="5"/>
    <n v="0"/>
    <x v="2"/>
    <s v="incl"/>
    <n v="0"/>
    <s v="ja"/>
    <n v="118500"/>
    <d v="2018-07-01T00:00:00"/>
    <d v="2023-06-30T00:00:00"/>
    <s v="1 jaar"/>
    <m/>
  </r>
  <r>
    <x v="14"/>
    <s v="2544 EN"/>
    <s v="K28"/>
    <n v="8750"/>
    <n v="100"/>
    <m/>
    <m/>
    <s v="Lammertink Projecten B.V."/>
    <s v="Hans Lammertink"/>
    <s v="Schietlood 2"/>
    <s v="2495 AN"/>
    <s v="Den Haag"/>
    <s v="085-2739900 / 06-24889020 (Fred)"/>
    <s v="roos55.fr@gmail.com (Fred)"/>
    <s v="NL83INGB0677182783"/>
    <n v="40"/>
    <n v="20"/>
    <s v="ja"/>
    <s v="ja"/>
    <s v="Clean Energy"/>
    <s v="nee"/>
    <n v="3"/>
    <d v="2022-04-11T00:00:00"/>
    <n v="229.75"/>
    <n v="0"/>
    <n v="0"/>
    <x v="5"/>
    <n v="0"/>
    <x v="2"/>
    <s v="BICT"/>
    <n v="79"/>
    <m/>
    <m/>
    <d v="2019-05-06T00:00:00"/>
    <d v="2024-05-05T00:00:00"/>
    <m/>
    <m/>
  </r>
  <r>
    <x v="15"/>
    <s v="2544 EN"/>
    <s v="K28"/>
    <n v="3380"/>
    <n v="100"/>
    <n v="5060"/>
    <m/>
    <s v="Stichting MCM"/>
    <s v="J. v. Bergen"/>
    <s v="Rijpstraat 22"/>
    <s v="3151 BV"/>
    <s v="Hoek van Holland"/>
    <m/>
    <s v="jetvbergen@gmail.com"/>
    <s v="NL39RABO0334435080"/>
    <n v="8"/>
    <n v="4"/>
    <s v="ja"/>
    <s v="nee"/>
    <m/>
    <s v="ja"/>
    <m/>
    <m/>
    <n v="0"/>
    <n v="0"/>
    <n v="0"/>
    <x v="5"/>
    <n v="0"/>
    <x v="2"/>
    <m/>
    <n v="79"/>
    <m/>
    <m/>
    <d v="2019-05-20T00:00:00"/>
    <m/>
    <m/>
    <m/>
  </r>
  <r>
    <x v="16"/>
    <s v="2544 EN"/>
    <s v="K28"/>
    <n v="5830"/>
    <n v="100"/>
    <n v="5091"/>
    <m/>
    <s v="Lammertink Projecten B.V."/>
    <s v="Hans Lammertink"/>
    <s v="Schietlood 2"/>
    <s v="2495 AN"/>
    <s v="Den Haag"/>
    <s v="085-2739900 / 06-24889020 (Fred)"/>
    <s v="roos55.fr@gmail.com (Fred)"/>
    <s v="NL83INGB0677182783"/>
    <n v="22"/>
    <n v="11"/>
    <s v="ja"/>
    <s v="nee"/>
    <m/>
    <s v="ja"/>
    <m/>
    <m/>
    <n v="1365"/>
    <n v="0"/>
    <n v="0"/>
    <x v="5"/>
    <n v="0"/>
    <x v="2"/>
    <m/>
    <n v="79"/>
    <m/>
    <m/>
    <d v="2020-03-01T00:00:00"/>
    <m/>
    <m/>
    <m/>
  </r>
  <r>
    <x v="17"/>
    <s v="2671 DV"/>
    <s v="L46"/>
    <n v="1277.28"/>
    <n v="100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m/>
    <s v="ja"/>
    <m/>
    <m/>
    <n v="0"/>
    <n v="0"/>
    <n v="21.58"/>
    <x v="1"/>
    <n v="104.91000000000001"/>
    <x v="9"/>
    <s v="BICT"/>
    <n v="79"/>
    <s v="ja"/>
    <n v="1750"/>
    <d v="2017-12-10T00:00:00"/>
    <s v="nb"/>
    <s v="per maand"/>
    <s v="2022 € 5.200,- huur vermindering"/>
  </r>
  <r>
    <x v="18"/>
    <s v="2681 RD"/>
    <s v="MOL"/>
    <n v="1800"/>
    <n v="100"/>
    <s v="5007"/>
    <m/>
    <s v="M. van der Ende"/>
    <s v="Maup van der Ende"/>
    <s v="Molenweg 3b"/>
    <s v="2681 RD"/>
    <s v="Monster"/>
    <s v="06-54271085"/>
    <s v="maup2@caiway.nl"/>
    <s v="NL30RABO0373250568"/>
    <n v="7"/>
    <n v="4"/>
    <s v="ja "/>
    <s v="ja"/>
    <s v="Essent / evides"/>
    <s v="nee"/>
    <n v="1"/>
    <d v="2022-02-23T00:00:00"/>
    <n v="326.44"/>
    <n v="0"/>
    <n v="572.4"/>
    <x v="6"/>
    <n v="157.38"/>
    <x v="10"/>
    <s v="BICT"/>
    <n v="79"/>
    <m/>
    <m/>
    <d v="2012-11-26T00:00:00"/>
    <s v="nb"/>
    <m/>
    <m/>
  </r>
  <r>
    <x v="19"/>
    <s v="2681 PJ"/>
    <s v="M25"/>
    <n v="2000"/>
    <n v="100"/>
    <s v="5002"/>
    <m/>
    <s v="H. van Leeuwen"/>
    <s v="Petra"/>
    <s v="Postbus 170"/>
    <s v="2680 AD"/>
    <s v="Monster"/>
    <s v="06-51262904 / 0174-248804"/>
    <s v="petra@huubvanleeuwen.nl"/>
    <s v="NL16RABO0142243671"/>
    <n v="8"/>
    <n v="4"/>
    <s v="ja"/>
    <s v="nee"/>
    <m/>
    <s v="ja"/>
    <m/>
    <m/>
    <n v="0"/>
    <n v="0"/>
    <n v="54.09"/>
    <x v="1"/>
    <n v="104.91000000000001"/>
    <x v="11"/>
    <s v="BICT"/>
    <n v="79"/>
    <m/>
    <m/>
    <d v="2017-04-01T00:00:00"/>
    <s v="nb"/>
    <m/>
    <m/>
  </r>
  <r>
    <x v="20"/>
    <s v="2681 PK"/>
    <s v="M35"/>
    <n v="1820"/>
    <n v="100"/>
    <n v="5094"/>
    <m/>
    <s v="J.S. Vink Vastgoed"/>
    <s v="Denise Vink"/>
    <s v="Boomaweg 27"/>
    <s v="2681 RH "/>
    <s v="Monster"/>
    <s v="06-23615767 (denise) 06-53505331 (jan)"/>
    <s v="info@jsvink.nl"/>
    <s v="NL37RABO0129970077"/>
    <n v="6"/>
    <m/>
    <m/>
    <s v="ja"/>
    <s v="Total / Evides"/>
    <s v="nee"/>
    <n v="1"/>
    <d v="2022-04-08T00:00:00"/>
    <n v="314.88"/>
    <n v="0"/>
    <n v="0"/>
    <x v="1"/>
    <n v="105.00666666666666"/>
    <x v="12"/>
    <m/>
    <n v="79"/>
    <m/>
    <m/>
    <d v="2021-03-01T00:00:00"/>
    <m/>
    <m/>
    <m/>
  </r>
  <r>
    <x v="21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2T00:00:00"/>
    <m/>
    <m/>
    <m/>
  </r>
  <r>
    <x v="22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2T00:00:00"/>
    <m/>
    <m/>
    <m/>
  </r>
  <r>
    <x v="23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4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5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6"/>
    <s v="3221 LV"/>
    <s v="PW1 "/>
    <m/>
    <n v="100"/>
    <n v="5054"/>
    <m/>
    <s v="Dock Holland Huisvesting B.V."/>
    <s v="Randolf de Jong"/>
    <s v="Postbus 385"/>
    <s v="3140 AJ"/>
    <s v="Maassluis"/>
    <s v="0174-518474"/>
    <s v="info@dockhollandhuisvesting.nl"/>
    <s v="NL65ABNA0892013427"/>
    <m/>
    <m/>
    <m/>
    <m/>
    <m/>
    <s v="ja"/>
    <m/>
    <m/>
    <n v="0"/>
    <n v="0"/>
    <n v="0"/>
    <x v="2"/>
    <n v="0"/>
    <x v="2"/>
    <m/>
    <n v="0"/>
    <m/>
    <n v="3292.33"/>
    <d v="2022-02-19T00:00:00"/>
    <m/>
    <m/>
    <m/>
  </r>
  <r>
    <x v="27"/>
    <s v="3151 AT"/>
    <n v="166"/>
    <n v="967.5"/>
    <n v="100"/>
    <n v="5083"/>
    <m/>
    <s v="G.A. van Oosten"/>
    <s v="Lilian van Oosten"/>
    <s v="Grootzand 19"/>
    <s v="3151 VD"/>
    <s v="Hoek van Holland"/>
    <s v="06-37270022"/>
    <s v="info@hfwk.nl"/>
    <s v="NL22ABNA0810531194"/>
    <n v="3"/>
    <n v="2"/>
    <s v="ja"/>
    <s v="nee"/>
    <m/>
    <s v="ja"/>
    <m/>
    <m/>
    <n v="0"/>
    <n v="0"/>
    <n v="0"/>
    <x v="7"/>
    <n v="0"/>
    <x v="0"/>
    <s v="incl"/>
    <n v="0"/>
    <s v="ja"/>
    <m/>
    <d v="2019-07-01T00:00:00"/>
    <d v="2022-07-01T00:00:00"/>
    <m/>
    <m/>
  </r>
  <r>
    <x v="28"/>
    <s v="3151 AH"/>
    <n v="205"/>
    <n v="1000"/>
    <n v="100"/>
    <n v="5079"/>
    <m/>
    <s v="F. Ruigrok"/>
    <s v="Freek Ruigrok"/>
    <s v="Heer Vrankestraat 14b"/>
    <s v="3036 LC"/>
    <s v="Rotterdam"/>
    <s v="06-28651046"/>
    <s v="freek@desurfschool.nl"/>
    <s v="NL21ABNA0521554438"/>
    <n v="5"/>
    <n v="3"/>
    <s v="ja"/>
    <s v="ja "/>
    <s v="Essent / evides"/>
    <s v="nee"/>
    <n v="1"/>
    <d v="2022-02-23T00:00:00"/>
    <n v="251.86"/>
    <n v="0"/>
    <n v="0"/>
    <x v="0"/>
    <n v="0"/>
    <x v="2"/>
    <s v="BICT"/>
    <n v="79"/>
    <m/>
    <m/>
    <d v="2019-03-01T00:00:00"/>
    <d v="2020-03-01T00:00:00"/>
    <s v="3 maanden"/>
    <m/>
  </r>
  <r>
    <x v="29"/>
    <s v="3151 HM"/>
    <s v="PWW"/>
    <n v="950"/>
    <n v="100"/>
    <n v="5090"/>
    <m/>
    <s v="A.J. Bouma - Scholtsz"/>
    <s v="Kick Bouma"/>
    <s v="Jan de Geuspad 26"/>
    <s v="3151 KD"/>
    <s v="Hoek van Holland"/>
    <s v="06-81553153"/>
    <s v="kickbouma@upcmail.nl"/>
    <s v="NL19INGB0000182620"/>
    <n v="5"/>
    <n v="3"/>
    <s v="ja"/>
    <s v="nee"/>
    <s v="Essent / evides"/>
    <s v="nee"/>
    <n v="1"/>
    <d v="2022-02-23T00:00:00"/>
    <n v="223.97"/>
    <n v="0"/>
    <n v="0"/>
    <x v="3"/>
    <n v="46.38"/>
    <x v="13"/>
    <s v="BICT"/>
    <n v="79"/>
    <s v="ja"/>
    <n v="950"/>
    <d v="2020-10-05T00:00:00"/>
    <d v="2021-10-04T00:00:00"/>
    <s v="3 maanden"/>
    <m/>
  </r>
  <r>
    <x v="30"/>
    <s v="3151 GK"/>
    <s v="RD"/>
    <n v="3000"/>
    <n v="100"/>
    <n v="5060"/>
    <m/>
    <s v="Stichting MCM"/>
    <s v="J. v. Bergen"/>
    <s v="Rijpstraat 22"/>
    <s v="3151 BV"/>
    <s v="Hoek van Holland"/>
    <m/>
    <s v="jetvbergen@gmail.com"/>
    <s v="NL39RABO0334435080"/>
    <n v="12"/>
    <n v="6"/>
    <s v="ja"/>
    <s v="ja"/>
    <s v="Total, E / Evides"/>
    <s v="nee"/>
    <n v="5"/>
    <d v="2025-12-31T00:00:00"/>
    <n v="840.49"/>
    <n v="0"/>
    <n v="71.92"/>
    <x v="0"/>
    <n v="0"/>
    <x v="2"/>
    <s v="Ziggo"/>
    <n v="79"/>
    <m/>
    <m/>
    <d v="2012-11-26T00:00:00"/>
    <s v="nb"/>
    <s v="3 maanden"/>
    <m/>
  </r>
  <r>
    <x v="31"/>
    <s v="3151 BV"/>
    <s v="R24"/>
    <n v="1733.3333333333333"/>
    <n v="100"/>
    <s v="5005"/>
    <m/>
    <s v="F.A.S. van Bergen"/>
    <s v="J. v. Bergen"/>
    <s v="Rijpstraat 22"/>
    <s v="3151 BV"/>
    <s v="Hoek van Holland"/>
    <m/>
    <s v="jetvbergen@gmail.com"/>
    <s v="NL44ABNA0620327766"/>
    <n v="4"/>
    <n v="2"/>
    <s v="ja"/>
    <s v="ja"/>
    <m/>
    <s v="nee"/>
    <n v="5"/>
    <d v="2025-12-31T00:00:00"/>
    <n v="427.27"/>
    <n v="0"/>
    <n v="38.78"/>
    <x v="6"/>
    <n v="0"/>
    <x v="14"/>
    <s v="incl."/>
    <n v="0"/>
    <m/>
    <m/>
    <d v="2019-05-15T00:00:00"/>
    <d v="2022-05-14T00:00:00"/>
    <s v="1 maand"/>
    <m/>
  </r>
  <r>
    <x v="32"/>
    <s v="3231 AM"/>
    <s v="29B"/>
    <n v="1620"/>
    <n v="100"/>
    <n v="5096"/>
    <m/>
    <s v="All In Rentals"/>
    <s v="Dhr. N.W. Melker"/>
    <s v="Albert Einsteinstraat 8"/>
    <s v="3261 LP"/>
    <s v="Oud-Beijerland "/>
    <s v="085-0606351"/>
    <s v="administratie@allinrentals.nl"/>
    <s v="NL35ABNA0838469094"/>
    <m/>
    <m/>
    <m/>
    <m/>
    <m/>
    <s v="ja"/>
    <m/>
    <m/>
    <n v="200"/>
    <n v="0"/>
    <n v="0"/>
    <x v="2"/>
    <n v="0"/>
    <x v="2"/>
    <s v="incl."/>
    <n v="0"/>
    <s v="ja"/>
    <n v="1870"/>
    <d v="2021-10-15T00:00:00"/>
    <d v="2022-04-14T00:00:00"/>
    <s v="1 maand"/>
    <s v="onbepaalde tijd / min 6mnd / 1620H 200gwe 50tvi"/>
  </r>
  <r>
    <x v="33"/>
    <s v="3231 AM"/>
    <s v="29C"/>
    <n v="1620"/>
    <n v="100"/>
    <n v="5096"/>
    <m/>
    <s v="All In Rentals"/>
    <s v="Dhr. N.W. Melker"/>
    <s v="Albert Einsteinstraat 8"/>
    <s v="3261 LP"/>
    <s v="Oud-Beijerland "/>
    <s v="085-0606351"/>
    <s v="administratie@allinrentals.nl"/>
    <s v="NL35ABNA0838469094"/>
    <m/>
    <m/>
    <m/>
    <m/>
    <m/>
    <s v="ja"/>
    <m/>
    <m/>
    <n v="200"/>
    <n v="0"/>
    <n v="0"/>
    <x v="2"/>
    <n v="0"/>
    <x v="2"/>
    <s v="incl."/>
    <n v="0"/>
    <s v="ja"/>
    <n v="1870"/>
    <d v="2021-10-15T00:00:00"/>
    <d v="2022-04-14T00:00:00"/>
    <s v="1 maand"/>
    <s v="onbepaalde tijd / min 6mnd / 1620H 200gwe 50tvi"/>
  </r>
  <r>
    <x v="34"/>
    <s v="2681 LV"/>
    <s v="WAE"/>
    <n v="1400"/>
    <n v="100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s v="Total, E / Evides"/>
    <s v="nee"/>
    <n v="0.5"/>
    <d v="2022-01-01T00:00:00"/>
    <n v="300.82"/>
    <n v="0"/>
    <n v="78.040000000000006"/>
    <x v="1"/>
    <n v="104.91000000000001"/>
    <x v="9"/>
    <s v="BICT"/>
    <n v="79"/>
    <m/>
    <n v="1400"/>
    <d v="2012-11-26T00:00:00"/>
    <s v="nb"/>
    <m/>
    <m/>
  </r>
  <r>
    <x v="35"/>
    <s v="2761 KD"/>
    <s v="ZP4"/>
    <n v="3500"/>
    <n v="100"/>
    <n v="5061"/>
    <s v="ja"/>
    <s v="B. Kouwenhoven"/>
    <s v="Bas Kouwenhoven"/>
    <s v="Gerberaweg 9"/>
    <s v="2665 AL"/>
    <s v="Bleiswijk"/>
    <s v="06-51246574"/>
    <s v="baskouwenhoven@planet.nl"/>
    <s v="NL43RABO0136997813"/>
    <n v="12"/>
    <n v="5"/>
    <s v="ja"/>
    <s v="ja"/>
    <s v="Essent / evides"/>
    <s v="nee"/>
    <n v="1"/>
    <d v="2022-02-23T00:00:00"/>
    <n v="283.47000000000003"/>
    <n v="0"/>
    <n v="0"/>
    <x v="1"/>
    <n v="119.51666666666667"/>
    <x v="15"/>
    <s v="BICT"/>
    <n v="79"/>
    <s v="ja"/>
    <n v="3500"/>
    <d v="2019-03-01T00:00:00"/>
    <d v="2020-03-01T00:00:00"/>
    <m/>
    <m/>
  </r>
  <r>
    <x v="36"/>
    <s v="3151 XP"/>
    <s v="Z33"/>
    <n v="1750"/>
    <n v="100"/>
    <n v="5060"/>
    <m/>
    <s v="Stichting MCM"/>
    <s v="J. v. Bergen"/>
    <s v="Rijpstraat 22"/>
    <s v="3151 BV"/>
    <s v="Hoek van Holland"/>
    <m/>
    <s v="jetvbergen@gmail.com"/>
    <s v="NL39RABO0334435080"/>
    <n v="7"/>
    <n v="4"/>
    <s v="ja"/>
    <s v="nee"/>
    <m/>
    <s v="ja"/>
    <m/>
    <m/>
    <n v="0"/>
    <n v="0"/>
    <n v="0"/>
    <x v="2"/>
    <n v="0"/>
    <x v="2"/>
    <m/>
    <n v="0"/>
    <m/>
    <m/>
    <m/>
    <m/>
    <m/>
    <m/>
  </r>
  <r>
    <x v="37"/>
    <s v="3151 XP"/>
    <s v="Z33"/>
    <n v="2000"/>
    <n v="100"/>
    <n v="5060"/>
    <m/>
    <s v="Stichting MCM"/>
    <s v="J. v. Bergen"/>
    <s v="Rijpstraat 22"/>
    <s v="3151 BV"/>
    <s v="Hoek van Holland"/>
    <m/>
    <s v="jetvbergen@gmail.com"/>
    <s v="NL39RABO0334435080"/>
    <n v="8"/>
    <n v="4"/>
    <s v="ja"/>
    <s v="nee"/>
    <m/>
    <s v="ja"/>
    <m/>
    <m/>
    <n v="0"/>
    <n v="0"/>
    <n v="0"/>
    <x v="2"/>
    <n v="0"/>
    <x v="2"/>
    <m/>
    <n v="0"/>
    <m/>
    <m/>
    <m/>
    <m/>
    <m/>
    <m/>
  </r>
  <r>
    <x v="38"/>
    <s v="3151 XP"/>
    <s v="Z56"/>
    <n v="1800"/>
    <n v="100"/>
    <n v="5084"/>
    <m/>
    <s v="R.L. Koornneef"/>
    <s v="R.L. Koornneef"/>
    <s v="Burgerweg 3"/>
    <s v="3155 DA"/>
    <s v="Maasland"/>
    <s v="06-24266245 / 06-33733955"/>
    <s v="roald@hoekplex.nl"/>
    <s v="NL71RABO0362349843"/>
    <n v="9"/>
    <n v="5"/>
    <s v="ja"/>
    <s v="ja"/>
    <m/>
    <s v="ja"/>
    <m/>
    <m/>
    <n v="0"/>
    <n v="0"/>
    <n v="17.29"/>
    <x v="3"/>
    <n v="267.5"/>
    <x v="16"/>
    <s v="BICT"/>
    <n v="79"/>
    <s v="ja"/>
    <n v="3600"/>
    <d v="2019-09-16T00:00:00"/>
    <d v="2021-09-15T00:00:00"/>
    <s v="3 maanden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3151 NL"/>
    <s v="PD"/>
    <s v="S24"/>
    <n v="3126.45"/>
    <n v="110"/>
    <n v="5083"/>
    <m/>
    <s v="G.A. van Oosten"/>
    <s v="Lilian van Oosten"/>
    <s v="Grootzand 19"/>
    <s v="3151 VD"/>
    <s v="Hoek van Holland"/>
    <s v="06-37270022"/>
    <s v="info@hfwk.nl"/>
    <s v="NL22ABNA0810531194"/>
    <n v="10"/>
    <n v="5"/>
    <s v="ja"/>
    <s v="ja"/>
    <s v="ComCam"/>
    <s v="Engie"/>
    <n v="0.2465"/>
    <s v="ComCam"/>
    <s v="Engie"/>
    <n v="0"/>
    <n v="5.6160000000000002E-2"/>
    <n v="4.2979999999999997E-2"/>
    <s v="Exclusief"/>
    <s v="Evides"/>
    <n v="4"/>
    <d v="2022-03-01T00:00:00"/>
    <d v="2026-03-01T00:00:00"/>
    <n v="698.82"/>
    <n v="0"/>
    <n v="39.659999999999997"/>
    <s v="Gemeente"/>
    <n v="0"/>
    <s v="ondergrondse containers"/>
    <s v="BICT"/>
    <n v="79"/>
    <s v="ja"/>
    <n v="5000"/>
    <d v="2019-09-01T00:00:00"/>
    <d v="2022-09-01T00:00:00"/>
    <s v="1-3 maanden"/>
    <m/>
  </r>
  <r>
    <x v="1"/>
    <s v="2295 RW"/>
    <s v="PD"/>
    <s v="B59"/>
    <n v="1050"/>
    <n v="110"/>
    <s v="5047"/>
    <m/>
    <s v="M. Nottet"/>
    <s v="M. Nottet"/>
    <s v="Nieuweweg 102"/>
    <s v="2675 BE"/>
    <s v="Honselersdijk"/>
    <s v="06-50502637"/>
    <s v="mnottet@caiway.nl"/>
    <s v="NL49RABO0114184372"/>
    <n v="5"/>
    <n v="3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122.42000000000002"/>
    <n v="0"/>
    <n v="66.36"/>
    <s v="MSN "/>
    <n v="0"/>
    <s v="1x 500 ltr / 1x pw / vrijdag"/>
    <s v="BICT"/>
    <n v="79"/>
    <s v="ja"/>
    <m/>
    <d v="2014-06-01T00:00:00"/>
    <s v="nb"/>
    <s v="2 maanden"/>
    <m/>
  </r>
  <r>
    <x v="2"/>
    <s v="2295 RW"/>
    <s v="PD"/>
    <s v="B61"/>
    <n v="2050"/>
    <n v="110"/>
    <s v="5047"/>
    <m/>
    <s v="M. Nottet"/>
    <s v="M. Nottet"/>
    <s v="Nieuweweg 102"/>
    <s v="2675 BE"/>
    <s v="Honselersdijk"/>
    <s v="06-50502637"/>
    <s v="mnottet@caiway.nl"/>
    <s v="NL49RABO0114184372"/>
    <n v="8"/>
    <n v="5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261.87"/>
    <n v="0"/>
    <n v="66.36"/>
    <m/>
    <n v="100.45"/>
    <m/>
    <s v="BICT"/>
    <n v="79"/>
    <s v="ja"/>
    <m/>
    <d v="2014-06-01T00:00:00"/>
    <s v="nb"/>
    <s v="2 maanden"/>
    <m/>
  </r>
  <r>
    <x v="3"/>
    <s v="2678 AN"/>
    <s v="PD"/>
    <n v="82"/>
    <n v="1200"/>
    <n v="110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589.59"/>
    <n v="0"/>
    <n v="36.24"/>
    <s v="Vliet / Gemeente"/>
    <n v="0"/>
    <s v="1x 660 ltr 1x pw di  // Grijs (OW) groen ( EW) donderdag"/>
    <s v="BICT"/>
    <n v="79"/>
    <s v="ja"/>
    <n v="1200"/>
    <d v="2019-01-01T00:00:00"/>
    <d v="2020-12-31T00:00:00"/>
    <s v="3 maanden"/>
    <s v="stroom via tuin eigenaar"/>
  </r>
  <r>
    <x v="4"/>
    <s v="2678 KZ"/>
    <s v="PD"/>
    <s v="CZ"/>
    <n v="1150"/>
    <n v="110"/>
    <s v="5003"/>
    <m/>
    <s v="K. Zuidgeest"/>
    <s v="K. Zuidgeest"/>
    <s v="Oudecampsweg 7"/>
    <s v="2678 NN"/>
    <s v=" De Lier"/>
    <s v="06-26146636"/>
    <s v="KoosZuidgeest@zuidkoop.nl / k.zuidgeest@hetnet.nl "/>
    <s v="NL05RABO0336208367"/>
    <n v="8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902.34000000000015"/>
    <n v="0"/>
    <n v="99.53"/>
    <s v="MSN "/>
    <n v="150.35"/>
    <s v="1x 1100 ltr / 1x pw / woensdag"/>
    <s v="BICT"/>
    <n v="0"/>
    <m/>
    <n v="2300"/>
    <d v="2012-11-26T00:00:00"/>
    <s v="nb"/>
    <s v="2 maanden"/>
    <m/>
  </r>
  <r>
    <x v="5"/>
    <s v="3143AB"/>
    <s v="PD"/>
    <s v="56b"/>
    <n v="2150"/>
    <n v="110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388.9"/>
    <n v="0"/>
    <n v="0"/>
    <s v="Gemeente"/>
    <n v="0"/>
    <s v="ondergrondse containers"/>
    <s v="BICT"/>
    <n v="79"/>
    <s v="ja"/>
    <n v="2150"/>
    <d v="2020-03-06T00:00:00"/>
    <d v="2021-03-06T00:00:00"/>
    <s v="6maanden"/>
    <s v="15 april  ipv 5 maart aangevangen"/>
  </r>
  <r>
    <x v="6"/>
    <s v="2671 KC"/>
    <s v="PD"/>
    <n v="113"/>
    <n v="1150"/>
    <n v="110"/>
    <s v="5007"/>
    <m/>
    <s v="M. van der Enden"/>
    <s v="Maup van der Ende"/>
    <s v="Molenweg 3b"/>
    <s v="2681 RD"/>
    <s v="Monster"/>
    <s v="06-54271085"/>
    <s v="maup2@caiway.nl"/>
    <s v="NL30RABO0373250568"/>
    <n v="4"/>
    <n v="2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143.43000000000006"/>
    <n v="0"/>
    <n v="76.260000000000005"/>
    <m/>
    <n v="0"/>
    <m/>
    <s v="BICT"/>
    <n v="79"/>
    <m/>
    <m/>
    <d v="2020-10-01T00:00:00"/>
    <m/>
    <m/>
    <m/>
  </r>
  <r>
    <x v="7"/>
    <s v="2675 SK"/>
    <s v="PD"/>
    <s v="HK"/>
    <n v="1500"/>
    <n v="110"/>
    <s v="5004"/>
    <m/>
    <s v="v.o.f. J.C. Mulder"/>
    <s v="Jan Mulder"/>
    <s v="Van Poeljestraat 28"/>
    <s v="2675 TB"/>
    <s v="Honselersdijk"/>
    <s v="06-53690859"/>
    <s v="janmul54@gmail.com"/>
    <s v="NL08RABO0343659077"/>
    <n v="6"/>
    <n v="3"/>
    <s v="ja"/>
    <s v="ja"/>
    <s v="ComCam"/>
    <s v="Engie"/>
    <n v="0.80162"/>
    <s v="Inclusief met VS"/>
    <s v="Inclusief met VS"/>
    <n v="0"/>
    <n v="0"/>
    <n v="0"/>
    <s v="Inclusief"/>
    <s v="Inclusief"/>
    <n v="1"/>
    <d v="2022-03-01T00:00:00"/>
    <d v="2026-03-01T00:00:00"/>
    <n v="429.36000000000013"/>
    <n v="0"/>
    <n v="53.34"/>
    <s v="Gemeente &amp; MSN"/>
    <n v="0"/>
    <s v="Grijs (OW), Groen (EW) / woensdag, Blauw laatste maandag vd maand &amp; 1xp2w (OW)"/>
    <s v="incl"/>
    <n v="0"/>
    <s v="ja"/>
    <m/>
    <d v="2012-11-26T00:00:00"/>
    <d v="2021-01-01T00:00:00"/>
    <s v="3 maanden"/>
    <m/>
  </r>
  <r>
    <x v="8"/>
    <s v="2678 EX "/>
    <s v="PD"/>
    <s v="21a"/>
    <n v="1150"/>
    <n v="110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95.43"/>
    <s v="MSN "/>
    <n v="117.04"/>
    <s v="1 X 660 ltr/ 1x pw / woensdag"/>
    <s v="incl "/>
    <n v="0"/>
    <s v="ja"/>
    <n v="1000"/>
    <d v="2018-03-01T00:00:00"/>
    <s v="OT"/>
    <s v="1 maand"/>
    <m/>
  </r>
  <r>
    <x v="9"/>
    <s v="2544 EN"/>
    <s v="PD"/>
    <s v="K28"/>
    <n v="8750"/>
    <n v="110"/>
    <n v="5091"/>
    <m/>
    <s v="Lammertink Projecten B.V."/>
    <s v="Hans Lammertink"/>
    <s v="Schietlood 2"/>
    <s v="2495 AN"/>
    <s v="Den Haag"/>
    <s v="085-2739900 "/>
    <m/>
    <s v="NL83INGB0677182783"/>
    <n v="40"/>
    <n v="20"/>
    <s v="ja"/>
    <s v="ja"/>
    <s v="ComCam"/>
    <s v="Engie"/>
    <m/>
    <s v="ComCam"/>
    <s v="Engie"/>
    <n v="0"/>
    <n v="0.15779000000000001"/>
    <n v="0.12237000000000001"/>
    <s v="Exclusief"/>
    <s v="dunea"/>
    <n v="4"/>
    <d v="2022-03-01T00:00:00"/>
    <d v="2026-03-01T00:00:00"/>
    <n v="13978.5"/>
    <n v="0"/>
    <n v="207.61"/>
    <s v="Omega"/>
    <n v="845.56"/>
    <s v="Omega 4x 1000ltr 2x p/w"/>
    <s v="BICT"/>
    <n v="237"/>
    <m/>
    <m/>
    <d v="2019-05-06T00:00:00"/>
    <d v="2024-04-14T00:00:00"/>
    <m/>
    <m/>
  </r>
  <r>
    <x v="10"/>
    <s v="2544 EN"/>
    <s v="PD"/>
    <s v="K28"/>
    <n v="28944.38"/>
    <n v="110"/>
    <n v="5091"/>
    <m/>
    <s v="Lammertink Projecten B.V."/>
    <s v="Hans Lammertink"/>
    <s v="Schietlood 2"/>
    <s v="2495 AN"/>
    <s v="Den Haag"/>
    <s v="085-2739900 "/>
    <m/>
    <s v="NL83INGB0677182783"/>
    <n v="97"/>
    <n v="64"/>
    <s v="ja"/>
    <s v="nee"/>
    <s v="ComCam"/>
    <s v="Engie"/>
    <m/>
    <s v="ComCam"/>
    <s v="Engie"/>
    <n v="0"/>
    <n v="0.15779000000000001"/>
    <n v="0.12237000000000001"/>
    <s v="Exclusief"/>
    <s v="dunea"/>
    <n v="4"/>
    <s v="gedurende jaar"/>
    <d v="2026-03-01T00:00:00"/>
    <n v="0"/>
    <n v="0"/>
    <n v="0"/>
    <s v="incl."/>
    <n v="0"/>
    <m/>
    <s v="BICT"/>
    <n v="395"/>
    <m/>
    <m/>
    <d v="2020-03-01T00:00:00"/>
    <d v="2024-04-14T00:00:00"/>
    <m/>
    <m/>
  </r>
  <r>
    <x v="11"/>
    <s v="2671 DV"/>
    <s v="PD"/>
    <s v="L46"/>
    <n v="1825"/>
    <n v="110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22.83"/>
    <s v="Vliet"/>
    <n v="111.20666666666666"/>
    <s v="1x 500 ltr / 1x pw / dinsdag"/>
    <s v="BICT"/>
    <n v="79"/>
    <s v="ja"/>
    <n v="1750"/>
    <d v="2017-12-10T00:00:00"/>
    <s v="nb"/>
    <s v="per maand"/>
    <s v="2022 € 5.200,- huur vermindering"/>
  </r>
  <r>
    <x v="12"/>
    <s v="2681 RD"/>
    <s v="PD"/>
    <s v="MOL"/>
    <n v="1800"/>
    <n v="110"/>
    <s v="5007"/>
    <m/>
    <s v="M. van der Enden"/>
    <s v="Erven: Maup van der Ende"/>
    <s v="Molenweg 3b"/>
    <s v="2681 RD"/>
    <s v="Monster"/>
    <s v="06-54271085"/>
    <s v="maup2@caiway.nl"/>
    <s v="NL30RABO0373250568"/>
    <n v="7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09.67000000000007"/>
    <n v="0"/>
    <n v="97.4"/>
    <s v="Gemeente / Vliet"/>
    <n v="0"/>
    <s v="Grijs (EW), Groen (OW) / dinsdag, Blauw 1e woensdag vd maand / Rol 500ltr dinsdag (OW)"/>
    <s v="BICT"/>
    <n v="79"/>
    <m/>
    <m/>
    <d v="2012-11-26T00:00:00"/>
    <s v="nb"/>
    <m/>
    <m/>
  </r>
  <r>
    <x v="13"/>
    <s v="2681 PJ"/>
    <s v="PD"/>
    <s v="M25"/>
    <n v="2000"/>
    <n v="110"/>
    <s v="5002"/>
    <m/>
    <s v="H. van Leeuwen"/>
    <s v="Petra"/>
    <s v="Postbus 170"/>
    <s v="2680 AD"/>
    <s v="Monster"/>
    <s v="06-51262904 / 0174-248804"/>
    <s v="petra@huubvanleeuwen.nl"/>
    <s v="NL16RABO0142243671"/>
    <n v="8"/>
    <n v="4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77.459999999999994"/>
    <s v="Vliet"/>
    <n v="111.21"/>
    <s v="1x 500 ltr / 1xpw / donderdag"/>
    <s v="BICT"/>
    <n v="79"/>
    <m/>
    <m/>
    <d v="2017-04-01T00:00:00"/>
    <s v="nb"/>
    <m/>
    <m/>
  </r>
  <r>
    <x v="14"/>
    <s v="2681 PK"/>
    <s v="PD"/>
    <s v="M35"/>
    <n v="1820"/>
    <n v="110"/>
    <n v="5094"/>
    <m/>
    <s v="J.S. Vink Vastgoed"/>
    <s v="Denise Vink"/>
    <s v="Boomaweg 27"/>
    <s v="2681 RH "/>
    <s v="Monster"/>
    <s v="06-23615767 (denise) 06-53505331 (jan)"/>
    <s v="info@jsvink.nl / d.j.vink@hotmail.com"/>
    <s v="NL37RABO0129970077"/>
    <n v="7"/>
    <m/>
    <m/>
    <s v="ja"/>
    <s v="ComCam"/>
    <s v="Engie"/>
    <n v="0.80162"/>
    <s v="ComCam"/>
    <s v="Engie"/>
    <n v="0"/>
    <n v="0.29319000000000001"/>
    <n v="0.16794000000000001"/>
    <s v="Inclusief"/>
    <s v="Inclusief"/>
    <n v="4"/>
    <d v="2022-03-01T00:00:00"/>
    <d v="2026-03-01T00:00:00"/>
    <n v="632.86999999999989"/>
    <n v="0"/>
    <n v="47.48"/>
    <s v="Vliet"/>
    <n v="111.30666666666667"/>
    <s v="1x 500 ltr / 1x p2w / donderdag EW"/>
    <m/>
    <n v="79"/>
    <m/>
    <m/>
    <d v="2021-03-01T00:00:00"/>
    <m/>
    <m/>
    <m/>
  </r>
  <r>
    <x v="15"/>
    <s v="2681 LT"/>
    <s v="PD"/>
    <s v="P27"/>
    <n v="750"/>
    <n v="110"/>
    <n v="5099"/>
    <m/>
    <s v="P.C. Vijverberg"/>
    <s v="Piet Vijverberg"/>
    <s v="Van Koppenweg 24"/>
    <s v="2672 EH"/>
    <s v="Naaldwijk"/>
    <m/>
    <s v="piet@pietvijverberg.nl"/>
    <s v="NL95RABO0142277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s v="2681 LT"/>
    <s v="PD"/>
    <s v="P29"/>
    <n v="1350"/>
    <n v="110"/>
    <n v="5099"/>
    <m/>
    <s v="P.C. Vijverberg"/>
    <s v="Piet Vijverberg"/>
    <s v="Van Koppenweg 24"/>
    <s v="2672 EH"/>
    <s v="Naaldwijk"/>
    <m/>
    <s v="piet@pietvijverberg.nl"/>
    <s v="NL95RABO0142277460"/>
    <m/>
    <m/>
    <m/>
    <m/>
    <m/>
    <m/>
    <m/>
    <m/>
    <m/>
    <m/>
    <m/>
    <m/>
    <m/>
    <m/>
    <m/>
    <m/>
    <m/>
    <n v="0"/>
    <m/>
    <m/>
    <s v="MSN "/>
    <n v="59.5"/>
    <s v="1x 660 ltr / 1x p2w / woensdag EW"/>
    <m/>
    <m/>
    <m/>
    <m/>
    <m/>
    <m/>
    <m/>
    <m/>
  </r>
  <r>
    <x v="17"/>
    <s v="3151 HM"/>
    <s v="PD"/>
    <s v="PWW"/>
    <n v="1000"/>
    <n v="110"/>
    <n v="5090"/>
    <m/>
    <s v="A.J. Bouma - Scholtsz"/>
    <s v="Kick Bouma"/>
    <s v="Jan de Geuspad 26"/>
    <s v="3151 KD"/>
    <s v="Hoek van Holland"/>
    <s v="06-81553153"/>
    <s v="kickbouma@upcmail.nl"/>
    <s v="NL19INGB0000182620"/>
    <n v="5"/>
    <n v="3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741.20000000000027"/>
    <n v="0"/>
    <n v="22.83"/>
    <s v="MSN "/>
    <n v="56.21"/>
    <s v="1x 500 ltr / 1x 2pw / ma E-W"/>
    <s v="BICT"/>
    <n v="79"/>
    <s v="ja"/>
    <n v="950"/>
    <d v="2020-10-05T00:00:00"/>
    <d v="2021-10-04T00:00:00"/>
    <s v="3 maanden"/>
    <m/>
  </r>
  <r>
    <x v="18"/>
    <s v="3151 GK"/>
    <s v="PD"/>
    <s v="RD"/>
    <n v="3000"/>
    <n v="110"/>
    <n v="5060"/>
    <m/>
    <s v="Stichting MCM"/>
    <s v="J. v. Bergen"/>
    <s v="Rijpstraat 22"/>
    <s v="3151 BV"/>
    <s v="Hoek van Holland"/>
    <m/>
    <s v="jetvbergen@gmail.com"/>
    <s v="NL39RABO0334435080"/>
    <n v="12"/>
    <n v="6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962.19999999999982"/>
    <n v="0"/>
    <n v="88.88"/>
    <s v="Gemeente"/>
    <n v="0"/>
    <m/>
    <s v="Ziggo"/>
    <n v="79"/>
    <m/>
    <m/>
    <d v="2012-11-26T00:00:00"/>
    <s v="nb"/>
    <s v="3 maanden"/>
    <m/>
  </r>
  <r>
    <x v="19"/>
    <s v="3151 GJ"/>
    <s v="PD"/>
    <s v="56a"/>
    <n v="1300"/>
    <n v="110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4"/>
    <m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m/>
    <m/>
    <s v="ja"/>
    <n v="1300"/>
    <d v="2023-01-01T00:00:00"/>
    <d v="2023-12-31T00:00:00"/>
    <s v="1 maand"/>
    <m/>
  </r>
  <r>
    <x v="20"/>
    <s v="3151 GJ"/>
    <s v="PD"/>
    <s v="56b"/>
    <n v="1950"/>
    <n v="110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6"/>
    <m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m/>
    <m/>
    <s v="ja"/>
    <n v="1950"/>
    <d v="2023-01-01T00:00:00"/>
    <d v="2023-12-31T00:00:00"/>
    <s v="1 maand"/>
    <m/>
  </r>
  <r>
    <x v="21"/>
    <s v="3151 BV"/>
    <s v="PD"/>
    <s v="R24"/>
    <n v="1733.3333333333333"/>
    <n v="110"/>
    <s v="5005"/>
    <m/>
    <s v="F.A.S. van Bergen"/>
    <s v="J. v. Bergen"/>
    <s v="Rijpstraat 22"/>
    <s v="3151 BV"/>
    <s v="Hoek van Holland"/>
    <m/>
    <s v="jetvbergen@gmail.com"/>
    <s v="NL44ABNA0620327766"/>
    <n v="4"/>
    <n v="2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0"/>
    <n v="0"/>
    <n v="43.58"/>
    <s v="Gemeente / Vliet"/>
    <n v="55.476666666666667"/>
    <s v="1x 660 ltr   / 1x2 pw / donderdag/ O-W"/>
    <s v="incl."/>
    <n v="0"/>
    <m/>
    <m/>
    <d v="2019-05-15T00:00:00"/>
    <d v="2022-05-14T00:00:00"/>
    <s v="1 maand"/>
    <m/>
  </r>
  <r>
    <x v="22"/>
    <s v="2681 LV"/>
    <s v="PD"/>
    <s v="WAE"/>
    <n v="1500"/>
    <n v="110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33.75999999999976"/>
    <n v="0"/>
    <n v="92.22999999999999"/>
    <s v="Vliet"/>
    <n v="111.20666666666666"/>
    <s v="1x 500 ltr / 1x pw / dinsdag"/>
    <s v="BICT"/>
    <n v="79"/>
    <m/>
    <n v="1400"/>
    <d v="2012-11-26T00:00:00"/>
    <s v="nb"/>
    <m/>
    <m/>
  </r>
  <r>
    <x v="23"/>
    <s v="3151 XP"/>
    <s v="PD"/>
    <s v="Z33"/>
    <n v="2500"/>
    <n v="110"/>
    <n v="5060"/>
    <m/>
    <s v="Stichting MCM"/>
    <s v="J. v. Bergen"/>
    <s v="Rijpstraat 22"/>
    <s v="3151 BV"/>
    <s v="Hoek van Holland"/>
    <m/>
    <s v="jetvbergen@gmail.com"/>
    <s v="NL39RABO0334435080"/>
    <n v="7"/>
    <n v="4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48.21"/>
    <n v="0"/>
    <n v="63.99"/>
    <m/>
    <n v="0"/>
    <m/>
    <m/>
    <n v="0"/>
    <m/>
    <m/>
    <m/>
    <m/>
    <m/>
    <m/>
  </r>
  <r>
    <x v="24"/>
    <s v="3151 XP"/>
    <s v="PD"/>
    <s v="Z33"/>
    <n v="2500"/>
    <n v="110"/>
    <n v="5060"/>
    <m/>
    <s v="Stichting MCM"/>
    <s v="J. v. Bergen"/>
    <s v="Rijpstraat 22"/>
    <s v="3151 BV"/>
    <s v="Hoek van Holland"/>
    <m/>
    <s v="jetvbergen@gmail.com"/>
    <s v="NL39RABO0334435080"/>
    <n v="8"/>
    <n v="4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0"/>
    <n v="0"/>
    <n v="0"/>
    <m/>
    <n v="0"/>
    <m/>
    <m/>
    <n v="0"/>
    <m/>
    <m/>
    <m/>
    <m/>
    <m/>
    <m/>
  </r>
  <r>
    <x v="25"/>
    <s v="3151 XP"/>
    <s v="PD"/>
    <s v="Z56"/>
    <n v="1800"/>
    <n v="110"/>
    <n v="5084"/>
    <m/>
    <s v="R.L. Koornneef"/>
    <s v="R.L. Koornneef"/>
    <s v="Burgerweg 3"/>
    <s v="3155 DA"/>
    <s v="Maasland"/>
    <s v="06-24266245 / 06-33733955"/>
    <s v="roald@hoekplex.nl"/>
    <s v="NL71RABO0362349843"/>
    <n v="9"/>
    <n v="5"/>
    <s v="ja"/>
    <s v="ja"/>
    <s v="Afrekening verhuurder"/>
    <s v="Inclusief"/>
    <m/>
    <s v="Afrekening verhuurder"/>
    <s v="Inclusief"/>
    <m/>
    <m/>
    <m/>
    <s v="Afrekening verhuurder"/>
    <s v="Inclusief"/>
    <m/>
    <m/>
    <m/>
    <n v="430"/>
    <n v="0"/>
    <n v="17.29"/>
    <s v="MSN "/>
    <n v="324.2"/>
    <s v="1x 1300ltr / wo / 1x pw"/>
    <s v="BICT"/>
    <n v="79"/>
    <s v="ja"/>
    <n v="3600"/>
    <d v="2019-09-16T00:00:00"/>
    <d v="2021-09-15T00:00:00"/>
    <s v="3 maanden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3151 NL"/>
    <s v="PD"/>
    <s v="S24"/>
    <n v="3126.45"/>
    <n v="110"/>
    <n v="5083"/>
    <m/>
    <x v="0"/>
    <x v="0"/>
    <x v="0"/>
    <x v="0"/>
    <x v="0"/>
    <x v="0"/>
    <s v="info@hfwk.nl"/>
    <s v="NL22ABNA0810531194"/>
    <x v="0"/>
    <x v="0"/>
    <s v="ja"/>
    <s v="ja"/>
    <s v="ComCam"/>
    <s v="Engie"/>
    <n v="0.2465"/>
    <s v="ComCam"/>
    <s v="Engie"/>
    <n v="0"/>
    <n v="5.6160000000000002E-2"/>
    <n v="4.2979999999999997E-2"/>
    <s v="Exclusief"/>
    <s v="Evides"/>
    <n v="4"/>
    <d v="2022-03-01T00:00:00"/>
    <d v="2026-03-01T00:00:00"/>
    <n v="698.82"/>
    <n v="0"/>
    <n v="39.659999999999997"/>
    <s v="Gemeente"/>
    <n v="0"/>
    <s v="ondergrondse containers"/>
    <x v="0"/>
    <n v="79"/>
    <x v="0"/>
    <n v="5000"/>
    <d v="2019-09-01T00:00:00"/>
    <d v="2022-09-01T00:00:00"/>
    <s v="1-3 maanden"/>
    <m/>
  </r>
  <r>
    <x v="1"/>
    <s v="2295 RW"/>
    <s v="PD"/>
    <s v="B59"/>
    <n v="1050"/>
    <n v="110"/>
    <s v="5047"/>
    <m/>
    <x v="1"/>
    <x v="1"/>
    <x v="1"/>
    <x v="1"/>
    <x v="1"/>
    <x v="1"/>
    <s v="mnottet@caiway.nl"/>
    <s v="NL49RABO0114184372"/>
    <x v="1"/>
    <x v="1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122.42000000000002"/>
    <n v="0"/>
    <n v="66.36"/>
    <s v="MSN "/>
    <n v="0"/>
    <s v="1x 500 ltr / 1x pw / vrijdag"/>
    <x v="0"/>
    <n v="79"/>
    <x v="0"/>
    <m/>
    <d v="2014-06-01T00:00:00"/>
    <s v="nb"/>
    <s v="2 maanden"/>
    <m/>
  </r>
  <r>
    <x v="2"/>
    <s v="2295 RW"/>
    <s v="PD"/>
    <s v="B61"/>
    <n v="2050"/>
    <n v="110"/>
    <s v="5047"/>
    <m/>
    <x v="1"/>
    <x v="1"/>
    <x v="1"/>
    <x v="1"/>
    <x v="1"/>
    <x v="1"/>
    <s v="mnottet@caiway.nl"/>
    <s v="NL49RABO0114184372"/>
    <x v="2"/>
    <x v="0"/>
    <s v="ja"/>
    <s v="ja"/>
    <s v="ComCam"/>
    <s v="Engie"/>
    <n v="1.46"/>
    <s v="ComCam"/>
    <s v="Engie"/>
    <n v="0"/>
    <n v="0.1145"/>
    <n v="0.11013000000000001"/>
    <s v="Exclusief"/>
    <s v="Evides"/>
    <n v="4"/>
    <d v="2022-10-01T00:00:00"/>
    <d v="2026-03-01T00:00:00"/>
    <n v="261.87"/>
    <n v="0"/>
    <n v="66.36"/>
    <m/>
    <n v="100.45"/>
    <m/>
    <x v="0"/>
    <n v="79"/>
    <x v="0"/>
    <m/>
    <d v="2014-06-01T00:00:00"/>
    <s v="nb"/>
    <s v="2 maanden"/>
    <m/>
  </r>
  <r>
    <x v="3"/>
    <s v="2678 AN"/>
    <s v="PD"/>
    <n v="82"/>
    <n v="1200"/>
    <n v="110"/>
    <n v="5077"/>
    <m/>
    <x v="2"/>
    <x v="2"/>
    <x v="2"/>
    <x v="2"/>
    <x v="2"/>
    <x v="2"/>
    <s v="info@vandenbergdelier.nl"/>
    <s v="NL29ABNA0472271989"/>
    <x v="3"/>
    <x v="2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589.59"/>
    <n v="0"/>
    <n v="36.24"/>
    <s v="Vliet / Gemeente"/>
    <n v="0"/>
    <s v="1x 660 ltr 1x pw di  // Grijs (OW) groen ( EW) donderdag"/>
    <x v="0"/>
    <n v="79"/>
    <x v="0"/>
    <n v="1200"/>
    <d v="2019-01-01T00:00:00"/>
    <d v="2020-12-31T00:00:00"/>
    <s v="3 maanden"/>
    <s v="stroom via tuin eigenaar"/>
  </r>
  <r>
    <x v="4"/>
    <s v="2678 KZ"/>
    <s v="PD"/>
    <s v="CZ"/>
    <n v="1150"/>
    <n v="110"/>
    <s v="5003"/>
    <m/>
    <x v="3"/>
    <x v="3"/>
    <x v="3"/>
    <x v="3"/>
    <x v="3"/>
    <x v="3"/>
    <s v="KoosZuidgeest@zuidkoop.nl / k.zuidgeest@hetnet.nl "/>
    <s v="NL05RABO0336208367"/>
    <x v="2"/>
    <x v="2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902.34000000000015"/>
    <n v="0"/>
    <n v="99.53"/>
    <s v="MSN "/>
    <n v="150.35"/>
    <s v="1x 1100 ltr / 1x pw / woensdag"/>
    <x v="0"/>
    <n v="0"/>
    <x v="1"/>
    <n v="2300"/>
    <d v="2012-11-26T00:00:00"/>
    <s v="nb"/>
    <s v="2 maanden"/>
    <m/>
  </r>
  <r>
    <x v="5"/>
    <s v="3143AB"/>
    <s v="PD"/>
    <s v="56b"/>
    <n v="2150"/>
    <n v="110"/>
    <n v="5089"/>
    <m/>
    <x v="4"/>
    <x v="4"/>
    <x v="4"/>
    <x v="4"/>
    <x v="0"/>
    <x v="4"/>
    <s v="peter@westhoekmakelaars.nl"/>
    <s v="NL60KNAB0257738010"/>
    <x v="2"/>
    <x v="2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388.9"/>
    <n v="0"/>
    <n v="0"/>
    <s v="Gemeente"/>
    <n v="0"/>
    <s v="ondergrondse containers"/>
    <x v="0"/>
    <n v="79"/>
    <x v="0"/>
    <n v="2150"/>
    <d v="2020-03-06T00:00:00"/>
    <d v="2021-03-06T00:00:00"/>
    <s v="6maanden"/>
    <s v="15 april  ipv 5 maart aangevangen"/>
  </r>
  <r>
    <x v="6"/>
    <s v="2671 KC"/>
    <s v="PD"/>
    <n v="113"/>
    <n v="1150"/>
    <n v="110"/>
    <s v="5007"/>
    <m/>
    <x v="5"/>
    <x v="5"/>
    <x v="5"/>
    <x v="5"/>
    <x v="4"/>
    <x v="5"/>
    <s v="maup2@caiway.nl"/>
    <s v="NL30RABO0373250568"/>
    <x v="4"/>
    <x v="3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143.43000000000006"/>
    <n v="0"/>
    <n v="76.260000000000005"/>
    <m/>
    <n v="0"/>
    <m/>
    <x v="0"/>
    <n v="79"/>
    <x v="1"/>
    <m/>
    <d v="2020-10-01T00:00:00"/>
    <m/>
    <m/>
    <m/>
  </r>
  <r>
    <x v="7"/>
    <s v="2675 SK"/>
    <s v="PD"/>
    <s v="HK"/>
    <n v="1500"/>
    <n v="110"/>
    <s v="5004"/>
    <m/>
    <x v="6"/>
    <x v="6"/>
    <x v="6"/>
    <x v="6"/>
    <x v="1"/>
    <x v="6"/>
    <s v="janmul54@gmail.com"/>
    <s v="NL08RABO0343659077"/>
    <x v="3"/>
    <x v="1"/>
    <s v="ja"/>
    <s v="ja"/>
    <s v="ComCam"/>
    <s v="Engie"/>
    <n v="0.80162"/>
    <s v="Inclusief met VS"/>
    <s v="Inclusief met VS"/>
    <n v="0"/>
    <n v="0"/>
    <n v="0"/>
    <s v="Inclusief"/>
    <s v="Inclusief"/>
    <n v="1"/>
    <d v="2022-03-01T00:00:00"/>
    <d v="2026-03-01T00:00:00"/>
    <n v="429.36000000000013"/>
    <n v="0"/>
    <n v="53.34"/>
    <s v="Gemeente &amp; MSN"/>
    <n v="0"/>
    <s v="Grijs (OW), Groen (EW) / woensdag, Blauw laatste maandag vd maand &amp; 1xp2w (OW)"/>
    <x v="1"/>
    <n v="0"/>
    <x v="0"/>
    <m/>
    <d v="2012-11-26T00:00:00"/>
    <d v="2021-01-01T00:00:00"/>
    <s v="3 maanden"/>
    <m/>
  </r>
  <r>
    <x v="8"/>
    <s v="2678 EX "/>
    <s v="PD"/>
    <s v="21a"/>
    <n v="1150"/>
    <n v="110"/>
    <n v="5057"/>
    <m/>
    <x v="7"/>
    <x v="7"/>
    <x v="7"/>
    <x v="7"/>
    <x v="5"/>
    <x v="7"/>
    <s v="flip@eetcafedewitte.nl"/>
    <s v="NL21RABO0156104105"/>
    <x v="4"/>
    <x v="3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95.43"/>
    <s v="MSN "/>
    <n v="117.04"/>
    <s v="1 X 660 ltr/ 1x pw / woensdag"/>
    <x v="2"/>
    <n v="0"/>
    <x v="0"/>
    <n v="1000"/>
    <d v="2018-03-01T00:00:00"/>
    <s v="OT"/>
    <s v="1 maand"/>
    <m/>
  </r>
  <r>
    <x v="9"/>
    <s v="2544 EN"/>
    <s v="PD"/>
    <s v="K28"/>
    <n v="8750"/>
    <n v="110"/>
    <n v="5091"/>
    <m/>
    <x v="8"/>
    <x v="8"/>
    <x v="8"/>
    <x v="8"/>
    <x v="6"/>
    <x v="8"/>
    <m/>
    <s v="NL83INGB0677182783"/>
    <x v="5"/>
    <x v="4"/>
    <s v="ja"/>
    <s v="ja"/>
    <s v="ComCam"/>
    <s v="Engie"/>
    <m/>
    <s v="ComCam"/>
    <s v="Engie"/>
    <n v="0"/>
    <n v="0.15779000000000001"/>
    <n v="0.12237000000000001"/>
    <s v="Exclusief"/>
    <s v="dunea"/>
    <n v="4"/>
    <d v="2022-03-01T00:00:00"/>
    <d v="2026-03-01T00:00:00"/>
    <n v="13978.5"/>
    <n v="0"/>
    <n v="207.61"/>
    <s v="Omega"/>
    <n v="845.56"/>
    <s v="Omega 4x 1000ltr 2x p/w"/>
    <x v="0"/>
    <n v="237"/>
    <x v="1"/>
    <m/>
    <d v="2019-05-06T00:00:00"/>
    <d v="2024-04-14T00:00:00"/>
    <m/>
    <m/>
  </r>
  <r>
    <x v="10"/>
    <s v="2544 EN"/>
    <s v="PD"/>
    <s v="K28"/>
    <n v="28944.38"/>
    <n v="110"/>
    <n v="5091"/>
    <m/>
    <x v="8"/>
    <x v="8"/>
    <x v="8"/>
    <x v="8"/>
    <x v="6"/>
    <x v="8"/>
    <m/>
    <s v="NL83INGB0677182783"/>
    <x v="6"/>
    <x v="5"/>
    <s v="ja"/>
    <s v="nee"/>
    <s v="ComCam"/>
    <s v="Engie"/>
    <m/>
    <s v="ComCam"/>
    <s v="Engie"/>
    <n v="0"/>
    <n v="0.15779000000000001"/>
    <n v="0.12237000000000001"/>
    <s v="Exclusief"/>
    <s v="dunea"/>
    <n v="4"/>
    <s v="gedurende jaar"/>
    <d v="2026-03-01T00:00:00"/>
    <n v="0"/>
    <n v="0"/>
    <n v="0"/>
    <s v="incl."/>
    <n v="0"/>
    <m/>
    <x v="0"/>
    <n v="395"/>
    <x v="1"/>
    <m/>
    <d v="2020-03-01T00:00:00"/>
    <d v="2024-04-14T00:00:00"/>
    <m/>
    <m/>
  </r>
  <r>
    <x v="11"/>
    <s v="2671 DV"/>
    <s v="PD"/>
    <s v="L46"/>
    <n v="1825"/>
    <n v="110"/>
    <s v="5055"/>
    <m/>
    <x v="9"/>
    <x v="9"/>
    <x v="9"/>
    <x v="9"/>
    <x v="7"/>
    <x v="9"/>
    <s v="goos@hoflandfloweringplants.nl"/>
    <s v="NL27RABO0343661063"/>
    <x v="2"/>
    <x v="0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22.83"/>
    <s v="Vliet"/>
    <n v="111.20666666666666"/>
    <s v="1x 500 ltr / 1x pw / dinsdag"/>
    <x v="0"/>
    <n v="79"/>
    <x v="0"/>
    <n v="1750"/>
    <d v="2017-12-10T00:00:00"/>
    <s v="nb"/>
    <s v="per maand"/>
    <s v="2022 € 5.200,- huur vermindering"/>
  </r>
  <r>
    <x v="12"/>
    <s v="2681 RD"/>
    <s v="PD"/>
    <s v="MOL"/>
    <n v="1800"/>
    <n v="110"/>
    <s v="5007"/>
    <m/>
    <x v="5"/>
    <x v="10"/>
    <x v="5"/>
    <x v="5"/>
    <x v="4"/>
    <x v="5"/>
    <s v="maup2@caiway.nl"/>
    <s v="NL30RABO0373250568"/>
    <x v="7"/>
    <x v="2"/>
    <s v="ja 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09.67000000000007"/>
    <n v="0"/>
    <n v="97.4"/>
    <s v="Gemeente / Vliet"/>
    <n v="0"/>
    <s v="Grijs (EW), Groen (OW) / dinsdag, Blauw 1e woensdag vd maand / Rol 500ltr dinsdag (OW)"/>
    <x v="0"/>
    <n v="79"/>
    <x v="1"/>
    <m/>
    <d v="2012-11-26T00:00:00"/>
    <s v="nb"/>
    <m/>
    <m/>
  </r>
  <r>
    <x v="13"/>
    <s v="2681 PJ"/>
    <s v="PD"/>
    <s v="M25"/>
    <n v="2000"/>
    <n v="110"/>
    <s v="5002"/>
    <m/>
    <x v="10"/>
    <x v="11"/>
    <x v="10"/>
    <x v="10"/>
    <x v="4"/>
    <x v="10"/>
    <s v="petra@huubvanleeuwen.nl"/>
    <s v="NL16RABO0142243671"/>
    <x v="2"/>
    <x v="2"/>
    <s v="ja"/>
    <s v="nee"/>
    <s v="Inclusief"/>
    <s v="Inclusief"/>
    <n v="0"/>
    <s v="Inclusief"/>
    <s v="Inclusief"/>
    <n v="0"/>
    <n v="0"/>
    <n v="0"/>
    <s v="Inclusief"/>
    <s v="Inclusief"/>
    <m/>
    <m/>
    <m/>
    <n v="0"/>
    <n v="0"/>
    <n v="77.459999999999994"/>
    <s v="Vliet"/>
    <n v="111.21"/>
    <s v="1x 500 ltr / 1xpw / donderdag"/>
    <x v="0"/>
    <n v="79"/>
    <x v="1"/>
    <m/>
    <d v="2017-04-01T00:00:00"/>
    <s v="nb"/>
    <m/>
    <m/>
  </r>
  <r>
    <x v="14"/>
    <s v="2681 PK"/>
    <s v="PD"/>
    <s v="M35"/>
    <n v="1820"/>
    <n v="110"/>
    <n v="5094"/>
    <m/>
    <x v="11"/>
    <x v="12"/>
    <x v="11"/>
    <x v="11"/>
    <x v="4"/>
    <x v="11"/>
    <s v="info@jsvink.nl / d.j.vink@hotmail.com"/>
    <s v="NL37RABO0129970077"/>
    <x v="7"/>
    <x v="6"/>
    <m/>
    <s v="ja"/>
    <s v="ComCam"/>
    <s v="Engie"/>
    <n v="0.80162"/>
    <s v="ComCam"/>
    <s v="Engie"/>
    <n v="0"/>
    <n v="0.29319000000000001"/>
    <n v="0.16794000000000001"/>
    <s v="Inclusief"/>
    <s v="Inclusief"/>
    <n v="4"/>
    <d v="2022-03-01T00:00:00"/>
    <d v="2026-03-01T00:00:00"/>
    <n v="632.86999999999989"/>
    <n v="0"/>
    <n v="47.48"/>
    <s v="Vliet"/>
    <n v="111.30666666666667"/>
    <s v="1x 500 ltr / 1x p2w / donderdag EW"/>
    <x v="3"/>
    <n v="79"/>
    <x v="1"/>
    <m/>
    <d v="2021-03-01T00:00:00"/>
    <m/>
    <m/>
    <m/>
  </r>
  <r>
    <x v="15"/>
    <s v="2681 LT"/>
    <s v="PD"/>
    <s v="P27"/>
    <n v="750"/>
    <n v="110"/>
    <n v="5099"/>
    <m/>
    <x v="12"/>
    <x v="13"/>
    <x v="12"/>
    <x v="12"/>
    <x v="7"/>
    <x v="12"/>
    <s v="piet@pietvijverberg.nl"/>
    <s v="NL95RABO0142277460"/>
    <x v="8"/>
    <x v="6"/>
    <m/>
    <m/>
    <m/>
    <m/>
    <m/>
    <m/>
    <m/>
    <m/>
    <m/>
    <m/>
    <m/>
    <m/>
    <m/>
    <m/>
    <m/>
    <m/>
    <m/>
    <m/>
    <m/>
    <m/>
    <m/>
    <x v="3"/>
    <m/>
    <x v="1"/>
    <m/>
    <m/>
    <m/>
    <m/>
    <m/>
  </r>
  <r>
    <x v="16"/>
    <s v="2681 LT"/>
    <s v="PD"/>
    <s v="P29"/>
    <n v="1350"/>
    <n v="110"/>
    <n v="5099"/>
    <m/>
    <x v="12"/>
    <x v="13"/>
    <x v="12"/>
    <x v="12"/>
    <x v="7"/>
    <x v="12"/>
    <s v="piet@pietvijverberg.nl"/>
    <s v="NL95RABO0142277460"/>
    <x v="8"/>
    <x v="6"/>
    <m/>
    <m/>
    <m/>
    <m/>
    <m/>
    <m/>
    <m/>
    <m/>
    <m/>
    <m/>
    <m/>
    <m/>
    <m/>
    <m/>
    <m/>
    <n v="0"/>
    <m/>
    <m/>
    <s v="MSN "/>
    <n v="59.5"/>
    <s v="1x 660 ltr / 1x p2w / woensdag EW"/>
    <x v="3"/>
    <m/>
    <x v="1"/>
    <m/>
    <m/>
    <m/>
    <m/>
    <m/>
  </r>
  <r>
    <x v="17"/>
    <s v="3151 HM"/>
    <s v="PD"/>
    <s v="PWW"/>
    <n v="1000"/>
    <n v="110"/>
    <n v="5090"/>
    <m/>
    <x v="13"/>
    <x v="14"/>
    <x v="13"/>
    <x v="13"/>
    <x v="0"/>
    <x v="13"/>
    <s v="kickbouma@upcmail.nl"/>
    <s v="NL19INGB0000182620"/>
    <x v="1"/>
    <x v="1"/>
    <s v="ja"/>
    <s v="nee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741.20000000000027"/>
    <n v="0"/>
    <n v="22.83"/>
    <s v="MSN "/>
    <n v="56.21"/>
    <s v="1x 500 ltr / 1x 2pw / ma E-W"/>
    <x v="0"/>
    <n v="79"/>
    <x v="0"/>
    <n v="950"/>
    <d v="2020-10-05T00:00:00"/>
    <d v="2021-10-04T00:00:00"/>
    <s v="3 maanden"/>
    <m/>
  </r>
  <r>
    <x v="18"/>
    <s v="3151 GK"/>
    <s v="PD"/>
    <s v="RD"/>
    <n v="3000"/>
    <n v="110"/>
    <n v="5060"/>
    <m/>
    <x v="14"/>
    <x v="15"/>
    <x v="14"/>
    <x v="14"/>
    <x v="0"/>
    <x v="12"/>
    <s v="jetvbergen@gmail.com"/>
    <s v="NL39RABO0334435080"/>
    <x v="9"/>
    <x v="7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962.19999999999982"/>
    <n v="0"/>
    <n v="88.88"/>
    <s v="Gemeente"/>
    <n v="0"/>
    <m/>
    <x v="4"/>
    <n v="79"/>
    <x v="1"/>
    <m/>
    <d v="2012-11-26T00:00:00"/>
    <s v="nb"/>
    <s v="3 maanden"/>
    <m/>
  </r>
  <r>
    <x v="19"/>
    <s v="3151 GJ"/>
    <s v="PD"/>
    <s v="56a"/>
    <n v="1300"/>
    <n v="110"/>
    <m/>
    <s v="ja"/>
    <x v="15"/>
    <x v="16"/>
    <x v="15"/>
    <x v="15"/>
    <x v="0"/>
    <x v="14"/>
    <s v="bas.vanbergen@aubvanbergen.nl"/>
    <s v="NL11RABO0318502364"/>
    <x v="4"/>
    <x v="6"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x v="3"/>
    <m/>
    <x v="0"/>
    <n v="1300"/>
    <d v="2023-01-01T00:00:00"/>
    <d v="2023-12-31T00:00:00"/>
    <s v="1 maand"/>
    <m/>
  </r>
  <r>
    <x v="20"/>
    <s v="3151 GJ"/>
    <s v="PD"/>
    <s v="56b"/>
    <n v="1950"/>
    <n v="110"/>
    <m/>
    <s v="ja"/>
    <x v="15"/>
    <x v="16"/>
    <x v="15"/>
    <x v="15"/>
    <x v="0"/>
    <x v="14"/>
    <s v="bas.vanbergen@aubvanbergen.nl"/>
    <s v="NL11RABO0318502364"/>
    <x v="3"/>
    <x v="6"/>
    <m/>
    <m/>
    <s v="ComCam"/>
    <s v="Engie"/>
    <n v="1.4824900000000001"/>
    <s v="ComCam"/>
    <s v="Engie"/>
    <n v="0"/>
    <n v="0.28377999999999998"/>
    <n v="0.24836"/>
    <s v="Exclusief"/>
    <s v="Evides"/>
    <n v="4"/>
    <d v="2023-02-01T00:00:00"/>
    <d v="2026-03-01T00:00:00"/>
    <n v="6.7"/>
    <n v="0"/>
    <n v="0"/>
    <m/>
    <n v="0"/>
    <m/>
    <x v="3"/>
    <m/>
    <x v="0"/>
    <n v="1950"/>
    <d v="2023-01-01T00:00:00"/>
    <d v="2023-12-31T00:00:00"/>
    <s v="1 maand"/>
    <m/>
  </r>
  <r>
    <x v="21"/>
    <s v="3151 BV"/>
    <s v="PD"/>
    <s v="R24"/>
    <n v="1733.3333333333333"/>
    <n v="110"/>
    <s v="5005"/>
    <m/>
    <x v="16"/>
    <x v="15"/>
    <x v="14"/>
    <x v="14"/>
    <x v="0"/>
    <x v="12"/>
    <s v="jetvbergen@gmail.com"/>
    <s v="NL44ABNA0620327766"/>
    <x v="4"/>
    <x v="3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n v="5"/>
    <d v="2021-01-01T00:00:00"/>
    <d v="2025-12-31T00:00:00"/>
    <n v="0"/>
    <n v="0"/>
    <n v="43.58"/>
    <s v="Gemeente / Vliet"/>
    <n v="55.476666666666667"/>
    <s v="1x 660 ltr   / 1x2 pw / donderdag/ O-W"/>
    <x v="5"/>
    <n v="0"/>
    <x v="1"/>
    <m/>
    <d v="2019-05-15T00:00:00"/>
    <d v="2022-05-14T00:00:00"/>
    <s v="1 maand"/>
    <m/>
  </r>
  <r>
    <x v="22"/>
    <s v="2681 LV"/>
    <s v="PD"/>
    <s v="WAE"/>
    <n v="1500"/>
    <n v="110"/>
    <s v="5015"/>
    <m/>
    <x v="17"/>
    <x v="17"/>
    <x v="16"/>
    <x v="16"/>
    <x v="7"/>
    <x v="15"/>
    <s v="tonolsthoorn@kpnmail.nl"/>
    <s v="NL92RABO0342957031"/>
    <x v="7"/>
    <x v="2"/>
    <s v="ja"/>
    <s v="ja"/>
    <s v="ComCam"/>
    <s v="Engie"/>
    <n v="0.80162"/>
    <s v="ComCam"/>
    <s v="Engie"/>
    <n v="0"/>
    <n v="0.29319000000000001"/>
    <n v="0.16794000000000001"/>
    <s v="Exclusief"/>
    <s v="Evides"/>
    <n v="4"/>
    <d v="2022-03-01T00:00:00"/>
    <d v="2026-03-01T00:00:00"/>
    <n v="633.75999999999976"/>
    <n v="0"/>
    <n v="92.22999999999999"/>
    <s v="Vliet"/>
    <n v="111.20666666666666"/>
    <s v="1x 500 ltr / 1x pw / dinsdag"/>
    <x v="0"/>
    <n v="79"/>
    <x v="1"/>
    <n v="1400"/>
    <d v="2012-11-26T00:00:00"/>
    <s v="nb"/>
    <m/>
    <m/>
  </r>
  <r>
    <x v="23"/>
    <s v="3151 XP"/>
    <s v="PD"/>
    <s v="Z33"/>
    <n v="2500"/>
    <n v="110"/>
    <n v="5060"/>
    <m/>
    <x v="14"/>
    <x v="15"/>
    <x v="14"/>
    <x v="14"/>
    <x v="0"/>
    <x v="12"/>
    <s v="jetvbergen@gmail.com"/>
    <s v="NL39RABO0334435080"/>
    <x v="7"/>
    <x v="2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48.21"/>
    <n v="0"/>
    <n v="63.99"/>
    <m/>
    <n v="0"/>
    <m/>
    <x v="3"/>
    <n v="0"/>
    <x v="1"/>
    <m/>
    <m/>
    <m/>
    <m/>
    <m/>
  </r>
  <r>
    <x v="24"/>
    <s v="3151 XP"/>
    <s v="PD"/>
    <s v="Z33"/>
    <n v="2500"/>
    <n v="110"/>
    <n v="5060"/>
    <m/>
    <x v="14"/>
    <x v="15"/>
    <x v="14"/>
    <x v="14"/>
    <x v="0"/>
    <x v="12"/>
    <s v="jetvbergen@gmail.com"/>
    <s v="NL39RABO0334435080"/>
    <x v="2"/>
    <x v="2"/>
    <s v="ja"/>
    <s v="nee"/>
    <s v="Inclusief"/>
    <s v="Inclusief"/>
    <n v="0"/>
    <s v="Inclusief"/>
    <s v="Inclusief"/>
    <n v="0"/>
    <n v="0"/>
    <n v="0"/>
    <s v="Exclusief"/>
    <s v="Evides"/>
    <n v="5"/>
    <d v="2021-01-01T00:00:00"/>
    <d v="2025-12-31T00:00:00"/>
    <n v="0"/>
    <n v="0"/>
    <n v="0"/>
    <m/>
    <n v="0"/>
    <m/>
    <x v="3"/>
    <n v="0"/>
    <x v="1"/>
    <m/>
    <m/>
    <m/>
    <m/>
    <m/>
  </r>
  <r>
    <x v="25"/>
    <s v="3151 XP"/>
    <s v="PD"/>
    <s v="Z56"/>
    <n v="1800"/>
    <n v="110"/>
    <n v="5084"/>
    <m/>
    <x v="18"/>
    <x v="18"/>
    <x v="17"/>
    <x v="17"/>
    <x v="8"/>
    <x v="16"/>
    <s v="roald@hoekplex.nl"/>
    <s v="NL71RABO0362349843"/>
    <x v="10"/>
    <x v="0"/>
    <s v="ja"/>
    <s v="ja"/>
    <s v="Afrekening verhuurder"/>
    <s v="Inclusief"/>
    <m/>
    <s v="Afrekening verhuurder"/>
    <s v="Inclusief"/>
    <m/>
    <m/>
    <m/>
    <s v="Afrekening verhuurder"/>
    <s v="Inclusief"/>
    <m/>
    <m/>
    <m/>
    <n v="430"/>
    <n v="0"/>
    <n v="17.29"/>
    <s v="MSN "/>
    <n v="324.2"/>
    <s v="1x 1300ltr / wo / 1x pw"/>
    <x v="0"/>
    <n v="79"/>
    <x v="0"/>
    <n v="3600"/>
    <d v="2019-09-16T00:00:00"/>
    <d v="2021-09-15T00:00:00"/>
    <s v="3 maanden"/>
    <m/>
  </r>
  <r>
    <x v="26"/>
    <m/>
    <m/>
    <m/>
    <m/>
    <m/>
    <m/>
    <m/>
    <x v="19"/>
    <x v="19"/>
    <x v="18"/>
    <x v="18"/>
    <x v="9"/>
    <x v="12"/>
    <m/>
    <m/>
    <x v="8"/>
    <x v="6"/>
    <m/>
    <m/>
    <m/>
    <m/>
    <m/>
    <m/>
    <m/>
    <m/>
    <m/>
    <m/>
    <m/>
    <m/>
    <m/>
    <m/>
    <m/>
    <m/>
    <m/>
    <m/>
    <m/>
    <m/>
    <m/>
    <x v="3"/>
    <m/>
    <x v="1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2295 RW"/>
    <s v="PD"/>
    <s v="B59"/>
    <n v="1375"/>
    <n v="119"/>
    <s v="5047"/>
    <m/>
    <s v="M. Nottet"/>
    <s v="M. Nottet"/>
    <s v="Kapittelland 16"/>
    <s v="3151 ZB"/>
    <s v="Hoek van Holland"/>
    <s v="06-50502637"/>
    <s v="mnottet@caiway.nl"/>
    <s v="NL60RABO0323282903"/>
    <n v="5"/>
    <n v="3"/>
    <s v="ja"/>
    <s v="ja"/>
    <s v="ComCam"/>
    <s v="Engie"/>
    <n v="1.46"/>
    <s v="ComCam"/>
    <s v="Engie"/>
    <n v="0"/>
    <n v="0.1145"/>
    <n v="0.11013000000000001"/>
    <s v="Exclusief"/>
    <s v="Evides"/>
    <x v="0"/>
    <d v="2022-10-01T00:00:00"/>
    <x v="0"/>
    <n v="122.42000000000002"/>
    <n v="0"/>
    <n v="66.36"/>
    <s v="MSN "/>
    <n v="115.76"/>
    <s v="1x 500 ltr / 1x pw / vrijdag"/>
    <s v="BICT"/>
    <n v="79"/>
    <s v="ja"/>
    <m/>
    <d v="2014-06-01T00:00:00"/>
    <s v="nb"/>
    <s v="2 maanden"/>
    <m/>
  </r>
  <r>
    <x v="1"/>
    <s v="2295 RW"/>
    <s v="PD"/>
    <s v="B61"/>
    <n v="2625"/>
    <n v="119"/>
    <s v="5047"/>
    <m/>
    <s v="M. Nottet"/>
    <s v="M. Nottet"/>
    <s v="Kapittelland 16"/>
    <s v="3151 ZB"/>
    <s v="Hoek van Holland"/>
    <s v="06-50502637"/>
    <s v="mnottet@caiway.nl"/>
    <s v="NL60RABO0323282903"/>
    <n v="8"/>
    <n v="5"/>
    <s v="ja"/>
    <s v="ja"/>
    <s v="ComCam"/>
    <s v="Engie"/>
    <n v="1.46"/>
    <s v="ComCam"/>
    <s v="Engie"/>
    <n v="0"/>
    <n v="0.1145"/>
    <n v="0.11013000000000001"/>
    <s v="Exclusief"/>
    <s v="Evides"/>
    <x v="0"/>
    <d v="2022-10-01T00:00:00"/>
    <x v="0"/>
    <n v="261.87"/>
    <n v="0"/>
    <n v="66.36"/>
    <m/>
    <m/>
    <m/>
    <s v="BICT"/>
    <n v="79"/>
    <s v="ja"/>
    <m/>
    <d v="2014-06-01T00:00:00"/>
    <s v="nb"/>
    <s v="2 maanden"/>
    <m/>
  </r>
  <r>
    <x v="2"/>
    <s v="2678 AN"/>
    <s v="PD"/>
    <n v="82"/>
    <n v="1450"/>
    <n v="119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589.59"/>
    <n v="0"/>
    <n v="36.24"/>
    <s v="Renewi / Gemeente"/>
    <n v="135.85"/>
    <s v="1x 660 ltr 1x pw di  // Grijs (OW) groen ( EW) donderdag"/>
    <s v="BICT"/>
    <n v="79"/>
    <s v="ja"/>
    <n v="1200"/>
    <d v="2019-01-01T00:00:00"/>
    <d v="2020-12-31T00:00:00"/>
    <s v="3 maanden"/>
    <s v="stroom via tuin eigenaar"/>
  </r>
  <r>
    <x v="3"/>
    <s v="2678 KZ"/>
    <s v="PD"/>
    <s v="CZ"/>
    <n v="1400"/>
    <n v="119"/>
    <s v="5003"/>
    <m/>
    <s v="K. Zuidgeest"/>
    <s v="K. Zuidgeest"/>
    <s v="Oudecampsweg 7"/>
    <s v="2678 NN"/>
    <s v="De Lier"/>
    <s v="06-26146636"/>
    <s v="KoosZuidgeest@zuidkoop.nl / k.zuidgeest@hetnet.nl "/>
    <s v="NL05RABO0336208367"/>
    <n v="8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902.34000000000015"/>
    <n v="0"/>
    <n v="99.53"/>
    <s v="MSN "/>
    <n v="173.26"/>
    <s v="1x 1100 ltr / 1x pw / woensdag"/>
    <s v="BICT"/>
    <n v="0"/>
    <m/>
    <n v="2300"/>
    <d v="2012-11-26T00:00:00"/>
    <s v="nb"/>
    <s v="2 maanden"/>
    <m/>
  </r>
  <r>
    <x v="4"/>
    <s v="3143AB"/>
    <s v="PD"/>
    <s v="56b"/>
    <n v="2227"/>
    <n v="119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388.9"/>
    <n v="0"/>
    <n v="0"/>
    <s v="Gemeente"/>
    <n v="0"/>
    <s v="ondergrondse containers"/>
    <s v="BICT"/>
    <n v="79"/>
    <s v="ja"/>
    <n v="2150"/>
    <d v="2020-03-06T00:00:00"/>
    <d v="2021-03-06T00:00:00"/>
    <s v="6maanden"/>
    <s v="15 april  ipv 5 maart aangevangen"/>
  </r>
  <r>
    <x v="5"/>
    <s v="2675 SK"/>
    <s v="PD"/>
    <s v="HK"/>
    <n v="1950"/>
    <n v="119"/>
    <s v="5004"/>
    <m/>
    <s v="v.o.f. J.C. Mulder"/>
    <s v="Jan Mulder"/>
    <s v="Nieuwe Tuinen 7B"/>
    <s v="2675 SE"/>
    <s v="Honselersdijk"/>
    <s v="06-53690859"/>
    <s v="janmul54@gmail.com"/>
    <s v="NL08RABO0343659077"/>
    <n v="6"/>
    <n v="3"/>
    <s v="ja"/>
    <s v="ja"/>
    <s v="ComCam"/>
    <s v="Engie"/>
    <n v="0.80162"/>
    <s v="Inclusief met VS"/>
    <s v="Inclusief met VS"/>
    <n v="0"/>
    <n v="0"/>
    <n v="0"/>
    <s v="Inclusief"/>
    <s v="Inclusief"/>
    <x v="1"/>
    <d v="2022-03-01T00:00:00"/>
    <x v="0"/>
    <n v="429.36000000000013"/>
    <n v="0"/>
    <n v="53.34"/>
    <s v="Gemeente &amp; Renewi"/>
    <n v="134.88"/>
    <s v="Grijs (OW), Groen (EW) / Dinsdag (1x pw), Blauw laatste maandag vd maand / 1x 660 ltr 1x pw dinsdag"/>
    <s v="incl"/>
    <n v="0"/>
    <s v="ja"/>
    <m/>
    <d v="2012-11-26T00:00:00"/>
    <d v="2021-01-01T00:00:00"/>
    <s v="3 maanden"/>
    <m/>
  </r>
  <r>
    <x v="6"/>
    <s v="2678 EX "/>
    <s v="PD"/>
    <s v="21a"/>
    <n v="1150"/>
    <n v="119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s v="Inclusief"/>
    <s v="Inclusief"/>
    <n v="0"/>
    <s v="Inclusief"/>
    <s v="Inclusief"/>
    <n v="0"/>
    <n v="0"/>
    <n v="0"/>
    <s v="Inclusief"/>
    <s v="Inclusief"/>
    <x v="2"/>
    <m/>
    <x v="1"/>
    <n v="0"/>
    <n v="0"/>
    <n v="95.43"/>
    <s v="MSN "/>
    <n v="134.88"/>
    <s v="1 X 660 ltr/ 1x pw / woensdag"/>
    <s v="incl "/>
    <n v="0"/>
    <s v="ja"/>
    <n v="1000"/>
    <d v="2018-03-01T00:00:00"/>
    <s v="OT"/>
    <s v="1 maand"/>
    <m/>
  </r>
  <r>
    <x v="7"/>
    <s v="2544 EN"/>
    <s v="PD"/>
    <s v="K28"/>
    <n v="41710"/>
    <n v="119"/>
    <n v="5091"/>
    <m/>
    <s v="Lammertink Projecten B.V."/>
    <s v="Hans Lammertink"/>
    <s v="Schietlood 2"/>
    <s v="2495 AN"/>
    <s v="Den Haag"/>
    <s v="085-2739900 "/>
    <s v="Dennis Baak 06-24313837 (schoonzoon) / dbaak@l-groep.nl"/>
    <s v="NL83INGB0677182783"/>
    <n v="150"/>
    <n v="86"/>
    <s v="ja"/>
    <s v="ja"/>
    <s v="ComCam"/>
    <s v="Engie"/>
    <m/>
    <s v="ComCam"/>
    <s v="Engie"/>
    <n v="0"/>
    <n v="0.15779000000000001"/>
    <n v="0.12237000000000001"/>
    <s v="Exclusief"/>
    <s v="dunea"/>
    <x v="0"/>
    <d v="2022-03-01T00:00:00"/>
    <x v="0"/>
    <n v="13978.5"/>
    <n v="0"/>
    <n v="207.61"/>
    <s v="Omega"/>
    <n v="845.56"/>
    <s v="Omega 4x 1000ltr 2x p/w"/>
    <s v="BICT"/>
    <n v="237"/>
    <m/>
    <m/>
    <d v="2019-05-06T00:00:00"/>
    <d v="2024-04-14T00:00:00"/>
    <m/>
    <s v="Dennis Baak 06-24313837 (schoonzoon)"/>
  </r>
  <r>
    <x v="8"/>
    <s v="2544 EN"/>
    <s v="PD"/>
    <s v="K28"/>
    <n v="1500"/>
    <n v="119"/>
    <n v="5091"/>
    <m/>
    <s v="Lammertink Projecten B.V."/>
    <s v="Hans Lammertink"/>
    <s v="Schietlood 2"/>
    <s v="2495 AN"/>
    <s v="Den Haag"/>
    <s v="085-2739900 "/>
    <m/>
    <s v="NL83INGB0677182783"/>
    <m/>
    <m/>
    <s v="ja"/>
    <s v="ja"/>
    <s v="ComCam"/>
    <s v="Engie"/>
    <m/>
    <s v="ComCam"/>
    <s v="Engie"/>
    <n v="0"/>
    <n v="0.15779000000000001"/>
    <n v="0.12237000000000001"/>
    <s v="Exclusief"/>
    <s v="dunea"/>
    <x v="0"/>
    <s v="gedurende jaar"/>
    <x v="0"/>
    <n v="0"/>
    <n v="0"/>
    <n v="0"/>
    <s v="incl."/>
    <m/>
    <m/>
    <s v="BICT"/>
    <n v="395"/>
    <m/>
    <m/>
    <d v="2020-03-01T00:00:00"/>
    <d v="2024-04-14T00:00:00"/>
    <m/>
    <m/>
  </r>
  <r>
    <x v="9"/>
    <s v="2671 DV"/>
    <s v="PD"/>
    <s v="L46"/>
    <n v="1825"/>
    <n v="119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s v="Inclusief"/>
    <s v="Inclusief"/>
    <n v="0"/>
    <s v="Inclusief"/>
    <s v="Inclusief"/>
    <n v="0"/>
    <n v="0"/>
    <n v="0"/>
    <s v="Inclusief"/>
    <s v="Inclusief"/>
    <x v="2"/>
    <m/>
    <x v="1"/>
    <n v="0"/>
    <n v="0"/>
    <n v="22.83"/>
    <s v="Renewi   "/>
    <n v="125.88666666666667"/>
    <s v="1x 500 ltr / 1x pw / dinsdag"/>
    <s v="BICT"/>
    <n v="79"/>
    <s v="ja"/>
    <n v="1750"/>
    <d v="2017-12-10T00:00:00"/>
    <s v="nb"/>
    <s v="per maand"/>
    <s v="2022 € 5.200,- huur vermindering"/>
  </r>
  <r>
    <x v="10"/>
    <s v="2681 RD"/>
    <s v="PD"/>
    <s v="3A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7"/>
    <n v="4"/>
    <s v="ja 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609.67000000000007"/>
    <n v="0"/>
    <n v="97.4"/>
    <s v="Renewi / Gemeente"/>
    <n v="62.949999999999996"/>
    <s v="Grijs (EW), Groen (OW) / dinsdag, Blauw 1e woensdag vd maand / Rol 500ltr dinsdag (OW)"/>
    <s v="BICT"/>
    <n v="79"/>
    <s v="ja"/>
    <m/>
    <d v="2012-11-26T00:00:00"/>
    <s v="nb"/>
    <m/>
    <m/>
  </r>
  <r>
    <x v="11"/>
    <s v="2681 RD"/>
    <s v="PD"/>
    <s v="3B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5"/>
    <n v="3"/>
    <m/>
    <m/>
    <s v="Inclusief"/>
    <m/>
    <m/>
    <s v="Inclusief met VS"/>
    <s v="Inclusief met VS"/>
    <m/>
    <m/>
    <m/>
    <m/>
    <m/>
    <x v="2"/>
    <d v="2025-01-02T00:00:00"/>
    <x v="1"/>
    <n v="200"/>
    <m/>
    <m/>
    <s v="Renewi / Gemeente"/>
    <n v="62.949999999999996"/>
    <m/>
    <s v="BICT"/>
    <n v="79"/>
    <s v="ja"/>
    <n v="3600"/>
    <d v="2025-01-02T00:00:00"/>
    <m/>
    <m/>
    <m/>
  </r>
  <r>
    <x v="12"/>
    <s v="2681 PJ"/>
    <s v="PD"/>
    <s v="M25"/>
    <n v="2600"/>
    <n v="119"/>
    <s v="5002"/>
    <m/>
    <s v="H. van Leeuwen"/>
    <s v="Petra"/>
    <s v="Postbus 170"/>
    <s v="2680 AD"/>
    <s v="Monster"/>
    <s v="06-51262904 / 0174-248804"/>
    <s v="petra@huubvanleeuwen.nl"/>
    <s v="NL96RABO0375644504"/>
    <n v="8"/>
    <n v="4"/>
    <s v="ja"/>
    <s v="nee"/>
    <s v="Inclusief"/>
    <s v="Inclusief"/>
    <n v="0"/>
    <s v="Inclusief"/>
    <s v="Inclusief"/>
    <n v="0"/>
    <n v="0"/>
    <n v="0"/>
    <s v="Inclusief"/>
    <s v="Inclusief"/>
    <x v="2"/>
    <m/>
    <x v="1"/>
    <n v="0"/>
    <n v="0"/>
    <n v="77.459999999999994"/>
    <s v="Renewi"/>
    <n v="125.88666666666667"/>
    <s v="1x 500 ltr / 1x pw / maandag"/>
    <s v="BICT"/>
    <n v="79"/>
    <m/>
    <m/>
    <d v="2017-04-01T00:00:00"/>
    <s v="nb"/>
    <m/>
    <m/>
  </r>
  <r>
    <x v="13"/>
    <s v="2681 PK"/>
    <s v="PD"/>
    <s v="M35"/>
    <n v="2020"/>
    <n v="119"/>
    <n v="5094"/>
    <m/>
    <s v="J.S. Vink Vastgoed"/>
    <s v="Denise Vink"/>
    <s v="Boomaweg 27"/>
    <s v="2681 RH "/>
    <s v="Monster"/>
    <s v="06-23615767 (denise) 06-53505331 (jan)"/>
    <s v="info@jsvink.nl / d.j.vink@hotmail.com"/>
    <s v="NL14RABO3291687140 en NL20RABO0129949140"/>
    <n v="7"/>
    <n v="4"/>
    <s v="ja"/>
    <s v="ja"/>
    <s v="ComCam"/>
    <s v="Engie"/>
    <n v="0.80162"/>
    <s v="ComCam"/>
    <s v="Engie"/>
    <n v="0"/>
    <n v="0.29319000000000001"/>
    <n v="0.16794000000000001"/>
    <s v="Inclusief"/>
    <s v="Inclusief"/>
    <x v="0"/>
    <d v="2022-03-01T00:00:00"/>
    <x v="0"/>
    <n v="632.86999999999989"/>
    <n v="0"/>
    <n v="47.48"/>
    <s v="Renewi"/>
    <n v="125.88666666666667"/>
    <s v="1x 500 ltr / 1x pw / donderdag"/>
    <m/>
    <n v="79"/>
    <m/>
    <m/>
    <d v="2021-03-01T00:00:00"/>
    <m/>
    <m/>
    <m/>
  </r>
  <r>
    <x v="14"/>
    <s v="2681 LT"/>
    <s v="PD"/>
    <s v="P27"/>
    <n v="85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m/>
    <m/>
    <m/>
    <m/>
    <m/>
    <m/>
    <m/>
    <m/>
    <m/>
    <m/>
    <x v="2"/>
    <m/>
    <x v="1"/>
    <m/>
    <m/>
    <m/>
    <m/>
    <n v="138.19999999999999"/>
    <s v="1x 660 ltr / 1x pw / donderdag"/>
    <m/>
    <m/>
    <m/>
    <m/>
    <d v="2023-11-01T00:00:00"/>
    <d v="2025-10-31T00:00:00"/>
    <s v="1 maand"/>
    <m/>
  </r>
  <r>
    <x v="15"/>
    <s v="2681 LT"/>
    <s v="PD"/>
    <s v="P29"/>
    <n v="150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m/>
    <m/>
    <m/>
    <m/>
    <m/>
    <m/>
    <m/>
    <m/>
    <m/>
    <m/>
    <x v="2"/>
    <m/>
    <x v="1"/>
    <n v="0"/>
    <m/>
    <m/>
    <s v="MSN "/>
    <m/>
    <m/>
    <m/>
    <m/>
    <m/>
    <m/>
    <d v="2023-07-01T00:00:00"/>
    <d v="2027-06-30T00:00:00"/>
    <s v="1 maand"/>
    <s v="Contract van 2 jaar is inmiddels verlengd voor 2e keer"/>
  </r>
  <r>
    <x v="16"/>
    <s v="3151 GJ"/>
    <s v="PD"/>
    <s v="56a"/>
    <n v="130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4"/>
    <n v="2"/>
    <s v="ja"/>
    <m/>
    <s v="ComCam"/>
    <s v="Engie"/>
    <n v="1.4824900000000001"/>
    <s v="ComCam"/>
    <s v="Engie"/>
    <n v="0"/>
    <n v="0.28377999999999998"/>
    <n v="0.24836"/>
    <s v="Exclusief"/>
    <s v="Evides"/>
    <x v="0"/>
    <d v="2023-02-01T00:00:00"/>
    <x v="0"/>
    <n v="6.7"/>
    <n v="0"/>
    <n v="0"/>
    <m/>
    <n v="0"/>
    <m/>
    <m/>
    <m/>
    <s v="ja"/>
    <n v="1300"/>
    <d v="2023-01-01T00:00:00"/>
    <d v="2023-12-31T00:00:00"/>
    <s v="1 maand"/>
    <m/>
  </r>
  <r>
    <x v="17"/>
    <s v="3151 GJ"/>
    <s v="PD"/>
    <s v="56b"/>
    <n v="195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6"/>
    <n v="3"/>
    <s v="ja"/>
    <m/>
    <s v="ComCam"/>
    <s v="Engie"/>
    <n v="1.4824900000000001"/>
    <s v="ComCam"/>
    <s v="Engie"/>
    <n v="0"/>
    <n v="0.28377999999999998"/>
    <n v="0.24836"/>
    <s v="Exclusief"/>
    <s v="Evides"/>
    <x v="0"/>
    <d v="2023-02-01T00:00:00"/>
    <x v="0"/>
    <n v="6.7"/>
    <n v="0"/>
    <n v="0"/>
    <m/>
    <n v="0"/>
    <m/>
    <m/>
    <m/>
    <s v="ja"/>
    <n v="1950"/>
    <d v="2023-01-01T00:00:00"/>
    <d v="2023-12-31T00:00:00"/>
    <s v="1 maand"/>
    <m/>
  </r>
  <r>
    <x v="18"/>
    <s v="3151 BV"/>
    <s v="PD"/>
    <s v="R24"/>
    <n v="1733.3333333333333"/>
    <n v="119"/>
    <s v="5005"/>
    <m/>
    <s v="F.A.S. van Bergen"/>
    <s v="J. v. Bergen"/>
    <s v="Rijpstraat 22"/>
    <s v="3151 BV"/>
    <s v="Hoek van Holland"/>
    <s v="06-53739975"/>
    <s v="jetvbergen@gmail.com"/>
    <s v="NL44ABNA0620327766"/>
    <n v="4"/>
    <n v="2"/>
    <s v="ja"/>
    <s v="ja"/>
    <s v="Exclusief"/>
    <s v="Total  "/>
    <n v="0.17602000000000001"/>
    <s v="Exclusief"/>
    <s v="Total  "/>
    <n v="4.8300000000000003E-2"/>
    <n v="5.4030000000000002E-2"/>
    <n v="4.2009999999999999E-2"/>
    <s v="Exclusief"/>
    <s v="Evides"/>
    <x v="3"/>
    <d v="2021-01-01T00:00:00"/>
    <x v="2"/>
    <n v="0"/>
    <n v="0"/>
    <n v="43.58"/>
    <s v="Renewi / Gemeente"/>
    <n v="55.476666666666667"/>
    <s v="1x 660 ltr   / 1x2 pw / donderdag/ O-W"/>
    <s v="incl."/>
    <n v="0"/>
    <m/>
    <m/>
    <d v="2019-05-15T00:00:00"/>
    <d v="2022-05-14T00:00:00"/>
    <s v="1 maand"/>
    <m/>
  </r>
  <r>
    <x v="19"/>
    <s v="2681 LV"/>
    <s v="PD"/>
    <s v="WAE"/>
    <n v="2000"/>
    <n v="119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s v="ComCam"/>
    <s v="Engie"/>
    <n v="0.80162"/>
    <s v="ComCam"/>
    <s v="Engie"/>
    <n v="0"/>
    <n v="0.29319000000000001"/>
    <n v="0.16794000000000001"/>
    <s v="Exclusief"/>
    <s v="Evides"/>
    <x v="0"/>
    <d v="2022-03-01T00:00:00"/>
    <x v="0"/>
    <n v="633.75999999999976"/>
    <n v="0"/>
    <n v="92.22999999999999"/>
    <s v="Renewi"/>
    <n v="377.66"/>
    <s v="1x 500 ltr / 1x pw / maandag"/>
    <s v="BICT"/>
    <n v="79"/>
    <m/>
    <n v="1400"/>
    <d v="2012-11-26T00:00:00"/>
    <s v="nb"/>
    <m/>
    <m/>
  </r>
  <r>
    <x v="20"/>
    <s v="3151 XP"/>
    <s v="PD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7"/>
    <n v="4"/>
    <s v="ja"/>
    <s v="nee"/>
    <s v="Inclusief"/>
    <s v="Inclusief"/>
    <n v="0"/>
    <s v="Inclusief"/>
    <s v="Inclusief"/>
    <n v="0"/>
    <n v="0"/>
    <n v="0"/>
    <s v="Exclusief"/>
    <s v="Evides"/>
    <x v="3"/>
    <d v="2021-01-01T00:00:00"/>
    <x v="2"/>
    <n v="48.21"/>
    <n v="0"/>
    <n v="63.99"/>
    <m/>
    <n v="373.6"/>
    <m/>
    <m/>
    <n v="0"/>
    <m/>
    <m/>
    <d v="2023-01-01T00:00:00"/>
    <d v="2025-12-31T00:00:00"/>
    <m/>
    <s v="In P4F bekend onder 31A en 31B"/>
  </r>
  <r>
    <x v="21"/>
    <s v="3151 XP"/>
    <s v="PD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8"/>
    <n v="4"/>
    <s v="ja"/>
    <s v="nee"/>
    <s v="Inclusief"/>
    <s v="Inclusief"/>
    <n v="0"/>
    <s v="Inclusief"/>
    <s v="Inclusief"/>
    <n v="0"/>
    <n v="0"/>
    <n v="0"/>
    <s v="Exclusief"/>
    <s v="Evides"/>
    <x v="3"/>
    <d v="2021-01-01T00:00:00"/>
    <x v="2"/>
    <n v="0"/>
    <n v="0"/>
    <n v="0"/>
    <m/>
    <m/>
    <m/>
    <m/>
    <n v="0"/>
    <m/>
    <m/>
    <d v="2023-01-01T00:00:00"/>
    <d v="2025-12-31T00:00:00"/>
    <m/>
    <m/>
  </r>
  <r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x v="1"/>
    <m/>
    <m/>
    <m/>
    <m/>
    <m/>
    <m/>
    <m/>
    <m/>
    <m/>
    <m/>
    <m/>
    <m/>
    <m/>
    <m/>
  </r>
  <r>
    <x v="23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x v="1"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2295 RW"/>
    <x v="0"/>
    <s v="B59"/>
    <n v="1375"/>
    <n v="119"/>
    <s v="5047"/>
    <m/>
    <s v="M. Nottet"/>
    <s v="M. Nottet"/>
    <s v="Kapittelland 16"/>
    <s v="3151 ZB"/>
    <s v="Hoek van Holland"/>
    <s v="06-50502637"/>
    <s v="mnottet@caiway.nl"/>
    <s v="NL60RABO0323282903"/>
    <n v="5"/>
    <n v="3"/>
    <s v="ja"/>
    <s v="ja"/>
    <x v="0"/>
    <s v="Engie"/>
    <x v="0"/>
    <x v="0"/>
    <s v="Engie"/>
    <x v="0"/>
    <x v="0"/>
    <x v="0"/>
    <x v="0"/>
    <s v="Evides"/>
    <n v="4"/>
    <d v="2022-10-01T00:00:00"/>
    <x v="0"/>
    <n v="122.42000000000002"/>
    <n v="0"/>
    <n v="66.36"/>
    <s v="MSN "/>
    <n v="115.76"/>
    <s v="1x 500 ltr / 1x pw / vrijdag"/>
    <s v="BICT"/>
    <n v="79"/>
    <s v="ja"/>
    <m/>
    <d v="2014-06-01T00:00:00"/>
    <s v="nb"/>
    <s v="2 maanden"/>
    <m/>
  </r>
  <r>
    <x v="1"/>
    <s v="2295 RW"/>
    <x v="0"/>
    <s v="B61"/>
    <n v="2625"/>
    <n v="119"/>
    <s v="5047"/>
    <m/>
    <s v="M. Nottet"/>
    <s v="M. Nottet"/>
    <s v="Kapittelland 16"/>
    <s v="3151 ZB"/>
    <s v="Hoek van Holland"/>
    <s v="06-50502637"/>
    <s v="mnottet@caiway.nl"/>
    <s v="NL60RABO0323282903"/>
    <n v="8"/>
    <n v="5"/>
    <s v="ja"/>
    <s v="ja"/>
    <x v="0"/>
    <s v="Engie"/>
    <x v="0"/>
    <x v="0"/>
    <s v="Engie"/>
    <x v="0"/>
    <x v="0"/>
    <x v="0"/>
    <x v="0"/>
    <s v="Evides"/>
    <n v="4"/>
    <d v="2022-10-01T00:00:00"/>
    <x v="0"/>
    <n v="261.87"/>
    <n v="0"/>
    <n v="66.36"/>
    <m/>
    <m/>
    <m/>
    <s v="BICT"/>
    <n v="79"/>
    <s v="ja"/>
    <m/>
    <d v="2014-06-01T00:00:00"/>
    <s v="nb"/>
    <s v="2 maanden"/>
    <m/>
  </r>
  <r>
    <x v="2"/>
    <s v="2678 AN"/>
    <x v="0"/>
    <n v="82"/>
    <n v="1450"/>
    <n v="119"/>
    <n v="5077"/>
    <m/>
    <s v="P. van den Berg"/>
    <s v="Piet van den Berg"/>
    <s v="Burgemeester Cramerlaan 17"/>
    <s v="2678 AL"/>
    <s v="De Lier"/>
    <s v="06-38765032"/>
    <s v="info@vandenbergdelier.nl"/>
    <s v="NL29ABNA0472271989"/>
    <n v="6"/>
    <n v="4"/>
    <s v="ja"/>
    <s v="ja"/>
    <x v="0"/>
    <s v="Engie"/>
    <x v="1"/>
    <x v="0"/>
    <s v="Engie"/>
    <x v="0"/>
    <x v="1"/>
    <x v="1"/>
    <x v="0"/>
    <s v="Evides"/>
    <n v="4"/>
    <d v="2022-03-01T00:00:00"/>
    <x v="0"/>
    <n v="589.59"/>
    <n v="0"/>
    <n v="36.24"/>
    <s v="Renewi / Gemeente"/>
    <n v="135.85"/>
    <s v="1x 660 ltr 1x pw di  // Grijs (OW) groen ( EW) donderdag"/>
    <s v="BICT"/>
    <n v="79"/>
    <s v="ja"/>
    <n v="1200"/>
    <d v="2019-01-01T00:00:00"/>
    <d v="2020-12-31T00:00:00"/>
    <s v="3 maanden"/>
    <s v="stroom via tuin eigenaar"/>
  </r>
  <r>
    <x v="3"/>
    <s v="2678 KZ"/>
    <x v="0"/>
    <s v="CZ"/>
    <n v="1400"/>
    <n v="119"/>
    <s v="5003"/>
    <m/>
    <s v="K. Zuidgeest"/>
    <s v="K. Zuidgeest"/>
    <s v="Oudecampsweg 7"/>
    <s v="2678 NN"/>
    <s v="De Lier"/>
    <s v="06-26146636"/>
    <s v="KoosZuidgeest@zuidkoop.nl / k.zuidgeest@hetnet.nl "/>
    <s v="NL05RABO0336208367"/>
    <n v="8"/>
    <n v="4"/>
    <s v="ja "/>
    <s v="ja"/>
    <x v="0"/>
    <s v="Engie"/>
    <x v="1"/>
    <x v="0"/>
    <s v="Engie"/>
    <x v="0"/>
    <x v="1"/>
    <x v="1"/>
    <x v="0"/>
    <s v="Evides"/>
    <n v="4"/>
    <d v="2022-03-01T00:00:00"/>
    <x v="0"/>
    <n v="902.34000000000015"/>
    <n v="0"/>
    <n v="99.53"/>
    <s v="MSN "/>
    <n v="173.26"/>
    <s v="1x 1100 ltr / 1x pw / woensdag"/>
    <s v="BICT"/>
    <n v="0"/>
    <m/>
    <n v="2300"/>
    <d v="2012-11-26T00:00:00"/>
    <s v="nb"/>
    <s v="2 maanden"/>
    <m/>
  </r>
  <r>
    <x v="4"/>
    <s v="3143AB"/>
    <x v="0"/>
    <s v="56b"/>
    <n v="2227"/>
    <n v="119"/>
    <n v="5089"/>
    <m/>
    <s v="P.H. Jagt"/>
    <s v="Peter Jagt"/>
    <s v="Haakweg 33"/>
    <s v="3151 XD"/>
    <s v="Hoek van Holland"/>
    <s v="06-51609632"/>
    <s v="peter@westhoekmakelaars.nl"/>
    <s v="NL60KNAB0257738010"/>
    <n v="8"/>
    <n v="4"/>
    <s v="ja"/>
    <s v="ja"/>
    <x v="0"/>
    <s v="Engie"/>
    <x v="1"/>
    <x v="0"/>
    <s v="Engie"/>
    <x v="0"/>
    <x v="1"/>
    <x v="1"/>
    <x v="0"/>
    <s v="Evides"/>
    <n v="4"/>
    <d v="2022-03-01T00:00:00"/>
    <x v="0"/>
    <n v="388.9"/>
    <n v="0"/>
    <n v="0"/>
    <s v="Gemeente"/>
    <n v="0"/>
    <s v="ondergrondse containers"/>
    <s v="BICT"/>
    <n v="79"/>
    <s v="ja"/>
    <n v="2150"/>
    <d v="2020-03-06T00:00:00"/>
    <d v="2021-03-06T00:00:00"/>
    <s v="6maanden"/>
    <s v="15 april  ipv 5 maart aangevangen"/>
  </r>
  <r>
    <x v="5"/>
    <s v="2675 SK"/>
    <x v="0"/>
    <s v="HK"/>
    <n v="1950"/>
    <n v="119"/>
    <s v="5004"/>
    <m/>
    <s v="v.o.f. J.C. Mulder"/>
    <s v="Jan Mulder"/>
    <s v="Nieuwe Tuinen 7B"/>
    <s v="2675 SE"/>
    <s v="Honselersdijk"/>
    <s v="06-53690859"/>
    <s v="janmul54@gmail.com"/>
    <s v="NL08RABO0343659077"/>
    <n v="6"/>
    <n v="3"/>
    <s v="ja"/>
    <s v="ja"/>
    <x v="0"/>
    <s v="Engie"/>
    <x v="1"/>
    <x v="1"/>
    <s v="Inclusief met VS"/>
    <x v="0"/>
    <x v="2"/>
    <x v="2"/>
    <x v="1"/>
    <s v="Inclusief"/>
    <n v="1"/>
    <d v="2022-03-01T00:00:00"/>
    <x v="0"/>
    <n v="429.36000000000013"/>
    <n v="0"/>
    <n v="53.34"/>
    <s v="Gemeente &amp; Renewi"/>
    <n v="134.88"/>
    <s v="Grijs (OW), Groen (EW) / Dinsdag (1x pw), Blauw laatste maandag vd maand / 1x 660 ltr 1x pw dinsdag"/>
    <s v="incl"/>
    <n v="0"/>
    <s v="ja"/>
    <m/>
    <d v="2012-11-26T00:00:00"/>
    <d v="2021-01-01T00:00:00"/>
    <s v="3 maanden"/>
    <m/>
  </r>
  <r>
    <x v="6"/>
    <s v="2678 EX "/>
    <x v="0"/>
    <s v="21a"/>
    <n v="1150"/>
    <n v="119"/>
    <n v="5057"/>
    <m/>
    <s v="De Rembrandt B.V."/>
    <s v="Flip van Adrichem"/>
    <s v="Langestraat 48"/>
    <s v="2691 BH"/>
    <s v="s-Gravenzande"/>
    <s v="06-41372342"/>
    <s v="flip@eetcafedewitte.nl"/>
    <s v="NL21RABO0156104105"/>
    <n v="4"/>
    <n v="2"/>
    <s v="ja"/>
    <s v="nee"/>
    <x v="1"/>
    <s v="Inclusief"/>
    <x v="2"/>
    <x v="2"/>
    <s v="Inclusief"/>
    <x v="0"/>
    <x v="2"/>
    <x v="2"/>
    <x v="1"/>
    <s v="Inclusief"/>
    <m/>
    <m/>
    <x v="1"/>
    <n v="0"/>
    <n v="0"/>
    <n v="95.43"/>
    <s v="MSN "/>
    <n v="134.88"/>
    <s v="1 X 660 ltr/ 1x pw / woensdag"/>
    <s v="incl "/>
    <n v="0"/>
    <s v="ja"/>
    <n v="1000"/>
    <d v="2018-03-01T00:00:00"/>
    <s v="OT"/>
    <s v="1 maand"/>
    <m/>
  </r>
  <r>
    <x v="7"/>
    <s v="2544 EN"/>
    <x v="0"/>
    <s v="K28"/>
    <n v="41710"/>
    <n v="119"/>
    <n v="5091"/>
    <m/>
    <s v="Lammertink Projecten B.V."/>
    <s v="Hans Lammertink"/>
    <s v="Schietlood 2"/>
    <s v="2495 AN"/>
    <s v="Den Haag"/>
    <s v="085-2739900 "/>
    <s v="Dennis Baak 06-24313837 (schoonzoon) / dbaak@l-groep.nl"/>
    <s v="NL83INGB0677182783"/>
    <n v="150"/>
    <n v="86"/>
    <s v="ja"/>
    <s v="ja"/>
    <x v="0"/>
    <s v="Engie"/>
    <x v="3"/>
    <x v="0"/>
    <s v="Engie"/>
    <x v="0"/>
    <x v="3"/>
    <x v="3"/>
    <x v="0"/>
    <s v="dunea"/>
    <n v="4"/>
    <d v="2022-03-01T00:00:00"/>
    <x v="0"/>
    <n v="13978.5"/>
    <n v="0"/>
    <n v="207.61"/>
    <s v="Omega"/>
    <n v="845.56"/>
    <s v="Omega 4x 1000ltr 2x p/w"/>
    <s v="BICT"/>
    <n v="237"/>
    <m/>
    <m/>
    <d v="2019-05-06T00:00:00"/>
    <d v="2024-04-14T00:00:00"/>
    <m/>
    <s v="Dennis Baak 06-24313837 (schoonzoon)"/>
  </r>
  <r>
    <x v="8"/>
    <s v="2544 EN"/>
    <x v="0"/>
    <s v="K28"/>
    <n v="1500"/>
    <n v="119"/>
    <n v="5091"/>
    <m/>
    <s v="Lammertink Projecten B.V."/>
    <s v="Hans Lammertink"/>
    <s v="Schietlood 2"/>
    <s v="2495 AN"/>
    <s v="Den Haag"/>
    <s v="085-2739900 "/>
    <m/>
    <s v="NL83INGB0677182783"/>
    <m/>
    <m/>
    <s v="ja"/>
    <s v="ja"/>
    <x v="0"/>
    <s v="Engie"/>
    <x v="3"/>
    <x v="0"/>
    <s v="Engie"/>
    <x v="0"/>
    <x v="3"/>
    <x v="3"/>
    <x v="0"/>
    <s v="dunea"/>
    <n v="4"/>
    <s v="gedurende jaar"/>
    <x v="0"/>
    <n v="0"/>
    <n v="0"/>
    <n v="0"/>
    <s v="incl."/>
    <m/>
    <m/>
    <s v="BICT"/>
    <n v="395"/>
    <m/>
    <m/>
    <d v="2020-03-01T00:00:00"/>
    <d v="2024-04-14T00:00:00"/>
    <m/>
    <m/>
  </r>
  <r>
    <x v="9"/>
    <s v="2671 DV"/>
    <x v="0"/>
    <s v="L46"/>
    <n v="1825"/>
    <n v="119"/>
    <s v="5055"/>
    <m/>
    <s v="G. Hofland"/>
    <s v="Goos Hofland"/>
    <s v="Lange Broekweg 46"/>
    <s v="2671 DV"/>
    <s v="Naaldwijk"/>
    <s v="0174-625887"/>
    <s v="goos@hoflandfloweringplants.nl"/>
    <s v="NL27RABO0343661063"/>
    <n v="8"/>
    <n v="5"/>
    <s v="ja"/>
    <s v="nee"/>
    <x v="1"/>
    <s v="Inclusief"/>
    <x v="2"/>
    <x v="2"/>
    <s v="Inclusief"/>
    <x v="0"/>
    <x v="2"/>
    <x v="2"/>
    <x v="1"/>
    <s v="Inclusief"/>
    <m/>
    <m/>
    <x v="1"/>
    <n v="0"/>
    <n v="0"/>
    <n v="22.83"/>
    <s v="Renewi   "/>
    <n v="125.88666666666667"/>
    <s v="1x 500 ltr / 1x pw / dinsdag"/>
    <s v="BICT"/>
    <n v="79"/>
    <s v="ja"/>
    <n v="1750"/>
    <d v="2017-12-10T00:00:00"/>
    <s v="nb"/>
    <s v="per maand"/>
    <s v="2022 € 5.200,- huur vermindering"/>
  </r>
  <r>
    <x v="10"/>
    <s v="2681 RD"/>
    <x v="0"/>
    <s v="3A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7"/>
    <n v="4"/>
    <s v="ja "/>
    <s v="ja"/>
    <x v="0"/>
    <s v="Engie"/>
    <x v="1"/>
    <x v="0"/>
    <s v="Engie"/>
    <x v="0"/>
    <x v="1"/>
    <x v="1"/>
    <x v="0"/>
    <s v="Evides"/>
    <n v="4"/>
    <d v="2022-03-01T00:00:00"/>
    <x v="0"/>
    <n v="609.67000000000007"/>
    <n v="0"/>
    <n v="97.4"/>
    <s v="Renewi / Gemeente"/>
    <n v="62.949999999999996"/>
    <s v="Grijs (EW), Groen (OW) / dinsdag, Blauw 1e woensdag vd maand / Rol 500ltr dinsdag (OW)"/>
    <s v="BICT"/>
    <n v="79"/>
    <s v="ja"/>
    <m/>
    <d v="2012-11-26T00:00:00"/>
    <s v="nb"/>
    <m/>
    <m/>
  </r>
  <r>
    <x v="11"/>
    <s v="2681 RD"/>
    <x v="0"/>
    <s v="3B"/>
    <n v="1800"/>
    <n v="119"/>
    <s v="5007"/>
    <m/>
    <s v="M.J.W. van den Enden &amp; B.M. van den Enden"/>
    <s v="Barbara van den Enden"/>
    <s v="Bospolder 4a"/>
    <s v="2675 BL"/>
    <s v="Honselersdijk"/>
    <s v="06-51611737 Barbara / 06-54398790 Maup"/>
    <s v="endem3@caiway.nl"/>
    <s v="NL81INGB0112509347"/>
    <n v="5"/>
    <n v="3"/>
    <m/>
    <m/>
    <x v="1"/>
    <m/>
    <x v="3"/>
    <x v="1"/>
    <s v="Inclusief met VS"/>
    <x v="1"/>
    <x v="4"/>
    <x v="4"/>
    <x v="2"/>
    <m/>
    <m/>
    <d v="2025-01-02T00:00:00"/>
    <x v="1"/>
    <n v="200"/>
    <m/>
    <m/>
    <s v="Renewi / Gemeente"/>
    <n v="62.949999999999996"/>
    <m/>
    <s v="BICT"/>
    <n v="79"/>
    <s v="ja"/>
    <n v="3600"/>
    <d v="2025-01-02T00:00:00"/>
    <m/>
    <m/>
    <m/>
  </r>
  <r>
    <x v="12"/>
    <s v="2681 PJ"/>
    <x v="0"/>
    <s v="M25"/>
    <n v="2600"/>
    <n v="119"/>
    <s v="5002"/>
    <m/>
    <s v="H. van Leeuwen"/>
    <s v="Petra"/>
    <s v="Postbus 170"/>
    <s v="2680 AD"/>
    <s v="Monster"/>
    <s v="06-51262904 / 0174-248804"/>
    <s v="petra@huubvanleeuwen.nl"/>
    <s v="NL96RABO0375644504"/>
    <n v="8"/>
    <n v="4"/>
    <s v="ja"/>
    <s v="nee"/>
    <x v="1"/>
    <s v="Inclusief"/>
    <x v="2"/>
    <x v="2"/>
    <s v="Inclusief"/>
    <x v="0"/>
    <x v="2"/>
    <x v="2"/>
    <x v="1"/>
    <s v="Inclusief"/>
    <m/>
    <m/>
    <x v="1"/>
    <n v="0"/>
    <n v="0"/>
    <n v="77.459999999999994"/>
    <s v="Renewi"/>
    <n v="125.88666666666667"/>
    <s v="1x 500 ltr / 1x pw / maandag"/>
    <s v="BICT"/>
    <n v="79"/>
    <m/>
    <m/>
    <d v="2017-04-01T00:00:00"/>
    <s v="nb"/>
    <m/>
    <m/>
  </r>
  <r>
    <x v="13"/>
    <s v="2681 PK"/>
    <x v="0"/>
    <s v="M35"/>
    <n v="2020"/>
    <n v="119"/>
    <n v="5094"/>
    <m/>
    <s v="J.S. Vink Vastgoed"/>
    <s v="Denise Vink"/>
    <s v="Boomaweg 27"/>
    <s v="2681 RH "/>
    <s v="Monster"/>
    <s v="06-23615767 (denise) 06-53505331 (jan)"/>
    <s v="info@jsvink.nl / d.j.vink@hotmail.com"/>
    <s v="NL14RABO3291687140 en NL20RABO0129949140"/>
    <n v="7"/>
    <n v="4"/>
    <s v="ja"/>
    <s v="ja"/>
    <x v="0"/>
    <s v="Engie"/>
    <x v="1"/>
    <x v="0"/>
    <s v="Engie"/>
    <x v="0"/>
    <x v="1"/>
    <x v="1"/>
    <x v="1"/>
    <s v="Inclusief"/>
    <n v="4"/>
    <d v="2022-03-01T00:00:00"/>
    <x v="0"/>
    <n v="632.86999999999989"/>
    <n v="0"/>
    <n v="47.48"/>
    <s v="Renewi"/>
    <n v="125.88666666666667"/>
    <s v="1x 500 ltr / 1x pw / donderdag"/>
    <m/>
    <n v="79"/>
    <m/>
    <m/>
    <d v="2021-03-01T00:00:00"/>
    <m/>
    <m/>
    <m/>
  </r>
  <r>
    <x v="14"/>
    <s v="2681 LT"/>
    <x v="0"/>
    <s v="P27"/>
    <n v="85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x v="2"/>
    <m/>
    <x v="3"/>
    <x v="3"/>
    <m/>
    <x v="1"/>
    <x v="4"/>
    <x v="4"/>
    <x v="2"/>
    <m/>
    <m/>
    <m/>
    <x v="1"/>
    <m/>
    <m/>
    <m/>
    <m/>
    <n v="138.19999999999999"/>
    <s v="1x 660 ltr / 1x pw / donderdag"/>
    <m/>
    <m/>
    <m/>
    <m/>
    <d v="2023-11-01T00:00:00"/>
    <d v="2025-10-31T00:00:00"/>
    <s v="1 maand"/>
    <m/>
  </r>
  <r>
    <x v="15"/>
    <s v="2681 LT"/>
    <x v="0"/>
    <s v="P29"/>
    <n v="1500"/>
    <n v="119"/>
    <n v="5099"/>
    <m/>
    <s v="P.C. Vijverberg"/>
    <s v="Piet Vijverberg"/>
    <s v="Van Koppenweg 24"/>
    <s v="2672 EH"/>
    <s v="Naaldwijk"/>
    <s v="06-53299575"/>
    <s v="piet@pietvijverberg.nl"/>
    <s v="NL95RABO0142277460"/>
    <m/>
    <m/>
    <m/>
    <m/>
    <x v="2"/>
    <m/>
    <x v="3"/>
    <x v="3"/>
    <m/>
    <x v="1"/>
    <x v="4"/>
    <x v="4"/>
    <x v="2"/>
    <m/>
    <m/>
    <m/>
    <x v="1"/>
    <n v="0"/>
    <m/>
    <m/>
    <s v="MSN "/>
    <m/>
    <m/>
    <m/>
    <m/>
    <m/>
    <m/>
    <d v="2023-07-01T00:00:00"/>
    <d v="2027-06-30T00:00:00"/>
    <s v="1 maand"/>
    <s v="Contract van 2 jaar is inmiddels verlengd voor 2e keer"/>
  </r>
  <r>
    <x v="16"/>
    <s v="3151 GJ"/>
    <x v="0"/>
    <s v="56a"/>
    <n v="130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4"/>
    <n v="2"/>
    <s v="ja"/>
    <m/>
    <x v="0"/>
    <s v="Engie"/>
    <x v="4"/>
    <x v="0"/>
    <s v="Engie"/>
    <x v="0"/>
    <x v="5"/>
    <x v="5"/>
    <x v="0"/>
    <s v="Evides"/>
    <n v="4"/>
    <d v="2023-02-01T00:00:00"/>
    <x v="0"/>
    <n v="6.7"/>
    <n v="0"/>
    <n v="0"/>
    <m/>
    <n v="0"/>
    <m/>
    <m/>
    <m/>
    <s v="ja"/>
    <n v="1300"/>
    <d v="2023-01-01T00:00:00"/>
    <d v="2023-12-31T00:00:00"/>
    <s v="1 maand"/>
    <m/>
  </r>
  <r>
    <x v="17"/>
    <s v="3151 GJ"/>
    <x v="0"/>
    <s v="56b"/>
    <n v="1950"/>
    <n v="119"/>
    <m/>
    <s v="ja"/>
    <s v="S.A. van Bergen Vastgoed B.V."/>
    <s v="S.A. van Bergen"/>
    <s v="Strandweg 25"/>
    <s v="3151 HV"/>
    <s v="Hoek van Holland"/>
    <s v="06-30412153"/>
    <s v="bas.vanbergen@aubvanbergen.nl"/>
    <s v="NL11RABO0318502364"/>
    <n v="6"/>
    <n v="3"/>
    <s v="ja"/>
    <m/>
    <x v="0"/>
    <s v="Engie"/>
    <x v="4"/>
    <x v="0"/>
    <s v="Engie"/>
    <x v="0"/>
    <x v="5"/>
    <x v="5"/>
    <x v="0"/>
    <s v="Evides"/>
    <n v="4"/>
    <d v="2023-02-01T00:00:00"/>
    <x v="0"/>
    <n v="6.7"/>
    <n v="0"/>
    <n v="0"/>
    <m/>
    <n v="0"/>
    <m/>
    <m/>
    <m/>
    <s v="ja"/>
    <n v="1950"/>
    <d v="2023-01-01T00:00:00"/>
    <d v="2023-12-31T00:00:00"/>
    <s v="1 maand"/>
    <m/>
  </r>
  <r>
    <x v="18"/>
    <s v="3151 BV"/>
    <x v="0"/>
    <s v="R24"/>
    <n v="1733.3333333333333"/>
    <n v="119"/>
    <s v="5005"/>
    <m/>
    <s v="F.A.S. van Bergen"/>
    <s v="J. v. Bergen"/>
    <s v="Rijpstraat 22"/>
    <s v="3151 BV"/>
    <s v="Hoek van Holland"/>
    <s v="06-53739975"/>
    <s v="jetvbergen@gmail.com"/>
    <s v="NL44ABNA0620327766"/>
    <n v="4"/>
    <n v="2"/>
    <s v="ja"/>
    <s v="ja"/>
    <x v="3"/>
    <s v="Total  "/>
    <x v="5"/>
    <x v="4"/>
    <s v="Total  "/>
    <x v="2"/>
    <x v="6"/>
    <x v="6"/>
    <x v="0"/>
    <s v="Evides"/>
    <n v="5"/>
    <d v="2021-01-01T00:00:00"/>
    <x v="2"/>
    <n v="0"/>
    <n v="0"/>
    <n v="43.58"/>
    <s v="Renewi / Gemeente"/>
    <n v="55.476666666666667"/>
    <s v="1x 660 ltr   / 1x2 pw / donderdag/ O-W"/>
    <s v="incl."/>
    <n v="0"/>
    <m/>
    <m/>
    <d v="2019-05-15T00:00:00"/>
    <d v="2022-05-14T00:00:00"/>
    <s v="1 maand"/>
    <m/>
  </r>
  <r>
    <x v="19"/>
    <s v="2681 LV"/>
    <x v="0"/>
    <s v="WAE"/>
    <n v="2000"/>
    <n v="119"/>
    <s v="5015"/>
    <m/>
    <s v="T. Olsthoorn"/>
    <s v="Ton Olsthoorn"/>
    <s v="Ravellaan 8"/>
    <s v="2671 VT"/>
    <s v="Naaldwijk"/>
    <s v="06-22413459"/>
    <s v="tonolsthoorn@kpnmail.nl"/>
    <s v="NL92RABO0342957031"/>
    <n v="7"/>
    <n v="4"/>
    <s v="ja"/>
    <s v="ja"/>
    <x v="0"/>
    <s v="Engie"/>
    <x v="1"/>
    <x v="0"/>
    <s v="Engie"/>
    <x v="0"/>
    <x v="1"/>
    <x v="1"/>
    <x v="0"/>
    <s v="Evides"/>
    <n v="4"/>
    <d v="2022-03-01T00:00:00"/>
    <x v="0"/>
    <n v="633.75999999999976"/>
    <n v="0"/>
    <n v="92.22999999999999"/>
    <s v="Renewi"/>
    <n v="377.66"/>
    <s v="1x 500 ltr / 1x pw / maandag"/>
    <s v="BICT"/>
    <n v="79"/>
    <m/>
    <n v="1400"/>
    <d v="2012-11-26T00:00:00"/>
    <s v="nb"/>
    <m/>
    <m/>
  </r>
  <r>
    <x v="20"/>
    <s v="3151 XP"/>
    <x v="0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7"/>
    <n v="4"/>
    <s v="ja"/>
    <s v="nee"/>
    <x v="1"/>
    <s v="Inclusief"/>
    <x v="2"/>
    <x v="2"/>
    <s v="Inclusief"/>
    <x v="0"/>
    <x v="2"/>
    <x v="2"/>
    <x v="0"/>
    <s v="Evides"/>
    <n v="5"/>
    <d v="2021-01-01T00:00:00"/>
    <x v="2"/>
    <n v="48.21"/>
    <n v="0"/>
    <n v="63.99"/>
    <m/>
    <n v="373.6"/>
    <m/>
    <m/>
    <n v="0"/>
    <m/>
    <m/>
    <d v="2023-01-01T00:00:00"/>
    <d v="2025-12-31T00:00:00"/>
    <m/>
    <s v="In P4F bekend onder 31A en 31B"/>
  </r>
  <r>
    <x v="21"/>
    <s v="3151 XP"/>
    <x v="0"/>
    <s v="Z33"/>
    <n v="2500"/>
    <n v="119"/>
    <n v="5060"/>
    <m/>
    <s v="Stichting MCM"/>
    <s v="J. v. Bergen"/>
    <s v="Rijpstraat 22"/>
    <s v="3151 BV"/>
    <s v="Hoek van Holland"/>
    <s v="06-53739975"/>
    <s v="jetvbergen@gmail.com"/>
    <s v="NL39RABO0334435080"/>
    <n v="8"/>
    <n v="4"/>
    <s v="ja"/>
    <s v="nee"/>
    <x v="1"/>
    <s v="Inclusief"/>
    <x v="2"/>
    <x v="2"/>
    <s v="Inclusief"/>
    <x v="0"/>
    <x v="2"/>
    <x v="2"/>
    <x v="0"/>
    <s v="Evides"/>
    <n v="5"/>
    <d v="2021-01-01T00:00:00"/>
    <x v="2"/>
    <n v="0"/>
    <n v="0"/>
    <n v="0"/>
    <m/>
    <m/>
    <m/>
    <m/>
    <n v="0"/>
    <m/>
    <m/>
    <d v="2023-01-01T00:00:00"/>
    <d v="2025-12-31T00:00:00"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3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4"/>
    <m/>
    <x v="1"/>
    <m/>
    <m/>
    <m/>
    <m/>
    <m/>
    <m/>
    <m/>
    <m/>
    <m/>
    <m/>
    <m/>
    <m/>
    <m/>
    <m/>
    <m/>
    <m/>
    <m/>
    <x v="0"/>
    <s v="Engie"/>
    <x v="1"/>
    <x v="0"/>
    <s v="Engie"/>
    <x v="0"/>
    <x v="1"/>
    <x v="1"/>
    <x v="2"/>
    <m/>
    <n v="4"/>
    <d v="2022-03-01T00:00:00"/>
    <x v="0"/>
    <n v="0"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  <r>
    <x v="22"/>
    <m/>
    <x v="1"/>
    <m/>
    <m/>
    <m/>
    <m/>
    <m/>
    <m/>
    <m/>
    <m/>
    <m/>
    <m/>
    <m/>
    <m/>
    <m/>
    <m/>
    <m/>
    <m/>
    <m/>
    <x v="2"/>
    <m/>
    <x v="3"/>
    <x v="3"/>
    <m/>
    <x v="1"/>
    <x v="4"/>
    <x v="4"/>
    <x v="2"/>
    <m/>
    <m/>
    <m/>
    <x v="1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B096C-1CD1-437A-B7B1-704B91873D70}" name="Draaitabel1" cacheId="3" applyNumberFormats="0" applyBorderFormats="0" applyFontFormats="0" applyPatternFormats="0" applyAlignmentFormats="0" applyWidthHeightFormats="1" dataCaption="Waarden" updatedVersion="8" minRefreshableVersion="3" useAutoFormatting="1" itemPrintTitles="1" createdVersion="7" indent="0" outline="1" outlineData="1" multipleFieldFilters="0">
  <location ref="A3:G21" firstHeaderRow="0" firstDataRow="1" firstDataCol="3"/>
  <pivotFields count="47">
    <pivotField axis="axisRow" outline="0" showAll="0" sortType="ascending" defaultSubtotal="0">
      <items count="57">
        <item m="1" x="24"/>
        <item m="1" x="39"/>
        <item m="1" x="40"/>
        <item h="1" m="1" x="50"/>
        <item x="0"/>
        <item x="1"/>
        <item x="2"/>
        <item x="3"/>
        <item h="1" m="1" x="48"/>
        <item h="1" m="1" x="36"/>
        <item m="1" x="55"/>
        <item x="4"/>
        <item m="1" x="25"/>
        <item h="1" m="1" x="41"/>
        <item x="5"/>
        <item h="1" m="1" x="43"/>
        <item h="1" m="1" x="38"/>
        <item h="1" x="23"/>
        <item x="6"/>
        <item h="1" m="1" x="42"/>
        <item m="1" x="26"/>
        <item m="1" x="27"/>
        <item h="1" x="7"/>
        <item m="1" x="49"/>
        <item h="1" x="8"/>
        <item x="9"/>
        <item x="12"/>
        <item x="13"/>
        <item x="10"/>
        <item h="1" x="11"/>
        <item h="1" m="1" x="51"/>
        <item h="1" m="1" x="34"/>
        <item h="1" x="14"/>
        <item h="1" x="15"/>
        <item h="1" m="1" x="44"/>
        <item h="1" m="1" x="53"/>
        <item m="1" x="31"/>
        <item m="1" x="32"/>
        <item m="1" x="28"/>
        <item x="16"/>
        <item x="17"/>
        <item m="1" x="29"/>
        <item x="18"/>
        <item m="1" x="52"/>
        <item h="1" m="1" x="46"/>
        <item h="1" m="1" x="47"/>
        <item m="1" x="35"/>
        <item x="19"/>
        <item m="1" x="37"/>
        <item h="1" m="1" x="56"/>
        <item h="1" m="1" x="45"/>
        <item x="20"/>
        <item x="21"/>
        <item m="1" x="30"/>
        <item m="1" x="33"/>
        <item h="1" m="1" x="54"/>
        <item h="1" x="22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6">
        <item x="2"/>
        <item x="3"/>
        <item x="1"/>
        <item m="1" x="4"/>
        <item m="1" x="5"/>
        <item x="0"/>
      </items>
    </pivotField>
    <pivotField showAll="0"/>
    <pivotField axis="axisRow" outline="0" showAll="0" defaultSubtotal="0">
      <items count="12">
        <item x="1"/>
        <item x="2"/>
        <item m="1" x="11"/>
        <item m="1" x="3"/>
        <item m="1" x="4"/>
        <item m="1" x="5"/>
        <item m="1" x="6"/>
        <item m="1" x="10"/>
        <item m="1" x="8"/>
        <item m="1" x="7"/>
        <item m="1" x="9"/>
        <item x="0"/>
      </items>
    </pivotField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30"/>
    <field x="32"/>
  </rowFields>
  <rowItems count="18">
    <i>
      <x v="4"/>
      <x v="5"/>
      <x v="11"/>
    </i>
    <i>
      <x v="5"/>
      <x v="5"/>
      <x v="11"/>
    </i>
    <i>
      <x v="6"/>
      <x v="5"/>
      <x v="11"/>
    </i>
    <i>
      <x v="7"/>
      <x v="5"/>
      <x v="11"/>
    </i>
    <i>
      <x v="11"/>
      <x v="5"/>
      <x v="11"/>
    </i>
    <i>
      <x v="14"/>
      <x v="2"/>
      <x v="11"/>
    </i>
    <i>
      <x v="18"/>
      <x/>
      <x/>
    </i>
    <i>
      <x v="25"/>
      <x/>
      <x/>
    </i>
    <i>
      <x v="26"/>
      <x/>
      <x/>
    </i>
    <i>
      <x v="27"/>
      <x v="5"/>
      <x v="11"/>
    </i>
    <i>
      <x v="28"/>
      <x v="5"/>
      <x v="11"/>
    </i>
    <i>
      <x v="39"/>
      <x v="5"/>
      <x v="11"/>
    </i>
    <i>
      <x v="40"/>
      <x v="5"/>
      <x v="11"/>
    </i>
    <i>
      <x v="42"/>
      <x v="1"/>
      <x v="1"/>
    </i>
    <i>
      <x v="47"/>
      <x v="5"/>
      <x v="11"/>
    </i>
    <i>
      <x v="51"/>
      <x v="1"/>
      <x v="1"/>
    </i>
    <i>
      <x v="52"/>
      <x v="1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 van Belastingen p/m" fld="35" baseField="22" baseItem="0" numFmtId="44"/>
    <dataField name="Som van Tarief container" fld="37" baseField="22" baseItem="0" numFmtId="44"/>
    <dataField name="Som van voorschot glw" fld="33" baseField="26" baseItem="5" numFmtId="44"/>
    <dataField name="Som van Huur p/m " fld="4" baseField="26" baseItem="3" numFmtId="44"/>
  </dataFields>
  <formats count="8">
    <format dxfId="21">
      <pivotArea field="32" type="button" dataOnly="0" labelOnly="1" outline="0" axis="axisRow" fieldPosition="2"/>
    </format>
    <format dxfId="20">
      <pivotArea dataOnly="0" labelOnly="1" grandRow="1" outline="0" fieldPosition="0"/>
    </format>
    <format dxfId="19">
      <pivotArea field="30" type="button" dataOnly="0" labelOnly="1" outline="0" axis="axisRow" fieldPosition="1"/>
    </format>
    <format dxfId="18">
      <pivotArea outline="0" fieldPosition="0">
        <references count="1">
          <reference field="4294967294" count="1">
            <x v="1"/>
          </reference>
        </references>
      </pivotArea>
    </format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outline="0" fieldPosition="0">
        <references count="1">
          <reference field="4294967294" count="1">
            <x v="3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5CCB3-C9AD-4014-BDDC-65A0D2B0433C}" name="Draaitabel1" cacheId="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J27" firstHeaderRow="1" firstDataRow="1" firstDataCol="10"/>
  <pivotFields count="50">
    <pivotField axis="axisRow" outline="0" showAll="0" sortType="ascending" defaultSubtotal="0">
      <items count="48">
        <item m="1" x="25"/>
        <item h="1" m="1" x="26"/>
        <item h="1" m="1" x="27"/>
        <item x="0"/>
        <item x="1"/>
        <item x="2"/>
        <item x="3"/>
        <item h="1" x="24"/>
        <item m="1" x="41"/>
        <item m="1" x="47"/>
        <item x="4"/>
        <item m="1" x="28"/>
        <item h="1" m="1" x="29"/>
        <item x="5"/>
        <item m="1" x="43"/>
        <item h="1" x="23"/>
        <item x="6"/>
        <item h="1" m="1" x="30"/>
        <item m="1" x="31"/>
        <item m="1" x="32"/>
        <item h="1" x="7"/>
        <item h="1" x="8"/>
        <item x="9"/>
        <item x="12"/>
        <item x="13"/>
        <item x="10"/>
        <item h="1" x="11"/>
        <item m="1" x="39"/>
        <item h="1" x="14"/>
        <item h="1" x="15"/>
        <item m="1" x="44"/>
        <item m="1" x="45"/>
        <item m="1" x="36"/>
        <item m="1" x="37"/>
        <item m="1" x="33"/>
        <item x="16"/>
        <item x="17"/>
        <item m="1" x="34"/>
        <item x="18"/>
        <item m="1" x="46"/>
        <item m="1" x="40"/>
        <item x="19"/>
        <item m="1" x="42"/>
        <item x="20"/>
        <item x="21"/>
        <item m="1" x="35"/>
        <item m="1" x="38"/>
        <item h="1" x="22"/>
      </items>
    </pivotField>
    <pivotField showAll="0"/>
    <pivotField axis="axisRow" outline="0" showAll="0" defaultSubtotal="0">
      <items count="4">
        <item m="1" x="3"/>
        <item m="1" x="2"/>
        <item x="0"/>
        <item h="1"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6">
        <item m="1" x="5"/>
        <item x="0"/>
        <item x="3"/>
        <item x="1"/>
        <item m="1" x="4"/>
        <item x="2"/>
      </items>
    </pivotField>
    <pivotField showAll="0" defaultSubtotal="0"/>
    <pivotField axis="axisRow" outline="0" showAll="0" defaultSubtotal="0">
      <items count="7">
        <item x="3"/>
        <item x="5"/>
        <item m="1" x="6"/>
        <item x="2"/>
        <item x="0"/>
        <item x="1"/>
        <item x="4"/>
      </items>
    </pivotField>
    <pivotField axis="axisRow" outline="0" showAll="0" defaultSubtotal="0">
      <items count="6">
        <item m="1" x="5"/>
        <item x="0"/>
        <item x="4"/>
        <item x="2"/>
        <item x="1"/>
        <item x="3"/>
      </items>
    </pivotField>
    <pivotField showAll="0"/>
    <pivotField axis="axisRow" outline="0" showAll="0" defaultSubtotal="0">
      <items count="3">
        <item x="2"/>
        <item x="1"/>
        <item x="0"/>
      </items>
    </pivotField>
    <pivotField axis="axisRow" outline="0" showAll="0" defaultSubtotal="0">
      <items count="8">
        <item x="4"/>
        <item x="6"/>
        <item m="1" x="7"/>
        <item x="2"/>
        <item x="0"/>
        <item x="1"/>
        <item x="3"/>
        <item x="5"/>
      </items>
    </pivotField>
    <pivotField axis="axisRow" outline="0" showAll="0" defaultSubtotal="0">
      <items count="8">
        <item x="4"/>
        <item x="6"/>
        <item m="1" x="7"/>
        <item x="2"/>
        <item x="0"/>
        <item x="1"/>
        <item x="3"/>
        <item x="5"/>
      </items>
    </pivotField>
    <pivotField axis="axisRow" outline="0" showAll="0" defaultSubtotal="0">
      <items count="5">
        <item m="1" x="4"/>
        <item x="0"/>
        <item x="1"/>
        <item m="1" x="3"/>
        <item x="2"/>
      </items>
    </pivotField>
    <pivotField showAll="0"/>
    <pivotField showAll="0"/>
    <pivotField showAll="0"/>
    <pivotField axis="axisRow" showAll="0">
      <items count="11">
        <item m="1" x="4"/>
        <item m="1" x="6"/>
        <item m="1" x="5"/>
        <item m="1" x="3"/>
        <item m="1" x="8"/>
        <item m="1" x="9"/>
        <item m="1" x="7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sd="0" x="1"/>
        <item sd="0" x="2"/>
        <item x="0"/>
        <item x="3"/>
        <item t="default"/>
      </items>
    </pivotField>
  </pivotFields>
  <rowFields count="13">
    <field x="0"/>
    <field x="2"/>
    <field x="20"/>
    <field x="22"/>
    <field x="23"/>
    <field x="25"/>
    <field x="26"/>
    <field x="27"/>
    <field x="28"/>
    <field x="49"/>
    <field x="48"/>
    <field x="47"/>
    <field x="32"/>
  </rowFields>
  <rowItems count="24">
    <i>
      <x v="3"/>
      <x v="2"/>
      <x v="1"/>
      <x v="4"/>
      <x v="1"/>
      <x v="2"/>
      <x v="4"/>
      <x v="4"/>
      <x v="1"/>
      <x v="1"/>
    </i>
    <i>
      <x v="4"/>
      <x v="2"/>
      <x v="1"/>
      <x v="4"/>
      <x v="1"/>
      <x v="2"/>
      <x v="4"/>
      <x v="4"/>
      <x v="1"/>
      <x v="1"/>
    </i>
    <i>
      <x v="5"/>
      <x v="2"/>
      <x v="1"/>
      <x v="5"/>
      <x v="1"/>
      <x v="2"/>
      <x v="5"/>
      <x v="5"/>
      <x v="1"/>
      <x v="1"/>
    </i>
    <i>
      <x v="6"/>
      <x v="2"/>
      <x v="1"/>
      <x v="5"/>
      <x v="1"/>
      <x v="2"/>
      <x v="5"/>
      <x v="5"/>
      <x v="1"/>
      <x v="1"/>
    </i>
    <i>
      <x v="10"/>
      <x v="2"/>
      <x v="1"/>
      <x v="5"/>
      <x v="1"/>
      <x v="2"/>
      <x v="5"/>
      <x v="5"/>
      <x v="1"/>
      <x v="1"/>
    </i>
    <i>
      <x v="13"/>
      <x v="2"/>
      <x v="1"/>
      <x v="5"/>
      <x v="4"/>
      <x v="2"/>
      <x v="3"/>
      <x v="3"/>
      <x v="2"/>
      <x v="1"/>
    </i>
    <i>
      <x v="16"/>
      <x v="2"/>
      <x v="3"/>
      <x v="3"/>
      <x v="3"/>
      <x v="2"/>
      <x v="3"/>
      <x v="3"/>
      <x v="2"/>
      <x v="2"/>
    </i>
    <i r="10">
      <x v="4"/>
    </i>
    <i r="11">
      <x/>
    </i>
    <i>
      <x v="22"/>
      <x v="2"/>
      <x v="3"/>
      <x v="3"/>
      <x v="3"/>
      <x v="2"/>
      <x v="3"/>
      <x v="3"/>
      <x v="2"/>
      <x v="2"/>
    </i>
    <i r="10">
      <x v="4"/>
    </i>
    <i r="11">
      <x/>
    </i>
    <i>
      <x v="23"/>
      <x v="2"/>
      <x v="3"/>
      <x v="3"/>
      <x v="3"/>
      <x v="2"/>
      <x v="3"/>
      <x v="3"/>
      <x v="2"/>
      <x v="2"/>
    </i>
    <i r="10">
      <x v="4"/>
    </i>
    <i r="11">
      <x/>
    </i>
    <i>
      <x v="24"/>
      <x v="2"/>
      <x v="1"/>
      <x v="5"/>
      <x v="1"/>
      <x v="2"/>
      <x v="5"/>
      <x v="5"/>
      <x v="2"/>
      <x v="1"/>
    </i>
    <i>
      <x v="25"/>
      <x v="2"/>
      <x v="1"/>
      <x v="5"/>
      <x v="1"/>
      <x v="2"/>
      <x v="5"/>
      <x v="5"/>
      <x v="1"/>
      <x v="1"/>
    </i>
    <i>
      <x v="35"/>
      <x v="2"/>
      <x v="1"/>
      <x v="6"/>
      <x v="1"/>
      <x v="2"/>
      <x v="7"/>
      <x v="7"/>
      <x v="1"/>
      <x v="1"/>
    </i>
    <i>
      <x v="36"/>
      <x v="2"/>
      <x v="1"/>
      <x v="6"/>
      <x v="1"/>
      <x v="2"/>
      <x v="7"/>
      <x v="7"/>
      <x v="1"/>
      <x v="1"/>
    </i>
    <i>
      <x v="38"/>
      <x v="2"/>
      <x v="2"/>
      <x v="1"/>
      <x v="2"/>
      <x/>
      <x v="1"/>
      <x v="1"/>
      <x v="1"/>
      <x/>
    </i>
    <i>
      <x v="41"/>
      <x v="2"/>
      <x v="1"/>
      <x v="5"/>
      <x v="1"/>
      <x v="2"/>
      <x v="5"/>
      <x v="5"/>
      <x v="1"/>
      <x v="1"/>
    </i>
    <i>
      <x v="43"/>
      <x v="2"/>
      <x v="3"/>
      <x v="3"/>
      <x v="3"/>
      <x v="2"/>
      <x v="3"/>
      <x v="3"/>
      <x v="1"/>
      <x/>
    </i>
    <i>
      <x v="44"/>
      <x v="2"/>
      <x v="3"/>
      <x v="3"/>
      <x v="3"/>
      <x v="2"/>
      <x v="3"/>
      <x v="3"/>
      <x v="1"/>
      <x/>
    </i>
    <i t="grand">
      <x/>
    </i>
  </rowItems>
  <colItems count="1">
    <i/>
  </colItems>
  <formats count="9">
    <format dxfId="13">
      <pivotArea field="22" type="button" dataOnly="0" labelOnly="1" outline="0" axis="axisRow" fieldPosition="3"/>
    </format>
    <format dxfId="12">
      <pivotArea field="25" type="button" dataOnly="0" labelOnly="1" outline="0" axis="axisRow" fieldPosition="5"/>
    </format>
    <format dxfId="11">
      <pivotArea field="49" type="button" dataOnly="0" labelOnly="1" outline="0" axis="axisRow" fieldPosition="9"/>
    </format>
    <format dxfId="10">
      <pivotArea dataOnly="0" labelOnly="1" grandRow="1" outline="0" fieldPosition="0"/>
    </format>
    <format dxfId="9">
      <pivotArea dataOnly="0" labelOnly="1" fieldPosition="0">
        <references count="10">
          <reference field="0" count="1" selected="0">
            <x v="32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8">
      <pivotArea dataOnly="0" labelOnly="1" fieldPosition="0">
        <references count="10">
          <reference field="0" count="1" selected="0">
            <x v="33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7">
      <pivotArea dataOnly="0" labelOnly="1" fieldPosition="0">
        <references count="10">
          <reference field="0" count="1" selected="0">
            <x v="37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6">
      <pivotArea dataOnly="0" labelOnly="1" fieldPosition="0">
        <references count="10">
          <reference field="0" count="1" selected="0">
            <x v="38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  <format dxfId="5">
      <pivotArea dataOnly="0" labelOnly="1" fieldPosition="0">
        <references count="10">
          <reference field="0" count="1" selected="0">
            <x v="46"/>
          </reference>
          <reference field="2" count="1" selected="0">
            <x v="2"/>
          </reference>
          <reference field="20" count="1" selected="0">
            <x v="2"/>
          </reference>
          <reference field="22" count="1" selected="0">
            <x v="1"/>
          </reference>
          <reference field="23" count="1" selected="0">
            <x v="2"/>
          </reference>
          <reference field="25" count="1" selected="0">
            <x v="0"/>
          </reference>
          <reference field="26" count="1" selected="0">
            <x v="1"/>
          </reference>
          <reference field="27" count="1" selected="0">
            <x v="1"/>
          </reference>
          <reference field="28" count="1" selected="0">
            <x v="1"/>
          </reference>
          <reference field="4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2E7FD-7B71-4FC3-A424-F2D19B0D0FCC}" name="Draaitabel1" cacheId="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K29" firstHeaderRow="0" firstDataRow="1" firstDataCol="1"/>
  <pivotFields count="51">
    <pivotField axis="axisRow" showAll="0" sortType="ascending">
      <items count="38">
        <item x="0"/>
        <item h="1" m="1" x="26"/>
        <item h="1" m="1" x="27"/>
        <item x="1"/>
        <item x="2"/>
        <item x="3"/>
        <item x="4"/>
        <item m="1" x="36"/>
        <item h="1" x="5"/>
        <item x="6"/>
        <item h="1" m="1" x="32"/>
        <item x="7"/>
        <item h="1" m="1" x="29"/>
        <item x="8"/>
        <item h="1" m="1" x="28"/>
        <item x="9"/>
        <item x="10"/>
        <item m="1" x="35"/>
        <item x="11"/>
        <item x="13"/>
        <item x="14"/>
        <item x="12"/>
        <item x="15"/>
        <item x="16"/>
        <item h="1" m="1" x="31"/>
        <item x="17"/>
        <item x="19"/>
        <item x="20"/>
        <item x="18"/>
        <item x="21"/>
        <item h="1" m="1" x="33"/>
        <item h="1" m="1" x="34"/>
        <item x="22"/>
        <item x="23"/>
        <item x="24"/>
        <item x="25"/>
        <item h="1" m="1" x="3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6">
    <i>
      <x/>
    </i>
    <i>
      <x v="3"/>
    </i>
    <i>
      <x v="4"/>
    </i>
    <i>
      <x v="5"/>
    </i>
    <i>
      <x v="6"/>
    </i>
    <i>
      <x v="9"/>
    </i>
    <i>
      <x v="11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om van Bedden " fld="16" baseField="0" baseItem="0"/>
    <dataField name="Som van Huur p/m " fld="4" baseField="0" baseItem="0" numFmtId="44"/>
    <dataField name="Som van Huur p/w p/b" fld="50" baseField="0" baseItem="0" numFmtId="44"/>
    <dataField name="Som van G/L/W verbruik" fld="34" baseField="0" baseItem="0"/>
    <dataField name="Som van voorschot glw" fld="33" baseField="0" baseItem="0" numFmtId="44"/>
    <dataField name="Som van Tarief container" fld="37" baseField="0" baseItem="0" numFmtId="44"/>
    <dataField name="Som van Tarief internet" fld="40" baseField="0" baseItem="0" numFmtId="44"/>
    <dataField name="Kst.pr. p/m" fld="47" baseField="0" baseItem="0" numFmtId="44"/>
    <dataField name="Kst.pr. p/m p/b" fld="48" baseField="0" baseItem="0" numFmtId="44"/>
    <dataField name="Som van Kst.pr. p/w p/b" fld="49" baseField="0" baseItem="0" numFmtId="44"/>
  </dataFields>
  <formats count="5">
    <format dxfId="4">
      <pivotArea collapsedLevelsAreSubtotals="1" fieldPosition="0">
        <references count="2">
          <reference field="4294967294" count="1" selected="0">
            <x v="8"/>
          </reference>
          <reference field="0" count="1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">
      <pivotArea outline="0" fieldPosition="0">
        <references count="1">
          <reference field="4294967294" count="1">
            <x v="8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raaitabel2" cacheId="2" applyNumberFormats="0" applyBorderFormats="0" applyFontFormats="0" applyPatternFormats="0" applyAlignmentFormats="0" applyWidthHeightFormats="1" dataCaption="Waarden" updatedVersion="8" minRefreshableVersion="3" useAutoFormatting="1" rowGrandTotals="0" colGrandTotals="0" itemPrintTitles="1" createdVersion="6" indent="0" compact="0" compactData="0" gridDropZones="1" multipleFieldFilters="0">
  <location ref="A3:L30" firstHeaderRow="2" firstDataRow="2" firstDataCol="11"/>
  <pivotFields count="47">
    <pivotField axis="axisRow" compact="0" outline="0" showAll="0" sortType="ascending" defaultSubtotal="0">
      <items count="64">
        <item x="0"/>
        <item h="1" m="1" x="50"/>
        <item h="1" m="1" x="27"/>
        <item h="1" m="1" x="28"/>
        <item h="1" m="1" x="42"/>
        <item h="1" m="1" x="45"/>
        <item h="1" m="1" x="49"/>
        <item x="1"/>
        <item x="2"/>
        <item x="3"/>
        <item x="4"/>
        <item h="1" m="1" x="52"/>
        <item h="1" m="1" x="38"/>
        <item m="1" x="57"/>
        <item x="5"/>
        <item h="1" m="1" x="41"/>
        <item x="6"/>
        <item h="1" m="1" x="34"/>
        <item x="7"/>
        <item h="1" m="1" x="62"/>
        <item h="1" m="1" x="30"/>
        <item x="8"/>
        <item h="1" m="1" x="29"/>
        <item x="9"/>
        <item x="10"/>
        <item m="1" x="40"/>
        <item x="11"/>
        <item h="1" m="1" x="56"/>
        <item h="1" m="1" x="63"/>
        <item x="13"/>
        <item h="1" m="1" x="35"/>
        <item x="14"/>
        <item x="12"/>
        <item h="1" m="1" x="59"/>
        <item h="1" m="1" x="43"/>
        <item x="15"/>
        <item x="16"/>
        <item h="1" m="1" x="31"/>
        <item h="1" m="1" x="44"/>
        <item h="1" m="1" x="51"/>
        <item x="17"/>
        <item x="19"/>
        <item x="20"/>
        <item x="18"/>
        <item x="21"/>
        <item h="1" m="1" x="36"/>
        <item h="1" m="1" x="37"/>
        <item h="1" m="1" x="33"/>
        <item h="1" m="1" x="60"/>
        <item h="1" m="1" x="55"/>
        <item x="22"/>
        <item h="1" m="1" x="61"/>
        <item h="1" m="1" x="48"/>
        <item h="1" m="1" x="32"/>
        <item x="23"/>
        <item x="24"/>
        <item m="1" x="39"/>
        <item x="25"/>
        <item h="1" m="1" x="46"/>
        <item h="1" m="1" x="53"/>
        <item h="1" m="1" x="54"/>
        <item h="1" m="1" x="58"/>
        <item h="1" m="1" x="47"/>
        <item h="1" x="26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6">
        <item x="13"/>
        <item m="1" x="37"/>
        <item m="1" x="32"/>
        <item m="1" x="43"/>
        <item m="1" x="31"/>
        <item x="7"/>
        <item m="1" x="22"/>
        <item m="1" x="33"/>
        <item m="1" x="25"/>
        <item x="16"/>
        <item m="1" x="42"/>
        <item m="1" x="41"/>
        <item x="9"/>
        <item x="0"/>
        <item x="10"/>
        <item m="1" x="28"/>
        <item m="1" x="26"/>
        <item m="1" x="21"/>
        <item x="3"/>
        <item m="1" x="29"/>
        <item x="8"/>
        <item x="1"/>
        <item m="1" x="34"/>
        <item x="2"/>
        <item m="1" x="20"/>
        <item x="4"/>
        <item x="18"/>
        <item m="1" x="35"/>
        <item x="14"/>
        <item m="1" x="24"/>
        <item x="17"/>
        <item x="6"/>
        <item x="19"/>
        <item m="1" x="40"/>
        <item m="1" x="38"/>
        <item m="1" x="39"/>
        <item m="1" x="23"/>
        <item m="1" x="45"/>
        <item x="11"/>
        <item m="1" x="27"/>
        <item m="1" x="44"/>
        <item m="1" x="36"/>
        <item m="1" x="30"/>
        <item x="5"/>
        <item x="15"/>
        <item x="12"/>
      </items>
    </pivotField>
    <pivotField axis="axisRow" compact="0" outline="0" showAll="0" defaultSubtotal="0">
      <items count="42">
        <item m="1" x="33"/>
        <item m="1" x="35"/>
        <item m="1" x="29"/>
        <item m="1" x="22"/>
        <item m="1" x="37"/>
        <item m="1" x="25"/>
        <item x="7"/>
        <item m="1" x="27"/>
        <item x="9"/>
        <item x="8"/>
        <item m="1" x="26"/>
        <item x="15"/>
        <item x="6"/>
        <item x="3"/>
        <item x="14"/>
        <item x="0"/>
        <item m="1" x="40"/>
        <item x="1"/>
        <item x="5"/>
        <item m="1" x="38"/>
        <item m="1" x="20"/>
        <item x="4"/>
        <item x="11"/>
        <item x="2"/>
        <item m="1" x="32"/>
        <item x="18"/>
        <item m="1" x="28"/>
        <item m="1" x="21"/>
        <item m="1" x="24"/>
        <item x="17"/>
        <item x="19"/>
        <item m="1" x="39"/>
        <item m="1" x="34"/>
        <item m="1" x="23"/>
        <item m="1" x="41"/>
        <item m="1" x="36"/>
        <item x="12"/>
        <item m="1" x="31"/>
        <item m="1" x="30"/>
        <item x="16"/>
        <item x="13"/>
        <item x="10"/>
      </items>
    </pivotField>
    <pivotField axis="axisRow" compact="0" outline="0" showAll="0" defaultSubtotal="0">
      <items count="42">
        <item m="1" x="28"/>
        <item m="1" x="19"/>
        <item m="1" x="20"/>
        <item m="1" x="26"/>
        <item m="1" x="36"/>
        <item m="1" x="22"/>
        <item x="2"/>
        <item x="17"/>
        <item m="1" x="41"/>
        <item m="1" x="27"/>
        <item x="0"/>
        <item m="1" x="25"/>
        <item x="4"/>
        <item m="1" x="33"/>
        <item x="13"/>
        <item m="1" x="21"/>
        <item x="9"/>
        <item m="1" x="32"/>
        <item x="7"/>
        <item x="5"/>
        <item x="1"/>
        <item x="3"/>
        <item m="1" x="37"/>
        <item m="1" x="38"/>
        <item m="1" x="29"/>
        <item x="10"/>
        <item x="16"/>
        <item x="14"/>
        <item x="8"/>
        <item m="1" x="24"/>
        <item x="6"/>
        <item x="18"/>
        <item m="1" x="31"/>
        <item m="1" x="30"/>
        <item m="1" x="23"/>
        <item m="1" x="40"/>
        <item x="11"/>
        <item m="1" x="39"/>
        <item m="1" x="34"/>
        <item m="1" x="35"/>
        <item x="15"/>
        <item x="12"/>
      </items>
    </pivotField>
    <pivotField axis="axisRow" compact="0" outline="0" showAll="0" defaultSubtotal="0">
      <items count="41">
        <item m="1" x="21"/>
        <item x="8"/>
        <item m="1" x="39"/>
        <item m="1" x="35"/>
        <item x="9"/>
        <item x="16"/>
        <item x="1"/>
        <item m="1" x="29"/>
        <item x="6"/>
        <item m="1" x="36"/>
        <item x="2"/>
        <item x="3"/>
        <item x="10"/>
        <item m="1" x="19"/>
        <item x="5"/>
        <item m="1" x="20"/>
        <item x="7"/>
        <item m="1" x="23"/>
        <item m="1" x="28"/>
        <item m="1" x="33"/>
        <item m="1" x="26"/>
        <item m="1" x="38"/>
        <item x="14"/>
        <item x="13"/>
        <item x="0"/>
        <item x="4"/>
        <item x="17"/>
        <item m="1" x="34"/>
        <item m="1" x="37"/>
        <item m="1" x="22"/>
        <item m="1" x="27"/>
        <item x="18"/>
        <item m="1" x="25"/>
        <item m="1" x="30"/>
        <item m="1" x="31"/>
        <item x="11"/>
        <item m="1" x="40"/>
        <item m="1" x="24"/>
        <item m="1" x="32"/>
        <item x="15"/>
        <item x="12"/>
      </items>
    </pivotField>
    <pivotField axis="axisRow" compact="0" outline="0" showAll="0" defaultSubtotal="0">
      <items count="23">
        <item x="3"/>
        <item m="1" x="16"/>
        <item m="1" x="15"/>
        <item x="2"/>
        <item x="6"/>
        <item x="0"/>
        <item x="1"/>
        <item m="1" x="11"/>
        <item x="8"/>
        <item x="4"/>
        <item x="7"/>
        <item m="1" x="19"/>
        <item m="1" x="20"/>
        <item x="5"/>
        <item m="1" x="17"/>
        <item m="1" x="18"/>
        <item m="1" x="21"/>
        <item m="1" x="10"/>
        <item x="9"/>
        <item m="1" x="22"/>
        <item m="1" x="14"/>
        <item m="1" x="12"/>
        <item m="1" x="13"/>
      </items>
    </pivotField>
    <pivotField axis="axisRow" compact="0" outline="0" showAll="0" defaultSubtotal="0">
      <items count="41">
        <item m="1" x="20"/>
        <item m="1" x="35"/>
        <item x="9"/>
        <item m="1" x="21"/>
        <item m="1" x="27"/>
        <item x="15"/>
        <item x="16"/>
        <item x="3"/>
        <item m="1" x="30"/>
        <item x="0"/>
        <item x="2"/>
        <item x="7"/>
        <item m="1" x="25"/>
        <item x="1"/>
        <item m="1" x="29"/>
        <item m="1" x="38"/>
        <item m="1" x="33"/>
        <item m="1" x="32"/>
        <item x="10"/>
        <item m="1" x="22"/>
        <item x="4"/>
        <item m="1" x="39"/>
        <item m="1" x="17"/>
        <item m="1" x="18"/>
        <item x="6"/>
        <item x="5"/>
        <item m="1" x="19"/>
        <item m="1" x="40"/>
        <item m="1" x="24"/>
        <item x="12"/>
        <item m="1" x="31"/>
        <item x="13"/>
        <item m="1" x="23"/>
        <item m="1" x="37"/>
        <item m="1" x="28"/>
        <item m="1" x="26"/>
        <item m="1" x="36"/>
        <item m="1" x="34"/>
        <item x="11"/>
        <item x="8"/>
        <item x="14"/>
      </items>
    </pivotField>
    <pivotField compact="0" outline="0" showAll="0" defaultSubtotal="0"/>
    <pivotField compact="0" outline="0" showAll="0"/>
    <pivotField axis="axisRow" compact="0" outline="0" showAll="0" defaultSubtotal="0">
      <items count="33">
        <item m="1" x="22"/>
        <item x="4"/>
        <item x="1"/>
        <item x="3"/>
        <item x="7"/>
        <item x="2"/>
        <item x="10"/>
        <item x="0"/>
        <item x="9"/>
        <item m="1" x="13"/>
        <item m="1" x="14"/>
        <item m="1" x="15"/>
        <item m="1" x="19"/>
        <item x="5"/>
        <item m="1" x="11"/>
        <item m="1" x="26"/>
        <item m="1" x="21"/>
        <item m="1" x="18"/>
        <item m="1" x="29"/>
        <item m="1" x="20"/>
        <item m="1" x="24"/>
        <item x="8"/>
        <item m="1" x="23"/>
        <item m="1" x="31"/>
        <item m="1" x="25"/>
        <item m="1" x="28"/>
        <item m="1" x="12"/>
        <item m="1" x="30"/>
        <item m="1" x="32"/>
        <item m="1" x="27"/>
        <item m="1" x="17"/>
        <item m="1" x="16"/>
        <item x="6"/>
      </items>
    </pivotField>
    <pivotField axis="axisRow" compact="0" outline="0" showAll="0" defaultSubtotal="0">
      <items count="22">
        <item x="3"/>
        <item x="1"/>
        <item x="2"/>
        <item x="0"/>
        <item x="7"/>
        <item m="1" x="16"/>
        <item x="4"/>
        <item m="1" x="8"/>
        <item m="1" x="12"/>
        <item x="6"/>
        <item m="1" x="21"/>
        <item m="1" x="19"/>
        <item m="1" x="20"/>
        <item m="1" x="13"/>
        <item m="1" x="15"/>
        <item m="1" x="11"/>
        <item m="1" x="9"/>
        <item m="1" x="10"/>
        <item m="1" x="18"/>
        <item m="1" x="14"/>
        <item m="1" x="17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8">
        <item x="0"/>
        <item m="1" x="6"/>
        <item x="1"/>
        <item x="2"/>
        <item x="5"/>
        <item m="1" x="7"/>
        <item x="4"/>
        <item x="3"/>
      </items>
    </pivotField>
    <pivotField compact="0" outline="0" showAll="0"/>
    <pivotField axis="axisRow" compact="0" outline="0" showAll="0" defaultSubtotal="0">
      <items count="3">
        <item m="1"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1">
    <field x="0"/>
    <field x="8"/>
    <field x="9"/>
    <field x="10"/>
    <field x="11"/>
    <field x="12"/>
    <field x="13"/>
    <field x="16"/>
    <field x="17"/>
    <field x="39"/>
    <field x="41"/>
  </rowFields>
  <rowItems count="26">
    <i>
      <x/>
      <x v="13"/>
      <x v="15"/>
      <x v="10"/>
      <x v="24"/>
      <x v="5"/>
      <x v="9"/>
      <x v="7"/>
      <x v="3"/>
      <x/>
      <x v="1"/>
    </i>
    <i>
      <x v="7"/>
      <x v="21"/>
      <x v="17"/>
      <x v="20"/>
      <x v="6"/>
      <x v="6"/>
      <x v="13"/>
      <x v="2"/>
      <x v="1"/>
      <x/>
      <x v="1"/>
    </i>
    <i>
      <x v="8"/>
      <x v="21"/>
      <x v="17"/>
      <x v="20"/>
      <x v="6"/>
      <x v="6"/>
      <x v="13"/>
      <x v="5"/>
      <x v="3"/>
      <x/>
      <x v="1"/>
    </i>
    <i>
      <x v="9"/>
      <x v="23"/>
      <x v="23"/>
      <x v="6"/>
      <x v="10"/>
      <x v="3"/>
      <x v="10"/>
      <x v="3"/>
      <x v="2"/>
      <x/>
      <x v="1"/>
    </i>
    <i>
      <x v="10"/>
      <x v="18"/>
      <x v="13"/>
      <x v="21"/>
      <x v="11"/>
      <x/>
      <x v="7"/>
      <x v="5"/>
      <x v="2"/>
      <x/>
      <x v="2"/>
    </i>
    <i>
      <x v="14"/>
      <x v="25"/>
      <x v="21"/>
      <x v="12"/>
      <x v="25"/>
      <x v="5"/>
      <x v="20"/>
      <x v="5"/>
      <x v="2"/>
      <x/>
      <x v="1"/>
    </i>
    <i>
      <x v="16"/>
      <x v="43"/>
      <x v="18"/>
      <x v="19"/>
      <x v="14"/>
      <x v="9"/>
      <x v="25"/>
      <x v="1"/>
      <x/>
      <x/>
      <x v="2"/>
    </i>
    <i>
      <x v="18"/>
      <x v="31"/>
      <x v="12"/>
      <x v="30"/>
      <x v="8"/>
      <x v="6"/>
      <x v="24"/>
      <x v="3"/>
      <x v="1"/>
      <x v="2"/>
      <x v="1"/>
    </i>
    <i>
      <x v="21"/>
      <x v="5"/>
      <x v="6"/>
      <x v="18"/>
      <x v="16"/>
      <x v="13"/>
      <x v="11"/>
      <x v="1"/>
      <x/>
      <x v="3"/>
      <x v="1"/>
    </i>
    <i>
      <x v="23"/>
      <x v="20"/>
      <x v="9"/>
      <x v="28"/>
      <x v="1"/>
      <x v="4"/>
      <x v="39"/>
      <x v="13"/>
      <x v="6"/>
      <x/>
      <x v="2"/>
    </i>
    <i>
      <x v="24"/>
      <x v="20"/>
      <x v="9"/>
      <x v="28"/>
      <x v="1"/>
      <x v="4"/>
      <x v="39"/>
      <x v="32"/>
      <x v="21"/>
      <x/>
      <x v="2"/>
    </i>
    <i>
      <x v="26"/>
      <x v="12"/>
      <x v="8"/>
      <x v="16"/>
      <x v="4"/>
      <x v="10"/>
      <x v="2"/>
      <x v="5"/>
      <x v="3"/>
      <x/>
      <x v="1"/>
    </i>
    <i>
      <x v="29"/>
      <x v="14"/>
      <x v="22"/>
      <x v="25"/>
      <x v="12"/>
      <x v="9"/>
      <x v="18"/>
      <x v="5"/>
      <x v="2"/>
      <x/>
      <x v="2"/>
    </i>
    <i>
      <x v="31"/>
      <x v="38"/>
      <x v="36"/>
      <x v="36"/>
      <x v="35"/>
      <x v="9"/>
      <x v="38"/>
      <x v="4"/>
      <x v="9"/>
      <x v="7"/>
      <x v="2"/>
    </i>
    <i>
      <x v="32"/>
      <x v="43"/>
      <x v="41"/>
      <x v="19"/>
      <x v="14"/>
      <x v="9"/>
      <x v="25"/>
      <x v="4"/>
      <x v="2"/>
      <x/>
      <x v="2"/>
    </i>
    <i>
      <x v="35"/>
      <x v="45"/>
      <x v="40"/>
      <x v="41"/>
      <x v="40"/>
      <x v="10"/>
      <x v="29"/>
      <x v="21"/>
      <x v="9"/>
      <x v="7"/>
      <x v="2"/>
    </i>
    <i>
      <x v="36"/>
      <x v="45"/>
      <x v="40"/>
      <x v="41"/>
      <x v="40"/>
      <x v="10"/>
      <x v="29"/>
      <x v="21"/>
      <x v="9"/>
      <x v="7"/>
      <x v="2"/>
    </i>
    <i>
      <x v="40"/>
      <x/>
      <x v="14"/>
      <x v="14"/>
      <x v="23"/>
      <x v="5"/>
      <x v="31"/>
      <x v="2"/>
      <x v="1"/>
      <x/>
      <x v="1"/>
    </i>
    <i>
      <x v="41"/>
      <x v="44"/>
      <x v="39"/>
      <x v="40"/>
      <x v="39"/>
      <x v="5"/>
      <x v="40"/>
      <x v="1"/>
      <x v="9"/>
      <x v="7"/>
      <x v="1"/>
    </i>
    <i>
      <x v="42"/>
      <x v="44"/>
      <x v="39"/>
      <x v="40"/>
      <x v="39"/>
      <x v="5"/>
      <x v="40"/>
      <x v="3"/>
      <x v="9"/>
      <x v="7"/>
      <x v="1"/>
    </i>
    <i>
      <x v="43"/>
      <x v="28"/>
      <x v="11"/>
      <x v="27"/>
      <x v="22"/>
      <x v="5"/>
      <x v="29"/>
      <x v="8"/>
      <x v="4"/>
      <x v="6"/>
      <x v="2"/>
    </i>
    <i>
      <x v="44"/>
      <x v="9"/>
      <x v="11"/>
      <x v="27"/>
      <x v="22"/>
      <x v="5"/>
      <x v="29"/>
      <x v="1"/>
      <x/>
      <x v="4"/>
      <x v="2"/>
    </i>
    <i>
      <x v="50"/>
      <x v="30"/>
      <x v="29"/>
      <x v="26"/>
      <x v="5"/>
      <x v="10"/>
      <x v="5"/>
      <x v="4"/>
      <x v="2"/>
      <x/>
      <x v="2"/>
    </i>
    <i>
      <x v="54"/>
      <x v="28"/>
      <x v="11"/>
      <x v="27"/>
      <x v="22"/>
      <x v="5"/>
      <x v="29"/>
      <x v="4"/>
      <x v="2"/>
      <x v="7"/>
      <x v="2"/>
    </i>
    <i>
      <x v="55"/>
      <x v="28"/>
      <x v="11"/>
      <x v="27"/>
      <x v="22"/>
      <x v="5"/>
      <x v="29"/>
      <x v="5"/>
      <x v="2"/>
      <x v="7"/>
      <x v="2"/>
    </i>
    <i>
      <x v="57"/>
      <x v="26"/>
      <x v="25"/>
      <x v="7"/>
      <x v="26"/>
      <x v="8"/>
      <x v="6"/>
      <x v="6"/>
      <x v="3"/>
      <x/>
      <x v="1"/>
    </i>
  </rowItems>
  <colItems count="1">
    <i/>
  </colItems>
  <dataFields count="1">
    <dataField name="Som van Huur p/m " fld="4" baseField="3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Draaitabel1" cacheId="0" applyNumberFormats="0" applyBorderFormats="0" applyFontFormats="0" applyPatternFormats="0" applyAlignmentFormats="0" applyWidthHeightFormats="1" dataCaption="Waarden" updatedVersion="7" minRefreshableVersion="3" useAutoFormatting="1" pageOverThenDown="1" itemPrintTitles="1" createdVersion="6" indent="0" outline="1" outlineData="1" multipleFieldFilters="0">
  <location ref="A3:C43" firstHeaderRow="1" firstDataRow="1" firstDataCol="3"/>
  <pivotFields count="37">
    <pivotField axis="axisRow" outline="0" showAll="0" defaultSubtotal="0">
      <items count="45">
        <item x="0"/>
        <item x="1"/>
        <item x="2"/>
        <item m="1" x="40"/>
        <item x="3"/>
        <item x="4"/>
        <item x="5"/>
        <item x="6"/>
        <item x="7"/>
        <item x="8"/>
        <item x="9"/>
        <item x="10"/>
        <item x="12"/>
        <item x="13"/>
        <item x="14"/>
        <item x="16"/>
        <item x="15"/>
        <item x="17"/>
        <item x="19"/>
        <item x="20"/>
        <item x="18"/>
        <item x="27"/>
        <item x="28"/>
        <item x="29"/>
        <item x="30"/>
        <item x="31"/>
        <item x="34"/>
        <item x="35"/>
        <item x="36"/>
        <item x="37"/>
        <item x="38"/>
        <item m="1" x="42"/>
        <item m="1" x="43"/>
        <item m="1" x="44"/>
        <item m="1" x="39"/>
        <item m="1" x="41"/>
        <item x="32"/>
        <item x="33"/>
        <item x="11"/>
        <item x="21"/>
        <item x="22"/>
        <item x="23"/>
        <item x="24"/>
        <item x="25"/>
        <item x="26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8">
        <item x="0"/>
        <item x="7"/>
        <item x="6"/>
        <item x="5"/>
        <item x="3"/>
        <item x="1"/>
        <item x="4"/>
        <item x="2"/>
      </items>
    </pivotField>
    <pivotField showAll="0"/>
    <pivotField axis="axisRow" outline="0" showAll="0" defaultSubtotal="0">
      <items count="24">
        <item m="1" x="21"/>
        <item m="1" x="20"/>
        <item m="1" x="18"/>
        <item x="6"/>
        <item x="5"/>
        <item x="15"/>
        <item n="1x 1300ltr / woensdag en vrijdag" x="16"/>
        <item x="13"/>
        <item x="12"/>
        <item x="9"/>
        <item x="3"/>
        <item x="11"/>
        <item x="14"/>
        <item x="4"/>
        <item x="1"/>
        <item x="10"/>
        <item x="7"/>
        <item x="0"/>
        <item x="2"/>
        <item m="1" x="23"/>
        <item m="1" x="22"/>
        <item m="1" x="17"/>
        <item m="1" x="19"/>
        <item x="8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6"/>
    <field x="28"/>
  </rowFields>
  <rowItems count="40">
    <i>
      <x/>
      <x/>
      <x v="17"/>
    </i>
    <i>
      <x v="1"/>
      <x v="5"/>
      <x v="14"/>
    </i>
    <i>
      <x v="2"/>
      <x v="7"/>
      <x v="18"/>
    </i>
    <i>
      <x v="4"/>
      <x v="4"/>
      <x v="10"/>
    </i>
    <i>
      <x v="5"/>
      <x v="7"/>
      <x v="18"/>
    </i>
    <i>
      <x v="6"/>
      <x v="6"/>
      <x v="13"/>
    </i>
    <i>
      <x v="7"/>
      <x v="4"/>
      <x v="4"/>
    </i>
    <i>
      <x v="8"/>
      <x/>
      <x v="17"/>
    </i>
    <i>
      <x v="9"/>
      <x v="7"/>
      <x v="18"/>
    </i>
    <i>
      <x v="10"/>
      <x v="5"/>
      <x v="3"/>
    </i>
    <i>
      <x v="11"/>
      <x/>
      <x v="16"/>
    </i>
    <i>
      <x v="12"/>
      <x v="4"/>
      <x v="23"/>
    </i>
    <i>
      <x v="13"/>
      <x v="3"/>
      <x v="18"/>
    </i>
    <i>
      <x v="14"/>
      <x v="3"/>
      <x v="18"/>
    </i>
    <i>
      <x v="15"/>
      <x v="3"/>
      <x v="18"/>
    </i>
    <i>
      <x v="16"/>
      <x v="3"/>
      <x v="18"/>
    </i>
    <i>
      <x v="17"/>
      <x v="5"/>
      <x v="9"/>
    </i>
    <i>
      <x v="18"/>
      <x v="5"/>
      <x v="11"/>
    </i>
    <i>
      <x v="19"/>
      <x v="5"/>
      <x v="8"/>
    </i>
    <i>
      <x v="20"/>
      <x v="2"/>
      <x v="15"/>
    </i>
    <i>
      <x v="21"/>
      <x v="1"/>
      <x v="17"/>
    </i>
    <i>
      <x v="22"/>
      <x/>
      <x v="18"/>
    </i>
    <i>
      <x v="23"/>
      <x v="4"/>
      <x v="7"/>
    </i>
    <i>
      <x v="24"/>
      <x/>
      <x v="18"/>
    </i>
    <i>
      <x v="25"/>
      <x v="2"/>
      <x v="12"/>
    </i>
    <i>
      <x v="26"/>
      <x v="5"/>
      <x v="9"/>
    </i>
    <i>
      <x v="27"/>
      <x v="5"/>
      <x v="5"/>
    </i>
    <i>
      <x v="28"/>
      <x v="7"/>
      <x v="18"/>
    </i>
    <i>
      <x v="29"/>
      <x v="7"/>
      <x v="18"/>
    </i>
    <i>
      <x v="30"/>
      <x v="4"/>
      <x v="6"/>
    </i>
    <i>
      <x v="36"/>
      <x v="7"/>
      <x v="18"/>
    </i>
    <i>
      <x v="37"/>
      <x v="7"/>
      <x v="18"/>
    </i>
    <i>
      <x v="38"/>
      <x v="4"/>
      <x v="18"/>
    </i>
    <i>
      <x v="39"/>
      <x v="7"/>
      <x v="18"/>
    </i>
    <i>
      <x v="40"/>
      <x v="7"/>
      <x v="18"/>
    </i>
    <i>
      <x v="41"/>
      <x v="7"/>
      <x v="18"/>
    </i>
    <i>
      <x v="42"/>
      <x v="7"/>
      <x v="18"/>
    </i>
    <i>
      <x v="43"/>
      <x v="7"/>
      <x v="18"/>
    </i>
    <i>
      <x v="44"/>
      <x v="7"/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Draaitabel1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6" indent="0" outline="1" outlineData="1" multipleFieldFilters="0">
  <location ref="A3:A31" firstHeaderRow="1" firstDataRow="1" firstDataCol="1"/>
  <pivotFields count="47">
    <pivotField axis="axisRow" showAll="0">
      <items count="65">
        <item x="0"/>
        <item m="1" x="50"/>
        <item m="1" x="27"/>
        <item m="1" x="28"/>
        <item m="1" x="45"/>
        <item x="1"/>
        <item x="2"/>
        <item x="3"/>
        <item x="4"/>
        <item m="1" x="52"/>
        <item m="1" x="57"/>
        <item m="1" x="41"/>
        <item x="6"/>
        <item m="1" x="34"/>
        <item x="7"/>
        <item m="1" x="62"/>
        <item x="8"/>
        <item m="1" x="29"/>
        <item x="9"/>
        <item x="10"/>
        <item m="1" x="40"/>
        <item x="11"/>
        <item m="1" x="56"/>
        <item m="1" x="63"/>
        <item x="13"/>
        <item m="1" x="35"/>
        <item x="12"/>
        <item m="1" x="59"/>
        <item m="1" x="31"/>
        <item m="1" x="44"/>
        <item m="1" x="51"/>
        <item x="17"/>
        <item x="18"/>
        <item x="21"/>
        <item m="1" x="33"/>
        <item m="1" x="55"/>
        <item x="22"/>
        <item m="1" x="48"/>
        <item m="1" x="32"/>
        <item x="23"/>
        <item x="24"/>
        <item m="1" x="39"/>
        <item x="25"/>
        <item m="1" x="46"/>
        <item m="1" x="53"/>
        <item m="1" x="58"/>
        <item m="1" x="47"/>
        <item x="26"/>
        <item m="1" x="42"/>
        <item m="1" x="60"/>
        <item x="14"/>
        <item m="1" x="49"/>
        <item m="1" x="38"/>
        <item m="1" x="61"/>
        <item m="1" x="43"/>
        <item m="1" x="54"/>
        <item m="1" x="36"/>
        <item m="1" x="37"/>
        <item m="1" x="30"/>
        <item x="5"/>
        <item x="19"/>
        <item x="20"/>
        <item x="16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/>
    </i>
    <i>
      <x v="5"/>
    </i>
    <i>
      <x v="6"/>
    </i>
    <i>
      <x v="7"/>
    </i>
    <i>
      <x v="8"/>
    </i>
    <i>
      <x v="12"/>
    </i>
    <i>
      <x v="14"/>
    </i>
    <i>
      <x v="16"/>
    </i>
    <i>
      <x v="18"/>
    </i>
    <i>
      <x v="19"/>
    </i>
    <i>
      <x v="21"/>
    </i>
    <i>
      <x v="24"/>
    </i>
    <i>
      <x v="26"/>
    </i>
    <i>
      <x v="31"/>
    </i>
    <i>
      <x v="32"/>
    </i>
    <i>
      <x v="33"/>
    </i>
    <i>
      <x v="36"/>
    </i>
    <i>
      <x v="39"/>
    </i>
    <i>
      <x v="40"/>
    </i>
    <i>
      <x v="42"/>
    </i>
    <i>
      <x v="47"/>
    </i>
    <i>
      <x v="50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dem3@caiway.nl" TargetMode="External"/><Relationship Id="rId3" Type="http://schemas.openxmlformats.org/officeDocument/2006/relationships/hyperlink" Target="mailto:bas.vanbergen@aubvanbergen.nl" TargetMode="External"/><Relationship Id="rId7" Type="http://schemas.openxmlformats.org/officeDocument/2006/relationships/hyperlink" Target="mailto:piet@pietvijverberg.nl" TargetMode="External"/><Relationship Id="rId12" Type="http://schemas.openxmlformats.org/officeDocument/2006/relationships/comments" Target="../comments1.xml"/><Relationship Id="rId2" Type="http://schemas.openxmlformats.org/officeDocument/2006/relationships/hyperlink" Target="mailto:goos@hoflandfloweringplants.nl" TargetMode="External"/><Relationship Id="rId1" Type="http://schemas.openxmlformats.org/officeDocument/2006/relationships/hyperlink" Target="mailto:info@jsvink.nl" TargetMode="External"/><Relationship Id="rId6" Type="http://schemas.openxmlformats.org/officeDocument/2006/relationships/hyperlink" Target="mailto:janmul54@gmail.com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mailto:piet@pietvijverberg.n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bas.vanbergen@aubvanbergen.nl" TargetMode="External"/><Relationship Id="rId9" Type="http://schemas.openxmlformats.org/officeDocument/2006/relationships/hyperlink" Target="mailto:endem3@caiway.n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vastgoed@milieuservice.nl" TargetMode="External"/><Relationship Id="rId1" Type="http://schemas.openxmlformats.org/officeDocument/2006/relationships/hyperlink" Target="http://www.evides.nl/storingen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AUBpd123!@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1:AV27"/>
  <sheetViews>
    <sheetView tabSelected="1" zoomScale="80" zoomScaleNormal="80" workbookViewId="0">
      <pane xSplit="5" ySplit="1" topLeftCell="F2" activePane="bottomRight" state="frozen"/>
      <selection activeCell="B57" sqref="B57"/>
      <selection pane="topRight" activeCell="B57" sqref="B57"/>
      <selection pane="bottomLeft" activeCell="B57" sqref="B57"/>
      <selection pane="bottomRight" sqref="A1:A23"/>
    </sheetView>
  </sheetViews>
  <sheetFormatPr baseColWidth="10" defaultColWidth="8.83203125" defaultRowHeight="15" x14ac:dyDescent="0.2"/>
  <cols>
    <col min="2" max="2" width="48" bestFit="1" customWidth="1"/>
    <col min="3" max="4" width="14.33203125" style="3" customWidth="1"/>
    <col min="5" max="5" width="12.5" style="3" customWidth="1"/>
    <col min="6" max="6" width="14.33203125" style="4" customWidth="1"/>
    <col min="7" max="7" width="19.6640625" style="4" hidden="1" customWidth="1"/>
    <col min="8" max="8" width="9.1640625" style="3" hidden="1" customWidth="1"/>
    <col min="9" max="9" width="7" style="5" hidden="1" customWidth="1"/>
    <col min="10" max="10" width="45.6640625" customWidth="1"/>
    <col min="11" max="11" width="25.6640625" customWidth="1"/>
    <col min="12" max="12" width="32.5" customWidth="1"/>
    <col min="13" max="13" width="14" customWidth="1"/>
    <col min="14" max="14" width="24.33203125" customWidth="1"/>
    <col min="15" max="15" width="36" customWidth="1"/>
    <col min="16" max="16" width="60.5" bestFit="1" customWidth="1"/>
    <col min="17" max="17" width="28.1640625" customWidth="1"/>
    <col min="18" max="18" width="10.5" style="8" customWidth="1"/>
    <col min="19" max="19" width="10.33203125" style="3" customWidth="1"/>
    <col min="20" max="20" width="12.83203125" customWidth="1"/>
    <col min="21" max="21" width="15.5" customWidth="1"/>
    <col min="22" max="23" width="20.6640625" style="5" customWidth="1"/>
    <col min="24" max="24" width="12.6640625" style="146" customWidth="1"/>
    <col min="25" max="26" width="20.6640625" style="153" customWidth="1"/>
    <col min="27" max="29" width="12.6640625" style="146" customWidth="1"/>
    <col min="30" max="30" width="20.6640625" style="153" customWidth="1"/>
    <col min="31" max="31" width="20.6640625" style="5" customWidth="1"/>
    <col min="32" max="32" width="14.1640625" style="5" customWidth="1"/>
    <col min="33" max="33" width="25.6640625" style="5" customWidth="1"/>
    <col min="34" max="34" width="24.5" style="5" customWidth="1"/>
    <col min="35" max="37" width="25.5" style="149" customWidth="1"/>
    <col min="38" max="38" width="18" style="3" customWidth="1"/>
    <col min="39" max="39" width="18" style="4" customWidth="1"/>
    <col min="40" max="40" width="102.83203125" style="3" bestFit="1" customWidth="1"/>
    <col min="41" max="41" width="15.1640625" style="3" customWidth="1"/>
    <col min="42" max="42" width="15.1640625" style="150" customWidth="1"/>
    <col min="43" max="43" width="19.83203125" style="5" bestFit="1" customWidth="1"/>
    <col min="44" max="44" width="13.5" style="4" bestFit="1" customWidth="1"/>
    <col min="45" max="45" width="18.6640625" bestFit="1" customWidth="1"/>
    <col min="46" max="46" width="30.5" customWidth="1"/>
    <col min="47" max="47" width="21.83203125" bestFit="1" customWidth="1"/>
    <col min="48" max="48" width="34.1640625" bestFit="1" customWidth="1"/>
  </cols>
  <sheetData>
    <row r="1" spans="1:48" s="1" customFormat="1" x14ac:dyDescent="0.2">
      <c r="A1" s="1" t="s">
        <v>847</v>
      </c>
      <c r="B1" s="1" t="s">
        <v>0</v>
      </c>
      <c r="C1" s="138" t="s">
        <v>20</v>
      </c>
      <c r="D1" s="138" t="s">
        <v>638</v>
      </c>
      <c r="E1" s="138" t="s">
        <v>21</v>
      </c>
      <c r="F1" s="139" t="s">
        <v>22</v>
      </c>
      <c r="G1" s="139" t="s">
        <v>335</v>
      </c>
      <c r="H1" s="138" t="s">
        <v>321</v>
      </c>
      <c r="I1" s="21" t="s">
        <v>164</v>
      </c>
      <c r="J1" s="1" t="s">
        <v>23</v>
      </c>
      <c r="K1" s="1" t="s">
        <v>26</v>
      </c>
      <c r="L1" s="1" t="s">
        <v>24</v>
      </c>
      <c r="M1" s="1" t="s">
        <v>20</v>
      </c>
      <c r="N1" s="1" t="s">
        <v>25</v>
      </c>
      <c r="O1" s="1" t="s">
        <v>27</v>
      </c>
      <c r="P1" s="1" t="s">
        <v>28</v>
      </c>
      <c r="Q1" s="1" t="s">
        <v>29</v>
      </c>
      <c r="R1" s="140" t="s">
        <v>114</v>
      </c>
      <c r="S1" s="138" t="s">
        <v>115</v>
      </c>
      <c r="T1" s="1" t="s">
        <v>1</v>
      </c>
      <c r="U1" s="1" t="s">
        <v>2</v>
      </c>
      <c r="V1" s="21" t="s">
        <v>616</v>
      </c>
      <c r="W1" s="141" t="s">
        <v>618</v>
      </c>
      <c r="X1" s="142" t="s">
        <v>681</v>
      </c>
      <c r="Y1" s="21" t="s">
        <v>617</v>
      </c>
      <c r="Z1" s="141" t="s">
        <v>619</v>
      </c>
      <c r="AA1" s="142" t="s">
        <v>684</v>
      </c>
      <c r="AB1" s="142" t="s">
        <v>682</v>
      </c>
      <c r="AC1" s="142" t="s">
        <v>683</v>
      </c>
      <c r="AD1" s="141" t="s">
        <v>620</v>
      </c>
      <c r="AE1" s="21" t="s">
        <v>624</v>
      </c>
      <c r="AF1" s="21" t="s">
        <v>462</v>
      </c>
      <c r="AG1" s="21" t="s">
        <v>688</v>
      </c>
      <c r="AH1" s="21" t="s">
        <v>463</v>
      </c>
      <c r="AI1" s="143" t="s">
        <v>627</v>
      </c>
      <c r="AJ1" s="143" t="s">
        <v>336</v>
      </c>
      <c r="AK1" s="143" t="s">
        <v>342</v>
      </c>
      <c r="AL1" s="138" t="s">
        <v>338</v>
      </c>
      <c r="AM1" s="139" t="s">
        <v>339</v>
      </c>
      <c r="AN1" s="138" t="s">
        <v>106</v>
      </c>
      <c r="AO1" s="138" t="s">
        <v>341</v>
      </c>
      <c r="AP1" s="144" t="s">
        <v>340</v>
      </c>
      <c r="AQ1" s="21" t="s">
        <v>7</v>
      </c>
      <c r="AR1" s="139" t="s">
        <v>8</v>
      </c>
      <c r="AS1" s="1" t="s">
        <v>85</v>
      </c>
      <c r="AT1" s="1" t="s">
        <v>86</v>
      </c>
      <c r="AU1" s="1" t="s">
        <v>87</v>
      </c>
      <c r="AV1" s="1" t="s">
        <v>180</v>
      </c>
    </row>
    <row r="2" spans="1:48" x14ac:dyDescent="0.2">
      <c r="A2" s="3">
        <v>280</v>
      </c>
      <c r="B2" t="s">
        <v>823</v>
      </c>
      <c r="C2" s="3" t="s">
        <v>30</v>
      </c>
      <c r="D2" s="3" t="s">
        <v>637</v>
      </c>
      <c r="E2" s="3" t="s">
        <v>38</v>
      </c>
      <c r="F2" s="4">
        <v>1375</v>
      </c>
      <c r="G2" s="4">
        <v>119</v>
      </c>
      <c r="H2" s="3" t="s">
        <v>53</v>
      </c>
      <c r="J2" t="s">
        <v>67</v>
      </c>
      <c r="K2" t="s">
        <v>67</v>
      </c>
      <c r="L2" t="s">
        <v>809</v>
      </c>
      <c r="M2" t="s">
        <v>810</v>
      </c>
      <c r="N2" t="s">
        <v>59</v>
      </c>
      <c r="O2" t="s">
        <v>71</v>
      </c>
      <c r="P2" s="145" t="s">
        <v>70</v>
      </c>
      <c r="Q2" s="3" t="s">
        <v>811</v>
      </c>
      <c r="R2" s="3">
        <v>5</v>
      </c>
      <c r="S2" s="3">
        <v>3</v>
      </c>
      <c r="T2" t="s">
        <v>3</v>
      </c>
      <c r="U2" t="s">
        <v>3</v>
      </c>
      <c r="V2" s="5" t="s">
        <v>612</v>
      </c>
      <c r="W2" s="5" t="s">
        <v>549</v>
      </c>
      <c r="X2" s="146">
        <v>1.46</v>
      </c>
      <c r="Y2" s="5" t="s">
        <v>612</v>
      </c>
      <c r="Z2" s="5" t="s">
        <v>549</v>
      </c>
      <c r="AA2" s="146">
        <v>0</v>
      </c>
      <c r="AB2" s="147">
        <v>0.1145</v>
      </c>
      <c r="AC2" s="147">
        <v>0.11013000000000001</v>
      </c>
      <c r="AD2" s="5" t="s">
        <v>614</v>
      </c>
      <c r="AE2" s="5" t="s">
        <v>621</v>
      </c>
      <c r="AF2" s="5">
        <v>4</v>
      </c>
      <c r="AG2" s="148">
        <v>44835</v>
      </c>
      <c r="AH2" s="148">
        <v>46082</v>
      </c>
      <c r="AI2" s="149">
        <f>10.97+13.65+25.39+25.32+47.09</f>
        <v>122.42000000000002</v>
      </c>
      <c r="AJ2" s="149">
        <v>0</v>
      </c>
      <c r="AK2" s="149">
        <v>66.36</v>
      </c>
      <c r="AL2" s="176" t="s">
        <v>281</v>
      </c>
      <c r="AM2" s="178">
        <v>115.76</v>
      </c>
      <c r="AN2" s="176" t="s">
        <v>310</v>
      </c>
      <c r="AO2" s="3" t="s">
        <v>109</v>
      </c>
      <c r="AP2" s="150">
        <v>79</v>
      </c>
      <c r="AQ2" s="5" t="s">
        <v>3</v>
      </c>
      <c r="AS2" s="151">
        <v>41791</v>
      </c>
      <c r="AT2" t="s">
        <v>279</v>
      </c>
      <c r="AU2" t="s">
        <v>111</v>
      </c>
    </row>
    <row r="3" spans="1:48" x14ac:dyDescent="0.2">
      <c r="A3" s="179">
        <v>281</v>
      </c>
      <c r="B3" t="s">
        <v>824</v>
      </c>
      <c r="C3" s="3" t="s">
        <v>30</v>
      </c>
      <c r="D3" s="3" t="s">
        <v>637</v>
      </c>
      <c r="E3" s="3" t="s">
        <v>39</v>
      </c>
      <c r="F3" s="4">
        <v>2625</v>
      </c>
      <c r="G3" s="4">
        <v>119</v>
      </c>
      <c r="H3" s="3" t="s">
        <v>53</v>
      </c>
      <c r="J3" t="s">
        <v>67</v>
      </c>
      <c r="K3" t="s">
        <v>67</v>
      </c>
      <c r="L3" t="s">
        <v>809</v>
      </c>
      <c r="M3" t="s">
        <v>810</v>
      </c>
      <c r="N3" t="s">
        <v>59</v>
      </c>
      <c r="O3" t="s">
        <v>71</v>
      </c>
      <c r="P3" s="145" t="s">
        <v>70</v>
      </c>
      <c r="Q3" s="3" t="s">
        <v>811</v>
      </c>
      <c r="R3" s="3">
        <v>8</v>
      </c>
      <c r="S3" s="3">
        <v>5</v>
      </c>
      <c r="T3" t="s">
        <v>3</v>
      </c>
      <c r="U3" t="s">
        <v>3</v>
      </c>
      <c r="V3" s="5" t="s">
        <v>612</v>
      </c>
      <c r="W3" s="5" t="s">
        <v>549</v>
      </c>
      <c r="X3" s="146">
        <v>1.46</v>
      </c>
      <c r="Y3" s="5" t="s">
        <v>612</v>
      </c>
      <c r="Z3" s="5" t="s">
        <v>549</v>
      </c>
      <c r="AA3" s="146">
        <v>0</v>
      </c>
      <c r="AB3" s="147">
        <v>0.1145</v>
      </c>
      <c r="AC3" s="147">
        <v>0.11013000000000001</v>
      </c>
      <c r="AD3" s="5" t="s">
        <v>614</v>
      </c>
      <c r="AE3" s="5" t="s">
        <v>621</v>
      </c>
      <c r="AF3" s="5">
        <v>4</v>
      </c>
      <c r="AG3" s="148">
        <v>44835</v>
      </c>
      <c r="AH3" s="148">
        <v>46082</v>
      </c>
      <c r="AI3" s="149">
        <f>10.97+30.1+5.04+28.1+55.98+46.04+85.64</f>
        <v>261.87</v>
      </c>
      <c r="AJ3" s="149">
        <v>0</v>
      </c>
      <c r="AK3" s="149">
        <v>66.36</v>
      </c>
      <c r="AL3" s="176"/>
      <c r="AM3" s="176"/>
      <c r="AN3" s="176"/>
      <c r="AO3" s="3" t="s">
        <v>109</v>
      </c>
      <c r="AP3" s="150">
        <v>79</v>
      </c>
      <c r="AQ3" s="5" t="s">
        <v>3</v>
      </c>
      <c r="AS3" s="151">
        <v>41791</v>
      </c>
      <c r="AT3" t="s">
        <v>279</v>
      </c>
      <c r="AU3" t="s">
        <v>111</v>
      </c>
    </row>
    <row r="4" spans="1:48" x14ac:dyDescent="0.2">
      <c r="A4" s="3">
        <v>276</v>
      </c>
      <c r="B4" t="s">
        <v>825</v>
      </c>
      <c r="C4" s="3" t="s">
        <v>183</v>
      </c>
      <c r="D4" s="3" t="s">
        <v>637</v>
      </c>
      <c r="E4" s="3">
        <v>82</v>
      </c>
      <c r="F4" s="4">
        <v>1450</v>
      </c>
      <c r="G4" s="4">
        <v>119</v>
      </c>
      <c r="H4" s="3">
        <v>5077</v>
      </c>
      <c r="J4" t="s">
        <v>202</v>
      </c>
      <c r="K4" t="s">
        <v>185</v>
      </c>
      <c r="L4" t="s">
        <v>186</v>
      </c>
      <c r="M4" t="s">
        <v>187</v>
      </c>
      <c r="N4" t="s">
        <v>92</v>
      </c>
      <c r="O4" t="s">
        <v>189</v>
      </c>
      <c r="P4" s="152" t="s">
        <v>188</v>
      </c>
      <c r="Q4" s="3" t="s">
        <v>191</v>
      </c>
      <c r="R4" s="8">
        <v>6</v>
      </c>
      <c r="S4" s="3">
        <v>4</v>
      </c>
      <c r="T4" t="s">
        <v>3</v>
      </c>
      <c r="U4" t="s">
        <v>3</v>
      </c>
      <c r="V4" s="5" t="s">
        <v>612</v>
      </c>
      <c r="W4" s="153" t="s">
        <v>549</v>
      </c>
      <c r="X4" s="146">
        <v>0.80162</v>
      </c>
      <c r="Y4" s="5" t="s">
        <v>612</v>
      </c>
      <c r="Z4" s="153" t="s">
        <v>549</v>
      </c>
      <c r="AA4" s="146">
        <v>0</v>
      </c>
      <c r="AB4" s="147">
        <v>0.29319000000000001</v>
      </c>
      <c r="AC4" s="147">
        <v>0.16794000000000001</v>
      </c>
      <c r="AD4" s="153" t="s">
        <v>614</v>
      </c>
      <c r="AE4" s="5" t="s">
        <v>621</v>
      </c>
      <c r="AF4" s="5">
        <v>4</v>
      </c>
      <c r="AG4" s="148">
        <v>44621</v>
      </c>
      <c r="AH4" s="148">
        <v>46082</v>
      </c>
      <c r="AI4" s="149">
        <f>34.33+437.42+34.58+41.63+41.63</f>
        <v>589.59</v>
      </c>
      <c r="AJ4" s="149">
        <v>0</v>
      </c>
      <c r="AK4" s="149">
        <v>36.24</v>
      </c>
      <c r="AL4" s="3" t="s">
        <v>801</v>
      </c>
      <c r="AM4" s="4">
        <f>407.55/3</f>
        <v>135.85</v>
      </c>
      <c r="AN4" s="3" t="s">
        <v>309</v>
      </c>
      <c r="AO4" s="3" t="s">
        <v>109</v>
      </c>
      <c r="AP4" s="150">
        <v>79</v>
      </c>
      <c r="AQ4" s="5" t="s">
        <v>3</v>
      </c>
      <c r="AR4" s="154">
        <v>1200</v>
      </c>
      <c r="AS4" s="151">
        <v>43466</v>
      </c>
      <c r="AT4" s="151">
        <v>44196</v>
      </c>
      <c r="AU4" s="155" t="s">
        <v>112</v>
      </c>
      <c r="AV4" t="s">
        <v>190</v>
      </c>
    </row>
    <row r="5" spans="1:48" x14ac:dyDescent="0.2">
      <c r="A5" s="3">
        <v>275</v>
      </c>
      <c r="B5" t="s">
        <v>826</v>
      </c>
      <c r="C5" s="3" t="s">
        <v>31</v>
      </c>
      <c r="D5" s="3" t="s">
        <v>637</v>
      </c>
      <c r="E5" s="3" t="s">
        <v>40</v>
      </c>
      <c r="F5" s="4">
        <v>1400</v>
      </c>
      <c r="G5" s="4">
        <v>119</v>
      </c>
      <c r="H5" s="3" t="s">
        <v>47</v>
      </c>
      <c r="J5" t="s">
        <v>78</v>
      </c>
      <c r="K5" t="s">
        <v>78</v>
      </c>
      <c r="L5" t="s">
        <v>79</v>
      </c>
      <c r="M5" t="s">
        <v>80</v>
      </c>
      <c r="N5" t="s">
        <v>92</v>
      </c>
      <c r="O5" t="s">
        <v>82</v>
      </c>
      <c r="P5" s="152" t="s">
        <v>83</v>
      </c>
      <c r="Q5" s="3" t="s">
        <v>84</v>
      </c>
      <c r="R5" s="3">
        <v>8</v>
      </c>
      <c r="S5" s="3">
        <v>4</v>
      </c>
      <c r="T5" t="s">
        <v>13</v>
      </c>
      <c r="U5" t="s">
        <v>3</v>
      </c>
      <c r="V5" s="5" t="s">
        <v>612</v>
      </c>
      <c r="W5" s="153" t="s">
        <v>549</v>
      </c>
      <c r="X5" s="146">
        <v>0.80162</v>
      </c>
      <c r="Y5" s="5" t="s">
        <v>612</v>
      </c>
      <c r="Z5" s="153" t="s">
        <v>549</v>
      </c>
      <c r="AA5" s="146">
        <v>0</v>
      </c>
      <c r="AB5" s="147">
        <v>0.29319000000000001</v>
      </c>
      <c r="AC5" s="147">
        <v>0.16794000000000001</v>
      </c>
      <c r="AD5" s="153" t="s">
        <v>614</v>
      </c>
      <c r="AE5" s="5" t="s">
        <v>621</v>
      </c>
      <c r="AF5" s="5">
        <v>4</v>
      </c>
      <c r="AG5" s="148">
        <v>44621</v>
      </c>
      <c r="AH5" s="148">
        <v>46082</v>
      </c>
      <c r="AI5" s="149">
        <f>32.66+235.17+186.52+101.06+346.93</f>
        <v>902.34000000000015</v>
      </c>
      <c r="AJ5" s="149">
        <v>0</v>
      </c>
      <c r="AK5" s="149">
        <v>99.53</v>
      </c>
      <c r="AL5" s="3" t="s">
        <v>281</v>
      </c>
      <c r="AM5" s="4">
        <v>173.26</v>
      </c>
      <c r="AN5" s="3" t="s">
        <v>181</v>
      </c>
      <c r="AO5" s="3" t="s">
        <v>109</v>
      </c>
      <c r="AP5" s="150">
        <v>0</v>
      </c>
      <c r="AR5" s="154">
        <v>2300</v>
      </c>
      <c r="AS5" s="151">
        <v>41239</v>
      </c>
      <c r="AT5" t="s">
        <v>279</v>
      </c>
      <c r="AU5" t="s">
        <v>111</v>
      </c>
    </row>
    <row r="6" spans="1:48" x14ac:dyDescent="0.2">
      <c r="A6" s="3">
        <v>273</v>
      </c>
      <c r="B6" t="s">
        <v>827</v>
      </c>
      <c r="C6" s="3" t="s">
        <v>307</v>
      </c>
      <c r="D6" s="3" t="s">
        <v>637</v>
      </c>
      <c r="E6" s="3" t="s">
        <v>308</v>
      </c>
      <c r="F6" s="4">
        <v>2227</v>
      </c>
      <c r="G6" s="4">
        <v>119</v>
      </c>
      <c r="H6" s="3">
        <v>5089</v>
      </c>
      <c r="J6" t="s">
        <v>301</v>
      </c>
      <c r="K6" t="s">
        <v>302</v>
      </c>
      <c r="L6" t="s">
        <v>303</v>
      </c>
      <c r="M6" t="s">
        <v>304</v>
      </c>
      <c r="N6" t="s">
        <v>59</v>
      </c>
      <c r="O6" t="s">
        <v>305</v>
      </c>
      <c r="P6" s="145" t="s">
        <v>306</v>
      </c>
      <c r="Q6" s="3" t="s">
        <v>300</v>
      </c>
      <c r="R6" s="8">
        <v>8</v>
      </c>
      <c r="S6" s="3">
        <v>4</v>
      </c>
      <c r="T6" t="s">
        <v>3</v>
      </c>
      <c r="U6" t="s">
        <v>3</v>
      </c>
      <c r="V6" s="5" t="s">
        <v>612</v>
      </c>
      <c r="W6" s="153" t="s">
        <v>549</v>
      </c>
      <c r="X6" s="146">
        <v>0.80162</v>
      </c>
      <c r="Y6" s="5" t="s">
        <v>612</v>
      </c>
      <c r="Z6" s="153" t="s">
        <v>549</v>
      </c>
      <c r="AA6" s="146">
        <v>0</v>
      </c>
      <c r="AB6" s="147">
        <v>0.29319000000000001</v>
      </c>
      <c r="AC6" s="147">
        <v>0.16794000000000001</v>
      </c>
      <c r="AD6" s="153" t="s">
        <v>614</v>
      </c>
      <c r="AE6" s="5" t="s">
        <v>621</v>
      </c>
      <c r="AF6" s="5">
        <v>4</v>
      </c>
      <c r="AG6" s="148">
        <v>44621</v>
      </c>
      <c r="AH6" s="148">
        <v>46082</v>
      </c>
      <c r="AI6" s="149">
        <f>6.98+30.3+93.93+26.62+56.36+174.71</f>
        <v>388.9</v>
      </c>
      <c r="AJ6" s="149">
        <v>0</v>
      </c>
      <c r="AK6" s="149">
        <v>0</v>
      </c>
      <c r="AL6" s="3" t="s">
        <v>167</v>
      </c>
      <c r="AM6" s="4">
        <v>0</v>
      </c>
      <c r="AN6" s="3" t="s">
        <v>168</v>
      </c>
      <c r="AO6" s="3" t="s">
        <v>109</v>
      </c>
      <c r="AP6" s="150">
        <v>79</v>
      </c>
      <c r="AQ6" s="5" t="s">
        <v>3</v>
      </c>
      <c r="AR6" s="154">
        <v>2150</v>
      </c>
      <c r="AS6" s="151">
        <v>43896</v>
      </c>
      <c r="AT6" s="151">
        <v>44261</v>
      </c>
      <c r="AU6" s="156" t="s">
        <v>312</v>
      </c>
      <c r="AV6" t="s">
        <v>311</v>
      </c>
    </row>
    <row r="7" spans="1:48" x14ac:dyDescent="0.2">
      <c r="A7" s="3">
        <v>279</v>
      </c>
      <c r="B7" t="s">
        <v>828</v>
      </c>
      <c r="C7" s="3" t="s">
        <v>296</v>
      </c>
      <c r="D7" s="3" t="s">
        <v>637</v>
      </c>
      <c r="E7" s="3" t="s">
        <v>41</v>
      </c>
      <c r="F7" s="4">
        <v>1950</v>
      </c>
      <c r="G7" s="4">
        <v>119</v>
      </c>
      <c r="H7" s="3" t="s">
        <v>48</v>
      </c>
      <c r="J7" t="s">
        <v>88</v>
      </c>
      <c r="K7" t="s">
        <v>297</v>
      </c>
      <c r="L7" t="s">
        <v>807</v>
      </c>
      <c r="M7" t="s">
        <v>808</v>
      </c>
      <c r="N7" t="s">
        <v>64</v>
      </c>
      <c r="O7" t="s">
        <v>298</v>
      </c>
      <c r="P7" s="145" t="s">
        <v>704</v>
      </c>
      <c r="Q7" s="3" t="s">
        <v>91</v>
      </c>
      <c r="R7" s="3">
        <v>6</v>
      </c>
      <c r="S7" s="3">
        <v>3</v>
      </c>
      <c r="T7" t="s">
        <v>3</v>
      </c>
      <c r="U7" t="s">
        <v>3</v>
      </c>
      <c r="V7" s="5" t="s">
        <v>612</v>
      </c>
      <c r="W7" s="153" t="s">
        <v>549</v>
      </c>
      <c r="X7" s="146">
        <v>0.80162</v>
      </c>
      <c r="Y7" s="5" t="s">
        <v>622</v>
      </c>
      <c r="Z7" s="5" t="s">
        <v>622</v>
      </c>
      <c r="AA7" s="146">
        <v>0</v>
      </c>
      <c r="AB7" s="147">
        <v>0</v>
      </c>
      <c r="AC7" s="147">
        <v>0</v>
      </c>
      <c r="AD7" s="5" t="s">
        <v>613</v>
      </c>
      <c r="AE7" s="5" t="s">
        <v>613</v>
      </c>
      <c r="AF7" s="5">
        <v>1</v>
      </c>
      <c r="AG7" s="148">
        <v>44621</v>
      </c>
      <c r="AH7" s="148">
        <v>46082</v>
      </c>
      <c r="AI7" s="149">
        <f>2592.78-2163.42</f>
        <v>429.36000000000013</v>
      </c>
      <c r="AJ7" s="149">
        <v>0</v>
      </c>
      <c r="AK7" s="149">
        <v>53.34</v>
      </c>
      <c r="AL7" s="3" t="s">
        <v>805</v>
      </c>
      <c r="AM7" s="4">
        <v>134.88</v>
      </c>
      <c r="AN7" s="3" t="s">
        <v>806</v>
      </c>
      <c r="AO7" s="3" t="s">
        <v>169</v>
      </c>
      <c r="AP7" s="150">
        <v>0</v>
      </c>
      <c r="AQ7" s="5" t="s">
        <v>3</v>
      </c>
      <c r="AS7" s="151">
        <v>41239</v>
      </c>
      <c r="AT7" s="157">
        <v>44197</v>
      </c>
      <c r="AU7" s="158" t="s">
        <v>112</v>
      </c>
    </row>
    <row r="8" spans="1:48" x14ac:dyDescent="0.2">
      <c r="A8" s="3">
        <v>274</v>
      </c>
      <c r="B8" t="s">
        <v>829</v>
      </c>
      <c r="C8" s="3" t="s">
        <v>155</v>
      </c>
      <c r="D8" s="3" t="s">
        <v>637</v>
      </c>
      <c r="E8" s="3" t="s">
        <v>156</v>
      </c>
      <c r="F8" s="4">
        <v>1150</v>
      </c>
      <c r="G8" s="4">
        <v>119</v>
      </c>
      <c r="H8" s="3">
        <v>5057</v>
      </c>
      <c r="J8" t="s">
        <v>157</v>
      </c>
      <c r="K8" t="s">
        <v>158</v>
      </c>
      <c r="L8" t="s">
        <v>159</v>
      </c>
      <c r="M8" t="s">
        <v>160</v>
      </c>
      <c r="N8" s="159" t="s">
        <v>99</v>
      </c>
      <c r="O8" t="s">
        <v>161</v>
      </c>
      <c r="P8" s="145" t="s">
        <v>162</v>
      </c>
      <c r="Q8" s="3" t="s">
        <v>163</v>
      </c>
      <c r="R8" s="8">
        <v>4</v>
      </c>
      <c r="S8" s="3">
        <v>2</v>
      </c>
      <c r="T8" t="s">
        <v>3</v>
      </c>
      <c r="U8" t="s">
        <v>4</v>
      </c>
      <c r="V8" s="5" t="s">
        <v>613</v>
      </c>
      <c r="W8" s="153" t="s">
        <v>613</v>
      </c>
      <c r="X8" s="146">
        <v>0</v>
      </c>
      <c r="Y8" s="153" t="s">
        <v>613</v>
      </c>
      <c r="Z8" s="153" t="s">
        <v>613</v>
      </c>
      <c r="AA8" s="146">
        <v>0</v>
      </c>
      <c r="AB8" s="147">
        <v>0</v>
      </c>
      <c r="AC8" s="147">
        <v>0</v>
      </c>
      <c r="AD8" s="153" t="s">
        <v>613</v>
      </c>
      <c r="AE8" s="153" t="s">
        <v>613</v>
      </c>
      <c r="AI8" s="149">
        <v>0</v>
      </c>
      <c r="AJ8" s="149">
        <v>0</v>
      </c>
      <c r="AK8" s="149">
        <v>95.43</v>
      </c>
      <c r="AL8" s="3" t="s">
        <v>281</v>
      </c>
      <c r="AM8" s="4">
        <v>134.88</v>
      </c>
      <c r="AN8" s="3" t="s">
        <v>415</v>
      </c>
      <c r="AO8" s="3" t="s">
        <v>165</v>
      </c>
      <c r="AP8" s="150">
        <v>0</v>
      </c>
      <c r="AQ8" s="5" t="s">
        <v>3</v>
      </c>
      <c r="AR8" s="154">
        <v>1000</v>
      </c>
      <c r="AS8" s="151">
        <v>43160</v>
      </c>
      <c r="AT8" t="s">
        <v>280</v>
      </c>
      <c r="AU8" s="155" t="s">
        <v>113</v>
      </c>
    </row>
    <row r="9" spans="1:48" x14ac:dyDescent="0.2">
      <c r="A9" s="180">
        <v>291</v>
      </c>
      <c r="B9" s="164" t="s">
        <v>830</v>
      </c>
      <c r="C9" s="165" t="s">
        <v>200</v>
      </c>
      <c r="D9" s="165" t="s">
        <v>637</v>
      </c>
      <c r="E9" s="165" t="s">
        <v>201</v>
      </c>
      <c r="F9" s="166">
        <v>41710</v>
      </c>
      <c r="G9" s="167">
        <v>119</v>
      </c>
      <c r="H9" s="165">
        <v>5091</v>
      </c>
      <c r="I9" s="168"/>
      <c r="J9" s="164" t="s">
        <v>203</v>
      </c>
      <c r="K9" s="164" t="s">
        <v>204</v>
      </c>
      <c r="L9" s="164" t="s">
        <v>282</v>
      </c>
      <c r="M9" s="164" t="s">
        <v>283</v>
      </c>
      <c r="N9" s="169" t="s">
        <v>284</v>
      </c>
      <c r="O9" s="164" t="s">
        <v>640</v>
      </c>
      <c r="P9" s="173" t="s">
        <v>816</v>
      </c>
      <c r="Q9" s="3" t="s">
        <v>371</v>
      </c>
      <c r="R9" s="8">
        <v>150</v>
      </c>
      <c r="S9" s="3">
        <v>86</v>
      </c>
      <c r="T9" t="s">
        <v>3</v>
      </c>
      <c r="U9" t="s">
        <v>3</v>
      </c>
      <c r="V9" s="5" t="s">
        <v>612</v>
      </c>
      <c r="W9" s="5" t="s">
        <v>549</v>
      </c>
      <c r="X9" s="160"/>
      <c r="Y9" s="5" t="s">
        <v>612</v>
      </c>
      <c r="Z9" s="153" t="s">
        <v>549</v>
      </c>
      <c r="AA9" s="146">
        <v>0</v>
      </c>
      <c r="AB9" s="147">
        <v>0.15779000000000001</v>
      </c>
      <c r="AC9" s="147">
        <v>0.12237000000000001</v>
      </c>
      <c r="AD9" s="5" t="s">
        <v>614</v>
      </c>
      <c r="AE9" s="5" t="s">
        <v>635</v>
      </c>
      <c r="AF9" s="5">
        <v>4</v>
      </c>
      <c r="AG9" s="148">
        <v>44621</v>
      </c>
      <c r="AH9" s="148">
        <v>46082</v>
      </c>
      <c r="AI9" s="149">
        <f>85654.07-71675.57</f>
        <v>13978.5</v>
      </c>
      <c r="AJ9" s="149">
        <v>0</v>
      </c>
      <c r="AK9" s="149">
        <v>207.61</v>
      </c>
      <c r="AL9" s="3" t="s">
        <v>639</v>
      </c>
      <c r="AM9" s="177">
        <v>845.56</v>
      </c>
      <c r="AN9" s="176" t="s">
        <v>706</v>
      </c>
      <c r="AO9" s="3" t="s">
        <v>109</v>
      </c>
      <c r="AP9" s="150">
        <v>237</v>
      </c>
      <c r="AS9" s="151">
        <v>43591</v>
      </c>
      <c r="AT9" s="7">
        <v>45396</v>
      </c>
      <c r="AV9" s="172" t="s">
        <v>815</v>
      </c>
    </row>
    <row r="10" spans="1:48" x14ac:dyDescent="0.2">
      <c r="A10" s="180">
        <v>291</v>
      </c>
      <c r="B10" s="164" t="s">
        <v>831</v>
      </c>
      <c r="C10" s="165" t="s">
        <v>200</v>
      </c>
      <c r="D10" s="165" t="s">
        <v>637</v>
      </c>
      <c r="E10" s="165" t="s">
        <v>201</v>
      </c>
      <c r="F10" s="166">
        <v>1500</v>
      </c>
      <c r="G10" s="167">
        <v>119</v>
      </c>
      <c r="H10" s="165">
        <v>5091</v>
      </c>
      <c r="I10" s="168"/>
      <c r="J10" s="164" t="s">
        <v>203</v>
      </c>
      <c r="K10" s="164" t="s">
        <v>204</v>
      </c>
      <c r="L10" s="164" t="s">
        <v>282</v>
      </c>
      <c r="M10" s="164" t="s">
        <v>283</v>
      </c>
      <c r="N10" s="169" t="s">
        <v>284</v>
      </c>
      <c r="O10" s="164" t="s">
        <v>640</v>
      </c>
      <c r="P10" s="174"/>
      <c r="Q10" s="3" t="s">
        <v>371</v>
      </c>
      <c r="T10" t="s">
        <v>3</v>
      </c>
      <c r="U10" t="s">
        <v>3</v>
      </c>
      <c r="V10" s="5" t="s">
        <v>612</v>
      </c>
      <c r="W10" s="5" t="s">
        <v>549</v>
      </c>
      <c r="X10" s="160"/>
      <c r="Y10" s="5" t="s">
        <v>612</v>
      </c>
      <c r="Z10" s="153" t="s">
        <v>549</v>
      </c>
      <c r="AA10" s="146">
        <v>0</v>
      </c>
      <c r="AB10" s="147">
        <v>0.15779000000000001</v>
      </c>
      <c r="AC10" s="147">
        <v>0.12237000000000001</v>
      </c>
      <c r="AD10" s="5" t="s">
        <v>614</v>
      </c>
      <c r="AE10" s="153" t="s">
        <v>635</v>
      </c>
      <c r="AF10" s="5">
        <v>4</v>
      </c>
      <c r="AG10" s="148" t="s">
        <v>689</v>
      </c>
      <c r="AH10" s="148">
        <v>46082</v>
      </c>
      <c r="AI10" s="149">
        <v>0</v>
      </c>
      <c r="AJ10" s="149">
        <v>0</v>
      </c>
      <c r="AK10" s="149">
        <v>0</v>
      </c>
      <c r="AL10" s="3" t="s">
        <v>192</v>
      </c>
      <c r="AM10" s="172"/>
      <c r="AN10" s="176"/>
      <c r="AO10" s="3" t="s">
        <v>109</v>
      </c>
      <c r="AP10" s="150">
        <v>395</v>
      </c>
      <c r="AS10" s="151">
        <v>43891</v>
      </c>
      <c r="AT10" s="7">
        <v>45396</v>
      </c>
      <c r="AV10" s="172"/>
    </row>
    <row r="11" spans="1:48" x14ac:dyDescent="0.2">
      <c r="A11" s="3">
        <v>278</v>
      </c>
      <c r="B11" t="s">
        <v>832</v>
      </c>
      <c r="C11" s="3" t="s">
        <v>33</v>
      </c>
      <c r="D11" s="3" t="s">
        <v>637</v>
      </c>
      <c r="E11" s="3" t="s">
        <v>42</v>
      </c>
      <c r="F11" s="4">
        <v>1825</v>
      </c>
      <c r="G11" s="4">
        <v>119</v>
      </c>
      <c r="H11" s="3" t="s">
        <v>52</v>
      </c>
      <c r="J11" t="s">
        <v>93</v>
      </c>
      <c r="K11" t="s">
        <v>94</v>
      </c>
      <c r="L11" t="s">
        <v>153</v>
      </c>
      <c r="M11" t="s">
        <v>33</v>
      </c>
      <c r="N11" t="s">
        <v>63</v>
      </c>
      <c r="O11" t="s">
        <v>154</v>
      </c>
      <c r="P11" s="145" t="s">
        <v>319</v>
      </c>
      <c r="Q11" t="s">
        <v>98</v>
      </c>
      <c r="R11" s="3">
        <v>8</v>
      </c>
      <c r="S11" s="3">
        <v>5</v>
      </c>
      <c r="T11" t="s">
        <v>3</v>
      </c>
      <c r="U11" t="s">
        <v>4</v>
      </c>
      <c r="V11" s="5" t="s">
        <v>613</v>
      </c>
      <c r="W11" s="5" t="s">
        <v>613</v>
      </c>
      <c r="X11" s="146">
        <v>0</v>
      </c>
      <c r="Y11" s="5" t="s">
        <v>613</v>
      </c>
      <c r="Z11" s="5" t="s">
        <v>613</v>
      </c>
      <c r="AA11" s="146">
        <v>0</v>
      </c>
      <c r="AB11" s="147">
        <v>0</v>
      </c>
      <c r="AC11" s="147">
        <v>0</v>
      </c>
      <c r="AD11" s="5" t="s">
        <v>613</v>
      </c>
      <c r="AE11" s="5" t="s">
        <v>613</v>
      </c>
      <c r="AI11" s="149">
        <v>0</v>
      </c>
      <c r="AJ11" s="149">
        <v>0</v>
      </c>
      <c r="AK11" s="149">
        <v>22.83</v>
      </c>
      <c r="AL11" s="3" t="s">
        <v>802</v>
      </c>
      <c r="AM11" s="4">
        <f>377.66/3</f>
        <v>125.88666666666667</v>
      </c>
      <c r="AN11" s="3" t="s">
        <v>151</v>
      </c>
      <c r="AO11" s="3" t="s">
        <v>109</v>
      </c>
      <c r="AP11" s="150">
        <v>79</v>
      </c>
      <c r="AQ11" s="5" t="s">
        <v>3</v>
      </c>
      <c r="AR11" s="154">
        <v>1750</v>
      </c>
      <c r="AS11" s="151">
        <v>43079</v>
      </c>
      <c r="AT11" t="s">
        <v>279</v>
      </c>
      <c r="AU11" t="s">
        <v>313</v>
      </c>
      <c r="AV11" t="s">
        <v>537</v>
      </c>
    </row>
    <row r="12" spans="1:48" x14ac:dyDescent="0.2">
      <c r="A12" s="3">
        <v>284</v>
      </c>
      <c r="B12" t="s">
        <v>833</v>
      </c>
      <c r="C12" s="3" t="s">
        <v>34</v>
      </c>
      <c r="D12" s="3" t="s">
        <v>637</v>
      </c>
      <c r="E12" s="3" t="s">
        <v>804</v>
      </c>
      <c r="F12" s="4">
        <v>1800</v>
      </c>
      <c r="G12" s="4">
        <v>119</v>
      </c>
      <c r="H12" s="3" t="s">
        <v>54</v>
      </c>
      <c r="J12" t="s">
        <v>711</v>
      </c>
      <c r="K12" t="s">
        <v>712</v>
      </c>
      <c r="L12" t="s">
        <v>713</v>
      </c>
      <c r="M12" t="s">
        <v>714</v>
      </c>
      <c r="N12" t="s">
        <v>64</v>
      </c>
      <c r="O12" t="s">
        <v>716</v>
      </c>
      <c r="P12" s="145" t="s">
        <v>715</v>
      </c>
      <c r="Q12" s="3" t="s">
        <v>820</v>
      </c>
      <c r="R12" s="3">
        <v>7</v>
      </c>
      <c r="S12" s="3">
        <v>4</v>
      </c>
      <c r="T12" t="s">
        <v>13</v>
      </c>
      <c r="U12" t="s">
        <v>3</v>
      </c>
      <c r="V12" s="5" t="s">
        <v>612</v>
      </c>
      <c r="W12" s="153" t="s">
        <v>549</v>
      </c>
      <c r="X12" s="146">
        <v>0.80162</v>
      </c>
      <c r="Y12" s="5" t="s">
        <v>612</v>
      </c>
      <c r="Z12" s="153" t="s">
        <v>549</v>
      </c>
      <c r="AA12" s="146">
        <v>0</v>
      </c>
      <c r="AB12" s="147">
        <v>0.29319000000000001</v>
      </c>
      <c r="AC12" s="147">
        <v>0.16794000000000001</v>
      </c>
      <c r="AD12" s="153" t="s">
        <v>614</v>
      </c>
      <c r="AE12" s="5" t="s">
        <v>621</v>
      </c>
      <c r="AF12" s="5">
        <v>4</v>
      </c>
      <c r="AG12" s="148">
        <v>44621</v>
      </c>
      <c r="AH12" s="148">
        <v>46082</v>
      </c>
      <c r="AI12" s="149">
        <f>3780.09-3170.42</f>
        <v>609.67000000000007</v>
      </c>
      <c r="AJ12" s="149">
        <v>0</v>
      </c>
      <c r="AK12" s="149">
        <v>97.4</v>
      </c>
      <c r="AL12" s="3" t="s">
        <v>801</v>
      </c>
      <c r="AM12" s="4">
        <f>188.85/3</f>
        <v>62.949999999999996</v>
      </c>
      <c r="AN12" s="3" t="s">
        <v>636</v>
      </c>
      <c r="AO12" s="3" t="s">
        <v>109</v>
      </c>
      <c r="AP12" s="150">
        <v>79</v>
      </c>
      <c r="AQ12" s="5" t="s">
        <v>3</v>
      </c>
      <c r="AS12" s="151">
        <v>41239</v>
      </c>
      <c r="AT12" t="s">
        <v>279</v>
      </c>
    </row>
    <row r="13" spans="1:48" x14ac:dyDescent="0.2">
      <c r="A13" s="179">
        <v>335</v>
      </c>
      <c r="B13" t="s">
        <v>834</v>
      </c>
      <c r="C13" s="3" t="s">
        <v>34</v>
      </c>
      <c r="D13" s="3" t="s">
        <v>637</v>
      </c>
      <c r="E13" s="3" t="s">
        <v>799</v>
      </c>
      <c r="F13" s="4">
        <v>1800</v>
      </c>
      <c r="G13" s="4">
        <v>119</v>
      </c>
      <c r="H13" s="3" t="s">
        <v>54</v>
      </c>
      <c r="J13" t="s">
        <v>711</v>
      </c>
      <c r="K13" t="s">
        <v>712</v>
      </c>
      <c r="L13" t="s">
        <v>713</v>
      </c>
      <c r="M13" t="s">
        <v>714</v>
      </c>
      <c r="N13" t="s">
        <v>64</v>
      </c>
      <c r="O13" t="s">
        <v>716</v>
      </c>
      <c r="P13" s="145" t="s">
        <v>715</v>
      </c>
      <c r="Q13" s="3" t="s">
        <v>820</v>
      </c>
      <c r="R13" s="3">
        <v>5</v>
      </c>
      <c r="S13" s="3">
        <v>3</v>
      </c>
      <c r="V13" s="5" t="s">
        <v>613</v>
      </c>
      <c r="W13" s="153"/>
      <c r="Y13" s="5" t="s">
        <v>622</v>
      </c>
      <c r="Z13" s="153" t="s">
        <v>622</v>
      </c>
      <c r="AB13" s="147"/>
      <c r="AC13" s="147"/>
      <c r="AG13" s="148">
        <v>45659</v>
      </c>
      <c r="AH13" s="148"/>
      <c r="AI13" s="149">
        <v>200</v>
      </c>
      <c r="AL13" s="3" t="s">
        <v>801</v>
      </c>
      <c r="AM13" s="4">
        <f>188.85/3</f>
        <v>62.949999999999996</v>
      </c>
      <c r="AO13" s="3" t="s">
        <v>109</v>
      </c>
      <c r="AP13" s="150">
        <v>79</v>
      </c>
      <c r="AQ13" s="5" t="s">
        <v>3</v>
      </c>
      <c r="AR13" s="4">
        <v>3600</v>
      </c>
      <c r="AS13" s="151">
        <v>45659</v>
      </c>
    </row>
    <row r="14" spans="1:48" x14ac:dyDescent="0.2">
      <c r="A14" s="3">
        <v>282</v>
      </c>
      <c r="B14" t="s">
        <v>835</v>
      </c>
      <c r="C14" s="3" t="s">
        <v>35</v>
      </c>
      <c r="D14" s="3" t="s">
        <v>637</v>
      </c>
      <c r="E14" s="3" t="s">
        <v>44</v>
      </c>
      <c r="F14" s="4">
        <v>2600</v>
      </c>
      <c r="G14" s="4">
        <v>119</v>
      </c>
      <c r="H14" s="3" t="s">
        <v>46</v>
      </c>
      <c r="J14" t="s">
        <v>72</v>
      </c>
      <c r="K14" t="s">
        <v>75</v>
      </c>
      <c r="L14" t="s">
        <v>73</v>
      </c>
      <c r="M14" t="s">
        <v>74</v>
      </c>
      <c r="N14" t="s">
        <v>62</v>
      </c>
      <c r="O14" t="s">
        <v>76</v>
      </c>
      <c r="P14" s="152" t="s">
        <v>77</v>
      </c>
      <c r="Q14" s="3" t="s">
        <v>797</v>
      </c>
      <c r="R14" s="3">
        <v>8</v>
      </c>
      <c r="S14" s="3">
        <v>4</v>
      </c>
      <c r="T14" t="s">
        <v>3</v>
      </c>
      <c r="U14" t="s">
        <v>4</v>
      </c>
      <c r="V14" s="5" t="s">
        <v>613</v>
      </c>
      <c r="W14" s="5" t="s">
        <v>613</v>
      </c>
      <c r="X14" s="146">
        <v>0</v>
      </c>
      <c r="Y14" s="5" t="s">
        <v>613</v>
      </c>
      <c r="Z14" s="5" t="s">
        <v>613</v>
      </c>
      <c r="AA14" s="146">
        <v>0</v>
      </c>
      <c r="AB14" s="147">
        <v>0</v>
      </c>
      <c r="AC14" s="147">
        <v>0</v>
      </c>
      <c r="AD14" s="5" t="s">
        <v>613</v>
      </c>
      <c r="AE14" s="5" t="s">
        <v>613</v>
      </c>
      <c r="AI14" s="149">
        <v>0</v>
      </c>
      <c r="AJ14" s="149">
        <v>0</v>
      </c>
      <c r="AK14" s="149">
        <v>77.459999999999994</v>
      </c>
      <c r="AL14" s="3" t="s">
        <v>803</v>
      </c>
      <c r="AM14" s="4">
        <f>377.66/3</f>
        <v>125.88666666666667</v>
      </c>
      <c r="AN14" s="3" t="s">
        <v>710</v>
      </c>
      <c r="AO14" s="3" t="s">
        <v>109</v>
      </c>
      <c r="AP14" s="150">
        <v>79</v>
      </c>
      <c r="AS14" s="7">
        <v>42826</v>
      </c>
      <c r="AT14" t="s">
        <v>279</v>
      </c>
    </row>
    <row r="15" spans="1:48" x14ac:dyDescent="0.2">
      <c r="A15" s="179">
        <v>283</v>
      </c>
      <c r="B15" t="s">
        <v>836</v>
      </c>
      <c r="C15" s="3" t="s">
        <v>395</v>
      </c>
      <c r="D15" s="3" t="s">
        <v>637</v>
      </c>
      <c r="E15" s="3" t="s">
        <v>396</v>
      </c>
      <c r="F15" s="4">
        <v>2020</v>
      </c>
      <c r="G15" s="4">
        <v>119</v>
      </c>
      <c r="H15" s="3">
        <v>5094</v>
      </c>
      <c r="J15" t="s">
        <v>412</v>
      </c>
      <c r="K15" t="s">
        <v>461</v>
      </c>
      <c r="L15" t="s">
        <v>413</v>
      </c>
      <c r="M15" t="s">
        <v>414</v>
      </c>
      <c r="N15" t="s">
        <v>62</v>
      </c>
      <c r="O15" t="s">
        <v>554</v>
      </c>
      <c r="P15" s="152" t="s">
        <v>707</v>
      </c>
      <c r="Q15" s="3" t="s">
        <v>812</v>
      </c>
      <c r="R15" s="3">
        <v>7</v>
      </c>
      <c r="S15" s="3">
        <v>4</v>
      </c>
      <c r="T15" t="s">
        <v>3</v>
      </c>
      <c r="U15" t="s">
        <v>3</v>
      </c>
      <c r="V15" s="5" t="s">
        <v>612</v>
      </c>
      <c r="W15" s="153" t="s">
        <v>549</v>
      </c>
      <c r="X15" s="146">
        <v>0.80162</v>
      </c>
      <c r="Y15" s="5" t="s">
        <v>612</v>
      </c>
      <c r="Z15" s="5" t="s">
        <v>549</v>
      </c>
      <c r="AA15" s="146">
        <v>0</v>
      </c>
      <c r="AB15" s="147">
        <v>0.29319000000000001</v>
      </c>
      <c r="AC15" s="147">
        <v>0.16794000000000001</v>
      </c>
      <c r="AD15" s="5" t="s">
        <v>613</v>
      </c>
      <c r="AE15" s="5" t="s">
        <v>613</v>
      </c>
      <c r="AF15" s="5">
        <v>4</v>
      </c>
      <c r="AG15" s="148">
        <v>44621</v>
      </c>
      <c r="AH15" s="148">
        <v>46082</v>
      </c>
      <c r="AI15" s="149">
        <f>6129.86-5496.99</f>
        <v>632.86999999999989</v>
      </c>
      <c r="AJ15" s="149">
        <v>0</v>
      </c>
      <c r="AK15" s="149">
        <f>32.11+15.37</f>
        <v>47.48</v>
      </c>
      <c r="AL15" s="3" t="s">
        <v>803</v>
      </c>
      <c r="AM15" s="4">
        <f>377.66/3</f>
        <v>125.88666666666667</v>
      </c>
      <c r="AN15" s="3" t="s">
        <v>798</v>
      </c>
      <c r="AP15" s="150">
        <v>79</v>
      </c>
      <c r="AS15" s="7">
        <v>44256</v>
      </c>
    </row>
    <row r="16" spans="1:48" x14ac:dyDescent="0.2">
      <c r="A16" s="3">
        <v>285</v>
      </c>
      <c r="B16" t="s">
        <v>837</v>
      </c>
      <c r="C16" s="3" t="s">
        <v>697</v>
      </c>
      <c r="D16" s="3" t="s">
        <v>637</v>
      </c>
      <c r="E16" s="3" t="s">
        <v>709</v>
      </c>
      <c r="F16" s="4">
        <v>850</v>
      </c>
      <c r="G16" s="4">
        <v>119</v>
      </c>
      <c r="H16" s="3">
        <v>5099</v>
      </c>
      <c r="J16" t="s">
        <v>699</v>
      </c>
      <c r="K16" t="s">
        <v>700</v>
      </c>
      <c r="L16" t="s">
        <v>701</v>
      </c>
      <c r="M16" t="s">
        <v>702</v>
      </c>
      <c r="N16" t="s">
        <v>63</v>
      </c>
      <c r="O16" t="s">
        <v>65</v>
      </c>
      <c r="P16" s="152" t="s">
        <v>66</v>
      </c>
      <c r="Q16" s="3" t="s">
        <v>703</v>
      </c>
      <c r="W16" s="153"/>
      <c r="Y16" s="5"/>
      <c r="Z16" s="5"/>
      <c r="AB16" s="147"/>
      <c r="AC16" s="147"/>
      <c r="AD16" s="5"/>
      <c r="AG16" s="148"/>
      <c r="AH16" s="148"/>
      <c r="AM16" s="175">
        <v>138.19999999999999</v>
      </c>
      <c r="AN16" s="176" t="s">
        <v>800</v>
      </c>
      <c r="AS16" s="7">
        <v>45231</v>
      </c>
      <c r="AT16" s="7">
        <v>45961</v>
      </c>
      <c r="AU16" t="s">
        <v>113</v>
      </c>
    </row>
    <row r="17" spans="1:48" x14ac:dyDescent="0.2">
      <c r="A17" s="179">
        <v>378</v>
      </c>
      <c r="B17" t="s">
        <v>838</v>
      </c>
      <c r="C17" s="3" t="s">
        <v>697</v>
      </c>
      <c r="D17" s="3" t="s">
        <v>637</v>
      </c>
      <c r="E17" s="3" t="s">
        <v>698</v>
      </c>
      <c r="F17" s="4">
        <v>1500</v>
      </c>
      <c r="G17" s="4">
        <v>119</v>
      </c>
      <c r="H17" s="3">
        <v>5099</v>
      </c>
      <c r="J17" t="s">
        <v>699</v>
      </c>
      <c r="K17" t="s">
        <v>700</v>
      </c>
      <c r="L17" t="s">
        <v>701</v>
      </c>
      <c r="M17" t="s">
        <v>702</v>
      </c>
      <c r="N17" t="s">
        <v>63</v>
      </c>
      <c r="O17" t="s">
        <v>65</v>
      </c>
      <c r="P17" s="152" t="s">
        <v>66</v>
      </c>
      <c r="Q17" s="3" t="s">
        <v>703</v>
      </c>
      <c r="R17" s="3"/>
      <c r="W17" s="153"/>
      <c r="Y17" s="5"/>
      <c r="Z17" s="5"/>
      <c r="AB17" s="147"/>
      <c r="AC17" s="147"/>
      <c r="AD17" s="5"/>
      <c r="AG17" s="148"/>
      <c r="AH17" s="148"/>
      <c r="AI17" s="149">
        <v>0</v>
      </c>
      <c r="AL17" s="3" t="s">
        <v>281</v>
      </c>
      <c r="AM17" s="172"/>
      <c r="AN17" s="176"/>
      <c r="AS17" s="7">
        <v>45108</v>
      </c>
      <c r="AT17" s="7">
        <v>46568</v>
      </c>
      <c r="AU17" t="s">
        <v>113</v>
      </c>
      <c r="AV17" t="s">
        <v>813</v>
      </c>
    </row>
    <row r="18" spans="1:48" x14ac:dyDescent="0.2">
      <c r="A18" s="179">
        <v>363</v>
      </c>
      <c r="B18" t="s">
        <v>839</v>
      </c>
      <c r="C18" s="3" t="s">
        <v>673</v>
      </c>
      <c r="D18" s="3" t="s">
        <v>637</v>
      </c>
      <c r="E18" s="3" t="s">
        <v>674</v>
      </c>
      <c r="F18" s="4">
        <v>1300</v>
      </c>
      <c r="G18" s="4">
        <v>119</v>
      </c>
      <c r="I18" s="5" t="s">
        <v>3</v>
      </c>
      <c r="J18" t="s">
        <v>675</v>
      </c>
      <c r="K18" t="s">
        <v>676</v>
      </c>
      <c r="L18" t="s">
        <v>615</v>
      </c>
      <c r="M18" t="s">
        <v>677</v>
      </c>
      <c r="N18" s="159" t="s">
        <v>333</v>
      </c>
      <c r="O18" t="s">
        <v>678</v>
      </c>
      <c r="P18" s="145" t="s">
        <v>679</v>
      </c>
      <c r="Q18" s="3" t="s">
        <v>680</v>
      </c>
      <c r="R18" s="3">
        <v>4</v>
      </c>
      <c r="S18" s="3">
        <v>2</v>
      </c>
      <c r="T18" t="s">
        <v>3</v>
      </c>
      <c r="V18" s="5" t="s">
        <v>612</v>
      </c>
      <c r="W18" s="153" t="s">
        <v>549</v>
      </c>
      <c r="X18" s="146">
        <v>1.4824900000000001</v>
      </c>
      <c r="Y18" s="5" t="s">
        <v>612</v>
      </c>
      <c r="Z18" s="153" t="s">
        <v>549</v>
      </c>
      <c r="AA18" s="146">
        <v>0</v>
      </c>
      <c r="AB18" s="147">
        <v>0.28377999999999998</v>
      </c>
      <c r="AC18" s="147">
        <v>0.24836</v>
      </c>
      <c r="AD18" s="153" t="s">
        <v>614</v>
      </c>
      <c r="AE18" s="5" t="s">
        <v>621</v>
      </c>
      <c r="AF18" s="5">
        <v>4</v>
      </c>
      <c r="AG18" s="148">
        <v>44958</v>
      </c>
      <c r="AH18" s="148">
        <v>46082</v>
      </c>
      <c r="AI18" s="149">
        <v>6.7</v>
      </c>
      <c r="AJ18" s="149">
        <v>0</v>
      </c>
      <c r="AK18" s="149">
        <v>0</v>
      </c>
      <c r="AM18" s="4">
        <v>0</v>
      </c>
      <c r="AQ18" s="5" t="s">
        <v>3</v>
      </c>
      <c r="AR18" s="4">
        <v>1300</v>
      </c>
      <c r="AS18" s="151">
        <v>44927</v>
      </c>
      <c r="AT18" s="7">
        <v>45291</v>
      </c>
      <c r="AU18" t="s">
        <v>113</v>
      </c>
    </row>
    <row r="19" spans="1:48" x14ac:dyDescent="0.2">
      <c r="A19" s="179">
        <v>364</v>
      </c>
      <c r="B19" t="s">
        <v>840</v>
      </c>
      <c r="C19" s="3" t="s">
        <v>673</v>
      </c>
      <c r="D19" s="3" t="s">
        <v>637</v>
      </c>
      <c r="E19" s="3" t="s">
        <v>308</v>
      </c>
      <c r="F19" s="4">
        <v>1950</v>
      </c>
      <c r="G19" s="4">
        <v>119</v>
      </c>
      <c r="I19" s="5" t="s">
        <v>3</v>
      </c>
      <c r="J19" t="s">
        <v>675</v>
      </c>
      <c r="K19" t="s">
        <v>676</v>
      </c>
      <c r="L19" t="s">
        <v>615</v>
      </c>
      <c r="M19" t="s">
        <v>677</v>
      </c>
      <c r="N19" s="159" t="s">
        <v>333</v>
      </c>
      <c r="O19" t="s">
        <v>678</v>
      </c>
      <c r="P19" s="145" t="s">
        <v>679</v>
      </c>
      <c r="Q19" s="3" t="s">
        <v>680</v>
      </c>
      <c r="R19" s="3">
        <v>6</v>
      </c>
      <c r="S19" s="3">
        <v>3</v>
      </c>
      <c r="T19" t="s">
        <v>3</v>
      </c>
      <c r="V19" s="5" t="s">
        <v>612</v>
      </c>
      <c r="W19" s="153" t="s">
        <v>549</v>
      </c>
      <c r="X19" s="146">
        <v>1.4824900000000001</v>
      </c>
      <c r="Y19" s="5" t="s">
        <v>612</v>
      </c>
      <c r="Z19" s="153" t="s">
        <v>549</v>
      </c>
      <c r="AA19" s="146">
        <v>0</v>
      </c>
      <c r="AB19" s="147">
        <v>0.28377999999999998</v>
      </c>
      <c r="AC19" s="147">
        <v>0.24836</v>
      </c>
      <c r="AD19" s="153" t="s">
        <v>614</v>
      </c>
      <c r="AE19" s="5" t="s">
        <v>621</v>
      </c>
      <c r="AF19" s="5">
        <v>4</v>
      </c>
      <c r="AG19" s="148">
        <v>44958</v>
      </c>
      <c r="AH19" s="148">
        <v>46082</v>
      </c>
      <c r="AI19" s="149">
        <v>6.7</v>
      </c>
      <c r="AJ19" s="149">
        <v>0</v>
      </c>
      <c r="AK19" s="149">
        <v>0</v>
      </c>
      <c r="AM19" s="4">
        <v>0</v>
      </c>
      <c r="AQ19" s="5" t="s">
        <v>3</v>
      </c>
      <c r="AR19" s="4">
        <v>1950</v>
      </c>
      <c r="AS19" s="151">
        <v>44927</v>
      </c>
      <c r="AT19" s="7">
        <v>45291</v>
      </c>
      <c r="AU19" t="s">
        <v>113</v>
      </c>
    </row>
    <row r="20" spans="1:48" x14ac:dyDescent="0.2">
      <c r="A20" s="179">
        <v>377</v>
      </c>
      <c r="B20" t="s">
        <v>841</v>
      </c>
      <c r="C20" s="3" t="s">
        <v>58</v>
      </c>
      <c r="D20" s="3" t="s">
        <v>637</v>
      </c>
      <c r="E20" s="3" t="s">
        <v>206</v>
      </c>
      <c r="F20" s="4">
        <v>1733.3333333333333</v>
      </c>
      <c r="G20" s="4">
        <v>119</v>
      </c>
      <c r="H20" s="3" t="s">
        <v>49</v>
      </c>
      <c r="J20" t="s">
        <v>55</v>
      </c>
      <c r="K20" t="s">
        <v>56</v>
      </c>
      <c r="L20" t="s">
        <v>57</v>
      </c>
      <c r="M20" t="s">
        <v>58</v>
      </c>
      <c r="N20" t="s">
        <v>59</v>
      </c>
      <c r="O20" t="s">
        <v>819</v>
      </c>
      <c r="P20" s="145" t="s">
        <v>61</v>
      </c>
      <c r="Q20" t="s">
        <v>60</v>
      </c>
      <c r="R20" s="8">
        <v>4</v>
      </c>
      <c r="S20" s="3">
        <v>2</v>
      </c>
      <c r="T20" t="s">
        <v>3</v>
      </c>
      <c r="U20" t="s">
        <v>3</v>
      </c>
      <c r="V20" s="5" t="s">
        <v>614</v>
      </c>
      <c r="W20" s="153" t="s">
        <v>623</v>
      </c>
      <c r="X20" s="146">
        <v>0.17602000000000001</v>
      </c>
      <c r="Y20" s="5" t="s">
        <v>614</v>
      </c>
      <c r="Z20" s="153" t="s">
        <v>623</v>
      </c>
      <c r="AA20" s="146">
        <v>4.8300000000000003E-2</v>
      </c>
      <c r="AB20" s="147">
        <v>5.4030000000000002E-2</v>
      </c>
      <c r="AC20" s="147">
        <v>4.2009999999999999E-2</v>
      </c>
      <c r="AD20" s="153" t="s">
        <v>614</v>
      </c>
      <c r="AE20" s="5" t="s">
        <v>621</v>
      </c>
      <c r="AF20" s="5">
        <v>5</v>
      </c>
      <c r="AG20" s="148">
        <v>44197</v>
      </c>
      <c r="AH20" s="148">
        <v>46022</v>
      </c>
      <c r="AI20" s="149">
        <v>0</v>
      </c>
      <c r="AJ20" s="149">
        <v>0</v>
      </c>
      <c r="AK20" s="149">
        <v>43.58</v>
      </c>
      <c r="AL20" s="3" t="s">
        <v>801</v>
      </c>
      <c r="AM20" s="161">
        <f>166.43/3</f>
        <v>55.476666666666667</v>
      </c>
      <c r="AN20" s="3" t="s">
        <v>376</v>
      </c>
      <c r="AO20" s="3" t="s">
        <v>192</v>
      </c>
      <c r="AP20" s="150">
        <v>0</v>
      </c>
      <c r="AS20" s="157">
        <v>43600</v>
      </c>
      <c r="AT20" s="157">
        <v>44695</v>
      </c>
      <c r="AU20" s="155" t="s">
        <v>113</v>
      </c>
    </row>
    <row r="21" spans="1:48" x14ac:dyDescent="0.2">
      <c r="A21" s="3">
        <v>286</v>
      </c>
      <c r="B21" t="s">
        <v>842</v>
      </c>
      <c r="C21" s="3" t="s">
        <v>37</v>
      </c>
      <c r="D21" s="3" t="s">
        <v>637</v>
      </c>
      <c r="E21" s="3" t="s">
        <v>50</v>
      </c>
      <c r="F21" s="4">
        <v>2000</v>
      </c>
      <c r="G21" s="4">
        <v>119</v>
      </c>
      <c r="H21" s="3" t="s">
        <v>51</v>
      </c>
      <c r="J21" t="s">
        <v>100</v>
      </c>
      <c r="K21" t="s">
        <v>150</v>
      </c>
      <c r="L21" t="s">
        <v>101</v>
      </c>
      <c r="M21" t="s">
        <v>102</v>
      </c>
      <c r="N21" t="s">
        <v>63</v>
      </c>
      <c r="O21" t="s">
        <v>103</v>
      </c>
      <c r="P21" s="145" t="s">
        <v>105</v>
      </c>
      <c r="Q21" s="3" t="s">
        <v>104</v>
      </c>
      <c r="R21" s="3">
        <v>7</v>
      </c>
      <c r="S21" s="3">
        <v>4</v>
      </c>
      <c r="T21" t="s">
        <v>3</v>
      </c>
      <c r="U21" t="s">
        <v>3</v>
      </c>
      <c r="V21" s="5" t="s">
        <v>612</v>
      </c>
      <c r="W21" s="153" t="s">
        <v>549</v>
      </c>
      <c r="X21" s="146">
        <v>0.80162</v>
      </c>
      <c r="Y21" s="5" t="s">
        <v>612</v>
      </c>
      <c r="Z21" s="153" t="s">
        <v>549</v>
      </c>
      <c r="AA21" s="146">
        <v>0</v>
      </c>
      <c r="AB21" s="147">
        <v>0.29319000000000001</v>
      </c>
      <c r="AC21" s="147">
        <v>0.16794000000000001</v>
      </c>
      <c r="AD21" s="153" t="s">
        <v>614</v>
      </c>
      <c r="AE21" s="5" t="s">
        <v>621</v>
      </c>
      <c r="AF21" s="5">
        <v>4</v>
      </c>
      <c r="AG21" s="148">
        <v>44621</v>
      </c>
      <c r="AH21" s="148">
        <v>46082</v>
      </c>
      <c r="AI21" s="149">
        <f>3800.87-3167.11</f>
        <v>633.75999999999976</v>
      </c>
      <c r="AJ21" s="149">
        <v>0</v>
      </c>
      <c r="AK21" s="149">
        <f>26.79+65.44</f>
        <v>92.22999999999999</v>
      </c>
      <c r="AL21" s="3" t="s">
        <v>803</v>
      </c>
      <c r="AM21" s="4">
        <v>377.66</v>
      </c>
      <c r="AN21" s="3" t="s">
        <v>710</v>
      </c>
      <c r="AO21" s="3" t="s">
        <v>109</v>
      </c>
      <c r="AP21" s="150">
        <v>79</v>
      </c>
      <c r="AR21" s="154">
        <v>1400</v>
      </c>
      <c r="AS21" s="151">
        <v>41239</v>
      </c>
      <c r="AT21" t="s">
        <v>279</v>
      </c>
    </row>
    <row r="22" spans="1:48" ht="16" x14ac:dyDescent="0.2">
      <c r="A22" s="179" t="s">
        <v>845</v>
      </c>
      <c r="B22" t="s">
        <v>843</v>
      </c>
      <c r="C22" s="3" t="s">
        <v>224</v>
      </c>
      <c r="D22" s="3" t="s">
        <v>637</v>
      </c>
      <c r="E22" s="3" t="s">
        <v>334</v>
      </c>
      <c r="F22" s="4">
        <v>2500</v>
      </c>
      <c r="G22" s="4">
        <v>119</v>
      </c>
      <c r="H22" s="3">
        <v>5060</v>
      </c>
      <c r="J22" t="s">
        <v>324</v>
      </c>
      <c r="K22" t="s">
        <v>56</v>
      </c>
      <c r="L22" t="s">
        <v>57</v>
      </c>
      <c r="M22" t="s">
        <v>58</v>
      </c>
      <c r="N22" s="159" t="s">
        <v>59</v>
      </c>
      <c r="O22" t="s">
        <v>819</v>
      </c>
      <c r="P22" s="145" t="s">
        <v>61</v>
      </c>
      <c r="Q22" s="3" t="s">
        <v>325</v>
      </c>
      <c r="R22" s="3">
        <v>7</v>
      </c>
      <c r="S22" s="3">
        <v>4</v>
      </c>
      <c r="T22" t="s">
        <v>3</v>
      </c>
      <c r="U22" s="3" t="s">
        <v>4</v>
      </c>
      <c r="V22" s="5" t="s">
        <v>613</v>
      </c>
      <c r="W22" s="5" t="s">
        <v>613</v>
      </c>
      <c r="X22" s="146">
        <v>0</v>
      </c>
      <c r="Y22" s="5" t="s">
        <v>613</v>
      </c>
      <c r="Z22" s="5" t="s">
        <v>613</v>
      </c>
      <c r="AA22" s="146">
        <v>0</v>
      </c>
      <c r="AB22" s="147">
        <v>0</v>
      </c>
      <c r="AC22" s="147">
        <v>0</v>
      </c>
      <c r="AD22" s="153" t="s">
        <v>614</v>
      </c>
      <c r="AE22" s="5" t="s">
        <v>621</v>
      </c>
      <c r="AF22" s="162">
        <v>5</v>
      </c>
      <c r="AG22" s="163">
        <v>44197</v>
      </c>
      <c r="AH22" s="163">
        <v>46022</v>
      </c>
      <c r="AI22" s="149">
        <v>48.21</v>
      </c>
      <c r="AJ22" s="149">
        <v>0</v>
      </c>
      <c r="AK22" s="149">
        <v>63.99</v>
      </c>
      <c r="AM22" s="175">
        <v>373.6</v>
      </c>
      <c r="AP22" s="150">
        <v>0</v>
      </c>
      <c r="AS22" s="151">
        <v>44927</v>
      </c>
      <c r="AT22" s="7">
        <v>46022</v>
      </c>
      <c r="AV22" s="172" t="s">
        <v>814</v>
      </c>
    </row>
    <row r="23" spans="1:48" ht="16" x14ac:dyDescent="0.2">
      <c r="A23" s="179" t="s">
        <v>846</v>
      </c>
      <c r="B23" t="s">
        <v>844</v>
      </c>
      <c r="C23" s="3" t="s">
        <v>224</v>
      </c>
      <c r="D23" s="3" t="s">
        <v>637</v>
      </c>
      <c r="E23" s="3" t="s">
        <v>334</v>
      </c>
      <c r="F23" s="4">
        <v>2500</v>
      </c>
      <c r="G23" s="4">
        <v>119</v>
      </c>
      <c r="H23" s="3">
        <v>5060</v>
      </c>
      <c r="J23" t="s">
        <v>324</v>
      </c>
      <c r="K23" t="s">
        <v>56</v>
      </c>
      <c r="L23" t="s">
        <v>57</v>
      </c>
      <c r="M23" t="s">
        <v>58</v>
      </c>
      <c r="N23" s="159" t="s">
        <v>59</v>
      </c>
      <c r="O23" t="s">
        <v>819</v>
      </c>
      <c r="P23" s="145" t="s">
        <v>61</v>
      </c>
      <c r="Q23" s="3" t="s">
        <v>325</v>
      </c>
      <c r="R23" s="3">
        <v>8</v>
      </c>
      <c r="S23" s="3">
        <v>4</v>
      </c>
      <c r="T23" t="s">
        <v>3</v>
      </c>
      <c r="U23" s="3" t="s">
        <v>4</v>
      </c>
      <c r="V23" s="5" t="s">
        <v>613</v>
      </c>
      <c r="W23" s="5" t="s">
        <v>613</v>
      </c>
      <c r="X23" s="146">
        <v>0</v>
      </c>
      <c r="Y23" s="5" t="s">
        <v>613</v>
      </c>
      <c r="Z23" s="5" t="s">
        <v>613</v>
      </c>
      <c r="AA23" s="146">
        <v>0</v>
      </c>
      <c r="AB23" s="147">
        <v>0</v>
      </c>
      <c r="AC23" s="147">
        <v>0</v>
      </c>
      <c r="AD23" s="153" t="s">
        <v>614</v>
      </c>
      <c r="AE23" s="5" t="s">
        <v>621</v>
      </c>
      <c r="AF23" s="162">
        <v>5</v>
      </c>
      <c r="AG23" s="163">
        <v>44197</v>
      </c>
      <c r="AH23" s="163">
        <v>46022</v>
      </c>
      <c r="AI23" s="149">
        <v>0</v>
      </c>
      <c r="AJ23" s="149">
        <v>0</v>
      </c>
      <c r="AK23" s="149">
        <v>0</v>
      </c>
      <c r="AM23" s="172"/>
      <c r="AP23" s="150">
        <v>0</v>
      </c>
      <c r="AS23" s="151">
        <v>44927</v>
      </c>
      <c r="AT23" s="7">
        <v>46022</v>
      </c>
      <c r="AV23" s="172"/>
    </row>
    <row r="24" spans="1:48" x14ac:dyDescent="0.2">
      <c r="P24" s="145"/>
      <c r="Q24" s="3"/>
      <c r="T24" s="3"/>
      <c r="U24" s="3"/>
      <c r="W24" s="153"/>
      <c r="Y24" s="5"/>
      <c r="AS24" s="7"/>
      <c r="AT24" s="7"/>
    </row>
    <row r="25" spans="1:48" x14ac:dyDescent="0.2">
      <c r="B25" s="74" t="s">
        <v>817</v>
      </c>
      <c r="W25" s="153"/>
    </row>
    <row r="26" spans="1:48" x14ac:dyDescent="0.2">
      <c r="B26" s="164" t="s">
        <v>818</v>
      </c>
      <c r="V26" s="5" t="s">
        <v>612</v>
      </c>
      <c r="W26" s="153" t="s">
        <v>549</v>
      </c>
      <c r="X26" s="146">
        <v>0.80162</v>
      </c>
      <c r="Y26" s="5" t="s">
        <v>612</v>
      </c>
      <c r="Z26" s="153" t="s">
        <v>549</v>
      </c>
      <c r="AA26" s="146">
        <v>0</v>
      </c>
      <c r="AB26" s="146">
        <v>0.29319000000000001</v>
      </c>
      <c r="AC26" s="146">
        <v>0.16794000000000001</v>
      </c>
      <c r="AF26" s="5">
        <v>4</v>
      </c>
      <c r="AG26" s="148">
        <v>44621</v>
      </c>
      <c r="AH26" s="148">
        <v>46082</v>
      </c>
      <c r="AI26" s="149">
        <v>0</v>
      </c>
    </row>
    <row r="27" spans="1:48" x14ac:dyDescent="0.2">
      <c r="Y27" s="5"/>
      <c r="Z27" s="5"/>
    </row>
  </sheetData>
  <autoFilter ref="B1:AV23" xr:uid="{00000000-0009-0000-0000-000000000000}"/>
  <mergeCells count="11">
    <mergeCell ref="AV22:AV23"/>
    <mergeCell ref="AV9:AV10"/>
    <mergeCell ref="P9:P10"/>
    <mergeCell ref="AM22:AM23"/>
    <mergeCell ref="AL2:AL3"/>
    <mergeCell ref="AN2:AN3"/>
    <mergeCell ref="AN16:AN17"/>
    <mergeCell ref="AN9:AN10"/>
    <mergeCell ref="AM9:AM10"/>
    <mergeCell ref="AM2:AM3"/>
    <mergeCell ref="AM16:AM17"/>
  </mergeCells>
  <phoneticPr fontId="14" type="noConversion"/>
  <hyperlinks>
    <hyperlink ref="P15" r:id="rId1" display="info@jsvink.nl" xr:uid="{00000000-0004-0000-0000-000001000000}"/>
    <hyperlink ref="P11" r:id="rId2" xr:uid="{F67A7B37-A668-4CC4-AE5D-FC05361EBAE2}"/>
    <hyperlink ref="P18" r:id="rId3" xr:uid="{236AB0C7-8604-4037-AB2D-6D47AB4D9388}"/>
    <hyperlink ref="P19" r:id="rId4" xr:uid="{ACEF45FB-073F-47F5-84A0-615F03404841}"/>
    <hyperlink ref="P17" r:id="rId5" xr:uid="{7F3D11A3-9EA0-4C7B-B245-31BE1C9CFCA8}"/>
    <hyperlink ref="P7" r:id="rId6" xr:uid="{10EAE0BF-0A8D-4BC4-AFEB-E65AF9E650CA}"/>
    <hyperlink ref="P16" r:id="rId7" xr:uid="{662FB5DC-A714-4F29-B6E3-3C7318E37EB6}"/>
    <hyperlink ref="P12" r:id="rId8" xr:uid="{BAC14BD1-CBF3-4FC8-AC30-6B45FDDE139B}"/>
    <hyperlink ref="P13" r:id="rId9" xr:uid="{F8F9D9B6-EA4D-432B-B50E-0DA8F8197747}"/>
  </hyperlinks>
  <pageMargins left="0.70866141732283472" right="0.70866141732283472" top="0.74803149606299213" bottom="0.74803149606299213" header="0.31496062992125984" footer="0.31496062992125984"/>
  <pageSetup paperSize="9" scale="13" orientation="landscape" r:id="rId10"/>
  <headerFooter>
    <oddHeader>&amp;L&amp;"-,Vet en cursief"&amp;48Van Bergen Personeelsdiensten B.V.&amp;R&amp;"-,Vet en cursief"&amp;20Huizenlijst</oddHeader>
    <oddFooter>&amp;R&amp;F</oddFooter>
  </headerFooter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3A3C-50CD-4ACB-80D6-1E173F09DD8E}">
  <dimension ref="A1:H31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30" customWidth="1"/>
    <col min="2" max="2" width="10" style="3" customWidth="1"/>
    <col min="3" max="3" width="40.83203125" style="3" customWidth="1"/>
    <col min="4" max="4" width="24" customWidth="1"/>
    <col min="5" max="5" width="14" customWidth="1"/>
    <col min="6" max="6" width="40" customWidth="1"/>
    <col min="7" max="7" width="10" customWidth="1"/>
    <col min="8" max="8" width="20" customWidth="1"/>
    <col min="257" max="257" width="30" customWidth="1"/>
    <col min="258" max="258" width="10" customWidth="1"/>
    <col min="259" max="259" width="34" customWidth="1"/>
    <col min="260" max="260" width="24" customWidth="1"/>
    <col min="261" max="261" width="14" customWidth="1"/>
    <col min="262" max="262" width="40" customWidth="1"/>
    <col min="263" max="263" width="10" customWidth="1"/>
    <col min="264" max="264" width="20" customWidth="1"/>
    <col min="513" max="513" width="30" customWidth="1"/>
    <col min="514" max="514" width="10" customWidth="1"/>
    <col min="515" max="515" width="34" customWidth="1"/>
    <col min="516" max="516" width="24" customWidth="1"/>
    <col min="517" max="517" width="14" customWidth="1"/>
    <col min="518" max="518" width="40" customWidth="1"/>
    <col min="519" max="519" width="10" customWidth="1"/>
    <col min="520" max="520" width="20" customWidth="1"/>
    <col min="769" max="769" width="30" customWidth="1"/>
    <col min="770" max="770" width="10" customWidth="1"/>
    <col min="771" max="771" width="34" customWidth="1"/>
    <col min="772" max="772" width="24" customWidth="1"/>
    <col min="773" max="773" width="14" customWidth="1"/>
    <col min="774" max="774" width="40" customWidth="1"/>
    <col min="775" max="775" width="10" customWidth="1"/>
    <col min="776" max="776" width="20" customWidth="1"/>
    <col min="1025" max="1025" width="30" customWidth="1"/>
    <col min="1026" max="1026" width="10" customWidth="1"/>
    <col min="1027" max="1027" width="34" customWidth="1"/>
    <col min="1028" max="1028" width="24" customWidth="1"/>
    <col min="1029" max="1029" width="14" customWidth="1"/>
    <col min="1030" max="1030" width="40" customWidth="1"/>
    <col min="1031" max="1031" width="10" customWidth="1"/>
    <col min="1032" max="1032" width="20" customWidth="1"/>
    <col min="1281" max="1281" width="30" customWidth="1"/>
    <col min="1282" max="1282" width="10" customWidth="1"/>
    <col min="1283" max="1283" width="34" customWidth="1"/>
    <col min="1284" max="1284" width="24" customWidth="1"/>
    <col min="1285" max="1285" width="14" customWidth="1"/>
    <col min="1286" max="1286" width="40" customWidth="1"/>
    <col min="1287" max="1287" width="10" customWidth="1"/>
    <col min="1288" max="1288" width="20" customWidth="1"/>
    <col min="1537" max="1537" width="30" customWidth="1"/>
    <col min="1538" max="1538" width="10" customWidth="1"/>
    <col min="1539" max="1539" width="34" customWidth="1"/>
    <col min="1540" max="1540" width="24" customWidth="1"/>
    <col min="1541" max="1541" width="14" customWidth="1"/>
    <col min="1542" max="1542" width="40" customWidth="1"/>
    <col min="1543" max="1543" width="10" customWidth="1"/>
    <col min="1544" max="1544" width="20" customWidth="1"/>
    <col min="1793" max="1793" width="30" customWidth="1"/>
    <col min="1794" max="1794" width="10" customWidth="1"/>
    <col min="1795" max="1795" width="34" customWidth="1"/>
    <col min="1796" max="1796" width="24" customWidth="1"/>
    <col min="1797" max="1797" width="14" customWidth="1"/>
    <col min="1798" max="1798" width="40" customWidth="1"/>
    <col min="1799" max="1799" width="10" customWidth="1"/>
    <col min="1800" max="1800" width="20" customWidth="1"/>
    <col min="2049" max="2049" width="30" customWidth="1"/>
    <col min="2050" max="2050" width="10" customWidth="1"/>
    <col min="2051" max="2051" width="34" customWidth="1"/>
    <col min="2052" max="2052" width="24" customWidth="1"/>
    <col min="2053" max="2053" width="14" customWidth="1"/>
    <col min="2054" max="2054" width="40" customWidth="1"/>
    <col min="2055" max="2055" width="10" customWidth="1"/>
    <col min="2056" max="2056" width="20" customWidth="1"/>
    <col min="2305" max="2305" width="30" customWidth="1"/>
    <col min="2306" max="2306" width="10" customWidth="1"/>
    <col min="2307" max="2307" width="34" customWidth="1"/>
    <col min="2308" max="2308" width="24" customWidth="1"/>
    <col min="2309" max="2309" width="14" customWidth="1"/>
    <col min="2310" max="2310" width="40" customWidth="1"/>
    <col min="2311" max="2311" width="10" customWidth="1"/>
    <col min="2312" max="2312" width="20" customWidth="1"/>
    <col min="2561" max="2561" width="30" customWidth="1"/>
    <col min="2562" max="2562" width="10" customWidth="1"/>
    <col min="2563" max="2563" width="34" customWidth="1"/>
    <col min="2564" max="2564" width="24" customWidth="1"/>
    <col min="2565" max="2565" width="14" customWidth="1"/>
    <col min="2566" max="2566" width="40" customWidth="1"/>
    <col min="2567" max="2567" width="10" customWidth="1"/>
    <col min="2568" max="2568" width="20" customWidth="1"/>
    <col min="2817" max="2817" width="30" customWidth="1"/>
    <col min="2818" max="2818" width="10" customWidth="1"/>
    <col min="2819" max="2819" width="34" customWidth="1"/>
    <col min="2820" max="2820" width="24" customWidth="1"/>
    <col min="2821" max="2821" width="14" customWidth="1"/>
    <col min="2822" max="2822" width="40" customWidth="1"/>
    <col min="2823" max="2823" width="10" customWidth="1"/>
    <col min="2824" max="2824" width="20" customWidth="1"/>
    <col min="3073" max="3073" width="30" customWidth="1"/>
    <col min="3074" max="3074" width="10" customWidth="1"/>
    <col min="3075" max="3075" width="34" customWidth="1"/>
    <col min="3076" max="3076" width="24" customWidth="1"/>
    <col min="3077" max="3077" width="14" customWidth="1"/>
    <col min="3078" max="3078" width="40" customWidth="1"/>
    <col min="3079" max="3079" width="10" customWidth="1"/>
    <col min="3080" max="3080" width="20" customWidth="1"/>
    <col min="3329" max="3329" width="30" customWidth="1"/>
    <col min="3330" max="3330" width="10" customWidth="1"/>
    <col min="3331" max="3331" width="34" customWidth="1"/>
    <col min="3332" max="3332" width="24" customWidth="1"/>
    <col min="3333" max="3333" width="14" customWidth="1"/>
    <col min="3334" max="3334" width="40" customWidth="1"/>
    <col min="3335" max="3335" width="10" customWidth="1"/>
    <col min="3336" max="3336" width="20" customWidth="1"/>
    <col min="3585" max="3585" width="30" customWidth="1"/>
    <col min="3586" max="3586" width="10" customWidth="1"/>
    <col min="3587" max="3587" width="34" customWidth="1"/>
    <col min="3588" max="3588" width="24" customWidth="1"/>
    <col min="3589" max="3589" width="14" customWidth="1"/>
    <col min="3590" max="3590" width="40" customWidth="1"/>
    <col min="3591" max="3591" width="10" customWidth="1"/>
    <col min="3592" max="3592" width="20" customWidth="1"/>
    <col min="3841" max="3841" width="30" customWidth="1"/>
    <col min="3842" max="3842" width="10" customWidth="1"/>
    <col min="3843" max="3843" width="34" customWidth="1"/>
    <col min="3844" max="3844" width="24" customWidth="1"/>
    <col min="3845" max="3845" width="14" customWidth="1"/>
    <col min="3846" max="3846" width="40" customWidth="1"/>
    <col min="3847" max="3847" width="10" customWidth="1"/>
    <col min="3848" max="3848" width="20" customWidth="1"/>
    <col min="4097" max="4097" width="30" customWidth="1"/>
    <col min="4098" max="4098" width="10" customWidth="1"/>
    <col min="4099" max="4099" width="34" customWidth="1"/>
    <col min="4100" max="4100" width="24" customWidth="1"/>
    <col min="4101" max="4101" width="14" customWidth="1"/>
    <col min="4102" max="4102" width="40" customWidth="1"/>
    <col min="4103" max="4103" width="10" customWidth="1"/>
    <col min="4104" max="4104" width="20" customWidth="1"/>
    <col min="4353" max="4353" width="30" customWidth="1"/>
    <col min="4354" max="4354" width="10" customWidth="1"/>
    <col min="4355" max="4355" width="34" customWidth="1"/>
    <col min="4356" max="4356" width="24" customWidth="1"/>
    <col min="4357" max="4357" width="14" customWidth="1"/>
    <col min="4358" max="4358" width="40" customWidth="1"/>
    <col min="4359" max="4359" width="10" customWidth="1"/>
    <col min="4360" max="4360" width="20" customWidth="1"/>
    <col min="4609" max="4609" width="30" customWidth="1"/>
    <col min="4610" max="4610" width="10" customWidth="1"/>
    <col min="4611" max="4611" width="34" customWidth="1"/>
    <col min="4612" max="4612" width="24" customWidth="1"/>
    <col min="4613" max="4613" width="14" customWidth="1"/>
    <col min="4614" max="4614" width="40" customWidth="1"/>
    <col min="4615" max="4615" width="10" customWidth="1"/>
    <col min="4616" max="4616" width="20" customWidth="1"/>
    <col min="4865" max="4865" width="30" customWidth="1"/>
    <col min="4866" max="4866" width="10" customWidth="1"/>
    <col min="4867" max="4867" width="34" customWidth="1"/>
    <col min="4868" max="4868" width="24" customWidth="1"/>
    <col min="4869" max="4869" width="14" customWidth="1"/>
    <col min="4870" max="4870" width="40" customWidth="1"/>
    <col min="4871" max="4871" width="10" customWidth="1"/>
    <col min="4872" max="4872" width="20" customWidth="1"/>
    <col min="5121" max="5121" width="30" customWidth="1"/>
    <col min="5122" max="5122" width="10" customWidth="1"/>
    <col min="5123" max="5123" width="34" customWidth="1"/>
    <col min="5124" max="5124" width="24" customWidth="1"/>
    <col min="5125" max="5125" width="14" customWidth="1"/>
    <col min="5126" max="5126" width="40" customWidth="1"/>
    <col min="5127" max="5127" width="10" customWidth="1"/>
    <col min="5128" max="5128" width="20" customWidth="1"/>
    <col min="5377" max="5377" width="30" customWidth="1"/>
    <col min="5378" max="5378" width="10" customWidth="1"/>
    <col min="5379" max="5379" width="34" customWidth="1"/>
    <col min="5380" max="5380" width="24" customWidth="1"/>
    <col min="5381" max="5381" width="14" customWidth="1"/>
    <col min="5382" max="5382" width="40" customWidth="1"/>
    <col min="5383" max="5383" width="10" customWidth="1"/>
    <col min="5384" max="5384" width="20" customWidth="1"/>
    <col min="5633" max="5633" width="30" customWidth="1"/>
    <col min="5634" max="5634" width="10" customWidth="1"/>
    <col min="5635" max="5635" width="34" customWidth="1"/>
    <col min="5636" max="5636" width="24" customWidth="1"/>
    <col min="5637" max="5637" width="14" customWidth="1"/>
    <col min="5638" max="5638" width="40" customWidth="1"/>
    <col min="5639" max="5639" width="10" customWidth="1"/>
    <col min="5640" max="5640" width="20" customWidth="1"/>
    <col min="5889" max="5889" width="30" customWidth="1"/>
    <col min="5890" max="5890" width="10" customWidth="1"/>
    <col min="5891" max="5891" width="34" customWidth="1"/>
    <col min="5892" max="5892" width="24" customWidth="1"/>
    <col min="5893" max="5893" width="14" customWidth="1"/>
    <col min="5894" max="5894" width="40" customWidth="1"/>
    <col min="5895" max="5895" width="10" customWidth="1"/>
    <col min="5896" max="5896" width="20" customWidth="1"/>
    <col min="6145" max="6145" width="30" customWidth="1"/>
    <col min="6146" max="6146" width="10" customWidth="1"/>
    <col min="6147" max="6147" width="34" customWidth="1"/>
    <col min="6148" max="6148" width="24" customWidth="1"/>
    <col min="6149" max="6149" width="14" customWidth="1"/>
    <col min="6150" max="6150" width="40" customWidth="1"/>
    <col min="6151" max="6151" width="10" customWidth="1"/>
    <col min="6152" max="6152" width="20" customWidth="1"/>
    <col min="6401" max="6401" width="30" customWidth="1"/>
    <col min="6402" max="6402" width="10" customWidth="1"/>
    <col min="6403" max="6403" width="34" customWidth="1"/>
    <col min="6404" max="6404" width="24" customWidth="1"/>
    <col min="6405" max="6405" width="14" customWidth="1"/>
    <col min="6406" max="6406" width="40" customWidth="1"/>
    <col min="6407" max="6407" width="10" customWidth="1"/>
    <col min="6408" max="6408" width="20" customWidth="1"/>
    <col min="6657" max="6657" width="30" customWidth="1"/>
    <col min="6658" max="6658" width="10" customWidth="1"/>
    <col min="6659" max="6659" width="34" customWidth="1"/>
    <col min="6660" max="6660" width="24" customWidth="1"/>
    <col min="6661" max="6661" width="14" customWidth="1"/>
    <col min="6662" max="6662" width="40" customWidth="1"/>
    <col min="6663" max="6663" width="10" customWidth="1"/>
    <col min="6664" max="6664" width="20" customWidth="1"/>
    <col min="6913" max="6913" width="30" customWidth="1"/>
    <col min="6914" max="6914" width="10" customWidth="1"/>
    <col min="6915" max="6915" width="34" customWidth="1"/>
    <col min="6916" max="6916" width="24" customWidth="1"/>
    <col min="6917" max="6917" width="14" customWidth="1"/>
    <col min="6918" max="6918" width="40" customWidth="1"/>
    <col min="6919" max="6919" width="10" customWidth="1"/>
    <col min="6920" max="6920" width="20" customWidth="1"/>
    <col min="7169" max="7169" width="30" customWidth="1"/>
    <col min="7170" max="7170" width="10" customWidth="1"/>
    <col min="7171" max="7171" width="34" customWidth="1"/>
    <col min="7172" max="7172" width="24" customWidth="1"/>
    <col min="7173" max="7173" width="14" customWidth="1"/>
    <col min="7174" max="7174" width="40" customWidth="1"/>
    <col min="7175" max="7175" width="10" customWidth="1"/>
    <col min="7176" max="7176" width="20" customWidth="1"/>
    <col min="7425" max="7425" width="30" customWidth="1"/>
    <col min="7426" max="7426" width="10" customWidth="1"/>
    <col min="7427" max="7427" width="34" customWidth="1"/>
    <col min="7428" max="7428" width="24" customWidth="1"/>
    <col min="7429" max="7429" width="14" customWidth="1"/>
    <col min="7430" max="7430" width="40" customWidth="1"/>
    <col min="7431" max="7431" width="10" customWidth="1"/>
    <col min="7432" max="7432" width="20" customWidth="1"/>
    <col min="7681" max="7681" width="30" customWidth="1"/>
    <col min="7682" max="7682" width="10" customWidth="1"/>
    <col min="7683" max="7683" width="34" customWidth="1"/>
    <col min="7684" max="7684" width="24" customWidth="1"/>
    <col min="7685" max="7685" width="14" customWidth="1"/>
    <col min="7686" max="7686" width="40" customWidth="1"/>
    <col min="7687" max="7687" width="10" customWidth="1"/>
    <col min="7688" max="7688" width="20" customWidth="1"/>
    <col min="7937" max="7937" width="30" customWidth="1"/>
    <col min="7938" max="7938" width="10" customWidth="1"/>
    <col min="7939" max="7939" width="34" customWidth="1"/>
    <col min="7940" max="7940" width="24" customWidth="1"/>
    <col min="7941" max="7941" width="14" customWidth="1"/>
    <col min="7942" max="7942" width="40" customWidth="1"/>
    <col min="7943" max="7943" width="10" customWidth="1"/>
    <col min="7944" max="7944" width="20" customWidth="1"/>
    <col min="8193" max="8193" width="30" customWidth="1"/>
    <col min="8194" max="8194" width="10" customWidth="1"/>
    <col min="8195" max="8195" width="34" customWidth="1"/>
    <col min="8196" max="8196" width="24" customWidth="1"/>
    <col min="8197" max="8197" width="14" customWidth="1"/>
    <col min="8198" max="8198" width="40" customWidth="1"/>
    <col min="8199" max="8199" width="10" customWidth="1"/>
    <col min="8200" max="8200" width="20" customWidth="1"/>
    <col min="8449" max="8449" width="30" customWidth="1"/>
    <col min="8450" max="8450" width="10" customWidth="1"/>
    <col min="8451" max="8451" width="34" customWidth="1"/>
    <col min="8452" max="8452" width="24" customWidth="1"/>
    <col min="8453" max="8453" width="14" customWidth="1"/>
    <col min="8454" max="8454" width="40" customWidth="1"/>
    <col min="8455" max="8455" width="10" customWidth="1"/>
    <col min="8456" max="8456" width="20" customWidth="1"/>
    <col min="8705" max="8705" width="30" customWidth="1"/>
    <col min="8706" max="8706" width="10" customWidth="1"/>
    <col min="8707" max="8707" width="34" customWidth="1"/>
    <col min="8708" max="8708" width="24" customWidth="1"/>
    <col min="8709" max="8709" width="14" customWidth="1"/>
    <col min="8710" max="8710" width="40" customWidth="1"/>
    <col min="8711" max="8711" width="10" customWidth="1"/>
    <col min="8712" max="8712" width="20" customWidth="1"/>
    <col min="8961" max="8961" width="30" customWidth="1"/>
    <col min="8962" max="8962" width="10" customWidth="1"/>
    <col min="8963" max="8963" width="34" customWidth="1"/>
    <col min="8964" max="8964" width="24" customWidth="1"/>
    <col min="8965" max="8965" width="14" customWidth="1"/>
    <col min="8966" max="8966" width="40" customWidth="1"/>
    <col min="8967" max="8967" width="10" customWidth="1"/>
    <col min="8968" max="8968" width="20" customWidth="1"/>
    <col min="9217" max="9217" width="30" customWidth="1"/>
    <col min="9218" max="9218" width="10" customWidth="1"/>
    <col min="9219" max="9219" width="34" customWidth="1"/>
    <col min="9220" max="9220" width="24" customWidth="1"/>
    <col min="9221" max="9221" width="14" customWidth="1"/>
    <col min="9222" max="9222" width="40" customWidth="1"/>
    <col min="9223" max="9223" width="10" customWidth="1"/>
    <col min="9224" max="9224" width="20" customWidth="1"/>
    <col min="9473" max="9473" width="30" customWidth="1"/>
    <col min="9474" max="9474" width="10" customWidth="1"/>
    <col min="9475" max="9475" width="34" customWidth="1"/>
    <col min="9476" max="9476" width="24" customWidth="1"/>
    <col min="9477" max="9477" width="14" customWidth="1"/>
    <col min="9478" max="9478" width="40" customWidth="1"/>
    <col min="9479" max="9479" width="10" customWidth="1"/>
    <col min="9480" max="9480" width="20" customWidth="1"/>
    <col min="9729" max="9729" width="30" customWidth="1"/>
    <col min="9730" max="9730" width="10" customWidth="1"/>
    <col min="9731" max="9731" width="34" customWidth="1"/>
    <col min="9732" max="9732" width="24" customWidth="1"/>
    <col min="9733" max="9733" width="14" customWidth="1"/>
    <col min="9734" max="9734" width="40" customWidth="1"/>
    <col min="9735" max="9735" width="10" customWidth="1"/>
    <col min="9736" max="9736" width="20" customWidth="1"/>
    <col min="9985" max="9985" width="30" customWidth="1"/>
    <col min="9986" max="9986" width="10" customWidth="1"/>
    <col min="9987" max="9987" width="34" customWidth="1"/>
    <col min="9988" max="9988" width="24" customWidth="1"/>
    <col min="9989" max="9989" width="14" customWidth="1"/>
    <col min="9990" max="9990" width="40" customWidth="1"/>
    <col min="9991" max="9991" width="10" customWidth="1"/>
    <col min="9992" max="9992" width="20" customWidth="1"/>
    <col min="10241" max="10241" width="30" customWidth="1"/>
    <col min="10242" max="10242" width="10" customWidth="1"/>
    <col min="10243" max="10243" width="34" customWidth="1"/>
    <col min="10244" max="10244" width="24" customWidth="1"/>
    <col min="10245" max="10245" width="14" customWidth="1"/>
    <col min="10246" max="10246" width="40" customWidth="1"/>
    <col min="10247" max="10247" width="10" customWidth="1"/>
    <col min="10248" max="10248" width="20" customWidth="1"/>
    <col min="10497" max="10497" width="30" customWidth="1"/>
    <col min="10498" max="10498" width="10" customWidth="1"/>
    <col min="10499" max="10499" width="34" customWidth="1"/>
    <col min="10500" max="10500" width="24" customWidth="1"/>
    <col min="10501" max="10501" width="14" customWidth="1"/>
    <col min="10502" max="10502" width="40" customWidth="1"/>
    <col min="10503" max="10503" width="10" customWidth="1"/>
    <col min="10504" max="10504" width="20" customWidth="1"/>
    <col min="10753" max="10753" width="30" customWidth="1"/>
    <col min="10754" max="10754" width="10" customWidth="1"/>
    <col min="10755" max="10755" width="34" customWidth="1"/>
    <col min="10756" max="10756" width="24" customWidth="1"/>
    <col min="10757" max="10757" width="14" customWidth="1"/>
    <col min="10758" max="10758" width="40" customWidth="1"/>
    <col min="10759" max="10759" width="10" customWidth="1"/>
    <col min="10760" max="10760" width="20" customWidth="1"/>
    <col min="11009" max="11009" width="30" customWidth="1"/>
    <col min="11010" max="11010" width="10" customWidth="1"/>
    <col min="11011" max="11011" width="34" customWidth="1"/>
    <col min="11012" max="11012" width="24" customWidth="1"/>
    <col min="11013" max="11013" width="14" customWidth="1"/>
    <col min="11014" max="11014" width="40" customWidth="1"/>
    <col min="11015" max="11015" width="10" customWidth="1"/>
    <col min="11016" max="11016" width="20" customWidth="1"/>
    <col min="11265" max="11265" width="30" customWidth="1"/>
    <col min="11266" max="11266" width="10" customWidth="1"/>
    <col min="11267" max="11267" width="34" customWidth="1"/>
    <col min="11268" max="11268" width="24" customWidth="1"/>
    <col min="11269" max="11269" width="14" customWidth="1"/>
    <col min="11270" max="11270" width="40" customWidth="1"/>
    <col min="11271" max="11271" width="10" customWidth="1"/>
    <col min="11272" max="11272" width="20" customWidth="1"/>
    <col min="11521" max="11521" width="30" customWidth="1"/>
    <col min="11522" max="11522" width="10" customWidth="1"/>
    <col min="11523" max="11523" width="34" customWidth="1"/>
    <col min="11524" max="11524" width="24" customWidth="1"/>
    <col min="11525" max="11525" width="14" customWidth="1"/>
    <col min="11526" max="11526" width="40" customWidth="1"/>
    <col min="11527" max="11527" width="10" customWidth="1"/>
    <col min="11528" max="11528" width="20" customWidth="1"/>
    <col min="11777" max="11777" width="30" customWidth="1"/>
    <col min="11778" max="11778" width="10" customWidth="1"/>
    <col min="11779" max="11779" width="34" customWidth="1"/>
    <col min="11780" max="11780" width="24" customWidth="1"/>
    <col min="11781" max="11781" width="14" customWidth="1"/>
    <col min="11782" max="11782" width="40" customWidth="1"/>
    <col min="11783" max="11783" width="10" customWidth="1"/>
    <col min="11784" max="11784" width="20" customWidth="1"/>
    <col min="12033" max="12033" width="30" customWidth="1"/>
    <col min="12034" max="12034" width="10" customWidth="1"/>
    <col min="12035" max="12035" width="34" customWidth="1"/>
    <col min="12036" max="12036" width="24" customWidth="1"/>
    <col min="12037" max="12037" width="14" customWidth="1"/>
    <col min="12038" max="12038" width="40" customWidth="1"/>
    <col min="12039" max="12039" width="10" customWidth="1"/>
    <col min="12040" max="12040" width="20" customWidth="1"/>
    <col min="12289" max="12289" width="30" customWidth="1"/>
    <col min="12290" max="12290" width="10" customWidth="1"/>
    <col min="12291" max="12291" width="34" customWidth="1"/>
    <col min="12292" max="12292" width="24" customWidth="1"/>
    <col min="12293" max="12293" width="14" customWidth="1"/>
    <col min="12294" max="12294" width="40" customWidth="1"/>
    <col min="12295" max="12295" width="10" customWidth="1"/>
    <col min="12296" max="12296" width="20" customWidth="1"/>
    <col min="12545" max="12545" width="30" customWidth="1"/>
    <col min="12546" max="12546" width="10" customWidth="1"/>
    <col min="12547" max="12547" width="34" customWidth="1"/>
    <col min="12548" max="12548" width="24" customWidth="1"/>
    <col min="12549" max="12549" width="14" customWidth="1"/>
    <col min="12550" max="12550" width="40" customWidth="1"/>
    <col min="12551" max="12551" width="10" customWidth="1"/>
    <col min="12552" max="12552" width="20" customWidth="1"/>
    <col min="12801" max="12801" width="30" customWidth="1"/>
    <col min="12802" max="12802" width="10" customWidth="1"/>
    <col min="12803" max="12803" width="34" customWidth="1"/>
    <col min="12804" max="12804" width="24" customWidth="1"/>
    <col min="12805" max="12805" width="14" customWidth="1"/>
    <col min="12806" max="12806" width="40" customWidth="1"/>
    <col min="12807" max="12807" width="10" customWidth="1"/>
    <col min="12808" max="12808" width="20" customWidth="1"/>
    <col min="13057" max="13057" width="30" customWidth="1"/>
    <col min="13058" max="13058" width="10" customWidth="1"/>
    <col min="13059" max="13059" width="34" customWidth="1"/>
    <col min="13060" max="13060" width="24" customWidth="1"/>
    <col min="13061" max="13061" width="14" customWidth="1"/>
    <col min="13062" max="13062" width="40" customWidth="1"/>
    <col min="13063" max="13063" width="10" customWidth="1"/>
    <col min="13064" max="13064" width="20" customWidth="1"/>
    <col min="13313" max="13313" width="30" customWidth="1"/>
    <col min="13314" max="13314" width="10" customWidth="1"/>
    <col min="13315" max="13315" width="34" customWidth="1"/>
    <col min="13316" max="13316" width="24" customWidth="1"/>
    <col min="13317" max="13317" width="14" customWidth="1"/>
    <col min="13318" max="13318" width="40" customWidth="1"/>
    <col min="13319" max="13319" width="10" customWidth="1"/>
    <col min="13320" max="13320" width="20" customWidth="1"/>
    <col min="13569" max="13569" width="30" customWidth="1"/>
    <col min="13570" max="13570" width="10" customWidth="1"/>
    <col min="13571" max="13571" width="34" customWidth="1"/>
    <col min="13572" max="13572" width="24" customWidth="1"/>
    <col min="13573" max="13573" width="14" customWidth="1"/>
    <col min="13574" max="13574" width="40" customWidth="1"/>
    <col min="13575" max="13575" width="10" customWidth="1"/>
    <col min="13576" max="13576" width="20" customWidth="1"/>
    <col min="13825" max="13825" width="30" customWidth="1"/>
    <col min="13826" max="13826" width="10" customWidth="1"/>
    <col min="13827" max="13827" width="34" customWidth="1"/>
    <col min="13828" max="13828" width="24" customWidth="1"/>
    <col min="13829" max="13829" width="14" customWidth="1"/>
    <col min="13830" max="13830" width="40" customWidth="1"/>
    <col min="13831" max="13831" width="10" customWidth="1"/>
    <col min="13832" max="13832" width="20" customWidth="1"/>
    <col min="14081" max="14081" width="30" customWidth="1"/>
    <col min="14082" max="14082" width="10" customWidth="1"/>
    <col min="14083" max="14083" width="34" customWidth="1"/>
    <col min="14084" max="14084" width="24" customWidth="1"/>
    <col min="14085" max="14085" width="14" customWidth="1"/>
    <col min="14086" max="14086" width="40" customWidth="1"/>
    <col min="14087" max="14087" width="10" customWidth="1"/>
    <col min="14088" max="14088" width="20" customWidth="1"/>
    <col min="14337" max="14337" width="30" customWidth="1"/>
    <col min="14338" max="14338" width="10" customWidth="1"/>
    <col min="14339" max="14339" width="34" customWidth="1"/>
    <col min="14340" max="14340" width="24" customWidth="1"/>
    <col min="14341" max="14341" width="14" customWidth="1"/>
    <col min="14342" max="14342" width="40" customWidth="1"/>
    <col min="14343" max="14343" width="10" customWidth="1"/>
    <col min="14344" max="14344" width="20" customWidth="1"/>
    <col min="14593" max="14593" width="30" customWidth="1"/>
    <col min="14594" max="14594" width="10" customWidth="1"/>
    <col min="14595" max="14595" width="34" customWidth="1"/>
    <col min="14596" max="14596" width="24" customWidth="1"/>
    <col min="14597" max="14597" width="14" customWidth="1"/>
    <col min="14598" max="14598" width="40" customWidth="1"/>
    <col min="14599" max="14599" width="10" customWidth="1"/>
    <col min="14600" max="14600" width="20" customWidth="1"/>
    <col min="14849" max="14849" width="30" customWidth="1"/>
    <col min="14850" max="14850" width="10" customWidth="1"/>
    <col min="14851" max="14851" width="34" customWidth="1"/>
    <col min="14852" max="14852" width="24" customWidth="1"/>
    <col min="14853" max="14853" width="14" customWidth="1"/>
    <col min="14854" max="14854" width="40" customWidth="1"/>
    <col min="14855" max="14855" width="10" customWidth="1"/>
    <col min="14856" max="14856" width="20" customWidth="1"/>
    <col min="15105" max="15105" width="30" customWidth="1"/>
    <col min="15106" max="15106" width="10" customWidth="1"/>
    <col min="15107" max="15107" width="34" customWidth="1"/>
    <col min="15108" max="15108" width="24" customWidth="1"/>
    <col min="15109" max="15109" width="14" customWidth="1"/>
    <col min="15110" max="15110" width="40" customWidth="1"/>
    <col min="15111" max="15111" width="10" customWidth="1"/>
    <col min="15112" max="15112" width="20" customWidth="1"/>
    <col min="15361" max="15361" width="30" customWidth="1"/>
    <col min="15362" max="15362" width="10" customWidth="1"/>
    <col min="15363" max="15363" width="34" customWidth="1"/>
    <col min="15364" max="15364" width="24" customWidth="1"/>
    <col min="15365" max="15365" width="14" customWidth="1"/>
    <col min="15366" max="15366" width="40" customWidth="1"/>
    <col min="15367" max="15367" width="10" customWidth="1"/>
    <col min="15368" max="15368" width="20" customWidth="1"/>
    <col min="15617" max="15617" width="30" customWidth="1"/>
    <col min="15618" max="15618" width="10" customWidth="1"/>
    <col min="15619" max="15619" width="34" customWidth="1"/>
    <col min="15620" max="15620" width="24" customWidth="1"/>
    <col min="15621" max="15621" width="14" customWidth="1"/>
    <col min="15622" max="15622" width="40" customWidth="1"/>
    <col min="15623" max="15623" width="10" customWidth="1"/>
    <col min="15624" max="15624" width="20" customWidth="1"/>
    <col min="15873" max="15873" width="30" customWidth="1"/>
    <col min="15874" max="15874" width="10" customWidth="1"/>
    <col min="15875" max="15875" width="34" customWidth="1"/>
    <col min="15876" max="15876" width="24" customWidth="1"/>
    <col min="15877" max="15877" width="14" customWidth="1"/>
    <col min="15878" max="15878" width="40" customWidth="1"/>
    <col min="15879" max="15879" width="10" customWidth="1"/>
    <col min="15880" max="15880" width="20" customWidth="1"/>
    <col min="16129" max="16129" width="30" customWidth="1"/>
    <col min="16130" max="16130" width="10" customWidth="1"/>
    <col min="16131" max="16131" width="34" customWidth="1"/>
    <col min="16132" max="16132" width="24" customWidth="1"/>
    <col min="16133" max="16133" width="14" customWidth="1"/>
    <col min="16134" max="16134" width="40" customWidth="1"/>
    <col min="16135" max="16135" width="10" customWidth="1"/>
    <col min="16136" max="16136" width="20" customWidth="1"/>
  </cols>
  <sheetData>
    <row r="1" spans="1:8" x14ac:dyDescent="0.2">
      <c r="A1" t="s">
        <v>717</v>
      </c>
    </row>
    <row r="3" spans="1:8" x14ac:dyDescent="0.2">
      <c r="A3" t="s">
        <v>718</v>
      </c>
    </row>
    <row r="4" spans="1:8" x14ac:dyDescent="0.2">
      <c r="A4" t="s">
        <v>719</v>
      </c>
    </row>
    <row r="5" spans="1:8" x14ac:dyDescent="0.2">
      <c r="A5" t="s">
        <v>720</v>
      </c>
    </row>
    <row r="8" spans="1:8" x14ac:dyDescent="0.2">
      <c r="A8" t="s">
        <v>721</v>
      </c>
      <c r="B8"/>
      <c r="C8" t="s">
        <v>722</v>
      </c>
      <c r="D8" t="s">
        <v>723</v>
      </c>
      <c r="F8" t="s">
        <v>724</v>
      </c>
      <c r="G8" t="s">
        <v>725</v>
      </c>
      <c r="H8" t="s">
        <v>726</v>
      </c>
    </row>
    <row r="9" spans="1:8" x14ac:dyDescent="0.2">
      <c r="A9" t="s">
        <v>727</v>
      </c>
      <c r="C9" s="3" t="s">
        <v>727</v>
      </c>
      <c r="D9" t="s">
        <v>728</v>
      </c>
      <c r="F9" t="s">
        <v>729</v>
      </c>
      <c r="G9" t="s">
        <v>730</v>
      </c>
    </row>
    <row r="10" spans="1:8" x14ac:dyDescent="0.2">
      <c r="A10" t="s">
        <v>731</v>
      </c>
      <c r="C10" s="3" t="s">
        <v>731</v>
      </c>
      <c r="D10" t="s">
        <v>732</v>
      </c>
      <c r="F10" t="s">
        <v>729</v>
      </c>
      <c r="G10" t="s">
        <v>733</v>
      </c>
    </row>
    <row r="11" spans="1:8" x14ac:dyDescent="0.2">
      <c r="A11" t="s">
        <v>734</v>
      </c>
      <c r="C11" s="3" t="s">
        <v>734</v>
      </c>
      <c r="D11" t="s">
        <v>735</v>
      </c>
      <c r="F11" t="s">
        <v>729</v>
      </c>
      <c r="G11" t="s">
        <v>796</v>
      </c>
    </row>
    <row r="12" spans="1:8" x14ac:dyDescent="0.2">
      <c r="A12" t="s">
        <v>736</v>
      </c>
      <c r="C12" s="3" t="s">
        <v>736</v>
      </c>
      <c r="D12" t="s">
        <v>737</v>
      </c>
      <c r="F12" t="s">
        <v>729</v>
      </c>
      <c r="G12" t="s">
        <v>738</v>
      </c>
    </row>
    <row r="13" spans="1:8" x14ac:dyDescent="0.2">
      <c r="A13" t="s">
        <v>739</v>
      </c>
      <c r="C13" s="3" t="s">
        <v>740</v>
      </c>
      <c r="D13" t="s">
        <v>741</v>
      </c>
      <c r="F13" t="s">
        <v>729</v>
      </c>
      <c r="G13" t="s">
        <v>742</v>
      </c>
    </row>
    <row r="14" spans="1:8" x14ac:dyDescent="0.2">
      <c r="A14" t="s">
        <v>743</v>
      </c>
      <c r="C14" s="3" t="s">
        <v>743</v>
      </c>
      <c r="D14" t="s">
        <v>744</v>
      </c>
      <c r="F14" t="s">
        <v>729</v>
      </c>
      <c r="G14" t="s">
        <v>745</v>
      </c>
    </row>
    <row r="15" spans="1:8" x14ac:dyDescent="0.2">
      <c r="A15" t="s">
        <v>746</v>
      </c>
      <c r="C15" s="3" t="s">
        <v>746</v>
      </c>
      <c r="D15" t="s">
        <v>747</v>
      </c>
      <c r="F15" t="s">
        <v>729</v>
      </c>
      <c r="G15" t="s">
        <v>748</v>
      </c>
    </row>
    <row r="16" spans="1:8" x14ac:dyDescent="0.2">
      <c r="A16" t="s">
        <v>749</v>
      </c>
      <c r="C16" s="3" t="s">
        <v>749</v>
      </c>
      <c r="D16" t="s">
        <v>750</v>
      </c>
      <c r="F16" t="s">
        <v>729</v>
      </c>
      <c r="G16" t="s">
        <v>751</v>
      </c>
    </row>
    <row r="17" spans="1:7" x14ac:dyDescent="0.2">
      <c r="A17" t="s">
        <v>752</v>
      </c>
      <c r="D17" t="s">
        <v>358</v>
      </c>
      <c r="F17" t="s">
        <v>729</v>
      </c>
      <c r="G17" t="s">
        <v>753</v>
      </c>
    </row>
    <row r="18" spans="1:7" x14ac:dyDescent="0.2">
      <c r="A18" t="s">
        <v>754</v>
      </c>
      <c r="D18" t="s">
        <v>358</v>
      </c>
      <c r="F18" t="s">
        <v>729</v>
      </c>
      <c r="G18" t="s">
        <v>755</v>
      </c>
    </row>
    <row r="19" spans="1:7" x14ac:dyDescent="0.2">
      <c r="A19" t="s">
        <v>756</v>
      </c>
      <c r="C19" s="3" t="s">
        <v>756</v>
      </c>
      <c r="D19" t="s">
        <v>757</v>
      </c>
      <c r="F19" t="s">
        <v>729</v>
      </c>
      <c r="G19" t="s">
        <v>758</v>
      </c>
    </row>
    <row r="20" spans="1:7" x14ac:dyDescent="0.2">
      <c r="A20" t="s">
        <v>759</v>
      </c>
      <c r="C20" s="3" t="s">
        <v>759</v>
      </c>
      <c r="D20" t="s">
        <v>760</v>
      </c>
      <c r="F20" t="s">
        <v>729</v>
      </c>
      <c r="G20" t="s">
        <v>761</v>
      </c>
    </row>
    <row r="21" spans="1:7" x14ac:dyDescent="0.2">
      <c r="A21" t="s">
        <v>762</v>
      </c>
      <c r="C21" s="3" t="s">
        <v>762</v>
      </c>
      <c r="D21" t="s">
        <v>763</v>
      </c>
      <c r="F21" t="s">
        <v>729</v>
      </c>
      <c r="G21" t="s">
        <v>764</v>
      </c>
    </row>
    <row r="22" spans="1:7" x14ac:dyDescent="0.2">
      <c r="A22" t="s">
        <v>765</v>
      </c>
      <c r="C22" s="3" t="s">
        <v>765</v>
      </c>
      <c r="D22" t="s">
        <v>766</v>
      </c>
      <c r="F22" t="s">
        <v>729</v>
      </c>
      <c r="G22" t="s">
        <v>767</v>
      </c>
    </row>
    <row r="23" spans="1:7" x14ac:dyDescent="0.2">
      <c r="A23" t="s">
        <v>768</v>
      </c>
      <c r="C23" s="3" t="s">
        <v>769</v>
      </c>
      <c r="D23" t="s">
        <v>770</v>
      </c>
      <c r="F23" t="s">
        <v>729</v>
      </c>
      <c r="G23" t="s">
        <v>771</v>
      </c>
    </row>
    <row r="24" spans="1:7" x14ac:dyDescent="0.2">
      <c r="A24" t="s">
        <v>772</v>
      </c>
      <c r="C24" s="3" t="s">
        <v>772</v>
      </c>
      <c r="D24" t="s">
        <v>773</v>
      </c>
      <c r="F24" t="s">
        <v>729</v>
      </c>
      <c r="G24" t="s">
        <v>774</v>
      </c>
    </row>
    <row r="25" spans="1:7" x14ac:dyDescent="0.2">
      <c r="A25" t="s">
        <v>775</v>
      </c>
      <c r="C25" s="3" t="s">
        <v>776</v>
      </c>
      <c r="D25" t="s">
        <v>777</v>
      </c>
      <c r="F25" t="s">
        <v>729</v>
      </c>
      <c r="G25" t="s">
        <v>778</v>
      </c>
    </row>
    <row r="26" spans="1:7" x14ac:dyDescent="0.2">
      <c r="A26" t="s">
        <v>779</v>
      </c>
      <c r="C26" s="3" t="s">
        <v>779</v>
      </c>
      <c r="D26" t="s">
        <v>780</v>
      </c>
      <c r="F26" t="s">
        <v>729</v>
      </c>
      <c r="G26" t="s">
        <v>781</v>
      </c>
    </row>
    <row r="27" spans="1:7" x14ac:dyDescent="0.2">
      <c r="A27" t="s">
        <v>782</v>
      </c>
      <c r="C27" s="3" t="s">
        <v>782</v>
      </c>
      <c r="D27" t="s">
        <v>783</v>
      </c>
      <c r="F27" t="s">
        <v>729</v>
      </c>
      <c r="G27" t="s">
        <v>784</v>
      </c>
    </row>
    <row r="28" spans="1:7" x14ac:dyDescent="0.2">
      <c r="A28" t="s">
        <v>785</v>
      </c>
      <c r="C28" s="3" t="s">
        <v>785</v>
      </c>
      <c r="D28" t="s">
        <v>786</v>
      </c>
      <c r="F28" t="s">
        <v>729</v>
      </c>
      <c r="G28" t="s">
        <v>787</v>
      </c>
    </row>
    <row r="29" spans="1:7" x14ac:dyDescent="0.2">
      <c r="A29" t="s">
        <v>788</v>
      </c>
      <c r="D29" t="s">
        <v>358</v>
      </c>
      <c r="F29" t="s">
        <v>729</v>
      </c>
      <c r="G29" t="s">
        <v>789</v>
      </c>
    </row>
    <row r="30" spans="1:7" x14ac:dyDescent="0.2">
      <c r="A30" t="s">
        <v>790</v>
      </c>
      <c r="C30" s="3" t="s">
        <v>790</v>
      </c>
      <c r="D30" t="s">
        <v>791</v>
      </c>
      <c r="F30" t="s">
        <v>729</v>
      </c>
      <c r="G30" t="s">
        <v>792</v>
      </c>
    </row>
    <row r="31" spans="1:7" x14ac:dyDescent="0.2">
      <c r="A31" t="s">
        <v>793</v>
      </c>
      <c r="C31" s="3" t="s">
        <v>793</v>
      </c>
      <c r="D31" t="s">
        <v>794</v>
      </c>
      <c r="F31" t="s">
        <v>729</v>
      </c>
      <c r="G31" t="s">
        <v>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8863-92FD-4896-A43C-3AE8E03B49B1}">
  <sheetPr>
    <pageSetUpPr fitToPage="1"/>
  </sheetPr>
  <dimension ref="A3:G43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36" bestFit="1" customWidth="1"/>
    <col min="2" max="2" width="12.5" bestFit="1" customWidth="1"/>
    <col min="3" max="3" width="18.5" bestFit="1" customWidth="1"/>
    <col min="4" max="4" width="23.83203125" style="54" bestFit="1" customWidth="1"/>
    <col min="5" max="5" width="23.33203125" style="54" bestFit="1" customWidth="1"/>
    <col min="6" max="6" width="22.5" bestFit="1" customWidth="1"/>
    <col min="7" max="7" width="18" bestFit="1" customWidth="1"/>
    <col min="8" max="8" width="23.33203125" bestFit="1" customWidth="1"/>
    <col min="9" max="9" width="18" bestFit="1" customWidth="1"/>
    <col min="10" max="10" width="20.5" bestFit="1" customWidth="1"/>
    <col min="11" max="11" width="16.1640625" bestFit="1" customWidth="1"/>
    <col min="12" max="12" width="12.1640625" bestFit="1" customWidth="1"/>
    <col min="13" max="13" width="20.33203125" bestFit="1" customWidth="1"/>
    <col min="14" max="14" width="14.6640625" bestFit="1" customWidth="1"/>
    <col min="15" max="15" width="12.1640625" bestFit="1" customWidth="1"/>
    <col min="16" max="16" width="19" bestFit="1" customWidth="1"/>
    <col min="17" max="17" width="16.83203125" bestFit="1" customWidth="1"/>
    <col min="18" max="18" width="12.1640625" bestFit="1" customWidth="1"/>
    <col min="19" max="19" width="21" bestFit="1" customWidth="1"/>
    <col min="20" max="20" width="8.1640625" bestFit="1" customWidth="1"/>
    <col min="21" max="22" width="12.1640625" bestFit="1" customWidth="1"/>
    <col min="23" max="23" width="10" bestFit="1" customWidth="1"/>
    <col min="24" max="24" width="16.83203125" bestFit="1" customWidth="1"/>
    <col min="25" max="25" width="12.1640625" bestFit="1" customWidth="1"/>
    <col min="26" max="26" width="21" bestFit="1" customWidth="1"/>
    <col min="27" max="27" width="8.1640625" bestFit="1" customWidth="1"/>
    <col min="28" max="29" width="12.1640625" bestFit="1" customWidth="1"/>
    <col min="30" max="30" width="10.33203125" bestFit="1" customWidth="1"/>
    <col min="31" max="31" width="8.1640625" bestFit="1" customWidth="1"/>
    <col min="32" max="34" width="12.1640625" bestFit="1" customWidth="1"/>
    <col min="35" max="35" width="10" bestFit="1" customWidth="1"/>
  </cols>
  <sheetData>
    <row r="3" spans="1:7" x14ac:dyDescent="0.2">
      <c r="A3" s="49" t="s">
        <v>464</v>
      </c>
      <c r="B3" s="67" t="s">
        <v>462</v>
      </c>
      <c r="C3" s="67" t="s">
        <v>463</v>
      </c>
      <c r="D3" t="s">
        <v>348</v>
      </c>
      <c r="E3" t="s">
        <v>346</v>
      </c>
      <c r="F3" s="4" t="s">
        <v>628</v>
      </c>
      <c r="G3" t="s">
        <v>471</v>
      </c>
    </row>
    <row r="4" spans="1:7" x14ac:dyDescent="0.2">
      <c r="A4" t="s">
        <v>9</v>
      </c>
      <c r="B4">
        <v>4</v>
      </c>
      <c r="C4" s="7">
        <v>46082</v>
      </c>
      <c r="D4" s="4">
        <v>66.36</v>
      </c>
      <c r="E4" s="4">
        <v>115.76</v>
      </c>
      <c r="F4" s="4">
        <v>122.42000000000002</v>
      </c>
      <c r="G4" s="4">
        <v>1375</v>
      </c>
    </row>
    <row r="5" spans="1:7" x14ac:dyDescent="0.2">
      <c r="A5" t="s">
        <v>10</v>
      </c>
      <c r="B5">
        <v>4</v>
      </c>
      <c r="C5" s="7">
        <v>46082</v>
      </c>
      <c r="D5" s="4">
        <v>66.36</v>
      </c>
      <c r="E5" s="4"/>
      <c r="F5" s="4">
        <v>261.87</v>
      </c>
      <c r="G5" s="4">
        <v>2625</v>
      </c>
    </row>
    <row r="6" spans="1:7" x14ac:dyDescent="0.2">
      <c r="A6" t="s">
        <v>184</v>
      </c>
      <c r="B6">
        <v>4</v>
      </c>
      <c r="C6" s="7">
        <v>46082</v>
      </c>
      <c r="D6" s="4">
        <v>36.24</v>
      </c>
      <c r="E6" s="4">
        <v>135.85</v>
      </c>
      <c r="F6" s="4">
        <v>589.59</v>
      </c>
      <c r="G6" s="4">
        <v>1450</v>
      </c>
    </row>
    <row r="7" spans="1:7" x14ac:dyDescent="0.2">
      <c r="A7" t="s">
        <v>12</v>
      </c>
      <c r="B7">
        <v>4</v>
      </c>
      <c r="C7" s="7">
        <v>46082</v>
      </c>
      <c r="D7" s="4">
        <v>99.53</v>
      </c>
      <c r="E7" s="4">
        <v>173.26</v>
      </c>
      <c r="F7" s="4">
        <v>902.34000000000015</v>
      </c>
      <c r="G7" s="4">
        <v>1400</v>
      </c>
    </row>
    <row r="8" spans="1:7" x14ac:dyDescent="0.2">
      <c r="A8" t="s">
        <v>687</v>
      </c>
      <c r="B8">
        <v>4</v>
      </c>
      <c r="C8" s="7">
        <v>46082</v>
      </c>
      <c r="D8" s="4">
        <v>0</v>
      </c>
      <c r="E8" s="4">
        <v>0</v>
      </c>
      <c r="F8" s="4">
        <v>388.9</v>
      </c>
      <c r="G8" s="4">
        <v>2227</v>
      </c>
    </row>
    <row r="9" spans="1:7" x14ac:dyDescent="0.2">
      <c r="A9" t="s">
        <v>14</v>
      </c>
      <c r="B9">
        <v>1</v>
      </c>
      <c r="C9" s="7">
        <v>46082</v>
      </c>
      <c r="D9" s="4">
        <v>53.34</v>
      </c>
      <c r="E9" s="4">
        <v>134.88</v>
      </c>
      <c r="F9" s="4">
        <v>429.36000000000013</v>
      </c>
      <c r="G9" s="4">
        <v>1950</v>
      </c>
    </row>
    <row r="10" spans="1:7" x14ac:dyDescent="0.2">
      <c r="A10" t="s">
        <v>176</v>
      </c>
      <c r="B10" t="s">
        <v>465</v>
      </c>
      <c r="C10" t="s">
        <v>465</v>
      </c>
      <c r="D10" s="4">
        <v>95.43</v>
      </c>
      <c r="E10" s="4">
        <v>134.88</v>
      </c>
      <c r="F10" s="4">
        <v>0</v>
      </c>
      <c r="G10" s="4">
        <v>1150</v>
      </c>
    </row>
    <row r="11" spans="1:7" x14ac:dyDescent="0.2">
      <c r="A11" t="s">
        <v>15</v>
      </c>
      <c r="B11" t="s">
        <v>465</v>
      </c>
      <c r="C11" t="s">
        <v>465</v>
      </c>
      <c r="D11" s="4">
        <v>22.83</v>
      </c>
      <c r="E11" s="4">
        <v>125.88666666666667</v>
      </c>
      <c r="F11" s="4">
        <v>0</v>
      </c>
      <c r="G11" s="4">
        <v>1825</v>
      </c>
    </row>
    <row r="12" spans="1:7" x14ac:dyDescent="0.2">
      <c r="A12" t="s">
        <v>17</v>
      </c>
      <c r="B12" t="s">
        <v>465</v>
      </c>
      <c r="C12" t="s">
        <v>465</v>
      </c>
      <c r="D12" s="4">
        <v>77.459999999999994</v>
      </c>
      <c r="E12" s="4">
        <v>125.88666666666667</v>
      </c>
      <c r="F12" s="4">
        <v>0</v>
      </c>
      <c r="G12" s="4">
        <v>2600</v>
      </c>
    </row>
    <row r="13" spans="1:7" x14ac:dyDescent="0.2">
      <c r="A13" t="s">
        <v>394</v>
      </c>
      <c r="B13">
        <v>4</v>
      </c>
      <c r="C13" s="7">
        <v>46082</v>
      </c>
      <c r="D13" s="4">
        <v>47.48</v>
      </c>
      <c r="E13" s="4">
        <v>125.88666666666667</v>
      </c>
      <c r="F13" s="4">
        <v>632.86999999999989</v>
      </c>
      <c r="G13" s="4">
        <v>2020</v>
      </c>
    </row>
    <row r="14" spans="1:7" x14ac:dyDescent="0.2">
      <c r="A14" t="s">
        <v>16</v>
      </c>
      <c r="B14">
        <v>4</v>
      </c>
      <c r="C14" s="7">
        <v>46082</v>
      </c>
      <c r="D14" s="4">
        <v>97.4</v>
      </c>
      <c r="E14" s="4">
        <v>62.949999999999996</v>
      </c>
      <c r="F14" s="4">
        <v>609.67000000000007</v>
      </c>
      <c r="G14" s="4">
        <v>1800</v>
      </c>
    </row>
    <row r="15" spans="1:7" x14ac:dyDescent="0.2">
      <c r="A15" t="s">
        <v>671</v>
      </c>
      <c r="B15">
        <v>4</v>
      </c>
      <c r="C15" s="7">
        <v>46082</v>
      </c>
      <c r="D15" s="4">
        <v>0</v>
      </c>
      <c r="E15" s="4">
        <v>0</v>
      </c>
      <c r="F15" s="4">
        <v>6.7</v>
      </c>
      <c r="G15" s="4">
        <v>1300</v>
      </c>
    </row>
    <row r="16" spans="1:7" x14ac:dyDescent="0.2">
      <c r="A16" t="s">
        <v>672</v>
      </c>
      <c r="B16">
        <v>4</v>
      </c>
      <c r="C16" s="7">
        <v>46082</v>
      </c>
      <c r="D16" s="4">
        <v>0</v>
      </c>
      <c r="E16" s="4">
        <v>0</v>
      </c>
      <c r="F16" s="4">
        <v>6.7</v>
      </c>
      <c r="G16" s="4">
        <v>1950</v>
      </c>
    </row>
    <row r="17" spans="1:7" x14ac:dyDescent="0.2">
      <c r="A17" t="s">
        <v>205</v>
      </c>
      <c r="B17">
        <v>5</v>
      </c>
      <c r="C17" s="7">
        <v>46022</v>
      </c>
      <c r="D17" s="4">
        <v>43.58</v>
      </c>
      <c r="E17" s="4">
        <v>55.476666666666667</v>
      </c>
      <c r="F17" s="4">
        <v>0</v>
      </c>
      <c r="G17" s="4">
        <v>1733.3333333333333</v>
      </c>
    </row>
    <row r="18" spans="1:7" x14ac:dyDescent="0.2">
      <c r="A18" t="s">
        <v>19</v>
      </c>
      <c r="B18">
        <v>4</v>
      </c>
      <c r="C18" s="7">
        <v>46082</v>
      </c>
      <c r="D18" s="4">
        <v>92.22999999999999</v>
      </c>
      <c r="E18" s="4">
        <v>377.66</v>
      </c>
      <c r="F18" s="4">
        <v>633.75999999999976</v>
      </c>
      <c r="G18" s="4">
        <v>2000</v>
      </c>
    </row>
    <row r="19" spans="1:7" x14ac:dyDescent="0.2">
      <c r="A19" t="s">
        <v>355</v>
      </c>
      <c r="B19">
        <v>5</v>
      </c>
      <c r="C19" s="7">
        <v>46022</v>
      </c>
      <c r="D19" s="4">
        <v>63.99</v>
      </c>
      <c r="E19" s="4">
        <v>373.6</v>
      </c>
      <c r="F19" s="4">
        <v>48.21</v>
      </c>
      <c r="G19" s="4">
        <v>2500</v>
      </c>
    </row>
    <row r="20" spans="1:7" x14ac:dyDescent="0.2">
      <c r="A20" t="s">
        <v>356</v>
      </c>
      <c r="B20">
        <v>5</v>
      </c>
      <c r="C20" s="7">
        <v>46022</v>
      </c>
      <c r="D20" s="4">
        <v>0</v>
      </c>
      <c r="E20" s="4"/>
      <c r="F20" s="4">
        <v>0</v>
      </c>
      <c r="G20" s="4">
        <v>2500</v>
      </c>
    </row>
    <row r="21" spans="1:7" x14ac:dyDescent="0.2">
      <c r="A21" s="54" t="s">
        <v>466</v>
      </c>
      <c r="B21" s="54"/>
      <c r="C21" s="54"/>
      <c r="D21" s="4">
        <v>862.23000000000013</v>
      </c>
      <c r="E21" s="4">
        <v>1941.9766666666669</v>
      </c>
      <c r="F21" s="4">
        <v>4632.3900000000003</v>
      </c>
      <c r="G21" s="4">
        <v>32405.333333333332</v>
      </c>
    </row>
    <row r="22" spans="1:7" x14ac:dyDescent="0.2">
      <c r="D22"/>
      <c r="E22"/>
    </row>
    <row r="23" spans="1:7" x14ac:dyDescent="0.2">
      <c r="D23"/>
      <c r="E23"/>
    </row>
    <row r="24" spans="1:7" x14ac:dyDescent="0.2">
      <c r="D24"/>
      <c r="E24"/>
    </row>
    <row r="25" spans="1:7" x14ac:dyDescent="0.2">
      <c r="D25"/>
      <c r="E25"/>
    </row>
    <row r="26" spans="1:7" x14ac:dyDescent="0.2">
      <c r="D26"/>
      <c r="E26"/>
    </row>
    <row r="27" spans="1:7" x14ac:dyDescent="0.2">
      <c r="D27"/>
      <c r="E27"/>
    </row>
    <row r="28" spans="1:7" x14ac:dyDescent="0.2">
      <c r="D28"/>
      <c r="E28"/>
    </row>
    <row r="29" spans="1:7" x14ac:dyDescent="0.2">
      <c r="D29"/>
      <c r="E29"/>
    </row>
    <row r="30" spans="1:7" x14ac:dyDescent="0.2">
      <c r="D30"/>
      <c r="E30"/>
    </row>
    <row r="31" spans="1:7" x14ac:dyDescent="0.2">
      <c r="D31"/>
      <c r="E31"/>
    </row>
    <row r="32" spans="1:7" x14ac:dyDescent="0.2">
      <c r="D32"/>
      <c r="E32"/>
    </row>
    <row r="33" spans="4:5" x14ac:dyDescent="0.2">
      <c r="D33"/>
      <c r="E33"/>
    </row>
    <row r="34" spans="4:5" x14ac:dyDescent="0.2">
      <c r="D34"/>
      <c r="E34"/>
    </row>
    <row r="35" spans="4:5" x14ac:dyDescent="0.2">
      <c r="D35"/>
      <c r="E35"/>
    </row>
    <row r="36" spans="4:5" x14ac:dyDescent="0.2">
      <c r="D36"/>
      <c r="E36"/>
    </row>
    <row r="37" spans="4:5" x14ac:dyDescent="0.2">
      <c r="D37"/>
      <c r="E37"/>
    </row>
    <row r="38" spans="4:5" x14ac:dyDescent="0.2">
      <c r="D38"/>
      <c r="E38"/>
    </row>
    <row r="39" spans="4:5" x14ac:dyDescent="0.2">
      <c r="D39"/>
      <c r="E39"/>
    </row>
    <row r="40" spans="4:5" x14ac:dyDescent="0.2">
      <c r="D40"/>
      <c r="E40"/>
    </row>
    <row r="41" spans="4:5" x14ac:dyDescent="0.2">
      <c r="D41"/>
      <c r="E41"/>
    </row>
    <row r="42" spans="4:5" x14ac:dyDescent="0.2">
      <c r="D42"/>
      <c r="E42"/>
    </row>
    <row r="43" spans="4:5" x14ac:dyDescent="0.2">
      <c r="D43"/>
      <c r="E43"/>
    </row>
  </sheetData>
  <pageMargins left="0.70866141732283472" right="0.70866141732283472" top="0.74803149606299213" bottom="0.74803149606299213" header="0.31496062992125984" footer="0.31496062992125984"/>
  <pageSetup paperSize="9" scale="82" orientation="landscape" verticalDpi="300" r:id="rId2"/>
  <headerFooter>
    <oddHeader>&amp;L&amp;"-,Vet en cursief"&amp;20Van Bergen Personeelsdiensten B.V.&amp;R&amp;"-,Vet en cursief"&amp;20Energie contracten</oddHeader>
    <oddFooter>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78F4-C5DC-493D-B492-3F7EC42019C5}">
  <dimension ref="A3:J160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36" bestFit="1" customWidth="1"/>
    <col min="2" max="2" width="7.6640625" bestFit="1" customWidth="1"/>
    <col min="3" max="3" width="13.6640625" bestFit="1" customWidth="1"/>
    <col min="4" max="4" width="13" style="135" bestFit="1" customWidth="1"/>
    <col min="5" max="5" width="17.33203125" bestFit="1" customWidth="1"/>
    <col min="6" max="6" width="16.1640625" style="135" bestFit="1" customWidth="1"/>
    <col min="7" max="7" width="14.83203125" style="135" bestFit="1" customWidth="1"/>
    <col min="8" max="8" width="14.1640625" style="135" bestFit="1" customWidth="1"/>
    <col min="9" max="9" width="16.1640625" bestFit="1" customWidth="1"/>
    <col min="10" max="10" width="27.5" style="7" bestFit="1" customWidth="1"/>
  </cols>
  <sheetData>
    <row r="3" spans="1:10" x14ac:dyDescent="0.2">
      <c r="A3" s="49" t="s">
        <v>464</v>
      </c>
      <c r="B3" s="49" t="s">
        <v>638</v>
      </c>
      <c r="C3" s="49" t="s">
        <v>616</v>
      </c>
      <c r="D3" s="134" t="s">
        <v>681</v>
      </c>
      <c r="E3" s="49" t="s">
        <v>617</v>
      </c>
      <c r="F3" s="134" t="s">
        <v>684</v>
      </c>
      <c r="G3" s="49" t="s">
        <v>682</v>
      </c>
      <c r="H3" s="49" t="s">
        <v>683</v>
      </c>
      <c r="I3" s="49" t="s">
        <v>620</v>
      </c>
      <c r="J3" s="137" t="s">
        <v>694</v>
      </c>
    </row>
    <row r="4" spans="1:10" x14ac:dyDescent="0.2">
      <c r="A4" s="3" t="s">
        <v>9</v>
      </c>
      <c r="B4" s="3" t="s">
        <v>637</v>
      </c>
      <c r="C4" s="3" t="s">
        <v>612</v>
      </c>
      <c r="D4" s="3">
        <v>1.46</v>
      </c>
      <c r="E4" s="3" t="s">
        <v>612</v>
      </c>
      <c r="F4" s="3">
        <v>0</v>
      </c>
      <c r="G4" s="3">
        <v>0.1145</v>
      </c>
      <c r="H4" s="3">
        <v>0.11013000000000001</v>
      </c>
      <c r="I4" s="3" t="s">
        <v>614</v>
      </c>
      <c r="J4" s="3" t="s">
        <v>821</v>
      </c>
    </row>
    <row r="5" spans="1:10" x14ac:dyDescent="0.2">
      <c r="A5" s="3" t="s">
        <v>10</v>
      </c>
      <c r="B5" s="3" t="s">
        <v>637</v>
      </c>
      <c r="C5" s="3" t="s">
        <v>612</v>
      </c>
      <c r="D5" s="3">
        <v>1.46</v>
      </c>
      <c r="E5" s="3" t="s">
        <v>612</v>
      </c>
      <c r="F5" s="3">
        <v>0</v>
      </c>
      <c r="G5" s="3">
        <v>0.1145</v>
      </c>
      <c r="H5" s="3">
        <v>0.11013000000000001</v>
      </c>
      <c r="I5" s="3" t="s">
        <v>614</v>
      </c>
      <c r="J5" s="3" t="s">
        <v>821</v>
      </c>
    </row>
    <row r="6" spans="1:10" x14ac:dyDescent="0.2">
      <c r="A6" s="3" t="s">
        <v>184</v>
      </c>
      <c r="B6" s="3" t="s">
        <v>637</v>
      </c>
      <c r="C6" s="3" t="s">
        <v>612</v>
      </c>
      <c r="D6" s="3">
        <v>0.80162</v>
      </c>
      <c r="E6" s="3" t="s">
        <v>612</v>
      </c>
      <c r="F6" s="3">
        <v>0</v>
      </c>
      <c r="G6" s="3">
        <v>0.29319000000000001</v>
      </c>
      <c r="H6" s="3">
        <v>0.16794000000000001</v>
      </c>
      <c r="I6" s="3" t="s">
        <v>614</v>
      </c>
      <c r="J6" s="3" t="s">
        <v>821</v>
      </c>
    </row>
    <row r="7" spans="1:10" x14ac:dyDescent="0.2">
      <c r="A7" s="3" t="s">
        <v>12</v>
      </c>
      <c r="B7" s="3" t="s">
        <v>637</v>
      </c>
      <c r="C7" s="3" t="s">
        <v>612</v>
      </c>
      <c r="D7" s="3">
        <v>0.80162</v>
      </c>
      <c r="E7" s="3" t="s">
        <v>612</v>
      </c>
      <c r="F7" s="3">
        <v>0</v>
      </c>
      <c r="G7" s="3">
        <v>0.29319000000000001</v>
      </c>
      <c r="H7" s="3">
        <v>0.16794000000000001</v>
      </c>
      <c r="I7" s="3" t="s">
        <v>614</v>
      </c>
      <c r="J7" s="3" t="s">
        <v>821</v>
      </c>
    </row>
    <row r="8" spans="1:10" x14ac:dyDescent="0.2">
      <c r="A8" s="3" t="s">
        <v>687</v>
      </c>
      <c r="B8" s="3" t="s">
        <v>637</v>
      </c>
      <c r="C8" s="3" t="s">
        <v>612</v>
      </c>
      <c r="D8" s="3">
        <v>0.80162</v>
      </c>
      <c r="E8" s="3" t="s">
        <v>612</v>
      </c>
      <c r="F8" s="3">
        <v>0</v>
      </c>
      <c r="G8" s="3">
        <v>0.29319000000000001</v>
      </c>
      <c r="H8" s="3">
        <v>0.16794000000000001</v>
      </c>
      <c r="I8" s="3" t="s">
        <v>614</v>
      </c>
      <c r="J8" s="3" t="s">
        <v>821</v>
      </c>
    </row>
    <row r="9" spans="1:10" x14ac:dyDescent="0.2">
      <c r="A9" s="3" t="s">
        <v>14</v>
      </c>
      <c r="B9" s="3" t="s">
        <v>637</v>
      </c>
      <c r="C9" s="3" t="s">
        <v>612</v>
      </c>
      <c r="D9" s="3">
        <v>0.80162</v>
      </c>
      <c r="E9" s="3" t="s">
        <v>622</v>
      </c>
      <c r="F9" s="3">
        <v>0</v>
      </c>
      <c r="G9" s="3">
        <v>0</v>
      </c>
      <c r="H9" s="3">
        <v>0</v>
      </c>
      <c r="I9" s="3" t="s">
        <v>613</v>
      </c>
      <c r="J9" s="3" t="s">
        <v>821</v>
      </c>
    </row>
    <row r="10" spans="1:10" x14ac:dyDescent="0.2">
      <c r="A10" s="3" t="s">
        <v>176</v>
      </c>
      <c r="B10" s="3" t="s">
        <v>637</v>
      </c>
      <c r="C10" s="3" t="s">
        <v>613</v>
      </c>
      <c r="D10" s="3">
        <v>0</v>
      </c>
      <c r="E10" s="3" t="s">
        <v>613</v>
      </c>
      <c r="F10" s="3">
        <v>0</v>
      </c>
      <c r="G10" s="3">
        <v>0</v>
      </c>
      <c r="H10" s="3">
        <v>0</v>
      </c>
      <c r="I10" s="3" t="s">
        <v>613</v>
      </c>
      <c r="J10" s="3" t="s">
        <v>822</v>
      </c>
    </row>
    <row r="11" spans="1:10" x14ac:dyDescent="0.2">
      <c r="D11"/>
      <c r="F11"/>
      <c r="G11"/>
      <c r="H11"/>
      <c r="J11" s="170" t="s">
        <v>822</v>
      </c>
    </row>
    <row r="12" spans="1:10" x14ac:dyDescent="0.2">
      <c r="D12"/>
      <c r="F12"/>
      <c r="G12"/>
      <c r="H12"/>
      <c r="J12" s="171" t="s">
        <v>822</v>
      </c>
    </row>
    <row r="13" spans="1:10" x14ac:dyDescent="0.2">
      <c r="A13" s="3" t="s">
        <v>15</v>
      </c>
      <c r="B13" s="3" t="s">
        <v>637</v>
      </c>
      <c r="C13" s="3" t="s">
        <v>613</v>
      </c>
      <c r="D13" s="3">
        <v>0</v>
      </c>
      <c r="E13" s="3" t="s">
        <v>613</v>
      </c>
      <c r="F13" s="3">
        <v>0</v>
      </c>
      <c r="G13" s="3">
        <v>0</v>
      </c>
      <c r="H13" s="3">
        <v>0</v>
      </c>
      <c r="I13" s="3" t="s">
        <v>613</v>
      </c>
      <c r="J13" s="3" t="s">
        <v>822</v>
      </c>
    </row>
    <row r="14" spans="1:10" x14ac:dyDescent="0.2">
      <c r="D14"/>
      <c r="F14"/>
      <c r="G14"/>
      <c r="H14"/>
      <c r="J14" s="170" t="s">
        <v>822</v>
      </c>
    </row>
    <row r="15" spans="1:10" x14ac:dyDescent="0.2">
      <c r="D15"/>
      <c r="F15"/>
      <c r="G15"/>
      <c r="H15"/>
      <c r="J15" s="171" t="s">
        <v>822</v>
      </c>
    </row>
    <row r="16" spans="1:10" x14ac:dyDescent="0.2">
      <c r="A16" s="3" t="s">
        <v>17</v>
      </c>
      <c r="B16" s="3" t="s">
        <v>637</v>
      </c>
      <c r="C16" s="3" t="s">
        <v>613</v>
      </c>
      <c r="D16" s="3">
        <v>0</v>
      </c>
      <c r="E16" s="3" t="s">
        <v>613</v>
      </c>
      <c r="F16" s="3">
        <v>0</v>
      </c>
      <c r="G16" s="3">
        <v>0</v>
      </c>
      <c r="H16" s="3">
        <v>0</v>
      </c>
      <c r="I16" s="3" t="s">
        <v>613</v>
      </c>
      <c r="J16" s="3" t="s">
        <v>822</v>
      </c>
    </row>
    <row r="17" spans="1:10" x14ac:dyDescent="0.2">
      <c r="D17"/>
      <c r="F17"/>
      <c r="G17"/>
      <c r="H17"/>
      <c r="J17" s="170" t="s">
        <v>822</v>
      </c>
    </row>
    <row r="18" spans="1:10" x14ac:dyDescent="0.2">
      <c r="D18"/>
      <c r="F18"/>
      <c r="G18"/>
      <c r="H18"/>
      <c r="J18" s="171" t="s">
        <v>822</v>
      </c>
    </row>
    <row r="19" spans="1:10" x14ac:dyDescent="0.2">
      <c r="A19" s="3" t="s">
        <v>394</v>
      </c>
      <c r="B19" s="3" t="s">
        <v>637</v>
      </c>
      <c r="C19" s="3" t="s">
        <v>612</v>
      </c>
      <c r="D19" s="3">
        <v>0.80162</v>
      </c>
      <c r="E19" s="3" t="s">
        <v>612</v>
      </c>
      <c r="F19" s="3">
        <v>0</v>
      </c>
      <c r="G19" s="3">
        <v>0.29319000000000001</v>
      </c>
      <c r="H19" s="3">
        <v>0.16794000000000001</v>
      </c>
      <c r="I19" s="3" t="s">
        <v>613</v>
      </c>
      <c r="J19" s="3" t="s">
        <v>821</v>
      </c>
    </row>
    <row r="20" spans="1:10" x14ac:dyDescent="0.2">
      <c r="A20" s="3" t="s">
        <v>16</v>
      </c>
      <c r="B20" s="3" t="s">
        <v>637</v>
      </c>
      <c r="C20" s="3" t="s">
        <v>612</v>
      </c>
      <c r="D20" s="3">
        <v>0.80162</v>
      </c>
      <c r="E20" s="3" t="s">
        <v>612</v>
      </c>
      <c r="F20" s="3">
        <v>0</v>
      </c>
      <c r="G20" s="3">
        <v>0.29319000000000001</v>
      </c>
      <c r="H20" s="3">
        <v>0.16794000000000001</v>
      </c>
      <c r="I20" s="3" t="s">
        <v>614</v>
      </c>
      <c r="J20" s="3" t="s">
        <v>821</v>
      </c>
    </row>
    <row r="21" spans="1:10" x14ac:dyDescent="0.2">
      <c r="A21" s="3" t="s">
        <v>671</v>
      </c>
      <c r="B21" s="3" t="s">
        <v>637</v>
      </c>
      <c r="C21" s="3" t="s">
        <v>612</v>
      </c>
      <c r="D21" s="3">
        <v>1.4824900000000001</v>
      </c>
      <c r="E21" s="3" t="s">
        <v>612</v>
      </c>
      <c r="F21" s="3">
        <v>0</v>
      </c>
      <c r="G21" s="3">
        <v>0.28377999999999998</v>
      </c>
      <c r="H21" s="3">
        <v>0.24836</v>
      </c>
      <c r="I21" s="3" t="s">
        <v>614</v>
      </c>
      <c r="J21" s="3" t="s">
        <v>821</v>
      </c>
    </row>
    <row r="22" spans="1:10" x14ac:dyDescent="0.2">
      <c r="A22" s="3" t="s">
        <v>672</v>
      </c>
      <c r="B22" s="3" t="s">
        <v>637</v>
      </c>
      <c r="C22" s="3" t="s">
        <v>612</v>
      </c>
      <c r="D22" s="3">
        <v>1.4824900000000001</v>
      </c>
      <c r="E22" s="3" t="s">
        <v>612</v>
      </c>
      <c r="F22" s="3">
        <v>0</v>
      </c>
      <c r="G22" s="3">
        <v>0.28377999999999998</v>
      </c>
      <c r="H22" s="3">
        <v>0.24836</v>
      </c>
      <c r="I22" s="3" t="s">
        <v>614</v>
      </c>
      <c r="J22" s="3" t="s">
        <v>821</v>
      </c>
    </row>
    <row r="23" spans="1:10" x14ac:dyDescent="0.2">
      <c r="A23" s="3" t="s">
        <v>205</v>
      </c>
      <c r="B23" s="3" t="s">
        <v>637</v>
      </c>
      <c r="C23" s="3" t="s">
        <v>614</v>
      </c>
      <c r="D23" s="3">
        <v>0.17602000000000001</v>
      </c>
      <c r="E23" s="3" t="s">
        <v>614</v>
      </c>
      <c r="F23" s="3">
        <v>4.8300000000000003E-2</v>
      </c>
      <c r="G23" s="3">
        <v>5.4030000000000002E-2</v>
      </c>
      <c r="H23" s="3">
        <v>4.2009999999999999E-2</v>
      </c>
      <c r="I23" s="3" t="s">
        <v>614</v>
      </c>
      <c r="J23" s="136" t="s">
        <v>695</v>
      </c>
    </row>
    <row r="24" spans="1:10" x14ac:dyDescent="0.2">
      <c r="A24" s="3" t="s">
        <v>19</v>
      </c>
      <c r="B24" s="3" t="s">
        <v>637</v>
      </c>
      <c r="C24" s="3" t="s">
        <v>612</v>
      </c>
      <c r="D24" s="3">
        <v>0.80162</v>
      </c>
      <c r="E24" s="3" t="s">
        <v>612</v>
      </c>
      <c r="F24" s="3">
        <v>0</v>
      </c>
      <c r="G24" s="3">
        <v>0.29319000000000001</v>
      </c>
      <c r="H24" s="3">
        <v>0.16794000000000001</v>
      </c>
      <c r="I24" s="3" t="s">
        <v>614</v>
      </c>
      <c r="J24" s="3" t="s">
        <v>821</v>
      </c>
    </row>
    <row r="25" spans="1:10" x14ac:dyDescent="0.2">
      <c r="A25" s="3" t="s">
        <v>355</v>
      </c>
      <c r="B25" s="3" t="s">
        <v>637</v>
      </c>
      <c r="C25" s="3" t="s">
        <v>613</v>
      </c>
      <c r="D25" s="3">
        <v>0</v>
      </c>
      <c r="E25" s="3" t="s">
        <v>613</v>
      </c>
      <c r="F25" s="3">
        <v>0</v>
      </c>
      <c r="G25" s="3">
        <v>0</v>
      </c>
      <c r="H25" s="3">
        <v>0</v>
      </c>
      <c r="I25" s="3" t="s">
        <v>614</v>
      </c>
      <c r="J25" s="3" t="s">
        <v>695</v>
      </c>
    </row>
    <row r="26" spans="1:10" x14ac:dyDescent="0.2">
      <c r="A26" s="3" t="s">
        <v>356</v>
      </c>
      <c r="B26" s="3" t="s">
        <v>637</v>
      </c>
      <c r="C26" s="3" t="s">
        <v>613</v>
      </c>
      <c r="D26" s="3">
        <v>0</v>
      </c>
      <c r="E26" s="3" t="s">
        <v>613</v>
      </c>
      <c r="F26" s="3">
        <v>0</v>
      </c>
      <c r="G26" s="3">
        <v>0</v>
      </c>
      <c r="H26" s="3">
        <v>0</v>
      </c>
      <c r="I26" s="3" t="s">
        <v>614</v>
      </c>
      <c r="J26" s="3" t="s">
        <v>695</v>
      </c>
    </row>
    <row r="27" spans="1:10" x14ac:dyDescent="0.2">
      <c r="A27" s="136" t="s">
        <v>466</v>
      </c>
      <c r="B27" s="7"/>
      <c r="C27" s="7"/>
      <c r="D27" s="7"/>
      <c r="E27" s="7"/>
      <c r="F27" s="7"/>
      <c r="G27" s="7"/>
      <c r="H27" s="7"/>
      <c r="I27" s="7"/>
    </row>
    <row r="28" spans="1:10" x14ac:dyDescent="0.2">
      <c r="D28"/>
      <c r="F28"/>
      <c r="G28"/>
      <c r="H28"/>
      <c r="J28"/>
    </row>
    <row r="29" spans="1:10" x14ac:dyDescent="0.2">
      <c r="D29"/>
      <c r="F29"/>
      <c r="G29"/>
      <c r="H29"/>
      <c r="J29"/>
    </row>
    <row r="30" spans="1:10" x14ac:dyDescent="0.2">
      <c r="D30"/>
      <c r="F30"/>
      <c r="G30"/>
      <c r="H30"/>
      <c r="J30"/>
    </row>
    <row r="31" spans="1:10" x14ac:dyDescent="0.2">
      <c r="D31"/>
      <c r="F31"/>
      <c r="G31"/>
      <c r="H31"/>
      <c r="J31"/>
    </row>
    <row r="32" spans="1:10" x14ac:dyDescent="0.2">
      <c r="D32"/>
      <c r="F32"/>
      <c r="G32"/>
      <c r="H32"/>
      <c r="J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spans="4:10" x14ac:dyDescent="0.2">
      <c r="D113"/>
      <c r="F113"/>
      <c r="G113"/>
      <c r="H113"/>
      <c r="J113"/>
    </row>
    <row r="114" spans="4:10" x14ac:dyDescent="0.2">
      <c r="D114"/>
      <c r="F114"/>
      <c r="G114"/>
      <c r="H114"/>
      <c r="J114"/>
    </row>
    <row r="115" spans="4:10" x14ac:dyDescent="0.2">
      <c r="D115"/>
      <c r="F115"/>
      <c r="G115"/>
      <c r="H115"/>
      <c r="J115"/>
    </row>
    <row r="116" spans="4:10" x14ac:dyDescent="0.2">
      <c r="D116"/>
      <c r="F116"/>
      <c r="G116"/>
      <c r="H116"/>
      <c r="J116"/>
    </row>
    <row r="117" spans="4:10" x14ac:dyDescent="0.2">
      <c r="D117"/>
      <c r="F117"/>
      <c r="G117"/>
      <c r="H117"/>
      <c r="J117"/>
    </row>
    <row r="118" spans="4:10" x14ac:dyDescent="0.2">
      <c r="D118"/>
      <c r="F118"/>
      <c r="G118"/>
      <c r="H118"/>
      <c r="J118"/>
    </row>
    <row r="119" spans="4:10" x14ac:dyDescent="0.2">
      <c r="D119"/>
      <c r="F119"/>
      <c r="G119"/>
      <c r="H119"/>
      <c r="J119"/>
    </row>
    <row r="120" spans="4:10" x14ac:dyDescent="0.2">
      <c r="D120"/>
      <c r="F120"/>
      <c r="G120"/>
      <c r="H120"/>
      <c r="J120"/>
    </row>
    <row r="121" spans="4:10" x14ac:dyDescent="0.2">
      <c r="D121"/>
      <c r="F121"/>
      <c r="G121"/>
      <c r="H121"/>
      <c r="J121"/>
    </row>
    <row r="122" spans="4:10" x14ac:dyDescent="0.2">
      <c r="D122"/>
      <c r="F122"/>
      <c r="G122"/>
      <c r="H122"/>
    </row>
    <row r="123" spans="4:10" x14ac:dyDescent="0.2">
      <c r="D123"/>
      <c r="F123"/>
      <c r="G123"/>
      <c r="H123"/>
    </row>
    <row r="124" spans="4:10" x14ac:dyDescent="0.2">
      <c r="D124"/>
      <c r="F124"/>
      <c r="G124"/>
      <c r="H124"/>
    </row>
    <row r="125" spans="4:10" x14ac:dyDescent="0.2">
      <c r="D125"/>
      <c r="F125"/>
      <c r="G125"/>
      <c r="H125"/>
    </row>
    <row r="126" spans="4:10" x14ac:dyDescent="0.2">
      <c r="D126"/>
      <c r="F126"/>
      <c r="G126"/>
      <c r="H126"/>
    </row>
    <row r="127" spans="4:10" x14ac:dyDescent="0.2">
      <c r="D127"/>
      <c r="F127"/>
      <c r="G127"/>
      <c r="H127"/>
    </row>
    <row r="128" spans="4:10" x14ac:dyDescent="0.2">
      <c r="D128"/>
      <c r="F128"/>
      <c r="G128"/>
      <c r="H128"/>
    </row>
    <row r="129" spans="4:8" x14ac:dyDescent="0.2">
      <c r="D129"/>
      <c r="F129"/>
      <c r="G129"/>
      <c r="H129"/>
    </row>
    <row r="130" spans="4:8" x14ac:dyDescent="0.2">
      <c r="D130"/>
      <c r="F130"/>
      <c r="G130"/>
      <c r="H130"/>
    </row>
    <row r="131" spans="4:8" x14ac:dyDescent="0.2">
      <c r="D131"/>
      <c r="F131"/>
      <c r="G131"/>
      <c r="H131"/>
    </row>
    <row r="132" spans="4:8" x14ac:dyDescent="0.2">
      <c r="D132"/>
      <c r="F132"/>
      <c r="G132"/>
      <c r="H132"/>
    </row>
    <row r="133" spans="4:8" x14ac:dyDescent="0.2">
      <c r="D133"/>
      <c r="F133"/>
      <c r="G133"/>
      <c r="H133"/>
    </row>
    <row r="134" spans="4:8" x14ac:dyDescent="0.2">
      <c r="D134"/>
      <c r="F134"/>
      <c r="G134"/>
      <c r="H134"/>
    </row>
    <row r="135" spans="4:8" x14ac:dyDescent="0.2">
      <c r="D135"/>
      <c r="F135"/>
      <c r="G135"/>
      <c r="H135"/>
    </row>
    <row r="136" spans="4:8" x14ac:dyDescent="0.2">
      <c r="D136"/>
      <c r="F136"/>
      <c r="G136"/>
      <c r="H136"/>
    </row>
    <row r="137" spans="4:8" x14ac:dyDescent="0.2">
      <c r="D137"/>
      <c r="F137"/>
      <c r="G137"/>
      <c r="H137"/>
    </row>
    <row r="138" spans="4:8" x14ac:dyDescent="0.2">
      <c r="D138"/>
      <c r="F138"/>
      <c r="G138"/>
      <c r="H138"/>
    </row>
    <row r="139" spans="4:8" x14ac:dyDescent="0.2">
      <c r="D139"/>
      <c r="F139"/>
      <c r="G139"/>
      <c r="H139"/>
    </row>
    <row r="140" spans="4:8" x14ac:dyDescent="0.2">
      <c r="D140"/>
      <c r="F140"/>
      <c r="G140"/>
      <c r="H140"/>
    </row>
    <row r="141" spans="4:8" x14ac:dyDescent="0.2">
      <c r="D141"/>
      <c r="F141"/>
      <c r="G141"/>
      <c r="H141"/>
    </row>
    <row r="142" spans="4:8" x14ac:dyDescent="0.2">
      <c r="D142"/>
      <c r="F142"/>
      <c r="G142"/>
      <c r="H142"/>
    </row>
    <row r="143" spans="4:8" x14ac:dyDescent="0.2">
      <c r="D143"/>
      <c r="F143"/>
      <c r="G143"/>
      <c r="H143"/>
    </row>
    <row r="144" spans="4:8" x14ac:dyDescent="0.2">
      <c r="D144"/>
      <c r="F144"/>
      <c r="G144"/>
      <c r="H144"/>
    </row>
    <row r="145" spans="4:8" x14ac:dyDescent="0.2">
      <c r="D145"/>
      <c r="F145"/>
      <c r="G145"/>
      <c r="H145"/>
    </row>
    <row r="146" spans="4:8" x14ac:dyDescent="0.2">
      <c r="D146"/>
      <c r="F146"/>
      <c r="G146"/>
      <c r="H146"/>
    </row>
    <row r="147" spans="4:8" x14ac:dyDescent="0.2">
      <c r="D147"/>
      <c r="F147"/>
      <c r="G147"/>
      <c r="H147"/>
    </row>
    <row r="148" spans="4:8" x14ac:dyDescent="0.2">
      <c r="D148"/>
      <c r="F148"/>
      <c r="G148"/>
      <c r="H148"/>
    </row>
    <row r="149" spans="4:8" x14ac:dyDescent="0.2">
      <c r="D149"/>
      <c r="F149"/>
      <c r="G149"/>
      <c r="H149"/>
    </row>
    <row r="150" spans="4:8" x14ac:dyDescent="0.2">
      <c r="D150"/>
      <c r="F150"/>
      <c r="G150"/>
      <c r="H150"/>
    </row>
    <row r="151" spans="4:8" x14ac:dyDescent="0.2">
      <c r="D151"/>
      <c r="F151"/>
      <c r="G151"/>
      <c r="H151"/>
    </row>
    <row r="152" spans="4:8" x14ac:dyDescent="0.2">
      <c r="D152"/>
      <c r="F152"/>
      <c r="G152"/>
      <c r="H152"/>
    </row>
    <row r="153" spans="4:8" x14ac:dyDescent="0.2">
      <c r="D153"/>
      <c r="F153"/>
      <c r="G153"/>
      <c r="H153"/>
    </row>
    <row r="154" spans="4:8" x14ac:dyDescent="0.2">
      <c r="D154"/>
      <c r="F154"/>
      <c r="G154"/>
      <c r="H154"/>
    </row>
    <row r="155" spans="4:8" x14ac:dyDescent="0.2">
      <c r="D155"/>
      <c r="F155"/>
      <c r="G155"/>
      <c r="H155"/>
    </row>
    <row r="156" spans="4:8" x14ac:dyDescent="0.2">
      <c r="D156"/>
      <c r="F156"/>
      <c r="G156"/>
      <c r="H156"/>
    </row>
    <row r="157" spans="4:8" x14ac:dyDescent="0.2">
      <c r="D157"/>
      <c r="F157"/>
      <c r="G157"/>
      <c r="H157"/>
    </row>
    <row r="158" spans="4:8" x14ac:dyDescent="0.2">
      <c r="D158"/>
      <c r="F158"/>
      <c r="G158"/>
      <c r="H158"/>
    </row>
    <row r="159" spans="4:8" x14ac:dyDescent="0.2">
      <c r="D159"/>
      <c r="F159"/>
      <c r="G159"/>
      <c r="H159"/>
    </row>
    <row r="160" spans="4:8" x14ac:dyDescent="0.2">
      <c r="D160"/>
      <c r="F160"/>
      <c r="G160"/>
      <c r="H160"/>
    </row>
  </sheetData>
  <pageMargins left="0.7" right="0.7" top="0.75" bottom="0.75" header="0.3" footer="0.3"/>
  <pageSetup paperSize="9" orientation="landscape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CDFF-964E-4351-9579-C3E9A99D1D9C}">
  <dimension ref="A2:G90"/>
  <sheetViews>
    <sheetView workbookViewId="0">
      <selection activeCell="E86" sqref="E86"/>
    </sheetView>
  </sheetViews>
  <sheetFormatPr baseColWidth="10" defaultColWidth="8.83203125" defaultRowHeight="16" x14ac:dyDescent="0.2"/>
  <cols>
    <col min="1" max="1" width="13.5" style="5" customWidth="1"/>
    <col min="2" max="2" width="9.1640625" style="97"/>
    <col min="3" max="3" width="12.5" style="21" customWidth="1"/>
    <col min="4" max="4" width="14.33203125" style="5" customWidth="1"/>
    <col min="5" max="5" width="27.5" style="21" customWidth="1"/>
    <col min="6" max="7" width="12.6640625" customWidth="1"/>
  </cols>
  <sheetData>
    <row r="2" spans="1:7" ht="26" x14ac:dyDescent="0.3">
      <c r="A2" s="98"/>
      <c r="B2" s="98" t="s">
        <v>641</v>
      </c>
      <c r="C2" s="98"/>
      <c r="D2" s="98"/>
      <c r="E2" s="99" t="s">
        <v>642</v>
      </c>
    </row>
    <row r="3" spans="1:7" ht="17" thickBot="1" x14ac:dyDescent="0.25"/>
    <row r="4" spans="1:7" ht="15" customHeight="1" thickBot="1" x14ac:dyDescent="0.25">
      <c r="A4" s="100" t="s">
        <v>668</v>
      </c>
      <c r="B4" s="105" t="s">
        <v>643</v>
      </c>
      <c r="C4" s="110" t="s">
        <v>406</v>
      </c>
      <c r="D4" s="115" t="s">
        <v>644</v>
      </c>
      <c r="E4" s="110" t="s">
        <v>645</v>
      </c>
      <c r="F4" s="130" t="s">
        <v>666</v>
      </c>
      <c r="G4" s="124" t="s">
        <v>667</v>
      </c>
    </row>
    <row r="5" spans="1:7" ht="15" customHeight="1" x14ac:dyDescent="0.2">
      <c r="A5" s="101">
        <v>1</v>
      </c>
      <c r="B5" s="106" t="s">
        <v>646</v>
      </c>
      <c r="C5" s="111">
        <v>5</v>
      </c>
      <c r="D5" s="116">
        <v>1</v>
      </c>
      <c r="E5" s="120" t="s">
        <v>647</v>
      </c>
      <c r="F5" s="129"/>
      <c r="G5" s="125"/>
    </row>
    <row r="6" spans="1:7" ht="15" customHeight="1" x14ac:dyDescent="0.2">
      <c r="A6" s="102"/>
      <c r="B6" s="107"/>
      <c r="C6" s="112">
        <v>6</v>
      </c>
      <c r="D6" s="117">
        <v>2</v>
      </c>
      <c r="E6" s="112" t="s">
        <v>648</v>
      </c>
      <c r="F6" s="131"/>
      <c r="G6" s="126"/>
    </row>
    <row r="7" spans="1:7" ht="15" customHeight="1" x14ac:dyDescent="0.2">
      <c r="A7" s="102"/>
      <c r="B7" s="107"/>
      <c r="C7" s="112">
        <v>7</v>
      </c>
      <c r="D7" s="117">
        <v>2</v>
      </c>
      <c r="E7" s="112" t="s">
        <v>649</v>
      </c>
      <c r="F7" s="131"/>
      <c r="G7" s="126"/>
    </row>
    <row r="8" spans="1:7" ht="15" customHeight="1" x14ac:dyDescent="0.2">
      <c r="A8" s="102"/>
      <c r="B8" s="107"/>
      <c r="C8" s="112">
        <v>8</v>
      </c>
      <c r="D8" s="117">
        <v>2</v>
      </c>
      <c r="E8" s="112" t="s">
        <v>650</v>
      </c>
      <c r="F8" s="131"/>
      <c r="G8" s="126"/>
    </row>
    <row r="9" spans="1:7" ht="15" customHeight="1" x14ac:dyDescent="0.2">
      <c r="A9" s="102"/>
      <c r="B9" s="107"/>
      <c r="C9" s="112">
        <v>9</v>
      </c>
      <c r="D9" s="117">
        <v>2</v>
      </c>
      <c r="E9" s="121" t="s">
        <v>670</v>
      </c>
      <c r="F9" s="131"/>
      <c r="G9" s="126"/>
    </row>
    <row r="10" spans="1:7" ht="15" customHeight="1" x14ac:dyDescent="0.2">
      <c r="A10" s="102"/>
      <c r="B10" s="107"/>
      <c r="C10" s="112">
        <v>10</v>
      </c>
      <c r="D10" s="117">
        <v>2</v>
      </c>
      <c r="E10" s="121" t="s">
        <v>670</v>
      </c>
      <c r="F10" s="131"/>
      <c r="G10" s="126"/>
    </row>
    <row r="11" spans="1:7" ht="15" customHeight="1" x14ac:dyDescent="0.2">
      <c r="A11" s="102"/>
      <c r="B11" s="107" t="s">
        <v>652</v>
      </c>
      <c r="C11" s="112">
        <v>11</v>
      </c>
      <c r="D11" s="117">
        <v>1</v>
      </c>
      <c r="E11" s="112" t="s">
        <v>648</v>
      </c>
      <c r="F11" s="131"/>
      <c r="G11" s="126"/>
    </row>
    <row r="12" spans="1:7" ht="15" customHeight="1" x14ac:dyDescent="0.2">
      <c r="A12" s="102"/>
      <c r="B12" s="107"/>
      <c r="C12" s="112">
        <v>12</v>
      </c>
      <c r="D12" s="117">
        <v>2</v>
      </c>
      <c r="E12" s="112" t="s">
        <v>648</v>
      </c>
      <c r="F12" s="131"/>
      <c r="G12" s="126"/>
    </row>
    <row r="13" spans="1:7" ht="15" customHeight="1" x14ac:dyDescent="0.2">
      <c r="A13" s="102"/>
      <c r="B13" s="107"/>
      <c r="C13" s="112">
        <v>13</v>
      </c>
      <c r="D13" s="117">
        <v>2</v>
      </c>
      <c r="E13" s="121" t="s">
        <v>670</v>
      </c>
      <c r="F13" s="131"/>
      <c r="G13" s="126"/>
    </row>
    <row r="14" spans="1:7" ht="15" customHeight="1" x14ac:dyDescent="0.2">
      <c r="A14" s="102"/>
      <c r="B14" s="107"/>
      <c r="C14" s="112">
        <v>14</v>
      </c>
      <c r="D14" s="117">
        <v>2</v>
      </c>
      <c r="E14" s="112" t="s">
        <v>648</v>
      </c>
      <c r="F14" s="131"/>
      <c r="G14" s="126"/>
    </row>
    <row r="15" spans="1:7" ht="15" customHeight="1" x14ac:dyDescent="0.2">
      <c r="A15" s="102"/>
      <c r="B15" s="107"/>
      <c r="C15" s="112">
        <v>15</v>
      </c>
      <c r="D15" s="117">
        <v>2</v>
      </c>
      <c r="E15" s="112" t="s">
        <v>648</v>
      </c>
      <c r="F15" s="131"/>
      <c r="G15" s="126"/>
    </row>
    <row r="16" spans="1:7" ht="15" customHeight="1" thickBot="1" x14ac:dyDescent="0.25">
      <c r="A16" s="103"/>
      <c r="B16" s="108"/>
      <c r="C16" s="113">
        <v>16</v>
      </c>
      <c r="D16" s="118">
        <v>2</v>
      </c>
      <c r="E16" s="113" t="s">
        <v>653</v>
      </c>
      <c r="F16" s="132"/>
      <c r="G16" s="127"/>
    </row>
    <row r="17" spans="1:7" ht="15" customHeight="1" x14ac:dyDescent="0.2">
      <c r="A17" s="104">
        <v>2</v>
      </c>
      <c r="B17" s="109" t="s">
        <v>646</v>
      </c>
      <c r="C17" s="114">
        <v>17</v>
      </c>
      <c r="D17" s="119">
        <v>1</v>
      </c>
      <c r="E17" s="114" t="s">
        <v>648</v>
      </c>
      <c r="F17" s="133"/>
      <c r="G17" s="128"/>
    </row>
    <row r="18" spans="1:7" ht="15" customHeight="1" x14ac:dyDescent="0.2">
      <c r="A18" s="102"/>
      <c r="B18" s="107"/>
      <c r="C18" s="112">
        <v>18</v>
      </c>
      <c r="D18" s="117">
        <v>2</v>
      </c>
      <c r="E18" s="112" t="s">
        <v>649</v>
      </c>
      <c r="F18" s="131"/>
      <c r="G18" s="126"/>
    </row>
    <row r="19" spans="1:7" ht="15" customHeight="1" x14ac:dyDescent="0.2">
      <c r="A19" s="102"/>
      <c r="B19" s="107"/>
      <c r="C19" s="112">
        <v>19</v>
      </c>
      <c r="D19" s="117">
        <v>2</v>
      </c>
      <c r="E19" s="112" t="s">
        <v>649</v>
      </c>
      <c r="F19" s="131"/>
      <c r="G19" s="126"/>
    </row>
    <row r="20" spans="1:7" ht="15" customHeight="1" x14ac:dyDescent="0.2">
      <c r="A20" s="102"/>
      <c r="B20" s="107"/>
      <c r="C20" s="112">
        <v>20</v>
      </c>
      <c r="D20" s="117">
        <v>2</v>
      </c>
      <c r="E20" s="112" t="s">
        <v>654</v>
      </c>
      <c r="F20" s="131"/>
      <c r="G20" s="126"/>
    </row>
    <row r="21" spans="1:7" ht="15" customHeight="1" x14ac:dyDescent="0.2">
      <c r="A21" s="102"/>
      <c r="B21" s="107"/>
      <c r="C21" s="112">
        <v>21</v>
      </c>
      <c r="D21" s="117">
        <v>2</v>
      </c>
      <c r="E21" s="112" t="s">
        <v>655</v>
      </c>
      <c r="F21" s="131"/>
      <c r="G21" s="126"/>
    </row>
    <row r="22" spans="1:7" ht="15" customHeight="1" x14ac:dyDescent="0.2">
      <c r="A22" s="102"/>
      <c r="B22" s="107"/>
      <c r="C22" s="112">
        <v>22</v>
      </c>
      <c r="D22" s="117">
        <v>2</v>
      </c>
      <c r="E22" s="112" t="s">
        <v>656</v>
      </c>
      <c r="F22" s="131"/>
      <c r="G22" s="126"/>
    </row>
    <row r="23" spans="1:7" ht="15" customHeight="1" x14ac:dyDescent="0.2">
      <c r="A23" s="102"/>
      <c r="B23" s="107" t="s">
        <v>652</v>
      </c>
      <c r="C23" s="112">
        <v>23</v>
      </c>
      <c r="D23" s="117">
        <v>1</v>
      </c>
      <c r="E23" s="112" t="s">
        <v>657</v>
      </c>
      <c r="F23" s="131"/>
      <c r="G23" s="126"/>
    </row>
    <row r="24" spans="1:7" ht="15" customHeight="1" x14ac:dyDescent="0.2">
      <c r="A24" s="102"/>
      <c r="B24" s="107"/>
      <c r="C24" s="112">
        <v>24</v>
      </c>
      <c r="D24" s="117">
        <v>2</v>
      </c>
      <c r="E24" s="112" t="s">
        <v>648</v>
      </c>
      <c r="F24" s="131"/>
      <c r="G24" s="126"/>
    </row>
    <row r="25" spans="1:7" ht="15" customHeight="1" x14ac:dyDescent="0.2">
      <c r="A25" s="102"/>
      <c r="B25" s="107"/>
      <c r="C25" s="112">
        <v>25</v>
      </c>
      <c r="D25" s="117">
        <v>2</v>
      </c>
      <c r="E25" s="112" t="s">
        <v>656</v>
      </c>
      <c r="F25" s="131"/>
      <c r="G25" s="126"/>
    </row>
    <row r="26" spans="1:7" ht="15" customHeight="1" x14ac:dyDescent="0.2">
      <c r="A26" s="102"/>
      <c r="B26" s="107"/>
      <c r="C26" s="112">
        <v>26</v>
      </c>
      <c r="D26" s="117">
        <v>2</v>
      </c>
      <c r="E26" s="112" t="s">
        <v>657</v>
      </c>
      <c r="F26" s="131"/>
      <c r="G26" s="126"/>
    </row>
    <row r="27" spans="1:7" ht="15" customHeight="1" x14ac:dyDescent="0.2">
      <c r="A27" s="102"/>
      <c r="B27" s="107"/>
      <c r="C27" s="112">
        <v>27</v>
      </c>
      <c r="D27" s="117">
        <v>2</v>
      </c>
      <c r="E27" s="112" t="s">
        <v>657</v>
      </c>
      <c r="F27" s="131"/>
      <c r="G27" s="126"/>
    </row>
    <row r="28" spans="1:7" ht="15" customHeight="1" thickBot="1" x14ac:dyDescent="0.25">
      <c r="A28" s="103"/>
      <c r="B28" s="108"/>
      <c r="C28" s="113">
        <v>28</v>
      </c>
      <c r="D28" s="118">
        <v>2</v>
      </c>
      <c r="E28" s="113" t="s">
        <v>656</v>
      </c>
      <c r="F28" s="132"/>
      <c r="G28" s="127"/>
    </row>
    <row r="29" spans="1:7" ht="15" customHeight="1" x14ac:dyDescent="0.2">
      <c r="A29" s="104">
        <v>3</v>
      </c>
      <c r="B29" s="109" t="s">
        <v>646</v>
      </c>
      <c r="C29" s="114">
        <v>29</v>
      </c>
      <c r="D29" s="119">
        <v>1</v>
      </c>
      <c r="E29" s="114" t="s">
        <v>658</v>
      </c>
      <c r="F29" s="133"/>
      <c r="G29" s="128"/>
    </row>
    <row r="30" spans="1:7" ht="15" customHeight="1" x14ac:dyDescent="0.2">
      <c r="A30" s="102"/>
      <c r="B30" s="107"/>
      <c r="C30" s="112">
        <v>30</v>
      </c>
      <c r="D30" s="117">
        <v>2</v>
      </c>
      <c r="E30" s="112" t="s">
        <v>659</v>
      </c>
      <c r="F30" s="131"/>
      <c r="G30" s="126"/>
    </row>
    <row r="31" spans="1:7" ht="15" customHeight="1" x14ac:dyDescent="0.2">
      <c r="A31" s="102"/>
      <c r="B31" s="107"/>
      <c r="C31" s="112">
        <v>31</v>
      </c>
      <c r="D31" s="117">
        <v>2</v>
      </c>
      <c r="E31" s="112" t="s">
        <v>653</v>
      </c>
      <c r="F31" s="131"/>
      <c r="G31" s="126"/>
    </row>
    <row r="32" spans="1:7" ht="15" customHeight="1" x14ac:dyDescent="0.2">
      <c r="A32" s="102"/>
      <c r="B32" s="107"/>
      <c r="C32" s="112">
        <v>32</v>
      </c>
      <c r="D32" s="117">
        <v>2</v>
      </c>
      <c r="E32" s="112" t="s">
        <v>653</v>
      </c>
      <c r="F32" s="131"/>
      <c r="G32" s="126"/>
    </row>
    <row r="33" spans="1:7" ht="15" customHeight="1" x14ac:dyDescent="0.2">
      <c r="A33" s="102"/>
      <c r="B33" s="107"/>
      <c r="C33" s="112">
        <v>33</v>
      </c>
      <c r="D33" s="117">
        <v>2</v>
      </c>
      <c r="E33" s="112" t="s">
        <v>653</v>
      </c>
      <c r="F33" s="131"/>
      <c r="G33" s="126"/>
    </row>
    <row r="34" spans="1:7" ht="15" customHeight="1" x14ac:dyDescent="0.2">
      <c r="A34" s="102"/>
      <c r="B34" s="107"/>
      <c r="C34" s="112">
        <v>34</v>
      </c>
      <c r="D34" s="117">
        <v>2</v>
      </c>
      <c r="E34" s="112" t="s">
        <v>648</v>
      </c>
      <c r="F34" s="131"/>
      <c r="G34" s="126"/>
    </row>
    <row r="35" spans="1:7" ht="15" customHeight="1" x14ac:dyDescent="0.2">
      <c r="A35" s="102"/>
      <c r="B35" s="107" t="s">
        <v>652</v>
      </c>
      <c r="C35" s="112">
        <v>35</v>
      </c>
      <c r="D35" s="117">
        <v>1</v>
      </c>
      <c r="E35" s="121" t="s">
        <v>660</v>
      </c>
      <c r="F35" s="131"/>
      <c r="G35" s="126"/>
    </row>
    <row r="36" spans="1:7" ht="15" customHeight="1" x14ac:dyDescent="0.2">
      <c r="A36" s="102"/>
      <c r="B36" s="107"/>
      <c r="C36" s="112">
        <v>36</v>
      </c>
      <c r="D36" s="117">
        <v>2</v>
      </c>
      <c r="E36" s="112" t="s">
        <v>653</v>
      </c>
      <c r="F36" s="131"/>
      <c r="G36" s="126"/>
    </row>
    <row r="37" spans="1:7" ht="15" customHeight="1" x14ac:dyDescent="0.2">
      <c r="A37" s="102"/>
      <c r="B37" s="107"/>
      <c r="C37" s="112">
        <v>37</v>
      </c>
      <c r="D37" s="117">
        <v>2</v>
      </c>
      <c r="E37" s="121" t="s">
        <v>661</v>
      </c>
      <c r="F37" s="131"/>
      <c r="G37" s="126"/>
    </row>
    <row r="38" spans="1:7" ht="15" customHeight="1" x14ac:dyDescent="0.2">
      <c r="A38" s="102"/>
      <c r="B38" s="107"/>
      <c r="C38" s="112">
        <v>38</v>
      </c>
      <c r="D38" s="117">
        <v>2</v>
      </c>
      <c r="E38" s="112" t="s">
        <v>653</v>
      </c>
      <c r="F38" s="131"/>
      <c r="G38" s="126"/>
    </row>
    <row r="39" spans="1:7" ht="15" customHeight="1" x14ac:dyDescent="0.2">
      <c r="A39" s="102"/>
      <c r="B39" s="107"/>
      <c r="C39" s="112">
        <v>39</v>
      </c>
      <c r="D39" s="117">
        <v>2</v>
      </c>
      <c r="E39" s="112" t="s">
        <v>653</v>
      </c>
      <c r="F39" s="131"/>
      <c r="G39" s="126"/>
    </row>
    <row r="40" spans="1:7" ht="15" customHeight="1" thickBot="1" x14ac:dyDescent="0.25">
      <c r="A40" s="103"/>
      <c r="B40" s="108"/>
      <c r="C40" s="113">
        <v>40</v>
      </c>
      <c r="D40" s="118">
        <v>2</v>
      </c>
      <c r="E40" s="113" t="s">
        <v>662</v>
      </c>
      <c r="F40" s="132"/>
      <c r="G40" s="127"/>
    </row>
    <row r="41" spans="1:7" ht="15" customHeight="1" x14ac:dyDescent="0.2">
      <c r="A41" s="104">
        <v>4</v>
      </c>
      <c r="B41" s="109" t="s">
        <v>646</v>
      </c>
      <c r="C41" s="114">
        <v>41</v>
      </c>
      <c r="D41" s="119">
        <v>1</v>
      </c>
      <c r="E41" s="114" t="s">
        <v>650</v>
      </c>
      <c r="F41" s="133"/>
      <c r="G41" s="128"/>
    </row>
    <row r="42" spans="1:7" ht="15" customHeight="1" x14ac:dyDescent="0.2">
      <c r="A42" s="102"/>
      <c r="B42" s="107"/>
      <c r="C42" s="112">
        <v>42</v>
      </c>
      <c r="D42" s="117">
        <v>2</v>
      </c>
      <c r="E42" s="112" t="s">
        <v>653</v>
      </c>
      <c r="F42" s="131"/>
      <c r="G42" s="126"/>
    </row>
    <row r="43" spans="1:7" ht="15" customHeight="1" x14ac:dyDescent="0.2">
      <c r="A43" s="102"/>
      <c r="B43" s="107"/>
      <c r="C43" s="112">
        <v>43</v>
      </c>
      <c r="D43" s="117">
        <v>2</v>
      </c>
      <c r="E43" s="112" t="s">
        <v>653</v>
      </c>
      <c r="F43" s="131"/>
      <c r="G43" s="126"/>
    </row>
    <row r="44" spans="1:7" ht="15" customHeight="1" x14ac:dyDescent="0.2">
      <c r="A44" s="102"/>
      <c r="B44" s="107"/>
      <c r="C44" s="112">
        <v>44</v>
      </c>
      <c r="D44" s="117">
        <v>2</v>
      </c>
      <c r="E44" s="112" t="s">
        <v>653</v>
      </c>
      <c r="F44" s="131"/>
      <c r="G44" s="126"/>
    </row>
    <row r="45" spans="1:7" ht="15" customHeight="1" x14ac:dyDescent="0.2">
      <c r="A45" s="102"/>
      <c r="B45" s="107"/>
      <c r="C45" s="112">
        <v>45</v>
      </c>
      <c r="D45" s="117">
        <v>2</v>
      </c>
      <c r="E45" s="112" t="s">
        <v>653</v>
      </c>
      <c r="F45" s="131"/>
      <c r="G45" s="126"/>
    </row>
    <row r="46" spans="1:7" ht="15" customHeight="1" x14ac:dyDescent="0.2">
      <c r="A46" s="102"/>
      <c r="B46" s="107"/>
      <c r="C46" s="112">
        <v>46</v>
      </c>
      <c r="D46" s="117">
        <v>2</v>
      </c>
      <c r="E46" s="112" t="s">
        <v>653</v>
      </c>
      <c r="F46" s="131"/>
      <c r="G46" s="126"/>
    </row>
    <row r="47" spans="1:7" ht="15" customHeight="1" x14ac:dyDescent="0.2">
      <c r="A47" s="102"/>
      <c r="B47" s="107" t="s">
        <v>652</v>
      </c>
      <c r="C47" s="112">
        <v>47</v>
      </c>
      <c r="D47" s="117">
        <v>2</v>
      </c>
      <c r="E47" s="112" t="s">
        <v>657</v>
      </c>
      <c r="F47" s="131"/>
      <c r="G47" s="126"/>
    </row>
    <row r="48" spans="1:7" ht="15" customHeight="1" x14ac:dyDescent="0.2">
      <c r="A48" s="102"/>
      <c r="B48" s="107"/>
      <c r="C48" s="112">
        <v>48</v>
      </c>
      <c r="D48" s="117">
        <v>2</v>
      </c>
      <c r="E48" s="112" t="s">
        <v>662</v>
      </c>
      <c r="F48" s="131"/>
      <c r="G48" s="126"/>
    </row>
    <row r="49" spans="1:7" ht="15" customHeight="1" x14ac:dyDescent="0.2">
      <c r="A49" s="102"/>
      <c r="B49" s="107"/>
      <c r="C49" s="112">
        <v>49</v>
      </c>
      <c r="D49" s="117">
        <v>2</v>
      </c>
      <c r="E49" s="112" t="s">
        <v>656</v>
      </c>
      <c r="F49" s="131"/>
      <c r="G49" s="126"/>
    </row>
    <row r="50" spans="1:7" ht="15" customHeight="1" x14ac:dyDescent="0.2">
      <c r="A50" s="102"/>
      <c r="B50" s="107"/>
      <c r="C50" s="112">
        <v>50</v>
      </c>
      <c r="D50" s="117">
        <v>2</v>
      </c>
      <c r="E50" s="112" t="s">
        <v>662</v>
      </c>
      <c r="F50" s="131"/>
      <c r="G50" s="126"/>
    </row>
    <row r="51" spans="1:7" ht="15" customHeight="1" x14ac:dyDescent="0.2">
      <c r="A51" s="102"/>
      <c r="B51" s="107"/>
      <c r="C51" s="112">
        <v>51</v>
      </c>
      <c r="D51" s="117">
        <v>2</v>
      </c>
      <c r="E51" s="112" t="s">
        <v>653</v>
      </c>
      <c r="F51" s="131"/>
      <c r="G51" s="126"/>
    </row>
    <row r="52" spans="1:7" ht="15" customHeight="1" thickBot="1" x14ac:dyDescent="0.25">
      <c r="A52" s="103"/>
      <c r="B52" s="108"/>
      <c r="C52" s="113">
        <v>52</v>
      </c>
      <c r="D52" s="118">
        <v>2</v>
      </c>
      <c r="E52" s="113" t="s">
        <v>655</v>
      </c>
      <c r="F52" s="132"/>
      <c r="G52" s="127"/>
    </row>
    <row r="53" spans="1:7" ht="15" customHeight="1" x14ac:dyDescent="0.2">
      <c r="A53" s="104">
        <v>5</v>
      </c>
      <c r="B53" s="109" t="s">
        <v>646</v>
      </c>
      <c r="C53" s="114">
        <v>53</v>
      </c>
      <c r="D53" s="119">
        <v>1</v>
      </c>
      <c r="E53" s="114" t="s">
        <v>650</v>
      </c>
      <c r="F53" s="133"/>
      <c r="G53" s="128"/>
    </row>
    <row r="54" spans="1:7" ht="15" customHeight="1" x14ac:dyDescent="0.2">
      <c r="A54" s="102"/>
      <c r="B54" s="107"/>
      <c r="C54" s="112">
        <v>54</v>
      </c>
      <c r="D54" s="117">
        <v>2</v>
      </c>
      <c r="E54" s="112" t="s">
        <v>653</v>
      </c>
      <c r="F54" s="131"/>
      <c r="G54" s="126"/>
    </row>
    <row r="55" spans="1:7" ht="15" customHeight="1" x14ac:dyDescent="0.2">
      <c r="A55" s="102"/>
      <c r="B55" s="107"/>
      <c r="C55" s="112">
        <v>55</v>
      </c>
      <c r="D55" s="117">
        <v>2</v>
      </c>
      <c r="E55" s="112" t="s">
        <v>648</v>
      </c>
      <c r="F55" s="131"/>
      <c r="G55" s="126"/>
    </row>
    <row r="56" spans="1:7" ht="15" customHeight="1" x14ac:dyDescent="0.2">
      <c r="A56" s="102"/>
      <c r="B56" s="107"/>
      <c r="C56" s="112">
        <v>56</v>
      </c>
      <c r="D56" s="117">
        <v>2</v>
      </c>
      <c r="E56" s="112" t="s">
        <v>653</v>
      </c>
      <c r="F56" s="131"/>
      <c r="G56" s="126"/>
    </row>
    <row r="57" spans="1:7" ht="15" customHeight="1" x14ac:dyDescent="0.2">
      <c r="A57" s="102"/>
      <c r="B57" s="107"/>
      <c r="C57" s="112">
        <v>57</v>
      </c>
      <c r="D57" s="117">
        <v>2</v>
      </c>
      <c r="E57" s="112" t="s">
        <v>653</v>
      </c>
      <c r="F57" s="131"/>
      <c r="G57" s="126"/>
    </row>
    <row r="58" spans="1:7" ht="15" customHeight="1" x14ac:dyDescent="0.2">
      <c r="A58" s="102"/>
      <c r="B58" s="107"/>
      <c r="C58" s="112">
        <v>58</v>
      </c>
      <c r="D58" s="117">
        <v>2</v>
      </c>
      <c r="E58" s="112" t="s">
        <v>648</v>
      </c>
      <c r="F58" s="131"/>
      <c r="G58" s="126"/>
    </row>
    <row r="59" spans="1:7" ht="15" customHeight="1" x14ac:dyDescent="0.2">
      <c r="A59" s="102"/>
      <c r="B59" s="107" t="s">
        <v>652</v>
      </c>
      <c r="C59" s="112">
        <v>59</v>
      </c>
      <c r="D59" s="117">
        <v>1</v>
      </c>
      <c r="E59" s="122" t="s">
        <v>648</v>
      </c>
      <c r="F59" s="131"/>
      <c r="G59" s="126"/>
    </row>
    <row r="60" spans="1:7" ht="15" customHeight="1" x14ac:dyDescent="0.2">
      <c r="A60" s="102"/>
      <c r="B60" s="107"/>
      <c r="C60" s="112">
        <v>60</v>
      </c>
      <c r="D60" s="117">
        <v>2</v>
      </c>
      <c r="E60" s="121" t="s">
        <v>663</v>
      </c>
      <c r="F60" s="131"/>
      <c r="G60" s="126"/>
    </row>
    <row r="61" spans="1:7" ht="15" customHeight="1" x14ac:dyDescent="0.2">
      <c r="A61" s="102"/>
      <c r="B61" s="107"/>
      <c r="C61" s="112">
        <v>61</v>
      </c>
      <c r="D61" s="117">
        <v>2</v>
      </c>
      <c r="E61" s="112" t="s">
        <v>649</v>
      </c>
      <c r="F61" s="131"/>
      <c r="G61" s="126"/>
    </row>
    <row r="62" spans="1:7" ht="15" customHeight="1" x14ac:dyDescent="0.2">
      <c r="A62" s="102"/>
      <c r="B62" s="107"/>
      <c r="C62" s="112">
        <v>62</v>
      </c>
      <c r="D62" s="117">
        <v>2</v>
      </c>
      <c r="E62" s="112" t="s">
        <v>649</v>
      </c>
      <c r="F62" s="131"/>
      <c r="G62" s="126"/>
    </row>
    <row r="63" spans="1:7" ht="15" customHeight="1" x14ac:dyDescent="0.2">
      <c r="A63" s="102"/>
      <c r="B63" s="107"/>
      <c r="C63" s="112">
        <v>63</v>
      </c>
      <c r="D63" s="117">
        <v>2</v>
      </c>
      <c r="E63" s="121" t="s">
        <v>651</v>
      </c>
      <c r="F63" s="131"/>
      <c r="G63" s="126"/>
    </row>
    <row r="64" spans="1:7" ht="15" customHeight="1" thickBot="1" x14ac:dyDescent="0.25">
      <c r="A64" s="103"/>
      <c r="B64" s="108"/>
      <c r="C64" s="113">
        <v>64</v>
      </c>
      <c r="D64" s="118">
        <v>2</v>
      </c>
      <c r="E64" s="113" t="s">
        <v>650</v>
      </c>
      <c r="F64" s="132"/>
      <c r="G64" s="127"/>
    </row>
    <row r="65" spans="1:7" ht="15" customHeight="1" x14ac:dyDescent="0.2">
      <c r="A65" s="104">
        <v>6</v>
      </c>
      <c r="B65" s="109" t="s">
        <v>646</v>
      </c>
      <c r="C65" s="114">
        <v>65</v>
      </c>
      <c r="D65" s="119">
        <v>1</v>
      </c>
      <c r="E65" s="123" t="s">
        <v>664</v>
      </c>
      <c r="F65" s="133"/>
      <c r="G65" s="128"/>
    </row>
    <row r="66" spans="1:7" ht="15" customHeight="1" x14ac:dyDescent="0.2">
      <c r="A66" s="102"/>
      <c r="B66" s="107"/>
      <c r="C66" s="112">
        <v>66</v>
      </c>
      <c r="D66" s="117">
        <v>2</v>
      </c>
      <c r="E66" s="112" t="s">
        <v>649</v>
      </c>
      <c r="F66" s="131"/>
      <c r="G66" s="126"/>
    </row>
    <row r="67" spans="1:7" ht="15" customHeight="1" x14ac:dyDescent="0.2">
      <c r="A67" s="102"/>
      <c r="B67" s="107"/>
      <c r="C67" s="112">
        <v>67</v>
      </c>
      <c r="D67" s="117">
        <v>2</v>
      </c>
      <c r="E67" s="112" t="s">
        <v>650</v>
      </c>
      <c r="F67" s="131"/>
      <c r="G67" s="126"/>
    </row>
    <row r="68" spans="1:7" ht="15" customHeight="1" x14ac:dyDescent="0.2">
      <c r="A68" s="102"/>
      <c r="B68" s="107"/>
      <c r="C68" s="112">
        <v>68</v>
      </c>
      <c r="D68" s="117">
        <v>2</v>
      </c>
      <c r="E68" s="112" t="s">
        <v>648</v>
      </c>
      <c r="F68" s="131"/>
      <c r="G68" s="126"/>
    </row>
    <row r="69" spans="1:7" ht="15" customHeight="1" x14ac:dyDescent="0.2">
      <c r="A69" s="102"/>
      <c r="B69" s="107"/>
      <c r="C69" s="112">
        <v>69</v>
      </c>
      <c r="D69" s="117">
        <v>2</v>
      </c>
      <c r="E69" s="112" t="s">
        <v>657</v>
      </c>
      <c r="F69" s="131"/>
      <c r="G69" s="126"/>
    </row>
    <row r="70" spans="1:7" ht="15" customHeight="1" x14ac:dyDescent="0.2">
      <c r="A70" s="102"/>
      <c r="B70" s="107"/>
      <c r="C70" s="112">
        <v>70</v>
      </c>
      <c r="D70" s="117">
        <v>2</v>
      </c>
      <c r="E70" s="112" t="s">
        <v>649</v>
      </c>
      <c r="F70" s="131"/>
      <c r="G70" s="126"/>
    </row>
    <row r="71" spans="1:7" ht="15" customHeight="1" x14ac:dyDescent="0.2">
      <c r="A71" s="102"/>
      <c r="B71" s="107" t="s">
        <v>665</v>
      </c>
      <c r="C71" s="112">
        <v>71</v>
      </c>
      <c r="D71" s="117">
        <v>1</v>
      </c>
      <c r="E71" s="112" t="s">
        <v>650</v>
      </c>
      <c r="F71" s="131"/>
      <c r="G71" s="126"/>
    </row>
    <row r="72" spans="1:7" ht="15" customHeight="1" x14ac:dyDescent="0.2">
      <c r="A72" s="102"/>
      <c r="B72" s="107"/>
      <c r="C72" s="112">
        <v>72</v>
      </c>
      <c r="D72" s="117">
        <v>2</v>
      </c>
      <c r="E72" s="112" t="s">
        <v>656</v>
      </c>
      <c r="F72" s="131"/>
      <c r="G72" s="126"/>
    </row>
    <row r="73" spans="1:7" ht="15" customHeight="1" x14ac:dyDescent="0.2">
      <c r="A73" s="102"/>
      <c r="B73" s="107"/>
      <c r="C73" s="112">
        <v>73</v>
      </c>
      <c r="D73" s="117">
        <v>2</v>
      </c>
      <c r="E73" s="112" t="s">
        <v>650</v>
      </c>
      <c r="F73" s="131"/>
      <c r="G73" s="126"/>
    </row>
    <row r="74" spans="1:7" ht="15" customHeight="1" x14ac:dyDescent="0.2">
      <c r="A74" s="102"/>
      <c r="B74" s="107"/>
      <c r="C74" s="112">
        <v>74</v>
      </c>
      <c r="D74" s="117">
        <v>2</v>
      </c>
      <c r="E74" s="112" t="s">
        <v>649</v>
      </c>
      <c r="F74" s="131"/>
      <c r="G74" s="126"/>
    </row>
    <row r="75" spans="1:7" ht="15" customHeight="1" x14ac:dyDescent="0.2">
      <c r="A75" s="102"/>
      <c r="B75" s="107"/>
      <c r="C75" s="112">
        <v>75</v>
      </c>
      <c r="D75" s="117">
        <v>2</v>
      </c>
      <c r="E75" s="112" t="s">
        <v>648</v>
      </c>
      <c r="F75" s="131"/>
      <c r="G75" s="126"/>
    </row>
    <row r="76" spans="1:7" ht="15" customHeight="1" thickBot="1" x14ac:dyDescent="0.25">
      <c r="A76" s="103"/>
      <c r="B76" s="108"/>
      <c r="C76" s="113">
        <v>76</v>
      </c>
      <c r="D76" s="118">
        <v>2</v>
      </c>
      <c r="E76" s="113" t="s">
        <v>650</v>
      </c>
      <c r="F76" s="132"/>
      <c r="G76" s="127"/>
    </row>
    <row r="77" spans="1:7" ht="15" customHeight="1" x14ac:dyDescent="0.2">
      <c r="A77" s="104">
        <v>7</v>
      </c>
      <c r="B77" s="109" t="s">
        <v>646</v>
      </c>
      <c r="C77" s="114">
        <v>77</v>
      </c>
      <c r="D77" s="119">
        <v>2</v>
      </c>
      <c r="E77" s="114" t="s">
        <v>649</v>
      </c>
      <c r="F77" s="133"/>
      <c r="G77" s="128"/>
    </row>
    <row r="78" spans="1:7" ht="15" customHeight="1" x14ac:dyDescent="0.2">
      <c r="A78" s="102"/>
      <c r="B78" s="107"/>
      <c r="C78" s="112">
        <v>78</v>
      </c>
      <c r="D78" s="117">
        <v>2</v>
      </c>
      <c r="E78" s="121" t="s">
        <v>670</v>
      </c>
      <c r="F78" s="131"/>
      <c r="G78" s="126"/>
    </row>
    <row r="79" spans="1:7" ht="15" customHeight="1" x14ac:dyDescent="0.2">
      <c r="A79" s="102"/>
      <c r="B79" s="107"/>
      <c r="C79" s="112">
        <v>79</v>
      </c>
      <c r="D79" s="117">
        <v>2</v>
      </c>
      <c r="E79" s="121" t="s">
        <v>670</v>
      </c>
      <c r="F79" s="131"/>
      <c r="G79" s="126"/>
    </row>
    <row r="80" spans="1:7" ht="15" customHeight="1" x14ac:dyDescent="0.2">
      <c r="A80" s="102"/>
      <c r="B80" s="107"/>
      <c r="C80" s="112">
        <v>80</v>
      </c>
      <c r="D80" s="117">
        <v>2</v>
      </c>
      <c r="E80" s="121" t="s">
        <v>670</v>
      </c>
      <c r="F80" s="131"/>
      <c r="G80" s="126"/>
    </row>
    <row r="81" spans="1:7" ht="15" customHeight="1" x14ac:dyDescent="0.2">
      <c r="A81" s="102"/>
      <c r="B81" s="107"/>
      <c r="C81" s="112">
        <v>81</v>
      </c>
      <c r="D81" s="117">
        <v>2</v>
      </c>
      <c r="E81" s="112" t="s">
        <v>650</v>
      </c>
      <c r="F81" s="131"/>
      <c r="G81" s="126"/>
    </row>
    <row r="82" spans="1:7" ht="15" customHeight="1" x14ac:dyDescent="0.2">
      <c r="A82" s="102"/>
      <c r="B82" s="107"/>
      <c r="C82" s="112">
        <v>82</v>
      </c>
      <c r="D82" s="117">
        <v>2</v>
      </c>
      <c r="E82" s="121" t="s">
        <v>670</v>
      </c>
      <c r="F82" s="131"/>
      <c r="G82" s="126"/>
    </row>
    <row r="83" spans="1:7" ht="15" customHeight="1" x14ac:dyDescent="0.2">
      <c r="A83" s="102"/>
      <c r="B83" s="107" t="s">
        <v>652</v>
      </c>
      <c r="C83" s="112">
        <v>83</v>
      </c>
      <c r="D83" s="117">
        <v>1</v>
      </c>
      <c r="E83" s="112" t="s">
        <v>649</v>
      </c>
      <c r="F83" s="131"/>
      <c r="G83" s="126"/>
    </row>
    <row r="84" spans="1:7" ht="15" customHeight="1" x14ac:dyDescent="0.2">
      <c r="A84" s="102"/>
      <c r="B84" s="107"/>
      <c r="C84" s="112">
        <v>84</v>
      </c>
      <c r="D84" s="117">
        <v>2</v>
      </c>
      <c r="E84" s="112" t="s">
        <v>649</v>
      </c>
      <c r="F84" s="131"/>
      <c r="G84" s="126"/>
    </row>
    <row r="85" spans="1:7" ht="15" customHeight="1" x14ac:dyDescent="0.2">
      <c r="A85" s="102"/>
      <c r="B85" s="107"/>
      <c r="C85" s="112">
        <v>85</v>
      </c>
      <c r="D85" s="117">
        <v>2</v>
      </c>
      <c r="E85" s="121" t="s">
        <v>670</v>
      </c>
      <c r="F85" s="131"/>
      <c r="G85" s="126"/>
    </row>
    <row r="86" spans="1:7" ht="15" customHeight="1" x14ac:dyDescent="0.2">
      <c r="A86" s="102"/>
      <c r="B86" s="107"/>
      <c r="C86" s="112">
        <v>86</v>
      </c>
      <c r="D86" s="117">
        <v>2</v>
      </c>
      <c r="E86" s="112" t="s">
        <v>649</v>
      </c>
      <c r="F86" s="131"/>
      <c r="G86" s="126"/>
    </row>
    <row r="87" spans="1:7" ht="15" customHeight="1" x14ac:dyDescent="0.2">
      <c r="A87" s="102"/>
      <c r="B87" s="107"/>
      <c r="C87" s="112">
        <v>87</v>
      </c>
      <c r="D87" s="117">
        <v>2</v>
      </c>
      <c r="E87" s="112" t="s">
        <v>648</v>
      </c>
      <c r="F87" s="131"/>
      <c r="G87" s="126"/>
    </row>
    <row r="88" spans="1:7" ht="15" customHeight="1" x14ac:dyDescent="0.2">
      <c r="A88" s="102"/>
      <c r="B88" s="107"/>
      <c r="C88" s="112">
        <v>88</v>
      </c>
      <c r="D88" s="117">
        <v>2</v>
      </c>
      <c r="E88" s="112" t="s">
        <v>649</v>
      </c>
      <c r="F88" s="131"/>
      <c r="G88" s="126"/>
    </row>
    <row r="89" spans="1:7" ht="15" customHeight="1" x14ac:dyDescent="0.2">
      <c r="A89" s="5" t="s">
        <v>669</v>
      </c>
      <c r="C89" s="5">
        <v>84</v>
      </c>
      <c r="D89" s="5">
        <f>SUM(D5:D88)</f>
        <v>156</v>
      </c>
    </row>
    <row r="90" spans="1:7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252A-FEF3-436B-A81A-CF69CA32FE67}">
  <sheetPr>
    <pageSetUpPr fitToPage="1"/>
  </sheetPr>
  <dimension ref="A1:K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0" sqref="A20"/>
    </sheetView>
  </sheetViews>
  <sheetFormatPr baseColWidth="10" defaultColWidth="8.83203125" defaultRowHeight="15" x14ac:dyDescent="0.2"/>
  <cols>
    <col min="1" max="1" width="39.33203125" bestFit="1" customWidth="1"/>
    <col min="2" max="2" width="16.33203125" bestFit="1" customWidth="1"/>
    <col min="3" max="3" width="18" bestFit="1" customWidth="1"/>
    <col min="4" max="4" width="21" bestFit="1" customWidth="1"/>
    <col min="5" max="5" width="23.1640625" bestFit="1" customWidth="1"/>
    <col min="6" max="6" width="21.5" bestFit="1" customWidth="1"/>
    <col min="7" max="7" width="23.33203125" bestFit="1" customWidth="1"/>
    <col min="8" max="8" width="22.1640625" bestFit="1" customWidth="1"/>
    <col min="9" max="9" width="12.5" bestFit="1" customWidth="1"/>
    <col min="10" max="10" width="16.6640625" bestFit="1" customWidth="1"/>
    <col min="11" max="11" width="22.5" bestFit="1" customWidth="1"/>
  </cols>
  <sheetData>
    <row r="1" spans="1:11" x14ac:dyDescent="0.2">
      <c r="H1" s="96"/>
    </row>
    <row r="2" spans="1:11" x14ac:dyDescent="0.2">
      <c r="E2" t="s">
        <v>686</v>
      </c>
    </row>
    <row r="3" spans="1:11" x14ac:dyDescent="0.2">
      <c r="A3" s="49" t="s">
        <v>464</v>
      </c>
      <c r="B3" t="s">
        <v>337</v>
      </c>
      <c r="C3" t="s">
        <v>471</v>
      </c>
      <c r="D3" t="s">
        <v>632</v>
      </c>
      <c r="E3" t="s">
        <v>685</v>
      </c>
      <c r="F3" t="s">
        <v>628</v>
      </c>
      <c r="G3" t="s">
        <v>346</v>
      </c>
      <c r="H3" t="s">
        <v>347</v>
      </c>
      <c r="I3" t="s">
        <v>630</v>
      </c>
      <c r="J3" s="4" t="s">
        <v>629</v>
      </c>
      <c r="K3" t="s">
        <v>631</v>
      </c>
    </row>
    <row r="4" spans="1:11" x14ac:dyDescent="0.2">
      <c r="A4" s="3" t="s">
        <v>218</v>
      </c>
      <c r="B4">
        <v>10</v>
      </c>
      <c r="C4" s="4">
        <v>3126.45</v>
      </c>
      <c r="D4" s="4">
        <v>72.148846153846151</v>
      </c>
      <c r="E4">
        <v>0</v>
      </c>
      <c r="F4" s="4">
        <v>698.82</v>
      </c>
      <c r="G4" s="4">
        <v>0</v>
      </c>
      <c r="H4" s="4">
        <v>79</v>
      </c>
      <c r="I4" s="4">
        <v>3904.27</v>
      </c>
      <c r="J4" s="4">
        <v>390.42700000000002</v>
      </c>
      <c r="K4" s="4">
        <v>90.098538461538453</v>
      </c>
    </row>
    <row r="5" spans="1:11" x14ac:dyDescent="0.2">
      <c r="A5" s="3" t="s">
        <v>9</v>
      </c>
      <c r="B5">
        <v>5</v>
      </c>
      <c r="C5" s="4">
        <v>1050</v>
      </c>
      <c r="D5" s="4">
        <v>48.46153846153846</v>
      </c>
      <c r="E5">
        <v>0</v>
      </c>
      <c r="F5" s="4">
        <v>122.42000000000002</v>
      </c>
      <c r="G5" s="4">
        <v>0</v>
      </c>
      <c r="H5" s="4">
        <v>79</v>
      </c>
      <c r="I5" s="4">
        <v>1251.42</v>
      </c>
      <c r="J5" s="4">
        <v>250.28400000000002</v>
      </c>
      <c r="K5" s="4">
        <v>57.75784615384616</v>
      </c>
    </row>
    <row r="6" spans="1:11" x14ac:dyDescent="0.2">
      <c r="A6" s="3" t="s">
        <v>10</v>
      </c>
      <c r="B6">
        <v>8</v>
      </c>
      <c r="C6" s="4">
        <v>2050</v>
      </c>
      <c r="D6" s="4">
        <v>59.134615384615387</v>
      </c>
      <c r="E6">
        <v>0</v>
      </c>
      <c r="F6" s="4">
        <v>261.87</v>
      </c>
      <c r="G6" s="4">
        <v>100.45</v>
      </c>
      <c r="H6" s="4">
        <v>79</v>
      </c>
      <c r="I6" s="4">
        <v>2491.3199999999997</v>
      </c>
      <c r="J6" s="4">
        <v>311.41499999999996</v>
      </c>
      <c r="K6" s="4">
        <v>71.864999999999995</v>
      </c>
    </row>
    <row r="7" spans="1:11" x14ac:dyDescent="0.2">
      <c r="A7" s="3" t="s">
        <v>184</v>
      </c>
      <c r="B7">
        <v>6</v>
      </c>
      <c r="C7" s="4">
        <v>1200</v>
      </c>
      <c r="D7" s="4">
        <v>46.153846153846153</v>
      </c>
      <c r="E7">
        <v>0</v>
      </c>
      <c r="F7" s="4">
        <v>589.59</v>
      </c>
      <c r="G7" s="4">
        <v>0</v>
      </c>
      <c r="H7" s="4">
        <v>79</v>
      </c>
      <c r="I7" s="4">
        <v>1868.5900000000001</v>
      </c>
      <c r="J7" s="4">
        <v>311.43166666666667</v>
      </c>
      <c r="K7" s="4">
        <v>71.868846153846164</v>
      </c>
    </row>
    <row r="8" spans="1:11" x14ac:dyDescent="0.2">
      <c r="A8" s="3" t="s">
        <v>12</v>
      </c>
      <c r="B8">
        <v>8</v>
      </c>
      <c r="C8" s="4">
        <v>1150</v>
      </c>
      <c r="D8" s="4">
        <v>33.17307692307692</v>
      </c>
      <c r="E8">
        <v>0</v>
      </c>
      <c r="F8" s="4">
        <v>902.34000000000015</v>
      </c>
      <c r="G8" s="4">
        <v>150.35</v>
      </c>
      <c r="H8" s="4">
        <v>0</v>
      </c>
      <c r="I8" s="4">
        <v>2202.69</v>
      </c>
      <c r="J8" s="4">
        <v>275.33625000000001</v>
      </c>
      <c r="K8" s="4">
        <v>63.539134615384611</v>
      </c>
    </row>
    <row r="9" spans="1:11" x14ac:dyDescent="0.2">
      <c r="A9" s="3" t="s">
        <v>322</v>
      </c>
      <c r="B9">
        <v>4</v>
      </c>
      <c r="C9" s="4">
        <v>1150</v>
      </c>
      <c r="D9" s="4">
        <v>66.34615384615384</v>
      </c>
      <c r="E9">
        <v>0</v>
      </c>
      <c r="F9" s="4">
        <v>143.43000000000006</v>
      </c>
      <c r="G9" s="4">
        <v>0</v>
      </c>
      <c r="H9" s="4">
        <v>79</v>
      </c>
      <c r="I9" s="4">
        <v>1372.43</v>
      </c>
      <c r="J9" s="4">
        <v>343.10750000000002</v>
      </c>
      <c r="K9" s="4">
        <v>79.17865384615385</v>
      </c>
    </row>
    <row r="10" spans="1:11" x14ac:dyDescent="0.2">
      <c r="A10" s="3" t="s">
        <v>14</v>
      </c>
      <c r="B10">
        <v>6</v>
      </c>
      <c r="C10" s="4">
        <v>1500</v>
      </c>
      <c r="D10" s="4">
        <v>57.692307692307693</v>
      </c>
      <c r="E10">
        <v>0</v>
      </c>
      <c r="F10" s="4">
        <v>429.36000000000013</v>
      </c>
      <c r="G10" s="4">
        <v>0</v>
      </c>
      <c r="H10" s="4">
        <v>0</v>
      </c>
      <c r="I10" s="4">
        <v>1929.3600000000001</v>
      </c>
      <c r="J10" s="4">
        <v>321.56</v>
      </c>
      <c r="K10" s="4">
        <v>74.206153846153853</v>
      </c>
    </row>
    <row r="11" spans="1:11" x14ac:dyDescent="0.2">
      <c r="A11" s="3" t="s">
        <v>176</v>
      </c>
      <c r="B11">
        <v>4</v>
      </c>
      <c r="C11" s="4">
        <v>1150</v>
      </c>
      <c r="D11" s="4">
        <v>66.34615384615384</v>
      </c>
      <c r="E11">
        <v>0</v>
      </c>
      <c r="F11" s="4">
        <v>0</v>
      </c>
      <c r="G11" s="4">
        <v>117.04</v>
      </c>
      <c r="H11" s="4">
        <v>0</v>
      </c>
      <c r="I11" s="4">
        <v>1267.04</v>
      </c>
      <c r="J11" s="4">
        <v>316.76</v>
      </c>
      <c r="K11" s="4">
        <v>73.098461538461535</v>
      </c>
    </row>
    <row r="12" spans="1:11" x14ac:dyDescent="0.2">
      <c r="A12" s="3" t="s">
        <v>343</v>
      </c>
      <c r="B12">
        <v>40</v>
      </c>
      <c r="C12" s="4">
        <v>8750</v>
      </c>
      <c r="D12" s="4">
        <v>50.480769230769234</v>
      </c>
      <c r="E12">
        <v>0</v>
      </c>
      <c r="F12" s="4">
        <v>13978.5</v>
      </c>
      <c r="G12" s="4">
        <v>845.56</v>
      </c>
      <c r="H12" s="4">
        <v>237</v>
      </c>
      <c r="I12" s="4">
        <v>23811.06</v>
      </c>
      <c r="J12" s="4">
        <v>595.27650000000006</v>
      </c>
      <c r="K12" s="4">
        <v>137.37150000000003</v>
      </c>
    </row>
    <row r="13" spans="1:11" x14ac:dyDescent="0.2">
      <c r="A13" s="3" t="s">
        <v>345</v>
      </c>
      <c r="B13">
        <v>97</v>
      </c>
      <c r="C13" s="4">
        <v>28944.38</v>
      </c>
      <c r="D13" s="4">
        <v>68.860539254559882</v>
      </c>
      <c r="E13">
        <v>0</v>
      </c>
      <c r="F13" s="4">
        <v>0</v>
      </c>
      <c r="G13" s="4">
        <v>0</v>
      </c>
      <c r="H13" s="4">
        <v>395</v>
      </c>
      <c r="I13" s="4">
        <v>29339.38</v>
      </c>
      <c r="J13" s="4">
        <v>302.46783505154639</v>
      </c>
      <c r="K13" s="4">
        <v>69.800269627279931</v>
      </c>
    </row>
    <row r="14" spans="1:11" x14ac:dyDescent="0.2">
      <c r="A14" s="3" t="s">
        <v>15</v>
      </c>
      <c r="B14">
        <v>8</v>
      </c>
      <c r="C14" s="4">
        <v>1825</v>
      </c>
      <c r="D14" s="4">
        <v>52.644230769230766</v>
      </c>
      <c r="E14">
        <v>0</v>
      </c>
      <c r="F14" s="4">
        <v>0</v>
      </c>
      <c r="G14" s="4">
        <v>111.20666666666666</v>
      </c>
      <c r="H14" s="4">
        <v>79</v>
      </c>
      <c r="I14" s="4">
        <v>2015.2066666666667</v>
      </c>
      <c r="J14" s="4">
        <v>251.90083333333334</v>
      </c>
      <c r="K14" s="4">
        <v>58.130961538461534</v>
      </c>
    </row>
    <row r="15" spans="1:11" x14ac:dyDescent="0.2">
      <c r="A15" s="3" t="s">
        <v>17</v>
      </c>
      <c r="B15">
        <v>8</v>
      </c>
      <c r="C15" s="4">
        <v>2000</v>
      </c>
      <c r="D15" s="4">
        <v>57.692307692307693</v>
      </c>
      <c r="E15">
        <v>0</v>
      </c>
      <c r="F15" s="4">
        <v>0</v>
      </c>
      <c r="G15" s="4">
        <v>111.21</v>
      </c>
      <c r="H15" s="4">
        <v>79</v>
      </c>
      <c r="I15" s="4">
        <v>2190.21</v>
      </c>
      <c r="J15" s="4">
        <v>273.77625</v>
      </c>
      <c r="K15" s="4">
        <v>63.179134615384619</v>
      </c>
    </row>
    <row r="16" spans="1:11" x14ac:dyDescent="0.2">
      <c r="A16" s="3" t="s">
        <v>394</v>
      </c>
      <c r="B16">
        <v>7</v>
      </c>
      <c r="C16" s="4">
        <v>1820</v>
      </c>
      <c r="D16" s="4">
        <v>60</v>
      </c>
      <c r="E16">
        <v>0</v>
      </c>
      <c r="F16" s="4">
        <v>632.86999999999989</v>
      </c>
      <c r="G16" s="4">
        <v>111.30666666666667</v>
      </c>
      <c r="H16" s="4">
        <v>79</v>
      </c>
      <c r="I16" s="4">
        <v>2643.1766666666667</v>
      </c>
      <c r="J16" s="4">
        <v>377.59666666666669</v>
      </c>
      <c r="K16" s="4">
        <v>87.137692307692305</v>
      </c>
    </row>
    <row r="17" spans="1:11" x14ac:dyDescent="0.2">
      <c r="A17" s="3" t="s">
        <v>16</v>
      </c>
      <c r="B17">
        <v>7</v>
      </c>
      <c r="C17" s="4">
        <v>1800</v>
      </c>
      <c r="D17" s="4">
        <v>59.34065934065935</v>
      </c>
      <c r="E17">
        <v>0</v>
      </c>
      <c r="F17" s="4">
        <v>609.67000000000007</v>
      </c>
      <c r="G17" s="4">
        <v>0</v>
      </c>
      <c r="H17" s="4">
        <v>79</v>
      </c>
      <c r="I17" s="4">
        <v>2488.67</v>
      </c>
      <c r="J17" s="4">
        <v>355.52428571428572</v>
      </c>
      <c r="K17" s="4">
        <v>82.044065934065941</v>
      </c>
    </row>
    <row r="18" spans="1:11" x14ac:dyDescent="0.2">
      <c r="A18" s="3" t="s">
        <v>708</v>
      </c>
      <c r="C18" s="4">
        <v>750</v>
      </c>
      <c r="D18" s="4" t="e">
        <v>#DIV/0!</v>
      </c>
      <c r="F18" s="4"/>
      <c r="G18" s="4"/>
      <c r="H18" s="4"/>
      <c r="I18" s="4">
        <v>750</v>
      </c>
      <c r="J18" s="4" t="e">
        <v>#DIV/0!</v>
      </c>
      <c r="K18" s="4" t="e">
        <v>#DIV/0!</v>
      </c>
    </row>
    <row r="19" spans="1:11" x14ac:dyDescent="0.2">
      <c r="A19" s="3" t="s">
        <v>696</v>
      </c>
      <c r="C19" s="4">
        <v>1350</v>
      </c>
      <c r="D19" s="4" t="e">
        <v>#DIV/0!</v>
      </c>
      <c r="F19" s="4">
        <v>0</v>
      </c>
      <c r="G19" s="4">
        <v>59.5</v>
      </c>
      <c r="H19" s="4"/>
      <c r="I19" s="4">
        <v>1409.5</v>
      </c>
      <c r="J19" s="4" t="e">
        <v>#DIV/0!</v>
      </c>
      <c r="K19" s="4" t="e">
        <v>#DIV/0!</v>
      </c>
    </row>
    <row r="20" spans="1:11" x14ac:dyDescent="0.2">
      <c r="A20" s="3" t="s">
        <v>326</v>
      </c>
      <c r="B20">
        <v>5</v>
      </c>
      <c r="C20" s="4">
        <v>1000</v>
      </c>
      <c r="D20" s="4">
        <v>46.153846153846153</v>
      </c>
      <c r="E20">
        <v>0</v>
      </c>
      <c r="F20" s="4">
        <v>741.20000000000027</v>
      </c>
      <c r="G20" s="4">
        <v>56.21</v>
      </c>
      <c r="H20" s="4">
        <v>79</v>
      </c>
      <c r="I20" s="4">
        <v>1876.4100000000003</v>
      </c>
      <c r="J20" s="4">
        <v>375.28200000000004</v>
      </c>
      <c r="K20" s="4">
        <v>86.603538461538463</v>
      </c>
    </row>
    <row r="21" spans="1:11" x14ac:dyDescent="0.2">
      <c r="A21" s="3" t="s">
        <v>671</v>
      </c>
      <c r="B21">
        <v>4</v>
      </c>
      <c r="C21" s="4">
        <v>1300</v>
      </c>
      <c r="D21" s="4">
        <v>75</v>
      </c>
      <c r="E21">
        <v>0</v>
      </c>
      <c r="F21" s="4">
        <v>6.7</v>
      </c>
      <c r="G21" s="4">
        <v>0</v>
      </c>
      <c r="H21" s="4"/>
      <c r="I21" s="4">
        <v>1306.7</v>
      </c>
      <c r="J21" s="4">
        <v>326.67500000000001</v>
      </c>
      <c r="K21" s="4">
        <v>75.386538461538464</v>
      </c>
    </row>
    <row r="22" spans="1:11" x14ac:dyDescent="0.2">
      <c r="A22" s="3" t="s">
        <v>672</v>
      </c>
      <c r="B22">
        <v>6</v>
      </c>
      <c r="C22" s="4">
        <v>1950</v>
      </c>
      <c r="D22" s="4">
        <v>75</v>
      </c>
      <c r="E22">
        <v>0</v>
      </c>
      <c r="F22" s="4">
        <v>6.7</v>
      </c>
      <c r="G22" s="4">
        <v>0</v>
      </c>
      <c r="H22" s="4"/>
      <c r="I22" s="4">
        <v>1956.7</v>
      </c>
      <c r="J22" s="4">
        <v>326.11666666666667</v>
      </c>
      <c r="K22" s="4">
        <v>75.257692307692309</v>
      </c>
    </row>
    <row r="23" spans="1:11" x14ac:dyDescent="0.2">
      <c r="A23" s="3" t="s">
        <v>18</v>
      </c>
      <c r="B23">
        <v>12</v>
      </c>
      <c r="C23" s="4">
        <v>3000</v>
      </c>
      <c r="D23" s="4">
        <v>57.692307692307693</v>
      </c>
      <c r="E23">
        <v>0</v>
      </c>
      <c r="F23" s="4">
        <v>962.19999999999982</v>
      </c>
      <c r="G23" s="4">
        <v>0</v>
      </c>
      <c r="H23" s="4">
        <v>79</v>
      </c>
      <c r="I23" s="4">
        <v>4041.2</v>
      </c>
      <c r="J23" s="4">
        <v>336.76666666666665</v>
      </c>
      <c r="K23" s="4">
        <v>77.715384615384608</v>
      </c>
    </row>
    <row r="24" spans="1:11" x14ac:dyDescent="0.2">
      <c r="A24" s="3" t="s">
        <v>205</v>
      </c>
      <c r="B24">
        <v>4</v>
      </c>
      <c r="C24" s="4">
        <v>1733.3333333333333</v>
      </c>
      <c r="D24" s="4">
        <v>100</v>
      </c>
      <c r="E24">
        <v>0</v>
      </c>
      <c r="F24" s="4">
        <v>0</v>
      </c>
      <c r="G24" s="4">
        <v>55.476666666666667</v>
      </c>
      <c r="H24" s="4">
        <v>0</v>
      </c>
      <c r="I24" s="4">
        <v>1788.81</v>
      </c>
      <c r="J24" s="4">
        <v>447.20249999999999</v>
      </c>
      <c r="K24" s="4">
        <v>103.20057692307692</v>
      </c>
    </row>
    <row r="25" spans="1:11" x14ac:dyDescent="0.2">
      <c r="A25" s="3" t="s">
        <v>19</v>
      </c>
      <c r="B25">
        <v>7</v>
      </c>
      <c r="C25" s="4">
        <v>1500</v>
      </c>
      <c r="D25" s="4">
        <v>49.450549450549453</v>
      </c>
      <c r="E25">
        <v>0</v>
      </c>
      <c r="F25" s="4">
        <v>633.75999999999976</v>
      </c>
      <c r="G25" s="4">
        <v>111.20666666666666</v>
      </c>
      <c r="H25" s="4">
        <v>79</v>
      </c>
      <c r="I25" s="4">
        <v>2323.9666666666662</v>
      </c>
      <c r="J25" s="4">
        <v>331.99523809523805</v>
      </c>
      <c r="K25" s="4">
        <v>76.6142857142857</v>
      </c>
    </row>
    <row r="26" spans="1:11" x14ac:dyDescent="0.2">
      <c r="A26" s="3" t="s">
        <v>355</v>
      </c>
      <c r="B26">
        <v>7</v>
      </c>
      <c r="C26" s="4">
        <v>2500</v>
      </c>
      <c r="D26" s="4">
        <v>82.417582417582423</v>
      </c>
      <c r="E26">
        <v>0</v>
      </c>
      <c r="F26" s="4">
        <v>48.21</v>
      </c>
      <c r="G26" s="4">
        <v>0</v>
      </c>
      <c r="H26" s="4">
        <v>0</v>
      </c>
      <c r="I26" s="4">
        <v>2548.21</v>
      </c>
      <c r="J26" s="4">
        <v>364.03000000000003</v>
      </c>
      <c r="K26" s="4">
        <v>84.006923076923087</v>
      </c>
    </row>
    <row r="27" spans="1:11" x14ac:dyDescent="0.2">
      <c r="A27" s="3" t="s">
        <v>356</v>
      </c>
      <c r="B27">
        <v>8</v>
      </c>
      <c r="C27" s="4">
        <v>2500</v>
      </c>
      <c r="D27" s="4">
        <v>72.115384615384613</v>
      </c>
      <c r="E27">
        <v>0</v>
      </c>
      <c r="F27" s="4">
        <v>0</v>
      </c>
      <c r="G27" s="4">
        <v>0</v>
      </c>
      <c r="H27" s="4">
        <v>0</v>
      </c>
      <c r="I27" s="4">
        <v>2500</v>
      </c>
      <c r="J27" s="4">
        <v>312.5</v>
      </c>
      <c r="K27" s="4">
        <v>72.115384615384613</v>
      </c>
    </row>
    <row r="28" spans="1:11" x14ac:dyDescent="0.2">
      <c r="A28" s="3" t="s">
        <v>223</v>
      </c>
      <c r="B28">
        <v>9</v>
      </c>
      <c r="C28" s="4">
        <v>1800</v>
      </c>
      <c r="D28" s="4">
        <v>46.153846153846153</v>
      </c>
      <c r="E28">
        <v>0</v>
      </c>
      <c r="F28" s="4">
        <v>430</v>
      </c>
      <c r="G28" s="4">
        <v>324.2</v>
      </c>
      <c r="H28" s="4">
        <v>79</v>
      </c>
      <c r="I28" s="4">
        <v>2633.2</v>
      </c>
      <c r="J28" s="4">
        <v>292.57777777777778</v>
      </c>
      <c r="K28" s="4">
        <v>67.517948717948713</v>
      </c>
    </row>
    <row r="29" spans="1:11" x14ac:dyDescent="0.2">
      <c r="A29" s="3" t="s">
        <v>466</v>
      </c>
      <c r="B29">
        <v>280</v>
      </c>
      <c r="C29" s="4">
        <v>76899.16333333333</v>
      </c>
      <c r="D29" s="4">
        <v>63.378431318681315</v>
      </c>
      <c r="E29">
        <v>0</v>
      </c>
      <c r="F29" s="4">
        <v>21197.640000000003</v>
      </c>
      <c r="G29" s="4">
        <v>2153.7166666666667</v>
      </c>
      <c r="H29" s="4">
        <v>1659</v>
      </c>
      <c r="I29" s="4">
        <v>101909.51999999999</v>
      </c>
      <c r="J29" s="4">
        <v>363.96257142857138</v>
      </c>
      <c r="K29" s="4">
        <v>83.991362637362627</v>
      </c>
    </row>
  </sheetData>
  <pageMargins left="0.70866141732283472" right="0.70866141732283472" top="0.74803149606299213" bottom="0.74803149606299213" header="0.31496062992125984" footer="0.31496062992125984"/>
  <pageSetup paperSize="9" scale="55" orientation="landscape" verticalDpi="0" r:id="rId2"/>
  <headerFooter>
    <oddHeader>&amp;L&amp;"-,Vet en cursief"&amp;20Van Bergen Personeelsdiensten B.V.</oddHeader>
    <oddFooter>&amp;L&amp;A&amp;R&amp;F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3">
    <pageSetUpPr fitToPage="1"/>
  </sheetPr>
  <dimension ref="A3:L30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65.33203125" bestFit="1" customWidth="1"/>
    <col min="2" max="2" width="43.83203125" bestFit="1" customWidth="1"/>
    <col min="3" max="3" width="26.33203125" bestFit="1" customWidth="1"/>
    <col min="4" max="4" width="33.1640625" bestFit="1" customWidth="1"/>
    <col min="5" max="5" width="14.33203125" bestFit="1" customWidth="1"/>
    <col min="6" max="6" width="27.5" bestFit="1" customWidth="1"/>
    <col min="7" max="7" width="44.5" bestFit="1" customWidth="1"/>
    <col min="8" max="9" width="10.5" bestFit="1" customWidth="1"/>
    <col min="10" max="10" width="9.83203125" bestFit="1" customWidth="1"/>
    <col min="11" max="11" width="10.5" bestFit="1" customWidth="1"/>
    <col min="12" max="14" width="11.5" bestFit="1" customWidth="1"/>
  </cols>
  <sheetData>
    <row r="3" spans="1:12" x14ac:dyDescent="0.2">
      <c r="A3" s="49" t="s">
        <v>471</v>
      </c>
    </row>
    <row r="4" spans="1:12" x14ac:dyDescent="0.2">
      <c r="A4" s="49" t="s">
        <v>0</v>
      </c>
      <c r="B4" s="49" t="s">
        <v>23</v>
      </c>
      <c r="C4" s="49" t="s">
        <v>26</v>
      </c>
      <c r="D4" s="49" t="s">
        <v>24</v>
      </c>
      <c r="E4" s="49" t="s">
        <v>349</v>
      </c>
      <c r="F4" s="49" t="s">
        <v>25</v>
      </c>
      <c r="G4" s="49" t="s">
        <v>27</v>
      </c>
      <c r="H4" s="49" t="s">
        <v>114</v>
      </c>
      <c r="I4" s="49" t="s">
        <v>115</v>
      </c>
      <c r="J4" s="49" t="s">
        <v>341</v>
      </c>
      <c r="K4" s="49" t="s">
        <v>7</v>
      </c>
      <c r="L4" t="s">
        <v>633</v>
      </c>
    </row>
    <row r="5" spans="1:12" x14ac:dyDescent="0.2">
      <c r="A5" t="s">
        <v>218</v>
      </c>
      <c r="B5" t="s">
        <v>220</v>
      </c>
      <c r="C5" t="s">
        <v>214</v>
      </c>
      <c r="D5" t="s">
        <v>221</v>
      </c>
      <c r="E5" t="s">
        <v>222</v>
      </c>
      <c r="F5" t="s">
        <v>59</v>
      </c>
      <c r="G5" t="s">
        <v>216</v>
      </c>
      <c r="H5">
        <v>10</v>
      </c>
      <c r="I5">
        <v>5</v>
      </c>
      <c r="J5" t="s">
        <v>109</v>
      </c>
      <c r="K5" t="s">
        <v>3</v>
      </c>
      <c r="L5" s="4">
        <v>3126.45</v>
      </c>
    </row>
    <row r="6" spans="1:12" x14ac:dyDescent="0.2">
      <c r="A6" t="s">
        <v>9</v>
      </c>
      <c r="B6" t="s">
        <v>67</v>
      </c>
      <c r="C6" t="s">
        <v>67</v>
      </c>
      <c r="D6" t="s">
        <v>68</v>
      </c>
      <c r="E6" t="s">
        <v>69</v>
      </c>
      <c r="F6" t="s">
        <v>64</v>
      </c>
      <c r="G6" t="s">
        <v>71</v>
      </c>
      <c r="H6">
        <v>5</v>
      </c>
      <c r="I6">
        <v>3</v>
      </c>
      <c r="J6" t="s">
        <v>109</v>
      </c>
      <c r="K6" t="s">
        <v>3</v>
      </c>
      <c r="L6" s="4">
        <v>1050</v>
      </c>
    </row>
    <row r="7" spans="1:12" x14ac:dyDescent="0.2">
      <c r="A7" t="s">
        <v>10</v>
      </c>
      <c r="B7" t="s">
        <v>67</v>
      </c>
      <c r="C7" t="s">
        <v>67</v>
      </c>
      <c r="D7" t="s">
        <v>68</v>
      </c>
      <c r="E7" t="s">
        <v>69</v>
      </c>
      <c r="F7" t="s">
        <v>64</v>
      </c>
      <c r="G7" t="s">
        <v>71</v>
      </c>
      <c r="H7">
        <v>8</v>
      </c>
      <c r="I7">
        <v>5</v>
      </c>
      <c r="J7" t="s">
        <v>109</v>
      </c>
      <c r="K7" t="s">
        <v>3</v>
      </c>
      <c r="L7" s="4">
        <v>2050</v>
      </c>
    </row>
    <row r="8" spans="1:12" x14ac:dyDescent="0.2">
      <c r="A8" t="s">
        <v>184</v>
      </c>
      <c r="B8" t="s">
        <v>202</v>
      </c>
      <c r="C8" t="s">
        <v>185</v>
      </c>
      <c r="D8" t="s">
        <v>186</v>
      </c>
      <c r="E8" t="s">
        <v>187</v>
      </c>
      <c r="F8" t="s">
        <v>92</v>
      </c>
      <c r="G8" t="s">
        <v>189</v>
      </c>
      <c r="H8">
        <v>6</v>
      </c>
      <c r="I8">
        <v>4</v>
      </c>
      <c r="J8" t="s">
        <v>109</v>
      </c>
      <c r="K8" t="s">
        <v>3</v>
      </c>
      <c r="L8" s="4">
        <v>1200</v>
      </c>
    </row>
    <row r="9" spans="1:12" x14ac:dyDescent="0.2">
      <c r="A9" t="s">
        <v>12</v>
      </c>
      <c r="B9" t="s">
        <v>78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>
        <v>8</v>
      </c>
      <c r="I9">
        <v>4</v>
      </c>
      <c r="J9" t="s">
        <v>109</v>
      </c>
      <c r="K9" t="s">
        <v>465</v>
      </c>
      <c r="L9" s="4">
        <v>1150</v>
      </c>
    </row>
    <row r="10" spans="1:12" x14ac:dyDescent="0.2">
      <c r="A10" t="s">
        <v>687</v>
      </c>
      <c r="B10" t="s">
        <v>301</v>
      </c>
      <c r="C10" t="s">
        <v>302</v>
      </c>
      <c r="D10" t="s">
        <v>303</v>
      </c>
      <c r="E10" t="s">
        <v>304</v>
      </c>
      <c r="F10" t="s">
        <v>59</v>
      </c>
      <c r="G10" t="s">
        <v>305</v>
      </c>
      <c r="H10">
        <v>8</v>
      </c>
      <c r="I10">
        <v>4</v>
      </c>
      <c r="J10" t="s">
        <v>109</v>
      </c>
      <c r="K10" t="s">
        <v>3</v>
      </c>
      <c r="L10" s="4">
        <v>2150</v>
      </c>
    </row>
    <row r="11" spans="1:12" x14ac:dyDescent="0.2">
      <c r="A11" t="s">
        <v>322</v>
      </c>
      <c r="B11" t="s">
        <v>634</v>
      </c>
      <c r="C11" t="s">
        <v>96</v>
      </c>
      <c r="D11" t="s">
        <v>95</v>
      </c>
      <c r="E11" t="s">
        <v>34</v>
      </c>
      <c r="F11" t="s">
        <v>62</v>
      </c>
      <c r="G11" t="s">
        <v>97</v>
      </c>
      <c r="H11">
        <v>4</v>
      </c>
      <c r="I11">
        <v>2</v>
      </c>
      <c r="J11" t="s">
        <v>109</v>
      </c>
      <c r="K11" t="s">
        <v>465</v>
      </c>
      <c r="L11" s="4">
        <v>1150</v>
      </c>
    </row>
    <row r="12" spans="1:12" x14ac:dyDescent="0.2">
      <c r="A12" t="s">
        <v>14</v>
      </c>
      <c r="B12" t="s">
        <v>88</v>
      </c>
      <c r="C12" t="s">
        <v>297</v>
      </c>
      <c r="D12" t="s">
        <v>89</v>
      </c>
      <c r="E12" t="s">
        <v>90</v>
      </c>
      <c r="F12" t="s">
        <v>64</v>
      </c>
      <c r="G12" t="s">
        <v>298</v>
      </c>
      <c r="H12">
        <v>6</v>
      </c>
      <c r="I12">
        <v>3</v>
      </c>
      <c r="J12" t="s">
        <v>169</v>
      </c>
      <c r="K12" t="s">
        <v>3</v>
      </c>
      <c r="L12" s="4">
        <v>1500</v>
      </c>
    </row>
    <row r="13" spans="1:12" x14ac:dyDescent="0.2">
      <c r="A13" t="s">
        <v>176</v>
      </c>
      <c r="B13" t="s">
        <v>157</v>
      </c>
      <c r="C13" t="s">
        <v>158</v>
      </c>
      <c r="D13" t="s">
        <v>159</v>
      </c>
      <c r="E13" t="s">
        <v>160</v>
      </c>
      <c r="F13" t="s">
        <v>99</v>
      </c>
      <c r="G13" t="s">
        <v>161</v>
      </c>
      <c r="H13">
        <v>4</v>
      </c>
      <c r="I13">
        <v>2</v>
      </c>
      <c r="J13" t="s">
        <v>165</v>
      </c>
      <c r="K13" t="s">
        <v>3</v>
      </c>
      <c r="L13" s="4">
        <v>1150</v>
      </c>
    </row>
    <row r="14" spans="1:12" x14ac:dyDescent="0.2">
      <c r="A14" t="s">
        <v>343</v>
      </c>
      <c r="B14" t="s">
        <v>203</v>
      </c>
      <c r="C14" t="s">
        <v>204</v>
      </c>
      <c r="D14" t="s">
        <v>282</v>
      </c>
      <c r="E14" t="s">
        <v>283</v>
      </c>
      <c r="F14" t="s">
        <v>284</v>
      </c>
      <c r="G14" t="s">
        <v>640</v>
      </c>
      <c r="H14">
        <v>40</v>
      </c>
      <c r="I14">
        <v>20</v>
      </c>
      <c r="J14" t="s">
        <v>109</v>
      </c>
      <c r="K14" t="s">
        <v>465</v>
      </c>
      <c r="L14" s="4">
        <v>8750</v>
      </c>
    </row>
    <row r="15" spans="1:12" x14ac:dyDescent="0.2">
      <c r="A15" t="s">
        <v>345</v>
      </c>
      <c r="B15" t="s">
        <v>203</v>
      </c>
      <c r="C15" t="s">
        <v>204</v>
      </c>
      <c r="D15" t="s">
        <v>282</v>
      </c>
      <c r="E15" t="s">
        <v>283</v>
      </c>
      <c r="F15" t="s">
        <v>284</v>
      </c>
      <c r="G15" t="s">
        <v>640</v>
      </c>
      <c r="H15">
        <v>97</v>
      </c>
      <c r="I15">
        <v>64</v>
      </c>
      <c r="J15" t="s">
        <v>109</v>
      </c>
      <c r="K15" t="s">
        <v>465</v>
      </c>
      <c r="L15" s="4">
        <v>28944.38</v>
      </c>
    </row>
    <row r="16" spans="1:12" x14ac:dyDescent="0.2">
      <c r="A16" t="s">
        <v>15</v>
      </c>
      <c r="B16" t="s">
        <v>93</v>
      </c>
      <c r="C16" t="s">
        <v>94</v>
      </c>
      <c r="D16" t="s">
        <v>153</v>
      </c>
      <c r="E16" t="s">
        <v>33</v>
      </c>
      <c r="F16" t="s">
        <v>63</v>
      </c>
      <c r="G16" t="s">
        <v>154</v>
      </c>
      <c r="H16">
        <v>8</v>
      </c>
      <c r="I16">
        <v>5</v>
      </c>
      <c r="J16" t="s">
        <v>109</v>
      </c>
      <c r="K16" t="s">
        <v>3</v>
      </c>
      <c r="L16" s="4">
        <v>1825</v>
      </c>
    </row>
    <row r="17" spans="1:12" x14ac:dyDescent="0.2">
      <c r="A17" t="s">
        <v>17</v>
      </c>
      <c r="B17" t="s">
        <v>72</v>
      </c>
      <c r="C17" t="s">
        <v>75</v>
      </c>
      <c r="D17" t="s">
        <v>73</v>
      </c>
      <c r="E17" t="s">
        <v>74</v>
      </c>
      <c r="F17" t="s">
        <v>62</v>
      </c>
      <c r="G17" t="s">
        <v>76</v>
      </c>
      <c r="H17">
        <v>8</v>
      </c>
      <c r="I17">
        <v>4</v>
      </c>
      <c r="J17" t="s">
        <v>109</v>
      </c>
      <c r="K17" t="s">
        <v>465</v>
      </c>
      <c r="L17" s="4">
        <v>2000</v>
      </c>
    </row>
    <row r="18" spans="1:12" x14ac:dyDescent="0.2">
      <c r="A18" t="s">
        <v>394</v>
      </c>
      <c r="B18" t="s">
        <v>412</v>
      </c>
      <c r="C18" t="s">
        <v>461</v>
      </c>
      <c r="D18" t="s">
        <v>413</v>
      </c>
      <c r="E18" t="s">
        <v>414</v>
      </c>
      <c r="F18" t="s">
        <v>62</v>
      </c>
      <c r="G18" t="s">
        <v>554</v>
      </c>
      <c r="H18">
        <v>7</v>
      </c>
      <c r="I18" t="s">
        <v>465</v>
      </c>
      <c r="J18" t="s">
        <v>465</v>
      </c>
      <c r="K18" t="s">
        <v>465</v>
      </c>
      <c r="L18" s="4">
        <v>1820</v>
      </c>
    </row>
    <row r="19" spans="1:12" x14ac:dyDescent="0.2">
      <c r="A19" t="s">
        <v>16</v>
      </c>
      <c r="B19" t="s">
        <v>634</v>
      </c>
      <c r="C19" t="s">
        <v>705</v>
      </c>
      <c r="D19" t="s">
        <v>95</v>
      </c>
      <c r="E19" t="s">
        <v>34</v>
      </c>
      <c r="F19" t="s">
        <v>62</v>
      </c>
      <c r="G19" t="s">
        <v>97</v>
      </c>
      <c r="H19">
        <v>7</v>
      </c>
      <c r="I19">
        <v>4</v>
      </c>
      <c r="J19" t="s">
        <v>109</v>
      </c>
      <c r="K19" t="s">
        <v>465</v>
      </c>
      <c r="L19" s="4">
        <v>1800</v>
      </c>
    </row>
    <row r="20" spans="1:12" x14ac:dyDescent="0.2">
      <c r="A20" t="s">
        <v>708</v>
      </c>
      <c r="B20" t="s">
        <v>699</v>
      </c>
      <c r="C20" t="s">
        <v>700</v>
      </c>
      <c r="D20" t="s">
        <v>701</v>
      </c>
      <c r="E20" t="s">
        <v>702</v>
      </c>
      <c r="F20" t="s">
        <v>63</v>
      </c>
      <c r="G20" t="s">
        <v>465</v>
      </c>
      <c r="H20" t="s">
        <v>465</v>
      </c>
      <c r="I20" t="s">
        <v>465</v>
      </c>
      <c r="J20" t="s">
        <v>465</v>
      </c>
      <c r="K20" t="s">
        <v>465</v>
      </c>
      <c r="L20" s="4">
        <v>750</v>
      </c>
    </row>
    <row r="21" spans="1:12" x14ac:dyDescent="0.2">
      <c r="A21" t="s">
        <v>696</v>
      </c>
      <c r="B21" t="s">
        <v>699</v>
      </c>
      <c r="C21" t="s">
        <v>700</v>
      </c>
      <c r="D21" t="s">
        <v>701</v>
      </c>
      <c r="E21" t="s">
        <v>702</v>
      </c>
      <c r="F21" t="s">
        <v>63</v>
      </c>
      <c r="G21" t="s">
        <v>465</v>
      </c>
      <c r="H21" t="s">
        <v>465</v>
      </c>
      <c r="I21" t="s">
        <v>465</v>
      </c>
      <c r="J21" t="s">
        <v>465</v>
      </c>
      <c r="K21" t="s">
        <v>465</v>
      </c>
      <c r="L21" s="4">
        <v>1350</v>
      </c>
    </row>
    <row r="22" spans="1:12" x14ac:dyDescent="0.2">
      <c r="A22" t="s">
        <v>326</v>
      </c>
      <c r="B22" t="s">
        <v>329</v>
      </c>
      <c r="C22" t="s">
        <v>330</v>
      </c>
      <c r="D22" t="s">
        <v>331</v>
      </c>
      <c r="E22" t="s">
        <v>332</v>
      </c>
      <c r="F22" t="s">
        <v>59</v>
      </c>
      <c r="G22" t="s">
        <v>357</v>
      </c>
      <c r="H22">
        <v>5</v>
      </c>
      <c r="I22">
        <v>3</v>
      </c>
      <c r="J22" t="s">
        <v>109</v>
      </c>
      <c r="K22" t="s">
        <v>3</v>
      </c>
      <c r="L22" s="4">
        <v>1000</v>
      </c>
    </row>
    <row r="23" spans="1:12" x14ac:dyDescent="0.2">
      <c r="A23" t="s">
        <v>671</v>
      </c>
      <c r="B23" t="s">
        <v>675</v>
      </c>
      <c r="C23" t="s">
        <v>676</v>
      </c>
      <c r="D23" t="s">
        <v>615</v>
      </c>
      <c r="E23" t="s">
        <v>677</v>
      </c>
      <c r="F23" t="s">
        <v>59</v>
      </c>
      <c r="G23" t="s">
        <v>678</v>
      </c>
      <c r="H23">
        <v>4</v>
      </c>
      <c r="I23" t="s">
        <v>465</v>
      </c>
      <c r="J23" t="s">
        <v>465</v>
      </c>
      <c r="K23" t="s">
        <v>3</v>
      </c>
      <c r="L23" s="4">
        <v>1300</v>
      </c>
    </row>
    <row r="24" spans="1:12" x14ac:dyDescent="0.2">
      <c r="A24" t="s">
        <v>672</v>
      </c>
      <c r="B24" t="s">
        <v>675</v>
      </c>
      <c r="C24" t="s">
        <v>676</v>
      </c>
      <c r="D24" t="s">
        <v>615</v>
      </c>
      <c r="E24" t="s">
        <v>677</v>
      </c>
      <c r="F24" t="s">
        <v>59</v>
      </c>
      <c r="G24" t="s">
        <v>678</v>
      </c>
      <c r="H24">
        <v>6</v>
      </c>
      <c r="I24" t="s">
        <v>465</v>
      </c>
      <c r="J24" t="s">
        <v>465</v>
      </c>
      <c r="K24" t="s">
        <v>3</v>
      </c>
      <c r="L24" s="4">
        <v>1950</v>
      </c>
    </row>
    <row r="25" spans="1:12" x14ac:dyDescent="0.2">
      <c r="A25" t="s">
        <v>18</v>
      </c>
      <c r="B25" t="s">
        <v>324</v>
      </c>
      <c r="C25" t="s">
        <v>56</v>
      </c>
      <c r="D25" t="s">
        <v>57</v>
      </c>
      <c r="E25" t="s">
        <v>58</v>
      </c>
      <c r="F25" t="s">
        <v>59</v>
      </c>
      <c r="G25" t="s">
        <v>465</v>
      </c>
      <c r="H25">
        <v>12</v>
      </c>
      <c r="I25">
        <v>6</v>
      </c>
      <c r="J25" t="s">
        <v>110</v>
      </c>
      <c r="K25" t="s">
        <v>465</v>
      </c>
      <c r="L25" s="4">
        <v>3000</v>
      </c>
    </row>
    <row r="26" spans="1:12" x14ac:dyDescent="0.2">
      <c r="A26" t="s">
        <v>205</v>
      </c>
      <c r="B26" t="s">
        <v>55</v>
      </c>
      <c r="C26" t="s">
        <v>56</v>
      </c>
      <c r="D26" t="s">
        <v>57</v>
      </c>
      <c r="E26" t="s">
        <v>58</v>
      </c>
      <c r="F26" t="s">
        <v>59</v>
      </c>
      <c r="G26" t="s">
        <v>465</v>
      </c>
      <c r="H26">
        <v>4</v>
      </c>
      <c r="I26">
        <v>2</v>
      </c>
      <c r="J26" t="s">
        <v>192</v>
      </c>
      <c r="K26" t="s">
        <v>465</v>
      </c>
      <c r="L26" s="4">
        <v>1733.3333333333333</v>
      </c>
    </row>
    <row r="27" spans="1:12" x14ac:dyDescent="0.2">
      <c r="A27" t="s">
        <v>19</v>
      </c>
      <c r="B27" t="s">
        <v>100</v>
      </c>
      <c r="C27" t="s">
        <v>150</v>
      </c>
      <c r="D27" t="s">
        <v>101</v>
      </c>
      <c r="E27" t="s">
        <v>102</v>
      </c>
      <c r="F27" t="s">
        <v>63</v>
      </c>
      <c r="G27" t="s">
        <v>103</v>
      </c>
      <c r="H27">
        <v>7</v>
      </c>
      <c r="I27">
        <v>4</v>
      </c>
      <c r="J27" t="s">
        <v>109</v>
      </c>
      <c r="K27" t="s">
        <v>465</v>
      </c>
      <c r="L27" s="4">
        <v>1500</v>
      </c>
    </row>
    <row r="28" spans="1:12" x14ac:dyDescent="0.2">
      <c r="A28" t="s">
        <v>355</v>
      </c>
      <c r="B28" t="s">
        <v>324</v>
      </c>
      <c r="C28" t="s">
        <v>56</v>
      </c>
      <c r="D28" t="s">
        <v>57</v>
      </c>
      <c r="E28" t="s">
        <v>58</v>
      </c>
      <c r="F28" t="s">
        <v>59</v>
      </c>
      <c r="G28" t="s">
        <v>465</v>
      </c>
      <c r="H28">
        <v>7</v>
      </c>
      <c r="I28">
        <v>4</v>
      </c>
      <c r="J28" t="s">
        <v>465</v>
      </c>
      <c r="K28" t="s">
        <v>465</v>
      </c>
      <c r="L28" s="4">
        <v>2500</v>
      </c>
    </row>
    <row r="29" spans="1:12" x14ac:dyDescent="0.2">
      <c r="A29" t="s">
        <v>356</v>
      </c>
      <c r="B29" t="s">
        <v>324</v>
      </c>
      <c r="C29" t="s">
        <v>56</v>
      </c>
      <c r="D29" t="s">
        <v>57</v>
      </c>
      <c r="E29" t="s">
        <v>58</v>
      </c>
      <c r="F29" t="s">
        <v>59</v>
      </c>
      <c r="G29" t="s">
        <v>465</v>
      </c>
      <c r="H29">
        <v>8</v>
      </c>
      <c r="I29">
        <v>4</v>
      </c>
      <c r="J29" t="s">
        <v>465</v>
      </c>
      <c r="K29" t="s">
        <v>465</v>
      </c>
      <c r="L29" s="4">
        <v>2500</v>
      </c>
    </row>
    <row r="30" spans="1:12" x14ac:dyDescent="0.2">
      <c r="A30" t="s">
        <v>223</v>
      </c>
      <c r="B30" t="s">
        <v>225</v>
      </c>
      <c r="C30" t="s">
        <v>225</v>
      </c>
      <c r="D30" t="s">
        <v>226</v>
      </c>
      <c r="E30" t="s">
        <v>227</v>
      </c>
      <c r="F30" t="s">
        <v>174</v>
      </c>
      <c r="G30" t="s">
        <v>228</v>
      </c>
      <c r="H30">
        <v>9</v>
      </c>
      <c r="I30">
        <v>5</v>
      </c>
      <c r="J30" t="s">
        <v>109</v>
      </c>
      <c r="K30" t="s">
        <v>3</v>
      </c>
      <c r="L30" s="4">
        <v>1800</v>
      </c>
    </row>
  </sheetData>
  <pageMargins left="0.7" right="0.7" top="0.75" bottom="0.75" header="0.3" footer="0.3"/>
  <pageSetup paperSize="8" scale="62" orientation="landscape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C43"/>
  <sheetViews>
    <sheetView topLeftCell="A13" workbookViewId="0">
      <selection activeCell="C7" sqref="C7"/>
    </sheetView>
  </sheetViews>
  <sheetFormatPr baseColWidth="10" defaultColWidth="8.83203125" defaultRowHeight="15" x14ac:dyDescent="0.2"/>
  <cols>
    <col min="1" max="1" width="41.33203125" bestFit="1" customWidth="1"/>
    <col min="2" max="2" width="18.5" bestFit="1" customWidth="1"/>
    <col min="3" max="3" width="80.83203125" bestFit="1" customWidth="1"/>
    <col min="4" max="4" width="16.6640625" bestFit="1" customWidth="1"/>
    <col min="5" max="5" width="4.6640625" bestFit="1" customWidth="1"/>
    <col min="6" max="6" width="5.6640625" bestFit="1" customWidth="1"/>
    <col min="7" max="7" width="5.33203125" bestFit="1" customWidth="1"/>
    <col min="8" max="8" width="16.6640625" bestFit="1" customWidth="1"/>
    <col min="9" max="9" width="6.33203125" bestFit="1" customWidth="1"/>
    <col min="10" max="10" width="10" bestFit="1" customWidth="1"/>
  </cols>
  <sheetData>
    <row r="3" spans="1:3" x14ac:dyDescent="0.2">
      <c r="A3" s="49" t="s">
        <v>464</v>
      </c>
      <c r="B3" s="49" t="s">
        <v>338</v>
      </c>
      <c r="C3" s="49" t="s">
        <v>106</v>
      </c>
    </row>
    <row r="4" spans="1:3" x14ac:dyDescent="0.2">
      <c r="A4" t="s">
        <v>218</v>
      </c>
      <c r="B4" t="s">
        <v>167</v>
      </c>
      <c r="C4" t="s">
        <v>168</v>
      </c>
    </row>
    <row r="5" spans="1:3" x14ac:dyDescent="0.2">
      <c r="A5" t="s">
        <v>5</v>
      </c>
      <c r="B5" t="s">
        <v>107</v>
      </c>
      <c r="C5" t="s">
        <v>182</v>
      </c>
    </row>
    <row r="6" spans="1:3" x14ac:dyDescent="0.2">
      <c r="A6" t="s">
        <v>6</v>
      </c>
      <c r="B6" t="s">
        <v>465</v>
      </c>
      <c r="C6" t="s">
        <v>465</v>
      </c>
    </row>
    <row r="7" spans="1:3" x14ac:dyDescent="0.2">
      <c r="A7" t="s">
        <v>9</v>
      </c>
      <c r="B7" t="s">
        <v>281</v>
      </c>
      <c r="C7" t="s">
        <v>310</v>
      </c>
    </row>
    <row r="8" spans="1:3" x14ac:dyDescent="0.2">
      <c r="A8" t="s">
        <v>10</v>
      </c>
      <c r="B8" t="s">
        <v>465</v>
      </c>
      <c r="C8" t="s">
        <v>465</v>
      </c>
    </row>
    <row r="9" spans="1:3" x14ac:dyDescent="0.2">
      <c r="A9" t="s">
        <v>184</v>
      </c>
      <c r="B9" t="s">
        <v>198</v>
      </c>
      <c r="C9" t="s">
        <v>309</v>
      </c>
    </row>
    <row r="10" spans="1:3" x14ac:dyDescent="0.2">
      <c r="A10" t="s">
        <v>12</v>
      </c>
      <c r="B10" t="s">
        <v>281</v>
      </c>
      <c r="C10" t="s">
        <v>181</v>
      </c>
    </row>
    <row r="11" spans="1:3" x14ac:dyDescent="0.2">
      <c r="A11" t="s">
        <v>299</v>
      </c>
      <c r="B11" t="s">
        <v>167</v>
      </c>
      <c r="C11" t="s">
        <v>168</v>
      </c>
    </row>
    <row r="12" spans="1:3" x14ac:dyDescent="0.2">
      <c r="A12" t="s">
        <v>322</v>
      </c>
      <c r="B12" t="s">
        <v>465</v>
      </c>
      <c r="C12" t="s">
        <v>465</v>
      </c>
    </row>
    <row r="13" spans="1:3" x14ac:dyDescent="0.2">
      <c r="A13" t="s">
        <v>11</v>
      </c>
      <c r="B13" t="s">
        <v>107</v>
      </c>
      <c r="C13" t="s">
        <v>108</v>
      </c>
    </row>
    <row r="14" spans="1:3" x14ac:dyDescent="0.2">
      <c r="A14" t="s">
        <v>14</v>
      </c>
      <c r="B14" t="s">
        <v>167</v>
      </c>
      <c r="C14" t="s">
        <v>166</v>
      </c>
    </row>
    <row r="15" spans="1:3" x14ac:dyDescent="0.2">
      <c r="A15" t="s">
        <v>176</v>
      </c>
      <c r="B15" t="s">
        <v>281</v>
      </c>
      <c r="C15" t="s">
        <v>415</v>
      </c>
    </row>
    <row r="16" spans="1:3" x14ac:dyDescent="0.2">
      <c r="A16" t="s">
        <v>175</v>
      </c>
      <c r="B16" t="s">
        <v>192</v>
      </c>
      <c r="C16" t="s">
        <v>465</v>
      </c>
    </row>
    <row r="17" spans="1:3" x14ac:dyDescent="0.2">
      <c r="A17" t="s">
        <v>343</v>
      </c>
      <c r="B17" t="s">
        <v>192</v>
      </c>
      <c r="C17" t="s">
        <v>465</v>
      </c>
    </row>
    <row r="18" spans="1:3" x14ac:dyDescent="0.2">
      <c r="A18" t="s">
        <v>345</v>
      </c>
      <c r="B18" t="s">
        <v>192</v>
      </c>
      <c r="C18" t="s">
        <v>465</v>
      </c>
    </row>
    <row r="19" spans="1:3" x14ac:dyDescent="0.2">
      <c r="A19" t="s">
        <v>344</v>
      </c>
      <c r="B19" t="s">
        <v>192</v>
      </c>
      <c r="C19" t="s">
        <v>465</v>
      </c>
    </row>
    <row r="20" spans="1:3" x14ac:dyDescent="0.2">
      <c r="A20" t="s">
        <v>15</v>
      </c>
      <c r="B20" t="s">
        <v>107</v>
      </c>
      <c r="C20" t="s">
        <v>151</v>
      </c>
    </row>
    <row r="21" spans="1:3" x14ac:dyDescent="0.2">
      <c r="A21" t="s">
        <v>17</v>
      </c>
      <c r="B21" t="s">
        <v>107</v>
      </c>
      <c r="C21" t="s">
        <v>320</v>
      </c>
    </row>
    <row r="22" spans="1:3" x14ac:dyDescent="0.2">
      <c r="A22" t="s">
        <v>394</v>
      </c>
      <c r="B22" t="s">
        <v>107</v>
      </c>
      <c r="C22" t="s">
        <v>403</v>
      </c>
    </row>
    <row r="23" spans="1:3" x14ac:dyDescent="0.2">
      <c r="A23" t="s">
        <v>16</v>
      </c>
      <c r="B23" t="s">
        <v>207</v>
      </c>
      <c r="C23" t="s">
        <v>372</v>
      </c>
    </row>
    <row r="24" spans="1:3" x14ac:dyDescent="0.2">
      <c r="A24" t="s">
        <v>213</v>
      </c>
      <c r="B24" t="s">
        <v>217</v>
      </c>
      <c r="C24" t="s">
        <v>168</v>
      </c>
    </row>
    <row r="25" spans="1:3" x14ac:dyDescent="0.2">
      <c r="A25" t="s">
        <v>195</v>
      </c>
      <c r="B25" t="s">
        <v>167</v>
      </c>
      <c r="C25" t="s">
        <v>465</v>
      </c>
    </row>
    <row r="26" spans="1:3" x14ac:dyDescent="0.2">
      <c r="A26" t="s">
        <v>326</v>
      </c>
      <c r="B26" t="s">
        <v>281</v>
      </c>
      <c r="C26" t="s">
        <v>370</v>
      </c>
    </row>
    <row r="27" spans="1:3" x14ac:dyDescent="0.2">
      <c r="A27" t="s">
        <v>18</v>
      </c>
      <c r="B27" t="s">
        <v>167</v>
      </c>
      <c r="C27" t="s">
        <v>465</v>
      </c>
    </row>
    <row r="28" spans="1:3" x14ac:dyDescent="0.2">
      <c r="A28" t="s">
        <v>205</v>
      </c>
      <c r="B28" t="s">
        <v>207</v>
      </c>
      <c r="C28" t="s">
        <v>376</v>
      </c>
    </row>
    <row r="29" spans="1:3" x14ac:dyDescent="0.2">
      <c r="A29" t="s">
        <v>19</v>
      </c>
      <c r="B29" t="s">
        <v>107</v>
      </c>
      <c r="C29" t="s">
        <v>151</v>
      </c>
    </row>
    <row r="30" spans="1:3" x14ac:dyDescent="0.2">
      <c r="A30" t="s">
        <v>193</v>
      </c>
      <c r="B30" t="s">
        <v>107</v>
      </c>
      <c r="C30" t="s">
        <v>314</v>
      </c>
    </row>
    <row r="31" spans="1:3" x14ac:dyDescent="0.2">
      <c r="A31" t="s">
        <v>355</v>
      </c>
      <c r="B31" t="s">
        <v>465</v>
      </c>
      <c r="C31" t="s">
        <v>465</v>
      </c>
    </row>
    <row r="32" spans="1:3" x14ac:dyDescent="0.2">
      <c r="A32" t="s">
        <v>356</v>
      </c>
      <c r="B32" t="s">
        <v>465</v>
      </c>
      <c r="C32" t="s">
        <v>465</v>
      </c>
    </row>
    <row r="33" spans="1:3" x14ac:dyDescent="0.2">
      <c r="A33" t="s">
        <v>223</v>
      </c>
      <c r="B33" t="s">
        <v>281</v>
      </c>
      <c r="C33" t="s">
        <v>411</v>
      </c>
    </row>
    <row r="34" spans="1:3" x14ac:dyDescent="0.2">
      <c r="A34" t="s">
        <v>467</v>
      </c>
      <c r="B34" t="s">
        <v>465</v>
      </c>
      <c r="C34" t="s">
        <v>465</v>
      </c>
    </row>
    <row r="35" spans="1:3" x14ac:dyDescent="0.2">
      <c r="A35" t="s">
        <v>469</v>
      </c>
      <c r="B35" t="s">
        <v>465</v>
      </c>
      <c r="C35" t="s">
        <v>465</v>
      </c>
    </row>
    <row r="36" spans="1:3" x14ac:dyDescent="0.2">
      <c r="A36" t="s">
        <v>532</v>
      </c>
      <c r="B36" t="s">
        <v>281</v>
      </c>
      <c r="C36" t="s">
        <v>465</v>
      </c>
    </row>
    <row r="37" spans="1:3" x14ac:dyDescent="0.2">
      <c r="A37" t="s">
        <v>543</v>
      </c>
      <c r="B37" t="s">
        <v>465</v>
      </c>
      <c r="C37" t="s">
        <v>465</v>
      </c>
    </row>
    <row r="38" spans="1:3" x14ac:dyDescent="0.2">
      <c r="A38" t="s">
        <v>544</v>
      </c>
      <c r="B38" t="s">
        <v>465</v>
      </c>
      <c r="C38" t="s">
        <v>465</v>
      </c>
    </row>
    <row r="39" spans="1:3" x14ac:dyDescent="0.2">
      <c r="A39" t="s">
        <v>545</v>
      </c>
      <c r="B39" t="s">
        <v>465</v>
      </c>
      <c r="C39" t="s">
        <v>465</v>
      </c>
    </row>
    <row r="40" spans="1:3" x14ac:dyDescent="0.2">
      <c r="A40" t="s">
        <v>546</v>
      </c>
      <c r="B40" t="s">
        <v>465</v>
      </c>
      <c r="C40" t="s">
        <v>465</v>
      </c>
    </row>
    <row r="41" spans="1:3" x14ac:dyDescent="0.2">
      <c r="A41" t="s">
        <v>547</v>
      </c>
      <c r="B41" t="s">
        <v>465</v>
      </c>
      <c r="C41" t="s">
        <v>465</v>
      </c>
    </row>
    <row r="42" spans="1:3" x14ac:dyDescent="0.2">
      <c r="A42" t="s">
        <v>548</v>
      </c>
      <c r="B42" t="s">
        <v>465</v>
      </c>
      <c r="C42" t="s">
        <v>465</v>
      </c>
    </row>
    <row r="43" spans="1:3" x14ac:dyDescent="0.2">
      <c r="A43" t="s">
        <v>466</v>
      </c>
    </row>
  </sheetData>
  <pageMargins left="0.7" right="0.7" top="0.75" bottom="0.75" header="0.3" footer="0.3"/>
  <pageSetup paperSize="9" scale="78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4">
    <pageSetUpPr fitToPage="1"/>
  </sheetPr>
  <dimension ref="A3:AB60"/>
  <sheetViews>
    <sheetView workbookViewId="0">
      <selection activeCell="N32" sqref="N32"/>
    </sheetView>
  </sheetViews>
  <sheetFormatPr baseColWidth="10" defaultColWidth="8.83203125" defaultRowHeight="15" x14ac:dyDescent="0.2"/>
  <cols>
    <col min="1" max="1" width="42.83203125" bestFit="1" customWidth="1"/>
    <col min="2" max="2" width="22.5" bestFit="1" customWidth="1"/>
    <col min="3" max="3" width="34" bestFit="1" customWidth="1"/>
    <col min="4" max="4" width="28.33203125" bestFit="1" customWidth="1"/>
  </cols>
  <sheetData>
    <row r="3" spans="1:28" x14ac:dyDescent="0.2">
      <c r="A3" s="1" t="s">
        <v>116</v>
      </c>
      <c r="E3" s="4"/>
      <c r="F3" s="3"/>
      <c r="G3" s="5"/>
      <c r="P3" s="8"/>
      <c r="Q3" s="3"/>
      <c r="T3" s="6"/>
      <c r="U3" s="5"/>
      <c r="V3" s="5"/>
      <c r="W3" s="5"/>
      <c r="Y3" s="3"/>
      <c r="Z3" s="3"/>
      <c r="AA3" s="5"/>
      <c r="AB3" s="4"/>
    </row>
    <row r="4" spans="1:28" x14ac:dyDescent="0.2">
      <c r="A4" s="1" t="s">
        <v>117</v>
      </c>
      <c r="B4" s="1" t="s">
        <v>26</v>
      </c>
      <c r="C4" s="1" t="s">
        <v>118</v>
      </c>
      <c r="D4" s="1" t="s">
        <v>119</v>
      </c>
      <c r="E4" s="4"/>
      <c r="F4" s="3"/>
      <c r="G4" s="5"/>
      <c r="P4" s="8"/>
      <c r="Q4" s="3"/>
      <c r="T4" s="6"/>
      <c r="U4" s="5"/>
      <c r="V4" s="5"/>
      <c r="W4" s="5"/>
      <c r="Y4" s="3"/>
      <c r="Z4" s="3"/>
      <c r="AA4" s="5"/>
      <c r="AB4" s="4"/>
    </row>
    <row r="5" spans="1:28" x14ac:dyDescent="0.2">
      <c r="E5" s="4"/>
      <c r="F5" s="3"/>
      <c r="G5" s="5"/>
      <c r="P5" s="8"/>
      <c r="Q5" s="3"/>
      <c r="T5" s="6"/>
      <c r="U5" s="5"/>
      <c r="V5" s="5"/>
      <c r="W5" s="5"/>
      <c r="Y5" s="3"/>
      <c r="Z5" s="3"/>
      <c r="AA5" s="5"/>
      <c r="AB5" s="4"/>
    </row>
    <row r="6" spans="1:28" x14ac:dyDescent="0.2">
      <c r="A6" s="22" t="s">
        <v>365</v>
      </c>
      <c r="B6" s="22"/>
      <c r="C6" s="23" t="s">
        <v>366</v>
      </c>
      <c r="D6" s="22" t="s">
        <v>367</v>
      </c>
      <c r="E6" s="4"/>
      <c r="F6" s="3"/>
      <c r="G6" s="5"/>
      <c r="P6" s="8"/>
      <c r="Q6" s="3"/>
      <c r="T6" s="6"/>
      <c r="U6" s="5"/>
      <c r="V6" s="5"/>
      <c r="W6" s="5"/>
      <c r="Y6" s="3"/>
      <c r="Z6" s="3"/>
      <c r="AA6" s="5"/>
      <c r="AB6" s="4"/>
    </row>
    <row r="7" spans="1:28" x14ac:dyDescent="0.2">
      <c r="A7" s="22" t="s">
        <v>386</v>
      </c>
      <c r="B7" s="22"/>
      <c r="C7" s="23">
        <v>7952506</v>
      </c>
      <c r="D7" s="22" t="s">
        <v>385</v>
      </c>
      <c r="E7" s="4"/>
      <c r="F7" s="3"/>
      <c r="G7" s="5"/>
      <c r="P7" s="8"/>
      <c r="Q7" s="3"/>
      <c r="T7" s="6"/>
      <c r="U7" s="5"/>
      <c r="V7" s="5"/>
      <c r="W7" s="5"/>
      <c r="Y7" s="3"/>
      <c r="Z7" s="3"/>
      <c r="AA7" s="5"/>
      <c r="AB7" s="4"/>
    </row>
    <row r="8" spans="1:28" x14ac:dyDescent="0.2">
      <c r="A8" s="22" t="s">
        <v>383</v>
      </c>
      <c r="B8" s="22"/>
      <c r="C8" s="23" t="s">
        <v>384</v>
      </c>
      <c r="D8" s="22" t="s">
        <v>385</v>
      </c>
      <c r="E8" s="4"/>
      <c r="F8" s="3"/>
      <c r="G8" s="5"/>
      <c r="P8" s="8"/>
      <c r="Q8" s="3"/>
      <c r="T8" s="6"/>
      <c r="U8" s="5"/>
      <c r="V8" s="5"/>
      <c r="W8" s="5"/>
      <c r="Y8" s="3"/>
      <c r="Z8" s="3"/>
      <c r="AA8" s="5"/>
      <c r="AB8" s="4"/>
    </row>
    <row r="9" spans="1:28" x14ac:dyDescent="0.2">
      <c r="A9" s="22" t="s">
        <v>120</v>
      </c>
      <c r="B9" s="22" t="s">
        <v>131</v>
      </c>
      <c r="C9" s="23"/>
      <c r="D9" s="22" t="s">
        <v>126</v>
      </c>
      <c r="F9" s="3"/>
      <c r="G9" s="5"/>
      <c r="P9" s="8"/>
      <c r="Q9" s="3"/>
      <c r="T9" s="6"/>
      <c r="U9" s="5"/>
      <c r="V9" s="5"/>
      <c r="W9" s="5"/>
      <c r="Y9" s="3"/>
      <c r="Z9" s="3"/>
      <c r="AA9" s="5"/>
      <c r="AB9" s="4"/>
    </row>
    <row r="10" spans="1:28" x14ac:dyDescent="0.2">
      <c r="A10" s="22"/>
      <c r="B10" s="22"/>
      <c r="C10" s="23"/>
      <c r="D10" s="22"/>
      <c r="E10" s="4"/>
      <c r="F10" s="3"/>
      <c r="G10" s="5"/>
      <c r="P10" s="8"/>
      <c r="Q10" s="3"/>
      <c r="T10" s="6"/>
      <c r="U10" s="5"/>
      <c r="V10" s="5"/>
      <c r="W10" s="5"/>
      <c r="Y10" s="3"/>
      <c r="Z10" s="3"/>
      <c r="AA10" s="5"/>
      <c r="AB10" s="4"/>
    </row>
    <row r="11" spans="1:28" x14ac:dyDescent="0.2">
      <c r="A11" s="22" t="s">
        <v>177</v>
      </c>
      <c r="B11" s="22" t="s">
        <v>178</v>
      </c>
      <c r="C11" s="23"/>
      <c r="D11" s="61" t="s">
        <v>179</v>
      </c>
      <c r="E11" s="4"/>
      <c r="F11" s="3"/>
      <c r="G11" s="5"/>
      <c r="P11" s="8"/>
      <c r="Q11" s="3"/>
      <c r="T11" s="6"/>
      <c r="U11" s="5"/>
      <c r="V11" s="5"/>
      <c r="W11" s="5"/>
      <c r="Y11" s="3"/>
      <c r="Z11" s="3"/>
      <c r="AA11" s="5"/>
      <c r="AB11" s="4"/>
    </row>
    <row r="12" spans="1:28" x14ac:dyDescent="0.2">
      <c r="A12" s="22" t="s">
        <v>377</v>
      </c>
      <c r="B12" s="22" t="s">
        <v>378</v>
      </c>
      <c r="C12" s="60"/>
      <c r="D12" s="63" t="s">
        <v>379</v>
      </c>
      <c r="E12" s="4"/>
      <c r="F12" s="3"/>
      <c r="G12" s="5"/>
      <c r="P12" s="8"/>
      <c r="Q12" s="3"/>
      <c r="T12" s="6"/>
      <c r="U12" s="5"/>
      <c r="V12" s="5"/>
      <c r="W12" s="5"/>
      <c r="Y12" s="3"/>
      <c r="Z12" s="3"/>
      <c r="AA12" s="5"/>
      <c r="AB12" s="4"/>
    </row>
    <row r="13" spans="1:28" x14ac:dyDescent="0.2">
      <c r="A13" s="22" t="s">
        <v>397</v>
      </c>
      <c r="B13" s="22" t="s">
        <v>399</v>
      </c>
      <c r="C13" s="60"/>
      <c r="D13" s="64" t="s">
        <v>398</v>
      </c>
      <c r="E13" s="4"/>
      <c r="F13" s="3"/>
      <c r="G13" s="5"/>
      <c r="P13" s="8"/>
      <c r="Q13" s="3"/>
      <c r="T13" s="6"/>
      <c r="U13" s="5"/>
      <c r="V13" s="5"/>
      <c r="W13" s="5"/>
      <c r="Y13" s="3"/>
      <c r="Z13" s="3"/>
      <c r="AA13" s="5"/>
      <c r="AB13" s="4"/>
    </row>
    <row r="14" spans="1:28" x14ac:dyDescent="0.2">
      <c r="A14" s="22" t="s">
        <v>540</v>
      </c>
      <c r="B14" s="22" t="s">
        <v>541</v>
      </c>
      <c r="C14" s="60"/>
      <c r="D14" s="64" t="s">
        <v>542</v>
      </c>
      <c r="E14" s="4"/>
      <c r="F14" s="3"/>
      <c r="G14" s="5"/>
      <c r="P14" s="8"/>
      <c r="Q14" s="3"/>
      <c r="T14" s="6"/>
      <c r="U14" s="5"/>
      <c r="V14" s="5"/>
      <c r="W14" s="5"/>
      <c r="Y14" s="3"/>
      <c r="Z14" s="3"/>
      <c r="AA14" s="5"/>
      <c r="AB14" s="4"/>
    </row>
    <row r="15" spans="1:28" x14ac:dyDescent="0.2">
      <c r="A15" s="22" t="s">
        <v>690</v>
      </c>
      <c r="B15" s="22" t="s">
        <v>691</v>
      </c>
      <c r="C15" s="60"/>
      <c r="D15" s="64" t="s">
        <v>692</v>
      </c>
      <c r="E15" s="4"/>
      <c r="F15" s="3"/>
      <c r="G15" s="5"/>
      <c r="P15" s="8"/>
      <c r="Q15" s="3"/>
      <c r="T15" s="6"/>
      <c r="U15" s="5"/>
      <c r="V15" s="5"/>
      <c r="W15" s="5"/>
      <c r="Y15" s="3"/>
      <c r="Z15" s="3"/>
      <c r="AA15" s="5"/>
      <c r="AB15" s="4"/>
    </row>
    <row r="16" spans="1:28" x14ac:dyDescent="0.2">
      <c r="A16" s="22"/>
      <c r="B16" s="22"/>
      <c r="C16" s="60"/>
      <c r="D16" s="64"/>
      <c r="E16" s="4"/>
      <c r="F16" s="3"/>
      <c r="G16" s="5"/>
      <c r="P16" s="8"/>
      <c r="Q16" s="3"/>
      <c r="T16" s="6"/>
      <c r="U16" s="5"/>
      <c r="V16" s="5"/>
      <c r="W16" s="5"/>
      <c r="Y16" s="3"/>
      <c r="Z16" s="3"/>
      <c r="AA16" s="5"/>
      <c r="AB16" s="4"/>
    </row>
    <row r="17" spans="1:28" x14ac:dyDescent="0.2">
      <c r="A17" s="22" t="s">
        <v>382</v>
      </c>
      <c r="B17" s="22" t="s">
        <v>538</v>
      </c>
      <c r="C17" s="23"/>
      <c r="D17" s="62" t="s">
        <v>539</v>
      </c>
      <c r="E17" s="4"/>
      <c r="F17" s="3"/>
      <c r="G17" s="5"/>
      <c r="P17" s="8"/>
      <c r="Q17" s="3"/>
      <c r="T17" s="6"/>
      <c r="U17" s="5"/>
      <c r="V17" s="5"/>
      <c r="W17" s="5"/>
      <c r="Y17" s="3"/>
      <c r="Z17" s="3"/>
      <c r="AA17" s="5"/>
      <c r="AB17" s="4"/>
    </row>
    <row r="18" spans="1:28" x14ac:dyDescent="0.2">
      <c r="A18" s="22" t="s">
        <v>625</v>
      </c>
      <c r="B18" s="22" t="s">
        <v>626</v>
      </c>
      <c r="C18" s="23"/>
      <c r="D18" s="62" t="s">
        <v>693</v>
      </c>
      <c r="E18" s="4"/>
      <c r="F18" s="3"/>
      <c r="G18" s="5"/>
      <c r="P18" s="8"/>
      <c r="Q18" s="3"/>
      <c r="T18" s="6"/>
      <c r="U18" s="5"/>
      <c r="V18" s="5"/>
      <c r="W18" s="5"/>
      <c r="Y18" s="3"/>
      <c r="Z18" s="3"/>
      <c r="AA18" s="5"/>
      <c r="AB18" s="4"/>
    </row>
    <row r="19" spans="1:28" x14ac:dyDescent="0.2">
      <c r="A19" s="22"/>
      <c r="B19" s="22"/>
      <c r="C19" s="23"/>
      <c r="D19" s="62"/>
      <c r="E19" s="4"/>
      <c r="F19" s="3"/>
      <c r="G19" s="5"/>
      <c r="P19" s="8"/>
      <c r="Q19" s="3"/>
      <c r="T19" s="6"/>
      <c r="U19" s="5"/>
      <c r="V19" s="5"/>
      <c r="W19" s="5"/>
      <c r="Y19" s="3"/>
      <c r="Z19" s="3"/>
      <c r="AA19" s="5"/>
      <c r="AB19" s="4"/>
    </row>
    <row r="20" spans="1:28" x14ac:dyDescent="0.2">
      <c r="A20" s="22" t="s">
        <v>380</v>
      </c>
      <c r="B20" s="22"/>
      <c r="C20" s="23" t="s">
        <v>387</v>
      </c>
      <c r="D20" s="22" t="s">
        <v>381</v>
      </c>
      <c r="E20" s="4"/>
      <c r="F20" s="3"/>
      <c r="G20" s="5"/>
      <c r="P20" s="8"/>
      <c r="Q20" s="3"/>
      <c r="T20" s="6"/>
      <c r="U20" s="5"/>
      <c r="V20" s="5"/>
      <c r="W20" s="5"/>
      <c r="Y20" s="3"/>
      <c r="Z20" s="3"/>
      <c r="AA20" s="5"/>
      <c r="AB20" s="4"/>
    </row>
    <row r="21" spans="1:28" x14ac:dyDescent="0.2">
      <c r="A21" s="22"/>
      <c r="B21" s="22"/>
      <c r="C21" s="23"/>
      <c r="D21" s="22"/>
      <c r="E21" s="4"/>
      <c r="F21" s="3"/>
      <c r="G21" s="5"/>
      <c r="P21" s="8"/>
      <c r="Q21" s="3"/>
      <c r="T21" s="6"/>
      <c r="U21" s="5"/>
      <c r="V21" s="5"/>
      <c r="W21" s="5"/>
      <c r="Y21" s="3"/>
      <c r="Z21" s="3"/>
      <c r="AA21" s="5"/>
      <c r="AB21" s="4"/>
    </row>
    <row r="22" spans="1:28" x14ac:dyDescent="0.2">
      <c r="A22" s="22" t="s">
        <v>388</v>
      </c>
      <c r="B22" s="22"/>
      <c r="C22" s="23">
        <v>23026004</v>
      </c>
      <c r="D22" s="22" t="s">
        <v>375</v>
      </c>
      <c r="E22" s="4"/>
      <c r="F22" s="3"/>
      <c r="G22" s="5"/>
      <c r="P22" s="8"/>
      <c r="Q22" s="3"/>
      <c r="T22" s="6"/>
      <c r="U22" s="5"/>
      <c r="V22" s="5"/>
      <c r="W22" s="5"/>
      <c r="Y22" s="3"/>
      <c r="Z22" s="3"/>
      <c r="AA22" s="5"/>
      <c r="AB22" s="4"/>
    </row>
    <row r="23" spans="1:28" x14ac:dyDescent="0.2">
      <c r="A23" s="22" t="s">
        <v>389</v>
      </c>
      <c r="B23" s="22"/>
      <c r="C23" s="23">
        <v>378739</v>
      </c>
      <c r="D23" s="22" t="s">
        <v>390</v>
      </c>
      <c r="E23" s="4"/>
      <c r="F23" s="3"/>
      <c r="G23" s="5"/>
      <c r="P23" s="8"/>
      <c r="Q23" s="3"/>
      <c r="T23" s="6"/>
      <c r="U23" s="5"/>
      <c r="V23" s="5"/>
      <c r="W23" s="5"/>
      <c r="Y23" s="3"/>
      <c r="Z23" s="3"/>
      <c r="AA23" s="5"/>
      <c r="AB23" s="4"/>
    </row>
    <row r="24" spans="1:28" x14ac:dyDescent="0.2">
      <c r="A24" s="22"/>
      <c r="B24" s="22"/>
      <c r="C24" s="23"/>
      <c r="D24" s="22"/>
      <c r="E24" s="4"/>
      <c r="F24" s="3"/>
      <c r="G24" s="5"/>
      <c r="P24" s="8"/>
      <c r="Q24" s="3"/>
      <c r="T24" s="6"/>
      <c r="U24" s="5"/>
      <c r="V24" s="5"/>
      <c r="W24" s="5"/>
      <c r="Y24" s="3"/>
      <c r="Z24" s="3"/>
      <c r="AA24" s="5"/>
      <c r="AB24" s="4"/>
    </row>
    <row r="25" spans="1:28" x14ac:dyDescent="0.2">
      <c r="A25" s="22" t="s">
        <v>359</v>
      </c>
      <c r="B25" s="22"/>
      <c r="C25" s="23">
        <v>45442</v>
      </c>
      <c r="D25" s="22" t="s">
        <v>360</v>
      </c>
      <c r="E25" s="4"/>
      <c r="F25" s="3"/>
      <c r="G25" s="5"/>
      <c r="P25" s="8"/>
      <c r="Q25" s="3"/>
      <c r="T25" s="6"/>
      <c r="U25" s="5"/>
      <c r="V25" s="5"/>
      <c r="W25" s="5"/>
      <c r="Y25" s="3"/>
      <c r="Z25" s="3"/>
      <c r="AA25" s="5"/>
      <c r="AB25" s="4"/>
    </row>
    <row r="26" spans="1:28" x14ac:dyDescent="0.2">
      <c r="A26" s="22"/>
      <c r="B26" s="22" t="s">
        <v>361</v>
      </c>
      <c r="C26" s="57" t="s">
        <v>362</v>
      </c>
      <c r="D26" s="22"/>
      <c r="E26" s="4"/>
      <c r="F26" s="3"/>
      <c r="G26" s="5"/>
      <c r="P26" s="8"/>
      <c r="Q26" s="3"/>
      <c r="T26" s="6"/>
      <c r="U26" s="5"/>
      <c r="V26" s="5"/>
      <c r="W26" s="5"/>
      <c r="Y26" s="3"/>
      <c r="Z26" s="3"/>
      <c r="AA26" s="5"/>
      <c r="AB26" s="4"/>
    </row>
    <row r="27" spans="1:28" x14ac:dyDescent="0.2">
      <c r="A27" s="22"/>
      <c r="B27" s="22"/>
      <c r="C27" s="57"/>
      <c r="D27" s="22"/>
      <c r="E27" s="4"/>
      <c r="F27" s="3"/>
      <c r="G27" s="5"/>
      <c r="P27" s="8"/>
      <c r="Q27" s="3"/>
      <c r="T27" s="6"/>
      <c r="U27" s="5"/>
      <c r="V27" s="5"/>
      <c r="W27" s="5"/>
      <c r="Y27" s="3"/>
      <c r="Z27" s="3"/>
      <c r="AA27" s="5"/>
      <c r="AB27" s="4"/>
    </row>
    <row r="28" spans="1:28" x14ac:dyDescent="0.2">
      <c r="A28" s="22" t="s">
        <v>391</v>
      </c>
      <c r="B28" s="22"/>
      <c r="C28" s="57">
        <v>18131</v>
      </c>
      <c r="D28" s="22" t="s">
        <v>392</v>
      </c>
      <c r="E28" s="4"/>
      <c r="F28" s="3"/>
      <c r="G28" s="5"/>
      <c r="P28" s="8"/>
      <c r="Q28" s="3"/>
      <c r="T28" s="6"/>
      <c r="U28" s="5"/>
      <c r="V28" s="5"/>
      <c r="W28" s="5"/>
      <c r="Y28" s="3"/>
      <c r="Z28" s="3"/>
      <c r="AA28" s="5"/>
      <c r="AB28" s="4"/>
    </row>
    <row r="29" spans="1:28" x14ac:dyDescent="0.2">
      <c r="A29" s="22" t="s">
        <v>391</v>
      </c>
      <c r="B29" s="22"/>
      <c r="C29" s="57">
        <v>18131</v>
      </c>
      <c r="D29" s="22" t="s">
        <v>393</v>
      </c>
      <c r="E29" s="4"/>
      <c r="F29" s="3"/>
      <c r="G29" s="5"/>
      <c r="P29" s="8"/>
      <c r="Q29" s="3"/>
      <c r="T29" s="6"/>
      <c r="U29" s="5"/>
      <c r="V29" s="5"/>
      <c r="W29" s="5"/>
      <c r="Y29" s="3"/>
      <c r="Z29" s="3"/>
      <c r="AA29" s="5"/>
      <c r="AB29" s="4"/>
    </row>
    <row r="30" spans="1:28" x14ac:dyDescent="0.2">
      <c r="A30" s="22"/>
      <c r="B30" s="22" t="s">
        <v>363</v>
      </c>
      <c r="C30" s="58" t="s">
        <v>364</v>
      </c>
      <c r="D30" s="22">
        <v>646137462</v>
      </c>
      <c r="E30" s="4"/>
      <c r="F30" s="3"/>
      <c r="G30" s="5"/>
      <c r="P30" s="8"/>
      <c r="Q30" s="3"/>
      <c r="T30" s="6"/>
      <c r="U30" s="5"/>
      <c r="V30" s="5"/>
      <c r="W30" s="5"/>
      <c r="Y30" s="3"/>
      <c r="Z30" s="3"/>
      <c r="AA30" s="5"/>
      <c r="AB30" s="4"/>
    </row>
    <row r="31" spans="1:28" x14ac:dyDescent="0.2">
      <c r="A31" s="22" t="s">
        <v>172</v>
      </c>
      <c r="B31" s="22"/>
      <c r="C31" s="23"/>
      <c r="D31" s="22" t="s">
        <v>173</v>
      </c>
      <c r="E31" s="4"/>
      <c r="F31" s="3"/>
      <c r="G31" s="5"/>
      <c r="P31" s="8"/>
      <c r="Q31" s="3"/>
      <c r="T31" s="6"/>
      <c r="U31" s="5"/>
      <c r="V31" s="5"/>
      <c r="W31" s="5"/>
      <c r="Y31" s="3"/>
      <c r="Z31" s="3"/>
      <c r="AA31" s="5"/>
      <c r="AB31" s="4"/>
    </row>
    <row r="32" spans="1:28" x14ac:dyDescent="0.2">
      <c r="A32" s="22" t="s">
        <v>152</v>
      </c>
      <c r="B32" s="22" t="s">
        <v>373</v>
      </c>
      <c r="C32" s="59">
        <v>106073</v>
      </c>
      <c r="D32" s="22" t="s">
        <v>374</v>
      </c>
      <c r="E32" s="4"/>
      <c r="F32" s="3"/>
      <c r="G32" s="5"/>
      <c r="P32" s="8"/>
      <c r="Q32" s="3"/>
      <c r="T32" s="6"/>
      <c r="U32" s="5"/>
      <c r="V32" s="5"/>
      <c r="W32" s="5"/>
      <c r="Y32" s="3"/>
      <c r="Z32" s="3"/>
      <c r="AA32" s="5"/>
      <c r="AB32" s="4"/>
    </row>
    <row r="33" spans="1:28" x14ac:dyDescent="0.2">
      <c r="A33" s="22" t="s">
        <v>125</v>
      </c>
      <c r="B33" s="56" t="s">
        <v>316</v>
      </c>
      <c r="C33" s="24" t="s">
        <v>171</v>
      </c>
      <c r="D33" s="22" t="s">
        <v>315</v>
      </c>
      <c r="E33" s="4"/>
      <c r="F33" s="3"/>
      <c r="G33" s="5"/>
      <c r="P33" s="8"/>
      <c r="Q33" s="3"/>
      <c r="T33" s="6"/>
      <c r="U33" s="5"/>
      <c r="V33" s="5"/>
      <c r="W33" s="5"/>
      <c r="Y33" s="3"/>
      <c r="Z33" s="3"/>
      <c r="AA33" s="5"/>
      <c r="AB33" s="4"/>
    </row>
    <row r="34" spans="1:28" x14ac:dyDescent="0.2">
      <c r="A34" s="22"/>
      <c r="B34" s="22"/>
      <c r="C34" s="23"/>
      <c r="D34" s="22" t="s">
        <v>317</v>
      </c>
      <c r="E34" s="4"/>
      <c r="F34" s="3"/>
      <c r="G34" s="5"/>
      <c r="P34" s="8"/>
      <c r="Q34" s="3"/>
      <c r="T34" s="6"/>
      <c r="U34" s="5"/>
      <c r="V34" s="5"/>
      <c r="W34" s="5"/>
      <c r="Y34" s="3"/>
      <c r="Z34" s="3"/>
      <c r="AA34" s="5"/>
      <c r="AB34" s="4"/>
    </row>
    <row r="35" spans="1:28" x14ac:dyDescent="0.2">
      <c r="A35" s="22" t="s">
        <v>318</v>
      </c>
      <c r="B35" s="22"/>
      <c r="C35" s="23" t="s">
        <v>368</v>
      </c>
      <c r="D35" s="22" t="s">
        <v>369</v>
      </c>
      <c r="E35" s="4"/>
      <c r="F35" s="3"/>
      <c r="G35" s="5"/>
      <c r="P35" s="8"/>
      <c r="Q35" s="3"/>
      <c r="T35" s="6"/>
      <c r="U35" s="5"/>
      <c r="V35" s="5"/>
      <c r="W35" s="5"/>
      <c r="Y35" s="3"/>
      <c r="Z35" s="3"/>
      <c r="AA35" s="5"/>
      <c r="AB35" s="4"/>
    </row>
    <row r="36" spans="1:28" x14ac:dyDescent="0.2">
      <c r="A36" s="22"/>
      <c r="B36" s="22"/>
      <c r="C36" s="23"/>
      <c r="D36" s="22"/>
      <c r="E36" s="4"/>
      <c r="F36" s="3"/>
      <c r="G36" s="5"/>
      <c r="P36" s="8"/>
      <c r="Q36" s="3"/>
      <c r="T36" s="6"/>
      <c r="U36" s="5"/>
      <c r="V36" s="5"/>
      <c r="W36" s="5"/>
      <c r="Y36" s="3"/>
      <c r="Z36" s="3"/>
      <c r="AA36" s="5"/>
      <c r="AB36" s="4"/>
    </row>
    <row r="37" spans="1:28" x14ac:dyDescent="0.2">
      <c r="A37" s="22"/>
      <c r="B37" s="22"/>
      <c r="C37" s="23"/>
      <c r="D37" s="22"/>
      <c r="E37" s="4"/>
      <c r="F37" s="3"/>
      <c r="G37" s="5"/>
      <c r="P37" s="8"/>
      <c r="Q37" s="3"/>
      <c r="T37" s="6"/>
      <c r="U37" s="5"/>
      <c r="V37" s="5"/>
      <c r="W37" s="5"/>
      <c r="Y37" s="3"/>
      <c r="Z37" s="3"/>
      <c r="AA37" s="5"/>
      <c r="AB37" s="4"/>
    </row>
    <row r="38" spans="1:28" x14ac:dyDescent="0.2">
      <c r="A38" s="22" t="s">
        <v>121</v>
      </c>
      <c r="B38" s="22" t="s">
        <v>132</v>
      </c>
      <c r="C38" s="23" t="s">
        <v>133</v>
      </c>
      <c r="D38" s="22" t="s">
        <v>127</v>
      </c>
      <c r="E38" s="4"/>
      <c r="F38" s="3"/>
      <c r="G38" s="5"/>
      <c r="P38" s="8"/>
      <c r="Q38" s="3"/>
      <c r="T38" s="6"/>
      <c r="U38" s="5"/>
      <c r="V38" s="5"/>
      <c r="W38" s="5"/>
      <c r="Y38" s="3"/>
      <c r="Z38" s="3"/>
      <c r="AA38" s="5"/>
      <c r="AB38" s="4"/>
    </row>
    <row r="39" spans="1:28" x14ac:dyDescent="0.2">
      <c r="A39" s="22" t="s">
        <v>400</v>
      </c>
      <c r="B39" s="22"/>
      <c r="C39" s="23" t="s">
        <v>401</v>
      </c>
      <c r="D39" s="22" t="s">
        <v>402</v>
      </c>
      <c r="E39" s="4"/>
      <c r="F39" s="3"/>
      <c r="G39" s="5"/>
      <c r="P39" s="8"/>
      <c r="Q39" s="3"/>
      <c r="T39" s="6"/>
      <c r="U39" s="5"/>
      <c r="V39" s="5"/>
      <c r="W39" s="5"/>
      <c r="Y39" s="3"/>
      <c r="Z39" s="3"/>
      <c r="AA39" s="5"/>
      <c r="AB39" s="4"/>
    </row>
    <row r="40" spans="1:28" x14ac:dyDescent="0.2">
      <c r="A40" s="22" t="s">
        <v>122</v>
      </c>
      <c r="B40" s="22"/>
      <c r="C40" s="23">
        <v>2002376256</v>
      </c>
      <c r="D40" s="22" t="s">
        <v>128</v>
      </c>
      <c r="E40" s="4"/>
      <c r="F40" s="3"/>
      <c r="G40" s="5"/>
      <c r="P40" s="8"/>
      <c r="Q40" s="3"/>
      <c r="T40" s="6"/>
      <c r="U40" s="5"/>
      <c r="V40" s="5"/>
      <c r="W40" s="5"/>
      <c r="Y40" s="3"/>
      <c r="Z40" s="3"/>
      <c r="AA40" s="5"/>
      <c r="AB40" s="4"/>
    </row>
    <row r="41" spans="1:28" x14ac:dyDescent="0.2">
      <c r="A41" s="22" t="s">
        <v>123</v>
      </c>
      <c r="B41" s="22"/>
      <c r="C41" s="23" t="s">
        <v>170</v>
      </c>
      <c r="D41" s="22" t="s">
        <v>129</v>
      </c>
      <c r="E41" s="4"/>
      <c r="F41" s="3"/>
      <c r="G41" s="5"/>
      <c r="P41" s="8"/>
      <c r="Q41" s="3"/>
      <c r="T41" s="6"/>
      <c r="U41" s="5"/>
      <c r="V41" s="5"/>
      <c r="W41" s="5"/>
      <c r="Y41" s="3"/>
      <c r="Z41" s="3"/>
      <c r="AA41" s="5"/>
      <c r="AB41" s="4"/>
    </row>
    <row r="42" spans="1:28" x14ac:dyDescent="0.2">
      <c r="A42" s="22" t="s">
        <v>124</v>
      </c>
      <c r="B42" s="22"/>
      <c r="C42" s="23" t="s">
        <v>170</v>
      </c>
      <c r="D42" s="22" t="s">
        <v>129</v>
      </c>
      <c r="E42" s="4"/>
      <c r="F42" s="3"/>
      <c r="G42" s="5"/>
      <c r="P42" s="8"/>
      <c r="Q42" s="3"/>
      <c r="T42" s="6"/>
      <c r="U42" s="5"/>
      <c r="V42" s="5"/>
      <c r="W42" s="5"/>
      <c r="Y42" s="3"/>
      <c r="Z42" s="3"/>
      <c r="AA42" s="5"/>
      <c r="AB42" s="4"/>
    </row>
    <row r="43" spans="1:28" x14ac:dyDescent="0.2">
      <c r="A43" s="22"/>
      <c r="B43" s="23"/>
      <c r="C43" s="23"/>
      <c r="D43" s="25" t="s">
        <v>130</v>
      </c>
      <c r="E43" s="4"/>
      <c r="F43" s="3"/>
      <c r="G43" s="5"/>
      <c r="P43" s="8"/>
      <c r="Q43" s="3"/>
      <c r="T43" s="6"/>
      <c r="U43" s="5"/>
      <c r="V43" s="5"/>
      <c r="W43" s="5"/>
      <c r="Y43" s="3"/>
      <c r="Z43" s="3"/>
      <c r="AA43" s="5"/>
      <c r="AB43" s="4"/>
    </row>
    <row r="44" spans="1:28" x14ac:dyDescent="0.2">
      <c r="A44" s="26"/>
      <c r="B44" s="27"/>
      <c r="C44" s="27"/>
      <c r="D44" s="28"/>
      <c r="E44" s="4"/>
      <c r="F44" s="3"/>
      <c r="G44" s="5"/>
      <c r="P44" s="8"/>
      <c r="Q44" s="3"/>
      <c r="T44" s="6"/>
      <c r="U44" s="5"/>
      <c r="V44" s="5"/>
      <c r="W44" s="5"/>
      <c r="Y44" s="3"/>
      <c r="Z44" s="3"/>
      <c r="AA44" s="5"/>
      <c r="AB44" s="4"/>
    </row>
    <row r="45" spans="1:28" x14ac:dyDescent="0.2">
      <c r="A45" s="29" t="s">
        <v>350</v>
      </c>
      <c r="B45" s="30" t="s">
        <v>351</v>
      </c>
      <c r="C45" s="31" t="s">
        <v>352</v>
      </c>
      <c r="D45" s="32"/>
      <c r="E45" s="4"/>
      <c r="F45" s="3"/>
      <c r="G45" s="5"/>
      <c r="P45" s="8"/>
      <c r="Q45" s="3"/>
      <c r="T45" s="6"/>
      <c r="U45" s="5"/>
      <c r="V45" s="5"/>
      <c r="W45" s="5"/>
      <c r="Y45" s="3"/>
      <c r="Z45" s="3"/>
      <c r="AA45" s="5"/>
      <c r="AB45" s="4"/>
    </row>
    <row r="46" spans="1:28" x14ac:dyDescent="0.2">
      <c r="A46" s="29"/>
      <c r="B46" s="30" t="s">
        <v>353</v>
      </c>
      <c r="C46" s="31" t="s">
        <v>354</v>
      </c>
      <c r="D46" s="33"/>
      <c r="E46" s="4"/>
      <c r="F46" s="3"/>
      <c r="G46" s="5"/>
      <c r="P46" s="8"/>
      <c r="Q46" s="3"/>
      <c r="T46" s="6"/>
      <c r="U46" s="5"/>
      <c r="V46" s="5"/>
      <c r="W46" s="5"/>
      <c r="Y46" s="3"/>
      <c r="Z46" s="3"/>
      <c r="AA46" s="5"/>
      <c r="AB46" s="4"/>
    </row>
    <row r="47" spans="1:28" x14ac:dyDescent="0.2">
      <c r="A47" s="50"/>
      <c r="B47" s="51"/>
      <c r="C47" s="52"/>
      <c r="D47" s="51"/>
      <c r="E47" s="4"/>
      <c r="F47" s="3"/>
      <c r="G47" s="5"/>
      <c r="P47" s="8"/>
      <c r="Q47" s="3"/>
      <c r="T47" s="6"/>
      <c r="U47" s="5"/>
      <c r="V47" s="5"/>
      <c r="W47" s="5"/>
      <c r="Y47" s="3"/>
      <c r="Z47" s="3"/>
      <c r="AA47" s="5"/>
      <c r="AB47" s="4"/>
    </row>
    <row r="48" spans="1:28" x14ac:dyDescent="0.2">
      <c r="E48" s="4"/>
      <c r="F48" s="3"/>
      <c r="G48" s="5"/>
      <c r="P48" s="8"/>
      <c r="Q48" s="3"/>
      <c r="T48" s="6"/>
      <c r="U48" s="5"/>
      <c r="V48" s="5"/>
      <c r="W48" s="5"/>
      <c r="Y48" s="3"/>
      <c r="Z48" s="3"/>
      <c r="AA48" s="5"/>
      <c r="AB48" s="4"/>
    </row>
    <row r="49" spans="1:28" x14ac:dyDescent="0.2">
      <c r="A49" s="22" t="s">
        <v>134</v>
      </c>
      <c r="B49" s="22"/>
      <c r="C49" s="20"/>
      <c r="D49" s="22" t="s">
        <v>135</v>
      </c>
      <c r="E49" s="4"/>
      <c r="F49" s="3"/>
      <c r="G49" s="5"/>
      <c r="P49" s="8"/>
      <c r="Q49" s="3"/>
      <c r="T49" s="6"/>
      <c r="U49" s="5"/>
      <c r="V49" s="5"/>
      <c r="W49" s="5"/>
      <c r="Y49" s="3"/>
      <c r="Z49" s="3"/>
      <c r="AA49" s="5"/>
      <c r="AB49" s="4"/>
    </row>
    <row r="50" spans="1:28" x14ac:dyDescent="0.2">
      <c r="A50" s="22"/>
      <c r="B50" s="22"/>
      <c r="C50" s="20"/>
      <c r="D50" s="22"/>
      <c r="E50" s="4"/>
      <c r="F50" s="3"/>
      <c r="G50" s="5"/>
      <c r="P50" s="8"/>
      <c r="Q50" s="3"/>
      <c r="T50" s="6"/>
      <c r="U50" s="5"/>
      <c r="V50" s="5"/>
      <c r="W50" s="5"/>
      <c r="Y50" s="3"/>
      <c r="Z50" s="3"/>
      <c r="AA50" s="5"/>
      <c r="AB50" s="4"/>
    </row>
    <row r="51" spans="1:28" x14ac:dyDescent="0.2">
      <c r="A51" s="22"/>
      <c r="B51" s="22"/>
      <c r="C51" s="20"/>
      <c r="D51" s="22"/>
      <c r="E51" s="4"/>
      <c r="F51" s="3"/>
      <c r="G51" s="5"/>
      <c r="P51" s="8"/>
      <c r="Q51" s="3"/>
      <c r="T51" s="6"/>
      <c r="U51" s="5"/>
      <c r="V51" s="5"/>
      <c r="W51" s="5"/>
      <c r="Y51" s="3"/>
      <c r="Z51" s="3"/>
      <c r="AA51" s="5"/>
      <c r="AB51" s="4"/>
    </row>
    <row r="52" spans="1:28" x14ac:dyDescent="0.2">
      <c r="A52" s="22"/>
      <c r="B52" s="22" t="s">
        <v>138</v>
      </c>
      <c r="C52" s="20"/>
      <c r="D52" s="22" t="s">
        <v>136</v>
      </c>
      <c r="E52" s="4"/>
      <c r="F52" s="3"/>
      <c r="G52" s="5"/>
      <c r="P52" s="8"/>
      <c r="Q52" s="3"/>
      <c r="T52" s="6"/>
      <c r="U52" s="5"/>
      <c r="V52" s="5"/>
      <c r="W52" s="5"/>
      <c r="Y52" s="3"/>
      <c r="Z52" s="3"/>
      <c r="AA52" s="5"/>
      <c r="AB52" s="4"/>
    </row>
    <row r="53" spans="1:28" x14ac:dyDescent="0.2">
      <c r="A53" s="22"/>
      <c r="B53" s="22" t="s">
        <v>139</v>
      </c>
      <c r="C53" s="20"/>
      <c r="D53" s="22" t="s">
        <v>137</v>
      </c>
      <c r="E53" s="4"/>
      <c r="F53" s="3"/>
      <c r="G53" s="5"/>
      <c r="P53" s="8"/>
      <c r="Q53" s="3"/>
      <c r="T53" s="6"/>
      <c r="U53" s="5"/>
      <c r="V53" s="5"/>
      <c r="W53" s="5"/>
      <c r="Y53" s="3"/>
      <c r="Z53" s="3"/>
      <c r="AA53" s="5"/>
      <c r="AB53" s="4"/>
    </row>
    <row r="54" spans="1:28" ht="16" thickBot="1" x14ac:dyDescent="0.25">
      <c r="B54" s="3"/>
      <c r="C54" s="3"/>
      <c r="D54" s="4"/>
      <c r="E54" s="4"/>
      <c r="F54" s="3"/>
      <c r="G54" s="5"/>
      <c r="P54" s="8"/>
      <c r="Q54" s="3"/>
      <c r="T54" s="6"/>
      <c r="U54" s="5"/>
      <c r="V54" s="5"/>
      <c r="W54" s="5"/>
      <c r="Y54" s="3"/>
      <c r="Z54" s="3"/>
      <c r="AA54" s="5"/>
      <c r="AB54" s="4"/>
    </row>
    <row r="55" spans="1:28" x14ac:dyDescent="0.2">
      <c r="A55" s="34" t="s">
        <v>140</v>
      </c>
      <c r="B55" s="35"/>
      <c r="C55" s="36"/>
      <c r="D55" s="4"/>
      <c r="E55" s="4"/>
      <c r="F55" s="3"/>
      <c r="G55" s="5"/>
      <c r="P55" s="8"/>
      <c r="Q55" s="3"/>
      <c r="T55" s="6"/>
      <c r="U55" s="5"/>
      <c r="V55" s="5"/>
      <c r="W55" s="5"/>
      <c r="Y55" s="3"/>
      <c r="Z55" s="3"/>
      <c r="AA55" s="5"/>
      <c r="AB55" s="4"/>
    </row>
    <row r="56" spans="1:28" x14ac:dyDescent="0.2">
      <c r="A56" s="37" t="s">
        <v>141</v>
      </c>
      <c r="B56" s="22" t="s">
        <v>142</v>
      </c>
      <c r="C56" s="38" t="s">
        <v>143</v>
      </c>
      <c r="D56" s="4"/>
      <c r="E56" s="4"/>
      <c r="F56" s="3"/>
      <c r="G56" s="5"/>
      <c r="P56" s="8"/>
      <c r="Q56" s="3"/>
      <c r="T56" s="6"/>
      <c r="U56" s="5"/>
      <c r="V56" s="5"/>
      <c r="W56" s="5"/>
      <c r="Y56" s="3"/>
      <c r="Z56" s="3"/>
      <c r="AA56" s="5"/>
      <c r="AB56" s="4"/>
    </row>
    <row r="57" spans="1:28" x14ac:dyDescent="0.2">
      <c r="A57" s="39"/>
      <c r="B57" s="22" t="s">
        <v>144</v>
      </c>
      <c r="C57" s="38" t="s">
        <v>145</v>
      </c>
      <c r="D57" s="4"/>
      <c r="E57" s="4"/>
      <c r="F57" s="3"/>
      <c r="G57" s="5"/>
      <c r="P57" s="8"/>
      <c r="Q57" s="3"/>
      <c r="T57" s="6"/>
      <c r="U57" s="5"/>
      <c r="V57" s="5"/>
      <c r="W57" s="5"/>
      <c r="Y57" s="3"/>
      <c r="Z57" s="3"/>
      <c r="AA57" s="5"/>
      <c r="AB57" s="4"/>
    </row>
    <row r="58" spans="1:28" x14ac:dyDescent="0.2">
      <c r="A58" s="39"/>
      <c r="B58" s="22" t="s">
        <v>144</v>
      </c>
      <c r="C58" s="38" t="s">
        <v>145</v>
      </c>
      <c r="D58" s="4"/>
      <c r="E58" s="4"/>
      <c r="F58" s="3"/>
      <c r="G58" s="5"/>
      <c r="P58" s="8"/>
      <c r="Q58" s="3"/>
      <c r="T58" s="6"/>
      <c r="U58" s="5"/>
      <c r="V58" s="5"/>
      <c r="W58" s="5"/>
      <c r="Y58" s="3"/>
      <c r="Z58" s="3"/>
      <c r="AA58" s="5"/>
      <c r="AB58" s="4"/>
    </row>
    <row r="59" spans="1:28" x14ac:dyDescent="0.2">
      <c r="A59" s="37" t="s">
        <v>146</v>
      </c>
      <c r="B59" s="22" t="s">
        <v>147</v>
      </c>
      <c r="C59" s="38" t="s">
        <v>148</v>
      </c>
      <c r="D59" s="4"/>
      <c r="E59" s="4"/>
      <c r="F59" s="3"/>
      <c r="G59" s="5"/>
      <c r="P59" s="8"/>
      <c r="Q59" s="3"/>
      <c r="T59" s="6"/>
      <c r="U59" s="5"/>
      <c r="V59" s="5"/>
      <c r="W59" s="5"/>
      <c r="Y59" s="3"/>
      <c r="Z59" s="3"/>
      <c r="AA59" s="5"/>
      <c r="AB59" s="4"/>
    </row>
    <row r="60" spans="1:28" ht="16" thickBot="1" x14ac:dyDescent="0.25">
      <c r="A60" s="40"/>
      <c r="B60" s="41" t="s">
        <v>144</v>
      </c>
      <c r="C60" s="42" t="s">
        <v>149</v>
      </c>
      <c r="D60" s="4"/>
      <c r="E60" s="4"/>
      <c r="F60" s="3"/>
      <c r="G60" s="5"/>
      <c r="P60" s="8"/>
      <c r="Q60" s="3"/>
      <c r="T60" s="6"/>
      <c r="U60" s="5"/>
      <c r="V60" s="5"/>
      <c r="W60" s="5"/>
      <c r="Y60" s="3"/>
      <c r="Z60" s="3"/>
      <c r="AA60" s="5"/>
      <c r="AB60" s="4"/>
    </row>
  </sheetData>
  <hyperlinks>
    <hyperlink ref="D43" r:id="rId1" xr:uid="{00000000-0004-0000-0500-000000000000}"/>
    <hyperlink ref="C26" r:id="rId2" xr:uid="{00000000-0004-0000-0500-000001000000}"/>
  </hyperlinks>
  <pageMargins left="0.7" right="0.7" top="0.75" bottom="0.75" header="0.3" footer="0.3"/>
  <pageSetup paperSize="9" scale="68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48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39.33203125" bestFit="1" customWidth="1"/>
    <col min="2" max="2" width="15" bestFit="1" customWidth="1"/>
    <col min="3" max="3" width="22.33203125" style="54" bestFit="1" customWidth="1"/>
    <col min="4" max="4" width="35.33203125" bestFit="1" customWidth="1"/>
    <col min="5" max="5" width="43.6640625" bestFit="1" customWidth="1"/>
    <col min="6" max="6" width="15" bestFit="1" customWidth="1"/>
    <col min="7" max="7" width="7.5" bestFit="1" customWidth="1"/>
    <col min="8" max="8" width="8" bestFit="1" customWidth="1"/>
    <col min="9" max="9" width="7.6640625" bestFit="1" customWidth="1"/>
    <col min="10" max="10" width="8.1640625" bestFit="1" customWidth="1"/>
    <col min="11" max="11" width="7.6640625" bestFit="1" customWidth="1"/>
    <col min="12" max="12" width="7.5" bestFit="1" customWidth="1"/>
    <col min="13" max="13" width="8.1640625" bestFit="1" customWidth="1"/>
    <col min="14" max="14" width="8" bestFit="1" customWidth="1"/>
    <col min="15" max="17" width="7.5" bestFit="1" customWidth="1"/>
    <col min="18" max="18" width="7.6640625" bestFit="1" customWidth="1"/>
    <col min="19" max="19" width="7.33203125" bestFit="1" customWidth="1"/>
    <col min="20" max="20" width="7.6640625" bestFit="1" customWidth="1"/>
    <col min="21" max="21" width="7.83203125" bestFit="1" customWidth="1"/>
    <col min="22" max="22" width="7.5" bestFit="1" customWidth="1"/>
    <col min="23" max="24" width="7.83203125" bestFit="1" customWidth="1"/>
    <col min="25" max="27" width="7.33203125" bestFit="1" customWidth="1"/>
    <col min="28" max="28" width="7.5" bestFit="1" customWidth="1"/>
    <col min="29" max="29" width="8" bestFit="1" customWidth="1"/>
    <col min="30" max="30" width="7.6640625" bestFit="1" customWidth="1"/>
    <col min="31" max="31" width="7.83203125" bestFit="1" customWidth="1"/>
    <col min="32" max="32" width="8" bestFit="1" customWidth="1"/>
    <col min="33" max="33" width="8.5" bestFit="1" customWidth="1"/>
    <col min="34" max="35" width="7.6640625" bestFit="1" customWidth="1"/>
    <col min="36" max="36" width="8" bestFit="1" customWidth="1"/>
    <col min="37" max="37" width="8.1640625" bestFit="1" customWidth="1"/>
    <col min="38" max="39" width="7.5" bestFit="1" customWidth="1"/>
    <col min="40" max="40" width="8.5" bestFit="1" customWidth="1"/>
    <col min="41" max="41" width="6.33203125" bestFit="1" customWidth="1"/>
    <col min="42" max="42" width="10" bestFit="1" customWidth="1"/>
  </cols>
  <sheetData>
    <row r="3" spans="1:6" x14ac:dyDescent="0.2">
      <c r="A3" s="49" t="s">
        <v>464</v>
      </c>
      <c r="B3" s="1" t="s">
        <v>416</v>
      </c>
      <c r="C3" s="66" t="s">
        <v>417</v>
      </c>
      <c r="D3" s="1" t="s">
        <v>418</v>
      </c>
      <c r="E3" s="1" t="s">
        <v>409</v>
      </c>
      <c r="F3" s="1" t="s">
        <v>408</v>
      </c>
    </row>
    <row r="4" spans="1:6" x14ac:dyDescent="0.2">
      <c r="A4" s="3" t="s">
        <v>218</v>
      </c>
      <c r="B4" s="53">
        <v>44136</v>
      </c>
      <c r="C4" s="53">
        <v>44501</v>
      </c>
      <c r="E4" t="s">
        <v>419</v>
      </c>
      <c r="F4" t="s">
        <v>442</v>
      </c>
    </row>
    <row r="5" spans="1:6" x14ac:dyDescent="0.2">
      <c r="A5" s="3" t="s">
        <v>9</v>
      </c>
      <c r="B5" s="53" t="s">
        <v>358</v>
      </c>
      <c r="C5" s="54" t="s">
        <v>358</v>
      </c>
      <c r="D5" t="s">
        <v>441</v>
      </c>
      <c r="F5" t="s">
        <v>443</v>
      </c>
    </row>
    <row r="6" spans="1:6" x14ac:dyDescent="0.2">
      <c r="A6" s="3" t="s">
        <v>10</v>
      </c>
      <c r="B6" s="54" t="s">
        <v>358</v>
      </c>
      <c r="C6" s="54" t="s">
        <v>358</v>
      </c>
      <c r="D6" t="s">
        <v>441</v>
      </c>
      <c r="F6" t="s">
        <v>443</v>
      </c>
    </row>
    <row r="7" spans="1:6" x14ac:dyDescent="0.2">
      <c r="A7" s="3" t="s">
        <v>184</v>
      </c>
      <c r="B7" s="53">
        <v>44166</v>
      </c>
      <c r="C7" s="53">
        <v>44531</v>
      </c>
      <c r="E7" t="s">
        <v>420</v>
      </c>
      <c r="F7" t="s">
        <v>444</v>
      </c>
    </row>
    <row r="8" spans="1:6" x14ac:dyDescent="0.2">
      <c r="A8" s="3" t="s">
        <v>12</v>
      </c>
      <c r="B8" s="53">
        <v>44166</v>
      </c>
      <c r="C8" s="53">
        <v>44531</v>
      </c>
      <c r="E8" t="s">
        <v>421</v>
      </c>
      <c r="F8" t="s">
        <v>444</v>
      </c>
    </row>
    <row r="9" spans="1:6" x14ac:dyDescent="0.2">
      <c r="A9" s="3" t="s">
        <v>322</v>
      </c>
      <c r="B9" s="53">
        <v>44228</v>
      </c>
      <c r="C9" s="53">
        <v>44593</v>
      </c>
      <c r="E9" t="s">
        <v>422</v>
      </c>
      <c r="F9" t="s">
        <v>445</v>
      </c>
    </row>
    <row r="10" spans="1:6" x14ac:dyDescent="0.2">
      <c r="A10" s="3" t="s">
        <v>14</v>
      </c>
      <c r="B10" s="53">
        <v>44136</v>
      </c>
      <c r="C10" s="53">
        <v>44501</v>
      </c>
      <c r="E10" t="s">
        <v>427</v>
      </c>
      <c r="F10" t="s">
        <v>446</v>
      </c>
    </row>
    <row r="11" spans="1:6" x14ac:dyDescent="0.2">
      <c r="A11" s="3" t="s">
        <v>176</v>
      </c>
      <c r="B11" s="53" t="s">
        <v>358</v>
      </c>
      <c r="C11" s="54" t="s">
        <v>358</v>
      </c>
      <c r="D11" t="s">
        <v>423</v>
      </c>
      <c r="E11" t="s">
        <v>424</v>
      </c>
      <c r="F11" t="s">
        <v>447</v>
      </c>
    </row>
    <row r="12" spans="1:6" x14ac:dyDescent="0.2">
      <c r="A12" s="3" t="s">
        <v>343</v>
      </c>
      <c r="B12" s="53">
        <v>44228</v>
      </c>
      <c r="C12" s="53">
        <v>44593</v>
      </c>
      <c r="E12" t="s">
        <v>425</v>
      </c>
      <c r="F12" t="s">
        <v>448</v>
      </c>
    </row>
    <row r="13" spans="1:6" x14ac:dyDescent="0.2">
      <c r="A13" s="3" t="s">
        <v>345</v>
      </c>
      <c r="B13" s="55" t="s">
        <v>358</v>
      </c>
      <c r="C13" s="54" t="s">
        <v>358</v>
      </c>
      <c r="D13" t="s">
        <v>426</v>
      </c>
      <c r="F13" t="s">
        <v>449</v>
      </c>
    </row>
    <row r="14" spans="1:6" x14ac:dyDescent="0.2">
      <c r="A14" s="3" t="s">
        <v>15</v>
      </c>
      <c r="B14" s="53">
        <v>44044</v>
      </c>
      <c r="C14" s="53">
        <v>44409</v>
      </c>
      <c r="E14" t="s">
        <v>428</v>
      </c>
      <c r="F14" t="s">
        <v>451</v>
      </c>
    </row>
    <row r="15" spans="1:6" x14ac:dyDescent="0.2">
      <c r="A15" s="3" t="s">
        <v>17</v>
      </c>
      <c r="B15" s="53">
        <v>44166</v>
      </c>
      <c r="C15" s="53">
        <v>44531</v>
      </c>
      <c r="E15" t="s">
        <v>424</v>
      </c>
      <c r="F15" t="s">
        <v>450</v>
      </c>
    </row>
    <row r="16" spans="1:6" x14ac:dyDescent="0.2">
      <c r="A16" s="3" t="s">
        <v>16</v>
      </c>
      <c r="B16" s="54" t="s">
        <v>358</v>
      </c>
      <c r="C16" s="54" t="s">
        <v>358</v>
      </c>
      <c r="D16" t="s">
        <v>440</v>
      </c>
      <c r="F16" t="s">
        <v>452</v>
      </c>
    </row>
    <row r="17" spans="1:6" x14ac:dyDescent="0.2">
      <c r="A17" s="3" t="s">
        <v>326</v>
      </c>
      <c r="B17" s="54" t="s">
        <v>358</v>
      </c>
      <c r="C17" s="54" t="s">
        <v>358</v>
      </c>
      <c r="D17" t="s">
        <v>440</v>
      </c>
      <c r="F17" t="s">
        <v>453</v>
      </c>
    </row>
    <row r="18" spans="1:6" x14ac:dyDescent="0.2">
      <c r="A18" s="3" t="s">
        <v>18</v>
      </c>
      <c r="B18" s="53" t="s">
        <v>358</v>
      </c>
      <c r="C18" s="54" t="s">
        <v>358</v>
      </c>
      <c r="D18" t="s">
        <v>440</v>
      </c>
      <c r="F18" t="s">
        <v>453</v>
      </c>
    </row>
    <row r="19" spans="1:6" x14ac:dyDescent="0.2">
      <c r="A19" s="3" t="s">
        <v>205</v>
      </c>
      <c r="B19" s="53" t="s">
        <v>358</v>
      </c>
      <c r="C19" s="54" t="s">
        <v>358</v>
      </c>
      <c r="D19" t="s">
        <v>440</v>
      </c>
      <c r="F19" t="s">
        <v>453</v>
      </c>
    </row>
    <row r="20" spans="1:6" x14ac:dyDescent="0.2">
      <c r="A20" s="3" t="s">
        <v>19</v>
      </c>
      <c r="B20" s="53">
        <v>44166</v>
      </c>
      <c r="C20" s="53">
        <v>44531</v>
      </c>
      <c r="E20" t="s">
        <v>429</v>
      </c>
      <c r="F20" t="s">
        <v>454</v>
      </c>
    </row>
    <row r="21" spans="1:6" x14ac:dyDescent="0.2">
      <c r="A21" s="3" t="s">
        <v>355</v>
      </c>
      <c r="B21" s="54" t="s">
        <v>358</v>
      </c>
      <c r="C21" s="54" t="s">
        <v>358</v>
      </c>
      <c r="D21" t="s">
        <v>423</v>
      </c>
      <c r="E21" t="s">
        <v>430</v>
      </c>
      <c r="F21" t="s">
        <v>455</v>
      </c>
    </row>
    <row r="22" spans="1:6" x14ac:dyDescent="0.2">
      <c r="A22" s="3" t="s">
        <v>356</v>
      </c>
      <c r="B22" s="53">
        <v>44166</v>
      </c>
      <c r="C22" s="53">
        <v>44531</v>
      </c>
      <c r="E22" t="s">
        <v>424</v>
      </c>
      <c r="F22" t="s">
        <v>448</v>
      </c>
    </row>
    <row r="23" spans="1:6" x14ac:dyDescent="0.2">
      <c r="A23" s="3" t="s">
        <v>223</v>
      </c>
      <c r="B23" s="53">
        <v>44136</v>
      </c>
      <c r="C23" s="53">
        <v>44501</v>
      </c>
      <c r="E23" t="s">
        <v>431</v>
      </c>
      <c r="F23" t="s">
        <v>442</v>
      </c>
    </row>
    <row r="24" spans="1:6" x14ac:dyDescent="0.2">
      <c r="A24" s="3" t="s">
        <v>465</v>
      </c>
      <c r="B24" s="53">
        <v>44136</v>
      </c>
      <c r="C24" s="53">
        <v>44501</v>
      </c>
      <c r="E24" t="s">
        <v>432</v>
      </c>
      <c r="F24" t="s">
        <v>456</v>
      </c>
    </row>
    <row r="25" spans="1:6" x14ac:dyDescent="0.2">
      <c r="A25" s="3" t="s">
        <v>394</v>
      </c>
      <c r="B25" s="53">
        <v>44136</v>
      </c>
      <c r="C25" s="53">
        <v>44501</v>
      </c>
      <c r="E25" t="s">
        <v>433</v>
      </c>
      <c r="F25" t="s">
        <v>457</v>
      </c>
    </row>
    <row r="26" spans="1:6" x14ac:dyDescent="0.2">
      <c r="A26" s="3" t="s">
        <v>687</v>
      </c>
      <c r="B26" s="54" t="s">
        <v>434</v>
      </c>
      <c r="C26" s="54" t="s">
        <v>435</v>
      </c>
      <c r="D26" t="s">
        <v>436</v>
      </c>
      <c r="E26" t="s">
        <v>437</v>
      </c>
      <c r="F26" t="s">
        <v>410</v>
      </c>
    </row>
    <row r="27" spans="1:6" x14ac:dyDescent="0.2">
      <c r="A27" s="3" t="s">
        <v>671</v>
      </c>
      <c r="B27" s="53">
        <v>44136</v>
      </c>
      <c r="C27" s="53">
        <v>44501</v>
      </c>
      <c r="E27" t="s">
        <v>425</v>
      </c>
      <c r="F27" t="s">
        <v>410</v>
      </c>
    </row>
    <row r="28" spans="1:6" x14ac:dyDescent="0.2">
      <c r="A28" s="3" t="s">
        <v>672</v>
      </c>
      <c r="B28" s="53" t="s">
        <v>358</v>
      </c>
      <c r="C28" s="54" t="s">
        <v>358</v>
      </c>
      <c r="D28" t="s">
        <v>423</v>
      </c>
      <c r="E28" t="s">
        <v>425</v>
      </c>
      <c r="F28" t="s">
        <v>458</v>
      </c>
    </row>
    <row r="29" spans="1:6" x14ac:dyDescent="0.2">
      <c r="A29" s="3" t="s">
        <v>696</v>
      </c>
      <c r="B29" s="54" t="s">
        <v>358</v>
      </c>
      <c r="C29" s="54" t="s">
        <v>358</v>
      </c>
      <c r="D29" t="s">
        <v>438</v>
      </c>
      <c r="E29" t="s">
        <v>425</v>
      </c>
      <c r="F29" t="s">
        <v>459</v>
      </c>
    </row>
    <row r="30" spans="1:6" x14ac:dyDescent="0.2">
      <c r="A30" s="3" t="s">
        <v>708</v>
      </c>
      <c r="B30" s="53" t="s">
        <v>358</v>
      </c>
      <c r="C30" s="54" t="s">
        <v>358</v>
      </c>
      <c r="D30" t="s">
        <v>423</v>
      </c>
      <c r="E30" t="s">
        <v>425</v>
      </c>
      <c r="F30" t="s">
        <v>410</v>
      </c>
    </row>
    <row r="31" spans="1:6" x14ac:dyDescent="0.2">
      <c r="A31" s="3" t="s">
        <v>466</v>
      </c>
      <c r="B31" s="54" t="s">
        <v>358</v>
      </c>
      <c r="C31" s="54" t="s">
        <v>358</v>
      </c>
      <c r="D31" t="s">
        <v>423</v>
      </c>
      <c r="E31" t="s">
        <v>420</v>
      </c>
      <c r="F31" t="s">
        <v>410</v>
      </c>
    </row>
    <row r="32" spans="1:6" x14ac:dyDescent="0.2">
      <c r="B32" s="54" t="s">
        <v>358</v>
      </c>
      <c r="C32" s="54" t="s">
        <v>358</v>
      </c>
      <c r="D32" t="s">
        <v>438</v>
      </c>
      <c r="E32" t="s">
        <v>420</v>
      </c>
      <c r="F32" t="s">
        <v>410</v>
      </c>
    </row>
    <row r="33" spans="2:6" x14ac:dyDescent="0.2">
      <c r="B33" s="53" t="s">
        <v>358</v>
      </c>
      <c r="C33" s="54" t="s">
        <v>358</v>
      </c>
      <c r="D33" t="s">
        <v>423</v>
      </c>
      <c r="E33" t="s">
        <v>432</v>
      </c>
      <c r="F33" t="s">
        <v>443</v>
      </c>
    </row>
    <row r="34" spans="2:6" x14ac:dyDescent="0.2">
      <c r="B34" s="54" t="s">
        <v>358</v>
      </c>
      <c r="C34" s="54" t="s">
        <v>358</v>
      </c>
      <c r="D34" t="s">
        <v>423</v>
      </c>
      <c r="E34" t="s">
        <v>420</v>
      </c>
      <c r="F34" t="s">
        <v>460</v>
      </c>
    </row>
    <row r="35" spans="2:6" x14ac:dyDescent="0.2">
      <c r="B35" s="53" t="s">
        <v>439</v>
      </c>
      <c r="C35" s="54" t="s">
        <v>439</v>
      </c>
      <c r="D35" s="3" t="s">
        <v>439</v>
      </c>
      <c r="E35" s="3" t="s">
        <v>439</v>
      </c>
      <c r="F35" s="3" t="s">
        <v>439</v>
      </c>
    </row>
    <row r="36" spans="2:6" x14ac:dyDescent="0.2">
      <c r="B36" s="53" t="s">
        <v>439</v>
      </c>
      <c r="C36" s="54" t="s">
        <v>439</v>
      </c>
      <c r="D36" s="3" t="s">
        <v>439</v>
      </c>
      <c r="E36" s="3" t="s">
        <v>439</v>
      </c>
      <c r="F36" s="3" t="s">
        <v>439</v>
      </c>
    </row>
    <row r="37" spans="2:6" x14ac:dyDescent="0.2">
      <c r="B37" s="53" t="s">
        <v>439</v>
      </c>
      <c r="C37" s="54" t="s">
        <v>439</v>
      </c>
      <c r="D37" s="3" t="s">
        <v>439</v>
      </c>
      <c r="E37" s="3" t="s">
        <v>439</v>
      </c>
      <c r="F37" s="3" t="s">
        <v>439</v>
      </c>
    </row>
    <row r="38" spans="2:6" x14ac:dyDescent="0.2">
      <c r="B38" s="54" t="s">
        <v>439</v>
      </c>
      <c r="C38" s="54" t="s">
        <v>439</v>
      </c>
      <c r="D38" s="3" t="s">
        <v>439</v>
      </c>
      <c r="E38" s="3" t="s">
        <v>439</v>
      </c>
      <c r="F38" s="3" t="s">
        <v>439</v>
      </c>
    </row>
    <row r="39" spans="2:6" x14ac:dyDescent="0.2">
      <c r="B39" s="54" t="s">
        <v>468</v>
      </c>
      <c r="C39" s="54" t="s">
        <v>468</v>
      </c>
      <c r="D39" t="s">
        <v>468</v>
      </c>
      <c r="E39" s="3" t="s">
        <v>468</v>
      </c>
      <c r="F39" s="3" t="s">
        <v>468</v>
      </c>
    </row>
    <row r="40" spans="2:6" x14ac:dyDescent="0.2">
      <c r="B40" s="54" t="s">
        <v>468</v>
      </c>
      <c r="C40" s="54" t="s">
        <v>468</v>
      </c>
      <c r="D40" t="s">
        <v>468</v>
      </c>
      <c r="E40" s="3" t="s">
        <v>468</v>
      </c>
      <c r="F40" s="3" t="s">
        <v>468</v>
      </c>
    </row>
    <row r="41" spans="2:6" x14ac:dyDescent="0.2">
      <c r="B41" s="53"/>
    </row>
    <row r="42" spans="2:6" x14ac:dyDescent="0.2">
      <c r="B42" s="54"/>
    </row>
    <row r="43" spans="2:6" x14ac:dyDescent="0.2">
      <c r="B43" s="54"/>
    </row>
    <row r="44" spans="2:6" x14ac:dyDescent="0.2">
      <c r="B44" s="54"/>
    </row>
    <row r="45" spans="2:6" x14ac:dyDescent="0.2">
      <c r="B45" s="54"/>
    </row>
    <row r="46" spans="2:6" x14ac:dyDescent="0.2">
      <c r="B46" s="53"/>
    </row>
    <row r="47" spans="2:6" x14ac:dyDescent="0.2">
      <c r="B47" s="54"/>
    </row>
    <row r="48" spans="2:6" x14ac:dyDescent="0.2">
      <c r="B48" s="53"/>
    </row>
  </sheetData>
  <pageMargins left="0.70866141732283472" right="0.70866141732283472" top="0.74803149606299213" bottom="0.74803149606299213" header="0.31496062992125984" footer="0.31496062992125984"/>
  <pageSetup paperSize="9" scale="76" orientation="landscape" r:id="rId2"/>
  <headerFooter>
    <oddFooter>&amp;L&amp;A&amp;R&amp;F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7">
    <pageSetUpPr fitToPage="1"/>
  </sheetPr>
  <dimension ref="A1:K101"/>
  <sheetViews>
    <sheetView zoomScale="60" zoomScaleNormal="60" workbookViewId="0">
      <pane xSplit="3" ySplit="2" topLeftCell="D3" activePane="bottomRight" state="frozen"/>
      <selection activeCell="T51" sqref="T51"/>
      <selection pane="topRight" activeCell="T51" sqref="T51"/>
      <selection pane="bottomLeft" activeCell="T51" sqref="T51"/>
      <selection pane="bottomRight" activeCell="H70" sqref="H70"/>
    </sheetView>
  </sheetViews>
  <sheetFormatPr baseColWidth="10" defaultColWidth="8.83203125" defaultRowHeight="15" x14ac:dyDescent="0.2"/>
  <cols>
    <col min="1" max="1" width="65.5" bestFit="1" customWidth="1"/>
    <col min="2" max="2" width="10.33203125" style="3" bestFit="1" customWidth="1"/>
    <col min="3" max="3" width="7" style="3" bestFit="1" customWidth="1"/>
    <col min="4" max="4" width="6.6640625" style="3" bestFit="1" customWidth="1"/>
    <col min="5" max="5" width="21.83203125" style="6" bestFit="1" customWidth="1"/>
    <col min="6" max="6" width="30.6640625" style="6" customWidth="1"/>
    <col min="7" max="7" width="22" style="6" bestFit="1" customWidth="1"/>
    <col min="8" max="8" width="30.6640625" style="6" customWidth="1"/>
    <col min="9" max="9" width="14.33203125" style="6" bestFit="1" customWidth="1"/>
    <col min="10" max="10" width="9.1640625" style="6"/>
  </cols>
  <sheetData>
    <row r="1" spans="1:10" x14ac:dyDescent="0.2">
      <c r="E1" s="16" t="s">
        <v>229</v>
      </c>
      <c r="F1" s="2"/>
      <c r="G1" s="16" t="s">
        <v>232</v>
      </c>
      <c r="H1" s="2"/>
      <c r="I1" s="16" t="s">
        <v>233</v>
      </c>
    </row>
    <row r="2" spans="1:10" ht="16" thickBot="1" x14ac:dyDescent="0.25">
      <c r="A2" s="11" t="s">
        <v>0</v>
      </c>
      <c r="B2" s="13" t="s">
        <v>20</v>
      </c>
      <c r="C2" s="12" t="s">
        <v>21</v>
      </c>
      <c r="D2" s="12" t="s">
        <v>242</v>
      </c>
      <c r="E2" s="17" t="s">
        <v>231</v>
      </c>
      <c r="F2" s="18" t="s">
        <v>230</v>
      </c>
      <c r="G2" s="17" t="s">
        <v>231</v>
      </c>
      <c r="H2" s="18" t="s">
        <v>230</v>
      </c>
      <c r="I2" s="17" t="s">
        <v>231</v>
      </c>
      <c r="J2" s="19" t="s">
        <v>230</v>
      </c>
    </row>
    <row r="3" spans="1:10" x14ac:dyDescent="0.2">
      <c r="A3" t="s">
        <v>474</v>
      </c>
      <c r="B3" s="14" t="s">
        <v>215</v>
      </c>
      <c r="C3" s="3" t="s">
        <v>219</v>
      </c>
      <c r="E3" s="43" t="s">
        <v>239</v>
      </c>
      <c r="F3" s="44" t="s">
        <v>472</v>
      </c>
      <c r="G3" s="43" t="s">
        <v>240</v>
      </c>
      <c r="H3" s="44" t="s">
        <v>473</v>
      </c>
      <c r="I3" s="43" t="s">
        <v>241</v>
      </c>
      <c r="J3" s="45"/>
    </row>
    <row r="4" spans="1:10" x14ac:dyDescent="0.2">
      <c r="A4" s="9"/>
      <c r="B4" s="15"/>
      <c r="C4" s="10"/>
      <c r="D4" s="10"/>
      <c r="E4" s="46"/>
      <c r="F4" s="47"/>
      <c r="G4" s="46"/>
      <c r="H4" s="47"/>
      <c r="I4" s="46"/>
      <c r="J4" s="48"/>
    </row>
    <row r="5" spans="1:10" x14ac:dyDescent="0.2">
      <c r="A5" s="9" t="s">
        <v>9</v>
      </c>
      <c r="B5" s="15" t="s">
        <v>30</v>
      </c>
      <c r="C5" s="10" t="s">
        <v>38</v>
      </c>
      <c r="D5" s="10"/>
      <c r="E5" s="46"/>
      <c r="F5" s="47" t="s">
        <v>524</v>
      </c>
      <c r="G5" s="46"/>
      <c r="H5" s="47" t="s">
        <v>524</v>
      </c>
      <c r="I5" s="46"/>
      <c r="J5" s="48"/>
    </row>
    <row r="6" spans="1:10" x14ac:dyDescent="0.2">
      <c r="A6" s="9" t="s">
        <v>10</v>
      </c>
      <c r="B6" s="15" t="s">
        <v>30</v>
      </c>
      <c r="C6" s="10" t="s">
        <v>39</v>
      </c>
      <c r="D6" s="10"/>
      <c r="E6" s="46"/>
      <c r="F6" s="47" t="s">
        <v>524</v>
      </c>
      <c r="G6" s="46"/>
      <c r="H6" s="47" t="s">
        <v>524</v>
      </c>
      <c r="I6" s="46"/>
      <c r="J6" s="48"/>
    </row>
    <row r="7" spans="1:10" x14ac:dyDescent="0.2">
      <c r="A7" s="9"/>
      <c r="B7" s="15"/>
      <c r="C7" s="10"/>
      <c r="D7" s="10"/>
      <c r="E7" s="46"/>
      <c r="F7" s="47"/>
      <c r="G7" s="46"/>
      <c r="H7" s="47"/>
      <c r="I7" s="46"/>
      <c r="J7" s="48"/>
    </row>
    <row r="8" spans="1:10" x14ac:dyDescent="0.2">
      <c r="A8" s="9" t="s">
        <v>184</v>
      </c>
      <c r="B8" s="15" t="s">
        <v>183</v>
      </c>
      <c r="C8" s="10">
        <v>82</v>
      </c>
      <c r="D8" s="10"/>
      <c r="E8" s="46" t="s">
        <v>243</v>
      </c>
      <c r="F8" s="47" t="s">
        <v>476</v>
      </c>
      <c r="G8" s="46"/>
      <c r="H8" s="47" t="s">
        <v>475</v>
      </c>
      <c r="I8" s="46" t="s">
        <v>244</v>
      </c>
      <c r="J8" s="48"/>
    </row>
    <row r="9" spans="1:10" x14ac:dyDescent="0.2">
      <c r="A9" s="9" t="s">
        <v>12</v>
      </c>
      <c r="B9" s="15" t="s">
        <v>31</v>
      </c>
      <c r="C9" s="10" t="s">
        <v>40</v>
      </c>
      <c r="D9" s="10"/>
      <c r="E9" s="46" t="s">
        <v>245</v>
      </c>
      <c r="F9" s="47" t="s">
        <v>478</v>
      </c>
      <c r="G9" s="46" t="s">
        <v>246</v>
      </c>
      <c r="H9" s="47" t="s">
        <v>477</v>
      </c>
      <c r="I9" s="46" t="s">
        <v>247</v>
      </c>
      <c r="J9" s="48"/>
    </row>
    <row r="10" spans="1:10" x14ac:dyDescent="0.2">
      <c r="A10" s="9"/>
      <c r="B10" s="15"/>
      <c r="C10" s="10"/>
      <c r="D10" s="10"/>
      <c r="E10" s="46"/>
      <c r="F10" s="47"/>
      <c r="G10" s="46"/>
      <c r="H10" s="47"/>
      <c r="I10" s="46"/>
      <c r="J10" s="48"/>
    </row>
    <row r="11" spans="1:10" x14ac:dyDescent="0.2">
      <c r="A11" s="9" t="s">
        <v>480</v>
      </c>
      <c r="B11" s="15" t="s">
        <v>479</v>
      </c>
      <c r="C11" s="10" t="s">
        <v>308</v>
      </c>
      <c r="D11" s="10"/>
      <c r="E11" s="46"/>
      <c r="F11" s="47" t="s">
        <v>481</v>
      </c>
      <c r="G11" s="46"/>
      <c r="H11" s="47" t="s">
        <v>482</v>
      </c>
      <c r="I11" s="46"/>
      <c r="J11" s="48"/>
    </row>
    <row r="12" spans="1:10" x14ac:dyDescent="0.2">
      <c r="A12" s="9"/>
      <c r="B12" s="15"/>
      <c r="C12" s="10"/>
      <c r="D12" s="10"/>
      <c r="E12" s="46"/>
      <c r="F12" s="47"/>
      <c r="G12" s="46"/>
      <c r="H12" s="47"/>
      <c r="I12" s="46"/>
      <c r="J12" s="48"/>
    </row>
    <row r="13" spans="1:10" x14ac:dyDescent="0.2">
      <c r="A13" s="9" t="s">
        <v>483</v>
      </c>
      <c r="B13" s="15" t="s">
        <v>323</v>
      </c>
      <c r="C13" s="10">
        <v>113</v>
      </c>
      <c r="D13" s="10"/>
      <c r="E13" s="46"/>
      <c r="F13" s="47" t="s">
        <v>484</v>
      </c>
      <c r="G13" s="46"/>
      <c r="H13" s="47" t="s">
        <v>485</v>
      </c>
      <c r="I13" s="46"/>
      <c r="J13" s="48"/>
    </row>
    <row r="14" spans="1:10" x14ac:dyDescent="0.2">
      <c r="A14" s="9"/>
      <c r="B14" s="15"/>
      <c r="C14" s="10"/>
      <c r="D14" s="10"/>
      <c r="E14" s="46"/>
      <c r="F14" s="47"/>
      <c r="G14" s="46"/>
      <c r="H14" s="47"/>
      <c r="I14" s="46"/>
      <c r="J14" s="48"/>
    </row>
    <row r="15" spans="1:10" x14ac:dyDescent="0.2">
      <c r="A15" s="9" t="s">
        <v>14</v>
      </c>
      <c r="B15" s="15" t="s">
        <v>32</v>
      </c>
      <c r="C15" s="10" t="s">
        <v>41</v>
      </c>
      <c r="D15" s="10"/>
      <c r="E15" s="46"/>
      <c r="F15" s="47" t="s">
        <v>486</v>
      </c>
      <c r="G15" s="46"/>
      <c r="H15" s="47" t="s">
        <v>237</v>
      </c>
      <c r="I15" s="46"/>
      <c r="J15" s="48"/>
    </row>
    <row r="16" spans="1:10" x14ac:dyDescent="0.2">
      <c r="A16" s="9"/>
      <c r="B16" s="15"/>
      <c r="C16" s="10"/>
      <c r="D16" s="10"/>
      <c r="E16" s="46"/>
      <c r="F16" s="47"/>
      <c r="G16" s="46"/>
      <c r="H16" s="47"/>
      <c r="I16" s="46"/>
      <c r="J16" s="48"/>
    </row>
    <row r="17" spans="1:11" x14ac:dyDescent="0.2">
      <c r="A17" s="9" t="s">
        <v>532</v>
      </c>
      <c r="B17" s="15" t="s">
        <v>533</v>
      </c>
      <c r="C17" s="10" t="s">
        <v>534</v>
      </c>
      <c r="D17" s="10"/>
      <c r="E17" s="46"/>
      <c r="F17" s="47" t="s">
        <v>536</v>
      </c>
      <c r="G17" s="46"/>
      <c r="H17" s="73" t="s">
        <v>535</v>
      </c>
      <c r="I17" s="46"/>
      <c r="J17" s="48"/>
    </row>
    <row r="18" spans="1:11" x14ac:dyDescent="0.2">
      <c r="A18" s="9"/>
      <c r="B18" s="15"/>
      <c r="C18" s="10"/>
      <c r="D18" s="10"/>
      <c r="E18" s="46"/>
      <c r="F18" s="47"/>
      <c r="G18" s="46"/>
      <c r="H18" s="47"/>
      <c r="I18" s="46"/>
      <c r="J18" s="48"/>
    </row>
    <row r="19" spans="1:11" x14ac:dyDescent="0.2">
      <c r="A19" s="9" t="s">
        <v>199</v>
      </c>
      <c r="B19" s="15" t="s">
        <v>200</v>
      </c>
      <c r="C19" s="10" t="s">
        <v>201</v>
      </c>
      <c r="D19" s="10">
        <v>53</v>
      </c>
      <c r="E19" s="46"/>
      <c r="F19" s="46" t="s">
        <v>237</v>
      </c>
      <c r="G19" s="46" t="s">
        <v>259</v>
      </c>
      <c r="H19" s="47" t="s">
        <v>291</v>
      </c>
      <c r="I19" s="46" t="s">
        <v>237</v>
      </c>
      <c r="J19" s="48"/>
    </row>
    <row r="20" spans="1:11" x14ac:dyDescent="0.2">
      <c r="A20" s="9" t="s">
        <v>199</v>
      </c>
      <c r="B20" s="15" t="s">
        <v>200</v>
      </c>
      <c r="C20" s="10" t="s">
        <v>201</v>
      </c>
      <c r="D20" s="10">
        <v>54</v>
      </c>
      <c r="E20" s="46"/>
      <c r="F20" s="46" t="s">
        <v>237</v>
      </c>
      <c r="G20" s="46" t="s">
        <v>260</v>
      </c>
      <c r="H20" s="47" t="s">
        <v>487</v>
      </c>
      <c r="I20" s="46" t="s">
        <v>237</v>
      </c>
      <c r="J20" s="48"/>
    </row>
    <row r="21" spans="1:11" x14ac:dyDescent="0.2">
      <c r="A21" s="9" t="s">
        <v>199</v>
      </c>
      <c r="B21" s="15" t="s">
        <v>200</v>
      </c>
      <c r="C21" s="10" t="s">
        <v>201</v>
      </c>
      <c r="D21" s="10">
        <v>55</v>
      </c>
      <c r="E21" s="46"/>
      <c r="F21" s="46" t="s">
        <v>237</v>
      </c>
      <c r="G21" s="46" t="s">
        <v>261</v>
      </c>
      <c r="H21" s="47" t="s">
        <v>488</v>
      </c>
      <c r="I21" s="46" t="s">
        <v>237</v>
      </c>
      <c r="J21" s="48"/>
    </row>
    <row r="22" spans="1:11" x14ac:dyDescent="0.2">
      <c r="A22" s="9" t="s">
        <v>199</v>
      </c>
      <c r="B22" s="15" t="s">
        <v>200</v>
      </c>
      <c r="C22" s="10" t="s">
        <v>201</v>
      </c>
      <c r="D22" s="10">
        <v>56</v>
      </c>
      <c r="E22" s="46"/>
      <c r="F22" s="46" t="s">
        <v>237</v>
      </c>
      <c r="G22" s="46" t="s">
        <v>262</v>
      </c>
      <c r="H22" s="47" t="s">
        <v>293</v>
      </c>
      <c r="I22" s="46" t="s">
        <v>237</v>
      </c>
      <c r="J22" s="48"/>
    </row>
    <row r="23" spans="1:11" x14ac:dyDescent="0.2">
      <c r="A23" s="9" t="s">
        <v>199</v>
      </c>
      <c r="B23" s="15" t="s">
        <v>200</v>
      </c>
      <c r="C23" s="10" t="s">
        <v>201</v>
      </c>
      <c r="D23" s="10">
        <v>57</v>
      </c>
      <c r="E23" s="46"/>
      <c r="F23" s="46" t="s">
        <v>237</v>
      </c>
      <c r="G23" s="46" t="s">
        <v>263</v>
      </c>
      <c r="H23" s="47" t="s">
        <v>489</v>
      </c>
      <c r="I23" s="46" t="s">
        <v>237</v>
      </c>
      <c r="J23" s="48"/>
    </row>
    <row r="24" spans="1:11" x14ac:dyDescent="0.2">
      <c r="A24" s="9" t="s">
        <v>199</v>
      </c>
      <c r="B24" s="15" t="s">
        <v>200</v>
      </c>
      <c r="C24" s="10" t="s">
        <v>201</v>
      </c>
      <c r="D24" s="10">
        <v>59</v>
      </c>
      <c r="E24" s="46"/>
      <c r="F24" s="46" t="s">
        <v>237</v>
      </c>
      <c r="G24" s="46" t="s">
        <v>264</v>
      </c>
      <c r="H24" s="47" t="s">
        <v>286</v>
      </c>
      <c r="I24" s="46" t="s">
        <v>237</v>
      </c>
      <c r="J24" s="48"/>
    </row>
    <row r="25" spans="1:11" x14ac:dyDescent="0.2">
      <c r="A25" s="88" t="s">
        <v>199</v>
      </c>
      <c r="B25" s="89" t="s">
        <v>200</v>
      </c>
      <c r="C25" s="90" t="s">
        <v>201</v>
      </c>
      <c r="D25" s="90">
        <v>60</v>
      </c>
      <c r="E25" s="91"/>
      <c r="F25" s="91" t="s">
        <v>237</v>
      </c>
      <c r="G25" s="91" t="s">
        <v>265</v>
      </c>
      <c r="H25" s="92" t="s">
        <v>490</v>
      </c>
      <c r="I25" s="91" t="s">
        <v>237</v>
      </c>
      <c r="J25" s="93"/>
      <c r="K25" s="94" t="s">
        <v>585</v>
      </c>
    </row>
    <row r="26" spans="1:11" x14ac:dyDescent="0.2">
      <c r="A26" s="9" t="s">
        <v>199</v>
      </c>
      <c r="B26" s="15" t="s">
        <v>200</v>
      </c>
      <c r="C26" s="10" t="s">
        <v>201</v>
      </c>
      <c r="D26" s="10">
        <v>61</v>
      </c>
      <c r="E26" s="46"/>
      <c r="F26" s="46" t="s">
        <v>237</v>
      </c>
      <c r="G26" s="46" t="s">
        <v>266</v>
      </c>
      <c r="H26" s="47" t="s">
        <v>292</v>
      </c>
      <c r="I26" s="46" t="s">
        <v>237</v>
      </c>
      <c r="J26" s="48"/>
    </row>
    <row r="27" spans="1:11" x14ac:dyDescent="0.2">
      <c r="A27" s="9" t="s">
        <v>199</v>
      </c>
      <c r="B27" s="15" t="s">
        <v>200</v>
      </c>
      <c r="C27" s="10" t="s">
        <v>201</v>
      </c>
      <c r="D27" s="10">
        <v>62</v>
      </c>
      <c r="E27" s="46"/>
      <c r="F27" s="46" t="s">
        <v>237</v>
      </c>
      <c r="G27" s="46" t="s">
        <v>267</v>
      </c>
      <c r="H27" s="47" t="s">
        <v>290</v>
      </c>
      <c r="I27" s="46" t="s">
        <v>237</v>
      </c>
      <c r="J27" s="48"/>
    </row>
    <row r="28" spans="1:11" x14ac:dyDescent="0.2">
      <c r="A28" s="88" t="s">
        <v>199</v>
      </c>
      <c r="B28" s="89" t="s">
        <v>200</v>
      </c>
      <c r="C28" s="90" t="s">
        <v>201</v>
      </c>
      <c r="D28" s="90">
        <v>63</v>
      </c>
      <c r="E28" s="91"/>
      <c r="F28" s="91" t="s">
        <v>237</v>
      </c>
      <c r="G28" s="91" t="s">
        <v>268</v>
      </c>
      <c r="H28" s="92" t="s">
        <v>289</v>
      </c>
      <c r="I28" s="91" t="s">
        <v>237</v>
      </c>
      <c r="J28" s="93"/>
      <c r="K28" s="94" t="s">
        <v>585</v>
      </c>
    </row>
    <row r="29" spans="1:11" x14ac:dyDescent="0.2">
      <c r="A29" s="9" t="s">
        <v>199</v>
      </c>
      <c r="B29" s="15" t="s">
        <v>200</v>
      </c>
      <c r="C29" s="10" t="s">
        <v>201</v>
      </c>
      <c r="D29" s="10">
        <v>65</v>
      </c>
      <c r="E29" s="46"/>
      <c r="F29" s="46" t="s">
        <v>237</v>
      </c>
      <c r="G29" s="46" t="s">
        <v>269</v>
      </c>
      <c r="H29" s="47" t="s">
        <v>288</v>
      </c>
      <c r="I29" s="46" t="s">
        <v>237</v>
      </c>
      <c r="J29" s="48"/>
    </row>
    <row r="30" spans="1:11" x14ac:dyDescent="0.2">
      <c r="A30" s="9" t="s">
        <v>199</v>
      </c>
      <c r="B30" s="15" t="s">
        <v>200</v>
      </c>
      <c r="C30" s="10" t="s">
        <v>201</v>
      </c>
      <c r="D30" s="10">
        <v>66</v>
      </c>
      <c r="E30" s="46"/>
      <c r="F30" s="46" t="s">
        <v>237</v>
      </c>
      <c r="G30" s="46" t="s">
        <v>270</v>
      </c>
      <c r="H30" s="47" t="s">
        <v>491</v>
      </c>
      <c r="I30" s="46" t="s">
        <v>237</v>
      </c>
      <c r="J30" s="48"/>
    </row>
    <row r="31" spans="1:11" x14ac:dyDescent="0.2">
      <c r="A31" s="9" t="s">
        <v>199</v>
      </c>
      <c r="B31" s="15" t="s">
        <v>200</v>
      </c>
      <c r="C31" s="10" t="s">
        <v>201</v>
      </c>
      <c r="D31" s="10">
        <v>67</v>
      </c>
      <c r="E31" s="46"/>
      <c r="F31" s="46" t="s">
        <v>237</v>
      </c>
      <c r="G31" s="46" t="s">
        <v>271</v>
      </c>
      <c r="H31" s="47" t="s">
        <v>492</v>
      </c>
      <c r="I31" s="46" t="s">
        <v>237</v>
      </c>
      <c r="J31" s="48"/>
    </row>
    <row r="32" spans="1:11" x14ac:dyDescent="0.2">
      <c r="A32" s="9" t="s">
        <v>199</v>
      </c>
      <c r="B32" s="15" t="s">
        <v>200</v>
      </c>
      <c r="C32" s="10" t="s">
        <v>201</v>
      </c>
      <c r="D32" s="10">
        <v>68</v>
      </c>
      <c r="E32" s="46"/>
      <c r="F32" s="46" t="s">
        <v>237</v>
      </c>
      <c r="G32" s="46" t="s">
        <v>272</v>
      </c>
      <c r="H32" s="47" t="s">
        <v>294</v>
      </c>
      <c r="I32" s="46" t="s">
        <v>237</v>
      </c>
      <c r="J32" s="48"/>
    </row>
    <row r="33" spans="1:10" x14ac:dyDescent="0.2">
      <c r="A33" s="9" t="s">
        <v>199</v>
      </c>
      <c r="B33" s="15" t="s">
        <v>200</v>
      </c>
      <c r="C33" s="10" t="s">
        <v>201</v>
      </c>
      <c r="D33" s="10">
        <v>69</v>
      </c>
      <c r="E33" s="46"/>
      <c r="F33" s="46" t="s">
        <v>237</v>
      </c>
      <c r="G33" s="46" t="s">
        <v>273</v>
      </c>
      <c r="H33" s="47" t="s">
        <v>493</v>
      </c>
      <c r="I33" s="46" t="s">
        <v>237</v>
      </c>
      <c r="J33" s="48"/>
    </row>
    <row r="34" spans="1:10" x14ac:dyDescent="0.2">
      <c r="A34" s="9" t="s">
        <v>199</v>
      </c>
      <c r="B34" s="15" t="s">
        <v>200</v>
      </c>
      <c r="C34" s="10" t="s">
        <v>201</v>
      </c>
      <c r="D34" s="10">
        <v>71</v>
      </c>
      <c r="E34" s="46"/>
      <c r="F34" s="46" t="s">
        <v>237</v>
      </c>
      <c r="G34" s="46" t="s">
        <v>274</v>
      </c>
      <c r="H34" s="47" t="s">
        <v>287</v>
      </c>
      <c r="I34" s="46" t="s">
        <v>237</v>
      </c>
      <c r="J34" s="48"/>
    </row>
    <row r="35" spans="1:10" x14ac:dyDescent="0.2">
      <c r="A35" s="9" t="s">
        <v>199</v>
      </c>
      <c r="B35" s="15" t="s">
        <v>200</v>
      </c>
      <c r="C35" s="10" t="s">
        <v>201</v>
      </c>
      <c r="D35" s="10">
        <v>72</v>
      </c>
      <c r="E35" s="46"/>
      <c r="F35" s="46" t="s">
        <v>237</v>
      </c>
      <c r="G35" s="46" t="s">
        <v>278</v>
      </c>
      <c r="H35" s="47" t="s">
        <v>295</v>
      </c>
      <c r="I35" s="46" t="s">
        <v>237</v>
      </c>
      <c r="J35" s="48"/>
    </row>
    <row r="36" spans="1:10" x14ac:dyDescent="0.2">
      <c r="A36" s="9" t="s">
        <v>199</v>
      </c>
      <c r="B36" s="15" t="s">
        <v>200</v>
      </c>
      <c r="C36" s="10" t="s">
        <v>201</v>
      </c>
      <c r="D36" s="10">
        <v>73</v>
      </c>
      <c r="E36" s="46"/>
      <c r="F36" s="46" t="s">
        <v>237</v>
      </c>
      <c r="G36" s="46" t="s">
        <v>275</v>
      </c>
      <c r="H36" s="47" t="s">
        <v>285</v>
      </c>
      <c r="I36" s="46" t="s">
        <v>237</v>
      </c>
      <c r="J36" s="48"/>
    </row>
    <row r="37" spans="1:10" x14ac:dyDescent="0.2">
      <c r="A37" s="9" t="s">
        <v>199</v>
      </c>
      <c r="B37" s="15" t="s">
        <v>200</v>
      </c>
      <c r="C37" s="10" t="s">
        <v>201</v>
      </c>
      <c r="D37" s="10">
        <v>74</v>
      </c>
      <c r="E37" s="46"/>
      <c r="F37" s="46" t="s">
        <v>237</v>
      </c>
      <c r="G37" s="46" t="s">
        <v>277</v>
      </c>
      <c r="H37" s="47" t="s">
        <v>494</v>
      </c>
      <c r="I37" s="46" t="s">
        <v>237</v>
      </c>
      <c r="J37" s="48"/>
    </row>
    <row r="38" spans="1:10" x14ac:dyDescent="0.2">
      <c r="A38" s="9" t="s">
        <v>199</v>
      </c>
      <c r="B38" s="15" t="s">
        <v>200</v>
      </c>
      <c r="C38" s="10" t="s">
        <v>201</v>
      </c>
      <c r="D38" s="10">
        <v>75</v>
      </c>
      <c r="E38" s="46"/>
      <c r="F38" s="46" t="s">
        <v>237</v>
      </c>
      <c r="G38" s="46" t="s">
        <v>276</v>
      </c>
      <c r="H38" s="47" t="s">
        <v>495</v>
      </c>
      <c r="I38" s="46" t="s">
        <v>237</v>
      </c>
      <c r="J38" s="48"/>
    </row>
    <row r="39" spans="1:10" x14ac:dyDescent="0.2">
      <c r="A39" s="9"/>
      <c r="B39" s="15"/>
      <c r="C39" s="10"/>
      <c r="D39" s="10"/>
      <c r="E39" s="46"/>
      <c r="F39" s="95"/>
      <c r="G39" s="46"/>
      <c r="H39" s="47"/>
      <c r="I39" s="46"/>
      <c r="J39" s="48"/>
    </row>
    <row r="40" spans="1:10" x14ac:dyDescent="0.2">
      <c r="A40" s="9" t="s">
        <v>199</v>
      </c>
      <c r="B40" s="15" t="s">
        <v>200</v>
      </c>
      <c r="C40" s="10" t="s">
        <v>201</v>
      </c>
      <c r="D40" s="10">
        <v>5</v>
      </c>
      <c r="E40" s="46"/>
      <c r="F40" s="95" t="s">
        <v>237</v>
      </c>
      <c r="G40" s="46"/>
      <c r="H40" s="6" t="s">
        <v>583</v>
      </c>
      <c r="I40" s="46" t="s">
        <v>237</v>
      </c>
      <c r="J40" s="48"/>
    </row>
    <row r="41" spans="1:10" x14ac:dyDescent="0.2">
      <c r="A41" s="9" t="s">
        <v>199</v>
      </c>
      <c r="B41" s="15" t="s">
        <v>200</v>
      </c>
      <c r="C41" s="10" t="s">
        <v>201</v>
      </c>
      <c r="D41" s="10">
        <v>84</v>
      </c>
      <c r="E41" s="46"/>
      <c r="F41" s="95" t="s">
        <v>237</v>
      </c>
      <c r="G41" s="46"/>
      <c r="H41" s="6" t="s">
        <v>584</v>
      </c>
      <c r="I41" s="46" t="s">
        <v>237</v>
      </c>
      <c r="J41" s="48"/>
    </row>
    <row r="42" spans="1:10" x14ac:dyDescent="0.2">
      <c r="A42" s="9"/>
      <c r="B42" s="15"/>
      <c r="C42" s="10"/>
      <c r="D42" s="10"/>
      <c r="E42" s="46"/>
      <c r="F42" s="95"/>
      <c r="G42" s="46"/>
      <c r="H42" s="47"/>
      <c r="I42" s="46"/>
      <c r="J42" s="48"/>
    </row>
    <row r="43" spans="1:10" x14ac:dyDescent="0.2">
      <c r="A43" s="9" t="s">
        <v>199</v>
      </c>
      <c r="B43" s="15" t="s">
        <v>200</v>
      </c>
      <c r="C43" s="10" t="s">
        <v>201</v>
      </c>
      <c r="D43" s="10">
        <v>83</v>
      </c>
      <c r="E43" s="46"/>
      <c r="F43" s="95" t="s">
        <v>237</v>
      </c>
      <c r="G43" s="46"/>
      <c r="H43" s="47" t="s">
        <v>586</v>
      </c>
      <c r="I43" s="46"/>
      <c r="J43" s="48"/>
    </row>
    <row r="44" spans="1:10" x14ac:dyDescent="0.2">
      <c r="A44" s="9" t="s">
        <v>199</v>
      </c>
      <c r="B44" s="15" t="s">
        <v>200</v>
      </c>
      <c r="C44" s="10" t="s">
        <v>201</v>
      </c>
      <c r="D44" s="10">
        <v>77</v>
      </c>
      <c r="E44" s="46"/>
      <c r="F44" s="95" t="s">
        <v>237</v>
      </c>
      <c r="G44" s="46"/>
      <c r="H44" s="47" t="s">
        <v>587</v>
      </c>
      <c r="I44" s="46"/>
      <c r="J44" s="48"/>
    </row>
    <row r="45" spans="1:10" x14ac:dyDescent="0.2">
      <c r="A45" s="9" t="s">
        <v>199</v>
      </c>
      <c r="B45" s="15" t="s">
        <v>200</v>
      </c>
      <c r="C45" s="10" t="s">
        <v>201</v>
      </c>
      <c r="D45" s="10">
        <v>11</v>
      </c>
      <c r="E45" s="46"/>
      <c r="F45" s="95" t="s">
        <v>237</v>
      </c>
      <c r="G45" s="46"/>
      <c r="H45" s="47" t="s">
        <v>588</v>
      </c>
      <c r="I45" s="46"/>
      <c r="J45" s="48"/>
    </row>
    <row r="46" spans="1:10" x14ac:dyDescent="0.2">
      <c r="A46" s="9" t="s">
        <v>199</v>
      </c>
      <c r="B46" s="15" t="s">
        <v>200</v>
      </c>
      <c r="C46" s="10" t="s">
        <v>201</v>
      </c>
      <c r="D46" s="10">
        <v>7</v>
      </c>
      <c r="E46" s="46"/>
      <c r="F46" s="95" t="s">
        <v>237</v>
      </c>
      <c r="G46" s="46"/>
      <c r="H46" s="47" t="s">
        <v>589</v>
      </c>
      <c r="I46" s="46"/>
      <c r="J46" s="48"/>
    </row>
    <row r="47" spans="1:10" x14ac:dyDescent="0.2">
      <c r="A47" s="9" t="s">
        <v>199</v>
      </c>
      <c r="B47" s="15" t="s">
        <v>200</v>
      </c>
      <c r="C47" s="10" t="s">
        <v>201</v>
      </c>
      <c r="D47" s="10">
        <v>6</v>
      </c>
      <c r="E47" s="46"/>
      <c r="F47" s="95" t="s">
        <v>237</v>
      </c>
      <c r="G47" s="46"/>
      <c r="H47" s="47" t="s">
        <v>590</v>
      </c>
      <c r="I47" s="46"/>
      <c r="J47" s="48"/>
    </row>
    <row r="48" spans="1:10" x14ac:dyDescent="0.2">
      <c r="A48" s="9" t="s">
        <v>199</v>
      </c>
      <c r="B48" s="15" t="s">
        <v>200</v>
      </c>
      <c r="C48" s="10" t="s">
        <v>201</v>
      </c>
      <c r="D48" s="10">
        <v>81</v>
      </c>
      <c r="E48" s="46"/>
      <c r="F48" s="95" t="s">
        <v>237</v>
      </c>
      <c r="G48" s="46"/>
      <c r="H48" s="47" t="s">
        <v>591</v>
      </c>
      <c r="I48" s="46"/>
      <c r="J48" s="48"/>
    </row>
    <row r="49" spans="1:10" x14ac:dyDescent="0.2">
      <c r="A49" s="9" t="s">
        <v>199</v>
      </c>
      <c r="B49" s="15" t="s">
        <v>200</v>
      </c>
      <c r="C49" s="10" t="s">
        <v>201</v>
      </c>
      <c r="D49" s="10">
        <v>12</v>
      </c>
      <c r="E49" s="46"/>
      <c r="F49" s="95" t="s">
        <v>237</v>
      </c>
      <c r="G49" s="46"/>
      <c r="H49" s="47" t="s">
        <v>592</v>
      </c>
      <c r="I49" s="46"/>
      <c r="J49" s="48"/>
    </row>
    <row r="50" spans="1:10" x14ac:dyDescent="0.2">
      <c r="A50" s="9" t="s">
        <v>199</v>
      </c>
      <c r="B50" s="15" t="s">
        <v>200</v>
      </c>
      <c r="C50" s="10" t="s">
        <v>201</v>
      </c>
      <c r="D50" s="10">
        <v>14</v>
      </c>
      <c r="E50" s="46"/>
      <c r="F50" s="95" t="s">
        <v>237</v>
      </c>
      <c r="G50" s="46"/>
      <c r="H50" s="47" t="s">
        <v>593</v>
      </c>
      <c r="I50" s="46"/>
      <c r="J50" s="48"/>
    </row>
    <row r="51" spans="1:10" x14ac:dyDescent="0.2">
      <c r="A51" s="9" t="s">
        <v>199</v>
      </c>
      <c r="B51" s="15" t="s">
        <v>200</v>
      </c>
      <c r="C51" s="10" t="s">
        <v>201</v>
      </c>
      <c r="D51" s="10">
        <v>8</v>
      </c>
      <c r="E51" s="46"/>
      <c r="F51" s="95" t="s">
        <v>237</v>
      </c>
      <c r="G51" s="46"/>
      <c r="H51" s="47" t="s">
        <v>594</v>
      </c>
      <c r="I51" s="46"/>
      <c r="J51" s="48"/>
    </row>
    <row r="52" spans="1:10" x14ac:dyDescent="0.2">
      <c r="A52" s="9" t="s">
        <v>199</v>
      </c>
      <c r="B52" s="15" t="s">
        <v>200</v>
      </c>
      <c r="C52" s="10" t="s">
        <v>201</v>
      </c>
      <c r="D52" s="10">
        <v>88</v>
      </c>
      <c r="E52" s="46"/>
      <c r="F52" s="95" t="s">
        <v>237</v>
      </c>
      <c r="G52" s="46"/>
      <c r="H52" s="47" t="s">
        <v>595</v>
      </c>
      <c r="I52" s="46"/>
      <c r="J52" s="48"/>
    </row>
    <row r="53" spans="1:10" x14ac:dyDescent="0.2">
      <c r="A53" s="9" t="s">
        <v>199</v>
      </c>
      <c r="B53" s="15" t="s">
        <v>200</v>
      </c>
      <c r="C53" s="10" t="s">
        <v>201</v>
      </c>
      <c r="D53" s="10">
        <v>15</v>
      </c>
      <c r="E53" s="46"/>
      <c r="F53" s="95" t="s">
        <v>237</v>
      </c>
      <c r="G53" s="46"/>
      <c r="H53" s="47" t="s">
        <v>596</v>
      </c>
      <c r="I53" s="46"/>
      <c r="J53" s="48"/>
    </row>
    <row r="54" spans="1:10" x14ac:dyDescent="0.2">
      <c r="A54" s="9" t="s">
        <v>199</v>
      </c>
      <c r="B54" s="15" t="s">
        <v>200</v>
      </c>
      <c r="C54" s="10" t="s">
        <v>201</v>
      </c>
      <c r="D54" s="10">
        <v>86</v>
      </c>
      <c r="E54" s="46"/>
      <c r="F54" s="95" t="s">
        <v>237</v>
      </c>
      <c r="G54" s="46"/>
      <c r="H54" s="47" t="s">
        <v>597</v>
      </c>
      <c r="I54" s="46"/>
      <c r="J54" s="48"/>
    </row>
    <row r="55" spans="1:10" x14ac:dyDescent="0.2">
      <c r="A55" s="9" t="s">
        <v>199</v>
      </c>
      <c r="B55" s="15" t="s">
        <v>200</v>
      </c>
      <c r="C55" s="10" t="s">
        <v>201</v>
      </c>
      <c r="D55" s="10">
        <v>87</v>
      </c>
      <c r="E55" s="46"/>
      <c r="F55" s="95" t="s">
        <v>237</v>
      </c>
      <c r="G55" s="46"/>
      <c r="H55" s="47" t="s">
        <v>598</v>
      </c>
      <c r="I55" s="46"/>
      <c r="J55" s="48"/>
    </row>
    <row r="56" spans="1:10" x14ac:dyDescent="0.2">
      <c r="A56" s="9"/>
      <c r="B56" s="15"/>
      <c r="C56" s="10"/>
      <c r="D56" s="10"/>
      <c r="E56" s="46"/>
      <c r="F56" s="95"/>
      <c r="G56" s="46"/>
      <c r="H56" s="47"/>
      <c r="I56" s="46"/>
      <c r="J56" s="48"/>
    </row>
    <row r="57" spans="1:10" x14ac:dyDescent="0.2">
      <c r="A57" s="9" t="s">
        <v>199</v>
      </c>
      <c r="B57" s="15" t="s">
        <v>200</v>
      </c>
      <c r="C57" s="10" t="s">
        <v>201</v>
      </c>
      <c r="D57" s="10">
        <v>41</v>
      </c>
      <c r="E57" s="46"/>
      <c r="F57" s="95" t="s">
        <v>237</v>
      </c>
      <c r="G57" s="46"/>
      <c r="H57" s="47" t="s">
        <v>599</v>
      </c>
      <c r="I57" s="46"/>
      <c r="J57" s="48"/>
    </row>
    <row r="58" spans="1:10" x14ac:dyDescent="0.2">
      <c r="A58" s="9" t="s">
        <v>199</v>
      </c>
      <c r="B58" s="15" t="s">
        <v>200</v>
      </c>
      <c r="C58" s="10" t="s">
        <v>201</v>
      </c>
      <c r="D58" s="10">
        <v>42</v>
      </c>
      <c r="E58" s="46"/>
      <c r="F58" s="95" t="s">
        <v>237</v>
      </c>
      <c r="G58" s="46"/>
      <c r="H58" s="47" t="s">
        <v>600</v>
      </c>
      <c r="I58" s="46"/>
      <c r="J58" s="48"/>
    </row>
    <row r="59" spans="1:10" x14ac:dyDescent="0.2">
      <c r="A59" s="9" t="s">
        <v>199</v>
      </c>
      <c r="B59" s="15" t="s">
        <v>200</v>
      </c>
      <c r="C59" s="10" t="s">
        <v>201</v>
      </c>
      <c r="D59" s="10">
        <v>43</v>
      </c>
      <c r="E59" s="46"/>
      <c r="F59" s="95" t="s">
        <v>237</v>
      </c>
      <c r="G59" s="46"/>
      <c r="H59" s="47" t="s">
        <v>601</v>
      </c>
      <c r="I59" s="46"/>
      <c r="J59" s="48"/>
    </row>
    <row r="60" spans="1:10" x14ac:dyDescent="0.2">
      <c r="A60" s="9" t="s">
        <v>199</v>
      </c>
      <c r="B60" s="15" t="s">
        <v>200</v>
      </c>
      <c r="C60" s="10" t="s">
        <v>201</v>
      </c>
      <c r="D60" s="10">
        <v>44</v>
      </c>
      <c r="E60" s="46"/>
      <c r="F60" s="95" t="s">
        <v>237</v>
      </c>
      <c r="G60" s="46"/>
      <c r="H60" s="47" t="s">
        <v>602</v>
      </c>
      <c r="I60" s="46"/>
      <c r="J60" s="48"/>
    </row>
    <row r="61" spans="1:10" x14ac:dyDescent="0.2">
      <c r="A61" s="9" t="s">
        <v>199</v>
      </c>
      <c r="B61" s="15" t="s">
        <v>200</v>
      </c>
      <c r="C61" s="10" t="s">
        <v>201</v>
      </c>
      <c r="D61" s="10">
        <v>45</v>
      </c>
      <c r="E61" s="46"/>
      <c r="F61" s="95" t="s">
        <v>237</v>
      </c>
      <c r="G61" s="46"/>
      <c r="H61" s="47" t="s">
        <v>603</v>
      </c>
      <c r="I61" s="46"/>
      <c r="J61" s="48"/>
    </row>
    <row r="62" spans="1:10" x14ac:dyDescent="0.2">
      <c r="A62" s="9" t="s">
        <v>199</v>
      </c>
      <c r="B62" s="15" t="s">
        <v>200</v>
      </c>
      <c r="C62" s="10" t="s">
        <v>201</v>
      </c>
      <c r="D62" s="10">
        <v>46</v>
      </c>
      <c r="E62" s="46"/>
      <c r="F62" s="95" t="s">
        <v>237</v>
      </c>
      <c r="G62" s="46"/>
      <c r="H62" s="47" t="s">
        <v>604</v>
      </c>
      <c r="I62" s="46"/>
      <c r="J62" s="48"/>
    </row>
    <row r="63" spans="1:10" x14ac:dyDescent="0.2">
      <c r="A63" s="9" t="s">
        <v>199</v>
      </c>
      <c r="B63" s="15" t="s">
        <v>200</v>
      </c>
      <c r="C63" s="10" t="s">
        <v>201</v>
      </c>
      <c r="D63" s="10">
        <v>47</v>
      </c>
      <c r="E63" s="46"/>
      <c r="F63" s="95" t="s">
        <v>237</v>
      </c>
      <c r="G63" s="46"/>
      <c r="H63" s="47" t="s">
        <v>605</v>
      </c>
      <c r="I63" s="46"/>
      <c r="J63" s="48"/>
    </row>
    <row r="64" spans="1:10" x14ac:dyDescent="0.2">
      <c r="A64" s="9" t="s">
        <v>199</v>
      </c>
      <c r="B64" s="15" t="s">
        <v>200</v>
      </c>
      <c r="C64" s="10" t="s">
        <v>201</v>
      </c>
      <c r="D64" s="10">
        <v>48</v>
      </c>
      <c r="E64" s="46"/>
      <c r="F64" s="95" t="s">
        <v>237</v>
      </c>
      <c r="G64" s="46"/>
      <c r="H64" s="47" t="s">
        <v>606</v>
      </c>
      <c r="I64" s="46"/>
      <c r="J64" s="48"/>
    </row>
    <row r="65" spans="1:10" x14ac:dyDescent="0.2">
      <c r="A65" s="9" t="s">
        <v>199</v>
      </c>
      <c r="B65" s="15" t="s">
        <v>200</v>
      </c>
      <c r="C65" s="10" t="s">
        <v>201</v>
      </c>
      <c r="D65" s="10">
        <v>49</v>
      </c>
      <c r="E65" s="46"/>
      <c r="F65" s="95" t="s">
        <v>237</v>
      </c>
      <c r="G65" s="46"/>
      <c r="H65" s="47" t="s">
        <v>607</v>
      </c>
      <c r="I65" s="46"/>
      <c r="J65" s="48"/>
    </row>
    <row r="66" spans="1:10" x14ac:dyDescent="0.2">
      <c r="A66" s="9" t="s">
        <v>199</v>
      </c>
      <c r="B66" s="15" t="s">
        <v>200</v>
      </c>
      <c r="C66" s="10" t="s">
        <v>201</v>
      </c>
      <c r="D66" s="10">
        <v>50</v>
      </c>
      <c r="E66" s="46"/>
      <c r="F66" s="95" t="s">
        <v>237</v>
      </c>
      <c r="G66" s="46"/>
      <c r="H66" s="47" t="s">
        <v>608</v>
      </c>
      <c r="I66" s="46"/>
      <c r="J66" s="48"/>
    </row>
    <row r="67" spans="1:10" x14ac:dyDescent="0.2">
      <c r="A67" s="9" t="s">
        <v>199</v>
      </c>
      <c r="B67" s="15" t="s">
        <v>200</v>
      </c>
      <c r="C67" s="10" t="s">
        <v>201</v>
      </c>
      <c r="D67" s="10">
        <v>51</v>
      </c>
      <c r="E67" s="46"/>
      <c r="F67" s="95" t="s">
        <v>237</v>
      </c>
      <c r="G67" s="46"/>
      <c r="H67" s="47" t="s">
        <v>609</v>
      </c>
      <c r="I67" s="46"/>
      <c r="J67" s="48"/>
    </row>
    <row r="68" spans="1:10" x14ac:dyDescent="0.2">
      <c r="A68" s="9" t="s">
        <v>199</v>
      </c>
      <c r="B68" s="15" t="s">
        <v>200</v>
      </c>
      <c r="C68" s="10" t="s">
        <v>201</v>
      </c>
      <c r="D68" s="10">
        <v>52</v>
      </c>
      <c r="E68" s="46"/>
      <c r="F68" s="95" t="s">
        <v>237</v>
      </c>
      <c r="G68" s="46"/>
      <c r="H68" s="47" t="s">
        <v>610</v>
      </c>
      <c r="I68" s="46"/>
      <c r="J68" s="48"/>
    </row>
    <row r="69" spans="1:10" x14ac:dyDescent="0.2">
      <c r="A69" s="9"/>
      <c r="B69" s="15"/>
      <c r="C69" s="10"/>
      <c r="D69" s="10"/>
      <c r="E69" s="46"/>
      <c r="F69" s="95"/>
      <c r="G69" s="46"/>
      <c r="H69" s="47"/>
      <c r="I69" s="46"/>
      <c r="J69" s="48"/>
    </row>
    <row r="70" spans="1:10" x14ac:dyDescent="0.2">
      <c r="A70" s="9" t="s">
        <v>199</v>
      </c>
      <c r="B70" s="15" t="s">
        <v>200</v>
      </c>
      <c r="C70" s="10" t="s">
        <v>201</v>
      </c>
      <c r="D70" s="10">
        <v>16</v>
      </c>
      <c r="E70" s="46"/>
      <c r="F70" s="95" t="s">
        <v>237</v>
      </c>
      <c r="G70" s="46"/>
      <c r="H70" s="47" t="s">
        <v>611</v>
      </c>
      <c r="I70" s="46"/>
      <c r="J70" s="48"/>
    </row>
    <row r="71" spans="1:10" x14ac:dyDescent="0.2">
      <c r="A71" s="9"/>
      <c r="B71" s="15"/>
      <c r="C71" s="10"/>
      <c r="D71" s="10"/>
      <c r="E71" s="46"/>
      <c r="F71" s="95"/>
      <c r="G71" s="46"/>
      <c r="H71" s="47"/>
      <c r="I71" s="46"/>
      <c r="J71" s="48"/>
    </row>
    <row r="72" spans="1:10" x14ac:dyDescent="0.2">
      <c r="A72" s="9"/>
      <c r="B72" s="15"/>
      <c r="C72" s="10"/>
      <c r="D72" s="10"/>
      <c r="E72" s="46"/>
      <c r="F72" s="47"/>
      <c r="G72" s="46"/>
      <c r="H72" s="47"/>
      <c r="I72" s="46"/>
      <c r="J72" s="48"/>
    </row>
    <row r="73" spans="1:10" x14ac:dyDescent="0.2">
      <c r="A73" s="9" t="s">
        <v>496</v>
      </c>
      <c r="B73" s="15" t="s">
        <v>35</v>
      </c>
      <c r="C73" s="10" t="s">
        <v>44</v>
      </c>
      <c r="D73" s="10"/>
      <c r="E73" s="46" t="s">
        <v>238</v>
      </c>
      <c r="F73" s="47" t="s">
        <v>497</v>
      </c>
      <c r="G73" s="46" t="s">
        <v>234</v>
      </c>
      <c r="H73" s="47" t="s">
        <v>498</v>
      </c>
      <c r="I73" s="46" t="s">
        <v>237</v>
      </c>
      <c r="J73" s="48"/>
    </row>
    <row r="74" spans="1:10" x14ac:dyDescent="0.2">
      <c r="A74" s="9"/>
      <c r="B74" s="15"/>
      <c r="C74" s="10"/>
      <c r="D74" s="10"/>
      <c r="E74" s="46"/>
      <c r="F74" s="47"/>
      <c r="G74" s="46"/>
      <c r="H74" s="47"/>
      <c r="I74" s="46"/>
      <c r="J74" s="48"/>
    </row>
    <row r="75" spans="1:10" x14ac:dyDescent="0.2">
      <c r="A75" s="9" t="s">
        <v>16</v>
      </c>
      <c r="B75" s="15" t="s">
        <v>34</v>
      </c>
      <c r="C75" s="10" t="s">
        <v>43</v>
      </c>
      <c r="D75" s="10"/>
      <c r="E75" s="46"/>
      <c r="F75" s="47" t="s">
        <v>499</v>
      </c>
      <c r="G75" s="46" t="s">
        <v>248</v>
      </c>
      <c r="H75" s="47" t="s">
        <v>500</v>
      </c>
      <c r="I75" s="46" t="s">
        <v>249</v>
      </c>
      <c r="J75" s="48"/>
    </row>
    <row r="76" spans="1:10" x14ac:dyDescent="0.2">
      <c r="A76" s="9"/>
      <c r="B76" s="15"/>
      <c r="C76" s="10"/>
      <c r="D76" s="10"/>
      <c r="E76" s="46"/>
      <c r="F76" s="47"/>
      <c r="G76" s="46"/>
      <c r="H76" s="47"/>
      <c r="I76" s="46"/>
      <c r="J76" s="48"/>
    </row>
    <row r="77" spans="1:10" x14ac:dyDescent="0.2">
      <c r="A77" s="9" t="s">
        <v>195</v>
      </c>
      <c r="B77" s="15" t="s">
        <v>196</v>
      </c>
      <c r="C77" s="10">
        <v>205</v>
      </c>
      <c r="D77" s="10"/>
      <c r="E77" s="46" t="s">
        <v>235</v>
      </c>
      <c r="F77" s="47" t="s">
        <v>501</v>
      </c>
      <c r="G77" s="46">
        <v>24213581</v>
      </c>
      <c r="H77" s="47" t="s">
        <v>502</v>
      </c>
      <c r="I77" s="46" t="s">
        <v>236</v>
      </c>
      <c r="J77" s="48"/>
    </row>
    <row r="78" spans="1:10" x14ac:dyDescent="0.2">
      <c r="A78" s="9"/>
      <c r="B78" s="15"/>
      <c r="C78" s="10"/>
      <c r="D78" s="10"/>
      <c r="E78" s="46"/>
      <c r="F78" s="47"/>
      <c r="G78" s="46"/>
      <c r="H78" s="47"/>
      <c r="I78" s="46"/>
      <c r="J78" s="48"/>
    </row>
    <row r="79" spans="1:10" x14ac:dyDescent="0.2">
      <c r="A79" s="9" t="s">
        <v>326</v>
      </c>
      <c r="B79" s="15" t="s">
        <v>327</v>
      </c>
      <c r="C79" s="10" t="s">
        <v>328</v>
      </c>
      <c r="D79" s="10"/>
      <c r="E79" s="46"/>
      <c r="F79" s="47" t="s">
        <v>503</v>
      </c>
      <c r="G79" s="46"/>
      <c r="H79" s="47" t="s">
        <v>504</v>
      </c>
      <c r="I79" s="46"/>
      <c r="J79" s="48"/>
    </row>
    <row r="80" spans="1:10" x14ac:dyDescent="0.2">
      <c r="A80" s="9"/>
      <c r="B80" s="15"/>
      <c r="C80" s="10"/>
      <c r="D80" s="10"/>
      <c r="E80" s="46"/>
      <c r="F80" s="47"/>
      <c r="G80" s="46"/>
      <c r="H80" s="47"/>
      <c r="I80" s="46"/>
      <c r="J80" s="48"/>
    </row>
    <row r="81" spans="1:10" x14ac:dyDescent="0.2">
      <c r="A81" s="9" t="s">
        <v>505</v>
      </c>
      <c r="B81" s="15" t="s">
        <v>36</v>
      </c>
      <c r="C81" s="10" t="s">
        <v>45</v>
      </c>
      <c r="D81" s="10"/>
      <c r="E81" s="46"/>
      <c r="F81" s="47" t="s">
        <v>506</v>
      </c>
      <c r="G81" s="46" t="s">
        <v>250</v>
      </c>
      <c r="H81" s="47" t="s">
        <v>507</v>
      </c>
      <c r="I81" s="46" t="s">
        <v>251</v>
      </c>
      <c r="J81" s="48"/>
    </row>
    <row r="82" spans="1:10" x14ac:dyDescent="0.2">
      <c r="A82" s="9"/>
      <c r="B82" s="15"/>
      <c r="C82" s="10"/>
      <c r="D82" s="10"/>
      <c r="E82" s="46"/>
      <c r="F82" s="47"/>
      <c r="G82" s="46"/>
      <c r="H82" s="47"/>
      <c r="I82" s="46"/>
      <c r="J82" s="48"/>
    </row>
    <row r="83" spans="1:10" x14ac:dyDescent="0.2">
      <c r="A83" s="9" t="s">
        <v>205</v>
      </c>
      <c r="B83" s="15" t="s">
        <v>58</v>
      </c>
      <c r="C83" s="10" t="s">
        <v>206</v>
      </c>
      <c r="D83" s="10"/>
      <c r="E83" s="46"/>
      <c r="F83" s="47" t="s">
        <v>509</v>
      </c>
      <c r="G83" s="46"/>
      <c r="H83" s="47" t="s">
        <v>508</v>
      </c>
      <c r="I83" s="46" t="s">
        <v>252</v>
      </c>
      <c r="J83" s="48"/>
    </row>
    <row r="84" spans="1:10" x14ac:dyDescent="0.2">
      <c r="A84" s="9"/>
      <c r="B84" s="15"/>
      <c r="C84" s="10"/>
      <c r="D84" s="10"/>
      <c r="E84" s="46"/>
      <c r="F84" s="47"/>
      <c r="G84" s="46"/>
      <c r="H84" s="47"/>
      <c r="I84" s="46"/>
      <c r="J84" s="48"/>
    </row>
    <row r="85" spans="1:10" x14ac:dyDescent="0.2">
      <c r="A85" s="9" t="s">
        <v>19</v>
      </c>
      <c r="B85" s="15" t="s">
        <v>37</v>
      </c>
      <c r="C85" s="10" t="s">
        <v>50</v>
      </c>
      <c r="D85" s="10"/>
      <c r="E85" s="46" t="s">
        <v>253</v>
      </c>
      <c r="F85" s="47" t="s">
        <v>511</v>
      </c>
      <c r="G85" s="46" t="s">
        <v>254</v>
      </c>
      <c r="H85" s="47" t="s">
        <v>510</v>
      </c>
      <c r="I85" s="46" t="s">
        <v>255</v>
      </c>
      <c r="J85" s="48"/>
    </row>
    <row r="86" spans="1:10" x14ac:dyDescent="0.2">
      <c r="A86" s="9"/>
      <c r="B86" s="15"/>
      <c r="C86" s="10"/>
      <c r="D86" s="10"/>
      <c r="E86" s="46"/>
      <c r="F86" s="47"/>
      <c r="G86" s="46"/>
      <c r="H86" s="47"/>
      <c r="I86" s="46"/>
      <c r="J86" s="48"/>
    </row>
    <row r="87" spans="1:10" x14ac:dyDescent="0.2">
      <c r="A87" s="9" t="s">
        <v>193</v>
      </c>
      <c r="B87" s="15" t="s">
        <v>194</v>
      </c>
      <c r="C87" s="10" t="s">
        <v>197</v>
      </c>
      <c r="D87" s="10"/>
      <c r="E87" s="46" t="s">
        <v>256</v>
      </c>
      <c r="F87" s="47" t="s">
        <v>512</v>
      </c>
      <c r="G87" s="46" t="s">
        <v>257</v>
      </c>
      <c r="H87" s="47" t="s">
        <v>513</v>
      </c>
      <c r="I87" s="46" t="s">
        <v>258</v>
      </c>
      <c r="J87" s="48"/>
    </row>
    <row r="88" spans="1:10" x14ac:dyDescent="0.2">
      <c r="A88" s="9"/>
      <c r="B88" s="15"/>
      <c r="C88" s="10"/>
      <c r="D88" s="10"/>
      <c r="E88" s="46"/>
      <c r="F88" s="47"/>
      <c r="G88" s="46"/>
      <c r="H88" s="47"/>
      <c r="I88" s="46"/>
      <c r="J88" s="48"/>
    </row>
    <row r="89" spans="1:10" x14ac:dyDescent="0.2">
      <c r="A89" s="9"/>
      <c r="B89" s="15"/>
      <c r="C89" s="10"/>
      <c r="D89" s="10"/>
      <c r="E89" s="46"/>
      <c r="F89" s="47"/>
      <c r="G89" s="46"/>
      <c r="H89" s="47"/>
      <c r="I89" s="46"/>
      <c r="J89" s="48"/>
    </row>
    <row r="90" spans="1:10" x14ac:dyDescent="0.2">
      <c r="A90" s="9"/>
      <c r="B90" s="15"/>
      <c r="C90" s="10"/>
      <c r="D90" s="10"/>
      <c r="E90" s="46"/>
      <c r="F90" s="47"/>
      <c r="G90" s="46"/>
      <c r="H90" s="47"/>
      <c r="I90" s="46"/>
      <c r="J90" s="48"/>
    </row>
    <row r="91" spans="1:10" x14ac:dyDescent="0.2">
      <c r="B91" s="14"/>
      <c r="E91" s="43"/>
      <c r="F91" s="44"/>
      <c r="G91" s="43"/>
      <c r="H91" s="44"/>
      <c r="I91" s="43"/>
      <c r="J91" s="45"/>
    </row>
    <row r="92" spans="1:10" x14ac:dyDescent="0.2">
      <c r="A92" s="9"/>
      <c r="B92" s="15"/>
      <c r="C92" s="10"/>
      <c r="D92" s="10"/>
      <c r="E92" s="46"/>
      <c r="F92" s="47"/>
      <c r="G92" s="46"/>
      <c r="H92" s="47"/>
      <c r="I92" s="46"/>
      <c r="J92" s="48"/>
    </row>
    <row r="93" spans="1:10" x14ac:dyDescent="0.2">
      <c r="A93" s="9"/>
      <c r="B93" s="15"/>
      <c r="C93" s="10"/>
      <c r="D93" s="10"/>
      <c r="E93" s="46"/>
      <c r="F93" s="47"/>
      <c r="G93" s="46"/>
      <c r="H93" s="47"/>
      <c r="I93" s="46"/>
      <c r="J93" s="48"/>
    </row>
    <row r="94" spans="1:10" x14ac:dyDescent="0.2">
      <c r="A94" t="s">
        <v>514</v>
      </c>
      <c r="B94" s="14" t="s">
        <v>517</v>
      </c>
      <c r="E94" s="43"/>
      <c r="F94" s="44" t="s">
        <v>522</v>
      </c>
      <c r="G94" s="43"/>
      <c r="H94" s="44" t="s">
        <v>520</v>
      </c>
      <c r="I94" s="43"/>
      <c r="J94" s="45"/>
    </row>
    <row r="95" spans="1:10" x14ac:dyDescent="0.2">
      <c r="A95" s="9" t="s">
        <v>515</v>
      </c>
      <c r="B95" s="14" t="s">
        <v>517</v>
      </c>
      <c r="C95" s="10"/>
      <c r="D95" s="10"/>
      <c r="E95" s="46"/>
      <c r="F95" s="47" t="s">
        <v>519</v>
      </c>
      <c r="G95" s="46"/>
      <c r="H95" s="47" t="s">
        <v>521</v>
      </c>
      <c r="I95" s="46" t="s">
        <v>523</v>
      </c>
      <c r="J95" s="48"/>
    </row>
    <row r="96" spans="1:10" x14ac:dyDescent="0.2">
      <c r="A96" s="9" t="s">
        <v>516</v>
      </c>
      <c r="B96" s="15" t="s">
        <v>224</v>
      </c>
      <c r="C96" s="10"/>
      <c r="D96" s="10"/>
      <c r="E96" s="46"/>
      <c r="F96" s="47" t="s">
        <v>518</v>
      </c>
      <c r="G96" s="46"/>
      <c r="H96" s="47" t="s">
        <v>237</v>
      </c>
      <c r="I96" s="46"/>
      <c r="J96" s="48"/>
    </row>
    <row r="97" spans="1:10" x14ac:dyDescent="0.2">
      <c r="B97" s="14"/>
      <c r="E97" s="43"/>
      <c r="F97" s="44"/>
      <c r="G97" s="43"/>
      <c r="H97" s="44"/>
      <c r="I97" s="43"/>
      <c r="J97" s="45"/>
    </row>
    <row r="98" spans="1:10" x14ac:dyDescent="0.2">
      <c r="A98" s="9"/>
      <c r="B98" s="15"/>
      <c r="C98" s="10"/>
      <c r="D98" s="10"/>
      <c r="E98" s="46"/>
      <c r="F98" s="47"/>
      <c r="G98" s="46"/>
      <c r="H98" s="47"/>
      <c r="I98" s="46"/>
      <c r="J98" s="48"/>
    </row>
    <row r="99" spans="1:10" x14ac:dyDescent="0.2">
      <c r="A99" s="9"/>
      <c r="B99" s="15"/>
      <c r="C99" s="10"/>
      <c r="D99" s="10"/>
      <c r="E99" s="46"/>
      <c r="F99" s="47"/>
      <c r="G99" s="46"/>
      <c r="H99" s="47"/>
      <c r="I99" s="46"/>
      <c r="J99" s="48"/>
    </row>
    <row r="100" spans="1:10" x14ac:dyDescent="0.2">
      <c r="B100" s="14"/>
      <c r="E100" s="43"/>
      <c r="F100" s="44"/>
      <c r="G100" s="43"/>
      <c r="H100" s="44"/>
      <c r="I100" s="43"/>
      <c r="J100" s="45"/>
    </row>
    <row r="101" spans="1:10" x14ac:dyDescent="0.2">
      <c r="A101" s="9"/>
      <c r="B101" s="15"/>
      <c r="C101" s="10"/>
      <c r="D101" s="10"/>
      <c r="E101" s="46"/>
      <c r="F101" s="47"/>
      <c r="G101" s="46"/>
      <c r="H101" s="47"/>
      <c r="I101" s="46"/>
      <c r="J101" s="48"/>
    </row>
  </sheetData>
  <pageMargins left="0.70866141732283472" right="0.70866141732283472" top="0.74803149606299213" bottom="0.74803149606299213" header="0.31496062992125984" footer="0.31496062992125984"/>
  <pageSetup paperSize="9" scale="33" orientation="landscape" r:id="rId1"/>
  <headerFooter>
    <oddHeader>&amp;L&amp;"-,Vet en cursief"&amp;48Van Bergen Personeelsdiensten B.V.</oddHeader>
    <oddFooter>&amp;R&amp;20&amp;A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6">
    <pageSetUpPr fitToPage="1"/>
  </sheetPr>
  <dimension ref="A1:E18"/>
  <sheetViews>
    <sheetView zoomScaleNormal="100" workbookViewId="0">
      <selection activeCell="E2" sqref="E2"/>
    </sheetView>
  </sheetViews>
  <sheetFormatPr baseColWidth="10" defaultColWidth="8.83203125" defaultRowHeight="15" x14ac:dyDescent="0.2"/>
  <cols>
    <col min="2" max="2" width="16.6640625" bestFit="1" customWidth="1"/>
    <col min="3" max="3" width="28.6640625" bestFit="1" customWidth="1"/>
    <col min="4" max="4" width="26.5" bestFit="1" customWidth="1"/>
    <col min="5" max="5" width="16.33203125" bestFit="1" customWidth="1"/>
  </cols>
  <sheetData>
    <row r="1" spans="1:5" x14ac:dyDescent="0.2">
      <c r="A1" t="s">
        <v>208</v>
      </c>
      <c r="B1" t="s">
        <v>209</v>
      </c>
      <c r="C1" t="s">
        <v>210</v>
      </c>
      <c r="D1" t="s">
        <v>211</v>
      </c>
      <c r="E1" t="s">
        <v>212</v>
      </c>
    </row>
    <row r="2" spans="1:5" x14ac:dyDescent="0.2">
      <c r="B2" t="s">
        <v>470</v>
      </c>
      <c r="C2" t="s">
        <v>470</v>
      </c>
      <c r="D2" t="s">
        <v>404</v>
      </c>
      <c r="E2" s="68" t="s">
        <v>405</v>
      </c>
    </row>
    <row r="3" spans="1:5" x14ac:dyDescent="0.2">
      <c r="E3" s="68"/>
    </row>
    <row r="18" spans="5:5" x14ac:dyDescent="0.2">
      <c r="E18" s="69"/>
    </row>
  </sheetData>
  <hyperlinks>
    <hyperlink ref="E2" r:id="rId1" xr:uid="{91CBA3B7-020A-460B-923E-50A3F6D9519B}"/>
  </hyperlinks>
  <pageMargins left="0.70866141732283472" right="0.70866141732283472" top="0.74803149606299213" bottom="0.74803149606299213" header="0.31496062992125984" footer="0.31496062992125984"/>
  <pageSetup paperSize="9" orientation="landscape" r:id="rId2"/>
  <headerFooter>
    <oddHeader>&amp;L&amp;"-,Vet en cursief"&amp;20Van Bergen Personeelsdiensten B.V.</oddHeader>
    <oddFooter>&amp;R&amp;20&amp;A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70"/>
  <sheetViews>
    <sheetView workbookViewId="0">
      <selection sqref="A1:R35"/>
    </sheetView>
  </sheetViews>
  <sheetFormatPr baseColWidth="10" defaultColWidth="8.83203125" defaultRowHeight="15" x14ac:dyDescent="0.2"/>
  <cols>
    <col min="2" max="2" width="29.6640625" bestFit="1" customWidth="1"/>
    <col min="3" max="3" width="12.1640625" customWidth="1"/>
    <col min="5" max="5" width="12.5" bestFit="1" customWidth="1"/>
    <col min="14" max="14" width="9.5" bestFit="1" customWidth="1"/>
    <col min="16" max="16" width="9.5" bestFit="1" customWidth="1"/>
    <col min="17" max="17" width="11.5" bestFit="1" customWidth="1"/>
    <col min="18" max="18" width="10.5" bestFit="1" customWidth="1"/>
  </cols>
  <sheetData>
    <row r="1" spans="1:25" x14ac:dyDescent="0.2">
      <c r="B1" s="75"/>
      <c r="C1" t="s">
        <v>407</v>
      </c>
      <c r="E1" s="77"/>
      <c r="G1" s="75" t="s">
        <v>324</v>
      </c>
      <c r="K1" s="80"/>
      <c r="M1" s="75" t="s">
        <v>567</v>
      </c>
      <c r="P1" t="s">
        <v>578</v>
      </c>
      <c r="Q1" s="77"/>
      <c r="W1" s="70" t="s">
        <v>527</v>
      </c>
    </row>
    <row r="2" spans="1:25" ht="16" thickBot="1" x14ac:dyDescent="0.25">
      <c r="A2" t="s">
        <v>406</v>
      </c>
      <c r="B2" s="75"/>
      <c r="C2">
        <v>53</v>
      </c>
      <c r="D2" s="65">
        <v>43556</v>
      </c>
      <c r="E2" s="77"/>
      <c r="G2" s="75">
        <v>76</v>
      </c>
      <c r="H2" s="65">
        <v>43586</v>
      </c>
      <c r="I2" s="65"/>
      <c r="J2" s="65"/>
      <c r="K2" s="80"/>
      <c r="M2" s="75">
        <v>83</v>
      </c>
      <c r="N2" s="65">
        <v>43891</v>
      </c>
      <c r="P2" s="7">
        <v>44698</v>
      </c>
      <c r="Q2" s="77"/>
      <c r="W2" s="70"/>
    </row>
    <row r="3" spans="1:25" x14ac:dyDescent="0.2">
      <c r="B3" s="75"/>
      <c r="C3">
        <v>54</v>
      </c>
      <c r="D3" s="65">
        <v>43556</v>
      </c>
      <c r="E3" s="77"/>
      <c r="G3" s="75">
        <v>70</v>
      </c>
      <c r="H3" s="65">
        <v>43586</v>
      </c>
      <c r="I3" s="65"/>
      <c r="J3" s="65"/>
      <c r="K3" s="80"/>
      <c r="M3" s="75">
        <v>77</v>
      </c>
      <c r="N3" s="65">
        <v>43891</v>
      </c>
      <c r="P3" s="7">
        <v>44698</v>
      </c>
      <c r="Q3" s="77"/>
      <c r="W3" s="71" t="s">
        <v>525</v>
      </c>
      <c r="X3" s="71" t="s">
        <v>526</v>
      </c>
      <c r="Y3" s="71">
        <v>5</v>
      </c>
    </row>
    <row r="4" spans="1:25" x14ac:dyDescent="0.2">
      <c r="B4" s="75"/>
      <c r="C4">
        <v>55</v>
      </c>
      <c r="D4" s="65">
        <v>43556</v>
      </c>
      <c r="E4" s="77"/>
      <c r="G4" s="75">
        <v>64</v>
      </c>
      <c r="H4" s="65">
        <v>43586</v>
      </c>
      <c r="I4" s="65"/>
      <c r="J4" s="65"/>
      <c r="K4" s="80"/>
      <c r="M4" s="75">
        <v>11</v>
      </c>
      <c r="N4" s="65">
        <v>43891</v>
      </c>
      <c r="P4" s="7">
        <v>44698</v>
      </c>
      <c r="Q4" s="77"/>
      <c r="Y4">
        <v>6</v>
      </c>
    </row>
    <row r="5" spans="1:25" x14ac:dyDescent="0.2">
      <c r="B5" s="75"/>
      <c r="C5">
        <v>56</v>
      </c>
      <c r="D5" s="65">
        <v>43556</v>
      </c>
      <c r="E5" s="77"/>
      <c r="G5" s="75">
        <v>58</v>
      </c>
      <c r="H5" s="65">
        <v>43586</v>
      </c>
      <c r="I5" s="65"/>
      <c r="J5" s="65"/>
      <c r="K5" s="80"/>
      <c r="M5" s="75">
        <v>7</v>
      </c>
      <c r="N5" s="65">
        <v>43891</v>
      </c>
      <c r="P5" s="7">
        <v>44698</v>
      </c>
      <c r="Q5" s="77"/>
      <c r="Y5">
        <v>7</v>
      </c>
    </row>
    <row r="6" spans="1:25" x14ac:dyDescent="0.2">
      <c r="B6" s="75"/>
      <c r="C6">
        <v>57</v>
      </c>
      <c r="D6" s="65">
        <v>43556</v>
      </c>
      <c r="E6" s="77"/>
      <c r="G6" s="75"/>
      <c r="K6" s="80"/>
      <c r="M6" s="75">
        <v>6</v>
      </c>
      <c r="N6" s="65">
        <v>43891</v>
      </c>
      <c r="P6" s="7">
        <v>44698</v>
      </c>
      <c r="Q6" s="77"/>
      <c r="Y6">
        <v>8</v>
      </c>
    </row>
    <row r="7" spans="1:25" x14ac:dyDescent="0.2">
      <c r="B7" s="75"/>
      <c r="C7">
        <v>59</v>
      </c>
      <c r="D7" s="65">
        <v>43556</v>
      </c>
      <c r="E7" s="77"/>
      <c r="G7" s="75"/>
      <c r="K7" s="80"/>
      <c r="M7" s="75">
        <v>81</v>
      </c>
      <c r="N7" s="65">
        <v>44013</v>
      </c>
      <c r="P7" s="7">
        <v>44698</v>
      </c>
      <c r="Q7" s="77"/>
      <c r="X7" s="72" t="s">
        <v>528</v>
      </c>
      <c r="Y7" s="72">
        <v>16</v>
      </c>
    </row>
    <row r="8" spans="1:25" x14ac:dyDescent="0.2">
      <c r="B8" s="75"/>
      <c r="E8" s="77"/>
      <c r="G8" s="75"/>
      <c r="K8" s="80"/>
      <c r="M8" s="75">
        <v>12</v>
      </c>
      <c r="N8" s="65">
        <v>43952</v>
      </c>
      <c r="P8" s="7">
        <v>44698</v>
      </c>
      <c r="Q8" s="77"/>
      <c r="Y8">
        <v>15</v>
      </c>
    </row>
    <row r="9" spans="1:25" x14ac:dyDescent="0.2">
      <c r="B9" s="75"/>
      <c r="C9">
        <v>61</v>
      </c>
      <c r="D9" s="65">
        <v>43556</v>
      </c>
      <c r="E9" s="77"/>
      <c r="G9" s="75"/>
      <c r="K9" s="80"/>
      <c r="M9" s="75">
        <v>14</v>
      </c>
      <c r="N9" s="65">
        <v>43952</v>
      </c>
      <c r="P9" s="7">
        <v>44698</v>
      </c>
      <c r="Q9" s="77"/>
      <c r="Y9">
        <v>14</v>
      </c>
    </row>
    <row r="10" spans="1:25" x14ac:dyDescent="0.2">
      <c r="B10" s="75"/>
      <c r="C10">
        <v>62</v>
      </c>
      <c r="D10" s="65">
        <v>43556</v>
      </c>
      <c r="E10" s="77"/>
      <c r="G10" s="75"/>
      <c r="K10" s="80"/>
      <c r="M10" s="75">
        <v>8</v>
      </c>
      <c r="N10" s="65">
        <v>44044</v>
      </c>
      <c r="P10" s="7">
        <v>44698</v>
      </c>
      <c r="Q10" s="77"/>
      <c r="Y10">
        <v>12</v>
      </c>
    </row>
    <row r="11" spans="1:25" ht="16" thickBot="1" x14ac:dyDescent="0.25">
      <c r="B11" s="75"/>
      <c r="E11" s="77"/>
      <c r="G11" s="75"/>
      <c r="K11" s="80"/>
      <c r="M11" s="75">
        <v>88</v>
      </c>
      <c r="N11" s="65">
        <v>44105</v>
      </c>
      <c r="P11" s="7">
        <v>44698</v>
      </c>
      <c r="Q11" s="77"/>
      <c r="Y11">
        <v>11</v>
      </c>
    </row>
    <row r="12" spans="1:25" x14ac:dyDescent="0.2">
      <c r="B12" s="75"/>
      <c r="C12">
        <v>65</v>
      </c>
      <c r="D12" s="65">
        <v>43556</v>
      </c>
      <c r="E12" s="77"/>
      <c r="G12" s="75"/>
      <c r="K12" s="80"/>
      <c r="M12" s="75">
        <v>15</v>
      </c>
      <c r="N12" s="7">
        <v>44297</v>
      </c>
      <c r="P12" s="7">
        <v>44698</v>
      </c>
      <c r="Q12" s="77"/>
      <c r="W12" s="71" t="s">
        <v>577</v>
      </c>
      <c r="X12" s="71" t="s">
        <v>526</v>
      </c>
      <c r="Y12" s="71">
        <v>41</v>
      </c>
    </row>
    <row r="13" spans="1:25" x14ac:dyDescent="0.2">
      <c r="B13" s="75"/>
      <c r="C13">
        <v>66</v>
      </c>
      <c r="D13" s="65">
        <v>43556</v>
      </c>
      <c r="E13" s="77"/>
      <c r="G13" s="75"/>
      <c r="K13" s="80"/>
      <c r="M13" s="75">
        <v>86</v>
      </c>
      <c r="N13" s="7">
        <v>44297</v>
      </c>
      <c r="P13" s="7">
        <v>44698</v>
      </c>
      <c r="Q13" s="77"/>
      <c r="Y13">
        <v>42</v>
      </c>
    </row>
    <row r="14" spans="1:25" x14ac:dyDescent="0.2">
      <c r="B14" s="75"/>
      <c r="C14">
        <v>67</v>
      </c>
      <c r="D14" s="65">
        <v>43556</v>
      </c>
      <c r="E14" s="77"/>
      <c r="G14" s="75"/>
      <c r="K14" s="80"/>
      <c r="M14" s="75">
        <v>87</v>
      </c>
      <c r="N14" s="7">
        <v>44297</v>
      </c>
      <c r="P14" s="7">
        <v>44698</v>
      </c>
      <c r="Q14" s="77"/>
      <c r="Y14">
        <v>43</v>
      </c>
    </row>
    <row r="15" spans="1:25" x14ac:dyDescent="0.2">
      <c r="B15" s="75"/>
      <c r="C15">
        <v>68</v>
      </c>
      <c r="D15" s="65">
        <v>43556</v>
      </c>
      <c r="E15" s="77"/>
      <c r="G15" s="75"/>
      <c r="K15" s="80"/>
      <c r="M15" s="75"/>
      <c r="P15" s="7"/>
      <c r="Q15" s="77"/>
      <c r="Y15">
        <v>44</v>
      </c>
    </row>
    <row r="16" spans="1:25" x14ac:dyDescent="0.2">
      <c r="B16" s="75"/>
      <c r="C16">
        <v>69</v>
      </c>
      <c r="D16" s="65">
        <v>43556</v>
      </c>
      <c r="E16" s="77"/>
      <c r="G16" s="75"/>
      <c r="K16" s="80"/>
      <c r="M16" s="75">
        <v>16</v>
      </c>
      <c r="N16" s="7">
        <v>44682</v>
      </c>
      <c r="P16" s="7">
        <v>44682</v>
      </c>
      <c r="Q16" s="77"/>
      <c r="Y16">
        <v>45</v>
      </c>
    </row>
    <row r="17" spans="2:25" x14ac:dyDescent="0.2">
      <c r="B17" s="75"/>
      <c r="C17">
        <v>71</v>
      </c>
      <c r="D17" s="65">
        <v>43556</v>
      </c>
      <c r="E17" s="77"/>
      <c r="G17" s="75"/>
      <c r="K17" s="80"/>
      <c r="M17" s="75">
        <v>41</v>
      </c>
      <c r="N17" s="7">
        <v>44694</v>
      </c>
      <c r="P17" s="7">
        <v>44698</v>
      </c>
      <c r="Q17" s="77"/>
      <c r="Y17">
        <v>46</v>
      </c>
    </row>
    <row r="18" spans="2:25" x14ac:dyDescent="0.2">
      <c r="B18" s="75"/>
      <c r="C18">
        <v>72</v>
      </c>
      <c r="D18" s="65">
        <v>43556</v>
      </c>
      <c r="E18" s="77"/>
      <c r="G18" s="75"/>
      <c r="K18" s="80"/>
      <c r="M18" s="75">
        <v>42</v>
      </c>
      <c r="N18" s="7">
        <v>44694</v>
      </c>
      <c r="P18" s="7">
        <v>44698</v>
      </c>
      <c r="Q18" s="77"/>
      <c r="X18" s="72" t="s">
        <v>528</v>
      </c>
      <c r="Y18" s="72">
        <v>47</v>
      </c>
    </row>
    <row r="19" spans="2:25" x14ac:dyDescent="0.2">
      <c r="B19" s="75"/>
      <c r="C19">
        <v>73</v>
      </c>
      <c r="D19" s="65">
        <v>43556</v>
      </c>
      <c r="E19" s="77"/>
      <c r="G19" s="75"/>
      <c r="K19" s="80"/>
      <c r="M19" s="75">
        <v>43</v>
      </c>
      <c r="N19" s="7">
        <v>44694</v>
      </c>
      <c r="P19" s="7">
        <v>44698</v>
      </c>
      <c r="Q19" s="77"/>
      <c r="Y19">
        <v>48</v>
      </c>
    </row>
    <row r="20" spans="2:25" x14ac:dyDescent="0.2">
      <c r="B20" s="75"/>
      <c r="C20">
        <v>74</v>
      </c>
      <c r="D20" s="65">
        <v>43556</v>
      </c>
      <c r="E20" s="77"/>
      <c r="G20" s="75"/>
      <c r="K20" s="80"/>
      <c r="M20" s="75">
        <v>44</v>
      </c>
      <c r="N20" s="7">
        <v>44694</v>
      </c>
      <c r="P20" s="7">
        <v>44698</v>
      </c>
      <c r="Q20" s="77"/>
      <c r="Y20">
        <v>49</v>
      </c>
    </row>
    <row r="21" spans="2:25" x14ac:dyDescent="0.2">
      <c r="B21" s="75"/>
      <c r="C21">
        <v>75</v>
      </c>
      <c r="D21" s="65">
        <v>43556</v>
      </c>
      <c r="E21" s="77"/>
      <c r="G21" s="75"/>
      <c r="K21" s="80"/>
      <c r="M21" s="75">
        <v>45</v>
      </c>
      <c r="N21" s="7">
        <v>44694</v>
      </c>
      <c r="P21" s="7">
        <v>44698</v>
      </c>
      <c r="Q21" s="77"/>
      <c r="Y21">
        <v>50</v>
      </c>
    </row>
    <row r="22" spans="2:25" x14ac:dyDescent="0.2">
      <c r="B22" s="75"/>
      <c r="D22" s="65"/>
      <c r="E22" s="77"/>
      <c r="G22" s="75"/>
      <c r="K22" s="80"/>
      <c r="M22" s="75">
        <v>46</v>
      </c>
      <c r="N22" s="7">
        <v>44694</v>
      </c>
      <c r="P22" s="7">
        <v>44698</v>
      </c>
      <c r="Q22" s="77"/>
      <c r="Y22">
        <v>51</v>
      </c>
    </row>
    <row r="23" spans="2:25" ht="16" thickBot="1" x14ac:dyDescent="0.25">
      <c r="B23" s="75"/>
      <c r="D23" s="65"/>
      <c r="E23" s="77"/>
      <c r="G23" s="75"/>
      <c r="K23" s="80"/>
      <c r="M23" s="75">
        <v>47</v>
      </c>
      <c r="N23" s="7" t="s">
        <v>581</v>
      </c>
      <c r="P23" s="7">
        <v>44698</v>
      </c>
      <c r="Q23" s="77"/>
      <c r="Y23">
        <v>52</v>
      </c>
    </row>
    <row r="24" spans="2:25" x14ac:dyDescent="0.2">
      <c r="B24" s="75"/>
      <c r="D24" s="65"/>
      <c r="E24" s="77"/>
      <c r="G24" s="75"/>
      <c r="K24" s="80"/>
      <c r="M24" s="75">
        <v>48</v>
      </c>
      <c r="N24" s="7">
        <v>44694</v>
      </c>
      <c r="P24" s="7">
        <v>44698</v>
      </c>
      <c r="Q24" s="77"/>
      <c r="W24" s="71" t="s">
        <v>529</v>
      </c>
      <c r="X24" s="71" t="s">
        <v>526</v>
      </c>
      <c r="Y24" s="71">
        <v>53</v>
      </c>
    </row>
    <row r="25" spans="2:25" x14ac:dyDescent="0.2">
      <c r="B25" s="75"/>
      <c r="D25" s="65"/>
      <c r="E25" s="77"/>
      <c r="G25" s="75"/>
      <c r="K25" s="80"/>
      <c r="M25" s="75">
        <v>49</v>
      </c>
      <c r="N25" s="7">
        <v>44694</v>
      </c>
      <c r="P25" s="7">
        <v>44698</v>
      </c>
      <c r="Q25" s="77"/>
      <c r="Y25">
        <v>54</v>
      </c>
    </row>
    <row r="26" spans="2:25" x14ac:dyDescent="0.2">
      <c r="B26" s="75"/>
      <c r="D26" s="65"/>
      <c r="E26" s="77"/>
      <c r="G26" s="75"/>
      <c r="K26" s="80"/>
      <c r="M26" s="75">
        <v>50</v>
      </c>
      <c r="N26" s="7">
        <v>44694</v>
      </c>
      <c r="P26" s="7">
        <v>44698</v>
      </c>
      <c r="Q26" s="77"/>
      <c r="Y26">
        <v>55</v>
      </c>
    </row>
    <row r="27" spans="2:25" x14ac:dyDescent="0.2">
      <c r="B27" s="75"/>
      <c r="E27" s="77"/>
      <c r="G27" s="75"/>
      <c r="K27" s="80"/>
      <c r="M27" s="75">
        <v>51</v>
      </c>
      <c r="N27" s="7">
        <v>44694</v>
      </c>
      <c r="P27" s="7">
        <v>44698</v>
      </c>
      <c r="Q27" s="77"/>
      <c r="Y27">
        <v>56</v>
      </c>
    </row>
    <row r="28" spans="2:25" x14ac:dyDescent="0.2">
      <c r="B28" s="84" t="s">
        <v>573</v>
      </c>
      <c r="C28">
        <v>5</v>
      </c>
      <c r="D28" s="65"/>
      <c r="E28" s="77"/>
      <c r="G28" s="75"/>
      <c r="K28" s="80"/>
      <c r="M28" s="75">
        <v>52</v>
      </c>
      <c r="N28" s="7" t="s">
        <v>581</v>
      </c>
      <c r="P28" s="7">
        <v>44698</v>
      </c>
      <c r="Q28" s="77"/>
      <c r="R28" s="4"/>
      <c r="Y28">
        <v>57</v>
      </c>
    </row>
    <row r="29" spans="2:25" x14ac:dyDescent="0.2">
      <c r="B29" s="84" t="s">
        <v>574</v>
      </c>
      <c r="C29">
        <v>84</v>
      </c>
      <c r="E29" s="77"/>
      <c r="G29" s="75"/>
      <c r="K29" s="80"/>
      <c r="M29" s="75"/>
      <c r="Q29" s="77"/>
      <c r="Y29">
        <v>58</v>
      </c>
    </row>
    <row r="30" spans="2:25" x14ac:dyDescent="0.2">
      <c r="B30" s="75"/>
      <c r="E30" s="77"/>
      <c r="G30" s="75"/>
      <c r="K30" s="80"/>
      <c r="M30" s="75"/>
      <c r="Q30" s="77"/>
      <c r="X30" s="72" t="s">
        <v>528</v>
      </c>
      <c r="Y30" s="72">
        <v>64</v>
      </c>
    </row>
    <row r="31" spans="2:25" x14ac:dyDescent="0.2">
      <c r="B31" s="75"/>
      <c r="E31" s="77"/>
      <c r="G31" s="75"/>
      <c r="K31" s="80"/>
      <c r="M31" s="75"/>
      <c r="Q31" s="77"/>
      <c r="Y31">
        <v>63</v>
      </c>
    </row>
    <row r="32" spans="2:25" x14ac:dyDescent="0.2">
      <c r="B32" s="76"/>
      <c r="C32" t="s">
        <v>553</v>
      </c>
      <c r="E32" s="77"/>
      <c r="G32" s="75"/>
      <c r="K32" s="80"/>
      <c r="M32" s="75"/>
      <c r="Q32" s="77"/>
      <c r="Y32">
        <v>62</v>
      </c>
    </row>
    <row r="33" spans="2:25" x14ac:dyDescent="0.2">
      <c r="B33" s="75"/>
      <c r="C33">
        <v>60</v>
      </c>
      <c r="D33" s="65">
        <v>43556</v>
      </c>
      <c r="E33" s="77"/>
      <c r="G33" s="75"/>
      <c r="K33" s="80"/>
      <c r="M33" s="75"/>
      <c r="Q33" s="77"/>
      <c r="Y33">
        <v>61</v>
      </c>
    </row>
    <row r="34" spans="2:25" x14ac:dyDescent="0.2">
      <c r="B34" s="75"/>
      <c r="C34">
        <v>63</v>
      </c>
      <c r="D34" s="65">
        <v>43556</v>
      </c>
      <c r="E34" s="77"/>
      <c r="G34" s="75"/>
      <c r="K34" s="80"/>
      <c r="M34" s="75"/>
      <c r="Q34" s="77"/>
      <c r="Y34">
        <v>60</v>
      </c>
    </row>
    <row r="35" spans="2:25" ht="16" thickBot="1" x14ac:dyDescent="0.25">
      <c r="B35" s="75"/>
      <c r="E35" s="78"/>
      <c r="F35" s="4"/>
      <c r="G35" s="79"/>
      <c r="H35" s="4"/>
      <c r="I35" s="4"/>
      <c r="J35" s="4"/>
      <c r="K35" s="80"/>
      <c r="M35" s="75"/>
      <c r="Q35" s="77"/>
      <c r="Y35">
        <v>59</v>
      </c>
    </row>
    <row r="36" spans="2:25" x14ac:dyDescent="0.2">
      <c r="B36" s="75"/>
      <c r="C36" t="s">
        <v>575</v>
      </c>
      <c r="E36" s="78"/>
      <c r="F36" s="4"/>
      <c r="G36" s="79"/>
      <c r="H36" s="4"/>
      <c r="I36" s="4"/>
      <c r="J36" s="4"/>
      <c r="K36" s="80"/>
      <c r="M36" s="75"/>
      <c r="Q36" s="77"/>
      <c r="W36" s="71" t="s">
        <v>530</v>
      </c>
      <c r="X36" s="71" t="s">
        <v>526</v>
      </c>
      <c r="Y36" s="71">
        <v>65</v>
      </c>
    </row>
    <row r="37" spans="2:25" x14ac:dyDescent="0.2">
      <c r="B37" s="75"/>
      <c r="E37" s="77"/>
      <c r="G37" s="75"/>
      <c r="K37" s="80"/>
      <c r="M37" s="75"/>
      <c r="Q37" s="77"/>
      <c r="Y37">
        <v>66</v>
      </c>
    </row>
    <row r="38" spans="2:25" x14ac:dyDescent="0.2">
      <c r="B38" s="75"/>
      <c r="E38" s="77"/>
      <c r="G38" s="75"/>
      <c r="K38" s="80"/>
      <c r="M38" s="75"/>
      <c r="P38" t="s">
        <v>569</v>
      </c>
      <c r="Q38" s="77" t="s">
        <v>570</v>
      </c>
      <c r="Y38">
        <v>67</v>
      </c>
    </row>
    <row r="39" spans="2:25" x14ac:dyDescent="0.2">
      <c r="B39" s="75"/>
      <c r="E39" s="77"/>
      <c r="G39" s="75"/>
      <c r="K39" s="80"/>
      <c r="M39" s="75" t="s">
        <v>550</v>
      </c>
      <c r="P39" s="4">
        <v>75</v>
      </c>
      <c r="Q39" s="78">
        <f>+(P39*3)/13</f>
        <v>17.307692307692307</v>
      </c>
      <c r="Y39">
        <v>68</v>
      </c>
    </row>
    <row r="40" spans="2:25" x14ac:dyDescent="0.2">
      <c r="B40" s="75"/>
      <c r="E40" s="77"/>
      <c r="G40" s="75"/>
      <c r="K40" s="80"/>
      <c r="M40" s="75" t="s">
        <v>551</v>
      </c>
      <c r="P40" s="4">
        <v>30</v>
      </c>
      <c r="Q40" s="78">
        <f>+(P40*3)/13</f>
        <v>6.9230769230769234</v>
      </c>
      <c r="Y40">
        <v>69</v>
      </c>
    </row>
    <row r="41" spans="2:25" x14ac:dyDescent="0.2">
      <c r="B41" s="75"/>
      <c r="E41" s="77"/>
      <c r="G41" s="75"/>
      <c r="K41" s="80"/>
      <c r="M41" s="75" t="s">
        <v>552</v>
      </c>
      <c r="P41" s="4">
        <v>425</v>
      </c>
      <c r="Q41" s="78">
        <f>+(P41*3)/13</f>
        <v>98.07692307692308</v>
      </c>
      <c r="Y41">
        <v>70</v>
      </c>
    </row>
    <row r="42" spans="2:25" x14ac:dyDescent="0.2">
      <c r="B42" s="75"/>
      <c r="E42" s="77"/>
      <c r="G42" s="75"/>
      <c r="K42" s="80"/>
      <c r="M42" s="75"/>
      <c r="P42" s="81">
        <f>SUM(P39:P41)</f>
        <v>530</v>
      </c>
      <c r="Q42" s="82">
        <f>SUM(Q39:Q41)</f>
        <v>122.30769230769231</v>
      </c>
      <c r="X42" s="72" t="s">
        <v>528</v>
      </c>
      <c r="Y42" s="72">
        <v>76</v>
      </c>
    </row>
    <row r="43" spans="2:25" x14ac:dyDescent="0.2">
      <c r="B43" s="75"/>
      <c r="E43" s="77"/>
      <c r="G43" s="75"/>
      <c r="K43" s="80"/>
      <c r="M43" s="75"/>
      <c r="Q43" s="77"/>
      <c r="Y43">
        <v>75</v>
      </c>
    </row>
    <row r="44" spans="2:25" x14ac:dyDescent="0.2">
      <c r="B44" s="75"/>
      <c r="E44" s="77"/>
      <c r="G44" s="75"/>
      <c r="K44" s="80"/>
      <c r="M44" s="75" t="s">
        <v>568</v>
      </c>
      <c r="Q44" s="78">
        <v>6890</v>
      </c>
      <c r="Y44">
        <v>74</v>
      </c>
    </row>
    <row r="45" spans="2:25" x14ac:dyDescent="0.2">
      <c r="B45" s="75" t="s">
        <v>555</v>
      </c>
      <c r="E45" s="78">
        <v>525000</v>
      </c>
      <c r="G45" s="75" t="s">
        <v>563</v>
      </c>
      <c r="K45" s="78">
        <v>150</v>
      </c>
      <c r="M45" s="75" t="s">
        <v>557</v>
      </c>
      <c r="Q45" s="83">
        <v>13</v>
      </c>
      <c r="Y45">
        <v>73</v>
      </c>
    </row>
    <row r="46" spans="2:25" x14ac:dyDescent="0.2">
      <c r="B46" s="75" t="s">
        <v>556</v>
      </c>
      <c r="E46" s="77">
        <v>65</v>
      </c>
      <c r="G46" s="75"/>
      <c r="H46" t="s">
        <v>564</v>
      </c>
      <c r="K46" s="80"/>
      <c r="M46" s="75" t="s">
        <v>562</v>
      </c>
      <c r="Q46" s="78">
        <f>+Q44/Q45</f>
        <v>530</v>
      </c>
      <c r="Y46">
        <v>72</v>
      </c>
    </row>
    <row r="47" spans="2:25" ht="16" thickBot="1" x14ac:dyDescent="0.25">
      <c r="B47" s="75" t="s">
        <v>557</v>
      </c>
      <c r="E47" s="77">
        <v>20</v>
      </c>
      <c r="G47" s="75"/>
      <c r="K47" s="80"/>
      <c r="M47" s="75"/>
      <c r="Q47" s="78"/>
      <c r="Y47">
        <v>71</v>
      </c>
    </row>
    <row r="48" spans="2:25" x14ac:dyDescent="0.2">
      <c r="B48" s="75"/>
      <c r="E48" s="77"/>
      <c r="G48" s="75"/>
      <c r="K48" s="80"/>
      <c r="M48" s="75" t="s">
        <v>568</v>
      </c>
      <c r="Q48" s="78">
        <f>+Q49*(P39+P41)</f>
        <v>12000</v>
      </c>
      <c r="W48" s="71" t="s">
        <v>531</v>
      </c>
      <c r="X48" s="71" t="s">
        <v>526</v>
      </c>
      <c r="Y48" s="71">
        <v>77</v>
      </c>
    </row>
    <row r="49" spans="1:25" x14ac:dyDescent="0.2">
      <c r="B49" s="75" t="s">
        <v>560</v>
      </c>
      <c r="E49" s="78">
        <f>+E45/E46</f>
        <v>8076.9230769230771</v>
      </c>
      <c r="G49" s="75"/>
      <c r="K49" s="80"/>
      <c r="M49" s="75" t="s">
        <v>579</v>
      </c>
      <c r="Q49" s="83">
        <v>24</v>
      </c>
      <c r="Y49">
        <v>81</v>
      </c>
    </row>
    <row r="50" spans="1:25" x14ac:dyDescent="0.2">
      <c r="B50" s="75" t="s">
        <v>558</v>
      </c>
      <c r="E50" s="78">
        <f>+E49/E47</f>
        <v>403.84615384615387</v>
      </c>
      <c r="G50" s="75"/>
      <c r="K50" s="80"/>
      <c r="M50" s="75" t="s">
        <v>582</v>
      </c>
      <c r="Q50" s="78"/>
      <c r="X50" s="72" t="s">
        <v>528</v>
      </c>
      <c r="Y50" s="72">
        <v>88</v>
      </c>
    </row>
    <row r="51" spans="1:25" x14ac:dyDescent="0.2">
      <c r="B51" s="75" t="s">
        <v>559</v>
      </c>
      <c r="E51" s="78">
        <f>+E50/4</f>
        <v>100.96153846153847</v>
      </c>
      <c r="G51" s="75"/>
      <c r="K51" s="80"/>
      <c r="M51" s="75" t="s">
        <v>580</v>
      </c>
      <c r="Q51" s="78"/>
      <c r="Y51">
        <v>87</v>
      </c>
    </row>
    <row r="52" spans="1:25" x14ac:dyDescent="0.2">
      <c r="B52" s="75"/>
      <c r="E52" s="77"/>
      <c r="G52" s="75"/>
      <c r="K52" s="80"/>
      <c r="M52" s="75"/>
      <c r="Q52" s="78"/>
      <c r="Y52">
        <v>86</v>
      </c>
    </row>
    <row r="53" spans="1:25" x14ac:dyDescent="0.2">
      <c r="B53" s="75" t="s">
        <v>561</v>
      </c>
      <c r="E53" s="77"/>
      <c r="G53" s="75"/>
      <c r="K53" s="80"/>
      <c r="M53" s="75"/>
      <c r="Q53" s="78"/>
      <c r="Y53">
        <v>84</v>
      </c>
    </row>
    <row r="54" spans="1:25" x14ac:dyDescent="0.2">
      <c r="B54" s="75" t="s">
        <v>562</v>
      </c>
      <c r="E54" s="78">
        <v>20.51</v>
      </c>
      <c r="G54" s="75"/>
      <c r="K54" s="80"/>
      <c r="M54" s="75"/>
      <c r="Q54" s="78"/>
      <c r="Y54">
        <v>83</v>
      </c>
    </row>
    <row r="55" spans="1:25" x14ac:dyDescent="0.2">
      <c r="B55" s="75" t="s">
        <v>565</v>
      </c>
      <c r="E55" s="78">
        <f>+E54*3/13</f>
        <v>4.733076923076923</v>
      </c>
      <c r="G55" s="75"/>
      <c r="K55" s="80"/>
      <c r="M55" s="75"/>
      <c r="Q55" s="78"/>
    </row>
    <row r="56" spans="1:25" x14ac:dyDescent="0.2">
      <c r="B56" s="75"/>
      <c r="E56" s="77"/>
      <c r="G56" s="75"/>
      <c r="K56" s="80"/>
      <c r="M56" s="75" t="s">
        <v>566</v>
      </c>
      <c r="Q56" s="78">
        <f>+Q39+Q41</f>
        <v>115.38461538461539</v>
      </c>
    </row>
    <row r="57" spans="1:25" x14ac:dyDescent="0.2">
      <c r="B57" s="75" t="s">
        <v>566</v>
      </c>
      <c r="E57" s="78">
        <f>+E51+E55</f>
        <v>105.69461538461539</v>
      </c>
      <c r="G57" s="75" t="s">
        <v>566</v>
      </c>
      <c r="K57" s="78">
        <v>150</v>
      </c>
    </row>
    <row r="61" spans="1:25" x14ac:dyDescent="0.2">
      <c r="A61" s="74"/>
      <c r="B61" s="74"/>
      <c r="C61" s="74"/>
      <c r="D61" s="74"/>
      <c r="E61" s="74"/>
      <c r="F61" s="74"/>
    </row>
    <row r="62" spans="1:25" x14ac:dyDescent="0.2">
      <c r="A62" s="74"/>
      <c r="B62" s="74" t="s">
        <v>576</v>
      </c>
      <c r="C62" s="74"/>
      <c r="D62" s="74"/>
      <c r="E62" s="74"/>
      <c r="F62" s="74"/>
    </row>
    <row r="63" spans="1:25" x14ac:dyDescent="0.2">
      <c r="A63" s="74"/>
      <c r="B63" s="74"/>
      <c r="C63" s="74"/>
      <c r="D63" s="74"/>
      <c r="E63" s="74"/>
      <c r="F63" s="74"/>
      <c r="I63" t="s">
        <v>575</v>
      </c>
    </row>
    <row r="64" spans="1:25" x14ac:dyDescent="0.2">
      <c r="A64" s="74"/>
      <c r="B64" s="85" t="s">
        <v>571</v>
      </c>
      <c r="C64" s="74"/>
      <c r="D64" s="74"/>
      <c r="E64" s="86">
        <v>525000</v>
      </c>
      <c r="F64" s="74"/>
    </row>
    <row r="65" spans="1:6" x14ac:dyDescent="0.2">
      <c r="A65" s="74"/>
      <c r="B65" s="85" t="s">
        <v>572</v>
      </c>
      <c r="C65" s="74"/>
      <c r="D65" s="74"/>
      <c r="E65" s="86">
        <v>44</v>
      </c>
      <c r="F65" s="74"/>
    </row>
    <row r="66" spans="1:6" x14ac:dyDescent="0.2">
      <c r="A66" s="74"/>
      <c r="B66" s="85"/>
      <c r="C66" s="74"/>
      <c r="D66" s="74"/>
      <c r="E66" s="86"/>
      <c r="F66" s="74"/>
    </row>
    <row r="67" spans="1:6" x14ac:dyDescent="0.2">
      <c r="A67" s="74"/>
      <c r="B67" s="85" t="s">
        <v>560</v>
      </c>
      <c r="C67" s="74"/>
      <c r="D67" s="74"/>
      <c r="E67" s="87">
        <f>+E64/E65</f>
        <v>11931.818181818182</v>
      </c>
      <c r="F67" s="74"/>
    </row>
    <row r="68" spans="1:6" x14ac:dyDescent="0.2">
      <c r="A68" s="74"/>
      <c r="B68" s="85" t="s">
        <v>558</v>
      </c>
      <c r="C68" s="74"/>
      <c r="D68" s="74"/>
      <c r="E68" s="87">
        <f>+E67/E47</f>
        <v>596.59090909090912</v>
      </c>
      <c r="F68" s="74"/>
    </row>
    <row r="69" spans="1:6" x14ac:dyDescent="0.2">
      <c r="A69" s="74"/>
      <c r="B69" s="85" t="s">
        <v>559</v>
      </c>
      <c r="C69" s="74"/>
      <c r="D69" s="74"/>
      <c r="E69" s="87">
        <f>+E68/4</f>
        <v>149.14772727272728</v>
      </c>
      <c r="F69" s="74"/>
    </row>
    <row r="70" spans="1:6" x14ac:dyDescent="0.2">
      <c r="A70" s="74"/>
      <c r="B70" s="74"/>
      <c r="C70" s="74"/>
      <c r="D70" s="74"/>
      <c r="E70" s="74"/>
      <c r="F70" s="74"/>
    </row>
  </sheetData>
  <pageMargins left="0.7" right="0.7" top="0.75" bottom="0.75" header="0.3" footer="0.3"/>
  <pageSetup paperSize="8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81EF9-92E3-4DCA-B313-774A155A4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3E6F21-A6E4-404D-8247-9031999A0A13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74900422-0e64-4e68-b13d-5a6c0889e96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ab1f237c-1b3b-4cc1-ad84-8bb1cc950c07"/>
    <ds:schemaRef ds:uri="cd1a0b34-7396-4131-ae27-ed7b12d16f43"/>
    <ds:schemaRef ds:uri="7ffa2fad-f732-4a38-9c4b-50be636d4d5f"/>
  </ds:schemaRefs>
</ds:datastoreItem>
</file>

<file path=customXml/itemProps3.xml><?xml version="1.0" encoding="utf-8"?>
<ds:datastoreItem xmlns:ds="http://schemas.openxmlformats.org/officeDocument/2006/customXml" ds:itemID="{16F42EF8-0EB0-413C-B4BF-8FD1B2E8C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Huizenlijst</vt:lpstr>
      <vt:lpstr>ICY</vt:lpstr>
      <vt:lpstr>Energie</vt:lpstr>
      <vt:lpstr>Energie leverancier</vt:lpstr>
      <vt:lpstr>Koperwerf meterstanden</vt:lpstr>
      <vt:lpstr>DT Kostprijs bij bezetting</vt:lpstr>
      <vt:lpstr>DT Verkorte lijst</vt:lpstr>
      <vt:lpstr>Container info</vt:lpstr>
      <vt:lpstr>Informatie huizen</vt:lpstr>
      <vt:lpstr>Ketel onderhoud</vt:lpstr>
      <vt:lpstr>Energiemeters</vt:lpstr>
      <vt:lpstr>Internet</vt:lpstr>
      <vt:lpstr>OUD Koperwerf </vt:lpstr>
      <vt:lpstr>Huizenlijst!Print_Area</vt:lpstr>
      <vt:lpstr>Huizenlijst!Print_Titles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 Cebulla</dc:creator>
  <cp:lastModifiedBy>Aljereau Marten</cp:lastModifiedBy>
  <cp:lastPrinted>2025-06-19T07:24:40Z</cp:lastPrinted>
  <dcterms:created xsi:type="dcterms:W3CDTF">2017-12-21T06:57:38Z</dcterms:created>
  <dcterms:modified xsi:type="dcterms:W3CDTF">2026-01-14T11:42:54Z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