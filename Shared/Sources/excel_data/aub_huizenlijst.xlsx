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93" documentId="8_{BBAF9F8C-8115-D145-B462-64EF9272AD98}" xr6:coauthVersionLast="47" xr6:coauthVersionMax="47" xr10:uidLastSave="{0D31F1A0-06A4-FE4D-A6EF-8E302DEC262C}"/>
  <bookViews>
    <workbookView xWindow="-2220" yWindow="-21100" windowWidth="38400" windowHeight="21100" xr2:uid="{0AA87CA2-DCAE-3845-8A9A-48F9A34B6118}"/>
  </bookViews>
  <sheets>
    <sheet name="Sheet1" sheetId="1" r:id="rId1"/>
    <sheet name="info" sheetId="2" r:id="rId2"/>
    <sheet name="none" sheetId="7" r:id="rId3"/>
    <sheet name="Tradiro huur" sheetId="3" r:id="rId4"/>
    <sheet name="Tradiro Gwe" sheetId="4" r:id="rId5"/>
    <sheet name="Tradiro VVE" sheetId="5" r:id="rId6"/>
    <sheet name="Tradiro interne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7" i="7" l="1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3" i="2" a="1"/>
  <c r="C3" i="2" s="1"/>
  <c r="D3" i="2" a="1"/>
  <c r="D3" i="2" s="1"/>
  <c r="E3" i="2" a="1"/>
  <c r="E3" i="2" s="1"/>
  <c r="F3" i="2" a="1"/>
  <c r="F3" i="2" s="1"/>
  <c r="G3" i="2" a="1"/>
  <c r="G3" i="2" s="1"/>
  <c r="H3" i="2" a="1"/>
  <c r="H3" i="2" s="1"/>
  <c r="I3" i="2" a="1"/>
  <c r="I3" i="2" s="1"/>
  <c r="J3" i="2" a="1"/>
  <c r="J3" i="2" s="1"/>
  <c r="C4" i="2" a="1"/>
  <c r="C4" i="2" s="1"/>
  <c r="D4" i="2" a="1"/>
  <c r="D4" i="2" s="1"/>
  <c r="E4" i="2" a="1"/>
  <c r="E4" i="2" s="1"/>
  <c r="F4" i="2" a="1"/>
  <c r="F4" i="2" s="1"/>
  <c r="G4" i="2" a="1"/>
  <c r="G4" i="2" s="1"/>
  <c r="H4" i="2" a="1"/>
  <c r="H4" i="2" s="1"/>
  <c r="I4" i="2" a="1"/>
  <c r="I4" i="2" s="1"/>
  <c r="J4" i="2" a="1"/>
  <c r="J4" i="2" s="1"/>
  <c r="C5" i="2" a="1"/>
  <c r="C5" i="2" s="1"/>
  <c r="D5" i="2" a="1"/>
  <c r="D5" i="2" s="1"/>
  <c r="E5" i="2" a="1"/>
  <c r="E5" i="2" s="1"/>
  <c r="F5" i="2" a="1"/>
  <c r="F5" i="2" s="1"/>
  <c r="G5" i="2" a="1"/>
  <c r="G5" i="2" s="1"/>
  <c r="H5" i="2" a="1"/>
  <c r="H5" i="2" s="1"/>
  <c r="I5" i="2" a="1"/>
  <c r="I5" i="2" s="1"/>
  <c r="J5" i="2" a="1"/>
  <c r="J5" i="2" s="1"/>
  <c r="C6" i="2" a="1"/>
  <c r="C6" i="2" s="1"/>
  <c r="D6" i="2" a="1"/>
  <c r="D6" i="2" s="1"/>
  <c r="E6" i="2" a="1"/>
  <c r="E6" i="2" s="1"/>
  <c r="F6" i="2" a="1"/>
  <c r="F6" i="2" s="1"/>
  <c r="G6" i="2" a="1"/>
  <c r="G6" i="2" s="1"/>
  <c r="H6" i="2" a="1"/>
  <c r="H6" i="2" s="1"/>
  <c r="I6" i="2" a="1"/>
  <c r="I6" i="2" s="1"/>
  <c r="J6" i="2" a="1"/>
  <c r="J6" i="2" s="1"/>
  <c r="C7" i="2" a="1"/>
  <c r="C7" i="2" s="1"/>
  <c r="D7" i="2" a="1"/>
  <c r="D7" i="2" s="1"/>
  <c r="E7" i="2" a="1"/>
  <c r="E7" i="2" s="1"/>
  <c r="F7" i="2" a="1"/>
  <c r="F7" i="2" s="1"/>
  <c r="G7" i="2" a="1"/>
  <c r="G7" i="2" s="1"/>
  <c r="H7" i="2" a="1"/>
  <c r="H7" i="2" s="1"/>
  <c r="I7" i="2" a="1"/>
  <c r="I7" i="2" s="1"/>
  <c r="J7" i="2" a="1"/>
  <c r="J7" i="2" s="1"/>
  <c r="C8" i="2" a="1"/>
  <c r="C8" i="2" s="1"/>
  <c r="D8" i="2" a="1"/>
  <c r="D8" i="2" s="1"/>
  <c r="E8" i="2" a="1"/>
  <c r="E8" i="2" s="1"/>
  <c r="F8" i="2" a="1"/>
  <c r="F8" i="2" s="1"/>
  <c r="G8" i="2" a="1"/>
  <c r="G8" i="2" s="1"/>
  <c r="H8" i="2" a="1"/>
  <c r="H8" i="2" s="1"/>
  <c r="I8" i="2" a="1"/>
  <c r="I8" i="2" s="1"/>
  <c r="J8" i="2" a="1"/>
  <c r="J8" i="2" s="1"/>
  <c r="C9" i="2" a="1"/>
  <c r="C9" i="2" s="1"/>
  <c r="D9" i="2" a="1"/>
  <c r="D9" i="2" s="1"/>
  <c r="E9" i="2" a="1"/>
  <c r="E9" i="2" s="1"/>
  <c r="F9" i="2" a="1"/>
  <c r="F9" i="2" s="1"/>
  <c r="G9" i="2" a="1"/>
  <c r="G9" i="2" s="1"/>
  <c r="H9" i="2" a="1"/>
  <c r="H9" i="2" s="1"/>
  <c r="I9" i="2" a="1"/>
  <c r="I9" i="2" s="1"/>
  <c r="J9" i="2" a="1"/>
  <c r="J9" i="2" s="1"/>
  <c r="C10" i="2" a="1"/>
  <c r="C10" i="2" s="1"/>
  <c r="D10" i="2" a="1"/>
  <c r="D10" i="2" s="1"/>
  <c r="E10" i="2" a="1"/>
  <c r="E10" i="2" s="1"/>
  <c r="F10" i="2" a="1"/>
  <c r="F10" i="2" s="1"/>
  <c r="G10" i="2" a="1"/>
  <c r="G10" i="2" s="1"/>
  <c r="H10" i="2" a="1"/>
  <c r="H10" i="2" s="1"/>
  <c r="I10" i="2" a="1"/>
  <c r="I10" i="2" s="1"/>
  <c r="J10" i="2" a="1"/>
  <c r="J10" i="2" s="1"/>
  <c r="C11" i="2" a="1"/>
  <c r="C11" i="2" s="1"/>
  <c r="D11" i="2" a="1"/>
  <c r="D11" i="2" s="1"/>
  <c r="E11" i="2" a="1"/>
  <c r="E11" i="2" s="1"/>
  <c r="F11" i="2" a="1"/>
  <c r="F11" i="2" s="1"/>
  <c r="G11" i="2" a="1"/>
  <c r="G11" i="2" s="1"/>
  <c r="H11" i="2" a="1"/>
  <c r="H11" i="2" s="1"/>
  <c r="I11" i="2" a="1"/>
  <c r="I11" i="2" s="1"/>
  <c r="J11" i="2" a="1"/>
  <c r="J11" i="2" s="1"/>
  <c r="C12" i="2" a="1"/>
  <c r="C12" i="2" s="1"/>
  <c r="D12" i="2" a="1"/>
  <c r="D12" i="2" s="1"/>
  <c r="E12" i="2" a="1"/>
  <c r="E12" i="2" s="1"/>
  <c r="F12" i="2" a="1"/>
  <c r="F12" i="2" s="1"/>
  <c r="G12" i="2" a="1"/>
  <c r="G12" i="2" s="1"/>
  <c r="H12" i="2" a="1"/>
  <c r="H12" i="2" s="1"/>
  <c r="I12" i="2" a="1"/>
  <c r="I12" i="2" s="1"/>
  <c r="J12" i="2" a="1"/>
  <c r="J12" i="2" s="1"/>
  <c r="C13" i="2" a="1"/>
  <c r="C13" i="2" s="1"/>
  <c r="D13" i="2" a="1"/>
  <c r="D13" i="2" s="1"/>
  <c r="E13" i="2" a="1"/>
  <c r="E13" i="2" s="1"/>
  <c r="F13" i="2" a="1"/>
  <c r="F13" i="2" s="1"/>
  <c r="G13" i="2" a="1"/>
  <c r="G13" i="2" s="1"/>
  <c r="H13" i="2" a="1"/>
  <c r="H13" i="2" s="1"/>
  <c r="I13" i="2" a="1"/>
  <c r="I13" i="2" s="1"/>
  <c r="J13" i="2" a="1"/>
  <c r="J13" i="2" s="1"/>
  <c r="C14" i="2" a="1"/>
  <c r="C14" i="2" s="1"/>
  <c r="D14" i="2" a="1"/>
  <c r="D14" i="2" s="1"/>
  <c r="E14" i="2" a="1"/>
  <c r="E14" i="2" s="1"/>
  <c r="F14" i="2" a="1"/>
  <c r="F14" i="2" s="1"/>
  <c r="G14" i="2" a="1"/>
  <c r="G14" i="2" s="1"/>
  <c r="H14" i="2" a="1"/>
  <c r="H14" i="2" s="1"/>
  <c r="I14" i="2" a="1"/>
  <c r="I14" i="2" s="1"/>
  <c r="J14" i="2" a="1"/>
  <c r="J14" i="2" s="1"/>
  <c r="C15" i="2" a="1"/>
  <c r="C15" i="2" s="1"/>
  <c r="D15" i="2" a="1"/>
  <c r="D15" i="2" s="1"/>
  <c r="E15" i="2" a="1"/>
  <c r="E15" i="2" s="1"/>
  <c r="F15" i="2" a="1"/>
  <c r="F15" i="2" s="1"/>
  <c r="G15" i="2" a="1"/>
  <c r="G15" i="2" s="1"/>
  <c r="H15" i="2" a="1"/>
  <c r="H15" i="2" s="1"/>
  <c r="I15" i="2" a="1"/>
  <c r="I15" i="2" s="1"/>
  <c r="J15" i="2" a="1"/>
  <c r="J15" i="2" s="1"/>
  <c r="C16" i="2" a="1"/>
  <c r="C16" i="2" s="1"/>
  <c r="D16" i="2" a="1"/>
  <c r="D16" i="2" s="1"/>
  <c r="E16" i="2" a="1"/>
  <c r="E16" i="2" s="1"/>
  <c r="F16" i="2" a="1"/>
  <c r="F16" i="2" s="1"/>
  <c r="G16" i="2" a="1"/>
  <c r="G16" i="2" s="1"/>
  <c r="H16" i="2" a="1"/>
  <c r="H16" i="2" s="1"/>
  <c r="I16" i="2" a="1"/>
  <c r="I16" i="2" s="1"/>
  <c r="J16" i="2" a="1"/>
  <c r="J16" i="2" s="1"/>
  <c r="C17" i="2" a="1"/>
  <c r="C17" i="2" s="1"/>
  <c r="D17" i="2" a="1"/>
  <c r="D17" i="2" s="1"/>
  <c r="E17" i="2" a="1"/>
  <c r="E17" i="2" s="1"/>
  <c r="F17" i="2" a="1"/>
  <c r="F17" i="2" s="1"/>
  <c r="G17" i="2" a="1"/>
  <c r="G17" i="2" s="1"/>
  <c r="H17" i="2" a="1"/>
  <c r="H17" i="2" s="1"/>
  <c r="I17" i="2" a="1"/>
  <c r="I17" i="2" s="1"/>
  <c r="J17" i="2" a="1"/>
  <c r="J17" i="2" s="1"/>
  <c r="C18" i="2" a="1"/>
  <c r="C18" i="2" s="1"/>
  <c r="D18" i="2" a="1"/>
  <c r="D18" i="2" s="1"/>
  <c r="E18" i="2" a="1"/>
  <c r="E18" i="2" s="1"/>
  <c r="F18" i="2" a="1"/>
  <c r="F18" i="2" s="1"/>
  <c r="G18" i="2" a="1"/>
  <c r="G18" i="2" s="1"/>
  <c r="H18" i="2" a="1"/>
  <c r="H18" i="2" s="1"/>
  <c r="I18" i="2" a="1"/>
  <c r="I18" i="2" s="1"/>
  <c r="J18" i="2" a="1"/>
  <c r="J18" i="2" s="1"/>
  <c r="C19" i="2" a="1"/>
  <c r="C19" i="2" s="1"/>
  <c r="D19" i="2" a="1"/>
  <c r="D19" i="2" s="1"/>
  <c r="E19" i="2" a="1"/>
  <c r="E19" i="2" s="1"/>
  <c r="F19" i="2" a="1"/>
  <c r="F19" i="2" s="1"/>
  <c r="G19" i="2" a="1"/>
  <c r="G19" i="2" s="1"/>
  <c r="H19" i="2" a="1"/>
  <c r="H19" i="2" s="1"/>
  <c r="I19" i="2" a="1"/>
  <c r="I19" i="2" s="1"/>
  <c r="J19" i="2" a="1"/>
  <c r="J19" i="2" s="1"/>
  <c r="C20" i="2" a="1"/>
  <c r="C20" i="2" s="1"/>
  <c r="D20" i="2" a="1"/>
  <c r="D20" i="2" s="1"/>
  <c r="E20" i="2" a="1"/>
  <c r="E20" i="2" s="1"/>
  <c r="F20" i="2" a="1"/>
  <c r="F20" i="2" s="1"/>
  <c r="G20" i="2" a="1"/>
  <c r="G20" i="2" s="1"/>
  <c r="H20" i="2" a="1"/>
  <c r="H20" i="2" s="1"/>
  <c r="I20" i="2" a="1"/>
  <c r="I20" i="2" s="1"/>
  <c r="J20" i="2" a="1"/>
  <c r="J20" i="2" s="1"/>
  <c r="C21" i="2" a="1"/>
  <c r="C21" i="2" s="1"/>
  <c r="D21" i="2" a="1"/>
  <c r="D21" i="2" s="1"/>
  <c r="E21" i="2" a="1"/>
  <c r="E21" i="2" s="1"/>
  <c r="F21" i="2" a="1"/>
  <c r="F21" i="2" s="1"/>
  <c r="G21" i="2" a="1"/>
  <c r="G21" i="2" s="1"/>
  <c r="H21" i="2" a="1"/>
  <c r="H21" i="2" s="1"/>
  <c r="I21" i="2" a="1"/>
  <c r="I21" i="2" s="1"/>
  <c r="J21" i="2" a="1"/>
  <c r="J21" i="2" s="1"/>
  <c r="C22" i="2" a="1"/>
  <c r="C22" i="2" s="1"/>
  <c r="D22" i="2" a="1"/>
  <c r="D22" i="2" s="1"/>
  <c r="E22" i="2" a="1"/>
  <c r="E22" i="2" s="1"/>
  <c r="F22" i="2" a="1"/>
  <c r="F22" i="2" s="1"/>
  <c r="G22" i="2" a="1"/>
  <c r="G22" i="2" s="1"/>
  <c r="H22" i="2" a="1"/>
  <c r="H22" i="2" s="1"/>
  <c r="I22" i="2" a="1"/>
  <c r="I22" i="2" s="1"/>
  <c r="J22" i="2" a="1"/>
  <c r="J22" i="2" s="1"/>
  <c r="C23" i="2" a="1"/>
  <c r="C23" i="2" s="1"/>
  <c r="D23" i="2" a="1"/>
  <c r="D23" i="2" s="1"/>
  <c r="E23" i="2" a="1"/>
  <c r="E23" i="2" s="1"/>
  <c r="F23" i="2" a="1"/>
  <c r="F23" i="2" s="1"/>
  <c r="G23" i="2" a="1"/>
  <c r="G23" i="2" s="1"/>
  <c r="H23" i="2" a="1"/>
  <c r="H23" i="2" s="1"/>
  <c r="I23" i="2" a="1"/>
  <c r="I23" i="2" s="1"/>
  <c r="J23" i="2" a="1"/>
  <c r="J23" i="2" s="1"/>
  <c r="D2" i="2" a="1"/>
  <c r="D2" i="2" s="1"/>
  <c r="E2" i="2" a="1"/>
  <c r="E2" i="2" s="1"/>
  <c r="F2" i="2" a="1"/>
  <c r="F2" i="2" s="1"/>
  <c r="G2" i="2" a="1"/>
  <c r="G2" i="2" s="1"/>
  <c r="H2" i="2" a="1"/>
  <c r="H2" i="2" s="1"/>
  <c r="I2" i="2" a="1"/>
  <c r="I2" i="2" s="1"/>
  <c r="J2" i="2" a="1"/>
  <c r="J2" i="2" s="1"/>
  <c r="C2" i="2" a="1"/>
  <c r="C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" i="2" a="1"/>
  <c r="B2" i="2" s="1"/>
  <c r="AG21" i="1"/>
  <c r="AE21" i="1"/>
  <c r="AI20" i="1"/>
  <c r="AI15" i="1"/>
  <c r="AG15" i="1"/>
  <c r="AE15" i="1"/>
  <c r="AI14" i="1"/>
  <c r="AI13" i="1"/>
  <c r="AI12" i="1"/>
  <c r="AE12" i="1"/>
  <c r="AI11" i="1"/>
  <c r="AE9" i="1"/>
  <c r="AE7" i="1"/>
  <c r="AE6" i="1"/>
  <c r="AE5" i="1"/>
  <c r="AI4" i="1"/>
  <c r="AE4" i="1"/>
  <c r="AE3" i="1"/>
  <c r="A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Jeroen Scholtes | AUB van Bergen</author>
  </authors>
  <commentList>
    <comment ref="D15" authorId="0" shapeId="0" xr:uid="{4DA7C670-2EFF-C64C-9130-F8A6666F7830}">
      <text>
        <r>
          <rPr>
            <b/>
            <sz val="9"/>
            <color rgb="FF000000"/>
            <rFont val="Tahoma"/>
            <family val="2"/>
          </rPr>
          <t>Jeroen Scholtes | AUB van Bergen: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1400 Jan Vink
</t>
        </r>
        <r>
          <rPr>
            <sz val="9"/>
            <color rgb="FF000000"/>
            <rFont val="Tahoma"/>
            <family val="2"/>
          </rPr>
          <t xml:space="preserve">620 Denise Vink
</t>
        </r>
      </text>
    </comment>
    <comment ref="M15" authorId="0" shapeId="0" xr:uid="{7860C7E4-9E42-0D42-A518-570B7F716354}">
      <text>
        <r>
          <rPr>
            <b/>
            <sz val="9"/>
            <color indexed="81"/>
            <rFont val="Tahoma"/>
            <family val="2"/>
          </rPr>
          <t>Jeroen Scholtes | AUB van Bergen:</t>
        </r>
        <r>
          <rPr>
            <sz val="9"/>
            <color indexed="81"/>
            <rFont val="Tahoma"/>
            <family val="2"/>
          </rPr>
          <t xml:space="preserve">
€ 1400 naar 5094
€ 620 naar 5095</t>
        </r>
      </text>
    </comment>
    <comment ref="D21" authorId="0" shapeId="0" xr:uid="{3A0B66F6-C424-344C-BE6A-9753019E9F02}">
      <text>
        <r>
          <rPr>
            <b/>
            <sz val="9"/>
            <color rgb="FF000000"/>
            <rFont val="Tahoma"/>
            <family val="2"/>
          </rPr>
          <t>Jeroen Scholtes | AUB van Bergen: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Vanaf 1/1-24 4% verhoging van € 1,500,- naar € 1.560,-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<sst xmlns="http://schemas.openxmlformats.org/spreadsheetml/2006/main" count="1261" uniqueCount="491">
  <si>
    <t>object_id</t>
  </si>
  <si>
    <t xml:space="preserve">Huis </t>
  </si>
  <si>
    <t>Postcode</t>
  </si>
  <si>
    <t xml:space="preserve">Huur p/m </t>
  </si>
  <si>
    <t>Ontv. Huur p/w incl</t>
  </si>
  <si>
    <t>Eigenaar</t>
  </si>
  <si>
    <t>Contactpersoon</t>
  </si>
  <si>
    <t>Adres</t>
  </si>
  <si>
    <t>Woonplaats</t>
  </si>
  <si>
    <t>Telefoon</t>
  </si>
  <si>
    <t xml:space="preserve">Mail </t>
  </si>
  <si>
    <t>Rekeningnr</t>
  </si>
  <si>
    <t xml:space="preserve">Bedden </t>
  </si>
  <si>
    <t>Kamers</t>
  </si>
  <si>
    <t xml:space="preserve">Tekening </t>
  </si>
  <si>
    <t xml:space="preserve">Lijst meters </t>
  </si>
  <si>
    <t>Energie Gas</t>
  </si>
  <si>
    <t>Leverancier Gas</t>
  </si>
  <si>
    <t>Tarief Gas</t>
  </si>
  <si>
    <t>Energie Electra</t>
  </si>
  <si>
    <t>Leverancier Electra</t>
  </si>
  <si>
    <t>Tarief E Enkel</t>
  </si>
  <si>
    <t>Tarief E Hoog</t>
  </si>
  <si>
    <t>Tarief E Laag</t>
  </si>
  <si>
    <t>Energie Water</t>
  </si>
  <si>
    <t>Leverancier Water</t>
  </si>
  <si>
    <t>Contractduur</t>
  </si>
  <si>
    <t>Begindatum contract</t>
  </si>
  <si>
    <t>Einddatum contract</t>
  </si>
  <si>
    <t>voorschot glw</t>
  </si>
  <si>
    <t>G/L/W verbruik</t>
  </si>
  <si>
    <t>Belastingen p/m</t>
  </si>
  <si>
    <t>Container</t>
  </si>
  <si>
    <t>Tarief container</t>
  </si>
  <si>
    <t>container info</t>
  </si>
  <si>
    <t>Internet</t>
  </si>
  <si>
    <t>Tarief internet</t>
  </si>
  <si>
    <t>contract</t>
  </si>
  <si>
    <t xml:space="preserve">borg </t>
  </si>
  <si>
    <t>Begin huur</t>
  </si>
  <si>
    <t>Eind Huur</t>
  </si>
  <si>
    <t>Opzegtermijn</t>
  </si>
  <si>
    <t>opmerking</t>
  </si>
  <si>
    <t>Bovendijk, 59 , Kwintsheul</t>
  </si>
  <si>
    <t>2295 RW</t>
  </si>
  <si>
    <t>M. Nottet</t>
  </si>
  <si>
    <t>Kapittelland 16</t>
  </si>
  <si>
    <t>3151 ZB</t>
  </si>
  <si>
    <t>Hoek van Holland</t>
  </si>
  <si>
    <t>06-50502637</t>
  </si>
  <si>
    <t>mnottet@caiway.nl</t>
  </si>
  <si>
    <t>NL60RABO0323282903</t>
  </si>
  <si>
    <t>ja</t>
  </si>
  <si>
    <t>ComCam</t>
  </si>
  <si>
    <t>Engie</t>
  </si>
  <si>
    <t>Exclusief</t>
  </si>
  <si>
    <t>Evides</t>
  </si>
  <si>
    <t xml:space="preserve">MSN </t>
  </si>
  <si>
    <t>1x 500 ltr / 1x pw / vrijdag</t>
  </si>
  <si>
    <t>BICT</t>
  </si>
  <si>
    <t>nb</t>
  </si>
  <si>
    <t>2 maanden</t>
  </si>
  <si>
    <t>Bovendijk,61,  Kwintsheul</t>
  </si>
  <si>
    <t>Burgemeester Cramerlaan, 82, De Lier</t>
  </si>
  <si>
    <t>2678 AN</t>
  </si>
  <si>
    <t>P. van den Berg</t>
  </si>
  <si>
    <t>Piet van den Berg</t>
  </si>
  <si>
    <t>Burgemeester Cramerlaan 17</t>
  </si>
  <si>
    <t>2678 AL</t>
  </si>
  <si>
    <t>De Lier</t>
  </si>
  <si>
    <t>06-38765032</t>
  </si>
  <si>
    <t>info@vandenbergdelier.nl</t>
  </si>
  <si>
    <t>NL29ABNA0472271989</t>
  </si>
  <si>
    <t>Renewi / Gemeente</t>
  </si>
  <si>
    <t>1x 660 ltr 1x pw di  // Grijs (OW) groen ( EW) donderdag</t>
  </si>
  <si>
    <t>3 maanden</t>
  </si>
  <si>
    <t>stroom via tuin eigenaar</t>
  </si>
  <si>
    <t>Burgemeester Crezeelaan, 76,  De Lier</t>
  </si>
  <si>
    <t>2678 KZ</t>
  </si>
  <si>
    <t>K. Zuidgeest</t>
  </si>
  <si>
    <t>Oudecampsweg 7</t>
  </si>
  <si>
    <t>2678 NN</t>
  </si>
  <si>
    <t>06-26146636</t>
  </si>
  <si>
    <t xml:space="preserve">KoosZuidgeest@zuidkoop.nl / k.zuidgeest@hetnet.nl </t>
  </si>
  <si>
    <t>NL05RABO0336208367</t>
  </si>
  <si>
    <t xml:space="preserve">ja </t>
  </si>
  <si>
    <t>1x 1100 ltr / 1x pw / woensdag</t>
  </si>
  <si>
    <t>Fenacoliuslaan, 56b, Maassluis</t>
  </si>
  <si>
    <t>3143AB</t>
  </si>
  <si>
    <t>P.H. Jagt</t>
  </si>
  <si>
    <t>Peter Jagt</t>
  </si>
  <si>
    <t>Haakweg 33</t>
  </si>
  <si>
    <t>3151 XD</t>
  </si>
  <si>
    <t>06-51609632</t>
  </si>
  <si>
    <t>peter@westhoekmakelaars.nl</t>
  </si>
  <si>
    <t>NL60KNAB0257738010</t>
  </si>
  <si>
    <t>Gemeente</t>
  </si>
  <si>
    <t>ondergrondse containers</t>
  </si>
  <si>
    <t>6maanden</t>
  </si>
  <si>
    <t>15 april  ipv 5 maart aangevangen</t>
  </si>
  <si>
    <t>Haagkamp, 11,  Honselersdijk</t>
  </si>
  <si>
    <t>2675 SK</t>
  </si>
  <si>
    <t>v.o.f. J.C. Mulder</t>
  </si>
  <si>
    <t>Jan Mulder</t>
  </si>
  <si>
    <t>Nieuwe Tuinen 7B</t>
  </si>
  <si>
    <t>2675 SE</t>
  </si>
  <si>
    <t>Honselersdijk</t>
  </si>
  <si>
    <t>06-53690859</t>
  </si>
  <si>
    <t>janmul54@gmail.com</t>
  </si>
  <si>
    <t>NL08RABO0343659077</t>
  </si>
  <si>
    <t>Inclusief met VS</t>
  </si>
  <si>
    <t>Inclusief</t>
  </si>
  <si>
    <t>Gemeente &amp; Renewi</t>
  </si>
  <si>
    <t>Grijs (OW), Groen (EW) / Dinsdag (1x pw), Blauw laatste maandag vd maand / 1x 660 ltr 1x pw dinsdag</t>
  </si>
  <si>
    <t>incl</t>
  </si>
  <si>
    <t>Karel Doormanlaan, 21a,  De Lier</t>
  </si>
  <si>
    <t xml:space="preserve">2678 EX </t>
  </si>
  <si>
    <t>De Rembrandt B.V.</t>
  </si>
  <si>
    <t>Flip van Adrichem</t>
  </si>
  <si>
    <t>Langestraat 48</t>
  </si>
  <si>
    <t>2691 BH</t>
  </si>
  <si>
    <t>s-Gravenzande</t>
  </si>
  <si>
    <t>06-41372342</t>
  </si>
  <si>
    <t>flip@eetcafedewitte.nl</t>
  </si>
  <si>
    <t>NL21RABO0156104105</t>
  </si>
  <si>
    <t>nee</t>
  </si>
  <si>
    <t>1 X 660 ltr/ 1x pw / woensdag</t>
  </si>
  <si>
    <t xml:space="preserve">incl </t>
  </si>
  <si>
    <t>OT</t>
  </si>
  <si>
    <t>1 maand</t>
  </si>
  <si>
    <t>Koperwerf, 28, Den Haag (kamers)</t>
  </si>
  <si>
    <t>2544 EN</t>
  </si>
  <si>
    <t>Lammertink Projecten B.V.</t>
  </si>
  <si>
    <t>Hans Lammertink</t>
  </si>
  <si>
    <t>Schietlood 2</t>
  </si>
  <si>
    <t>2495 AN</t>
  </si>
  <si>
    <t>Den Haag</t>
  </si>
  <si>
    <t xml:space="preserve">085-2739900 </t>
  </si>
  <si>
    <t>Dennis Baak 06-24313837 (schoonzoon) / dbaak@l-groep.nl</t>
  </si>
  <si>
    <t>NL83INGB0677182783</t>
  </si>
  <si>
    <t>dunea</t>
  </si>
  <si>
    <t>Omega</t>
  </si>
  <si>
    <t>Omega 4x 1000ltr 2x p/w</t>
  </si>
  <si>
    <t>Dennis Baak 06-24313837 (schoonzoon)</t>
  </si>
  <si>
    <t>Koperwerf, 28, Den Haag (trefpunt)</t>
  </si>
  <si>
    <t>gedurende jaar</t>
  </si>
  <si>
    <t>incl.</t>
  </si>
  <si>
    <t>Lange Broekweg, 46,  Naaldwijk</t>
  </si>
  <si>
    <t>2671 DV</t>
  </si>
  <si>
    <t>G. Hofland</t>
  </si>
  <si>
    <t>Goos Hofland</t>
  </si>
  <si>
    <t>Lange Broekweg 46</t>
  </si>
  <si>
    <t>Naaldwijk</t>
  </si>
  <si>
    <t>0174-625887</t>
  </si>
  <si>
    <t>goos@hoflandfloweringplants.nl</t>
  </si>
  <si>
    <t>NL27RABO0343661063</t>
  </si>
  <si>
    <t xml:space="preserve">Renewi   </t>
  </si>
  <si>
    <t>1x 500 ltr / 1x pw / dinsdag</t>
  </si>
  <si>
    <t>per maand</t>
  </si>
  <si>
    <t>2022 € 5.200,- huur vermindering</t>
  </si>
  <si>
    <t>Molenweg,3A,  Monster</t>
  </si>
  <si>
    <t>2681 RD</t>
  </si>
  <si>
    <t>M.J.W. van den Enden &amp; B.M. van den Enden</t>
  </si>
  <si>
    <t>Barbara van den Enden</t>
  </si>
  <si>
    <t>Bospolder 4a</t>
  </si>
  <si>
    <t>2675 BL</t>
  </si>
  <si>
    <t>06-51611737 Barbara / 06-54398790 Maup</t>
  </si>
  <si>
    <t>endem3@caiway.nl</t>
  </si>
  <si>
    <t>NL81INGB0112509347</t>
  </si>
  <si>
    <t>Grijs (EW), Groen (OW) / dinsdag, Blauw 1e woensdag vd maand / Rol 500ltr dinsdag (OW)</t>
  </si>
  <si>
    <t>Molenweg, 3 B,  Monster</t>
  </si>
  <si>
    <t>Madeweg, 25 C,  Monster</t>
  </si>
  <si>
    <t>2681 PJ</t>
  </si>
  <si>
    <t>H. van Leeuwen</t>
  </si>
  <si>
    <t>Petra</t>
  </si>
  <si>
    <t>Postbus 170</t>
  </si>
  <si>
    <t>2680 AD</t>
  </si>
  <si>
    <t>Monster</t>
  </si>
  <si>
    <t>06-51262904 / 0174-248804</t>
  </si>
  <si>
    <t>petra@huubvanleeuwen.nl</t>
  </si>
  <si>
    <t>NL96RABO0375644504</t>
  </si>
  <si>
    <t>Renewi</t>
  </si>
  <si>
    <t>1x 500 ltr / 1x pw / maandag</t>
  </si>
  <si>
    <t>Madeweg, 35 A, Monster</t>
  </si>
  <si>
    <t>2681 PK</t>
  </si>
  <si>
    <t>J.S. Vink Vastgoed</t>
  </si>
  <si>
    <t>Denise Vink</t>
  </si>
  <si>
    <t>Boomaweg 27</t>
  </si>
  <si>
    <t xml:space="preserve">2681 RH </t>
  </si>
  <si>
    <t>06-23615767 (denise) 06-53505331 (jan)</t>
  </si>
  <si>
    <t>info@jsvink.nl / d.j.vink@hotmail.com</t>
  </si>
  <si>
    <t>NL14RABO3291687140 en NL20RABO0129949140</t>
  </si>
  <si>
    <t>1x 500 ltr / 1x pw / donderdag</t>
  </si>
  <si>
    <t>Poeldijkseweg, 27, Monster</t>
  </si>
  <si>
    <t>2681 LT</t>
  </si>
  <si>
    <t>P.C. Vijverberg</t>
  </si>
  <si>
    <t>Piet Vijverberg</t>
  </si>
  <si>
    <t>Van Koppenweg 24</t>
  </si>
  <si>
    <t>2672 EH</t>
  </si>
  <si>
    <t>06-53299575</t>
  </si>
  <si>
    <t>piet@pietvijverberg.nl</t>
  </si>
  <si>
    <t>NL95RABO0142277460</t>
  </si>
  <si>
    <t>1x 660 ltr / 1x pw / donderdag</t>
  </si>
  <si>
    <t>Poeldijkseweg, 29, Monster</t>
  </si>
  <si>
    <t>Contract van 2 jaar is inmiddels verlengd voor 2e keer</t>
  </si>
  <si>
    <t>Rietdijkstraat, 56a, Hoek van Holland</t>
  </si>
  <si>
    <t>3151 GJ</t>
  </si>
  <si>
    <t>S.A. van Bergen Vastgoed B.V.</t>
  </si>
  <si>
    <t>S.A. van Bergen</t>
  </si>
  <si>
    <t>Strandweg 25</t>
  </si>
  <si>
    <t>3151 HV</t>
  </si>
  <si>
    <t>Hoek van holland</t>
  </si>
  <si>
    <t>06-30412153</t>
  </si>
  <si>
    <t>bas.vanbergen@aubvanbergen.nl</t>
  </si>
  <si>
    <t>NL11RABO0318502364</t>
  </si>
  <si>
    <t>Rietdijkstraat, 56b, Hoek van Holland</t>
  </si>
  <si>
    <t>Rijpstraat, 24, Hoek van Holland</t>
  </si>
  <si>
    <t>3151 BV</t>
  </si>
  <si>
    <t>F.A.S. van Bergen</t>
  </si>
  <si>
    <t>J. v. Bergen</t>
  </si>
  <si>
    <t>Rijpstraat 22</t>
  </si>
  <si>
    <t>06-53739975</t>
  </si>
  <si>
    <t>jetvbergen@gmail.com</t>
  </si>
  <si>
    <t>NL44ABNA0620327766</t>
  </si>
  <si>
    <t xml:space="preserve">Total  </t>
  </si>
  <si>
    <t>1x 660 ltr   / 1x2 pw / donderdag/ O-W</t>
  </si>
  <si>
    <t>Waellandweg, 12,  Monster</t>
  </si>
  <si>
    <t>2681 LV</t>
  </si>
  <si>
    <t>T. Olsthoorn</t>
  </si>
  <si>
    <t>Ton Olsthoorn</t>
  </si>
  <si>
    <t>Ravellaan 8</t>
  </si>
  <si>
    <t>2671 VT</t>
  </si>
  <si>
    <t>06-22413459</t>
  </si>
  <si>
    <t>tonolsthoorn@kpnmail.nl</t>
  </si>
  <si>
    <t>NL92RABO0342957031</t>
  </si>
  <si>
    <t>0288</t>
  </si>
  <si>
    <t>Zekkenstraat,33 A, Hoek van Holland</t>
  </si>
  <si>
    <t>3151 XP</t>
  </si>
  <si>
    <t>Stichting MCM</t>
  </si>
  <si>
    <t>NL39RABO0334435080</t>
  </si>
  <si>
    <t>In P4F bekend onder 31A en 31B</t>
  </si>
  <si>
    <t>0289</t>
  </si>
  <si>
    <t>Zekkenstraat, 33 B, Hoek van Holland</t>
  </si>
  <si>
    <t>0280</t>
  </si>
  <si>
    <t>0281</t>
  </si>
  <si>
    <t>0276</t>
  </si>
  <si>
    <t>0275</t>
  </si>
  <si>
    <t>0273</t>
  </si>
  <si>
    <t>0279</t>
  </si>
  <si>
    <t>0274</t>
  </si>
  <si>
    <t>0291</t>
  </si>
  <si>
    <t>0278</t>
  </si>
  <si>
    <t>0284</t>
  </si>
  <si>
    <t>0335</t>
  </si>
  <si>
    <t>0282</t>
  </si>
  <si>
    <t>0283</t>
  </si>
  <si>
    <t>0285</t>
  </si>
  <si>
    <t>0378</t>
  </si>
  <si>
    <t>0363</t>
  </si>
  <si>
    <t>0364</t>
  </si>
  <si>
    <t>0377</t>
  </si>
  <si>
    <t>0286</t>
  </si>
  <si>
    <t>gwe_voorschot</t>
  </si>
  <si>
    <t>Omschrijving</t>
  </si>
  <si>
    <t>Per.</t>
  </si>
  <si>
    <t>Max. of Debet</t>
  </si>
  <si>
    <t>Algemeen woningen</t>
  </si>
  <si>
    <t>Curacaolaan 88 Vlaardingen</t>
  </si>
  <si>
    <t>Hugo de Vriesstraat 54 Vlaardingen</t>
  </si>
  <si>
    <t>Jan van Arkelstraat 118 Vlaardingen</t>
  </si>
  <si>
    <t>Keesomstraat 50 Vlaardingen</t>
  </si>
  <si>
    <t>L.A. Kesperweg 31a Vlaardingen</t>
  </si>
  <si>
    <t>Mr. Troelstrastraat 11 Vlaardingen</t>
  </si>
  <si>
    <t>Parallelweg 122a Vlaardingen</t>
  </si>
  <si>
    <t>Rotterdamsedijk 154b Schiedam</t>
  </si>
  <si>
    <t>Schalkeroord 389 Rotterdam</t>
  </si>
  <si>
    <t>Van der Werffstraat 370 Vlaardingen</t>
  </si>
  <si>
    <t>Van der Werffstraat 240 Vlaardingen</t>
  </si>
  <si>
    <t>Van der Waalsstraat 70 Vlaardingen</t>
  </si>
  <si>
    <t>Parallelweg 114C</t>
  </si>
  <si>
    <t>Nic. Beetsstraat 29 Vlaardingen</t>
  </si>
  <si>
    <t>v.d. Waalstraat 16 Vlaardingen</t>
  </si>
  <si>
    <t>Max. of Credit</t>
  </si>
  <si>
    <t>Nunspeetlaan 14</t>
  </si>
  <si>
    <t>Allard Piersonlaan 142 Den Haag</t>
  </si>
  <si>
    <t>Broekweg 25 Vlaardingen</t>
  </si>
  <si>
    <t>Kethelweg 1B Vlaardingen</t>
  </si>
  <si>
    <t>Kethelweg 1C Vlaardingen</t>
  </si>
  <si>
    <t>van Scorelstraat 73 Maassluis</t>
  </si>
  <si>
    <t>G.A. Brederolaan 75B Maassluis</t>
  </si>
  <si>
    <t>Mr. Troelstrastraat 37 Vlaardingen</t>
  </si>
  <si>
    <t>Vaartweg 106C Vlaardingen</t>
  </si>
  <si>
    <t>Groenelaan 30B Schiedam</t>
  </si>
  <si>
    <t>Chopinstraat 39C Vlaardingen</t>
  </si>
  <si>
    <t>Hogenbanweg 331 Schiedam</t>
  </si>
  <si>
    <t>Kethelweg 66C</t>
  </si>
  <si>
    <t>Kethelweg 68A</t>
  </si>
  <si>
    <t>Westfrankelandsestraat 108 Schiedam</t>
  </si>
  <si>
    <t>Nunspeetlaan 53</t>
  </si>
  <si>
    <t>Energieweg 40 Vlaardingen</t>
  </si>
  <si>
    <t>Engelsestraat 16L01 Rotterdam</t>
  </si>
  <si>
    <t>Narcissenstraat 23 Rozenburg</t>
  </si>
  <si>
    <t>2e Maasbosstraat 2A Vlaardingen</t>
  </si>
  <si>
    <t>2e Maasbosstraat 2B Vlaardingen</t>
  </si>
  <si>
    <t>2e Maasbosstraat 2C Vlaardingen</t>
  </si>
  <si>
    <t>Broersvest 74c Schiedam</t>
  </si>
  <si>
    <t>Chopinstraat 33c Vlaardingen</t>
  </si>
  <si>
    <t>Coornhertstraat 95 Vlaardingen</t>
  </si>
  <si>
    <t>Curacaolaan 24 Vlaardingen</t>
  </si>
  <si>
    <t>De Driesprong 17 Kwintsheul</t>
  </si>
  <si>
    <t>Goudestein 30 Rotterdam</t>
  </si>
  <si>
    <t>Groeneweg 71 's Granzande</t>
  </si>
  <si>
    <t>Groeneweg 74 's Gravenzande</t>
  </si>
  <si>
    <t>Hagastraat 8 Schiedam</t>
  </si>
  <si>
    <t>Herautpad 22 Schiedam</t>
  </si>
  <si>
    <t>Hoge Noordweg 27B Naaldwijk</t>
  </si>
  <si>
    <t>Hoge Noordweg 28 Naaldwijk</t>
  </si>
  <si>
    <t>Liesveld 100 Vlaardingen</t>
  </si>
  <si>
    <t>Woutersweg 20</t>
  </si>
  <si>
    <t>Kaapsebos 11 Maasdijk</t>
  </si>
  <si>
    <t>Kapershoek 11 Rotterdam</t>
  </si>
  <si>
    <t>Keesomstraat 22 Vlaardingen</t>
  </si>
  <si>
    <t>Keesomstraat 54 Vlaardingen</t>
  </si>
  <si>
    <t>Kerstendijk 125 Rotterdam</t>
  </si>
  <si>
    <t>Kimbrenoord 15 Rotterdam</t>
  </si>
  <si>
    <t>Kruiningenstraat 152 Rotterdam</t>
  </si>
  <si>
    <t>Kwikstaartweg 45</t>
  </si>
  <si>
    <t>Lorentzstraat 73 Vlaardingen</t>
  </si>
  <si>
    <t>Maasdijk 206 's Gravenzande</t>
  </si>
  <si>
    <t>Mendelssohnplein 13D Vlaardingen</t>
  </si>
  <si>
    <t>Mendelssohnplein 10C Vlaardingen</t>
  </si>
  <si>
    <t>Mendelssohnplein 46A Vlaardingen</t>
  </si>
  <si>
    <t>Middelrode 8 Rotterdam</t>
  </si>
  <si>
    <t>Miltonstraat 55 Rotterdam</t>
  </si>
  <si>
    <t>Miltonstraat 85 Rotterdam</t>
  </si>
  <si>
    <t>Molenstraat 10 Naaldwijk</t>
  </si>
  <si>
    <t>Molenstraat 23 Naaldwijk</t>
  </si>
  <si>
    <t>Kerkwervesingel 127 Rotterdam</t>
  </si>
  <si>
    <t>Parallelweg 98B Vlaardingen</t>
  </si>
  <si>
    <t>Pasteursingel 61B Rotterdam</t>
  </si>
  <si>
    <t>Platostraat 80 Rotterdam</t>
  </si>
  <si>
    <t>Zuidhoek 209D Rotterdam</t>
  </si>
  <si>
    <t>Rembrandtstraat 20B Naaldwijk</t>
  </si>
  <si>
    <t>Rubensplein 3b Schiedam</t>
  </si>
  <si>
    <t>Schere 238 Rotterdam</t>
  </si>
  <si>
    <t>Schoonegge 110 Rotterdam</t>
  </si>
  <si>
    <t>Schoonegge 84 Rotterdam</t>
  </si>
  <si>
    <t>Sint Liduinastraat 76A Schiedam</t>
  </si>
  <si>
    <t>Sint Liduinastraat 80 A B Schiedam</t>
  </si>
  <si>
    <t>Socratesstraat 168 Rotterdam</t>
  </si>
  <si>
    <t>Tholenstraat 114 Rotterdam</t>
  </si>
  <si>
    <t>Zwingel 8B</t>
  </si>
  <si>
    <t>Hontenissestraat 124A Rotterdam</t>
  </si>
  <si>
    <t>Hontenissestraat 162 Rotterdam</t>
  </si>
  <si>
    <t>Jacob van Ruijsdaelstraat 28 Roosendaal</t>
  </si>
  <si>
    <t>Deensestraat 91A Rotterdam</t>
  </si>
  <si>
    <t>Burg. Knappertlaan 176A Schiedam</t>
  </si>
  <si>
    <t>Westfrankelandsestraat 106 Schiedam</t>
  </si>
  <si>
    <t>Schalkeroord 16 Rotterdam</t>
  </si>
  <si>
    <t>Franselaan 273-B</t>
  </si>
  <si>
    <t>J. van Lennepstraat 13A Schiedam</t>
  </si>
  <si>
    <t>J. van Lennepstraat 13B Schiedam</t>
  </si>
  <si>
    <t>J. van Lennepstraat 34 Schiedam</t>
  </si>
  <si>
    <t>St. Annalandstraat 116 Rotterdam</t>
  </si>
  <si>
    <t xml:space="preserve">Parallelweg 110A Vlaardingen </t>
  </si>
  <si>
    <t>Galgeweg 48A, 's-Gravenzande</t>
  </si>
  <si>
    <t>2e van Leyden Gaelstraat 6, Vlaardingen</t>
  </si>
  <si>
    <t>Messchaertplein 40, Vlaardingen</t>
  </si>
  <si>
    <t>Markt 5 Bovenwoning, Massluis</t>
  </si>
  <si>
    <t>Engelsestraat 16L3, Rotterdam</t>
  </si>
  <si>
    <t>Beeklaan 294-1/294-2, Den Haag</t>
  </si>
  <si>
    <t>Amberberg 14, Roosendaal</t>
  </si>
  <si>
    <t>Van der Werffstraat 166, Vlaardingen</t>
  </si>
  <si>
    <t>Spoorsingel 154B, Vlaardingen</t>
  </si>
  <si>
    <t>Kruiningenstraat 185, Rotterdam</t>
  </si>
  <si>
    <t>Europalaan 50, Sas van Gent</t>
  </si>
  <si>
    <t>Lauwersmeer 4, Barendrecht</t>
  </si>
  <si>
    <t>Noordstraat 26, Walsoorden</t>
  </si>
  <si>
    <t>W.M. Bakkerslaan 34, Maasluis</t>
  </si>
  <si>
    <t/>
  </si>
  <si>
    <t>Maasdijk 69</t>
  </si>
  <si>
    <t>Buizerdstraat 210 Maassluis</t>
  </si>
  <si>
    <t>Lange Kruisweg 12 Maasdijk</t>
  </si>
  <si>
    <t>Messchaertplein 39, Vlaardingen</t>
  </si>
  <si>
    <t>Franz Liszstraat 5, Terneuzen</t>
  </si>
  <si>
    <t>Pieter Jelle Troelstraweg 2A Maassluis</t>
  </si>
  <si>
    <t>Ploegstraat 2a, Schiedam</t>
  </si>
  <si>
    <t>Voorstraat 25, Vlaardingen</t>
  </si>
  <si>
    <t>Kethelweg 66A, Vlaardingen</t>
  </si>
  <si>
    <t>Burchstraat 16A, Oostburg</t>
  </si>
  <si>
    <t>Steenen Dijck 87, Maassluis</t>
  </si>
  <si>
    <t>Prinses Wilhelminastraat 9, Hekendorp</t>
  </si>
  <si>
    <t>Plaats 10, Montfoort</t>
  </si>
  <si>
    <t>Kethelweg 66B, Vlaardingen</t>
  </si>
  <si>
    <t>Chopinstraat 35A, Vlaardingen</t>
  </si>
  <si>
    <t>Herenpad 20A, Schiedam</t>
  </si>
  <si>
    <t>Amperestraat 36A, Schiedam</t>
  </si>
  <si>
    <t>Wilgensingel 63 Rozenburg</t>
  </si>
  <si>
    <t>Rubensplein 6B3 Schiedam</t>
  </si>
  <si>
    <t>Groeneweg 127 's Gravenzande</t>
  </si>
  <si>
    <t>Dorpstraat 48 Lopik</t>
  </si>
  <si>
    <t>Dorpstraat 48, Aarlanderveen</t>
  </si>
  <si>
    <t>Kreekrug 1 De Lier</t>
  </si>
  <si>
    <t>Laan van Adrichem 12 De Lier</t>
  </si>
  <si>
    <t>Acacialaan 9 Pijnacker</t>
  </si>
  <si>
    <t>Oostlaan 3 De Lier</t>
  </si>
  <si>
    <t>Burgemeester Stulemeijerlaan 71, Schiedam</t>
  </si>
  <si>
    <t>Ofwegen 1A, Woubrugge</t>
  </si>
  <si>
    <t>Kruisweg 16, Wobrugge</t>
  </si>
  <si>
    <t>Professor Poelslaan 58c Rotterdam</t>
  </si>
  <si>
    <t>Compierekade 15, Alphen a/d Rijn</t>
  </si>
  <si>
    <t>Van Ruijsdaellaan 72A, Schiedam</t>
  </si>
  <si>
    <t>Wagenstraat 70, Wagenberg</t>
  </si>
  <si>
    <t>Van Ruijsdaellaan 72B, Schiedam</t>
  </si>
  <si>
    <t>Van Ruijsdaellaan 72C, Schiedam</t>
  </si>
  <si>
    <t>Archimedesstraat 6B, Schiedam</t>
  </si>
  <si>
    <t>Kimbrenoord 49, Rotterdam</t>
  </si>
  <si>
    <t>Putsebocht 136 B01</t>
  </si>
  <si>
    <t>Ruigenhoek 69, Rotterdam</t>
  </si>
  <si>
    <t>Cloosterstraat 23A, Kloosterzande</t>
  </si>
  <si>
    <t>Cubalaan 25 Poeldijk</t>
  </si>
  <si>
    <t>Zwethkade Zuid 30A, Den Hoorn</t>
  </si>
  <si>
    <t>Parallelweg 134B</t>
  </si>
  <si>
    <t>Kwekerslaan 7, 's-Gravenzande</t>
  </si>
  <si>
    <t>Maasdijk 67, 's-gravenzande</t>
  </si>
  <si>
    <t>Ranaholm 3, Schiedam</t>
  </si>
  <si>
    <t>Hoge Noordweg 26A Naaldwijk</t>
  </si>
  <si>
    <t>Broersveld 150B Schiedam</t>
  </si>
  <si>
    <t>Oosthavenkade 39</t>
  </si>
  <si>
    <t>Hoge Noordweg 27A Naaldwijk</t>
  </si>
  <si>
    <t>Professor Kamerlingh Onneslaan 98A Schiedam</t>
  </si>
  <si>
    <t>Dorpstraat 46, Aarlanderveen</t>
  </si>
  <si>
    <t>Groenelaan 35 Schiedam</t>
  </si>
  <si>
    <t>Platostraat 38 Rotterdam</t>
  </si>
  <si>
    <t>Rotterdamsedijk 104a2 Vlaardingen</t>
  </si>
  <si>
    <t>Kethelweg 60 Vlaardingen</t>
  </si>
  <si>
    <t>Knuttelstraat 17 Delft</t>
  </si>
  <si>
    <t>Broekweg 166B Rotterdam</t>
  </si>
  <si>
    <t>Laan van Zuid 949</t>
  </si>
  <si>
    <t>Admiraliteitskade 80-02 Rotterdam</t>
  </si>
  <si>
    <t>Goghlaan 36, Roosendaal</t>
  </si>
  <si>
    <t xml:space="preserve">Oosterstraat 89 Vlaardingen </t>
  </si>
  <si>
    <t>Average of Debet</t>
  </si>
  <si>
    <t>Average of Credit</t>
  </si>
  <si>
    <t>verschil avg-max</t>
  </si>
  <si>
    <t>Kerkdreef 42 Axel</t>
  </si>
  <si>
    <t>Herenpad 20B, Schiedam</t>
  </si>
  <si>
    <t>Mathenesserdijk 261-C03, Rotterdam</t>
  </si>
  <si>
    <t>Fenacoliuslaan 56b, Maassluis</t>
  </si>
  <si>
    <t>Gerberalaan 113</t>
  </si>
  <si>
    <t>Haagkamp 11</t>
  </si>
  <si>
    <t>Koperwerf 28</t>
  </si>
  <si>
    <t>Kethelweg 66D, Vlaardingen</t>
  </si>
  <si>
    <t>Monsterseweg 26A</t>
  </si>
  <si>
    <t>Lekdijk 14, Krimpen aan den IJsel</t>
  </si>
  <si>
    <t>Roerdompstraat 4B, Alblasserdam</t>
  </si>
  <si>
    <t>Homeflex Park Honselersdijk</t>
  </si>
  <si>
    <t>1e Verdeligsweg 6 - 537, Putte</t>
  </si>
  <si>
    <t>1e Verdeligsweg 6 - 822, Putte</t>
  </si>
  <si>
    <t>de Lus 16 ap28, Schagen</t>
  </si>
  <si>
    <t>Dorpstraat 27, Moordrecht</t>
  </si>
  <si>
    <t>Genestestraat 32 Terneuzen</t>
  </si>
  <si>
    <t>Grimbergen 19</t>
  </si>
  <si>
    <t>Ida Gerhardtplein 10 Spijkenisse</t>
  </si>
  <si>
    <t>Kerklaan 74, Nieuwerkerk aan den IJssel</t>
  </si>
  <si>
    <t>Kerklaan 80 Nieuwerkerk aan de IJssel</t>
  </si>
  <si>
    <t>Korhaanstraat 6 Rotterdam</t>
  </si>
  <si>
    <t>Leidinglaan 64+66, Sluiskil</t>
  </si>
  <si>
    <t>Nijverheidstraat 26a, Studio 201, Vlaardingen</t>
  </si>
  <si>
    <t>Oostene 23</t>
  </si>
  <si>
    <t>Papsouwselaan 30, Delft</t>
  </si>
  <si>
    <t>Papsouwselaan 32, Delft</t>
  </si>
  <si>
    <t>Papsouwselaan 34, Delft</t>
  </si>
  <si>
    <t>Papsouwselaan 44, Delft</t>
  </si>
  <si>
    <t>Papsouwselaan 52, Delft</t>
  </si>
  <si>
    <t>Papsouwselaan 58, Delft</t>
  </si>
  <si>
    <t>Papsouwselaan 68, Delft</t>
  </si>
  <si>
    <t>Papsouwselaan 86, Delft</t>
  </si>
  <si>
    <t>Papsouwselaan 138, Delft</t>
  </si>
  <si>
    <t>Papsouwselaan 178, Delft</t>
  </si>
  <si>
    <t>Singelweg 95, Axel</t>
  </si>
  <si>
    <t>Sweelinckstraat 32 Vlaardingen</t>
  </si>
  <si>
    <t>Tulpenstraat 45 Rozenburg</t>
  </si>
  <si>
    <t>Westlandse Langeweg 14</t>
  </si>
  <si>
    <t>Wouwsestraat 65</t>
  </si>
  <si>
    <t>Stuifkenszand apart. 2c t/m 4e</t>
  </si>
  <si>
    <t>Hotel de Sluiskop</t>
  </si>
  <si>
    <t xml:space="preserve">1e Verdeligsweg 6 - 821, Putte </t>
  </si>
  <si>
    <t>max of niet</t>
  </si>
  <si>
    <t xml:space="preserve"> </t>
  </si>
  <si>
    <t>Huur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</si>
</sst>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_ &quot;€&quot;\ * #,##0.00000_ ;_ &quot;€&quot;\ * \-#,##0.00000_ ;_ &quot;€&quot;\ * &quot;-&quot;?????_ ;_ @_ "/>
    <numFmt numFmtId="165" formatCode="&quot;€&quot;\ #,##0.00"/>
  </numFmts>
  <fonts count="19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</font>
    <font>
      <b/>
      <sz val="12"/>
      <color theme="1" tint="0.499984740745262"/>
      <name val="Aptos Narrow"/>
    </font>
    <font>
      <sz val="12"/>
      <color theme="1"/>
      <name val="Aptos Narrow"/>
    </font>
    <font>
      <b/>
      <sz val="12"/>
      <color rgb="FF000000"/>
      <name val="Aptos Narrow"/>
    </font>
    <font>
      <b/>
      <sz val="12"/>
      <color rgb="FF808080"/>
      <name val="Aptos Narrow"/>
    </font>
    <font>
      <sz val="12"/>
      <color rgb="FF000000"/>
      <name val="Aptos Narrow"/>
    </font>
    <font>
      <sz val="12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44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44" fontId="4" fillId="0" borderId="0" xfId="0" applyNumberFormat="1" applyFont="1" applyAlignment="1">
      <alignment horizontal="center"/>
    </xf>
    <xf numFmtId="44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0" fontId="3" fillId="0" borderId="0" xfId="3" applyProtection="1"/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 applyAlignment="1">
      <alignment horizontal="left"/>
    </xf>
    <xf numFmtId="14" fontId="0" fillId="5" borderId="0" xfId="0" applyNumberFormat="1" applyFill="1"/>
    <xf numFmtId="0" fontId="0" fillId="0" borderId="0" xfId="0" quotePrefix="1" applyAlignment="1">
      <alignment horizontal="left" vertical="center" wrapText="1"/>
    </xf>
    <xf numFmtId="14" fontId="3" fillId="0" borderId="0" xfId="3" applyNumberFormat="1" applyProtection="1"/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4" fontId="0" fillId="5" borderId="0" xfId="0" applyNumberFormat="1" applyFill="1"/>
    <xf numFmtId="0" fontId="0" fillId="5" borderId="0" xfId="0" applyFill="1"/>
    <xf numFmtId="0" fontId="2" fillId="3" borderId="0" xfId="2" applyProtection="1"/>
    <xf numFmtId="14" fontId="5" fillId="5" borderId="0" xfId="1" applyNumberFormat="1" applyFont="1" applyFill="1" applyProtection="1"/>
    <xf numFmtId="0" fontId="5" fillId="5" borderId="0" xfId="1" applyFont="1" applyFill="1" applyProtection="1"/>
    <xf numFmtId="0" fontId="0" fillId="0" borderId="0" xfId="0" quotePrefix="1"/>
    <xf numFmtId="0" fontId="0" fillId="6" borderId="0" xfId="0" applyFill="1"/>
    <xf numFmtId="0" fontId="0" fillId="6" borderId="0" xfId="0" applyFill="1" applyAlignment="1">
      <alignment horizontal="left"/>
    </xf>
    <xf numFmtId="44" fontId="5" fillId="6" borderId="0" xfId="0" applyNumberFormat="1" applyFont="1" applyFill="1"/>
    <xf numFmtId="44" fontId="0" fillId="6" borderId="0" xfId="0" applyNumberFormat="1" applyFill="1"/>
    <xf numFmtId="0" fontId="0" fillId="6" borderId="0" xfId="0" quotePrefix="1" applyFill="1"/>
    <xf numFmtId="164" fontId="0" fillId="7" borderId="0" xfId="0" applyNumberFormat="1" applyFill="1" applyAlignment="1">
      <alignment horizontal="center"/>
    </xf>
    <xf numFmtId="14" fontId="0" fillId="0" borderId="0" xfId="0" applyNumberFormat="1"/>
    <xf numFmtId="44" fontId="0" fillId="4" borderId="0" xfId="0" applyNumberFormat="1" applyFill="1"/>
    <xf numFmtId="0" fontId="0" fillId="1" borderId="0" xfId="0" applyFill="1" applyAlignment="1">
      <alignment horizontal="center"/>
    </xf>
    <xf numFmtId="14" fontId="0" fillId="1" borderId="0" xfId="0" applyNumberFormat="1" applyFill="1" applyAlignment="1">
      <alignment horizontal="center"/>
    </xf>
    <xf numFmtId="0" fontId="0" fillId="0" borderId="0" xfId="0" quotePrefix="1" applyAlignment="1">
      <alignment horizontal="left"/>
    </xf>
    <xf numFmtId="0" fontId="6" fillId="0" borderId="0" xfId="0" quotePrefix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12" fillId="0" borderId="1" xfId="0" applyFont="1" applyBorder="1"/>
    <xf numFmtId="0" fontId="12" fillId="0" borderId="2" xfId="0" applyFont="1" applyBorder="1"/>
    <xf numFmtId="0" fontId="13" fillId="0" borderId="2" xfId="0" applyFont="1" applyBorder="1"/>
    <xf numFmtId="0" fontId="14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6" fillId="0" borderId="4" xfId="0" applyFont="1" applyBorder="1"/>
    <xf numFmtId="0" fontId="17" fillId="0" borderId="4" xfId="0" applyFont="1" applyBorder="1"/>
    <xf numFmtId="0" fontId="18" fillId="0" borderId="0" xfId="0" applyFont="1"/>
    <xf numFmtId="165" fontId="18" fillId="0" borderId="0" xfId="0" applyNumberFormat="1" applyFont="1"/>
    <xf numFmtId="165" fontId="15" fillId="0" borderId="3" xfId="0" applyNumberFormat="1" applyFont="1" applyBorder="1"/>
    <xf numFmtId="165" fontId="17" fillId="0" borderId="4" xfId="0" applyNumberFormat="1" applyFont="1" applyBorder="1"/>
    <xf numFmtId="165" fontId="0" fillId="0" borderId="0" xfId="0" applyNumberFormat="1"/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horizontal="left" vertical="center"/>
    </xf>
    <xf numFmtId="0" fontId="3" fillId="6" borderId="0" xfId="3" applyFill="1" applyAlignment="1" applyProtection="1">
      <alignment vertical="center"/>
    </xf>
    <xf numFmtId="0" fontId="0" fillId="6" borderId="0" xfId="0" applyFill="1" applyAlignment="1">
      <alignment vertical="center"/>
    </xf>
    <xf numFmtId="44" fontId="0" fillId="4" borderId="0" xfId="0" applyNumberFormat="1" applyFill="1" applyAlignment="1">
      <alignment vertical="center"/>
    </xf>
  </cellXfs>
  <cellStyles count="4">
    <cellStyle name="Good" xfId="1" builtinId="26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ndem3@caiway.nl" TargetMode="External"/><Relationship Id="rId3" Type="http://schemas.openxmlformats.org/officeDocument/2006/relationships/hyperlink" Target="mailto:bas.vanbergen@aubvanbergen.nl" TargetMode="External"/><Relationship Id="rId7" Type="http://schemas.openxmlformats.org/officeDocument/2006/relationships/hyperlink" Target="mailto:piet@pietvijverberg.nl" TargetMode="External"/><Relationship Id="rId2" Type="http://schemas.openxmlformats.org/officeDocument/2006/relationships/hyperlink" Target="mailto:goos@hoflandfloweringplants.nl" TargetMode="External"/><Relationship Id="rId1" Type="http://schemas.openxmlformats.org/officeDocument/2006/relationships/hyperlink" Target="mailto:info@jsvink.nl" TargetMode="External"/><Relationship Id="rId6" Type="http://schemas.openxmlformats.org/officeDocument/2006/relationships/hyperlink" Target="mailto:janmul54@gmail.com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piet@pietvijverberg.nl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bas.vanbergen@aubvanbergen.nl" TargetMode="External"/><Relationship Id="rId9" Type="http://schemas.openxmlformats.org/officeDocument/2006/relationships/hyperlink" Target="mailto:endem3@caiway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0335-F73E-E948-90F0-C23178DD6B5A}">
  <dimension ref="A1:AR23"/>
  <sheetViews>
    <sheetView tabSelected="1" workbookViewId="0">
      <pane xSplit="6" ySplit="1" topLeftCell="J2" activePane="bottomRight" state="frozen"/>
      <selection pane="topRight" activeCell="G1" sqref="G1"/>
      <selection pane="bottomLeft" activeCell="A2" sqref="A2"/>
      <selection pane="bottomRight" activeCell="D20" sqref="D20"/>
    </sheetView>
  </sheetViews>
  <sheetFormatPr baseColWidth="10" defaultRowHeight="16"/>
  <cols>
    <col min="2" max="2" width="32.5" bestFit="1" customWidth="1"/>
    <col min="5" max="5" width="16.6640625" bestFit="1" customWidth="1"/>
    <col min="6" max="6" width="36.33203125" bestFit="1" customWidth="1"/>
    <col min="7" max="7" width="19.6640625" bestFit="1" customWidth="1"/>
    <col min="8" max="8" width="25.1640625" bestFit="1" customWidth="1"/>
    <col min="9" max="9" width="8.5" bestFit="1" customWidth="1"/>
    <col min="10" max="10" width="15.1640625" bestFit="1" customWidth="1"/>
    <col min="11" max="11" width="36.1640625" bestFit="1" customWidth="1"/>
    <col min="12" max="12" width="50.1640625" bestFit="1" customWidth="1"/>
    <col min="13" max="13" width="42.5" bestFit="1" customWidth="1"/>
    <col min="14" max="14" width="7.5" bestFit="1" customWidth="1"/>
    <col min="15" max="15" width="7" bestFit="1" customWidth="1"/>
    <col min="16" max="16" width="8.5" bestFit="1" customWidth="1"/>
    <col min="18" max="18" width="10.33203125" bestFit="1" customWidth="1"/>
    <col min="19" max="19" width="13.5" bestFit="1" customWidth="1"/>
    <col min="20" max="20" width="9.83203125" bestFit="1" customWidth="1"/>
    <col min="21" max="21" width="13.83203125" bestFit="1" customWidth="1"/>
    <col min="22" max="22" width="16.33203125" bestFit="1" customWidth="1"/>
    <col min="23" max="23" width="12.1640625" bestFit="1" customWidth="1"/>
    <col min="24" max="24" width="11.83203125" bestFit="1" customWidth="1"/>
    <col min="25" max="25" width="11.1640625" bestFit="1" customWidth="1"/>
    <col min="26" max="26" width="12.1640625" bestFit="1" customWidth="1"/>
    <col min="27" max="27" width="15.33203125" bestFit="1" customWidth="1"/>
    <col min="28" max="28" width="11.6640625" bestFit="1" customWidth="1"/>
    <col min="29" max="29" width="17.5" bestFit="1" customWidth="1"/>
    <col min="30" max="30" width="16.6640625" bestFit="1" customWidth="1"/>
    <col min="31" max="31" width="12.5" bestFit="1" customWidth="1"/>
    <col min="32" max="32" width="13.5" bestFit="1" customWidth="1"/>
    <col min="33" max="33" width="14.5" bestFit="1" customWidth="1"/>
    <col min="34" max="34" width="17.6640625" bestFit="1" customWidth="1"/>
    <col min="35" max="35" width="14" bestFit="1" customWidth="1"/>
    <col min="36" max="36" width="83.6640625" bestFit="1" customWidth="1"/>
    <col min="37" max="37" width="7.6640625" bestFit="1" customWidth="1"/>
    <col min="38" max="38" width="13" bestFit="1" customWidth="1"/>
    <col min="39" max="39" width="7.6640625" bestFit="1" customWidth="1"/>
    <col min="40" max="42" width="10.5" bestFit="1" customWidth="1"/>
    <col min="43" max="43" width="11.83203125" bestFit="1" customWidth="1"/>
    <col min="44" max="44" width="44.5" bestFit="1" customWidth="1"/>
  </cols>
  <sheetData>
    <row r="1" spans="1:44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12</v>
      </c>
      <c r="O1" s="2" t="s">
        <v>13</v>
      </c>
      <c r="P1" s="1" t="s">
        <v>14</v>
      </c>
      <c r="Q1" s="1" t="s">
        <v>15</v>
      </c>
      <c r="R1" s="4" t="s">
        <v>16</v>
      </c>
      <c r="S1" s="6" t="s">
        <v>17</v>
      </c>
      <c r="T1" s="7" t="s">
        <v>18</v>
      </c>
      <c r="U1" s="4" t="s">
        <v>19</v>
      </c>
      <c r="V1" s="6" t="s">
        <v>20</v>
      </c>
      <c r="W1" s="7" t="s">
        <v>21</v>
      </c>
      <c r="X1" s="7" t="s">
        <v>22</v>
      </c>
      <c r="Y1" s="7" t="s">
        <v>23</v>
      </c>
      <c r="Z1" s="6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8" t="s">
        <v>29</v>
      </c>
      <c r="AF1" s="8" t="s">
        <v>30</v>
      </c>
      <c r="AG1" s="8" t="s">
        <v>31</v>
      </c>
      <c r="AH1" s="2" t="s">
        <v>32</v>
      </c>
      <c r="AI1" s="3" t="s">
        <v>33</v>
      </c>
      <c r="AJ1" s="2" t="s">
        <v>34</v>
      </c>
      <c r="AK1" s="2" t="s">
        <v>35</v>
      </c>
      <c r="AL1" s="9" t="s">
        <v>36</v>
      </c>
      <c r="AM1" s="4" t="s">
        <v>37</v>
      </c>
      <c r="AN1" s="3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40" t="s">
        <v>243</v>
      </c>
      <c r="B2" t="s">
        <v>43</v>
      </c>
      <c r="C2" s="10" t="s">
        <v>44</v>
      </c>
      <c r="D2" s="11">
        <v>1375</v>
      </c>
      <c r="E2" s="11">
        <v>119</v>
      </c>
      <c r="F2" t="s">
        <v>45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s="13" t="s">
        <v>50</v>
      </c>
      <c r="M2" s="10" t="s">
        <v>51</v>
      </c>
      <c r="N2" s="10">
        <v>5</v>
      </c>
      <c r="O2" s="10">
        <v>3</v>
      </c>
      <c r="P2" t="s">
        <v>52</v>
      </c>
      <c r="Q2" t="s">
        <v>52</v>
      </c>
      <c r="R2" s="12" t="s">
        <v>53</v>
      </c>
      <c r="S2" s="12" t="s">
        <v>54</v>
      </c>
      <c r="T2" s="14">
        <v>1.46</v>
      </c>
      <c r="U2" s="12" t="s">
        <v>53</v>
      </c>
      <c r="V2" s="12" t="s">
        <v>54</v>
      </c>
      <c r="W2" s="14">
        <v>0</v>
      </c>
      <c r="X2" s="15">
        <v>0.1145</v>
      </c>
      <c r="Y2" s="15">
        <v>0.11013000000000001</v>
      </c>
      <c r="Z2" s="12" t="s">
        <v>55</v>
      </c>
      <c r="AA2" s="12" t="s">
        <v>56</v>
      </c>
      <c r="AB2" s="12">
        <v>4</v>
      </c>
      <c r="AC2" s="16">
        <v>44835</v>
      </c>
      <c r="AD2" s="16">
        <v>46082</v>
      </c>
      <c r="AE2" s="17">
        <f>10.97+13.65+25.39+25.32+47.09</f>
        <v>122.42000000000002</v>
      </c>
      <c r="AF2" s="17">
        <v>0</v>
      </c>
      <c r="AG2" s="17">
        <v>66.36</v>
      </c>
      <c r="AH2" s="60" t="s">
        <v>57</v>
      </c>
      <c r="AI2" s="61">
        <v>115.76</v>
      </c>
      <c r="AJ2" s="60" t="s">
        <v>58</v>
      </c>
      <c r="AK2" s="10" t="s">
        <v>59</v>
      </c>
      <c r="AL2" s="18">
        <v>79</v>
      </c>
      <c r="AM2" s="12" t="s">
        <v>52</v>
      </c>
      <c r="AN2" s="11"/>
      <c r="AO2" s="19">
        <v>41791</v>
      </c>
      <c r="AP2" t="s">
        <v>60</v>
      </c>
      <c r="AQ2" t="s">
        <v>61</v>
      </c>
    </row>
    <row r="3" spans="1:44" ht="17">
      <c r="A3" s="20" t="s">
        <v>244</v>
      </c>
      <c r="B3" t="s">
        <v>62</v>
      </c>
      <c r="C3" s="10" t="s">
        <v>44</v>
      </c>
      <c r="D3" s="11">
        <v>2625</v>
      </c>
      <c r="E3" s="11">
        <v>119</v>
      </c>
      <c r="F3" t="s">
        <v>45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s="13" t="s">
        <v>50</v>
      </c>
      <c r="M3" s="10" t="s">
        <v>51</v>
      </c>
      <c r="N3" s="10">
        <v>8</v>
      </c>
      <c r="O3" s="10">
        <v>5</v>
      </c>
      <c r="P3" t="s">
        <v>52</v>
      </c>
      <c r="Q3" t="s">
        <v>52</v>
      </c>
      <c r="R3" s="12" t="s">
        <v>53</v>
      </c>
      <c r="S3" s="12" t="s">
        <v>54</v>
      </c>
      <c r="T3" s="14">
        <v>1.46</v>
      </c>
      <c r="U3" s="12" t="s">
        <v>53</v>
      </c>
      <c r="V3" s="12" t="s">
        <v>54</v>
      </c>
      <c r="W3" s="14">
        <v>0</v>
      </c>
      <c r="X3" s="15">
        <v>0.1145</v>
      </c>
      <c r="Y3" s="15">
        <v>0.11013000000000001</v>
      </c>
      <c r="Z3" s="12" t="s">
        <v>55</v>
      </c>
      <c r="AA3" s="12" t="s">
        <v>56</v>
      </c>
      <c r="AB3" s="12">
        <v>4</v>
      </c>
      <c r="AC3" s="16">
        <v>44835</v>
      </c>
      <c r="AD3" s="16">
        <v>46082</v>
      </c>
      <c r="AE3" s="17">
        <f>10.97+30.1+5.04+28.1+55.98+46.04+85.64</f>
        <v>261.87</v>
      </c>
      <c r="AF3" s="17">
        <v>0</v>
      </c>
      <c r="AG3" s="17">
        <v>66.36</v>
      </c>
      <c r="AH3" s="60"/>
      <c r="AI3" s="60"/>
      <c r="AJ3" s="60"/>
      <c r="AK3" s="10" t="s">
        <v>59</v>
      </c>
      <c r="AL3" s="18">
        <v>79</v>
      </c>
      <c r="AM3" s="12" t="s">
        <v>52</v>
      </c>
      <c r="AN3" s="11"/>
      <c r="AO3" s="19">
        <v>41791</v>
      </c>
      <c r="AP3" t="s">
        <v>60</v>
      </c>
      <c r="AQ3" t="s">
        <v>61</v>
      </c>
    </row>
    <row r="4" spans="1:44">
      <c r="A4" s="40" t="s">
        <v>245</v>
      </c>
      <c r="B4" t="s">
        <v>63</v>
      </c>
      <c r="C4" s="10" t="s">
        <v>64</v>
      </c>
      <c r="D4" s="11">
        <v>1450</v>
      </c>
      <c r="E4" s="11">
        <v>119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s="21" t="s">
        <v>71</v>
      </c>
      <c r="M4" s="10" t="s">
        <v>72</v>
      </c>
      <c r="N4" s="22">
        <v>6</v>
      </c>
      <c r="O4" s="10">
        <v>4</v>
      </c>
      <c r="P4" t="s">
        <v>52</v>
      </c>
      <c r="Q4" t="s">
        <v>52</v>
      </c>
      <c r="R4" s="12" t="s">
        <v>53</v>
      </c>
      <c r="S4" s="23" t="s">
        <v>54</v>
      </c>
      <c r="T4" s="14">
        <v>0.80162</v>
      </c>
      <c r="U4" s="12" t="s">
        <v>53</v>
      </c>
      <c r="V4" s="23" t="s">
        <v>54</v>
      </c>
      <c r="W4" s="14">
        <v>0</v>
      </c>
      <c r="X4" s="15">
        <v>0.29319000000000001</v>
      </c>
      <c r="Y4" s="15">
        <v>0.16794000000000001</v>
      </c>
      <c r="Z4" s="23" t="s">
        <v>55</v>
      </c>
      <c r="AA4" s="12" t="s">
        <v>56</v>
      </c>
      <c r="AB4" s="12">
        <v>4</v>
      </c>
      <c r="AC4" s="16">
        <v>44621</v>
      </c>
      <c r="AD4" s="16">
        <v>46082</v>
      </c>
      <c r="AE4" s="17">
        <f>34.33+437.42+34.58+41.63+41.63</f>
        <v>589.59</v>
      </c>
      <c r="AF4" s="17">
        <v>0</v>
      </c>
      <c r="AG4" s="17">
        <v>36.24</v>
      </c>
      <c r="AH4" s="10" t="s">
        <v>73</v>
      </c>
      <c r="AI4" s="11">
        <f>407.55/3</f>
        <v>135.85</v>
      </c>
      <c r="AJ4" s="10" t="s">
        <v>74</v>
      </c>
      <c r="AK4" s="10" t="s">
        <v>59</v>
      </c>
      <c r="AL4" s="18">
        <v>79</v>
      </c>
      <c r="AM4" s="12" t="s">
        <v>52</v>
      </c>
      <c r="AN4" s="24">
        <v>1200</v>
      </c>
      <c r="AO4" s="19">
        <v>43466</v>
      </c>
      <c r="AP4" s="19">
        <v>44196</v>
      </c>
      <c r="AQ4" s="25" t="s">
        <v>75</v>
      </c>
      <c r="AR4" t="s">
        <v>76</v>
      </c>
    </row>
    <row r="5" spans="1:44">
      <c r="A5" s="40" t="s">
        <v>246</v>
      </c>
      <c r="B5" t="s">
        <v>77</v>
      </c>
      <c r="C5" s="10" t="s">
        <v>78</v>
      </c>
      <c r="D5" s="11">
        <v>1400</v>
      </c>
      <c r="E5" s="11">
        <v>119</v>
      </c>
      <c r="F5" t="s">
        <v>79</v>
      </c>
      <c r="G5" t="s">
        <v>79</v>
      </c>
      <c r="H5" t="s">
        <v>80</v>
      </c>
      <c r="I5" t="s">
        <v>81</v>
      </c>
      <c r="J5" t="s">
        <v>69</v>
      </c>
      <c r="K5" t="s">
        <v>82</v>
      </c>
      <c r="L5" s="21" t="s">
        <v>83</v>
      </c>
      <c r="M5" s="10" t="s">
        <v>84</v>
      </c>
      <c r="N5" s="10">
        <v>8</v>
      </c>
      <c r="O5" s="10">
        <v>4</v>
      </c>
      <c r="P5" t="s">
        <v>85</v>
      </c>
      <c r="Q5" t="s">
        <v>52</v>
      </c>
      <c r="R5" s="12" t="s">
        <v>53</v>
      </c>
      <c r="S5" s="23" t="s">
        <v>54</v>
      </c>
      <c r="T5" s="14">
        <v>0.80162</v>
      </c>
      <c r="U5" s="12" t="s">
        <v>53</v>
      </c>
      <c r="V5" s="23" t="s">
        <v>54</v>
      </c>
      <c r="W5" s="14">
        <v>0</v>
      </c>
      <c r="X5" s="15">
        <v>0.29319000000000001</v>
      </c>
      <c r="Y5" s="15">
        <v>0.16794000000000001</v>
      </c>
      <c r="Z5" s="23" t="s">
        <v>55</v>
      </c>
      <c r="AA5" s="12" t="s">
        <v>56</v>
      </c>
      <c r="AB5" s="12">
        <v>4</v>
      </c>
      <c r="AC5" s="16">
        <v>44621</v>
      </c>
      <c r="AD5" s="16">
        <v>46082</v>
      </c>
      <c r="AE5" s="17">
        <f>32.66+235.17+186.52+101.06+346.93</f>
        <v>902.34000000000015</v>
      </c>
      <c r="AF5" s="17">
        <v>0</v>
      </c>
      <c r="AG5" s="17">
        <v>99.53</v>
      </c>
      <c r="AH5" s="10" t="s">
        <v>57</v>
      </c>
      <c r="AI5" s="11">
        <v>173.26</v>
      </c>
      <c r="AJ5" s="10" t="s">
        <v>86</v>
      </c>
      <c r="AK5" s="10" t="s">
        <v>59</v>
      </c>
      <c r="AL5" s="18">
        <v>0</v>
      </c>
      <c r="AM5" s="12"/>
      <c r="AN5" s="24">
        <v>2300</v>
      </c>
      <c r="AO5" s="19">
        <v>41239</v>
      </c>
      <c r="AP5" t="s">
        <v>60</v>
      </c>
      <c r="AQ5" t="s">
        <v>61</v>
      </c>
    </row>
    <row r="6" spans="1:44">
      <c r="A6" s="40" t="s">
        <v>247</v>
      </c>
      <c r="B6" t="s">
        <v>87</v>
      </c>
      <c r="C6" s="10" t="s">
        <v>88</v>
      </c>
      <c r="D6" s="11">
        <v>2227</v>
      </c>
      <c r="E6" s="11">
        <v>119</v>
      </c>
      <c r="F6" t="s">
        <v>89</v>
      </c>
      <c r="G6" t="s">
        <v>90</v>
      </c>
      <c r="H6" t="s">
        <v>91</v>
      </c>
      <c r="I6" t="s">
        <v>92</v>
      </c>
      <c r="J6" t="s">
        <v>48</v>
      </c>
      <c r="K6" t="s">
        <v>93</v>
      </c>
      <c r="L6" s="13" t="s">
        <v>94</v>
      </c>
      <c r="M6" s="10" t="s">
        <v>95</v>
      </c>
      <c r="N6" s="22">
        <v>8</v>
      </c>
      <c r="O6" s="10">
        <v>4</v>
      </c>
      <c r="P6" t="s">
        <v>52</v>
      </c>
      <c r="Q6" t="s">
        <v>52</v>
      </c>
      <c r="R6" s="12" t="s">
        <v>53</v>
      </c>
      <c r="S6" s="23" t="s">
        <v>54</v>
      </c>
      <c r="T6" s="14">
        <v>0.80162</v>
      </c>
      <c r="U6" s="12" t="s">
        <v>53</v>
      </c>
      <c r="V6" s="23" t="s">
        <v>54</v>
      </c>
      <c r="W6" s="14">
        <v>0</v>
      </c>
      <c r="X6" s="15">
        <v>0.29319000000000001</v>
      </c>
      <c r="Y6" s="15">
        <v>0.16794000000000001</v>
      </c>
      <c r="Z6" s="23" t="s">
        <v>55</v>
      </c>
      <c r="AA6" s="12" t="s">
        <v>56</v>
      </c>
      <c r="AB6" s="12">
        <v>4</v>
      </c>
      <c r="AC6" s="16">
        <v>44621</v>
      </c>
      <c r="AD6" s="16">
        <v>46082</v>
      </c>
      <c r="AE6" s="17">
        <f>6.98+30.3+93.93+26.62+56.36+174.71</f>
        <v>388.9</v>
      </c>
      <c r="AF6" s="17">
        <v>0</v>
      </c>
      <c r="AG6" s="17">
        <v>0</v>
      </c>
      <c r="AH6" s="10" t="s">
        <v>96</v>
      </c>
      <c r="AI6" s="11">
        <v>0</v>
      </c>
      <c r="AJ6" s="10" t="s">
        <v>97</v>
      </c>
      <c r="AK6" s="10" t="s">
        <v>59</v>
      </c>
      <c r="AL6" s="18">
        <v>79</v>
      </c>
      <c r="AM6" s="12" t="s">
        <v>52</v>
      </c>
      <c r="AN6" s="24">
        <v>2150</v>
      </c>
      <c r="AO6" s="19">
        <v>43896</v>
      </c>
      <c r="AP6" s="19">
        <v>44261</v>
      </c>
      <c r="AQ6" s="26" t="s">
        <v>98</v>
      </c>
      <c r="AR6" t="s">
        <v>99</v>
      </c>
    </row>
    <row r="7" spans="1:44">
      <c r="A7" s="40" t="s">
        <v>248</v>
      </c>
      <c r="B7" t="s">
        <v>100</v>
      </c>
      <c r="C7" s="10" t="s">
        <v>101</v>
      </c>
      <c r="D7" s="11">
        <v>1950</v>
      </c>
      <c r="E7" s="11">
        <v>119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s="13" t="s">
        <v>108</v>
      </c>
      <c r="M7" s="10" t="s">
        <v>109</v>
      </c>
      <c r="N7" s="10">
        <v>6</v>
      </c>
      <c r="O7" s="10">
        <v>3</v>
      </c>
      <c r="P7" t="s">
        <v>52</v>
      </c>
      <c r="Q7" t="s">
        <v>52</v>
      </c>
      <c r="R7" s="12" t="s">
        <v>53</v>
      </c>
      <c r="S7" s="23" t="s">
        <v>54</v>
      </c>
      <c r="T7" s="14">
        <v>0.80162</v>
      </c>
      <c r="U7" s="12" t="s">
        <v>110</v>
      </c>
      <c r="V7" s="12" t="s">
        <v>110</v>
      </c>
      <c r="W7" s="14">
        <v>0</v>
      </c>
      <c r="X7" s="15">
        <v>0</v>
      </c>
      <c r="Y7" s="15">
        <v>0</v>
      </c>
      <c r="Z7" s="12" t="s">
        <v>111</v>
      </c>
      <c r="AA7" s="12" t="s">
        <v>111</v>
      </c>
      <c r="AB7" s="12">
        <v>1</v>
      </c>
      <c r="AC7" s="16">
        <v>44621</v>
      </c>
      <c r="AD7" s="16">
        <v>46082</v>
      </c>
      <c r="AE7" s="17">
        <f>2592.78-2163.42</f>
        <v>429.36000000000013</v>
      </c>
      <c r="AF7" s="17">
        <v>0</v>
      </c>
      <c r="AG7" s="17">
        <v>53.34</v>
      </c>
      <c r="AH7" s="10" t="s">
        <v>112</v>
      </c>
      <c r="AI7" s="11">
        <v>134.88</v>
      </c>
      <c r="AJ7" s="10" t="s">
        <v>113</v>
      </c>
      <c r="AK7" s="10" t="s">
        <v>114</v>
      </c>
      <c r="AL7" s="18">
        <v>0</v>
      </c>
      <c r="AM7" s="12" t="s">
        <v>52</v>
      </c>
      <c r="AN7" s="11"/>
      <c r="AO7" s="19">
        <v>41239</v>
      </c>
      <c r="AP7" s="27">
        <v>44197</v>
      </c>
      <c r="AQ7" s="28" t="s">
        <v>75</v>
      </c>
    </row>
    <row r="8" spans="1:44">
      <c r="A8" s="40" t="s">
        <v>249</v>
      </c>
      <c r="B8" t="s">
        <v>115</v>
      </c>
      <c r="C8" s="10" t="s">
        <v>116</v>
      </c>
      <c r="D8" s="11">
        <v>1150</v>
      </c>
      <c r="E8" s="11">
        <v>119</v>
      </c>
      <c r="F8" t="s">
        <v>117</v>
      </c>
      <c r="G8" t="s">
        <v>118</v>
      </c>
      <c r="H8" t="s">
        <v>119</v>
      </c>
      <c r="I8" t="s">
        <v>120</v>
      </c>
      <c r="J8" s="29" t="s">
        <v>121</v>
      </c>
      <c r="K8" t="s">
        <v>122</v>
      </c>
      <c r="L8" s="13" t="s">
        <v>123</v>
      </c>
      <c r="M8" s="10" t="s">
        <v>124</v>
      </c>
      <c r="N8" s="22">
        <v>4</v>
      </c>
      <c r="O8" s="10">
        <v>2</v>
      </c>
      <c r="P8" t="s">
        <v>52</v>
      </c>
      <c r="Q8" t="s">
        <v>125</v>
      </c>
      <c r="R8" s="12" t="s">
        <v>111</v>
      </c>
      <c r="S8" s="23" t="s">
        <v>111</v>
      </c>
      <c r="T8" s="14">
        <v>0</v>
      </c>
      <c r="U8" s="23" t="s">
        <v>111</v>
      </c>
      <c r="V8" s="23" t="s">
        <v>111</v>
      </c>
      <c r="W8" s="14">
        <v>0</v>
      </c>
      <c r="X8" s="15">
        <v>0</v>
      </c>
      <c r="Y8" s="15">
        <v>0</v>
      </c>
      <c r="Z8" s="23" t="s">
        <v>111</v>
      </c>
      <c r="AA8" s="23" t="s">
        <v>111</v>
      </c>
      <c r="AB8" s="12"/>
      <c r="AC8" s="12"/>
      <c r="AD8" s="12"/>
      <c r="AE8" s="17">
        <v>0</v>
      </c>
      <c r="AF8" s="17">
        <v>0</v>
      </c>
      <c r="AG8" s="17">
        <v>95.43</v>
      </c>
      <c r="AH8" s="10" t="s">
        <v>57</v>
      </c>
      <c r="AI8" s="11">
        <v>134.88</v>
      </c>
      <c r="AJ8" s="10" t="s">
        <v>126</v>
      </c>
      <c r="AK8" s="10" t="s">
        <v>127</v>
      </c>
      <c r="AL8" s="18">
        <v>0</v>
      </c>
      <c r="AM8" s="12" t="s">
        <v>52</v>
      </c>
      <c r="AN8" s="24">
        <v>1000</v>
      </c>
      <c r="AO8" s="19">
        <v>43160</v>
      </c>
      <c r="AP8" t="s">
        <v>128</v>
      </c>
      <c r="AQ8" s="25" t="s">
        <v>129</v>
      </c>
    </row>
    <row r="9" spans="1:44">
      <c r="A9" s="41" t="s">
        <v>250</v>
      </c>
      <c r="B9" s="30" t="s">
        <v>130</v>
      </c>
      <c r="C9" s="31" t="s">
        <v>131</v>
      </c>
      <c r="D9" s="32">
        <v>41710</v>
      </c>
      <c r="E9" s="33">
        <v>119</v>
      </c>
      <c r="F9" s="30" t="s">
        <v>132</v>
      </c>
      <c r="G9" s="30" t="s">
        <v>133</v>
      </c>
      <c r="H9" s="30" t="s">
        <v>134</v>
      </c>
      <c r="I9" s="30" t="s">
        <v>135</v>
      </c>
      <c r="J9" s="34" t="s">
        <v>136</v>
      </c>
      <c r="K9" s="30" t="s">
        <v>137</v>
      </c>
      <c r="L9" s="62" t="s">
        <v>138</v>
      </c>
      <c r="M9" s="10" t="s">
        <v>139</v>
      </c>
      <c r="N9" s="22">
        <v>150</v>
      </c>
      <c r="O9" s="10">
        <v>86</v>
      </c>
      <c r="P9" t="s">
        <v>52</v>
      </c>
      <c r="Q9" t="s">
        <v>52</v>
      </c>
      <c r="R9" s="12" t="s">
        <v>53</v>
      </c>
      <c r="S9" s="12" t="s">
        <v>54</v>
      </c>
      <c r="T9" s="35"/>
      <c r="U9" s="12" t="s">
        <v>53</v>
      </c>
      <c r="V9" s="23" t="s">
        <v>54</v>
      </c>
      <c r="W9" s="14">
        <v>0</v>
      </c>
      <c r="X9" s="15">
        <v>0.15779000000000001</v>
      </c>
      <c r="Y9" s="15">
        <v>0.12237000000000001</v>
      </c>
      <c r="Z9" s="12" t="s">
        <v>55</v>
      </c>
      <c r="AA9" s="12" t="s">
        <v>140</v>
      </c>
      <c r="AB9" s="12">
        <v>4</v>
      </c>
      <c r="AC9" s="16">
        <v>44621</v>
      </c>
      <c r="AD9" s="16">
        <v>46082</v>
      </c>
      <c r="AE9" s="17">
        <f>85654.07-71675.57</f>
        <v>13978.5</v>
      </c>
      <c r="AF9" s="17">
        <v>0</v>
      </c>
      <c r="AG9" s="17">
        <v>207.61</v>
      </c>
      <c r="AH9" s="10" t="s">
        <v>141</v>
      </c>
      <c r="AI9" s="64">
        <v>845.56</v>
      </c>
      <c r="AJ9" s="60" t="s">
        <v>142</v>
      </c>
      <c r="AK9" s="10" t="s">
        <v>59</v>
      </c>
      <c r="AL9" s="18">
        <v>237</v>
      </c>
      <c r="AM9" s="12"/>
      <c r="AN9" s="11"/>
      <c r="AO9" s="19">
        <v>43591</v>
      </c>
      <c r="AP9" s="36">
        <v>45396</v>
      </c>
      <c r="AR9" s="58" t="s">
        <v>143</v>
      </c>
    </row>
    <row r="10" spans="1:44">
      <c r="A10" s="41" t="s">
        <v>250</v>
      </c>
      <c r="B10" s="30" t="s">
        <v>144</v>
      </c>
      <c r="C10" s="31" t="s">
        <v>131</v>
      </c>
      <c r="D10" s="32">
        <v>1500</v>
      </c>
      <c r="E10" s="33">
        <v>119</v>
      </c>
      <c r="F10" s="30" t="s">
        <v>132</v>
      </c>
      <c r="G10" s="30" t="s">
        <v>133</v>
      </c>
      <c r="H10" s="30" t="s">
        <v>134</v>
      </c>
      <c r="I10" s="30" t="s">
        <v>135</v>
      </c>
      <c r="J10" s="34" t="s">
        <v>136</v>
      </c>
      <c r="K10" s="30" t="s">
        <v>137</v>
      </c>
      <c r="L10" s="63"/>
      <c r="M10" s="10" t="s">
        <v>139</v>
      </c>
      <c r="N10" s="22"/>
      <c r="O10" s="10"/>
      <c r="P10" t="s">
        <v>52</v>
      </c>
      <c r="Q10" t="s">
        <v>52</v>
      </c>
      <c r="R10" s="12" t="s">
        <v>53</v>
      </c>
      <c r="S10" s="12" t="s">
        <v>54</v>
      </c>
      <c r="T10" s="35"/>
      <c r="U10" s="12" t="s">
        <v>53</v>
      </c>
      <c r="V10" s="23" t="s">
        <v>54</v>
      </c>
      <c r="W10" s="14">
        <v>0</v>
      </c>
      <c r="X10" s="15">
        <v>0.15779000000000001</v>
      </c>
      <c r="Y10" s="15">
        <v>0.12237000000000001</v>
      </c>
      <c r="Z10" s="12" t="s">
        <v>55</v>
      </c>
      <c r="AA10" s="23" t="s">
        <v>140</v>
      </c>
      <c r="AB10" s="12">
        <v>4</v>
      </c>
      <c r="AC10" s="16" t="s">
        <v>145</v>
      </c>
      <c r="AD10" s="16">
        <v>46082</v>
      </c>
      <c r="AE10" s="17">
        <v>0</v>
      </c>
      <c r="AF10" s="17">
        <v>0</v>
      </c>
      <c r="AG10" s="17">
        <v>0</v>
      </c>
      <c r="AH10" s="10" t="s">
        <v>146</v>
      </c>
      <c r="AI10" s="58"/>
      <c r="AJ10" s="60"/>
      <c r="AK10" s="10" t="s">
        <v>59</v>
      </c>
      <c r="AL10" s="18">
        <v>395</v>
      </c>
      <c r="AM10" s="12"/>
      <c r="AN10" s="11"/>
      <c r="AO10" s="19">
        <v>43891</v>
      </c>
      <c r="AP10" s="36">
        <v>45396</v>
      </c>
      <c r="AR10" s="58"/>
    </row>
    <row r="11" spans="1:44">
      <c r="A11" s="40" t="s">
        <v>251</v>
      </c>
      <c r="B11" t="s">
        <v>147</v>
      </c>
      <c r="C11" s="10" t="s">
        <v>148</v>
      </c>
      <c r="D11" s="11">
        <v>1825</v>
      </c>
      <c r="E11" s="11">
        <v>119</v>
      </c>
      <c r="F11" t="s">
        <v>149</v>
      </c>
      <c r="G11" t="s">
        <v>150</v>
      </c>
      <c r="H11" t="s">
        <v>151</v>
      </c>
      <c r="I11" t="s">
        <v>148</v>
      </c>
      <c r="J11" t="s">
        <v>152</v>
      </c>
      <c r="K11" t="s">
        <v>153</v>
      </c>
      <c r="L11" s="13" t="s">
        <v>154</v>
      </c>
      <c r="M11" t="s">
        <v>155</v>
      </c>
      <c r="N11" s="10">
        <v>8</v>
      </c>
      <c r="O11" s="10">
        <v>5</v>
      </c>
      <c r="P11" t="s">
        <v>52</v>
      </c>
      <c r="Q11" t="s">
        <v>125</v>
      </c>
      <c r="R11" s="12" t="s">
        <v>111</v>
      </c>
      <c r="S11" s="12" t="s">
        <v>111</v>
      </c>
      <c r="T11" s="14">
        <v>0</v>
      </c>
      <c r="U11" s="12" t="s">
        <v>111</v>
      </c>
      <c r="V11" s="12" t="s">
        <v>111</v>
      </c>
      <c r="W11" s="14">
        <v>0</v>
      </c>
      <c r="X11" s="15">
        <v>0</v>
      </c>
      <c r="Y11" s="15">
        <v>0</v>
      </c>
      <c r="Z11" s="12" t="s">
        <v>111</v>
      </c>
      <c r="AA11" s="12" t="s">
        <v>111</v>
      </c>
      <c r="AB11" s="12"/>
      <c r="AC11" s="12"/>
      <c r="AD11" s="12"/>
      <c r="AE11" s="17">
        <v>0</v>
      </c>
      <c r="AF11" s="17">
        <v>0</v>
      </c>
      <c r="AG11" s="17">
        <v>22.83</v>
      </c>
      <c r="AH11" s="10" t="s">
        <v>156</v>
      </c>
      <c r="AI11" s="11">
        <f>377.66/3</f>
        <v>125.88666666666667</v>
      </c>
      <c r="AJ11" s="10" t="s">
        <v>157</v>
      </c>
      <c r="AK11" s="10" t="s">
        <v>59</v>
      </c>
      <c r="AL11" s="18">
        <v>79</v>
      </c>
      <c r="AM11" s="12" t="s">
        <v>52</v>
      </c>
      <c r="AN11" s="24">
        <v>1750</v>
      </c>
      <c r="AO11" s="19">
        <v>43079</v>
      </c>
      <c r="AP11" t="s">
        <v>60</v>
      </c>
      <c r="AQ11" t="s">
        <v>158</v>
      </c>
      <c r="AR11" t="s">
        <v>159</v>
      </c>
    </row>
    <row r="12" spans="1:44">
      <c r="A12" s="40" t="s">
        <v>252</v>
      </c>
      <c r="B12" t="s">
        <v>160</v>
      </c>
      <c r="C12" s="10" t="s">
        <v>161</v>
      </c>
      <c r="D12" s="11">
        <v>1800</v>
      </c>
      <c r="E12" s="11">
        <v>119</v>
      </c>
      <c r="F12" t="s">
        <v>162</v>
      </c>
      <c r="G12" t="s">
        <v>163</v>
      </c>
      <c r="H12" t="s">
        <v>164</v>
      </c>
      <c r="I12" t="s">
        <v>165</v>
      </c>
      <c r="J12" t="s">
        <v>106</v>
      </c>
      <c r="K12" t="s">
        <v>166</v>
      </c>
      <c r="L12" s="13" t="s">
        <v>167</v>
      </c>
      <c r="M12" s="10" t="s">
        <v>168</v>
      </c>
      <c r="N12" s="10">
        <v>7</v>
      </c>
      <c r="O12" s="10">
        <v>4</v>
      </c>
      <c r="P12" t="s">
        <v>85</v>
      </c>
      <c r="Q12" t="s">
        <v>52</v>
      </c>
      <c r="R12" s="12" t="s">
        <v>53</v>
      </c>
      <c r="S12" s="23" t="s">
        <v>54</v>
      </c>
      <c r="T12" s="14">
        <v>0.80162</v>
      </c>
      <c r="U12" s="12" t="s">
        <v>53</v>
      </c>
      <c r="V12" s="23" t="s">
        <v>54</v>
      </c>
      <c r="W12" s="14">
        <v>0</v>
      </c>
      <c r="X12" s="15">
        <v>0.29319000000000001</v>
      </c>
      <c r="Y12" s="15">
        <v>0.16794000000000001</v>
      </c>
      <c r="Z12" s="23" t="s">
        <v>55</v>
      </c>
      <c r="AA12" s="12" t="s">
        <v>56</v>
      </c>
      <c r="AB12" s="12">
        <v>4</v>
      </c>
      <c r="AC12" s="16">
        <v>44621</v>
      </c>
      <c r="AD12" s="16">
        <v>46082</v>
      </c>
      <c r="AE12" s="17">
        <f>3780.09-3170.42</f>
        <v>609.67000000000007</v>
      </c>
      <c r="AF12" s="17">
        <v>0</v>
      </c>
      <c r="AG12" s="17">
        <v>97.4</v>
      </c>
      <c r="AH12" s="10" t="s">
        <v>73</v>
      </c>
      <c r="AI12" s="11">
        <f>188.85/3</f>
        <v>62.949999999999996</v>
      </c>
      <c r="AJ12" s="10" t="s">
        <v>169</v>
      </c>
      <c r="AK12" s="10" t="s">
        <v>59</v>
      </c>
      <c r="AL12" s="18">
        <v>79</v>
      </c>
      <c r="AM12" s="12" t="s">
        <v>52</v>
      </c>
      <c r="AN12" s="11"/>
      <c r="AO12" s="19">
        <v>41239</v>
      </c>
      <c r="AP12" t="s">
        <v>60</v>
      </c>
    </row>
    <row r="13" spans="1:44" ht="17">
      <c r="A13" s="20" t="s">
        <v>253</v>
      </c>
      <c r="B13" t="s">
        <v>170</v>
      </c>
      <c r="C13" s="10" t="s">
        <v>161</v>
      </c>
      <c r="D13" s="11">
        <v>1800</v>
      </c>
      <c r="E13" s="11">
        <v>119</v>
      </c>
      <c r="F13" t="s">
        <v>162</v>
      </c>
      <c r="G13" t="s">
        <v>163</v>
      </c>
      <c r="H13" t="s">
        <v>164</v>
      </c>
      <c r="I13" t="s">
        <v>165</v>
      </c>
      <c r="J13" t="s">
        <v>106</v>
      </c>
      <c r="K13" t="s">
        <v>166</v>
      </c>
      <c r="L13" s="13" t="s">
        <v>167</v>
      </c>
      <c r="M13" s="10" t="s">
        <v>168</v>
      </c>
      <c r="N13" s="10">
        <v>5</v>
      </c>
      <c r="O13" s="10">
        <v>3</v>
      </c>
      <c r="R13" s="12" t="s">
        <v>111</v>
      </c>
      <c r="S13" s="23"/>
      <c r="T13" s="14"/>
      <c r="U13" s="12" t="s">
        <v>110</v>
      </c>
      <c r="V13" s="23" t="s">
        <v>110</v>
      </c>
      <c r="W13" s="14"/>
      <c r="X13" s="15"/>
      <c r="Y13" s="15"/>
      <c r="Z13" s="23"/>
      <c r="AA13" s="12"/>
      <c r="AB13" s="12"/>
      <c r="AC13" s="16">
        <v>45659</v>
      </c>
      <c r="AD13" s="16"/>
      <c r="AE13" s="17">
        <v>200</v>
      </c>
      <c r="AF13" s="17"/>
      <c r="AG13" s="17"/>
      <c r="AH13" s="10" t="s">
        <v>73</v>
      </c>
      <c r="AI13" s="11">
        <f>188.85/3</f>
        <v>62.949999999999996</v>
      </c>
      <c r="AJ13" s="10"/>
      <c r="AK13" s="10" t="s">
        <v>59</v>
      </c>
      <c r="AL13" s="18">
        <v>79</v>
      </c>
      <c r="AM13" s="12" t="s">
        <v>52</v>
      </c>
      <c r="AN13" s="11">
        <v>3600</v>
      </c>
      <c r="AO13" s="19">
        <v>45659</v>
      </c>
    </row>
    <row r="14" spans="1:44">
      <c r="A14" s="40" t="s">
        <v>254</v>
      </c>
      <c r="B14" t="s">
        <v>171</v>
      </c>
      <c r="C14" s="10" t="s">
        <v>172</v>
      </c>
      <c r="D14" s="11">
        <v>2600</v>
      </c>
      <c r="E14" s="11">
        <v>119</v>
      </c>
      <c r="F14" t="s">
        <v>173</v>
      </c>
      <c r="G14" t="s">
        <v>174</v>
      </c>
      <c r="H14" t="s">
        <v>175</v>
      </c>
      <c r="I14" t="s">
        <v>176</v>
      </c>
      <c r="J14" t="s">
        <v>177</v>
      </c>
      <c r="K14" t="s">
        <v>178</v>
      </c>
      <c r="L14" s="21" t="s">
        <v>179</v>
      </c>
      <c r="M14" s="10" t="s">
        <v>180</v>
      </c>
      <c r="N14" s="10">
        <v>8</v>
      </c>
      <c r="O14" s="10">
        <v>4</v>
      </c>
      <c r="P14" t="s">
        <v>52</v>
      </c>
      <c r="Q14" t="s">
        <v>125</v>
      </c>
      <c r="R14" s="12" t="s">
        <v>111</v>
      </c>
      <c r="S14" s="12" t="s">
        <v>111</v>
      </c>
      <c r="T14" s="14">
        <v>0</v>
      </c>
      <c r="U14" s="12" t="s">
        <v>111</v>
      </c>
      <c r="V14" s="12" t="s">
        <v>111</v>
      </c>
      <c r="W14" s="14">
        <v>0</v>
      </c>
      <c r="X14" s="15">
        <v>0</v>
      </c>
      <c r="Y14" s="15">
        <v>0</v>
      </c>
      <c r="Z14" s="12" t="s">
        <v>111</v>
      </c>
      <c r="AA14" s="12" t="s">
        <v>111</v>
      </c>
      <c r="AB14" s="12"/>
      <c r="AC14" s="12"/>
      <c r="AD14" s="12"/>
      <c r="AE14" s="17">
        <v>0</v>
      </c>
      <c r="AF14" s="17">
        <v>0</v>
      </c>
      <c r="AG14" s="17">
        <v>77.459999999999994</v>
      </c>
      <c r="AH14" s="10" t="s">
        <v>181</v>
      </c>
      <c r="AI14" s="11">
        <f>377.66/3</f>
        <v>125.88666666666667</v>
      </c>
      <c r="AJ14" s="10" t="s">
        <v>182</v>
      </c>
      <c r="AK14" s="10" t="s">
        <v>59</v>
      </c>
      <c r="AL14" s="18">
        <v>79</v>
      </c>
      <c r="AM14" s="12"/>
      <c r="AN14" s="11"/>
      <c r="AO14" s="36">
        <v>42826</v>
      </c>
      <c r="AP14" t="s">
        <v>60</v>
      </c>
    </row>
    <row r="15" spans="1:44" ht="17">
      <c r="A15" s="20" t="s">
        <v>255</v>
      </c>
      <c r="B15" t="s">
        <v>183</v>
      </c>
      <c r="C15" s="10" t="s">
        <v>184</v>
      </c>
      <c r="D15" s="11">
        <v>2020</v>
      </c>
      <c r="E15" s="11">
        <v>119</v>
      </c>
      <c r="F15" t="s">
        <v>185</v>
      </c>
      <c r="G15" t="s">
        <v>186</v>
      </c>
      <c r="H15" t="s">
        <v>187</v>
      </c>
      <c r="I15" t="s">
        <v>188</v>
      </c>
      <c r="J15" t="s">
        <v>177</v>
      </c>
      <c r="K15" t="s">
        <v>189</v>
      </c>
      <c r="L15" s="21" t="s">
        <v>190</v>
      </c>
      <c r="M15" s="10" t="s">
        <v>191</v>
      </c>
      <c r="N15" s="10">
        <v>7</v>
      </c>
      <c r="O15" s="10">
        <v>4</v>
      </c>
      <c r="P15" t="s">
        <v>52</v>
      </c>
      <c r="Q15" t="s">
        <v>52</v>
      </c>
      <c r="R15" s="12" t="s">
        <v>53</v>
      </c>
      <c r="S15" s="23" t="s">
        <v>54</v>
      </c>
      <c r="T15" s="14">
        <v>0.80162</v>
      </c>
      <c r="U15" s="12" t="s">
        <v>53</v>
      </c>
      <c r="V15" s="12" t="s">
        <v>54</v>
      </c>
      <c r="W15" s="14">
        <v>0</v>
      </c>
      <c r="X15" s="15">
        <v>0.29319000000000001</v>
      </c>
      <c r="Y15" s="15">
        <v>0.16794000000000001</v>
      </c>
      <c r="Z15" s="12" t="s">
        <v>111</v>
      </c>
      <c r="AA15" s="12" t="s">
        <v>111</v>
      </c>
      <c r="AB15" s="12">
        <v>4</v>
      </c>
      <c r="AC15" s="16">
        <v>44621</v>
      </c>
      <c r="AD15" s="16">
        <v>46082</v>
      </c>
      <c r="AE15" s="17">
        <f>6129.86-5496.99</f>
        <v>632.86999999999989</v>
      </c>
      <c r="AF15" s="17">
        <v>0</v>
      </c>
      <c r="AG15" s="17">
        <f>32.11+15.37</f>
        <v>47.48</v>
      </c>
      <c r="AH15" s="10" t="s">
        <v>181</v>
      </c>
      <c r="AI15" s="11">
        <f>377.66/3</f>
        <v>125.88666666666667</v>
      </c>
      <c r="AJ15" s="10" t="s">
        <v>192</v>
      </c>
      <c r="AK15" s="10"/>
      <c r="AL15" s="18">
        <v>79</v>
      </c>
      <c r="AM15" s="12"/>
      <c r="AN15" s="11"/>
      <c r="AO15" s="36">
        <v>44256</v>
      </c>
    </row>
    <row r="16" spans="1:44">
      <c r="A16" s="40" t="s">
        <v>256</v>
      </c>
      <c r="B16" t="s">
        <v>193</v>
      </c>
      <c r="C16" s="10" t="s">
        <v>194</v>
      </c>
      <c r="D16" s="11">
        <v>850</v>
      </c>
      <c r="E16" s="11">
        <v>119</v>
      </c>
      <c r="F16" t="s">
        <v>195</v>
      </c>
      <c r="G16" t="s">
        <v>196</v>
      </c>
      <c r="H16" t="s">
        <v>197</v>
      </c>
      <c r="I16" t="s">
        <v>198</v>
      </c>
      <c r="J16" t="s">
        <v>152</v>
      </c>
      <c r="K16" t="s">
        <v>199</v>
      </c>
      <c r="L16" s="21" t="s">
        <v>200</v>
      </c>
      <c r="M16" s="10" t="s">
        <v>201</v>
      </c>
      <c r="N16" s="22"/>
      <c r="O16" s="10"/>
      <c r="R16" s="12"/>
      <c r="S16" s="23"/>
      <c r="T16" s="14"/>
      <c r="U16" s="12"/>
      <c r="V16" s="12"/>
      <c r="W16" s="14"/>
      <c r="X16" s="15"/>
      <c r="Y16" s="15"/>
      <c r="Z16" s="12"/>
      <c r="AA16" s="12"/>
      <c r="AB16" s="12"/>
      <c r="AC16" s="16"/>
      <c r="AD16" s="16"/>
      <c r="AE16" s="17"/>
      <c r="AF16" s="17"/>
      <c r="AG16" s="17"/>
      <c r="AH16" s="10"/>
      <c r="AI16" s="59">
        <v>138.19999999999999</v>
      </c>
      <c r="AJ16" s="60" t="s">
        <v>202</v>
      </c>
      <c r="AK16" s="10"/>
      <c r="AL16" s="18"/>
      <c r="AM16" s="12"/>
      <c r="AN16" s="11"/>
      <c r="AO16" s="36">
        <v>45231</v>
      </c>
      <c r="AP16" s="36">
        <v>45961</v>
      </c>
      <c r="AQ16" t="s">
        <v>129</v>
      </c>
    </row>
    <row r="17" spans="1:44" ht="17">
      <c r="A17" s="20" t="s">
        <v>257</v>
      </c>
      <c r="B17" t="s">
        <v>203</v>
      </c>
      <c r="C17" s="10" t="s">
        <v>194</v>
      </c>
      <c r="D17" s="11">
        <v>1500</v>
      </c>
      <c r="E17" s="11">
        <v>119</v>
      </c>
      <c r="F17" t="s">
        <v>195</v>
      </c>
      <c r="G17" t="s">
        <v>196</v>
      </c>
      <c r="H17" t="s">
        <v>197</v>
      </c>
      <c r="I17" t="s">
        <v>198</v>
      </c>
      <c r="J17" t="s">
        <v>152</v>
      </c>
      <c r="K17" t="s">
        <v>199</v>
      </c>
      <c r="L17" s="21" t="s">
        <v>200</v>
      </c>
      <c r="M17" s="10" t="s">
        <v>201</v>
      </c>
      <c r="N17" s="10"/>
      <c r="O17" s="10"/>
      <c r="R17" s="12"/>
      <c r="S17" s="23"/>
      <c r="T17" s="14"/>
      <c r="U17" s="12"/>
      <c r="V17" s="12"/>
      <c r="W17" s="14"/>
      <c r="X17" s="15"/>
      <c r="Y17" s="15"/>
      <c r="Z17" s="12"/>
      <c r="AA17" s="12"/>
      <c r="AB17" s="12"/>
      <c r="AC17" s="16"/>
      <c r="AD17" s="16"/>
      <c r="AE17" s="17">
        <v>0</v>
      </c>
      <c r="AF17" s="17"/>
      <c r="AG17" s="17"/>
      <c r="AH17" s="10" t="s">
        <v>57</v>
      </c>
      <c r="AI17" s="58"/>
      <c r="AJ17" s="60"/>
      <c r="AK17" s="10"/>
      <c r="AL17" s="18"/>
      <c r="AM17" s="12"/>
      <c r="AN17" s="11"/>
      <c r="AO17" s="36">
        <v>45108</v>
      </c>
      <c r="AP17" s="36">
        <v>46568</v>
      </c>
      <c r="AQ17" t="s">
        <v>129</v>
      </c>
      <c r="AR17" t="s">
        <v>204</v>
      </c>
    </row>
    <row r="18" spans="1:44" ht="17">
      <c r="A18" s="20" t="s">
        <v>258</v>
      </c>
      <c r="B18" t="s">
        <v>205</v>
      </c>
      <c r="C18" s="10" t="s">
        <v>206</v>
      </c>
      <c r="D18" s="11">
        <v>1300</v>
      </c>
      <c r="E18" s="11">
        <v>119</v>
      </c>
      <c r="F18" t="s">
        <v>207</v>
      </c>
      <c r="G18" t="s">
        <v>208</v>
      </c>
      <c r="H18" t="s">
        <v>209</v>
      </c>
      <c r="I18" t="s">
        <v>210</v>
      </c>
      <c r="J18" s="29" t="s">
        <v>211</v>
      </c>
      <c r="K18" t="s">
        <v>212</v>
      </c>
      <c r="L18" s="13" t="s">
        <v>213</v>
      </c>
      <c r="M18" s="10" t="s">
        <v>214</v>
      </c>
      <c r="N18" s="10">
        <v>4</v>
      </c>
      <c r="O18" s="10">
        <v>2</v>
      </c>
      <c r="P18" t="s">
        <v>52</v>
      </c>
      <c r="R18" s="12" t="s">
        <v>53</v>
      </c>
      <c r="S18" s="23" t="s">
        <v>54</v>
      </c>
      <c r="T18" s="14">
        <v>1.4824900000000001</v>
      </c>
      <c r="U18" s="12" t="s">
        <v>53</v>
      </c>
      <c r="V18" s="23" t="s">
        <v>54</v>
      </c>
      <c r="W18" s="14">
        <v>0</v>
      </c>
      <c r="X18" s="15">
        <v>0.28377999999999998</v>
      </c>
      <c r="Y18" s="15">
        <v>0.24836</v>
      </c>
      <c r="Z18" s="23" t="s">
        <v>55</v>
      </c>
      <c r="AA18" s="12" t="s">
        <v>56</v>
      </c>
      <c r="AB18" s="12">
        <v>4</v>
      </c>
      <c r="AC18" s="16">
        <v>44958</v>
      </c>
      <c r="AD18" s="16">
        <v>46082</v>
      </c>
      <c r="AE18" s="17">
        <v>6.7</v>
      </c>
      <c r="AF18" s="17">
        <v>0</v>
      </c>
      <c r="AG18" s="17">
        <v>0</v>
      </c>
      <c r="AH18" s="10"/>
      <c r="AI18" s="11">
        <v>0</v>
      </c>
      <c r="AJ18" s="10"/>
      <c r="AK18" s="10"/>
      <c r="AL18" s="18"/>
      <c r="AM18" s="12" t="s">
        <v>52</v>
      </c>
      <c r="AN18" s="11">
        <v>1300</v>
      </c>
      <c r="AO18" s="19">
        <v>44927</v>
      </c>
      <c r="AP18" s="36">
        <v>45291</v>
      </c>
      <c r="AQ18" t="s">
        <v>129</v>
      </c>
    </row>
    <row r="19" spans="1:44" ht="17">
      <c r="A19" s="20" t="s">
        <v>259</v>
      </c>
      <c r="B19" t="s">
        <v>215</v>
      </c>
      <c r="C19" s="10" t="s">
        <v>206</v>
      </c>
      <c r="D19" s="11">
        <v>1950</v>
      </c>
      <c r="E19" s="11">
        <v>119</v>
      </c>
      <c r="F19" t="s">
        <v>207</v>
      </c>
      <c r="G19" t="s">
        <v>208</v>
      </c>
      <c r="H19" t="s">
        <v>209</v>
      </c>
      <c r="I19" t="s">
        <v>210</v>
      </c>
      <c r="J19" s="29" t="s">
        <v>211</v>
      </c>
      <c r="K19" t="s">
        <v>212</v>
      </c>
      <c r="L19" s="13" t="s">
        <v>213</v>
      </c>
      <c r="M19" s="10" t="s">
        <v>214</v>
      </c>
      <c r="N19" s="10">
        <v>6</v>
      </c>
      <c r="O19" s="10">
        <v>3</v>
      </c>
      <c r="P19" t="s">
        <v>52</v>
      </c>
      <c r="R19" s="12" t="s">
        <v>53</v>
      </c>
      <c r="S19" s="23" t="s">
        <v>54</v>
      </c>
      <c r="T19" s="14">
        <v>1.4824900000000001</v>
      </c>
      <c r="U19" s="12" t="s">
        <v>53</v>
      </c>
      <c r="V19" s="23" t="s">
        <v>54</v>
      </c>
      <c r="W19" s="14">
        <v>0</v>
      </c>
      <c r="X19" s="15">
        <v>0.28377999999999998</v>
      </c>
      <c r="Y19" s="15">
        <v>0.24836</v>
      </c>
      <c r="Z19" s="23" t="s">
        <v>55</v>
      </c>
      <c r="AA19" s="12" t="s">
        <v>56</v>
      </c>
      <c r="AB19" s="12">
        <v>4</v>
      </c>
      <c r="AC19" s="16">
        <v>44958</v>
      </c>
      <c r="AD19" s="16">
        <v>46082</v>
      </c>
      <c r="AE19" s="17">
        <v>6.7</v>
      </c>
      <c r="AF19" s="17">
        <v>0</v>
      </c>
      <c r="AG19" s="17">
        <v>0</v>
      </c>
      <c r="AH19" s="10"/>
      <c r="AI19" s="11">
        <v>0</v>
      </c>
      <c r="AJ19" s="10"/>
      <c r="AK19" s="10"/>
      <c r="AL19" s="18"/>
      <c r="AM19" s="12" t="s">
        <v>52</v>
      </c>
      <c r="AN19" s="11">
        <v>1950</v>
      </c>
      <c r="AO19" s="19">
        <v>44927</v>
      </c>
      <c r="AP19" s="36">
        <v>45291</v>
      </c>
      <c r="AQ19" t="s">
        <v>129</v>
      </c>
    </row>
    <row r="20" spans="1:44" ht="17">
      <c r="A20" s="20" t="s">
        <v>260</v>
      </c>
      <c r="B20" t="s">
        <v>216</v>
      </c>
      <c r="C20" s="10" t="s">
        <v>217</v>
      </c>
      <c r="D20" s="11">
        <v>1733.33</v>
      </c>
      <c r="E20" s="11">
        <v>119</v>
      </c>
      <c r="F20" t="s">
        <v>218</v>
      </c>
      <c r="G20" t="s">
        <v>219</v>
      </c>
      <c r="H20" t="s">
        <v>220</v>
      </c>
      <c r="I20" t="s">
        <v>217</v>
      </c>
      <c r="J20" t="s">
        <v>48</v>
      </c>
      <c r="K20" t="s">
        <v>221</v>
      </c>
      <c r="L20" s="13" t="s">
        <v>222</v>
      </c>
      <c r="M20" t="s">
        <v>223</v>
      </c>
      <c r="N20" s="22">
        <v>4</v>
      </c>
      <c r="O20" s="10">
        <v>2</v>
      </c>
      <c r="P20" t="s">
        <v>52</v>
      </c>
      <c r="Q20" t="s">
        <v>52</v>
      </c>
      <c r="R20" s="12" t="s">
        <v>55</v>
      </c>
      <c r="S20" s="23" t="s">
        <v>224</v>
      </c>
      <c r="T20" s="14">
        <v>0.17602000000000001</v>
      </c>
      <c r="U20" s="12" t="s">
        <v>55</v>
      </c>
      <c r="V20" s="23" t="s">
        <v>224</v>
      </c>
      <c r="W20" s="14">
        <v>4.8300000000000003E-2</v>
      </c>
      <c r="X20" s="15">
        <v>5.4030000000000002E-2</v>
      </c>
      <c r="Y20" s="15">
        <v>4.2009999999999999E-2</v>
      </c>
      <c r="Z20" s="23" t="s">
        <v>55</v>
      </c>
      <c r="AA20" s="12" t="s">
        <v>56</v>
      </c>
      <c r="AB20" s="12">
        <v>5</v>
      </c>
      <c r="AC20" s="16">
        <v>44197</v>
      </c>
      <c r="AD20" s="16">
        <v>46022</v>
      </c>
      <c r="AE20" s="17">
        <v>0</v>
      </c>
      <c r="AF20" s="17">
        <v>0</v>
      </c>
      <c r="AG20" s="17">
        <v>43.58</v>
      </c>
      <c r="AH20" s="10" t="s">
        <v>73</v>
      </c>
      <c r="AI20" s="37">
        <f>166.43/3</f>
        <v>55.476666666666667</v>
      </c>
      <c r="AJ20" s="10" t="s">
        <v>225</v>
      </c>
      <c r="AK20" s="10" t="s">
        <v>146</v>
      </c>
      <c r="AL20" s="18">
        <v>0</v>
      </c>
      <c r="AM20" s="12"/>
      <c r="AN20" s="11"/>
      <c r="AO20" s="27">
        <v>43600</v>
      </c>
      <c r="AP20" s="27">
        <v>44695</v>
      </c>
      <c r="AQ20" s="25" t="s">
        <v>129</v>
      </c>
    </row>
    <row r="21" spans="1:44">
      <c r="A21" s="40" t="s">
        <v>261</v>
      </c>
      <c r="B21" t="s">
        <v>226</v>
      </c>
      <c r="C21" s="10" t="s">
        <v>227</v>
      </c>
      <c r="D21" s="11">
        <v>2000</v>
      </c>
      <c r="E21" s="11">
        <v>119</v>
      </c>
      <c r="F21" t="s">
        <v>228</v>
      </c>
      <c r="G21" t="s">
        <v>229</v>
      </c>
      <c r="H21" t="s">
        <v>230</v>
      </c>
      <c r="I21" t="s">
        <v>231</v>
      </c>
      <c r="J21" t="s">
        <v>152</v>
      </c>
      <c r="K21" t="s">
        <v>232</v>
      </c>
      <c r="L21" s="13" t="s">
        <v>233</v>
      </c>
      <c r="M21" s="10" t="s">
        <v>234</v>
      </c>
      <c r="N21" s="10">
        <v>7</v>
      </c>
      <c r="O21" s="10">
        <v>4</v>
      </c>
      <c r="P21" t="s">
        <v>52</v>
      </c>
      <c r="Q21" t="s">
        <v>52</v>
      </c>
      <c r="R21" s="12" t="s">
        <v>53</v>
      </c>
      <c r="S21" s="23" t="s">
        <v>54</v>
      </c>
      <c r="T21" s="14">
        <v>0.80162</v>
      </c>
      <c r="U21" s="12" t="s">
        <v>53</v>
      </c>
      <c r="V21" s="23" t="s">
        <v>54</v>
      </c>
      <c r="W21" s="14">
        <v>0</v>
      </c>
      <c r="X21" s="15">
        <v>0.29319000000000001</v>
      </c>
      <c r="Y21" s="15">
        <v>0.16794000000000001</v>
      </c>
      <c r="Z21" s="23" t="s">
        <v>55</v>
      </c>
      <c r="AA21" s="12" t="s">
        <v>56</v>
      </c>
      <c r="AB21" s="12">
        <v>4</v>
      </c>
      <c r="AC21" s="16">
        <v>44621</v>
      </c>
      <c r="AD21" s="16">
        <v>46082</v>
      </c>
      <c r="AE21" s="17">
        <f>3800.87-3167.11</f>
        <v>633.75999999999976</v>
      </c>
      <c r="AF21" s="17">
        <v>0</v>
      </c>
      <c r="AG21" s="17">
        <f>26.79+65.44</f>
        <v>92.22999999999999</v>
      </c>
      <c r="AH21" s="10" t="s">
        <v>181</v>
      </c>
      <c r="AI21" s="11">
        <v>377.66</v>
      </c>
      <c r="AJ21" s="10" t="s">
        <v>182</v>
      </c>
      <c r="AK21" s="10" t="s">
        <v>59</v>
      </c>
      <c r="AL21" s="18">
        <v>79</v>
      </c>
      <c r="AM21" s="12"/>
      <c r="AN21" s="24">
        <v>1400</v>
      </c>
      <c r="AO21" s="19">
        <v>41239</v>
      </c>
      <c r="AP21" t="s">
        <v>60</v>
      </c>
    </row>
    <row r="22" spans="1:44" ht="17">
      <c r="A22" s="20" t="s">
        <v>235</v>
      </c>
      <c r="B22" t="s">
        <v>236</v>
      </c>
      <c r="C22" s="10" t="s">
        <v>237</v>
      </c>
      <c r="D22" s="11">
        <v>2500</v>
      </c>
      <c r="E22" s="11">
        <v>119</v>
      </c>
      <c r="F22" t="s">
        <v>238</v>
      </c>
      <c r="G22" t="s">
        <v>219</v>
      </c>
      <c r="H22" t="s">
        <v>220</v>
      </c>
      <c r="I22" t="s">
        <v>217</v>
      </c>
      <c r="J22" s="29" t="s">
        <v>48</v>
      </c>
      <c r="K22" t="s">
        <v>221</v>
      </c>
      <c r="L22" s="13" t="s">
        <v>222</v>
      </c>
      <c r="M22" s="10" t="s">
        <v>239</v>
      </c>
      <c r="N22" s="10">
        <v>7</v>
      </c>
      <c r="O22" s="10">
        <v>4</v>
      </c>
      <c r="P22" t="s">
        <v>52</v>
      </c>
      <c r="Q22" s="10" t="s">
        <v>125</v>
      </c>
      <c r="R22" s="12" t="s">
        <v>111</v>
      </c>
      <c r="S22" s="12" t="s">
        <v>111</v>
      </c>
      <c r="T22" s="14">
        <v>0</v>
      </c>
      <c r="U22" s="12" t="s">
        <v>111</v>
      </c>
      <c r="V22" s="12" t="s">
        <v>111</v>
      </c>
      <c r="W22" s="14">
        <v>0</v>
      </c>
      <c r="X22" s="15">
        <v>0</v>
      </c>
      <c r="Y22" s="15">
        <v>0</v>
      </c>
      <c r="Z22" s="23" t="s">
        <v>55</v>
      </c>
      <c r="AA22" s="12" t="s">
        <v>56</v>
      </c>
      <c r="AB22" s="38">
        <v>5</v>
      </c>
      <c r="AC22" s="39">
        <v>44197</v>
      </c>
      <c r="AD22" s="39">
        <v>46022</v>
      </c>
      <c r="AE22" s="17">
        <v>48.21</v>
      </c>
      <c r="AF22" s="17">
        <v>0</v>
      </c>
      <c r="AG22" s="17">
        <v>63.99</v>
      </c>
      <c r="AH22" s="10"/>
      <c r="AI22" s="59">
        <v>373.6</v>
      </c>
      <c r="AJ22" s="10"/>
      <c r="AK22" s="10"/>
      <c r="AL22" s="18">
        <v>0</v>
      </c>
      <c r="AM22" s="12"/>
      <c r="AN22" s="11"/>
      <c r="AO22" s="19">
        <v>44927</v>
      </c>
      <c r="AP22" s="36">
        <v>46022</v>
      </c>
      <c r="AR22" s="58" t="s">
        <v>240</v>
      </c>
    </row>
    <row r="23" spans="1:44" ht="17">
      <c r="A23" s="20" t="s">
        <v>241</v>
      </c>
      <c r="B23" t="s">
        <v>242</v>
      </c>
      <c r="C23" s="10" t="s">
        <v>237</v>
      </c>
      <c r="D23" s="11">
        <v>2500</v>
      </c>
      <c r="E23" s="11">
        <v>119</v>
      </c>
      <c r="F23" t="s">
        <v>238</v>
      </c>
      <c r="G23" t="s">
        <v>219</v>
      </c>
      <c r="H23" t="s">
        <v>220</v>
      </c>
      <c r="I23" t="s">
        <v>217</v>
      </c>
      <c r="J23" s="29" t="s">
        <v>48</v>
      </c>
      <c r="K23" t="s">
        <v>221</v>
      </c>
      <c r="L23" s="13" t="s">
        <v>222</v>
      </c>
      <c r="M23" s="10" t="s">
        <v>239</v>
      </c>
      <c r="N23" s="10">
        <v>8</v>
      </c>
      <c r="O23" s="10">
        <v>4</v>
      </c>
      <c r="P23" t="s">
        <v>52</v>
      </c>
      <c r="Q23" s="10" t="s">
        <v>125</v>
      </c>
      <c r="R23" s="12" t="s">
        <v>111</v>
      </c>
      <c r="S23" s="12" t="s">
        <v>111</v>
      </c>
      <c r="T23" s="14">
        <v>0</v>
      </c>
      <c r="U23" s="12" t="s">
        <v>111</v>
      </c>
      <c r="V23" s="12" t="s">
        <v>111</v>
      </c>
      <c r="W23" s="14">
        <v>0</v>
      </c>
      <c r="X23" s="15">
        <v>0</v>
      </c>
      <c r="Y23" s="15">
        <v>0</v>
      </c>
      <c r="Z23" s="23" t="s">
        <v>55</v>
      </c>
      <c r="AA23" s="12" t="s">
        <v>56</v>
      </c>
      <c r="AB23" s="38">
        <v>5</v>
      </c>
      <c r="AC23" s="39">
        <v>44197</v>
      </c>
      <c r="AD23" s="39">
        <v>46022</v>
      </c>
      <c r="AE23" s="17">
        <v>0</v>
      </c>
      <c r="AF23" s="17">
        <v>0</v>
      </c>
      <c r="AG23" s="17">
        <v>0</v>
      </c>
      <c r="AH23" s="10"/>
      <c r="AI23" s="58"/>
      <c r="AJ23" s="10"/>
      <c r="AK23" s="10"/>
      <c r="AL23" s="18">
        <v>0</v>
      </c>
      <c r="AM23" s="12"/>
      <c r="AN23" s="11"/>
      <c r="AO23" s="19">
        <v>44927</v>
      </c>
      <c r="AP23" s="36">
        <v>46022</v>
      </c>
      <c r="AR23" s="58"/>
    </row>
  </sheetData>
  <mergeCells count="11">
    <mergeCell ref="AH2:AH3"/>
    <mergeCell ref="AI2:AI3"/>
    <mergeCell ref="AJ2:AJ3"/>
    <mergeCell ref="L9:L10"/>
    <mergeCell ref="AI9:AI10"/>
    <mergeCell ref="AJ9:AJ10"/>
    <mergeCell ref="AR9:AR10"/>
    <mergeCell ref="AI16:AI17"/>
    <mergeCell ref="AJ16:AJ17"/>
    <mergeCell ref="AI22:AI23"/>
    <mergeCell ref="AR22:AR23"/>
  </mergeCells>
  <hyperlinks>
    <hyperlink ref="L15" r:id="rId1" display="info@jsvink.nl" xr:uid="{9956C1C6-45AC-BC42-ACAB-E6316502D871}"/>
    <hyperlink ref="L11" r:id="rId2" xr:uid="{0905B78A-697B-7342-BFC9-35F5DB8B8A34}"/>
    <hyperlink ref="L18" r:id="rId3" xr:uid="{31F8D260-D83A-9942-B341-532B4631E3FD}"/>
    <hyperlink ref="L19" r:id="rId4" xr:uid="{BDF6C886-3898-B14E-9951-C9FFF60C2E9F}"/>
    <hyperlink ref="L17" r:id="rId5" xr:uid="{6F824ECD-6F44-3845-BEB8-BF0927C09069}"/>
    <hyperlink ref="L7" r:id="rId6" xr:uid="{54509BEE-0BCF-484E-9C78-32BAAE038E42}"/>
    <hyperlink ref="L16" r:id="rId7" xr:uid="{504C5287-B249-D043-AF38-F6A5CC452140}"/>
    <hyperlink ref="L12" r:id="rId8" xr:uid="{1E4F1C47-F38C-664F-A4CC-89DE5E35C2FC}"/>
    <hyperlink ref="L13" r:id="rId9" xr:uid="{22A541D5-1F2A-354A-8FB6-F8B7D4A676AB}"/>
  </hyperlinks>
  <pageMargins left="0.7" right="0.7" top="0.75" bottom="0.75" header="0.3" footer="0.3"/>
  <pageSetup paperSize="9" orientation="portrait" horizontalDpi="0" verticalDpi="0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D4ED-CBB7-804E-AA05-5F320B473A7B}">
  <dimension ref="A1:J23"/>
  <sheetViews>
    <sheetView workbookViewId="0">
      <selection activeCell="C11" sqref="C11"/>
    </sheetView>
  </sheetViews>
  <sheetFormatPr baseColWidth="10" defaultRowHeight="16"/>
  <cols>
    <col min="2" max="2" width="13.1640625" bestFit="1" customWidth="1"/>
    <col min="3" max="3" width="36.33203125" bestFit="1" customWidth="1"/>
    <col min="4" max="4" width="19.6640625" bestFit="1" customWidth="1"/>
    <col min="5" max="5" width="25.1640625" bestFit="1" customWidth="1"/>
    <col min="6" max="6" width="8.33203125" bestFit="1" customWidth="1"/>
    <col min="7" max="7" width="15.1640625" bestFit="1" customWidth="1"/>
    <col min="8" max="8" width="36.1640625" bestFit="1" customWidth="1"/>
    <col min="9" max="9" width="50.1640625" bestFit="1" customWidth="1"/>
    <col min="10" max="10" width="42.5" bestFit="1" customWidth="1"/>
    <col min="11" max="11" width="4.1640625" bestFit="1" customWidth="1"/>
  </cols>
  <sheetData>
    <row r="1" spans="1:10">
      <c r="A1" t="s">
        <v>0</v>
      </c>
      <c r="B1" t="s">
        <v>262</v>
      </c>
      <c r="C1" s="1" t="s">
        <v>5</v>
      </c>
      <c r="D1" s="1" t="s">
        <v>6</v>
      </c>
      <c r="E1" s="1" t="s">
        <v>7</v>
      </c>
      <c r="F1" s="1" t="s">
        <v>2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>
      <c r="A2" s="42">
        <v>280</v>
      </c>
      <c r="B2" cm="1">
        <f t="array" ref="B2">_xlfn.XLOOKUP($A2,1*Sheet1!$A:$A,Sheet1!AE:AE,"",0)</f>
        <v>122.42000000000002</v>
      </c>
      <c r="C2" t="str" cm="1">
        <f t="array" ref="C2">_xlfn.XLOOKUP($A2,1*Sheet1!$A:$A,Sheet1!F:F,"",0)</f>
        <v>M. Nottet</v>
      </c>
      <c r="D2" t="str" cm="1">
        <f t="array" ref="D2">_xlfn.XLOOKUP($A2,1*Sheet1!$A:$A,Sheet1!G:G,"",0)</f>
        <v>M. Nottet</v>
      </c>
      <c r="E2" t="str" cm="1">
        <f t="array" ref="E2">_xlfn.XLOOKUP($A2,1*Sheet1!$A:$A,Sheet1!H:H,"",0)</f>
        <v>Kapittelland 16</v>
      </c>
      <c r="F2" t="str" cm="1">
        <f t="array" ref="F2">_xlfn.XLOOKUP($A2,1*Sheet1!$A:$A,Sheet1!I:I,"",0)</f>
        <v>3151 ZB</v>
      </c>
      <c r="G2" t="str" cm="1">
        <f t="array" ref="G2">_xlfn.XLOOKUP($A2,1*Sheet1!$A:$A,Sheet1!J:J,"",0)</f>
        <v>Hoek van Holland</v>
      </c>
      <c r="H2" t="str" cm="1">
        <f t="array" ref="H2">_xlfn.XLOOKUP($A2,1*Sheet1!$A:$A,Sheet1!K:K,"",0)</f>
        <v>06-50502637</v>
      </c>
      <c r="I2" t="str" cm="1">
        <f t="array" ref="I2">_xlfn.XLOOKUP($A2,1*Sheet1!$A:$A,Sheet1!L:L,"",0)</f>
        <v>mnottet@caiway.nl</v>
      </c>
      <c r="J2" t="str" cm="1">
        <f t="array" ref="J2">_xlfn.XLOOKUP($A2,1*Sheet1!$A:$A,Sheet1!M:M,"",0)</f>
        <v>NL60RABO0323282903</v>
      </c>
    </row>
    <row r="3" spans="1:10">
      <c r="A3" s="43">
        <v>281</v>
      </c>
      <c r="B3" cm="1">
        <f t="array" ref="B3">_xlfn.XLOOKUP($A3,1*Sheet1!$A:$A,Sheet1!AE:AE,"",0)</f>
        <v>261.87</v>
      </c>
      <c r="C3" t="str" cm="1">
        <f t="array" ref="C3">_xlfn.XLOOKUP($A3,1*Sheet1!$A:$A,Sheet1!F:F,"",0)</f>
        <v>M. Nottet</v>
      </c>
      <c r="D3" t="str" cm="1">
        <f t="array" ref="D3">_xlfn.XLOOKUP($A3,1*Sheet1!$A:$A,Sheet1!G:G,"",0)</f>
        <v>M. Nottet</v>
      </c>
      <c r="E3" t="str" cm="1">
        <f t="array" ref="E3">_xlfn.XLOOKUP($A3,1*Sheet1!$A:$A,Sheet1!H:H,"",0)</f>
        <v>Kapittelland 16</v>
      </c>
      <c r="F3" t="str" cm="1">
        <f t="array" ref="F3">_xlfn.XLOOKUP($A3,1*Sheet1!$A:$A,Sheet1!I:I,"",0)</f>
        <v>3151 ZB</v>
      </c>
      <c r="G3" t="str" cm="1">
        <f t="array" ref="G3">_xlfn.XLOOKUP($A3,1*Sheet1!$A:$A,Sheet1!J:J,"",0)</f>
        <v>Hoek van Holland</v>
      </c>
      <c r="H3" t="str" cm="1">
        <f t="array" ref="H3">_xlfn.XLOOKUP($A3,1*Sheet1!$A:$A,Sheet1!K:K,"",0)</f>
        <v>06-50502637</v>
      </c>
      <c r="I3" t="str" cm="1">
        <f t="array" ref="I3">_xlfn.XLOOKUP($A3,1*Sheet1!$A:$A,Sheet1!L:L,"",0)</f>
        <v>mnottet@caiway.nl</v>
      </c>
      <c r="J3" t="str" cm="1">
        <f t="array" ref="J3">_xlfn.XLOOKUP($A3,1*Sheet1!$A:$A,Sheet1!M:M,"",0)</f>
        <v>NL60RABO0323282903</v>
      </c>
    </row>
    <row r="4" spans="1:10">
      <c r="A4" s="42">
        <v>276</v>
      </c>
      <c r="B4" cm="1">
        <f t="array" ref="B4">_xlfn.XLOOKUP($A4,1*Sheet1!$A:$A,Sheet1!AE:AE,"",0)</f>
        <v>589.59</v>
      </c>
      <c r="C4" t="str" cm="1">
        <f t="array" ref="C4">_xlfn.XLOOKUP($A4,1*Sheet1!$A:$A,Sheet1!F:F,"",0)</f>
        <v>P. van den Berg</v>
      </c>
      <c r="D4" t="str" cm="1">
        <f t="array" ref="D4">_xlfn.XLOOKUP($A4,1*Sheet1!$A:$A,Sheet1!G:G,"",0)</f>
        <v>Piet van den Berg</v>
      </c>
      <c r="E4" t="str" cm="1">
        <f t="array" ref="E4">_xlfn.XLOOKUP($A4,1*Sheet1!$A:$A,Sheet1!H:H,"",0)</f>
        <v>Burgemeester Cramerlaan 17</v>
      </c>
      <c r="F4" t="str" cm="1">
        <f t="array" ref="F4">_xlfn.XLOOKUP($A4,1*Sheet1!$A:$A,Sheet1!I:I,"",0)</f>
        <v>2678 AL</v>
      </c>
      <c r="G4" t="str" cm="1">
        <f t="array" ref="G4">_xlfn.XLOOKUP($A4,1*Sheet1!$A:$A,Sheet1!J:J,"",0)</f>
        <v>De Lier</v>
      </c>
      <c r="H4" t="str" cm="1">
        <f t="array" ref="H4">_xlfn.XLOOKUP($A4,1*Sheet1!$A:$A,Sheet1!K:K,"",0)</f>
        <v>06-38765032</v>
      </c>
      <c r="I4" t="str" cm="1">
        <f t="array" ref="I4">_xlfn.XLOOKUP($A4,1*Sheet1!$A:$A,Sheet1!L:L,"",0)</f>
        <v>info@vandenbergdelier.nl</v>
      </c>
      <c r="J4" t="str" cm="1">
        <f t="array" ref="J4">_xlfn.XLOOKUP($A4,1*Sheet1!$A:$A,Sheet1!M:M,"",0)</f>
        <v>NL29ABNA0472271989</v>
      </c>
    </row>
    <row r="5" spans="1:10">
      <c r="A5" s="42">
        <v>275</v>
      </c>
      <c r="B5" cm="1">
        <f t="array" ref="B5">_xlfn.XLOOKUP($A5,1*Sheet1!$A:$A,Sheet1!AE:AE,"",0)</f>
        <v>902.34000000000015</v>
      </c>
      <c r="C5" t="str" cm="1">
        <f t="array" ref="C5">_xlfn.XLOOKUP($A5,1*Sheet1!$A:$A,Sheet1!F:F,"",0)</f>
        <v>K. Zuidgeest</v>
      </c>
      <c r="D5" t="str" cm="1">
        <f t="array" ref="D5">_xlfn.XLOOKUP($A5,1*Sheet1!$A:$A,Sheet1!G:G,"",0)</f>
        <v>K. Zuidgeest</v>
      </c>
      <c r="E5" t="str" cm="1">
        <f t="array" ref="E5">_xlfn.XLOOKUP($A5,1*Sheet1!$A:$A,Sheet1!H:H,"",0)</f>
        <v>Oudecampsweg 7</v>
      </c>
      <c r="F5" t="str" cm="1">
        <f t="array" ref="F5">_xlfn.XLOOKUP($A5,1*Sheet1!$A:$A,Sheet1!I:I,"",0)</f>
        <v>2678 NN</v>
      </c>
      <c r="G5" t="str" cm="1">
        <f t="array" ref="G5">_xlfn.XLOOKUP($A5,1*Sheet1!$A:$A,Sheet1!J:J,"",0)</f>
        <v>De Lier</v>
      </c>
      <c r="H5" t="str" cm="1">
        <f t="array" ref="H5">_xlfn.XLOOKUP($A5,1*Sheet1!$A:$A,Sheet1!K:K,"",0)</f>
        <v>06-26146636</v>
      </c>
      <c r="I5" t="str" cm="1">
        <f t="array" ref="I5">_xlfn.XLOOKUP($A5,1*Sheet1!$A:$A,Sheet1!L:L,"",0)</f>
        <v xml:space="preserve">KoosZuidgeest@zuidkoop.nl / k.zuidgeest@hetnet.nl </v>
      </c>
      <c r="J5" t="str" cm="1">
        <f t="array" ref="J5">_xlfn.XLOOKUP($A5,1*Sheet1!$A:$A,Sheet1!M:M,"",0)</f>
        <v>NL05RABO0336208367</v>
      </c>
    </row>
    <row r="6" spans="1:10">
      <c r="A6" s="42">
        <v>273</v>
      </c>
      <c r="B6" cm="1">
        <f t="array" ref="B6">_xlfn.XLOOKUP($A6,1*Sheet1!$A:$A,Sheet1!AE:AE,"",0)</f>
        <v>388.9</v>
      </c>
      <c r="C6" t="str" cm="1">
        <f t="array" ref="C6">_xlfn.XLOOKUP($A6,1*Sheet1!$A:$A,Sheet1!F:F,"",0)</f>
        <v>P.H. Jagt</v>
      </c>
      <c r="D6" t="str" cm="1">
        <f t="array" ref="D6">_xlfn.XLOOKUP($A6,1*Sheet1!$A:$A,Sheet1!G:G,"",0)</f>
        <v>Peter Jagt</v>
      </c>
      <c r="E6" t="str" cm="1">
        <f t="array" ref="E6">_xlfn.XLOOKUP($A6,1*Sheet1!$A:$A,Sheet1!H:H,"",0)</f>
        <v>Haakweg 33</v>
      </c>
      <c r="F6" t="str" cm="1">
        <f t="array" ref="F6">_xlfn.XLOOKUP($A6,1*Sheet1!$A:$A,Sheet1!I:I,"",0)</f>
        <v>3151 XD</v>
      </c>
      <c r="G6" t="str" cm="1">
        <f t="array" ref="G6">_xlfn.XLOOKUP($A6,1*Sheet1!$A:$A,Sheet1!J:J,"",0)</f>
        <v>Hoek van Holland</v>
      </c>
      <c r="H6" t="str" cm="1">
        <f t="array" ref="H6">_xlfn.XLOOKUP($A6,1*Sheet1!$A:$A,Sheet1!K:K,"",0)</f>
        <v>06-51609632</v>
      </c>
      <c r="I6" t="str" cm="1">
        <f t="array" ref="I6">_xlfn.XLOOKUP($A6,1*Sheet1!$A:$A,Sheet1!L:L,"",0)</f>
        <v>peter@westhoekmakelaars.nl</v>
      </c>
      <c r="J6" t="str" cm="1">
        <f t="array" ref="J6">_xlfn.XLOOKUP($A6,1*Sheet1!$A:$A,Sheet1!M:M,"",0)</f>
        <v>NL60KNAB0257738010</v>
      </c>
    </row>
    <row r="7" spans="1:10">
      <c r="A7" s="42">
        <v>279</v>
      </c>
      <c r="B7" cm="1">
        <f t="array" ref="B7">_xlfn.XLOOKUP($A7,1*Sheet1!$A:$A,Sheet1!AE:AE,"",0)</f>
        <v>429.36000000000013</v>
      </c>
      <c r="C7" t="str" cm="1">
        <f t="array" ref="C7">_xlfn.XLOOKUP($A7,1*Sheet1!$A:$A,Sheet1!F:F,"",0)</f>
        <v>v.o.f. J.C. Mulder</v>
      </c>
      <c r="D7" t="str" cm="1">
        <f t="array" ref="D7">_xlfn.XLOOKUP($A7,1*Sheet1!$A:$A,Sheet1!G:G,"",0)</f>
        <v>Jan Mulder</v>
      </c>
      <c r="E7" t="str" cm="1">
        <f t="array" ref="E7">_xlfn.XLOOKUP($A7,1*Sheet1!$A:$A,Sheet1!H:H,"",0)</f>
        <v>Nieuwe Tuinen 7B</v>
      </c>
      <c r="F7" t="str" cm="1">
        <f t="array" ref="F7">_xlfn.XLOOKUP($A7,1*Sheet1!$A:$A,Sheet1!I:I,"",0)</f>
        <v>2675 SE</v>
      </c>
      <c r="G7" t="str" cm="1">
        <f t="array" ref="G7">_xlfn.XLOOKUP($A7,1*Sheet1!$A:$A,Sheet1!J:J,"",0)</f>
        <v>Honselersdijk</v>
      </c>
      <c r="H7" t="str" cm="1">
        <f t="array" ref="H7">_xlfn.XLOOKUP($A7,1*Sheet1!$A:$A,Sheet1!K:K,"",0)</f>
        <v>06-53690859</v>
      </c>
      <c r="I7" t="str" cm="1">
        <f t="array" ref="I7">_xlfn.XLOOKUP($A7,1*Sheet1!$A:$A,Sheet1!L:L,"",0)</f>
        <v>janmul54@gmail.com</v>
      </c>
      <c r="J7" t="str" cm="1">
        <f t="array" ref="J7">_xlfn.XLOOKUP($A7,1*Sheet1!$A:$A,Sheet1!M:M,"",0)</f>
        <v>NL08RABO0343659077</v>
      </c>
    </row>
    <row r="8" spans="1:10">
      <c r="A8" s="42">
        <v>274</v>
      </c>
      <c r="B8" cm="1">
        <f t="array" ref="B8">_xlfn.XLOOKUP($A8,1*Sheet1!$A:$A,Sheet1!AE:AE,"",0)</f>
        <v>0</v>
      </c>
      <c r="C8" t="str" cm="1">
        <f t="array" ref="C8">_xlfn.XLOOKUP($A8,1*Sheet1!$A:$A,Sheet1!F:F,"",0)</f>
        <v>De Rembrandt B.V.</v>
      </c>
      <c r="D8" t="str" cm="1">
        <f t="array" ref="D8">_xlfn.XLOOKUP($A8,1*Sheet1!$A:$A,Sheet1!G:G,"",0)</f>
        <v>Flip van Adrichem</v>
      </c>
      <c r="E8" t="str" cm="1">
        <f t="array" ref="E8">_xlfn.XLOOKUP($A8,1*Sheet1!$A:$A,Sheet1!H:H,"",0)</f>
        <v>Langestraat 48</v>
      </c>
      <c r="F8" t="str" cm="1">
        <f t="array" ref="F8">_xlfn.XLOOKUP($A8,1*Sheet1!$A:$A,Sheet1!I:I,"",0)</f>
        <v>2691 BH</v>
      </c>
      <c r="G8" t="str" cm="1">
        <f t="array" ref="G8">_xlfn.XLOOKUP($A8,1*Sheet1!$A:$A,Sheet1!J:J,"",0)</f>
        <v>s-Gravenzande</v>
      </c>
      <c r="H8" t="str" cm="1">
        <f t="array" ref="H8">_xlfn.XLOOKUP($A8,1*Sheet1!$A:$A,Sheet1!K:K,"",0)</f>
        <v>06-41372342</v>
      </c>
      <c r="I8" t="str" cm="1">
        <f t="array" ref="I8">_xlfn.XLOOKUP($A8,1*Sheet1!$A:$A,Sheet1!L:L,"",0)</f>
        <v>flip@eetcafedewitte.nl</v>
      </c>
      <c r="J8" t="str" cm="1">
        <f t="array" ref="J8">_xlfn.XLOOKUP($A8,1*Sheet1!$A:$A,Sheet1!M:M,"",0)</f>
        <v>NL21RABO0156104105</v>
      </c>
    </row>
    <row r="9" spans="1:10">
      <c r="A9" s="44">
        <v>291</v>
      </c>
      <c r="B9" cm="1">
        <f t="array" ref="B9">_xlfn.XLOOKUP($A9,1*Sheet1!$A:$A,Sheet1!AE:AE,"",0)</f>
        <v>13978.5</v>
      </c>
      <c r="C9" t="str" cm="1">
        <f t="array" ref="C9">_xlfn.XLOOKUP($A9,1*Sheet1!$A:$A,Sheet1!F:F,"",0)</f>
        <v>Lammertink Projecten B.V.</v>
      </c>
      <c r="D9" t="str" cm="1">
        <f t="array" ref="D9">_xlfn.XLOOKUP($A9,1*Sheet1!$A:$A,Sheet1!G:G,"",0)</f>
        <v>Hans Lammertink</v>
      </c>
      <c r="E9" t="str" cm="1">
        <f t="array" ref="E9">_xlfn.XLOOKUP($A9,1*Sheet1!$A:$A,Sheet1!H:H,"",0)</f>
        <v>Schietlood 2</v>
      </c>
      <c r="F9" t="str" cm="1">
        <f t="array" ref="F9">_xlfn.XLOOKUP($A9,1*Sheet1!$A:$A,Sheet1!I:I,"",0)</f>
        <v>2495 AN</v>
      </c>
      <c r="G9" t="str" cm="1">
        <f t="array" ref="G9">_xlfn.XLOOKUP($A9,1*Sheet1!$A:$A,Sheet1!J:J,"",0)</f>
        <v>Den Haag</v>
      </c>
      <c r="H9" t="str" cm="1">
        <f t="array" ref="H9">_xlfn.XLOOKUP($A9,1*Sheet1!$A:$A,Sheet1!K:K,"",0)</f>
        <v xml:space="preserve">085-2739900 </v>
      </c>
      <c r="I9" t="str" cm="1">
        <f t="array" ref="I9">_xlfn.XLOOKUP($A9,1*Sheet1!$A:$A,Sheet1!L:L,"",0)</f>
        <v>Dennis Baak 06-24313837 (schoonzoon) / dbaak@l-groep.nl</v>
      </c>
      <c r="J9" t="str" cm="1">
        <f t="array" ref="J9">_xlfn.XLOOKUP($A9,1*Sheet1!$A:$A,Sheet1!M:M,"",0)</f>
        <v>NL83INGB0677182783</v>
      </c>
    </row>
    <row r="10" spans="1:10">
      <c r="A10" s="44">
        <v>291</v>
      </c>
      <c r="B10" cm="1">
        <f t="array" ref="B10">_xlfn.XLOOKUP($A10,1*Sheet1!$A:$A,Sheet1!AE:AE,"",0)</f>
        <v>13978.5</v>
      </c>
      <c r="C10" t="str" cm="1">
        <f t="array" ref="C10">_xlfn.XLOOKUP($A10,1*Sheet1!$A:$A,Sheet1!F:F,"",0)</f>
        <v>Lammertink Projecten B.V.</v>
      </c>
      <c r="D10" t="str" cm="1">
        <f t="array" ref="D10">_xlfn.XLOOKUP($A10,1*Sheet1!$A:$A,Sheet1!G:G,"",0)</f>
        <v>Hans Lammertink</v>
      </c>
      <c r="E10" t="str" cm="1">
        <f t="array" ref="E10">_xlfn.XLOOKUP($A10,1*Sheet1!$A:$A,Sheet1!H:H,"",0)</f>
        <v>Schietlood 2</v>
      </c>
      <c r="F10" t="str" cm="1">
        <f t="array" ref="F10">_xlfn.XLOOKUP($A10,1*Sheet1!$A:$A,Sheet1!I:I,"",0)</f>
        <v>2495 AN</v>
      </c>
      <c r="G10" t="str" cm="1">
        <f t="array" ref="G10">_xlfn.XLOOKUP($A10,1*Sheet1!$A:$A,Sheet1!J:J,"",0)</f>
        <v>Den Haag</v>
      </c>
      <c r="H10" t="str" cm="1">
        <f t="array" ref="H10">_xlfn.XLOOKUP($A10,1*Sheet1!$A:$A,Sheet1!K:K,"",0)</f>
        <v xml:space="preserve">085-2739900 </v>
      </c>
      <c r="I10" t="str" cm="1">
        <f t="array" ref="I10">_xlfn.XLOOKUP($A10,1*Sheet1!$A:$A,Sheet1!L:L,"",0)</f>
        <v>Dennis Baak 06-24313837 (schoonzoon) / dbaak@l-groep.nl</v>
      </c>
      <c r="J10" t="str" cm="1">
        <f t="array" ref="J10">_xlfn.XLOOKUP($A10,1*Sheet1!$A:$A,Sheet1!M:M,"",0)</f>
        <v>NL83INGB0677182783</v>
      </c>
    </row>
    <row r="11" spans="1:10">
      <c r="A11" s="42">
        <v>278</v>
      </c>
      <c r="B11" cm="1">
        <f t="array" ref="B11">_xlfn.XLOOKUP($A11,1*Sheet1!$A:$A,Sheet1!AE:AE,"",0)</f>
        <v>0</v>
      </c>
      <c r="C11" t="str" cm="1">
        <f t="array" ref="C11">_xlfn.XLOOKUP($A11,1*Sheet1!$A:$A,Sheet1!F:F,"",0)</f>
        <v>G. Hofland</v>
      </c>
      <c r="D11" t="str" cm="1">
        <f t="array" ref="D11">_xlfn.XLOOKUP($A11,1*Sheet1!$A:$A,Sheet1!G:G,"",0)</f>
        <v>Goos Hofland</v>
      </c>
      <c r="E11" t="str" cm="1">
        <f t="array" ref="E11">_xlfn.XLOOKUP($A11,1*Sheet1!$A:$A,Sheet1!H:H,"",0)</f>
        <v>Lange Broekweg 46</v>
      </c>
      <c r="F11" t="str" cm="1">
        <f t="array" ref="F11">_xlfn.XLOOKUP($A11,1*Sheet1!$A:$A,Sheet1!I:I,"",0)</f>
        <v>2671 DV</v>
      </c>
      <c r="G11" t="str" cm="1">
        <f t="array" ref="G11">_xlfn.XLOOKUP($A11,1*Sheet1!$A:$A,Sheet1!J:J,"",0)</f>
        <v>Naaldwijk</v>
      </c>
      <c r="H11" t="str" cm="1">
        <f t="array" ref="H11">_xlfn.XLOOKUP($A11,1*Sheet1!$A:$A,Sheet1!K:K,"",0)</f>
        <v>0174-625887</v>
      </c>
      <c r="I11" t="str" cm="1">
        <f t="array" ref="I11">_xlfn.XLOOKUP($A11,1*Sheet1!$A:$A,Sheet1!L:L,"",0)</f>
        <v>goos@hoflandfloweringplants.nl</v>
      </c>
      <c r="J11" t="str" cm="1">
        <f t="array" ref="J11">_xlfn.XLOOKUP($A11,1*Sheet1!$A:$A,Sheet1!M:M,"",0)</f>
        <v>NL27RABO0343661063</v>
      </c>
    </row>
    <row r="12" spans="1:10">
      <c r="A12" s="42">
        <v>284</v>
      </c>
      <c r="B12" cm="1">
        <f t="array" ref="B12">_xlfn.XLOOKUP($A12,1*Sheet1!$A:$A,Sheet1!AE:AE,"",0)</f>
        <v>609.67000000000007</v>
      </c>
      <c r="C12" t="str" cm="1">
        <f t="array" ref="C12">_xlfn.XLOOKUP($A12,1*Sheet1!$A:$A,Sheet1!F:F,"",0)</f>
        <v>M.J.W. van den Enden &amp; B.M. van den Enden</v>
      </c>
      <c r="D12" t="str" cm="1">
        <f t="array" ref="D12">_xlfn.XLOOKUP($A12,1*Sheet1!$A:$A,Sheet1!G:G,"",0)</f>
        <v>Barbara van den Enden</v>
      </c>
      <c r="E12" t="str" cm="1">
        <f t="array" ref="E12">_xlfn.XLOOKUP($A12,1*Sheet1!$A:$A,Sheet1!H:H,"",0)</f>
        <v>Bospolder 4a</v>
      </c>
      <c r="F12" t="str" cm="1">
        <f t="array" ref="F12">_xlfn.XLOOKUP($A12,1*Sheet1!$A:$A,Sheet1!I:I,"",0)</f>
        <v>2675 BL</v>
      </c>
      <c r="G12" t="str" cm="1">
        <f t="array" ref="G12">_xlfn.XLOOKUP($A12,1*Sheet1!$A:$A,Sheet1!J:J,"",0)</f>
        <v>Honselersdijk</v>
      </c>
      <c r="H12" t="str" cm="1">
        <f t="array" ref="H12">_xlfn.XLOOKUP($A12,1*Sheet1!$A:$A,Sheet1!K:K,"",0)</f>
        <v>06-51611737 Barbara / 06-54398790 Maup</v>
      </c>
      <c r="I12" t="str" cm="1">
        <f t="array" ref="I12">_xlfn.XLOOKUP($A12,1*Sheet1!$A:$A,Sheet1!L:L,"",0)</f>
        <v>endem3@caiway.nl</v>
      </c>
      <c r="J12" t="str" cm="1">
        <f t="array" ref="J12">_xlfn.XLOOKUP($A12,1*Sheet1!$A:$A,Sheet1!M:M,"",0)</f>
        <v>NL81INGB0112509347</v>
      </c>
    </row>
    <row r="13" spans="1:10">
      <c r="A13" s="43">
        <v>335</v>
      </c>
      <c r="B13" cm="1">
        <f t="array" ref="B13">_xlfn.XLOOKUP($A13,1*Sheet1!$A:$A,Sheet1!AE:AE,"",0)</f>
        <v>200</v>
      </c>
      <c r="C13" t="str" cm="1">
        <f t="array" ref="C13">_xlfn.XLOOKUP($A13,1*Sheet1!$A:$A,Sheet1!F:F,"",0)</f>
        <v>M.J.W. van den Enden &amp; B.M. van den Enden</v>
      </c>
      <c r="D13" t="str" cm="1">
        <f t="array" ref="D13">_xlfn.XLOOKUP($A13,1*Sheet1!$A:$A,Sheet1!G:G,"",0)</f>
        <v>Barbara van den Enden</v>
      </c>
      <c r="E13" t="str" cm="1">
        <f t="array" ref="E13">_xlfn.XLOOKUP($A13,1*Sheet1!$A:$A,Sheet1!H:H,"",0)</f>
        <v>Bospolder 4a</v>
      </c>
      <c r="F13" t="str" cm="1">
        <f t="array" ref="F13">_xlfn.XLOOKUP($A13,1*Sheet1!$A:$A,Sheet1!I:I,"",0)</f>
        <v>2675 BL</v>
      </c>
      <c r="G13" t="str" cm="1">
        <f t="array" ref="G13">_xlfn.XLOOKUP($A13,1*Sheet1!$A:$A,Sheet1!J:J,"",0)</f>
        <v>Honselersdijk</v>
      </c>
      <c r="H13" t="str" cm="1">
        <f t="array" ref="H13">_xlfn.XLOOKUP($A13,1*Sheet1!$A:$A,Sheet1!K:K,"",0)</f>
        <v>06-51611737 Barbara / 06-54398790 Maup</v>
      </c>
      <c r="I13" t="str" cm="1">
        <f t="array" ref="I13">_xlfn.XLOOKUP($A13,1*Sheet1!$A:$A,Sheet1!L:L,"",0)</f>
        <v>endem3@caiway.nl</v>
      </c>
      <c r="J13" t="str" cm="1">
        <f t="array" ref="J13">_xlfn.XLOOKUP($A13,1*Sheet1!$A:$A,Sheet1!M:M,"",0)</f>
        <v>NL81INGB0112509347</v>
      </c>
    </row>
    <row r="14" spans="1:10">
      <c r="A14" s="42">
        <v>282</v>
      </c>
      <c r="B14" cm="1">
        <f t="array" ref="B14">_xlfn.XLOOKUP($A14,1*Sheet1!$A:$A,Sheet1!AE:AE,"",0)</f>
        <v>0</v>
      </c>
      <c r="C14" t="str" cm="1">
        <f t="array" ref="C14">_xlfn.XLOOKUP($A14,1*Sheet1!$A:$A,Sheet1!F:F,"",0)</f>
        <v>H. van Leeuwen</v>
      </c>
      <c r="D14" t="str" cm="1">
        <f t="array" ref="D14">_xlfn.XLOOKUP($A14,1*Sheet1!$A:$A,Sheet1!G:G,"",0)</f>
        <v>Petra</v>
      </c>
      <c r="E14" t="str" cm="1">
        <f t="array" ref="E14">_xlfn.XLOOKUP($A14,1*Sheet1!$A:$A,Sheet1!H:H,"",0)</f>
        <v>Postbus 170</v>
      </c>
      <c r="F14" t="str" cm="1">
        <f t="array" ref="F14">_xlfn.XLOOKUP($A14,1*Sheet1!$A:$A,Sheet1!I:I,"",0)</f>
        <v>2680 AD</v>
      </c>
      <c r="G14" t="str" cm="1">
        <f t="array" ref="G14">_xlfn.XLOOKUP($A14,1*Sheet1!$A:$A,Sheet1!J:J,"",0)</f>
        <v>Monster</v>
      </c>
      <c r="H14" t="str" cm="1">
        <f t="array" ref="H14">_xlfn.XLOOKUP($A14,1*Sheet1!$A:$A,Sheet1!K:K,"",0)</f>
        <v>06-51262904 / 0174-248804</v>
      </c>
      <c r="I14" t="str" cm="1">
        <f t="array" ref="I14">_xlfn.XLOOKUP($A14,1*Sheet1!$A:$A,Sheet1!L:L,"",0)</f>
        <v>petra@huubvanleeuwen.nl</v>
      </c>
      <c r="J14" t="str" cm="1">
        <f t="array" ref="J14">_xlfn.XLOOKUP($A14,1*Sheet1!$A:$A,Sheet1!M:M,"",0)</f>
        <v>NL96RABO0375644504</v>
      </c>
    </row>
    <row r="15" spans="1:10">
      <c r="A15" s="43">
        <v>283</v>
      </c>
      <c r="B15" cm="1">
        <f t="array" ref="B15">_xlfn.XLOOKUP($A15,1*Sheet1!$A:$A,Sheet1!AE:AE,"",0)</f>
        <v>632.86999999999989</v>
      </c>
      <c r="C15" t="str" cm="1">
        <f t="array" ref="C15">_xlfn.XLOOKUP($A15,1*Sheet1!$A:$A,Sheet1!F:F,"",0)</f>
        <v>J.S. Vink Vastgoed</v>
      </c>
      <c r="D15" t="str" cm="1">
        <f t="array" ref="D15">_xlfn.XLOOKUP($A15,1*Sheet1!$A:$A,Sheet1!G:G,"",0)</f>
        <v>Denise Vink</v>
      </c>
      <c r="E15" t="str" cm="1">
        <f t="array" ref="E15">_xlfn.XLOOKUP($A15,1*Sheet1!$A:$A,Sheet1!H:H,"",0)</f>
        <v>Boomaweg 27</v>
      </c>
      <c r="F15" t="str" cm="1">
        <f t="array" ref="F15">_xlfn.XLOOKUP($A15,1*Sheet1!$A:$A,Sheet1!I:I,"",0)</f>
        <v xml:space="preserve">2681 RH </v>
      </c>
      <c r="G15" t="str" cm="1">
        <f t="array" ref="G15">_xlfn.XLOOKUP($A15,1*Sheet1!$A:$A,Sheet1!J:J,"",0)</f>
        <v>Monster</v>
      </c>
      <c r="H15" t="str" cm="1">
        <f t="array" ref="H15">_xlfn.XLOOKUP($A15,1*Sheet1!$A:$A,Sheet1!K:K,"",0)</f>
        <v>06-23615767 (denise) 06-53505331 (jan)</v>
      </c>
      <c r="I15" t="str" cm="1">
        <f t="array" ref="I15">_xlfn.XLOOKUP($A15,1*Sheet1!$A:$A,Sheet1!L:L,"",0)</f>
        <v>info@jsvink.nl / d.j.vink@hotmail.com</v>
      </c>
      <c r="J15" t="str" cm="1">
        <f t="array" ref="J15">_xlfn.XLOOKUP($A15,1*Sheet1!$A:$A,Sheet1!M:M,"",0)</f>
        <v>NL14RABO3291687140 en NL20RABO0129949140</v>
      </c>
    </row>
    <row r="16" spans="1:10">
      <c r="A16" s="42">
        <v>285</v>
      </c>
      <c r="B16" cm="1">
        <f t="array" ref="B16">_xlfn.XLOOKUP($A16,1*Sheet1!$A:$A,Sheet1!AE:AE,"",0)</f>
        <v>0</v>
      </c>
      <c r="C16" t="str" cm="1">
        <f t="array" ref="C16">_xlfn.XLOOKUP($A16,1*Sheet1!$A:$A,Sheet1!F:F,"",0)</f>
        <v>P.C. Vijverberg</v>
      </c>
      <c r="D16" t="str" cm="1">
        <f t="array" ref="D16">_xlfn.XLOOKUP($A16,1*Sheet1!$A:$A,Sheet1!G:G,"",0)</f>
        <v>Piet Vijverberg</v>
      </c>
      <c r="E16" t="str" cm="1">
        <f t="array" ref="E16">_xlfn.XLOOKUP($A16,1*Sheet1!$A:$A,Sheet1!H:H,"",0)</f>
        <v>Van Koppenweg 24</v>
      </c>
      <c r="F16" t="str" cm="1">
        <f t="array" ref="F16">_xlfn.XLOOKUP($A16,1*Sheet1!$A:$A,Sheet1!I:I,"",0)</f>
        <v>2672 EH</v>
      </c>
      <c r="G16" t="str" cm="1">
        <f t="array" ref="G16">_xlfn.XLOOKUP($A16,1*Sheet1!$A:$A,Sheet1!J:J,"",0)</f>
        <v>Naaldwijk</v>
      </c>
      <c r="H16" t="str" cm="1">
        <f t="array" ref="H16">_xlfn.XLOOKUP($A16,1*Sheet1!$A:$A,Sheet1!K:K,"",0)</f>
        <v>06-53299575</v>
      </c>
      <c r="I16" t="str" cm="1">
        <f t="array" ref="I16">_xlfn.XLOOKUP($A16,1*Sheet1!$A:$A,Sheet1!L:L,"",0)</f>
        <v>piet@pietvijverberg.nl</v>
      </c>
      <c r="J16" t="str" cm="1">
        <f t="array" ref="J16">_xlfn.XLOOKUP($A16,1*Sheet1!$A:$A,Sheet1!M:M,"",0)</f>
        <v>NL95RABO0142277460</v>
      </c>
    </row>
    <row r="17" spans="1:10">
      <c r="A17" s="43">
        <v>378</v>
      </c>
      <c r="B17" cm="1">
        <f t="array" ref="B17">_xlfn.XLOOKUP($A17,1*Sheet1!$A:$A,Sheet1!AE:AE,"",0)</f>
        <v>0</v>
      </c>
      <c r="C17" t="str" cm="1">
        <f t="array" ref="C17">_xlfn.XLOOKUP($A17,1*Sheet1!$A:$A,Sheet1!F:F,"",0)</f>
        <v>P.C. Vijverberg</v>
      </c>
      <c r="D17" t="str" cm="1">
        <f t="array" ref="D17">_xlfn.XLOOKUP($A17,1*Sheet1!$A:$A,Sheet1!G:G,"",0)</f>
        <v>Piet Vijverberg</v>
      </c>
      <c r="E17" t="str" cm="1">
        <f t="array" ref="E17">_xlfn.XLOOKUP($A17,1*Sheet1!$A:$A,Sheet1!H:H,"",0)</f>
        <v>Van Koppenweg 24</v>
      </c>
      <c r="F17" t="str" cm="1">
        <f t="array" ref="F17">_xlfn.XLOOKUP($A17,1*Sheet1!$A:$A,Sheet1!I:I,"",0)</f>
        <v>2672 EH</v>
      </c>
      <c r="G17" t="str" cm="1">
        <f t="array" ref="G17">_xlfn.XLOOKUP($A17,1*Sheet1!$A:$A,Sheet1!J:J,"",0)</f>
        <v>Naaldwijk</v>
      </c>
      <c r="H17" t="str" cm="1">
        <f t="array" ref="H17">_xlfn.XLOOKUP($A17,1*Sheet1!$A:$A,Sheet1!K:K,"",0)</f>
        <v>06-53299575</v>
      </c>
      <c r="I17" t="str" cm="1">
        <f t="array" ref="I17">_xlfn.XLOOKUP($A17,1*Sheet1!$A:$A,Sheet1!L:L,"",0)</f>
        <v>piet@pietvijverberg.nl</v>
      </c>
      <c r="J17" t="str" cm="1">
        <f t="array" ref="J17">_xlfn.XLOOKUP($A17,1*Sheet1!$A:$A,Sheet1!M:M,"",0)</f>
        <v>NL95RABO0142277460</v>
      </c>
    </row>
    <row r="18" spans="1:10">
      <c r="A18" s="43">
        <v>363</v>
      </c>
      <c r="B18" cm="1">
        <f t="array" ref="B18">_xlfn.XLOOKUP($A18,1*Sheet1!$A:$A,Sheet1!AE:AE,"",0)</f>
        <v>6.7</v>
      </c>
      <c r="C18" t="str" cm="1">
        <f t="array" ref="C18">_xlfn.XLOOKUP($A18,1*Sheet1!$A:$A,Sheet1!F:F,"",0)</f>
        <v>S.A. van Bergen Vastgoed B.V.</v>
      </c>
      <c r="D18" t="str" cm="1">
        <f t="array" ref="D18">_xlfn.XLOOKUP($A18,1*Sheet1!$A:$A,Sheet1!G:G,"",0)</f>
        <v>S.A. van Bergen</v>
      </c>
      <c r="E18" t="str" cm="1">
        <f t="array" ref="E18">_xlfn.XLOOKUP($A18,1*Sheet1!$A:$A,Sheet1!H:H,"",0)</f>
        <v>Strandweg 25</v>
      </c>
      <c r="F18" t="str" cm="1">
        <f t="array" ref="F18">_xlfn.XLOOKUP($A18,1*Sheet1!$A:$A,Sheet1!I:I,"",0)</f>
        <v>3151 HV</v>
      </c>
      <c r="G18" t="str" cm="1">
        <f t="array" ref="G18">_xlfn.XLOOKUP($A18,1*Sheet1!$A:$A,Sheet1!J:J,"",0)</f>
        <v>Hoek van holland</v>
      </c>
      <c r="H18" t="str" cm="1">
        <f t="array" ref="H18">_xlfn.XLOOKUP($A18,1*Sheet1!$A:$A,Sheet1!K:K,"",0)</f>
        <v>06-30412153</v>
      </c>
      <c r="I18" t="str" cm="1">
        <f t="array" ref="I18">_xlfn.XLOOKUP($A18,1*Sheet1!$A:$A,Sheet1!L:L,"",0)</f>
        <v>bas.vanbergen@aubvanbergen.nl</v>
      </c>
      <c r="J18" t="str" cm="1">
        <f t="array" ref="J18">_xlfn.XLOOKUP($A18,1*Sheet1!$A:$A,Sheet1!M:M,"",0)</f>
        <v>NL11RABO0318502364</v>
      </c>
    </row>
    <row r="19" spans="1:10">
      <c r="A19" s="43">
        <v>364</v>
      </c>
      <c r="B19" cm="1">
        <f t="array" ref="B19">_xlfn.XLOOKUP($A19,1*Sheet1!$A:$A,Sheet1!AE:AE,"",0)</f>
        <v>6.7</v>
      </c>
      <c r="C19" t="str" cm="1">
        <f t="array" ref="C19">_xlfn.XLOOKUP($A19,1*Sheet1!$A:$A,Sheet1!F:F,"",0)</f>
        <v>S.A. van Bergen Vastgoed B.V.</v>
      </c>
      <c r="D19" t="str" cm="1">
        <f t="array" ref="D19">_xlfn.XLOOKUP($A19,1*Sheet1!$A:$A,Sheet1!G:G,"",0)</f>
        <v>S.A. van Bergen</v>
      </c>
      <c r="E19" t="str" cm="1">
        <f t="array" ref="E19">_xlfn.XLOOKUP($A19,1*Sheet1!$A:$A,Sheet1!H:H,"",0)</f>
        <v>Strandweg 25</v>
      </c>
      <c r="F19" t="str" cm="1">
        <f t="array" ref="F19">_xlfn.XLOOKUP($A19,1*Sheet1!$A:$A,Sheet1!I:I,"",0)</f>
        <v>3151 HV</v>
      </c>
      <c r="G19" t="str" cm="1">
        <f t="array" ref="G19">_xlfn.XLOOKUP($A19,1*Sheet1!$A:$A,Sheet1!J:J,"",0)</f>
        <v>Hoek van holland</v>
      </c>
      <c r="H19" t="str" cm="1">
        <f t="array" ref="H19">_xlfn.XLOOKUP($A19,1*Sheet1!$A:$A,Sheet1!K:K,"",0)</f>
        <v>06-30412153</v>
      </c>
      <c r="I19" t="str" cm="1">
        <f t="array" ref="I19">_xlfn.XLOOKUP($A19,1*Sheet1!$A:$A,Sheet1!L:L,"",0)</f>
        <v>bas.vanbergen@aubvanbergen.nl</v>
      </c>
      <c r="J19" t="str" cm="1">
        <f t="array" ref="J19">_xlfn.XLOOKUP($A19,1*Sheet1!$A:$A,Sheet1!M:M,"",0)</f>
        <v>NL11RABO0318502364</v>
      </c>
    </row>
    <row r="20" spans="1:10">
      <c r="A20" s="43">
        <v>377</v>
      </c>
      <c r="B20" cm="1">
        <f t="array" ref="B20">_xlfn.XLOOKUP($A20,1*Sheet1!$A:$A,Sheet1!AE:AE,"",0)</f>
        <v>0</v>
      </c>
      <c r="C20" t="str" cm="1">
        <f t="array" ref="C20">_xlfn.XLOOKUP($A20,1*Sheet1!$A:$A,Sheet1!F:F,"",0)</f>
        <v>F.A.S. van Bergen</v>
      </c>
      <c r="D20" t="str" cm="1">
        <f t="array" ref="D20">_xlfn.XLOOKUP($A20,1*Sheet1!$A:$A,Sheet1!G:G,"",0)</f>
        <v>J. v. Bergen</v>
      </c>
      <c r="E20" t="str" cm="1">
        <f t="array" ref="E20">_xlfn.XLOOKUP($A20,1*Sheet1!$A:$A,Sheet1!H:H,"",0)</f>
        <v>Rijpstraat 22</v>
      </c>
      <c r="F20" t="str" cm="1">
        <f t="array" ref="F20">_xlfn.XLOOKUP($A20,1*Sheet1!$A:$A,Sheet1!I:I,"",0)</f>
        <v>3151 BV</v>
      </c>
      <c r="G20" t="str" cm="1">
        <f t="array" ref="G20">_xlfn.XLOOKUP($A20,1*Sheet1!$A:$A,Sheet1!J:J,"",0)</f>
        <v>Hoek van Holland</v>
      </c>
      <c r="H20" t="str" cm="1">
        <f t="array" ref="H20">_xlfn.XLOOKUP($A20,1*Sheet1!$A:$A,Sheet1!K:K,"",0)</f>
        <v>06-53739975</v>
      </c>
      <c r="I20" t="str" cm="1">
        <f t="array" ref="I20">_xlfn.XLOOKUP($A20,1*Sheet1!$A:$A,Sheet1!L:L,"",0)</f>
        <v>jetvbergen@gmail.com</v>
      </c>
      <c r="J20" t="str" cm="1">
        <f t="array" ref="J20">_xlfn.XLOOKUP($A20,1*Sheet1!$A:$A,Sheet1!M:M,"",0)</f>
        <v>NL44ABNA0620327766</v>
      </c>
    </row>
    <row r="21" spans="1:10">
      <c r="A21" s="42">
        <v>286</v>
      </c>
      <c r="B21" cm="1">
        <f t="array" ref="B21">_xlfn.XLOOKUP($A21,1*Sheet1!$A:$A,Sheet1!AE:AE,"",0)</f>
        <v>633.75999999999976</v>
      </c>
      <c r="C21" t="str" cm="1">
        <f t="array" ref="C21">_xlfn.XLOOKUP($A21,1*Sheet1!$A:$A,Sheet1!F:F,"",0)</f>
        <v>T. Olsthoorn</v>
      </c>
      <c r="D21" t="str" cm="1">
        <f t="array" ref="D21">_xlfn.XLOOKUP($A21,1*Sheet1!$A:$A,Sheet1!G:G,"",0)</f>
        <v>Ton Olsthoorn</v>
      </c>
      <c r="E21" t="str" cm="1">
        <f t="array" ref="E21">_xlfn.XLOOKUP($A21,1*Sheet1!$A:$A,Sheet1!H:H,"",0)</f>
        <v>Ravellaan 8</v>
      </c>
      <c r="F21" t="str" cm="1">
        <f t="array" ref="F21">_xlfn.XLOOKUP($A21,1*Sheet1!$A:$A,Sheet1!I:I,"",0)</f>
        <v>2671 VT</v>
      </c>
      <c r="G21" t="str" cm="1">
        <f t="array" ref="G21">_xlfn.XLOOKUP($A21,1*Sheet1!$A:$A,Sheet1!J:J,"",0)</f>
        <v>Naaldwijk</v>
      </c>
      <c r="H21" t="str" cm="1">
        <f t="array" ref="H21">_xlfn.XLOOKUP($A21,1*Sheet1!$A:$A,Sheet1!K:K,"",0)</f>
        <v>06-22413459</v>
      </c>
      <c r="I21" t="str" cm="1">
        <f t="array" ref="I21">_xlfn.XLOOKUP($A21,1*Sheet1!$A:$A,Sheet1!L:L,"",0)</f>
        <v>tonolsthoorn@kpnmail.nl</v>
      </c>
      <c r="J21" t="str" cm="1">
        <f t="array" ref="J21">_xlfn.XLOOKUP($A21,1*Sheet1!$A:$A,Sheet1!M:M,"",0)</f>
        <v>NL92RABO0342957031</v>
      </c>
    </row>
    <row r="22" spans="1:10">
      <c r="A22" s="43">
        <v>288</v>
      </c>
      <c r="B22" cm="1">
        <f t="array" ref="B22">_xlfn.XLOOKUP($A22,1*Sheet1!$A:$A,Sheet1!AE:AE,"",0)</f>
        <v>48.21</v>
      </c>
      <c r="C22" t="str" cm="1">
        <f t="array" ref="C22">_xlfn.XLOOKUP($A22,1*Sheet1!$A:$A,Sheet1!F:F,"",0)</f>
        <v>Stichting MCM</v>
      </c>
      <c r="D22" t="str" cm="1">
        <f t="array" ref="D22">_xlfn.XLOOKUP($A22,1*Sheet1!$A:$A,Sheet1!G:G,"",0)</f>
        <v>J. v. Bergen</v>
      </c>
      <c r="E22" t="str" cm="1">
        <f t="array" ref="E22">_xlfn.XLOOKUP($A22,1*Sheet1!$A:$A,Sheet1!H:H,"",0)</f>
        <v>Rijpstraat 22</v>
      </c>
      <c r="F22" t="str" cm="1">
        <f t="array" ref="F22">_xlfn.XLOOKUP($A22,1*Sheet1!$A:$A,Sheet1!I:I,"",0)</f>
        <v>3151 BV</v>
      </c>
      <c r="G22" t="str" cm="1">
        <f t="array" ref="G22">_xlfn.XLOOKUP($A22,1*Sheet1!$A:$A,Sheet1!J:J,"",0)</f>
        <v>Hoek van Holland</v>
      </c>
      <c r="H22" t="str" cm="1">
        <f t="array" ref="H22">_xlfn.XLOOKUP($A22,1*Sheet1!$A:$A,Sheet1!K:K,"",0)</f>
        <v>06-53739975</v>
      </c>
      <c r="I22" t="str" cm="1">
        <f t="array" ref="I22">_xlfn.XLOOKUP($A22,1*Sheet1!$A:$A,Sheet1!L:L,"",0)</f>
        <v>jetvbergen@gmail.com</v>
      </c>
      <c r="J22" t="str" cm="1">
        <f t="array" ref="J22">_xlfn.XLOOKUP($A22,1*Sheet1!$A:$A,Sheet1!M:M,"",0)</f>
        <v>NL39RABO0334435080</v>
      </c>
    </row>
    <row r="23" spans="1:10">
      <c r="A23" s="43">
        <v>289</v>
      </c>
      <c r="B23" cm="1">
        <f t="array" ref="B23">_xlfn.XLOOKUP($A23,1*Sheet1!$A:$A,Sheet1!AE:AE,"",0)</f>
        <v>0</v>
      </c>
      <c r="C23" t="str" cm="1">
        <f t="array" ref="C23">_xlfn.XLOOKUP($A23,1*Sheet1!$A:$A,Sheet1!F:F,"",0)</f>
        <v>Stichting MCM</v>
      </c>
      <c r="D23" t="str" cm="1">
        <f t="array" ref="D23">_xlfn.XLOOKUP($A23,1*Sheet1!$A:$A,Sheet1!G:G,"",0)</f>
        <v>J. v. Bergen</v>
      </c>
      <c r="E23" t="str" cm="1">
        <f t="array" ref="E23">_xlfn.XLOOKUP($A23,1*Sheet1!$A:$A,Sheet1!H:H,"",0)</f>
        <v>Rijpstraat 22</v>
      </c>
      <c r="F23" t="str" cm="1">
        <f t="array" ref="F23">_xlfn.XLOOKUP($A23,1*Sheet1!$A:$A,Sheet1!I:I,"",0)</f>
        <v>3151 BV</v>
      </c>
      <c r="G23" t="str" cm="1">
        <f t="array" ref="G23">_xlfn.XLOOKUP($A23,1*Sheet1!$A:$A,Sheet1!J:J,"",0)</f>
        <v>Hoek van Holland</v>
      </c>
      <c r="H23" t="str" cm="1">
        <f t="array" ref="H23">_xlfn.XLOOKUP($A23,1*Sheet1!$A:$A,Sheet1!K:K,"",0)</f>
        <v>06-53739975</v>
      </c>
      <c r="I23" t="str" cm="1">
        <f t="array" ref="I23">_xlfn.XLOOKUP($A23,1*Sheet1!$A:$A,Sheet1!L:L,"",0)</f>
        <v>jetvbergen@gmail.com</v>
      </c>
      <c r="J23" t="str" cm="1">
        <f t="array" ref="J23">_xlfn.XLOOKUP($A23,1*Sheet1!$A:$A,Sheet1!M:M,"",0)</f>
        <v>NL39RABO0334435080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B0D6-FD7E-7747-9F35-FE5C7C8F94CA}">
  <dimension ref="A1:J187"/>
  <sheetViews>
    <sheetView workbookViewId="0">
      <selection sqref="A1:J1048576"/>
    </sheetView>
  </sheetViews>
  <sheetFormatPr baseColWidth="10" defaultRowHeight="16"/>
  <cols>
    <col min="2" max="2" width="38.1640625" bestFit="1" customWidth="1"/>
  </cols>
  <sheetData>
    <row r="1" spans="1:10">
      <c r="A1" s="53" t="s">
        <v>0</v>
      </c>
      <c r="B1" s="53" t="s">
        <v>263</v>
      </c>
      <c r="C1" s="53" t="s">
        <v>490</v>
      </c>
      <c r="D1" s="54" t="s">
        <v>265</v>
      </c>
      <c r="E1" s="54" t="s">
        <v>282</v>
      </c>
      <c r="F1" s="54"/>
      <c r="G1" s="55" t="s">
        <v>442</v>
      </c>
      <c r="H1" s="55" t="s">
        <v>443</v>
      </c>
      <c r="I1" s="53" t="s">
        <v>444</v>
      </c>
      <c r="J1" s="53" t="s">
        <v>488</v>
      </c>
    </row>
    <row r="2" spans="1:10">
      <c r="A2" s="53">
        <v>0</v>
      </c>
      <c r="B2" s="53" t="s">
        <v>266</v>
      </c>
      <c r="C2" s="53" t="str">
        <f>IF(J2=1,D2,"")</f>
        <v/>
      </c>
      <c r="D2" s="54">
        <v>13043.23</v>
      </c>
      <c r="E2" s="54">
        <v>90</v>
      </c>
      <c r="F2" s="54"/>
      <c r="G2" s="56">
        <v>2142.3473750000007</v>
      </c>
      <c r="H2" s="56">
        <v>1.125</v>
      </c>
      <c r="I2" s="54">
        <v>10900.882624999998</v>
      </c>
      <c r="J2" s="53"/>
    </row>
    <row r="3" spans="1:10">
      <c r="A3" s="53">
        <v>2</v>
      </c>
      <c r="B3" s="53" t="s">
        <v>284</v>
      </c>
      <c r="C3" s="53">
        <f t="shared" ref="C3:C66" si="0">IF(J3=1,D3,"")</f>
        <v>1416.85</v>
      </c>
      <c r="D3" s="54">
        <v>1416.85</v>
      </c>
      <c r="E3" s="54">
        <v>0</v>
      </c>
      <c r="F3" s="54"/>
      <c r="G3" s="56">
        <v>1393.9333333333334</v>
      </c>
      <c r="H3" s="56">
        <v>0</v>
      </c>
      <c r="I3" s="54">
        <v>22.916666666666515</v>
      </c>
      <c r="J3" s="53">
        <v>1</v>
      </c>
    </row>
    <row r="4" spans="1:10">
      <c r="A4" s="53">
        <v>4</v>
      </c>
      <c r="B4" s="53" t="s">
        <v>285</v>
      </c>
      <c r="C4" s="53">
        <f t="shared" si="0"/>
        <v>1708.41</v>
      </c>
      <c r="D4" s="54">
        <v>1708.41</v>
      </c>
      <c r="E4" s="54">
        <v>0</v>
      </c>
      <c r="F4" s="54"/>
      <c r="G4" s="56">
        <v>1674.7649999999996</v>
      </c>
      <c r="H4" s="56">
        <v>0</v>
      </c>
      <c r="I4" s="54">
        <v>33.645000000000437</v>
      </c>
      <c r="J4" s="53">
        <v>1</v>
      </c>
    </row>
    <row r="5" spans="1:10">
      <c r="A5" s="53">
        <v>9</v>
      </c>
      <c r="B5" s="53" t="s">
        <v>365</v>
      </c>
      <c r="C5" s="53">
        <f t="shared" si="0"/>
        <v>3643.5</v>
      </c>
      <c r="D5" s="54">
        <v>3643.5</v>
      </c>
      <c r="E5" s="54">
        <v>0</v>
      </c>
      <c r="F5" s="54"/>
      <c r="G5" s="56">
        <v>3643.5</v>
      </c>
      <c r="H5" s="56">
        <v>0</v>
      </c>
      <c r="I5" s="54">
        <v>0</v>
      </c>
      <c r="J5" s="53">
        <v>1</v>
      </c>
    </row>
    <row r="6" spans="1:10">
      <c r="A6" s="53">
        <v>10</v>
      </c>
      <c r="B6" s="53" t="s">
        <v>286</v>
      </c>
      <c r="C6" s="53">
        <f t="shared" si="0"/>
        <v>1708.41</v>
      </c>
      <c r="D6" s="54">
        <v>1708.41</v>
      </c>
      <c r="E6" s="54">
        <v>0</v>
      </c>
      <c r="F6" s="54"/>
      <c r="G6" s="56">
        <v>1674.7649999999996</v>
      </c>
      <c r="H6" s="56">
        <v>0</v>
      </c>
      <c r="I6" s="54">
        <v>33.645000000000437</v>
      </c>
      <c r="J6" s="53">
        <v>1</v>
      </c>
    </row>
    <row r="7" spans="1:10">
      <c r="A7" s="53">
        <v>11</v>
      </c>
      <c r="B7" s="53" t="s">
        <v>287</v>
      </c>
      <c r="C7" s="53">
        <f t="shared" si="0"/>
        <v>1708.41</v>
      </c>
      <c r="D7" s="54">
        <v>1708.41</v>
      </c>
      <c r="E7" s="54">
        <v>0</v>
      </c>
      <c r="F7" s="54"/>
      <c r="G7" s="56">
        <v>1674.7649999999996</v>
      </c>
      <c r="H7" s="56">
        <v>0</v>
      </c>
      <c r="I7" s="54">
        <v>33.645000000000437</v>
      </c>
      <c r="J7" s="53">
        <v>1</v>
      </c>
    </row>
    <row r="8" spans="1:10">
      <c r="A8" s="53">
        <v>15</v>
      </c>
      <c r="B8" s="53" t="s">
        <v>380</v>
      </c>
      <c r="C8" s="53">
        <f t="shared" si="0"/>
        <v>3400</v>
      </c>
      <c r="D8" s="54">
        <v>3400</v>
      </c>
      <c r="E8" s="54">
        <v>0</v>
      </c>
      <c r="F8" s="54"/>
      <c r="G8" s="56">
        <v>3400</v>
      </c>
      <c r="H8" s="56">
        <v>0</v>
      </c>
      <c r="I8" s="54">
        <v>0</v>
      </c>
      <c r="J8" s="53">
        <v>1</v>
      </c>
    </row>
    <row r="9" spans="1:10">
      <c r="A9" s="53">
        <v>16</v>
      </c>
      <c r="B9" s="53" t="s">
        <v>288</v>
      </c>
      <c r="C9" s="53">
        <f t="shared" si="0"/>
        <v>2364.3000000000002</v>
      </c>
      <c r="D9" s="54">
        <v>2364.3000000000002</v>
      </c>
      <c r="E9" s="54">
        <v>0</v>
      </c>
      <c r="F9" s="54"/>
      <c r="G9" s="56">
        <v>2317.7399999999998</v>
      </c>
      <c r="H9" s="56">
        <v>0</v>
      </c>
      <c r="I9" s="54">
        <v>46.5600000000004</v>
      </c>
      <c r="J9" s="53">
        <v>1</v>
      </c>
    </row>
    <row r="10" spans="1:10">
      <c r="A10" s="53">
        <v>17</v>
      </c>
      <c r="B10" s="53" t="s">
        <v>289</v>
      </c>
      <c r="C10" s="53">
        <f t="shared" si="0"/>
        <v>1677.89</v>
      </c>
      <c r="D10" s="54">
        <v>1677.89</v>
      </c>
      <c r="E10" s="54">
        <v>0</v>
      </c>
      <c r="F10" s="54"/>
      <c r="G10" s="56">
        <v>1644.8499999999997</v>
      </c>
      <c r="H10" s="56">
        <v>0</v>
      </c>
      <c r="I10" s="54">
        <v>33.040000000000418</v>
      </c>
      <c r="J10" s="53">
        <v>1</v>
      </c>
    </row>
    <row r="11" spans="1:10">
      <c r="A11" s="53">
        <v>20</v>
      </c>
      <c r="B11" s="53" t="s">
        <v>290</v>
      </c>
      <c r="C11" s="53">
        <f t="shared" si="0"/>
        <v>1723.44</v>
      </c>
      <c r="D11" s="54">
        <v>1723.44</v>
      </c>
      <c r="E11" s="54">
        <v>0</v>
      </c>
      <c r="F11" s="54"/>
      <c r="G11" s="56">
        <v>1689.4999999999998</v>
      </c>
      <c r="H11" s="56">
        <v>0</v>
      </c>
      <c r="I11" s="54">
        <v>33.940000000000282</v>
      </c>
      <c r="J11" s="53">
        <v>1</v>
      </c>
    </row>
    <row r="12" spans="1:10">
      <c r="A12" s="53">
        <v>21</v>
      </c>
      <c r="B12" s="53" t="s">
        <v>291</v>
      </c>
      <c r="C12" s="53">
        <f t="shared" si="0"/>
        <v>1830.43</v>
      </c>
      <c r="D12" s="54">
        <v>1830.43</v>
      </c>
      <c r="E12" s="54">
        <v>0</v>
      </c>
      <c r="F12" s="54"/>
      <c r="G12" s="56">
        <v>1794.385</v>
      </c>
      <c r="H12" s="56">
        <v>0</v>
      </c>
      <c r="I12" s="54">
        <v>36.045000000000073</v>
      </c>
      <c r="J12" s="53">
        <v>1</v>
      </c>
    </row>
    <row r="13" spans="1:10">
      <c r="A13" s="53">
        <v>22</v>
      </c>
      <c r="B13" s="53" t="s">
        <v>366</v>
      </c>
      <c r="C13" s="53">
        <f t="shared" si="0"/>
        <v>2930.56</v>
      </c>
      <c r="D13" s="54">
        <v>2930.56</v>
      </c>
      <c r="E13" s="54">
        <v>2930.56</v>
      </c>
      <c r="F13" s="54"/>
      <c r="G13" s="56">
        <v>2705.1323076923081</v>
      </c>
      <c r="H13" s="56">
        <v>225.4276923076923</v>
      </c>
      <c r="I13" s="54">
        <v>225.42769230769181</v>
      </c>
      <c r="J13" s="53">
        <v>1</v>
      </c>
    </row>
    <row r="14" spans="1:10">
      <c r="A14" s="53">
        <v>25</v>
      </c>
      <c r="B14" s="53" t="s">
        <v>292</v>
      </c>
      <c r="C14" s="53">
        <f t="shared" si="0"/>
        <v>1625</v>
      </c>
      <c r="D14" s="54">
        <v>1625</v>
      </c>
      <c r="E14" s="54">
        <v>1625</v>
      </c>
      <c r="F14" s="54"/>
      <c r="G14" s="56">
        <v>1209.7281818181818</v>
      </c>
      <c r="H14" s="56">
        <v>147.72727272727272</v>
      </c>
      <c r="I14" s="54">
        <v>415.27181818181816</v>
      </c>
      <c r="J14" s="53">
        <v>1</v>
      </c>
    </row>
    <row r="15" spans="1:10">
      <c r="A15" s="53">
        <v>26</v>
      </c>
      <c r="B15" s="53" t="s">
        <v>293</v>
      </c>
      <c r="C15" s="53">
        <f t="shared" si="0"/>
        <v>1952.46</v>
      </c>
      <c r="D15" s="54">
        <v>1952.46</v>
      </c>
      <c r="E15" s="54">
        <v>0</v>
      </c>
      <c r="F15" s="54"/>
      <c r="G15" s="56">
        <v>1914.01</v>
      </c>
      <c r="H15" s="56">
        <v>0</v>
      </c>
      <c r="I15" s="54">
        <v>38.450000000000045</v>
      </c>
      <c r="J15" s="53">
        <v>1</v>
      </c>
    </row>
    <row r="16" spans="1:10">
      <c r="A16" s="53">
        <v>27</v>
      </c>
      <c r="B16" s="53" t="s">
        <v>381</v>
      </c>
      <c r="C16" s="53">
        <f t="shared" si="0"/>
        <v>1677.89</v>
      </c>
      <c r="D16" s="54">
        <v>1677.89</v>
      </c>
      <c r="E16" s="54">
        <v>0</v>
      </c>
      <c r="F16" s="54"/>
      <c r="G16" s="56">
        <v>1644.8499999999997</v>
      </c>
      <c r="H16" s="56">
        <v>0</v>
      </c>
      <c r="I16" s="54">
        <v>33.040000000000418</v>
      </c>
      <c r="J16" s="53">
        <v>1</v>
      </c>
    </row>
    <row r="17" spans="1:10">
      <c r="A17" s="53">
        <v>28</v>
      </c>
      <c r="B17" s="53" t="s">
        <v>382</v>
      </c>
      <c r="C17" s="53">
        <f t="shared" si="0"/>
        <v>2928.69</v>
      </c>
      <c r="D17" s="54">
        <v>2928.69</v>
      </c>
      <c r="E17" s="54">
        <v>0</v>
      </c>
      <c r="F17" s="54"/>
      <c r="G17" s="56">
        <v>2871.0149999999999</v>
      </c>
      <c r="H17" s="56">
        <v>0</v>
      </c>
      <c r="I17" s="54">
        <v>57.675000000000182</v>
      </c>
      <c r="J17" s="53">
        <v>1</v>
      </c>
    </row>
    <row r="18" spans="1:10">
      <c r="A18" s="53">
        <v>30</v>
      </c>
      <c r="B18" s="53" t="s">
        <v>267</v>
      </c>
      <c r="C18" s="53">
        <f t="shared" si="0"/>
        <v>895</v>
      </c>
      <c r="D18" s="54">
        <v>895</v>
      </c>
      <c r="E18" s="54">
        <v>0</v>
      </c>
      <c r="F18" s="54"/>
      <c r="G18" s="56">
        <v>895</v>
      </c>
      <c r="H18" s="56">
        <v>0</v>
      </c>
      <c r="I18" s="54">
        <v>0</v>
      </c>
      <c r="J18" s="53">
        <v>1</v>
      </c>
    </row>
    <row r="19" spans="1:10">
      <c r="A19" s="53">
        <v>31</v>
      </c>
      <c r="B19" s="53" t="s">
        <v>294</v>
      </c>
      <c r="C19" s="53">
        <f t="shared" si="0"/>
        <v>1568.43</v>
      </c>
      <c r="D19" s="54">
        <v>1568.43</v>
      </c>
      <c r="E19" s="54">
        <v>0</v>
      </c>
      <c r="F19" s="54"/>
      <c r="G19" s="56">
        <v>1540.3527272727274</v>
      </c>
      <c r="H19" s="56">
        <v>0</v>
      </c>
      <c r="I19" s="54">
        <v>28.077272727272657</v>
      </c>
      <c r="J19" s="53">
        <v>1</v>
      </c>
    </row>
    <row r="20" spans="1:10">
      <c r="A20" s="53">
        <v>33</v>
      </c>
      <c r="B20" s="53" t="s">
        <v>295</v>
      </c>
      <c r="C20" s="53">
        <f t="shared" si="0"/>
        <v>2082</v>
      </c>
      <c r="D20" s="54">
        <v>2082</v>
      </c>
      <c r="E20" s="54">
        <v>0</v>
      </c>
      <c r="F20" s="54"/>
      <c r="G20" s="56">
        <v>2041</v>
      </c>
      <c r="H20" s="56">
        <v>0</v>
      </c>
      <c r="I20" s="54">
        <v>41</v>
      </c>
      <c r="J20" s="53">
        <v>1</v>
      </c>
    </row>
    <row r="21" spans="1:10">
      <c r="A21" s="53">
        <v>34</v>
      </c>
      <c r="B21" s="53" t="s">
        <v>296</v>
      </c>
      <c r="C21" s="53">
        <f t="shared" si="0"/>
        <v>2269.38</v>
      </c>
      <c r="D21" s="54">
        <v>2269.38</v>
      </c>
      <c r="E21" s="54">
        <v>0</v>
      </c>
      <c r="F21" s="54"/>
      <c r="G21" s="56">
        <v>2072.23</v>
      </c>
      <c r="H21" s="56">
        <v>0</v>
      </c>
      <c r="I21" s="54">
        <v>197.15000000000009</v>
      </c>
      <c r="J21" s="53">
        <v>1</v>
      </c>
    </row>
    <row r="22" spans="1:10">
      <c r="A22" s="53">
        <v>35</v>
      </c>
      <c r="B22" s="53" t="s">
        <v>383</v>
      </c>
      <c r="C22" s="53">
        <f t="shared" si="0"/>
        <v>1784.67</v>
      </c>
      <c r="D22" s="54">
        <v>1784.67</v>
      </c>
      <c r="E22" s="54">
        <v>0</v>
      </c>
      <c r="F22" s="54"/>
      <c r="G22" s="56">
        <v>1749.5249999999996</v>
      </c>
      <c r="H22" s="56">
        <v>0</v>
      </c>
      <c r="I22" s="54">
        <v>35.145000000000437</v>
      </c>
      <c r="J22" s="53">
        <v>1</v>
      </c>
    </row>
    <row r="23" spans="1:10">
      <c r="A23" s="53">
        <v>36</v>
      </c>
      <c r="B23" s="53" t="s">
        <v>367</v>
      </c>
      <c r="C23" s="53">
        <f t="shared" si="0"/>
        <v>2810.7</v>
      </c>
      <c r="D23" s="54">
        <v>2810.7</v>
      </c>
      <c r="E23" s="54">
        <v>0</v>
      </c>
      <c r="F23" s="54"/>
      <c r="G23" s="56">
        <v>2760.3818181818187</v>
      </c>
      <c r="H23" s="56">
        <v>0</v>
      </c>
      <c r="I23" s="54">
        <v>50.318181818181074</v>
      </c>
      <c r="J23" s="53">
        <v>1</v>
      </c>
    </row>
    <row r="24" spans="1:10">
      <c r="A24" s="53">
        <v>57</v>
      </c>
      <c r="B24" s="53" t="s">
        <v>368</v>
      </c>
      <c r="C24" s="53">
        <f t="shared" si="0"/>
        <v>1715.6</v>
      </c>
      <c r="D24" s="54">
        <v>1715.6</v>
      </c>
      <c r="E24" s="54">
        <v>0</v>
      </c>
      <c r="F24" s="54"/>
      <c r="G24" s="56">
        <v>1545.3</v>
      </c>
      <c r="H24" s="56">
        <v>0</v>
      </c>
      <c r="I24" s="54">
        <v>170.29999999999995</v>
      </c>
      <c r="J24" s="53">
        <v>1</v>
      </c>
    </row>
    <row r="25" spans="1:10">
      <c r="A25" s="53">
        <v>67</v>
      </c>
      <c r="B25" s="53" t="s">
        <v>384</v>
      </c>
      <c r="C25" s="53">
        <f t="shared" si="0"/>
        <v>3643.5</v>
      </c>
      <c r="D25" s="54">
        <v>3643.5</v>
      </c>
      <c r="E25" s="54">
        <v>0</v>
      </c>
      <c r="F25" s="54"/>
      <c r="G25" s="56">
        <v>3571.75</v>
      </c>
      <c r="H25" s="56">
        <v>0</v>
      </c>
      <c r="I25" s="54">
        <v>71.75</v>
      </c>
      <c r="J25" s="53">
        <v>1</v>
      </c>
    </row>
    <row r="26" spans="1:10">
      <c r="A26" s="53">
        <v>79</v>
      </c>
      <c r="B26" s="53" t="s">
        <v>386</v>
      </c>
      <c r="C26" s="53">
        <f t="shared" si="0"/>
        <v>2166.65</v>
      </c>
      <c r="D26" s="54">
        <v>2166.65</v>
      </c>
      <c r="E26" s="54">
        <v>0</v>
      </c>
      <c r="F26" s="54"/>
      <c r="G26" s="56">
        <v>1736.7874999999997</v>
      </c>
      <c r="H26" s="56">
        <v>0</v>
      </c>
      <c r="I26" s="54">
        <v>429.86250000000041</v>
      </c>
      <c r="J26" s="53">
        <v>1</v>
      </c>
    </row>
    <row r="27" spans="1:10">
      <c r="A27" s="53">
        <v>80</v>
      </c>
      <c r="B27" s="53" t="s">
        <v>387</v>
      </c>
      <c r="C27" s="53">
        <f t="shared" si="0"/>
        <v>2170</v>
      </c>
      <c r="D27" s="54">
        <v>2170</v>
      </c>
      <c r="E27" s="54">
        <v>0</v>
      </c>
      <c r="F27" s="54"/>
      <c r="G27" s="56">
        <v>2121.2762499999999</v>
      </c>
      <c r="H27" s="56">
        <v>0</v>
      </c>
      <c r="I27" s="54">
        <v>48.723750000000109</v>
      </c>
      <c r="J27" s="53">
        <v>1</v>
      </c>
    </row>
    <row r="28" spans="1:10">
      <c r="A28" s="53">
        <v>84</v>
      </c>
      <c r="B28" s="53" t="s">
        <v>445</v>
      </c>
      <c r="C28" s="53">
        <f t="shared" si="0"/>
        <v>2250</v>
      </c>
      <c r="D28" s="54">
        <v>2250</v>
      </c>
      <c r="E28" s="54">
        <v>0</v>
      </c>
      <c r="F28" s="54"/>
      <c r="G28" s="56">
        <v>2250</v>
      </c>
      <c r="H28" s="56">
        <v>0</v>
      </c>
      <c r="I28" s="54">
        <v>0</v>
      </c>
      <c r="J28" s="53">
        <v>1</v>
      </c>
    </row>
    <row r="29" spans="1:10">
      <c r="A29" s="53">
        <v>88</v>
      </c>
      <c r="B29" s="53" t="s">
        <v>388</v>
      </c>
      <c r="C29" s="53">
        <f t="shared" si="0"/>
        <v>2593.81</v>
      </c>
      <c r="D29" s="54">
        <v>2593.81</v>
      </c>
      <c r="E29" s="54">
        <v>2491.65</v>
      </c>
      <c r="F29" s="54"/>
      <c r="G29" s="56">
        <v>2311.7691666666674</v>
      </c>
      <c r="H29" s="56">
        <v>207.63750000000002</v>
      </c>
      <c r="I29" s="54">
        <v>282.04083333333256</v>
      </c>
      <c r="J29" s="53">
        <v>1</v>
      </c>
    </row>
    <row r="30" spans="1:10">
      <c r="A30" s="53">
        <v>95</v>
      </c>
      <c r="B30" s="53" t="s">
        <v>300</v>
      </c>
      <c r="C30" s="53" t="str">
        <f t="shared" si="0"/>
        <v/>
      </c>
      <c r="D30" s="54">
        <v>1993.32</v>
      </c>
      <c r="E30" s="54">
        <v>0</v>
      </c>
      <c r="F30" s="54"/>
      <c r="G30" s="56">
        <v>948.79384615384618</v>
      </c>
      <c r="H30" s="56">
        <v>0</v>
      </c>
      <c r="I30" s="54">
        <v>1044.5261538461536</v>
      </c>
      <c r="J30" s="53" t="s">
        <v>489</v>
      </c>
    </row>
    <row r="31" spans="1:10">
      <c r="A31" s="53">
        <v>95</v>
      </c>
      <c r="B31" s="53" t="s">
        <v>369</v>
      </c>
      <c r="C31" s="53" t="str">
        <f t="shared" si="0"/>
        <v/>
      </c>
      <c r="D31" s="54">
        <v>3435.06</v>
      </c>
      <c r="E31" s="54">
        <v>1750</v>
      </c>
      <c r="F31" s="54"/>
      <c r="G31" s="56">
        <v>1906.8016666666665</v>
      </c>
      <c r="H31" s="56">
        <v>145.83333333333334</v>
      </c>
      <c r="I31" s="54">
        <v>1528.2583333333334</v>
      </c>
      <c r="J31" s="53" t="s">
        <v>489</v>
      </c>
    </row>
    <row r="32" spans="1:10">
      <c r="A32" s="53">
        <v>97</v>
      </c>
      <c r="B32" s="53" t="s">
        <v>389</v>
      </c>
      <c r="C32" s="53">
        <f t="shared" si="0"/>
        <v>3550</v>
      </c>
      <c r="D32" s="54">
        <v>3550</v>
      </c>
      <c r="E32" s="54">
        <v>0</v>
      </c>
      <c r="F32" s="54"/>
      <c r="G32" s="56">
        <v>3094.498333333333</v>
      </c>
      <c r="H32" s="56">
        <v>0</v>
      </c>
      <c r="I32" s="54">
        <v>455.50166666666701</v>
      </c>
      <c r="J32" s="53">
        <v>1</v>
      </c>
    </row>
    <row r="33" spans="1:10">
      <c r="A33" s="53">
        <v>99</v>
      </c>
      <c r="B33" s="53" t="s">
        <v>390</v>
      </c>
      <c r="C33" s="53">
        <f t="shared" si="0"/>
        <v>3383.25</v>
      </c>
      <c r="D33" s="54">
        <v>3383.25</v>
      </c>
      <c r="E33" s="54">
        <v>0</v>
      </c>
      <c r="F33" s="54"/>
      <c r="G33" s="56">
        <v>3316.625</v>
      </c>
      <c r="H33" s="56">
        <v>0</v>
      </c>
      <c r="I33" s="54">
        <v>66.625</v>
      </c>
      <c r="J33" s="53">
        <v>1</v>
      </c>
    </row>
    <row r="34" spans="1:10">
      <c r="A34" s="53">
        <v>103</v>
      </c>
      <c r="B34" s="53" t="s">
        <v>301</v>
      </c>
      <c r="C34" s="53">
        <f t="shared" si="0"/>
        <v>1700</v>
      </c>
      <c r="D34" s="54">
        <v>1700</v>
      </c>
      <c r="E34" s="54">
        <v>0</v>
      </c>
      <c r="F34" s="54"/>
      <c r="G34" s="56">
        <v>1680.7042857142858</v>
      </c>
      <c r="H34" s="56">
        <v>0</v>
      </c>
      <c r="I34" s="54">
        <v>19.295714285714212</v>
      </c>
      <c r="J34" s="53">
        <v>1</v>
      </c>
    </row>
    <row r="35" spans="1:10">
      <c r="A35" s="53">
        <v>106</v>
      </c>
      <c r="B35" s="53" t="s">
        <v>391</v>
      </c>
      <c r="C35" s="53" t="str">
        <f t="shared" si="0"/>
        <v/>
      </c>
      <c r="D35" s="54">
        <v>3200</v>
      </c>
      <c r="E35" s="54">
        <v>3200</v>
      </c>
      <c r="F35" s="54"/>
      <c r="G35" s="56">
        <v>1920</v>
      </c>
      <c r="H35" s="56">
        <v>1280</v>
      </c>
      <c r="I35" s="54">
        <v>1280</v>
      </c>
      <c r="J35" s="53" t="s">
        <v>489</v>
      </c>
    </row>
    <row r="36" spans="1:10">
      <c r="A36" s="53">
        <v>120</v>
      </c>
      <c r="B36" s="53" t="s">
        <v>392</v>
      </c>
      <c r="C36" s="53">
        <f t="shared" si="0"/>
        <v>2300</v>
      </c>
      <c r="D36" s="54">
        <v>2300</v>
      </c>
      <c r="E36" s="54">
        <v>0</v>
      </c>
      <c r="F36" s="54"/>
      <c r="G36" s="56">
        <v>2300</v>
      </c>
      <c r="H36" s="56">
        <v>0</v>
      </c>
      <c r="I36" s="54">
        <v>0</v>
      </c>
      <c r="J36" s="53">
        <v>1</v>
      </c>
    </row>
    <row r="37" spans="1:10">
      <c r="A37" s="53">
        <v>122</v>
      </c>
      <c r="B37" s="53" t="s">
        <v>393</v>
      </c>
      <c r="C37" s="53">
        <f t="shared" si="0"/>
        <v>2593.81</v>
      </c>
      <c r="D37" s="54">
        <v>2593.81</v>
      </c>
      <c r="E37" s="54">
        <v>0</v>
      </c>
      <c r="F37" s="54"/>
      <c r="G37" s="56">
        <v>2542.7300000000005</v>
      </c>
      <c r="H37" s="56">
        <v>0</v>
      </c>
      <c r="I37" s="54">
        <v>51.079999999999472</v>
      </c>
      <c r="J37" s="53">
        <v>1</v>
      </c>
    </row>
    <row r="38" spans="1:10">
      <c r="A38" s="53">
        <v>131</v>
      </c>
      <c r="B38" s="53" t="s">
        <v>394</v>
      </c>
      <c r="C38" s="53">
        <f t="shared" si="0"/>
        <v>2165.2600000000002</v>
      </c>
      <c r="D38" s="54">
        <v>2165.2600000000002</v>
      </c>
      <c r="E38" s="54">
        <v>0</v>
      </c>
      <c r="F38" s="54"/>
      <c r="G38" s="56">
        <v>2122.6200000000003</v>
      </c>
      <c r="H38" s="56">
        <v>0</v>
      </c>
      <c r="I38" s="54">
        <v>42.639999999999873</v>
      </c>
      <c r="J38" s="53">
        <v>1</v>
      </c>
    </row>
    <row r="39" spans="1:10">
      <c r="A39" s="53">
        <v>133</v>
      </c>
      <c r="B39" s="53" t="s">
        <v>395</v>
      </c>
      <c r="C39" s="53">
        <f t="shared" si="0"/>
        <v>2075.0500000000002</v>
      </c>
      <c r="D39" s="54">
        <v>2075.0500000000002</v>
      </c>
      <c r="E39" s="54">
        <v>0</v>
      </c>
      <c r="F39" s="54"/>
      <c r="G39" s="56">
        <v>2034.1849999999999</v>
      </c>
      <c r="H39" s="56">
        <v>0</v>
      </c>
      <c r="I39" s="54">
        <v>40.865000000000236</v>
      </c>
      <c r="J39" s="53">
        <v>1</v>
      </c>
    </row>
    <row r="40" spans="1:10">
      <c r="A40" s="53">
        <v>134</v>
      </c>
      <c r="B40" s="53" t="s">
        <v>446</v>
      </c>
      <c r="C40" s="53">
        <f t="shared" si="0"/>
        <v>992.34</v>
      </c>
      <c r="D40" s="54">
        <v>992.34</v>
      </c>
      <c r="E40" s="54">
        <v>0</v>
      </c>
      <c r="F40" s="54"/>
      <c r="G40" s="56">
        <v>972.80000000000007</v>
      </c>
      <c r="H40" s="56">
        <v>0</v>
      </c>
      <c r="I40" s="54">
        <v>19.539999999999964</v>
      </c>
      <c r="J40" s="53">
        <v>1</v>
      </c>
    </row>
    <row r="41" spans="1:10">
      <c r="A41" s="53">
        <v>135</v>
      </c>
      <c r="B41" s="53" t="s">
        <v>396</v>
      </c>
      <c r="C41" s="53">
        <f t="shared" si="0"/>
        <v>1691.63</v>
      </c>
      <c r="D41" s="54">
        <v>1691.63</v>
      </c>
      <c r="E41" s="54">
        <v>0</v>
      </c>
      <c r="F41" s="54"/>
      <c r="G41" s="56">
        <v>1658.3150000000003</v>
      </c>
      <c r="H41" s="56">
        <v>0</v>
      </c>
      <c r="I41" s="54">
        <v>33.314999999999827</v>
      </c>
      <c r="J41" s="53">
        <v>1</v>
      </c>
    </row>
    <row r="42" spans="1:10">
      <c r="A42" s="53">
        <v>148</v>
      </c>
      <c r="B42" s="53" t="s">
        <v>302</v>
      </c>
      <c r="C42" s="53">
        <f t="shared" si="0"/>
        <v>1570.24</v>
      </c>
      <c r="D42" s="54">
        <v>1570.24</v>
      </c>
      <c r="E42" s="54">
        <v>0</v>
      </c>
      <c r="F42" s="54"/>
      <c r="G42" s="56">
        <v>1430.1376923076923</v>
      </c>
      <c r="H42" s="56">
        <v>0</v>
      </c>
      <c r="I42" s="54">
        <v>140.1023076923077</v>
      </c>
      <c r="J42" s="53">
        <v>1</v>
      </c>
    </row>
    <row r="43" spans="1:10">
      <c r="A43" s="53">
        <v>149</v>
      </c>
      <c r="B43" s="53" t="s">
        <v>303</v>
      </c>
      <c r="C43" s="53">
        <f t="shared" si="0"/>
        <v>1570.24</v>
      </c>
      <c r="D43" s="54">
        <v>1570.24</v>
      </c>
      <c r="E43" s="54">
        <v>0</v>
      </c>
      <c r="F43" s="54"/>
      <c r="G43" s="56">
        <v>1534.1666666666667</v>
      </c>
      <c r="H43" s="56">
        <v>0</v>
      </c>
      <c r="I43" s="54">
        <v>36.073333333333267</v>
      </c>
      <c r="J43" s="53">
        <v>1</v>
      </c>
    </row>
    <row r="44" spans="1:10">
      <c r="A44" s="53">
        <v>150</v>
      </c>
      <c r="B44" s="53" t="s">
        <v>304</v>
      </c>
      <c r="C44" s="53">
        <f t="shared" si="0"/>
        <v>1475.31</v>
      </c>
      <c r="D44" s="54">
        <v>1475.31</v>
      </c>
      <c r="E44" s="54">
        <v>0</v>
      </c>
      <c r="F44" s="54"/>
      <c r="G44" s="56">
        <v>1441.4125000000001</v>
      </c>
      <c r="H44" s="56">
        <v>0</v>
      </c>
      <c r="I44" s="54">
        <v>33.897499999999809</v>
      </c>
      <c r="J44" s="53">
        <v>1</v>
      </c>
    </row>
    <row r="45" spans="1:10">
      <c r="A45" s="53">
        <v>154</v>
      </c>
      <c r="B45" s="53" t="s">
        <v>398</v>
      </c>
      <c r="C45" s="53">
        <f t="shared" si="0"/>
        <v>2238.15</v>
      </c>
      <c r="D45" s="54">
        <v>2238.15</v>
      </c>
      <c r="E45" s="54">
        <v>0</v>
      </c>
      <c r="F45" s="54"/>
      <c r="G45" s="56">
        <v>2198.0818181818181</v>
      </c>
      <c r="H45" s="56">
        <v>0</v>
      </c>
      <c r="I45" s="54">
        <v>40.068181818181984</v>
      </c>
      <c r="J45" s="53">
        <v>1</v>
      </c>
    </row>
    <row r="46" spans="1:10">
      <c r="A46" s="53">
        <v>156</v>
      </c>
      <c r="B46" s="53" t="s">
        <v>305</v>
      </c>
      <c r="C46" s="53">
        <f t="shared" si="0"/>
        <v>2051.5100000000002</v>
      </c>
      <c r="D46" s="54">
        <v>2051.5100000000002</v>
      </c>
      <c r="E46" s="54">
        <v>0</v>
      </c>
      <c r="F46" s="54"/>
      <c r="G46" s="56">
        <v>2024.5099999999995</v>
      </c>
      <c r="H46" s="56">
        <v>0</v>
      </c>
      <c r="I46" s="54">
        <v>27.000000000000682</v>
      </c>
      <c r="J46" s="53">
        <v>1</v>
      </c>
    </row>
    <row r="47" spans="1:10">
      <c r="A47" s="53">
        <v>160</v>
      </c>
      <c r="B47" s="53" t="s">
        <v>306</v>
      </c>
      <c r="C47" s="53">
        <f t="shared" si="0"/>
        <v>1300</v>
      </c>
      <c r="D47" s="54">
        <v>1300</v>
      </c>
      <c r="E47" s="54">
        <v>0</v>
      </c>
      <c r="F47" s="54"/>
      <c r="G47" s="56">
        <v>1300</v>
      </c>
      <c r="H47" s="56">
        <v>0</v>
      </c>
      <c r="I47" s="54">
        <v>0</v>
      </c>
      <c r="J47" s="53">
        <v>1</v>
      </c>
    </row>
    <row r="48" spans="1:10">
      <c r="A48" s="53">
        <v>162</v>
      </c>
      <c r="B48" s="53" t="s">
        <v>307</v>
      </c>
      <c r="C48" s="53">
        <f t="shared" si="0"/>
        <v>1557.73</v>
      </c>
      <c r="D48" s="54">
        <v>1557.73</v>
      </c>
      <c r="E48" s="54">
        <v>1557.73</v>
      </c>
      <c r="F48" s="54"/>
      <c r="G48" s="56">
        <v>1363.390909090909</v>
      </c>
      <c r="H48" s="56">
        <v>141.61181818181819</v>
      </c>
      <c r="I48" s="54">
        <v>194.33909090909106</v>
      </c>
      <c r="J48" s="53">
        <v>1</v>
      </c>
    </row>
    <row r="49" spans="1:10">
      <c r="A49" s="53">
        <v>163</v>
      </c>
      <c r="B49" s="53" t="s">
        <v>308</v>
      </c>
      <c r="C49" s="53">
        <f t="shared" si="0"/>
        <v>3269</v>
      </c>
      <c r="D49" s="54">
        <v>3269</v>
      </c>
      <c r="E49" s="54">
        <v>0</v>
      </c>
      <c r="F49" s="54"/>
      <c r="G49" s="56">
        <v>3159.8461538461538</v>
      </c>
      <c r="H49" s="56">
        <v>0</v>
      </c>
      <c r="I49" s="54">
        <v>109.15384615384619</v>
      </c>
      <c r="J49" s="53">
        <v>1</v>
      </c>
    </row>
    <row r="50" spans="1:10">
      <c r="A50" s="53">
        <v>165</v>
      </c>
      <c r="B50" s="53" t="s">
        <v>309</v>
      </c>
      <c r="C50" s="53">
        <f t="shared" si="0"/>
        <v>4140</v>
      </c>
      <c r="D50" s="54">
        <v>4140</v>
      </c>
      <c r="E50" s="54">
        <v>0</v>
      </c>
      <c r="F50" s="54"/>
      <c r="G50" s="56">
        <v>4140</v>
      </c>
      <c r="H50" s="56">
        <v>0</v>
      </c>
      <c r="I50" s="54">
        <v>0</v>
      </c>
      <c r="J50" s="53">
        <v>1</v>
      </c>
    </row>
    <row r="51" spans="1:10">
      <c r="A51" s="53">
        <v>170</v>
      </c>
      <c r="B51" s="53" t="s">
        <v>310</v>
      </c>
      <c r="C51" s="53">
        <f t="shared" si="0"/>
        <v>1327</v>
      </c>
      <c r="D51" s="54">
        <v>1327</v>
      </c>
      <c r="E51" s="54">
        <v>0</v>
      </c>
      <c r="F51" s="54"/>
      <c r="G51" s="56">
        <v>1301</v>
      </c>
      <c r="H51" s="56">
        <v>0</v>
      </c>
      <c r="I51" s="54">
        <v>26</v>
      </c>
      <c r="J51" s="53">
        <v>1</v>
      </c>
    </row>
    <row r="52" spans="1:10">
      <c r="A52" s="53">
        <v>172</v>
      </c>
      <c r="B52" s="53" t="s">
        <v>399</v>
      </c>
      <c r="C52" s="53">
        <f t="shared" si="0"/>
        <v>2650</v>
      </c>
      <c r="D52" s="54">
        <v>2650</v>
      </c>
      <c r="E52" s="54">
        <v>2650</v>
      </c>
      <c r="F52" s="54"/>
      <c r="G52" s="56">
        <v>2271.4285714285716</v>
      </c>
      <c r="H52" s="56">
        <v>378.57142857142856</v>
      </c>
      <c r="I52" s="54">
        <v>378.57142857142844</v>
      </c>
      <c r="J52" s="53">
        <v>1</v>
      </c>
    </row>
    <row r="53" spans="1:10">
      <c r="A53" s="53">
        <v>173</v>
      </c>
      <c r="B53" s="53" t="s">
        <v>311</v>
      </c>
      <c r="C53" s="53">
        <f t="shared" si="0"/>
        <v>1850</v>
      </c>
      <c r="D53" s="54">
        <v>1850</v>
      </c>
      <c r="E53" s="54">
        <v>0</v>
      </c>
      <c r="F53" s="54"/>
      <c r="G53" s="56">
        <v>1850</v>
      </c>
      <c r="H53" s="56">
        <v>0</v>
      </c>
      <c r="I53" s="54">
        <v>0</v>
      </c>
      <c r="J53" s="53">
        <v>1</v>
      </c>
    </row>
    <row r="54" spans="1:10">
      <c r="A54" s="53">
        <v>174</v>
      </c>
      <c r="B54" s="53" t="s">
        <v>312</v>
      </c>
      <c r="C54" s="53">
        <f t="shared" si="0"/>
        <v>1916</v>
      </c>
      <c r="D54" s="54">
        <v>1916</v>
      </c>
      <c r="E54" s="54">
        <v>0</v>
      </c>
      <c r="F54" s="54"/>
      <c r="G54" s="56">
        <v>1747.3846153846155</v>
      </c>
      <c r="H54" s="56">
        <v>0</v>
      </c>
      <c r="I54" s="54">
        <v>168.61538461538453</v>
      </c>
      <c r="J54" s="53">
        <v>1</v>
      </c>
    </row>
    <row r="55" spans="1:10">
      <c r="A55" s="53">
        <v>175</v>
      </c>
      <c r="B55" s="53" t="s">
        <v>313</v>
      </c>
      <c r="C55" s="53">
        <f t="shared" si="0"/>
        <v>1451.23</v>
      </c>
      <c r="D55" s="54">
        <v>1451.23</v>
      </c>
      <c r="E55" s="54">
        <v>0</v>
      </c>
      <c r="F55" s="54"/>
      <c r="G55" s="56">
        <v>1323.0735714285713</v>
      </c>
      <c r="H55" s="56">
        <v>0</v>
      </c>
      <c r="I55" s="54">
        <v>128.15642857142871</v>
      </c>
      <c r="J55" s="53">
        <v>1</v>
      </c>
    </row>
    <row r="56" spans="1:10">
      <c r="A56" s="53">
        <v>176</v>
      </c>
      <c r="B56" s="53" t="s">
        <v>314</v>
      </c>
      <c r="C56" s="53">
        <f t="shared" si="0"/>
        <v>1125</v>
      </c>
      <c r="D56" s="54">
        <v>1125</v>
      </c>
      <c r="E56" s="54">
        <v>0</v>
      </c>
      <c r="F56" s="54"/>
      <c r="G56" s="56">
        <v>1125</v>
      </c>
      <c r="H56" s="56">
        <v>0</v>
      </c>
      <c r="I56" s="54">
        <v>0</v>
      </c>
      <c r="J56" s="53">
        <v>1</v>
      </c>
    </row>
    <row r="57" spans="1:10">
      <c r="A57" s="53">
        <v>177</v>
      </c>
      <c r="B57" s="53" t="s">
        <v>315</v>
      </c>
      <c r="C57" s="53">
        <f t="shared" si="0"/>
        <v>2700</v>
      </c>
      <c r="D57" s="54">
        <v>2700</v>
      </c>
      <c r="E57" s="54">
        <v>0</v>
      </c>
      <c r="F57" s="54"/>
      <c r="G57" s="56">
        <v>2700</v>
      </c>
      <c r="H57" s="56">
        <v>0</v>
      </c>
      <c r="I57" s="54">
        <v>0</v>
      </c>
      <c r="J57" s="53">
        <v>1</v>
      </c>
    </row>
    <row r="58" spans="1:10">
      <c r="A58" s="53">
        <v>178</v>
      </c>
      <c r="B58" s="53" t="s">
        <v>316</v>
      </c>
      <c r="C58" s="53">
        <f t="shared" si="0"/>
        <v>2800</v>
      </c>
      <c r="D58" s="54">
        <v>2800</v>
      </c>
      <c r="E58" s="54">
        <v>0</v>
      </c>
      <c r="F58" s="54"/>
      <c r="G58" s="56">
        <v>2800</v>
      </c>
      <c r="H58" s="56">
        <v>0</v>
      </c>
      <c r="I58" s="54">
        <v>0</v>
      </c>
      <c r="J58" s="53">
        <v>1</v>
      </c>
    </row>
    <row r="59" spans="1:10">
      <c r="A59" s="53">
        <v>180</v>
      </c>
      <c r="B59" s="53" t="s">
        <v>317</v>
      </c>
      <c r="C59" s="53">
        <f t="shared" si="0"/>
        <v>1270.97</v>
      </c>
      <c r="D59" s="54">
        <v>1270.97</v>
      </c>
      <c r="E59" s="54">
        <v>0</v>
      </c>
      <c r="F59" s="54"/>
      <c r="G59" s="56">
        <v>1270.97</v>
      </c>
      <c r="H59" s="56">
        <v>0</v>
      </c>
      <c r="I59" s="54">
        <v>0</v>
      </c>
      <c r="J59" s="53">
        <v>1</v>
      </c>
    </row>
    <row r="60" spans="1:10">
      <c r="A60" s="53">
        <v>183</v>
      </c>
      <c r="B60" s="53" t="s">
        <v>268</v>
      </c>
      <c r="C60" s="53">
        <f t="shared" si="0"/>
        <v>895</v>
      </c>
      <c r="D60" s="54">
        <v>895</v>
      </c>
      <c r="E60" s="54">
        <v>0</v>
      </c>
      <c r="F60" s="54"/>
      <c r="G60" s="56">
        <v>895</v>
      </c>
      <c r="H60" s="56">
        <v>0</v>
      </c>
      <c r="I60" s="54">
        <v>0</v>
      </c>
      <c r="J60" s="53">
        <v>1</v>
      </c>
    </row>
    <row r="61" spans="1:10">
      <c r="A61" s="53">
        <v>184</v>
      </c>
      <c r="B61" s="53" t="s">
        <v>447</v>
      </c>
      <c r="C61" s="53">
        <f t="shared" si="0"/>
        <v>1545.73</v>
      </c>
      <c r="D61" s="54">
        <v>1545.73</v>
      </c>
      <c r="E61" s="54">
        <v>0</v>
      </c>
      <c r="F61" s="54"/>
      <c r="G61" s="56">
        <v>1522.8133333333333</v>
      </c>
      <c r="H61" s="56">
        <v>0</v>
      </c>
      <c r="I61" s="54">
        <v>22.916666666666742</v>
      </c>
      <c r="J61" s="53">
        <v>1</v>
      </c>
    </row>
    <row r="62" spans="1:10">
      <c r="A62" s="53">
        <v>186</v>
      </c>
      <c r="B62" s="53" t="s">
        <v>318</v>
      </c>
      <c r="C62" s="53">
        <f t="shared" si="0"/>
        <v>2600</v>
      </c>
      <c r="D62" s="54">
        <v>2600</v>
      </c>
      <c r="E62" s="54">
        <v>0</v>
      </c>
      <c r="F62" s="54"/>
      <c r="G62" s="56">
        <v>2600</v>
      </c>
      <c r="H62" s="56">
        <v>0</v>
      </c>
      <c r="I62" s="54">
        <v>0</v>
      </c>
      <c r="J62" s="53">
        <v>1</v>
      </c>
    </row>
    <row r="63" spans="1:10">
      <c r="A63" s="53">
        <v>191</v>
      </c>
      <c r="B63" s="53" t="s">
        <v>269</v>
      </c>
      <c r="C63" s="53">
        <f t="shared" si="0"/>
        <v>895</v>
      </c>
      <c r="D63" s="54">
        <v>895</v>
      </c>
      <c r="E63" s="54">
        <v>0</v>
      </c>
      <c r="F63" s="54"/>
      <c r="G63" s="56">
        <v>895</v>
      </c>
      <c r="H63" s="56">
        <v>0</v>
      </c>
      <c r="I63" s="54">
        <v>0</v>
      </c>
      <c r="J63" s="53">
        <v>1</v>
      </c>
    </row>
    <row r="64" spans="1:10">
      <c r="A64" s="53">
        <v>192</v>
      </c>
      <c r="B64" s="53" t="s">
        <v>319</v>
      </c>
      <c r="C64" s="53" t="str">
        <f t="shared" si="0"/>
        <v/>
      </c>
      <c r="D64" s="54">
        <v>8370</v>
      </c>
      <c r="E64" s="54">
        <v>0</v>
      </c>
      <c r="F64" s="54"/>
      <c r="G64" s="56">
        <v>6654.8</v>
      </c>
      <c r="H64" s="56">
        <v>0</v>
      </c>
      <c r="I64" s="54">
        <v>1715.1999999999998</v>
      </c>
      <c r="J64" s="53" t="s">
        <v>489</v>
      </c>
    </row>
    <row r="65" spans="1:10">
      <c r="A65" s="53">
        <v>193</v>
      </c>
      <c r="B65" s="53" t="s">
        <v>320</v>
      </c>
      <c r="C65" s="53">
        <f t="shared" si="0"/>
        <v>1400.53</v>
      </c>
      <c r="D65" s="54">
        <v>1400.53</v>
      </c>
      <c r="E65" s="54">
        <v>0</v>
      </c>
      <c r="F65" s="54"/>
      <c r="G65" s="56">
        <v>1372.9499999999998</v>
      </c>
      <c r="H65" s="56">
        <v>0</v>
      </c>
      <c r="I65" s="54">
        <v>27.580000000000155</v>
      </c>
      <c r="J65" s="53">
        <v>1</v>
      </c>
    </row>
    <row r="66" spans="1:10">
      <c r="A66" s="53">
        <v>194</v>
      </c>
      <c r="B66" s="53" t="s">
        <v>321</v>
      </c>
      <c r="C66" s="53">
        <f t="shared" si="0"/>
        <v>2336</v>
      </c>
      <c r="D66" s="54">
        <v>2336</v>
      </c>
      <c r="E66" s="54">
        <v>0</v>
      </c>
      <c r="F66" s="54"/>
      <c r="G66" s="56">
        <v>2257.3076923076924</v>
      </c>
      <c r="H66" s="56">
        <v>0</v>
      </c>
      <c r="I66" s="54">
        <v>78.692307692307622</v>
      </c>
      <c r="J66" s="53">
        <v>1</v>
      </c>
    </row>
    <row r="67" spans="1:10">
      <c r="A67" s="53">
        <v>195</v>
      </c>
      <c r="B67" s="53" t="s">
        <v>270</v>
      </c>
      <c r="C67" s="53">
        <f t="shared" ref="C67:C130" si="1">IF(J67=1,D67,"")</f>
        <v>895</v>
      </c>
      <c r="D67" s="54">
        <v>895</v>
      </c>
      <c r="E67" s="54">
        <v>0</v>
      </c>
      <c r="F67" s="54"/>
      <c r="G67" s="56">
        <v>895</v>
      </c>
      <c r="H67" s="56">
        <v>0</v>
      </c>
      <c r="I67" s="54">
        <v>0</v>
      </c>
      <c r="J67" s="53">
        <v>1</v>
      </c>
    </row>
    <row r="68" spans="1:10">
      <c r="A68" s="53">
        <v>196</v>
      </c>
      <c r="B68" s="53" t="s">
        <v>322</v>
      </c>
      <c r="C68" s="53">
        <f t="shared" si="1"/>
        <v>1405</v>
      </c>
      <c r="D68" s="54">
        <v>1405</v>
      </c>
      <c r="E68" s="54">
        <v>0</v>
      </c>
      <c r="F68" s="54"/>
      <c r="G68" s="56">
        <v>1368.3333333333333</v>
      </c>
      <c r="H68" s="56">
        <v>0</v>
      </c>
      <c r="I68" s="54">
        <v>36.666666666666742</v>
      </c>
      <c r="J68" s="53">
        <v>1</v>
      </c>
    </row>
    <row r="69" spans="1:10">
      <c r="A69" s="53">
        <v>199</v>
      </c>
      <c r="B69" s="53" t="s">
        <v>323</v>
      </c>
      <c r="C69" s="53">
        <f t="shared" si="1"/>
        <v>1200</v>
      </c>
      <c r="D69" s="54">
        <v>1200</v>
      </c>
      <c r="E69" s="54">
        <v>0</v>
      </c>
      <c r="F69" s="54"/>
      <c r="G69" s="56">
        <v>1200</v>
      </c>
      <c r="H69" s="56">
        <v>0</v>
      </c>
      <c r="I69" s="54">
        <v>0</v>
      </c>
      <c r="J69" s="53">
        <v>1</v>
      </c>
    </row>
    <row r="70" spans="1:10">
      <c r="A70" s="53">
        <v>202</v>
      </c>
      <c r="B70" s="53" t="s">
        <v>324</v>
      </c>
      <c r="C70" s="53" t="str">
        <f t="shared" si="1"/>
        <v/>
      </c>
      <c r="D70" s="54">
        <v>1993.32</v>
      </c>
      <c r="E70" s="54">
        <v>0</v>
      </c>
      <c r="F70" s="54"/>
      <c r="G70" s="56">
        <v>1447.4861538461539</v>
      </c>
      <c r="H70" s="56">
        <v>0</v>
      </c>
      <c r="I70" s="54">
        <v>545.83384615384603</v>
      </c>
      <c r="J70" s="53" t="s">
        <v>489</v>
      </c>
    </row>
    <row r="71" spans="1:10">
      <c r="A71" s="53">
        <v>203</v>
      </c>
      <c r="B71" s="53" t="s">
        <v>400</v>
      </c>
      <c r="C71" s="53" t="str">
        <f t="shared" si="1"/>
        <v/>
      </c>
      <c r="D71" s="54">
        <v>11100</v>
      </c>
      <c r="E71" s="54">
        <v>11100</v>
      </c>
      <c r="F71" s="54"/>
      <c r="G71" s="56">
        <v>5083.333333333333</v>
      </c>
      <c r="H71" s="56">
        <v>5083.333333333333</v>
      </c>
      <c r="I71" s="54">
        <v>6016.666666666667</v>
      </c>
      <c r="J71" s="53"/>
    </row>
    <row r="72" spans="1:10">
      <c r="A72" s="53">
        <v>203</v>
      </c>
      <c r="B72" s="53" t="s">
        <v>401</v>
      </c>
      <c r="C72" s="53" t="str">
        <f t="shared" si="1"/>
        <v/>
      </c>
      <c r="D72" s="54">
        <v>8640.2999999999993</v>
      </c>
      <c r="E72" s="54">
        <v>0</v>
      </c>
      <c r="F72" s="54"/>
      <c r="G72" s="56">
        <v>7338.0928571428585</v>
      </c>
      <c r="H72" s="56">
        <v>0</v>
      </c>
      <c r="I72" s="54">
        <v>1302.2071428571408</v>
      </c>
      <c r="J72" s="53"/>
    </row>
    <row r="73" spans="1:10">
      <c r="A73" s="53">
        <v>205</v>
      </c>
      <c r="B73" s="53" t="s">
        <v>402</v>
      </c>
      <c r="C73" s="53">
        <f t="shared" si="1"/>
        <v>4800</v>
      </c>
      <c r="D73" s="54">
        <v>4800</v>
      </c>
      <c r="E73" s="54">
        <v>0</v>
      </c>
      <c r="F73" s="54"/>
      <c r="G73" s="56">
        <v>4792.3076923076924</v>
      </c>
      <c r="H73" s="56">
        <v>0</v>
      </c>
      <c r="I73" s="54">
        <v>7.6923076923076223</v>
      </c>
      <c r="J73" s="53">
        <v>1</v>
      </c>
    </row>
    <row r="74" spans="1:10">
      <c r="A74" s="53">
        <v>206</v>
      </c>
      <c r="B74" s="53" t="s">
        <v>325</v>
      </c>
      <c r="C74" s="53">
        <f t="shared" si="1"/>
        <v>1552.05</v>
      </c>
      <c r="D74" s="54">
        <v>1552.05</v>
      </c>
      <c r="E74" s="54">
        <v>0</v>
      </c>
      <c r="F74" s="54"/>
      <c r="G74" s="56">
        <v>1523.4549999999999</v>
      </c>
      <c r="H74" s="56">
        <v>0</v>
      </c>
      <c r="I74" s="54">
        <v>28.595000000000027</v>
      </c>
      <c r="J74" s="53">
        <v>1</v>
      </c>
    </row>
    <row r="75" spans="1:10">
      <c r="A75" s="53">
        <v>207</v>
      </c>
      <c r="B75" s="53" t="s">
        <v>326</v>
      </c>
      <c r="C75" s="53">
        <f t="shared" si="1"/>
        <v>1970</v>
      </c>
      <c r="D75" s="54">
        <v>1970</v>
      </c>
      <c r="E75" s="54">
        <v>0</v>
      </c>
      <c r="F75" s="54"/>
      <c r="G75" s="56">
        <v>1942.5</v>
      </c>
      <c r="H75" s="56">
        <v>0</v>
      </c>
      <c r="I75" s="54">
        <v>27.5</v>
      </c>
      <c r="J75" s="53">
        <v>1</v>
      </c>
    </row>
    <row r="76" spans="1:10">
      <c r="A76" s="53">
        <v>208</v>
      </c>
      <c r="B76" s="53" t="s">
        <v>271</v>
      </c>
      <c r="C76" s="53">
        <f t="shared" si="1"/>
        <v>895</v>
      </c>
      <c r="D76" s="54">
        <v>895</v>
      </c>
      <c r="E76" s="54">
        <v>0</v>
      </c>
      <c r="F76" s="54"/>
      <c r="G76" s="56">
        <v>895</v>
      </c>
      <c r="H76" s="56">
        <v>0</v>
      </c>
      <c r="I76" s="54">
        <v>0</v>
      </c>
      <c r="J76" s="53">
        <v>1</v>
      </c>
    </row>
    <row r="77" spans="1:10">
      <c r="A77" s="53">
        <v>210</v>
      </c>
      <c r="B77" s="53" t="s">
        <v>327</v>
      </c>
      <c r="C77" s="53">
        <f t="shared" si="1"/>
        <v>1865.5</v>
      </c>
      <c r="D77" s="54">
        <v>1865.5</v>
      </c>
      <c r="E77" s="54">
        <v>0</v>
      </c>
      <c r="F77" s="54"/>
      <c r="G77" s="56">
        <v>1865.5</v>
      </c>
      <c r="H77" s="56">
        <v>0</v>
      </c>
      <c r="I77" s="54">
        <v>0</v>
      </c>
      <c r="J77" s="53">
        <v>1</v>
      </c>
    </row>
    <row r="78" spans="1:10">
      <c r="A78" s="53">
        <v>211</v>
      </c>
      <c r="B78" s="53" t="s">
        <v>328</v>
      </c>
      <c r="C78" s="53" t="str">
        <f t="shared" si="1"/>
        <v/>
      </c>
      <c r="D78" s="54">
        <v>3400</v>
      </c>
      <c r="E78" s="54">
        <v>0</v>
      </c>
      <c r="F78" s="54"/>
      <c r="G78" s="56">
        <v>2076.9285714285716</v>
      </c>
      <c r="H78" s="56">
        <v>0</v>
      </c>
      <c r="I78" s="54">
        <v>1323.0714285714284</v>
      </c>
      <c r="J78" s="53"/>
    </row>
    <row r="79" spans="1:10">
      <c r="A79" s="53">
        <v>213</v>
      </c>
      <c r="B79" s="53" t="s">
        <v>272</v>
      </c>
      <c r="C79" s="53">
        <f t="shared" si="1"/>
        <v>895</v>
      </c>
      <c r="D79" s="54">
        <v>895</v>
      </c>
      <c r="E79" s="54">
        <v>0</v>
      </c>
      <c r="F79" s="54"/>
      <c r="G79" s="56">
        <v>895</v>
      </c>
      <c r="H79" s="56">
        <v>0</v>
      </c>
      <c r="I79" s="54">
        <v>0</v>
      </c>
      <c r="J79" s="53">
        <v>1</v>
      </c>
    </row>
    <row r="80" spans="1:10">
      <c r="A80" s="53">
        <v>214</v>
      </c>
      <c r="B80" s="53" t="s">
        <v>329</v>
      </c>
      <c r="C80" s="53">
        <f t="shared" si="1"/>
        <v>2801</v>
      </c>
      <c r="D80" s="54">
        <v>2801</v>
      </c>
      <c r="E80" s="54">
        <v>0</v>
      </c>
      <c r="F80" s="54"/>
      <c r="G80" s="56">
        <v>2520.5985714285716</v>
      </c>
      <c r="H80" s="56">
        <v>0</v>
      </c>
      <c r="I80" s="54">
        <v>280.40142857142837</v>
      </c>
      <c r="J80" s="53">
        <v>1</v>
      </c>
    </row>
    <row r="81" spans="1:10">
      <c r="A81" s="53">
        <v>215</v>
      </c>
      <c r="B81" s="53" t="s">
        <v>330</v>
      </c>
      <c r="C81" s="53">
        <f t="shared" si="1"/>
        <v>2801</v>
      </c>
      <c r="D81" s="54">
        <v>2801</v>
      </c>
      <c r="E81" s="54">
        <v>0</v>
      </c>
      <c r="F81" s="54"/>
      <c r="G81" s="56">
        <v>2707.0769230769229</v>
      </c>
      <c r="H81" s="56">
        <v>0</v>
      </c>
      <c r="I81" s="54">
        <v>93.923076923077133</v>
      </c>
      <c r="J81" s="53">
        <v>1</v>
      </c>
    </row>
    <row r="82" spans="1:10">
      <c r="A82" s="53">
        <v>216</v>
      </c>
      <c r="B82" s="53" t="s">
        <v>331</v>
      </c>
      <c r="C82" s="53">
        <f t="shared" si="1"/>
        <v>1561.5</v>
      </c>
      <c r="D82" s="54">
        <v>1561.5</v>
      </c>
      <c r="E82" s="54">
        <v>0</v>
      </c>
      <c r="F82" s="54"/>
      <c r="G82" s="56">
        <v>1413</v>
      </c>
      <c r="H82" s="56">
        <v>0</v>
      </c>
      <c r="I82" s="54">
        <v>148.5</v>
      </c>
      <c r="J82" s="53">
        <v>1</v>
      </c>
    </row>
    <row r="83" spans="1:10">
      <c r="A83" s="53">
        <v>217</v>
      </c>
      <c r="B83" s="53" t="s">
        <v>332</v>
      </c>
      <c r="C83" s="53">
        <f t="shared" si="1"/>
        <v>1400.53</v>
      </c>
      <c r="D83" s="54">
        <v>1400.53</v>
      </c>
      <c r="E83" s="54">
        <v>0</v>
      </c>
      <c r="F83" s="54"/>
      <c r="G83" s="56">
        <v>1372.9499999999998</v>
      </c>
      <c r="H83" s="56">
        <v>0</v>
      </c>
      <c r="I83" s="54">
        <v>27.580000000000155</v>
      </c>
      <c r="J83" s="53">
        <v>1</v>
      </c>
    </row>
    <row r="84" spans="1:10">
      <c r="A84" s="53">
        <v>219</v>
      </c>
      <c r="B84" s="53" t="s">
        <v>333</v>
      </c>
      <c r="C84" s="53">
        <f t="shared" si="1"/>
        <v>1345.37</v>
      </c>
      <c r="D84" s="54">
        <v>1345.37</v>
      </c>
      <c r="E84" s="54">
        <v>1345.37</v>
      </c>
      <c r="F84" s="54"/>
      <c r="G84" s="56">
        <v>999.76642857142838</v>
      </c>
      <c r="H84" s="56">
        <v>180.4892857142857</v>
      </c>
      <c r="I84" s="54">
        <v>345.60357142857151</v>
      </c>
      <c r="J84" s="53">
        <v>1</v>
      </c>
    </row>
    <row r="85" spans="1:10">
      <c r="A85" s="53">
        <v>221</v>
      </c>
      <c r="B85" s="53" t="s">
        <v>335</v>
      </c>
      <c r="C85" s="53">
        <f t="shared" si="1"/>
        <v>2088.66</v>
      </c>
      <c r="D85" s="54">
        <v>2088.66</v>
      </c>
      <c r="E85" s="54">
        <v>0</v>
      </c>
      <c r="F85" s="54"/>
      <c r="G85" s="56">
        <v>2033.8200000000004</v>
      </c>
      <c r="H85" s="56">
        <v>0</v>
      </c>
      <c r="I85" s="54">
        <v>54.839999999999463</v>
      </c>
      <c r="J85" s="53">
        <v>1</v>
      </c>
    </row>
    <row r="86" spans="1:10">
      <c r="A86" s="53">
        <v>222</v>
      </c>
      <c r="B86" s="53" t="s">
        <v>336</v>
      </c>
      <c r="C86" s="53">
        <f t="shared" si="1"/>
        <v>1282.51</v>
      </c>
      <c r="D86" s="54">
        <v>1282.51</v>
      </c>
      <c r="E86" s="54">
        <v>0</v>
      </c>
      <c r="F86" s="54"/>
      <c r="G86" s="56">
        <v>1250.3672727272728</v>
      </c>
      <c r="H86" s="56">
        <v>0</v>
      </c>
      <c r="I86" s="54">
        <v>32.142727272727143</v>
      </c>
      <c r="J86" s="53">
        <v>1</v>
      </c>
    </row>
    <row r="87" spans="1:10">
      <c r="A87" s="53">
        <v>223</v>
      </c>
      <c r="B87" s="53" t="s">
        <v>404</v>
      </c>
      <c r="C87" s="53" t="str">
        <f t="shared" si="1"/>
        <v/>
      </c>
      <c r="D87" s="54">
        <v>6753.42</v>
      </c>
      <c r="E87" s="54">
        <v>3224</v>
      </c>
      <c r="F87" s="54"/>
      <c r="G87" s="56">
        <v>2675.4839999999999</v>
      </c>
      <c r="H87" s="56">
        <v>957.78600000000006</v>
      </c>
      <c r="I87" s="54">
        <v>4077.9360000000001</v>
      </c>
      <c r="J87" s="53"/>
    </row>
    <row r="88" spans="1:10">
      <c r="A88" s="53">
        <v>225</v>
      </c>
      <c r="B88" s="53" t="s">
        <v>337</v>
      </c>
      <c r="C88" s="53" t="str">
        <f t="shared" si="1"/>
        <v/>
      </c>
      <c r="D88" s="54">
        <v>3226.47</v>
      </c>
      <c r="E88" s="54">
        <v>0</v>
      </c>
      <c r="F88" s="54"/>
      <c r="G88" s="56">
        <v>1228.9592307692308</v>
      </c>
      <c r="H88" s="56">
        <v>0</v>
      </c>
      <c r="I88" s="54">
        <v>1997.510769230769</v>
      </c>
      <c r="J88" s="53"/>
    </row>
    <row r="89" spans="1:10">
      <c r="A89" s="53">
        <v>227</v>
      </c>
      <c r="B89" s="53" t="s">
        <v>405</v>
      </c>
      <c r="C89" s="53">
        <f t="shared" si="1"/>
        <v>2561.5</v>
      </c>
      <c r="D89" s="54">
        <v>2561.5</v>
      </c>
      <c r="E89" s="54">
        <v>0</v>
      </c>
      <c r="F89" s="54"/>
      <c r="G89" s="56">
        <v>2541</v>
      </c>
      <c r="H89" s="56">
        <v>0</v>
      </c>
      <c r="I89" s="54">
        <v>20.5</v>
      </c>
      <c r="J89" s="53">
        <v>1</v>
      </c>
    </row>
    <row r="90" spans="1:10">
      <c r="A90" s="53">
        <v>228</v>
      </c>
      <c r="B90" s="53" t="s">
        <v>273</v>
      </c>
      <c r="C90" s="53">
        <f t="shared" si="1"/>
        <v>895</v>
      </c>
      <c r="D90" s="54">
        <v>895</v>
      </c>
      <c r="E90" s="54">
        <v>0</v>
      </c>
      <c r="F90" s="54"/>
      <c r="G90" s="56">
        <v>895</v>
      </c>
      <c r="H90" s="56">
        <v>0</v>
      </c>
      <c r="I90" s="54">
        <v>0</v>
      </c>
      <c r="J90" s="53">
        <v>1</v>
      </c>
    </row>
    <row r="91" spans="1:10">
      <c r="A91" s="53">
        <v>229</v>
      </c>
      <c r="B91" s="53" t="s">
        <v>338</v>
      </c>
      <c r="C91" s="53">
        <f t="shared" si="1"/>
        <v>1397</v>
      </c>
      <c r="D91" s="54">
        <v>1397</v>
      </c>
      <c r="E91" s="54">
        <v>0</v>
      </c>
      <c r="F91" s="54"/>
      <c r="G91" s="56">
        <v>1270</v>
      </c>
      <c r="H91" s="56">
        <v>0</v>
      </c>
      <c r="I91" s="54">
        <v>127</v>
      </c>
      <c r="J91" s="53">
        <v>1</v>
      </c>
    </row>
    <row r="92" spans="1:10">
      <c r="A92" s="53">
        <v>230</v>
      </c>
      <c r="B92" s="53" t="s">
        <v>339</v>
      </c>
      <c r="C92" s="53">
        <f t="shared" si="1"/>
        <v>1776</v>
      </c>
      <c r="D92" s="54">
        <v>1776</v>
      </c>
      <c r="E92" s="54">
        <v>0</v>
      </c>
      <c r="F92" s="54"/>
      <c r="G92" s="56">
        <v>1738.3076923076924</v>
      </c>
      <c r="H92" s="56">
        <v>0</v>
      </c>
      <c r="I92" s="54">
        <v>37.692307692307622</v>
      </c>
      <c r="J92" s="53">
        <v>1</v>
      </c>
    </row>
    <row r="93" spans="1:10">
      <c r="A93" s="53">
        <v>231</v>
      </c>
      <c r="B93" s="53" t="s">
        <v>340</v>
      </c>
      <c r="C93" s="53">
        <f t="shared" si="1"/>
        <v>1200</v>
      </c>
      <c r="D93" s="54">
        <v>1200</v>
      </c>
      <c r="E93" s="54">
        <v>0</v>
      </c>
      <c r="F93" s="54"/>
      <c r="G93" s="56">
        <v>1162.5</v>
      </c>
      <c r="H93" s="56">
        <v>0</v>
      </c>
      <c r="I93" s="54">
        <v>37.5</v>
      </c>
      <c r="J93" s="53">
        <v>1</v>
      </c>
    </row>
    <row r="94" spans="1:10">
      <c r="A94" s="53">
        <v>232</v>
      </c>
      <c r="B94" s="53" t="s">
        <v>341</v>
      </c>
      <c r="C94" s="53">
        <f t="shared" si="1"/>
        <v>1872</v>
      </c>
      <c r="D94" s="54">
        <v>1872</v>
      </c>
      <c r="E94" s="54">
        <v>0</v>
      </c>
      <c r="F94" s="54"/>
      <c r="G94" s="56">
        <v>1809.3846153846155</v>
      </c>
      <c r="H94" s="56">
        <v>0</v>
      </c>
      <c r="I94" s="54">
        <v>62.615384615384528</v>
      </c>
      <c r="J94" s="53">
        <v>1</v>
      </c>
    </row>
    <row r="95" spans="1:10">
      <c r="A95" s="53">
        <v>233</v>
      </c>
      <c r="B95" s="53" t="s">
        <v>342</v>
      </c>
      <c r="C95" s="53">
        <f t="shared" si="1"/>
        <v>1603.14</v>
      </c>
      <c r="D95" s="54">
        <v>1603.14</v>
      </c>
      <c r="E95" s="54">
        <v>0</v>
      </c>
      <c r="F95" s="54"/>
      <c r="G95" s="56">
        <v>1561.0466666666664</v>
      </c>
      <c r="H95" s="56">
        <v>0</v>
      </c>
      <c r="I95" s="54">
        <v>42.093333333333703</v>
      </c>
      <c r="J95" s="53">
        <v>1</v>
      </c>
    </row>
    <row r="96" spans="1:10">
      <c r="A96" s="53">
        <v>234</v>
      </c>
      <c r="B96" s="53" t="s">
        <v>274</v>
      </c>
      <c r="C96" s="53">
        <f t="shared" si="1"/>
        <v>895</v>
      </c>
      <c r="D96" s="54">
        <v>895</v>
      </c>
      <c r="E96" s="54">
        <v>0</v>
      </c>
      <c r="F96" s="54"/>
      <c r="G96" s="56">
        <v>895</v>
      </c>
      <c r="H96" s="56">
        <v>0</v>
      </c>
      <c r="I96" s="54">
        <v>0</v>
      </c>
      <c r="J96" s="53">
        <v>1</v>
      </c>
    </row>
    <row r="97" spans="1:10">
      <c r="A97" s="53">
        <v>235</v>
      </c>
      <c r="B97" s="53" t="s">
        <v>343</v>
      </c>
      <c r="C97" s="53">
        <f t="shared" si="1"/>
        <v>895</v>
      </c>
      <c r="D97" s="54">
        <v>895</v>
      </c>
      <c r="E97" s="54">
        <v>0</v>
      </c>
      <c r="F97" s="54"/>
      <c r="G97" s="56">
        <v>895</v>
      </c>
      <c r="H97" s="56">
        <v>0</v>
      </c>
      <c r="I97" s="54">
        <v>0</v>
      </c>
      <c r="J97" s="53">
        <v>1</v>
      </c>
    </row>
    <row r="98" spans="1:10">
      <c r="A98" s="53">
        <v>236</v>
      </c>
      <c r="B98" s="53" t="s">
        <v>275</v>
      </c>
      <c r="C98" s="53">
        <f t="shared" si="1"/>
        <v>1623.9</v>
      </c>
      <c r="D98" s="54">
        <v>1623.9</v>
      </c>
      <c r="E98" s="54">
        <v>0</v>
      </c>
      <c r="F98" s="54"/>
      <c r="G98" s="56">
        <v>1500.425</v>
      </c>
      <c r="H98" s="56">
        <v>0</v>
      </c>
      <c r="I98" s="54">
        <v>123.47500000000014</v>
      </c>
      <c r="J98" s="53">
        <v>1</v>
      </c>
    </row>
    <row r="99" spans="1:10">
      <c r="A99" s="53">
        <v>237</v>
      </c>
      <c r="B99" s="53" t="s">
        <v>344</v>
      </c>
      <c r="C99" s="53">
        <f t="shared" si="1"/>
        <v>1345.37</v>
      </c>
      <c r="D99" s="54">
        <v>1345.37</v>
      </c>
      <c r="E99" s="54">
        <v>0</v>
      </c>
      <c r="F99" s="54"/>
      <c r="G99" s="56">
        <v>1345.37</v>
      </c>
      <c r="H99" s="56">
        <v>0</v>
      </c>
      <c r="I99" s="54">
        <v>0</v>
      </c>
      <c r="J99" s="53">
        <v>1</v>
      </c>
    </row>
    <row r="100" spans="1:10">
      <c r="A100" s="53">
        <v>238</v>
      </c>
      <c r="B100" s="53" t="s">
        <v>276</v>
      </c>
      <c r="C100" s="53">
        <f t="shared" si="1"/>
        <v>895</v>
      </c>
      <c r="D100" s="54">
        <v>895</v>
      </c>
      <c r="E100" s="54">
        <v>0</v>
      </c>
      <c r="F100" s="54"/>
      <c r="G100" s="56">
        <v>895</v>
      </c>
      <c r="H100" s="56">
        <v>0</v>
      </c>
      <c r="I100" s="54">
        <v>0</v>
      </c>
      <c r="J100" s="53">
        <v>1</v>
      </c>
    </row>
    <row r="101" spans="1:10">
      <c r="A101" s="53">
        <v>239</v>
      </c>
      <c r="B101" s="53" t="s">
        <v>345</v>
      </c>
      <c r="C101" s="53">
        <f t="shared" si="1"/>
        <v>1327</v>
      </c>
      <c r="D101" s="54">
        <v>1327</v>
      </c>
      <c r="E101" s="54">
        <v>0</v>
      </c>
      <c r="F101" s="54"/>
      <c r="G101" s="56">
        <v>1301</v>
      </c>
      <c r="H101" s="56">
        <v>0</v>
      </c>
      <c r="I101" s="54">
        <v>26</v>
      </c>
      <c r="J101" s="53">
        <v>1</v>
      </c>
    </row>
    <row r="102" spans="1:10">
      <c r="A102" s="53">
        <v>240</v>
      </c>
      <c r="B102" s="53" t="s">
        <v>346</v>
      </c>
      <c r="C102" s="53" t="str">
        <f t="shared" si="1"/>
        <v/>
      </c>
      <c r="D102" s="54">
        <v>4141.5</v>
      </c>
      <c r="E102" s="54">
        <v>4141.5</v>
      </c>
      <c r="F102" s="54"/>
      <c r="G102" s="56">
        <v>2306.0981249999995</v>
      </c>
      <c r="H102" s="56">
        <v>436.18062499999996</v>
      </c>
      <c r="I102" s="54">
        <v>1835.4018750000005</v>
      </c>
      <c r="J102" s="53" t="s">
        <v>489</v>
      </c>
    </row>
    <row r="103" spans="1:10">
      <c r="A103" s="53">
        <v>241</v>
      </c>
      <c r="B103" s="53" t="s">
        <v>372</v>
      </c>
      <c r="C103" s="53">
        <f t="shared" si="1"/>
        <v>1250</v>
      </c>
      <c r="D103" s="54">
        <v>1250</v>
      </c>
      <c r="E103" s="54">
        <v>0</v>
      </c>
      <c r="F103" s="54"/>
      <c r="G103" s="56">
        <v>1250</v>
      </c>
      <c r="H103" s="56">
        <v>0</v>
      </c>
      <c r="I103" s="54">
        <v>0</v>
      </c>
      <c r="J103" s="53">
        <v>1</v>
      </c>
    </row>
    <row r="104" spans="1:10">
      <c r="A104" s="53">
        <v>242</v>
      </c>
      <c r="B104" s="53" t="s">
        <v>347</v>
      </c>
      <c r="C104" s="53">
        <f t="shared" si="1"/>
        <v>900</v>
      </c>
      <c r="D104" s="54">
        <v>900</v>
      </c>
      <c r="E104" s="54">
        <v>0</v>
      </c>
      <c r="F104" s="54"/>
      <c r="G104" s="56">
        <v>900</v>
      </c>
      <c r="H104" s="56">
        <v>0</v>
      </c>
      <c r="I104" s="54">
        <v>0</v>
      </c>
      <c r="J104" s="53">
        <v>1</v>
      </c>
    </row>
    <row r="105" spans="1:10">
      <c r="A105" s="53">
        <v>243</v>
      </c>
      <c r="B105" s="53" t="s">
        <v>348</v>
      </c>
      <c r="C105" s="53">
        <f t="shared" si="1"/>
        <v>4216.22</v>
      </c>
      <c r="D105" s="54">
        <v>4216.22</v>
      </c>
      <c r="E105" s="54">
        <v>0</v>
      </c>
      <c r="F105" s="54"/>
      <c r="G105" s="56">
        <v>4147.0283333333346</v>
      </c>
      <c r="H105" s="56">
        <v>0</v>
      </c>
      <c r="I105" s="54">
        <v>69.191666666665697</v>
      </c>
      <c r="J105" s="53">
        <v>1</v>
      </c>
    </row>
    <row r="106" spans="1:10">
      <c r="A106" s="53">
        <v>245</v>
      </c>
      <c r="B106" s="53" t="s">
        <v>277</v>
      </c>
      <c r="C106" s="53">
        <f t="shared" si="1"/>
        <v>895</v>
      </c>
      <c r="D106" s="54">
        <v>895</v>
      </c>
      <c r="E106" s="54">
        <v>0</v>
      </c>
      <c r="F106" s="54"/>
      <c r="G106" s="56">
        <v>895</v>
      </c>
      <c r="H106" s="56">
        <v>0</v>
      </c>
      <c r="I106" s="54">
        <v>0</v>
      </c>
      <c r="J106" s="53">
        <v>1</v>
      </c>
    </row>
    <row r="107" spans="1:10">
      <c r="A107" s="53">
        <v>246</v>
      </c>
      <c r="B107" s="53" t="s">
        <v>349</v>
      </c>
      <c r="C107" s="53">
        <f t="shared" si="1"/>
        <v>1200</v>
      </c>
      <c r="D107" s="54">
        <v>1200</v>
      </c>
      <c r="E107" s="54">
        <v>0</v>
      </c>
      <c r="F107" s="54"/>
      <c r="G107" s="56">
        <v>1162.5</v>
      </c>
      <c r="H107" s="56">
        <v>0</v>
      </c>
      <c r="I107" s="54">
        <v>37.5</v>
      </c>
      <c r="J107" s="53">
        <v>1</v>
      </c>
    </row>
    <row r="108" spans="1:10">
      <c r="A108" s="53">
        <v>247</v>
      </c>
      <c r="B108" s="53" t="s">
        <v>373</v>
      </c>
      <c r="C108" s="53">
        <f t="shared" si="1"/>
        <v>2129.12</v>
      </c>
      <c r="D108" s="54">
        <v>2129.12</v>
      </c>
      <c r="E108" s="54">
        <v>0</v>
      </c>
      <c r="F108" s="54"/>
      <c r="G108" s="56">
        <v>2052.96</v>
      </c>
      <c r="H108" s="56">
        <v>0</v>
      </c>
      <c r="I108" s="54">
        <v>76.159999999999854</v>
      </c>
      <c r="J108" s="53">
        <v>1</v>
      </c>
    </row>
    <row r="109" spans="1:10">
      <c r="A109" s="53">
        <v>249</v>
      </c>
      <c r="B109" s="53" t="s">
        <v>350</v>
      </c>
      <c r="C109" s="53">
        <f t="shared" si="1"/>
        <v>1400.53</v>
      </c>
      <c r="D109" s="54">
        <v>1400.53</v>
      </c>
      <c r="E109" s="54">
        <v>0</v>
      </c>
      <c r="F109" s="54"/>
      <c r="G109" s="56">
        <v>1372.9499999999998</v>
      </c>
      <c r="H109" s="56">
        <v>0</v>
      </c>
      <c r="I109" s="54">
        <v>27.580000000000155</v>
      </c>
      <c r="J109" s="53">
        <v>1</v>
      </c>
    </row>
    <row r="110" spans="1:10">
      <c r="A110" s="53">
        <v>250</v>
      </c>
      <c r="B110" s="53" t="s">
        <v>278</v>
      </c>
      <c r="C110" s="53">
        <f t="shared" si="1"/>
        <v>895</v>
      </c>
      <c r="D110" s="54">
        <v>895</v>
      </c>
      <c r="E110" s="54">
        <v>0</v>
      </c>
      <c r="F110" s="54"/>
      <c r="G110" s="56">
        <v>895</v>
      </c>
      <c r="H110" s="56">
        <v>0</v>
      </c>
      <c r="I110" s="54">
        <v>0</v>
      </c>
      <c r="J110" s="53">
        <v>1</v>
      </c>
    </row>
    <row r="111" spans="1:10">
      <c r="A111" s="53">
        <v>273</v>
      </c>
      <c r="B111" s="53" t="s">
        <v>448</v>
      </c>
      <c r="C111" s="53" t="str">
        <f t="shared" si="1"/>
        <v/>
      </c>
      <c r="D111" s="54">
        <v>1003.21</v>
      </c>
      <c r="E111" s="54">
        <v>0</v>
      </c>
      <c r="F111" s="54"/>
      <c r="G111" s="56">
        <v>354.67</v>
      </c>
      <c r="H111" s="56">
        <v>0</v>
      </c>
      <c r="I111" s="54">
        <v>648.54</v>
      </c>
      <c r="J111" s="53" t="s">
        <v>489</v>
      </c>
    </row>
    <row r="112" spans="1:10">
      <c r="A112" s="53">
        <v>277</v>
      </c>
      <c r="B112" s="53" t="s">
        <v>449</v>
      </c>
      <c r="C112" s="53">
        <f t="shared" si="1"/>
        <v>111.47</v>
      </c>
      <c r="D112" s="54">
        <v>111.47</v>
      </c>
      <c r="E112" s="54">
        <v>111.47</v>
      </c>
      <c r="F112" s="54"/>
      <c r="G112" s="56">
        <v>74.313333333333333</v>
      </c>
      <c r="H112" s="56">
        <v>37.156666666666666</v>
      </c>
      <c r="I112" s="54">
        <v>37.156666666666666</v>
      </c>
      <c r="J112" s="53">
        <v>1</v>
      </c>
    </row>
    <row r="113" spans="1:10">
      <c r="A113" s="53">
        <v>279</v>
      </c>
      <c r="B113" s="53" t="s">
        <v>450</v>
      </c>
      <c r="C113" s="53" t="str">
        <f t="shared" si="1"/>
        <v/>
      </c>
      <c r="D113" s="54">
        <v>2006.42</v>
      </c>
      <c r="E113" s="54">
        <v>0</v>
      </c>
      <c r="F113" s="54"/>
      <c r="G113" s="56">
        <v>231.60405405405402</v>
      </c>
      <c r="H113" s="56">
        <v>0</v>
      </c>
      <c r="I113" s="54">
        <v>1774.8159459459462</v>
      </c>
      <c r="J113" s="53" t="s">
        <v>489</v>
      </c>
    </row>
    <row r="114" spans="1:10">
      <c r="A114" s="53">
        <v>291</v>
      </c>
      <c r="B114" s="53" t="s">
        <v>451</v>
      </c>
      <c r="C114" s="53" t="str">
        <f t="shared" si="1"/>
        <v/>
      </c>
      <c r="D114" s="54">
        <v>3009.63</v>
      </c>
      <c r="E114" s="54">
        <v>111.47</v>
      </c>
      <c r="F114" s="54"/>
      <c r="G114" s="56">
        <v>1243.9143243243241</v>
      </c>
      <c r="H114" s="56">
        <v>3.0127027027027027</v>
      </c>
      <c r="I114" s="54">
        <v>1765.715675675676</v>
      </c>
      <c r="J114" s="53"/>
    </row>
    <row r="115" spans="1:10">
      <c r="A115" s="53">
        <v>292</v>
      </c>
      <c r="B115" s="53" t="s">
        <v>406</v>
      </c>
      <c r="C115" s="53">
        <f t="shared" si="1"/>
        <v>1019</v>
      </c>
      <c r="D115" s="54">
        <v>1019</v>
      </c>
      <c r="E115" s="54">
        <v>0</v>
      </c>
      <c r="F115" s="54"/>
      <c r="G115" s="56">
        <v>986</v>
      </c>
      <c r="H115" s="56">
        <v>0</v>
      </c>
      <c r="I115" s="54">
        <v>33</v>
      </c>
      <c r="J115" s="53">
        <v>1</v>
      </c>
    </row>
    <row r="116" spans="1:10">
      <c r="A116" s="53">
        <v>333</v>
      </c>
      <c r="B116" s="53" t="s">
        <v>452</v>
      </c>
      <c r="C116" s="53" t="str">
        <f t="shared" si="1"/>
        <v/>
      </c>
      <c r="D116" s="54">
        <v>4293.83</v>
      </c>
      <c r="E116" s="54">
        <v>0</v>
      </c>
      <c r="F116" s="54"/>
      <c r="G116" s="56">
        <v>2671.8680000000008</v>
      </c>
      <c r="H116" s="56">
        <v>0</v>
      </c>
      <c r="I116" s="54">
        <v>1621.9619999999991</v>
      </c>
      <c r="J116" s="53"/>
    </row>
    <row r="117" spans="1:10">
      <c r="A117" s="53">
        <v>336</v>
      </c>
      <c r="B117" s="53" t="s">
        <v>407</v>
      </c>
      <c r="C117" s="53">
        <f t="shared" si="1"/>
        <v>2900</v>
      </c>
      <c r="D117" s="54">
        <v>2900</v>
      </c>
      <c r="E117" s="54">
        <v>0</v>
      </c>
      <c r="F117" s="54"/>
      <c r="G117" s="56">
        <v>2900</v>
      </c>
      <c r="H117" s="56">
        <v>0</v>
      </c>
      <c r="I117" s="54">
        <v>0</v>
      </c>
      <c r="J117" s="53">
        <v>1</v>
      </c>
    </row>
    <row r="118" spans="1:10">
      <c r="A118" s="53">
        <v>337</v>
      </c>
      <c r="B118" s="53" t="s">
        <v>408</v>
      </c>
      <c r="C118" s="53">
        <f t="shared" si="1"/>
        <v>4750</v>
      </c>
      <c r="D118" s="54">
        <v>4750</v>
      </c>
      <c r="E118" s="54">
        <v>0</v>
      </c>
      <c r="F118" s="54"/>
      <c r="G118" s="56">
        <v>4750</v>
      </c>
      <c r="H118" s="56">
        <v>0</v>
      </c>
      <c r="I118" s="54">
        <v>0</v>
      </c>
      <c r="J118" s="53">
        <v>1</v>
      </c>
    </row>
    <row r="119" spans="1:10">
      <c r="A119" s="53">
        <v>340</v>
      </c>
      <c r="B119" s="53" t="s">
        <v>409</v>
      </c>
      <c r="C119" s="53">
        <f t="shared" si="1"/>
        <v>2840.41</v>
      </c>
      <c r="D119" s="54">
        <v>2840.41</v>
      </c>
      <c r="E119" s="54">
        <v>0</v>
      </c>
      <c r="F119" s="54"/>
      <c r="G119" s="56">
        <v>2759.0410000000002</v>
      </c>
      <c r="H119" s="56">
        <v>0</v>
      </c>
      <c r="I119" s="54">
        <v>81.368999999999687</v>
      </c>
      <c r="J119" s="53">
        <v>1</v>
      </c>
    </row>
    <row r="120" spans="1:10">
      <c r="A120" s="53">
        <v>345</v>
      </c>
      <c r="B120" s="53" t="s">
        <v>410</v>
      </c>
      <c r="C120" s="53" t="str">
        <f t="shared" si="1"/>
        <v/>
      </c>
      <c r="D120" s="54">
        <v>6250</v>
      </c>
      <c r="E120" s="54">
        <v>6250</v>
      </c>
      <c r="F120" s="54"/>
      <c r="G120" s="56">
        <v>3125</v>
      </c>
      <c r="H120" s="56">
        <v>3125</v>
      </c>
      <c r="I120" s="54">
        <v>3125</v>
      </c>
      <c r="J120" s="53"/>
    </row>
    <row r="121" spans="1:10">
      <c r="A121" s="53">
        <v>347</v>
      </c>
      <c r="B121" s="53" t="s">
        <v>411</v>
      </c>
      <c r="C121" s="53">
        <f t="shared" si="1"/>
        <v>1560</v>
      </c>
      <c r="D121" s="54">
        <v>1560</v>
      </c>
      <c r="E121" s="54">
        <v>0</v>
      </c>
      <c r="F121" s="54"/>
      <c r="G121" s="56">
        <v>1560</v>
      </c>
      <c r="H121" s="56">
        <v>0</v>
      </c>
      <c r="I121" s="54">
        <v>0</v>
      </c>
      <c r="J121" s="53">
        <v>1</v>
      </c>
    </row>
    <row r="122" spans="1:10">
      <c r="A122" s="53">
        <v>348</v>
      </c>
      <c r="B122" s="53" t="s">
        <v>412</v>
      </c>
      <c r="C122" s="53" t="str">
        <f t="shared" si="1"/>
        <v/>
      </c>
      <c r="D122" s="54">
        <v>7570</v>
      </c>
      <c r="E122" s="54">
        <v>7570</v>
      </c>
      <c r="F122" s="54"/>
      <c r="G122" s="56">
        <v>5204.375</v>
      </c>
      <c r="H122" s="56">
        <v>1892.5</v>
      </c>
      <c r="I122" s="54">
        <v>2365.625</v>
      </c>
      <c r="J122" s="53"/>
    </row>
    <row r="123" spans="1:10">
      <c r="A123" s="53">
        <v>351</v>
      </c>
      <c r="B123" s="53" t="s">
        <v>413</v>
      </c>
      <c r="C123" s="53">
        <f t="shared" si="1"/>
        <v>1560</v>
      </c>
      <c r="D123" s="54">
        <v>1560</v>
      </c>
      <c r="E123" s="54">
        <v>0</v>
      </c>
      <c r="F123" s="54"/>
      <c r="G123" s="56">
        <v>1560</v>
      </c>
      <c r="H123" s="56">
        <v>0</v>
      </c>
      <c r="I123" s="54">
        <v>0</v>
      </c>
      <c r="J123" s="53">
        <v>1</v>
      </c>
    </row>
    <row r="124" spans="1:10">
      <c r="A124" s="53">
        <v>352</v>
      </c>
      <c r="B124" s="53" t="s">
        <v>414</v>
      </c>
      <c r="C124" s="53">
        <f t="shared" si="1"/>
        <v>1560</v>
      </c>
      <c r="D124" s="54">
        <v>1560</v>
      </c>
      <c r="E124" s="54">
        <v>0</v>
      </c>
      <c r="F124" s="54"/>
      <c r="G124" s="56">
        <v>1560</v>
      </c>
      <c r="H124" s="56">
        <v>0</v>
      </c>
      <c r="I124" s="54">
        <v>0</v>
      </c>
      <c r="J124" s="53">
        <v>1</v>
      </c>
    </row>
    <row r="125" spans="1:10">
      <c r="A125" s="53">
        <v>353</v>
      </c>
      <c r="B125" s="53" t="s">
        <v>415</v>
      </c>
      <c r="C125" s="53">
        <f t="shared" si="1"/>
        <v>1623.96</v>
      </c>
      <c r="D125" s="54">
        <v>1623.96</v>
      </c>
      <c r="E125" s="54">
        <v>0</v>
      </c>
      <c r="F125" s="54"/>
      <c r="G125" s="56">
        <v>1623.96</v>
      </c>
      <c r="H125" s="56">
        <v>0</v>
      </c>
      <c r="I125" s="54">
        <v>0</v>
      </c>
      <c r="J125" s="53">
        <v>1</v>
      </c>
    </row>
    <row r="126" spans="1:10">
      <c r="A126" s="53">
        <v>358</v>
      </c>
      <c r="B126" s="53" t="s">
        <v>453</v>
      </c>
      <c r="C126" s="53" t="str">
        <f t="shared" si="1"/>
        <v/>
      </c>
      <c r="D126" s="54">
        <v>8450</v>
      </c>
      <c r="E126" s="54">
        <v>0</v>
      </c>
      <c r="F126" s="54"/>
      <c r="G126" s="56">
        <v>6042.0822222222223</v>
      </c>
      <c r="H126" s="56">
        <v>0</v>
      </c>
      <c r="I126" s="54">
        <v>2407.9177777777777</v>
      </c>
      <c r="J126" s="53" t="s">
        <v>489</v>
      </c>
    </row>
    <row r="127" spans="1:10">
      <c r="A127" s="53">
        <v>359</v>
      </c>
      <c r="B127" s="53" t="s">
        <v>416</v>
      </c>
      <c r="C127" s="53">
        <f t="shared" si="1"/>
        <v>2386.52</v>
      </c>
      <c r="D127" s="54">
        <v>2386.52</v>
      </c>
      <c r="E127" s="54">
        <v>0</v>
      </c>
      <c r="F127" s="54"/>
      <c r="G127" s="56">
        <v>2189.92</v>
      </c>
      <c r="H127" s="56">
        <v>0</v>
      </c>
      <c r="I127" s="54">
        <v>196.59999999999991</v>
      </c>
      <c r="J127" s="53">
        <v>1</v>
      </c>
    </row>
    <row r="128" spans="1:10">
      <c r="A128" s="53">
        <v>361</v>
      </c>
      <c r="B128" s="53" t="s">
        <v>417</v>
      </c>
      <c r="C128" s="53">
        <f t="shared" si="1"/>
        <v>1494.99</v>
      </c>
      <c r="D128" s="54">
        <v>1494.99</v>
      </c>
      <c r="E128" s="54">
        <v>0</v>
      </c>
      <c r="F128" s="54"/>
      <c r="G128" s="56">
        <v>1494.99</v>
      </c>
      <c r="H128" s="56">
        <v>0</v>
      </c>
      <c r="I128" s="54">
        <v>0</v>
      </c>
      <c r="J128" s="53">
        <v>1</v>
      </c>
    </row>
    <row r="129" spans="1:10">
      <c r="A129" s="53">
        <v>366</v>
      </c>
      <c r="B129" s="53" t="s">
        <v>454</v>
      </c>
      <c r="C129" s="53" t="str">
        <f t="shared" si="1"/>
        <v/>
      </c>
      <c r="D129" s="54">
        <v>6500</v>
      </c>
      <c r="E129" s="54">
        <v>6500</v>
      </c>
      <c r="F129" s="54"/>
      <c r="G129" s="56">
        <v>3250</v>
      </c>
      <c r="H129" s="56">
        <v>3250</v>
      </c>
      <c r="I129" s="54">
        <v>3250</v>
      </c>
      <c r="J129" s="53"/>
    </row>
    <row r="130" spans="1:10">
      <c r="A130" s="53">
        <v>370</v>
      </c>
      <c r="B130" s="53" t="s">
        <v>419</v>
      </c>
      <c r="C130" s="53">
        <f t="shared" si="1"/>
        <v>2850</v>
      </c>
      <c r="D130" s="54">
        <v>2850</v>
      </c>
      <c r="E130" s="54">
        <v>0</v>
      </c>
      <c r="F130" s="54"/>
      <c r="G130" s="56">
        <v>2850</v>
      </c>
      <c r="H130" s="56">
        <v>0</v>
      </c>
      <c r="I130" s="54">
        <v>0</v>
      </c>
      <c r="J130" s="53">
        <v>1</v>
      </c>
    </row>
    <row r="131" spans="1:10">
      <c r="A131" s="53">
        <v>371</v>
      </c>
      <c r="B131" s="53" t="s">
        <v>351</v>
      </c>
      <c r="C131" s="53">
        <f t="shared" ref="C131:C187" si="2">IF(J131=1,D131,"")</f>
        <v>13043.23</v>
      </c>
      <c r="D131" s="54">
        <v>13043.23</v>
      </c>
      <c r="E131" s="54">
        <v>0</v>
      </c>
      <c r="F131" s="54"/>
      <c r="G131" s="56">
        <v>13043.23</v>
      </c>
      <c r="H131" s="56">
        <v>0</v>
      </c>
      <c r="I131" s="54">
        <v>0</v>
      </c>
      <c r="J131" s="53">
        <v>1</v>
      </c>
    </row>
    <row r="132" spans="1:10">
      <c r="A132" s="53">
        <v>375</v>
      </c>
      <c r="B132" s="53" t="s">
        <v>420</v>
      </c>
      <c r="C132" s="53">
        <f t="shared" si="2"/>
        <v>4850</v>
      </c>
      <c r="D132" s="54">
        <v>4850</v>
      </c>
      <c r="E132" s="54">
        <v>0</v>
      </c>
      <c r="F132" s="54"/>
      <c r="G132" s="56">
        <v>4413.7216666666673</v>
      </c>
      <c r="H132" s="56">
        <v>0</v>
      </c>
      <c r="I132" s="54">
        <v>436.27833333333274</v>
      </c>
      <c r="J132" s="53">
        <v>1</v>
      </c>
    </row>
    <row r="133" spans="1:10">
      <c r="A133" s="53">
        <v>376</v>
      </c>
      <c r="B133" s="53" t="s">
        <v>421</v>
      </c>
      <c r="C133" s="53">
        <f t="shared" si="2"/>
        <v>3500</v>
      </c>
      <c r="D133" s="54">
        <v>3500</v>
      </c>
      <c r="E133" s="54">
        <v>0</v>
      </c>
      <c r="F133" s="54"/>
      <c r="G133" s="56">
        <v>3168.2179999999998</v>
      </c>
      <c r="H133" s="56">
        <v>0</v>
      </c>
      <c r="I133" s="54">
        <v>331.78200000000015</v>
      </c>
      <c r="J133" s="53">
        <v>1</v>
      </c>
    </row>
    <row r="134" spans="1:10">
      <c r="A134" s="53">
        <v>380</v>
      </c>
      <c r="B134" s="53" t="s">
        <v>279</v>
      </c>
      <c r="C134" s="53">
        <f t="shared" si="2"/>
        <v>2100</v>
      </c>
      <c r="D134" s="54">
        <v>2100</v>
      </c>
      <c r="E134" s="54">
        <v>0</v>
      </c>
      <c r="F134" s="54"/>
      <c r="G134" s="56">
        <v>1764.8625</v>
      </c>
      <c r="H134" s="56">
        <v>0</v>
      </c>
      <c r="I134" s="54">
        <v>335.13750000000005</v>
      </c>
      <c r="J134" s="53">
        <v>1</v>
      </c>
    </row>
    <row r="135" spans="1:10">
      <c r="A135" s="53">
        <v>381</v>
      </c>
      <c r="B135" s="53" t="s">
        <v>422</v>
      </c>
      <c r="C135" s="53">
        <f t="shared" si="2"/>
        <v>2100</v>
      </c>
      <c r="D135" s="54">
        <v>2100</v>
      </c>
      <c r="E135" s="54">
        <v>0</v>
      </c>
      <c r="F135" s="54"/>
      <c r="G135" s="56">
        <v>1764.8625</v>
      </c>
      <c r="H135" s="56">
        <v>0</v>
      </c>
      <c r="I135" s="54">
        <v>335.13750000000005</v>
      </c>
      <c r="J135" s="53">
        <v>1</v>
      </c>
    </row>
    <row r="136" spans="1:10">
      <c r="A136" s="53">
        <v>382</v>
      </c>
      <c r="B136" s="53" t="s">
        <v>423</v>
      </c>
      <c r="C136" s="53">
        <f t="shared" si="2"/>
        <v>4506</v>
      </c>
      <c r="D136" s="54">
        <v>4506</v>
      </c>
      <c r="E136" s="54">
        <v>0</v>
      </c>
      <c r="F136" s="54"/>
      <c r="G136" s="56">
        <v>4436.043333333334</v>
      </c>
      <c r="H136" s="56">
        <v>0</v>
      </c>
      <c r="I136" s="54">
        <v>69.956666666666024</v>
      </c>
      <c r="J136" s="53">
        <v>1</v>
      </c>
    </row>
    <row r="137" spans="1:10">
      <c r="A137" s="53">
        <v>390</v>
      </c>
      <c r="B137" s="53" t="s">
        <v>455</v>
      </c>
      <c r="C137" s="53">
        <f t="shared" si="2"/>
        <v>3200</v>
      </c>
      <c r="D137" s="54">
        <v>3200</v>
      </c>
      <c r="E137" s="54">
        <v>0</v>
      </c>
      <c r="F137" s="54"/>
      <c r="G137" s="56">
        <v>2805</v>
      </c>
      <c r="H137" s="56">
        <v>0</v>
      </c>
      <c r="I137" s="54">
        <v>395</v>
      </c>
      <c r="J137" s="53">
        <v>1</v>
      </c>
    </row>
    <row r="138" spans="1:10">
      <c r="A138" s="53">
        <v>402</v>
      </c>
      <c r="B138" s="53" t="s">
        <v>427</v>
      </c>
      <c r="C138" s="53">
        <f t="shared" si="2"/>
        <v>990.46</v>
      </c>
      <c r="D138" s="54">
        <v>990.46</v>
      </c>
      <c r="E138" s="54">
        <v>0</v>
      </c>
      <c r="F138" s="54"/>
      <c r="G138" s="56">
        <v>990.46</v>
      </c>
      <c r="H138" s="56">
        <v>0</v>
      </c>
      <c r="I138" s="54">
        <v>0</v>
      </c>
      <c r="J138" s="53">
        <v>1</v>
      </c>
    </row>
    <row r="139" spans="1:10">
      <c r="A139" s="53">
        <v>403</v>
      </c>
      <c r="B139" s="53" t="s">
        <v>352</v>
      </c>
      <c r="C139" s="53">
        <f t="shared" si="2"/>
        <v>1574</v>
      </c>
      <c r="D139" s="54">
        <v>1574</v>
      </c>
      <c r="E139" s="54">
        <v>0</v>
      </c>
      <c r="F139" s="54"/>
      <c r="G139" s="56">
        <v>1537.8333333333333</v>
      </c>
      <c r="H139" s="56">
        <v>0</v>
      </c>
      <c r="I139" s="54">
        <v>36.166666666666742</v>
      </c>
      <c r="J139" s="53">
        <v>1</v>
      </c>
    </row>
    <row r="140" spans="1:10">
      <c r="A140" s="53">
        <v>404</v>
      </c>
      <c r="B140" s="53" t="s">
        <v>375</v>
      </c>
      <c r="C140" s="53" t="str">
        <f t="shared" si="2"/>
        <v/>
      </c>
      <c r="D140" s="54">
        <v>3484.49</v>
      </c>
      <c r="E140" s="54">
        <v>3484.49</v>
      </c>
      <c r="F140" s="54"/>
      <c r="G140" s="56">
        <v>2638.11</v>
      </c>
      <c r="H140" s="56">
        <v>290.37416666666667</v>
      </c>
      <c r="I140" s="54">
        <v>846.37999999999965</v>
      </c>
      <c r="J140" s="53" t="s">
        <v>489</v>
      </c>
    </row>
    <row r="141" spans="1:10">
      <c r="A141" s="53">
        <v>408</v>
      </c>
      <c r="B141" s="53" t="s">
        <v>376</v>
      </c>
      <c r="C141" s="53">
        <f t="shared" si="2"/>
        <v>2550</v>
      </c>
      <c r="D141" s="54">
        <v>2550</v>
      </c>
      <c r="E141" s="54">
        <v>0</v>
      </c>
      <c r="F141" s="54"/>
      <c r="G141" s="56">
        <v>2550</v>
      </c>
      <c r="H141" s="56">
        <v>0</v>
      </c>
      <c r="I141" s="54">
        <v>0</v>
      </c>
      <c r="J141" s="53">
        <v>1</v>
      </c>
    </row>
    <row r="142" spans="1:10">
      <c r="A142" s="53">
        <v>409</v>
      </c>
      <c r="B142" s="53" t="s">
        <v>377</v>
      </c>
      <c r="C142" s="53" t="str">
        <f t="shared" si="2"/>
        <v/>
      </c>
      <c r="D142" s="54">
        <v>5608.13</v>
      </c>
      <c r="E142" s="54">
        <v>5608.13</v>
      </c>
      <c r="F142" s="54"/>
      <c r="G142" s="56">
        <v>4110.0787499999997</v>
      </c>
      <c r="H142" s="56">
        <v>701.01625000000001</v>
      </c>
      <c r="I142" s="54">
        <v>1498.0512500000004</v>
      </c>
      <c r="J142" s="53"/>
    </row>
    <row r="143" spans="1:10">
      <c r="A143" s="53">
        <v>411</v>
      </c>
      <c r="B143" s="53" t="s">
        <v>456</v>
      </c>
      <c r="C143" s="53">
        <f t="shared" si="2"/>
        <v>600</v>
      </c>
      <c r="D143" s="54">
        <v>600</v>
      </c>
      <c r="E143" s="54">
        <v>1409.4</v>
      </c>
      <c r="F143" s="54"/>
      <c r="G143" s="56">
        <v>578.52092198581556</v>
      </c>
      <c r="H143" s="56">
        <v>0.99957446808510642</v>
      </c>
      <c r="I143" s="54">
        <v>21.479078014184438</v>
      </c>
      <c r="J143" s="53">
        <v>1</v>
      </c>
    </row>
    <row r="144" spans="1:10">
      <c r="A144" s="53">
        <v>412</v>
      </c>
      <c r="B144" s="53" t="s">
        <v>353</v>
      </c>
      <c r="C144" s="53">
        <f t="shared" si="2"/>
        <v>3347.25</v>
      </c>
      <c r="D144" s="54">
        <v>3347.25</v>
      </c>
      <c r="E144" s="54">
        <v>0</v>
      </c>
      <c r="F144" s="54"/>
      <c r="G144" s="56">
        <v>3347.25</v>
      </c>
      <c r="H144" s="56">
        <v>0</v>
      </c>
      <c r="I144" s="54">
        <v>0</v>
      </c>
      <c r="J144" s="53">
        <v>1</v>
      </c>
    </row>
    <row r="145" spans="1:10">
      <c r="A145" s="53">
        <v>416</v>
      </c>
      <c r="B145" s="53" t="s">
        <v>354</v>
      </c>
      <c r="C145" s="53">
        <f t="shared" si="2"/>
        <v>1560</v>
      </c>
      <c r="D145" s="54">
        <v>1560</v>
      </c>
      <c r="E145" s="54">
        <v>0</v>
      </c>
      <c r="F145" s="54"/>
      <c r="G145" s="56">
        <v>1560</v>
      </c>
      <c r="H145" s="56">
        <v>0</v>
      </c>
      <c r="I145" s="54">
        <v>0</v>
      </c>
      <c r="J145" s="53">
        <v>1</v>
      </c>
    </row>
    <row r="146" spans="1:10">
      <c r="A146" s="53">
        <v>431</v>
      </c>
      <c r="B146" s="53" t="s">
        <v>457</v>
      </c>
      <c r="C146" s="53">
        <f t="shared" si="2"/>
        <v>475</v>
      </c>
      <c r="D146" s="54">
        <v>475</v>
      </c>
      <c r="E146" s="54">
        <v>475</v>
      </c>
      <c r="F146" s="54"/>
      <c r="G146" s="56">
        <v>354.13888888888891</v>
      </c>
      <c r="H146" s="56">
        <v>63.888888888888886</v>
      </c>
      <c r="I146" s="54">
        <v>120.86111111111109</v>
      </c>
      <c r="J146" s="53">
        <v>1</v>
      </c>
    </row>
    <row r="147" spans="1:10">
      <c r="A147" s="53">
        <v>433</v>
      </c>
      <c r="B147" s="53" t="s">
        <v>458</v>
      </c>
      <c r="C147" s="53">
        <f t="shared" si="2"/>
        <v>475</v>
      </c>
      <c r="D147" s="54">
        <v>475</v>
      </c>
      <c r="E147" s="54">
        <v>475</v>
      </c>
      <c r="F147" s="54"/>
      <c r="G147" s="56">
        <v>354.13888888888891</v>
      </c>
      <c r="H147" s="56">
        <v>63.888888888888886</v>
      </c>
      <c r="I147" s="54">
        <v>120.86111111111109</v>
      </c>
      <c r="J147" s="53">
        <v>1</v>
      </c>
    </row>
    <row r="148" spans="1:10">
      <c r="A148" s="53">
        <v>436</v>
      </c>
      <c r="B148" s="53" t="s">
        <v>459</v>
      </c>
      <c r="C148" s="53">
        <f t="shared" si="2"/>
        <v>59.85</v>
      </c>
      <c r="D148" s="54">
        <v>59.85</v>
      </c>
      <c r="E148" s="54">
        <v>59.85</v>
      </c>
      <c r="F148" s="54"/>
      <c r="G148" s="56">
        <v>46.863000000000007</v>
      </c>
      <c r="H148" s="56">
        <v>11.97</v>
      </c>
      <c r="I148" s="54">
        <v>12.986999999999995</v>
      </c>
      <c r="J148" s="53">
        <v>1</v>
      </c>
    </row>
    <row r="149" spans="1:10">
      <c r="A149" s="53">
        <v>437</v>
      </c>
      <c r="B149" s="53" t="s">
        <v>460</v>
      </c>
      <c r="C149" s="53">
        <f t="shared" si="2"/>
        <v>1409.4</v>
      </c>
      <c r="D149" s="54">
        <v>1409.4</v>
      </c>
      <c r="E149" s="54">
        <v>1409.4</v>
      </c>
      <c r="F149" s="54"/>
      <c r="G149" s="56">
        <v>1382.8075471698116</v>
      </c>
      <c r="H149" s="56">
        <v>26.59245283018868</v>
      </c>
      <c r="I149" s="54">
        <v>26.592452830188449</v>
      </c>
      <c r="J149" s="53">
        <v>1</v>
      </c>
    </row>
    <row r="150" spans="1:10">
      <c r="A150" s="53">
        <v>438</v>
      </c>
      <c r="B150" s="53" t="s">
        <v>359</v>
      </c>
      <c r="C150" s="53">
        <f t="shared" si="2"/>
        <v>1641.12</v>
      </c>
      <c r="D150" s="54">
        <v>1641.12</v>
      </c>
      <c r="E150" s="54">
        <v>0</v>
      </c>
      <c r="F150" s="54"/>
      <c r="G150" s="56">
        <v>1641.12</v>
      </c>
      <c r="H150" s="56">
        <v>0</v>
      </c>
      <c r="I150" s="54">
        <v>0</v>
      </c>
      <c r="J150" s="53">
        <v>1</v>
      </c>
    </row>
    <row r="151" spans="1:10">
      <c r="A151" s="53">
        <v>440</v>
      </c>
      <c r="B151" s="53" t="s">
        <v>461</v>
      </c>
      <c r="C151" s="53">
        <f t="shared" si="2"/>
        <v>2602.5</v>
      </c>
      <c r="D151" s="54">
        <v>2602.5</v>
      </c>
      <c r="E151" s="54">
        <v>0</v>
      </c>
      <c r="F151" s="54"/>
      <c r="G151" s="56">
        <v>2602.5</v>
      </c>
      <c r="H151" s="56">
        <v>0</v>
      </c>
      <c r="I151" s="54">
        <v>0</v>
      </c>
      <c r="J151" s="53">
        <v>1</v>
      </c>
    </row>
    <row r="152" spans="1:10">
      <c r="A152" s="53">
        <v>441</v>
      </c>
      <c r="B152" s="53" t="s">
        <v>462</v>
      </c>
      <c r="C152" s="53" t="str">
        <f t="shared" si="2"/>
        <v/>
      </c>
      <c r="D152" s="54">
        <v>2916</v>
      </c>
      <c r="E152" s="54">
        <v>486</v>
      </c>
      <c r="F152" s="54"/>
      <c r="G152" s="56">
        <v>2224.3846153846152</v>
      </c>
      <c r="H152" s="56">
        <v>37.384615384615387</v>
      </c>
      <c r="I152" s="54">
        <v>691.61538461538476</v>
      </c>
      <c r="J152" s="53"/>
    </row>
    <row r="153" spans="1:10">
      <c r="A153" s="53">
        <v>443</v>
      </c>
      <c r="B153" s="53" t="s">
        <v>463</v>
      </c>
      <c r="C153" s="53">
        <f t="shared" si="2"/>
        <v>757.44</v>
      </c>
      <c r="D153" s="54">
        <v>757.44</v>
      </c>
      <c r="E153" s="54">
        <v>0</v>
      </c>
      <c r="F153" s="54"/>
      <c r="G153" s="56">
        <v>751.10400000000004</v>
      </c>
      <c r="H153" s="56">
        <v>0</v>
      </c>
      <c r="I153" s="54">
        <v>6.3360000000000127</v>
      </c>
      <c r="J153" s="53">
        <v>1</v>
      </c>
    </row>
    <row r="154" spans="1:10">
      <c r="A154" s="53">
        <v>444</v>
      </c>
      <c r="B154" s="53" t="s">
        <v>360</v>
      </c>
      <c r="C154" s="53">
        <f t="shared" si="2"/>
        <v>989.88</v>
      </c>
      <c r="D154" s="54">
        <v>989.88</v>
      </c>
      <c r="E154" s="54">
        <v>0</v>
      </c>
      <c r="F154" s="54"/>
      <c r="G154" s="56">
        <v>968.45272727272709</v>
      </c>
      <c r="H154" s="56">
        <v>0</v>
      </c>
      <c r="I154" s="54">
        <v>21.427272727272907</v>
      </c>
      <c r="J154" s="53">
        <v>1</v>
      </c>
    </row>
    <row r="155" spans="1:10">
      <c r="A155" s="53">
        <v>445</v>
      </c>
      <c r="B155" s="53" t="s">
        <v>361</v>
      </c>
      <c r="C155" s="53">
        <f t="shared" si="2"/>
        <v>989.88</v>
      </c>
      <c r="D155" s="54">
        <v>989.88</v>
      </c>
      <c r="E155" s="54">
        <v>0</v>
      </c>
      <c r="F155" s="54"/>
      <c r="G155" s="56">
        <v>966.30999999999983</v>
      </c>
      <c r="H155" s="56">
        <v>0</v>
      </c>
      <c r="I155" s="54">
        <v>23.570000000000164</v>
      </c>
      <c r="J155" s="53">
        <v>1</v>
      </c>
    </row>
    <row r="156" spans="1:10">
      <c r="A156" s="53">
        <v>446</v>
      </c>
      <c r="B156" s="53" t="s">
        <v>362</v>
      </c>
      <c r="C156" s="53" t="str">
        <f t="shared" si="2"/>
        <v/>
      </c>
      <c r="D156" s="54">
        <v>2989.54</v>
      </c>
      <c r="E156" s="54">
        <v>0</v>
      </c>
      <c r="F156" s="54"/>
      <c r="G156" s="56">
        <v>2363.4720000000002</v>
      </c>
      <c r="H156" s="56">
        <v>0</v>
      </c>
      <c r="I156" s="54">
        <v>626.06799999999976</v>
      </c>
      <c r="J156" s="53" t="s">
        <v>489</v>
      </c>
    </row>
    <row r="157" spans="1:10">
      <c r="A157" s="53">
        <v>447</v>
      </c>
      <c r="B157" s="53" t="s">
        <v>464</v>
      </c>
      <c r="C157" s="53">
        <f t="shared" si="2"/>
        <v>647.1</v>
      </c>
      <c r="D157" s="54">
        <v>647.1</v>
      </c>
      <c r="E157" s="54">
        <v>0</v>
      </c>
      <c r="F157" s="54"/>
      <c r="G157" s="56">
        <v>647.09999999999934</v>
      </c>
      <c r="H157" s="56">
        <v>0</v>
      </c>
      <c r="I157" s="54">
        <v>0</v>
      </c>
      <c r="J157" s="53">
        <v>1</v>
      </c>
    </row>
    <row r="158" spans="1:10">
      <c r="A158" s="53">
        <v>448</v>
      </c>
      <c r="B158" s="53" t="s">
        <v>465</v>
      </c>
      <c r="C158" s="53">
        <f t="shared" si="2"/>
        <v>764.26</v>
      </c>
      <c r="D158" s="54">
        <v>764.26</v>
      </c>
      <c r="E158" s="54">
        <v>0</v>
      </c>
      <c r="F158" s="54"/>
      <c r="G158" s="56">
        <v>764.2598076923075</v>
      </c>
      <c r="H158" s="56">
        <v>0</v>
      </c>
      <c r="I158" s="54">
        <v>1.923076924867928E-4</v>
      </c>
      <c r="J158" s="53">
        <v>1</v>
      </c>
    </row>
    <row r="159" spans="1:10">
      <c r="A159" s="53">
        <v>449</v>
      </c>
      <c r="B159" s="53" t="s">
        <v>466</v>
      </c>
      <c r="C159" s="53">
        <f t="shared" si="2"/>
        <v>914.99</v>
      </c>
      <c r="D159" s="54">
        <v>914.99</v>
      </c>
      <c r="E159" s="54">
        <v>0</v>
      </c>
      <c r="F159" s="54"/>
      <c r="G159" s="56">
        <v>892.17</v>
      </c>
      <c r="H159" s="56">
        <v>0</v>
      </c>
      <c r="I159" s="54">
        <v>22.82000000000005</v>
      </c>
      <c r="J159" s="53">
        <v>1</v>
      </c>
    </row>
    <row r="160" spans="1:10">
      <c r="A160" s="53">
        <v>450</v>
      </c>
      <c r="B160" s="53" t="s">
        <v>438</v>
      </c>
      <c r="C160" s="53" t="str">
        <f t="shared" si="2"/>
        <v/>
      </c>
      <c r="D160" s="54">
        <v>1993.32</v>
      </c>
      <c r="E160" s="54">
        <v>1993.32</v>
      </c>
      <c r="F160" s="54"/>
      <c r="G160" s="56">
        <v>1328.8799999999999</v>
      </c>
      <c r="H160" s="56">
        <v>664.43999999999994</v>
      </c>
      <c r="I160" s="54">
        <v>664.44</v>
      </c>
      <c r="J160" s="53"/>
    </row>
    <row r="161" spans="1:10">
      <c r="A161" s="53">
        <v>451</v>
      </c>
      <c r="B161" s="53" t="s">
        <v>467</v>
      </c>
      <c r="C161" s="53" t="str">
        <f t="shared" si="2"/>
        <v/>
      </c>
      <c r="D161" s="54">
        <v>1927.05</v>
      </c>
      <c r="E161" s="54">
        <v>0</v>
      </c>
      <c r="F161" s="54"/>
      <c r="G161" s="56">
        <v>1367.3500000000001</v>
      </c>
      <c r="H161" s="56">
        <v>0</v>
      </c>
      <c r="I161" s="54">
        <v>559.69999999999982</v>
      </c>
      <c r="J161" s="53" t="s">
        <v>489</v>
      </c>
    </row>
    <row r="162" spans="1:10">
      <c r="A162" s="53">
        <v>452</v>
      </c>
      <c r="B162" s="53" t="s">
        <v>280</v>
      </c>
      <c r="C162" s="53">
        <f t="shared" si="2"/>
        <v>895</v>
      </c>
      <c r="D162" s="54">
        <v>895</v>
      </c>
      <c r="E162" s="54">
        <v>0</v>
      </c>
      <c r="F162" s="54"/>
      <c r="G162" s="56">
        <v>895</v>
      </c>
      <c r="H162" s="56">
        <v>0</v>
      </c>
      <c r="I162" s="54">
        <v>0</v>
      </c>
      <c r="J162" s="53">
        <v>1</v>
      </c>
    </row>
    <row r="163" spans="1:10">
      <c r="A163" s="53">
        <v>453</v>
      </c>
      <c r="B163" s="53" t="s">
        <v>468</v>
      </c>
      <c r="C163" s="53">
        <f t="shared" si="2"/>
        <v>59.85</v>
      </c>
      <c r="D163" s="54">
        <v>59.85</v>
      </c>
      <c r="E163" s="54">
        <v>59.85</v>
      </c>
      <c r="F163" s="54"/>
      <c r="G163" s="56">
        <v>43.527272727272731</v>
      </c>
      <c r="H163" s="56">
        <v>16.322727272727274</v>
      </c>
      <c r="I163" s="54">
        <v>16.322727272727271</v>
      </c>
      <c r="J163" s="53">
        <v>1</v>
      </c>
    </row>
    <row r="164" spans="1:10">
      <c r="A164" s="53">
        <v>454</v>
      </c>
      <c r="B164" s="53" t="s">
        <v>469</v>
      </c>
      <c r="C164" s="53">
        <f t="shared" si="2"/>
        <v>972</v>
      </c>
      <c r="D164" s="54">
        <v>972</v>
      </c>
      <c r="E164" s="54">
        <v>0</v>
      </c>
      <c r="F164" s="54"/>
      <c r="G164" s="56">
        <v>837</v>
      </c>
      <c r="H164" s="56">
        <v>0</v>
      </c>
      <c r="I164" s="54">
        <v>135</v>
      </c>
      <c r="J164" s="53">
        <v>1</v>
      </c>
    </row>
    <row r="165" spans="1:10">
      <c r="A165" s="53">
        <v>455</v>
      </c>
      <c r="B165" s="53" t="s">
        <v>470</v>
      </c>
      <c r="C165" s="53">
        <f t="shared" si="2"/>
        <v>435</v>
      </c>
      <c r="D165" s="54">
        <v>435</v>
      </c>
      <c r="E165" s="54">
        <v>0</v>
      </c>
      <c r="F165" s="54"/>
      <c r="G165" s="56">
        <v>430.43780487804878</v>
      </c>
      <c r="H165" s="56">
        <v>0</v>
      </c>
      <c r="I165" s="54">
        <v>4.5621951219512198</v>
      </c>
      <c r="J165" s="53">
        <v>1</v>
      </c>
    </row>
    <row r="166" spans="1:10">
      <c r="A166" s="53">
        <v>456</v>
      </c>
      <c r="B166" s="53" t="s">
        <v>471</v>
      </c>
      <c r="C166" s="53">
        <f t="shared" si="2"/>
        <v>435</v>
      </c>
      <c r="D166" s="54">
        <v>435</v>
      </c>
      <c r="E166" s="54">
        <v>0</v>
      </c>
      <c r="F166" s="54"/>
      <c r="G166" s="56">
        <v>425.87560975609762</v>
      </c>
      <c r="H166" s="56">
        <v>0</v>
      </c>
      <c r="I166" s="54">
        <v>9.1243902439023827</v>
      </c>
      <c r="J166" s="53">
        <v>1</v>
      </c>
    </row>
    <row r="167" spans="1:10">
      <c r="A167" s="53">
        <v>457</v>
      </c>
      <c r="B167" s="53" t="s">
        <v>472</v>
      </c>
      <c r="C167" s="53">
        <f t="shared" si="2"/>
        <v>435</v>
      </c>
      <c r="D167" s="54">
        <v>435</v>
      </c>
      <c r="E167" s="54">
        <v>0</v>
      </c>
      <c r="F167" s="54"/>
      <c r="G167" s="56">
        <v>430.07763157894738</v>
      </c>
      <c r="H167" s="56">
        <v>0</v>
      </c>
      <c r="I167" s="54">
        <v>4.9223684210526244</v>
      </c>
      <c r="J167" s="53">
        <v>1</v>
      </c>
    </row>
    <row r="168" spans="1:10">
      <c r="A168" s="53">
        <v>458</v>
      </c>
      <c r="B168" s="53" t="s">
        <v>473</v>
      </c>
      <c r="C168" s="53">
        <f t="shared" si="2"/>
        <v>435</v>
      </c>
      <c r="D168" s="54">
        <v>435</v>
      </c>
      <c r="E168" s="54">
        <v>0</v>
      </c>
      <c r="F168" s="54"/>
      <c r="G168" s="56">
        <v>430.43780487804878</v>
      </c>
      <c r="H168" s="56">
        <v>0</v>
      </c>
      <c r="I168" s="54">
        <v>4.5621951219512198</v>
      </c>
      <c r="J168" s="53">
        <v>1</v>
      </c>
    </row>
    <row r="169" spans="1:10">
      <c r="A169" s="53">
        <v>459</v>
      </c>
      <c r="B169" s="53" t="s">
        <v>474</v>
      </c>
      <c r="C169" s="53">
        <f t="shared" si="2"/>
        <v>435</v>
      </c>
      <c r="D169" s="54">
        <v>435</v>
      </c>
      <c r="E169" s="54">
        <v>0</v>
      </c>
      <c r="F169" s="54"/>
      <c r="G169" s="56">
        <v>435</v>
      </c>
      <c r="H169" s="56">
        <v>0</v>
      </c>
      <c r="I169" s="54">
        <v>0</v>
      </c>
      <c r="J169" s="53">
        <v>1</v>
      </c>
    </row>
    <row r="170" spans="1:10">
      <c r="A170" s="53">
        <v>460</v>
      </c>
      <c r="B170" s="53" t="s">
        <v>475</v>
      </c>
      <c r="C170" s="53">
        <f t="shared" si="2"/>
        <v>435</v>
      </c>
      <c r="D170" s="54">
        <v>435</v>
      </c>
      <c r="E170" s="54">
        <v>0</v>
      </c>
      <c r="F170" s="54"/>
      <c r="G170" s="56">
        <v>430.2038461538462</v>
      </c>
      <c r="H170" s="56">
        <v>0</v>
      </c>
      <c r="I170" s="54">
        <v>4.7961538461537998</v>
      </c>
      <c r="J170" s="53">
        <v>1</v>
      </c>
    </row>
    <row r="171" spans="1:10">
      <c r="A171" s="53">
        <v>461</v>
      </c>
      <c r="B171" s="53" t="s">
        <v>476</v>
      </c>
      <c r="C171" s="53">
        <f t="shared" si="2"/>
        <v>435</v>
      </c>
      <c r="D171" s="54">
        <v>435</v>
      </c>
      <c r="E171" s="54">
        <v>0</v>
      </c>
      <c r="F171" s="54"/>
      <c r="G171" s="56">
        <v>430.43780487804878</v>
      </c>
      <c r="H171" s="56">
        <v>0</v>
      </c>
      <c r="I171" s="54">
        <v>4.5621951219512198</v>
      </c>
      <c r="J171" s="53">
        <v>1</v>
      </c>
    </row>
    <row r="172" spans="1:10">
      <c r="A172" s="53">
        <v>462</v>
      </c>
      <c r="B172" s="53" t="s">
        <v>477</v>
      </c>
      <c r="C172" s="53">
        <f t="shared" si="2"/>
        <v>435</v>
      </c>
      <c r="D172" s="54">
        <v>435</v>
      </c>
      <c r="E172" s="54">
        <v>0</v>
      </c>
      <c r="F172" s="54"/>
      <c r="G172" s="56">
        <v>430.2038461538462</v>
      </c>
      <c r="H172" s="56">
        <v>0</v>
      </c>
      <c r="I172" s="54">
        <v>4.7961538461537998</v>
      </c>
      <c r="J172" s="53">
        <v>1</v>
      </c>
    </row>
    <row r="173" spans="1:10">
      <c r="A173" s="53">
        <v>463</v>
      </c>
      <c r="B173" s="53" t="s">
        <v>478</v>
      </c>
      <c r="C173" s="53">
        <f t="shared" si="2"/>
        <v>435</v>
      </c>
      <c r="D173" s="54">
        <v>435</v>
      </c>
      <c r="E173" s="54">
        <v>0</v>
      </c>
      <c r="F173" s="54"/>
      <c r="G173" s="56">
        <v>430.43780487804878</v>
      </c>
      <c r="H173" s="56">
        <v>0</v>
      </c>
      <c r="I173" s="54">
        <v>4.5621951219512198</v>
      </c>
      <c r="J173" s="53">
        <v>1</v>
      </c>
    </row>
    <row r="174" spans="1:10">
      <c r="A174" s="53">
        <v>464</v>
      </c>
      <c r="B174" s="53" t="s">
        <v>479</v>
      </c>
      <c r="C174" s="53">
        <f t="shared" si="2"/>
        <v>560</v>
      </c>
      <c r="D174" s="54">
        <v>560</v>
      </c>
      <c r="E174" s="54">
        <v>0</v>
      </c>
      <c r="F174" s="54"/>
      <c r="G174" s="56">
        <v>555.93999999999994</v>
      </c>
      <c r="H174" s="56">
        <v>0</v>
      </c>
      <c r="I174" s="54">
        <v>4.0600000000000591</v>
      </c>
      <c r="J174" s="53">
        <v>1</v>
      </c>
    </row>
    <row r="175" spans="1:10">
      <c r="A175" s="53">
        <v>466</v>
      </c>
      <c r="B175" s="53" t="s">
        <v>480</v>
      </c>
      <c r="C175" s="53">
        <f t="shared" si="2"/>
        <v>614.82000000000005</v>
      </c>
      <c r="D175" s="54">
        <v>614.82000000000005</v>
      </c>
      <c r="E175" s="54">
        <v>0</v>
      </c>
      <c r="F175" s="54"/>
      <c r="G175" s="56">
        <v>603.49612903225773</v>
      </c>
      <c r="H175" s="56">
        <v>0</v>
      </c>
      <c r="I175" s="54">
        <v>11.323870967742323</v>
      </c>
      <c r="J175" s="53">
        <v>1</v>
      </c>
    </row>
    <row r="176" spans="1:10">
      <c r="A176" s="53">
        <v>467</v>
      </c>
      <c r="B176" s="53" t="s">
        <v>363</v>
      </c>
      <c r="C176" s="53">
        <f t="shared" si="2"/>
        <v>1415</v>
      </c>
      <c r="D176" s="54">
        <v>1415</v>
      </c>
      <c r="E176" s="54">
        <v>0</v>
      </c>
      <c r="F176" s="54"/>
      <c r="G176" s="56">
        <v>1387.5</v>
      </c>
      <c r="H176" s="56">
        <v>0</v>
      </c>
      <c r="I176" s="54">
        <v>27.5</v>
      </c>
      <c r="J176" s="53">
        <v>1</v>
      </c>
    </row>
    <row r="177" spans="1:10">
      <c r="A177" s="53">
        <v>468</v>
      </c>
      <c r="B177" s="53" t="s">
        <v>481</v>
      </c>
      <c r="C177" s="53">
        <f t="shared" si="2"/>
        <v>730.44</v>
      </c>
      <c r="D177" s="54">
        <v>730.44</v>
      </c>
      <c r="E177" s="54">
        <v>0</v>
      </c>
      <c r="F177" s="54"/>
      <c r="G177" s="56">
        <v>730.44000000000017</v>
      </c>
      <c r="H177" s="56">
        <v>0</v>
      </c>
      <c r="I177" s="54">
        <v>0</v>
      </c>
      <c r="J177" s="53">
        <v>1</v>
      </c>
    </row>
    <row r="178" spans="1:10">
      <c r="A178" s="53">
        <v>469</v>
      </c>
      <c r="B178" s="53" t="s">
        <v>482</v>
      </c>
      <c r="C178" s="53">
        <f t="shared" si="2"/>
        <v>441</v>
      </c>
      <c r="D178" s="54">
        <v>441</v>
      </c>
      <c r="E178" s="54">
        <v>0</v>
      </c>
      <c r="F178" s="54"/>
      <c r="G178" s="56">
        <v>429.54638888888888</v>
      </c>
      <c r="H178" s="56">
        <v>0</v>
      </c>
      <c r="I178" s="54">
        <v>11.453611111111115</v>
      </c>
      <c r="J178" s="53">
        <v>1</v>
      </c>
    </row>
    <row r="179" spans="1:10">
      <c r="A179" s="53">
        <v>470</v>
      </c>
      <c r="B179" s="53" t="s">
        <v>281</v>
      </c>
      <c r="C179" s="53">
        <f t="shared" si="2"/>
        <v>895</v>
      </c>
      <c r="D179" s="54">
        <v>895</v>
      </c>
      <c r="E179" s="54">
        <v>0</v>
      </c>
      <c r="F179" s="54"/>
      <c r="G179" s="56">
        <v>895</v>
      </c>
      <c r="H179" s="56">
        <v>0</v>
      </c>
      <c r="I179" s="54">
        <v>0</v>
      </c>
      <c r="J179" s="53">
        <v>1</v>
      </c>
    </row>
    <row r="180" spans="1:10">
      <c r="A180" s="53">
        <v>471</v>
      </c>
      <c r="B180" s="53" t="s">
        <v>378</v>
      </c>
      <c r="C180" s="53">
        <f t="shared" si="2"/>
        <v>2509.85</v>
      </c>
      <c r="D180" s="54">
        <v>2509.85</v>
      </c>
      <c r="E180" s="54">
        <v>0</v>
      </c>
      <c r="F180" s="54"/>
      <c r="G180" s="56">
        <v>2266.0374999999999</v>
      </c>
      <c r="H180" s="56">
        <v>0</v>
      </c>
      <c r="I180" s="54">
        <v>243.8125</v>
      </c>
      <c r="J180" s="53">
        <v>1</v>
      </c>
    </row>
    <row r="181" spans="1:10">
      <c r="A181" s="53">
        <v>472</v>
      </c>
      <c r="B181" s="53" t="s">
        <v>483</v>
      </c>
      <c r="C181" s="53" t="str">
        <f t="shared" si="2"/>
        <v/>
      </c>
      <c r="D181" s="54">
        <v>7047</v>
      </c>
      <c r="E181" s="54">
        <v>0</v>
      </c>
      <c r="F181" s="54"/>
      <c r="G181" s="56">
        <v>5346</v>
      </c>
      <c r="H181" s="56">
        <v>0</v>
      </c>
      <c r="I181" s="54">
        <v>1701</v>
      </c>
      <c r="J181" s="53"/>
    </row>
    <row r="182" spans="1:10">
      <c r="A182" s="53">
        <v>473</v>
      </c>
      <c r="B182" s="53" t="s">
        <v>484</v>
      </c>
      <c r="C182" s="53" t="str">
        <f t="shared" si="2"/>
        <v/>
      </c>
      <c r="D182" s="54">
        <v>2916</v>
      </c>
      <c r="E182" s="54">
        <v>0</v>
      </c>
      <c r="F182" s="54"/>
      <c r="G182" s="56">
        <v>2026.0125</v>
      </c>
      <c r="H182" s="56">
        <v>0</v>
      </c>
      <c r="I182" s="54">
        <v>889.98749999999995</v>
      </c>
      <c r="J182" s="53"/>
    </row>
    <row r="183" spans="1:10">
      <c r="A183" s="53">
        <v>476</v>
      </c>
      <c r="B183" s="53" t="s">
        <v>485</v>
      </c>
      <c r="C183" s="53" t="str">
        <f t="shared" si="2"/>
        <v/>
      </c>
      <c r="D183" s="54">
        <v>12150</v>
      </c>
      <c r="E183" s="54">
        <v>12150</v>
      </c>
      <c r="F183" s="54"/>
      <c r="G183" s="56">
        <v>8100</v>
      </c>
      <c r="H183" s="56">
        <v>4050</v>
      </c>
      <c r="I183" s="54">
        <v>4050</v>
      </c>
      <c r="J183" s="53"/>
    </row>
    <row r="184" spans="1:10">
      <c r="A184" s="53">
        <v>477</v>
      </c>
      <c r="B184" s="53" t="s">
        <v>486</v>
      </c>
      <c r="C184" s="53" t="str">
        <f t="shared" si="2"/>
        <v/>
      </c>
      <c r="D184" s="54">
        <v>16986.669999999998</v>
      </c>
      <c r="E184" s="54">
        <v>0</v>
      </c>
      <c r="F184" s="54"/>
      <c r="G184" s="56">
        <v>16098.058888888885</v>
      </c>
      <c r="H184" s="56">
        <v>0</v>
      </c>
      <c r="I184" s="54">
        <v>888.61111111111313</v>
      </c>
      <c r="J184" s="53"/>
    </row>
    <row r="185" spans="1:10">
      <c r="A185" s="53">
        <v>432</v>
      </c>
      <c r="B185" s="53" t="s">
        <v>487</v>
      </c>
      <c r="C185" s="53">
        <f t="shared" si="2"/>
        <v>475</v>
      </c>
      <c r="D185" s="54">
        <v>475</v>
      </c>
      <c r="E185" s="54">
        <v>475</v>
      </c>
      <c r="F185" s="54"/>
      <c r="G185" s="56">
        <v>354.13888888888891</v>
      </c>
      <c r="H185" s="56">
        <v>63.888888888888886</v>
      </c>
      <c r="I185" s="54">
        <v>120.86111111111109</v>
      </c>
      <c r="J185" s="53">
        <v>1</v>
      </c>
    </row>
    <row r="186" spans="1:10">
      <c r="A186" s="53">
        <v>111</v>
      </c>
      <c r="B186" s="53" t="s">
        <v>441</v>
      </c>
      <c r="C186" s="53">
        <f t="shared" si="2"/>
        <v>1569.3</v>
      </c>
      <c r="D186" s="54">
        <v>1569.3</v>
      </c>
      <c r="E186" s="54">
        <v>0</v>
      </c>
      <c r="F186" s="54"/>
      <c r="G186" s="56">
        <v>1522.9424999999999</v>
      </c>
      <c r="H186" s="56">
        <v>0</v>
      </c>
      <c r="I186" s="54">
        <v>46.357500000000073</v>
      </c>
      <c r="J186" s="53">
        <v>1</v>
      </c>
    </row>
    <row r="187" spans="1:10">
      <c r="A187" s="53">
        <v>42</v>
      </c>
      <c r="B187" s="53" t="s">
        <v>364</v>
      </c>
      <c r="C187" s="53">
        <f t="shared" si="2"/>
        <v>2082</v>
      </c>
      <c r="D187" s="54">
        <v>2082</v>
      </c>
      <c r="E187" s="54">
        <v>0</v>
      </c>
      <c r="F187" s="54"/>
      <c r="G187" s="56">
        <v>2041</v>
      </c>
      <c r="H187" s="56">
        <v>0</v>
      </c>
      <c r="I187" s="54">
        <v>41</v>
      </c>
      <c r="J187" s="5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42B9-32B3-914B-B34D-D0900CE3446A}">
  <dimension ref="A1:C187"/>
  <sheetViews>
    <sheetView workbookViewId="0">
      <selection activeCell="B8" sqref="B8"/>
    </sheetView>
  </sheetViews>
  <sheetFormatPr baseColWidth="10" defaultRowHeight="16"/>
  <cols>
    <col min="2" max="2" width="38.1640625" bestFit="1" customWidth="1"/>
    <col min="3" max="3" width="10.83203125" style="57"/>
  </cols>
  <sheetData>
    <row r="1" spans="1:3">
      <c r="A1" s="53" t="s">
        <v>0</v>
      </c>
      <c r="B1" s="53" t="s">
        <v>263</v>
      </c>
      <c r="C1" s="54" t="s">
        <v>490</v>
      </c>
    </row>
    <row r="2" spans="1:3">
      <c r="A2" s="53">
        <v>0</v>
      </c>
      <c r="B2" s="53" t="s">
        <v>266</v>
      </c>
      <c r="C2" s="54" t="s">
        <v>379</v>
      </c>
    </row>
    <row r="3" spans="1:3">
      <c r="A3" s="53">
        <v>2</v>
      </c>
      <c r="B3" s="53" t="s">
        <v>284</v>
      </c>
      <c r="C3" s="54">
        <v>1416.85</v>
      </c>
    </row>
    <row r="4" spans="1:3">
      <c r="A4" s="53">
        <v>4</v>
      </c>
      <c r="B4" s="53" t="s">
        <v>285</v>
      </c>
      <c r="C4" s="54">
        <v>1708.41</v>
      </c>
    </row>
    <row r="5" spans="1:3">
      <c r="A5" s="53">
        <v>9</v>
      </c>
      <c r="B5" s="53" t="s">
        <v>365</v>
      </c>
      <c r="C5" s="54">
        <v>3643.5</v>
      </c>
    </row>
    <row r="6" spans="1:3">
      <c r="A6" s="53">
        <v>10</v>
      </c>
      <c r="B6" s="53" t="s">
        <v>286</v>
      </c>
      <c r="C6" s="54">
        <v>1708.41</v>
      </c>
    </row>
    <row r="7" spans="1:3">
      <c r="A7" s="53">
        <v>11</v>
      </c>
      <c r="B7" s="53" t="s">
        <v>287</v>
      </c>
      <c r="C7" s="54">
        <v>1708.41</v>
      </c>
    </row>
    <row r="8" spans="1:3">
      <c r="A8" s="53">
        <v>15</v>
      </c>
      <c r="B8" s="53" t="s">
        <v>380</v>
      </c>
      <c r="C8" s="54">
        <v>3400</v>
      </c>
    </row>
    <row r="9" spans="1:3">
      <c r="A9" s="53">
        <v>16</v>
      </c>
      <c r="B9" s="53" t="s">
        <v>288</v>
      </c>
      <c r="C9" s="54">
        <v>2364.3000000000002</v>
      </c>
    </row>
    <row r="10" spans="1:3">
      <c r="A10" s="53">
        <v>17</v>
      </c>
      <c r="B10" s="53" t="s">
        <v>289</v>
      </c>
      <c r="C10" s="54">
        <v>1677.89</v>
      </c>
    </row>
    <row r="11" spans="1:3">
      <c r="A11" s="53">
        <v>20</v>
      </c>
      <c r="B11" s="53" t="s">
        <v>290</v>
      </c>
      <c r="C11" s="54">
        <v>1723.44</v>
      </c>
    </row>
    <row r="12" spans="1:3">
      <c r="A12" s="53">
        <v>21</v>
      </c>
      <c r="B12" s="53" t="s">
        <v>291</v>
      </c>
      <c r="C12" s="54">
        <v>1830.43</v>
      </c>
    </row>
    <row r="13" spans="1:3">
      <c r="A13" s="53">
        <v>22</v>
      </c>
      <c r="B13" s="53" t="s">
        <v>366</v>
      </c>
      <c r="C13" s="54">
        <v>2930.56</v>
      </c>
    </row>
    <row r="14" spans="1:3">
      <c r="A14" s="53">
        <v>25</v>
      </c>
      <c r="B14" s="53" t="s">
        <v>292</v>
      </c>
      <c r="C14" s="54">
        <v>1625</v>
      </c>
    </row>
    <row r="15" spans="1:3">
      <c r="A15" s="53">
        <v>26</v>
      </c>
      <c r="B15" s="53" t="s">
        <v>293</v>
      </c>
      <c r="C15" s="54">
        <v>1952.46</v>
      </c>
    </row>
    <row r="16" spans="1:3">
      <c r="A16" s="53">
        <v>27</v>
      </c>
      <c r="B16" s="53" t="s">
        <v>381</v>
      </c>
      <c r="C16" s="54">
        <v>1677.89</v>
      </c>
    </row>
    <row r="17" spans="1:3">
      <c r="A17" s="53">
        <v>28</v>
      </c>
      <c r="B17" s="53" t="s">
        <v>382</v>
      </c>
      <c r="C17" s="54">
        <v>2928.69</v>
      </c>
    </row>
    <row r="18" spans="1:3">
      <c r="A18" s="53">
        <v>30</v>
      </c>
      <c r="B18" s="53" t="s">
        <v>267</v>
      </c>
      <c r="C18" s="54">
        <v>895</v>
      </c>
    </row>
    <row r="19" spans="1:3">
      <c r="A19" s="53">
        <v>31</v>
      </c>
      <c r="B19" s="53" t="s">
        <v>294</v>
      </c>
      <c r="C19" s="54">
        <v>1568.43</v>
      </c>
    </row>
    <row r="20" spans="1:3">
      <c r="A20" s="53">
        <v>33</v>
      </c>
      <c r="B20" s="53" t="s">
        <v>295</v>
      </c>
      <c r="C20" s="54">
        <v>2082</v>
      </c>
    </row>
    <row r="21" spans="1:3">
      <c r="A21" s="53">
        <v>34</v>
      </c>
      <c r="B21" s="53" t="s">
        <v>296</v>
      </c>
      <c r="C21" s="54">
        <v>2269.38</v>
      </c>
    </row>
    <row r="22" spans="1:3">
      <c r="A22" s="53">
        <v>35</v>
      </c>
      <c r="B22" s="53" t="s">
        <v>383</v>
      </c>
      <c r="C22" s="54">
        <v>1784.67</v>
      </c>
    </row>
    <row r="23" spans="1:3">
      <c r="A23" s="53">
        <v>36</v>
      </c>
      <c r="B23" s="53" t="s">
        <v>367</v>
      </c>
      <c r="C23" s="54">
        <v>2810.7</v>
      </c>
    </row>
    <row r="24" spans="1:3">
      <c r="A24" s="53">
        <v>57</v>
      </c>
      <c r="B24" s="53" t="s">
        <v>368</v>
      </c>
      <c r="C24" s="54">
        <v>1715.6</v>
      </c>
    </row>
    <row r="25" spans="1:3">
      <c r="A25" s="53">
        <v>67</v>
      </c>
      <c r="B25" s="53" t="s">
        <v>384</v>
      </c>
      <c r="C25" s="54">
        <v>3643.5</v>
      </c>
    </row>
    <row r="26" spans="1:3">
      <c r="A26" s="53">
        <v>79</v>
      </c>
      <c r="B26" s="53" t="s">
        <v>386</v>
      </c>
      <c r="C26" s="54">
        <v>2166.65</v>
      </c>
    </row>
    <row r="27" spans="1:3">
      <c r="A27" s="53">
        <v>80</v>
      </c>
      <c r="B27" s="53" t="s">
        <v>387</v>
      </c>
      <c r="C27" s="54">
        <v>2170</v>
      </c>
    </row>
    <row r="28" spans="1:3">
      <c r="A28" s="53">
        <v>84</v>
      </c>
      <c r="B28" s="53" t="s">
        <v>445</v>
      </c>
      <c r="C28" s="54">
        <v>2250</v>
      </c>
    </row>
    <row r="29" spans="1:3">
      <c r="A29" s="53">
        <v>88</v>
      </c>
      <c r="B29" s="53" t="s">
        <v>388</v>
      </c>
      <c r="C29" s="54">
        <v>2593.81</v>
      </c>
    </row>
    <row r="30" spans="1:3">
      <c r="A30" s="53">
        <v>95</v>
      </c>
      <c r="B30" s="53" t="s">
        <v>300</v>
      </c>
      <c r="C30" s="54" t="s">
        <v>379</v>
      </c>
    </row>
    <row r="31" spans="1:3">
      <c r="A31" s="53">
        <v>95</v>
      </c>
      <c r="B31" s="53" t="s">
        <v>369</v>
      </c>
      <c r="C31" s="54" t="s">
        <v>379</v>
      </c>
    </row>
    <row r="32" spans="1:3">
      <c r="A32" s="53">
        <v>97</v>
      </c>
      <c r="B32" s="53" t="s">
        <v>389</v>
      </c>
      <c r="C32" s="54">
        <v>3550</v>
      </c>
    </row>
    <row r="33" spans="1:3">
      <c r="A33" s="53">
        <v>99</v>
      </c>
      <c r="B33" s="53" t="s">
        <v>390</v>
      </c>
      <c r="C33" s="54">
        <v>3383.25</v>
      </c>
    </row>
    <row r="34" spans="1:3">
      <c r="A34" s="53">
        <v>103</v>
      </c>
      <c r="B34" s="53" t="s">
        <v>301</v>
      </c>
      <c r="C34" s="54">
        <v>1700</v>
      </c>
    </row>
    <row r="35" spans="1:3">
      <c r="A35" s="53">
        <v>106</v>
      </c>
      <c r="B35" s="53" t="s">
        <v>391</v>
      </c>
      <c r="C35" s="54" t="s">
        <v>379</v>
      </c>
    </row>
    <row r="36" spans="1:3">
      <c r="A36" s="53">
        <v>120</v>
      </c>
      <c r="B36" s="53" t="s">
        <v>392</v>
      </c>
      <c r="C36" s="54">
        <v>2300</v>
      </c>
    </row>
    <row r="37" spans="1:3">
      <c r="A37" s="53">
        <v>122</v>
      </c>
      <c r="B37" s="53" t="s">
        <v>393</v>
      </c>
      <c r="C37" s="54">
        <v>2593.81</v>
      </c>
    </row>
    <row r="38" spans="1:3">
      <c r="A38" s="53">
        <v>131</v>
      </c>
      <c r="B38" s="53" t="s">
        <v>394</v>
      </c>
      <c r="C38" s="54">
        <v>2165.2600000000002</v>
      </c>
    </row>
    <row r="39" spans="1:3">
      <c r="A39" s="53">
        <v>133</v>
      </c>
      <c r="B39" s="53" t="s">
        <v>395</v>
      </c>
      <c r="C39" s="54">
        <v>2075.0500000000002</v>
      </c>
    </row>
    <row r="40" spans="1:3">
      <c r="A40" s="53">
        <v>134</v>
      </c>
      <c r="B40" s="53" t="s">
        <v>446</v>
      </c>
      <c r="C40" s="54">
        <v>992.34</v>
      </c>
    </row>
    <row r="41" spans="1:3">
      <c r="A41" s="53">
        <v>135</v>
      </c>
      <c r="B41" s="53" t="s">
        <v>396</v>
      </c>
      <c r="C41" s="54">
        <v>1691.63</v>
      </c>
    </row>
    <row r="42" spans="1:3">
      <c r="A42" s="53">
        <v>148</v>
      </c>
      <c r="B42" s="53" t="s">
        <v>302</v>
      </c>
      <c r="C42" s="54">
        <v>1570.24</v>
      </c>
    </row>
    <row r="43" spans="1:3">
      <c r="A43" s="53">
        <v>149</v>
      </c>
      <c r="B43" s="53" t="s">
        <v>303</v>
      </c>
      <c r="C43" s="54">
        <v>1570.24</v>
      </c>
    </row>
    <row r="44" spans="1:3">
      <c r="A44" s="53">
        <v>150</v>
      </c>
      <c r="B44" s="53" t="s">
        <v>304</v>
      </c>
      <c r="C44" s="54">
        <v>1475.31</v>
      </c>
    </row>
    <row r="45" spans="1:3">
      <c r="A45" s="53">
        <v>154</v>
      </c>
      <c r="B45" s="53" t="s">
        <v>398</v>
      </c>
      <c r="C45" s="54">
        <v>2238.15</v>
      </c>
    </row>
    <row r="46" spans="1:3">
      <c r="A46" s="53">
        <v>156</v>
      </c>
      <c r="B46" s="53" t="s">
        <v>305</v>
      </c>
      <c r="C46" s="54">
        <v>2051.5100000000002</v>
      </c>
    </row>
    <row r="47" spans="1:3">
      <c r="A47" s="53">
        <v>160</v>
      </c>
      <c r="B47" s="53" t="s">
        <v>306</v>
      </c>
      <c r="C47" s="54">
        <v>1300</v>
      </c>
    </row>
    <row r="48" spans="1:3">
      <c r="A48" s="53">
        <v>162</v>
      </c>
      <c r="B48" s="53" t="s">
        <v>307</v>
      </c>
      <c r="C48" s="54">
        <v>1557.73</v>
      </c>
    </row>
    <row r="49" spans="1:3">
      <c r="A49" s="53">
        <v>163</v>
      </c>
      <c r="B49" s="53" t="s">
        <v>308</v>
      </c>
      <c r="C49" s="54">
        <v>3269</v>
      </c>
    </row>
    <row r="50" spans="1:3">
      <c r="A50" s="53">
        <v>165</v>
      </c>
      <c r="B50" s="53" t="s">
        <v>309</v>
      </c>
      <c r="C50" s="54">
        <v>4140</v>
      </c>
    </row>
    <row r="51" spans="1:3">
      <c r="A51" s="53">
        <v>170</v>
      </c>
      <c r="B51" s="53" t="s">
        <v>310</v>
      </c>
      <c r="C51" s="54">
        <v>1327</v>
      </c>
    </row>
    <row r="52" spans="1:3">
      <c r="A52" s="53">
        <v>172</v>
      </c>
      <c r="B52" s="53" t="s">
        <v>399</v>
      </c>
      <c r="C52" s="54">
        <v>2650</v>
      </c>
    </row>
    <row r="53" spans="1:3">
      <c r="A53" s="53">
        <v>173</v>
      </c>
      <c r="B53" s="53" t="s">
        <v>311</v>
      </c>
      <c r="C53" s="54">
        <v>1850</v>
      </c>
    </row>
    <row r="54" spans="1:3">
      <c r="A54" s="53">
        <v>174</v>
      </c>
      <c r="B54" s="53" t="s">
        <v>312</v>
      </c>
      <c r="C54" s="54">
        <v>1916</v>
      </c>
    </row>
    <row r="55" spans="1:3">
      <c r="A55" s="53">
        <v>175</v>
      </c>
      <c r="B55" s="53" t="s">
        <v>313</v>
      </c>
      <c r="C55" s="54">
        <v>1451.23</v>
      </c>
    </row>
    <row r="56" spans="1:3">
      <c r="A56" s="53">
        <v>176</v>
      </c>
      <c r="B56" s="53" t="s">
        <v>314</v>
      </c>
      <c r="C56" s="54">
        <v>1125</v>
      </c>
    </row>
    <row r="57" spans="1:3">
      <c r="A57" s="53">
        <v>177</v>
      </c>
      <c r="B57" s="53" t="s">
        <v>315</v>
      </c>
      <c r="C57" s="54">
        <v>2700</v>
      </c>
    </row>
    <row r="58" spans="1:3">
      <c r="A58" s="53">
        <v>178</v>
      </c>
      <c r="B58" s="53" t="s">
        <v>316</v>
      </c>
      <c r="C58" s="54">
        <v>2800</v>
      </c>
    </row>
    <row r="59" spans="1:3">
      <c r="A59" s="53">
        <v>180</v>
      </c>
      <c r="B59" s="53" t="s">
        <v>317</v>
      </c>
      <c r="C59" s="54">
        <v>1270.97</v>
      </c>
    </row>
    <row r="60" spans="1:3">
      <c r="A60" s="53">
        <v>183</v>
      </c>
      <c r="B60" s="53" t="s">
        <v>268</v>
      </c>
      <c r="C60" s="54">
        <v>895</v>
      </c>
    </row>
    <row r="61" spans="1:3">
      <c r="A61" s="53">
        <v>184</v>
      </c>
      <c r="B61" s="53" t="s">
        <v>447</v>
      </c>
      <c r="C61" s="54">
        <v>1545.73</v>
      </c>
    </row>
    <row r="62" spans="1:3">
      <c r="A62" s="53">
        <v>186</v>
      </c>
      <c r="B62" s="53" t="s">
        <v>318</v>
      </c>
      <c r="C62" s="54">
        <v>2600</v>
      </c>
    </row>
    <row r="63" spans="1:3">
      <c r="A63" s="53">
        <v>191</v>
      </c>
      <c r="B63" s="53" t="s">
        <v>269</v>
      </c>
      <c r="C63" s="54">
        <v>895</v>
      </c>
    </row>
    <row r="64" spans="1:3">
      <c r="A64" s="53">
        <v>192</v>
      </c>
      <c r="B64" s="53" t="s">
        <v>319</v>
      </c>
      <c r="C64" s="54" t="s">
        <v>379</v>
      </c>
    </row>
    <row r="65" spans="1:3">
      <c r="A65" s="53">
        <v>193</v>
      </c>
      <c r="B65" s="53" t="s">
        <v>320</v>
      </c>
      <c r="C65" s="54">
        <v>1400.53</v>
      </c>
    </row>
    <row r="66" spans="1:3">
      <c r="A66" s="53">
        <v>194</v>
      </c>
      <c r="B66" s="53" t="s">
        <v>321</v>
      </c>
      <c r="C66" s="54">
        <v>2336</v>
      </c>
    </row>
    <row r="67" spans="1:3">
      <c r="A67" s="53">
        <v>195</v>
      </c>
      <c r="B67" s="53" t="s">
        <v>270</v>
      </c>
      <c r="C67" s="54">
        <v>895</v>
      </c>
    </row>
    <row r="68" spans="1:3">
      <c r="A68" s="53">
        <v>196</v>
      </c>
      <c r="B68" s="53" t="s">
        <v>322</v>
      </c>
      <c r="C68" s="54">
        <v>1405</v>
      </c>
    </row>
    <row r="69" spans="1:3">
      <c r="A69" s="53">
        <v>199</v>
      </c>
      <c r="B69" s="53" t="s">
        <v>323</v>
      </c>
      <c r="C69" s="54">
        <v>1200</v>
      </c>
    </row>
    <row r="70" spans="1:3">
      <c r="A70" s="53">
        <v>202</v>
      </c>
      <c r="B70" s="53" t="s">
        <v>324</v>
      </c>
      <c r="C70" s="54" t="s">
        <v>379</v>
      </c>
    </row>
    <row r="71" spans="1:3">
      <c r="A71" s="53">
        <v>203</v>
      </c>
      <c r="B71" s="53" t="s">
        <v>400</v>
      </c>
      <c r="C71" s="54" t="s">
        <v>379</v>
      </c>
    </row>
    <row r="72" spans="1:3">
      <c r="A72" s="53">
        <v>203</v>
      </c>
      <c r="B72" s="53" t="s">
        <v>401</v>
      </c>
      <c r="C72" s="54" t="s">
        <v>379</v>
      </c>
    </row>
    <row r="73" spans="1:3">
      <c r="A73" s="53">
        <v>205</v>
      </c>
      <c r="B73" s="53" t="s">
        <v>402</v>
      </c>
      <c r="C73" s="54">
        <v>4800</v>
      </c>
    </row>
    <row r="74" spans="1:3">
      <c r="A74" s="53">
        <v>206</v>
      </c>
      <c r="B74" s="53" t="s">
        <v>325</v>
      </c>
      <c r="C74" s="54">
        <v>1552.05</v>
      </c>
    </row>
    <row r="75" spans="1:3">
      <c r="A75" s="53">
        <v>207</v>
      </c>
      <c r="B75" s="53" t="s">
        <v>326</v>
      </c>
      <c r="C75" s="54">
        <v>1970</v>
      </c>
    </row>
    <row r="76" spans="1:3">
      <c r="A76" s="53">
        <v>208</v>
      </c>
      <c r="B76" s="53" t="s">
        <v>271</v>
      </c>
      <c r="C76" s="54">
        <v>895</v>
      </c>
    </row>
    <row r="77" spans="1:3">
      <c r="A77" s="53">
        <v>210</v>
      </c>
      <c r="B77" s="53" t="s">
        <v>327</v>
      </c>
      <c r="C77" s="54">
        <v>1865.5</v>
      </c>
    </row>
    <row r="78" spans="1:3">
      <c r="A78" s="53">
        <v>211</v>
      </c>
      <c r="B78" s="53" t="s">
        <v>328</v>
      </c>
      <c r="C78" s="54" t="s">
        <v>379</v>
      </c>
    </row>
    <row r="79" spans="1:3">
      <c r="A79" s="53">
        <v>213</v>
      </c>
      <c r="B79" s="53" t="s">
        <v>272</v>
      </c>
      <c r="C79" s="54">
        <v>895</v>
      </c>
    </row>
    <row r="80" spans="1:3">
      <c r="A80" s="53">
        <v>214</v>
      </c>
      <c r="B80" s="53" t="s">
        <v>329</v>
      </c>
      <c r="C80" s="54">
        <v>2801</v>
      </c>
    </row>
    <row r="81" spans="1:3">
      <c r="A81" s="53">
        <v>215</v>
      </c>
      <c r="B81" s="53" t="s">
        <v>330</v>
      </c>
      <c r="C81" s="54">
        <v>2801</v>
      </c>
    </row>
    <row r="82" spans="1:3">
      <c r="A82" s="53">
        <v>216</v>
      </c>
      <c r="B82" s="53" t="s">
        <v>331</v>
      </c>
      <c r="C82" s="54">
        <v>1561.5</v>
      </c>
    </row>
    <row r="83" spans="1:3">
      <c r="A83" s="53">
        <v>217</v>
      </c>
      <c r="B83" s="53" t="s">
        <v>332</v>
      </c>
      <c r="C83" s="54">
        <v>1400.53</v>
      </c>
    </row>
    <row r="84" spans="1:3">
      <c r="A84" s="53">
        <v>219</v>
      </c>
      <c r="B84" s="53" t="s">
        <v>333</v>
      </c>
      <c r="C84" s="54">
        <v>1345.37</v>
      </c>
    </row>
    <row r="85" spans="1:3">
      <c r="A85" s="53">
        <v>221</v>
      </c>
      <c r="B85" s="53" t="s">
        <v>335</v>
      </c>
      <c r="C85" s="54">
        <v>2088.66</v>
      </c>
    </row>
    <row r="86" spans="1:3">
      <c r="A86" s="53">
        <v>222</v>
      </c>
      <c r="B86" s="53" t="s">
        <v>336</v>
      </c>
      <c r="C86" s="54">
        <v>1282.51</v>
      </c>
    </row>
    <row r="87" spans="1:3">
      <c r="A87" s="53">
        <v>223</v>
      </c>
      <c r="B87" s="53" t="s">
        <v>404</v>
      </c>
      <c r="C87" s="54" t="s">
        <v>379</v>
      </c>
    </row>
    <row r="88" spans="1:3">
      <c r="A88" s="53">
        <v>225</v>
      </c>
      <c r="B88" s="53" t="s">
        <v>337</v>
      </c>
      <c r="C88" s="54" t="s">
        <v>379</v>
      </c>
    </row>
    <row r="89" spans="1:3">
      <c r="A89" s="53">
        <v>227</v>
      </c>
      <c r="B89" s="53" t="s">
        <v>405</v>
      </c>
      <c r="C89" s="54">
        <v>2561.5</v>
      </c>
    </row>
    <row r="90" spans="1:3">
      <c r="A90" s="53">
        <v>228</v>
      </c>
      <c r="B90" s="53" t="s">
        <v>273</v>
      </c>
      <c r="C90" s="54">
        <v>895</v>
      </c>
    </row>
    <row r="91" spans="1:3">
      <c r="A91" s="53">
        <v>229</v>
      </c>
      <c r="B91" s="53" t="s">
        <v>338</v>
      </c>
      <c r="C91" s="54">
        <v>1397</v>
      </c>
    </row>
    <row r="92" spans="1:3">
      <c r="A92" s="53">
        <v>230</v>
      </c>
      <c r="B92" s="53" t="s">
        <v>339</v>
      </c>
      <c r="C92" s="54">
        <v>1776</v>
      </c>
    </row>
    <row r="93" spans="1:3">
      <c r="A93" s="53">
        <v>231</v>
      </c>
      <c r="B93" s="53" t="s">
        <v>340</v>
      </c>
      <c r="C93" s="54">
        <v>1200</v>
      </c>
    </row>
    <row r="94" spans="1:3">
      <c r="A94" s="53">
        <v>232</v>
      </c>
      <c r="B94" s="53" t="s">
        <v>341</v>
      </c>
      <c r="C94" s="54">
        <v>1872</v>
      </c>
    </row>
    <row r="95" spans="1:3">
      <c r="A95" s="53">
        <v>233</v>
      </c>
      <c r="B95" s="53" t="s">
        <v>342</v>
      </c>
      <c r="C95" s="54">
        <v>1603.14</v>
      </c>
    </row>
    <row r="96" spans="1:3">
      <c r="A96" s="53">
        <v>234</v>
      </c>
      <c r="B96" s="53" t="s">
        <v>274</v>
      </c>
      <c r="C96" s="54">
        <v>895</v>
      </c>
    </row>
    <row r="97" spans="1:3">
      <c r="A97" s="53">
        <v>235</v>
      </c>
      <c r="B97" s="53" t="s">
        <v>343</v>
      </c>
      <c r="C97" s="54">
        <v>895</v>
      </c>
    </row>
    <row r="98" spans="1:3">
      <c r="A98" s="53">
        <v>236</v>
      </c>
      <c r="B98" s="53" t="s">
        <v>275</v>
      </c>
      <c r="C98" s="54">
        <v>1623.9</v>
      </c>
    </row>
    <row r="99" spans="1:3">
      <c r="A99" s="53">
        <v>237</v>
      </c>
      <c r="B99" s="53" t="s">
        <v>344</v>
      </c>
      <c r="C99" s="54">
        <v>1345.37</v>
      </c>
    </row>
    <row r="100" spans="1:3">
      <c r="A100" s="53">
        <v>238</v>
      </c>
      <c r="B100" s="53" t="s">
        <v>276</v>
      </c>
      <c r="C100" s="54">
        <v>895</v>
      </c>
    </row>
    <row r="101" spans="1:3">
      <c r="A101" s="53">
        <v>239</v>
      </c>
      <c r="B101" s="53" t="s">
        <v>345</v>
      </c>
      <c r="C101" s="54">
        <v>1327</v>
      </c>
    </row>
    <row r="102" spans="1:3">
      <c r="A102" s="53">
        <v>240</v>
      </c>
      <c r="B102" s="53" t="s">
        <v>346</v>
      </c>
      <c r="C102" s="54" t="s">
        <v>379</v>
      </c>
    </row>
    <row r="103" spans="1:3">
      <c r="A103" s="53">
        <v>241</v>
      </c>
      <c r="B103" s="53" t="s">
        <v>372</v>
      </c>
      <c r="C103" s="54">
        <v>1250</v>
      </c>
    </row>
    <row r="104" spans="1:3">
      <c r="A104" s="53">
        <v>242</v>
      </c>
      <c r="B104" s="53" t="s">
        <v>347</v>
      </c>
      <c r="C104" s="54">
        <v>900</v>
      </c>
    </row>
    <row r="105" spans="1:3">
      <c r="A105" s="53">
        <v>243</v>
      </c>
      <c r="B105" s="53" t="s">
        <v>348</v>
      </c>
      <c r="C105" s="54">
        <v>4216.22</v>
      </c>
    </row>
    <row r="106" spans="1:3">
      <c r="A106" s="53">
        <v>245</v>
      </c>
      <c r="B106" s="53" t="s">
        <v>277</v>
      </c>
      <c r="C106" s="54">
        <v>895</v>
      </c>
    </row>
    <row r="107" spans="1:3">
      <c r="A107" s="53">
        <v>246</v>
      </c>
      <c r="B107" s="53" t="s">
        <v>349</v>
      </c>
      <c r="C107" s="54">
        <v>1200</v>
      </c>
    </row>
    <row r="108" spans="1:3">
      <c r="A108" s="53">
        <v>247</v>
      </c>
      <c r="B108" s="53" t="s">
        <v>373</v>
      </c>
      <c r="C108" s="54">
        <v>2129.12</v>
      </c>
    </row>
    <row r="109" spans="1:3">
      <c r="A109" s="53">
        <v>249</v>
      </c>
      <c r="B109" s="53" t="s">
        <v>350</v>
      </c>
      <c r="C109" s="54">
        <v>1400.53</v>
      </c>
    </row>
    <row r="110" spans="1:3">
      <c r="A110" s="53">
        <v>250</v>
      </c>
      <c r="B110" s="53" t="s">
        <v>278</v>
      </c>
      <c r="C110" s="54">
        <v>895</v>
      </c>
    </row>
    <row r="111" spans="1:3">
      <c r="A111" s="53">
        <v>273</v>
      </c>
      <c r="B111" s="53" t="s">
        <v>448</v>
      </c>
      <c r="C111" s="54" t="s">
        <v>379</v>
      </c>
    </row>
    <row r="112" spans="1:3">
      <c r="A112" s="53">
        <v>277</v>
      </c>
      <c r="B112" s="53" t="s">
        <v>449</v>
      </c>
      <c r="C112" s="54">
        <v>111.47</v>
      </c>
    </row>
    <row r="113" spans="1:3">
      <c r="A113" s="53">
        <v>279</v>
      </c>
      <c r="B113" s="53" t="s">
        <v>450</v>
      </c>
      <c r="C113" s="54" t="s">
        <v>379</v>
      </c>
    </row>
    <row r="114" spans="1:3">
      <c r="A114" s="53">
        <v>291</v>
      </c>
      <c r="B114" s="53" t="s">
        <v>451</v>
      </c>
      <c r="C114" s="54" t="s">
        <v>379</v>
      </c>
    </row>
    <row r="115" spans="1:3">
      <c r="A115" s="53">
        <v>292</v>
      </c>
      <c r="B115" s="53" t="s">
        <v>406</v>
      </c>
      <c r="C115" s="54">
        <v>1019</v>
      </c>
    </row>
    <row r="116" spans="1:3">
      <c r="A116" s="53">
        <v>333</v>
      </c>
      <c r="B116" s="53" t="s">
        <v>452</v>
      </c>
      <c r="C116" s="54" t="s">
        <v>379</v>
      </c>
    </row>
    <row r="117" spans="1:3">
      <c r="A117" s="53">
        <v>336</v>
      </c>
      <c r="B117" s="53" t="s">
        <v>407</v>
      </c>
      <c r="C117" s="54">
        <v>2900</v>
      </c>
    </row>
    <row r="118" spans="1:3">
      <c r="A118" s="53">
        <v>337</v>
      </c>
      <c r="B118" s="53" t="s">
        <v>408</v>
      </c>
      <c r="C118" s="54">
        <v>4750</v>
      </c>
    </row>
    <row r="119" spans="1:3">
      <c r="A119" s="53">
        <v>340</v>
      </c>
      <c r="B119" s="53" t="s">
        <v>409</v>
      </c>
      <c r="C119" s="54">
        <v>2840.41</v>
      </c>
    </row>
    <row r="120" spans="1:3">
      <c r="A120" s="53">
        <v>345</v>
      </c>
      <c r="B120" s="53" t="s">
        <v>410</v>
      </c>
      <c r="C120" s="54" t="s">
        <v>379</v>
      </c>
    </row>
    <row r="121" spans="1:3">
      <c r="A121" s="53">
        <v>347</v>
      </c>
      <c r="B121" s="53" t="s">
        <v>411</v>
      </c>
      <c r="C121" s="54">
        <v>1560</v>
      </c>
    </row>
    <row r="122" spans="1:3">
      <c r="A122" s="53">
        <v>348</v>
      </c>
      <c r="B122" s="53" t="s">
        <v>412</v>
      </c>
      <c r="C122" s="54" t="s">
        <v>379</v>
      </c>
    </row>
    <row r="123" spans="1:3">
      <c r="A123" s="53">
        <v>351</v>
      </c>
      <c r="B123" s="53" t="s">
        <v>413</v>
      </c>
      <c r="C123" s="54">
        <v>1560</v>
      </c>
    </row>
    <row r="124" spans="1:3">
      <c r="A124" s="53">
        <v>352</v>
      </c>
      <c r="B124" s="53" t="s">
        <v>414</v>
      </c>
      <c r="C124" s="54">
        <v>1560</v>
      </c>
    </row>
    <row r="125" spans="1:3">
      <c r="A125" s="53">
        <v>353</v>
      </c>
      <c r="B125" s="53" t="s">
        <v>415</v>
      </c>
      <c r="C125" s="54">
        <v>1623.96</v>
      </c>
    </row>
    <row r="126" spans="1:3">
      <c r="A126" s="53">
        <v>358</v>
      </c>
      <c r="B126" s="53" t="s">
        <v>453</v>
      </c>
      <c r="C126" s="54" t="s">
        <v>379</v>
      </c>
    </row>
    <row r="127" spans="1:3">
      <c r="A127" s="53">
        <v>359</v>
      </c>
      <c r="B127" s="53" t="s">
        <v>416</v>
      </c>
      <c r="C127" s="54">
        <v>2386.52</v>
      </c>
    </row>
    <row r="128" spans="1:3">
      <c r="A128" s="53">
        <v>361</v>
      </c>
      <c r="B128" s="53" t="s">
        <v>417</v>
      </c>
      <c r="C128" s="54">
        <v>1494.99</v>
      </c>
    </row>
    <row r="129" spans="1:3">
      <c r="A129" s="53">
        <v>366</v>
      </c>
      <c r="B129" s="53" t="s">
        <v>454</v>
      </c>
      <c r="C129" s="54" t="s">
        <v>379</v>
      </c>
    </row>
    <row r="130" spans="1:3">
      <c r="A130" s="53">
        <v>370</v>
      </c>
      <c r="B130" s="53" t="s">
        <v>419</v>
      </c>
      <c r="C130" s="54">
        <v>2850</v>
      </c>
    </row>
    <row r="131" spans="1:3">
      <c r="A131" s="53">
        <v>371</v>
      </c>
      <c r="B131" s="53" t="s">
        <v>351</v>
      </c>
      <c r="C131" s="54">
        <v>13043.23</v>
      </c>
    </row>
    <row r="132" spans="1:3">
      <c r="A132" s="53">
        <v>375</v>
      </c>
      <c r="B132" s="53" t="s">
        <v>420</v>
      </c>
      <c r="C132" s="54">
        <v>4850</v>
      </c>
    </row>
    <row r="133" spans="1:3">
      <c r="A133" s="53">
        <v>376</v>
      </c>
      <c r="B133" s="53" t="s">
        <v>421</v>
      </c>
      <c r="C133" s="54">
        <v>3500</v>
      </c>
    </row>
    <row r="134" spans="1:3">
      <c r="A134" s="53">
        <v>380</v>
      </c>
      <c r="B134" s="53" t="s">
        <v>279</v>
      </c>
      <c r="C134" s="54">
        <v>2100</v>
      </c>
    </row>
    <row r="135" spans="1:3">
      <c r="A135" s="53">
        <v>381</v>
      </c>
      <c r="B135" s="53" t="s">
        <v>422</v>
      </c>
      <c r="C135" s="54">
        <v>2100</v>
      </c>
    </row>
    <row r="136" spans="1:3">
      <c r="A136" s="53">
        <v>382</v>
      </c>
      <c r="B136" s="53" t="s">
        <v>423</v>
      </c>
      <c r="C136" s="54">
        <v>4506</v>
      </c>
    </row>
    <row r="137" spans="1:3">
      <c r="A137" s="53">
        <v>390</v>
      </c>
      <c r="B137" s="53" t="s">
        <v>455</v>
      </c>
      <c r="C137" s="54">
        <v>3200</v>
      </c>
    </row>
    <row r="138" spans="1:3">
      <c r="A138" s="53">
        <v>402</v>
      </c>
      <c r="B138" s="53" t="s">
        <v>427</v>
      </c>
      <c r="C138" s="54">
        <v>990.46</v>
      </c>
    </row>
    <row r="139" spans="1:3">
      <c r="A139" s="53">
        <v>403</v>
      </c>
      <c r="B139" s="53" t="s">
        <v>352</v>
      </c>
      <c r="C139" s="54">
        <v>1574</v>
      </c>
    </row>
    <row r="140" spans="1:3">
      <c r="A140" s="53">
        <v>404</v>
      </c>
      <c r="B140" s="53" t="s">
        <v>375</v>
      </c>
      <c r="C140" s="54" t="s">
        <v>379</v>
      </c>
    </row>
    <row r="141" spans="1:3">
      <c r="A141" s="53">
        <v>408</v>
      </c>
      <c r="B141" s="53" t="s">
        <v>376</v>
      </c>
      <c r="C141" s="54">
        <v>2550</v>
      </c>
    </row>
    <row r="142" spans="1:3">
      <c r="A142" s="53">
        <v>409</v>
      </c>
      <c r="B142" s="53" t="s">
        <v>377</v>
      </c>
      <c r="C142" s="54" t="s">
        <v>379</v>
      </c>
    </row>
    <row r="143" spans="1:3">
      <c r="A143" s="53">
        <v>411</v>
      </c>
      <c r="B143" s="53" t="s">
        <v>456</v>
      </c>
      <c r="C143" s="54">
        <v>600</v>
      </c>
    </row>
    <row r="144" spans="1:3">
      <c r="A144" s="53">
        <v>412</v>
      </c>
      <c r="B144" s="53" t="s">
        <v>353</v>
      </c>
      <c r="C144" s="54">
        <v>3347.25</v>
      </c>
    </row>
    <row r="145" spans="1:3">
      <c r="A145" s="53">
        <v>416</v>
      </c>
      <c r="B145" s="53" t="s">
        <v>354</v>
      </c>
      <c r="C145" s="54">
        <v>1560</v>
      </c>
    </row>
    <row r="146" spans="1:3">
      <c r="A146" s="53">
        <v>431</v>
      </c>
      <c r="B146" s="53" t="s">
        <v>457</v>
      </c>
      <c r="C146" s="54">
        <v>475</v>
      </c>
    </row>
    <row r="147" spans="1:3">
      <c r="A147" s="53">
        <v>433</v>
      </c>
      <c r="B147" s="53" t="s">
        <v>458</v>
      </c>
      <c r="C147" s="54">
        <v>475</v>
      </c>
    </row>
    <row r="148" spans="1:3">
      <c r="A148" s="53">
        <v>436</v>
      </c>
      <c r="B148" s="53" t="s">
        <v>459</v>
      </c>
      <c r="C148" s="54">
        <v>59.85</v>
      </c>
    </row>
    <row r="149" spans="1:3">
      <c r="A149" s="53">
        <v>437</v>
      </c>
      <c r="B149" s="53" t="s">
        <v>460</v>
      </c>
      <c r="C149" s="54">
        <v>1409.4</v>
      </c>
    </row>
    <row r="150" spans="1:3">
      <c r="A150" s="53">
        <v>438</v>
      </c>
      <c r="B150" s="53" t="s">
        <v>359</v>
      </c>
      <c r="C150" s="54">
        <v>1641.12</v>
      </c>
    </row>
    <row r="151" spans="1:3">
      <c r="A151" s="53">
        <v>440</v>
      </c>
      <c r="B151" s="53" t="s">
        <v>461</v>
      </c>
      <c r="C151" s="54">
        <v>2602.5</v>
      </c>
    </row>
    <row r="152" spans="1:3">
      <c r="A152" s="53">
        <v>441</v>
      </c>
      <c r="B152" s="53" t="s">
        <v>462</v>
      </c>
      <c r="C152" s="54" t="s">
        <v>379</v>
      </c>
    </row>
    <row r="153" spans="1:3">
      <c r="A153" s="53">
        <v>443</v>
      </c>
      <c r="B153" s="53" t="s">
        <v>463</v>
      </c>
      <c r="C153" s="54">
        <v>757.44</v>
      </c>
    </row>
    <row r="154" spans="1:3">
      <c r="A154" s="53">
        <v>444</v>
      </c>
      <c r="B154" s="53" t="s">
        <v>360</v>
      </c>
      <c r="C154" s="54">
        <v>989.88</v>
      </c>
    </row>
    <row r="155" spans="1:3">
      <c r="A155" s="53">
        <v>445</v>
      </c>
      <c r="B155" s="53" t="s">
        <v>361</v>
      </c>
      <c r="C155" s="54">
        <v>989.88</v>
      </c>
    </row>
    <row r="156" spans="1:3">
      <c r="A156" s="53">
        <v>446</v>
      </c>
      <c r="B156" s="53" t="s">
        <v>362</v>
      </c>
      <c r="C156" s="54" t="s">
        <v>379</v>
      </c>
    </row>
    <row r="157" spans="1:3">
      <c r="A157" s="53">
        <v>447</v>
      </c>
      <c r="B157" s="53" t="s">
        <v>464</v>
      </c>
      <c r="C157" s="54">
        <v>647.1</v>
      </c>
    </row>
    <row r="158" spans="1:3">
      <c r="A158" s="53">
        <v>448</v>
      </c>
      <c r="B158" s="53" t="s">
        <v>465</v>
      </c>
      <c r="C158" s="54">
        <v>764.26</v>
      </c>
    </row>
    <row r="159" spans="1:3">
      <c r="A159" s="53">
        <v>449</v>
      </c>
      <c r="B159" s="53" t="s">
        <v>466</v>
      </c>
      <c r="C159" s="54">
        <v>914.99</v>
      </c>
    </row>
    <row r="160" spans="1:3">
      <c r="A160" s="53">
        <v>450</v>
      </c>
      <c r="B160" s="53" t="s">
        <v>438</v>
      </c>
      <c r="C160" s="54" t="s">
        <v>379</v>
      </c>
    </row>
    <row r="161" spans="1:3">
      <c r="A161" s="53">
        <v>451</v>
      </c>
      <c r="B161" s="53" t="s">
        <v>467</v>
      </c>
      <c r="C161" s="54" t="s">
        <v>379</v>
      </c>
    </row>
    <row r="162" spans="1:3">
      <c r="A162" s="53">
        <v>452</v>
      </c>
      <c r="B162" s="53" t="s">
        <v>280</v>
      </c>
      <c r="C162" s="54">
        <v>895</v>
      </c>
    </row>
    <row r="163" spans="1:3">
      <c r="A163" s="53">
        <v>453</v>
      </c>
      <c r="B163" s="53" t="s">
        <v>468</v>
      </c>
      <c r="C163" s="54">
        <v>59.85</v>
      </c>
    </row>
    <row r="164" spans="1:3">
      <c r="A164" s="53">
        <v>454</v>
      </c>
      <c r="B164" s="53" t="s">
        <v>469</v>
      </c>
      <c r="C164" s="54">
        <v>972</v>
      </c>
    </row>
    <row r="165" spans="1:3">
      <c r="A165" s="53">
        <v>455</v>
      </c>
      <c r="B165" s="53" t="s">
        <v>470</v>
      </c>
      <c r="C165" s="54">
        <v>435</v>
      </c>
    </row>
    <row r="166" spans="1:3">
      <c r="A166" s="53">
        <v>456</v>
      </c>
      <c r="B166" s="53" t="s">
        <v>471</v>
      </c>
      <c r="C166" s="54">
        <v>435</v>
      </c>
    </row>
    <row r="167" spans="1:3">
      <c r="A167" s="53">
        <v>457</v>
      </c>
      <c r="B167" s="53" t="s">
        <v>472</v>
      </c>
      <c r="C167" s="54">
        <v>435</v>
      </c>
    </row>
    <row r="168" spans="1:3">
      <c r="A168" s="53">
        <v>458</v>
      </c>
      <c r="B168" s="53" t="s">
        <v>473</v>
      </c>
      <c r="C168" s="54">
        <v>435</v>
      </c>
    </row>
    <row r="169" spans="1:3">
      <c r="A169" s="53">
        <v>459</v>
      </c>
      <c r="B169" s="53" t="s">
        <v>474</v>
      </c>
      <c r="C169" s="54">
        <v>435</v>
      </c>
    </row>
    <row r="170" spans="1:3">
      <c r="A170" s="53">
        <v>460</v>
      </c>
      <c r="B170" s="53" t="s">
        <v>475</v>
      </c>
      <c r="C170" s="54">
        <v>435</v>
      </c>
    </row>
    <row r="171" spans="1:3">
      <c r="A171" s="53">
        <v>461</v>
      </c>
      <c r="B171" s="53" t="s">
        <v>476</v>
      </c>
      <c r="C171" s="54">
        <v>435</v>
      </c>
    </row>
    <row r="172" spans="1:3">
      <c r="A172" s="53">
        <v>462</v>
      </c>
      <c r="B172" s="53" t="s">
        <v>477</v>
      </c>
      <c r="C172" s="54">
        <v>435</v>
      </c>
    </row>
    <row r="173" spans="1:3">
      <c r="A173" s="53">
        <v>463</v>
      </c>
      <c r="B173" s="53" t="s">
        <v>478</v>
      </c>
      <c r="C173" s="54">
        <v>435</v>
      </c>
    </row>
    <row r="174" spans="1:3">
      <c r="A174" s="53">
        <v>464</v>
      </c>
      <c r="B174" s="53" t="s">
        <v>479</v>
      </c>
      <c r="C174" s="54">
        <v>560</v>
      </c>
    </row>
    <row r="175" spans="1:3">
      <c r="A175" s="53">
        <v>466</v>
      </c>
      <c r="B175" s="53" t="s">
        <v>480</v>
      </c>
      <c r="C175" s="54">
        <v>614.82000000000005</v>
      </c>
    </row>
    <row r="176" spans="1:3">
      <c r="A176" s="53">
        <v>467</v>
      </c>
      <c r="B176" s="53" t="s">
        <v>363</v>
      </c>
      <c r="C176" s="54">
        <v>1415</v>
      </c>
    </row>
    <row r="177" spans="1:3">
      <c r="A177" s="53">
        <v>468</v>
      </c>
      <c r="B177" s="53" t="s">
        <v>481</v>
      </c>
      <c r="C177" s="54">
        <v>730.44</v>
      </c>
    </row>
    <row r="178" spans="1:3">
      <c r="A178" s="53">
        <v>469</v>
      </c>
      <c r="B178" s="53" t="s">
        <v>482</v>
      </c>
      <c r="C178" s="54">
        <v>441</v>
      </c>
    </row>
    <row r="179" spans="1:3">
      <c r="A179" s="53">
        <v>470</v>
      </c>
      <c r="B179" s="53" t="s">
        <v>281</v>
      </c>
      <c r="C179" s="54">
        <v>895</v>
      </c>
    </row>
    <row r="180" spans="1:3">
      <c r="A180" s="53">
        <v>471</v>
      </c>
      <c r="B180" s="53" t="s">
        <v>378</v>
      </c>
      <c r="C180" s="54">
        <v>2509.85</v>
      </c>
    </row>
    <row r="181" spans="1:3">
      <c r="A181" s="53">
        <v>472</v>
      </c>
      <c r="B181" s="53" t="s">
        <v>483</v>
      </c>
      <c r="C181" s="54" t="s">
        <v>379</v>
      </c>
    </row>
    <row r="182" spans="1:3">
      <c r="A182" s="53">
        <v>473</v>
      </c>
      <c r="B182" s="53" t="s">
        <v>484</v>
      </c>
      <c r="C182" s="54" t="s">
        <v>379</v>
      </c>
    </row>
    <row r="183" spans="1:3">
      <c r="A183" s="53">
        <v>476</v>
      </c>
      <c r="B183" s="53" t="s">
        <v>485</v>
      </c>
      <c r="C183" s="54" t="s">
        <v>379</v>
      </c>
    </row>
    <row r="184" spans="1:3">
      <c r="A184" s="53">
        <v>477</v>
      </c>
      <c r="B184" s="53" t="s">
        <v>486</v>
      </c>
      <c r="C184" s="54" t="s">
        <v>379</v>
      </c>
    </row>
    <row r="185" spans="1:3">
      <c r="A185" s="53">
        <v>432</v>
      </c>
      <c r="B185" s="53" t="s">
        <v>487</v>
      </c>
      <c r="C185" s="54">
        <v>475</v>
      </c>
    </row>
    <row r="186" spans="1:3">
      <c r="A186" s="53">
        <v>111</v>
      </c>
      <c r="B186" s="53" t="s">
        <v>441</v>
      </c>
      <c r="C186" s="54">
        <v>1569.3</v>
      </c>
    </row>
    <row r="187" spans="1:3">
      <c r="A187" s="53">
        <v>42</v>
      </c>
      <c r="B187" s="53" t="s">
        <v>364</v>
      </c>
      <c r="C187" s="54">
        <v>2082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ECB8-D693-7943-B966-E978269CA0C5}">
  <dimension ref="A1:D165"/>
  <sheetViews>
    <sheetView topLeftCell="A148" workbookViewId="0">
      <selection activeCell="C173" sqref="C173"/>
    </sheetView>
  </sheetViews>
  <sheetFormatPr baseColWidth="10" defaultRowHeight="16"/>
  <sheetData>
    <row r="1" spans="1:4">
      <c r="A1" s="49" t="s">
        <v>0</v>
      </c>
      <c r="B1" s="49" t="s">
        <v>263</v>
      </c>
      <c r="C1" s="49" t="s">
        <v>264</v>
      </c>
      <c r="D1" s="49" t="s">
        <v>265</v>
      </c>
    </row>
    <row r="2" spans="1:4">
      <c r="A2" s="50">
        <v>0</v>
      </c>
      <c r="B2" s="51" t="s">
        <v>266</v>
      </c>
      <c r="C2" s="52"/>
      <c r="D2" s="52">
        <v>19375.27</v>
      </c>
    </row>
    <row r="3" spans="1:4">
      <c r="A3" s="50">
        <v>4</v>
      </c>
      <c r="B3" s="51" t="s">
        <v>285</v>
      </c>
      <c r="C3" s="52"/>
      <c r="D3" s="52">
        <v>260.14999999999998</v>
      </c>
    </row>
    <row r="4" spans="1:4">
      <c r="A4" s="50">
        <v>9</v>
      </c>
      <c r="B4" s="51" t="s">
        <v>365</v>
      </c>
      <c r="C4" s="52"/>
      <c r="D4" s="52">
        <v>773.78</v>
      </c>
    </row>
    <row r="5" spans="1:4">
      <c r="A5" s="50">
        <v>10</v>
      </c>
      <c r="B5" s="51" t="s">
        <v>286</v>
      </c>
      <c r="C5" s="52"/>
      <c r="D5" s="52">
        <v>85.24</v>
      </c>
    </row>
    <row r="6" spans="1:4">
      <c r="A6" s="50">
        <v>11</v>
      </c>
      <c r="B6" s="51" t="s">
        <v>287</v>
      </c>
      <c r="C6" s="52"/>
      <c r="D6" s="52">
        <v>32.11</v>
      </c>
    </row>
    <row r="7" spans="1:4">
      <c r="A7" s="50">
        <v>15</v>
      </c>
      <c r="B7" s="51" t="s">
        <v>380</v>
      </c>
      <c r="C7" s="52"/>
      <c r="D7" s="52">
        <v>2470.8000000000002</v>
      </c>
    </row>
    <row r="8" spans="1:4">
      <c r="A8" s="50">
        <v>16</v>
      </c>
      <c r="B8" s="51" t="s">
        <v>288</v>
      </c>
      <c r="C8" s="52"/>
      <c r="D8" s="52">
        <v>218.11</v>
      </c>
    </row>
    <row r="9" spans="1:4">
      <c r="A9" s="50">
        <v>17</v>
      </c>
      <c r="B9" s="51" t="s">
        <v>289</v>
      </c>
      <c r="C9" s="52"/>
      <c r="D9" s="52">
        <v>208.85</v>
      </c>
    </row>
    <row r="10" spans="1:4">
      <c r="A10" s="50">
        <v>20</v>
      </c>
      <c r="B10" s="51" t="s">
        <v>290</v>
      </c>
      <c r="C10" s="52"/>
      <c r="D10" s="52">
        <v>181.36</v>
      </c>
    </row>
    <row r="11" spans="1:4">
      <c r="A11" s="50">
        <v>21</v>
      </c>
      <c r="B11" s="51" t="s">
        <v>291</v>
      </c>
      <c r="C11" s="52"/>
      <c r="D11" s="52">
        <v>256.89</v>
      </c>
    </row>
    <row r="12" spans="1:4">
      <c r="A12" s="50">
        <v>22</v>
      </c>
      <c r="B12" s="51" t="s">
        <v>366</v>
      </c>
      <c r="C12" s="52"/>
      <c r="D12" s="52">
        <v>482.84</v>
      </c>
    </row>
    <row r="13" spans="1:4">
      <c r="A13" s="50">
        <v>25</v>
      </c>
      <c r="B13" s="51" t="s">
        <v>292</v>
      </c>
      <c r="C13" s="52"/>
      <c r="D13" s="52">
        <v>190.22</v>
      </c>
    </row>
    <row r="14" spans="1:4">
      <c r="A14" s="50">
        <v>26</v>
      </c>
      <c r="B14" s="51" t="s">
        <v>293</v>
      </c>
      <c r="C14" s="52"/>
      <c r="D14" s="52">
        <v>255.59</v>
      </c>
    </row>
    <row r="15" spans="1:4">
      <c r="A15" s="50">
        <v>27</v>
      </c>
      <c r="B15" s="51" t="s">
        <v>381</v>
      </c>
      <c r="C15" s="52"/>
      <c r="D15" s="52">
        <v>142.75</v>
      </c>
    </row>
    <row r="16" spans="1:4">
      <c r="A16" s="50">
        <v>28</v>
      </c>
      <c r="B16" s="51" t="s">
        <v>382</v>
      </c>
      <c r="C16" s="52"/>
      <c r="D16" s="52">
        <v>272.64</v>
      </c>
    </row>
    <row r="17" spans="1:4">
      <c r="A17" s="50">
        <v>30</v>
      </c>
      <c r="B17" s="51" t="s">
        <v>267</v>
      </c>
      <c r="C17" s="52"/>
      <c r="D17" s="52">
        <v>297.55</v>
      </c>
    </row>
    <row r="18" spans="1:4">
      <c r="A18" s="50">
        <v>31</v>
      </c>
      <c r="B18" s="51" t="s">
        <v>294</v>
      </c>
      <c r="C18" s="52"/>
      <c r="D18" s="52">
        <v>195.97</v>
      </c>
    </row>
    <row r="19" spans="1:4">
      <c r="A19" s="50">
        <v>33</v>
      </c>
      <c r="B19" s="51" t="s">
        <v>295</v>
      </c>
      <c r="C19" s="52"/>
      <c r="D19" s="52">
        <v>370.02</v>
      </c>
    </row>
    <row r="20" spans="1:4">
      <c r="A20" s="50">
        <v>34</v>
      </c>
      <c r="B20" s="51" t="s">
        <v>296</v>
      </c>
      <c r="C20" s="52"/>
      <c r="D20" s="52">
        <v>491.73</v>
      </c>
    </row>
    <row r="21" spans="1:4">
      <c r="A21" s="50">
        <v>35</v>
      </c>
      <c r="B21" s="51" t="s">
        <v>383</v>
      </c>
      <c r="C21" s="52"/>
      <c r="D21" s="52">
        <v>160.41999999999999</v>
      </c>
    </row>
    <row r="22" spans="1:4">
      <c r="A22" s="50">
        <v>36</v>
      </c>
      <c r="B22" s="51" t="s">
        <v>367</v>
      </c>
      <c r="C22" s="52"/>
      <c r="D22" s="52">
        <v>332.55</v>
      </c>
    </row>
    <row r="23" spans="1:4">
      <c r="A23" s="50">
        <v>37</v>
      </c>
      <c r="B23" s="51" t="s">
        <v>297</v>
      </c>
      <c r="C23" s="52"/>
      <c r="D23" s="52">
        <v>30.28</v>
      </c>
    </row>
    <row r="24" spans="1:4">
      <c r="A24" s="50">
        <v>57</v>
      </c>
      <c r="B24" s="51" t="s">
        <v>368</v>
      </c>
      <c r="C24" s="52"/>
      <c r="D24" s="52">
        <v>395.02</v>
      </c>
    </row>
    <row r="25" spans="1:4">
      <c r="A25" s="50">
        <v>63</v>
      </c>
      <c r="B25" s="51" t="s">
        <v>299</v>
      </c>
      <c r="C25" s="52"/>
      <c r="D25" s="52">
        <v>266.49</v>
      </c>
    </row>
    <row r="26" spans="1:4">
      <c r="A26" s="50">
        <v>67</v>
      </c>
      <c r="B26" s="51" t="s">
        <v>384</v>
      </c>
      <c r="C26" s="52"/>
      <c r="D26" s="52">
        <v>631.65</v>
      </c>
    </row>
    <row r="27" spans="1:4">
      <c r="A27" s="50">
        <v>79</v>
      </c>
      <c r="B27" s="51" t="s">
        <v>385</v>
      </c>
      <c r="C27" s="52"/>
      <c r="D27" s="52">
        <v>13.76</v>
      </c>
    </row>
    <row r="28" spans="1:4">
      <c r="A28" s="50">
        <v>79</v>
      </c>
      <c r="B28" s="51" t="s">
        <v>386</v>
      </c>
      <c r="C28" s="52"/>
      <c r="D28" s="52">
        <v>107.58</v>
      </c>
    </row>
    <row r="29" spans="1:4">
      <c r="A29" s="50">
        <v>80</v>
      </c>
      <c r="B29" s="51" t="s">
        <v>387</v>
      </c>
      <c r="C29" s="52"/>
      <c r="D29" s="52">
        <v>553.95000000000005</v>
      </c>
    </row>
    <row r="30" spans="1:4">
      <c r="A30" s="50">
        <v>88</v>
      </c>
      <c r="B30" s="51" t="s">
        <v>388</v>
      </c>
      <c r="C30" s="52"/>
      <c r="D30" s="52">
        <v>151.41</v>
      </c>
    </row>
    <row r="31" spans="1:4">
      <c r="A31" s="50">
        <v>95</v>
      </c>
      <c r="B31" s="51" t="s">
        <v>300</v>
      </c>
      <c r="C31" s="52"/>
      <c r="D31" s="52">
        <v>240.27</v>
      </c>
    </row>
    <row r="32" spans="1:4">
      <c r="A32" s="50">
        <v>95</v>
      </c>
      <c r="B32" s="51" t="s">
        <v>369</v>
      </c>
      <c r="C32" s="52"/>
      <c r="D32" s="52">
        <v>58.43</v>
      </c>
    </row>
    <row r="33" spans="1:4">
      <c r="A33" s="50">
        <v>97</v>
      </c>
      <c r="B33" s="51" t="s">
        <v>389</v>
      </c>
      <c r="C33" s="52"/>
      <c r="D33" s="52">
        <v>450</v>
      </c>
    </row>
    <row r="34" spans="1:4">
      <c r="A34" s="50">
        <v>99</v>
      </c>
      <c r="B34" s="51" t="s">
        <v>390</v>
      </c>
      <c r="C34" s="52"/>
      <c r="D34" s="52">
        <v>503.72</v>
      </c>
    </row>
    <row r="35" spans="1:4">
      <c r="A35" s="50">
        <v>103</v>
      </c>
      <c r="B35" s="51" t="s">
        <v>301</v>
      </c>
      <c r="C35" s="52"/>
      <c r="D35" s="52">
        <v>250</v>
      </c>
    </row>
    <row r="36" spans="1:4">
      <c r="A36" s="50">
        <v>106</v>
      </c>
      <c r="B36" s="51" t="s">
        <v>391</v>
      </c>
      <c r="C36" s="52"/>
      <c r="D36" s="52">
        <v>300.05</v>
      </c>
    </row>
    <row r="37" spans="1:4">
      <c r="A37" s="50">
        <v>120</v>
      </c>
      <c r="B37" s="51" t="s">
        <v>392</v>
      </c>
      <c r="C37" s="52"/>
      <c r="D37" s="52">
        <v>250</v>
      </c>
    </row>
    <row r="38" spans="1:4">
      <c r="A38" s="50">
        <v>122</v>
      </c>
      <c r="B38" s="51" t="s">
        <v>393</v>
      </c>
      <c r="C38" s="52"/>
      <c r="D38" s="52">
        <v>329.99</v>
      </c>
    </row>
    <row r="39" spans="1:4">
      <c r="A39" s="50">
        <v>131</v>
      </c>
      <c r="B39" s="51" t="s">
        <v>394</v>
      </c>
      <c r="C39" s="52"/>
      <c r="D39" s="52">
        <v>146.31</v>
      </c>
    </row>
    <row r="40" spans="1:4">
      <c r="A40" s="50">
        <v>133</v>
      </c>
      <c r="B40" s="51" t="s">
        <v>395</v>
      </c>
      <c r="C40" s="52"/>
      <c r="D40" s="52">
        <v>234.76</v>
      </c>
    </row>
    <row r="41" spans="1:4">
      <c r="A41" s="50">
        <v>135</v>
      </c>
      <c r="B41" s="51" t="s">
        <v>396</v>
      </c>
      <c r="C41" s="52"/>
      <c r="D41" s="52">
        <v>331.67</v>
      </c>
    </row>
    <row r="42" spans="1:4">
      <c r="A42" s="50">
        <v>139</v>
      </c>
      <c r="B42" s="51" t="s">
        <v>397</v>
      </c>
      <c r="C42" s="52"/>
      <c r="D42" s="52">
        <v>275.99</v>
      </c>
    </row>
    <row r="43" spans="1:4">
      <c r="A43" s="50">
        <v>148</v>
      </c>
      <c r="B43" s="51" t="s">
        <v>302</v>
      </c>
      <c r="C43" s="52"/>
      <c r="D43" s="52">
        <v>179.57</v>
      </c>
    </row>
    <row r="44" spans="1:4">
      <c r="A44" s="50">
        <v>149</v>
      </c>
      <c r="B44" s="51" t="s">
        <v>303</v>
      </c>
      <c r="C44" s="52"/>
      <c r="D44" s="52">
        <v>168.87</v>
      </c>
    </row>
    <row r="45" spans="1:4">
      <c r="A45" s="50">
        <v>150</v>
      </c>
      <c r="B45" s="51" t="s">
        <v>304</v>
      </c>
      <c r="C45" s="52"/>
      <c r="D45" s="52">
        <v>106.43</v>
      </c>
    </row>
    <row r="46" spans="1:4">
      <c r="A46" s="50">
        <v>152</v>
      </c>
      <c r="B46" s="51" t="s">
        <v>370</v>
      </c>
      <c r="C46" s="52"/>
      <c r="D46" s="52">
        <v>158.71</v>
      </c>
    </row>
    <row r="47" spans="1:4">
      <c r="A47" s="50">
        <v>154</v>
      </c>
      <c r="B47" s="51" t="s">
        <v>398</v>
      </c>
      <c r="C47" s="52"/>
      <c r="D47" s="52">
        <v>200</v>
      </c>
    </row>
    <row r="48" spans="1:4">
      <c r="A48" s="50">
        <v>156</v>
      </c>
      <c r="B48" s="51" t="s">
        <v>305</v>
      </c>
      <c r="C48" s="52"/>
      <c r="D48" s="52">
        <v>165.62</v>
      </c>
    </row>
    <row r="49" spans="1:4">
      <c r="A49" s="50">
        <v>160</v>
      </c>
      <c r="B49" s="51" t="s">
        <v>306</v>
      </c>
      <c r="C49" s="52"/>
      <c r="D49" s="52">
        <v>230.16</v>
      </c>
    </row>
    <row r="50" spans="1:4">
      <c r="A50" s="50">
        <v>162</v>
      </c>
      <c r="B50" s="51" t="s">
        <v>307</v>
      </c>
      <c r="C50" s="52"/>
      <c r="D50" s="52">
        <v>223.96</v>
      </c>
    </row>
    <row r="51" spans="1:4">
      <c r="A51" s="50">
        <v>163</v>
      </c>
      <c r="B51" s="51" t="s">
        <v>308</v>
      </c>
      <c r="C51" s="52"/>
      <c r="D51" s="52">
        <v>406.25</v>
      </c>
    </row>
    <row r="52" spans="1:4">
      <c r="A52" s="50">
        <v>165</v>
      </c>
      <c r="B52" s="51" t="s">
        <v>309</v>
      </c>
      <c r="C52" s="52"/>
      <c r="D52" s="52">
        <v>902.75</v>
      </c>
    </row>
    <row r="53" spans="1:4">
      <c r="A53" s="50">
        <v>170</v>
      </c>
      <c r="B53" s="51" t="s">
        <v>310</v>
      </c>
      <c r="C53" s="52"/>
      <c r="D53" s="52">
        <v>2374.4899999999998</v>
      </c>
    </row>
    <row r="54" spans="1:4">
      <c r="A54" s="50">
        <v>172</v>
      </c>
      <c r="B54" s="51" t="s">
        <v>399</v>
      </c>
      <c r="C54" s="52"/>
      <c r="D54" s="52">
        <v>711.47</v>
      </c>
    </row>
    <row r="55" spans="1:4">
      <c r="A55" s="50">
        <v>173</v>
      </c>
      <c r="B55" s="51" t="s">
        <v>311</v>
      </c>
      <c r="C55" s="52"/>
      <c r="D55" s="52">
        <v>424.43</v>
      </c>
    </row>
    <row r="56" spans="1:4">
      <c r="A56" s="50">
        <v>174</v>
      </c>
      <c r="B56" s="51" t="s">
        <v>312</v>
      </c>
      <c r="C56" s="52"/>
      <c r="D56" s="52">
        <v>200</v>
      </c>
    </row>
    <row r="57" spans="1:4">
      <c r="A57" s="50">
        <v>175</v>
      </c>
      <c r="B57" s="51" t="s">
        <v>313</v>
      </c>
      <c r="C57" s="52"/>
      <c r="D57" s="52">
        <v>208.34</v>
      </c>
    </row>
    <row r="58" spans="1:4">
      <c r="A58" s="50">
        <v>176</v>
      </c>
      <c r="B58" s="51" t="s">
        <v>314</v>
      </c>
      <c r="C58" s="52"/>
      <c r="D58" s="52">
        <v>116.38</v>
      </c>
    </row>
    <row r="59" spans="1:4">
      <c r="A59" s="50">
        <v>177</v>
      </c>
      <c r="B59" s="51" t="s">
        <v>315</v>
      </c>
      <c r="C59" s="52"/>
      <c r="D59" s="52">
        <v>1144</v>
      </c>
    </row>
    <row r="60" spans="1:4">
      <c r="A60" s="50">
        <v>178</v>
      </c>
      <c r="B60" s="51" t="s">
        <v>316</v>
      </c>
      <c r="C60" s="52"/>
      <c r="D60" s="52">
        <v>11040.15</v>
      </c>
    </row>
    <row r="61" spans="1:4">
      <c r="A61" s="50">
        <v>180</v>
      </c>
      <c r="B61" s="51" t="s">
        <v>317</v>
      </c>
      <c r="C61" s="52"/>
      <c r="D61" s="52">
        <v>336.51</v>
      </c>
    </row>
    <row r="62" spans="1:4">
      <c r="A62" s="50">
        <v>183</v>
      </c>
      <c r="B62" s="51" t="s">
        <v>268</v>
      </c>
      <c r="C62" s="52"/>
      <c r="D62" s="52">
        <v>189.37</v>
      </c>
    </row>
    <row r="63" spans="1:4">
      <c r="A63" s="50">
        <v>186</v>
      </c>
      <c r="B63" s="51" t="s">
        <v>318</v>
      </c>
      <c r="C63" s="52"/>
      <c r="D63" s="52">
        <v>1888.57</v>
      </c>
    </row>
    <row r="64" spans="1:4">
      <c r="A64" s="50">
        <v>191</v>
      </c>
      <c r="B64" s="51" t="s">
        <v>269</v>
      </c>
      <c r="C64" s="52"/>
      <c r="D64" s="52">
        <v>203.11</v>
      </c>
    </row>
    <row r="65" spans="1:4">
      <c r="A65" s="50">
        <v>192</v>
      </c>
      <c r="B65" s="51" t="s">
        <v>319</v>
      </c>
      <c r="C65" s="52"/>
      <c r="D65" s="52">
        <v>927</v>
      </c>
    </row>
    <row r="66" spans="1:4">
      <c r="A66" s="50">
        <v>193</v>
      </c>
      <c r="B66" s="51" t="s">
        <v>320</v>
      </c>
      <c r="C66" s="52"/>
      <c r="D66" s="52">
        <v>190.11</v>
      </c>
    </row>
    <row r="67" spans="1:4">
      <c r="A67" s="50">
        <v>194</v>
      </c>
      <c r="B67" s="51" t="s">
        <v>321</v>
      </c>
      <c r="C67" s="52"/>
      <c r="D67" s="52">
        <v>971.97</v>
      </c>
    </row>
    <row r="68" spans="1:4">
      <c r="A68" s="50">
        <v>195</v>
      </c>
      <c r="B68" s="51" t="s">
        <v>270</v>
      </c>
      <c r="C68" s="52"/>
      <c r="D68" s="52">
        <v>236.33</v>
      </c>
    </row>
    <row r="69" spans="1:4">
      <c r="A69" s="50">
        <v>196</v>
      </c>
      <c r="B69" s="51" t="s">
        <v>322</v>
      </c>
      <c r="C69" s="52"/>
      <c r="D69" s="52">
        <v>276.32</v>
      </c>
    </row>
    <row r="70" spans="1:4">
      <c r="A70" s="50">
        <v>199</v>
      </c>
      <c r="B70" s="51" t="s">
        <v>323</v>
      </c>
      <c r="C70" s="52"/>
      <c r="D70" s="52">
        <v>519.95000000000005</v>
      </c>
    </row>
    <row r="71" spans="1:4">
      <c r="A71" s="50">
        <v>202</v>
      </c>
      <c r="B71" s="51" t="s">
        <v>324</v>
      </c>
      <c r="C71" s="52"/>
      <c r="D71" s="52">
        <v>210.1</v>
      </c>
    </row>
    <row r="72" spans="1:4">
      <c r="A72" s="50">
        <v>203</v>
      </c>
      <c r="B72" s="51" t="s">
        <v>400</v>
      </c>
      <c r="C72" s="52"/>
      <c r="D72" s="52">
        <v>118.94</v>
      </c>
    </row>
    <row r="73" spans="1:4">
      <c r="A73" s="50">
        <v>203</v>
      </c>
      <c r="B73" s="51" t="s">
        <v>401</v>
      </c>
      <c r="C73" s="52"/>
      <c r="D73" s="52">
        <v>180.1</v>
      </c>
    </row>
    <row r="74" spans="1:4">
      <c r="A74" s="50">
        <v>205</v>
      </c>
      <c r="B74" s="51" t="s">
        <v>402</v>
      </c>
      <c r="C74" s="52"/>
      <c r="D74" s="52">
        <v>475</v>
      </c>
    </row>
    <row r="75" spans="1:4">
      <c r="A75" s="50">
        <v>206</v>
      </c>
      <c r="B75" s="51" t="s">
        <v>325</v>
      </c>
      <c r="C75" s="52"/>
      <c r="D75" s="52">
        <v>240.59</v>
      </c>
    </row>
    <row r="76" spans="1:4">
      <c r="A76" s="50">
        <v>207</v>
      </c>
      <c r="B76" s="51" t="s">
        <v>326</v>
      </c>
      <c r="C76" s="52"/>
      <c r="D76" s="52">
        <v>350.03</v>
      </c>
    </row>
    <row r="77" spans="1:4">
      <c r="A77" s="50">
        <v>208</v>
      </c>
      <c r="B77" s="51" t="s">
        <v>271</v>
      </c>
      <c r="C77" s="52"/>
      <c r="D77" s="52">
        <v>189.37</v>
      </c>
    </row>
    <row r="78" spans="1:4">
      <c r="A78" s="50">
        <v>209</v>
      </c>
      <c r="B78" s="51" t="s">
        <v>403</v>
      </c>
      <c r="C78" s="52"/>
      <c r="D78" s="52">
        <v>692.92</v>
      </c>
    </row>
    <row r="79" spans="1:4">
      <c r="A79" s="50">
        <v>210</v>
      </c>
      <c r="B79" s="51" t="s">
        <v>327</v>
      </c>
      <c r="C79" s="52"/>
      <c r="D79" s="52">
        <v>345.28</v>
      </c>
    </row>
    <row r="80" spans="1:4">
      <c r="A80" s="50">
        <v>211</v>
      </c>
      <c r="B80" s="51" t="s">
        <v>328</v>
      </c>
      <c r="C80" s="52"/>
      <c r="D80" s="52">
        <v>602.66999999999996</v>
      </c>
    </row>
    <row r="81" spans="1:4">
      <c r="A81" s="50">
        <v>213</v>
      </c>
      <c r="B81" s="51" t="s">
        <v>272</v>
      </c>
      <c r="C81" s="52"/>
      <c r="D81" s="52">
        <v>283.56</v>
      </c>
    </row>
    <row r="82" spans="1:4">
      <c r="A82" s="50">
        <v>214</v>
      </c>
      <c r="B82" s="51" t="s">
        <v>329</v>
      </c>
      <c r="C82" s="52"/>
      <c r="D82" s="52">
        <v>96.38</v>
      </c>
    </row>
    <row r="83" spans="1:4">
      <c r="A83" s="50">
        <v>215</v>
      </c>
      <c r="B83" s="51" t="s">
        <v>330</v>
      </c>
      <c r="C83" s="52"/>
      <c r="D83" s="52">
        <v>75.67</v>
      </c>
    </row>
    <row r="84" spans="1:4">
      <c r="A84" s="50">
        <v>216</v>
      </c>
      <c r="B84" s="51" t="s">
        <v>331</v>
      </c>
      <c r="C84" s="52"/>
      <c r="D84" s="52">
        <v>569.98</v>
      </c>
    </row>
    <row r="85" spans="1:4">
      <c r="A85" s="50">
        <v>217</v>
      </c>
      <c r="B85" s="51" t="s">
        <v>332</v>
      </c>
      <c r="C85" s="52"/>
      <c r="D85" s="52">
        <v>91.33</v>
      </c>
    </row>
    <row r="86" spans="1:4">
      <c r="A86" s="50">
        <v>219</v>
      </c>
      <c r="B86" s="51" t="s">
        <v>333</v>
      </c>
      <c r="C86" s="52"/>
      <c r="D86" s="52">
        <v>88.84</v>
      </c>
    </row>
    <row r="87" spans="1:4">
      <c r="A87" s="50">
        <v>220</v>
      </c>
      <c r="B87" s="51" t="s">
        <v>334</v>
      </c>
      <c r="C87" s="52"/>
      <c r="D87" s="52">
        <v>25.69</v>
      </c>
    </row>
    <row r="88" spans="1:4">
      <c r="A88" s="50">
        <v>221</v>
      </c>
      <c r="B88" s="51" t="s">
        <v>335</v>
      </c>
      <c r="C88" s="52"/>
      <c r="D88" s="52">
        <v>1600</v>
      </c>
    </row>
    <row r="89" spans="1:4">
      <c r="A89" s="50">
        <v>222</v>
      </c>
      <c r="B89" s="51" t="s">
        <v>336</v>
      </c>
      <c r="C89" s="52"/>
      <c r="D89" s="52">
        <v>477.68</v>
      </c>
    </row>
    <row r="90" spans="1:4">
      <c r="A90" s="50">
        <v>223</v>
      </c>
      <c r="B90" s="51" t="s">
        <v>404</v>
      </c>
      <c r="C90" s="52"/>
      <c r="D90" s="52">
        <v>112.25</v>
      </c>
    </row>
    <row r="91" spans="1:4">
      <c r="A91" s="50">
        <v>225</v>
      </c>
      <c r="B91" s="51" t="s">
        <v>337</v>
      </c>
      <c r="C91" s="52"/>
      <c r="D91" s="52">
        <v>70.040000000000006</v>
      </c>
    </row>
    <row r="92" spans="1:4">
      <c r="A92" s="50">
        <v>227</v>
      </c>
      <c r="B92" s="51" t="s">
        <v>405</v>
      </c>
      <c r="C92" s="52"/>
      <c r="D92" s="52">
        <v>463.53</v>
      </c>
    </row>
    <row r="93" spans="1:4">
      <c r="A93" s="50">
        <v>228</v>
      </c>
      <c r="B93" s="51" t="s">
        <v>273</v>
      </c>
      <c r="C93" s="52"/>
      <c r="D93" s="52">
        <v>381.26</v>
      </c>
    </row>
    <row r="94" spans="1:4">
      <c r="A94" s="50">
        <v>229</v>
      </c>
      <c r="B94" s="51" t="s">
        <v>338</v>
      </c>
      <c r="C94" s="52"/>
      <c r="D94" s="52">
        <v>167.62</v>
      </c>
    </row>
    <row r="95" spans="1:4">
      <c r="A95" s="50">
        <v>230</v>
      </c>
      <c r="B95" s="51" t="s">
        <v>339</v>
      </c>
      <c r="C95" s="52"/>
      <c r="D95" s="52">
        <v>450</v>
      </c>
    </row>
    <row r="96" spans="1:4">
      <c r="A96" s="50">
        <v>231</v>
      </c>
      <c r="B96" s="51" t="s">
        <v>340</v>
      </c>
      <c r="C96" s="52"/>
      <c r="D96" s="52">
        <v>266.32</v>
      </c>
    </row>
    <row r="97" spans="1:4">
      <c r="A97" s="50">
        <v>232</v>
      </c>
      <c r="B97" s="51" t="s">
        <v>341</v>
      </c>
      <c r="C97" s="52"/>
      <c r="D97" s="52">
        <v>95.6</v>
      </c>
    </row>
    <row r="98" spans="1:4">
      <c r="A98" s="50">
        <v>233</v>
      </c>
      <c r="B98" s="51" t="s">
        <v>342</v>
      </c>
      <c r="C98" s="52"/>
      <c r="D98" s="52">
        <v>2877.7</v>
      </c>
    </row>
    <row r="99" spans="1:4">
      <c r="A99" s="50">
        <v>234</v>
      </c>
      <c r="B99" s="51" t="s">
        <v>274</v>
      </c>
      <c r="C99" s="52"/>
      <c r="D99" s="52">
        <v>452.17</v>
      </c>
    </row>
    <row r="100" spans="1:4">
      <c r="A100" s="50">
        <v>235</v>
      </c>
      <c r="B100" s="51" t="s">
        <v>343</v>
      </c>
      <c r="C100" s="52"/>
      <c r="D100" s="52">
        <v>117.03</v>
      </c>
    </row>
    <row r="101" spans="1:4">
      <c r="A101" s="50">
        <v>236</v>
      </c>
      <c r="B101" s="51" t="s">
        <v>275</v>
      </c>
      <c r="C101" s="52"/>
      <c r="D101" s="52">
        <v>462</v>
      </c>
    </row>
    <row r="102" spans="1:4">
      <c r="A102" s="50">
        <v>237</v>
      </c>
      <c r="B102" s="51" t="s">
        <v>344</v>
      </c>
      <c r="C102" s="52"/>
      <c r="D102" s="52">
        <v>43.23</v>
      </c>
    </row>
    <row r="103" spans="1:4">
      <c r="A103" s="50">
        <v>238</v>
      </c>
      <c r="B103" s="51" t="s">
        <v>276</v>
      </c>
      <c r="C103" s="52"/>
      <c r="D103" s="52">
        <v>231.94</v>
      </c>
    </row>
    <row r="104" spans="1:4">
      <c r="A104" s="50">
        <v>239</v>
      </c>
      <c r="B104" s="51" t="s">
        <v>345</v>
      </c>
      <c r="C104" s="52"/>
      <c r="D104" s="52">
        <v>5320.3</v>
      </c>
    </row>
    <row r="105" spans="1:4">
      <c r="A105" s="50">
        <v>240</v>
      </c>
      <c r="B105" s="51" t="s">
        <v>346</v>
      </c>
      <c r="C105" s="52"/>
      <c r="D105" s="52">
        <v>2198.9899999999998</v>
      </c>
    </row>
    <row r="106" spans="1:4">
      <c r="A106" s="50">
        <v>241</v>
      </c>
      <c r="B106" s="51" t="s">
        <v>372</v>
      </c>
      <c r="C106" s="52"/>
      <c r="D106" s="52">
        <v>35.880000000000003</v>
      </c>
    </row>
    <row r="107" spans="1:4">
      <c r="A107" s="50">
        <v>242</v>
      </c>
      <c r="B107" s="51" t="s">
        <v>347</v>
      </c>
      <c r="C107" s="52"/>
      <c r="D107" s="52">
        <v>332.77</v>
      </c>
    </row>
    <row r="108" spans="1:4">
      <c r="A108" s="50">
        <v>243</v>
      </c>
      <c r="B108" s="51" t="s">
        <v>348</v>
      </c>
      <c r="C108" s="52"/>
      <c r="D108" s="52">
        <v>334.43</v>
      </c>
    </row>
    <row r="109" spans="1:4">
      <c r="A109" s="50">
        <v>245</v>
      </c>
      <c r="B109" s="51" t="s">
        <v>277</v>
      </c>
      <c r="C109" s="52"/>
      <c r="D109" s="52">
        <v>186.36</v>
      </c>
    </row>
    <row r="110" spans="1:4">
      <c r="A110" s="50">
        <v>246</v>
      </c>
      <c r="B110" s="51" t="s">
        <v>349</v>
      </c>
      <c r="C110" s="52"/>
      <c r="D110" s="52">
        <v>265.08</v>
      </c>
    </row>
    <row r="111" spans="1:4">
      <c r="A111" s="50">
        <v>249</v>
      </c>
      <c r="B111" s="51" t="s">
        <v>350</v>
      </c>
      <c r="C111" s="52"/>
      <c r="D111" s="52">
        <v>260.58999999999997</v>
      </c>
    </row>
    <row r="112" spans="1:4">
      <c r="A112" s="50">
        <v>250</v>
      </c>
      <c r="B112" s="51" t="s">
        <v>278</v>
      </c>
      <c r="C112" s="52"/>
      <c r="D112" s="52">
        <v>411.41</v>
      </c>
    </row>
    <row r="113" spans="1:4">
      <c r="A113" s="50">
        <v>292</v>
      </c>
      <c r="B113" s="51" t="s">
        <v>406</v>
      </c>
      <c r="C113" s="52"/>
      <c r="D113" s="52">
        <v>47.03</v>
      </c>
    </row>
    <row r="114" spans="1:4">
      <c r="A114" s="50">
        <v>336</v>
      </c>
      <c r="B114" s="51" t="s">
        <v>407</v>
      </c>
      <c r="C114" s="52"/>
      <c r="D114" s="52">
        <v>350</v>
      </c>
    </row>
    <row r="115" spans="1:4">
      <c r="A115" s="50">
        <v>337</v>
      </c>
      <c r="B115" s="51" t="s">
        <v>408</v>
      </c>
      <c r="C115" s="52"/>
      <c r="D115" s="52">
        <v>600</v>
      </c>
    </row>
    <row r="116" spans="1:4">
      <c r="A116" s="50">
        <v>340</v>
      </c>
      <c r="B116" s="51" t="s">
        <v>409</v>
      </c>
      <c r="C116" s="52"/>
      <c r="D116" s="52">
        <v>224.26</v>
      </c>
    </row>
    <row r="117" spans="1:4">
      <c r="A117" s="50">
        <v>345</v>
      </c>
      <c r="B117" s="51" t="s">
        <v>410</v>
      </c>
      <c r="C117" s="52"/>
      <c r="D117" s="52">
        <v>650</v>
      </c>
    </row>
    <row r="118" spans="1:4">
      <c r="A118" s="50">
        <v>347</v>
      </c>
      <c r="B118" s="51" t="s">
        <v>411</v>
      </c>
      <c r="C118" s="52"/>
      <c r="D118" s="52">
        <v>95.67</v>
      </c>
    </row>
    <row r="119" spans="1:4">
      <c r="A119" s="50">
        <v>348</v>
      </c>
      <c r="B119" s="51" t="s">
        <v>412</v>
      </c>
      <c r="C119" s="52"/>
      <c r="D119" s="52">
        <v>750</v>
      </c>
    </row>
    <row r="120" spans="1:4">
      <c r="A120" s="50">
        <v>351</v>
      </c>
      <c r="B120" s="51" t="s">
        <v>413</v>
      </c>
      <c r="C120" s="52"/>
      <c r="D120" s="52">
        <v>134.4</v>
      </c>
    </row>
    <row r="121" spans="1:4">
      <c r="A121" s="50">
        <v>352</v>
      </c>
      <c r="B121" s="51" t="s">
        <v>414</v>
      </c>
      <c r="C121" s="52"/>
      <c r="D121" s="52">
        <v>153.15</v>
      </c>
    </row>
    <row r="122" spans="1:4">
      <c r="A122" s="50">
        <v>353</v>
      </c>
      <c r="B122" s="51" t="s">
        <v>415</v>
      </c>
      <c r="C122" s="52"/>
      <c r="D122" s="52">
        <v>174.24</v>
      </c>
    </row>
    <row r="123" spans="1:4">
      <c r="A123" s="50">
        <v>359</v>
      </c>
      <c r="B123" s="51" t="s">
        <v>416</v>
      </c>
      <c r="C123" s="52"/>
      <c r="D123" s="52">
        <v>27.03</v>
      </c>
    </row>
    <row r="124" spans="1:4">
      <c r="A124" s="50">
        <v>360</v>
      </c>
      <c r="B124" s="51" t="s">
        <v>374</v>
      </c>
      <c r="C124" s="52"/>
      <c r="D124" s="52">
        <v>19.39</v>
      </c>
    </row>
    <row r="125" spans="1:4">
      <c r="A125" s="50">
        <v>361</v>
      </c>
      <c r="B125" s="51" t="s">
        <v>417</v>
      </c>
      <c r="C125" s="52"/>
      <c r="D125" s="52">
        <v>112.58</v>
      </c>
    </row>
    <row r="126" spans="1:4">
      <c r="A126" s="50">
        <v>362</v>
      </c>
      <c r="B126" s="51" t="s">
        <v>418</v>
      </c>
      <c r="C126" s="52"/>
      <c r="D126" s="52">
        <v>15.65</v>
      </c>
    </row>
    <row r="127" spans="1:4">
      <c r="A127" s="50">
        <v>370</v>
      </c>
      <c r="B127" s="51" t="s">
        <v>419</v>
      </c>
      <c r="C127" s="52"/>
      <c r="D127" s="52">
        <v>467.98</v>
      </c>
    </row>
    <row r="128" spans="1:4">
      <c r="A128" s="50">
        <v>371</v>
      </c>
      <c r="B128" s="51" t="s">
        <v>351</v>
      </c>
      <c r="C128" s="52"/>
      <c r="D128" s="52">
        <v>718.97</v>
      </c>
    </row>
    <row r="129" spans="1:4">
      <c r="A129" s="50">
        <v>375</v>
      </c>
      <c r="B129" s="51" t="s">
        <v>420</v>
      </c>
      <c r="C129" s="52"/>
      <c r="D129" s="52">
        <v>450</v>
      </c>
    </row>
    <row r="130" spans="1:4">
      <c r="A130" s="50">
        <v>376</v>
      </c>
      <c r="B130" s="51" t="s">
        <v>421</v>
      </c>
      <c r="C130" s="52"/>
      <c r="D130" s="52">
        <v>390</v>
      </c>
    </row>
    <row r="131" spans="1:4">
      <c r="A131" s="50">
        <v>380</v>
      </c>
      <c r="B131" s="51" t="s">
        <v>279</v>
      </c>
      <c r="C131" s="52"/>
      <c r="D131" s="52">
        <v>250</v>
      </c>
    </row>
    <row r="132" spans="1:4">
      <c r="A132" s="50">
        <v>381</v>
      </c>
      <c r="B132" s="51" t="s">
        <v>422</v>
      </c>
      <c r="C132" s="52"/>
      <c r="D132" s="52">
        <v>250</v>
      </c>
    </row>
    <row r="133" spans="1:4">
      <c r="A133" s="50">
        <v>382</v>
      </c>
      <c r="B133" s="51" t="s">
        <v>423</v>
      </c>
      <c r="C133" s="52"/>
      <c r="D133" s="52">
        <v>450</v>
      </c>
    </row>
    <row r="134" spans="1:4">
      <c r="A134" s="50">
        <v>399</v>
      </c>
      <c r="B134" s="51" t="s">
        <v>424</v>
      </c>
      <c r="C134" s="52"/>
      <c r="D134" s="52">
        <v>193.05</v>
      </c>
    </row>
    <row r="135" spans="1:4">
      <c r="A135" s="50">
        <v>400</v>
      </c>
      <c r="B135" s="51" t="s">
        <v>425</v>
      </c>
      <c r="C135" s="52"/>
      <c r="D135" s="52">
        <v>159.38999999999999</v>
      </c>
    </row>
    <row r="136" spans="1:4">
      <c r="A136" s="50">
        <v>401</v>
      </c>
      <c r="B136" s="51" t="s">
        <v>426</v>
      </c>
      <c r="C136" s="52"/>
      <c r="D136" s="52">
        <v>665.09</v>
      </c>
    </row>
    <row r="137" spans="1:4">
      <c r="A137" s="50">
        <v>402</v>
      </c>
      <c r="B137" s="51" t="s">
        <v>427</v>
      </c>
      <c r="C137" s="52"/>
      <c r="D137" s="52">
        <v>50.28</v>
      </c>
    </row>
    <row r="138" spans="1:4">
      <c r="A138" s="50">
        <v>403</v>
      </c>
      <c r="B138" s="51" t="s">
        <v>352</v>
      </c>
      <c r="C138" s="52"/>
      <c r="D138" s="52">
        <v>385.02</v>
      </c>
    </row>
    <row r="139" spans="1:4">
      <c r="A139" s="50">
        <v>404</v>
      </c>
      <c r="B139" s="51" t="s">
        <v>375</v>
      </c>
      <c r="C139" s="52"/>
      <c r="D139" s="52">
        <v>517.88</v>
      </c>
    </row>
    <row r="140" spans="1:4">
      <c r="A140" s="50">
        <v>405</v>
      </c>
      <c r="B140" s="51" t="s">
        <v>428</v>
      </c>
      <c r="C140" s="52"/>
      <c r="D140" s="52">
        <v>807.23</v>
      </c>
    </row>
    <row r="141" spans="1:4">
      <c r="A141" s="50">
        <v>406</v>
      </c>
      <c r="B141" s="51" t="s">
        <v>429</v>
      </c>
      <c r="C141" s="52"/>
      <c r="D141" s="52">
        <v>430</v>
      </c>
    </row>
    <row r="142" spans="1:4">
      <c r="A142" s="50">
        <v>407</v>
      </c>
      <c r="B142" s="51" t="s">
        <v>430</v>
      </c>
      <c r="C142" s="52"/>
      <c r="D142" s="52">
        <v>26.62</v>
      </c>
    </row>
    <row r="143" spans="1:4">
      <c r="A143" s="50">
        <v>408</v>
      </c>
      <c r="B143" s="51" t="s">
        <v>376</v>
      </c>
      <c r="C143" s="52"/>
      <c r="D143" s="52">
        <v>394</v>
      </c>
    </row>
    <row r="144" spans="1:4">
      <c r="A144" s="50">
        <v>409</v>
      </c>
      <c r="B144" s="51" t="s">
        <v>377</v>
      </c>
      <c r="C144" s="52"/>
      <c r="D144" s="52">
        <v>740</v>
      </c>
    </row>
    <row r="145" spans="1:4">
      <c r="A145" s="50">
        <v>410</v>
      </c>
      <c r="B145" s="51" t="s">
        <v>431</v>
      </c>
      <c r="C145" s="52"/>
      <c r="D145" s="52">
        <v>236.42</v>
      </c>
    </row>
    <row r="146" spans="1:4">
      <c r="A146" s="50">
        <v>412</v>
      </c>
      <c r="B146" s="51" t="s">
        <v>353</v>
      </c>
      <c r="C146" s="52"/>
      <c r="D146" s="52">
        <v>380</v>
      </c>
    </row>
    <row r="147" spans="1:4">
      <c r="A147" s="50">
        <v>413</v>
      </c>
      <c r="B147" s="51" t="s">
        <v>432</v>
      </c>
      <c r="C147" s="52"/>
      <c r="D147" s="52">
        <v>34.119999999999997</v>
      </c>
    </row>
    <row r="148" spans="1:4">
      <c r="A148" s="50">
        <v>414</v>
      </c>
      <c r="B148" s="51" t="s">
        <v>433</v>
      </c>
      <c r="C148" s="52"/>
      <c r="D148" s="52">
        <v>4.67</v>
      </c>
    </row>
    <row r="149" spans="1:4">
      <c r="A149" s="50">
        <v>415</v>
      </c>
      <c r="B149" s="51" t="s">
        <v>434</v>
      </c>
      <c r="C149" s="52"/>
      <c r="D149" s="52">
        <v>452.17</v>
      </c>
    </row>
    <row r="150" spans="1:4">
      <c r="A150" s="50">
        <v>416</v>
      </c>
      <c r="B150" s="51" t="s">
        <v>354</v>
      </c>
      <c r="C150" s="52"/>
      <c r="D150" s="52">
        <v>69.73</v>
      </c>
    </row>
    <row r="151" spans="1:4">
      <c r="A151" s="50">
        <v>420</v>
      </c>
      <c r="B151" s="51" t="s">
        <v>435</v>
      </c>
      <c r="C151" s="52"/>
      <c r="D151" s="52">
        <v>49.54</v>
      </c>
    </row>
    <row r="152" spans="1:4">
      <c r="A152" s="50">
        <v>421</v>
      </c>
      <c r="B152" s="51" t="s">
        <v>436</v>
      </c>
      <c r="C152" s="52"/>
      <c r="D152" s="52">
        <v>558.91</v>
      </c>
    </row>
    <row r="153" spans="1:4">
      <c r="A153" s="50">
        <v>422</v>
      </c>
      <c r="B153" s="51" t="s">
        <v>437</v>
      </c>
      <c r="C153" s="52"/>
      <c r="D153" s="52">
        <v>40.369999999999997</v>
      </c>
    </row>
    <row r="154" spans="1:4">
      <c r="A154" s="50">
        <v>438</v>
      </c>
      <c r="B154" s="51" t="s">
        <v>359</v>
      </c>
      <c r="C154" s="52"/>
      <c r="D154" s="52">
        <v>272.56</v>
      </c>
    </row>
    <row r="155" spans="1:4">
      <c r="A155" s="50">
        <v>444</v>
      </c>
      <c r="B155" s="51" t="s">
        <v>360</v>
      </c>
      <c r="C155" s="52"/>
      <c r="D155" s="52">
        <v>273.62</v>
      </c>
    </row>
    <row r="156" spans="1:4">
      <c r="A156" s="50">
        <v>445</v>
      </c>
      <c r="B156" s="51" t="s">
        <v>361</v>
      </c>
      <c r="C156" s="52"/>
      <c r="D156" s="52">
        <v>482.46</v>
      </c>
    </row>
    <row r="157" spans="1:4">
      <c r="A157" s="50">
        <v>446</v>
      </c>
      <c r="B157" s="51" t="s">
        <v>362</v>
      </c>
      <c r="C157" s="52"/>
      <c r="D157" s="52">
        <v>2472.37</v>
      </c>
    </row>
    <row r="158" spans="1:4">
      <c r="A158" s="50">
        <v>450</v>
      </c>
      <c r="B158" s="51" t="s">
        <v>438</v>
      </c>
      <c r="C158" s="52"/>
      <c r="D158" s="52">
        <v>159</v>
      </c>
    </row>
    <row r="159" spans="1:4">
      <c r="A159" s="50">
        <v>452</v>
      </c>
      <c r="B159" s="51" t="s">
        <v>280</v>
      </c>
      <c r="C159" s="52"/>
      <c r="D159" s="52">
        <v>202.99</v>
      </c>
    </row>
    <row r="160" spans="1:4">
      <c r="A160" s="50">
        <v>467</v>
      </c>
      <c r="B160" s="51" t="s">
        <v>363</v>
      </c>
      <c r="C160" s="52"/>
      <c r="D160" s="52">
        <v>273.81</v>
      </c>
    </row>
    <row r="161" spans="1:4">
      <c r="A161" s="50">
        <v>470</v>
      </c>
      <c r="B161" s="51" t="s">
        <v>281</v>
      </c>
      <c r="C161" s="52"/>
      <c r="D161" s="52">
        <v>411.41</v>
      </c>
    </row>
    <row r="162" spans="1:4">
      <c r="A162" s="50">
        <v>471</v>
      </c>
      <c r="B162" s="51" t="s">
        <v>378</v>
      </c>
      <c r="C162" s="52"/>
      <c r="D162" s="52">
        <v>267.5</v>
      </c>
    </row>
    <row r="163" spans="1:4">
      <c r="A163" s="50">
        <v>478</v>
      </c>
      <c r="B163" s="51" t="s">
        <v>439</v>
      </c>
      <c r="C163" s="52"/>
      <c r="D163" s="52">
        <v>71.06</v>
      </c>
    </row>
    <row r="164" spans="1:4">
      <c r="A164" s="50">
        <v>488</v>
      </c>
      <c r="B164" s="51" t="s">
        <v>440</v>
      </c>
      <c r="C164" s="52"/>
      <c r="D164" s="52">
        <v>309.39999999999998</v>
      </c>
    </row>
    <row r="165" spans="1:4">
      <c r="A165" s="50">
        <v>111</v>
      </c>
      <c r="B165" s="51" t="s">
        <v>441</v>
      </c>
      <c r="C165" s="52"/>
      <c r="D165" s="52">
        <v>315.48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33F1-352C-BF4F-86CE-90FCBF03D214}">
  <dimension ref="A1:D17"/>
  <sheetViews>
    <sheetView workbookViewId="0">
      <selection activeCell="D1" sqref="D1"/>
    </sheetView>
  </sheetViews>
  <sheetFormatPr baseColWidth="10" defaultRowHeight="16"/>
  <sheetData>
    <row r="1" spans="1:4">
      <c r="A1" s="45" t="s">
        <v>0</v>
      </c>
      <c r="B1" s="45" t="s">
        <v>263</v>
      </c>
      <c r="C1" s="45" t="s">
        <v>264</v>
      </c>
      <c r="D1" s="45" t="s">
        <v>265</v>
      </c>
    </row>
    <row r="2" spans="1:4">
      <c r="A2" s="46">
        <v>0</v>
      </c>
      <c r="B2" s="47" t="s">
        <v>266</v>
      </c>
      <c r="C2" s="48"/>
      <c r="D2" s="48">
        <v>0</v>
      </c>
    </row>
    <row r="3" spans="1:4">
      <c r="A3" s="46">
        <v>30</v>
      </c>
      <c r="B3" s="47" t="s">
        <v>267</v>
      </c>
      <c r="C3" s="48"/>
      <c r="D3" s="48">
        <v>329.66</v>
      </c>
    </row>
    <row r="4" spans="1:4">
      <c r="A4" s="46">
        <v>183</v>
      </c>
      <c r="B4" s="47" t="s">
        <v>268</v>
      </c>
      <c r="C4" s="48"/>
      <c r="D4" s="48">
        <v>300</v>
      </c>
    </row>
    <row r="5" spans="1:4">
      <c r="A5" s="46">
        <v>191</v>
      </c>
      <c r="B5" s="47" t="s">
        <v>269</v>
      </c>
      <c r="C5" s="48"/>
      <c r="D5" s="48">
        <v>185</v>
      </c>
    </row>
    <row r="6" spans="1:4">
      <c r="A6" s="46">
        <v>195</v>
      </c>
      <c r="B6" s="47" t="s">
        <v>270</v>
      </c>
      <c r="C6" s="48"/>
      <c r="D6" s="48">
        <v>205.35</v>
      </c>
    </row>
    <row r="7" spans="1:4">
      <c r="A7" s="46">
        <v>208</v>
      </c>
      <c r="B7" s="47" t="s">
        <v>271</v>
      </c>
      <c r="C7" s="48"/>
      <c r="D7" s="48">
        <v>186.34</v>
      </c>
    </row>
    <row r="8" spans="1:4">
      <c r="A8" s="46">
        <v>213</v>
      </c>
      <c r="B8" s="47" t="s">
        <v>272</v>
      </c>
      <c r="C8" s="48"/>
      <c r="D8" s="48">
        <v>150</v>
      </c>
    </row>
    <row r="9" spans="1:4">
      <c r="A9" s="46">
        <v>228</v>
      </c>
      <c r="B9" s="47" t="s">
        <v>273</v>
      </c>
      <c r="C9" s="48"/>
      <c r="D9" s="48">
        <v>110</v>
      </c>
    </row>
    <row r="10" spans="1:4">
      <c r="A10" s="46">
        <v>234</v>
      </c>
      <c r="B10" s="47" t="s">
        <v>274</v>
      </c>
      <c r="C10" s="48"/>
      <c r="D10" s="48">
        <v>50</v>
      </c>
    </row>
    <row r="11" spans="1:4">
      <c r="A11" s="46">
        <v>236</v>
      </c>
      <c r="B11" s="47" t="s">
        <v>275</v>
      </c>
      <c r="C11" s="48"/>
      <c r="D11" s="48">
        <v>95.64</v>
      </c>
    </row>
    <row r="12" spans="1:4">
      <c r="A12" s="46">
        <v>238</v>
      </c>
      <c r="B12" s="47" t="s">
        <v>276</v>
      </c>
      <c r="C12" s="48"/>
      <c r="D12" s="48">
        <v>726.26</v>
      </c>
    </row>
    <row r="13" spans="1:4">
      <c r="A13" s="46">
        <v>245</v>
      </c>
      <c r="B13" s="47" t="s">
        <v>277</v>
      </c>
      <c r="C13" s="48"/>
      <c r="D13" s="48">
        <v>185.9</v>
      </c>
    </row>
    <row r="14" spans="1:4">
      <c r="A14" s="46">
        <v>250</v>
      </c>
      <c r="B14" s="47" t="s">
        <v>278</v>
      </c>
      <c r="C14" s="48"/>
      <c r="D14" s="48">
        <v>157</v>
      </c>
    </row>
    <row r="15" spans="1:4">
      <c r="A15" s="46">
        <v>380</v>
      </c>
      <c r="B15" s="47" t="s">
        <v>279</v>
      </c>
      <c r="C15" s="48"/>
      <c r="D15" s="48">
        <v>110</v>
      </c>
    </row>
    <row r="16" spans="1:4">
      <c r="A16" s="46">
        <v>452</v>
      </c>
      <c r="B16" s="47" t="s">
        <v>280</v>
      </c>
      <c r="C16" s="48"/>
      <c r="D16" s="48">
        <v>115</v>
      </c>
    </row>
    <row r="17" spans="1:4">
      <c r="A17" s="46">
        <v>470</v>
      </c>
      <c r="B17" s="47" t="s">
        <v>281</v>
      </c>
      <c r="C17" s="48"/>
      <c r="D17" s="48">
        <v>1077.81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C58D-F42E-CF4C-86FB-2D81589A8010}">
  <dimension ref="A1:D112"/>
  <sheetViews>
    <sheetView topLeftCell="A102" workbookViewId="0">
      <selection activeCell="A112" sqref="A112"/>
    </sheetView>
  </sheetViews>
  <sheetFormatPr baseColWidth="10" defaultRowHeight="16"/>
  <cols>
    <col min="4" max="4" width="12.33203125" bestFit="1" customWidth="1"/>
  </cols>
  <sheetData>
    <row r="1" spans="1:4">
      <c r="A1" s="49" t="s">
        <v>0</v>
      </c>
      <c r="B1" s="49" t="s">
        <v>263</v>
      </c>
      <c r="C1" s="49" t="s">
        <v>264</v>
      </c>
      <c r="D1" s="49" t="s">
        <v>265</v>
      </c>
    </row>
    <row r="2" spans="1:4">
      <c r="A2" s="50">
        <v>0</v>
      </c>
      <c r="B2" s="51" t="s">
        <v>266</v>
      </c>
      <c r="C2" s="52"/>
      <c r="D2" s="52">
        <v>5187.6499999999996</v>
      </c>
    </row>
    <row r="3" spans="1:4">
      <c r="A3" s="50">
        <v>1</v>
      </c>
      <c r="B3" s="51" t="s">
        <v>283</v>
      </c>
      <c r="C3" s="52"/>
      <c r="D3" s="52">
        <v>22.82</v>
      </c>
    </row>
    <row r="4" spans="1:4">
      <c r="A4" s="50">
        <v>2</v>
      </c>
      <c r="B4" s="51" t="s">
        <v>284</v>
      </c>
      <c r="C4" s="52"/>
      <c r="D4" s="52">
        <v>25.1</v>
      </c>
    </row>
    <row r="5" spans="1:4">
      <c r="A5" s="50">
        <v>4</v>
      </c>
      <c r="B5" s="51" t="s">
        <v>285</v>
      </c>
      <c r="C5" s="52"/>
      <c r="D5" s="52">
        <v>25.2</v>
      </c>
    </row>
    <row r="6" spans="1:4">
      <c r="A6" s="50">
        <v>9</v>
      </c>
      <c r="B6" s="51" t="s">
        <v>365</v>
      </c>
      <c r="C6" s="52"/>
      <c r="D6" s="52">
        <v>50.37</v>
      </c>
    </row>
    <row r="7" spans="1:4">
      <c r="A7" s="50">
        <v>10</v>
      </c>
      <c r="B7" s="51" t="s">
        <v>286</v>
      </c>
      <c r="C7" s="52"/>
      <c r="D7" s="52">
        <v>25.1</v>
      </c>
    </row>
    <row r="8" spans="1:4">
      <c r="A8" s="50">
        <v>11</v>
      </c>
      <c r="B8" s="51" t="s">
        <v>287</v>
      </c>
      <c r="C8" s="52"/>
      <c r="D8" s="52">
        <v>25.1</v>
      </c>
    </row>
    <row r="9" spans="1:4">
      <c r="A9" s="50">
        <v>16</v>
      </c>
      <c r="B9" s="51" t="s">
        <v>288</v>
      </c>
      <c r="C9" s="52"/>
      <c r="D9" s="52">
        <v>67.36</v>
      </c>
    </row>
    <row r="10" spans="1:4">
      <c r="A10" s="50">
        <v>17</v>
      </c>
      <c r="B10" s="51" t="s">
        <v>289</v>
      </c>
      <c r="C10" s="52"/>
      <c r="D10" s="52">
        <v>33.06</v>
      </c>
    </row>
    <row r="11" spans="1:4">
      <c r="A11" s="50">
        <v>20</v>
      </c>
      <c r="B11" s="51" t="s">
        <v>290</v>
      </c>
      <c r="C11" s="52"/>
      <c r="D11" s="52">
        <v>25.1</v>
      </c>
    </row>
    <row r="12" spans="1:4">
      <c r="A12" s="50">
        <v>21</v>
      </c>
      <c r="B12" s="51" t="s">
        <v>291</v>
      </c>
      <c r="C12" s="52"/>
      <c r="D12" s="52">
        <v>25.1</v>
      </c>
    </row>
    <row r="13" spans="1:4">
      <c r="A13" s="50">
        <v>22</v>
      </c>
      <c r="B13" s="51" t="s">
        <v>366</v>
      </c>
      <c r="C13" s="52"/>
      <c r="D13" s="52">
        <v>25.1</v>
      </c>
    </row>
    <row r="14" spans="1:4">
      <c r="A14" s="50">
        <v>25</v>
      </c>
      <c r="B14" s="51" t="s">
        <v>292</v>
      </c>
      <c r="C14" s="52"/>
      <c r="D14" s="52">
        <v>117.18</v>
      </c>
    </row>
    <row r="15" spans="1:4">
      <c r="A15" s="50">
        <v>26</v>
      </c>
      <c r="B15" s="51" t="s">
        <v>293</v>
      </c>
      <c r="C15" s="52"/>
      <c r="D15" s="52">
        <v>25.1</v>
      </c>
    </row>
    <row r="16" spans="1:4">
      <c r="A16" s="50">
        <v>30</v>
      </c>
      <c r="B16" s="51" t="s">
        <v>267</v>
      </c>
      <c r="C16" s="52"/>
      <c r="D16" s="52">
        <v>25.1</v>
      </c>
    </row>
    <row r="17" spans="1:4">
      <c r="A17" s="50">
        <v>31</v>
      </c>
      <c r="B17" s="51" t="s">
        <v>294</v>
      </c>
      <c r="C17" s="52"/>
      <c r="D17" s="52">
        <v>43.49</v>
      </c>
    </row>
    <row r="18" spans="1:4">
      <c r="A18" s="50">
        <v>33</v>
      </c>
      <c r="B18" s="51" t="s">
        <v>295</v>
      </c>
      <c r="C18" s="52"/>
      <c r="D18" s="52">
        <v>22.82</v>
      </c>
    </row>
    <row r="19" spans="1:4">
      <c r="A19" s="50">
        <v>34</v>
      </c>
      <c r="B19" s="51" t="s">
        <v>296</v>
      </c>
      <c r="C19" s="52"/>
      <c r="D19" s="52">
        <v>22.82</v>
      </c>
    </row>
    <row r="20" spans="1:4">
      <c r="A20" s="50">
        <v>36</v>
      </c>
      <c r="B20" s="51" t="s">
        <v>367</v>
      </c>
      <c r="C20" s="52"/>
      <c r="D20" s="52">
        <v>25.1</v>
      </c>
    </row>
    <row r="21" spans="1:4">
      <c r="A21" s="50">
        <v>37</v>
      </c>
      <c r="B21" s="51" t="s">
        <v>297</v>
      </c>
      <c r="C21" s="52"/>
      <c r="D21" s="52">
        <v>43.49</v>
      </c>
    </row>
    <row r="22" spans="1:4">
      <c r="A22" s="50">
        <v>41</v>
      </c>
      <c r="B22" s="51" t="s">
        <v>298</v>
      </c>
      <c r="C22" s="52"/>
      <c r="D22" s="52">
        <v>22.82</v>
      </c>
    </row>
    <row r="23" spans="1:4">
      <c r="A23" s="50">
        <v>57</v>
      </c>
      <c r="B23" s="51" t="s">
        <v>368</v>
      </c>
      <c r="C23" s="52"/>
      <c r="D23" s="52">
        <v>43.39</v>
      </c>
    </row>
    <row r="24" spans="1:4">
      <c r="A24" s="50">
        <v>63</v>
      </c>
      <c r="B24" s="51" t="s">
        <v>299</v>
      </c>
      <c r="C24" s="52"/>
      <c r="D24" s="52">
        <v>25.1</v>
      </c>
    </row>
    <row r="25" spans="1:4">
      <c r="A25" s="50">
        <v>95</v>
      </c>
      <c r="B25" s="51" t="s">
        <v>300</v>
      </c>
      <c r="C25" s="52"/>
      <c r="D25" s="52">
        <v>25.1</v>
      </c>
    </row>
    <row r="26" spans="1:4">
      <c r="A26" s="50">
        <v>95</v>
      </c>
      <c r="B26" s="51" t="s">
        <v>369</v>
      </c>
      <c r="C26" s="52"/>
      <c r="D26" s="52">
        <v>25.1</v>
      </c>
    </row>
    <row r="27" spans="1:4">
      <c r="A27" s="50">
        <v>103</v>
      </c>
      <c r="B27" s="51" t="s">
        <v>301</v>
      </c>
      <c r="C27" s="52"/>
      <c r="D27" s="52">
        <v>24.3</v>
      </c>
    </row>
    <row r="28" spans="1:4">
      <c r="A28" s="50">
        <v>148</v>
      </c>
      <c r="B28" s="51" t="s">
        <v>302</v>
      </c>
      <c r="C28" s="52"/>
      <c r="D28" s="52">
        <v>67.349999999999994</v>
      </c>
    </row>
    <row r="29" spans="1:4">
      <c r="A29" s="50">
        <v>149</v>
      </c>
      <c r="B29" s="51" t="s">
        <v>303</v>
      </c>
      <c r="C29" s="52"/>
      <c r="D29" s="52">
        <v>69.569999999999993</v>
      </c>
    </row>
    <row r="30" spans="1:4">
      <c r="A30" s="50">
        <v>150</v>
      </c>
      <c r="B30" s="51" t="s">
        <v>304</v>
      </c>
      <c r="C30" s="52"/>
      <c r="D30" s="52">
        <v>69.56</v>
      </c>
    </row>
    <row r="31" spans="1:4">
      <c r="A31" s="50">
        <v>152</v>
      </c>
      <c r="B31" s="51" t="s">
        <v>370</v>
      </c>
      <c r="C31" s="52"/>
      <c r="D31" s="52">
        <v>25.1</v>
      </c>
    </row>
    <row r="32" spans="1:4">
      <c r="A32" s="50">
        <v>156</v>
      </c>
      <c r="B32" s="51" t="s">
        <v>305</v>
      </c>
      <c r="C32" s="52"/>
      <c r="D32" s="52">
        <v>69.56</v>
      </c>
    </row>
    <row r="33" spans="1:4">
      <c r="A33" s="50">
        <v>160</v>
      </c>
      <c r="B33" s="51" t="s">
        <v>306</v>
      </c>
      <c r="C33" s="52"/>
      <c r="D33" s="52">
        <v>25.1</v>
      </c>
    </row>
    <row r="34" spans="1:4">
      <c r="A34" s="50">
        <v>162</v>
      </c>
      <c r="B34" s="51" t="s">
        <v>307</v>
      </c>
      <c r="C34" s="52"/>
      <c r="D34" s="52">
        <v>25.1</v>
      </c>
    </row>
    <row r="35" spans="1:4">
      <c r="A35" s="50">
        <v>163</v>
      </c>
      <c r="B35" s="51" t="s">
        <v>308</v>
      </c>
      <c r="C35" s="52"/>
      <c r="D35" s="52">
        <v>43.9</v>
      </c>
    </row>
    <row r="36" spans="1:4">
      <c r="A36" s="50">
        <v>165</v>
      </c>
      <c r="B36" s="51" t="s">
        <v>309</v>
      </c>
      <c r="C36" s="52"/>
      <c r="D36" s="52">
        <v>50.37</v>
      </c>
    </row>
    <row r="37" spans="1:4">
      <c r="A37" s="50">
        <v>170</v>
      </c>
      <c r="B37" s="51" t="s">
        <v>310</v>
      </c>
      <c r="C37" s="52"/>
      <c r="D37" s="52">
        <v>25.1</v>
      </c>
    </row>
    <row r="38" spans="1:4">
      <c r="A38" s="50">
        <v>173</v>
      </c>
      <c r="B38" s="51" t="s">
        <v>311</v>
      </c>
      <c r="C38" s="52"/>
      <c r="D38" s="52">
        <v>50.37</v>
      </c>
    </row>
    <row r="39" spans="1:4">
      <c r="A39" s="50">
        <v>174</v>
      </c>
      <c r="B39" s="51" t="s">
        <v>312</v>
      </c>
      <c r="C39" s="52"/>
      <c r="D39" s="52">
        <v>50.37</v>
      </c>
    </row>
    <row r="40" spans="1:4">
      <c r="A40" s="50">
        <v>175</v>
      </c>
      <c r="B40" s="51" t="s">
        <v>313</v>
      </c>
      <c r="C40" s="52"/>
      <c r="D40" s="52">
        <v>69.56</v>
      </c>
    </row>
    <row r="41" spans="1:4">
      <c r="A41" s="50">
        <v>176</v>
      </c>
      <c r="B41" s="51" t="s">
        <v>314</v>
      </c>
      <c r="C41" s="52"/>
      <c r="D41" s="52">
        <v>67.349999999999994</v>
      </c>
    </row>
    <row r="42" spans="1:4">
      <c r="A42" s="50">
        <v>177</v>
      </c>
      <c r="B42" s="51" t="s">
        <v>315</v>
      </c>
      <c r="C42" s="52"/>
      <c r="D42" s="52">
        <v>53.72</v>
      </c>
    </row>
    <row r="43" spans="1:4">
      <c r="A43" s="50">
        <v>178</v>
      </c>
      <c r="B43" s="51" t="s">
        <v>316</v>
      </c>
      <c r="C43" s="52"/>
      <c r="D43" s="52">
        <v>53.72</v>
      </c>
    </row>
    <row r="44" spans="1:4">
      <c r="A44" s="50">
        <v>180</v>
      </c>
      <c r="B44" s="51" t="s">
        <v>317</v>
      </c>
      <c r="C44" s="52"/>
      <c r="D44" s="52">
        <v>24.3</v>
      </c>
    </row>
    <row r="45" spans="1:4">
      <c r="A45" s="50">
        <v>183</v>
      </c>
      <c r="B45" s="51" t="s">
        <v>268</v>
      </c>
      <c r="C45" s="52"/>
      <c r="D45" s="52">
        <v>25.1</v>
      </c>
    </row>
    <row r="46" spans="1:4">
      <c r="A46" s="50">
        <v>186</v>
      </c>
      <c r="B46" s="51" t="s">
        <v>318</v>
      </c>
      <c r="C46" s="52"/>
      <c r="D46" s="52">
        <v>27.44</v>
      </c>
    </row>
    <row r="47" spans="1:4">
      <c r="A47" s="50">
        <v>191</v>
      </c>
      <c r="B47" s="51" t="s">
        <v>269</v>
      </c>
      <c r="C47" s="52"/>
      <c r="D47" s="52">
        <v>25.1</v>
      </c>
    </row>
    <row r="48" spans="1:4">
      <c r="A48" s="50">
        <v>192</v>
      </c>
      <c r="B48" s="51" t="s">
        <v>319</v>
      </c>
      <c r="C48" s="52"/>
      <c r="D48" s="52">
        <v>53.72</v>
      </c>
    </row>
    <row r="49" spans="1:4">
      <c r="A49" s="50">
        <v>193</v>
      </c>
      <c r="B49" s="51" t="s">
        <v>320</v>
      </c>
      <c r="C49" s="52"/>
      <c r="D49" s="52">
        <v>25.1</v>
      </c>
    </row>
    <row r="50" spans="1:4">
      <c r="A50" s="50">
        <v>194</v>
      </c>
      <c r="B50" s="51" t="s">
        <v>321</v>
      </c>
      <c r="C50" s="52"/>
      <c r="D50" s="52">
        <v>43.11</v>
      </c>
    </row>
    <row r="51" spans="1:4">
      <c r="A51" s="50">
        <v>195</v>
      </c>
      <c r="B51" s="51" t="s">
        <v>270</v>
      </c>
      <c r="C51" s="52"/>
      <c r="D51" s="52">
        <v>25.1</v>
      </c>
    </row>
    <row r="52" spans="1:4">
      <c r="A52" s="50">
        <v>196</v>
      </c>
      <c r="B52" s="51" t="s">
        <v>322</v>
      </c>
      <c r="C52" s="52"/>
      <c r="D52" s="52">
        <v>25.1</v>
      </c>
    </row>
    <row r="53" spans="1:4">
      <c r="A53" s="50">
        <v>199</v>
      </c>
      <c r="B53" s="51" t="s">
        <v>323</v>
      </c>
      <c r="C53" s="52"/>
      <c r="D53" s="52">
        <v>25.1</v>
      </c>
    </row>
    <row r="54" spans="1:4">
      <c r="A54" s="50">
        <v>201</v>
      </c>
      <c r="B54" s="51" t="s">
        <v>371</v>
      </c>
      <c r="C54" s="52"/>
      <c r="D54" s="52">
        <v>25.1</v>
      </c>
    </row>
    <row r="55" spans="1:4">
      <c r="A55" s="50">
        <v>202</v>
      </c>
      <c r="B55" s="51" t="s">
        <v>324</v>
      </c>
      <c r="C55" s="52"/>
      <c r="D55" s="52">
        <v>25.1</v>
      </c>
    </row>
    <row r="56" spans="1:4">
      <c r="A56" s="50">
        <v>206</v>
      </c>
      <c r="B56" s="51" t="s">
        <v>325</v>
      </c>
      <c r="C56" s="52"/>
      <c r="D56" s="52">
        <v>25.1</v>
      </c>
    </row>
    <row r="57" spans="1:4">
      <c r="A57" s="50">
        <v>207</v>
      </c>
      <c r="B57" s="51" t="s">
        <v>326</v>
      </c>
      <c r="C57" s="52"/>
      <c r="D57" s="52">
        <v>30</v>
      </c>
    </row>
    <row r="58" spans="1:4">
      <c r="A58" s="50">
        <v>208</v>
      </c>
      <c r="B58" s="51" t="s">
        <v>271</v>
      </c>
      <c r="C58" s="52"/>
      <c r="D58" s="52">
        <v>25.1</v>
      </c>
    </row>
    <row r="59" spans="1:4">
      <c r="A59" s="50">
        <v>210</v>
      </c>
      <c r="B59" s="51" t="s">
        <v>327</v>
      </c>
      <c r="C59" s="52"/>
      <c r="D59" s="52">
        <v>25.2</v>
      </c>
    </row>
    <row r="60" spans="1:4">
      <c r="A60" s="50">
        <v>211</v>
      </c>
      <c r="B60" s="51" t="s">
        <v>328</v>
      </c>
      <c r="C60" s="52"/>
      <c r="D60" s="52">
        <v>53.72</v>
      </c>
    </row>
    <row r="61" spans="1:4">
      <c r="A61" s="50">
        <v>213</v>
      </c>
      <c r="B61" s="51" t="s">
        <v>272</v>
      </c>
      <c r="C61" s="52"/>
      <c r="D61" s="52">
        <v>25.1</v>
      </c>
    </row>
    <row r="62" spans="1:4">
      <c r="A62" s="50">
        <v>214</v>
      </c>
      <c r="B62" s="51" t="s">
        <v>329</v>
      </c>
      <c r="C62" s="52"/>
      <c r="D62" s="52">
        <v>43.9</v>
      </c>
    </row>
    <row r="63" spans="1:4">
      <c r="A63" s="50">
        <v>215</v>
      </c>
      <c r="B63" s="51" t="s">
        <v>330</v>
      </c>
      <c r="C63" s="52"/>
      <c r="D63" s="52">
        <v>43.9</v>
      </c>
    </row>
    <row r="64" spans="1:4">
      <c r="A64" s="50">
        <v>216</v>
      </c>
      <c r="B64" s="51" t="s">
        <v>331</v>
      </c>
      <c r="C64" s="52"/>
      <c r="D64" s="52">
        <v>35</v>
      </c>
    </row>
    <row r="65" spans="1:4">
      <c r="A65" s="50">
        <v>217</v>
      </c>
      <c r="B65" s="51" t="s">
        <v>332</v>
      </c>
      <c r="C65" s="52"/>
      <c r="D65" s="52">
        <v>25.1</v>
      </c>
    </row>
    <row r="66" spans="1:4">
      <c r="A66" s="50">
        <v>219</v>
      </c>
      <c r="B66" s="51" t="s">
        <v>333</v>
      </c>
      <c r="C66" s="52"/>
      <c r="D66" s="52">
        <v>25.1</v>
      </c>
    </row>
    <row r="67" spans="1:4">
      <c r="A67" s="50">
        <v>220</v>
      </c>
      <c r="B67" s="51" t="s">
        <v>334</v>
      </c>
      <c r="C67" s="52"/>
      <c r="D67" s="52">
        <v>0</v>
      </c>
    </row>
    <row r="68" spans="1:4">
      <c r="A68" s="50">
        <v>221</v>
      </c>
      <c r="B68" s="51" t="s">
        <v>335</v>
      </c>
      <c r="C68" s="52"/>
      <c r="D68" s="52">
        <v>72.569999999999993</v>
      </c>
    </row>
    <row r="69" spans="1:4">
      <c r="A69" s="50">
        <v>222</v>
      </c>
      <c r="B69" s="51" t="s">
        <v>336</v>
      </c>
      <c r="C69" s="52"/>
      <c r="D69" s="52">
        <v>43.39</v>
      </c>
    </row>
    <row r="70" spans="1:4">
      <c r="A70" s="50">
        <v>225</v>
      </c>
      <c r="B70" s="51" t="s">
        <v>337</v>
      </c>
      <c r="C70" s="52"/>
      <c r="D70" s="52">
        <v>25.1</v>
      </c>
    </row>
    <row r="71" spans="1:4">
      <c r="A71" s="50">
        <v>228</v>
      </c>
      <c r="B71" s="51" t="s">
        <v>273</v>
      </c>
      <c r="C71" s="52"/>
      <c r="D71" s="52">
        <v>25.1</v>
      </c>
    </row>
    <row r="72" spans="1:4">
      <c r="A72" s="50">
        <v>229</v>
      </c>
      <c r="B72" s="51" t="s">
        <v>338</v>
      </c>
      <c r="C72" s="52"/>
      <c r="D72" s="52">
        <v>25.1</v>
      </c>
    </row>
    <row r="73" spans="1:4">
      <c r="A73" s="50">
        <v>230</v>
      </c>
      <c r="B73" s="51" t="s">
        <v>339</v>
      </c>
      <c r="C73" s="52"/>
      <c r="D73" s="52">
        <v>25.1</v>
      </c>
    </row>
    <row r="74" spans="1:4">
      <c r="A74" s="50">
        <v>231</v>
      </c>
      <c r="B74" s="51" t="s">
        <v>340</v>
      </c>
      <c r="C74" s="52"/>
      <c r="D74" s="52">
        <v>25.1</v>
      </c>
    </row>
    <row r="75" spans="1:4">
      <c r="A75" s="50">
        <v>232</v>
      </c>
      <c r="B75" s="51" t="s">
        <v>341</v>
      </c>
      <c r="C75" s="52"/>
      <c r="D75" s="52">
        <v>25.1</v>
      </c>
    </row>
    <row r="76" spans="1:4">
      <c r="A76" s="50">
        <v>233</v>
      </c>
      <c r="B76" s="51" t="s">
        <v>342</v>
      </c>
      <c r="C76" s="52"/>
      <c r="D76" s="52">
        <v>43.39</v>
      </c>
    </row>
    <row r="77" spans="1:4">
      <c r="A77" s="50">
        <v>234</v>
      </c>
      <c r="B77" s="51" t="s">
        <v>274</v>
      </c>
      <c r="C77" s="52"/>
      <c r="D77" s="52">
        <v>69.569999999999993</v>
      </c>
    </row>
    <row r="78" spans="1:4">
      <c r="A78" s="50">
        <v>235</v>
      </c>
      <c r="B78" s="51" t="s">
        <v>343</v>
      </c>
      <c r="C78" s="52"/>
      <c r="D78" s="52">
        <v>69.56</v>
      </c>
    </row>
    <row r="79" spans="1:4">
      <c r="A79" s="50">
        <v>236</v>
      </c>
      <c r="B79" s="51" t="s">
        <v>275</v>
      </c>
      <c r="C79" s="52"/>
      <c r="D79" s="52">
        <v>69.569999999999993</v>
      </c>
    </row>
    <row r="80" spans="1:4">
      <c r="A80" s="50">
        <v>237</v>
      </c>
      <c r="B80" s="51" t="s">
        <v>344</v>
      </c>
      <c r="C80" s="52"/>
      <c r="D80" s="52">
        <v>24.3</v>
      </c>
    </row>
    <row r="81" spans="1:4">
      <c r="A81" s="50">
        <v>238</v>
      </c>
      <c r="B81" s="51" t="s">
        <v>276</v>
      </c>
      <c r="C81" s="52"/>
      <c r="D81" s="52">
        <v>25.1</v>
      </c>
    </row>
    <row r="82" spans="1:4">
      <c r="A82" s="50">
        <v>239</v>
      </c>
      <c r="B82" s="51" t="s">
        <v>345</v>
      </c>
      <c r="C82" s="52"/>
      <c r="D82" s="52">
        <v>25.1</v>
      </c>
    </row>
    <row r="83" spans="1:4">
      <c r="A83" s="50">
        <v>240</v>
      </c>
      <c r="B83" s="51" t="s">
        <v>346</v>
      </c>
      <c r="C83" s="52"/>
      <c r="D83" s="52">
        <v>75</v>
      </c>
    </row>
    <row r="84" spans="1:4">
      <c r="A84" s="50">
        <v>241</v>
      </c>
      <c r="B84" s="51" t="s">
        <v>372</v>
      </c>
      <c r="C84" s="52"/>
      <c r="D84" s="52">
        <v>25.1</v>
      </c>
    </row>
    <row r="85" spans="1:4">
      <c r="A85" s="50">
        <v>242</v>
      </c>
      <c r="B85" s="51" t="s">
        <v>347</v>
      </c>
      <c r="C85" s="52"/>
      <c r="D85" s="52">
        <v>69.56</v>
      </c>
    </row>
    <row r="86" spans="1:4">
      <c r="A86" s="50">
        <v>243</v>
      </c>
      <c r="B86" s="51" t="s">
        <v>348</v>
      </c>
      <c r="C86" s="52"/>
      <c r="D86" s="52">
        <v>69.569999999999993</v>
      </c>
    </row>
    <row r="87" spans="1:4">
      <c r="A87" s="50">
        <v>245</v>
      </c>
      <c r="B87" s="51" t="s">
        <v>277</v>
      </c>
      <c r="C87" s="52"/>
      <c r="D87" s="52">
        <v>25.1</v>
      </c>
    </row>
    <row r="88" spans="1:4">
      <c r="A88" s="50">
        <v>246</v>
      </c>
      <c r="B88" s="51" t="s">
        <v>349</v>
      </c>
      <c r="C88" s="52"/>
      <c r="D88" s="52">
        <v>25.1</v>
      </c>
    </row>
    <row r="89" spans="1:4">
      <c r="A89" s="50">
        <v>247</v>
      </c>
      <c r="B89" s="51" t="s">
        <v>373</v>
      </c>
      <c r="C89" s="52"/>
      <c r="D89" s="52">
        <v>25.1</v>
      </c>
    </row>
    <row r="90" spans="1:4">
      <c r="A90" s="50">
        <v>249</v>
      </c>
      <c r="B90" s="51" t="s">
        <v>350</v>
      </c>
      <c r="C90" s="52"/>
      <c r="D90" s="52">
        <v>25.1</v>
      </c>
    </row>
    <row r="91" spans="1:4">
      <c r="A91" s="50">
        <v>250</v>
      </c>
      <c r="B91" s="51" t="s">
        <v>278</v>
      </c>
      <c r="C91" s="52"/>
      <c r="D91" s="52">
        <v>25.1</v>
      </c>
    </row>
    <row r="92" spans="1:4">
      <c r="A92" s="50">
        <v>360</v>
      </c>
      <c r="B92" s="51" t="s">
        <v>374</v>
      </c>
      <c r="C92" s="52"/>
      <c r="D92" s="52">
        <v>25.1</v>
      </c>
    </row>
    <row r="93" spans="1:4">
      <c r="A93" s="50">
        <v>371</v>
      </c>
      <c r="B93" s="51" t="s">
        <v>351</v>
      </c>
      <c r="C93" s="52"/>
      <c r="D93" s="52">
        <v>153.76</v>
      </c>
    </row>
    <row r="94" spans="1:4">
      <c r="A94" s="50">
        <v>403</v>
      </c>
      <c r="B94" s="51" t="s">
        <v>352</v>
      </c>
      <c r="C94" s="52"/>
      <c r="D94" s="52">
        <v>25.1</v>
      </c>
    </row>
    <row r="95" spans="1:4">
      <c r="A95" s="50">
        <v>404</v>
      </c>
      <c r="B95" s="51" t="s">
        <v>375</v>
      </c>
      <c r="C95" s="52"/>
      <c r="D95" s="52">
        <v>85.25</v>
      </c>
    </row>
    <row r="96" spans="1:4">
      <c r="A96" s="50">
        <v>408</v>
      </c>
      <c r="B96" s="51" t="s">
        <v>376</v>
      </c>
      <c r="C96" s="52"/>
      <c r="D96" s="52">
        <v>59</v>
      </c>
    </row>
    <row r="97" spans="1:4">
      <c r="A97" s="50">
        <v>409</v>
      </c>
      <c r="B97" s="51" t="s">
        <v>377</v>
      </c>
      <c r="C97" s="52"/>
      <c r="D97" s="52">
        <v>85.25</v>
      </c>
    </row>
    <row r="98" spans="1:4">
      <c r="A98" s="50">
        <v>412</v>
      </c>
      <c r="B98" s="51" t="s">
        <v>353</v>
      </c>
      <c r="C98" s="52"/>
      <c r="D98" s="52">
        <v>85.25</v>
      </c>
    </row>
    <row r="99" spans="1:4">
      <c r="A99" s="50">
        <v>416</v>
      </c>
      <c r="B99" s="51" t="s">
        <v>354</v>
      </c>
      <c r="C99" s="52"/>
      <c r="D99" s="52">
        <v>67.349999999999994</v>
      </c>
    </row>
    <row r="100" spans="1:4">
      <c r="A100" s="50">
        <v>417</v>
      </c>
      <c r="B100" s="51" t="s">
        <v>355</v>
      </c>
      <c r="C100" s="52"/>
      <c r="D100" s="52">
        <v>67.36</v>
      </c>
    </row>
    <row r="101" spans="1:4">
      <c r="A101" s="50">
        <v>418</v>
      </c>
      <c r="B101" s="51" t="s">
        <v>356</v>
      </c>
      <c r="C101" s="52"/>
      <c r="D101" s="52">
        <v>67.349999999999994</v>
      </c>
    </row>
    <row r="102" spans="1:4">
      <c r="A102" s="50">
        <v>419</v>
      </c>
      <c r="B102" s="51" t="s">
        <v>357</v>
      </c>
      <c r="C102" s="52"/>
      <c r="D102" s="52">
        <v>67.349999999999994</v>
      </c>
    </row>
    <row r="103" spans="1:4">
      <c r="A103" s="50">
        <v>423</v>
      </c>
      <c r="B103" s="51" t="s">
        <v>358</v>
      </c>
      <c r="C103" s="52"/>
      <c r="D103" s="52">
        <v>23.41</v>
      </c>
    </row>
    <row r="104" spans="1:4">
      <c r="A104" s="50">
        <v>438</v>
      </c>
      <c r="B104" s="51" t="s">
        <v>359</v>
      </c>
      <c r="C104" s="52"/>
      <c r="D104" s="52">
        <v>25.1</v>
      </c>
    </row>
    <row r="105" spans="1:4">
      <c r="A105" s="50">
        <v>444</v>
      </c>
      <c r="B105" s="51" t="s">
        <v>360</v>
      </c>
      <c r="C105" s="52"/>
      <c r="D105" s="52">
        <v>67.36</v>
      </c>
    </row>
    <row r="106" spans="1:4">
      <c r="A106" s="50">
        <v>445</v>
      </c>
      <c r="B106" s="51" t="s">
        <v>361</v>
      </c>
      <c r="C106" s="52"/>
      <c r="D106" s="52">
        <v>67.349999999999994</v>
      </c>
    </row>
    <row r="107" spans="1:4">
      <c r="A107" s="50">
        <v>446</v>
      </c>
      <c r="B107" s="51" t="s">
        <v>362</v>
      </c>
      <c r="C107" s="52"/>
      <c r="D107" s="52">
        <v>67.349999999999994</v>
      </c>
    </row>
    <row r="108" spans="1:4">
      <c r="A108" s="50">
        <v>452</v>
      </c>
      <c r="B108" s="51" t="s">
        <v>280</v>
      </c>
      <c r="C108" s="52"/>
      <c r="D108" s="52">
        <v>25.1</v>
      </c>
    </row>
    <row r="109" spans="1:4">
      <c r="A109" s="50">
        <v>467</v>
      </c>
      <c r="B109" s="51" t="s">
        <v>363</v>
      </c>
      <c r="C109" s="52"/>
      <c r="D109" s="52">
        <v>25.1</v>
      </c>
    </row>
    <row r="110" spans="1:4">
      <c r="A110" s="50">
        <v>470</v>
      </c>
      <c r="B110" s="51" t="s">
        <v>281</v>
      </c>
      <c r="C110" s="52"/>
      <c r="D110" s="52">
        <v>25.1</v>
      </c>
    </row>
    <row r="111" spans="1:4">
      <c r="A111" s="50">
        <v>471</v>
      </c>
      <c r="B111" s="51" t="s">
        <v>378</v>
      </c>
      <c r="C111" s="52"/>
      <c r="D111" s="52">
        <v>43.39</v>
      </c>
    </row>
    <row r="112" spans="1:4">
      <c r="A112" s="50">
        <v>42</v>
      </c>
      <c r="B112" s="51" t="s">
        <v>364</v>
      </c>
      <c r="C112" s="52"/>
      <c r="D112" s="52">
        <v>22.82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E4D5A7-A065-486E-91FC-24386961D5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A0F90D-F385-44E4-8B91-56BDAB481306}">
  <ds:schemaRefs>
    <ds:schemaRef ds:uri="http://schemas.microsoft.com/office/2006/documentManagement/types"/>
    <ds:schemaRef ds:uri="7e7f2dcd-0c2b-4478-ad05-247cf739c5b2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7c6541c9-858d-46cc-aee4-1fa681dc1bd6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540105A-E155-4263-8FF1-0970CB25BE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info</vt:lpstr>
      <vt:lpstr>none</vt:lpstr>
      <vt:lpstr>Tradiro huur</vt:lpstr>
      <vt:lpstr>Tradiro Gwe</vt:lpstr>
      <vt:lpstr>Tradiro VVE</vt:lpstr>
      <vt:lpstr>Tradiro internet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2026-01-07T10:47:34Z</dcterms:created>
  <dcterms:modified xsi:type="dcterms:W3CDTF">2026-01-14T13:10:51Z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