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00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" sheetId="2" state="visible" r:id="rId2"/>
    <sheet xmlns:r="http://schemas.openxmlformats.org/officeDocument/2006/relationships" name="Lists" sheetId="3" state="hidden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\€\ #,##0.00"/>
    <numFmt numFmtId="165" formatCode="&quot;€&quot;\ #,##0.00000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sz val="14"/>
    </font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9">
    <fill>
      <patternFill/>
    </fill>
    <fill>
      <patternFill patternType="gray125"/>
    </fill>
    <fill>
      <patternFill patternType="solid">
        <fgColor rgb="FF5B5B5B"/>
        <bgColor rgb="FF5B5B5B"/>
      </patternFill>
    </fill>
    <fill>
      <patternFill patternType="solid">
        <fgColor rgb="FF4472C4"/>
        <bgColor rgb="FF4472C4"/>
      </patternFill>
    </fill>
    <fill>
      <patternFill patternType="solid">
        <fgColor rgb="FFED7D31"/>
        <bgColor rgb="FFED7D31"/>
      </patternFill>
    </fill>
    <fill>
      <patternFill patternType="solid">
        <fgColor rgb="FFFFC000"/>
        <bgColor rgb="FFFFC000"/>
      </patternFill>
    </fill>
    <fill>
      <patternFill patternType="solid">
        <fgColor rgb="FFC00000"/>
        <bgColor rgb="FFC00000"/>
      </patternFill>
    </fill>
    <fill>
      <patternFill patternType="solid">
        <fgColor rgb="FFE7E6E6"/>
        <bgColor rgb="FFE7E6E6"/>
      </patternFill>
    </fill>
    <fill>
      <patternFill patternType="solid">
        <fgColor rgb="FF364E6F"/>
      </patternFill>
    </fill>
  </fills>
  <borders count="1">
    <border>
      <left/>
      <right/>
      <top/>
      <bottom/>
      <diagonal/>
    </border>
  </borders>
  <cellStyleXfs count="2">
    <xf numFmtId="0" fontId="3" fillId="0" borderId="0"/>
    <xf numFmtId="9" fontId="3" fillId="0" borderId="0"/>
  </cellStyleXfs>
  <cellXfs count="15">
    <xf numFmtId="0" fontId="0" fillId="0" borderId="0" pivotButton="0" quotePrefix="0" xfId="0"/>
    <xf numFmtId="0" fontId="2" fillId="0" borderId="0" pivotButton="0" quotePrefix="0" xfId="0"/>
    <xf numFmtId="0" fontId="1" fillId="8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0" fillId="7" borderId="0" pivotButton="0" quotePrefix="0" xfId="0"/>
    <xf numFmtId="164" fontId="0" fillId="0" borderId="0" pivotButton="0" quotePrefix="0" xfId="0"/>
    <xf numFmtId="164" fontId="0" fillId="7" borderId="0" pivotButton="0" quotePrefix="0" xfId="0"/>
    <xf numFmtId="9" fontId="0" fillId="0" borderId="0" pivotButton="0" quotePrefix="0" xfId="0"/>
    <xf numFmtId="14" fontId="0" fillId="0" borderId="0" pivotButton="0" quotePrefix="0" xfId="0"/>
    <xf numFmtId="165" fontId="0" fillId="0" borderId="0" pivotButton="0" quotePrefix="0" xfId="0"/>
    <xf numFmtId="9" fontId="0" fillId="0" borderId="0" pivotButton="0" quotePrefix="0" xfId="1"/>
  </cellXfs>
  <cellStyles count="2">
    <cellStyle name="Normal" xfId="0" builtinId="0"/>
    <cellStyle name="Per cent" xfId="1" builtinId="5"/>
  </cellStyles>
  <dxfs count="17">
    <dxf>
      <fill>
        <patternFill patternType="solid">
          <fgColor rgb="FFE7E6E6"/>
          <bgColor rgb="FFE7E6E6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E96"/>
  <sheetViews>
    <sheetView tabSelected="1" workbookViewId="0">
      <selection activeCell="I16" sqref="I16"/>
    </sheetView>
  </sheetViews>
  <sheetFormatPr baseColWidth="10" defaultColWidth="8.83203125" defaultRowHeight="15"/>
  <cols>
    <col width="30" customWidth="1" min="1" max="1"/>
    <col width="15" customWidth="1" min="2" max="5"/>
  </cols>
  <sheetData>
    <row r="1" ht="19" customHeight="1">
      <c r="A1" s="1" t="inlineStr">
        <is>
          <t>COMPLETENESS DASHBOARD</t>
        </is>
      </c>
    </row>
    <row r="3">
      <c r="A3" s="2" t="inlineStr">
        <is>
          <t>Adres</t>
        </is>
      </c>
      <c r="B3" s="2" t="inlineStr">
        <is>
          <t>Basis?</t>
        </is>
      </c>
      <c r="C3" s="2" t="inlineStr">
        <is>
          <t>GWE?</t>
        </is>
      </c>
      <c r="D3" s="2" t="inlineStr">
        <is>
          <t>Schoonmaak?</t>
        </is>
      </c>
      <c r="E3" s="2" t="inlineStr">
        <is>
          <t>STATUS</t>
        </is>
      </c>
    </row>
    <row r="4">
      <c r="A4">
        <f t="array" ref="A4">_xlfn.SINGLE(_xlfn.UNIQUE(_xlfn._xlws.FILTER(Input!A2:A5000, Input!A2:A5000&lt;&gt;"")))</f>
        <v/>
      </c>
      <c r="B4">
        <f>IF(A4="","",IF(COUNTIFS(Input!$A:$A, A4, Input!$B:$B, "Basis")&gt;0, "OK", "MISSING"))</f>
        <v/>
      </c>
      <c r="C4">
        <f>IF(A4="","",IF(COUNTIFS(Input!$A:$A, A4, Input!$B:$B, "GWE")&gt;0, "OK", "MISSING"))</f>
        <v/>
      </c>
      <c r="D4">
        <f>IF(A4="","",IF(COUNTIFS(Input!$A:$A, A4, Input!$B:$B, "Schoonmaak")&gt;0, "OK", "MISSING"))</f>
        <v/>
      </c>
      <c r="E4">
        <f>IF(A4="","",IF(AND(B4="OK",C4="OK",D4="OK"), "✅ READY", "⚠️ INCOMPLETE"))</f>
        <v/>
      </c>
    </row>
    <row r="5">
      <c r="A5">
        <f>_xlfn.UNIQUE(_xlfn._xlws.FILTER(Input!A3:A5001, Input!A3:A5001&lt;&gt;""))</f>
        <v/>
      </c>
      <c r="B5">
        <f>IF(A5="","",IF(COUNTIFS(Input!$A:$A, A5, Input!$B:$B, "Basis")&gt;0, "OK", "MISSING"))</f>
        <v/>
      </c>
      <c r="C5">
        <f>IF(A5="","",IF(COUNTIFS(Input!$A:$A, A5, Input!$B:$B, "GWE")&gt;0, "OK", "MISSING"))</f>
        <v/>
      </c>
      <c r="D5">
        <f>IF(A5="","",IF(COUNTIFS(Input!$A:$A, A5, Input!$B:$B, "Schoonmaak")&gt;0, "OK", "MISSING"))</f>
        <v/>
      </c>
      <c r="E5">
        <f>IF(A5="","",IF(AND(B5="OK",C5="OK",D5="OK"), "✅ READY", "⚠️ INCOMPLETE"))</f>
        <v/>
      </c>
    </row>
    <row r="6">
      <c r="A6">
        <f>_xlfn.UNIQUE(_xlfn._xlws.FILTER(Input!A4:A5002, Input!A4:A5002&lt;&gt;""))</f>
        <v/>
      </c>
      <c r="B6">
        <f>IF(A6="","",IF(COUNTIFS(Input!$A:$A, A6, Input!$B:$B, "Basis")&gt;0, "OK", "MISSING"))</f>
        <v/>
      </c>
      <c r="C6">
        <f>IF(A6="","",IF(COUNTIFS(Input!$A:$A, A6, Input!$B:$B, "GWE")&gt;0, "OK", "MISSING"))</f>
        <v/>
      </c>
      <c r="D6">
        <f>IF(A6="","",IF(COUNTIFS(Input!$A:$A, A6, Input!$B:$B, "Schoonmaak")&gt;0, "OK", "MISSING"))</f>
        <v/>
      </c>
      <c r="E6">
        <f>IF(A6="","",IF(AND(B6="OK",C6="OK",D6="OK"), "✅ READY", "⚠️ INCOMPLETE"))</f>
        <v/>
      </c>
    </row>
    <row r="7">
      <c r="A7">
        <f>_xlfn.UNIQUE(_xlfn._xlws.FILTER(Input!A5:A5003, Input!A5:A5003&lt;&gt;""))</f>
        <v/>
      </c>
      <c r="B7">
        <f>IF(A7="","",IF(COUNTIFS(Input!$A:$A, A7, Input!$B:$B, "Basis")&gt;0, "OK", "MISSING"))</f>
        <v/>
      </c>
      <c r="C7">
        <f>IF(A7="","",IF(COUNTIFS(Input!$A:$A, A7, Input!$B:$B, "GWE")&gt;0, "OK", "MISSING"))</f>
        <v/>
      </c>
      <c r="D7">
        <f>IF(A7="","",IF(COUNTIFS(Input!$A:$A, A7, Input!$B:$B, "Schoonmaak")&gt;0, "OK", "MISSING"))</f>
        <v/>
      </c>
      <c r="E7">
        <f>IF(A7="","",IF(AND(B7="OK",C7="OK",D7="OK"), "✅ READY", "⚠️ INCOMPLETE"))</f>
        <v/>
      </c>
    </row>
    <row r="8">
      <c r="A8">
        <f>_xlfn.UNIQUE(_xlfn._xlws.FILTER(Input!A6:A5004, Input!A6:A5004&lt;&gt;""))</f>
        <v/>
      </c>
      <c r="B8">
        <f>IF(A8="","",IF(COUNTIFS(Input!$A:$A, A8, Input!$B:$B, "Basis")&gt;0, "OK", "MISSING"))</f>
        <v/>
      </c>
      <c r="C8">
        <f>IF(A8="","",IF(COUNTIFS(Input!$A:$A, A8, Input!$B:$B, "GWE")&gt;0, "OK", "MISSING"))</f>
        <v/>
      </c>
      <c r="D8">
        <f>IF(A8="","",IF(COUNTIFS(Input!$A:$A, A8, Input!$B:$B, "Schoonmaak")&gt;0, "OK", "MISSING"))</f>
        <v/>
      </c>
      <c r="E8">
        <f>IF(A8="","",IF(AND(B8="OK",C8="OK",D8="OK"), "✅ READY", "⚠️ INCOMPLETE"))</f>
        <v/>
      </c>
    </row>
    <row r="9">
      <c r="A9">
        <f>_xlfn.UNIQUE(_xlfn._xlws.FILTER(Input!A7:A5005, Input!A7:A5005&lt;&gt;""))</f>
        <v/>
      </c>
      <c r="B9">
        <f>IF(A9="","",IF(COUNTIFS(Input!$A:$A, A9, Input!$B:$B, "Basis")&gt;0, "OK", "MISSING"))</f>
        <v/>
      </c>
      <c r="C9">
        <f>IF(A9="","",IF(COUNTIFS(Input!$A:$A, A9, Input!$B:$B, "GWE")&gt;0, "OK", "MISSING"))</f>
        <v/>
      </c>
      <c r="D9">
        <f>IF(A9="","",IF(COUNTIFS(Input!$A:$A, A9, Input!$B:$B, "Schoonmaak")&gt;0, "OK", "MISSING"))</f>
        <v/>
      </c>
      <c r="E9">
        <f>IF(A9="","",IF(AND(B9="OK",C9="OK",D9="OK"), "✅ READY", "⚠️ INCOMPLETE"))</f>
        <v/>
      </c>
    </row>
    <row r="10">
      <c r="A10">
        <f>_xlfn.UNIQUE(_xlfn._xlws.FILTER(Input!A8:A5006, Input!A8:A5006&lt;&gt;""))</f>
        <v/>
      </c>
      <c r="B10">
        <f>IF(A10="","",IF(COUNTIFS(Input!$A:$A, A10, Input!$B:$B, "Basis")&gt;0, "OK", "MISSING"))</f>
        <v/>
      </c>
      <c r="C10">
        <f>IF(A10="","",IF(COUNTIFS(Input!$A:$A, A10, Input!$B:$B, "GWE")&gt;0, "OK", "MISSING"))</f>
        <v/>
      </c>
      <c r="D10">
        <f>IF(A10="","",IF(COUNTIFS(Input!$A:$A, A10, Input!$B:$B, "Schoonmaak")&gt;0, "OK", "MISSING"))</f>
        <v/>
      </c>
      <c r="E10">
        <f>IF(A10="","",IF(AND(B10="OK",C10="OK",D10="OK"), "✅ READY", "⚠️ INCOMPLETE"))</f>
        <v/>
      </c>
    </row>
    <row r="11">
      <c r="A11">
        <f>_xlfn.UNIQUE(_xlfn._xlws.FILTER(Input!A9:A5007, Input!A9:A5007&lt;&gt;""))</f>
        <v/>
      </c>
      <c r="B11">
        <f>IF(A11="","",IF(COUNTIFS(Input!$A:$A, A11, Input!$B:$B, "Basis")&gt;0, "OK", "MISSING"))</f>
        <v/>
      </c>
      <c r="C11">
        <f>IF(A11="","",IF(COUNTIFS(Input!$A:$A, A11, Input!$B:$B, "GWE")&gt;0, "OK", "MISSING"))</f>
        <v/>
      </c>
      <c r="D11">
        <f>IF(A11="","",IF(COUNTIFS(Input!$A:$A, A11, Input!$B:$B, "Schoonmaak")&gt;0, "OK", "MISSING"))</f>
        <v/>
      </c>
      <c r="E11">
        <f>IF(A11="","",IF(AND(B11="OK",C11="OK",D11="OK"), "✅ READY", "⚠️ INCOMPLETE"))</f>
        <v/>
      </c>
    </row>
    <row r="12">
      <c r="A12">
        <f>_xlfn.UNIQUE(_xlfn._xlws.FILTER(Input!A10:A5008, Input!A10:A5008&lt;&gt;""))</f>
        <v/>
      </c>
      <c r="B12">
        <f>IF(A12="","",IF(COUNTIFS(Input!$A:$A, A12, Input!$B:$B, "Basis")&gt;0, "OK", "MISSING"))</f>
        <v/>
      </c>
      <c r="C12">
        <f>IF(A12="","",IF(COUNTIFS(Input!$A:$A, A12, Input!$B:$B, "GWE")&gt;0, "OK", "MISSING"))</f>
        <v/>
      </c>
      <c r="D12">
        <f>IF(A12="","",IF(COUNTIFS(Input!$A:$A, A12, Input!$B:$B, "Schoonmaak")&gt;0, "OK", "MISSING"))</f>
        <v/>
      </c>
      <c r="E12">
        <f>IF(A12="","",IF(AND(B12="OK",C12="OK",D12="OK"), "✅ READY", "⚠️ INCOMPLETE"))</f>
        <v/>
      </c>
    </row>
    <row r="13">
      <c r="A13">
        <f>_xlfn.UNIQUE(_xlfn._xlws.FILTER(Input!A11:A5009, Input!A11:A5009&lt;&gt;""))</f>
        <v/>
      </c>
      <c r="B13">
        <f>IF(A13="","",IF(COUNTIFS(Input!$A:$A, A13, Input!$B:$B, "Basis")&gt;0, "OK", "MISSING"))</f>
        <v/>
      </c>
      <c r="C13">
        <f>IF(A13="","",IF(COUNTIFS(Input!$A:$A, A13, Input!$B:$B, "GWE")&gt;0, "OK", "MISSING"))</f>
        <v/>
      </c>
      <c r="D13">
        <f>IF(A13="","",IF(COUNTIFS(Input!$A:$A, A13, Input!$B:$B, "Schoonmaak")&gt;0, "OK", "MISSING"))</f>
        <v/>
      </c>
      <c r="E13">
        <f>IF(A13="","",IF(AND(B13="OK",C13="OK",D13="OK"), "✅ READY", "⚠️ INCOMPLETE"))</f>
        <v/>
      </c>
    </row>
    <row r="14">
      <c r="A14">
        <f>_xlfn.UNIQUE(_xlfn._xlws.FILTER(Input!A12:A5010, Input!A12:A5010&lt;&gt;""))</f>
        <v/>
      </c>
      <c r="B14">
        <f>IF(A14="","",IF(COUNTIFS(Input!$A:$A, A14, Input!$B:$B, "Basis")&gt;0, "OK", "MISSING"))</f>
        <v/>
      </c>
      <c r="C14">
        <f>IF(A14="","",IF(COUNTIFS(Input!$A:$A, A14, Input!$B:$B, "GWE")&gt;0, "OK", "MISSING"))</f>
        <v/>
      </c>
      <c r="D14">
        <f>IF(A14="","",IF(COUNTIFS(Input!$A:$A, A14, Input!$B:$B, "Schoonmaak")&gt;0, "OK", "MISSING"))</f>
        <v/>
      </c>
      <c r="E14">
        <f>IF(A14="","",IF(AND(B14="OK",C14="OK",D14="OK"), "✅ READY", "⚠️ INCOMPLETE"))</f>
        <v/>
      </c>
    </row>
    <row r="15">
      <c r="A15">
        <f>_xlfn.UNIQUE(_xlfn._xlws.FILTER(Input!A13:A5011, Input!A13:A5011&lt;&gt;""))</f>
        <v/>
      </c>
      <c r="B15">
        <f>IF(A15="","",IF(COUNTIFS(Input!$A:$A, A15, Input!$B:$B, "Basis")&gt;0, "OK", "MISSING"))</f>
        <v/>
      </c>
      <c r="C15">
        <f>IF(A15="","",IF(COUNTIFS(Input!$A:$A, A15, Input!$B:$B, "GWE")&gt;0, "OK", "MISSING"))</f>
        <v/>
      </c>
      <c r="D15">
        <f>IF(A15="","",IF(COUNTIFS(Input!$A:$A, A15, Input!$B:$B, "Schoonmaak")&gt;0, "OK", "MISSING"))</f>
        <v/>
      </c>
      <c r="E15">
        <f>IF(A15="","",IF(AND(B15="OK",C15="OK",D15="OK"), "✅ READY", "⚠️ INCOMPLETE"))</f>
        <v/>
      </c>
    </row>
    <row r="16">
      <c r="A16">
        <f>_xlfn.UNIQUE(_xlfn._xlws.FILTER(Input!A14:A5012, Input!A14:A5012&lt;&gt;""))</f>
        <v/>
      </c>
      <c r="B16">
        <f>IF(A16="","",IF(COUNTIFS(Input!$A:$A, A16, Input!$B:$B, "Basis")&gt;0, "OK", "MISSING"))</f>
        <v/>
      </c>
      <c r="C16">
        <f>IF(A16="","",IF(COUNTIFS(Input!$A:$A, A16, Input!$B:$B, "GWE")&gt;0, "OK", "MISSING"))</f>
        <v/>
      </c>
      <c r="D16">
        <f>IF(A16="","",IF(COUNTIFS(Input!$A:$A, A16, Input!$B:$B, "Schoonmaak")&gt;0, "OK", "MISSING"))</f>
        <v/>
      </c>
      <c r="E16">
        <f>IF(A16="","",IF(AND(B16="OK",C16="OK",D16="OK"), "✅ READY", "⚠️ INCOMPLETE"))</f>
        <v/>
      </c>
    </row>
    <row r="17">
      <c r="A17">
        <f>_xlfn.UNIQUE(_xlfn._xlws.FILTER(Input!A15:A5013, Input!A15:A5013&lt;&gt;""))</f>
        <v/>
      </c>
      <c r="B17">
        <f>IF(A17="","",IF(COUNTIFS(Input!$A:$A, A17, Input!$B:$B, "Basis")&gt;0, "OK", "MISSING"))</f>
        <v/>
      </c>
      <c r="C17">
        <f>IF(A17="","",IF(COUNTIFS(Input!$A:$A, A17, Input!$B:$B, "GWE")&gt;0, "OK", "MISSING"))</f>
        <v/>
      </c>
      <c r="D17">
        <f>IF(A17="","",IF(COUNTIFS(Input!$A:$A, A17, Input!$B:$B, "Schoonmaak")&gt;0, "OK", "MISSING"))</f>
        <v/>
      </c>
      <c r="E17">
        <f>IF(A17="","",IF(AND(B17="OK",C17="OK",D17="OK"), "✅ READY", "⚠️ INCOMPLETE"))</f>
        <v/>
      </c>
    </row>
    <row r="18">
      <c r="A18">
        <f>_xlfn.UNIQUE(_xlfn._xlws.FILTER(Input!A16:A5014, Input!A16:A5014&lt;&gt;""))</f>
        <v/>
      </c>
      <c r="B18">
        <f>IF(A18="","",IF(COUNTIFS(Input!$A:$A, A18, Input!$B:$B, "Basis")&gt;0, "OK", "MISSING"))</f>
        <v/>
      </c>
      <c r="C18">
        <f>IF(A18="","",IF(COUNTIFS(Input!$A:$A, A18, Input!$B:$B, "GWE")&gt;0, "OK", "MISSING"))</f>
        <v/>
      </c>
      <c r="D18">
        <f>IF(A18="","",IF(COUNTIFS(Input!$A:$A, A18, Input!$B:$B, "Schoonmaak")&gt;0, "OK", "MISSING"))</f>
        <v/>
      </c>
      <c r="E18">
        <f>IF(A18="","",IF(AND(B18="OK",C18="OK",D18="OK"), "✅ READY", "⚠️ INCOMPLETE"))</f>
        <v/>
      </c>
    </row>
    <row r="19">
      <c r="A19">
        <f>_xlfn.UNIQUE(_xlfn._xlws.FILTER(Input!A17:A5015, Input!A17:A5015&lt;&gt;""))</f>
        <v/>
      </c>
      <c r="B19">
        <f>IF(A19="","",IF(COUNTIFS(Input!$A:$A, A19, Input!$B:$B, "Basis")&gt;0, "OK", "MISSING"))</f>
        <v/>
      </c>
      <c r="C19">
        <f>IF(A19="","",IF(COUNTIFS(Input!$A:$A, A19, Input!$B:$B, "GWE")&gt;0, "OK", "MISSING"))</f>
        <v/>
      </c>
      <c r="D19">
        <f>IF(A19="","",IF(COUNTIFS(Input!$A:$A, A19, Input!$B:$B, "Schoonmaak")&gt;0, "OK", "MISSING"))</f>
        <v/>
      </c>
      <c r="E19">
        <f>IF(A19="","",IF(AND(B19="OK",C19="OK",D19="OK"), "✅ READY", "⚠️ INCOMPLETE"))</f>
        <v/>
      </c>
    </row>
    <row r="20">
      <c r="A20">
        <f>_xlfn.UNIQUE(_xlfn._xlws.FILTER(Input!A18:A5016, Input!A18:A5016&lt;&gt;""))</f>
        <v/>
      </c>
      <c r="B20">
        <f>IF(A20="","",IF(COUNTIFS(Input!$A:$A, A20, Input!$B:$B, "Basis")&gt;0, "OK", "MISSING"))</f>
        <v/>
      </c>
      <c r="C20">
        <f>IF(A20="","",IF(COUNTIFS(Input!$A:$A, A20, Input!$B:$B, "GWE")&gt;0, "OK", "MISSING"))</f>
        <v/>
      </c>
      <c r="D20">
        <f>IF(A20="","",IF(COUNTIFS(Input!$A:$A, A20, Input!$B:$B, "Schoonmaak")&gt;0, "OK", "MISSING"))</f>
        <v/>
      </c>
      <c r="E20">
        <f>IF(A20="","",IF(AND(B20="OK",C20="OK",D20="OK"), "✅ READY", "⚠️ INCOMPLETE"))</f>
        <v/>
      </c>
    </row>
    <row r="21">
      <c r="A21">
        <f>_xlfn.UNIQUE(_xlfn._xlws.FILTER(Input!A19:A5017, Input!A19:A5017&lt;&gt;""))</f>
        <v/>
      </c>
      <c r="B21">
        <f>IF(A21="","",IF(COUNTIFS(Input!$A:$A, A21, Input!$B:$B, "Basis")&gt;0, "OK", "MISSING"))</f>
        <v/>
      </c>
      <c r="C21">
        <f>IF(A21="","",IF(COUNTIFS(Input!$A:$A, A21, Input!$B:$B, "GWE")&gt;0, "OK", "MISSING"))</f>
        <v/>
      </c>
      <c r="D21">
        <f>IF(A21="","",IF(COUNTIFS(Input!$A:$A, A21, Input!$B:$B, "Schoonmaak")&gt;0, "OK", "MISSING"))</f>
        <v/>
      </c>
      <c r="E21">
        <f>IF(A21="","",IF(AND(B21="OK",C21="OK",D21="OK"), "✅ READY", "⚠️ INCOMPLETE"))</f>
        <v/>
      </c>
    </row>
    <row r="22">
      <c r="A22">
        <f>_xlfn.UNIQUE(_xlfn._xlws.FILTER(Input!A20:A5018, Input!A20:A5018&lt;&gt;""))</f>
        <v/>
      </c>
      <c r="B22">
        <f>IF(A22="","",IF(COUNTIFS(Input!$A:$A, A22, Input!$B:$B, "Basis")&gt;0, "OK", "MISSING"))</f>
        <v/>
      </c>
      <c r="C22">
        <f>IF(A22="","",IF(COUNTIFS(Input!$A:$A, A22, Input!$B:$B, "GWE")&gt;0, "OK", "MISSING"))</f>
        <v/>
      </c>
      <c r="D22">
        <f>IF(A22="","",IF(COUNTIFS(Input!$A:$A, A22, Input!$B:$B, "Schoonmaak")&gt;0, "OK", "MISSING"))</f>
        <v/>
      </c>
      <c r="E22">
        <f>IF(A22="","",IF(AND(B22="OK",C22="OK",D22="OK"), "✅ READY", "⚠️ INCOMPLETE"))</f>
        <v/>
      </c>
    </row>
    <row r="23">
      <c r="A23">
        <f>_xlfn.UNIQUE(_xlfn._xlws.FILTER(Input!A21:A5019, Input!A21:A5019&lt;&gt;""))</f>
        <v/>
      </c>
      <c r="B23">
        <f>IF(A23="","",IF(COUNTIFS(Input!$A:$A, A23, Input!$B:$B, "Basis")&gt;0, "OK", "MISSING"))</f>
        <v/>
      </c>
      <c r="C23">
        <f>IF(A23="","",IF(COUNTIFS(Input!$A:$A, A23, Input!$B:$B, "GWE")&gt;0, "OK", "MISSING"))</f>
        <v/>
      </c>
      <c r="D23">
        <f>IF(A23="","",IF(COUNTIFS(Input!$A:$A, A23, Input!$B:$B, "Schoonmaak")&gt;0, "OK", "MISSING"))</f>
        <v/>
      </c>
      <c r="E23">
        <f>IF(A23="","",IF(AND(B23="OK",C23="OK",D23="OK"), "✅ READY", "⚠️ INCOMPLETE"))</f>
        <v/>
      </c>
    </row>
    <row r="24">
      <c r="A24">
        <f>_xlfn.UNIQUE(_xlfn._xlws.FILTER(Input!A22:A5020, Input!A22:A5020&lt;&gt;""))</f>
        <v/>
      </c>
      <c r="B24">
        <f>IF(A24="","",IF(COUNTIFS(Input!$A:$A, A24, Input!$B:$B, "Basis")&gt;0, "OK", "MISSING"))</f>
        <v/>
      </c>
      <c r="C24">
        <f>IF(A24="","",IF(COUNTIFS(Input!$A:$A, A24, Input!$B:$B, "GWE")&gt;0, "OK", "MISSING"))</f>
        <v/>
      </c>
      <c r="D24">
        <f>IF(A24="","",IF(COUNTIFS(Input!$A:$A, A24, Input!$B:$B, "Schoonmaak")&gt;0, "OK", "MISSING"))</f>
        <v/>
      </c>
      <c r="E24">
        <f>IF(A24="","",IF(AND(B24="OK",C24="OK",D24="OK"), "✅ READY", "⚠️ INCOMPLETE"))</f>
        <v/>
      </c>
    </row>
    <row r="25">
      <c r="A25">
        <f>_xlfn.UNIQUE(_xlfn._xlws.FILTER(Input!A23:A5021, Input!A23:A5021&lt;&gt;""))</f>
        <v/>
      </c>
      <c r="B25">
        <f>IF(A25="","",IF(COUNTIFS(Input!$A:$A, A25, Input!$B:$B, "Basis")&gt;0, "OK", "MISSING"))</f>
        <v/>
      </c>
      <c r="C25">
        <f>IF(A25="","",IF(COUNTIFS(Input!$A:$A, A25, Input!$B:$B, "GWE")&gt;0, "OK", "MISSING"))</f>
        <v/>
      </c>
      <c r="D25">
        <f>IF(A25="","",IF(COUNTIFS(Input!$A:$A, A25, Input!$B:$B, "Schoonmaak")&gt;0, "OK", "MISSING"))</f>
        <v/>
      </c>
      <c r="E25">
        <f>IF(A25="","",IF(AND(B25="OK",C25="OK",D25="OK"), "✅ READY", "⚠️ INCOMPLETE"))</f>
        <v/>
      </c>
    </row>
    <row r="26">
      <c r="A26">
        <f>_xlfn.UNIQUE(_xlfn._xlws.FILTER(Input!A24:A5022, Input!A24:A5022&lt;&gt;""))</f>
        <v/>
      </c>
      <c r="B26">
        <f>IF(A26="","",IF(COUNTIFS(Input!$A:$A, A26, Input!$B:$B, "Basis")&gt;0, "OK", "MISSING"))</f>
        <v/>
      </c>
      <c r="C26">
        <f>IF(A26="","",IF(COUNTIFS(Input!$A:$A, A26, Input!$B:$B, "GWE")&gt;0, "OK", "MISSING"))</f>
        <v/>
      </c>
      <c r="D26">
        <f>IF(A26="","",IF(COUNTIFS(Input!$A:$A, A26, Input!$B:$B, "Schoonmaak")&gt;0, "OK", "MISSING"))</f>
        <v/>
      </c>
      <c r="E26">
        <f>IF(A26="","",IF(AND(B26="OK",C26="OK",D26="OK"), "✅ READY", "⚠️ INCOMPLETE"))</f>
        <v/>
      </c>
    </row>
    <row r="27">
      <c r="A27">
        <f>_xlfn.UNIQUE(_xlfn._xlws.FILTER(Input!A25:A5023, Input!A25:A5023&lt;&gt;""))</f>
        <v/>
      </c>
      <c r="B27">
        <f>IF(A27="","",IF(COUNTIFS(Input!$A:$A, A27, Input!$B:$B, "Basis")&gt;0, "OK", "MISSING"))</f>
        <v/>
      </c>
      <c r="C27">
        <f>IF(A27="","",IF(COUNTIFS(Input!$A:$A, A27, Input!$B:$B, "GWE")&gt;0, "OK", "MISSING"))</f>
        <v/>
      </c>
      <c r="D27">
        <f>IF(A27="","",IF(COUNTIFS(Input!$A:$A, A27, Input!$B:$B, "Schoonmaak")&gt;0, "OK", "MISSING"))</f>
        <v/>
      </c>
      <c r="E27">
        <f>IF(A27="","",IF(AND(B27="OK",C27="OK",D27="OK"), "✅ READY", "⚠️ INCOMPLETE"))</f>
        <v/>
      </c>
    </row>
    <row r="28">
      <c r="A28">
        <f>_xlfn.UNIQUE(_xlfn._xlws.FILTER(Input!A26:A5024, Input!A26:A5024&lt;&gt;""))</f>
        <v/>
      </c>
      <c r="B28">
        <f>IF(A28="","",IF(COUNTIFS(Input!$A:$A, A28, Input!$B:$B, "Basis")&gt;0, "OK", "MISSING"))</f>
        <v/>
      </c>
      <c r="C28">
        <f>IF(A28="","",IF(COUNTIFS(Input!$A:$A, A28, Input!$B:$B, "GWE")&gt;0, "OK", "MISSING"))</f>
        <v/>
      </c>
      <c r="D28">
        <f>IF(A28="","",IF(COUNTIFS(Input!$A:$A, A28, Input!$B:$B, "Schoonmaak")&gt;0, "OK", "MISSING"))</f>
        <v/>
      </c>
      <c r="E28">
        <f>IF(A28="","",IF(AND(B28="OK",C28="OK",D28="OK"), "✅ READY", "⚠️ INCOMPLETE"))</f>
        <v/>
      </c>
    </row>
    <row r="29">
      <c r="A29">
        <f>_xlfn.UNIQUE(_xlfn._xlws.FILTER(Input!A27:A5025, Input!A27:A5025&lt;&gt;""))</f>
        <v/>
      </c>
      <c r="B29">
        <f>IF(A29="","",IF(COUNTIFS(Input!$A:$A, A29, Input!$B:$B, "Basis")&gt;0, "OK", "MISSING"))</f>
        <v/>
      </c>
      <c r="C29">
        <f>IF(A29="","",IF(COUNTIFS(Input!$A:$A, A29, Input!$B:$B, "GWE")&gt;0, "OK", "MISSING"))</f>
        <v/>
      </c>
      <c r="D29">
        <f>IF(A29="","",IF(COUNTIFS(Input!$A:$A, A29, Input!$B:$B, "Schoonmaak")&gt;0, "OK", "MISSING"))</f>
        <v/>
      </c>
      <c r="E29">
        <f>IF(A29="","",IF(AND(B29="OK",C29="OK",D29="OK"), "✅ READY", "⚠️ INCOMPLETE"))</f>
        <v/>
      </c>
    </row>
    <row r="30">
      <c r="A30">
        <f>_xlfn.UNIQUE(_xlfn._xlws.FILTER(Input!A28:A5026, Input!A28:A5026&lt;&gt;""))</f>
        <v/>
      </c>
      <c r="B30">
        <f>IF(A30="","",IF(COUNTIFS(Input!$A:$A, A30, Input!$B:$B, "Basis")&gt;0, "OK", "MISSING"))</f>
        <v/>
      </c>
      <c r="C30">
        <f>IF(A30="","",IF(COUNTIFS(Input!$A:$A, A30, Input!$B:$B, "GWE")&gt;0, "OK", "MISSING"))</f>
        <v/>
      </c>
      <c r="D30">
        <f>IF(A30="","",IF(COUNTIFS(Input!$A:$A, A30, Input!$B:$B, "Schoonmaak")&gt;0, "OK", "MISSING"))</f>
        <v/>
      </c>
      <c r="E30">
        <f>IF(A30="","",IF(AND(B30="OK",C30="OK",D30="OK"), "✅ READY", "⚠️ INCOMPLETE"))</f>
        <v/>
      </c>
    </row>
    <row r="31">
      <c r="A31">
        <f>_xlfn.UNIQUE(_xlfn._xlws.FILTER(Input!A29:A5027, Input!A29:A5027&lt;&gt;""))</f>
        <v/>
      </c>
      <c r="B31">
        <f>IF(A31="","",IF(COUNTIFS(Input!$A:$A, A31, Input!$B:$B, "Basis")&gt;0, "OK", "MISSING"))</f>
        <v/>
      </c>
      <c r="C31">
        <f>IF(A31="","",IF(COUNTIFS(Input!$A:$A, A31, Input!$B:$B, "GWE")&gt;0, "OK", "MISSING"))</f>
        <v/>
      </c>
      <c r="D31">
        <f>IF(A31="","",IF(COUNTIFS(Input!$A:$A, A31, Input!$B:$B, "Schoonmaak")&gt;0, "OK", "MISSING"))</f>
        <v/>
      </c>
      <c r="E31">
        <f>IF(A31="","",IF(AND(B31="OK",C31="OK",D31="OK"), "✅ READY", "⚠️ INCOMPLETE"))</f>
        <v/>
      </c>
    </row>
    <row r="32">
      <c r="A32">
        <f>_xlfn.UNIQUE(_xlfn._xlws.FILTER(Input!A30:A5028, Input!A30:A5028&lt;&gt;""))</f>
        <v/>
      </c>
      <c r="B32">
        <f>IF(A32="","",IF(COUNTIFS(Input!$A:$A, A32, Input!$B:$B, "Basis")&gt;0, "OK", "MISSING"))</f>
        <v/>
      </c>
      <c r="C32">
        <f>IF(A32="","",IF(COUNTIFS(Input!$A:$A, A32, Input!$B:$B, "GWE")&gt;0, "OK", "MISSING"))</f>
        <v/>
      </c>
      <c r="D32">
        <f>IF(A32="","",IF(COUNTIFS(Input!$A:$A, A32, Input!$B:$B, "Schoonmaak")&gt;0, "OK", "MISSING"))</f>
        <v/>
      </c>
      <c r="E32">
        <f>IF(A32="","",IF(AND(B32="OK",C32="OK",D32="OK"), "✅ READY", "⚠️ INCOMPLETE"))</f>
        <v/>
      </c>
    </row>
    <row r="33">
      <c r="A33">
        <f>_xlfn.UNIQUE(_xlfn._xlws.FILTER(Input!A31:A5029, Input!A31:A5029&lt;&gt;""))</f>
        <v/>
      </c>
      <c r="B33">
        <f>IF(A33="","",IF(COUNTIFS(Input!$A:$A, A33, Input!$B:$B, "Basis")&gt;0, "OK", "MISSING"))</f>
        <v/>
      </c>
      <c r="C33">
        <f>IF(A33="","",IF(COUNTIFS(Input!$A:$A, A33, Input!$B:$B, "GWE")&gt;0, "OK", "MISSING"))</f>
        <v/>
      </c>
      <c r="D33">
        <f>IF(A33="","",IF(COUNTIFS(Input!$A:$A, A33, Input!$B:$B, "Schoonmaak")&gt;0, "OK", "MISSING"))</f>
        <v/>
      </c>
      <c r="E33">
        <f>IF(A33="","",IF(AND(B33="OK",C33="OK",D33="OK"), "✅ READY", "⚠️ INCOMPLETE"))</f>
        <v/>
      </c>
    </row>
    <row r="34">
      <c r="A34">
        <f>_xlfn.UNIQUE(_xlfn._xlws.FILTER(Input!A32:A5030, Input!A32:A5030&lt;&gt;""))</f>
        <v/>
      </c>
      <c r="B34">
        <f>IF(A34="","",IF(COUNTIFS(Input!$A:$A, A34, Input!$B:$B, "Basis")&gt;0, "OK", "MISSING"))</f>
        <v/>
      </c>
      <c r="C34">
        <f>IF(A34="","",IF(COUNTIFS(Input!$A:$A, A34, Input!$B:$B, "GWE")&gt;0, "OK", "MISSING"))</f>
        <v/>
      </c>
      <c r="D34">
        <f>IF(A34="","",IF(COUNTIFS(Input!$A:$A, A34, Input!$B:$B, "Schoonmaak")&gt;0, "OK", "MISSING"))</f>
        <v/>
      </c>
      <c r="E34">
        <f>IF(A34="","",IF(AND(B34="OK",C34="OK",D34="OK"), "✅ READY", "⚠️ INCOMPLETE"))</f>
        <v/>
      </c>
    </row>
    <row r="35">
      <c r="A35">
        <f>_xlfn.UNIQUE(_xlfn._xlws.FILTER(Input!A33:A5031, Input!A33:A5031&lt;&gt;""))</f>
        <v/>
      </c>
      <c r="B35">
        <f>IF(A35="","",IF(COUNTIFS(Input!$A:$A, A35, Input!$B:$B, "Basis")&gt;0, "OK", "MISSING"))</f>
        <v/>
      </c>
      <c r="C35">
        <f>IF(A35="","",IF(COUNTIFS(Input!$A:$A, A35, Input!$B:$B, "GWE")&gt;0, "OK", "MISSING"))</f>
        <v/>
      </c>
      <c r="D35">
        <f>IF(A35="","",IF(COUNTIFS(Input!$A:$A, A35, Input!$B:$B, "Schoonmaak")&gt;0, "OK", "MISSING"))</f>
        <v/>
      </c>
      <c r="E35">
        <f>IF(A35="","",IF(AND(B35="OK",C35="OK",D35="OK"), "✅ READY", "⚠️ INCOMPLETE"))</f>
        <v/>
      </c>
    </row>
    <row r="36">
      <c r="A36">
        <f>_xlfn.UNIQUE(_xlfn._xlws.FILTER(Input!A34:A5032, Input!A34:A5032&lt;&gt;""))</f>
        <v/>
      </c>
      <c r="B36">
        <f>IF(A36="","",IF(COUNTIFS(Input!$A:$A, A36, Input!$B:$B, "Basis")&gt;0, "OK", "MISSING"))</f>
        <v/>
      </c>
      <c r="C36">
        <f>IF(A36="","",IF(COUNTIFS(Input!$A:$A, A36, Input!$B:$B, "GWE")&gt;0, "OK", "MISSING"))</f>
        <v/>
      </c>
      <c r="D36">
        <f>IF(A36="","",IF(COUNTIFS(Input!$A:$A, A36, Input!$B:$B, "Schoonmaak")&gt;0, "OK", "MISSING"))</f>
        <v/>
      </c>
      <c r="E36">
        <f>IF(A36="","",IF(AND(B36="OK",C36="OK",D36="OK"), "✅ READY", "⚠️ INCOMPLETE"))</f>
        <v/>
      </c>
    </row>
    <row r="37">
      <c r="A37">
        <f>_xlfn.UNIQUE(_xlfn._xlws.FILTER(Input!A35:A5033, Input!A35:A5033&lt;&gt;""))</f>
        <v/>
      </c>
      <c r="B37">
        <f>IF(A37="","",IF(COUNTIFS(Input!$A:$A, A37, Input!$B:$B, "Basis")&gt;0, "OK", "MISSING"))</f>
        <v/>
      </c>
      <c r="C37">
        <f>IF(A37="","",IF(COUNTIFS(Input!$A:$A, A37, Input!$B:$B, "GWE")&gt;0, "OK", "MISSING"))</f>
        <v/>
      </c>
      <c r="D37">
        <f>IF(A37="","",IF(COUNTIFS(Input!$A:$A, A37, Input!$B:$B, "Schoonmaak")&gt;0, "OK", "MISSING"))</f>
        <v/>
      </c>
      <c r="E37">
        <f>IF(A37="","",IF(AND(B37="OK",C37="OK",D37="OK"), "✅ READY", "⚠️ INCOMPLETE"))</f>
        <v/>
      </c>
    </row>
    <row r="38">
      <c r="A38">
        <f>_xlfn.UNIQUE(_xlfn._xlws.FILTER(Input!A36:A5034, Input!A36:A5034&lt;&gt;""))</f>
        <v/>
      </c>
      <c r="B38">
        <f>IF(A38="","",IF(COUNTIFS(Input!$A:$A, A38, Input!$B:$B, "Basis")&gt;0, "OK", "MISSING"))</f>
        <v/>
      </c>
      <c r="C38">
        <f>IF(A38="","",IF(COUNTIFS(Input!$A:$A, A38, Input!$B:$B, "GWE")&gt;0, "OK", "MISSING"))</f>
        <v/>
      </c>
      <c r="D38">
        <f>IF(A38="","",IF(COUNTIFS(Input!$A:$A, A38, Input!$B:$B, "Schoonmaak")&gt;0, "OK", "MISSING"))</f>
        <v/>
      </c>
      <c r="E38">
        <f>IF(A38="","",IF(AND(B38="OK",C38="OK",D38="OK"), "✅ READY", "⚠️ INCOMPLETE"))</f>
        <v/>
      </c>
    </row>
    <row r="39">
      <c r="A39">
        <f>_xlfn.UNIQUE(_xlfn._xlws.FILTER(Input!A37:A5035, Input!A37:A5035&lt;&gt;""))</f>
        <v/>
      </c>
      <c r="B39">
        <f>IF(A39="","",IF(COUNTIFS(Input!$A:$A, A39, Input!$B:$B, "Basis")&gt;0, "OK", "MISSING"))</f>
        <v/>
      </c>
      <c r="C39">
        <f>IF(A39="","",IF(COUNTIFS(Input!$A:$A, A39, Input!$B:$B, "GWE")&gt;0, "OK", "MISSING"))</f>
        <v/>
      </c>
      <c r="D39">
        <f>IF(A39="","",IF(COUNTIFS(Input!$A:$A, A39, Input!$B:$B, "Schoonmaak")&gt;0, "OK", "MISSING"))</f>
        <v/>
      </c>
      <c r="E39">
        <f>IF(A39="","",IF(AND(B39="OK",C39="OK",D39="OK"), "✅ READY", "⚠️ INCOMPLETE"))</f>
        <v/>
      </c>
    </row>
    <row r="40">
      <c r="A40">
        <f>_xlfn.UNIQUE(_xlfn._xlws.FILTER(Input!A38:A5036, Input!A38:A5036&lt;&gt;""))</f>
        <v/>
      </c>
      <c r="B40">
        <f>IF(A40="","",IF(COUNTIFS(Input!$A:$A, A40, Input!$B:$B, "Basis")&gt;0, "OK", "MISSING"))</f>
        <v/>
      </c>
      <c r="C40">
        <f>IF(A40="","",IF(COUNTIFS(Input!$A:$A, A40, Input!$B:$B, "GWE")&gt;0, "OK", "MISSING"))</f>
        <v/>
      </c>
      <c r="D40">
        <f>IF(A40="","",IF(COUNTIFS(Input!$A:$A, A40, Input!$B:$B, "Schoonmaak")&gt;0, "OK", "MISSING"))</f>
        <v/>
      </c>
      <c r="E40">
        <f>IF(A40="","",IF(AND(B40="OK",C40="OK",D40="OK"), "✅ READY", "⚠️ INCOMPLETE"))</f>
        <v/>
      </c>
    </row>
    <row r="41">
      <c r="A41">
        <f>_xlfn.UNIQUE(_xlfn._xlws.FILTER(Input!A39:A5037, Input!A39:A5037&lt;&gt;""))</f>
        <v/>
      </c>
      <c r="B41">
        <f>IF(A41="","",IF(COUNTIFS(Input!$A:$A, A41, Input!$B:$B, "Basis")&gt;0, "OK", "MISSING"))</f>
        <v/>
      </c>
      <c r="C41">
        <f>IF(A41="","",IF(COUNTIFS(Input!$A:$A, A41, Input!$B:$B, "GWE")&gt;0, "OK", "MISSING"))</f>
        <v/>
      </c>
      <c r="D41">
        <f>IF(A41="","",IF(COUNTIFS(Input!$A:$A, A41, Input!$B:$B, "Schoonmaak")&gt;0, "OK", "MISSING"))</f>
        <v/>
      </c>
      <c r="E41">
        <f>IF(A41="","",IF(AND(B41="OK",C41="OK",D41="OK"), "✅ READY", "⚠️ INCOMPLETE"))</f>
        <v/>
      </c>
    </row>
    <row r="42">
      <c r="A42">
        <f>_xlfn.UNIQUE(_xlfn._xlws.FILTER(Input!A40:A5038, Input!A40:A5038&lt;&gt;""))</f>
        <v/>
      </c>
      <c r="B42">
        <f>IF(A42="","",IF(COUNTIFS(Input!$A:$A, A42, Input!$B:$B, "Basis")&gt;0, "OK", "MISSING"))</f>
        <v/>
      </c>
      <c r="C42">
        <f>IF(A42="","",IF(COUNTIFS(Input!$A:$A, A42, Input!$B:$B, "GWE")&gt;0, "OK", "MISSING"))</f>
        <v/>
      </c>
      <c r="D42">
        <f>IF(A42="","",IF(COUNTIFS(Input!$A:$A, A42, Input!$B:$B, "Schoonmaak")&gt;0, "OK", "MISSING"))</f>
        <v/>
      </c>
      <c r="E42">
        <f>IF(A42="","",IF(AND(B42="OK",C42="OK",D42="OK"), "✅ READY", "⚠️ INCOMPLETE"))</f>
        <v/>
      </c>
    </row>
    <row r="43">
      <c r="A43">
        <f>_xlfn.UNIQUE(_xlfn._xlws.FILTER(Input!A41:A5039, Input!A41:A5039&lt;&gt;""))</f>
        <v/>
      </c>
      <c r="B43">
        <f>IF(A43="","",IF(COUNTIFS(Input!$A:$A, A43, Input!$B:$B, "Basis")&gt;0, "OK", "MISSING"))</f>
        <v/>
      </c>
      <c r="C43">
        <f>IF(A43="","",IF(COUNTIFS(Input!$A:$A, A43, Input!$B:$B, "GWE")&gt;0, "OK", "MISSING"))</f>
        <v/>
      </c>
      <c r="D43">
        <f>IF(A43="","",IF(COUNTIFS(Input!$A:$A, A43, Input!$B:$B, "Schoonmaak")&gt;0, "OK", "MISSING"))</f>
        <v/>
      </c>
      <c r="E43">
        <f>IF(A43="","",IF(AND(B43="OK",C43="OK",D43="OK"), "✅ READY", "⚠️ INCOMPLETE"))</f>
        <v/>
      </c>
    </row>
    <row r="44">
      <c r="A44">
        <f>_xlfn.UNIQUE(_xlfn._xlws.FILTER(Input!A42:A5040, Input!A42:A5040&lt;&gt;""))</f>
        <v/>
      </c>
      <c r="B44">
        <f>IF(A44="","",IF(COUNTIFS(Input!$A:$A, A44, Input!$B:$B, "Basis")&gt;0, "OK", "MISSING"))</f>
        <v/>
      </c>
      <c r="C44">
        <f>IF(A44="","",IF(COUNTIFS(Input!$A:$A, A44, Input!$B:$B, "GWE")&gt;0, "OK", "MISSING"))</f>
        <v/>
      </c>
      <c r="D44">
        <f>IF(A44="","",IF(COUNTIFS(Input!$A:$A, A44, Input!$B:$B, "Schoonmaak")&gt;0, "OK", "MISSING"))</f>
        <v/>
      </c>
      <c r="E44">
        <f>IF(A44="","",IF(AND(B44="OK",C44="OK",D44="OK"), "✅ READY", "⚠️ INCOMPLETE"))</f>
        <v/>
      </c>
    </row>
    <row r="45">
      <c r="A45">
        <f>_xlfn.UNIQUE(_xlfn._xlws.FILTER(Input!A43:A5041, Input!A43:A5041&lt;&gt;""))</f>
        <v/>
      </c>
      <c r="B45">
        <f>IF(A45="","",IF(COUNTIFS(Input!$A:$A, A45, Input!$B:$B, "Basis")&gt;0, "OK", "MISSING"))</f>
        <v/>
      </c>
      <c r="C45">
        <f>IF(A45="","",IF(COUNTIFS(Input!$A:$A, A45, Input!$B:$B, "GWE")&gt;0, "OK", "MISSING"))</f>
        <v/>
      </c>
      <c r="D45">
        <f>IF(A45="","",IF(COUNTIFS(Input!$A:$A, A45, Input!$B:$B, "Schoonmaak")&gt;0, "OK", "MISSING"))</f>
        <v/>
      </c>
      <c r="E45">
        <f>IF(A45="","",IF(AND(B45="OK",C45="OK",D45="OK"), "✅ READY", "⚠️ INCOMPLETE"))</f>
        <v/>
      </c>
    </row>
    <row r="46">
      <c r="A46">
        <f>_xlfn.UNIQUE(_xlfn._xlws.FILTER(Input!A44:A5042, Input!A44:A5042&lt;&gt;""))</f>
        <v/>
      </c>
      <c r="B46">
        <f>IF(A46="","",IF(COUNTIFS(Input!$A:$A, A46, Input!$B:$B, "Basis")&gt;0, "OK", "MISSING"))</f>
        <v/>
      </c>
      <c r="C46">
        <f>IF(A46="","",IF(COUNTIFS(Input!$A:$A, A46, Input!$B:$B, "GWE")&gt;0, "OK", "MISSING"))</f>
        <v/>
      </c>
      <c r="D46">
        <f>IF(A46="","",IF(COUNTIFS(Input!$A:$A, A46, Input!$B:$B, "Schoonmaak")&gt;0, "OK", "MISSING"))</f>
        <v/>
      </c>
      <c r="E46">
        <f>IF(A46="","",IF(AND(B46="OK",C46="OK",D46="OK"), "✅ READY", "⚠️ INCOMPLETE"))</f>
        <v/>
      </c>
    </row>
    <row r="47">
      <c r="A47">
        <f>_xlfn.UNIQUE(_xlfn._xlws.FILTER(Input!A45:A5043, Input!A45:A5043&lt;&gt;""))</f>
        <v/>
      </c>
      <c r="B47">
        <f>IF(A47="","",IF(COUNTIFS(Input!$A:$A, A47, Input!$B:$B, "Basis")&gt;0, "OK", "MISSING"))</f>
        <v/>
      </c>
      <c r="C47">
        <f>IF(A47="","",IF(COUNTIFS(Input!$A:$A, A47, Input!$B:$B, "GWE")&gt;0, "OK", "MISSING"))</f>
        <v/>
      </c>
      <c r="D47">
        <f>IF(A47="","",IF(COUNTIFS(Input!$A:$A, A47, Input!$B:$B, "Schoonmaak")&gt;0, "OK", "MISSING"))</f>
        <v/>
      </c>
      <c r="E47">
        <f>IF(A47="","",IF(AND(B47="OK",C47="OK",D47="OK"), "✅ READY", "⚠️ INCOMPLETE"))</f>
        <v/>
      </c>
    </row>
    <row r="48">
      <c r="A48">
        <f>_xlfn.UNIQUE(_xlfn._xlws.FILTER(Input!A46:A5044, Input!A46:A5044&lt;&gt;""))</f>
        <v/>
      </c>
      <c r="B48">
        <f>IF(A48="","",IF(COUNTIFS(Input!$A:$A, A48, Input!$B:$B, "Basis")&gt;0, "OK", "MISSING"))</f>
        <v/>
      </c>
      <c r="C48">
        <f>IF(A48="","",IF(COUNTIFS(Input!$A:$A, A48, Input!$B:$B, "GWE")&gt;0, "OK", "MISSING"))</f>
        <v/>
      </c>
      <c r="D48">
        <f>IF(A48="","",IF(COUNTIFS(Input!$A:$A, A48, Input!$B:$B, "Schoonmaak")&gt;0, "OK", "MISSING"))</f>
        <v/>
      </c>
      <c r="E48">
        <f>IF(A48="","",IF(AND(B48="OK",C48="OK",D48="OK"), "✅ READY", "⚠️ INCOMPLETE"))</f>
        <v/>
      </c>
    </row>
    <row r="49">
      <c r="A49">
        <f>_xlfn.UNIQUE(_xlfn._xlws.FILTER(Input!A47:A5045, Input!A47:A5045&lt;&gt;""))</f>
        <v/>
      </c>
      <c r="B49">
        <f>IF(A49="","",IF(COUNTIFS(Input!$A:$A, A49, Input!$B:$B, "Basis")&gt;0, "OK", "MISSING"))</f>
        <v/>
      </c>
      <c r="C49">
        <f>IF(A49="","",IF(COUNTIFS(Input!$A:$A, A49, Input!$B:$B, "GWE")&gt;0, "OK", "MISSING"))</f>
        <v/>
      </c>
      <c r="D49">
        <f>IF(A49="","",IF(COUNTIFS(Input!$A:$A, A49, Input!$B:$B, "Schoonmaak")&gt;0, "OK", "MISSING"))</f>
        <v/>
      </c>
      <c r="E49">
        <f>IF(A49="","",IF(AND(B49="OK",C49="OK",D49="OK"), "✅ READY", "⚠️ INCOMPLETE"))</f>
        <v/>
      </c>
    </row>
    <row r="50">
      <c r="A50">
        <f>_xlfn.UNIQUE(_xlfn._xlws.FILTER(Input!A48:A5046, Input!A48:A5046&lt;&gt;""))</f>
        <v/>
      </c>
      <c r="B50">
        <f>IF(A50="","",IF(COUNTIFS(Input!$A:$A, A50, Input!$B:$B, "Basis")&gt;0, "OK", "MISSING"))</f>
        <v/>
      </c>
      <c r="C50">
        <f>IF(A50="","",IF(COUNTIFS(Input!$A:$A, A50, Input!$B:$B, "GWE")&gt;0, "OK", "MISSING"))</f>
        <v/>
      </c>
      <c r="D50">
        <f>IF(A50="","",IF(COUNTIFS(Input!$A:$A, A50, Input!$B:$B, "Schoonmaak")&gt;0, "OK", "MISSING"))</f>
        <v/>
      </c>
      <c r="E50">
        <f>IF(A50="","",IF(AND(B50="OK",C50="OK",D50="OK"), "✅ READY", "⚠️ INCOMPLETE"))</f>
        <v/>
      </c>
    </row>
    <row r="51">
      <c r="A51">
        <f>_xlfn.UNIQUE(_xlfn._xlws.FILTER(Input!A49:A5047, Input!A49:A5047&lt;&gt;""))</f>
        <v/>
      </c>
      <c r="B51">
        <f>IF(A51="","",IF(COUNTIFS(Input!$A:$A, A51, Input!$B:$B, "Basis")&gt;0, "OK", "MISSING"))</f>
        <v/>
      </c>
      <c r="C51">
        <f>IF(A51="","",IF(COUNTIFS(Input!$A:$A, A51, Input!$B:$B, "GWE")&gt;0, "OK", "MISSING"))</f>
        <v/>
      </c>
      <c r="D51">
        <f>IF(A51="","",IF(COUNTIFS(Input!$A:$A, A51, Input!$B:$B, "Schoonmaak")&gt;0, "OK", "MISSING"))</f>
        <v/>
      </c>
      <c r="E51">
        <f>IF(A51="","",IF(AND(B51="OK",C51="OK",D51="OK"), "✅ READY", "⚠️ INCOMPLETE"))</f>
        <v/>
      </c>
    </row>
    <row r="52">
      <c r="A52">
        <f>_xlfn.UNIQUE(_xlfn._xlws.FILTER(Input!A50:A5048, Input!A50:A5048&lt;&gt;""))</f>
        <v/>
      </c>
      <c r="B52">
        <f>IF(A52="","",IF(COUNTIFS(Input!$A:$A, A52, Input!$B:$B, "Basis")&gt;0, "OK", "MISSING"))</f>
        <v/>
      </c>
      <c r="C52">
        <f>IF(A52="","",IF(COUNTIFS(Input!$A:$A, A52, Input!$B:$B, "GWE")&gt;0, "OK", "MISSING"))</f>
        <v/>
      </c>
      <c r="D52">
        <f>IF(A52="","",IF(COUNTIFS(Input!$A:$A, A52, Input!$B:$B, "Schoonmaak")&gt;0, "OK", "MISSING"))</f>
        <v/>
      </c>
      <c r="E52">
        <f>IF(A52="","",IF(AND(B52="OK",C52="OK",D52="OK"), "✅ READY", "⚠️ INCOMPLETE"))</f>
        <v/>
      </c>
    </row>
    <row r="53">
      <c r="A53">
        <f>_xlfn.UNIQUE(_xlfn._xlws.FILTER(Input!A51:A5049, Input!A51:A5049&lt;&gt;""))</f>
        <v/>
      </c>
      <c r="B53">
        <f>IF(A53="","",IF(COUNTIFS(Input!$A:$A, A53, Input!$B:$B, "Basis")&gt;0, "OK", "MISSING"))</f>
        <v/>
      </c>
      <c r="C53">
        <f>IF(A53="","",IF(COUNTIFS(Input!$A:$A, A53, Input!$B:$B, "GWE")&gt;0, "OK", "MISSING"))</f>
        <v/>
      </c>
      <c r="D53">
        <f>IF(A53="","",IF(COUNTIFS(Input!$A:$A, A53, Input!$B:$B, "Schoonmaak")&gt;0, "OK", "MISSING"))</f>
        <v/>
      </c>
      <c r="E53">
        <f>IF(A53="","",IF(AND(B53="OK",C53="OK",D53="OK"), "✅ READY", "⚠️ INCOMPLETE"))</f>
        <v/>
      </c>
    </row>
    <row r="54">
      <c r="A54">
        <f>_xlfn.UNIQUE(_xlfn._xlws.FILTER(Input!A52:A5050, Input!A52:A5050&lt;&gt;""))</f>
        <v/>
      </c>
      <c r="B54">
        <f>IF(A54="","",IF(COUNTIFS(Input!$A:$A, A54, Input!$B:$B, "Basis")&gt;0, "OK", "MISSING"))</f>
        <v/>
      </c>
      <c r="C54">
        <f>IF(A54="","",IF(COUNTIFS(Input!$A:$A, A54, Input!$B:$B, "GWE")&gt;0, "OK", "MISSING"))</f>
        <v/>
      </c>
      <c r="D54">
        <f>IF(A54="","",IF(COUNTIFS(Input!$A:$A, A54, Input!$B:$B, "Schoonmaak")&gt;0, "OK", "MISSING"))</f>
        <v/>
      </c>
      <c r="E54">
        <f>IF(A54="","",IF(AND(B54="OK",C54="OK",D54="OK"), "✅ READY", "⚠️ INCOMPLETE"))</f>
        <v/>
      </c>
    </row>
    <row r="55">
      <c r="A55">
        <f>_xlfn.UNIQUE(_xlfn._xlws.FILTER(Input!A53:A5051, Input!A53:A5051&lt;&gt;""))</f>
        <v/>
      </c>
      <c r="B55">
        <f>IF(A55="","",IF(COUNTIFS(Input!$A:$A, A55, Input!$B:$B, "Basis")&gt;0, "OK", "MISSING"))</f>
        <v/>
      </c>
      <c r="C55">
        <f>IF(A55="","",IF(COUNTIFS(Input!$A:$A, A55, Input!$B:$B, "GWE")&gt;0, "OK", "MISSING"))</f>
        <v/>
      </c>
      <c r="D55">
        <f>IF(A55="","",IF(COUNTIFS(Input!$A:$A, A55, Input!$B:$B, "Schoonmaak")&gt;0, "OK", "MISSING"))</f>
        <v/>
      </c>
      <c r="E55">
        <f>IF(A55="","",IF(AND(B55="OK",C55="OK",D55="OK"), "✅ READY", "⚠️ INCOMPLETE"))</f>
        <v/>
      </c>
    </row>
    <row r="56">
      <c r="A56">
        <f>_xlfn.UNIQUE(_xlfn._xlws.FILTER(Input!A54:A5052, Input!A54:A5052&lt;&gt;""))</f>
        <v/>
      </c>
      <c r="B56">
        <f>IF(A56="","",IF(COUNTIFS(Input!$A:$A, A56, Input!$B:$B, "Basis")&gt;0, "OK", "MISSING"))</f>
        <v/>
      </c>
      <c r="C56">
        <f>IF(A56="","",IF(COUNTIFS(Input!$A:$A, A56, Input!$B:$B, "GWE")&gt;0, "OK", "MISSING"))</f>
        <v/>
      </c>
      <c r="D56">
        <f>IF(A56="","",IF(COUNTIFS(Input!$A:$A, A56, Input!$B:$B, "Schoonmaak")&gt;0, "OK", "MISSING"))</f>
        <v/>
      </c>
      <c r="E56">
        <f>IF(A56="","",IF(AND(B56="OK",C56="OK",D56="OK"), "✅ READY", "⚠️ INCOMPLETE"))</f>
        <v/>
      </c>
    </row>
    <row r="57">
      <c r="A57">
        <f>_xlfn.UNIQUE(_xlfn._xlws.FILTER(Input!A55:A5053, Input!A55:A5053&lt;&gt;""))</f>
        <v/>
      </c>
      <c r="B57">
        <f>IF(A57="","",IF(COUNTIFS(Input!$A:$A, A57, Input!$B:$B, "Basis")&gt;0, "OK", "MISSING"))</f>
        <v/>
      </c>
      <c r="C57">
        <f>IF(A57="","",IF(COUNTIFS(Input!$A:$A, A57, Input!$B:$B, "GWE")&gt;0, "OK", "MISSING"))</f>
        <v/>
      </c>
      <c r="D57">
        <f>IF(A57="","",IF(COUNTIFS(Input!$A:$A, A57, Input!$B:$B, "Schoonmaak")&gt;0, "OK", "MISSING"))</f>
        <v/>
      </c>
      <c r="E57">
        <f>IF(A57="","",IF(AND(B57="OK",C57="OK",D57="OK"), "✅ READY", "⚠️ INCOMPLETE"))</f>
        <v/>
      </c>
    </row>
    <row r="58">
      <c r="A58">
        <f>_xlfn.UNIQUE(_xlfn._xlws.FILTER(Input!A56:A5054, Input!A56:A5054&lt;&gt;""))</f>
        <v/>
      </c>
      <c r="B58">
        <f>IF(A58="","",IF(COUNTIFS(Input!$A:$A, A58, Input!$B:$B, "Basis")&gt;0, "OK", "MISSING"))</f>
        <v/>
      </c>
      <c r="C58">
        <f>IF(A58="","",IF(COUNTIFS(Input!$A:$A, A58, Input!$B:$B, "GWE")&gt;0, "OK", "MISSING"))</f>
        <v/>
      </c>
      <c r="D58">
        <f>IF(A58="","",IF(COUNTIFS(Input!$A:$A, A58, Input!$B:$B, "Schoonmaak")&gt;0, "OK", "MISSING"))</f>
        <v/>
      </c>
      <c r="E58">
        <f>IF(A58="","",IF(AND(B58="OK",C58="OK",D58="OK"), "✅ READY", "⚠️ INCOMPLETE"))</f>
        <v/>
      </c>
    </row>
    <row r="59">
      <c r="A59">
        <f>_xlfn.UNIQUE(_xlfn._xlws.FILTER(Input!A57:A5055, Input!A57:A5055&lt;&gt;""))</f>
        <v/>
      </c>
      <c r="B59">
        <f>IF(A59="","",IF(COUNTIFS(Input!$A:$A, A59, Input!$B:$B, "Basis")&gt;0, "OK", "MISSING"))</f>
        <v/>
      </c>
      <c r="C59">
        <f>IF(A59="","",IF(COUNTIFS(Input!$A:$A, A59, Input!$B:$B, "GWE")&gt;0, "OK", "MISSING"))</f>
        <v/>
      </c>
      <c r="D59">
        <f>IF(A59="","",IF(COUNTIFS(Input!$A:$A, A59, Input!$B:$B, "Schoonmaak")&gt;0, "OK", "MISSING"))</f>
        <v/>
      </c>
      <c r="E59">
        <f>IF(A59="","",IF(AND(B59="OK",C59="OK",D59="OK"), "✅ READY", "⚠️ INCOMPLETE"))</f>
        <v/>
      </c>
    </row>
    <row r="60">
      <c r="A60">
        <f>_xlfn.UNIQUE(_xlfn._xlws.FILTER(Input!A58:A5056, Input!A58:A5056&lt;&gt;""))</f>
        <v/>
      </c>
      <c r="B60">
        <f>IF(A60="","",IF(COUNTIFS(Input!$A:$A, A60, Input!$B:$B, "Basis")&gt;0, "OK", "MISSING"))</f>
        <v/>
      </c>
      <c r="C60">
        <f>IF(A60="","",IF(COUNTIFS(Input!$A:$A, A60, Input!$B:$B, "GWE")&gt;0, "OK", "MISSING"))</f>
        <v/>
      </c>
      <c r="D60">
        <f>IF(A60="","",IF(COUNTIFS(Input!$A:$A, A60, Input!$B:$B, "Schoonmaak")&gt;0, "OK", "MISSING"))</f>
        <v/>
      </c>
      <c r="E60">
        <f>IF(A60="","",IF(AND(B60="OK",C60="OK",D60="OK"), "✅ READY", "⚠️ INCOMPLETE"))</f>
        <v/>
      </c>
    </row>
    <row r="61">
      <c r="A61">
        <f>_xlfn.UNIQUE(_xlfn._xlws.FILTER(Input!A59:A5057, Input!A59:A5057&lt;&gt;""))</f>
        <v/>
      </c>
      <c r="B61">
        <f>IF(A61="","",IF(COUNTIFS(Input!$A:$A, A61, Input!$B:$B, "Basis")&gt;0, "OK", "MISSING"))</f>
        <v/>
      </c>
      <c r="C61">
        <f>IF(A61="","",IF(COUNTIFS(Input!$A:$A, A61, Input!$B:$B, "GWE")&gt;0, "OK", "MISSING"))</f>
        <v/>
      </c>
      <c r="D61">
        <f>IF(A61="","",IF(COUNTIFS(Input!$A:$A, A61, Input!$B:$B, "Schoonmaak")&gt;0, "OK", "MISSING"))</f>
        <v/>
      </c>
      <c r="E61">
        <f>IF(A61="","",IF(AND(B61="OK",C61="OK",D61="OK"), "✅ READY", "⚠️ INCOMPLETE"))</f>
        <v/>
      </c>
    </row>
    <row r="62">
      <c r="A62">
        <f>_xlfn.UNIQUE(_xlfn._xlws.FILTER(Input!A60:A5058, Input!A60:A5058&lt;&gt;""))</f>
        <v/>
      </c>
      <c r="B62">
        <f>IF(A62="","",IF(COUNTIFS(Input!$A:$A, A62, Input!$B:$B, "Basis")&gt;0, "OK", "MISSING"))</f>
        <v/>
      </c>
      <c r="C62">
        <f>IF(A62="","",IF(COUNTIFS(Input!$A:$A, A62, Input!$B:$B, "GWE")&gt;0, "OK", "MISSING"))</f>
        <v/>
      </c>
      <c r="D62">
        <f>IF(A62="","",IF(COUNTIFS(Input!$A:$A, A62, Input!$B:$B, "Schoonmaak")&gt;0, "OK", "MISSING"))</f>
        <v/>
      </c>
      <c r="E62">
        <f>IF(A62="","",IF(AND(B62="OK",C62="OK",D62="OK"), "✅ READY", "⚠️ INCOMPLETE"))</f>
        <v/>
      </c>
    </row>
    <row r="63">
      <c r="A63">
        <f>_xlfn.UNIQUE(_xlfn._xlws.FILTER(Input!A61:A5059, Input!A61:A5059&lt;&gt;""))</f>
        <v/>
      </c>
      <c r="B63">
        <f>IF(A63="","",IF(COUNTIFS(Input!$A:$A, A63, Input!$B:$B, "Basis")&gt;0, "OK", "MISSING"))</f>
        <v/>
      </c>
      <c r="C63">
        <f>IF(A63="","",IF(COUNTIFS(Input!$A:$A, A63, Input!$B:$B, "GWE")&gt;0, "OK", "MISSING"))</f>
        <v/>
      </c>
      <c r="D63">
        <f>IF(A63="","",IF(COUNTIFS(Input!$A:$A, A63, Input!$B:$B, "Schoonmaak")&gt;0, "OK", "MISSING"))</f>
        <v/>
      </c>
      <c r="E63">
        <f>IF(A63="","",IF(AND(B63="OK",C63="OK",D63="OK"), "✅ READY", "⚠️ INCOMPLETE"))</f>
        <v/>
      </c>
    </row>
    <row r="64">
      <c r="A64">
        <f>_xlfn.UNIQUE(_xlfn._xlws.FILTER(Input!A62:A5060, Input!A62:A5060&lt;&gt;""))</f>
        <v/>
      </c>
      <c r="B64">
        <f>IF(A64="","",IF(COUNTIFS(Input!$A:$A, A64, Input!$B:$B, "Basis")&gt;0, "OK", "MISSING"))</f>
        <v/>
      </c>
      <c r="C64">
        <f>IF(A64="","",IF(COUNTIFS(Input!$A:$A, A64, Input!$B:$B, "GWE")&gt;0, "OK", "MISSING"))</f>
        <v/>
      </c>
      <c r="D64">
        <f>IF(A64="","",IF(COUNTIFS(Input!$A:$A, A64, Input!$B:$B, "Schoonmaak")&gt;0, "OK", "MISSING"))</f>
        <v/>
      </c>
      <c r="E64">
        <f>IF(A64="","",IF(AND(B64="OK",C64="OK",D64="OK"), "✅ READY", "⚠️ INCOMPLETE"))</f>
        <v/>
      </c>
    </row>
    <row r="65">
      <c r="A65">
        <f>_xlfn.UNIQUE(_xlfn._xlws.FILTER(Input!A63:A5061, Input!A63:A5061&lt;&gt;""))</f>
        <v/>
      </c>
      <c r="B65">
        <f>IF(A65="","",IF(COUNTIFS(Input!$A:$A, A65, Input!$B:$B, "Basis")&gt;0, "OK", "MISSING"))</f>
        <v/>
      </c>
      <c r="C65">
        <f>IF(A65="","",IF(COUNTIFS(Input!$A:$A, A65, Input!$B:$B, "GWE")&gt;0, "OK", "MISSING"))</f>
        <v/>
      </c>
      <c r="D65">
        <f>IF(A65="","",IF(COUNTIFS(Input!$A:$A, A65, Input!$B:$B, "Schoonmaak")&gt;0, "OK", "MISSING"))</f>
        <v/>
      </c>
      <c r="E65">
        <f>IF(A65="","",IF(AND(B65="OK",C65="OK",D65="OK"), "✅ READY", "⚠️ INCOMPLETE"))</f>
        <v/>
      </c>
    </row>
    <row r="66">
      <c r="A66">
        <f>_xlfn.UNIQUE(_xlfn._xlws.FILTER(Input!A64:A5062, Input!A64:A5062&lt;&gt;""))</f>
        <v/>
      </c>
      <c r="B66">
        <f>IF(A66="","",IF(COUNTIFS(Input!$A:$A, A66, Input!$B:$B, "Basis")&gt;0, "OK", "MISSING"))</f>
        <v/>
      </c>
      <c r="C66">
        <f>IF(A66="","",IF(COUNTIFS(Input!$A:$A, A66, Input!$B:$B, "GWE")&gt;0, "OK", "MISSING"))</f>
        <v/>
      </c>
      <c r="D66">
        <f>IF(A66="","",IF(COUNTIFS(Input!$A:$A, A66, Input!$B:$B, "Schoonmaak")&gt;0, "OK", "MISSING"))</f>
        <v/>
      </c>
      <c r="E66">
        <f>IF(A66="","",IF(AND(B66="OK",C66="OK",D66="OK"), "✅ READY", "⚠️ INCOMPLETE"))</f>
        <v/>
      </c>
    </row>
    <row r="67">
      <c r="A67">
        <f>_xlfn.UNIQUE(_xlfn._xlws.FILTER(Input!A65:A5063, Input!A65:A5063&lt;&gt;""))</f>
        <v/>
      </c>
      <c r="B67">
        <f>IF(A67="","",IF(COUNTIFS(Input!$A:$A, A67, Input!$B:$B, "Basis")&gt;0, "OK", "MISSING"))</f>
        <v/>
      </c>
      <c r="C67">
        <f>IF(A67="","",IF(COUNTIFS(Input!$A:$A, A67, Input!$B:$B, "GWE")&gt;0, "OK", "MISSING"))</f>
        <v/>
      </c>
      <c r="D67">
        <f>IF(A67="","",IF(COUNTIFS(Input!$A:$A, A67, Input!$B:$B, "Schoonmaak")&gt;0, "OK", "MISSING"))</f>
        <v/>
      </c>
      <c r="E67">
        <f>IF(A67="","",IF(AND(B67="OK",C67="OK",D67="OK"), "✅ READY", "⚠️ INCOMPLETE"))</f>
        <v/>
      </c>
    </row>
    <row r="68">
      <c r="A68">
        <f>_xlfn.UNIQUE(_xlfn._xlws.FILTER(Input!A66:A5064, Input!A66:A5064&lt;&gt;""))</f>
        <v/>
      </c>
      <c r="B68">
        <f>IF(A68="","",IF(COUNTIFS(Input!$A:$A, A68, Input!$B:$B, "Basis")&gt;0, "OK", "MISSING"))</f>
        <v/>
      </c>
      <c r="C68">
        <f>IF(A68="","",IF(COUNTIFS(Input!$A:$A, A68, Input!$B:$B, "GWE")&gt;0, "OK", "MISSING"))</f>
        <v/>
      </c>
      <c r="D68">
        <f>IF(A68="","",IF(COUNTIFS(Input!$A:$A, A68, Input!$B:$B, "Schoonmaak")&gt;0, "OK", "MISSING"))</f>
        <v/>
      </c>
      <c r="E68">
        <f>IF(A68="","",IF(AND(B68="OK",C68="OK",D68="OK"), "✅ READY", "⚠️ INCOMPLETE"))</f>
        <v/>
      </c>
    </row>
    <row r="69">
      <c r="A69">
        <f>_xlfn.UNIQUE(_xlfn._xlws.FILTER(Input!A67:A5065, Input!A67:A5065&lt;&gt;""))</f>
        <v/>
      </c>
      <c r="B69">
        <f>IF(A69="","",IF(COUNTIFS(Input!$A:$A, A69, Input!$B:$B, "Basis")&gt;0, "OK", "MISSING"))</f>
        <v/>
      </c>
      <c r="C69">
        <f>IF(A69="","",IF(COUNTIFS(Input!$A:$A, A69, Input!$B:$B, "GWE")&gt;0, "OK", "MISSING"))</f>
        <v/>
      </c>
      <c r="D69">
        <f>IF(A69="","",IF(COUNTIFS(Input!$A:$A, A69, Input!$B:$B, "Schoonmaak")&gt;0, "OK", "MISSING"))</f>
        <v/>
      </c>
      <c r="E69">
        <f>IF(A69="","",IF(AND(B69="OK",C69="OK",D69="OK"), "✅ READY", "⚠️ INCOMPLETE"))</f>
        <v/>
      </c>
    </row>
    <row r="70">
      <c r="A70">
        <f>_xlfn.UNIQUE(_xlfn._xlws.FILTER(Input!A68:A5066, Input!A68:A5066&lt;&gt;""))</f>
        <v/>
      </c>
      <c r="B70">
        <f>IF(A70="","",IF(COUNTIFS(Input!$A:$A, A70, Input!$B:$B, "Basis")&gt;0, "OK", "MISSING"))</f>
        <v/>
      </c>
      <c r="C70">
        <f>IF(A70="","",IF(COUNTIFS(Input!$A:$A, A70, Input!$B:$B, "GWE")&gt;0, "OK", "MISSING"))</f>
        <v/>
      </c>
      <c r="D70">
        <f>IF(A70="","",IF(COUNTIFS(Input!$A:$A, A70, Input!$B:$B, "Schoonmaak")&gt;0, "OK", "MISSING"))</f>
        <v/>
      </c>
      <c r="E70">
        <f>IF(A70="","",IF(AND(B70="OK",C70="OK",D70="OK"), "✅ READY", "⚠️ INCOMPLETE"))</f>
        <v/>
      </c>
    </row>
    <row r="71">
      <c r="A71">
        <f>_xlfn.UNIQUE(_xlfn._xlws.FILTER(Input!A69:A5067, Input!A69:A5067&lt;&gt;""))</f>
        <v/>
      </c>
      <c r="B71">
        <f>IF(A71="","",IF(COUNTIFS(Input!$A:$A, A71, Input!$B:$B, "Basis")&gt;0, "OK", "MISSING"))</f>
        <v/>
      </c>
      <c r="C71">
        <f>IF(A71="","",IF(COUNTIFS(Input!$A:$A, A71, Input!$B:$B, "GWE")&gt;0, "OK", "MISSING"))</f>
        <v/>
      </c>
      <c r="D71">
        <f>IF(A71="","",IF(COUNTIFS(Input!$A:$A, A71, Input!$B:$B, "Schoonmaak")&gt;0, "OK", "MISSING"))</f>
        <v/>
      </c>
      <c r="E71">
        <f>IF(A71="","",IF(AND(B71="OK",C71="OK",D71="OK"), "✅ READY", "⚠️ INCOMPLETE"))</f>
        <v/>
      </c>
    </row>
    <row r="72">
      <c r="A72">
        <f>_xlfn.UNIQUE(_xlfn._xlws.FILTER(Input!A70:A5068, Input!A70:A5068&lt;&gt;""))</f>
        <v/>
      </c>
      <c r="B72">
        <f>IF(A72="","",IF(COUNTIFS(Input!$A:$A, A72, Input!$B:$B, "Basis")&gt;0, "OK", "MISSING"))</f>
        <v/>
      </c>
      <c r="C72">
        <f>IF(A72="","",IF(COUNTIFS(Input!$A:$A, A72, Input!$B:$B, "GWE")&gt;0, "OK", "MISSING"))</f>
        <v/>
      </c>
      <c r="D72">
        <f>IF(A72="","",IF(COUNTIFS(Input!$A:$A, A72, Input!$B:$B, "Schoonmaak")&gt;0, "OK", "MISSING"))</f>
        <v/>
      </c>
      <c r="E72">
        <f>IF(A72="","",IF(AND(B72="OK",C72="OK",D72="OK"), "✅ READY", "⚠️ INCOMPLETE"))</f>
        <v/>
      </c>
    </row>
    <row r="73">
      <c r="A73">
        <f>_xlfn.UNIQUE(_xlfn._xlws.FILTER(Input!A71:A5069, Input!A71:A5069&lt;&gt;""))</f>
        <v/>
      </c>
      <c r="B73">
        <f>IF(A73="","",IF(COUNTIFS(Input!$A:$A, A73, Input!$B:$B, "Basis")&gt;0, "OK", "MISSING"))</f>
        <v/>
      </c>
      <c r="C73">
        <f>IF(A73="","",IF(COUNTIFS(Input!$A:$A, A73, Input!$B:$B, "GWE")&gt;0, "OK", "MISSING"))</f>
        <v/>
      </c>
      <c r="D73">
        <f>IF(A73="","",IF(COUNTIFS(Input!$A:$A, A73, Input!$B:$B, "Schoonmaak")&gt;0, "OK", "MISSING"))</f>
        <v/>
      </c>
      <c r="E73">
        <f>IF(A73="","",IF(AND(B73="OK",C73="OK",D73="OK"), "✅ READY", "⚠️ INCOMPLETE"))</f>
        <v/>
      </c>
    </row>
    <row r="74">
      <c r="A74">
        <f>_xlfn.UNIQUE(_xlfn._xlws.FILTER(Input!A72:A5070, Input!A72:A5070&lt;&gt;""))</f>
        <v/>
      </c>
      <c r="B74">
        <f>IF(A74="","",IF(COUNTIFS(Input!$A:$A, A74, Input!$B:$B, "Basis")&gt;0, "OK", "MISSING"))</f>
        <v/>
      </c>
      <c r="C74">
        <f>IF(A74="","",IF(COUNTIFS(Input!$A:$A, A74, Input!$B:$B, "GWE")&gt;0, "OK", "MISSING"))</f>
        <v/>
      </c>
      <c r="D74">
        <f>IF(A74="","",IF(COUNTIFS(Input!$A:$A, A74, Input!$B:$B, "Schoonmaak")&gt;0, "OK", "MISSING"))</f>
        <v/>
      </c>
      <c r="E74">
        <f>IF(A74="","",IF(AND(B74="OK",C74="OK",D74="OK"), "✅ READY", "⚠️ INCOMPLETE"))</f>
        <v/>
      </c>
    </row>
    <row r="75">
      <c r="A75">
        <f>_xlfn.UNIQUE(_xlfn._xlws.FILTER(Input!A73:A5071, Input!A73:A5071&lt;&gt;""))</f>
        <v/>
      </c>
      <c r="B75">
        <f>IF(A75="","",IF(COUNTIFS(Input!$A:$A, A75, Input!$B:$B, "Basis")&gt;0, "OK", "MISSING"))</f>
        <v/>
      </c>
      <c r="C75">
        <f>IF(A75="","",IF(COUNTIFS(Input!$A:$A, A75, Input!$B:$B, "GWE")&gt;0, "OK", "MISSING"))</f>
        <v/>
      </c>
      <c r="D75">
        <f>IF(A75="","",IF(COUNTIFS(Input!$A:$A, A75, Input!$B:$B, "Schoonmaak")&gt;0, "OK", "MISSING"))</f>
        <v/>
      </c>
      <c r="E75">
        <f>IF(A75="","",IF(AND(B75="OK",C75="OK",D75="OK"), "✅ READY", "⚠️ INCOMPLETE"))</f>
        <v/>
      </c>
    </row>
    <row r="76">
      <c r="A76">
        <f>_xlfn.UNIQUE(_xlfn._xlws.FILTER(Input!A74:A5072, Input!A74:A5072&lt;&gt;""))</f>
        <v/>
      </c>
      <c r="B76">
        <f>IF(A76="","",IF(COUNTIFS(Input!$A:$A, A76, Input!$B:$B, "Basis")&gt;0, "OK", "MISSING"))</f>
        <v/>
      </c>
      <c r="C76">
        <f>IF(A76="","",IF(COUNTIFS(Input!$A:$A, A76, Input!$B:$B, "GWE")&gt;0, "OK", "MISSING"))</f>
        <v/>
      </c>
      <c r="D76">
        <f>IF(A76="","",IF(COUNTIFS(Input!$A:$A, A76, Input!$B:$B, "Schoonmaak")&gt;0, "OK", "MISSING"))</f>
        <v/>
      </c>
      <c r="E76">
        <f>IF(A76="","",IF(AND(B76="OK",C76="OK",D76="OK"), "✅ READY", "⚠️ INCOMPLETE"))</f>
        <v/>
      </c>
    </row>
    <row r="77">
      <c r="A77">
        <f>_xlfn.UNIQUE(_xlfn._xlws.FILTER(Input!A75:A5073, Input!A75:A5073&lt;&gt;""))</f>
        <v/>
      </c>
      <c r="B77">
        <f>IF(A77="","",IF(COUNTIFS(Input!$A:$A, A77, Input!$B:$B, "Basis")&gt;0, "OK", "MISSING"))</f>
        <v/>
      </c>
      <c r="C77">
        <f>IF(A77="","",IF(COUNTIFS(Input!$A:$A, A77, Input!$B:$B, "GWE")&gt;0, "OK", "MISSING"))</f>
        <v/>
      </c>
      <c r="D77">
        <f>IF(A77="","",IF(COUNTIFS(Input!$A:$A, A77, Input!$B:$B, "Schoonmaak")&gt;0, "OK", "MISSING"))</f>
        <v/>
      </c>
      <c r="E77">
        <f>IF(A77="","",IF(AND(B77="OK",C77="OK",D77="OK"), "✅ READY", "⚠️ INCOMPLETE"))</f>
        <v/>
      </c>
    </row>
    <row r="78">
      <c r="A78">
        <f>_xlfn.UNIQUE(_xlfn._xlws.FILTER(Input!A76:A5074, Input!A76:A5074&lt;&gt;""))</f>
        <v/>
      </c>
      <c r="B78">
        <f>IF(A78="","",IF(COUNTIFS(Input!$A:$A, A78, Input!$B:$B, "Basis")&gt;0, "OK", "MISSING"))</f>
        <v/>
      </c>
      <c r="C78">
        <f>IF(A78="","",IF(COUNTIFS(Input!$A:$A, A78, Input!$B:$B, "GWE")&gt;0, "OK", "MISSING"))</f>
        <v/>
      </c>
      <c r="D78">
        <f>IF(A78="","",IF(COUNTIFS(Input!$A:$A, A78, Input!$B:$B, "Schoonmaak")&gt;0, "OK", "MISSING"))</f>
        <v/>
      </c>
      <c r="E78">
        <f>IF(A78="","",IF(AND(B78="OK",C78="OK",D78="OK"), "✅ READY", "⚠️ INCOMPLETE"))</f>
        <v/>
      </c>
    </row>
    <row r="79">
      <c r="A79">
        <f>_xlfn.UNIQUE(_xlfn._xlws.FILTER(Input!A77:A5075, Input!A77:A5075&lt;&gt;""))</f>
        <v/>
      </c>
      <c r="B79">
        <f>IF(A79="","",IF(COUNTIFS(Input!$A:$A, A79, Input!$B:$B, "Basis")&gt;0, "OK", "MISSING"))</f>
        <v/>
      </c>
      <c r="C79">
        <f>IF(A79="","",IF(COUNTIFS(Input!$A:$A, A79, Input!$B:$B, "GWE")&gt;0, "OK", "MISSING"))</f>
        <v/>
      </c>
      <c r="D79">
        <f>IF(A79="","",IF(COUNTIFS(Input!$A:$A, A79, Input!$B:$B, "Schoonmaak")&gt;0, "OK", "MISSING"))</f>
        <v/>
      </c>
      <c r="E79">
        <f>IF(A79="","",IF(AND(B79="OK",C79="OK",D79="OK"), "✅ READY", "⚠️ INCOMPLETE"))</f>
        <v/>
      </c>
    </row>
    <row r="80">
      <c r="A80">
        <f>_xlfn.UNIQUE(_xlfn._xlws.FILTER(Input!A78:A5076, Input!A78:A5076&lt;&gt;""))</f>
        <v/>
      </c>
      <c r="B80">
        <f>IF(A80="","",IF(COUNTIFS(Input!$A:$A, A80, Input!$B:$B, "Basis")&gt;0, "OK", "MISSING"))</f>
        <v/>
      </c>
      <c r="C80">
        <f>IF(A80="","",IF(COUNTIFS(Input!$A:$A, A80, Input!$B:$B, "GWE")&gt;0, "OK", "MISSING"))</f>
        <v/>
      </c>
      <c r="D80">
        <f>IF(A80="","",IF(COUNTIFS(Input!$A:$A, A80, Input!$B:$B, "Schoonmaak")&gt;0, "OK", "MISSING"))</f>
        <v/>
      </c>
      <c r="E80">
        <f>IF(A80="","",IF(AND(B80="OK",C80="OK",D80="OK"), "✅ READY", "⚠️ INCOMPLETE"))</f>
        <v/>
      </c>
    </row>
    <row r="81">
      <c r="A81">
        <f>_xlfn.UNIQUE(_xlfn._xlws.FILTER(Input!A79:A5077, Input!A79:A5077&lt;&gt;""))</f>
        <v/>
      </c>
      <c r="B81">
        <f>IF(A81="","",IF(COUNTIFS(Input!$A:$A, A81, Input!$B:$B, "Basis")&gt;0, "OK", "MISSING"))</f>
        <v/>
      </c>
      <c r="C81">
        <f>IF(A81="","",IF(COUNTIFS(Input!$A:$A, A81, Input!$B:$B, "GWE")&gt;0, "OK", "MISSING"))</f>
        <v/>
      </c>
      <c r="D81">
        <f>IF(A81="","",IF(COUNTIFS(Input!$A:$A, A81, Input!$B:$B, "Schoonmaak")&gt;0, "OK", "MISSING"))</f>
        <v/>
      </c>
      <c r="E81">
        <f>IF(A81="","",IF(AND(B81="OK",C81="OK",D81="OK"), "✅ READY", "⚠️ INCOMPLETE"))</f>
        <v/>
      </c>
    </row>
    <row r="82">
      <c r="A82">
        <f>_xlfn.UNIQUE(_xlfn._xlws.FILTER(Input!A80:A5078, Input!A80:A5078&lt;&gt;""))</f>
        <v/>
      </c>
      <c r="B82">
        <f>IF(A82="","",IF(COUNTIFS(Input!$A:$A, A82, Input!$B:$B, "Basis")&gt;0, "OK", "MISSING"))</f>
        <v/>
      </c>
      <c r="C82">
        <f>IF(A82="","",IF(COUNTIFS(Input!$A:$A, A82, Input!$B:$B, "GWE")&gt;0, "OK", "MISSING"))</f>
        <v/>
      </c>
      <c r="D82">
        <f>IF(A82="","",IF(COUNTIFS(Input!$A:$A, A82, Input!$B:$B, "Schoonmaak")&gt;0, "OK", "MISSING"))</f>
        <v/>
      </c>
      <c r="E82">
        <f>IF(A82="","",IF(AND(B82="OK",C82="OK",D82="OK"), "✅ READY", "⚠️ INCOMPLETE"))</f>
        <v/>
      </c>
    </row>
    <row r="83">
      <c r="A83">
        <f>_xlfn.UNIQUE(_xlfn._xlws.FILTER(Input!A81:A5079, Input!A81:A5079&lt;&gt;""))</f>
        <v/>
      </c>
      <c r="B83">
        <f>IF(A83="","",IF(COUNTIFS(Input!$A:$A, A83, Input!$B:$B, "Basis")&gt;0, "OK", "MISSING"))</f>
        <v/>
      </c>
      <c r="C83">
        <f>IF(A83="","",IF(COUNTIFS(Input!$A:$A, A83, Input!$B:$B, "GWE")&gt;0, "OK", "MISSING"))</f>
        <v/>
      </c>
      <c r="D83">
        <f>IF(A83="","",IF(COUNTIFS(Input!$A:$A, A83, Input!$B:$B, "Schoonmaak")&gt;0, "OK", "MISSING"))</f>
        <v/>
      </c>
      <c r="E83">
        <f>IF(A83="","",IF(AND(B83="OK",C83="OK",D83="OK"), "✅ READY", "⚠️ INCOMPLETE"))</f>
        <v/>
      </c>
    </row>
    <row r="84">
      <c r="A84">
        <f>_xlfn.UNIQUE(_xlfn._xlws.FILTER(Input!A82:A5080, Input!A82:A5080&lt;&gt;""))</f>
        <v/>
      </c>
      <c r="B84">
        <f>IF(A84="","",IF(COUNTIFS(Input!$A:$A, A84, Input!$B:$B, "Basis")&gt;0, "OK", "MISSING"))</f>
        <v/>
      </c>
      <c r="C84">
        <f>IF(A84="","",IF(COUNTIFS(Input!$A:$A, A84, Input!$B:$B, "GWE")&gt;0, "OK", "MISSING"))</f>
        <v/>
      </c>
      <c r="D84">
        <f>IF(A84="","",IF(COUNTIFS(Input!$A:$A, A84, Input!$B:$B, "Schoonmaak")&gt;0, "OK", "MISSING"))</f>
        <v/>
      </c>
      <c r="E84">
        <f>IF(A84="","",IF(AND(B84="OK",C84="OK",D84="OK"), "✅ READY", "⚠️ INCOMPLETE"))</f>
        <v/>
      </c>
    </row>
    <row r="85">
      <c r="A85">
        <f>_xlfn.UNIQUE(_xlfn._xlws.FILTER(Input!A83:A5081, Input!A83:A5081&lt;&gt;""))</f>
        <v/>
      </c>
      <c r="B85">
        <f>IF(A85="","",IF(COUNTIFS(Input!$A:$A, A85, Input!$B:$B, "Basis")&gt;0, "OK", "MISSING"))</f>
        <v/>
      </c>
      <c r="C85">
        <f>IF(A85="","",IF(COUNTIFS(Input!$A:$A, A85, Input!$B:$B, "GWE")&gt;0, "OK", "MISSING"))</f>
        <v/>
      </c>
      <c r="D85">
        <f>IF(A85="","",IF(COUNTIFS(Input!$A:$A, A85, Input!$B:$B, "Schoonmaak")&gt;0, "OK", "MISSING"))</f>
        <v/>
      </c>
      <c r="E85">
        <f>IF(A85="","",IF(AND(B85="OK",C85="OK",D85="OK"), "✅ READY", "⚠️ INCOMPLETE"))</f>
        <v/>
      </c>
    </row>
    <row r="86">
      <c r="A86">
        <f>_xlfn.UNIQUE(_xlfn._xlws.FILTER(Input!A84:A5082, Input!A84:A5082&lt;&gt;""))</f>
        <v/>
      </c>
      <c r="B86">
        <f>IF(A86="","",IF(COUNTIFS(Input!$A:$A, A86, Input!$B:$B, "Basis")&gt;0, "OK", "MISSING"))</f>
        <v/>
      </c>
      <c r="C86">
        <f>IF(A86="","",IF(COUNTIFS(Input!$A:$A, A86, Input!$B:$B, "GWE")&gt;0, "OK", "MISSING"))</f>
        <v/>
      </c>
      <c r="D86">
        <f>IF(A86="","",IF(COUNTIFS(Input!$A:$A, A86, Input!$B:$B, "Schoonmaak")&gt;0, "OK", "MISSING"))</f>
        <v/>
      </c>
      <c r="E86">
        <f>IF(A86="","",IF(AND(B86="OK",C86="OK",D86="OK"), "✅ READY", "⚠️ INCOMPLETE"))</f>
        <v/>
      </c>
    </row>
    <row r="87">
      <c r="A87">
        <f>_xlfn.UNIQUE(_xlfn._xlws.FILTER(Input!A85:A5083, Input!A85:A5083&lt;&gt;""))</f>
        <v/>
      </c>
      <c r="B87">
        <f>IF(A87="","",IF(COUNTIFS(Input!$A:$A, A87, Input!$B:$B, "Basis")&gt;0, "OK", "MISSING"))</f>
        <v/>
      </c>
      <c r="C87">
        <f>IF(A87="","",IF(COUNTIFS(Input!$A:$A, A87, Input!$B:$B, "GWE")&gt;0, "OK", "MISSING"))</f>
        <v/>
      </c>
      <c r="D87">
        <f>IF(A87="","",IF(COUNTIFS(Input!$A:$A, A87, Input!$B:$B, "Schoonmaak")&gt;0, "OK", "MISSING"))</f>
        <v/>
      </c>
      <c r="E87">
        <f>IF(A87="","",IF(AND(B87="OK",C87="OK",D87="OK"), "✅ READY", "⚠️ INCOMPLETE"))</f>
        <v/>
      </c>
    </row>
    <row r="88">
      <c r="A88">
        <f>_xlfn.UNIQUE(_xlfn._xlws.FILTER(Input!A86:A5084, Input!A86:A5084&lt;&gt;""))</f>
        <v/>
      </c>
      <c r="B88">
        <f>IF(A88="","",IF(COUNTIFS(Input!$A:$A, A88, Input!$B:$B, "Basis")&gt;0, "OK", "MISSING"))</f>
        <v/>
      </c>
      <c r="C88">
        <f>IF(A88="","",IF(COUNTIFS(Input!$A:$A, A88, Input!$B:$B, "GWE")&gt;0, "OK", "MISSING"))</f>
        <v/>
      </c>
      <c r="D88">
        <f>IF(A88="","",IF(COUNTIFS(Input!$A:$A, A88, Input!$B:$B, "Schoonmaak")&gt;0, "OK", "MISSING"))</f>
        <v/>
      </c>
      <c r="E88">
        <f>IF(A88="","",IF(AND(B88="OK",C88="OK",D88="OK"), "✅ READY", "⚠️ INCOMPLETE"))</f>
        <v/>
      </c>
    </row>
    <row r="89">
      <c r="A89">
        <f>_xlfn.UNIQUE(_xlfn._xlws.FILTER(Input!A87:A5085, Input!A87:A5085&lt;&gt;""))</f>
        <v/>
      </c>
      <c r="B89">
        <f>IF(A89="","",IF(COUNTIFS(Input!$A:$A, A89, Input!$B:$B, "Basis")&gt;0, "OK", "MISSING"))</f>
        <v/>
      </c>
      <c r="C89">
        <f>IF(A89="","",IF(COUNTIFS(Input!$A:$A, A89, Input!$B:$B, "GWE")&gt;0, "OK", "MISSING"))</f>
        <v/>
      </c>
      <c r="D89">
        <f>IF(A89="","",IF(COUNTIFS(Input!$A:$A, A89, Input!$B:$B, "Schoonmaak")&gt;0, "OK", "MISSING"))</f>
        <v/>
      </c>
      <c r="E89">
        <f>IF(A89="","",IF(AND(B89="OK",C89="OK",D89="OK"), "✅ READY", "⚠️ INCOMPLETE"))</f>
        <v/>
      </c>
    </row>
    <row r="90">
      <c r="A90">
        <f>_xlfn.UNIQUE(_xlfn._xlws.FILTER(Input!A88:A5086, Input!A88:A5086&lt;&gt;""))</f>
        <v/>
      </c>
      <c r="B90">
        <f>IF(A90="","",IF(COUNTIFS(Input!$A:$A, A90, Input!$B:$B, "Basis")&gt;0, "OK", "MISSING"))</f>
        <v/>
      </c>
      <c r="C90">
        <f>IF(A90="","",IF(COUNTIFS(Input!$A:$A, A90, Input!$B:$B, "GWE")&gt;0, "OK", "MISSING"))</f>
        <v/>
      </c>
      <c r="D90">
        <f>IF(A90="","",IF(COUNTIFS(Input!$A:$A, A90, Input!$B:$B, "Schoonmaak")&gt;0, "OK", "MISSING"))</f>
        <v/>
      </c>
      <c r="E90">
        <f>IF(A90="","",IF(AND(B90="OK",C90="OK",D90="OK"), "✅ READY", "⚠️ INCOMPLETE"))</f>
        <v/>
      </c>
    </row>
    <row r="91">
      <c r="A91">
        <f>_xlfn.UNIQUE(_xlfn._xlws.FILTER(Input!A89:A5087, Input!A89:A5087&lt;&gt;""))</f>
        <v/>
      </c>
      <c r="B91">
        <f>IF(A91="","",IF(COUNTIFS(Input!$A:$A, A91, Input!$B:$B, "Basis")&gt;0, "OK", "MISSING"))</f>
        <v/>
      </c>
      <c r="C91">
        <f>IF(A91="","",IF(COUNTIFS(Input!$A:$A, A91, Input!$B:$B, "GWE")&gt;0, "OK", "MISSING"))</f>
        <v/>
      </c>
      <c r="D91">
        <f>IF(A91="","",IF(COUNTIFS(Input!$A:$A, A91, Input!$B:$B, "Schoonmaak")&gt;0, "OK", "MISSING"))</f>
        <v/>
      </c>
      <c r="E91">
        <f>IF(A91="","",IF(AND(B91="OK",C91="OK",D91="OK"), "✅ READY", "⚠️ INCOMPLETE"))</f>
        <v/>
      </c>
    </row>
    <row r="92">
      <c r="A92">
        <f>_xlfn.UNIQUE(_xlfn._xlws.FILTER(Input!A90:A5088, Input!A90:A5088&lt;&gt;""))</f>
        <v/>
      </c>
      <c r="B92">
        <f>IF(A92="","",IF(COUNTIFS(Input!$A:$A, A92, Input!$B:$B, "Basis")&gt;0, "OK", "MISSING"))</f>
        <v/>
      </c>
      <c r="C92">
        <f>IF(A92="","",IF(COUNTIFS(Input!$A:$A, A92, Input!$B:$B, "GWE")&gt;0, "OK", "MISSING"))</f>
        <v/>
      </c>
      <c r="D92">
        <f>IF(A92="","",IF(COUNTIFS(Input!$A:$A, A92, Input!$B:$B, "Schoonmaak")&gt;0, "OK", "MISSING"))</f>
        <v/>
      </c>
      <c r="E92">
        <f>IF(A92="","",IF(AND(B92="OK",C92="OK",D92="OK"), "✅ READY", "⚠️ INCOMPLETE"))</f>
        <v/>
      </c>
    </row>
    <row r="93">
      <c r="A93">
        <f>_xlfn.UNIQUE(_xlfn._xlws.FILTER(Input!A91:A5089, Input!A91:A5089&lt;&gt;""))</f>
        <v/>
      </c>
      <c r="B93">
        <f>IF(A93="","",IF(COUNTIFS(Input!$A:$A, A93, Input!$B:$B, "Basis")&gt;0, "OK", "MISSING"))</f>
        <v/>
      </c>
      <c r="C93">
        <f>IF(A93="","",IF(COUNTIFS(Input!$A:$A, A93, Input!$B:$B, "GWE")&gt;0, "OK", "MISSING"))</f>
        <v/>
      </c>
      <c r="D93">
        <f>IF(A93="","",IF(COUNTIFS(Input!$A:$A, A93, Input!$B:$B, "Schoonmaak")&gt;0, "OK", "MISSING"))</f>
        <v/>
      </c>
      <c r="E93">
        <f>IF(A93="","",IF(AND(B93="OK",C93="OK",D93="OK"), "✅ READY", "⚠️ INCOMPLETE"))</f>
        <v/>
      </c>
    </row>
    <row r="94">
      <c r="A94">
        <f>_xlfn.UNIQUE(_xlfn._xlws.FILTER(Input!A92:A5090, Input!A92:A5090&lt;&gt;""))</f>
        <v/>
      </c>
      <c r="B94">
        <f>IF(A94="","",IF(COUNTIFS(Input!$A:$A, A94, Input!$B:$B, "Basis")&gt;0, "OK", "MISSING"))</f>
        <v/>
      </c>
      <c r="C94">
        <f>IF(A94="","",IF(COUNTIFS(Input!$A:$A, A94, Input!$B:$B, "GWE")&gt;0, "OK", "MISSING"))</f>
        <v/>
      </c>
      <c r="D94">
        <f>IF(A94="","",IF(COUNTIFS(Input!$A:$A, A94, Input!$B:$B, "Schoonmaak")&gt;0, "OK", "MISSING"))</f>
        <v/>
      </c>
      <c r="E94">
        <f>IF(A94="","",IF(AND(B94="OK",C94="OK",D94="OK"), "✅ READY", "⚠️ INCOMPLETE"))</f>
        <v/>
      </c>
    </row>
    <row r="95">
      <c r="A95">
        <f>_xlfn.UNIQUE(_xlfn._xlws.FILTER(Input!A93:A5091, Input!A93:A5091&lt;&gt;""))</f>
        <v/>
      </c>
      <c r="B95">
        <f>IF(A95="","",IF(COUNTIFS(Input!$A:$A, A95, Input!$B:$B, "Basis")&gt;0, "OK", "MISSING"))</f>
        <v/>
      </c>
      <c r="C95">
        <f>IF(A95="","",IF(COUNTIFS(Input!$A:$A, A95, Input!$B:$B, "GWE")&gt;0, "OK", "MISSING"))</f>
        <v/>
      </c>
      <c r="D95">
        <f>IF(A95="","",IF(COUNTIFS(Input!$A:$A, A95, Input!$B:$B, "Schoonmaak")&gt;0, "OK", "MISSING"))</f>
        <v/>
      </c>
      <c r="E95">
        <f>IF(A95="","",IF(AND(B95="OK",C95="OK",D95="OK"), "✅ READY", "⚠️ INCOMPLETE"))</f>
        <v/>
      </c>
    </row>
    <row r="96">
      <c r="A96">
        <f>_xlfn.UNIQUE(_xlfn._xlws.FILTER(Input!A94:A5092, Input!A94:A5092&lt;&gt;""))</f>
        <v/>
      </c>
      <c r="B96">
        <f>IF(A96="","",IF(COUNTIFS(Input!$A:$A, A96, Input!$B:$B, "Basis")&gt;0, "OK", "MISSING"))</f>
        <v/>
      </c>
      <c r="C96">
        <f>IF(A96="","",IF(COUNTIFS(Input!$A:$A, A96, Input!$B:$B, "GWE")&gt;0, "OK", "MISSING"))</f>
        <v/>
      </c>
      <c r="D96">
        <f>IF(A96="","",IF(COUNTIFS(Input!$A:$A, A96, Input!$B:$B, "Schoonmaak")&gt;0, "OK", "MISSING"))</f>
        <v/>
      </c>
      <c r="E96">
        <f>IF(A96="","",IF(AND(B96="OK",C96="OK",D96="OK"), "✅ READY", "⚠️ INCOMPLETE"))</f>
        <v/>
      </c>
    </row>
  </sheetData>
  <conditionalFormatting sqref="B4:D96">
    <cfRule type="expression" priority="3" dxfId="13" stopIfTrue="1">
      <formula>B4="MISSING"</formula>
    </cfRule>
    <cfRule type="expression" priority="4" dxfId="14" stopIfTrue="1">
      <formula>B4="OK"</formula>
    </cfRule>
  </conditionalFormatting>
  <conditionalFormatting sqref="E4:E96">
    <cfRule type="expression" priority="1" dxfId="14" stopIfTrue="1">
      <formula>E4="✅ READY"</formula>
    </cfRule>
    <cfRule type="expression" priority="2" dxfId="13" stopIfTrue="1">
      <formula>E4="⚠️ INCOMPLETE"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01"/>
  <sheetViews>
    <sheetView workbookViewId="0">
      <pane ySplit="1" topLeftCell="A2" activePane="bottomLeft" state="frozen"/>
      <selection pane="bottomLeft" activeCell="A16" sqref="A16"/>
    </sheetView>
  </sheetViews>
  <sheetFormatPr baseColWidth="10" defaultColWidth="8.83203125" defaultRowHeight="15"/>
  <cols>
    <col width="25" customWidth="1" min="1" max="1"/>
    <col width="15" customWidth="1" min="2" max="2"/>
    <col width="25" customWidth="1" min="3" max="3"/>
    <col width="15" customWidth="1" min="4" max="6"/>
    <col width="30" customWidth="1" min="7" max="7"/>
    <col width="15" customWidth="1" min="8" max="34"/>
    <col width="30" customWidth="1" min="35" max="35"/>
    <col width="15" customWidth="1" min="36" max="41"/>
  </cols>
  <sheetData>
    <row r="1">
      <c r="A1" s="3" t="inlineStr">
        <is>
          <t>Adres</t>
        </is>
      </c>
      <c r="B1" s="3" t="inlineStr">
        <is>
          <t>Type</t>
        </is>
      </c>
      <c r="C1" s="3" t="inlineStr">
        <is>
          <t>Klantnaam</t>
        </is>
      </c>
      <c r="D1" s="4" t="inlineStr">
        <is>
          <t>Object ID</t>
        </is>
      </c>
      <c r="E1" s="4" t="inlineStr">
        <is>
          <t>Klant Nr (Auto)</t>
        </is>
      </c>
      <c r="F1" s="4" t="inlineStr">
        <is>
          <t>RR Inspecteur</t>
        </is>
      </c>
      <c r="G1" s="4" t="inlineStr">
        <is>
          <t>Folder Link</t>
        </is>
      </c>
      <c r="H1" s="4" t="inlineStr">
        <is>
          <t>Check-in</t>
        </is>
      </c>
      <c r="I1" s="4" t="inlineStr">
        <is>
          <t>Check-out</t>
        </is>
      </c>
      <c r="J1" s="4" t="inlineStr">
        <is>
          <t>Borg (€)</t>
        </is>
      </c>
      <c r="K1" s="4" t="inlineStr">
        <is>
          <t>GWE Beheer</t>
        </is>
      </c>
      <c r="L1" s="4" t="inlineStr">
        <is>
          <t>GWE Maandbedrag (€)</t>
        </is>
      </c>
      <c r="M1" s="4" t="inlineStr">
        <is>
          <t>Voorschot GWE (Auto)</t>
        </is>
      </c>
      <c r="N1" s="4" t="inlineStr">
        <is>
          <t>Meterbeheerder</t>
        </is>
      </c>
      <c r="O1" s="4" t="inlineStr">
        <is>
          <t>Leverancier</t>
        </is>
      </c>
      <c r="P1" s="4" t="inlineStr">
        <is>
          <t>Leverancier Nr (Auto)</t>
        </is>
      </c>
      <c r="Q1" s="4" t="inlineStr">
        <is>
          <t>Contractnr</t>
        </is>
      </c>
      <c r="R1" s="4" t="inlineStr">
        <is>
          <t>Extra Voorschot (€)</t>
        </is>
      </c>
      <c r="S1" s="4" t="inlineStr">
        <is>
          <t>Extra Voor. Omschr.</t>
        </is>
      </c>
      <c r="T1" s="5" t="inlineStr">
        <is>
          <t>Elek Begin</t>
        </is>
      </c>
      <c r="U1" s="5" t="inlineStr">
        <is>
          <t>Elek Eind</t>
        </is>
      </c>
      <c r="V1" s="5" t="inlineStr">
        <is>
          <t>Gas Begin</t>
        </is>
      </c>
      <c r="W1" s="5" t="inlineStr">
        <is>
          <t>Gas Eind</t>
        </is>
      </c>
      <c r="X1" s="5" t="inlineStr">
        <is>
          <t>Water Begin</t>
        </is>
      </c>
      <c r="Y1" s="5" t="inlineStr">
        <is>
          <t>Water Eind</t>
        </is>
      </c>
      <c r="Z1" s="6" t="inlineStr">
        <is>
          <t>Schoon Maak Pakket</t>
        </is>
      </c>
      <c r="AA1" s="6" t="inlineStr">
        <is>
          <t>Schoon Uren</t>
        </is>
      </c>
      <c r="AB1" s="6" t="inlineStr">
        <is>
          <t>Uurtarief (€)</t>
        </is>
      </c>
      <c r="AC1" s="6" t="inlineStr">
        <is>
          <t>Totaal Excl (€)</t>
        </is>
      </c>
      <c r="AD1" s="6" t="inlineStr">
        <is>
          <t>BTW %</t>
        </is>
      </c>
      <c r="AE1" s="6" t="inlineStr">
        <is>
          <t>BTW Bedrag (€)</t>
        </is>
      </c>
      <c r="AF1" s="6" t="inlineStr">
        <is>
          <t>Totaal Incl (€)</t>
        </is>
      </c>
      <c r="AG1" s="7" t="inlineStr">
        <is>
          <t>Kosten Type</t>
        </is>
      </c>
      <c r="AH1" s="7" t="inlineStr">
        <is>
          <t>Eenheid</t>
        </is>
      </c>
      <c r="AI1" s="7" t="inlineStr">
        <is>
          <t>Beschrijving</t>
        </is>
      </c>
      <c r="AJ1" s="7" t="inlineStr">
        <is>
          <t>Aantal</t>
        </is>
      </c>
      <c r="AK1" s="7" t="inlineStr">
        <is>
          <t>Prijs/Stuk (€)</t>
        </is>
      </c>
      <c r="AL1" s="7" t="inlineStr">
        <is>
          <t>Totaal Excl (€)</t>
        </is>
      </c>
      <c r="AM1" s="7" t="inlineStr">
        <is>
          <t>BTW %</t>
        </is>
      </c>
      <c r="AN1" s="7" t="inlineStr">
        <is>
          <t>BTW Bedrag (€)</t>
        </is>
      </c>
      <c r="AO1" s="7" t="inlineStr">
        <is>
          <t>Totaal Incl (€)</t>
        </is>
      </c>
    </row>
    <row r="2">
      <c r="A2" t="inlineStr">
        <is>
          <t>Test Straat 1</t>
        </is>
      </c>
      <c r="B2" t="inlineStr">
        <is>
          <t>Basis</t>
        </is>
      </c>
      <c r="C2" t="inlineStr">
        <is>
          <t>Client Een</t>
        </is>
      </c>
      <c r="D2" s="8" t="n"/>
      <c r="E2" s="8" t="n"/>
      <c r="F2" s="8" t="n"/>
      <c r="G2" s="8" t="n"/>
      <c r="H2" t="inlineStr">
        <is>
          <t>2024-01-01</t>
        </is>
      </c>
      <c r="I2" t="inlineStr">
        <is>
          <t>2024-01-31</t>
        </is>
      </c>
      <c r="J2" s="9" t="n">
        <v>1000</v>
      </c>
      <c r="K2" t="inlineStr">
        <is>
          <t>Via RyanRent</t>
        </is>
      </c>
      <c r="L2" s="9" t="n"/>
      <c r="M2" s="10" t="n">
        <v>250</v>
      </c>
      <c r="P2" s="8" t="n"/>
      <c r="AC2" s="10" t="n"/>
      <c r="AD2" s="11" t="n"/>
      <c r="AE2" s="10" t="n"/>
      <c r="AF2" s="10" t="n"/>
      <c r="AL2" s="10" t="n"/>
      <c r="AM2" s="11" t="n"/>
      <c r="AN2" s="10" t="n"/>
      <c r="AO2" s="10" t="n"/>
    </row>
    <row r="3">
      <c r="A3" t="inlineStr">
        <is>
          <t>Test Straat 1</t>
        </is>
      </c>
      <c r="B3" t="inlineStr">
        <is>
          <t>GWE</t>
        </is>
      </c>
      <c r="D3" s="8" t="n"/>
      <c r="E3" s="8" t="n"/>
      <c r="F3" s="8" t="n"/>
      <c r="G3" s="8" t="n"/>
      <c r="J3" s="9" t="n"/>
      <c r="L3" s="9" t="n"/>
      <c r="M3" s="10" t="n"/>
      <c r="P3" s="8" t="n"/>
      <c r="T3" t="n">
        <v>1000</v>
      </c>
      <c r="U3" t="n">
        <v>1200</v>
      </c>
      <c r="AC3" s="10" t="n"/>
      <c r="AD3" s="11" t="n"/>
      <c r="AE3" s="10" t="n"/>
      <c r="AF3" s="10" t="n"/>
      <c r="AK3" s="13" t="n"/>
      <c r="AL3" s="10" t="n"/>
      <c r="AM3" s="14" t="n"/>
      <c r="AN3" s="10" t="n"/>
      <c r="AO3" s="10" t="n"/>
    </row>
    <row r="4">
      <c r="A4" t="inlineStr">
        <is>
          <t>Test Straat 1</t>
        </is>
      </c>
      <c r="B4" t="inlineStr">
        <is>
          <t>Schoonmaak</t>
        </is>
      </c>
      <c r="D4" s="8" t="n"/>
      <c r="E4" s="8" t="n"/>
      <c r="F4" s="8" t="n"/>
      <c r="G4" s="8" t="n"/>
      <c r="J4" s="9" t="n"/>
      <c r="L4" s="9" t="n"/>
      <c r="M4" s="10" t="n"/>
      <c r="P4" s="8" t="n"/>
      <c r="Z4" t="inlineStr">
        <is>
          <t>Basis Schoonmaak</t>
        </is>
      </c>
      <c r="AA4" t="n">
        <v>3</v>
      </c>
      <c r="AB4" t="n">
        <v>50</v>
      </c>
      <c r="AC4" s="10" t="n"/>
      <c r="AD4" s="11" t="n"/>
      <c r="AE4" s="10" t="n"/>
      <c r="AF4" s="10" t="n"/>
      <c r="AK4" s="13" t="n"/>
      <c r="AL4" s="10" t="n"/>
      <c r="AM4" s="14" t="n"/>
      <c r="AN4" s="10" t="n"/>
      <c r="AO4" s="10" t="n"/>
    </row>
    <row r="5">
      <c r="A5" t="inlineStr">
        <is>
          <t>Test Straat 2</t>
        </is>
      </c>
      <c r="B5" t="inlineStr">
        <is>
          <t>Basis</t>
        </is>
      </c>
      <c r="C5" t="inlineStr">
        <is>
          <t>Client Twee</t>
        </is>
      </c>
      <c r="D5" s="8" t="n"/>
      <c r="E5" s="8" t="n"/>
      <c r="F5" s="8" t="n"/>
      <c r="G5" s="8" t="n"/>
      <c r="H5" t="inlineStr">
        <is>
          <t>2024-02-01</t>
        </is>
      </c>
      <c r="I5" t="inlineStr">
        <is>
          <t>2024-02-28</t>
        </is>
      </c>
      <c r="J5" s="9" t="n">
        <v>800</v>
      </c>
      <c r="K5" t="inlineStr">
        <is>
          <t>Eigen Beheer</t>
        </is>
      </c>
      <c r="L5" s="9" t="n"/>
      <c r="M5" s="10" t="n"/>
      <c r="P5" s="8" t="n"/>
      <c r="AC5" s="10" t="n"/>
      <c r="AD5" s="11" t="n"/>
      <c r="AE5" s="10" t="n"/>
      <c r="AF5" s="10" t="n"/>
      <c r="AK5" s="13" t="n"/>
      <c r="AL5" s="10" t="n"/>
      <c r="AM5" s="14" t="n"/>
      <c r="AN5" s="10" t="n"/>
      <c r="AO5" s="10" t="n"/>
    </row>
    <row r="6">
      <c r="A6" t="inlineStr">
        <is>
          <t>Test Straat 2</t>
        </is>
      </c>
      <c r="B6" t="inlineStr">
        <is>
          <t>Schade</t>
        </is>
      </c>
      <c r="D6" s="8" t="n"/>
      <c r="E6" s="8" t="n"/>
      <c r="F6" s="8" t="n"/>
      <c r="G6" s="8" t="n"/>
      <c r="J6" s="9" t="n"/>
      <c r="L6" s="9" t="n"/>
      <c r="M6" s="10" t="n"/>
      <c r="P6" s="8" t="n"/>
      <c r="AC6" s="10" t="n"/>
      <c r="AD6" s="11" t="n"/>
      <c r="AE6" s="10" t="n"/>
      <c r="AF6" s="10" t="n"/>
      <c r="AG6" t="inlineStr">
        <is>
          <t>Overig</t>
        </is>
      </c>
      <c r="AI6" t="inlineStr">
        <is>
          <t>Gebroken Lamp</t>
        </is>
      </c>
      <c r="AJ6" t="n">
        <v>1</v>
      </c>
      <c r="AK6" s="13" t="n">
        <v>50</v>
      </c>
      <c r="AL6" s="10" t="n"/>
      <c r="AM6" s="14" t="n">
        <v>0.21</v>
      </c>
      <c r="AN6" s="10" t="n"/>
      <c r="AO6" s="10" t="n"/>
    </row>
    <row r="7">
      <c r="A7" t="inlineStr">
        <is>
          <t>Test Straat 3</t>
        </is>
      </c>
      <c r="B7" t="inlineStr">
        <is>
          <t>Basis</t>
        </is>
      </c>
      <c r="C7" t="inlineStr">
        <is>
          <t>Client Drie</t>
        </is>
      </c>
      <c r="D7" s="8" t="n"/>
      <c r="E7" s="8" t="n"/>
      <c r="F7" s="8" t="n"/>
      <c r="G7" s="8" t="n"/>
      <c r="H7" t="inlineStr">
        <is>
          <t>2024-03-01</t>
        </is>
      </c>
      <c r="I7" t="inlineStr">
        <is>
          <t>2024-03-31</t>
        </is>
      </c>
      <c r="J7" s="9" t="n">
        <v>1500</v>
      </c>
      <c r="K7" t="inlineStr">
        <is>
          <t>Via RyanRent</t>
        </is>
      </c>
      <c r="L7" s="9" t="n"/>
      <c r="M7" s="10" t="n">
        <v>300</v>
      </c>
      <c r="P7" s="8" t="n"/>
      <c r="T7" t="n">
        <v>0</v>
      </c>
      <c r="U7" t="n">
        <v>0</v>
      </c>
      <c r="AC7" s="10" t="n"/>
      <c r="AD7" s="11" t="n"/>
      <c r="AE7" s="10" t="n"/>
      <c r="AF7" s="10" t="n"/>
      <c r="AK7" s="13" t="n"/>
      <c r="AL7" s="10" t="n"/>
      <c r="AM7" s="14" t="n"/>
      <c r="AN7" s="10" t="n"/>
      <c r="AO7" s="10" t="n"/>
    </row>
    <row r="8">
      <c r="A8" t="inlineStr">
        <is>
          <t>Test Straat 3</t>
        </is>
      </c>
      <c r="B8" t="inlineStr">
        <is>
          <t>Schoonmaak</t>
        </is>
      </c>
      <c r="D8" s="8" t="n"/>
      <c r="E8" s="8" t="n"/>
      <c r="F8" s="8" t="n"/>
      <c r="G8" s="8" t="n"/>
      <c r="J8" s="9" t="n"/>
      <c r="L8" s="9" t="n"/>
      <c r="M8" s="10" t="n"/>
      <c r="P8" s="8" t="n"/>
      <c r="Z8" t="inlineStr">
        <is>
          <t>Intensief Schoonmaak</t>
        </is>
      </c>
      <c r="AA8" t="n">
        <v>10</v>
      </c>
      <c r="AB8" t="n">
        <v>60</v>
      </c>
      <c r="AC8" s="10" t="n"/>
      <c r="AD8" s="11" t="n"/>
      <c r="AE8" s="10" t="n"/>
      <c r="AF8" s="10" t="n"/>
      <c r="AK8" s="13" t="n"/>
      <c r="AL8" s="10" t="n"/>
      <c r="AM8" s="14" t="n"/>
      <c r="AN8" s="10" t="n"/>
      <c r="AO8" s="10" t="n"/>
    </row>
    <row r="9">
      <c r="D9" s="8" t="n"/>
      <c r="E9" s="8" t="n"/>
      <c r="F9" s="8" t="n"/>
      <c r="G9" s="8" t="n"/>
      <c r="J9" s="9" t="n"/>
      <c r="L9" s="9" t="n"/>
      <c r="M9" s="10" t="n"/>
      <c r="P9" s="8" t="n"/>
      <c r="AC9" s="10" t="n"/>
      <c r="AD9" s="11" t="n"/>
      <c r="AE9" s="10" t="n"/>
      <c r="AF9" s="10" t="n"/>
      <c r="AK9" s="13" t="n"/>
      <c r="AL9" s="10" t="n"/>
      <c r="AM9" s="14" t="n"/>
      <c r="AN9" s="10" t="n"/>
      <c r="AO9" s="10" t="n"/>
    </row>
    <row r="10">
      <c r="D10" s="8" t="n"/>
      <c r="E10" s="8" t="n"/>
      <c r="F10" s="8" t="n"/>
      <c r="G10" s="8" t="n"/>
      <c r="J10" s="9" t="n"/>
      <c r="L10" s="9" t="n"/>
      <c r="M10" s="10" t="n"/>
      <c r="P10" s="8" t="n"/>
      <c r="AC10" s="10" t="n"/>
      <c r="AD10" s="11" t="n"/>
      <c r="AE10" s="10" t="n"/>
      <c r="AF10" s="10" t="n"/>
      <c r="AK10" s="13" t="n"/>
      <c r="AL10" s="10" t="n"/>
      <c r="AM10" s="14" t="n"/>
      <c r="AN10" s="10" t="n"/>
      <c r="AO10" s="10" t="n"/>
    </row>
    <row r="11">
      <c r="D11" s="8" t="n"/>
      <c r="E11" s="8" t="n"/>
      <c r="F11" s="8" t="n"/>
      <c r="G11" s="8" t="n"/>
      <c r="J11" s="9" t="n"/>
      <c r="L11" s="9" t="n"/>
      <c r="M11" s="10" t="n"/>
      <c r="P11" s="8" t="n"/>
      <c r="AC11" s="10" t="n"/>
      <c r="AD11" s="11" t="n"/>
      <c r="AE11" s="10" t="n"/>
      <c r="AF11" s="10" t="n"/>
      <c r="AK11" s="13" t="n"/>
      <c r="AL11" s="10" t="n"/>
      <c r="AM11" s="14" t="n"/>
      <c r="AN11" s="10" t="n"/>
      <c r="AO11" s="10" t="n"/>
    </row>
    <row r="12">
      <c r="D12" s="8" t="n"/>
      <c r="E12" s="8" t="n"/>
      <c r="F12" s="8" t="n"/>
      <c r="G12" s="8" t="n"/>
      <c r="J12" s="9" t="n"/>
      <c r="L12" s="9" t="n"/>
      <c r="M12" s="10" t="n"/>
      <c r="P12" s="8" t="n"/>
      <c r="AC12" s="10" t="n"/>
      <c r="AD12" s="11" t="n"/>
      <c r="AE12" s="10" t="n"/>
      <c r="AF12" s="10" t="n"/>
      <c r="AK12" s="13" t="n"/>
      <c r="AL12" s="10" t="n"/>
      <c r="AM12" s="14" t="n"/>
      <c r="AN12" s="10" t="n"/>
      <c r="AO12" s="10" t="n"/>
    </row>
    <row r="13">
      <c r="D13" s="8" t="n"/>
      <c r="E13" s="8" t="n"/>
      <c r="F13" s="8" t="n"/>
      <c r="G13" s="8" t="n"/>
      <c r="J13" s="9" t="n"/>
      <c r="L13" s="9" t="n"/>
      <c r="M13" s="10" t="n"/>
      <c r="P13" s="8" t="n"/>
      <c r="AC13" s="10" t="n"/>
      <c r="AD13" s="11" t="n"/>
      <c r="AE13" s="10" t="n"/>
      <c r="AF13" s="10" t="n"/>
      <c r="AK13" s="13" t="n"/>
      <c r="AL13" s="10" t="n"/>
      <c r="AM13" s="14" t="n"/>
      <c r="AN13" s="10" t="n"/>
      <c r="AO13" s="10" t="n"/>
    </row>
    <row r="14">
      <c r="D14" s="8" t="n"/>
      <c r="E14" s="8" t="n"/>
      <c r="F14" s="8" t="n"/>
      <c r="G14" s="8" t="n"/>
      <c r="J14" s="9" t="n"/>
      <c r="L14" s="9" t="n"/>
      <c r="M14" s="10" t="n"/>
      <c r="P14" s="8" t="n"/>
      <c r="AC14" s="10" t="n"/>
      <c r="AD14" s="11" t="n"/>
      <c r="AE14" s="10" t="n"/>
      <c r="AF14" s="10" t="n"/>
      <c r="AL14" s="10" t="n"/>
      <c r="AM14" s="11" t="n"/>
      <c r="AN14" s="10" t="n"/>
      <c r="AO14" s="10" t="n"/>
    </row>
    <row r="15">
      <c r="D15" s="8" t="n"/>
      <c r="E15" s="8" t="n"/>
      <c r="F15" s="8" t="n"/>
      <c r="G15" s="8" t="n"/>
      <c r="H15" s="12" t="n"/>
      <c r="I15" s="12" t="n"/>
      <c r="J15" s="9" t="n"/>
      <c r="L15" s="9" t="n"/>
      <c r="M15" s="10" t="n"/>
      <c r="P15" s="8" t="n"/>
      <c r="AC15" s="10" t="n"/>
      <c r="AD15" s="11" t="n"/>
      <c r="AE15" s="10" t="n"/>
      <c r="AF15" s="10" t="n"/>
      <c r="AL15" s="10" t="n"/>
      <c r="AM15" s="11" t="n"/>
      <c r="AN15" s="10" t="n"/>
      <c r="AO15" s="10" t="n"/>
    </row>
    <row r="16">
      <c r="D16" s="8" t="n"/>
      <c r="E16" s="8" t="n"/>
      <c r="F16" s="8" t="n"/>
      <c r="G16" s="8" t="n"/>
      <c r="J16" s="9" t="n"/>
      <c r="L16" s="9" t="n"/>
      <c r="M16" s="10" t="n"/>
      <c r="P16" s="8" t="n"/>
      <c r="AC16" s="10" t="n"/>
      <c r="AD16" s="11" t="n"/>
      <c r="AE16" s="10" t="n"/>
      <c r="AF16" s="10" t="n"/>
      <c r="AL16" s="10" t="n"/>
      <c r="AM16" s="11" t="n"/>
      <c r="AN16" s="10" t="n"/>
      <c r="AO16" s="10" t="n"/>
    </row>
    <row r="17">
      <c r="D17" s="8" t="n"/>
      <c r="E17" s="8" t="n"/>
      <c r="F17" s="8" t="n"/>
      <c r="G17" s="8" t="n"/>
      <c r="J17" s="9" t="n"/>
      <c r="L17" s="9" t="n"/>
      <c r="M17" s="10" t="n"/>
      <c r="P17" s="8" t="n"/>
      <c r="AC17" s="10" t="n"/>
      <c r="AD17" s="11" t="n"/>
      <c r="AE17" s="10" t="n"/>
      <c r="AF17" s="10" t="n"/>
      <c r="AL17" s="10" t="n"/>
      <c r="AM17" s="11" t="n"/>
      <c r="AN17" s="10" t="n"/>
      <c r="AO17" s="10" t="n"/>
    </row>
    <row r="18">
      <c r="D18" s="8" t="n"/>
      <c r="E18" s="8" t="n"/>
      <c r="F18" s="8" t="n"/>
      <c r="G18" s="8" t="n"/>
      <c r="J18" s="9" t="n"/>
      <c r="L18" s="9" t="n"/>
      <c r="M18" s="10" t="n"/>
      <c r="P18" s="8" t="n"/>
      <c r="AC18" s="10" t="n"/>
      <c r="AD18" s="11" t="n"/>
      <c r="AE18" s="10" t="n"/>
      <c r="AF18" s="10" t="n"/>
      <c r="AL18" s="10" t="n"/>
      <c r="AM18" s="11" t="n"/>
      <c r="AN18" s="10" t="n"/>
      <c r="AO18" s="10" t="n"/>
    </row>
    <row r="19">
      <c r="D19" s="8" t="n"/>
      <c r="E19" s="8" t="n"/>
      <c r="F19" s="8" t="n"/>
      <c r="G19" s="8" t="n"/>
      <c r="J19" s="9" t="n"/>
      <c r="L19" s="9" t="n"/>
      <c r="M19" s="10" t="n"/>
      <c r="P19" s="8" t="n"/>
      <c r="AC19" s="10" t="n"/>
      <c r="AD19" s="11" t="n"/>
      <c r="AE19" s="10" t="n"/>
      <c r="AF19" s="10" t="n"/>
      <c r="AL19" s="10" t="n"/>
      <c r="AM19" s="11" t="n"/>
      <c r="AN19" s="10" t="n"/>
      <c r="AO19" s="10" t="n"/>
    </row>
    <row r="20">
      <c r="D20" s="8" t="n"/>
      <c r="E20" s="8" t="n"/>
      <c r="F20" s="8" t="n"/>
      <c r="G20" s="8" t="n"/>
      <c r="J20" s="9" t="n"/>
      <c r="L20" s="9" t="n"/>
      <c r="M20" s="10" t="n"/>
      <c r="P20" s="8" t="n"/>
      <c r="AC20" s="10" t="n"/>
      <c r="AD20" s="11" t="n"/>
      <c r="AE20" s="10" t="n"/>
      <c r="AF20" s="10" t="n"/>
      <c r="AL20" s="10" t="n"/>
      <c r="AM20" s="11" t="n"/>
      <c r="AN20" s="10" t="n"/>
      <c r="AO20" s="10" t="n"/>
    </row>
    <row r="21">
      <c r="D21" s="8" t="n"/>
      <c r="E21" s="8" t="n"/>
      <c r="F21" s="8" t="n"/>
      <c r="G21" s="8" t="n"/>
      <c r="J21" s="9" t="n"/>
      <c r="L21" s="9" t="n"/>
      <c r="M21" s="10" t="n"/>
      <c r="P21" s="8" t="n"/>
      <c r="AC21" s="10" t="n"/>
      <c r="AD21" s="11" t="n"/>
      <c r="AE21" s="10" t="n"/>
      <c r="AF21" s="10" t="n"/>
      <c r="AL21" s="10" t="n"/>
      <c r="AM21" s="11" t="n"/>
      <c r="AN21" s="10" t="n"/>
      <c r="AO21" s="10" t="n"/>
    </row>
    <row r="22">
      <c r="D22" s="8" t="n"/>
      <c r="E22" s="8" t="n"/>
      <c r="F22" s="8" t="n"/>
      <c r="G22" s="8" t="n"/>
      <c r="J22" s="9" t="n"/>
      <c r="L22" s="9" t="n"/>
      <c r="M22" s="10" t="n"/>
      <c r="P22" s="8" t="n"/>
      <c r="AC22" s="10" t="n"/>
      <c r="AD22" s="11" t="n"/>
      <c r="AE22" s="10" t="n"/>
      <c r="AF22" s="10" t="n"/>
      <c r="AL22" s="10" t="n"/>
      <c r="AM22" s="11" t="n"/>
      <c r="AN22" s="10" t="n"/>
      <c r="AO22" s="10" t="n"/>
    </row>
    <row r="23">
      <c r="D23" s="8" t="n"/>
      <c r="E23" s="8" t="n"/>
      <c r="F23" s="8" t="n"/>
      <c r="G23" s="8" t="n"/>
      <c r="J23" s="9" t="n"/>
      <c r="L23" s="9" t="n"/>
      <c r="M23" s="10" t="n"/>
      <c r="P23" s="8" t="n"/>
      <c r="AC23" s="10" t="n"/>
      <c r="AD23" s="11" t="n"/>
      <c r="AE23" s="10" t="n"/>
      <c r="AF23" s="10" t="n"/>
      <c r="AL23" s="10" t="n"/>
      <c r="AM23" s="11" t="n"/>
      <c r="AN23" s="10" t="n"/>
      <c r="AO23" s="10" t="n"/>
    </row>
    <row r="24">
      <c r="D24" s="8" t="n"/>
      <c r="E24" s="8" t="n"/>
      <c r="F24" s="8" t="n"/>
      <c r="G24" s="8" t="n"/>
      <c r="J24" s="9" t="n"/>
      <c r="L24" s="9" t="n"/>
      <c r="M24" s="10" t="n"/>
      <c r="P24" s="8" t="n"/>
      <c r="AC24" s="10" t="n"/>
      <c r="AD24" s="11" t="n"/>
      <c r="AE24" s="10" t="n"/>
      <c r="AF24" s="10" t="n"/>
      <c r="AL24" s="10" t="n"/>
      <c r="AM24" s="11" t="n"/>
      <c r="AN24" s="10" t="n"/>
      <c r="AO24" s="10" t="n"/>
    </row>
    <row r="25">
      <c r="D25" s="8" t="n"/>
      <c r="E25" s="8" t="n"/>
      <c r="F25" s="8" t="n"/>
      <c r="G25" s="8" t="n"/>
      <c r="J25" s="9" t="n"/>
      <c r="L25" s="9" t="n"/>
      <c r="M25" s="10" t="n"/>
      <c r="P25" s="8" t="n"/>
      <c r="AC25" s="10" t="n"/>
      <c r="AD25" s="11" t="n"/>
      <c r="AE25" s="10" t="n"/>
      <c r="AF25" s="10" t="n"/>
      <c r="AL25" s="10" t="n"/>
      <c r="AM25" s="11" t="n"/>
      <c r="AN25" s="10" t="n"/>
      <c r="AO25" s="10" t="n"/>
    </row>
    <row r="26">
      <c r="D26" s="8" t="n"/>
      <c r="E26" s="8" t="n"/>
      <c r="F26" s="8" t="n"/>
      <c r="G26" s="8" t="n"/>
      <c r="J26" s="9" t="n"/>
      <c r="L26" s="9" t="n"/>
      <c r="M26" s="10" t="n"/>
      <c r="P26" s="8" t="n"/>
      <c r="AC26" s="10" t="n"/>
      <c r="AD26" s="11" t="n"/>
      <c r="AE26" s="10" t="n"/>
      <c r="AF26" s="10" t="n"/>
      <c r="AL26" s="10" t="n"/>
      <c r="AM26" s="11" t="n"/>
      <c r="AN26" s="10" t="n"/>
      <c r="AO26" s="10" t="n"/>
    </row>
    <row r="27">
      <c r="D27" s="8" t="n"/>
      <c r="E27" s="8" t="n"/>
      <c r="F27" s="8" t="n"/>
      <c r="G27" s="8" t="n"/>
      <c r="J27" s="9" t="n"/>
      <c r="L27" s="9" t="n"/>
      <c r="M27" s="10" t="n"/>
      <c r="P27" s="8" t="n"/>
      <c r="AC27" s="10" t="n"/>
      <c r="AD27" s="11" t="n"/>
      <c r="AE27" s="10" t="n"/>
      <c r="AF27" s="10" t="n"/>
      <c r="AL27" s="10" t="n"/>
      <c r="AM27" s="11" t="n"/>
      <c r="AN27" s="10" t="n"/>
      <c r="AO27" s="10" t="n"/>
    </row>
    <row r="28">
      <c r="D28" s="8" t="n"/>
      <c r="E28" s="8" t="n"/>
      <c r="F28" s="8" t="n"/>
      <c r="G28" s="8" t="n"/>
      <c r="J28" s="9" t="n"/>
      <c r="L28" s="9" t="n"/>
      <c r="M28" s="10" t="n"/>
      <c r="P28" s="8" t="n"/>
      <c r="AC28" s="10" t="n"/>
      <c r="AD28" s="11" t="n"/>
      <c r="AE28" s="10" t="n"/>
      <c r="AF28" s="10" t="n"/>
      <c r="AL28" s="10" t="n"/>
      <c r="AM28" s="11" t="n"/>
      <c r="AN28" s="10" t="n"/>
      <c r="AO28" s="10" t="n"/>
    </row>
    <row r="29">
      <c r="D29" s="8" t="n"/>
      <c r="E29" s="8" t="n"/>
      <c r="F29" s="8" t="n"/>
      <c r="G29" s="8" t="n"/>
      <c r="J29" s="9" t="n"/>
      <c r="L29" s="9" t="n"/>
      <c r="M29" s="10" t="n"/>
      <c r="P29" s="8" t="n"/>
      <c r="AC29" s="10" t="n"/>
      <c r="AD29" s="11" t="n"/>
      <c r="AE29" s="10" t="n"/>
      <c r="AF29" s="10" t="n"/>
      <c r="AL29" s="10" t="n"/>
      <c r="AM29" s="11" t="n"/>
      <c r="AN29" s="10" t="n"/>
      <c r="AO29" s="10" t="n"/>
    </row>
    <row r="30">
      <c r="D30" s="8" t="n"/>
      <c r="E30" s="8" t="n"/>
      <c r="F30" s="8" t="n"/>
      <c r="G30" s="8" t="n"/>
      <c r="J30" s="9" t="n"/>
      <c r="L30" s="9" t="n"/>
      <c r="M30" s="10" t="n"/>
      <c r="P30" s="8" t="n"/>
      <c r="AC30" s="10" t="n"/>
      <c r="AD30" s="11" t="n"/>
      <c r="AE30" s="10" t="n"/>
      <c r="AF30" s="10" t="n"/>
      <c r="AL30" s="10" t="n"/>
      <c r="AM30" s="11" t="n"/>
      <c r="AN30" s="10" t="n"/>
      <c r="AO30" s="10" t="n"/>
    </row>
    <row r="31">
      <c r="D31" s="8" t="n"/>
      <c r="E31" s="8" t="n"/>
      <c r="F31" s="8" t="n"/>
      <c r="G31" s="8" t="n"/>
      <c r="J31" s="9" t="n"/>
      <c r="L31" s="9" t="n"/>
      <c r="M31" s="10" t="n"/>
      <c r="P31" s="8" t="n"/>
      <c r="AC31" s="10" t="n"/>
      <c r="AD31" s="11" t="n"/>
      <c r="AE31" s="10" t="n"/>
      <c r="AF31" s="10" t="n"/>
      <c r="AL31" s="10" t="n"/>
      <c r="AM31" s="11" t="n"/>
      <c r="AN31" s="10" t="n"/>
      <c r="AO31" s="10" t="n"/>
    </row>
    <row r="32">
      <c r="D32" s="8" t="n"/>
      <c r="E32" s="8" t="n"/>
      <c r="F32" s="8" t="n"/>
      <c r="G32" s="8" t="n"/>
      <c r="J32" s="9" t="n"/>
      <c r="L32" s="9" t="n"/>
      <c r="M32" s="10" t="n"/>
      <c r="P32" s="8" t="n"/>
      <c r="AC32" s="10" t="n"/>
      <c r="AD32" s="11" t="n"/>
      <c r="AE32" s="10" t="n"/>
      <c r="AF32" s="10" t="n"/>
      <c r="AL32" s="10" t="n"/>
      <c r="AM32" s="11" t="n"/>
      <c r="AN32" s="10" t="n"/>
      <c r="AO32" s="10" t="n"/>
    </row>
    <row r="33">
      <c r="D33" s="8" t="n"/>
      <c r="E33" s="8" t="n"/>
      <c r="F33" s="8" t="n"/>
      <c r="G33" s="8" t="n"/>
      <c r="J33" s="9" t="n"/>
      <c r="L33" s="9" t="n"/>
      <c r="M33" s="10" t="n"/>
      <c r="P33" s="8" t="n"/>
      <c r="AC33" s="10" t="n"/>
      <c r="AD33" s="11" t="n"/>
      <c r="AE33" s="10" t="n"/>
      <c r="AF33" s="10" t="n"/>
      <c r="AL33" s="10" t="n"/>
      <c r="AM33" s="11" t="n"/>
      <c r="AN33" s="10" t="n"/>
      <c r="AO33" s="10" t="n"/>
    </row>
    <row r="34">
      <c r="D34" s="8" t="n"/>
      <c r="E34" s="8" t="n"/>
      <c r="F34" s="8" t="n"/>
      <c r="G34" s="8" t="n"/>
      <c r="J34" s="9" t="n"/>
      <c r="L34" s="9" t="n"/>
      <c r="M34" s="10" t="n"/>
      <c r="P34" s="8" t="n"/>
      <c r="AC34" s="10" t="n"/>
      <c r="AD34" s="11" t="n"/>
      <c r="AE34" s="10" t="n"/>
      <c r="AF34" s="10" t="n"/>
      <c r="AL34" s="10" t="n"/>
      <c r="AM34" s="11" t="n"/>
      <c r="AN34" s="10" t="n"/>
      <c r="AO34" s="10" t="n"/>
    </row>
    <row r="35">
      <c r="D35" s="8" t="n"/>
      <c r="E35" s="8" t="n"/>
      <c r="F35" s="8" t="n"/>
      <c r="G35" s="8" t="n"/>
      <c r="J35" s="9" t="n"/>
      <c r="L35" s="9" t="n"/>
      <c r="M35" s="10" t="n"/>
      <c r="P35" s="8" t="n"/>
      <c r="AC35" s="10" t="n"/>
      <c r="AD35" s="11" t="n"/>
      <c r="AE35" s="10" t="n"/>
      <c r="AF35" s="10" t="n"/>
      <c r="AL35" s="10" t="n"/>
      <c r="AM35" s="11" t="n"/>
      <c r="AN35" s="10" t="n"/>
      <c r="AO35" s="10" t="n"/>
    </row>
    <row r="36">
      <c r="D36" s="8" t="n"/>
      <c r="E36" s="8" t="n"/>
      <c r="F36" s="8" t="n"/>
      <c r="G36" s="8" t="n"/>
      <c r="J36" s="9" t="n"/>
      <c r="L36" s="9" t="n"/>
      <c r="M36" s="10" t="n"/>
      <c r="P36" s="8" t="n"/>
      <c r="AC36" s="10" t="n"/>
      <c r="AD36" s="11" t="n"/>
      <c r="AE36" s="10" t="n"/>
      <c r="AF36" s="10" t="n"/>
      <c r="AL36" s="10" t="n"/>
      <c r="AM36" s="11" t="n"/>
      <c r="AN36" s="10" t="n"/>
      <c r="AO36" s="10" t="n"/>
    </row>
    <row r="37">
      <c r="D37" s="8" t="n"/>
      <c r="E37" s="8" t="n"/>
      <c r="F37" s="8" t="n"/>
      <c r="G37" s="8" t="n"/>
      <c r="J37" s="9" t="n"/>
      <c r="L37" s="9" t="n"/>
      <c r="M37" s="10" t="n"/>
      <c r="P37" s="8" t="n"/>
      <c r="AC37" s="10" t="n"/>
      <c r="AD37" s="11" t="n"/>
      <c r="AE37" s="10" t="n"/>
      <c r="AF37" s="10" t="n"/>
      <c r="AL37" s="10" t="n"/>
      <c r="AM37" s="11" t="n"/>
      <c r="AN37" s="10" t="n"/>
      <c r="AO37" s="10" t="n"/>
    </row>
    <row r="38">
      <c r="D38" s="8" t="n"/>
      <c r="E38" s="8" t="n"/>
      <c r="F38" s="8" t="n"/>
      <c r="G38" s="8" t="n"/>
      <c r="J38" s="9" t="n"/>
      <c r="L38" s="9" t="n"/>
      <c r="M38" s="10" t="n"/>
      <c r="P38" s="8" t="n"/>
      <c r="AC38" s="10" t="n"/>
      <c r="AD38" s="11" t="n"/>
      <c r="AE38" s="10" t="n"/>
      <c r="AF38" s="10" t="n"/>
      <c r="AL38" s="10" t="n"/>
      <c r="AM38" s="11" t="n"/>
      <c r="AN38" s="10" t="n"/>
      <c r="AO38" s="10" t="n"/>
    </row>
    <row r="39">
      <c r="D39" s="8" t="n"/>
      <c r="E39" s="8" t="n"/>
      <c r="F39" s="8" t="n"/>
      <c r="G39" s="8" t="n"/>
      <c r="J39" s="9" t="n"/>
      <c r="L39" s="9" t="n"/>
      <c r="M39" s="10" t="n"/>
      <c r="P39" s="8" t="n"/>
      <c r="AC39" s="10" t="n"/>
      <c r="AD39" s="11" t="n"/>
      <c r="AE39" s="10" t="n"/>
      <c r="AF39" s="10" t="n"/>
      <c r="AL39" s="10" t="n"/>
      <c r="AM39" s="11" t="n"/>
      <c r="AN39" s="10" t="n"/>
      <c r="AO39" s="10" t="n"/>
    </row>
    <row r="40">
      <c r="D40" s="8" t="n"/>
      <c r="E40" s="8" t="n"/>
      <c r="F40" s="8" t="n"/>
      <c r="G40" s="8" t="n"/>
      <c r="J40" s="9" t="n"/>
      <c r="L40" s="9" t="n"/>
      <c r="M40" s="10" t="n"/>
      <c r="P40" s="8" t="n"/>
      <c r="AC40" s="10" t="n"/>
      <c r="AD40" s="11" t="n"/>
      <c r="AE40" s="10" t="n"/>
      <c r="AF40" s="10" t="n"/>
      <c r="AL40" s="10" t="n"/>
      <c r="AM40" s="11" t="n"/>
      <c r="AN40" s="10" t="n"/>
      <c r="AO40" s="10" t="n"/>
    </row>
    <row r="41">
      <c r="D41" s="8" t="n"/>
      <c r="E41" s="8" t="n"/>
      <c r="F41" s="8" t="n"/>
      <c r="G41" s="8" t="n"/>
      <c r="J41" s="9" t="n"/>
      <c r="L41" s="9" t="n"/>
      <c r="M41" s="10" t="n"/>
      <c r="P41" s="8" t="n"/>
      <c r="AC41" s="10" t="n"/>
      <c r="AD41" s="11" t="n"/>
      <c r="AE41" s="10" t="n"/>
      <c r="AF41" s="10" t="n"/>
      <c r="AL41" s="10" t="n"/>
      <c r="AM41" s="11" t="n"/>
      <c r="AN41" s="10" t="n"/>
      <c r="AO41" s="10" t="n"/>
    </row>
    <row r="42">
      <c r="D42" s="8" t="n"/>
      <c r="E42" s="8" t="n"/>
      <c r="F42" s="8" t="n"/>
      <c r="G42" s="8" t="n"/>
      <c r="J42" s="9" t="n"/>
      <c r="L42" s="9" t="n"/>
      <c r="M42" s="10" t="n"/>
      <c r="P42" s="8" t="n"/>
      <c r="AC42" s="10" t="n"/>
      <c r="AD42" s="11" t="n"/>
      <c r="AE42" s="10" t="n"/>
      <c r="AF42" s="10" t="n"/>
      <c r="AL42" s="10" t="n"/>
      <c r="AM42" s="11" t="n"/>
      <c r="AN42" s="10" t="n"/>
      <c r="AO42" s="10" t="n"/>
    </row>
    <row r="43">
      <c r="D43" s="8" t="n"/>
      <c r="E43" s="8" t="n"/>
      <c r="F43" s="8" t="n"/>
      <c r="G43" s="8" t="n"/>
      <c r="J43" s="9" t="n"/>
      <c r="L43" s="9" t="n"/>
      <c r="M43" s="10" t="n"/>
      <c r="P43" s="8" t="n"/>
      <c r="AC43" s="10" t="n"/>
      <c r="AD43" s="11" t="n"/>
      <c r="AE43" s="10" t="n"/>
      <c r="AF43" s="10" t="n"/>
      <c r="AL43" s="10" t="n"/>
      <c r="AM43" s="11" t="n"/>
      <c r="AN43" s="10" t="n"/>
      <c r="AO43" s="10" t="n"/>
    </row>
    <row r="44">
      <c r="D44" s="8" t="n"/>
      <c r="E44" s="8" t="n"/>
      <c r="F44" s="8" t="n"/>
      <c r="G44" s="8" t="n"/>
      <c r="J44" s="9" t="n"/>
      <c r="L44" s="9" t="n"/>
      <c r="M44" s="10" t="n"/>
      <c r="P44" s="8" t="n"/>
      <c r="AC44" s="10" t="n"/>
      <c r="AD44" s="11" t="n"/>
      <c r="AE44" s="10" t="n"/>
      <c r="AF44" s="10" t="n"/>
      <c r="AL44" s="10" t="n"/>
      <c r="AM44" s="11" t="n"/>
      <c r="AN44" s="10" t="n"/>
      <c r="AO44" s="10" t="n"/>
    </row>
    <row r="45">
      <c r="D45" s="8" t="n"/>
      <c r="E45" s="8" t="n"/>
      <c r="F45" s="8" t="n"/>
      <c r="G45" s="8" t="n"/>
      <c r="J45" s="9" t="n"/>
      <c r="L45" s="9" t="n"/>
      <c r="M45" s="10" t="n"/>
      <c r="P45" s="8" t="n"/>
      <c r="AC45" s="10" t="n"/>
      <c r="AD45" s="11" t="n"/>
      <c r="AE45" s="10" t="n"/>
      <c r="AF45" s="10" t="n"/>
      <c r="AL45" s="10" t="n"/>
      <c r="AM45" s="11" t="n"/>
      <c r="AN45" s="10" t="n"/>
      <c r="AO45" s="10" t="n"/>
    </row>
    <row r="46">
      <c r="D46" s="8" t="n"/>
      <c r="E46" s="8" t="n"/>
      <c r="F46" s="8" t="n"/>
      <c r="G46" s="8" t="n"/>
      <c r="J46" s="9" t="n"/>
      <c r="L46" s="9" t="n"/>
      <c r="M46" s="10" t="n"/>
      <c r="P46" s="8" t="n"/>
      <c r="AC46" s="10" t="n"/>
      <c r="AD46" s="11" t="n"/>
      <c r="AE46" s="10" t="n"/>
      <c r="AF46" s="10" t="n"/>
      <c r="AL46" s="10" t="n"/>
      <c r="AM46" s="11" t="n"/>
      <c r="AN46" s="10" t="n"/>
      <c r="AO46" s="10" t="n"/>
    </row>
    <row r="47">
      <c r="D47" s="8" t="n"/>
      <c r="E47" s="8" t="n"/>
      <c r="F47" s="8" t="n"/>
      <c r="G47" s="8" t="n"/>
      <c r="J47" s="9" t="n"/>
      <c r="L47" s="9" t="n"/>
      <c r="M47" s="10" t="n"/>
      <c r="P47" s="8" t="n"/>
      <c r="AC47" s="10" t="n"/>
      <c r="AD47" s="11" t="n"/>
      <c r="AE47" s="10" t="n"/>
      <c r="AF47" s="10" t="n"/>
      <c r="AL47" s="10" t="n"/>
      <c r="AM47" s="11" t="n"/>
      <c r="AN47" s="10" t="n"/>
      <c r="AO47" s="10" t="n"/>
    </row>
    <row r="48">
      <c r="D48" s="8" t="n"/>
      <c r="E48" s="8" t="n"/>
      <c r="F48" s="8" t="n"/>
      <c r="G48" s="8" t="n"/>
      <c r="J48" s="9" t="n"/>
      <c r="L48" s="9" t="n"/>
      <c r="M48" s="10" t="n"/>
      <c r="P48" s="8" t="n"/>
      <c r="AC48" s="10" t="n"/>
      <c r="AD48" s="11" t="n"/>
      <c r="AE48" s="10" t="n"/>
      <c r="AF48" s="10" t="n"/>
      <c r="AL48" s="10" t="n"/>
      <c r="AM48" s="11" t="n"/>
      <c r="AN48" s="10" t="n"/>
      <c r="AO48" s="10" t="n"/>
    </row>
    <row r="49">
      <c r="D49" s="8" t="n"/>
      <c r="E49" s="8" t="n"/>
      <c r="F49" s="8" t="n"/>
      <c r="G49" s="8" t="n"/>
      <c r="J49" s="9" t="n"/>
      <c r="L49" s="9" t="n"/>
      <c r="M49" s="10" t="n"/>
      <c r="P49" s="8" t="n"/>
      <c r="AC49" s="10" t="n"/>
      <c r="AD49" s="11" t="n"/>
      <c r="AE49" s="10" t="n"/>
      <c r="AF49" s="10" t="n"/>
      <c r="AL49" s="10" t="n"/>
      <c r="AM49" s="11" t="n"/>
      <c r="AN49" s="10" t="n"/>
      <c r="AO49" s="10" t="n"/>
    </row>
    <row r="50">
      <c r="D50" s="8" t="n"/>
      <c r="E50" s="8" t="n"/>
      <c r="F50" s="8" t="n"/>
      <c r="G50" s="8" t="n"/>
      <c r="J50" s="9" t="n"/>
      <c r="L50" s="9" t="n"/>
      <c r="M50" s="10" t="n"/>
      <c r="P50" s="8" t="n"/>
      <c r="AC50" s="10" t="n"/>
      <c r="AD50" s="11" t="n"/>
      <c r="AE50" s="10" t="n"/>
      <c r="AF50" s="10" t="n"/>
      <c r="AL50" s="10" t="n"/>
      <c r="AM50" s="11" t="n"/>
      <c r="AN50" s="10" t="n"/>
      <c r="AO50" s="10" t="n"/>
    </row>
    <row r="51">
      <c r="D51" s="8" t="n"/>
      <c r="E51" s="8" t="n"/>
      <c r="F51" s="8" t="n"/>
      <c r="G51" s="8" t="n"/>
      <c r="J51" s="9" t="n"/>
      <c r="L51" s="9" t="n"/>
      <c r="M51" s="10" t="n"/>
      <c r="P51" s="8" t="n"/>
      <c r="AC51" s="10" t="n"/>
      <c r="AD51" s="11" t="n"/>
      <c r="AE51" s="10" t="n"/>
      <c r="AF51" s="10" t="n"/>
      <c r="AL51" s="10" t="n"/>
      <c r="AM51" s="11" t="n"/>
      <c r="AN51" s="10" t="n"/>
      <c r="AO51" s="10" t="n"/>
    </row>
    <row r="52">
      <c r="D52" s="8" t="n"/>
      <c r="E52" s="8" t="n"/>
      <c r="F52" s="8" t="n"/>
      <c r="G52" s="8" t="n"/>
      <c r="J52" s="9" t="n"/>
      <c r="L52" s="9" t="n"/>
      <c r="M52" s="10" t="n"/>
      <c r="P52" s="8" t="n"/>
      <c r="AC52" s="10" t="n"/>
      <c r="AD52" s="11" t="n"/>
      <c r="AE52" s="10" t="n"/>
      <c r="AF52" s="10" t="n"/>
      <c r="AL52" s="10" t="n"/>
      <c r="AM52" s="11" t="n"/>
      <c r="AN52" s="10" t="n"/>
      <c r="AO52" s="10" t="n"/>
    </row>
    <row r="53">
      <c r="D53" s="8" t="n"/>
      <c r="E53" s="8" t="n"/>
      <c r="F53" s="8" t="n"/>
      <c r="G53" s="8" t="n"/>
      <c r="J53" s="9" t="n"/>
      <c r="L53" s="9" t="n"/>
      <c r="M53" s="10" t="n"/>
      <c r="P53" s="8" t="n"/>
      <c r="AC53" s="10" t="n"/>
      <c r="AD53" s="11" t="n"/>
      <c r="AE53" s="10" t="n"/>
      <c r="AF53" s="10" t="n"/>
      <c r="AL53" s="10" t="n"/>
      <c r="AM53" s="11" t="n"/>
      <c r="AN53" s="10" t="n"/>
      <c r="AO53" s="10" t="n"/>
    </row>
    <row r="54">
      <c r="D54" s="8" t="n"/>
      <c r="E54" s="8" t="n"/>
      <c r="F54" s="8" t="n"/>
      <c r="G54" s="8" t="n"/>
      <c r="J54" s="9" t="n"/>
      <c r="L54" s="9" t="n"/>
      <c r="M54" s="10" t="n"/>
      <c r="P54" s="8" t="n"/>
      <c r="AC54" s="10" t="n"/>
      <c r="AD54" s="11" t="n"/>
      <c r="AE54" s="10" t="n"/>
      <c r="AF54" s="10" t="n"/>
      <c r="AL54" s="10" t="n"/>
      <c r="AM54" s="11" t="n"/>
      <c r="AN54" s="10" t="n"/>
      <c r="AO54" s="10" t="n"/>
    </row>
    <row r="55">
      <c r="D55" s="8" t="n"/>
      <c r="E55" s="8" t="n"/>
      <c r="F55" s="8" t="n"/>
      <c r="G55" s="8" t="n"/>
      <c r="J55" s="9" t="n"/>
      <c r="L55" s="9" t="n"/>
      <c r="M55" s="10" t="n"/>
      <c r="P55" s="8" t="n"/>
      <c r="AC55" s="10" t="n"/>
      <c r="AD55" s="11" t="n"/>
      <c r="AE55" s="10" t="n"/>
      <c r="AF55" s="10" t="n"/>
      <c r="AL55" s="10" t="n"/>
      <c r="AM55" s="11" t="n"/>
      <c r="AN55" s="10" t="n"/>
      <c r="AO55" s="10" t="n"/>
    </row>
    <row r="56">
      <c r="D56" s="8" t="n"/>
      <c r="E56" s="8" t="n"/>
      <c r="F56" s="8" t="n"/>
      <c r="G56" s="8" t="n"/>
      <c r="J56" s="9" t="n"/>
      <c r="L56" s="9" t="n"/>
      <c r="M56" s="10" t="n"/>
      <c r="P56" s="8" t="n"/>
      <c r="AC56" s="10" t="n"/>
      <c r="AD56" s="11" t="n"/>
      <c r="AE56" s="10" t="n"/>
      <c r="AF56" s="10" t="n"/>
      <c r="AL56" s="10" t="n"/>
      <c r="AM56" s="11" t="n"/>
      <c r="AN56" s="10" t="n"/>
      <c r="AO56" s="10" t="n"/>
    </row>
    <row r="57">
      <c r="D57" s="8" t="n"/>
      <c r="E57" s="8" t="n"/>
      <c r="F57" s="8" t="n"/>
      <c r="G57" s="8" t="n"/>
      <c r="J57" s="9" t="n"/>
      <c r="L57" s="9" t="n"/>
      <c r="M57" s="10" t="n"/>
      <c r="P57" s="8" t="n"/>
      <c r="AC57" s="10" t="n"/>
      <c r="AD57" s="11" t="n"/>
      <c r="AE57" s="10" t="n"/>
      <c r="AF57" s="10" t="n"/>
      <c r="AL57" s="10" t="n"/>
      <c r="AM57" s="11" t="n"/>
      <c r="AN57" s="10" t="n"/>
      <c r="AO57" s="10" t="n"/>
    </row>
    <row r="58">
      <c r="D58" s="8" t="n"/>
      <c r="E58" s="8" t="n"/>
      <c r="F58" s="8" t="n"/>
      <c r="G58" s="8" t="n"/>
      <c r="J58" s="9" t="n"/>
      <c r="L58" s="9" t="n"/>
      <c r="M58" s="10" t="n"/>
      <c r="P58" s="8" t="n"/>
      <c r="AC58" s="10" t="n"/>
      <c r="AD58" s="11" t="n"/>
      <c r="AE58" s="10" t="n"/>
      <c r="AF58" s="10" t="n"/>
      <c r="AL58" s="10" t="n"/>
      <c r="AM58" s="11" t="n"/>
      <c r="AN58" s="10" t="n"/>
      <c r="AO58" s="10" t="n"/>
    </row>
    <row r="59">
      <c r="D59" s="8" t="n"/>
      <c r="E59" s="8" t="n"/>
      <c r="F59" s="8" t="n"/>
      <c r="G59" s="8" t="n"/>
      <c r="J59" s="9" t="n"/>
      <c r="L59" s="9" t="n"/>
      <c r="M59" s="10" t="n"/>
      <c r="P59" s="8" t="n"/>
      <c r="AC59" s="10" t="n"/>
      <c r="AD59" s="11" t="n"/>
      <c r="AE59" s="10" t="n"/>
      <c r="AF59" s="10" t="n"/>
      <c r="AL59" s="10" t="n"/>
      <c r="AM59" s="11" t="n"/>
      <c r="AN59" s="10" t="n"/>
      <c r="AO59" s="10" t="n"/>
    </row>
    <row r="60">
      <c r="D60" s="8" t="n"/>
      <c r="E60" s="8" t="n"/>
      <c r="F60" s="8" t="n"/>
      <c r="G60" s="8" t="n"/>
      <c r="J60" s="9" t="n"/>
      <c r="L60" s="9" t="n"/>
      <c r="M60" s="10" t="n"/>
      <c r="P60" s="8" t="n"/>
      <c r="AC60" s="10" t="n"/>
      <c r="AD60" s="11" t="n"/>
      <c r="AE60" s="10" t="n"/>
      <c r="AF60" s="10" t="n"/>
      <c r="AL60" s="10" t="n"/>
      <c r="AM60" s="11" t="n"/>
      <c r="AN60" s="10" t="n"/>
      <c r="AO60" s="10" t="n"/>
    </row>
    <row r="61">
      <c r="D61" s="8" t="n"/>
      <c r="E61" s="8" t="n"/>
      <c r="F61" s="8" t="n"/>
      <c r="G61" s="8" t="n"/>
      <c r="J61" s="9" t="n"/>
      <c r="L61" s="9" t="n"/>
      <c r="M61" s="10" t="n"/>
      <c r="P61" s="8" t="n"/>
      <c r="AC61" s="10" t="n"/>
      <c r="AD61" s="11" t="n"/>
      <c r="AE61" s="10" t="n"/>
      <c r="AF61" s="10" t="n"/>
      <c r="AL61" s="10" t="n"/>
      <c r="AM61" s="11" t="n"/>
      <c r="AN61" s="10" t="n"/>
      <c r="AO61" s="10" t="n"/>
    </row>
    <row r="62">
      <c r="D62" s="8" t="n"/>
      <c r="E62" s="8" t="n"/>
      <c r="F62" s="8" t="n"/>
      <c r="G62" s="8" t="n"/>
      <c r="J62" s="9" t="n"/>
      <c r="L62" s="9" t="n"/>
      <c r="M62" s="10" t="n"/>
      <c r="P62" s="8" t="n"/>
      <c r="AC62" s="10" t="n"/>
      <c r="AD62" s="11" t="n"/>
      <c r="AE62" s="10" t="n"/>
      <c r="AF62" s="10" t="n"/>
      <c r="AL62" s="10" t="n"/>
      <c r="AM62" s="11" t="n"/>
      <c r="AN62" s="10" t="n"/>
      <c r="AO62" s="10" t="n"/>
    </row>
    <row r="63">
      <c r="D63" s="8" t="n"/>
      <c r="E63" s="8" t="n"/>
      <c r="F63" s="8" t="n"/>
      <c r="G63" s="8" t="n"/>
      <c r="J63" s="9" t="n"/>
      <c r="L63" s="9" t="n"/>
      <c r="M63" s="10" t="n"/>
      <c r="P63" s="8" t="n"/>
      <c r="AC63" s="10" t="n"/>
      <c r="AD63" s="11" t="n"/>
      <c r="AE63" s="10" t="n"/>
      <c r="AF63" s="10" t="n"/>
      <c r="AL63" s="10" t="n"/>
      <c r="AM63" s="11" t="n"/>
      <c r="AN63" s="10" t="n"/>
      <c r="AO63" s="10" t="n"/>
    </row>
    <row r="64">
      <c r="D64" s="8" t="n"/>
      <c r="E64" s="8" t="n"/>
      <c r="F64" s="8" t="n"/>
      <c r="G64" s="8" t="n"/>
      <c r="J64" s="9" t="n"/>
      <c r="L64" s="9" t="n"/>
      <c r="M64" s="10" t="n"/>
      <c r="P64" s="8" t="n"/>
      <c r="AC64" s="10" t="n"/>
      <c r="AD64" s="11" t="n"/>
      <c r="AE64" s="10" t="n"/>
      <c r="AF64" s="10" t="n"/>
      <c r="AL64" s="10" t="n"/>
      <c r="AM64" s="11" t="n"/>
      <c r="AN64" s="10" t="n"/>
      <c r="AO64" s="10" t="n"/>
    </row>
    <row r="65">
      <c r="D65" s="8" t="n"/>
      <c r="E65" s="8" t="n"/>
      <c r="F65" s="8" t="n"/>
      <c r="G65" s="8" t="n"/>
      <c r="J65" s="9" t="n"/>
      <c r="L65" s="9" t="n"/>
      <c r="M65" s="10" t="n"/>
      <c r="P65" s="8" t="n"/>
      <c r="AC65" s="10" t="n"/>
      <c r="AD65" s="11" t="n"/>
      <c r="AE65" s="10" t="n"/>
      <c r="AF65" s="10" t="n"/>
      <c r="AL65" s="10" t="n"/>
      <c r="AM65" s="11" t="n"/>
      <c r="AN65" s="10" t="n"/>
      <c r="AO65" s="10" t="n"/>
    </row>
    <row r="66">
      <c r="D66" s="8" t="n"/>
      <c r="E66" s="8" t="n"/>
      <c r="F66" s="8" t="n"/>
      <c r="G66" s="8" t="n"/>
      <c r="J66" s="9" t="n"/>
      <c r="L66" s="9" t="n"/>
      <c r="M66" s="10" t="n"/>
      <c r="P66" s="8" t="n"/>
      <c r="AC66" s="10" t="n"/>
      <c r="AD66" s="11" t="n"/>
      <c r="AE66" s="10" t="n"/>
      <c r="AF66" s="10" t="n"/>
      <c r="AL66" s="10" t="n"/>
      <c r="AM66" s="11" t="n"/>
      <c r="AN66" s="10" t="n"/>
      <c r="AO66" s="10" t="n"/>
    </row>
    <row r="67">
      <c r="D67" s="8" t="n"/>
      <c r="E67" s="8" t="n"/>
      <c r="F67" s="8" t="n"/>
      <c r="G67" s="8" t="n"/>
      <c r="J67" s="9" t="n"/>
      <c r="L67" s="9" t="n"/>
      <c r="M67" s="10" t="n"/>
      <c r="P67" s="8" t="n"/>
      <c r="AC67" s="10" t="n"/>
      <c r="AD67" s="11" t="n"/>
      <c r="AE67" s="10" t="n"/>
      <c r="AF67" s="10" t="n"/>
      <c r="AL67" s="10" t="n"/>
      <c r="AM67" s="11" t="n"/>
      <c r="AN67" s="10" t="n"/>
      <c r="AO67" s="10" t="n"/>
    </row>
    <row r="68">
      <c r="D68" s="8" t="n"/>
      <c r="E68" s="8" t="n"/>
      <c r="F68" s="8" t="n"/>
      <c r="G68" s="8" t="n"/>
      <c r="J68" s="9" t="n"/>
      <c r="L68" s="9" t="n"/>
      <c r="M68" s="10" t="n"/>
      <c r="P68" s="8" t="n"/>
      <c r="AC68" s="10" t="n"/>
      <c r="AD68" s="11" t="n"/>
      <c r="AE68" s="10" t="n"/>
      <c r="AF68" s="10" t="n"/>
      <c r="AL68" s="10" t="n"/>
      <c r="AM68" s="11" t="n"/>
      <c r="AN68" s="10" t="n"/>
      <c r="AO68" s="10" t="n"/>
    </row>
    <row r="69">
      <c r="D69" s="8" t="n"/>
      <c r="E69" s="8" t="n"/>
      <c r="F69" s="8" t="n"/>
      <c r="G69" s="8" t="n"/>
      <c r="J69" s="9" t="n"/>
      <c r="L69" s="9" t="n"/>
      <c r="M69" s="10" t="n"/>
      <c r="P69" s="8" t="n"/>
      <c r="AC69" s="10" t="n"/>
      <c r="AD69" s="11" t="n"/>
      <c r="AE69" s="10" t="n"/>
      <c r="AF69" s="10" t="n"/>
      <c r="AL69" s="10" t="n"/>
      <c r="AM69" s="11" t="n"/>
      <c r="AN69" s="10" t="n"/>
      <c r="AO69" s="10" t="n"/>
    </row>
    <row r="70">
      <c r="D70" s="8" t="n"/>
      <c r="E70" s="8" t="n"/>
      <c r="F70" s="8" t="n"/>
      <c r="G70" s="8" t="n"/>
      <c r="J70" s="9" t="n"/>
      <c r="L70" s="9" t="n"/>
      <c r="M70" s="10" t="n"/>
      <c r="P70" s="8" t="n"/>
      <c r="AC70" s="10" t="n"/>
      <c r="AD70" s="11" t="n"/>
      <c r="AE70" s="10" t="n"/>
      <c r="AF70" s="10" t="n"/>
      <c r="AL70" s="10" t="n"/>
      <c r="AM70" s="11" t="n"/>
      <c r="AN70" s="10" t="n"/>
      <c r="AO70" s="10" t="n"/>
    </row>
    <row r="71">
      <c r="D71" s="8" t="n"/>
      <c r="E71" s="8" t="n"/>
      <c r="F71" s="8" t="n"/>
      <c r="G71" s="8" t="n"/>
      <c r="J71" s="9" t="n"/>
      <c r="L71" s="9" t="n"/>
      <c r="M71" s="10" t="n"/>
      <c r="P71" s="8" t="n"/>
      <c r="AC71" s="10" t="n"/>
      <c r="AD71" s="11" t="n"/>
      <c r="AE71" s="10" t="n"/>
      <c r="AF71" s="10" t="n"/>
      <c r="AL71" s="10" t="n"/>
      <c r="AM71" s="11" t="n"/>
      <c r="AN71" s="10" t="n"/>
      <c r="AO71" s="10" t="n"/>
    </row>
    <row r="72">
      <c r="D72" s="8" t="n"/>
      <c r="E72" s="8" t="n"/>
      <c r="F72" s="8" t="n"/>
      <c r="G72" s="8" t="n"/>
      <c r="J72" s="9" t="n"/>
      <c r="L72" s="9" t="n"/>
      <c r="M72" s="10" t="n"/>
      <c r="P72" s="8" t="n"/>
      <c r="AC72" s="10" t="n"/>
      <c r="AD72" s="11" t="n"/>
      <c r="AE72" s="10" t="n"/>
      <c r="AF72" s="10" t="n"/>
      <c r="AL72" s="10" t="n"/>
      <c r="AM72" s="11" t="n"/>
      <c r="AN72" s="10" t="n"/>
      <c r="AO72" s="10" t="n"/>
    </row>
    <row r="73">
      <c r="D73" s="8" t="n"/>
      <c r="E73" s="8" t="n"/>
      <c r="F73" s="8" t="n"/>
      <c r="G73" s="8" t="n"/>
      <c r="J73" s="9" t="n"/>
      <c r="L73" s="9" t="n"/>
      <c r="M73" s="10" t="n"/>
      <c r="P73" s="8" t="n"/>
      <c r="AC73" s="10" t="n"/>
      <c r="AD73" s="11" t="n"/>
      <c r="AE73" s="10" t="n"/>
      <c r="AF73" s="10" t="n"/>
      <c r="AL73" s="10" t="n"/>
      <c r="AM73" s="11" t="n"/>
      <c r="AN73" s="10" t="n"/>
      <c r="AO73" s="10" t="n"/>
    </row>
    <row r="74">
      <c r="D74" s="8" t="n"/>
      <c r="E74" s="8" t="n"/>
      <c r="F74" s="8" t="n"/>
      <c r="G74" s="8" t="n"/>
      <c r="J74" s="9" t="n"/>
      <c r="L74" s="9" t="n"/>
      <c r="M74" s="10" t="n"/>
      <c r="P74" s="8" t="n"/>
      <c r="AC74" s="10" t="n"/>
      <c r="AD74" s="11" t="n"/>
      <c r="AE74" s="10" t="n"/>
      <c r="AF74" s="10" t="n"/>
      <c r="AL74" s="10" t="n"/>
      <c r="AM74" s="11" t="n"/>
      <c r="AN74" s="10" t="n"/>
      <c r="AO74" s="10" t="n"/>
    </row>
    <row r="75">
      <c r="D75" s="8" t="n"/>
      <c r="E75" s="8" t="n"/>
      <c r="F75" s="8" t="n"/>
      <c r="G75" s="8" t="n"/>
      <c r="J75" s="9" t="n"/>
      <c r="L75" s="9" t="n"/>
      <c r="M75" s="10" t="n"/>
      <c r="P75" s="8" t="n"/>
      <c r="AC75" s="10" t="n"/>
      <c r="AD75" s="11" t="n"/>
      <c r="AE75" s="10" t="n"/>
      <c r="AF75" s="10" t="n"/>
      <c r="AL75" s="10" t="n"/>
      <c r="AM75" s="11" t="n"/>
      <c r="AN75" s="10" t="n"/>
      <c r="AO75" s="10" t="n"/>
    </row>
    <row r="76">
      <c r="D76" s="8" t="n"/>
      <c r="E76" s="8" t="n"/>
      <c r="F76" s="8" t="n"/>
      <c r="G76" s="8" t="n"/>
      <c r="J76" s="9" t="n"/>
      <c r="L76" s="9" t="n"/>
      <c r="M76" s="10" t="n"/>
      <c r="P76" s="8" t="n"/>
      <c r="AC76" s="10" t="n"/>
      <c r="AD76" s="11" t="n"/>
      <c r="AE76" s="10" t="n"/>
      <c r="AF76" s="10" t="n"/>
      <c r="AL76" s="10" t="n"/>
      <c r="AM76" s="11" t="n"/>
      <c r="AN76" s="10" t="n"/>
      <c r="AO76" s="10" t="n"/>
    </row>
    <row r="77">
      <c r="D77" s="8" t="n"/>
      <c r="E77" s="8" t="n"/>
      <c r="F77" s="8" t="n"/>
      <c r="G77" s="8" t="n"/>
      <c r="J77" s="9" t="n"/>
      <c r="L77" s="9" t="n"/>
      <c r="M77" s="10" t="n"/>
      <c r="P77" s="8" t="n"/>
      <c r="AC77" s="10" t="n"/>
      <c r="AD77" s="11" t="n"/>
      <c r="AE77" s="10" t="n"/>
      <c r="AF77" s="10" t="n"/>
      <c r="AL77" s="10" t="n"/>
      <c r="AM77" s="11" t="n"/>
      <c r="AN77" s="10" t="n"/>
      <c r="AO77" s="10" t="n"/>
    </row>
    <row r="78">
      <c r="D78" s="8" t="n"/>
      <c r="E78" s="8" t="n"/>
      <c r="F78" s="8" t="n"/>
      <c r="G78" s="8" t="n"/>
      <c r="J78" s="9" t="n"/>
      <c r="L78" s="9" t="n"/>
      <c r="M78" s="10" t="n"/>
      <c r="P78" s="8" t="n"/>
      <c r="AC78" s="10" t="n"/>
      <c r="AD78" s="11" t="n"/>
      <c r="AE78" s="10" t="n"/>
      <c r="AF78" s="10" t="n"/>
      <c r="AL78" s="10" t="n"/>
      <c r="AM78" s="11" t="n"/>
      <c r="AN78" s="10" t="n"/>
      <c r="AO78" s="10" t="n"/>
    </row>
    <row r="79">
      <c r="D79" s="8" t="n"/>
      <c r="E79" s="8" t="n"/>
      <c r="F79" s="8" t="n"/>
      <c r="G79" s="8" t="n"/>
      <c r="J79" s="9" t="n"/>
      <c r="L79" s="9" t="n"/>
      <c r="M79" s="10" t="n"/>
      <c r="P79" s="8" t="n"/>
      <c r="AC79" s="10" t="n"/>
      <c r="AD79" s="11" t="n"/>
      <c r="AE79" s="10" t="n"/>
      <c r="AF79" s="10" t="n"/>
      <c r="AL79" s="10" t="n"/>
      <c r="AM79" s="11" t="n"/>
      <c r="AN79" s="10" t="n"/>
      <c r="AO79" s="10" t="n"/>
    </row>
    <row r="80">
      <c r="D80" s="8" t="n"/>
      <c r="E80" s="8" t="n"/>
      <c r="F80" s="8" t="n"/>
      <c r="G80" s="8" t="n"/>
      <c r="J80" s="9" t="n"/>
      <c r="L80" s="9" t="n"/>
      <c r="M80" s="10" t="n"/>
      <c r="P80" s="8" t="n"/>
      <c r="AC80" s="10" t="n"/>
      <c r="AD80" s="11" t="n"/>
      <c r="AE80" s="10" t="n"/>
      <c r="AF80" s="10" t="n"/>
      <c r="AL80" s="10" t="n"/>
      <c r="AM80" s="11" t="n"/>
      <c r="AN80" s="10" t="n"/>
      <c r="AO80" s="10" t="n"/>
    </row>
    <row r="81">
      <c r="D81" s="8" t="n"/>
      <c r="E81" s="8" t="n"/>
      <c r="F81" s="8" t="n"/>
      <c r="G81" s="8" t="n"/>
      <c r="J81" s="9" t="n"/>
      <c r="L81" s="9" t="n"/>
      <c r="M81" s="10" t="n"/>
      <c r="P81" s="8" t="n"/>
      <c r="AC81" s="10" t="n"/>
      <c r="AD81" s="11" t="n"/>
      <c r="AE81" s="10" t="n"/>
      <c r="AF81" s="10" t="n"/>
      <c r="AL81" s="10" t="n"/>
      <c r="AM81" s="11" t="n"/>
      <c r="AN81" s="10" t="n"/>
      <c r="AO81" s="10" t="n"/>
    </row>
    <row r="82">
      <c r="D82" s="8" t="n"/>
      <c r="E82" s="8" t="n"/>
      <c r="F82" s="8" t="n"/>
      <c r="G82" s="8" t="n"/>
      <c r="J82" s="9" t="n"/>
      <c r="L82" s="9" t="n"/>
      <c r="M82" s="10" t="n"/>
      <c r="P82" s="8" t="n"/>
      <c r="AC82" s="10" t="n"/>
      <c r="AD82" s="11" t="n"/>
      <c r="AE82" s="10" t="n"/>
      <c r="AF82" s="10" t="n"/>
      <c r="AL82" s="10" t="n"/>
      <c r="AM82" s="11" t="n"/>
      <c r="AN82" s="10" t="n"/>
      <c r="AO82" s="10" t="n"/>
    </row>
    <row r="83">
      <c r="D83" s="8" t="n"/>
      <c r="E83" s="8" t="n"/>
      <c r="F83" s="8" t="n"/>
      <c r="G83" s="8" t="n"/>
      <c r="J83" s="9" t="n"/>
      <c r="L83" s="9" t="n"/>
      <c r="M83" s="10" t="n"/>
      <c r="P83" s="8" t="n"/>
      <c r="AC83" s="10" t="n"/>
      <c r="AD83" s="11" t="n"/>
      <c r="AE83" s="10" t="n"/>
      <c r="AF83" s="10" t="n"/>
      <c r="AL83" s="10" t="n"/>
      <c r="AM83" s="11" t="n"/>
      <c r="AN83" s="10" t="n"/>
      <c r="AO83" s="10" t="n"/>
    </row>
    <row r="84">
      <c r="D84" s="8" t="n"/>
      <c r="E84" s="8" t="n"/>
      <c r="F84" s="8" t="n"/>
      <c r="G84" s="8" t="n"/>
      <c r="J84" s="9" t="n"/>
      <c r="L84" s="9" t="n"/>
      <c r="M84" s="10" t="n"/>
      <c r="P84" s="8" t="n"/>
      <c r="AC84" s="10" t="n"/>
      <c r="AD84" s="11" t="n"/>
      <c r="AE84" s="10" t="n"/>
      <c r="AF84" s="10" t="n"/>
      <c r="AL84" s="10" t="n"/>
      <c r="AM84" s="11" t="n"/>
      <c r="AN84" s="10" t="n"/>
      <c r="AO84" s="10" t="n"/>
    </row>
    <row r="85">
      <c r="D85" s="8" t="n"/>
      <c r="E85" s="8" t="n"/>
      <c r="F85" s="8" t="n"/>
      <c r="G85" s="8" t="n"/>
      <c r="J85" s="9" t="n"/>
      <c r="L85" s="9" t="n"/>
      <c r="M85" s="10" t="n"/>
      <c r="P85" s="8" t="n"/>
      <c r="AC85" s="10" t="n"/>
      <c r="AD85" s="11" t="n"/>
      <c r="AE85" s="10" t="n"/>
      <c r="AF85" s="10" t="n"/>
      <c r="AL85" s="10" t="n"/>
      <c r="AM85" s="11" t="n"/>
      <c r="AN85" s="10" t="n"/>
      <c r="AO85" s="10" t="n"/>
    </row>
    <row r="86">
      <c r="D86" s="8" t="n"/>
      <c r="E86" s="8" t="n"/>
      <c r="F86" s="8" t="n"/>
      <c r="G86" s="8" t="n"/>
      <c r="J86" s="9" t="n"/>
      <c r="L86" s="9" t="n"/>
      <c r="M86" s="10" t="n"/>
      <c r="P86" s="8" t="n"/>
      <c r="AC86" s="10" t="n"/>
      <c r="AD86" s="11" t="n"/>
      <c r="AE86" s="10" t="n"/>
      <c r="AF86" s="10" t="n"/>
      <c r="AL86" s="10" t="n"/>
      <c r="AM86" s="11" t="n"/>
      <c r="AN86" s="10" t="n"/>
      <c r="AO86" s="10" t="n"/>
    </row>
    <row r="87">
      <c r="D87" s="8" t="n"/>
      <c r="E87" s="8" t="n"/>
      <c r="F87" s="8" t="n"/>
      <c r="G87" s="8" t="n"/>
      <c r="J87" s="9" t="n"/>
      <c r="L87" s="9" t="n"/>
      <c r="M87" s="10" t="n"/>
      <c r="P87" s="8" t="n"/>
      <c r="AC87" s="10" t="n"/>
      <c r="AD87" s="11" t="n"/>
      <c r="AE87" s="10" t="n"/>
      <c r="AF87" s="10" t="n"/>
      <c r="AL87" s="10" t="n"/>
      <c r="AM87" s="11" t="n"/>
      <c r="AN87" s="10" t="n"/>
      <c r="AO87" s="10" t="n"/>
    </row>
    <row r="88">
      <c r="D88" s="8" t="n"/>
      <c r="E88" s="8" t="n"/>
      <c r="F88" s="8" t="n"/>
      <c r="G88" s="8" t="n"/>
      <c r="J88" s="9" t="n"/>
      <c r="L88" s="9" t="n"/>
      <c r="M88" s="10" t="n"/>
      <c r="P88" s="8" t="n"/>
      <c r="AC88" s="10" t="n"/>
      <c r="AD88" s="11" t="n"/>
      <c r="AE88" s="10" t="n"/>
      <c r="AF88" s="10" t="n"/>
      <c r="AL88" s="10" t="n"/>
      <c r="AM88" s="11" t="n"/>
      <c r="AN88" s="10" t="n"/>
      <c r="AO88" s="10" t="n"/>
    </row>
    <row r="89">
      <c r="D89" s="8" t="n"/>
      <c r="E89" s="8" t="n"/>
      <c r="F89" s="8" t="n"/>
      <c r="G89" s="8" t="n"/>
      <c r="J89" s="9" t="n"/>
      <c r="L89" s="9" t="n"/>
      <c r="M89" s="10" t="n"/>
      <c r="P89" s="8" t="n"/>
      <c r="AC89" s="10" t="n"/>
      <c r="AD89" s="11" t="n"/>
      <c r="AE89" s="10" t="n"/>
      <c r="AF89" s="10" t="n"/>
      <c r="AL89" s="10" t="n"/>
      <c r="AM89" s="11" t="n"/>
      <c r="AN89" s="10" t="n"/>
      <c r="AO89" s="10" t="n"/>
    </row>
    <row r="90">
      <c r="D90" s="8" t="n"/>
      <c r="E90" s="8" t="n"/>
      <c r="F90" s="8" t="n"/>
      <c r="G90" s="8" t="n"/>
      <c r="J90" s="9" t="n"/>
      <c r="L90" s="9" t="n"/>
      <c r="M90" s="10" t="n"/>
      <c r="P90" s="8" t="n"/>
      <c r="AC90" s="10" t="n"/>
      <c r="AD90" s="11" t="n"/>
      <c r="AE90" s="10" t="n"/>
      <c r="AF90" s="10" t="n"/>
      <c r="AL90" s="10" t="n"/>
      <c r="AM90" s="11" t="n"/>
      <c r="AN90" s="10" t="n"/>
      <c r="AO90" s="10" t="n"/>
    </row>
    <row r="91">
      <c r="D91" s="8" t="n"/>
      <c r="E91" s="8" t="n"/>
      <c r="F91" s="8" t="n"/>
      <c r="G91" s="8" t="n"/>
      <c r="J91" s="9" t="n"/>
      <c r="L91" s="9" t="n"/>
      <c r="M91" s="10" t="n"/>
      <c r="P91" s="8" t="n"/>
      <c r="AC91" s="10" t="n"/>
      <c r="AD91" s="11" t="n"/>
      <c r="AE91" s="10" t="n"/>
      <c r="AF91" s="10" t="n"/>
      <c r="AL91" s="10" t="n"/>
      <c r="AM91" s="11" t="n"/>
      <c r="AN91" s="10" t="n"/>
      <c r="AO91" s="10" t="n"/>
    </row>
    <row r="92">
      <c r="D92" s="8" t="n"/>
      <c r="E92" s="8" t="n"/>
      <c r="F92" s="8" t="n"/>
      <c r="G92" s="8" t="n"/>
      <c r="J92" s="9" t="n"/>
      <c r="L92" s="9" t="n"/>
      <c r="M92" s="10" t="n"/>
      <c r="P92" s="8" t="n"/>
      <c r="AC92" s="10" t="n"/>
      <c r="AD92" s="11" t="n"/>
      <c r="AE92" s="10" t="n"/>
      <c r="AF92" s="10" t="n"/>
      <c r="AL92" s="10" t="n"/>
      <c r="AM92" s="11" t="n"/>
      <c r="AN92" s="10" t="n"/>
      <c r="AO92" s="10" t="n"/>
    </row>
    <row r="93">
      <c r="D93" s="8" t="n"/>
      <c r="E93" s="8" t="n"/>
      <c r="F93" s="8" t="n"/>
      <c r="G93" s="8" t="n"/>
      <c r="J93" s="9" t="n"/>
      <c r="L93" s="9" t="n"/>
      <c r="M93" s="10" t="n"/>
      <c r="P93" s="8" t="n"/>
      <c r="AC93" s="10" t="n"/>
      <c r="AD93" s="11" t="n"/>
      <c r="AE93" s="10" t="n"/>
      <c r="AF93" s="10" t="n"/>
      <c r="AL93" s="10" t="n"/>
      <c r="AM93" s="11" t="n"/>
      <c r="AN93" s="10" t="n"/>
      <c r="AO93" s="10" t="n"/>
    </row>
    <row r="94">
      <c r="D94" s="8" t="n"/>
      <c r="E94" s="8" t="n"/>
      <c r="F94" s="8" t="n"/>
      <c r="G94" s="8" t="n"/>
      <c r="J94" s="9" t="n"/>
      <c r="L94" s="9" t="n"/>
      <c r="M94" s="10" t="n"/>
      <c r="P94" s="8" t="n"/>
      <c r="AC94" s="10" t="n"/>
      <c r="AD94" s="11" t="n"/>
      <c r="AE94" s="10" t="n"/>
      <c r="AF94" s="10" t="n"/>
      <c r="AL94" s="10" t="n"/>
      <c r="AM94" s="11" t="n"/>
      <c r="AN94" s="10" t="n"/>
      <c r="AO94" s="10" t="n"/>
    </row>
    <row r="95">
      <c r="D95" s="8" t="n"/>
      <c r="E95" s="8" t="n"/>
      <c r="F95" s="8" t="n"/>
      <c r="G95" s="8" t="n"/>
      <c r="J95" s="9" t="n"/>
      <c r="L95" s="9" t="n"/>
      <c r="M95" s="10" t="n"/>
      <c r="P95" s="8" t="n"/>
      <c r="AC95" s="10" t="n"/>
      <c r="AD95" s="11" t="n"/>
      <c r="AE95" s="10" t="n"/>
      <c r="AF95" s="10" t="n"/>
      <c r="AL95" s="10" t="n"/>
      <c r="AM95" s="11" t="n"/>
      <c r="AN95" s="10" t="n"/>
      <c r="AO95" s="10" t="n"/>
    </row>
    <row r="96">
      <c r="D96" s="8" t="n"/>
      <c r="E96" s="8" t="n"/>
      <c r="F96" s="8" t="n"/>
      <c r="G96" s="8" t="n"/>
      <c r="J96" s="9" t="n"/>
      <c r="L96" s="9" t="n"/>
      <c r="M96" s="10" t="n"/>
      <c r="P96" s="8" t="n"/>
      <c r="AC96" s="10" t="n"/>
      <c r="AD96" s="11" t="n"/>
      <c r="AE96" s="10" t="n"/>
      <c r="AF96" s="10" t="n"/>
      <c r="AL96" s="10" t="n"/>
      <c r="AM96" s="11" t="n"/>
      <c r="AN96" s="10" t="n"/>
      <c r="AO96" s="10" t="n"/>
    </row>
    <row r="97">
      <c r="D97" s="8" t="n"/>
      <c r="E97" s="8" t="n"/>
      <c r="F97" s="8" t="n"/>
      <c r="G97" s="8" t="n"/>
      <c r="J97" s="9" t="n"/>
      <c r="L97" s="9" t="n"/>
      <c r="M97" s="10" t="n"/>
      <c r="P97" s="8" t="n"/>
      <c r="AC97" s="10" t="n"/>
      <c r="AD97" s="11" t="n"/>
      <c r="AE97" s="10" t="n"/>
      <c r="AF97" s="10" t="n"/>
      <c r="AL97" s="10" t="n"/>
      <c r="AM97" s="11" t="n"/>
      <c r="AN97" s="10" t="n"/>
      <c r="AO97" s="10" t="n"/>
    </row>
    <row r="98">
      <c r="D98" s="8" t="n"/>
      <c r="E98" s="8" t="n"/>
      <c r="F98" s="8" t="n"/>
      <c r="G98" s="8" t="n"/>
      <c r="J98" s="9" t="n"/>
      <c r="L98" s="9" t="n"/>
      <c r="M98" s="10" t="n"/>
      <c r="P98" s="8" t="n"/>
      <c r="AC98" s="10" t="n"/>
      <c r="AD98" s="11" t="n"/>
      <c r="AE98" s="10" t="n"/>
      <c r="AF98" s="10" t="n"/>
      <c r="AL98" s="10" t="n"/>
      <c r="AM98" s="11" t="n"/>
      <c r="AN98" s="10" t="n"/>
      <c r="AO98" s="10" t="n"/>
    </row>
    <row r="99">
      <c r="D99" s="8" t="n"/>
      <c r="E99" s="8" t="n"/>
      <c r="F99" s="8" t="n"/>
      <c r="G99" s="8" t="n"/>
      <c r="J99" s="9" t="n"/>
      <c r="L99" s="9" t="n"/>
      <c r="M99" s="10" t="n"/>
      <c r="P99" s="8" t="n"/>
      <c r="AC99" s="10" t="n"/>
      <c r="AD99" s="11" t="n"/>
      <c r="AE99" s="10" t="n"/>
      <c r="AF99" s="10" t="n"/>
      <c r="AL99" s="10" t="n"/>
      <c r="AM99" s="11" t="n"/>
      <c r="AN99" s="10" t="n"/>
      <c r="AO99" s="10" t="n"/>
    </row>
    <row r="100">
      <c r="D100" s="8" t="n"/>
      <c r="E100" s="8" t="n"/>
      <c r="F100" s="8" t="n"/>
      <c r="G100" s="8" t="n"/>
      <c r="J100" s="9" t="n"/>
      <c r="L100" s="9" t="n"/>
      <c r="M100" s="10" t="n"/>
      <c r="P100" s="8" t="n"/>
      <c r="AC100" s="10" t="n"/>
      <c r="AD100" s="11" t="n"/>
      <c r="AE100" s="10" t="n"/>
      <c r="AF100" s="10" t="n"/>
      <c r="AL100" s="10" t="n"/>
      <c r="AM100" s="11" t="n"/>
      <c r="AN100" s="10" t="n"/>
      <c r="AO100" s="10" t="n"/>
    </row>
    <row r="101">
      <c r="D101" s="8">
        <f>IF(A101="","",VLOOKUP(A101,Lists!$A:$B,2,FALSE))</f>
        <v/>
      </c>
      <c r="E101" s="8">
        <f>IF(C101="","",VLOOKUP(C101,Lists!$C:$D,2,FALSE))</f>
        <v/>
      </c>
      <c r="F101" s="8" t="n"/>
      <c r="G101" s="8" t="n"/>
      <c r="J101" s="9">
        <f>IF(A101="","",IFERROR(VLOOKUP(A101,Lists!$A:$H,8,FALSE),0))</f>
        <v/>
      </c>
      <c r="L101" s="9">
        <f>IF(A101="","",IFERROR(VLOOKUP(A101,Lists!$A:$H,7,FALSE),0))</f>
        <v/>
      </c>
      <c r="M101" s="10">
        <f>IF(K101="Eigen Beheer",0,IF(AND(ISNUMBER(L101),I101&lt;&gt;"",H101&lt;&gt;""),(L101*12/365)*(I101-H101),0))</f>
        <v/>
      </c>
      <c r="P101" s="8">
        <f>IF(O101="","",VLOOKUP(O101,Lists!$E:$F,2,FALSE))</f>
        <v/>
      </c>
      <c r="AC101" s="10">
        <f>IF(AND(AA101&lt;&gt;"",AB101&lt;&gt;""),AA101*AB101,"")</f>
        <v/>
      </c>
      <c r="AD101" s="11" t="n"/>
      <c r="AE101" s="10">
        <f>IF(AND(AC101&lt;&gt;"",AD101&lt;&gt;""),AC101*AD101,"")</f>
        <v/>
      </c>
      <c r="AF101" s="10">
        <f>IF(AND(AC101&lt;&gt;"",AE101&lt;&gt;""),AC101+AE101,"")</f>
        <v/>
      </c>
      <c r="AJ101">
        <f>IF($B101="GWE_Item",IF($AG101="Elektra",SUMIFS($U:$U,$A:$A,$A101,$B:$B,"GWE")-SUMIFS($T:$T,$A:$A,$A101,$B:$B,"GWE"),IF($AG101="Gas",SUMIFS($W:$W,$A:$A,$A101,$B:$B,"GWE")-SUMIFS($V:$V,$A:$A,$A101,$B:$B,"GWE"),IF($AG101="Water",SUMIFS($Y:$Y,$A:$A,$A101,$B:$B,"GWE")-SUMIFS($X:$X,$A:$A,$A101,$B:$B,"GWE"),""))),"")</f>
        <v/>
      </c>
      <c r="AL101" s="10">
        <f>IF(AND(AJ101&lt;&gt;"",AK101&lt;&gt;""),AJ101*AK101,"")</f>
        <v/>
      </c>
      <c r="AM101" s="11" t="n"/>
      <c r="AN101" s="10">
        <f>IF(AND(AL101&lt;&gt;"",AM101&lt;&gt;""),AL101*AM101,"")</f>
        <v/>
      </c>
      <c r="AO101" s="10">
        <f>IF(AND(AL101&lt;&gt;"",AN101&lt;&gt;""),AL101+AN101,"")</f>
        <v/>
      </c>
    </row>
    <row r="102">
      <c r="D102" s="8">
        <f>IF(A102="","",VLOOKUP(A102,Lists!$A:$B,2,FALSE))</f>
        <v/>
      </c>
      <c r="E102" s="8">
        <f>IF(C102="","",VLOOKUP(C102,Lists!$C:$D,2,FALSE))</f>
        <v/>
      </c>
      <c r="F102" s="8" t="n"/>
      <c r="G102" s="8" t="n"/>
      <c r="J102" s="9">
        <f>IF(A102="","",IFERROR(VLOOKUP(A102,Lists!$A:$H,8,FALSE),0))</f>
        <v/>
      </c>
      <c r="L102" s="9">
        <f>IF(A102="","",IFERROR(VLOOKUP(A102,Lists!$A:$H,7,FALSE),0))</f>
        <v/>
      </c>
      <c r="M102" s="10">
        <f>IF(K102="Eigen Beheer",0,IF(AND(ISNUMBER(L102),I102&lt;&gt;"",H102&lt;&gt;""),(L102*12/365)*(I102-H102),0))</f>
        <v/>
      </c>
      <c r="P102" s="8">
        <f>IF(O102="","",VLOOKUP(O102,Lists!$E:$F,2,FALSE))</f>
        <v/>
      </c>
      <c r="AC102" s="10">
        <f>IF(AND(AA102&lt;&gt;"",AB102&lt;&gt;""),AA102*AB102,"")</f>
        <v/>
      </c>
      <c r="AD102" s="11" t="n"/>
      <c r="AE102" s="10">
        <f>IF(AND(AC102&lt;&gt;"",AD102&lt;&gt;""),AC102*AD102,"")</f>
        <v/>
      </c>
      <c r="AF102" s="10">
        <f>IF(AND(AC102&lt;&gt;"",AE102&lt;&gt;""),AC102+AE102,"")</f>
        <v/>
      </c>
      <c r="AJ102">
        <f>IF($B102="GWE_Item",IF($AG102="Elektra",SUMIFS($U:$U,$A:$A,$A102,$B:$B,"GWE")-SUMIFS($T:$T,$A:$A,$A102,$B:$B,"GWE"),IF($AG102="Gas",SUMIFS($W:$W,$A:$A,$A102,$B:$B,"GWE")-SUMIFS($V:$V,$A:$A,$A102,$B:$B,"GWE"),IF($AG102="Water",SUMIFS($Y:$Y,$A:$A,$A102,$B:$B,"GWE")-SUMIFS($X:$X,$A:$A,$A102,$B:$B,"GWE"),""))),"")</f>
        <v/>
      </c>
      <c r="AL102" s="10">
        <f>IF(AND(AJ102&lt;&gt;"",AK102&lt;&gt;""),AJ102*AK102,"")</f>
        <v/>
      </c>
      <c r="AM102" s="11" t="n"/>
      <c r="AN102" s="10">
        <f>IF(AND(AL102&lt;&gt;"",AM102&lt;&gt;""),AL102*AM102,"")</f>
        <v/>
      </c>
      <c r="AO102" s="10">
        <f>IF(AND(AL102&lt;&gt;"",AN102&lt;&gt;""),AL102+AN102,"")</f>
        <v/>
      </c>
    </row>
    <row r="103">
      <c r="D103" s="8">
        <f>IF(A103="","",VLOOKUP(A103,Lists!$A:$B,2,FALSE))</f>
        <v/>
      </c>
      <c r="E103" s="8">
        <f>IF(C103="","",VLOOKUP(C103,Lists!$C:$D,2,FALSE))</f>
        <v/>
      </c>
      <c r="F103" s="8" t="n"/>
      <c r="G103" s="8" t="n"/>
      <c r="J103" s="9">
        <f>IF(A103="","",IFERROR(VLOOKUP(A103,Lists!$A:$H,8,FALSE),0))</f>
        <v/>
      </c>
      <c r="L103" s="9">
        <f>IF(A103="","",IFERROR(VLOOKUP(A103,Lists!$A:$H,7,FALSE),0))</f>
        <v/>
      </c>
      <c r="M103" s="10">
        <f>IF(K103="Eigen Beheer",0,IF(AND(ISNUMBER(L103),I103&lt;&gt;"",H103&lt;&gt;""),(L103*12/365)*(I103-H103),0))</f>
        <v/>
      </c>
      <c r="P103" s="8">
        <f>IF(O103="","",VLOOKUP(O103,Lists!$E:$F,2,FALSE))</f>
        <v/>
      </c>
      <c r="AC103" s="10">
        <f>IF(AND(AA103&lt;&gt;"",AB103&lt;&gt;""),AA103*AB103,"")</f>
        <v/>
      </c>
      <c r="AD103" s="11" t="n"/>
      <c r="AE103" s="10">
        <f>IF(AND(AC103&lt;&gt;"",AD103&lt;&gt;""),AC103*AD103,"")</f>
        <v/>
      </c>
      <c r="AF103" s="10">
        <f>IF(AND(AC103&lt;&gt;"",AE103&lt;&gt;""),AC103+AE103,"")</f>
        <v/>
      </c>
      <c r="AJ103">
        <f>IF($B103="GWE_Item",IF($AG103="Elektra",SUMIFS($U:$U,$A:$A,$A103,$B:$B,"GWE")-SUMIFS($T:$T,$A:$A,$A103,$B:$B,"GWE"),IF($AG103="Gas",SUMIFS($W:$W,$A:$A,$A103,$B:$B,"GWE")-SUMIFS($V:$V,$A:$A,$A103,$B:$B,"GWE"),IF($AG103="Water",SUMIFS($Y:$Y,$A:$A,$A103,$B:$B,"GWE")-SUMIFS($X:$X,$A:$A,$A103,$B:$B,"GWE"),""))),"")</f>
        <v/>
      </c>
      <c r="AL103" s="10">
        <f>IF(AND(AJ103&lt;&gt;"",AK103&lt;&gt;""),AJ103*AK103,"")</f>
        <v/>
      </c>
      <c r="AM103" s="11" t="n"/>
      <c r="AN103" s="10">
        <f>IF(AND(AL103&lt;&gt;"",AM103&lt;&gt;""),AL103*AM103,"")</f>
        <v/>
      </c>
      <c r="AO103" s="10">
        <f>IF(AND(AL103&lt;&gt;"",AN103&lt;&gt;""),AL103+AN103,"")</f>
        <v/>
      </c>
    </row>
    <row r="104">
      <c r="D104" s="8">
        <f>IF(A104="","",VLOOKUP(A104,Lists!$A:$B,2,FALSE))</f>
        <v/>
      </c>
      <c r="E104" s="8">
        <f>IF(C104="","",VLOOKUP(C104,Lists!$C:$D,2,FALSE))</f>
        <v/>
      </c>
      <c r="F104" s="8" t="n"/>
      <c r="G104" s="8" t="n"/>
      <c r="J104" s="9">
        <f>IF(A104="","",IFERROR(VLOOKUP(A104,Lists!$A:$H,8,FALSE),0))</f>
        <v/>
      </c>
      <c r="L104" s="9">
        <f>IF(A104="","",IFERROR(VLOOKUP(A104,Lists!$A:$H,7,FALSE),0))</f>
        <v/>
      </c>
      <c r="M104" s="10">
        <f>IF(K104="Eigen Beheer",0,IF(AND(ISNUMBER(L104),I104&lt;&gt;"",H104&lt;&gt;""),(L104*12/365)*(I104-H104),0))</f>
        <v/>
      </c>
      <c r="P104" s="8">
        <f>IF(O104="","",VLOOKUP(O104,Lists!$E:$F,2,FALSE))</f>
        <v/>
      </c>
      <c r="AC104" s="10">
        <f>IF(AND(AA104&lt;&gt;"",AB104&lt;&gt;""),AA104*AB104,"")</f>
        <v/>
      </c>
      <c r="AD104" s="11" t="n"/>
      <c r="AE104" s="10">
        <f>IF(AND(AC104&lt;&gt;"",AD104&lt;&gt;""),AC104*AD104,"")</f>
        <v/>
      </c>
      <c r="AF104" s="10">
        <f>IF(AND(AC104&lt;&gt;"",AE104&lt;&gt;""),AC104+AE104,"")</f>
        <v/>
      </c>
      <c r="AJ104">
        <f>IF($B104="GWE_Item",IF($AG104="Elektra",SUMIFS($U:$U,$A:$A,$A104,$B:$B,"GWE")-SUMIFS($T:$T,$A:$A,$A104,$B:$B,"GWE"),IF($AG104="Gas",SUMIFS($W:$W,$A:$A,$A104,$B:$B,"GWE")-SUMIFS($V:$V,$A:$A,$A104,$B:$B,"GWE"),IF($AG104="Water",SUMIFS($Y:$Y,$A:$A,$A104,$B:$B,"GWE")-SUMIFS($X:$X,$A:$A,$A104,$B:$B,"GWE"),""))),"")</f>
        <v/>
      </c>
      <c r="AL104" s="10">
        <f>IF(AND(AJ104&lt;&gt;"",AK104&lt;&gt;""),AJ104*AK104,"")</f>
        <v/>
      </c>
      <c r="AM104" s="11" t="n"/>
      <c r="AN104" s="10">
        <f>IF(AND(AL104&lt;&gt;"",AM104&lt;&gt;""),AL104*AM104,"")</f>
        <v/>
      </c>
      <c r="AO104" s="10">
        <f>IF(AND(AL104&lt;&gt;"",AN104&lt;&gt;""),AL104+AN104,"")</f>
        <v/>
      </c>
    </row>
    <row r="105">
      <c r="D105" s="8">
        <f>IF(A105="","",VLOOKUP(A105,Lists!$A:$B,2,FALSE))</f>
        <v/>
      </c>
      <c r="E105" s="8">
        <f>IF(C105="","",VLOOKUP(C105,Lists!$C:$D,2,FALSE))</f>
        <v/>
      </c>
      <c r="F105" s="8" t="n"/>
      <c r="G105" s="8" t="n"/>
      <c r="J105" s="9">
        <f>IF(A105="","",IFERROR(VLOOKUP(A105,Lists!$A:$H,8,FALSE),0))</f>
        <v/>
      </c>
      <c r="L105" s="9">
        <f>IF(A105="","",IFERROR(VLOOKUP(A105,Lists!$A:$H,7,FALSE),0))</f>
        <v/>
      </c>
      <c r="M105" s="10">
        <f>IF(K105="Eigen Beheer",0,IF(AND(ISNUMBER(L105),I105&lt;&gt;"",H105&lt;&gt;""),(L105*12/365)*(I105-H105),0))</f>
        <v/>
      </c>
      <c r="P105" s="8">
        <f>IF(O105="","",VLOOKUP(O105,Lists!$E:$F,2,FALSE))</f>
        <v/>
      </c>
      <c r="AC105" s="10">
        <f>IF(AND(AA105&lt;&gt;"",AB105&lt;&gt;""),AA105*AB105,"")</f>
        <v/>
      </c>
      <c r="AD105" s="11" t="n"/>
      <c r="AE105" s="10">
        <f>IF(AND(AC105&lt;&gt;"",AD105&lt;&gt;""),AC105*AD105,"")</f>
        <v/>
      </c>
      <c r="AF105" s="10">
        <f>IF(AND(AC105&lt;&gt;"",AE105&lt;&gt;""),AC105+AE105,"")</f>
        <v/>
      </c>
      <c r="AJ105">
        <f>IF($B105="GWE_Item",IF($AG105="Elektra",SUMIFS($U:$U,$A:$A,$A105,$B:$B,"GWE")-SUMIFS($T:$T,$A:$A,$A105,$B:$B,"GWE"),IF($AG105="Gas",SUMIFS($W:$W,$A:$A,$A105,$B:$B,"GWE")-SUMIFS($V:$V,$A:$A,$A105,$B:$B,"GWE"),IF($AG105="Water",SUMIFS($Y:$Y,$A:$A,$A105,$B:$B,"GWE")-SUMIFS($X:$X,$A:$A,$A105,$B:$B,"GWE"),""))),"")</f>
        <v/>
      </c>
      <c r="AL105" s="10">
        <f>IF(AND(AJ105&lt;&gt;"",AK105&lt;&gt;""),AJ105*AK105,"")</f>
        <v/>
      </c>
      <c r="AM105" s="11" t="n"/>
      <c r="AN105" s="10">
        <f>IF(AND(AL105&lt;&gt;"",AM105&lt;&gt;""),AL105*AM105,"")</f>
        <v/>
      </c>
      <c r="AO105" s="10">
        <f>IF(AND(AL105&lt;&gt;"",AN105&lt;&gt;""),AL105+AN105,"")</f>
        <v/>
      </c>
    </row>
    <row r="106">
      <c r="D106" s="8">
        <f>IF(A106="","",VLOOKUP(A106,Lists!$A:$B,2,FALSE))</f>
        <v/>
      </c>
      <c r="E106" s="8">
        <f>IF(C106="","",VLOOKUP(C106,Lists!$C:$D,2,FALSE))</f>
        <v/>
      </c>
      <c r="F106" s="8" t="n"/>
      <c r="G106" s="8" t="n"/>
      <c r="J106" s="9">
        <f>IF(A106="","",IFERROR(VLOOKUP(A106,Lists!$A:$H,8,FALSE),0))</f>
        <v/>
      </c>
      <c r="L106" s="9">
        <f>IF(A106="","",IFERROR(VLOOKUP(A106,Lists!$A:$H,7,FALSE),0))</f>
        <v/>
      </c>
      <c r="M106" s="10">
        <f>IF(K106="Eigen Beheer",0,IF(AND(ISNUMBER(L106),I106&lt;&gt;"",H106&lt;&gt;""),(L106*12/365)*(I106-H106),0))</f>
        <v/>
      </c>
      <c r="P106" s="8">
        <f>IF(O106="","",VLOOKUP(O106,Lists!$E:$F,2,FALSE))</f>
        <v/>
      </c>
      <c r="AC106" s="10">
        <f>IF(AND(AA106&lt;&gt;"",AB106&lt;&gt;""),AA106*AB106,"")</f>
        <v/>
      </c>
      <c r="AD106" s="11" t="n"/>
      <c r="AE106" s="10">
        <f>IF(AND(AC106&lt;&gt;"",AD106&lt;&gt;""),AC106*AD106,"")</f>
        <v/>
      </c>
      <c r="AF106" s="10">
        <f>IF(AND(AC106&lt;&gt;"",AE106&lt;&gt;""),AC106+AE106,"")</f>
        <v/>
      </c>
      <c r="AJ106">
        <f>IF($B106="GWE_Item",IF($AG106="Elektra",SUMIFS($U:$U,$A:$A,$A106,$B:$B,"GWE")-SUMIFS($T:$T,$A:$A,$A106,$B:$B,"GWE"),IF($AG106="Gas",SUMIFS($W:$W,$A:$A,$A106,$B:$B,"GWE")-SUMIFS($V:$V,$A:$A,$A106,$B:$B,"GWE"),IF($AG106="Water",SUMIFS($Y:$Y,$A:$A,$A106,$B:$B,"GWE")-SUMIFS($X:$X,$A:$A,$A106,$B:$B,"GWE"),""))),"")</f>
        <v/>
      </c>
      <c r="AL106" s="10">
        <f>IF(AND(AJ106&lt;&gt;"",AK106&lt;&gt;""),AJ106*AK106,"")</f>
        <v/>
      </c>
      <c r="AM106" s="11" t="n"/>
      <c r="AN106" s="10">
        <f>IF(AND(AL106&lt;&gt;"",AM106&lt;&gt;""),AL106*AM106,"")</f>
        <v/>
      </c>
      <c r="AO106" s="10">
        <f>IF(AND(AL106&lt;&gt;"",AN106&lt;&gt;""),AL106+AN106,"")</f>
        <v/>
      </c>
    </row>
    <row r="107">
      <c r="D107" s="8">
        <f>IF(A107="","",VLOOKUP(A107,Lists!$A:$B,2,FALSE))</f>
        <v/>
      </c>
      <c r="E107" s="8">
        <f>IF(C107="","",VLOOKUP(C107,Lists!$C:$D,2,FALSE))</f>
        <v/>
      </c>
      <c r="F107" s="8" t="n"/>
      <c r="G107" s="8" t="n"/>
      <c r="J107" s="9">
        <f>IF(A107="","",IFERROR(VLOOKUP(A107,Lists!$A:$H,8,FALSE),0))</f>
        <v/>
      </c>
      <c r="L107" s="9">
        <f>IF(A107="","",IFERROR(VLOOKUP(A107,Lists!$A:$H,7,FALSE),0))</f>
        <v/>
      </c>
      <c r="M107" s="10">
        <f>IF(K107="Eigen Beheer",0,IF(AND(ISNUMBER(L107),I107&lt;&gt;"",H107&lt;&gt;""),(L107*12/365)*(I107-H107),0))</f>
        <v/>
      </c>
      <c r="P107" s="8">
        <f>IF(O107="","",VLOOKUP(O107,Lists!$E:$F,2,FALSE))</f>
        <v/>
      </c>
      <c r="AC107" s="10">
        <f>IF(AND(AA107&lt;&gt;"",AB107&lt;&gt;""),AA107*AB107,"")</f>
        <v/>
      </c>
      <c r="AD107" s="11" t="n"/>
      <c r="AE107" s="10">
        <f>IF(AND(AC107&lt;&gt;"",AD107&lt;&gt;""),AC107*AD107,"")</f>
        <v/>
      </c>
      <c r="AF107" s="10">
        <f>IF(AND(AC107&lt;&gt;"",AE107&lt;&gt;""),AC107+AE107,"")</f>
        <v/>
      </c>
      <c r="AJ107">
        <f>IF($B107="GWE_Item",IF($AG107="Elektra",SUMIFS($U:$U,$A:$A,$A107,$B:$B,"GWE")-SUMIFS($T:$T,$A:$A,$A107,$B:$B,"GWE"),IF($AG107="Gas",SUMIFS($W:$W,$A:$A,$A107,$B:$B,"GWE")-SUMIFS($V:$V,$A:$A,$A107,$B:$B,"GWE"),IF($AG107="Water",SUMIFS($Y:$Y,$A:$A,$A107,$B:$B,"GWE")-SUMIFS($X:$X,$A:$A,$A107,$B:$B,"GWE"),""))),"")</f>
        <v/>
      </c>
      <c r="AL107" s="10">
        <f>IF(AND(AJ107&lt;&gt;"",AK107&lt;&gt;""),AJ107*AK107,"")</f>
        <v/>
      </c>
      <c r="AM107" s="11" t="n"/>
      <c r="AN107" s="10">
        <f>IF(AND(AL107&lt;&gt;"",AM107&lt;&gt;""),AL107*AM107,"")</f>
        <v/>
      </c>
      <c r="AO107" s="10">
        <f>IF(AND(AL107&lt;&gt;"",AN107&lt;&gt;""),AL107+AN107,"")</f>
        <v/>
      </c>
    </row>
    <row r="108">
      <c r="D108" s="8">
        <f>IF(A108="","",VLOOKUP(A108,Lists!$A:$B,2,FALSE))</f>
        <v/>
      </c>
      <c r="E108" s="8">
        <f>IF(C108="","",VLOOKUP(C108,Lists!$C:$D,2,FALSE))</f>
        <v/>
      </c>
      <c r="F108" s="8" t="n"/>
      <c r="G108" s="8" t="n"/>
      <c r="J108" s="9">
        <f>IF(A108="","",IFERROR(VLOOKUP(A108,Lists!$A:$H,8,FALSE),0))</f>
        <v/>
      </c>
      <c r="L108" s="9">
        <f>IF(A108="","",IFERROR(VLOOKUP(A108,Lists!$A:$H,7,FALSE),0))</f>
        <v/>
      </c>
      <c r="M108" s="10">
        <f>IF(K108="Eigen Beheer",0,IF(AND(ISNUMBER(L108),I108&lt;&gt;"",H108&lt;&gt;""),(L108*12/365)*(I108-H108),0))</f>
        <v/>
      </c>
      <c r="P108" s="8">
        <f>IF(O108="","",VLOOKUP(O108,Lists!$E:$F,2,FALSE))</f>
        <v/>
      </c>
      <c r="AC108" s="10">
        <f>IF(AND(AA108&lt;&gt;"",AB108&lt;&gt;""),AA108*AB108,"")</f>
        <v/>
      </c>
      <c r="AD108" s="11" t="n"/>
      <c r="AE108" s="10">
        <f>IF(AND(AC108&lt;&gt;"",AD108&lt;&gt;""),AC108*AD108,"")</f>
        <v/>
      </c>
      <c r="AF108" s="10">
        <f>IF(AND(AC108&lt;&gt;"",AE108&lt;&gt;""),AC108+AE108,"")</f>
        <v/>
      </c>
      <c r="AJ108">
        <f>IF($B108="GWE_Item",IF($AG108="Elektra",SUMIFS($U:$U,$A:$A,$A108,$B:$B,"GWE")-SUMIFS($T:$T,$A:$A,$A108,$B:$B,"GWE"),IF($AG108="Gas",SUMIFS($W:$W,$A:$A,$A108,$B:$B,"GWE")-SUMIFS($V:$V,$A:$A,$A108,$B:$B,"GWE"),IF($AG108="Water",SUMIFS($Y:$Y,$A:$A,$A108,$B:$B,"GWE")-SUMIFS($X:$X,$A:$A,$A108,$B:$B,"GWE"),""))),"")</f>
        <v/>
      </c>
      <c r="AL108" s="10">
        <f>IF(AND(AJ108&lt;&gt;"",AK108&lt;&gt;""),AJ108*AK108,"")</f>
        <v/>
      </c>
      <c r="AM108" s="11" t="n"/>
      <c r="AN108" s="10">
        <f>IF(AND(AL108&lt;&gt;"",AM108&lt;&gt;""),AL108*AM108,"")</f>
        <v/>
      </c>
      <c r="AO108" s="10">
        <f>IF(AND(AL108&lt;&gt;"",AN108&lt;&gt;""),AL108+AN108,"")</f>
        <v/>
      </c>
    </row>
    <row r="109">
      <c r="D109" s="8">
        <f>IF(A109="","",VLOOKUP(A109,Lists!$A:$B,2,FALSE))</f>
        <v/>
      </c>
      <c r="E109" s="8">
        <f>IF(C109="","",VLOOKUP(C109,Lists!$C:$D,2,FALSE))</f>
        <v/>
      </c>
      <c r="F109" s="8" t="n"/>
      <c r="G109" s="8" t="n"/>
      <c r="J109" s="9">
        <f>IF(A109="","",IFERROR(VLOOKUP(A109,Lists!$A:$H,8,FALSE),0))</f>
        <v/>
      </c>
      <c r="L109" s="9">
        <f>IF(A109="","",IFERROR(VLOOKUP(A109,Lists!$A:$H,7,FALSE),0))</f>
        <v/>
      </c>
      <c r="M109" s="10">
        <f>IF(K109="Eigen Beheer",0,IF(AND(ISNUMBER(L109),I109&lt;&gt;"",H109&lt;&gt;""),(L109*12/365)*(I109-H109),0))</f>
        <v/>
      </c>
      <c r="P109" s="8">
        <f>IF(O109="","",VLOOKUP(O109,Lists!$E:$F,2,FALSE))</f>
        <v/>
      </c>
      <c r="AC109" s="10">
        <f>IF(AND(AA109&lt;&gt;"",AB109&lt;&gt;""),AA109*AB109,"")</f>
        <v/>
      </c>
      <c r="AD109" s="11" t="n"/>
      <c r="AE109" s="10">
        <f>IF(AND(AC109&lt;&gt;"",AD109&lt;&gt;""),AC109*AD109,"")</f>
        <v/>
      </c>
      <c r="AF109" s="10">
        <f>IF(AND(AC109&lt;&gt;"",AE109&lt;&gt;""),AC109+AE109,"")</f>
        <v/>
      </c>
      <c r="AJ109">
        <f>IF($B109="GWE_Item",IF($AG109="Elektra",SUMIFS($U:$U,$A:$A,$A109,$B:$B,"GWE")-SUMIFS($T:$T,$A:$A,$A109,$B:$B,"GWE"),IF($AG109="Gas",SUMIFS($W:$W,$A:$A,$A109,$B:$B,"GWE")-SUMIFS($V:$V,$A:$A,$A109,$B:$B,"GWE"),IF($AG109="Water",SUMIFS($Y:$Y,$A:$A,$A109,$B:$B,"GWE")-SUMIFS($X:$X,$A:$A,$A109,$B:$B,"GWE"),""))),"")</f>
        <v/>
      </c>
      <c r="AL109" s="10">
        <f>IF(AND(AJ109&lt;&gt;"",AK109&lt;&gt;""),AJ109*AK109,"")</f>
        <v/>
      </c>
      <c r="AM109" s="11" t="n"/>
      <c r="AN109" s="10">
        <f>IF(AND(AL109&lt;&gt;"",AM109&lt;&gt;""),AL109*AM109,"")</f>
        <v/>
      </c>
      <c r="AO109" s="10">
        <f>IF(AND(AL109&lt;&gt;"",AN109&lt;&gt;""),AL109+AN109,"")</f>
        <v/>
      </c>
    </row>
    <row r="110">
      <c r="D110" s="8">
        <f>IF(A110="","",VLOOKUP(A110,Lists!$A:$B,2,FALSE))</f>
        <v/>
      </c>
      <c r="E110" s="8">
        <f>IF(C110="","",VLOOKUP(C110,Lists!$C:$D,2,FALSE))</f>
        <v/>
      </c>
      <c r="F110" s="8" t="n"/>
      <c r="G110" s="8" t="n"/>
      <c r="J110" s="9">
        <f>IF(A110="","",IFERROR(VLOOKUP(A110,Lists!$A:$H,8,FALSE),0))</f>
        <v/>
      </c>
      <c r="L110" s="9">
        <f>IF(A110="","",IFERROR(VLOOKUP(A110,Lists!$A:$H,7,FALSE),0))</f>
        <v/>
      </c>
      <c r="M110" s="10">
        <f>IF(K110="Eigen Beheer",0,IF(AND(ISNUMBER(L110),I110&lt;&gt;"",H110&lt;&gt;""),(L110*12/365)*(I110-H110),0))</f>
        <v/>
      </c>
      <c r="P110" s="8">
        <f>IF(O110="","",VLOOKUP(O110,Lists!$E:$F,2,FALSE))</f>
        <v/>
      </c>
      <c r="AC110" s="10">
        <f>IF(AND(AA110&lt;&gt;"",AB110&lt;&gt;""),AA110*AB110,"")</f>
        <v/>
      </c>
      <c r="AD110" s="11" t="n"/>
      <c r="AE110" s="10">
        <f>IF(AND(AC110&lt;&gt;"",AD110&lt;&gt;""),AC110*AD110,"")</f>
        <v/>
      </c>
      <c r="AF110" s="10">
        <f>IF(AND(AC110&lt;&gt;"",AE110&lt;&gt;""),AC110+AE110,"")</f>
        <v/>
      </c>
      <c r="AJ110">
        <f>IF($B110="GWE_Item",IF($AG110="Elektra",SUMIFS($U:$U,$A:$A,$A110,$B:$B,"GWE")-SUMIFS($T:$T,$A:$A,$A110,$B:$B,"GWE"),IF($AG110="Gas",SUMIFS($W:$W,$A:$A,$A110,$B:$B,"GWE")-SUMIFS($V:$V,$A:$A,$A110,$B:$B,"GWE"),IF($AG110="Water",SUMIFS($Y:$Y,$A:$A,$A110,$B:$B,"GWE")-SUMIFS($X:$X,$A:$A,$A110,$B:$B,"GWE"),""))),"")</f>
        <v/>
      </c>
      <c r="AL110" s="10">
        <f>IF(AND(AJ110&lt;&gt;"",AK110&lt;&gt;""),AJ110*AK110,"")</f>
        <v/>
      </c>
      <c r="AM110" s="11" t="n"/>
      <c r="AN110" s="10">
        <f>IF(AND(AL110&lt;&gt;"",AM110&lt;&gt;""),AL110*AM110,"")</f>
        <v/>
      </c>
      <c r="AO110" s="10">
        <f>IF(AND(AL110&lt;&gt;"",AN110&lt;&gt;""),AL110+AN110,"")</f>
        <v/>
      </c>
    </row>
    <row r="111">
      <c r="D111" s="8">
        <f>IF(A111="","",VLOOKUP(A111,Lists!$A:$B,2,FALSE))</f>
        <v/>
      </c>
      <c r="E111" s="8">
        <f>IF(C111="","",VLOOKUP(C111,Lists!$C:$D,2,FALSE))</f>
        <v/>
      </c>
      <c r="F111" s="8" t="n"/>
      <c r="G111" s="8" t="n"/>
      <c r="J111" s="9">
        <f>IF(A111="","",IFERROR(VLOOKUP(A111,Lists!$A:$H,8,FALSE),0))</f>
        <v/>
      </c>
      <c r="L111" s="9">
        <f>IF(A111="","",IFERROR(VLOOKUP(A111,Lists!$A:$H,7,FALSE),0))</f>
        <v/>
      </c>
      <c r="M111" s="10">
        <f>IF(K111="Eigen Beheer",0,IF(AND(ISNUMBER(L111),I111&lt;&gt;"",H111&lt;&gt;""),(L111*12/365)*(I111-H111),0))</f>
        <v/>
      </c>
      <c r="P111" s="8">
        <f>IF(O111="","",VLOOKUP(O111,Lists!$E:$F,2,FALSE))</f>
        <v/>
      </c>
      <c r="AC111" s="10">
        <f>IF(AND(AA111&lt;&gt;"",AB111&lt;&gt;""),AA111*AB111,"")</f>
        <v/>
      </c>
      <c r="AD111" s="11" t="n"/>
      <c r="AE111" s="10">
        <f>IF(AND(AC111&lt;&gt;"",AD111&lt;&gt;""),AC111*AD111,"")</f>
        <v/>
      </c>
      <c r="AF111" s="10">
        <f>IF(AND(AC111&lt;&gt;"",AE111&lt;&gt;""),AC111+AE111,"")</f>
        <v/>
      </c>
      <c r="AJ111">
        <f>IF($B111="GWE_Item",IF($AG111="Elektra",SUMIFS($U:$U,$A:$A,$A111,$B:$B,"GWE")-SUMIFS($T:$T,$A:$A,$A111,$B:$B,"GWE"),IF($AG111="Gas",SUMIFS($W:$W,$A:$A,$A111,$B:$B,"GWE")-SUMIFS($V:$V,$A:$A,$A111,$B:$B,"GWE"),IF($AG111="Water",SUMIFS($Y:$Y,$A:$A,$A111,$B:$B,"GWE")-SUMIFS($X:$X,$A:$A,$A111,$B:$B,"GWE"),""))),"")</f>
        <v/>
      </c>
      <c r="AL111" s="10">
        <f>IF(AND(AJ111&lt;&gt;"",AK111&lt;&gt;""),AJ111*AK111,"")</f>
        <v/>
      </c>
      <c r="AM111" s="11" t="n"/>
      <c r="AN111" s="10">
        <f>IF(AND(AL111&lt;&gt;"",AM111&lt;&gt;""),AL111*AM111,"")</f>
        <v/>
      </c>
      <c r="AO111" s="10">
        <f>IF(AND(AL111&lt;&gt;"",AN111&lt;&gt;""),AL111+AN111,"")</f>
        <v/>
      </c>
    </row>
    <row r="112">
      <c r="D112" s="8">
        <f>IF(A112="","",VLOOKUP(A112,Lists!$A:$B,2,FALSE))</f>
        <v/>
      </c>
      <c r="E112" s="8">
        <f>IF(C112="","",VLOOKUP(C112,Lists!$C:$D,2,FALSE))</f>
        <v/>
      </c>
      <c r="F112" s="8" t="n"/>
      <c r="G112" s="8" t="n"/>
      <c r="J112" s="9">
        <f>IF(A112="","",IFERROR(VLOOKUP(A112,Lists!$A:$H,8,FALSE),0))</f>
        <v/>
      </c>
      <c r="L112" s="9">
        <f>IF(A112="","",IFERROR(VLOOKUP(A112,Lists!$A:$H,7,FALSE),0))</f>
        <v/>
      </c>
      <c r="M112" s="10">
        <f>IF(K112="Eigen Beheer",0,IF(AND(ISNUMBER(L112),I112&lt;&gt;"",H112&lt;&gt;""),(L112*12/365)*(I112-H112),0))</f>
        <v/>
      </c>
      <c r="P112" s="8">
        <f>IF(O112="","",VLOOKUP(O112,Lists!$E:$F,2,FALSE))</f>
        <v/>
      </c>
      <c r="AC112" s="10">
        <f>IF(AND(AA112&lt;&gt;"",AB112&lt;&gt;""),AA112*AB112,"")</f>
        <v/>
      </c>
      <c r="AD112" s="11" t="n"/>
      <c r="AE112" s="10">
        <f>IF(AND(AC112&lt;&gt;"",AD112&lt;&gt;""),AC112*AD112,"")</f>
        <v/>
      </c>
      <c r="AF112" s="10">
        <f>IF(AND(AC112&lt;&gt;"",AE112&lt;&gt;""),AC112+AE112,"")</f>
        <v/>
      </c>
      <c r="AJ112">
        <f>IF($B112="GWE_Item",IF($AG112="Elektra",SUMIFS($U:$U,$A:$A,$A112,$B:$B,"GWE")-SUMIFS($T:$T,$A:$A,$A112,$B:$B,"GWE"),IF($AG112="Gas",SUMIFS($W:$W,$A:$A,$A112,$B:$B,"GWE")-SUMIFS($V:$V,$A:$A,$A112,$B:$B,"GWE"),IF($AG112="Water",SUMIFS($Y:$Y,$A:$A,$A112,$B:$B,"GWE")-SUMIFS($X:$X,$A:$A,$A112,$B:$B,"GWE"),""))),"")</f>
        <v/>
      </c>
      <c r="AL112" s="10">
        <f>IF(AND(AJ112&lt;&gt;"",AK112&lt;&gt;""),AJ112*AK112,"")</f>
        <v/>
      </c>
      <c r="AM112" s="11" t="n"/>
      <c r="AN112" s="10">
        <f>IF(AND(AL112&lt;&gt;"",AM112&lt;&gt;""),AL112*AM112,"")</f>
        <v/>
      </c>
      <c r="AO112" s="10">
        <f>IF(AND(AL112&lt;&gt;"",AN112&lt;&gt;""),AL112+AN112,"")</f>
        <v/>
      </c>
    </row>
    <row r="113">
      <c r="D113" s="8">
        <f>IF(A113="","",VLOOKUP(A113,Lists!$A:$B,2,FALSE))</f>
        <v/>
      </c>
      <c r="E113" s="8">
        <f>IF(C113="","",VLOOKUP(C113,Lists!$C:$D,2,FALSE))</f>
        <v/>
      </c>
      <c r="F113" s="8" t="n"/>
      <c r="G113" s="8" t="n"/>
      <c r="J113" s="9">
        <f>IF(A113="","",IFERROR(VLOOKUP(A113,Lists!$A:$H,8,FALSE),0))</f>
        <v/>
      </c>
      <c r="L113" s="9">
        <f>IF(A113="","",IFERROR(VLOOKUP(A113,Lists!$A:$H,7,FALSE),0))</f>
        <v/>
      </c>
      <c r="M113" s="10">
        <f>IF(K113="Eigen Beheer",0,IF(AND(ISNUMBER(L113),I113&lt;&gt;"",H113&lt;&gt;""),(L113*12/365)*(I113-H113),0))</f>
        <v/>
      </c>
      <c r="P113" s="8">
        <f>IF(O113="","",VLOOKUP(O113,Lists!$E:$F,2,FALSE))</f>
        <v/>
      </c>
      <c r="AC113" s="10">
        <f>IF(AND(AA113&lt;&gt;"",AB113&lt;&gt;""),AA113*AB113,"")</f>
        <v/>
      </c>
      <c r="AD113" s="11" t="n"/>
      <c r="AE113" s="10">
        <f>IF(AND(AC113&lt;&gt;"",AD113&lt;&gt;""),AC113*AD113,"")</f>
        <v/>
      </c>
      <c r="AF113" s="10">
        <f>IF(AND(AC113&lt;&gt;"",AE113&lt;&gt;""),AC113+AE113,"")</f>
        <v/>
      </c>
      <c r="AJ113">
        <f>IF($B113="GWE_Item",IF($AG113="Elektra",SUMIFS($U:$U,$A:$A,$A113,$B:$B,"GWE")-SUMIFS($T:$T,$A:$A,$A113,$B:$B,"GWE"),IF($AG113="Gas",SUMIFS($W:$W,$A:$A,$A113,$B:$B,"GWE")-SUMIFS($V:$V,$A:$A,$A113,$B:$B,"GWE"),IF($AG113="Water",SUMIFS($Y:$Y,$A:$A,$A113,$B:$B,"GWE")-SUMIFS($X:$X,$A:$A,$A113,$B:$B,"GWE"),""))),"")</f>
        <v/>
      </c>
      <c r="AL113" s="10">
        <f>IF(AND(AJ113&lt;&gt;"",AK113&lt;&gt;""),AJ113*AK113,"")</f>
        <v/>
      </c>
      <c r="AM113" s="11" t="n"/>
      <c r="AN113" s="10">
        <f>IF(AND(AL113&lt;&gt;"",AM113&lt;&gt;""),AL113*AM113,"")</f>
        <v/>
      </c>
      <c r="AO113" s="10">
        <f>IF(AND(AL113&lt;&gt;"",AN113&lt;&gt;""),AL113+AN113,"")</f>
        <v/>
      </c>
    </row>
    <row r="114">
      <c r="D114" s="8">
        <f>IF(A114="","",VLOOKUP(A114,Lists!$A:$B,2,FALSE))</f>
        <v/>
      </c>
      <c r="E114" s="8">
        <f>IF(C114="","",VLOOKUP(C114,Lists!$C:$D,2,FALSE))</f>
        <v/>
      </c>
      <c r="F114" s="8" t="n"/>
      <c r="G114" s="8" t="n"/>
      <c r="J114" s="9">
        <f>IF(A114="","",IFERROR(VLOOKUP(A114,Lists!$A:$H,8,FALSE),0))</f>
        <v/>
      </c>
      <c r="L114" s="9">
        <f>IF(A114="","",IFERROR(VLOOKUP(A114,Lists!$A:$H,7,FALSE),0))</f>
        <v/>
      </c>
      <c r="M114" s="10">
        <f>IF(K114="Eigen Beheer",0,IF(AND(ISNUMBER(L114),I114&lt;&gt;"",H114&lt;&gt;""),(L114*12/365)*(I114-H114),0))</f>
        <v/>
      </c>
      <c r="P114" s="8">
        <f>IF(O114="","",VLOOKUP(O114,Lists!$E:$F,2,FALSE))</f>
        <v/>
      </c>
      <c r="AC114" s="10">
        <f>IF(AND(AA114&lt;&gt;"",AB114&lt;&gt;""),AA114*AB114,"")</f>
        <v/>
      </c>
      <c r="AD114" s="11" t="n"/>
      <c r="AE114" s="10">
        <f>IF(AND(AC114&lt;&gt;"",AD114&lt;&gt;""),AC114*AD114,"")</f>
        <v/>
      </c>
      <c r="AF114" s="10">
        <f>IF(AND(AC114&lt;&gt;"",AE114&lt;&gt;""),AC114+AE114,"")</f>
        <v/>
      </c>
      <c r="AJ114">
        <f>IF($B114="GWE_Item",IF($AG114="Elektra",SUMIFS($U:$U,$A:$A,$A114,$B:$B,"GWE")-SUMIFS($T:$T,$A:$A,$A114,$B:$B,"GWE"),IF($AG114="Gas",SUMIFS($W:$W,$A:$A,$A114,$B:$B,"GWE")-SUMIFS($V:$V,$A:$A,$A114,$B:$B,"GWE"),IF($AG114="Water",SUMIFS($Y:$Y,$A:$A,$A114,$B:$B,"GWE")-SUMIFS($X:$X,$A:$A,$A114,$B:$B,"GWE"),""))),"")</f>
        <v/>
      </c>
      <c r="AL114" s="10">
        <f>IF(AND(AJ114&lt;&gt;"",AK114&lt;&gt;""),AJ114*AK114,"")</f>
        <v/>
      </c>
      <c r="AM114" s="11" t="n"/>
      <c r="AN114" s="10">
        <f>IF(AND(AL114&lt;&gt;"",AM114&lt;&gt;""),AL114*AM114,"")</f>
        <v/>
      </c>
      <c r="AO114" s="10">
        <f>IF(AND(AL114&lt;&gt;"",AN114&lt;&gt;""),AL114+AN114,"")</f>
        <v/>
      </c>
    </row>
    <row r="115">
      <c r="D115" s="8">
        <f>IF(A115="","",VLOOKUP(A115,Lists!$A:$B,2,FALSE))</f>
        <v/>
      </c>
      <c r="E115" s="8">
        <f>IF(C115="","",VLOOKUP(C115,Lists!$C:$D,2,FALSE))</f>
        <v/>
      </c>
      <c r="F115" s="8" t="n"/>
      <c r="G115" s="8" t="n"/>
      <c r="J115" s="9">
        <f>IF(A115="","",IFERROR(VLOOKUP(A115,Lists!$A:$H,8,FALSE),0))</f>
        <v/>
      </c>
      <c r="L115" s="9">
        <f>IF(A115="","",IFERROR(VLOOKUP(A115,Lists!$A:$H,7,FALSE),0))</f>
        <v/>
      </c>
      <c r="M115" s="10">
        <f>IF(K115="Eigen Beheer",0,IF(AND(ISNUMBER(L115),I115&lt;&gt;"",H115&lt;&gt;""),(L115*12/365)*(I115-H115),0))</f>
        <v/>
      </c>
      <c r="P115" s="8">
        <f>IF(O115="","",VLOOKUP(O115,Lists!$E:$F,2,FALSE))</f>
        <v/>
      </c>
      <c r="AC115" s="10">
        <f>IF(AND(AA115&lt;&gt;"",AB115&lt;&gt;""),AA115*AB115,"")</f>
        <v/>
      </c>
      <c r="AD115" s="11" t="n"/>
      <c r="AE115" s="10">
        <f>IF(AND(AC115&lt;&gt;"",AD115&lt;&gt;""),AC115*AD115,"")</f>
        <v/>
      </c>
      <c r="AF115" s="10">
        <f>IF(AND(AC115&lt;&gt;"",AE115&lt;&gt;""),AC115+AE115,"")</f>
        <v/>
      </c>
      <c r="AJ115">
        <f>IF($B115="GWE_Item",IF($AG115="Elektra",SUMIFS($U:$U,$A:$A,$A115,$B:$B,"GWE")-SUMIFS($T:$T,$A:$A,$A115,$B:$B,"GWE"),IF($AG115="Gas",SUMIFS($W:$W,$A:$A,$A115,$B:$B,"GWE")-SUMIFS($V:$V,$A:$A,$A115,$B:$B,"GWE"),IF($AG115="Water",SUMIFS($Y:$Y,$A:$A,$A115,$B:$B,"GWE")-SUMIFS($X:$X,$A:$A,$A115,$B:$B,"GWE"),""))),"")</f>
        <v/>
      </c>
      <c r="AL115" s="10">
        <f>IF(AND(AJ115&lt;&gt;"",AK115&lt;&gt;""),AJ115*AK115,"")</f>
        <v/>
      </c>
      <c r="AM115" s="11" t="n"/>
      <c r="AN115" s="10">
        <f>IF(AND(AL115&lt;&gt;"",AM115&lt;&gt;""),AL115*AM115,"")</f>
        <v/>
      </c>
      <c r="AO115" s="10">
        <f>IF(AND(AL115&lt;&gt;"",AN115&lt;&gt;""),AL115+AN115,"")</f>
        <v/>
      </c>
    </row>
    <row r="116">
      <c r="D116" s="8">
        <f>IF(A116="","",VLOOKUP(A116,Lists!$A:$B,2,FALSE))</f>
        <v/>
      </c>
      <c r="E116" s="8">
        <f>IF(C116="","",VLOOKUP(C116,Lists!$C:$D,2,FALSE))</f>
        <v/>
      </c>
      <c r="F116" s="8" t="n"/>
      <c r="G116" s="8" t="n"/>
      <c r="J116" s="9">
        <f>IF(A116="","",IFERROR(VLOOKUP(A116,Lists!$A:$H,8,FALSE),0))</f>
        <v/>
      </c>
      <c r="L116" s="9">
        <f>IF(A116="","",IFERROR(VLOOKUP(A116,Lists!$A:$H,7,FALSE),0))</f>
        <v/>
      </c>
      <c r="M116" s="10">
        <f>IF(K116="Eigen Beheer",0,IF(AND(ISNUMBER(L116),I116&lt;&gt;"",H116&lt;&gt;""),(L116*12/365)*(I116-H116),0))</f>
        <v/>
      </c>
      <c r="P116" s="8">
        <f>IF(O116="","",VLOOKUP(O116,Lists!$E:$F,2,FALSE))</f>
        <v/>
      </c>
      <c r="AC116" s="10">
        <f>IF(AND(AA116&lt;&gt;"",AB116&lt;&gt;""),AA116*AB116,"")</f>
        <v/>
      </c>
      <c r="AD116" s="11" t="n"/>
      <c r="AE116" s="10">
        <f>IF(AND(AC116&lt;&gt;"",AD116&lt;&gt;""),AC116*AD116,"")</f>
        <v/>
      </c>
      <c r="AF116" s="10">
        <f>IF(AND(AC116&lt;&gt;"",AE116&lt;&gt;""),AC116+AE116,"")</f>
        <v/>
      </c>
      <c r="AJ116">
        <f>IF($B116="GWE_Item",IF($AG116="Elektra",SUMIFS($U:$U,$A:$A,$A116,$B:$B,"GWE")-SUMIFS($T:$T,$A:$A,$A116,$B:$B,"GWE"),IF($AG116="Gas",SUMIFS($W:$W,$A:$A,$A116,$B:$B,"GWE")-SUMIFS($V:$V,$A:$A,$A116,$B:$B,"GWE"),IF($AG116="Water",SUMIFS($Y:$Y,$A:$A,$A116,$B:$B,"GWE")-SUMIFS($X:$X,$A:$A,$A116,$B:$B,"GWE"),""))),"")</f>
        <v/>
      </c>
      <c r="AL116" s="10">
        <f>IF(AND(AJ116&lt;&gt;"",AK116&lt;&gt;""),AJ116*AK116,"")</f>
        <v/>
      </c>
      <c r="AM116" s="11" t="n"/>
      <c r="AN116" s="10">
        <f>IF(AND(AL116&lt;&gt;"",AM116&lt;&gt;""),AL116*AM116,"")</f>
        <v/>
      </c>
      <c r="AO116" s="10">
        <f>IF(AND(AL116&lt;&gt;"",AN116&lt;&gt;""),AL116+AN116,"")</f>
        <v/>
      </c>
    </row>
    <row r="117">
      <c r="D117" s="8">
        <f>IF(A117="","",VLOOKUP(A117,Lists!$A:$B,2,FALSE))</f>
        <v/>
      </c>
      <c r="E117" s="8">
        <f>IF(C117="","",VLOOKUP(C117,Lists!$C:$D,2,FALSE))</f>
        <v/>
      </c>
      <c r="F117" s="8" t="n"/>
      <c r="G117" s="8" t="n"/>
      <c r="J117" s="9">
        <f>IF(A117="","",IFERROR(VLOOKUP(A117,Lists!$A:$H,8,FALSE),0))</f>
        <v/>
      </c>
      <c r="L117" s="9">
        <f>IF(A117="","",IFERROR(VLOOKUP(A117,Lists!$A:$H,7,FALSE),0))</f>
        <v/>
      </c>
      <c r="M117" s="10">
        <f>IF(K117="Eigen Beheer",0,IF(AND(ISNUMBER(L117),I117&lt;&gt;"",H117&lt;&gt;""),(L117*12/365)*(I117-H117),0))</f>
        <v/>
      </c>
      <c r="P117" s="8">
        <f>IF(O117="","",VLOOKUP(O117,Lists!$E:$F,2,FALSE))</f>
        <v/>
      </c>
      <c r="AC117" s="10">
        <f>IF(AND(AA117&lt;&gt;"",AB117&lt;&gt;""),AA117*AB117,"")</f>
        <v/>
      </c>
      <c r="AD117" s="11" t="n"/>
      <c r="AE117" s="10">
        <f>IF(AND(AC117&lt;&gt;"",AD117&lt;&gt;""),AC117*AD117,"")</f>
        <v/>
      </c>
      <c r="AF117" s="10">
        <f>IF(AND(AC117&lt;&gt;"",AE117&lt;&gt;""),AC117+AE117,"")</f>
        <v/>
      </c>
      <c r="AJ117">
        <f>IF($B117="GWE_Item",IF($AG117="Elektra",SUMIFS($U:$U,$A:$A,$A117,$B:$B,"GWE")-SUMIFS($T:$T,$A:$A,$A117,$B:$B,"GWE"),IF($AG117="Gas",SUMIFS($W:$W,$A:$A,$A117,$B:$B,"GWE")-SUMIFS($V:$V,$A:$A,$A117,$B:$B,"GWE"),IF($AG117="Water",SUMIFS($Y:$Y,$A:$A,$A117,$B:$B,"GWE")-SUMIFS($X:$X,$A:$A,$A117,$B:$B,"GWE"),""))),"")</f>
        <v/>
      </c>
      <c r="AL117" s="10">
        <f>IF(AND(AJ117&lt;&gt;"",AK117&lt;&gt;""),AJ117*AK117,"")</f>
        <v/>
      </c>
      <c r="AM117" s="11" t="n"/>
      <c r="AN117" s="10">
        <f>IF(AND(AL117&lt;&gt;"",AM117&lt;&gt;""),AL117*AM117,"")</f>
        <v/>
      </c>
      <c r="AO117" s="10">
        <f>IF(AND(AL117&lt;&gt;"",AN117&lt;&gt;""),AL117+AN117,"")</f>
        <v/>
      </c>
    </row>
    <row r="118">
      <c r="D118" s="8">
        <f>IF(A118="","",VLOOKUP(A118,Lists!$A:$B,2,FALSE))</f>
        <v/>
      </c>
      <c r="E118" s="8">
        <f>IF(C118="","",VLOOKUP(C118,Lists!$C:$D,2,FALSE))</f>
        <v/>
      </c>
      <c r="F118" s="8" t="n"/>
      <c r="G118" s="8" t="n"/>
      <c r="J118" s="9">
        <f>IF(A118="","",IFERROR(VLOOKUP(A118,Lists!$A:$H,8,FALSE),0))</f>
        <v/>
      </c>
      <c r="L118" s="9">
        <f>IF(A118="","",IFERROR(VLOOKUP(A118,Lists!$A:$H,7,FALSE),0))</f>
        <v/>
      </c>
      <c r="M118" s="10">
        <f>IF(K118="Eigen Beheer",0,IF(AND(ISNUMBER(L118),I118&lt;&gt;"",H118&lt;&gt;""),(L118*12/365)*(I118-H118),0))</f>
        <v/>
      </c>
      <c r="P118" s="8">
        <f>IF(O118="","",VLOOKUP(O118,Lists!$E:$F,2,FALSE))</f>
        <v/>
      </c>
      <c r="AC118" s="10">
        <f>IF(AND(AA118&lt;&gt;"",AB118&lt;&gt;""),AA118*AB118,"")</f>
        <v/>
      </c>
      <c r="AD118" s="11" t="n"/>
      <c r="AE118" s="10">
        <f>IF(AND(AC118&lt;&gt;"",AD118&lt;&gt;""),AC118*AD118,"")</f>
        <v/>
      </c>
      <c r="AF118" s="10">
        <f>IF(AND(AC118&lt;&gt;"",AE118&lt;&gt;""),AC118+AE118,"")</f>
        <v/>
      </c>
      <c r="AJ118">
        <f>IF($B118="GWE_Item",IF($AG118="Elektra",SUMIFS($U:$U,$A:$A,$A118,$B:$B,"GWE")-SUMIFS($T:$T,$A:$A,$A118,$B:$B,"GWE"),IF($AG118="Gas",SUMIFS($W:$W,$A:$A,$A118,$B:$B,"GWE")-SUMIFS($V:$V,$A:$A,$A118,$B:$B,"GWE"),IF($AG118="Water",SUMIFS($Y:$Y,$A:$A,$A118,$B:$B,"GWE")-SUMIFS($X:$X,$A:$A,$A118,$B:$B,"GWE"),""))),"")</f>
        <v/>
      </c>
      <c r="AL118" s="10">
        <f>IF(AND(AJ118&lt;&gt;"",AK118&lt;&gt;""),AJ118*AK118,"")</f>
        <v/>
      </c>
      <c r="AM118" s="11" t="n"/>
      <c r="AN118" s="10">
        <f>IF(AND(AL118&lt;&gt;"",AM118&lt;&gt;""),AL118*AM118,"")</f>
        <v/>
      </c>
      <c r="AO118" s="10">
        <f>IF(AND(AL118&lt;&gt;"",AN118&lt;&gt;""),AL118+AN118,"")</f>
        <v/>
      </c>
    </row>
    <row r="119">
      <c r="D119" s="8">
        <f>IF(A119="","",VLOOKUP(A119,Lists!$A:$B,2,FALSE))</f>
        <v/>
      </c>
      <c r="E119" s="8">
        <f>IF(C119="","",VLOOKUP(C119,Lists!$C:$D,2,FALSE))</f>
        <v/>
      </c>
      <c r="F119" s="8" t="n"/>
      <c r="G119" s="8" t="n"/>
      <c r="J119" s="9">
        <f>IF(A119="","",IFERROR(VLOOKUP(A119,Lists!$A:$H,8,FALSE),0))</f>
        <v/>
      </c>
      <c r="L119" s="9">
        <f>IF(A119="","",IFERROR(VLOOKUP(A119,Lists!$A:$H,7,FALSE),0))</f>
        <v/>
      </c>
      <c r="M119" s="10">
        <f>IF(K119="Eigen Beheer",0,IF(AND(ISNUMBER(L119),I119&lt;&gt;"",H119&lt;&gt;""),(L119*12/365)*(I119-H119),0))</f>
        <v/>
      </c>
      <c r="P119" s="8">
        <f>IF(O119="","",VLOOKUP(O119,Lists!$E:$F,2,FALSE))</f>
        <v/>
      </c>
      <c r="AC119" s="10">
        <f>IF(AND(AA119&lt;&gt;"",AB119&lt;&gt;""),AA119*AB119,"")</f>
        <v/>
      </c>
      <c r="AD119" s="11" t="n"/>
      <c r="AE119" s="10">
        <f>IF(AND(AC119&lt;&gt;"",AD119&lt;&gt;""),AC119*AD119,"")</f>
        <v/>
      </c>
      <c r="AF119" s="10">
        <f>IF(AND(AC119&lt;&gt;"",AE119&lt;&gt;""),AC119+AE119,"")</f>
        <v/>
      </c>
      <c r="AJ119">
        <f>IF($B119="GWE_Item",IF($AG119="Elektra",SUMIFS($U:$U,$A:$A,$A119,$B:$B,"GWE")-SUMIFS($T:$T,$A:$A,$A119,$B:$B,"GWE"),IF($AG119="Gas",SUMIFS($W:$W,$A:$A,$A119,$B:$B,"GWE")-SUMIFS($V:$V,$A:$A,$A119,$B:$B,"GWE"),IF($AG119="Water",SUMIFS($Y:$Y,$A:$A,$A119,$B:$B,"GWE")-SUMIFS($X:$X,$A:$A,$A119,$B:$B,"GWE"),""))),"")</f>
        <v/>
      </c>
      <c r="AL119" s="10">
        <f>IF(AND(AJ119&lt;&gt;"",AK119&lt;&gt;""),AJ119*AK119,"")</f>
        <v/>
      </c>
      <c r="AM119" s="11" t="n"/>
      <c r="AN119" s="10">
        <f>IF(AND(AL119&lt;&gt;"",AM119&lt;&gt;""),AL119*AM119,"")</f>
        <v/>
      </c>
      <c r="AO119" s="10">
        <f>IF(AND(AL119&lt;&gt;"",AN119&lt;&gt;""),AL119+AN119,"")</f>
        <v/>
      </c>
    </row>
    <row r="120">
      <c r="D120" s="8">
        <f>IF(A120="","",VLOOKUP(A120,Lists!$A:$B,2,FALSE))</f>
        <v/>
      </c>
      <c r="E120" s="8">
        <f>IF(C120="","",VLOOKUP(C120,Lists!$C:$D,2,FALSE))</f>
        <v/>
      </c>
      <c r="F120" s="8" t="n"/>
      <c r="G120" s="8" t="n"/>
      <c r="J120" s="9">
        <f>IF(A120="","",IFERROR(VLOOKUP(A120,Lists!$A:$H,8,FALSE),0))</f>
        <v/>
      </c>
      <c r="L120" s="9">
        <f>IF(A120="","",IFERROR(VLOOKUP(A120,Lists!$A:$H,7,FALSE),0))</f>
        <v/>
      </c>
      <c r="M120" s="10">
        <f>IF(K120="Eigen Beheer",0,IF(AND(ISNUMBER(L120),I120&lt;&gt;"",H120&lt;&gt;""),(L120*12/365)*(I120-H120),0))</f>
        <v/>
      </c>
      <c r="P120" s="8">
        <f>IF(O120="","",VLOOKUP(O120,Lists!$E:$F,2,FALSE))</f>
        <v/>
      </c>
      <c r="AC120" s="10">
        <f>IF(AND(AA120&lt;&gt;"",AB120&lt;&gt;""),AA120*AB120,"")</f>
        <v/>
      </c>
      <c r="AD120" s="11" t="n"/>
      <c r="AE120" s="10">
        <f>IF(AND(AC120&lt;&gt;"",AD120&lt;&gt;""),AC120*AD120,"")</f>
        <v/>
      </c>
      <c r="AF120" s="10">
        <f>IF(AND(AC120&lt;&gt;"",AE120&lt;&gt;""),AC120+AE120,"")</f>
        <v/>
      </c>
      <c r="AJ120">
        <f>IF($B120="GWE_Item",IF($AG120="Elektra",SUMIFS($U:$U,$A:$A,$A120,$B:$B,"GWE")-SUMIFS($T:$T,$A:$A,$A120,$B:$B,"GWE"),IF($AG120="Gas",SUMIFS($W:$W,$A:$A,$A120,$B:$B,"GWE")-SUMIFS($V:$V,$A:$A,$A120,$B:$B,"GWE"),IF($AG120="Water",SUMIFS($Y:$Y,$A:$A,$A120,$B:$B,"GWE")-SUMIFS($X:$X,$A:$A,$A120,$B:$B,"GWE"),""))),"")</f>
        <v/>
      </c>
      <c r="AL120" s="10">
        <f>IF(AND(AJ120&lt;&gt;"",AK120&lt;&gt;""),AJ120*AK120,"")</f>
        <v/>
      </c>
      <c r="AM120" s="11" t="n"/>
      <c r="AN120" s="10">
        <f>IF(AND(AL120&lt;&gt;"",AM120&lt;&gt;""),AL120*AM120,"")</f>
        <v/>
      </c>
      <c r="AO120" s="10">
        <f>IF(AND(AL120&lt;&gt;"",AN120&lt;&gt;""),AL120+AN120,"")</f>
        <v/>
      </c>
    </row>
    <row r="121">
      <c r="D121" s="8">
        <f>IF(A121="","",VLOOKUP(A121,Lists!$A:$B,2,FALSE))</f>
        <v/>
      </c>
      <c r="E121" s="8">
        <f>IF(C121="","",VLOOKUP(C121,Lists!$C:$D,2,FALSE))</f>
        <v/>
      </c>
      <c r="F121" s="8" t="n"/>
      <c r="G121" s="8" t="n"/>
      <c r="J121" s="9">
        <f>IF(A121="","",IFERROR(VLOOKUP(A121,Lists!$A:$H,8,FALSE),0))</f>
        <v/>
      </c>
      <c r="L121" s="9">
        <f>IF(A121="","",IFERROR(VLOOKUP(A121,Lists!$A:$H,7,FALSE),0))</f>
        <v/>
      </c>
      <c r="M121" s="10">
        <f>IF(K121="Eigen Beheer",0,IF(AND(ISNUMBER(L121),I121&lt;&gt;"",H121&lt;&gt;""),(L121*12/365)*(I121-H121),0))</f>
        <v/>
      </c>
      <c r="P121" s="8">
        <f>IF(O121="","",VLOOKUP(O121,Lists!$E:$F,2,FALSE))</f>
        <v/>
      </c>
      <c r="AC121" s="10">
        <f>IF(AND(AA121&lt;&gt;"",AB121&lt;&gt;""),AA121*AB121,"")</f>
        <v/>
      </c>
      <c r="AD121" s="11" t="n"/>
      <c r="AE121" s="10">
        <f>IF(AND(AC121&lt;&gt;"",AD121&lt;&gt;""),AC121*AD121,"")</f>
        <v/>
      </c>
      <c r="AF121" s="10">
        <f>IF(AND(AC121&lt;&gt;"",AE121&lt;&gt;""),AC121+AE121,"")</f>
        <v/>
      </c>
      <c r="AJ121">
        <f>IF($B121="GWE_Item",IF($AG121="Elektra",SUMIFS($U:$U,$A:$A,$A121,$B:$B,"GWE")-SUMIFS($T:$T,$A:$A,$A121,$B:$B,"GWE"),IF($AG121="Gas",SUMIFS($W:$W,$A:$A,$A121,$B:$B,"GWE")-SUMIFS($V:$V,$A:$A,$A121,$B:$B,"GWE"),IF($AG121="Water",SUMIFS($Y:$Y,$A:$A,$A121,$B:$B,"GWE")-SUMIFS($X:$X,$A:$A,$A121,$B:$B,"GWE"),""))),"")</f>
        <v/>
      </c>
      <c r="AL121" s="10">
        <f>IF(AND(AJ121&lt;&gt;"",AK121&lt;&gt;""),AJ121*AK121,"")</f>
        <v/>
      </c>
      <c r="AM121" s="11" t="n"/>
      <c r="AN121" s="10">
        <f>IF(AND(AL121&lt;&gt;"",AM121&lt;&gt;""),AL121*AM121,"")</f>
        <v/>
      </c>
      <c r="AO121" s="10">
        <f>IF(AND(AL121&lt;&gt;"",AN121&lt;&gt;""),AL121+AN121,"")</f>
        <v/>
      </c>
    </row>
    <row r="122">
      <c r="D122" s="8">
        <f>IF(A122="","",VLOOKUP(A122,Lists!$A:$B,2,FALSE))</f>
        <v/>
      </c>
      <c r="E122" s="8">
        <f>IF(C122="","",VLOOKUP(C122,Lists!$C:$D,2,FALSE))</f>
        <v/>
      </c>
      <c r="F122" s="8" t="n"/>
      <c r="G122" s="8" t="n"/>
      <c r="J122" s="9">
        <f>IF(A122="","",IFERROR(VLOOKUP(A122,Lists!$A:$H,8,FALSE),0))</f>
        <v/>
      </c>
      <c r="L122" s="9">
        <f>IF(A122="","",IFERROR(VLOOKUP(A122,Lists!$A:$H,7,FALSE),0))</f>
        <v/>
      </c>
      <c r="M122" s="10">
        <f>IF(K122="Eigen Beheer",0,IF(AND(ISNUMBER(L122),I122&lt;&gt;"",H122&lt;&gt;""),(L122*12/365)*(I122-H122),0))</f>
        <v/>
      </c>
      <c r="P122" s="8">
        <f>IF(O122="","",VLOOKUP(O122,Lists!$E:$F,2,FALSE))</f>
        <v/>
      </c>
      <c r="AC122" s="10">
        <f>IF(AND(AA122&lt;&gt;"",AB122&lt;&gt;""),AA122*AB122,"")</f>
        <v/>
      </c>
      <c r="AD122" s="11" t="n"/>
      <c r="AE122" s="10">
        <f>IF(AND(AC122&lt;&gt;"",AD122&lt;&gt;""),AC122*AD122,"")</f>
        <v/>
      </c>
      <c r="AF122" s="10">
        <f>IF(AND(AC122&lt;&gt;"",AE122&lt;&gt;""),AC122+AE122,"")</f>
        <v/>
      </c>
      <c r="AJ122">
        <f>IF($B122="GWE_Item",IF($AG122="Elektra",SUMIFS($U:$U,$A:$A,$A122,$B:$B,"GWE")-SUMIFS($T:$T,$A:$A,$A122,$B:$B,"GWE"),IF($AG122="Gas",SUMIFS($W:$W,$A:$A,$A122,$B:$B,"GWE")-SUMIFS($V:$V,$A:$A,$A122,$B:$B,"GWE"),IF($AG122="Water",SUMIFS($Y:$Y,$A:$A,$A122,$B:$B,"GWE")-SUMIFS($X:$X,$A:$A,$A122,$B:$B,"GWE"),""))),"")</f>
        <v/>
      </c>
      <c r="AL122" s="10">
        <f>IF(AND(AJ122&lt;&gt;"",AK122&lt;&gt;""),AJ122*AK122,"")</f>
        <v/>
      </c>
      <c r="AM122" s="11" t="n"/>
      <c r="AN122" s="10">
        <f>IF(AND(AL122&lt;&gt;"",AM122&lt;&gt;""),AL122*AM122,"")</f>
        <v/>
      </c>
      <c r="AO122" s="10">
        <f>IF(AND(AL122&lt;&gt;"",AN122&lt;&gt;""),AL122+AN122,"")</f>
        <v/>
      </c>
    </row>
    <row r="123">
      <c r="D123" s="8">
        <f>IF(A123="","",VLOOKUP(A123,Lists!$A:$B,2,FALSE))</f>
        <v/>
      </c>
      <c r="E123" s="8">
        <f>IF(C123="","",VLOOKUP(C123,Lists!$C:$D,2,FALSE))</f>
        <v/>
      </c>
      <c r="F123" s="8" t="n"/>
      <c r="G123" s="8" t="n"/>
      <c r="J123" s="9">
        <f>IF(A123="","",IFERROR(VLOOKUP(A123,Lists!$A:$H,8,FALSE),0))</f>
        <v/>
      </c>
      <c r="L123" s="9">
        <f>IF(A123="","",IFERROR(VLOOKUP(A123,Lists!$A:$H,7,FALSE),0))</f>
        <v/>
      </c>
      <c r="M123" s="10">
        <f>IF(K123="Eigen Beheer",0,IF(AND(ISNUMBER(L123),I123&lt;&gt;"",H123&lt;&gt;""),(L123*12/365)*(I123-H123),0))</f>
        <v/>
      </c>
      <c r="P123" s="8">
        <f>IF(O123="","",VLOOKUP(O123,Lists!$E:$F,2,FALSE))</f>
        <v/>
      </c>
      <c r="AC123" s="10">
        <f>IF(AND(AA123&lt;&gt;"",AB123&lt;&gt;""),AA123*AB123,"")</f>
        <v/>
      </c>
      <c r="AD123" s="11" t="n"/>
      <c r="AE123" s="10">
        <f>IF(AND(AC123&lt;&gt;"",AD123&lt;&gt;""),AC123*AD123,"")</f>
        <v/>
      </c>
      <c r="AF123" s="10">
        <f>IF(AND(AC123&lt;&gt;"",AE123&lt;&gt;""),AC123+AE123,"")</f>
        <v/>
      </c>
      <c r="AJ123">
        <f>IF($B123="GWE_Item",IF($AG123="Elektra",SUMIFS($U:$U,$A:$A,$A123,$B:$B,"GWE")-SUMIFS($T:$T,$A:$A,$A123,$B:$B,"GWE"),IF($AG123="Gas",SUMIFS($W:$W,$A:$A,$A123,$B:$B,"GWE")-SUMIFS($V:$V,$A:$A,$A123,$B:$B,"GWE"),IF($AG123="Water",SUMIFS($Y:$Y,$A:$A,$A123,$B:$B,"GWE")-SUMIFS($X:$X,$A:$A,$A123,$B:$B,"GWE"),""))),"")</f>
        <v/>
      </c>
      <c r="AL123" s="10">
        <f>IF(AND(AJ123&lt;&gt;"",AK123&lt;&gt;""),AJ123*AK123,"")</f>
        <v/>
      </c>
      <c r="AM123" s="11" t="n"/>
      <c r="AN123" s="10">
        <f>IF(AND(AL123&lt;&gt;"",AM123&lt;&gt;""),AL123*AM123,"")</f>
        <v/>
      </c>
      <c r="AO123" s="10">
        <f>IF(AND(AL123&lt;&gt;"",AN123&lt;&gt;""),AL123+AN123,"")</f>
        <v/>
      </c>
    </row>
    <row r="124">
      <c r="D124" s="8">
        <f>IF(A124="","",VLOOKUP(A124,Lists!$A:$B,2,FALSE))</f>
        <v/>
      </c>
      <c r="E124" s="8">
        <f>IF(C124="","",VLOOKUP(C124,Lists!$C:$D,2,FALSE))</f>
        <v/>
      </c>
      <c r="F124" s="8" t="n"/>
      <c r="G124" s="8" t="n"/>
      <c r="J124" s="9">
        <f>IF(A124="","",IFERROR(VLOOKUP(A124,Lists!$A:$H,8,FALSE),0))</f>
        <v/>
      </c>
      <c r="L124" s="9">
        <f>IF(A124="","",IFERROR(VLOOKUP(A124,Lists!$A:$H,7,FALSE),0))</f>
        <v/>
      </c>
      <c r="M124" s="10">
        <f>IF(K124="Eigen Beheer",0,IF(AND(ISNUMBER(L124),I124&lt;&gt;"",H124&lt;&gt;""),(L124*12/365)*(I124-H124),0))</f>
        <v/>
      </c>
      <c r="P124" s="8">
        <f>IF(O124="","",VLOOKUP(O124,Lists!$E:$F,2,FALSE))</f>
        <v/>
      </c>
      <c r="AC124" s="10">
        <f>IF(AND(AA124&lt;&gt;"",AB124&lt;&gt;""),AA124*AB124,"")</f>
        <v/>
      </c>
      <c r="AD124" s="11" t="n"/>
      <c r="AE124" s="10">
        <f>IF(AND(AC124&lt;&gt;"",AD124&lt;&gt;""),AC124*AD124,"")</f>
        <v/>
      </c>
      <c r="AF124" s="10">
        <f>IF(AND(AC124&lt;&gt;"",AE124&lt;&gt;""),AC124+AE124,"")</f>
        <v/>
      </c>
      <c r="AJ124">
        <f>IF($B124="GWE_Item",IF($AG124="Elektra",SUMIFS($U:$U,$A:$A,$A124,$B:$B,"GWE")-SUMIFS($T:$T,$A:$A,$A124,$B:$B,"GWE"),IF($AG124="Gas",SUMIFS($W:$W,$A:$A,$A124,$B:$B,"GWE")-SUMIFS($V:$V,$A:$A,$A124,$B:$B,"GWE"),IF($AG124="Water",SUMIFS($Y:$Y,$A:$A,$A124,$B:$B,"GWE")-SUMIFS($X:$X,$A:$A,$A124,$B:$B,"GWE"),""))),"")</f>
        <v/>
      </c>
      <c r="AL124" s="10">
        <f>IF(AND(AJ124&lt;&gt;"",AK124&lt;&gt;""),AJ124*AK124,"")</f>
        <v/>
      </c>
      <c r="AM124" s="11" t="n"/>
      <c r="AN124" s="10">
        <f>IF(AND(AL124&lt;&gt;"",AM124&lt;&gt;""),AL124*AM124,"")</f>
        <v/>
      </c>
      <c r="AO124" s="10">
        <f>IF(AND(AL124&lt;&gt;"",AN124&lt;&gt;""),AL124+AN124,"")</f>
        <v/>
      </c>
    </row>
    <row r="125">
      <c r="D125" s="8">
        <f>IF(A125="","",VLOOKUP(A125,Lists!$A:$B,2,FALSE))</f>
        <v/>
      </c>
      <c r="E125" s="8">
        <f>IF(C125="","",VLOOKUP(C125,Lists!$C:$D,2,FALSE))</f>
        <v/>
      </c>
      <c r="F125" s="8" t="n"/>
      <c r="G125" s="8" t="n"/>
      <c r="J125" s="9">
        <f>IF(A125="","",IFERROR(VLOOKUP(A125,Lists!$A:$H,8,FALSE),0))</f>
        <v/>
      </c>
      <c r="L125" s="9">
        <f>IF(A125="","",IFERROR(VLOOKUP(A125,Lists!$A:$H,7,FALSE),0))</f>
        <v/>
      </c>
      <c r="M125" s="10">
        <f>IF(K125="Eigen Beheer",0,IF(AND(ISNUMBER(L125),I125&lt;&gt;"",H125&lt;&gt;""),(L125*12/365)*(I125-H125),0))</f>
        <v/>
      </c>
      <c r="P125" s="8">
        <f>IF(O125="","",VLOOKUP(O125,Lists!$E:$F,2,FALSE))</f>
        <v/>
      </c>
      <c r="AC125" s="10">
        <f>IF(AND(AA125&lt;&gt;"",AB125&lt;&gt;""),AA125*AB125,"")</f>
        <v/>
      </c>
      <c r="AD125" s="11" t="n"/>
      <c r="AE125" s="10">
        <f>IF(AND(AC125&lt;&gt;"",AD125&lt;&gt;""),AC125*AD125,"")</f>
        <v/>
      </c>
      <c r="AF125" s="10">
        <f>IF(AND(AC125&lt;&gt;"",AE125&lt;&gt;""),AC125+AE125,"")</f>
        <v/>
      </c>
      <c r="AJ125">
        <f>IF($B125="GWE_Item",IF($AG125="Elektra",SUMIFS($U:$U,$A:$A,$A125,$B:$B,"GWE")-SUMIFS($T:$T,$A:$A,$A125,$B:$B,"GWE"),IF($AG125="Gas",SUMIFS($W:$W,$A:$A,$A125,$B:$B,"GWE")-SUMIFS($V:$V,$A:$A,$A125,$B:$B,"GWE"),IF($AG125="Water",SUMIFS($Y:$Y,$A:$A,$A125,$B:$B,"GWE")-SUMIFS($X:$X,$A:$A,$A125,$B:$B,"GWE"),""))),"")</f>
        <v/>
      </c>
      <c r="AL125" s="10">
        <f>IF(AND(AJ125&lt;&gt;"",AK125&lt;&gt;""),AJ125*AK125,"")</f>
        <v/>
      </c>
      <c r="AM125" s="11" t="n"/>
      <c r="AN125" s="10">
        <f>IF(AND(AL125&lt;&gt;"",AM125&lt;&gt;""),AL125*AM125,"")</f>
        <v/>
      </c>
      <c r="AO125" s="10">
        <f>IF(AND(AL125&lt;&gt;"",AN125&lt;&gt;""),AL125+AN125,"")</f>
        <v/>
      </c>
    </row>
    <row r="126">
      <c r="D126" s="8">
        <f>IF(A126="","",VLOOKUP(A126,Lists!$A:$B,2,FALSE))</f>
        <v/>
      </c>
      <c r="E126" s="8">
        <f>IF(C126="","",VLOOKUP(C126,Lists!$C:$D,2,FALSE))</f>
        <v/>
      </c>
      <c r="F126" s="8" t="n"/>
      <c r="G126" s="8" t="n"/>
      <c r="J126" s="9">
        <f>IF(A126="","",IFERROR(VLOOKUP(A126,Lists!$A:$H,8,FALSE),0))</f>
        <v/>
      </c>
      <c r="L126" s="9">
        <f>IF(A126="","",IFERROR(VLOOKUP(A126,Lists!$A:$H,7,FALSE),0))</f>
        <v/>
      </c>
      <c r="M126" s="10">
        <f>IF(K126="Eigen Beheer",0,IF(AND(ISNUMBER(L126),I126&lt;&gt;"",H126&lt;&gt;""),(L126*12/365)*(I126-H126),0))</f>
        <v/>
      </c>
      <c r="P126" s="8">
        <f>IF(O126="","",VLOOKUP(O126,Lists!$E:$F,2,FALSE))</f>
        <v/>
      </c>
      <c r="AC126" s="10">
        <f>IF(AND(AA126&lt;&gt;"",AB126&lt;&gt;""),AA126*AB126,"")</f>
        <v/>
      </c>
      <c r="AD126" s="11" t="n"/>
      <c r="AE126" s="10">
        <f>IF(AND(AC126&lt;&gt;"",AD126&lt;&gt;""),AC126*AD126,"")</f>
        <v/>
      </c>
      <c r="AF126" s="10">
        <f>IF(AND(AC126&lt;&gt;"",AE126&lt;&gt;""),AC126+AE126,"")</f>
        <v/>
      </c>
      <c r="AJ126">
        <f>IF($B126="GWE_Item",IF($AG126="Elektra",SUMIFS($U:$U,$A:$A,$A126,$B:$B,"GWE")-SUMIFS($T:$T,$A:$A,$A126,$B:$B,"GWE"),IF($AG126="Gas",SUMIFS($W:$W,$A:$A,$A126,$B:$B,"GWE")-SUMIFS($V:$V,$A:$A,$A126,$B:$B,"GWE"),IF($AG126="Water",SUMIFS($Y:$Y,$A:$A,$A126,$B:$B,"GWE")-SUMIFS($X:$X,$A:$A,$A126,$B:$B,"GWE"),""))),"")</f>
        <v/>
      </c>
      <c r="AL126" s="10">
        <f>IF(AND(AJ126&lt;&gt;"",AK126&lt;&gt;""),AJ126*AK126,"")</f>
        <v/>
      </c>
      <c r="AM126" s="11" t="n"/>
      <c r="AN126" s="10">
        <f>IF(AND(AL126&lt;&gt;"",AM126&lt;&gt;""),AL126*AM126,"")</f>
        <v/>
      </c>
      <c r="AO126" s="10">
        <f>IF(AND(AL126&lt;&gt;"",AN126&lt;&gt;""),AL126+AN126,"")</f>
        <v/>
      </c>
    </row>
    <row r="127">
      <c r="D127" s="8">
        <f>IF(A127="","",VLOOKUP(A127,Lists!$A:$B,2,FALSE))</f>
        <v/>
      </c>
      <c r="E127" s="8">
        <f>IF(C127="","",VLOOKUP(C127,Lists!$C:$D,2,FALSE))</f>
        <v/>
      </c>
      <c r="F127" s="8" t="n"/>
      <c r="G127" s="8" t="n"/>
      <c r="J127" s="9">
        <f>IF(A127="","",IFERROR(VLOOKUP(A127,Lists!$A:$H,8,FALSE),0))</f>
        <v/>
      </c>
      <c r="L127" s="9">
        <f>IF(A127="","",IFERROR(VLOOKUP(A127,Lists!$A:$H,7,FALSE),0))</f>
        <v/>
      </c>
      <c r="M127" s="10">
        <f>IF(K127="Eigen Beheer",0,IF(AND(ISNUMBER(L127),I127&lt;&gt;"",H127&lt;&gt;""),(L127*12/365)*(I127-H127),0))</f>
        <v/>
      </c>
      <c r="P127" s="8">
        <f>IF(O127="","",VLOOKUP(O127,Lists!$E:$F,2,FALSE))</f>
        <v/>
      </c>
      <c r="AC127" s="10">
        <f>IF(AND(AA127&lt;&gt;"",AB127&lt;&gt;""),AA127*AB127,"")</f>
        <v/>
      </c>
      <c r="AD127" s="11" t="n"/>
      <c r="AE127" s="10">
        <f>IF(AND(AC127&lt;&gt;"",AD127&lt;&gt;""),AC127*AD127,"")</f>
        <v/>
      </c>
      <c r="AF127" s="10">
        <f>IF(AND(AC127&lt;&gt;"",AE127&lt;&gt;""),AC127+AE127,"")</f>
        <v/>
      </c>
      <c r="AJ127">
        <f>IF($B127="GWE_Item",IF($AG127="Elektra",SUMIFS($U:$U,$A:$A,$A127,$B:$B,"GWE")-SUMIFS($T:$T,$A:$A,$A127,$B:$B,"GWE"),IF($AG127="Gas",SUMIFS($W:$W,$A:$A,$A127,$B:$B,"GWE")-SUMIFS($V:$V,$A:$A,$A127,$B:$B,"GWE"),IF($AG127="Water",SUMIFS($Y:$Y,$A:$A,$A127,$B:$B,"GWE")-SUMIFS($X:$X,$A:$A,$A127,$B:$B,"GWE"),""))),"")</f>
        <v/>
      </c>
      <c r="AL127" s="10">
        <f>IF(AND(AJ127&lt;&gt;"",AK127&lt;&gt;""),AJ127*AK127,"")</f>
        <v/>
      </c>
      <c r="AM127" s="11" t="n"/>
      <c r="AN127" s="10">
        <f>IF(AND(AL127&lt;&gt;"",AM127&lt;&gt;""),AL127*AM127,"")</f>
        <v/>
      </c>
      <c r="AO127" s="10">
        <f>IF(AND(AL127&lt;&gt;"",AN127&lt;&gt;""),AL127+AN127,"")</f>
        <v/>
      </c>
    </row>
    <row r="128">
      <c r="D128" s="8">
        <f>IF(A128="","",VLOOKUP(A128,Lists!$A:$B,2,FALSE))</f>
        <v/>
      </c>
      <c r="E128" s="8">
        <f>IF(C128="","",VLOOKUP(C128,Lists!$C:$D,2,FALSE))</f>
        <v/>
      </c>
      <c r="F128" s="8" t="n"/>
      <c r="G128" s="8" t="n"/>
      <c r="J128" s="9">
        <f>IF(A128="","",IFERROR(VLOOKUP(A128,Lists!$A:$H,8,FALSE),0))</f>
        <v/>
      </c>
      <c r="L128" s="9">
        <f>IF(A128="","",IFERROR(VLOOKUP(A128,Lists!$A:$H,7,FALSE),0))</f>
        <v/>
      </c>
      <c r="M128" s="10">
        <f>IF(K128="Eigen Beheer",0,IF(AND(ISNUMBER(L128),I128&lt;&gt;"",H128&lt;&gt;""),(L128*12/365)*(I128-H128),0))</f>
        <v/>
      </c>
      <c r="P128" s="8">
        <f>IF(O128="","",VLOOKUP(O128,Lists!$E:$F,2,FALSE))</f>
        <v/>
      </c>
      <c r="AC128" s="10">
        <f>IF(AND(AA128&lt;&gt;"",AB128&lt;&gt;""),AA128*AB128,"")</f>
        <v/>
      </c>
      <c r="AD128" s="11" t="n"/>
      <c r="AE128" s="10">
        <f>IF(AND(AC128&lt;&gt;"",AD128&lt;&gt;""),AC128*AD128,"")</f>
        <v/>
      </c>
      <c r="AF128" s="10">
        <f>IF(AND(AC128&lt;&gt;"",AE128&lt;&gt;""),AC128+AE128,"")</f>
        <v/>
      </c>
      <c r="AJ128">
        <f>IF($B128="GWE_Item",IF($AG128="Elektra",SUMIFS($U:$U,$A:$A,$A128,$B:$B,"GWE")-SUMIFS($T:$T,$A:$A,$A128,$B:$B,"GWE"),IF($AG128="Gas",SUMIFS($W:$W,$A:$A,$A128,$B:$B,"GWE")-SUMIFS($V:$V,$A:$A,$A128,$B:$B,"GWE"),IF($AG128="Water",SUMIFS($Y:$Y,$A:$A,$A128,$B:$B,"GWE")-SUMIFS($X:$X,$A:$A,$A128,$B:$B,"GWE"),""))),"")</f>
        <v/>
      </c>
      <c r="AL128" s="10">
        <f>IF(AND(AJ128&lt;&gt;"",AK128&lt;&gt;""),AJ128*AK128,"")</f>
        <v/>
      </c>
      <c r="AM128" s="11" t="n"/>
      <c r="AN128" s="10">
        <f>IF(AND(AL128&lt;&gt;"",AM128&lt;&gt;""),AL128*AM128,"")</f>
        <v/>
      </c>
      <c r="AO128" s="10">
        <f>IF(AND(AL128&lt;&gt;"",AN128&lt;&gt;""),AL128+AN128,"")</f>
        <v/>
      </c>
    </row>
    <row r="129">
      <c r="D129" s="8">
        <f>IF(A129="","",VLOOKUP(A129,Lists!$A:$B,2,FALSE))</f>
        <v/>
      </c>
      <c r="E129" s="8">
        <f>IF(C129="","",VLOOKUP(C129,Lists!$C:$D,2,FALSE))</f>
        <v/>
      </c>
      <c r="F129" s="8" t="n"/>
      <c r="G129" s="8" t="n"/>
      <c r="J129" s="9">
        <f>IF(A129="","",IFERROR(VLOOKUP(A129,Lists!$A:$H,8,FALSE),0))</f>
        <v/>
      </c>
      <c r="L129" s="9">
        <f>IF(A129="","",IFERROR(VLOOKUP(A129,Lists!$A:$H,7,FALSE),0))</f>
        <v/>
      </c>
      <c r="M129" s="10">
        <f>IF(K129="Eigen Beheer",0,IF(AND(ISNUMBER(L129),I129&lt;&gt;"",H129&lt;&gt;""),(L129*12/365)*(I129-H129),0))</f>
        <v/>
      </c>
      <c r="P129" s="8">
        <f>IF(O129="","",VLOOKUP(O129,Lists!$E:$F,2,FALSE))</f>
        <v/>
      </c>
      <c r="AC129" s="10">
        <f>IF(AND(AA129&lt;&gt;"",AB129&lt;&gt;""),AA129*AB129,"")</f>
        <v/>
      </c>
      <c r="AD129" s="11" t="n"/>
      <c r="AE129" s="10">
        <f>IF(AND(AC129&lt;&gt;"",AD129&lt;&gt;""),AC129*AD129,"")</f>
        <v/>
      </c>
      <c r="AF129" s="10">
        <f>IF(AND(AC129&lt;&gt;"",AE129&lt;&gt;""),AC129+AE129,"")</f>
        <v/>
      </c>
      <c r="AJ129">
        <f>IF($B129="GWE_Item",IF($AG129="Elektra",SUMIFS($U:$U,$A:$A,$A129,$B:$B,"GWE")-SUMIFS($T:$T,$A:$A,$A129,$B:$B,"GWE"),IF($AG129="Gas",SUMIFS($W:$W,$A:$A,$A129,$B:$B,"GWE")-SUMIFS($V:$V,$A:$A,$A129,$B:$B,"GWE"),IF($AG129="Water",SUMIFS($Y:$Y,$A:$A,$A129,$B:$B,"GWE")-SUMIFS($X:$X,$A:$A,$A129,$B:$B,"GWE"),""))),"")</f>
        <v/>
      </c>
      <c r="AL129" s="10">
        <f>IF(AND(AJ129&lt;&gt;"",AK129&lt;&gt;""),AJ129*AK129,"")</f>
        <v/>
      </c>
      <c r="AM129" s="11" t="n"/>
      <c r="AN129" s="10">
        <f>IF(AND(AL129&lt;&gt;"",AM129&lt;&gt;""),AL129*AM129,"")</f>
        <v/>
      </c>
      <c r="AO129" s="10">
        <f>IF(AND(AL129&lt;&gt;"",AN129&lt;&gt;""),AL129+AN129,"")</f>
        <v/>
      </c>
    </row>
    <row r="130">
      <c r="D130" s="8">
        <f>IF(A130="","",VLOOKUP(A130,Lists!$A:$B,2,FALSE))</f>
        <v/>
      </c>
      <c r="E130" s="8">
        <f>IF(C130="","",VLOOKUP(C130,Lists!$C:$D,2,FALSE))</f>
        <v/>
      </c>
      <c r="F130" s="8" t="n"/>
      <c r="G130" s="8" t="n"/>
      <c r="J130" s="9">
        <f>IF(A130="","",IFERROR(VLOOKUP(A130,Lists!$A:$H,8,FALSE),0))</f>
        <v/>
      </c>
      <c r="L130" s="9">
        <f>IF(A130="","",IFERROR(VLOOKUP(A130,Lists!$A:$H,7,FALSE),0))</f>
        <v/>
      </c>
      <c r="M130" s="10">
        <f>IF(K130="Eigen Beheer",0,IF(AND(ISNUMBER(L130),I130&lt;&gt;"",H130&lt;&gt;""),(L130*12/365)*(I130-H130),0))</f>
        <v/>
      </c>
      <c r="P130" s="8">
        <f>IF(O130="","",VLOOKUP(O130,Lists!$E:$F,2,FALSE))</f>
        <v/>
      </c>
      <c r="AC130" s="10">
        <f>IF(AND(AA130&lt;&gt;"",AB130&lt;&gt;""),AA130*AB130,"")</f>
        <v/>
      </c>
      <c r="AD130" s="11" t="n"/>
      <c r="AE130" s="10">
        <f>IF(AND(AC130&lt;&gt;"",AD130&lt;&gt;""),AC130*AD130,"")</f>
        <v/>
      </c>
      <c r="AF130" s="10">
        <f>IF(AND(AC130&lt;&gt;"",AE130&lt;&gt;""),AC130+AE130,"")</f>
        <v/>
      </c>
      <c r="AJ130">
        <f>IF($B130="GWE_Item",IF($AG130="Elektra",SUMIFS($U:$U,$A:$A,$A130,$B:$B,"GWE")-SUMIFS($T:$T,$A:$A,$A130,$B:$B,"GWE"),IF($AG130="Gas",SUMIFS($W:$W,$A:$A,$A130,$B:$B,"GWE")-SUMIFS($V:$V,$A:$A,$A130,$B:$B,"GWE"),IF($AG130="Water",SUMIFS($Y:$Y,$A:$A,$A130,$B:$B,"GWE")-SUMIFS($X:$X,$A:$A,$A130,$B:$B,"GWE"),""))),"")</f>
        <v/>
      </c>
      <c r="AL130" s="10">
        <f>IF(AND(AJ130&lt;&gt;"",AK130&lt;&gt;""),AJ130*AK130,"")</f>
        <v/>
      </c>
      <c r="AM130" s="11" t="n"/>
      <c r="AN130" s="10">
        <f>IF(AND(AL130&lt;&gt;"",AM130&lt;&gt;""),AL130*AM130,"")</f>
        <v/>
      </c>
      <c r="AO130" s="10">
        <f>IF(AND(AL130&lt;&gt;"",AN130&lt;&gt;""),AL130+AN130,"")</f>
        <v/>
      </c>
    </row>
    <row r="131">
      <c r="D131" s="8">
        <f>IF(A131="","",VLOOKUP(A131,Lists!$A:$B,2,FALSE))</f>
        <v/>
      </c>
      <c r="E131" s="8">
        <f>IF(C131="","",VLOOKUP(C131,Lists!$C:$D,2,FALSE))</f>
        <v/>
      </c>
      <c r="F131" s="8" t="n"/>
      <c r="G131" s="8" t="n"/>
      <c r="J131" s="9">
        <f>IF(A131="","",IFERROR(VLOOKUP(A131,Lists!$A:$H,8,FALSE),0))</f>
        <v/>
      </c>
      <c r="L131" s="9">
        <f>IF(A131="","",IFERROR(VLOOKUP(A131,Lists!$A:$H,7,FALSE),0))</f>
        <v/>
      </c>
      <c r="M131" s="10">
        <f>IF(K131="Eigen Beheer",0,IF(AND(ISNUMBER(L131),I131&lt;&gt;"",H131&lt;&gt;""),(L131*12/365)*(I131-H131),0))</f>
        <v/>
      </c>
      <c r="P131" s="8">
        <f>IF(O131="","",VLOOKUP(O131,Lists!$E:$F,2,FALSE))</f>
        <v/>
      </c>
      <c r="AC131" s="10">
        <f>IF(AND(AA131&lt;&gt;"",AB131&lt;&gt;""),AA131*AB131,"")</f>
        <v/>
      </c>
      <c r="AD131" s="11" t="n"/>
      <c r="AE131" s="10">
        <f>IF(AND(AC131&lt;&gt;"",AD131&lt;&gt;""),AC131*AD131,"")</f>
        <v/>
      </c>
      <c r="AF131" s="10">
        <f>IF(AND(AC131&lt;&gt;"",AE131&lt;&gt;""),AC131+AE131,"")</f>
        <v/>
      </c>
      <c r="AJ131">
        <f>IF($B131="GWE_Item",IF($AG131="Elektra",SUMIFS($U:$U,$A:$A,$A131,$B:$B,"GWE")-SUMIFS($T:$T,$A:$A,$A131,$B:$B,"GWE"),IF($AG131="Gas",SUMIFS($W:$W,$A:$A,$A131,$B:$B,"GWE")-SUMIFS($V:$V,$A:$A,$A131,$B:$B,"GWE"),IF($AG131="Water",SUMIFS($Y:$Y,$A:$A,$A131,$B:$B,"GWE")-SUMIFS($X:$X,$A:$A,$A131,$B:$B,"GWE"),""))),"")</f>
        <v/>
      </c>
      <c r="AL131" s="10">
        <f>IF(AND(AJ131&lt;&gt;"",AK131&lt;&gt;""),AJ131*AK131,"")</f>
        <v/>
      </c>
      <c r="AM131" s="11" t="n"/>
      <c r="AN131" s="10">
        <f>IF(AND(AL131&lt;&gt;"",AM131&lt;&gt;""),AL131*AM131,"")</f>
        <v/>
      </c>
      <c r="AO131" s="10">
        <f>IF(AND(AL131&lt;&gt;"",AN131&lt;&gt;""),AL131+AN131,"")</f>
        <v/>
      </c>
    </row>
    <row r="132">
      <c r="D132" s="8">
        <f>IF(A132="","",VLOOKUP(A132,Lists!$A:$B,2,FALSE))</f>
        <v/>
      </c>
      <c r="E132" s="8">
        <f>IF(C132="","",VLOOKUP(C132,Lists!$C:$D,2,FALSE))</f>
        <v/>
      </c>
      <c r="F132" s="8" t="n"/>
      <c r="G132" s="8" t="n"/>
      <c r="J132" s="9">
        <f>IF(A132="","",IFERROR(VLOOKUP(A132,Lists!$A:$H,8,FALSE),0))</f>
        <v/>
      </c>
      <c r="L132" s="9">
        <f>IF(A132="","",IFERROR(VLOOKUP(A132,Lists!$A:$H,7,FALSE),0))</f>
        <v/>
      </c>
      <c r="M132" s="10">
        <f>IF(K132="Eigen Beheer",0,IF(AND(ISNUMBER(L132),I132&lt;&gt;"",H132&lt;&gt;""),(L132*12/365)*(I132-H132),0))</f>
        <v/>
      </c>
      <c r="P132" s="8">
        <f>IF(O132="","",VLOOKUP(O132,Lists!$E:$F,2,FALSE))</f>
        <v/>
      </c>
      <c r="AC132" s="10">
        <f>IF(AND(AA132&lt;&gt;"",AB132&lt;&gt;""),AA132*AB132,"")</f>
        <v/>
      </c>
      <c r="AD132" s="11" t="n"/>
      <c r="AE132" s="10">
        <f>IF(AND(AC132&lt;&gt;"",AD132&lt;&gt;""),AC132*AD132,"")</f>
        <v/>
      </c>
      <c r="AF132" s="10">
        <f>IF(AND(AC132&lt;&gt;"",AE132&lt;&gt;""),AC132+AE132,"")</f>
        <v/>
      </c>
      <c r="AJ132">
        <f>IF($B132="GWE_Item",IF($AG132="Elektra",SUMIFS($U:$U,$A:$A,$A132,$B:$B,"GWE")-SUMIFS($T:$T,$A:$A,$A132,$B:$B,"GWE"),IF($AG132="Gas",SUMIFS($W:$W,$A:$A,$A132,$B:$B,"GWE")-SUMIFS($V:$V,$A:$A,$A132,$B:$B,"GWE"),IF($AG132="Water",SUMIFS($Y:$Y,$A:$A,$A132,$B:$B,"GWE")-SUMIFS($X:$X,$A:$A,$A132,$B:$B,"GWE"),""))),"")</f>
        <v/>
      </c>
      <c r="AL132" s="10">
        <f>IF(AND(AJ132&lt;&gt;"",AK132&lt;&gt;""),AJ132*AK132,"")</f>
        <v/>
      </c>
      <c r="AM132" s="11" t="n"/>
      <c r="AN132" s="10">
        <f>IF(AND(AL132&lt;&gt;"",AM132&lt;&gt;""),AL132*AM132,"")</f>
        <v/>
      </c>
      <c r="AO132" s="10">
        <f>IF(AND(AL132&lt;&gt;"",AN132&lt;&gt;""),AL132+AN132,"")</f>
        <v/>
      </c>
    </row>
    <row r="133">
      <c r="D133" s="8">
        <f>IF(A133="","",VLOOKUP(A133,Lists!$A:$B,2,FALSE))</f>
        <v/>
      </c>
      <c r="E133" s="8">
        <f>IF(C133="","",VLOOKUP(C133,Lists!$C:$D,2,FALSE))</f>
        <v/>
      </c>
      <c r="F133" s="8" t="n"/>
      <c r="G133" s="8" t="n"/>
      <c r="J133" s="9">
        <f>IF(A133="","",IFERROR(VLOOKUP(A133,Lists!$A:$H,8,FALSE),0))</f>
        <v/>
      </c>
      <c r="L133" s="9">
        <f>IF(A133="","",IFERROR(VLOOKUP(A133,Lists!$A:$H,7,FALSE),0))</f>
        <v/>
      </c>
      <c r="M133" s="10">
        <f>IF(K133="Eigen Beheer",0,IF(AND(ISNUMBER(L133),I133&lt;&gt;"",H133&lt;&gt;""),(L133*12/365)*(I133-H133),0))</f>
        <v/>
      </c>
      <c r="P133" s="8">
        <f>IF(O133="","",VLOOKUP(O133,Lists!$E:$F,2,FALSE))</f>
        <v/>
      </c>
      <c r="AC133" s="10">
        <f>IF(AND(AA133&lt;&gt;"",AB133&lt;&gt;""),AA133*AB133,"")</f>
        <v/>
      </c>
      <c r="AD133" s="11" t="n"/>
      <c r="AE133" s="10">
        <f>IF(AND(AC133&lt;&gt;"",AD133&lt;&gt;""),AC133*AD133,"")</f>
        <v/>
      </c>
      <c r="AF133" s="10">
        <f>IF(AND(AC133&lt;&gt;"",AE133&lt;&gt;""),AC133+AE133,"")</f>
        <v/>
      </c>
      <c r="AJ133">
        <f>IF($B133="GWE_Item",IF($AG133="Elektra",SUMIFS($U:$U,$A:$A,$A133,$B:$B,"GWE")-SUMIFS($T:$T,$A:$A,$A133,$B:$B,"GWE"),IF($AG133="Gas",SUMIFS($W:$W,$A:$A,$A133,$B:$B,"GWE")-SUMIFS($V:$V,$A:$A,$A133,$B:$B,"GWE"),IF($AG133="Water",SUMIFS($Y:$Y,$A:$A,$A133,$B:$B,"GWE")-SUMIFS($X:$X,$A:$A,$A133,$B:$B,"GWE"),""))),"")</f>
        <v/>
      </c>
      <c r="AL133" s="10">
        <f>IF(AND(AJ133&lt;&gt;"",AK133&lt;&gt;""),AJ133*AK133,"")</f>
        <v/>
      </c>
      <c r="AM133" s="11" t="n"/>
      <c r="AN133" s="10">
        <f>IF(AND(AL133&lt;&gt;"",AM133&lt;&gt;""),AL133*AM133,"")</f>
        <v/>
      </c>
      <c r="AO133" s="10">
        <f>IF(AND(AL133&lt;&gt;"",AN133&lt;&gt;""),AL133+AN133,"")</f>
        <v/>
      </c>
    </row>
    <row r="134">
      <c r="D134" s="8">
        <f>IF(A134="","",VLOOKUP(A134,Lists!$A:$B,2,FALSE))</f>
        <v/>
      </c>
      <c r="E134" s="8">
        <f>IF(C134="","",VLOOKUP(C134,Lists!$C:$D,2,FALSE))</f>
        <v/>
      </c>
      <c r="F134" s="8" t="n"/>
      <c r="G134" s="8" t="n"/>
      <c r="J134" s="9">
        <f>IF(A134="","",IFERROR(VLOOKUP(A134,Lists!$A:$H,8,FALSE),0))</f>
        <v/>
      </c>
      <c r="L134" s="9">
        <f>IF(A134="","",IFERROR(VLOOKUP(A134,Lists!$A:$H,7,FALSE),0))</f>
        <v/>
      </c>
      <c r="M134" s="10">
        <f>IF(K134="Eigen Beheer",0,IF(AND(ISNUMBER(L134),I134&lt;&gt;"",H134&lt;&gt;""),(L134*12/365)*(I134-H134),0))</f>
        <v/>
      </c>
      <c r="P134" s="8">
        <f>IF(O134="","",VLOOKUP(O134,Lists!$E:$F,2,FALSE))</f>
        <v/>
      </c>
      <c r="AC134" s="10">
        <f>IF(AND(AA134&lt;&gt;"",AB134&lt;&gt;""),AA134*AB134,"")</f>
        <v/>
      </c>
      <c r="AD134" s="11" t="n"/>
      <c r="AE134" s="10">
        <f>IF(AND(AC134&lt;&gt;"",AD134&lt;&gt;""),AC134*AD134,"")</f>
        <v/>
      </c>
      <c r="AF134" s="10">
        <f>IF(AND(AC134&lt;&gt;"",AE134&lt;&gt;""),AC134+AE134,"")</f>
        <v/>
      </c>
      <c r="AJ134">
        <f>IF($B134="GWE_Item",IF($AG134="Elektra",SUMIFS($U:$U,$A:$A,$A134,$B:$B,"GWE")-SUMIFS($T:$T,$A:$A,$A134,$B:$B,"GWE"),IF($AG134="Gas",SUMIFS($W:$W,$A:$A,$A134,$B:$B,"GWE")-SUMIFS($V:$V,$A:$A,$A134,$B:$B,"GWE"),IF($AG134="Water",SUMIFS($Y:$Y,$A:$A,$A134,$B:$B,"GWE")-SUMIFS($X:$X,$A:$A,$A134,$B:$B,"GWE"),""))),"")</f>
        <v/>
      </c>
      <c r="AL134" s="10">
        <f>IF(AND(AJ134&lt;&gt;"",AK134&lt;&gt;""),AJ134*AK134,"")</f>
        <v/>
      </c>
      <c r="AM134" s="11" t="n"/>
      <c r="AN134" s="10">
        <f>IF(AND(AL134&lt;&gt;"",AM134&lt;&gt;""),AL134*AM134,"")</f>
        <v/>
      </c>
      <c r="AO134" s="10">
        <f>IF(AND(AL134&lt;&gt;"",AN134&lt;&gt;""),AL134+AN134,"")</f>
        <v/>
      </c>
    </row>
    <row r="135">
      <c r="D135" s="8">
        <f>IF(A135="","",VLOOKUP(A135,Lists!$A:$B,2,FALSE))</f>
        <v/>
      </c>
      <c r="E135" s="8">
        <f>IF(C135="","",VLOOKUP(C135,Lists!$C:$D,2,FALSE))</f>
        <v/>
      </c>
      <c r="F135" s="8" t="n"/>
      <c r="G135" s="8" t="n"/>
      <c r="J135" s="9">
        <f>IF(A135="","",IFERROR(VLOOKUP(A135,Lists!$A:$H,8,FALSE),0))</f>
        <v/>
      </c>
      <c r="L135" s="9">
        <f>IF(A135="","",IFERROR(VLOOKUP(A135,Lists!$A:$H,7,FALSE),0))</f>
        <v/>
      </c>
      <c r="M135" s="10">
        <f>IF(K135="Eigen Beheer",0,IF(AND(ISNUMBER(L135),I135&lt;&gt;"",H135&lt;&gt;""),(L135*12/365)*(I135-H135),0))</f>
        <v/>
      </c>
      <c r="P135" s="8">
        <f>IF(O135="","",VLOOKUP(O135,Lists!$E:$F,2,FALSE))</f>
        <v/>
      </c>
      <c r="AC135" s="10">
        <f>IF(AND(AA135&lt;&gt;"",AB135&lt;&gt;""),AA135*AB135,"")</f>
        <v/>
      </c>
      <c r="AD135" s="11" t="n"/>
      <c r="AE135" s="10">
        <f>IF(AND(AC135&lt;&gt;"",AD135&lt;&gt;""),AC135*AD135,"")</f>
        <v/>
      </c>
      <c r="AF135" s="10">
        <f>IF(AND(AC135&lt;&gt;"",AE135&lt;&gt;""),AC135+AE135,"")</f>
        <v/>
      </c>
      <c r="AJ135">
        <f>IF($B135="GWE_Item",IF($AG135="Elektra",SUMIFS($U:$U,$A:$A,$A135,$B:$B,"GWE")-SUMIFS($T:$T,$A:$A,$A135,$B:$B,"GWE"),IF($AG135="Gas",SUMIFS($W:$W,$A:$A,$A135,$B:$B,"GWE")-SUMIFS($V:$V,$A:$A,$A135,$B:$B,"GWE"),IF($AG135="Water",SUMIFS($Y:$Y,$A:$A,$A135,$B:$B,"GWE")-SUMIFS($X:$X,$A:$A,$A135,$B:$B,"GWE"),""))),"")</f>
        <v/>
      </c>
      <c r="AL135" s="10">
        <f>IF(AND(AJ135&lt;&gt;"",AK135&lt;&gt;""),AJ135*AK135,"")</f>
        <v/>
      </c>
      <c r="AM135" s="11" t="n"/>
      <c r="AN135" s="10">
        <f>IF(AND(AL135&lt;&gt;"",AM135&lt;&gt;""),AL135*AM135,"")</f>
        <v/>
      </c>
      <c r="AO135" s="10">
        <f>IF(AND(AL135&lt;&gt;"",AN135&lt;&gt;""),AL135+AN135,"")</f>
        <v/>
      </c>
    </row>
    <row r="136">
      <c r="D136" s="8">
        <f>IF(A136="","",VLOOKUP(A136,Lists!$A:$B,2,FALSE))</f>
        <v/>
      </c>
      <c r="E136" s="8">
        <f>IF(C136="","",VLOOKUP(C136,Lists!$C:$D,2,FALSE))</f>
        <v/>
      </c>
      <c r="F136" s="8" t="n"/>
      <c r="G136" s="8" t="n"/>
      <c r="J136" s="9">
        <f>IF(A136="","",IFERROR(VLOOKUP(A136,Lists!$A:$H,8,FALSE),0))</f>
        <v/>
      </c>
      <c r="L136" s="9">
        <f>IF(A136="","",IFERROR(VLOOKUP(A136,Lists!$A:$H,7,FALSE),0))</f>
        <v/>
      </c>
      <c r="M136" s="10">
        <f>IF(K136="Eigen Beheer",0,IF(AND(ISNUMBER(L136),I136&lt;&gt;"",H136&lt;&gt;""),(L136*12/365)*(I136-H136),0))</f>
        <v/>
      </c>
      <c r="P136" s="8">
        <f>IF(O136="","",VLOOKUP(O136,Lists!$E:$F,2,FALSE))</f>
        <v/>
      </c>
      <c r="AC136" s="10">
        <f>IF(AND(AA136&lt;&gt;"",AB136&lt;&gt;""),AA136*AB136,"")</f>
        <v/>
      </c>
      <c r="AD136" s="11" t="n"/>
      <c r="AE136" s="10">
        <f>IF(AND(AC136&lt;&gt;"",AD136&lt;&gt;""),AC136*AD136,"")</f>
        <v/>
      </c>
      <c r="AF136" s="10">
        <f>IF(AND(AC136&lt;&gt;"",AE136&lt;&gt;""),AC136+AE136,"")</f>
        <v/>
      </c>
      <c r="AJ136">
        <f>IF($B136="GWE_Item",IF($AG136="Elektra",SUMIFS($U:$U,$A:$A,$A136,$B:$B,"GWE")-SUMIFS($T:$T,$A:$A,$A136,$B:$B,"GWE"),IF($AG136="Gas",SUMIFS($W:$W,$A:$A,$A136,$B:$B,"GWE")-SUMIFS($V:$V,$A:$A,$A136,$B:$B,"GWE"),IF($AG136="Water",SUMIFS($Y:$Y,$A:$A,$A136,$B:$B,"GWE")-SUMIFS($X:$X,$A:$A,$A136,$B:$B,"GWE"),""))),"")</f>
        <v/>
      </c>
      <c r="AL136" s="10">
        <f>IF(AND(AJ136&lt;&gt;"",AK136&lt;&gt;""),AJ136*AK136,"")</f>
        <v/>
      </c>
      <c r="AM136" s="11" t="n"/>
      <c r="AN136" s="10">
        <f>IF(AND(AL136&lt;&gt;"",AM136&lt;&gt;""),AL136*AM136,"")</f>
        <v/>
      </c>
      <c r="AO136" s="10">
        <f>IF(AND(AL136&lt;&gt;"",AN136&lt;&gt;""),AL136+AN136,"")</f>
        <v/>
      </c>
    </row>
    <row r="137">
      <c r="D137" s="8">
        <f>IF(A137="","",VLOOKUP(A137,Lists!$A:$B,2,FALSE))</f>
        <v/>
      </c>
      <c r="E137" s="8">
        <f>IF(C137="","",VLOOKUP(C137,Lists!$C:$D,2,FALSE))</f>
        <v/>
      </c>
      <c r="F137" s="8" t="n"/>
      <c r="G137" s="8" t="n"/>
      <c r="J137" s="9">
        <f>IF(A137="","",IFERROR(VLOOKUP(A137,Lists!$A:$H,8,FALSE),0))</f>
        <v/>
      </c>
      <c r="L137" s="9">
        <f>IF(A137="","",IFERROR(VLOOKUP(A137,Lists!$A:$H,7,FALSE),0))</f>
        <v/>
      </c>
      <c r="M137" s="10">
        <f>IF(K137="Eigen Beheer",0,IF(AND(ISNUMBER(L137),I137&lt;&gt;"",H137&lt;&gt;""),(L137*12/365)*(I137-H137),0))</f>
        <v/>
      </c>
      <c r="P137" s="8">
        <f>IF(O137="","",VLOOKUP(O137,Lists!$E:$F,2,FALSE))</f>
        <v/>
      </c>
      <c r="AC137" s="10">
        <f>IF(AND(AA137&lt;&gt;"",AB137&lt;&gt;""),AA137*AB137,"")</f>
        <v/>
      </c>
      <c r="AD137" s="11" t="n"/>
      <c r="AE137" s="10">
        <f>IF(AND(AC137&lt;&gt;"",AD137&lt;&gt;""),AC137*AD137,"")</f>
        <v/>
      </c>
      <c r="AF137" s="10">
        <f>IF(AND(AC137&lt;&gt;"",AE137&lt;&gt;""),AC137+AE137,"")</f>
        <v/>
      </c>
      <c r="AJ137">
        <f>IF($B137="GWE_Item",IF($AG137="Elektra",SUMIFS($U:$U,$A:$A,$A137,$B:$B,"GWE")-SUMIFS($T:$T,$A:$A,$A137,$B:$B,"GWE"),IF($AG137="Gas",SUMIFS($W:$W,$A:$A,$A137,$B:$B,"GWE")-SUMIFS($V:$V,$A:$A,$A137,$B:$B,"GWE"),IF($AG137="Water",SUMIFS($Y:$Y,$A:$A,$A137,$B:$B,"GWE")-SUMIFS($X:$X,$A:$A,$A137,$B:$B,"GWE"),""))),"")</f>
        <v/>
      </c>
      <c r="AL137" s="10">
        <f>IF(AND(AJ137&lt;&gt;"",AK137&lt;&gt;""),AJ137*AK137,"")</f>
        <v/>
      </c>
      <c r="AM137" s="11" t="n"/>
      <c r="AN137" s="10">
        <f>IF(AND(AL137&lt;&gt;"",AM137&lt;&gt;""),AL137*AM137,"")</f>
        <v/>
      </c>
      <c r="AO137" s="10">
        <f>IF(AND(AL137&lt;&gt;"",AN137&lt;&gt;""),AL137+AN137,"")</f>
        <v/>
      </c>
    </row>
    <row r="138">
      <c r="D138" s="8">
        <f>IF(A138="","",VLOOKUP(A138,Lists!$A:$B,2,FALSE))</f>
        <v/>
      </c>
      <c r="E138" s="8">
        <f>IF(C138="","",VLOOKUP(C138,Lists!$C:$D,2,FALSE))</f>
        <v/>
      </c>
      <c r="F138" s="8" t="n"/>
      <c r="G138" s="8" t="n"/>
      <c r="J138" s="9">
        <f>IF(A138="","",IFERROR(VLOOKUP(A138,Lists!$A:$H,8,FALSE),0))</f>
        <v/>
      </c>
      <c r="L138" s="9">
        <f>IF(A138="","",IFERROR(VLOOKUP(A138,Lists!$A:$H,7,FALSE),0))</f>
        <v/>
      </c>
      <c r="M138" s="10">
        <f>IF(K138="Eigen Beheer",0,IF(AND(ISNUMBER(L138),I138&lt;&gt;"",H138&lt;&gt;""),(L138*12/365)*(I138-H138),0))</f>
        <v/>
      </c>
      <c r="P138" s="8">
        <f>IF(O138="","",VLOOKUP(O138,Lists!$E:$F,2,FALSE))</f>
        <v/>
      </c>
      <c r="AC138" s="10">
        <f>IF(AND(AA138&lt;&gt;"",AB138&lt;&gt;""),AA138*AB138,"")</f>
        <v/>
      </c>
      <c r="AD138" s="11" t="n"/>
      <c r="AE138" s="10">
        <f>IF(AND(AC138&lt;&gt;"",AD138&lt;&gt;""),AC138*AD138,"")</f>
        <v/>
      </c>
      <c r="AF138" s="10">
        <f>IF(AND(AC138&lt;&gt;"",AE138&lt;&gt;""),AC138+AE138,"")</f>
        <v/>
      </c>
      <c r="AJ138">
        <f>IF($B138="GWE_Item",IF($AG138="Elektra",SUMIFS($U:$U,$A:$A,$A138,$B:$B,"GWE")-SUMIFS($T:$T,$A:$A,$A138,$B:$B,"GWE"),IF($AG138="Gas",SUMIFS($W:$W,$A:$A,$A138,$B:$B,"GWE")-SUMIFS($V:$V,$A:$A,$A138,$B:$B,"GWE"),IF($AG138="Water",SUMIFS($Y:$Y,$A:$A,$A138,$B:$B,"GWE")-SUMIFS($X:$X,$A:$A,$A138,$B:$B,"GWE"),""))),"")</f>
        <v/>
      </c>
      <c r="AL138" s="10">
        <f>IF(AND(AJ138&lt;&gt;"",AK138&lt;&gt;""),AJ138*AK138,"")</f>
        <v/>
      </c>
      <c r="AM138" s="11" t="n"/>
      <c r="AN138" s="10">
        <f>IF(AND(AL138&lt;&gt;"",AM138&lt;&gt;""),AL138*AM138,"")</f>
        <v/>
      </c>
      <c r="AO138" s="10">
        <f>IF(AND(AL138&lt;&gt;"",AN138&lt;&gt;""),AL138+AN138,"")</f>
        <v/>
      </c>
    </row>
    <row r="139">
      <c r="D139" s="8">
        <f>IF(A139="","",VLOOKUP(A139,Lists!$A:$B,2,FALSE))</f>
        <v/>
      </c>
      <c r="E139" s="8">
        <f>IF(C139="","",VLOOKUP(C139,Lists!$C:$D,2,FALSE))</f>
        <v/>
      </c>
      <c r="F139" s="8" t="n"/>
      <c r="G139" s="8" t="n"/>
      <c r="J139" s="9">
        <f>IF(A139="","",IFERROR(VLOOKUP(A139,Lists!$A:$H,8,FALSE),0))</f>
        <v/>
      </c>
      <c r="L139" s="9">
        <f>IF(A139="","",IFERROR(VLOOKUP(A139,Lists!$A:$H,7,FALSE),0))</f>
        <v/>
      </c>
      <c r="M139" s="10">
        <f>IF(K139="Eigen Beheer",0,IF(AND(ISNUMBER(L139),I139&lt;&gt;"",H139&lt;&gt;""),(L139*12/365)*(I139-H139),0))</f>
        <v/>
      </c>
      <c r="P139" s="8">
        <f>IF(O139="","",VLOOKUP(O139,Lists!$E:$F,2,FALSE))</f>
        <v/>
      </c>
      <c r="AC139" s="10">
        <f>IF(AND(AA139&lt;&gt;"",AB139&lt;&gt;""),AA139*AB139,"")</f>
        <v/>
      </c>
      <c r="AD139" s="11" t="n"/>
      <c r="AE139" s="10">
        <f>IF(AND(AC139&lt;&gt;"",AD139&lt;&gt;""),AC139*AD139,"")</f>
        <v/>
      </c>
      <c r="AF139" s="10">
        <f>IF(AND(AC139&lt;&gt;"",AE139&lt;&gt;""),AC139+AE139,"")</f>
        <v/>
      </c>
      <c r="AJ139">
        <f>IF($B139="GWE_Item",IF($AG139="Elektra",SUMIFS($U:$U,$A:$A,$A139,$B:$B,"GWE")-SUMIFS($T:$T,$A:$A,$A139,$B:$B,"GWE"),IF($AG139="Gas",SUMIFS($W:$W,$A:$A,$A139,$B:$B,"GWE")-SUMIFS($V:$V,$A:$A,$A139,$B:$B,"GWE"),IF($AG139="Water",SUMIFS($Y:$Y,$A:$A,$A139,$B:$B,"GWE")-SUMIFS($X:$X,$A:$A,$A139,$B:$B,"GWE"),""))),"")</f>
        <v/>
      </c>
      <c r="AL139" s="10">
        <f>IF(AND(AJ139&lt;&gt;"",AK139&lt;&gt;""),AJ139*AK139,"")</f>
        <v/>
      </c>
      <c r="AM139" s="11" t="n"/>
      <c r="AN139" s="10">
        <f>IF(AND(AL139&lt;&gt;"",AM139&lt;&gt;""),AL139*AM139,"")</f>
        <v/>
      </c>
      <c r="AO139" s="10">
        <f>IF(AND(AL139&lt;&gt;"",AN139&lt;&gt;""),AL139+AN139,"")</f>
        <v/>
      </c>
    </row>
    <row r="140">
      <c r="D140" s="8">
        <f>IF(A140="","",VLOOKUP(A140,Lists!$A:$B,2,FALSE))</f>
        <v/>
      </c>
      <c r="E140" s="8">
        <f>IF(C140="","",VLOOKUP(C140,Lists!$C:$D,2,FALSE))</f>
        <v/>
      </c>
      <c r="F140" s="8" t="n"/>
      <c r="G140" s="8" t="n"/>
      <c r="J140" s="9">
        <f>IF(A140="","",IFERROR(VLOOKUP(A140,Lists!$A:$H,8,FALSE),0))</f>
        <v/>
      </c>
      <c r="L140" s="9">
        <f>IF(A140="","",IFERROR(VLOOKUP(A140,Lists!$A:$H,7,FALSE),0))</f>
        <v/>
      </c>
      <c r="M140" s="10">
        <f>IF(K140="Eigen Beheer",0,IF(AND(ISNUMBER(L140),I140&lt;&gt;"",H140&lt;&gt;""),(L140*12/365)*(I140-H140),0))</f>
        <v/>
      </c>
      <c r="P140" s="8">
        <f>IF(O140="","",VLOOKUP(O140,Lists!$E:$F,2,FALSE))</f>
        <v/>
      </c>
      <c r="AC140" s="10">
        <f>IF(AND(AA140&lt;&gt;"",AB140&lt;&gt;""),AA140*AB140,"")</f>
        <v/>
      </c>
      <c r="AD140" s="11" t="n"/>
      <c r="AE140" s="10">
        <f>IF(AND(AC140&lt;&gt;"",AD140&lt;&gt;""),AC140*AD140,"")</f>
        <v/>
      </c>
      <c r="AF140" s="10">
        <f>IF(AND(AC140&lt;&gt;"",AE140&lt;&gt;""),AC140+AE140,"")</f>
        <v/>
      </c>
      <c r="AJ140">
        <f>IF($B140="GWE_Item",IF($AG140="Elektra",SUMIFS($U:$U,$A:$A,$A140,$B:$B,"GWE")-SUMIFS($T:$T,$A:$A,$A140,$B:$B,"GWE"),IF($AG140="Gas",SUMIFS($W:$W,$A:$A,$A140,$B:$B,"GWE")-SUMIFS($V:$V,$A:$A,$A140,$B:$B,"GWE"),IF($AG140="Water",SUMIFS($Y:$Y,$A:$A,$A140,$B:$B,"GWE")-SUMIFS($X:$X,$A:$A,$A140,$B:$B,"GWE"),""))),"")</f>
        <v/>
      </c>
      <c r="AL140" s="10">
        <f>IF(AND(AJ140&lt;&gt;"",AK140&lt;&gt;""),AJ140*AK140,"")</f>
        <v/>
      </c>
      <c r="AM140" s="11" t="n"/>
      <c r="AN140" s="10">
        <f>IF(AND(AL140&lt;&gt;"",AM140&lt;&gt;""),AL140*AM140,"")</f>
        <v/>
      </c>
      <c r="AO140" s="10">
        <f>IF(AND(AL140&lt;&gt;"",AN140&lt;&gt;""),AL140+AN140,"")</f>
        <v/>
      </c>
    </row>
    <row r="141">
      <c r="D141" s="8">
        <f>IF(A141="","",VLOOKUP(A141,Lists!$A:$B,2,FALSE))</f>
        <v/>
      </c>
      <c r="E141" s="8">
        <f>IF(C141="","",VLOOKUP(C141,Lists!$C:$D,2,FALSE))</f>
        <v/>
      </c>
      <c r="F141" s="8" t="n"/>
      <c r="G141" s="8" t="n"/>
      <c r="J141" s="9">
        <f>IF(A141="","",IFERROR(VLOOKUP(A141,Lists!$A:$H,8,FALSE),0))</f>
        <v/>
      </c>
      <c r="L141" s="9">
        <f>IF(A141="","",IFERROR(VLOOKUP(A141,Lists!$A:$H,7,FALSE),0))</f>
        <v/>
      </c>
      <c r="M141" s="10">
        <f>IF(K141="Eigen Beheer",0,IF(AND(ISNUMBER(L141),I141&lt;&gt;"",H141&lt;&gt;""),(L141*12/365)*(I141-H141),0))</f>
        <v/>
      </c>
      <c r="P141" s="8">
        <f>IF(O141="","",VLOOKUP(O141,Lists!$E:$F,2,FALSE))</f>
        <v/>
      </c>
      <c r="AC141" s="10">
        <f>IF(AND(AA141&lt;&gt;"",AB141&lt;&gt;""),AA141*AB141,"")</f>
        <v/>
      </c>
      <c r="AD141" s="11" t="n"/>
      <c r="AE141" s="10">
        <f>IF(AND(AC141&lt;&gt;"",AD141&lt;&gt;""),AC141*AD141,"")</f>
        <v/>
      </c>
      <c r="AF141" s="10">
        <f>IF(AND(AC141&lt;&gt;"",AE141&lt;&gt;""),AC141+AE141,"")</f>
        <v/>
      </c>
      <c r="AJ141">
        <f>IF($B141="GWE_Item",IF($AG141="Elektra",SUMIFS($U:$U,$A:$A,$A141,$B:$B,"GWE")-SUMIFS($T:$T,$A:$A,$A141,$B:$B,"GWE"),IF($AG141="Gas",SUMIFS($W:$W,$A:$A,$A141,$B:$B,"GWE")-SUMIFS($V:$V,$A:$A,$A141,$B:$B,"GWE"),IF($AG141="Water",SUMIFS($Y:$Y,$A:$A,$A141,$B:$B,"GWE")-SUMIFS($X:$X,$A:$A,$A141,$B:$B,"GWE"),""))),"")</f>
        <v/>
      </c>
      <c r="AL141" s="10">
        <f>IF(AND(AJ141&lt;&gt;"",AK141&lt;&gt;""),AJ141*AK141,"")</f>
        <v/>
      </c>
      <c r="AM141" s="11" t="n"/>
      <c r="AN141" s="10">
        <f>IF(AND(AL141&lt;&gt;"",AM141&lt;&gt;""),AL141*AM141,"")</f>
        <v/>
      </c>
      <c r="AO141" s="10">
        <f>IF(AND(AL141&lt;&gt;"",AN141&lt;&gt;""),AL141+AN141,"")</f>
        <v/>
      </c>
    </row>
    <row r="142">
      <c r="D142" s="8">
        <f>IF(A142="","",VLOOKUP(A142,Lists!$A:$B,2,FALSE))</f>
        <v/>
      </c>
      <c r="E142" s="8">
        <f>IF(C142="","",VLOOKUP(C142,Lists!$C:$D,2,FALSE))</f>
        <v/>
      </c>
      <c r="F142" s="8" t="n"/>
      <c r="G142" s="8" t="n"/>
      <c r="J142" s="9">
        <f>IF(A142="","",IFERROR(VLOOKUP(A142,Lists!$A:$H,8,FALSE),0))</f>
        <v/>
      </c>
      <c r="L142" s="9">
        <f>IF(A142="","",IFERROR(VLOOKUP(A142,Lists!$A:$H,7,FALSE),0))</f>
        <v/>
      </c>
      <c r="M142" s="10">
        <f>IF(K142="Eigen Beheer",0,IF(AND(ISNUMBER(L142),I142&lt;&gt;"",H142&lt;&gt;""),(L142*12/365)*(I142-H142),0))</f>
        <v/>
      </c>
      <c r="P142" s="8">
        <f>IF(O142="","",VLOOKUP(O142,Lists!$E:$F,2,FALSE))</f>
        <v/>
      </c>
      <c r="AC142" s="10">
        <f>IF(AND(AA142&lt;&gt;"",AB142&lt;&gt;""),AA142*AB142,"")</f>
        <v/>
      </c>
      <c r="AD142" s="11" t="n"/>
      <c r="AE142" s="10">
        <f>IF(AND(AC142&lt;&gt;"",AD142&lt;&gt;""),AC142*AD142,"")</f>
        <v/>
      </c>
      <c r="AF142" s="10">
        <f>IF(AND(AC142&lt;&gt;"",AE142&lt;&gt;""),AC142+AE142,"")</f>
        <v/>
      </c>
      <c r="AJ142">
        <f>IF($B142="GWE_Item",IF($AG142="Elektra",SUMIFS($U:$U,$A:$A,$A142,$B:$B,"GWE")-SUMIFS($T:$T,$A:$A,$A142,$B:$B,"GWE"),IF($AG142="Gas",SUMIFS($W:$W,$A:$A,$A142,$B:$B,"GWE")-SUMIFS($V:$V,$A:$A,$A142,$B:$B,"GWE"),IF($AG142="Water",SUMIFS($Y:$Y,$A:$A,$A142,$B:$B,"GWE")-SUMIFS($X:$X,$A:$A,$A142,$B:$B,"GWE"),""))),"")</f>
        <v/>
      </c>
      <c r="AL142" s="10">
        <f>IF(AND(AJ142&lt;&gt;"",AK142&lt;&gt;""),AJ142*AK142,"")</f>
        <v/>
      </c>
      <c r="AM142" s="11" t="n"/>
      <c r="AN142" s="10">
        <f>IF(AND(AL142&lt;&gt;"",AM142&lt;&gt;""),AL142*AM142,"")</f>
        <v/>
      </c>
      <c r="AO142" s="10">
        <f>IF(AND(AL142&lt;&gt;"",AN142&lt;&gt;""),AL142+AN142,"")</f>
        <v/>
      </c>
    </row>
    <row r="143">
      <c r="D143" s="8">
        <f>IF(A143="","",VLOOKUP(A143,Lists!$A:$B,2,FALSE))</f>
        <v/>
      </c>
      <c r="E143" s="8">
        <f>IF(C143="","",VLOOKUP(C143,Lists!$C:$D,2,FALSE))</f>
        <v/>
      </c>
      <c r="F143" s="8" t="n"/>
      <c r="G143" s="8" t="n"/>
      <c r="J143" s="9">
        <f>IF(A143="","",IFERROR(VLOOKUP(A143,Lists!$A:$H,8,FALSE),0))</f>
        <v/>
      </c>
      <c r="L143" s="9">
        <f>IF(A143="","",IFERROR(VLOOKUP(A143,Lists!$A:$H,7,FALSE),0))</f>
        <v/>
      </c>
      <c r="M143" s="10">
        <f>IF(K143="Eigen Beheer",0,IF(AND(ISNUMBER(L143),I143&lt;&gt;"",H143&lt;&gt;""),(L143*12/365)*(I143-H143),0))</f>
        <v/>
      </c>
      <c r="P143" s="8">
        <f>IF(O143="","",VLOOKUP(O143,Lists!$E:$F,2,FALSE))</f>
        <v/>
      </c>
      <c r="AC143" s="10">
        <f>IF(AND(AA143&lt;&gt;"",AB143&lt;&gt;""),AA143*AB143,"")</f>
        <v/>
      </c>
      <c r="AD143" s="11" t="n"/>
      <c r="AE143" s="10">
        <f>IF(AND(AC143&lt;&gt;"",AD143&lt;&gt;""),AC143*AD143,"")</f>
        <v/>
      </c>
      <c r="AF143" s="10">
        <f>IF(AND(AC143&lt;&gt;"",AE143&lt;&gt;""),AC143+AE143,"")</f>
        <v/>
      </c>
      <c r="AJ143">
        <f>IF($B143="GWE_Item",IF($AG143="Elektra",SUMIFS($U:$U,$A:$A,$A143,$B:$B,"GWE")-SUMIFS($T:$T,$A:$A,$A143,$B:$B,"GWE"),IF($AG143="Gas",SUMIFS($W:$W,$A:$A,$A143,$B:$B,"GWE")-SUMIFS($V:$V,$A:$A,$A143,$B:$B,"GWE"),IF($AG143="Water",SUMIFS($Y:$Y,$A:$A,$A143,$B:$B,"GWE")-SUMIFS($X:$X,$A:$A,$A143,$B:$B,"GWE"),""))),"")</f>
        <v/>
      </c>
      <c r="AL143" s="10">
        <f>IF(AND(AJ143&lt;&gt;"",AK143&lt;&gt;""),AJ143*AK143,"")</f>
        <v/>
      </c>
      <c r="AM143" s="11" t="n"/>
      <c r="AN143" s="10">
        <f>IF(AND(AL143&lt;&gt;"",AM143&lt;&gt;""),AL143*AM143,"")</f>
        <v/>
      </c>
      <c r="AO143" s="10">
        <f>IF(AND(AL143&lt;&gt;"",AN143&lt;&gt;""),AL143+AN143,"")</f>
        <v/>
      </c>
    </row>
    <row r="144">
      <c r="D144" s="8">
        <f>IF(A144="","",VLOOKUP(A144,Lists!$A:$B,2,FALSE))</f>
        <v/>
      </c>
      <c r="E144" s="8">
        <f>IF(C144="","",VLOOKUP(C144,Lists!$C:$D,2,FALSE))</f>
        <v/>
      </c>
      <c r="F144" s="8" t="n"/>
      <c r="G144" s="8" t="n"/>
      <c r="J144" s="9">
        <f>IF(A144="","",IFERROR(VLOOKUP(A144,Lists!$A:$H,8,FALSE),0))</f>
        <v/>
      </c>
      <c r="L144" s="9">
        <f>IF(A144="","",IFERROR(VLOOKUP(A144,Lists!$A:$H,7,FALSE),0))</f>
        <v/>
      </c>
      <c r="M144" s="10">
        <f>IF(K144="Eigen Beheer",0,IF(AND(ISNUMBER(L144),I144&lt;&gt;"",H144&lt;&gt;""),(L144*12/365)*(I144-H144),0))</f>
        <v/>
      </c>
      <c r="P144" s="8">
        <f>IF(O144="","",VLOOKUP(O144,Lists!$E:$F,2,FALSE))</f>
        <v/>
      </c>
      <c r="AC144" s="10">
        <f>IF(AND(AA144&lt;&gt;"",AB144&lt;&gt;""),AA144*AB144,"")</f>
        <v/>
      </c>
      <c r="AD144" s="11" t="n"/>
      <c r="AE144" s="10">
        <f>IF(AND(AC144&lt;&gt;"",AD144&lt;&gt;""),AC144*AD144,"")</f>
        <v/>
      </c>
      <c r="AF144" s="10">
        <f>IF(AND(AC144&lt;&gt;"",AE144&lt;&gt;""),AC144+AE144,"")</f>
        <v/>
      </c>
      <c r="AJ144">
        <f>IF($B144="GWE_Item",IF($AG144="Elektra",SUMIFS($U:$U,$A:$A,$A144,$B:$B,"GWE")-SUMIFS($T:$T,$A:$A,$A144,$B:$B,"GWE"),IF($AG144="Gas",SUMIFS($W:$W,$A:$A,$A144,$B:$B,"GWE")-SUMIFS($V:$V,$A:$A,$A144,$B:$B,"GWE"),IF($AG144="Water",SUMIFS($Y:$Y,$A:$A,$A144,$B:$B,"GWE")-SUMIFS($X:$X,$A:$A,$A144,$B:$B,"GWE"),""))),"")</f>
        <v/>
      </c>
      <c r="AL144" s="10">
        <f>IF(AND(AJ144&lt;&gt;"",AK144&lt;&gt;""),AJ144*AK144,"")</f>
        <v/>
      </c>
      <c r="AM144" s="11" t="n"/>
      <c r="AN144" s="10">
        <f>IF(AND(AL144&lt;&gt;"",AM144&lt;&gt;""),AL144*AM144,"")</f>
        <v/>
      </c>
      <c r="AO144" s="10">
        <f>IF(AND(AL144&lt;&gt;"",AN144&lt;&gt;""),AL144+AN144,"")</f>
        <v/>
      </c>
    </row>
    <row r="145">
      <c r="D145" s="8">
        <f>IF(A145="","",VLOOKUP(A145,Lists!$A:$B,2,FALSE))</f>
        <v/>
      </c>
      <c r="E145" s="8">
        <f>IF(C145="","",VLOOKUP(C145,Lists!$C:$D,2,FALSE))</f>
        <v/>
      </c>
      <c r="F145" s="8" t="n"/>
      <c r="G145" s="8" t="n"/>
      <c r="J145" s="9">
        <f>IF(A145="","",IFERROR(VLOOKUP(A145,Lists!$A:$H,8,FALSE),0))</f>
        <v/>
      </c>
      <c r="L145" s="9">
        <f>IF(A145="","",IFERROR(VLOOKUP(A145,Lists!$A:$H,7,FALSE),0))</f>
        <v/>
      </c>
      <c r="M145" s="10">
        <f>IF(K145="Eigen Beheer",0,IF(AND(ISNUMBER(L145),I145&lt;&gt;"",H145&lt;&gt;""),(L145*12/365)*(I145-H145),0))</f>
        <v/>
      </c>
      <c r="P145" s="8">
        <f>IF(O145="","",VLOOKUP(O145,Lists!$E:$F,2,FALSE))</f>
        <v/>
      </c>
      <c r="AC145" s="10">
        <f>IF(AND(AA145&lt;&gt;"",AB145&lt;&gt;""),AA145*AB145,"")</f>
        <v/>
      </c>
      <c r="AD145" s="11" t="n"/>
      <c r="AE145" s="10">
        <f>IF(AND(AC145&lt;&gt;"",AD145&lt;&gt;""),AC145*AD145,"")</f>
        <v/>
      </c>
      <c r="AF145" s="10">
        <f>IF(AND(AC145&lt;&gt;"",AE145&lt;&gt;""),AC145+AE145,"")</f>
        <v/>
      </c>
      <c r="AJ145">
        <f>IF($B145="GWE_Item",IF($AG145="Elektra",SUMIFS($U:$U,$A:$A,$A145,$B:$B,"GWE")-SUMIFS($T:$T,$A:$A,$A145,$B:$B,"GWE"),IF($AG145="Gas",SUMIFS($W:$W,$A:$A,$A145,$B:$B,"GWE")-SUMIFS($V:$V,$A:$A,$A145,$B:$B,"GWE"),IF($AG145="Water",SUMIFS($Y:$Y,$A:$A,$A145,$B:$B,"GWE")-SUMIFS($X:$X,$A:$A,$A145,$B:$B,"GWE"),""))),"")</f>
        <v/>
      </c>
      <c r="AL145" s="10">
        <f>IF(AND(AJ145&lt;&gt;"",AK145&lt;&gt;""),AJ145*AK145,"")</f>
        <v/>
      </c>
      <c r="AM145" s="11" t="n"/>
      <c r="AN145" s="10">
        <f>IF(AND(AL145&lt;&gt;"",AM145&lt;&gt;""),AL145*AM145,"")</f>
        <v/>
      </c>
      <c r="AO145" s="10">
        <f>IF(AND(AL145&lt;&gt;"",AN145&lt;&gt;""),AL145+AN145,"")</f>
        <v/>
      </c>
    </row>
    <row r="146">
      <c r="D146" s="8">
        <f>IF(A146="","",VLOOKUP(A146,Lists!$A:$B,2,FALSE))</f>
        <v/>
      </c>
      <c r="E146" s="8">
        <f>IF(C146="","",VLOOKUP(C146,Lists!$C:$D,2,FALSE))</f>
        <v/>
      </c>
      <c r="F146" s="8" t="n"/>
      <c r="G146" s="8" t="n"/>
      <c r="J146" s="9">
        <f>IF(A146="","",IFERROR(VLOOKUP(A146,Lists!$A:$H,8,FALSE),0))</f>
        <v/>
      </c>
      <c r="L146" s="9">
        <f>IF(A146="","",IFERROR(VLOOKUP(A146,Lists!$A:$H,7,FALSE),0))</f>
        <v/>
      </c>
      <c r="M146" s="10">
        <f>IF(K146="Eigen Beheer",0,IF(AND(ISNUMBER(L146),I146&lt;&gt;"",H146&lt;&gt;""),(L146*12/365)*(I146-H146),0))</f>
        <v/>
      </c>
      <c r="P146" s="8">
        <f>IF(O146="","",VLOOKUP(O146,Lists!$E:$F,2,FALSE))</f>
        <v/>
      </c>
      <c r="AC146" s="10">
        <f>IF(AND(AA146&lt;&gt;"",AB146&lt;&gt;""),AA146*AB146,"")</f>
        <v/>
      </c>
      <c r="AD146" s="11" t="n"/>
      <c r="AE146" s="10">
        <f>IF(AND(AC146&lt;&gt;"",AD146&lt;&gt;""),AC146*AD146,"")</f>
        <v/>
      </c>
      <c r="AF146" s="10">
        <f>IF(AND(AC146&lt;&gt;"",AE146&lt;&gt;""),AC146+AE146,"")</f>
        <v/>
      </c>
      <c r="AJ146">
        <f>IF($B146="GWE_Item",IF($AG146="Elektra",SUMIFS($U:$U,$A:$A,$A146,$B:$B,"GWE")-SUMIFS($T:$T,$A:$A,$A146,$B:$B,"GWE"),IF($AG146="Gas",SUMIFS($W:$W,$A:$A,$A146,$B:$B,"GWE")-SUMIFS($V:$V,$A:$A,$A146,$B:$B,"GWE"),IF($AG146="Water",SUMIFS($Y:$Y,$A:$A,$A146,$B:$B,"GWE")-SUMIFS($X:$X,$A:$A,$A146,$B:$B,"GWE"),""))),"")</f>
        <v/>
      </c>
      <c r="AL146" s="10">
        <f>IF(AND(AJ146&lt;&gt;"",AK146&lt;&gt;""),AJ146*AK146,"")</f>
        <v/>
      </c>
      <c r="AM146" s="11" t="n"/>
      <c r="AN146" s="10">
        <f>IF(AND(AL146&lt;&gt;"",AM146&lt;&gt;""),AL146*AM146,"")</f>
        <v/>
      </c>
      <c r="AO146" s="10">
        <f>IF(AND(AL146&lt;&gt;"",AN146&lt;&gt;""),AL146+AN146,"")</f>
        <v/>
      </c>
    </row>
    <row r="147">
      <c r="D147" s="8">
        <f>IF(A147="","",VLOOKUP(A147,Lists!$A:$B,2,FALSE))</f>
        <v/>
      </c>
      <c r="E147" s="8">
        <f>IF(C147="","",VLOOKUP(C147,Lists!$C:$D,2,FALSE))</f>
        <v/>
      </c>
      <c r="F147" s="8" t="n"/>
      <c r="G147" s="8" t="n"/>
      <c r="J147" s="9">
        <f>IF(A147="","",IFERROR(VLOOKUP(A147,Lists!$A:$H,8,FALSE),0))</f>
        <v/>
      </c>
      <c r="L147" s="9">
        <f>IF(A147="","",IFERROR(VLOOKUP(A147,Lists!$A:$H,7,FALSE),0))</f>
        <v/>
      </c>
      <c r="M147" s="10">
        <f>IF(K147="Eigen Beheer",0,IF(AND(ISNUMBER(L147),I147&lt;&gt;"",H147&lt;&gt;""),(L147*12/365)*(I147-H147),0))</f>
        <v/>
      </c>
      <c r="P147" s="8">
        <f>IF(O147="","",VLOOKUP(O147,Lists!$E:$F,2,FALSE))</f>
        <v/>
      </c>
      <c r="AC147" s="10">
        <f>IF(AND(AA147&lt;&gt;"",AB147&lt;&gt;""),AA147*AB147,"")</f>
        <v/>
      </c>
      <c r="AD147" s="11" t="n"/>
      <c r="AE147" s="10">
        <f>IF(AND(AC147&lt;&gt;"",AD147&lt;&gt;""),AC147*AD147,"")</f>
        <v/>
      </c>
      <c r="AF147" s="10">
        <f>IF(AND(AC147&lt;&gt;"",AE147&lt;&gt;""),AC147+AE147,"")</f>
        <v/>
      </c>
      <c r="AJ147">
        <f>IF($B147="GWE_Item",IF($AG147="Elektra",SUMIFS($U:$U,$A:$A,$A147,$B:$B,"GWE")-SUMIFS($T:$T,$A:$A,$A147,$B:$B,"GWE"),IF($AG147="Gas",SUMIFS($W:$W,$A:$A,$A147,$B:$B,"GWE")-SUMIFS($V:$V,$A:$A,$A147,$B:$B,"GWE"),IF($AG147="Water",SUMIFS($Y:$Y,$A:$A,$A147,$B:$B,"GWE")-SUMIFS($X:$X,$A:$A,$A147,$B:$B,"GWE"),""))),"")</f>
        <v/>
      </c>
      <c r="AL147" s="10">
        <f>IF(AND(AJ147&lt;&gt;"",AK147&lt;&gt;""),AJ147*AK147,"")</f>
        <v/>
      </c>
      <c r="AM147" s="11" t="n"/>
      <c r="AN147" s="10">
        <f>IF(AND(AL147&lt;&gt;"",AM147&lt;&gt;""),AL147*AM147,"")</f>
        <v/>
      </c>
      <c r="AO147" s="10">
        <f>IF(AND(AL147&lt;&gt;"",AN147&lt;&gt;""),AL147+AN147,"")</f>
        <v/>
      </c>
    </row>
    <row r="148">
      <c r="D148" s="8">
        <f>IF(A148="","",VLOOKUP(A148,Lists!$A:$B,2,FALSE))</f>
        <v/>
      </c>
      <c r="E148" s="8">
        <f>IF(C148="","",VLOOKUP(C148,Lists!$C:$D,2,FALSE))</f>
        <v/>
      </c>
      <c r="F148" s="8" t="n"/>
      <c r="G148" s="8" t="n"/>
      <c r="J148" s="9">
        <f>IF(A148="","",IFERROR(VLOOKUP(A148,Lists!$A:$H,8,FALSE),0))</f>
        <v/>
      </c>
      <c r="L148" s="9">
        <f>IF(A148="","",IFERROR(VLOOKUP(A148,Lists!$A:$H,7,FALSE),0))</f>
        <v/>
      </c>
      <c r="M148" s="10">
        <f>IF(K148="Eigen Beheer",0,IF(AND(ISNUMBER(L148),I148&lt;&gt;"",H148&lt;&gt;""),(L148*12/365)*(I148-H148),0))</f>
        <v/>
      </c>
      <c r="P148" s="8">
        <f>IF(O148="","",VLOOKUP(O148,Lists!$E:$F,2,FALSE))</f>
        <v/>
      </c>
      <c r="AC148" s="10">
        <f>IF(AND(AA148&lt;&gt;"",AB148&lt;&gt;""),AA148*AB148,"")</f>
        <v/>
      </c>
      <c r="AD148" s="11" t="n"/>
      <c r="AE148" s="10">
        <f>IF(AND(AC148&lt;&gt;"",AD148&lt;&gt;""),AC148*AD148,"")</f>
        <v/>
      </c>
      <c r="AF148" s="10">
        <f>IF(AND(AC148&lt;&gt;"",AE148&lt;&gt;""),AC148+AE148,"")</f>
        <v/>
      </c>
      <c r="AJ148">
        <f>IF($B148="GWE_Item",IF($AG148="Elektra",SUMIFS($U:$U,$A:$A,$A148,$B:$B,"GWE")-SUMIFS($T:$T,$A:$A,$A148,$B:$B,"GWE"),IF($AG148="Gas",SUMIFS($W:$W,$A:$A,$A148,$B:$B,"GWE")-SUMIFS($V:$V,$A:$A,$A148,$B:$B,"GWE"),IF($AG148="Water",SUMIFS($Y:$Y,$A:$A,$A148,$B:$B,"GWE")-SUMIFS($X:$X,$A:$A,$A148,$B:$B,"GWE"),""))),"")</f>
        <v/>
      </c>
      <c r="AL148" s="10">
        <f>IF(AND(AJ148&lt;&gt;"",AK148&lt;&gt;""),AJ148*AK148,"")</f>
        <v/>
      </c>
      <c r="AM148" s="11" t="n"/>
      <c r="AN148" s="10">
        <f>IF(AND(AL148&lt;&gt;"",AM148&lt;&gt;""),AL148*AM148,"")</f>
        <v/>
      </c>
      <c r="AO148" s="10">
        <f>IF(AND(AL148&lt;&gt;"",AN148&lt;&gt;""),AL148+AN148,"")</f>
        <v/>
      </c>
    </row>
    <row r="149">
      <c r="D149" s="8">
        <f>IF(A149="","",VLOOKUP(A149,Lists!$A:$B,2,FALSE))</f>
        <v/>
      </c>
      <c r="E149" s="8">
        <f>IF(C149="","",VLOOKUP(C149,Lists!$C:$D,2,FALSE))</f>
        <v/>
      </c>
      <c r="F149" s="8" t="n"/>
      <c r="G149" s="8" t="n"/>
      <c r="J149" s="9">
        <f>IF(A149="","",IFERROR(VLOOKUP(A149,Lists!$A:$H,8,FALSE),0))</f>
        <v/>
      </c>
      <c r="L149" s="9">
        <f>IF(A149="","",IFERROR(VLOOKUP(A149,Lists!$A:$H,7,FALSE),0))</f>
        <v/>
      </c>
      <c r="M149" s="10">
        <f>IF(K149="Eigen Beheer",0,IF(AND(ISNUMBER(L149),I149&lt;&gt;"",H149&lt;&gt;""),(L149*12/365)*(I149-H149),0))</f>
        <v/>
      </c>
      <c r="P149" s="8">
        <f>IF(O149="","",VLOOKUP(O149,Lists!$E:$F,2,FALSE))</f>
        <v/>
      </c>
      <c r="AC149" s="10">
        <f>IF(AND(AA149&lt;&gt;"",AB149&lt;&gt;""),AA149*AB149,"")</f>
        <v/>
      </c>
      <c r="AD149" s="11" t="n"/>
      <c r="AE149" s="10">
        <f>IF(AND(AC149&lt;&gt;"",AD149&lt;&gt;""),AC149*AD149,"")</f>
        <v/>
      </c>
      <c r="AF149" s="10">
        <f>IF(AND(AC149&lt;&gt;"",AE149&lt;&gt;""),AC149+AE149,"")</f>
        <v/>
      </c>
      <c r="AJ149">
        <f>IF($B149="GWE_Item",IF($AG149="Elektra",SUMIFS($U:$U,$A:$A,$A149,$B:$B,"GWE")-SUMIFS($T:$T,$A:$A,$A149,$B:$B,"GWE"),IF($AG149="Gas",SUMIFS($W:$W,$A:$A,$A149,$B:$B,"GWE")-SUMIFS($V:$V,$A:$A,$A149,$B:$B,"GWE"),IF($AG149="Water",SUMIFS($Y:$Y,$A:$A,$A149,$B:$B,"GWE")-SUMIFS($X:$X,$A:$A,$A149,$B:$B,"GWE"),""))),"")</f>
        <v/>
      </c>
      <c r="AL149" s="10">
        <f>IF(AND(AJ149&lt;&gt;"",AK149&lt;&gt;""),AJ149*AK149,"")</f>
        <v/>
      </c>
      <c r="AM149" s="11" t="n"/>
      <c r="AN149" s="10">
        <f>IF(AND(AL149&lt;&gt;"",AM149&lt;&gt;""),AL149*AM149,"")</f>
        <v/>
      </c>
      <c r="AO149" s="10">
        <f>IF(AND(AL149&lt;&gt;"",AN149&lt;&gt;""),AL149+AN149,"")</f>
        <v/>
      </c>
    </row>
    <row r="150">
      <c r="D150" s="8">
        <f>IF(A150="","",VLOOKUP(A150,Lists!$A:$B,2,FALSE))</f>
        <v/>
      </c>
      <c r="E150" s="8">
        <f>IF(C150="","",VLOOKUP(C150,Lists!$C:$D,2,FALSE))</f>
        <v/>
      </c>
      <c r="F150" s="8" t="n"/>
      <c r="G150" s="8" t="n"/>
      <c r="J150" s="9">
        <f>IF(A150="","",IFERROR(VLOOKUP(A150,Lists!$A:$H,8,FALSE),0))</f>
        <v/>
      </c>
      <c r="L150" s="9">
        <f>IF(A150="","",IFERROR(VLOOKUP(A150,Lists!$A:$H,7,FALSE),0))</f>
        <v/>
      </c>
      <c r="M150" s="10">
        <f>IF(K150="Eigen Beheer",0,IF(AND(ISNUMBER(L150),I150&lt;&gt;"",H150&lt;&gt;""),(L150*12/365)*(I150-H150),0))</f>
        <v/>
      </c>
      <c r="P150" s="8">
        <f>IF(O150="","",VLOOKUP(O150,Lists!$E:$F,2,FALSE))</f>
        <v/>
      </c>
      <c r="AC150" s="10">
        <f>IF(AND(AA150&lt;&gt;"",AB150&lt;&gt;""),AA150*AB150,"")</f>
        <v/>
      </c>
      <c r="AD150" s="11" t="n"/>
      <c r="AE150" s="10">
        <f>IF(AND(AC150&lt;&gt;"",AD150&lt;&gt;""),AC150*AD150,"")</f>
        <v/>
      </c>
      <c r="AF150" s="10">
        <f>IF(AND(AC150&lt;&gt;"",AE150&lt;&gt;""),AC150+AE150,"")</f>
        <v/>
      </c>
      <c r="AJ150">
        <f>IF($B150="GWE_Item",IF($AG150="Elektra",SUMIFS($U:$U,$A:$A,$A150,$B:$B,"GWE")-SUMIFS($T:$T,$A:$A,$A150,$B:$B,"GWE"),IF($AG150="Gas",SUMIFS($W:$W,$A:$A,$A150,$B:$B,"GWE")-SUMIFS($V:$V,$A:$A,$A150,$B:$B,"GWE"),IF($AG150="Water",SUMIFS($Y:$Y,$A:$A,$A150,$B:$B,"GWE")-SUMIFS($X:$X,$A:$A,$A150,$B:$B,"GWE"),""))),"")</f>
        <v/>
      </c>
      <c r="AL150" s="10">
        <f>IF(AND(AJ150&lt;&gt;"",AK150&lt;&gt;""),AJ150*AK150,"")</f>
        <v/>
      </c>
      <c r="AM150" s="11" t="n"/>
      <c r="AN150" s="10">
        <f>IF(AND(AL150&lt;&gt;"",AM150&lt;&gt;""),AL150*AM150,"")</f>
        <v/>
      </c>
      <c r="AO150" s="10">
        <f>IF(AND(AL150&lt;&gt;"",AN150&lt;&gt;""),AL150+AN150,"")</f>
        <v/>
      </c>
    </row>
    <row r="151">
      <c r="D151" s="8">
        <f>IF(A151="","",VLOOKUP(A151,Lists!$A:$B,2,FALSE))</f>
        <v/>
      </c>
      <c r="E151" s="8">
        <f>IF(C151="","",VLOOKUP(C151,Lists!$C:$D,2,FALSE))</f>
        <v/>
      </c>
      <c r="F151" s="8" t="n"/>
      <c r="G151" s="8" t="n"/>
      <c r="J151" s="9">
        <f>IF(A151="","",IFERROR(VLOOKUP(A151,Lists!$A:$H,8,FALSE),0))</f>
        <v/>
      </c>
      <c r="L151" s="9">
        <f>IF(A151="","",IFERROR(VLOOKUP(A151,Lists!$A:$H,7,FALSE),0))</f>
        <v/>
      </c>
      <c r="M151" s="10">
        <f>IF(K151="Eigen Beheer",0,IF(AND(ISNUMBER(L151),I151&lt;&gt;"",H151&lt;&gt;""),(L151*12/365)*(I151-H151),0))</f>
        <v/>
      </c>
      <c r="P151" s="8">
        <f>IF(O151="","",VLOOKUP(O151,Lists!$E:$F,2,FALSE))</f>
        <v/>
      </c>
      <c r="AC151" s="10">
        <f>IF(AND(AA151&lt;&gt;"",AB151&lt;&gt;""),AA151*AB151,"")</f>
        <v/>
      </c>
      <c r="AD151" s="11" t="n"/>
      <c r="AE151" s="10">
        <f>IF(AND(AC151&lt;&gt;"",AD151&lt;&gt;""),AC151*AD151,"")</f>
        <v/>
      </c>
      <c r="AF151" s="10">
        <f>IF(AND(AC151&lt;&gt;"",AE151&lt;&gt;""),AC151+AE151,"")</f>
        <v/>
      </c>
      <c r="AJ151">
        <f>IF($B151="GWE_Item",IF($AG151="Elektra",SUMIFS($U:$U,$A:$A,$A151,$B:$B,"GWE")-SUMIFS($T:$T,$A:$A,$A151,$B:$B,"GWE"),IF($AG151="Gas",SUMIFS($W:$W,$A:$A,$A151,$B:$B,"GWE")-SUMIFS($V:$V,$A:$A,$A151,$B:$B,"GWE"),IF($AG151="Water",SUMIFS($Y:$Y,$A:$A,$A151,$B:$B,"GWE")-SUMIFS($X:$X,$A:$A,$A151,$B:$B,"GWE"),""))),"")</f>
        <v/>
      </c>
      <c r="AL151" s="10">
        <f>IF(AND(AJ151&lt;&gt;"",AK151&lt;&gt;""),AJ151*AK151,"")</f>
        <v/>
      </c>
      <c r="AM151" s="11" t="n"/>
      <c r="AN151" s="10">
        <f>IF(AND(AL151&lt;&gt;"",AM151&lt;&gt;""),AL151*AM151,"")</f>
        <v/>
      </c>
      <c r="AO151" s="10">
        <f>IF(AND(AL151&lt;&gt;"",AN151&lt;&gt;""),AL151+AN151,"")</f>
        <v/>
      </c>
    </row>
    <row r="152">
      <c r="D152" s="8">
        <f>IF(A152="","",VLOOKUP(A152,Lists!$A:$B,2,FALSE))</f>
        <v/>
      </c>
      <c r="E152" s="8">
        <f>IF(C152="","",VLOOKUP(C152,Lists!$C:$D,2,FALSE))</f>
        <v/>
      </c>
      <c r="F152" s="8" t="n"/>
      <c r="G152" s="8" t="n"/>
      <c r="J152" s="9">
        <f>IF(A152="","",IFERROR(VLOOKUP(A152,Lists!$A:$H,8,FALSE),0))</f>
        <v/>
      </c>
      <c r="L152" s="9">
        <f>IF(A152="","",IFERROR(VLOOKUP(A152,Lists!$A:$H,7,FALSE),0))</f>
        <v/>
      </c>
      <c r="M152" s="10">
        <f>IF(K152="Eigen Beheer",0,IF(AND(ISNUMBER(L152),I152&lt;&gt;"",H152&lt;&gt;""),(L152*12/365)*(I152-H152),0))</f>
        <v/>
      </c>
      <c r="P152" s="8">
        <f>IF(O152="","",VLOOKUP(O152,Lists!$E:$F,2,FALSE))</f>
        <v/>
      </c>
      <c r="AC152" s="10">
        <f>IF(AND(AA152&lt;&gt;"",AB152&lt;&gt;""),AA152*AB152,"")</f>
        <v/>
      </c>
      <c r="AD152" s="11" t="n"/>
      <c r="AE152" s="10">
        <f>IF(AND(AC152&lt;&gt;"",AD152&lt;&gt;""),AC152*AD152,"")</f>
        <v/>
      </c>
      <c r="AF152" s="10">
        <f>IF(AND(AC152&lt;&gt;"",AE152&lt;&gt;""),AC152+AE152,"")</f>
        <v/>
      </c>
      <c r="AJ152">
        <f>IF($B152="GWE_Item",IF($AG152="Elektra",SUMIFS($U:$U,$A:$A,$A152,$B:$B,"GWE")-SUMIFS($T:$T,$A:$A,$A152,$B:$B,"GWE"),IF($AG152="Gas",SUMIFS($W:$W,$A:$A,$A152,$B:$B,"GWE")-SUMIFS($V:$V,$A:$A,$A152,$B:$B,"GWE"),IF($AG152="Water",SUMIFS($Y:$Y,$A:$A,$A152,$B:$B,"GWE")-SUMIFS($X:$X,$A:$A,$A152,$B:$B,"GWE"),""))),"")</f>
        <v/>
      </c>
      <c r="AL152" s="10">
        <f>IF(AND(AJ152&lt;&gt;"",AK152&lt;&gt;""),AJ152*AK152,"")</f>
        <v/>
      </c>
      <c r="AM152" s="11" t="n"/>
      <c r="AN152" s="10">
        <f>IF(AND(AL152&lt;&gt;"",AM152&lt;&gt;""),AL152*AM152,"")</f>
        <v/>
      </c>
      <c r="AO152" s="10">
        <f>IF(AND(AL152&lt;&gt;"",AN152&lt;&gt;""),AL152+AN152,"")</f>
        <v/>
      </c>
    </row>
    <row r="153">
      <c r="D153" s="8">
        <f>IF(A153="","",VLOOKUP(A153,Lists!$A:$B,2,FALSE))</f>
        <v/>
      </c>
      <c r="E153" s="8">
        <f>IF(C153="","",VLOOKUP(C153,Lists!$C:$D,2,FALSE))</f>
        <v/>
      </c>
      <c r="F153" s="8" t="n"/>
      <c r="G153" s="8" t="n"/>
      <c r="J153" s="9">
        <f>IF(A153="","",IFERROR(VLOOKUP(A153,Lists!$A:$H,8,FALSE),0))</f>
        <v/>
      </c>
      <c r="L153" s="9">
        <f>IF(A153="","",IFERROR(VLOOKUP(A153,Lists!$A:$H,7,FALSE),0))</f>
        <v/>
      </c>
      <c r="M153" s="10">
        <f>IF(K153="Eigen Beheer",0,IF(AND(ISNUMBER(L153),I153&lt;&gt;"",H153&lt;&gt;""),(L153*12/365)*(I153-H153),0))</f>
        <v/>
      </c>
      <c r="P153" s="8">
        <f>IF(O153="","",VLOOKUP(O153,Lists!$E:$F,2,FALSE))</f>
        <v/>
      </c>
      <c r="AC153" s="10">
        <f>IF(AND(AA153&lt;&gt;"",AB153&lt;&gt;""),AA153*AB153,"")</f>
        <v/>
      </c>
      <c r="AD153" s="11" t="n"/>
      <c r="AE153" s="10">
        <f>IF(AND(AC153&lt;&gt;"",AD153&lt;&gt;""),AC153*AD153,"")</f>
        <v/>
      </c>
      <c r="AF153" s="10">
        <f>IF(AND(AC153&lt;&gt;"",AE153&lt;&gt;""),AC153+AE153,"")</f>
        <v/>
      </c>
      <c r="AJ153">
        <f>IF($B153="GWE_Item",IF($AG153="Elektra",SUMIFS($U:$U,$A:$A,$A153,$B:$B,"GWE")-SUMIFS($T:$T,$A:$A,$A153,$B:$B,"GWE"),IF($AG153="Gas",SUMIFS($W:$W,$A:$A,$A153,$B:$B,"GWE")-SUMIFS($V:$V,$A:$A,$A153,$B:$B,"GWE"),IF($AG153="Water",SUMIFS($Y:$Y,$A:$A,$A153,$B:$B,"GWE")-SUMIFS($X:$X,$A:$A,$A153,$B:$B,"GWE"),""))),"")</f>
        <v/>
      </c>
      <c r="AL153" s="10">
        <f>IF(AND(AJ153&lt;&gt;"",AK153&lt;&gt;""),AJ153*AK153,"")</f>
        <v/>
      </c>
      <c r="AM153" s="11" t="n"/>
      <c r="AN153" s="10">
        <f>IF(AND(AL153&lt;&gt;"",AM153&lt;&gt;""),AL153*AM153,"")</f>
        <v/>
      </c>
      <c r="AO153" s="10">
        <f>IF(AND(AL153&lt;&gt;"",AN153&lt;&gt;""),AL153+AN153,"")</f>
        <v/>
      </c>
    </row>
    <row r="154">
      <c r="D154" s="8">
        <f>IF(A154="","",VLOOKUP(A154,Lists!$A:$B,2,FALSE))</f>
        <v/>
      </c>
      <c r="E154" s="8">
        <f>IF(C154="","",VLOOKUP(C154,Lists!$C:$D,2,FALSE))</f>
        <v/>
      </c>
      <c r="F154" s="8" t="n"/>
      <c r="G154" s="8" t="n"/>
      <c r="J154" s="9">
        <f>IF(A154="","",IFERROR(VLOOKUP(A154,Lists!$A:$H,8,FALSE),0))</f>
        <v/>
      </c>
      <c r="L154" s="9">
        <f>IF(A154="","",IFERROR(VLOOKUP(A154,Lists!$A:$H,7,FALSE),0))</f>
        <v/>
      </c>
      <c r="M154" s="10">
        <f>IF(K154="Eigen Beheer",0,IF(AND(ISNUMBER(L154),I154&lt;&gt;"",H154&lt;&gt;""),(L154*12/365)*(I154-H154),0))</f>
        <v/>
      </c>
      <c r="P154" s="8">
        <f>IF(O154="","",VLOOKUP(O154,Lists!$E:$F,2,FALSE))</f>
        <v/>
      </c>
      <c r="AC154" s="10">
        <f>IF(AND(AA154&lt;&gt;"",AB154&lt;&gt;""),AA154*AB154,"")</f>
        <v/>
      </c>
      <c r="AD154" s="11" t="n"/>
      <c r="AE154" s="10">
        <f>IF(AND(AC154&lt;&gt;"",AD154&lt;&gt;""),AC154*AD154,"")</f>
        <v/>
      </c>
      <c r="AF154" s="10">
        <f>IF(AND(AC154&lt;&gt;"",AE154&lt;&gt;""),AC154+AE154,"")</f>
        <v/>
      </c>
      <c r="AJ154">
        <f>IF($B154="GWE_Item",IF($AG154="Elektra",SUMIFS($U:$U,$A:$A,$A154,$B:$B,"GWE")-SUMIFS($T:$T,$A:$A,$A154,$B:$B,"GWE"),IF($AG154="Gas",SUMIFS($W:$W,$A:$A,$A154,$B:$B,"GWE")-SUMIFS($V:$V,$A:$A,$A154,$B:$B,"GWE"),IF($AG154="Water",SUMIFS($Y:$Y,$A:$A,$A154,$B:$B,"GWE")-SUMIFS($X:$X,$A:$A,$A154,$B:$B,"GWE"),""))),"")</f>
        <v/>
      </c>
      <c r="AL154" s="10">
        <f>IF(AND(AJ154&lt;&gt;"",AK154&lt;&gt;""),AJ154*AK154,"")</f>
        <v/>
      </c>
      <c r="AM154" s="11" t="n"/>
      <c r="AN154" s="10">
        <f>IF(AND(AL154&lt;&gt;"",AM154&lt;&gt;""),AL154*AM154,"")</f>
        <v/>
      </c>
      <c r="AO154" s="10">
        <f>IF(AND(AL154&lt;&gt;"",AN154&lt;&gt;""),AL154+AN154,"")</f>
        <v/>
      </c>
    </row>
    <row r="155">
      <c r="D155" s="8">
        <f>IF(A155="","",VLOOKUP(A155,Lists!$A:$B,2,FALSE))</f>
        <v/>
      </c>
      <c r="E155" s="8">
        <f>IF(C155="","",VLOOKUP(C155,Lists!$C:$D,2,FALSE))</f>
        <v/>
      </c>
      <c r="F155" s="8" t="n"/>
      <c r="G155" s="8" t="n"/>
      <c r="J155" s="9">
        <f>IF(A155="","",IFERROR(VLOOKUP(A155,Lists!$A:$H,8,FALSE),0))</f>
        <v/>
      </c>
      <c r="L155" s="9">
        <f>IF(A155="","",IFERROR(VLOOKUP(A155,Lists!$A:$H,7,FALSE),0))</f>
        <v/>
      </c>
      <c r="M155" s="10">
        <f>IF(K155="Eigen Beheer",0,IF(AND(ISNUMBER(L155),I155&lt;&gt;"",H155&lt;&gt;""),(L155*12/365)*(I155-H155),0))</f>
        <v/>
      </c>
      <c r="P155" s="8">
        <f>IF(O155="","",VLOOKUP(O155,Lists!$E:$F,2,FALSE))</f>
        <v/>
      </c>
      <c r="AC155" s="10">
        <f>IF(AND(AA155&lt;&gt;"",AB155&lt;&gt;""),AA155*AB155,"")</f>
        <v/>
      </c>
      <c r="AD155" s="11" t="n"/>
      <c r="AE155" s="10">
        <f>IF(AND(AC155&lt;&gt;"",AD155&lt;&gt;""),AC155*AD155,"")</f>
        <v/>
      </c>
      <c r="AF155" s="10">
        <f>IF(AND(AC155&lt;&gt;"",AE155&lt;&gt;""),AC155+AE155,"")</f>
        <v/>
      </c>
      <c r="AJ155">
        <f>IF($B155="GWE_Item",IF($AG155="Elektra",SUMIFS($U:$U,$A:$A,$A155,$B:$B,"GWE")-SUMIFS($T:$T,$A:$A,$A155,$B:$B,"GWE"),IF($AG155="Gas",SUMIFS($W:$W,$A:$A,$A155,$B:$B,"GWE")-SUMIFS($V:$V,$A:$A,$A155,$B:$B,"GWE"),IF($AG155="Water",SUMIFS($Y:$Y,$A:$A,$A155,$B:$B,"GWE")-SUMIFS($X:$X,$A:$A,$A155,$B:$B,"GWE"),""))),"")</f>
        <v/>
      </c>
      <c r="AL155" s="10">
        <f>IF(AND(AJ155&lt;&gt;"",AK155&lt;&gt;""),AJ155*AK155,"")</f>
        <v/>
      </c>
      <c r="AM155" s="11" t="n"/>
      <c r="AN155" s="10">
        <f>IF(AND(AL155&lt;&gt;"",AM155&lt;&gt;""),AL155*AM155,"")</f>
        <v/>
      </c>
      <c r="AO155" s="10">
        <f>IF(AND(AL155&lt;&gt;"",AN155&lt;&gt;""),AL155+AN155,"")</f>
        <v/>
      </c>
    </row>
    <row r="156">
      <c r="D156" s="8">
        <f>IF(A156="","",VLOOKUP(A156,Lists!$A:$B,2,FALSE))</f>
        <v/>
      </c>
      <c r="E156" s="8">
        <f>IF(C156="","",VLOOKUP(C156,Lists!$C:$D,2,FALSE))</f>
        <v/>
      </c>
      <c r="F156" s="8" t="n"/>
      <c r="G156" s="8" t="n"/>
      <c r="J156" s="9">
        <f>IF(A156="","",IFERROR(VLOOKUP(A156,Lists!$A:$H,8,FALSE),0))</f>
        <v/>
      </c>
      <c r="L156" s="9">
        <f>IF(A156="","",IFERROR(VLOOKUP(A156,Lists!$A:$H,7,FALSE),0))</f>
        <v/>
      </c>
      <c r="M156" s="10">
        <f>IF(K156="Eigen Beheer",0,IF(AND(ISNUMBER(L156),I156&lt;&gt;"",H156&lt;&gt;""),(L156*12/365)*(I156-H156),0))</f>
        <v/>
      </c>
      <c r="P156" s="8">
        <f>IF(O156="","",VLOOKUP(O156,Lists!$E:$F,2,FALSE))</f>
        <v/>
      </c>
      <c r="AC156" s="10">
        <f>IF(AND(AA156&lt;&gt;"",AB156&lt;&gt;""),AA156*AB156,"")</f>
        <v/>
      </c>
      <c r="AD156" s="11" t="n"/>
      <c r="AE156" s="10">
        <f>IF(AND(AC156&lt;&gt;"",AD156&lt;&gt;""),AC156*AD156,"")</f>
        <v/>
      </c>
      <c r="AF156" s="10">
        <f>IF(AND(AC156&lt;&gt;"",AE156&lt;&gt;""),AC156+AE156,"")</f>
        <v/>
      </c>
      <c r="AJ156">
        <f>IF($B156="GWE_Item",IF($AG156="Elektra",SUMIFS($U:$U,$A:$A,$A156,$B:$B,"GWE")-SUMIFS($T:$T,$A:$A,$A156,$B:$B,"GWE"),IF($AG156="Gas",SUMIFS($W:$W,$A:$A,$A156,$B:$B,"GWE")-SUMIFS($V:$V,$A:$A,$A156,$B:$B,"GWE"),IF($AG156="Water",SUMIFS($Y:$Y,$A:$A,$A156,$B:$B,"GWE")-SUMIFS($X:$X,$A:$A,$A156,$B:$B,"GWE"),""))),"")</f>
        <v/>
      </c>
      <c r="AL156" s="10">
        <f>IF(AND(AJ156&lt;&gt;"",AK156&lt;&gt;""),AJ156*AK156,"")</f>
        <v/>
      </c>
      <c r="AM156" s="11" t="n"/>
      <c r="AN156" s="10">
        <f>IF(AND(AL156&lt;&gt;"",AM156&lt;&gt;""),AL156*AM156,"")</f>
        <v/>
      </c>
      <c r="AO156" s="10">
        <f>IF(AND(AL156&lt;&gt;"",AN156&lt;&gt;""),AL156+AN156,"")</f>
        <v/>
      </c>
    </row>
    <row r="157">
      <c r="D157" s="8">
        <f>IF(A157="","",VLOOKUP(A157,Lists!$A:$B,2,FALSE))</f>
        <v/>
      </c>
      <c r="E157" s="8">
        <f>IF(C157="","",VLOOKUP(C157,Lists!$C:$D,2,FALSE))</f>
        <v/>
      </c>
      <c r="F157" s="8" t="n"/>
      <c r="G157" s="8" t="n"/>
      <c r="J157" s="9">
        <f>IF(A157="","",IFERROR(VLOOKUP(A157,Lists!$A:$H,8,FALSE),0))</f>
        <v/>
      </c>
      <c r="L157" s="9">
        <f>IF(A157="","",IFERROR(VLOOKUP(A157,Lists!$A:$H,7,FALSE),0))</f>
        <v/>
      </c>
      <c r="M157" s="10">
        <f>IF(K157="Eigen Beheer",0,IF(AND(ISNUMBER(L157),I157&lt;&gt;"",H157&lt;&gt;""),(L157*12/365)*(I157-H157),0))</f>
        <v/>
      </c>
      <c r="P157" s="8">
        <f>IF(O157="","",VLOOKUP(O157,Lists!$E:$F,2,FALSE))</f>
        <v/>
      </c>
      <c r="AC157" s="10">
        <f>IF(AND(AA157&lt;&gt;"",AB157&lt;&gt;""),AA157*AB157,"")</f>
        <v/>
      </c>
      <c r="AD157" s="11" t="n"/>
      <c r="AE157" s="10">
        <f>IF(AND(AC157&lt;&gt;"",AD157&lt;&gt;""),AC157*AD157,"")</f>
        <v/>
      </c>
      <c r="AF157" s="10">
        <f>IF(AND(AC157&lt;&gt;"",AE157&lt;&gt;""),AC157+AE157,"")</f>
        <v/>
      </c>
      <c r="AJ157">
        <f>IF($B157="GWE_Item",IF($AG157="Elektra",SUMIFS($U:$U,$A:$A,$A157,$B:$B,"GWE")-SUMIFS($T:$T,$A:$A,$A157,$B:$B,"GWE"),IF($AG157="Gas",SUMIFS($W:$W,$A:$A,$A157,$B:$B,"GWE")-SUMIFS($V:$V,$A:$A,$A157,$B:$B,"GWE"),IF($AG157="Water",SUMIFS($Y:$Y,$A:$A,$A157,$B:$B,"GWE")-SUMIFS($X:$X,$A:$A,$A157,$B:$B,"GWE"),""))),"")</f>
        <v/>
      </c>
      <c r="AL157" s="10">
        <f>IF(AND(AJ157&lt;&gt;"",AK157&lt;&gt;""),AJ157*AK157,"")</f>
        <v/>
      </c>
      <c r="AM157" s="11" t="n"/>
      <c r="AN157" s="10">
        <f>IF(AND(AL157&lt;&gt;"",AM157&lt;&gt;""),AL157*AM157,"")</f>
        <v/>
      </c>
      <c r="AO157" s="10">
        <f>IF(AND(AL157&lt;&gt;"",AN157&lt;&gt;""),AL157+AN157,"")</f>
        <v/>
      </c>
    </row>
    <row r="158">
      <c r="D158" s="8">
        <f>IF(A158="","",VLOOKUP(A158,Lists!$A:$B,2,FALSE))</f>
        <v/>
      </c>
      <c r="E158" s="8">
        <f>IF(C158="","",VLOOKUP(C158,Lists!$C:$D,2,FALSE))</f>
        <v/>
      </c>
      <c r="F158" s="8" t="n"/>
      <c r="G158" s="8" t="n"/>
      <c r="J158" s="9">
        <f>IF(A158="","",IFERROR(VLOOKUP(A158,Lists!$A:$H,8,FALSE),0))</f>
        <v/>
      </c>
      <c r="L158" s="9">
        <f>IF(A158="","",IFERROR(VLOOKUP(A158,Lists!$A:$H,7,FALSE),0))</f>
        <v/>
      </c>
      <c r="M158" s="10">
        <f>IF(K158="Eigen Beheer",0,IF(AND(ISNUMBER(L158),I158&lt;&gt;"",H158&lt;&gt;""),(L158*12/365)*(I158-H158),0))</f>
        <v/>
      </c>
      <c r="P158" s="8">
        <f>IF(O158="","",VLOOKUP(O158,Lists!$E:$F,2,FALSE))</f>
        <v/>
      </c>
      <c r="AC158" s="10">
        <f>IF(AND(AA158&lt;&gt;"",AB158&lt;&gt;""),AA158*AB158,"")</f>
        <v/>
      </c>
      <c r="AD158" s="11" t="n"/>
      <c r="AE158" s="10">
        <f>IF(AND(AC158&lt;&gt;"",AD158&lt;&gt;""),AC158*AD158,"")</f>
        <v/>
      </c>
      <c r="AF158" s="10">
        <f>IF(AND(AC158&lt;&gt;"",AE158&lt;&gt;""),AC158+AE158,"")</f>
        <v/>
      </c>
      <c r="AJ158">
        <f>IF($B158="GWE_Item",IF($AG158="Elektra",SUMIFS($U:$U,$A:$A,$A158,$B:$B,"GWE")-SUMIFS($T:$T,$A:$A,$A158,$B:$B,"GWE"),IF($AG158="Gas",SUMIFS($W:$W,$A:$A,$A158,$B:$B,"GWE")-SUMIFS($V:$V,$A:$A,$A158,$B:$B,"GWE"),IF($AG158="Water",SUMIFS($Y:$Y,$A:$A,$A158,$B:$B,"GWE")-SUMIFS($X:$X,$A:$A,$A158,$B:$B,"GWE"),""))),"")</f>
        <v/>
      </c>
      <c r="AL158" s="10">
        <f>IF(AND(AJ158&lt;&gt;"",AK158&lt;&gt;""),AJ158*AK158,"")</f>
        <v/>
      </c>
      <c r="AM158" s="11" t="n"/>
      <c r="AN158" s="10">
        <f>IF(AND(AL158&lt;&gt;"",AM158&lt;&gt;""),AL158*AM158,"")</f>
        <v/>
      </c>
      <c r="AO158" s="10">
        <f>IF(AND(AL158&lt;&gt;"",AN158&lt;&gt;""),AL158+AN158,"")</f>
        <v/>
      </c>
    </row>
    <row r="159">
      <c r="D159" s="8">
        <f>IF(A159="","",VLOOKUP(A159,Lists!$A:$B,2,FALSE))</f>
        <v/>
      </c>
      <c r="E159" s="8">
        <f>IF(C159="","",VLOOKUP(C159,Lists!$C:$D,2,FALSE))</f>
        <v/>
      </c>
      <c r="F159" s="8" t="n"/>
      <c r="G159" s="8" t="n"/>
      <c r="J159" s="9">
        <f>IF(A159="","",IFERROR(VLOOKUP(A159,Lists!$A:$H,8,FALSE),0))</f>
        <v/>
      </c>
      <c r="L159" s="9">
        <f>IF(A159="","",IFERROR(VLOOKUP(A159,Lists!$A:$H,7,FALSE),0))</f>
        <v/>
      </c>
      <c r="M159" s="10">
        <f>IF(K159="Eigen Beheer",0,IF(AND(ISNUMBER(L159),I159&lt;&gt;"",H159&lt;&gt;""),(L159*12/365)*(I159-H159),0))</f>
        <v/>
      </c>
      <c r="P159" s="8">
        <f>IF(O159="","",VLOOKUP(O159,Lists!$E:$F,2,FALSE))</f>
        <v/>
      </c>
      <c r="AC159" s="10">
        <f>IF(AND(AA159&lt;&gt;"",AB159&lt;&gt;""),AA159*AB159,"")</f>
        <v/>
      </c>
      <c r="AD159" s="11" t="n"/>
      <c r="AE159" s="10">
        <f>IF(AND(AC159&lt;&gt;"",AD159&lt;&gt;""),AC159*AD159,"")</f>
        <v/>
      </c>
      <c r="AF159" s="10">
        <f>IF(AND(AC159&lt;&gt;"",AE159&lt;&gt;""),AC159+AE159,"")</f>
        <v/>
      </c>
      <c r="AJ159">
        <f>IF($B159="GWE_Item",IF($AG159="Elektra",SUMIFS($U:$U,$A:$A,$A159,$B:$B,"GWE")-SUMIFS($T:$T,$A:$A,$A159,$B:$B,"GWE"),IF($AG159="Gas",SUMIFS($W:$W,$A:$A,$A159,$B:$B,"GWE")-SUMIFS($V:$V,$A:$A,$A159,$B:$B,"GWE"),IF($AG159="Water",SUMIFS($Y:$Y,$A:$A,$A159,$B:$B,"GWE")-SUMIFS($X:$X,$A:$A,$A159,$B:$B,"GWE"),""))),"")</f>
        <v/>
      </c>
      <c r="AL159" s="10">
        <f>IF(AND(AJ159&lt;&gt;"",AK159&lt;&gt;""),AJ159*AK159,"")</f>
        <v/>
      </c>
      <c r="AM159" s="11" t="n"/>
      <c r="AN159" s="10">
        <f>IF(AND(AL159&lt;&gt;"",AM159&lt;&gt;""),AL159*AM159,"")</f>
        <v/>
      </c>
      <c r="AO159" s="10">
        <f>IF(AND(AL159&lt;&gt;"",AN159&lt;&gt;""),AL159+AN159,"")</f>
        <v/>
      </c>
    </row>
    <row r="160">
      <c r="D160" s="8">
        <f>IF(A160="","",VLOOKUP(A160,Lists!$A:$B,2,FALSE))</f>
        <v/>
      </c>
      <c r="E160" s="8">
        <f>IF(C160="","",VLOOKUP(C160,Lists!$C:$D,2,FALSE))</f>
        <v/>
      </c>
      <c r="F160" s="8" t="n"/>
      <c r="G160" s="8" t="n"/>
      <c r="J160" s="9">
        <f>IF(A160="","",IFERROR(VLOOKUP(A160,Lists!$A:$H,8,FALSE),0))</f>
        <v/>
      </c>
      <c r="L160" s="9">
        <f>IF(A160="","",IFERROR(VLOOKUP(A160,Lists!$A:$H,7,FALSE),0))</f>
        <v/>
      </c>
      <c r="M160" s="10">
        <f>IF(K160="Eigen Beheer",0,IF(AND(ISNUMBER(L160),I160&lt;&gt;"",H160&lt;&gt;""),(L160*12/365)*(I160-H160),0))</f>
        <v/>
      </c>
      <c r="P160" s="8">
        <f>IF(O160="","",VLOOKUP(O160,Lists!$E:$F,2,FALSE))</f>
        <v/>
      </c>
      <c r="AC160" s="10">
        <f>IF(AND(AA160&lt;&gt;"",AB160&lt;&gt;""),AA160*AB160,"")</f>
        <v/>
      </c>
      <c r="AD160" s="11" t="n"/>
      <c r="AE160" s="10">
        <f>IF(AND(AC160&lt;&gt;"",AD160&lt;&gt;""),AC160*AD160,"")</f>
        <v/>
      </c>
      <c r="AF160" s="10">
        <f>IF(AND(AC160&lt;&gt;"",AE160&lt;&gt;""),AC160+AE160,"")</f>
        <v/>
      </c>
      <c r="AJ160">
        <f>IF($B160="GWE_Item",IF($AG160="Elektra",SUMIFS($U:$U,$A:$A,$A160,$B:$B,"GWE")-SUMIFS($T:$T,$A:$A,$A160,$B:$B,"GWE"),IF($AG160="Gas",SUMIFS($W:$W,$A:$A,$A160,$B:$B,"GWE")-SUMIFS($V:$V,$A:$A,$A160,$B:$B,"GWE"),IF($AG160="Water",SUMIFS($Y:$Y,$A:$A,$A160,$B:$B,"GWE")-SUMIFS($X:$X,$A:$A,$A160,$B:$B,"GWE"),""))),"")</f>
        <v/>
      </c>
      <c r="AL160" s="10">
        <f>IF(AND(AJ160&lt;&gt;"",AK160&lt;&gt;""),AJ160*AK160,"")</f>
        <v/>
      </c>
      <c r="AM160" s="11" t="n"/>
      <c r="AN160" s="10">
        <f>IF(AND(AL160&lt;&gt;"",AM160&lt;&gt;""),AL160*AM160,"")</f>
        <v/>
      </c>
      <c r="AO160" s="10">
        <f>IF(AND(AL160&lt;&gt;"",AN160&lt;&gt;""),AL160+AN160,"")</f>
        <v/>
      </c>
    </row>
    <row r="161">
      <c r="D161" s="8">
        <f>IF(A161="","",VLOOKUP(A161,Lists!$A:$B,2,FALSE))</f>
        <v/>
      </c>
      <c r="E161" s="8">
        <f>IF(C161="","",VLOOKUP(C161,Lists!$C:$D,2,FALSE))</f>
        <v/>
      </c>
      <c r="F161" s="8" t="n"/>
      <c r="G161" s="8" t="n"/>
      <c r="J161" s="9">
        <f>IF(A161="","",IFERROR(VLOOKUP(A161,Lists!$A:$H,8,FALSE),0))</f>
        <v/>
      </c>
      <c r="L161" s="9">
        <f>IF(A161="","",IFERROR(VLOOKUP(A161,Lists!$A:$H,7,FALSE),0))</f>
        <v/>
      </c>
      <c r="M161" s="10">
        <f>IF(K161="Eigen Beheer",0,IF(AND(ISNUMBER(L161),I161&lt;&gt;"",H161&lt;&gt;""),(L161*12/365)*(I161-H161),0))</f>
        <v/>
      </c>
      <c r="P161" s="8">
        <f>IF(O161="","",VLOOKUP(O161,Lists!$E:$F,2,FALSE))</f>
        <v/>
      </c>
      <c r="AC161" s="10">
        <f>IF(AND(AA161&lt;&gt;"",AB161&lt;&gt;""),AA161*AB161,"")</f>
        <v/>
      </c>
      <c r="AD161" s="11" t="n"/>
      <c r="AE161" s="10">
        <f>IF(AND(AC161&lt;&gt;"",AD161&lt;&gt;""),AC161*AD161,"")</f>
        <v/>
      </c>
      <c r="AF161" s="10">
        <f>IF(AND(AC161&lt;&gt;"",AE161&lt;&gt;""),AC161+AE161,"")</f>
        <v/>
      </c>
      <c r="AJ161">
        <f>IF($B161="GWE_Item",IF($AG161="Elektra",SUMIFS($U:$U,$A:$A,$A161,$B:$B,"GWE")-SUMIFS($T:$T,$A:$A,$A161,$B:$B,"GWE"),IF($AG161="Gas",SUMIFS($W:$W,$A:$A,$A161,$B:$B,"GWE")-SUMIFS($V:$V,$A:$A,$A161,$B:$B,"GWE"),IF($AG161="Water",SUMIFS($Y:$Y,$A:$A,$A161,$B:$B,"GWE")-SUMIFS($X:$X,$A:$A,$A161,$B:$B,"GWE"),""))),"")</f>
        <v/>
      </c>
      <c r="AL161" s="10">
        <f>IF(AND(AJ161&lt;&gt;"",AK161&lt;&gt;""),AJ161*AK161,"")</f>
        <v/>
      </c>
      <c r="AM161" s="11" t="n"/>
      <c r="AN161" s="10">
        <f>IF(AND(AL161&lt;&gt;"",AM161&lt;&gt;""),AL161*AM161,"")</f>
        <v/>
      </c>
      <c r="AO161" s="10">
        <f>IF(AND(AL161&lt;&gt;"",AN161&lt;&gt;""),AL161+AN161,"")</f>
        <v/>
      </c>
    </row>
    <row r="162">
      <c r="D162" s="8">
        <f>IF(A162="","",VLOOKUP(A162,Lists!$A:$B,2,FALSE))</f>
        <v/>
      </c>
      <c r="E162" s="8">
        <f>IF(C162="","",VLOOKUP(C162,Lists!$C:$D,2,FALSE))</f>
        <v/>
      </c>
      <c r="F162" s="8" t="n"/>
      <c r="G162" s="8" t="n"/>
      <c r="J162" s="9">
        <f>IF(A162="","",IFERROR(VLOOKUP(A162,Lists!$A:$H,8,FALSE),0))</f>
        <v/>
      </c>
      <c r="L162" s="9">
        <f>IF(A162="","",IFERROR(VLOOKUP(A162,Lists!$A:$H,7,FALSE),0))</f>
        <v/>
      </c>
      <c r="M162" s="10">
        <f>IF(K162="Eigen Beheer",0,IF(AND(ISNUMBER(L162),I162&lt;&gt;"",H162&lt;&gt;""),(L162*12/365)*(I162-H162),0))</f>
        <v/>
      </c>
      <c r="P162" s="8">
        <f>IF(O162="","",VLOOKUP(O162,Lists!$E:$F,2,FALSE))</f>
        <v/>
      </c>
      <c r="AC162" s="10">
        <f>IF(AND(AA162&lt;&gt;"",AB162&lt;&gt;""),AA162*AB162,"")</f>
        <v/>
      </c>
      <c r="AD162" s="11" t="n"/>
      <c r="AE162" s="10">
        <f>IF(AND(AC162&lt;&gt;"",AD162&lt;&gt;""),AC162*AD162,"")</f>
        <v/>
      </c>
      <c r="AF162" s="10">
        <f>IF(AND(AC162&lt;&gt;"",AE162&lt;&gt;""),AC162+AE162,"")</f>
        <v/>
      </c>
      <c r="AJ162">
        <f>IF($B162="GWE_Item",IF($AG162="Elektra",SUMIFS($U:$U,$A:$A,$A162,$B:$B,"GWE")-SUMIFS($T:$T,$A:$A,$A162,$B:$B,"GWE"),IF($AG162="Gas",SUMIFS($W:$W,$A:$A,$A162,$B:$B,"GWE")-SUMIFS($V:$V,$A:$A,$A162,$B:$B,"GWE"),IF($AG162="Water",SUMIFS($Y:$Y,$A:$A,$A162,$B:$B,"GWE")-SUMIFS($X:$X,$A:$A,$A162,$B:$B,"GWE"),""))),"")</f>
        <v/>
      </c>
      <c r="AL162" s="10">
        <f>IF(AND(AJ162&lt;&gt;"",AK162&lt;&gt;""),AJ162*AK162,"")</f>
        <v/>
      </c>
      <c r="AM162" s="11" t="n"/>
      <c r="AN162" s="10">
        <f>IF(AND(AL162&lt;&gt;"",AM162&lt;&gt;""),AL162*AM162,"")</f>
        <v/>
      </c>
      <c r="AO162" s="10">
        <f>IF(AND(AL162&lt;&gt;"",AN162&lt;&gt;""),AL162+AN162,"")</f>
        <v/>
      </c>
    </row>
    <row r="163">
      <c r="D163" s="8">
        <f>IF(A163="","",VLOOKUP(A163,Lists!$A:$B,2,FALSE))</f>
        <v/>
      </c>
      <c r="E163" s="8">
        <f>IF(C163="","",VLOOKUP(C163,Lists!$C:$D,2,FALSE))</f>
        <v/>
      </c>
      <c r="F163" s="8" t="n"/>
      <c r="G163" s="8" t="n"/>
      <c r="J163" s="9">
        <f>IF(A163="","",IFERROR(VLOOKUP(A163,Lists!$A:$H,8,FALSE),0))</f>
        <v/>
      </c>
      <c r="L163" s="9">
        <f>IF(A163="","",IFERROR(VLOOKUP(A163,Lists!$A:$H,7,FALSE),0))</f>
        <v/>
      </c>
      <c r="M163" s="10">
        <f>IF(K163="Eigen Beheer",0,IF(AND(ISNUMBER(L163),I163&lt;&gt;"",H163&lt;&gt;""),(L163*12/365)*(I163-H163),0))</f>
        <v/>
      </c>
      <c r="P163" s="8">
        <f>IF(O163="","",VLOOKUP(O163,Lists!$E:$F,2,FALSE))</f>
        <v/>
      </c>
      <c r="AC163" s="10">
        <f>IF(AND(AA163&lt;&gt;"",AB163&lt;&gt;""),AA163*AB163,"")</f>
        <v/>
      </c>
      <c r="AD163" s="11" t="n"/>
      <c r="AE163" s="10">
        <f>IF(AND(AC163&lt;&gt;"",AD163&lt;&gt;""),AC163*AD163,"")</f>
        <v/>
      </c>
      <c r="AF163" s="10">
        <f>IF(AND(AC163&lt;&gt;"",AE163&lt;&gt;""),AC163+AE163,"")</f>
        <v/>
      </c>
      <c r="AJ163">
        <f>IF($B163="GWE_Item",IF($AG163="Elektra",SUMIFS($U:$U,$A:$A,$A163,$B:$B,"GWE")-SUMIFS($T:$T,$A:$A,$A163,$B:$B,"GWE"),IF($AG163="Gas",SUMIFS($W:$W,$A:$A,$A163,$B:$B,"GWE")-SUMIFS($V:$V,$A:$A,$A163,$B:$B,"GWE"),IF($AG163="Water",SUMIFS($Y:$Y,$A:$A,$A163,$B:$B,"GWE")-SUMIFS($X:$X,$A:$A,$A163,$B:$B,"GWE"),""))),"")</f>
        <v/>
      </c>
      <c r="AL163" s="10">
        <f>IF(AND(AJ163&lt;&gt;"",AK163&lt;&gt;""),AJ163*AK163,"")</f>
        <v/>
      </c>
      <c r="AM163" s="11" t="n"/>
      <c r="AN163" s="10">
        <f>IF(AND(AL163&lt;&gt;"",AM163&lt;&gt;""),AL163*AM163,"")</f>
        <v/>
      </c>
      <c r="AO163" s="10">
        <f>IF(AND(AL163&lt;&gt;"",AN163&lt;&gt;""),AL163+AN163,"")</f>
        <v/>
      </c>
    </row>
    <row r="164">
      <c r="D164" s="8">
        <f>IF(A164="","",VLOOKUP(A164,Lists!$A:$B,2,FALSE))</f>
        <v/>
      </c>
      <c r="E164" s="8">
        <f>IF(C164="","",VLOOKUP(C164,Lists!$C:$D,2,FALSE))</f>
        <v/>
      </c>
      <c r="F164" s="8" t="n"/>
      <c r="G164" s="8" t="n"/>
      <c r="J164" s="9">
        <f>IF(A164="","",IFERROR(VLOOKUP(A164,Lists!$A:$H,8,FALSE),0))</f>
        <v/>
      </c>
      <c r="L164" s="9">
        <f>IF(A164="","",IFERROR(VLOOKUP(A164,Lists!$A:$H,7,FALSE),0))</f>
        <v/>
      </c>
      <c r="M164" s="10">
        <f>IF(K164="Eigen Beheer",0,IF(AND(ISNUMBER(L164),I164&lt;&gt;"",H164&lt;&gt;""),(L164*12/365)*(I164-H164),0))</f>
        <v/>
      </c>
      <c r="P164" s="8">
        <f>IF(O164="","",VLOOKUP(O164,Lists!$E:$F,2,FALSE))</f>
        <v/>
      </c>
      <c r="AC164" s="10">
        <f>IF(AND(AA164&lt;&gt;"",AB164&lt;&gt;""),AA164*AB164,"")</f>
        <v/>
      </c>
      <c r="AD164" s="11" t="n"/>
      <c r="AE164" s="10">
        <f>IF(AND(AC164&lt;&gt;"",AD164&lt;&gt;""),AC164*AD164,"")</f>
        <v/>
      </c>
      <c r="AF164" s="10">
        <f>IF(AND(AC164&lt;&gt;"",AE164&lt;&gt;""),AC164+AE164,"")</f>
        <v/>
      </c>
      <c r="AJ164">
        <f>IF($B164="GWE_Item",IF($AG164="Elektra",SUMIFS($U:$U,$A:$A,$A164,$B:$B,"GWE")-SUMIFS($T:$T,$A:$A,$A164,$B:$B,"GWE"),IF($AG164="Gas",SUMIFS($W:$W,$A:$A,$A164,$B:$B,"GWE")-SUMIFS($V:$V,$A:$A,$A164,$B:$B,"GWE"),IF($AG164="Water",SUMIFS($Y:$Y,$A:$A,$A164,$B:$B,"GWE")-SUMIFS($X:$X,$A:$A,$A164,$B:$B,"GWE"),""))),"")</f>
        <v/>
      </c>
      <c r="AL164" s="10">
        <f>IF(AND(AJ164&lt;&gt;"",AK164&lt;&gt;""),AJ164*AK164,"")</f>
        <v/>
      </c>
      <c r="AM164" s="11" t="n"/>
      <c r="AN164" s="10">
        <f>IF(AND(AL164&lt;&gt;"",AM164&lt;&gt;""),AL164*AM164,"")</f>
        <v/>
      </c>
      <c r="AO164" s="10">
        <f>IF(AND(AL164&lt;&gt;"",AN164&lt;&gt;""),AL164+AN164,"")</f>
        <v/>
      </c>
    </row>
    <row r="165">
      <c r="D165" s="8">
        <f>IF(A165="","",VLOOKUP(A165,Lists!$A:$B,2,FALSE))</f>
        <v/>
      </c>
      <c r="E165" s="8">
        <f>IF(C165="","",VLOOKUP(C165,Lists!$C:$D,2,FALSE))</f>
        <v/>
      </c>
      <c r="F165" s="8" t="n"/>
      <c r="G165" s="8" t="n"/>
      <c r="J165" s="9">
        <f>IF(A165="","",IFERROR(VLOOKUP(A165,Lists!$A:$H,8,FALSE),0))</f>
        <v/>
      </c>
      <c r="L165" s="9">
        <f>IF(A165="","",IFERROR(VLOOKUP(A165,Lists!$A:$H,7,FALSE),0))</f>
        <v/>
      </c>
      <c r="M165" s="10">
        <f>IF(K165="Eigen Beheer",0,IF(AND(ISNUMBER(L165),I165&lt;&gt;"",H165&lt;&gt;""),(L165*12/365)*(I165-H165),0))</f>
        <v/>
      </c>
      <c r="P165" s="8">
        <f>IF(O165="","",VLOOKUP(O165,Lists!$E:$F,2,FALSE))</f>
        <v/>
      </c>
      <c r="AC165" s="10">
        <f>IF(AND(AA165&lt;&gt;"",AB165&lt;&gt;""),AA165*AB165,"")</f>
        <v/>
      </c>
      <c r="AD165" s="11" t="n"/>
      <c r="AE165" s="10">
        <f>IF(AND(AC165&lt;&gt;"",AD165&lt;&gt;""),AC165*AD165,"")</f>
        <v/>
      </c>
      <c r="AF165" s="10">
        <f>IF(AND(AC165&lt;&gt;"",AE165&lt;&gt;""),AC165+AE165,"")</f>
        <v/>
      </c>
      <c r="AJ165">
        <f>IF($B165="GWE_Item",IF($AG165="Elektra",SUMIFS($U:$U,$A:$A,$A165,$B:$B,"GWE")-SUMIFS($T:$T,$A:$A,$A165,$B:$B,"GWE"),IF($AG165="Gas",SUMIFS($W:$W,$A:$A,$A165,$B:$B,"GWE")-SUMIFS($V:$V,$A:$A,$A165,$B:$B,"GWE"),IF($AG165="Water",SUMIFS($Y:$Y,$A:$A,$A165,$B:$B,"GWE")-SUMIFS($X:$X,$A:$A,$A165,$B:$B,"GWE"),""))),"")</f>
        <v/>
      </c>
      <c r="AL165" s="10">
        <f>IF(AND(AJ165&lt;&gt;"",AK165&lt;&gt;""),AJ165*AK165,"")</f>
        <v/>
      </c>
      <c r="AM165" s="11" t="n"/>
      <c r="AN165" s="10">
        <f>IF(AND(AL165&lt;&gt;"",AM165&lt;&gt;""),AL165*AM165,"")</f>
        <v/>
      </c>
      <c r="AO165" s="10">
        <f>IF(AND(AL165&lt;&gt;"",AN165&lt;&gt;""),AL165+AN165,"")</f>
        <v/>
      </c>
    </row>
    <row r="166">
      <c r="D166" s="8">
        <f>IF(A166="","",VLOOKUP(A166,Lists!$A:$B,2,FALSE))</f>
        <v/>
      </c>
      <c r="E166" s="8">
        <f>IF(C166="","",VLOOKUP(C166,Lists!$C:$D,2,FALSE))</f>
        <v/>
      </c>
      <c r="F166" s="8" t="n"/>
      <c r="G166" s="8" t="n"/>
      <c r="J166" s="9">
        <f>IF(A166="","",IFERROR(VLOOKUP(A166,Lists!$A:$H,8,FALSE),0))</f>
        <v/>
      </c>
      <c r="L166" s="9">
        <f>IF(A166="","",IFERROR(VLOOKUP(A166,Lists!$A:$H,7,FALSE),0))</f>
        <v/>
      </c>
      <c r="M166" s="10">
        <f>IF(K166="Eigen Beheer",0,IF(AND(ISNUMBER(L166),I166&lt;&gt;"",H166&lt;&gt;""),(L166*12/365)*(I166-H166),0))</f>
        <v/>
      </c>
      <c r="P166" s="8">
        <f>IF(O166="","",VLOOKUP(O166,Lists!$E:$F,2,FALSE))</f>
        <v/>
      </c>
      <c r="AC166" s="10">
        <f>IF(AND(AA166&lt;&gt;"",AB166&lt;&gt;""),AA166*AB166,"")</f>
        <v/>
      </c>
      <c r="AD166" s="11" t="n"/>
      <c r="AE166" s="10">
        <f>IF(AND(AC166&lt;&gt;"",AD166&lt;&gt;""),AC166*AD166,"")</f>
        <v/>
      </c>
      <c r="AF166" s="10">
        <f>IF(AND(AC166&lt;&gt;"",AE166&lt;&gt;""),AC166+AE166,"")</f>
        <v/>
      </c>
      <c r="AJ166">
        <f>IF($B166="GWE_Item",IF($AG166="Elektra",SUMIFS($U:$U,$A:$A,$A166,$B:$B,"GWE")-SUMIFS($T:$T,$A:$A,$A166,$B:$B,"GWE"),IF($AG166="Gas",SUMIFS($W:$W,$A:$A,$A166,$B:$B,"GWE")-SUMIFS($V:$V,$A:$A,$A166,$B:$B,"GWE"),IF($AG166="Water",SUMIFS($Y:$Y,$A:$A,$A166,$B:$B,"GWE")-SUMIFS($X:$X,$A:$A,$A166,$B:$B,"GWE"),""))),"")</f>
        <v/>
      </c>
      <c r="AL166" s="10">
        <f>IF(AND(AJ166&lt;&gt;"",AK166&lt;&gt;""),AJ166*AK166,"")</f>
        <v/>
      </c>
      <c r="AM166" s="11" t="n"/>
      <c r="AN166" s="10">
        <f>IF(AND(AL166&lt;&gt;"",AM166&lt;&gt;""),AL166*AM166,"")</f>
        <v/>
      </c>
      <c r="AO166" s="10">
        <f>IF(AND(AL166&lt;&gt;"",AN166&lt;&gt;""),AL166+AN166,"")</f>
        <v/>
      </c>
    </row>
    <row r="167">
      <c r="D167" s="8">
        <f>IF(A167="","",VLOOKUP(A167,Lists!$A:$B,2,FALSE))</f>
        <v/>
      </c>
      <c r="E167" s="8">
        <f>IF(C167="","",VLOOKUP(C167,Lists!$C:$D,2,FALSE))</f>
        <v/>
      </c>
      <c r="F167" s="8" t="n"/>
      <c r="G167" s="8" t="n"/>
      <c r="J167" s="9">
        <f>IF(A167="","",IFERROR(VLOOKUP(A167,Lists!$A:$H,8,FALSE),0))</f>
        <v/>
      </c>
      <c r="L167" s="9">
        <f>IF(A167="","",IFERROR(VLOOKUP(A167,Lists!$A:$H,7,FALSE),0))</f>
        <v/>
      </c>
      <c r="M167" s="10">
        <f>IF(K167="Eigen Beheer",0,IF(AND(ISNUMBER(L167),I167&lt;&gt;"",H167&lt;&gt;""),(L167*12/365)*(I167-H167),0))</f>
        <v/>
      </c>
      <c r="P167" s="8">
        <f>IF(O167="","",VLOOKUP(O167,Lists!$E:$F,2,FALSE))</f>
        <v/>
      </c>
      <c r="AC167" s="10">
        <f>IF(AND(AA167&lt;&gt;"",AB167&lt;&gt;""),AA167*AB167,"")</f>
        <v/>
      </c>
      <c r="AD167" s="11" t="n"/>
      <c r="AE167" s="10">
        <f>IF(AND(AC167&lt;&gt;"",AD167&lt;&gt;""),AC167*AD167,"")</f>
        <v/>
      </c>
      <c r="AF167" s="10">
        <f>IF(AND(AC167&lt;&gt;"",AE167&lt;&gt;""),AC167+AE167,"")</f>
        <v/>
      </c>
      <c r="AJ167">
        <f>IF($B167="GWE_Item",IF($AG167="Elektra",SUMIFS($U:$U,$A:$A,$A167,$B:$B,"GWE")-SUMIFS($T:$T,$A:$A,$A167,$B:$B,"GWE"),IF($AG167="Gas",SUMIFS($W:$W,$A:$A,$A167,$B:$B,"GWE")-SUMIFS($V:$V,$A:$A,$A167,$B:$B,"GWE"),IF($AG167="Water",SUMIFS($Y:$Y,$A:$A,$A167,$B:$B,"GWE")-SUMIFS($X:$X,$A:$A,$A167,$B:$B,"GWE"),""))),"")</f>
        <v/>
      </c>
      <c r="AL167" s="10">
        <f>IF(AND(AJ167&lt;&gt;"",AK167&lt;&gt;""),AJ167*AK167,"")</f>
        <v/>
      </c>
      <c r="AM167" s="11" t="n"/>
      <c r="AN167" s="10">
        <f>IF(AND(AL167&lt;&gt;"",AM167&lt;&gt;""),AL167*AM167,"")</f>
        <v/>
      </c>
      <c r="AO167" s="10">
        <f>IF(AND(AL167&lt;&gt;"",AN167&lt;&gt;""),AL167+AN167,"")</f>
        <v/>
      </c>
    </row>
    <row r="168">
      <c r="D168" s="8">
        <f>IF(A168="","",VLOOKUP(A168,Lists!$A:$B,2,FALSE))</f>
        <v/>
      </c>
      <c r="E168" s="8">
        <f>IF(C168="","",VLOOKUP(C168,Lists!$C:$D,2,FALSE))</f>
        <v/>
      </c>
      <c r="F168" s="8" t="n"/>
      <c r="G168" s="8" t="n"/>
      <c r="J168" s="9">
        <f>IF(A168="","",IFERROR(VLOOKUP(A168,Lists!$A:$H,8,FALSE),0))</f>
        <v/>
      </c>
      <c r="L168" s="9">
        <f>IF(A168="","",IFERROR(VLOOKUP(A168,Lists!$A:$H,7,FALSE),0))</f>
        <v/>
      </c>
      <c r="M168" s="10">
        <f>IF(K168="Eigen Beheer",0,IF(AND(ISNUMBER(L168),I168&lt;&gt;"",H168&lt;&gt;""),(L168*12/365)*(I168-H168),0))</f>
        <v/>
      </c>
      <c r="P168" s="8">
        <f>IF(O168="","",VLOOKUP(O168,Lists!$E:$F,2,FALSE))</f>
        <v/>
      </c>
      <c r="AC168" s="10">
        <f>IF(AND(AA168&lt;&gt;"",AB168&lt;&gt;""),AA168*AB168,"")</f>
        <v/>
      </c>
      <c r="AD168" s="11" t="n"/>
      <c r="AE168" s="10">
        <f>IF(AND(AC168&lt;&gt;"",AD168&lt;&gt;""),AC168*AD168,"")</f>
        <v/>
      </c>
      <c r="AF168" s="10">
        <f>IF(AND(AC168&lt;&gt;"",AE168&lt;&gt;""),AC168+AE168,"")</f>
        <v/>
      </c>
      <c r="AJ168">
        <f>IF($B168="GWE_Item",IF($AG168="Elektra",SUMIFS($U:$U,$A:$A,$A168,$B:$B,"GWE")-SUMIFS($T:$T,$A:$A,$A168,$B:$B,"GWE"),IF($AG168="Gas",SUMIFS($W:$W,$A:$A,$A168,$B:$B,"GWE")-SUMIFS($V:$V,$A:$A,$A168,$B:$B,"GWE"),IF($AG168="Water",SUMIFS($Y:$Y,$A:$A,$A168,$B:$B,"GWE")-SUMIFS($X:$X,$A:$A,$A168,$B:$B,"GWE"),""))),"")</f>
        <v/>
      </c>
      <c r="AL168" s="10">
        <f>IF(AND(AJ168&lt;&gt;"",AK168&lt;&gt;""),AJ168*AK168,"")</f>
        <v/>
      </c>
      <c r="AM168" s="11" t="n"/>
      <c r="AN168" s="10">
        <f>IF(AND(AL168&lt;&gt;"",AM168&lt;&gt;""),AL168*AM168,"")</f>
        <v/>
      </c>
      <c r="AO168" s="10">
        <f>IF(AND(AL168&lt;&gt;"",AN168&lt;&gt;""),AL168+AN168,"")</f>
        <v/>
      </c>
    </row>
    <row r="169">
      <c r="D169" s="8">
        <f>IF(A169="","",VLOOKUP(A169,Lists!$A:$B,2,FALSE))</f>
        <v/>
      </c>
      <c r="E169" s="8">
        <f>IF(C169="","",VLOOKUP(C169,Lists!$C:$D,2,FALSE))</f>
        <v/>
      </c>
      <c r="F169" s="8" t="n"/>
      <c r="G169" s="8" t="n"/>
      <c r="J169" s="9">
        <f>IF(A169="","",IFERROR(VLOOKUP(A169,Lists!$A:$H,8,FALSE),0))</f>
        <v/>
      </c>
      <c r="L169" s="9">
        <f>IF(A169="","",IFERROR(VLOOKUP(A169,Lists!$A:$H,7,FALSE),0))</f>
        <v/>
      </c>
      <c r="M169" s="10">
        <f>IF(K169="Eigen Beheer",0,IF(AND(ISNUMBER(L169),I169&lt;&gt;"",H169&lt;&gt;""),(L169*12/365)*(I169-H169),0))</f>
        <v/>
      </c>
      <c r="P169" s="8">
        <f>IF(O169="","",VLOOKUP(O169,Lists!$E:$F,2,FALSE))</f>
        <v/>
      </c>
      <c r="AC169" s="10">
        <f>IF(AND(AA169&lt;&gt;"",AB169&lt;&gt;""),AA169*AB169,"")</f>
        <v/>
      </c>
      <c r="AD169" s="11" t="n"/>
      <c r="AE169" s="10">
        <f>IF(AND(AC169&lt;&gt;"",AD169&lt;&gt;""),AC169*AD169,"")</f>
        <v/>
      </c>
      <c r="AF169" s="10">
        <f>IF(AND(AC169&lt;&gt;"",AE169&lt;&gt;""),AC169+AE169,"")</f>
        <v/>
      </c>
      <c r="AJ169">
        <f>IF($B169="GWE_Item",IF($AG169="Elektra",SUMIFS($U:$U,$A:$A,$A169,$B:$B,"GWE")-SUMIFS($T:$T,$A:$A,$A169,$B:$B,"GWE"),IF($AG169="Gas",SUMIFS($W:$W,$A:$A,$A169,$B:$B,"GWE")-SUMIFS($V:$V,$A:$A,$A169,$B:$B,"GWE"),IF($AG169="Water",SUMIFS($Y:$Y,$A:$A,$A169,$B:$B,"GWE")-SUMIFS($X:$X,$A:$A,$A169,$B:$B,"GWE"),""))),"")</f>
        <v/>
      </c>
      <c r="AL169" s="10">
        <f>IF(AND(AJ169&lt;&gt;"",AK169&lt;&gt;""),AJ169*AK169,"")</f>
        <v/>
      </c>
      <c r="AM169" s="11" t="n"/>
      <c r="AN169" s="10">
        <f>IF(AND(AL169&lt;&gt;"",AM169&lt;&gt;""),AL169*AM169,"")</f>
        <v/>
      </c>
      <c r="AO169" s="10">
        <f>IF(AND(AL169&lt;&gt;"",AN169&lt;&gt;""),AL169+AN169,"")</f>
        <v/>
      </c>
    </row>
    <row r="170">
      <c r="D170" s="8">
        <f>IF(A170="","",VLOOKUP(A170,Lists!$A:$B,2,FALSE))</f>
        <v/>
      </c>
      <c r="E170" s="8">
        <f>IF(C170="","",VLOOKUP(C170,Lists!$C:$D,2,FALSE))</f>
        <v/>
      </c>
      <c r="F170" s="8" t="n"/>
      <c r="G170" s="8" t="n"/>
      <c r="J170" s="9">
        <f>IF(A170="","",IFERROR(VLOOKUP(A170,Lists!$A:$H,8,FALSE),0))</f>
        <v/>
      </c>
      <c r="L170" s="9">
        <f>IF(A170="","",IFERROR(VLOOKUP(A170,Lists!$A:$H,7,FALSE),0))</f>
        <v/>
      </c>
      <c r="M170" s="10">
        <f>IF(K170="Eigen Beheer",0,IF(AND(ISNUMBER(L170),I170&lt;&gt;"",H170&lt;&gt;""),(L170*12/365)*(I170-H170),0))</f>
        <v/>
      </c>
      <c r="P170" s="8">
        <f>IF(O170="","",VLOOKUP(O170,Lists!$E:$F,2,FALSE))</f>
        <v/>
      </c>
      <c r="AC170" s="10">
        <f>IF(AND(AA170&lt;&gt;"",AB170&lt;&gt;""),AA170*AB170,"")</f>
        <v/>
      </c>
      <c r="AD170" s="11" t="n"/>
      <c r="AE170" s="10">
        <f>IF(AND(AC170&lt;&gt;"",AD170&lt;&gt;""),AC170*AD170,"")</f>
        <v/>
      </c>
      <c r="AF170" s="10">
        <f>IF(AND(AC170&lt;&gt;"",AE170&lt;&gt;""),AC170+AE170,"")</f>
        <v/>
      </c>
      <c r="AJ170">
        <f>IF($B170="GWE_Item",IF($AG170="Elektra",SUMIFS($U:$U,$A:$A,$A170,$B:$B,"GWE")-SUMIFS($T:$T,$A:$A,$A170,$B:$B,"GWE"),IF($AG170="Gas",SUMIFS($W:$W,$A:$A,$A170,$B:$B,"GWE")-SUMIFS($V:$V,$A:$A,$A170,$B:$B,"GWE"),IF($AG170="Water",SUMIFS($Y:$Y,$A:$A,$A170,$B:$B,"GWE")-SUMIFS($X:$X,$A:$A,$A170,$B:$B,"GWE"),""))),"")</f>
        <v/>
      </c>
      <c r="AL170" s="10">
        <f>IF(AND(AJ170&lt;&gt;"",AK170&lt;&gt;""),AJ170*AK170,"")</f>
        <v/>
      </c>
      <c r="AM170" s="11" t="n"/>
      <c r="AN170" s="10">
        <f>IF(AND(AL170&lt;&gt;"",AM170&lt;&gt;""),AL170*AM170,"")</f>
        <v/>
      </c>
      <c r="AO170" s="10">
        <f>IF(AND(AL170&lt;&gt;"",AN170&lt;&gt;""),AL170+AN170,"")</f>
        <v/>
      </c>
    </row>
    <row r="171">
      <c r="D171" s="8">
        <f>IF(A171="","",VLOOKUP(A171,Lists!$A:$B,2,FALSE))</f>
        <v/>
      </c>
      <c r="E171" s="8">
        <f>IF(C171="","",VLOOKUP(C171,Lists!$C:$D,2,FALSE))</f>
        <v/>
      </c>
      <c r="F171" s="8" t="n"/>
      <c r="G171" s="8" t="n"/>
      <c r="J171" s="9">
        <f>IF(A171="","",IFERROR(VLOOKUP(A171,Lists!$A:$H,8,FALSE),0))</f>
        <v/>
      </c>
      <c r="L171" s="9">
        <f>IF(A171="","",IFERROR(VLOOKUP(A171,Lists!$A:$H,7,FALSE),0))</f>
        <v/>
      </c>
      <c r="M171" s="10">
        <f>IF(K171="Eigen Beheer",0,IF(AND(ISNUMBER(L171),I171&lt;&gt;"",H171&lt;&gt;""),(L171*12/365)*(I171-H171),0))</f>
        <v/>
      </c>
      <c r="P171" s="8">
        <f>IF(O171="","",VLOOKUP(O171,Lists!$E:$F,2,FALSE))</f>
        <v/>
      </c>
      <c r="AC171" s="10">
        <f>IF(AND(AA171&lt;&gt;"",AB171&lt;&gt;""),AA171*AB171,"")</f>
        <v/>
      </c>
      <c r="AD171" s="11" t="n"/>
      <c r="AE171" s="10">
        <f>IF(AND(AC171&lt;&gt;"",AD171&lt;&gt;""),AC171*AD171,"")</f>
        <v/>
      </c>
      <c r="AF171" s="10">
        <f>IF(AND(AC171&lt;&gt;"",AE171&lt;&gt;""),AC171+AE171,"")</f>
        <v/>
      </c>
      <c r="AJ171">
        <f>IF($B171="GWE_Item",IF($AG171="Elektra",SUMIFS($U:$U,$A:$A,$A171,$B:$B,"GWE")-SUMIFS($T:$T,$A:$A,$A171,$B:$B,"GWE"),IF($AG171="Gas",SUMIFS($W:$W,$A:$A,$A171,$B:$B,"GWE")-SUMIFS($V:$V,$A:$A,$A171,$B:$B,"GWE"),IF($AG171="Water",SUMIFS($Y:$Y,$A:$A,$A171,$B:$B,"GWE")-SUMIFS($X:$X,$A:$A,$A171,$B:$B,"GWE"),""))),"")</f>
        <v/>
      </c>
      <c r="AL171" s="10">
        <f>IF(AND(AJ171&lt;&gt;"",AK171&lt;&gt;""),AJ171*AK171,"")</f>
        <v/>
      </c>
      <c r="AM171" s="11" t="n"/>
      <c r="AN171" s="10">
        <f>IF(AND(AL171&lt;&gt;"",AM171&lt;&gt;""),AL171*AM171,"")</f>
        <v/>
      </c>
      <c r="AO171" s="10">
        <f>IF(AND(AL171&lt;&gt;"",AN171&lt;&gt;""),AL171+AN171,"")</f>
        <v/>
      </c>
    </row>
    <row r="172">
      <c r="D172" s="8">
        <f>IF(A172="","",VLOOKUP(A172,Lists!$A:$B,2,FALSE))</f>
        <v/>
      </c>
      <c r="E172" s="8">
        <f>IF(C172="","",VLOOKUP(C172,Lists!$C:$D,2,FALSE))</f>
        <v/>
      </c>
      <c r="F172" s="8" t="n"/>
      <c r="G172" s="8" t="n"/>
      <c r="J172" s="9">
        <f>IF(A172="","",IFERROR(VLOOKUP(A172,Lists!$A:$H,8,FALSE),0))</f>
        <v/>
      </c>
      <c r="L172" s="9">
        <f>IF(A172="","",IFERROR(VLOOKUP(A172,Lists!$A:$H,7,FALSE),0))</f>
        <v/>
      </c>
      <c r="M172" s="10">
        <f>IF(K172="Eigen Beheer",0,IF(AND(ISNUMBER(L172),I172&lt;&gt;"",H172&lt;&gt;""),(L172*12/365)*(I172-H172),0))</f>
        <v/>
      </c>
      <c r="P172" s="8">
        <f>IF(O172="","",VLOOKUP(O172,Lists!$E:$F,2,FALSE))</f>
        <v/>
      </c>
      <c r="AC172" s="10">
        <f>IF(AND(AA172&lt;&gt;"",AB172&lt;&gt;""),AA172*AB172,"")</f>
        <v/>
      </c>
      <c r="AD172" s="11" t="n"/>
      <c r="AE172" s="10">
        <f>IF(AND(AC172&lt;&gt;"",AD172&lt;&gt;""),AC172*AD172,"")</f>
        <v/>
      </c>
      <c r="AF172" s="10">
        <f>IF(AND(AC172&lt;&gt;"",AE172&lt;&gt;""),AC172+AE172,"")</f>
        <v/>
      </c>
      <c r="AJ172">
        <f>IF($B172="GWE_Item",IF($AG172="Elektra",SUMIFS($U:$U,$A:$A,$A172,$B:$B,"GWE")-SUMIFS($T:$T,$A:$A,$A172,$B:$B,"GWE"),IF($AG172="Gas",SUMIFS($W:$W,$A:$A,$A172,$B:$B,"GWE")-SUMIFS($V:$V,$A:$A,$A172,$B:$B,"GWE"),IF($AG172="Water",SUMIFS($Y:$Y,$A:$A,$A172,$B:$B,"GWE")-SUMIFS($X:$X,$A:$A,$A172,$B:$B,"GWE"),""))),"")</f>
        <v/>
      </c>
      <c r="AL172" s="10">
        <f>IF(AND(AJ172&lt;&gt;"",AK172&lt;&gt;""),AJ172*AK172,"")</f>
        <v/>
      </c>
      <c r="AM172" s="11" t="n"/>
      <c r="AN172" s="10">
        <f>IF(AND(AL172&lt;&gt;"",AM172&lt;&gt;""),AL172*AM172,"")</f>
        <v/>
      </c>
      <c r="AO172" s="10">
        <f>IF(AND(AL172&lt;&gt;"",AN172&lt;&gt;""),AL172+AN172,"")</f>
        <v/>
      </c>
    </row>
    <row r="173">
      <c r="D173" s="8">
        <f>IF(A173="","",VLOOKUP(A173,Lists!$A:$B,2,FALSE))</f>
        <v/>
      </c>
      <c r="E173" s="8">
        <f>IF(C173="","",VLOOKUP(C173,Lists!$C:$D,2,FALSE))</f>
        <v/>
      </c>
      <c r="F173" s="8" t="n"/>
      <c r="G173" s="8" t="n"/>
      <c r="J173" s="9">
        <f>IF(A173="","",IFERROR(VLOOKUP(A173,Lists!$A:$H,8,FALSE),0))</f>
        <v/>
      </c>
      <c r="L173" s="9">
        <f>IF(A173="","",IFERROR(VLOOKUP(A173,Lists!$A:$H,7,FALSE),0))</f>
        <v/>
      </c>
      <c r="M173" s="10">
        <f>IF(K173="Eigen Beheer",0,IF(AND(ISNUMBER(L173),I173&lt;&gt;"",H173&lt;&gt;""),(L173*12/365)*(I173-H173),0))</f>
        <v/>
      </c>
      <c r="P173" s="8">
        <f>IF(O173="","",VLOOKUP(O173,Lists!$E:$F,2,FALSE))</f>
        <v/>
      </c>
      <c r="AC173" s="10">
        <f>IF(AND(AA173&lt;&gt;"",AB173&lt;&gt;""),AA173*AB173,"")</f>
        <v/>
      </c>
      <c r="AD173" s="11" t="n"/>
      <c r="AE173" s="10">
        <f>IF(AND(AC173&lt;&gt;"",AD173&lt;&gt;""),AC173*AD173,"")</f>
        <v/>
      </c>
      <c r="AF173" s="10">
        <f>IF(AND(AC173&lt;&gt;"",AE173&lt;&gt;""),AC173+AE173,"")</f>
        <v/>
      </c>
      <c r="AJ173">
        <f>IF($B173="GWE_Item",IF($AG173="Elektra",SUMIFS($U:$U,$A:$A,$A173,$B:$B,"GWE")-SUMIFS($T:$T,$A:$A,$A173,$B:$B,"GWE"),IF($AG173="Gas",SUMIFS($W:$W,$A:$A,$A173,$B:$B,"GWE")-SUMIFS($V:$V,$A:$A,$A173,$B:$B,"GWE"),IF($AG173="Water",SUMIFS($Y:$Y,$A:$A,$A173,$B:$B,"GWE")-SUMIFS($X:$X,$A:$A,$A173,$B:$B,"GWE"),""))),"")</f>
        <v/>
      </c>
      <c r="AL173" s="10">
        <f>IF(AND(AJ173&lt;&gt;"",AK173&lt;&gt;""),AJ173*AK173,"")</f>
        <v/>
      </c>
      <c r="AM173" s="11" t="n"/>
      <c r="AN173" s="10">
        <f>IF(AND(AL173&lt;&gt;"",AM173&lt;&gt;""),AL173*AM173,"")</f>
        <v/>
      </c>
      <c r="AO173" s="10">
        <f>IF(AND(AL173&lt;&gt;"",AN173&lt;&gt;""),AL173+AN173,"")</f>
        <v/>
      </c>
    </row>
    <row r="174">
      <c r="D174" s="8">
        <f>IF(A174="","",VLOOKUP(A174,Lists!$A:$B,2,FALSE))</f>
        <v/>
      </c>
      <c r="E174" s="8">
        <f>IF(C174="","",VLOOKUP(C174,Lists!$C:$D,2,FALSE))</f>
        <v/>
      </c>
      <c r="F174" s="8" t="n"/>
      <c r="G174" s="8" t="n"/>
      <c r="J174" s="9">
        <f>IF(A174="","",IFERROR(VLOOKUP(A174,Lists!$A:$H,8,FALSE),0))</f>
        <v/>
      </c>
      <c r="L174" s="9">
        <f>IF(A174="","",IFERROR(VLOOKUP(A174,Lists!$A:$H,7,FALSE),0))</f>
        <v/>
      </c>
      <c r="M174" s="10">
        <f>IF(K174="Eigen Beheer",0,IF(AND(ISNUMBER(L174),I174&lt;&gt;"",H174&lt;&gt;""),(L174*12/365)*(I174-H174),0))</f>
        <v/>
      </c>
      <c r="P174" s="8">
        <f>IF(O174="","",VLOOKUP(O174,Lists!$E:$F,2,FALSE))</f>
        <v/>
      </c>
      <c r="AC174" s="10">
        <f>IF(AND(AA174&lt;&gt;"",AB174&lt;&gt;""),AA174*AB174,"")</f>
        <v/>
      </c>
      <c r="AD174" s="11" t="n"/>
      <c r="AE174" s="10">
        <f>IF(AND(AC174&lt;&gt;"",AD174&lt;&gt;""),AC174*AD174,"")</f>
        <v/>
      </c>
      <c r="AF174" s="10">
        <f>IF(AND(AC174&lt;&gt;"",AE174&lt;&gt;""),AC174+AE174,"")</f>
        <v/>
      </c>
      <c r="AJ174">
        <f>IF($B174="GWE_Item",IF($AG174="Elektra",SUMIFS($U:$U,$A:$A,$A174,$B:$B,"GWE")-SUMIFS($T:$T,$A:$A,$A174,$B:$B,"GWE"),IF($AG174="Gas",SUMIFS($W:$W,$A:$A,$A174,$B:$B,"GWE")-SUMIFS($V:$V,$A:$A,$A174,$B:$B,"GWE"),IF($AG174="Water",SUMIFS($Y:$Y,$A:$A,$A174,$B:$B,"GWE")-SUMIFS($X:$X,$A:$A,$A174,$B:$B,"GWE"),""))),"")</f>
        <v/>
      </c>
      <c r="AL174" s="10">
        <f>IF(AND(AJ174&lt;&gt;"",AK174&lt;&gt;""),AJ174*AK174,"")</f>
        <v/>
      </c>
      <c r="AM174" s="11" t="n"/>
      <c r="AN174" s="10">
        <f>IF(AND(AL174&lt;&gt;"",AM174&lt;&gt;""),AL174*AM174,"")</f>
        <v/>
      </c>
      <c r="AO174" s="10">
        <f>IF(AND(AL174&lt;&gt;"",AN174&lt;&gt;""),AL174+AN174,"")</f>
        <v/>
      </c>
    </row>
    <row r="175">
      <c r="D175" s="8">
        <f>IF(A175="","",VLOOKUP(A175,Lists!$A:$B,2,FALSE))</f>
        <v/>
      </c>
      <c r="E175" s="8">
        <f>IF(C175="","",VLOOKUP(C175,Lists!$C:$D,2,FALSE))</f>
        <v/>
      </c>
      <c r="F175" s="8" t="n"/>
      <c r="G175" s="8" t="n"/>
      <c r="J175" s="9">
        <f>IF(A175="","",IFERROR(VLOOKUP(A175,Lists!$A:$H,8,FALSE),0))</f>
        <v/>
      </c>
      <c r="L175" s="9">
        <f>IF(A175="","",IFERROR(VLOOKUP(A175,Lists!$A:$H,7,FALSE),0))</f>
        <v/>
      </c>
      <c r="M175" s="10">
        <f>IF(K175="Eigen Beheer",0,IF(AND(ISNUMBER(L175),I175&lt;&gt;"",H175&lt;&gt;""),(L175*12/365)*(I175-H175),0))</f>
        <v/>
      </c>
      <c r="P175" s="8">
        <f>IF(O175="","",VLOOKUP(O175,Lists!$E:$F,2,FALSE))</f>
        <v/>
      </c>
      <c r="AC175" s="10">
        <f>IF(AND(AA175&lt;&gt;"",AB175&lt;&gt;""),AA175*AB175,"")</f>
        <v/>
      </c>
      <c r="AD175" s="11" t="n"/>
      <c r="AE175" s="10">
        <f>IF(AND(AC175&lt;&gt;"",AD175&lt;&gt;""),AC175*AD175,"")</f>
        <v/>
      </c>
      <c r="AF175" s="10">
        <f>IF(AND(AC175&lt;&gt;"",AE175&lt;&gt;""),AC175+AE175,"")</f>
        <v/>
      </c>
      <c r="AJ175">
        <f>IF($B175="GWE_Item",IF($AG175="Elektra",SUMIFS($U:$U,$A:$A,$A175,$B:$B,"GWE")-SUMIFS($T:$T,$A:$A,$A175,$B:$B,"GWE"),IF($AG175="Gas",SUMIFS($W:$W,$A:$A,$A175,$B:$B,"GWE")-SUMIFS($V:$V,$A:$A,$A175,$B:$B,"GWE"),IF($AG175="Water",SUMIFS($Y:$Y,$A:$A,$A175,$B:$B,"GWE")-SUMIFS($X:$X,$A:$A,$A175,$B:$B,"GWE"),""))),"")</f>
        <v/>
      </c>
      <c r="AL175" s="10">
        <f>IF(AND(AJ175&lt;&gt;"",AK175&lt;&gt;""),AJ175*AK175,"")</f>
        <v/>
      </c>
      <c r="AM175" s="11" t="n"/>
      <c r="AN175" s="10">
        <f>IF(AND(AL175&lt;&gt;"",AM175&lt;&gt;""),AL175*AM175,"")</f>
        <v/>
      </c>
      <c r="AO175" s="10">
        <f>IF(AND(AL175&lt;&gt;"",AN175&lt;&gt;""),AL175+AN175,"")</f>
        <v/>
      </c>
    </row>
    <row r="176">
      <c r="D176" s="8">
        <f>IF(A176="","",VLOOKUP(A176,Lists!$A:$B,2,FALSE))</f>
        <v/>
      </c>
      <c r="E176" s="8">
        <f>IF(C176="","",VLOOKUP(C176,Lists!$C:$D,2,FALSE))</f>
        <v/>
      </c>
      <c r="F176" s="8" t="n"/>
      <c r="G176" s="8" t="n"/>
      <c r="J176" s="9">
        <f>IF(A176="","",IFERROR(VLOOKUP(A176,Lists!$A:$H,8,FALSE),0))</f>
        <v/>
      </c>
      <c r="L176" s="9">
        <f>IF(A176="","",IFERROR(VLOOKUP(A176,Lists!$A:$H,7,FALSE),0))</f>
        <v/>
      </c>
      <c r="M176" s="10">
        <f>IF(K176="Eigen Beheer",0,IF(AND(ISNUMBER(L176),I176&lt;&gt;"",H176&lt;&gt;""),(L176*12/365)*(I176-H176),0))</f>
        <v/>
      </c>
      <c r="P176" s="8">
        <f>IF(O176="","",VLOOKUP(O176,Lists!$E:$F,2,FALSE))</f>
        <v/>
      </c>
      <c r="AC176" s="10">
        <f>IF(AND(AA176&lt;&gt;"",AB176&lt;&gt;""),AA176*AB176,"")</f>
        <v/>
      </c>
      <c r="AD176" s="11" t="n"/>
      <c r="AE176" s="10">
        <f>IF(AND(AC176&lt;&gt;"",AD176&lt;&gt;""),AC176*AD176,"")</f>
        <v/>
      </c>
      <c r="AF176" s="10">
        <f>IF(AND(AC176&lt;&gt;"",AE176&lt;&gt;""),AC176+AE176,"")</f>
        <v/>
      </c>
      <c r="AJ176">
        <f>IF($B176="GWE_Item",IF($AG176="Elektra",SUMIFS($U:$U,$A:$A,$A176,$B:$B,"GWE")-SUMIFS($T:$T,$A:$A,$A176,$B:$B,"GWE"),IF($AG176="Gas",SUMIFS($W:$W,$A:$A,$A176,$B:$B,"GWE")-SUMIFS($V:$V,$A:$A,$A176,$B:$B,"GWE"),IF($AG176="Water",SUMIFS($Y:$Y,$A:$A,$A176,$B:$B,"GWE")-SUMIFS($X:$X,$A:$A,$A176,$B:$B,"GWE"),""))),"")</f>
        <v/>
      </c>
      <c r="AL176" s="10">
        <f>IF(AND(AJ176&lt;&gt;"",AK176&lt;&gt;""),AJ176*AK176,"")</f>
        <v/>
      </c>
      <c r="AM176" s="11" t="n"/>
      <c r="AN176" s="10">
        <f>IF(AND(AL176&lt;&gt;"",AM176&lt;&gt;""),AL176*AM176,"")</f>
        <v/>
      </c>
      <c r="AO176" s="10">
        <f>IF(AND(AL176&lt;&gt;"",AN176&lt;&gt;""),AL176+AN176,"")</f>
        <v/>
      </c>
    </row>
    <row r="177">
      <c r="D177" s="8">
        <f>IF(A177="","",VLOOKUP(A177,Lists!$A:$B,2,FALSE))</f>
        <v/>
      </c>
      <c r="E177" s="8">
        <f>IF(C177="","",VLOOKUP(C177,Lists!$C:$D,2,FALSE))</f>
        <v/>
      </c>
      <c r="F177" s="8" t="n"/>
      <c r="G177" s="8" t="n"/>
      <c r="J177" s="9">
        <f>IF(A177="","",IFERROR(VLOOKUP(A177,Lists!$A:$H,8,FALSE),0))</f>
        <v/>
      </c>
      <c r="L177" s="9">
        <f>IF(A177="","",IFERROR(VLOOKUP(A177,Lists!$A:$H,7,FALSE),0))</f>
        <v/>
      </c>
      <c r="M177" s="10">
        <f>IF(K177="Eigen Beheer",0,IF(AND(ISNUMBER(L177),I177&lt;&gt;"",H177&lt;&gt;""),(L177*12/365)*(I177-H177),0))</f>
        <v/>
      </c>
      <c r="P177" s="8">
        <f>IF(O177="","",VLOOKUP(O177,Lists!$E:$F,2,FALSE))</f>
        <v/>
      </c>
      <c r="AC177" s="10">
        <f>IF(AND(AA177&lt;&gt;"",AB177&lt;&gt;""),AA177*AB177,"")</f>
        <v/>
      </c>
      <c r="AD177" s="11" t="n"/>
      <c r="AE177" s="10">
        <f>IF(AND(AC177&lt;&gt;"",AD177&lt;&gt;""),AC177*AD177,"")</f>
        <v/>
      </c>
      <c r="AF177" s="10">
        <f>IF(AND(AC177&lt;&gt;"",AE177&lt;&gt;""),AC177+AE177,"")</f>
        <v/>
      </c>
      <c r="AJ177">
        <f>IF($B177="GWE_Item",IF($AG177="Elektra",SUMIFS($U:$U,$A:$A,$A177,$B:$B,"GWE")-SUMIFS($T:$T,$A:$A,$A177,$B:$B,"GWE"),IF($AG177="Gas",SUMIFS($W:$W,$A:$A,$A177,$B:$B,"GWE")-SUMIFS($V:$V,$A:$A,$A177,$B:$B,"GWE"),IF($AG177="Water",SUMIFS($Y:$Y,$A:$A,$A177,$B:$B,"GWE")-SUMIFS($X:$X,$A:$A,$A177,$B:$B,"GWE"),""))),"")</f>
        <v/>
      </c>
      <c r="AL177" s="10">
        <f>IF(AND(AJ177&lt;&gt;"",AK177&lt;&gt;""),AJ177*AK177,"")</f>
        <v/>
      </c>
      <c r="AM177" s="11" t="n"/>
      <c r="AN177" s="10">
        <f>IF(AND(AL177&lt;&gt;"",AM177&lt;&gt;""),AL177*AM177,"")</f>
        <v/>
      </c>
      <c r="AO177" s="10">
        <f>IF(AND(AL177&lt;&gt;"",AN177&lt;&gt;""),AL177+AN177,"")</f>
        <v/>
      </c>
    </row>
    <row r="178">
      <c r="D178" s="8">
        <f>IF(A178="","",VLOOKUP(A178,Lists!$A:$B,2,FALSE))</f>
        <v/>
      </c>
      <c r="E178" s="8">
        <f>IF(C178="","",VLOOKUP(C178,Lists!$C:$D,2,FALSE))</f>
        <v/>
      </c>
      <c r="F178" s="8" t="n"/>
      <c r="G178" s="8" t="n"/>
      <c r="J178" s="9">
        <f>IF(A178="","",IFERROR(VLOOKUP(A178,Lists!$A:$H,8,FALSE),0))</f>
        <v/>
      </c>
      <c r="L178" s="9">
        <f>IF(A178="","",IFERROR(VLOOKUP(A178,Lists!$A:$H,7,FALSE),0))</f>
        <v/>
      </c>
      <c r="M178" s="10">
        <f>IF(K178="Eigen Beheer",0,IF(AND(ISNUMBER(L178),I178&lt;&gt;"",H178&lt;&gt;""),(L178*12/365)*(I178-H178),0))</f>
        <v/>
      </c>
      <c r="P178" s="8">
        <f>IF(O178="","",VLOOKUP(O178,Lists!$E:$F,2,FALSE))</f>
        <v/>
      </c>
      <c r="AC178" s="10">
        <f>IF(AND(AA178&lt;&gt;"",AB178&lt;&gt;""),AA178*AB178,"")</f>
        <v/>
      </c>
      <c r="AD178" s="11" t="n"/>
      <c r="AE178" s="10">
        <f>IF(AND(AC178&lt;&gt;"",AD178&lt;&gt;""),AC178*AD178,"")</f>
        <v/>
      </c>
      <c r="AF178" s="10">
        <f>IF(AND(AC178&lt;&gt;"",AE178&lt;&gt;""),AC178+AE178,"")</f>
        <v/>
      </c>
      <c r="AJ178">
        <f>IF($B178="GWE_Item",IF($AG178="Elektra",SUMIFS($U:$U,$A:$A,$A178,$B:$B,"GWE")-SUMIFS($T:$T,$A:$A,$A178,$B:$B,"GWE"),IF($AG178="Gas",SUMIFS($W:$W,$A:$A,$A178,$B:$B,"GWE")-SUMIFS($V:$V,$A:$A,$A178,$B:$B,"GWE"),IF($AG178="Water",SUMIFS($Y:$Y,$A:$A,$A178,$B:$B,"GWE")-SUMIFS($X:$X,$A:$A,$A178,$B:$B,"GWE"),""))),"")</f>
        <v/>
      </c>
      <c r="AL178" s="10">
        <f>IF(AND(AJ178&lt;&gt;"",AK178&lt;&gt;""),AJ178*AK178,"")</f>
        <v/>
      </c>
      <c r="AM178" s="11" t="n"/>
      <c r="AN178" s="10">
        <f>IF(AND(AL178&lt;&gt;"",AM178&lt;&gt;""),AL178*AM178,"")</f>
        <v/>
      </c>
      <c r="AO178" s="10">
        <f>IF(AND(AL178&lt;&gt;"",AN178&lt;&gt;""),AL178+AN178,"")</f>
        <v/>
      </c>
    </row>
    <row r="179">
      <c r="D179" s="8">
        <f>IF(A179="","",VLOOKUP(A179,Lists!$A:$B,2,FALSE))</f>
        <v/>
      </c>
      <c r="E179" s="8">
        <f>IF(C179="","",VLOOKUP(C179,Lists!$C:$D,2,FALSE))</f>
        <v/>
      </c>
      <c r="F179" s="8" t="n"/>
      <c r="G179" s="8" t="n"/>
      <c r="J179" s="9">
        <f>IF(A179="","",IFERROR(VLOOKUP(A179,Lists!$A:$H,8,FALSE),0))</f>
        <v/>
      </c>
      <c r="L179" s="9">
        <f>IF(A179="","",IFERROR(VLOOKUP(A179,Lists!$A:$H,7,FALSE),0))</f>
        <v/>
      </c>
      <c r="M179" s="10">
        <f>IF(K179="Eigen Beheer",0,IF(AND(ISNUMBER(L179),I179&lt;&gt;"",H179&lt;&gt;""),(L179*12/365)*(I179-H179),0))</f>
        <v/>
      </c>
      <c r="P179" s="8">
        <f>IF(O179="","",VLOOKUP(O179,Lists!$E:$F,2,FALSE))</f>
        <v/>
      </c>
      <c r="AC179" s="10">
        <f>IF(AND(AA179&lt;&gt;"",AB179&lt;&gt;""),AA179*AB179,"")</f>
        <v/>
      </c>
      <c r="AD179" s="11" t="n"/>
      <c r="AE179" s="10">
        <f>IF(AND(AC179&lt;&gt;"",AD179&lt;&gt;""),AC179*AD179,"")</f>
        <v/>
      </c>
      <c r="AF179" s="10">
        <f>IF(AND(AC179&lt;&gt;"",AE179&lt;&gt;""),AC179+AE179,"")</f>
        <v/>
      </c>
      <c r="AJ179">
        <f>IF($B179="GWE_Item",IF($AG179="Elektra",SUMIFS($U:$U,$A:$A,$A179,$B:$B,"GWE")-SUMIFS($T:$T,$A:$A,$A179,$B:$B,"GWE"),IF($AG179="Gas",SUMIFS($W:$W,$A:$A,$A179,$B:$B,"GWE")-SUMIFS($V:$V,$A:$A,$A179,$B:$B,"GWE"),IF($AG179="Water",SUMIFS($Y:$Y,$A:$A,$A179,$B:$B,"GWE")-SUMIFS($X:$X,$A:$A,$A179,$B:$B,"GWE"),""))),"")</f>
        <v/>
      </c>
      <c r="AL179" s="10">
        <f>IF(AND(AJ179&lt;&gt;"",AK179&lt;&gt;""),AJ179*AK179,"")</f>
        <v/>
      </c>
      <c r="AM179" s="11" t="n"/>
      <c r="AN179" s="10">
        <f>IF(AND(AL179&lt;&gt;"",AM179&lt;&gt;""),AL179*AM179,"")</f>
        <v/>
      </c>
      <c r="AO179" s="10">
        <f>IF(AND(AL179&lt;&gt;"",AN179&lt;&gt;""),AL179+AN179,"")</f>
        <v/>
      </c>
    </row>
    <row r="180">
      <c r="D180" s="8">
        <f>IF(A180="","",VLOOKUP(A180,Lists!$A:$B,2,FALSE))</f>
        <v/>
      </c>
      <c r="E180" s="8">
        <f>IF(C180="","",VLOOKUP(C180,Lists!$C:$D,2,FALSE))</f>
        <v/>
      </c>
      <c r="F180" s="8" t="n"/>
      <c r="G180" s="8" t="n"/>
      <c r="J180" s="9">
        <f>IF(A180="","",IFERROR(VLOOKUP(A180,Lists!$A:$H,8,FALSE),0))</f>
        <v/>
      </c>
      <c r="L180" s="9">
        <f>IF(A180="","",IFERROR(VLOOKUP(A180,Lists!$A:$H,7,FALSE),0))</f>
        <v/>
      </c>
      <c r="M180" s="10">
        <f>IF(K180="Eigen Beheer",0,IF(AND(ISNUMBER(L180),I180&lt;&gt;"",H180&lt;&gt;""),(L180*12/365)*(I180-H180),0))</f>
        <v/>
      </c>
      <c r="P180" s="8">
        <f>IF(O180="","",VLOOKUP(O180,Lists!$E:$F,2,FALSE))</f>
        <v/>
      </c>
      <c r="AC180" s="10">
        <f>IF(AND(AA180&lt;&gt;"",AB180&lt;&gt;""),AA180*AB180,"")</f>
        <v/>
      </c>
      <c r="AD180" s="11" t="n"/>
      <c r="AE180" s="10">
        <f>IF(AND(AC180&lt;&gt;"",AD180&lt;&gt;""),AC180*AD180,"")</f>
        <v/>
      </c>
      <c r="AF180" s="10">
        <f>IF(AND(AC180&lt;&gt;"",AE180&lt;&gt;""),AC180+AE180,"")</f>
        <v/>
      </c>
      <c r="AJ180">
        <f>IF($B180="GWE_Item",IF($AG180="Elektra",SUMIFS($U:$U,$A:$A,$A180,$B:$B,"GWE")-SUMIFS($T:$T,$A:$A,$A180,$B:$B,"GWE"),IF($AG180="Gas",SUMIFS($W:$W,$A:$A,$A180,$B:$B,"GWE")-SUMIFS($V:$V,$A:$A,$A180,$B:$B,"GWE"),IF($AG180="Water",SUMIFS($Y:$Y,$A:$A,$A180,$B:$B,"GWE")-SUMIFS($X:$X,$A:$A,$A180,$B:$B,"GWE"),""))),"")</f>
        <v/>
      </c>
      <c r="AL180" s="10">
        <f>IF(AND(AJ180&lt;&gt;"",AK180&lt;&gt;""),AJ180*AK180,"")</f>
        <v/>
      </c>
      <c r="AM180" s="11" t="n"/>
      <c r="AN180" s="10">
        <f>IF(AND(AL180&lt;&gt;"",AM180&lt;&gt;""),AL180*AM180,"")</f>
        <v/>
      </c>
      <c r="AO180" s="10">
        <f>IF(AND(AL180&lt;&gt;"",AN180&lt;&gt;""),AL180+AN180,"")</f>
        <v/>
      </c>
    </row>
    <row r="181">
      <c r="D181" s="8">
        <f>IF(A181="","",VLOOKUP(A181,Lists!$A:$B,2,FALSE))</f>
        <v/>
      </c>
      <c r="E181" s="8">
        <f>IF(C181="","",VLOOKUP(C181,Lists!$C:$D,2,FALSE))</f>
        <v/>
      </c>
      <c r="F181" s="8" t="n"/>
      <c r="G181" s="8" t="n"/>
      <c r="J181" s="9">
        <f>IF(A181="","",IFERROR(VLOOKUP(A181,Lists!$A:$H,8,FALSE),0))</f>
        <v/>
      </c>
      <c r="L181" s="9">
        <f>IF(A181="","",IFERROR(VLOOKUP(A181,Lists!$A:$H,7,FALSE),0))</f>
        <v/>
      </c>
      <c r="M181" s="10">
        <f>IF(K181="Eigen Beheer",0,IF(AND(ISNUMBER(L181),I181&lt;&gt;"",H181&lt;&gt;""),(L181*12/365)*(I181-H181),0))</f>
        <v/>
      </c>
      <c r="P181" s="8">
        <f>IF(O181="","",VLOOKUP(O181,Lists!$E:$F,2,FALSE))</f>
        <v/>
      </c>
      <c r="AC181" s="10">
        <f>IF(AND(AA181&lt;&gt;"",AB181&lt;&gt;""),AA181*AB181,"")</f>
        <v/>
      </c>
      <c r="AD181" s="11" t="n"/>
      <c r="AE181" s="10">
        <f>IF(AND(AC181&lt;&gt;"",AD181&lt;&gt;""),AC181*AD181,"")</f>
        <v/>
      </c>
      <c r="AF181" s="10">
        <f>IF(AND(AC181&lt;&gt;"",AE181&lt;&gt;""),AC181+AE181,"")</f>
        <v/>
      </c>
      <c r="AJ181">
        <f>IF($B181="GWE_Item",IF($AG181="Elektra",SUMIFS($U:$U,$A:$A,$A181,$B:$B,"GWE")-SUMIFS($T:$T,$A:$A,$A181,$B:$B,"GWE"),IF($AG181="Gas",SUMIFS($W:$W,$A:$A,$A181,$B:$B,"GWE")-SUMIFS($V:$V,$A:$A,$A181,$B:$B,"GWE"),IF($AG181="Water",SUMIFS($Y:$Y,$A:$A,$A181,$B:$B,"GWE")-SUMIFS($X:$X,$A:$A,$A181,$B:$B,"GWE"),""))),"")</f>
        <v/>
      </c>
      <c r="AL181" s="10">
        <f>IF(AND(AJ181&lt;&gt;"",AK181&lt;&gt;""),AJ181*AK181,"")</f>
        <v/>
      </c>
      <c r="AM181" s="11" t="n"/>
      <c r="AN181" s="10">
        <f>IF(AND(AL181&lt;&gt;"",AM181&lt;&gt;""),AL181*AM181,"")</f>
        <v/>
      </c>
      <c r="AO181" s="10">
        <f>IF(AND(AL181&lt;&gt;"",AN181&lt;&gt;""),AL181+AN181,"")</f>
        <v/>
      </c>
    </row>
    <row r="182">
      <c r="D182" s="8">
        <f>IF(A182="","",VLOOKUP(A182,Lists!$A:$B,2,FALSE))</f>
        <v/>
      </c>
      <c r="E182" s="8">
        <f>IF(C182="","",VLOOKUP(C182,Lists!$C:$D,2,FALSE))</f>
        <v/>
      </c>
      <c r="F182" s="8" t="n"/>
      <c r="G182" s="8" t="n"/>
      <c r="J182" s="9">
        <f>IF(A182="","",IFERROR(VLOOKUP(A182,Lists!$A:$H,8,FALSE),0))</f>
        <v/>
      </c>
      <c r="L182" s="9">
        <f>IF(A182="","",IFERROR(VLOOKUP(A182,Lists!$A:$H,7,FALSE),0))</f>
        <v/>
      </c>
      <c r="M182" s="10">
        <f>IF(K182="Eigen Beheer",0,IF(AND(ISNUMBER(L182),I182&lt;&gt;"",H182&lt;&gt;""),(L182*12/365)*(I182-H182),0))</f>
        <v/>
      </c>
      <c r="P182" s="8">
        <f>IF(O182="","",VLOOKUP(O182,Lists!$E:$F,2,FALSE))</f>
        <v/>
      </c>
      <c r="AC182" s="10">
        <f>IF(AND(AA182&lt;&gt;"",AB182&lt;&gt;""),AA182*AB182,"")</f>
        <v/>
      </c>
      <c r="AD182" s="11" t="n"/>
      <c r="AE182" s="10">
        <f>IF(AND(AC182&lt;&gt;"",AD182&lt;&gt;""),AC182*AD182,"")</f>
        <v/>
      </c>
      <c r="AF182" s="10">
        <f>IF(AND(AC182&lt;&gt;"",AE182&lt;&gt;""),AC182+AE182,"")</f>
        <v/>
      </c>
      <c r="AJ182">
        <f>IF($B182="GWE_Item",IF($AG182="Elektra",SUMIFS($U:$U,$A:$A,$A182,$B:$B,"GWE")-SUMIFS($T:$T,$A:$A,$A182,$B:$B,"GWE"),IF($AG182="Gas",SUMIFS($W:$W,$A:$A,$A182,$B:$B,"GWE")-SUMIFS($V:$V,$A:$A,$A182,$B:$B,"GWE"),IF($AG182="Water",SUMIFS($Y:$Y,$A:$A,$A182,$B:$B,"GWE")-SUMIFS($X:$X,$A:$A,$A182,$B:$B,"GWE"),""))),"")</f>
        <v/>
      </c>
      <c r="AL182" s="10">
        <f>IF(AND(AJ182&lt;&gt;"",AK182&lt;&gt;""),AJ182*AK182,"")</f>
        <v/>
      </c>
      <c r="AM182" s="11" t="n"/>
      <c r="AN182" s="10">
        <f>IF(AND(AL182&lt;&gt;"",AM182&lt;&gt;""),AL182*AM182,"")</f>
        <v/>
      </c>
      <c r="AO182" s="10">
        <f>IF(AND(AL182&lt;&gt;"",AN182&lt;&gt;""),AL182+AN182,"")</f>
        <v/>
      </c>
    </row>
    <row r="183">
      <c r="D183" s="8">
        <f>IF(A183="","",VLOOKUP(A183,Lists!$A:$B,2,FALSE))</f>
        <v/>
      </c>
      <c r="E183" s="8">
        <f>IF(C183="","",VLOOKUP(C183,Lists!$C:$D,2,FALSE))</f>
        <v/>
      </c>
      <c r="F183" s="8" t="n"/>
      <c r="G183" s="8" t="n"/>
      <c r="J183" s="9">
        <f>IF(A183="","",IFERROR(VLOOKUP(A183,Lists!$A:$H,8,FALSE),0))</f>
        <v/>
      </c>
      <c r="L183" s="9">
        <f>IF(A183="","",IFERROR(VLOOKUP(A183,Lists!$A:$H,7,FALSE),0))</f>
        <v/>
      </c>
      <c r="M183" s="10">
        <f>IF(K183="Eigen Beheer",0,IF(AND(ISNUMBER(L183),I183&lt;&gt;"",H183&lt;&gt;""),(L183*12/365)*(I183-H183),0))</f>
        <v/>
      </c>
      <c r="P183" s="8">
        <f>IF(O183="","",VLOOKUP(O183,Lists!$E:$F,2,FALSE))</f>
        <v/>
      </c>
      <c r="AC183" s="10">
        <f>IF(AND(AA183&lt;&gt;"",AB183&lt;&gt;""),AA183*AB183,"")</f>
        <v/>
      </c>
      <c r="AD183" s="11" t="n"/>
      <c r="AE183" s="10">
        <f>IF(AND(AC183&lt;&gt;"",AD183&lt;&gt;""),AC183*AD183,"")</f>
        <v/>
      </c>
      <c r="AF183" s="10">
        <f>IF(AND(AC183&lt;&gt;"",AE183&lt;&gt;""),AC183+AE183,"")</f>
        <v/>
      </c>
      <c r="AJ183">
        <f>IF($B183="GWE_Item",IF($AG183="Elektra",SUMIFS($U:$U,$A:$A,$A183,$B:$B,"GWE")-SUMIFS($T:$T,$A:$A,$A183,$B:$B,"GWE"),IF($AG183="Gas",SUMIFS($W:$W,$A:$A,$A183,$B:$B,"GWE")-SUMIFS($V:$V,$A:$A,$A183,$B:$B,"GWE"),IF($AG183="Water",SUMIFS($Y:$Y,$A:$A,$A183,$B:$B,"GWE")-SUMIFS($X:$X,$A:$A,$A183,$B:$B,"GWE"),""))),"")</f>
        <v/>
      </c>
      <c r="AL183" s="10">
        <f>IF(AND(AJ183&lt;&gt;"",AK183&lt;&gt;""),AJ183*AK183,"")</f>
        <v/>
      </c>
      <c r="AM183" s="11" t="n"/>
      <c r="AN183" s="10">
        <f>IF(AND(AL183&lt;&gt;"",AM183&lt;&gt;""),AL183*AM183,"")</f>
        <v/>
      </c>
      <c r="AO183" s="10">
        <f>IF(AND(AL183&lt;&gt;"",AN183&lt;&gt;""),AL183+AN183,"")</f>
        <v/>
      </c>
    </row>
    <row r="184">
      <c r="D184" s="8">
        <f>IF(A184="","",VLOOKUP(A184,Lists!$A:$B,2,FALSE))</f>
        <v/>
      </c>
      <c r="E184" s="8">
        <f>IF(C184="","",VLOOKUP(C184,Lists!$C:$D,2,FALSE))</f>
        <v/>
      </c>
      <c r="F184" s="8" t="n"/>
      <c r="G184" s="8" t="n"/>
      <c r="J184" s="9">
        <f>IF(A184="","",IFERROR(VLOOKUP(A184,Lists!$A:$H,8,FALSE),0))</f>
        <v/>
      </c>
      <c r="L184" s="9">
        <f>IF(A184="","",IFERROR(VLOOKUP(A184,Lists!$A:$H,7,FALSE),0))</f>
        <v/>
      </c>
      <c r="M184" s="10">
        <f>IF(K184="Eigen Beheer",0,IF(AND(ISNUMBER(L184),I184&lt;&gt;"",H184&lt;&gt;""),(L184*12/365)*(I184-H184),0))</f>
        <v/>
      </c>
      <c r="P184" s="8">
        <f>IF(O184="","",VLOOKUP(O184,Lists!$E:$F,2,FALSE))</f>
        <v/>
      </c>
      <c r="AC184" s="10">
        <f>IF(AND(AA184&lt;&gt;"",AB184&lt;&gt;""),AA184*AB184,"")</f>
        <v/>
      </c>
      <c r="AD184" s="11" t="n"/>
      <c r="AE184" s="10">
        <f>IF(AND(AC184&lt;&gt;"",AD184&lt;&gt;""),AC184*AD184,"")</f>
        <v/>
      </c>
      <c r="AF184" s="10">
        <f>IF(AND(AC184&lt;&gt;"",AE184&lt;&gt;""),AC184+AE184,"")</f>
        <v/>
      </c>
      <c r="AJ184">
        <f>IF($B184="GWE_Item",IF($AG184="Elektra",SUMIFS($U:$U,$A:$A,$A184,$B:$B,"GWE")-SUMIFS($T:$T,$A:$A,$A184,$B:$B,"GWE"),IF($AG184="Gas",SUMIFS($W:$W,$A:$A,$A184,$B:$B,"GWE")-SUMIFS($V:$V,$A:$A,$A184,$B:$B,"GWE"),IF($AG184="Water",SUMIFS($Y:$Y,$A:$A,$A184,$B:$B,"GWE")-SUMIFS($X:$X,$A:$A,$A184,$B:$B,"GWE"),""))),"")</f>
        <v/>
      </c>
      <c r="AL184" s="10">
        <f>IF(AND(AJ184&lt;&gt;"",AK184&lt;&gt;""),AJ184*AK184,"")</f>
        <v/>
      </c>
      <c r="AM184" s="11" t="n"/>
      <c r="AN184" s="10">
        <f>IF(AND(AL184&lt;&gt;"",AM184&lt;&gt;""),AL184*AM184,"")</f>
        <v/>
      </c>
      <c r="AO184" s="10">
        <f>IF(AND(AL184&lt;&gt;"",AN184&lt;&gt;""),AL184+AN184,"")</f>
        <v/>
      </c>
    </row>
    <row r="185">
      <c r="D185" s="8">
        <f>IF(A185="","",VLOOKUP(A185,Lists!$A:$B,2,FALSE))</f>
        <v/>
      </c>
      <c r="E185" s="8">
        <f>IF(C185="","",VLOOKUP(C185,Lists!$C:$D,2,FALSE))</f>
        <v/>
      </c>
      <c r="F185" s="8" t="n"/>
      <c r="G185" s="8" t="n"/>
      <c r="J185" s="9">
        <f>IF(A185="","",IFERROR(VLOOKUP(A185,Lists!$A:$H,8,FALSE),0))</f>
        <v/>
      </c>
      <c r="L185" s="9">
        <f>IF(A185="","",IFERROR(VLOOKUP(A185,Lists!$A:$H,7,FALSE),0))</f>
        <v/>
      </c>
      <c r="M185" s="10">
        <f>IF(K185="Eigen Beheer",0,IF(AND(ISNUMBER(L185),I185&lt;&gt;"",H185&lt;&gt;""),(L185*12/365)*(I185-H185),0))</f>
        <v/>
      </c>
      <c r="P185" s="8">
        <f>IF(O185="","",VLOOKUP(O185,Lists!$E:$F,2,FALSE))</f>
        <v/>
      </c>
      <c r="AC185" s="10">
        <f>IF(AND(AA185&lt;&gt;"",AB185&lt;&gt;""),AA185*AB185,"")</f>
        <v/>
      </c>
      <c r="AD185" s="11" t="n"/>
      <c r="AE185" s="10">
        <f>IF(AND(AC185&lt;&gt;"",AD185&lt;&gt;""),AC185*AD185,"")</f>
        <v/>
      </c>
      <c r="AF185" s="10">
        <f>IF(AND(AC185&lt;&gt;"",AE185&lt;&gt;""),AC185+AE185,"")</f>
        <v/>
      </c>
      <c r="AJ185">
        <f>IF($B185="GWE_Item",IF($AG185="Elektra",SUMIFS($U:$U,$A:$A,$A185,$B:$B,"GWE")-SUMIFS($T:$T,$A:$A,$A185,$B:$B,"GWE"),IF($AG185="Gas",SUMIFS($W:$W,$A:$A,$A185,$B:$B,"GWE")-SUMIFS($V:$V,$A:$A,$A185,$B:$B,"GWE"),IF($AG185="Water",SUMIFS($Y:$Y,$A:$A,$A185,$B:$B,"GWE")-SUMIFS($X:$X,$A:$A,$A185,$B:$B,"GWE"),""))),"")</f>
        <v/>
      </c>
      <c r="AL185" s="10">
        <f>IF(AND(AJ185&lt;&gt;"",AK185&lt;&gt;""),AJ185*AK185,"")</f>
        <v/>
      </c>
      <c r="AM185" s="11" t="n"/>
      <c r="AN185" s="10">
        <f>IF(AND(AL185&lt;&gt;"",AM185&lt;&gt;""),AL185*AM185,"")</f>
        <v/>
      </c>
      <c r="AO185" s="10">
        <f>IF(AND(AL185&lt;&gt;"",AN185&lt;&gt;""),AL185+AN185,"")</f>
        <v/>
      </c>
    </row>
    <row r="186">
      <c r="D186" s="8">
        <f>IF(A186="","",VLOOKUP(A186,Lists!$A:$B,2,FALSE))</f>
        <v/>
      </c>
      <c r="E186" s="8">
        <f>IF(C186="","",VLOOKUP(C186,Lists!$C:$D,2,FALSE))</f>
        <v/>
      </c>
      <c r="F186" s="8" t="n"/>
      <c r="G186" s="8" t="n"/>
      <c r="J186" s="9">
        <f>IF(A186="","",IFERROR(VLOOKUP(A186,Lists!$A:$H,8,FALSE),0))</f>
        <v/>
      </c>
      <c r="L186" s="9">
        <f>IF(A186="","",IFERROR(VLOOKUP(A186,Lists!$A:$H,7,FALSE),0))</f>
        <v/>
      </c>
      <c r="M186" s="10">
        <f>IF(K186="Eigen Beheer",0,IF(AND(ISNUMBER(L186),I186&lt;&gt;"",H186&lt;&gt;""),(L186*12/365)*(I186-H186),0))</f>
        <v/>
      </c>
      <c r="P186" s="8">
        <f>IF(O186="","",VLOOKUP(O186,Lists!$E:$F,2,FALSE))</f>
        <v/>
      </c>
      <c r="AC186" s="10">
        <f>IF(AND(AA186&lt;&gt;"",AB186&lt;&gt;""),AA186*AB186,"")</f>
        <v/>
      </c>
      <c r="AD186" s="11" t="n"/>
      <c r="AE186" s="10">
        <f>IF(AND(AC186&lt;&gt;"",AD186&lt;&gt;""),AC186*AD186,"")</f>
        <v/>
      </c>
      <c r="AF186" s="10">
        <f>IF(AND(AC186&lt;&gt;"",AE186&lt;&gt;""),AC186+AE186,"")</f>
        <v/>
      </c>
      <c r="AJ186">
        <f>IF($B186="GWE_Item",IF($AG186="Elektra",SUMIFS($U:$U,$A:$A,$A186,$B:$B,"GWE")-SUMIFS($T:$T,$A:$A,$A186,$B:$B,"GWE"),IF($AG186="Gas",SUMIFS($W:$W,$A:$A,$A186,$B:$B,"GWE")-SUMIFS($V:$V,$A:$A,$A186,$B:$B,"GWE"),IF($AG186="Water",SUMIFS($Y:$Y,$A:$A,$A186,$B:$B,"GWE")-SUMIFS($X:$X,$A:$A,$A186,$B:$B,"GWE"),""))),"")</f>
        <v/>
      </c>
      <c r="AL186" s="10">
        <f>IF(AND(AJ186&lt;&gt;"",AK186&lt;&gt;""),AJ186*AK186,"")</f>
        <v/>
      </c>
      <c r="AM186" s="11" t="n"/>
      <c r="AN186" s="10">
        <f>IF(AND(AL186&lt;&gt;"",AM186&lt;&gt;""),AL186*AM186,"")</f>
        <v/>
      </c>
      <c r="AO186" s="10">
        <f>IF(AND(AL186&lt;&gt;"",AN186&lt;&gt;""),AL186+AN186,"")</f>
        <v/>
      </c>
    </row>
    <row r="187">
      <c r="D187" s="8">
        <f>IF(A187="","",VLOOKUP(A187,Lists!$A:$B,2,FALSE))</f>
        <v/>
      </c>
      <c r="E187" s="8">
        <f>IF(C187="","",VLOOKUP(C187,Lists!$C:$D,2,FALSE))</f>
        <v/>
      </c>
      <c r="F187" s="8" t="n"/>
      <c r="G187" s="8" t="n"/>
      <c r="J187" s="9">
        <f>IF(A187="","",IFERROR(VLOOKUP(A187,Lists!$A:$H,8,FALSE),0))</f>
        <v/>
      </c>
      <c r="L187" s="9">
        <f>IF(A187="","",IFERROR(VLOOKUP(A187,Lists!$A:$H,7,FALSE),0))</f>
        <v/>
      </c>
      <c r="M187" s="10">
        <f>IF(K187="Eigen Beheer",0,IF(AND(ISNUMBER(L187),I187&lt;&gt;"",H187&lt;&gt;""),(L187*12/365)*(I187-H187),0))</f>
        <v/>
      </c>
      <c r="P187" s="8">
        <f>IF(O187="","",VLOOKUP(O187,Lists!$E:$F,2,FALSE))</f>
        <v/>
      </c>
      <c r="AC187" s="10">
        <f>IF(AND(AA187&lt;&gt;"",AB187&lt;&gt;""),AA187*AB187,"")</f>
        <v/>
      </c>
      <c r="AD187" s="11" t="n"/>
      <c r="AE187" s="10">
        <f>IF(AND(AC187&lt;&gt;"",AD187&lt;&gt;""),AC187*AD187,"")</f>
        <v/>
      </c>
      <c r="AF187" s="10">
        <f>IF(AND(AC187&lt;&gt;"",AE187&lt;&gt;""),AC187+AE187,"")</f>
        <v/>
      </c>
      <c r="AJ187">
        <f>IF($B187="GWE_Item",IF($AG187="Elektra",SUMIFS($U:$U,$A:$A,$A187,$B:$B,"GWE")-SUMIFS($T:$T,$A:$A,$A187,$B:$B,"GWE"),IF($AG187="Gas",SUMIFS($W:$W,$A:$A,$A187,$B:$B,"GWE")-SUMIFS($V:$V,$A:$A,$A187,$B:$B,"GWE"),IF($AG187="Water",SUMIFS($Y:$Y,$A:$A,$A187,$B:$B,"GWE")-SUMIFS($X:$X,$A:$A,$A187,$B:$B,"GWE"),""))),"")</f>
        <v/>
      </c>
      <c r="AL187" s="10">
        <f>IF(AND(AJ187&lt;&gt;"",AK187&lt;&gt;""),AJ187*AK187,"")</f>
        <v/>
      </c>
      <c r="AM187" s="11" t="n"/>
      <c r="AN187" s="10">
        <f>IF(AND(AL187&lt;&gt;"",AM187&lt;&gt;""),AL187*AM187,"")</f>
        <v/>
      </c>
      <c r="AO187" s="10">
        <f>IF(AND(AL187&lt;&gt;"",AN187&lt;&gt;""),AL187+AN187,"")</f>
        <v/>
      </c>
    </row>
    <row r="188">
      <c r="D188" s="8">
        <f>IF(A188="","",VLOOKUP(A188,Lists!$A:$B,2,FALSE))</f>
        <v/>
      </c>
      <c r="E188" s="8">
        <f>IF(C188="","",VLOOKUP(C188,Lists!$C:$D,2,FALSE))</f>
        <v/>
      </c>
      <c r="F188" s="8" t="n"/>
      <c r="G188" s="8" t="n"/>
      <c r="J188" s="9">
        <f>IF(A188="","",IFERROR(VLOOKUP(A188,Lists!$A:$H,8,FALSE),0))</f>
        <v/>
      </c>
      <c r="L188" s="9">
        <f>IF(A188="","",IFERROR(VLOOKUP(A188,Lists!$A:$H,7,FALSE),0))</f>
        <v/>
      </c>
      <c r="M188" s="10">
        <f>IF(K188="Eigen Beheer",0,IF(AND(ISNUMBER(L188),I188&lt;&gt;"",H188&lt;&gt;""),(L188*12/365)*(I188-H188),0))</f>
        <v/>
      </c>
      <c r="P188" s="8">
        <f>IF(O188="","",VLOOKUP(O188,Lists!$E:$F,2,FALSE))</f>
        <v/>
      </c>
      <c r="AC188" s="10">
        <f>IF(AND(AA188&lt;&gt;"",AB188&lt;&gt;""),AA188*AB188,"")</f>
        <v/>
      </c>
      <c r="AD188" s="11" t="n"/>
      <c r="AE188" s="10">
        <f>IF(AND(AC188&lt;&gt;"",AD188&lt;&gt;""),AC188*AD188,"")</f>
        <v/>
      </c>
      <c r="AF188" s="10">
        <f>IF(AND(AC188&lt;&gt;"",AE188&lt;&gt;""),AC188+AE188,"")</f>
        <v/>
      </c>
      <c r="AJ188">
        <f>IF($B188="GWE_Item",IF($AG188="Elektra",SUMIFS($U:$U,$A:$A,$A188,$B:$B,"GWE")-SUMIFS($T:$T,$A:$A,$A188,$B:$B,"GWE"),IF($AG188="Gas",SUMIFS($W:$W,$A:$A,$A188,$B:$B,"GWE")-SUMIFS($V:$V,$A:$A,$A188,$B:$B,"GWE"),IF($AG188="Water",SUMIFS($Y:$Y,$A:$A,$A188,$B:$B,"GWE")-SUMIFS($X:$X,$A:$A,$A188,$B:$B,"GWE"),""))),"")</f>
        <v/>
      </c>
      <c r="AL188" s="10">
        <f>IF(AND(AJ188&lt;&gt;"",AK188&lt;&gt;""),AJ188*AK188,"")</f>
        <v/>
      </c>
      <c r="AM188" s="11" t="n"/>
      <c r="AN188" s="10">
        <f>IF(AND(AL188&lt;&gt;"",AM188&lt;&gt;""),AL188*AM188,"")</f>
        <v/>
      </c>
      <c r="AO188" s="10">
        <f>IF(AND(AL188&lt;&gt;"",AN188&lt;&gt;""),AL188+AN188,"")</f>
        <v/>
      </c>
    </row>
    <row r="189">
      <c r="D189" s="8">
        <f>IF(A189="","",VLOOKUP(A189,Lists!$A:$B,2,FALSE))</f>
        <v/>
      </c>
      <c r="E189" s="8">
        <f>IF(C189="","",VLOOKUP(C189,Lists!$C:$D,2,FALSE))</f>
        <v/>
      </c>
      <c r="F189" s="8" t="n"/>
      <c r="G189" s="8" t="n"/>
      <c r="J189" s="9">
        <f>IF(A189="","",IFERROR(VLOOKUP(A189,Lists!$A:$H,8,FALSE),0))</f>
        <v/>
      </c>
      <c r="L189" s="9">
        <f>IF(A189="","",IFERROR(VLOOKUP(A189,Lists!$A:$H,7,FALSE),0))</f>
        <v/>
      </c>
      <c r="M189" s="10">
        <f>IF(K189="Eigen Beheer",0,IF(AND(ISNUMBER(L189),I189&lt;&gt;"",H189&lt;&gt;""),(L189*12/365)*(I189-H189),0))</f>
        <v/>
      </c>
      <c r="P189" s="8">
        <f>IF(O189="","",VLOOKUP(O189,Lists!$E:$F,2,FALSE))</f>
        <v/>
      </c>
      <c r="AC189" s="10">
        <f>IF(AND(AA189&lt;&gt;"",AB189&lt;&gt;""),AA189*AB189,"")</f>
        <v/>
      </c>
      <c r="AD189" s="11" t="n"/>
      <c r="AE189" s="10">
        <f>IF(AND(AC189&lt;&gt;"",AD189&lt;&gt;""),AC189*AD189,"")</f>
        <v/>
      </c>
      <c r="AF189" s="10">
        <f>IF(AND(AC189&lt;&gt;"",AE189&lt;&gt;""),AC189+AE189,"")</f>
        <v/>
      </c>
      <c r="AJ189">
        <f>IF($B189="GWE_Item",IF($AG189="Elektra",SUMIFS($U:$U,$A:$A,$A189,$B:$B,"GWE")-SUMIFS($T:$T,$A:$A,$A189,$B:$B,"GWE"),IF($AG189="Gas",SUMIFS($W:$W,$A:$A,$A189,$B:$B,"GWE")-SUMIFS($V:$V,$A:$A,$A189,$B:$B,"GWE"),IF($AG189="Water",SUMIFS($Y:$Y,$A:$A,$A189,$B:$B,"GWE")-SUMIFS($X:$X,$A:$A,$A189,$B:$B,"GWE"),""))),"")</f>
        <v/>
      </c>
      <c r="AL189" s="10">
        <f>IF(AND(AJ189&lt;&gt;"",AK189&lt;&gt;""),AJ189*AK189,"")</f>
        <v/>
      </c>
      <c r="AM189" s="11" t="n"/>
      <c r="AN189" s="10">
        <f>IF(AND(AL189&lt;&gt;"",AM189&lt;&gt;""),AL189*AM189,"")</f>
        <v/>
      </c>
      <c r="AO189" s="10">
        <f>IF(AND(AL189&lt;&gt;"",AN189&lt;&gt;""),AL189+AN189,"")</f>
        <v/>
      </c>
    </row>
    <row r="190">
      <c r="D190" s="8">
        <f>IF(A190="","",VLOOKUP(A190,Lists!$A:$B,2,FALSE))</f>
        <v/>
      </c>
      <c r="E190" s="8">
        <f>IF(C190="","",VLOOKUP(C190,Lists!$C:$D,2,FALSE))</f>
        <v/>
      </c>
      <c r="F190" s="8" t="n"/>
      <c r="G190" s="8" t="n"/>
      <c r="J190" s="9">
        <f>IF(A190="","",IFERROR(VLOOKUP(A190,Lists!$A:$H,8,FALSE),0))</f>
        <v/>
      </c>
      <c r="L190" s="9">
        <f>IF(A190="","",IFERROR(VLOOKUP(A190,Lists!$A:$H,7,FALSE),0))</f>
        <v/>
      </c>
      <c r="M190" s="10">
        <f>IF(K190="Eigen Beheer",0,IF(AND(ISNUMBER(L190),I190&lt;&gt;"",H190&lt;&gt;""),(L190*12/365)*(I190-H190),0))</f>
        <v/>
      </c>
      <c r="P190" s="8">
        <f>IF(O190="","",VLOOKUP(O190,Lists!$E:$F,2,FALSE))</f>
        <v/>
      </c>
      <c r="AC190" s="10">
        <f>IF(AND(AA190&lt;&gt;"",AB190&lt;&gt;""),AA190*AB190,"")</f>
        <v/>
      </c>
      <c r="AD190" s="11" t="n"/>
      <c r="AE190" s="10">
        <f>IF(AND(AC190&lt;&gt;"",AD190&lt;&gt;""),AC190*AD190,"")</f>
        <v/>
      </c>
      <c r="AF190" s="10">
        <f>IF(AND(AC190&lt;&gt;"",AE190&lt;&gt;""),AC190+AE190,"")</f>
        <v/>
      </c>
      <c r="AJ190">
        <f>IF($B190="GWE_Item",IF($AG190="Elektra",SUMIFS($U:$U,$A:$A,$A190,$B:$B,"GWE")-SUMIFS($T:$T,$A:$A,$A190,$B:$B,"GWE"),IF($AG190="Gas",SUMIFS($W:$W,$A:$A,$A190,$B:$B,"GWE")-SUMIFS($V:$V,$A:$A,$A190,$B:$B,"GWE"),IF($AG190="Water",SUMIFS($Y:$Y,$A:$A,$A190,$B:$B,"GWE")-SUMIFS($X:$X,$A:$A,$A190,$B:$B,"GWE"),""))),"")</f>
        <v/>
      </c>
      <c r="AL190" s="10">
        <f>IF(AND(AJ190&lt;&gt;"",AK190&lt;&gt;""),AJ190*AK190,"")</f>
        <v/>
      </c>
      <c r="AM190" s="11" t="n"/>
      <c r="AN190" s="10">
        <f>IF(AND(AL190&lt;&gt;"",AM190&lt;&gt;""),AL190*AM190,"")</f>
        <v/>
      </c>
      <c r="AO190" s="10">
        <f>IF(AND(AL190&lt;&gt;"",AN190&lt;&gt;""),AL190+AN190,"")</f>
        <v/>
      </c>
    </row>
    <row r="191">
      <c r="D191" s="8">
        <f>IF(A191="","",VLOOKUP(A191,Lists!$A:$B,2,FALSE))</f>
        <v/>
      </c>
      <c r="E191" s="8">
        <f>IF(C191="","",VLOOKUP(C191,Lists!$C:$D,2,FALSE))</f>
        <v/>
      </c>
      <c r="F191" s="8" t="n"/>
      <c r="G191" s="8" t="n"/>
      <c r="J191" s="9">
        <f>IF(A191="","",IFERROR(VLOOKUP(A191,Lists!$A:$H,8,FALSE),0))</f>
        <v/>
      </c>
      <c r="L191" s="9">
        <f>IF(A191="","",IFERROR(VLOOKUP(A191,Lists!$A:$H,7,FALSE),0))</f>
        <v/>
      </c>
      <c r="M191" s="10">
        <f>IF(K191="Eigen Beheer",0,IF(AND(ISNUMBER(L191),I191&lt;&gt;"",H191&lt;&gt;""),(L191*12/365)*(I191-H191),0))</f>
        <v/>
      </c>
      <c r="P191" s="8">
        <f>IF(O191="","",VLOOKUP(O191,Lists!$E:$F,2,FALSE))</f>
        <v/>
      </c>
      <c r="AC191" s="10">
        <f>IF(AND(AA191&lt;&gt;"",AB191&lt;&gt;""),AA191*AB191,"")</f>
        <v/>
      </c>
      <c r="AD191" s="11" t="n"/>
      <c r="AE191" s="10">
        <f>IF(AND(AC191&lt;&gt;"",AD191&lt;&gt;""),AC191*AD191,"")</f>
        <v/>
      </c>
      <c r="AF191" s="10">
        <f>IF(AND(AC191&lt;&gt;"",AE191&lt;&gt;""),AC191+AE191,"")</f>
        <v/>
      </c>
      <c r="AJ191">
        <f>IF($B191="GWE_Item",IF($AG191="Elektra",SUMIFS($U:$U,$A:$A,$A191,$B:$B,"GWE")-SUMIFS($T:$T,$A:$A,$A191,$B:$B,"GWE"),IF($AG191="Gas",SUMIFS($W:$W,$A:$A,$A191,$B:$B,"GWE")-SUMIFS($V:$V,$A:$A,$A191,$B:$B,"GWE"),IF($AG191="Water",SUMIFS($Y:$Y,$A:$A,$A191,$B:$B,"GWE")-SUMIFS($X:$X,$A:$A,$A191,$B:$B,"GWE"),""))),"")</f>
        <v/>
      </c>
      <c r="AL191" s="10">
        <f>IF(AND(AJ191&lt;&gt;"",AK191&lt;&gt;""),AJ191*AK191,"")</f>
        <v/>
      </c>
      <c r="AM191" s="11" t="n"/>
      <c r="AN191" s="10">
        <f>IF(AND(AL191&lt;&gt;"",AM191&lt;&gt;""),AL191*AM191,"")</f>
        <v/>
      </c>
      <c r="AO191" s="10">
        <f>IF(AND(AL191&lt;&gt;"",AN191&lt;&gt;""),AL191+AN191,"")</f>
        <v/>
      </c>
    </row>
    <row r="192">
      <c r="D192" s="8">
        <f>IF(A192="","",VLOOKUP(A192,Lists!$A:$B,2,FALSE))</f>
        <v/>
      </c>
      <c r="E192" s="8">
        <f>IF(C192="","",VLOOKUP(C192,Lists!$C:$D,2,FALSE))</f>
        <v/>
      </c>
      <c r="F192" s="8" t="n"/>
      <c r="G192" s="8" t="n"/>
      <c r="J192" s="9">
        <f>IF(A192="","",IFERROR(VLOOKUP(A192,Lists!$A:$H,8,FALSE),0))</f>
        <v/>
      </c>
      <c r="L192" s="9">
        <f>IF(A192="","",IFERROR(VLOOKUP(A192,Lists!$A:$H,7,FALSE),0))</f>
        <v/>
      </c>
      <c r="M192" s="10">
        <f>IF(K192="Eigen Beheer",0,IF(AND(ISNUMBER(L192),I192&lt;&gt;"",H192&lt;&gt;""),(L192*12/365)*(I192-H192),0))</f>
        <v/>
      </c>
      <c r="P192" s="8">
        <f>IF(O192="","",VLOOKUP(O192,Lists!$E:$F,2,FALSE))</f>
        <v/>
      </c>
      <c r="AC192" s="10">
        <f>IF(AND(AA192&lt;&gt;"",AB192&lt;&gt;""),AA192*AB192,"")</f>
        <v/>
      </c>
      <c r="AD192" s="11" t="n"/>
      <c r="AE192" s="10">
        <f>IF(AND(AC192&lt;&gt;"",AD192&lt;&gt;""),AC192*AD192,"")</f>
        <v/>
      </c>
      <c r="AF192" s="10">
        <f>IF(AND(AC192&lt;&gt;"",AE192&lt;&gt;""),AC192+AE192,"")</f>
        <v/>
      </c>
      <c r="AJ192">
        <f>IF($B192="GWE_Item",IF($AG192="Elektra",SUMIFS($U:$U,$A:$A,$A192,$B:$B,"GWE")-SUMIFS($T:$T,$A:$A,$A192,$B:$B,"GWE"),IF($AG192="Gas",SUMIFS($W:$W,$A:$A,$A192,$B:$B,"GWE")-SUMIFS($V:$V,$A:$A,$A192,$B:$B,"GWE"),IF($AG192="Water",SUMIFS($Y:$Y,$A:$A,$A192,$B:$B,"GWE")-SUMIFS($X:$X,$A:$A,$A192,$B:$B,"GWE"),""))),"")</f>
        <v/>
      </c>
      <c r="AL192" s="10">
        <f>IF(AND(AJ192&lt;&gt;"",AK192&lt;&gt;""),AJ192*AK192,"")</f>
        <v/>
      </c>
      <c r="AM192" s="11" t="n"/>
      <c r="AN192" s="10">
        <f>IF(AND(AL192&lt;&gt;"",AM192&lt;&gt;""),AL192*AM192,"")</f>
        <v/>
      </c>
      <c r="AO192" s="10">
        <f>IF(AND(AL192&lt;&gt;"",AN192&lt;&gt;""),AL192+AN192,"")</f>
        <v/>
      </c>
    </row>
    <row r="193">
      <c r="D193" s="8">
        <f>IF(A193="","",VLOOKUP(A193,Lists!$A:$B,2,FALSE))</f>
        <v/>
      </c>
      <c r="E193" s="8">
        <f>IF(C193="","",VLOOKUP(C193,Lists!$C:$D,2,FALSE))</f>
        <v/>
      </c>
      <c r="F193" s="8" t="n"/>
      <c r="G193" s="8" t="n"/>
      <c r="J193" s="9">
        <f>IF(A193="","",IFERROR(VLOOKUP(A193,Lists!$A:$H,8,FALSE),0))</f>
        <v/>
      </c>
      <c r="L193" s="9">
        <f>IF(A193="","",IFERROR(VLOOKUP(A193,Lists!$A:$H,7,FALSE),0))</f>
        <v/>
      </c>
      <c r="M193" s="10">
        <f>IF(K193="Eigen Beheer",0,IF(AND(ISNUMBER(L193),I193&lt;&gt;"",H193&lt;&gt;""),(L193*12/365)*(I193-H193),0))</f>
        <v/>
      </c>
      <c r="P193" s="8">
        <f>IF(O193="","",VLOOKUP(O193,Lists!$E:$F,2,FALSE))</f>
        <v/>
      </c>
      <c r="AC193" s="10">
        <f>IF(AND(AA193&lt;&gt;"",AB193&lt;&gt;""),AA193*AB193,"")</f>
        <v/>
      </c>
      <c r="AD193" s="11" t="n"/>
      <c r="AE193" s="10">
        <f>IF(AND(AC193&lt;&gt;"",AD193&lt;&gt;""),AC193*AD193,"")</f>
        <v/>
      </c>
      <c r="AF193" s="10">
        <f>IF(AND(AC193&lt;&gt;"",AE193&lt;&gt;""),AC193+AE193,"")</f>
        <v/>
      </c>
      <c r="AJ193">
        <f>IF($B193="GWE_Item",IF($AG193="Elektra",SUMIFS($U:$U,$A:$A,$A193,$B:$B,"GWE")-SUMIFS($T:$T,$A:$A,$A193,$B:$B,"GWE"),IF($AG193="Gas",SUMIFS($W:$W,$A:$A,$A193,$B:$B,"GWE")-SUMIFS($V:$V,$A:$A,$A193,$B:$B,"GWE"),IF($AG193="Water",SUMIFS($Y:$Y,$A:$A,$A193,$B:$B,"GWE")-SUMIFS($X:$X,$A:$A,$A193,$B:$B,"GWE"),""))),"")</f>
        <v/>
      </c>
      <c r="AL193" s="10">
        <f>IF(AND(AJ193&lt;&gt;"",AK193&lt;&gt;""),AJ193*AK193,"")</f>
        <v/>
      </c>
      <c r="AM193" s="11" t="n"/>
      <c r="AN193" s="10">
        <f>IF(AND(AL193&lt;&gt;"",AM193&lt;&gt;""),AL193*AM193,"")</f>
        <v/>
      </c>
      <c r="AO193" s="10">
        <f>IF(AND(AL193&lt;&gt;"",AN193&lt;&gt;""),AL193+AN193,"")</f>
        <v/>
      </c>
    </row>
    <row r="194">
      <c r="D194" s="8">
        <f>IF(A194="","",VLOOKUP(A194,Lists!$A:$B,2,FALSE))</f>
        <v/>
      </c>
      <c r="E194" s="8">
        <f>IF(C194="","",VLOOKUP(C194,Lists!$C:$D,2,FALSE))</f>
        <v/>
      </c>
      <c r="F194" s="8" t="n"/>
      <c r="G194" s="8" t="n"/>
      <c r="J194" s="9">
        <f>IF(A194="","",IFERROR(VLOOKUP(A194,Lists!$A:$H,8,FALSE),0))</f>
        <v/>
      </c>
      <c r="L194" s="9">
        <f>IF(A194="","",IFERROR(VLOOKUP(A194,Lists!$A:$H,7,FALSE),0))</f>
        <v/>
      </c>
      <c r="M194" s="10">
        <f>IF(K194="Eigen Beheer",0,IF(AND(ISNUMBER(L194),I194&lt;&gt;"",H194&lt;&gt;""),(L194*12/365)*(I194-H194),0))</f>
        <v/>
      </c>
      <c r="P194" s="8">
        <f>IF(O194="","",VLOOKUP(O194,Lists!$E:$F,2,FALSE))</f>
        <v/>
      </c>
      <c r="AC194" s="10">
        <f>IF(AND(AA194&lt;&gt;"",AB194&lt;&gt;""),AA194*AB194,"")</f>
        <v/>
      </c>
      <c r="AD194" s="11" t="n"/>
      <c r="AE194" s="10">
        <f>IF(AND(AC194&lt;&gt;"",AD194&lt;&gt;""),AC194*AD194,"")</f>
        <v/>
      </c>
      <c r="AF194" s="10">
        <f>IF(AND(AC194&lt;&gt;"",AE194&lt;&gt;""),AC194+AE194,"")</f>
        <v/>
      </c>
      <c r="AJ194">
        <f>IF($B194="GWE_Item",IF($AG194="Elektra",SUMIFS($U:$U,$A:$A,$A194,$B:$B,"GWE")-SUMIFS($T:$T,$A:$A,$A194,$B:$B,"GWE"),IF($AG194="Gas",SUMIFS($W:$W,$A:$A,$A194,$B:$B,"GWE")-SUMIFS($V:$V,$A:$A,$A194,$B:$B,"GWE"),IF($AG194="Water",SUMIFS($Y:$Y,$A:$A,$A194,$B:$B,"GWE")-SUMIFS($X:$X,$A:$A,$A194,$B:$B,"GWE"),""))),"")</f>
        <v/>
      </c>
      <c r="AL194" s="10">
        <f>IF(AND(AJ194&lt;&gt;"",AK194&lt;&gt;""),AJ194*AK194,"")</f>
        <v/>
      </c>
      <c r="AM194" s="11" t="n"/>
      <c r="AN194" s="10">
        <f>IF(AND(AL194&lt;&gt;"",AM194&lt;&gt;""),AL194*AM194,"")</f>
        <v/>
      </c>
      <c r="AO194" s="10">
        <f>IF(AND(AL194&lt;&gt;"",AN194&lt;&gt;""),AL194+AN194,"")</f>
        <v/>
      </c>
    </row>
    <row r="195">
      <c r="D195" s="8">
        <f>IF(A195="","",VLOOKUP(A195,Lists!$A:$B,2,FALSE))</f>
        <v/>
      </c>
      <c r="E195" s="8">
        <f>IF(C195="","",VLOOKUP(C195,Lists!$C:$D,2,FALSE))</f>
        <v/>
      </c>
      <c r="F195" s="8" t="n"/>
      <c r="G195" s="8" t="n"/>
      <c r="J195" s="9">
        <f>IF(A195="","",IFERROR(VLOOKUP(A195,Lists!$A:$H,8,FALSE),0))</f>
        <v/>
      </c>
      <c r="L195" s="9">
        <f>IF(A195="","",IFERROR(VLOOKUP(A195,Lists!$A:$H,7,FALSE),0))</f>
        <v/>
      </c>
      <c r="M195" s="10">
        <f>IF(K195="Eigen Beheer",0,IF(AND(ISNUMBER(L195),I195&lt;&gt;"",H195&lt;&gt;""),(L195*12/365)*(I195-H195),0))</f>
        <v/>
      </c>
      <c r="P195" s="8">
        <f>IF(O195="","",VLOOKUP(O195,Lists!$E:$F,2,FALSE))</f>
        <v/>
      </c>
      <c r="AC195" s="10">
        <f>IF(AND(AA195&lt;&gt;"",AB195&lt;&gt;""),AA195*AB195,"")</f>
        <v/>
      </c>
      <c r="AD195" s="11" t="n"/>
      <c r="AE195" s="10">
        <f>IF(AND(AC195&lt;&gt;"",AD195&lt;&gt;""),AC195*AD195,"")</f>
        <v/>
      </c>
      <c r="AF195" s="10">
        <f>IF(AND(AC195&lt;&gt;"",AE195&lt;&gt;""),AC195+AE195,"")</f>
        <v/>
      </c>
      <c r="AJ195">
        <f>IF($B195="GWE_Item",IF($AG195="Elektra",SUMIFS($U:$U,$A:$A,$A195,$B:$B,"GWE")-SUMIFS($T:$T,$A:$A,$A195,$B:$B,"GWE"),IF($AG195="Gas",SUMIFS($W:$W,$A:$A,$A195,$B:$B,"GWE")-SUMIFS($V:$V,$A:$A,$A195,$B:$B,"GWE"),IF($AG195="Water",SUMIFS($Y:$Y,$A:$A,$A195,$B:$B,"GWE")-SUMIFS($X:$X,$A:$A,$A195,$B:$B,"GWE"),""))),"")</f>
        <v/>
      </c>
      <c r="AL195" s="10">
        <f>IF(AND(AJ195&lt;&gt;"",AK195&lt;&gt;""),AJ195*AK195,"")</f>
        <v/>
      </c>
      <c r="AM195" s="11" t="n"/>
      <c r="AN195" s="10">
        <f>IF(AND(AL195&lt;&gt;"",AM195&lt;&gt;""),AL195*AM195,"")</f>
        <v/>
      </c>
      <c r="AO195" s="10">
        <f>IF(AND(AL195&lt;&gt;"",AN195&lt;&gt;""),AL195+AN195,"")</f>
        <v/>
      </c>
    </row>
    <row r="196">
      <c r="D196" s="8">
        <f>IF(A196="","",VLOOKUP(A196,Lists!$A:$B,2,FALSE))</f>
        <v/>
      </c>
      <c r="E196" s="8">
        <f>IF(C196="","",VLOOKUP(C196,Lists!$C:$D,2,FALSE))</f>
        <v/>
      </c>
      <c r="F196" s="8" t="n"/>
      <c r="G196" s="8" t="n"/>
      <c r="J196" s="9">
        <f>IF(A196="","",IFERROR(VLOOKUP(A196,Lists!$A:$H,8,FALSE),0))</f>
        <v/>
      </c>
      <c r="L196" s="9">
        <f>IF(A196="","",IFERROR(VLOOKUP(A196,Lists!$A:$H,7,FALSE),0))</f>
        <v/>
      </c>
      <c r="M196" s="10">
        <f>IF(K196="Eigen Beheer",0,IF(AND(ISNUMBER(L196),I196&lt;&gt;"",H196&lt;&gt;""),(L196*12/365)*(I196-H196),0))</f>
        <v/>
      </c>
      <c r="P196" s="8">
        <f>IF(O196="","",VLOOKUP(O196,Lists!$E:$F,2,FALSE))</f>
        <v/>
      </c>
      <c r="AC196" s="10">
        <f>IF(AND(AA196&lt;&gt;"",AB196&lt;&gt;""),AA196*AB196,"")</f>
        <v/>
      </c>
      <c r="AD196" s="11" t="n"/>
      <c r="AE196" s="10">
        <f>IF(AND(AC196&lt;&gt;"",AD196&lt;&gt;""),AC196*AD196,"")</f>
        <v/>
      </c>
      <c r="AF196" s="10">
        <f>IF(AND(AC196&lt;&gt;"",AE196&lt;&gt;""),AC196+AE196,"")</f>
        <v/>
      </c>
      <c r="AJ196">
        <f>IF($B196="GWE_Item",IF($AG196="Elektra",SUMIFS($U:$U,$A:$A,$A196,$B:$B,"GWE")-SUMIFS($T:$T,$A:$A,$A196,$B:$B,"GWE"),IF($AG196="Gas",SUMIFS($W:$W,$A:$A,$A196,$B:$B,"GWE")-SUMIFS($V:$V,$A:$A,$A196,$B:$B,"GWE"),IF($AG196="Water",SUMIFS($Y:$Y,$A:$A,$A196,$B:$B,"GWE")-SUMIFS($X:$X,$A:$A,$A196,$B:$B,"GWE"),""))),"")</f>
        <v/>
      </c>
      <c r="AL196" s="10">
        <f>IF(AND(AJ196&lt;&gt;"",AK196&lt;&gt;""),AJ196*AK196,"")</f>
        <v/>
      </c>
      <c r="AM196" s="11" t="n"/>
      <c r="AN196" s="10">
        <f>IF(AND(AL196&lt;&gt;"",AM196&lt;&gt;""),AL196*AM196,"")</f>
        <v/>
      </c>
      <c r="AO196" s="10">
        <f>IF(AND(AL196&lt;&gt;"",AN196&lt;&gt;""),AL196+AN196,"")</f>
        <v/>
      </c>
    </row>
    <row r="197">
      <c r="D197" s="8">
        <f>IF(A197="","",VLOOKUP(A197,Lists!$A:$B,2,FALSE))</f>
        <v/>
      </c>
      <c r="E197" s="8">
        <f>IF(C197="","",VLOOKUP(C197,Lists!$C:$D,2,FALSE))</f>
        <v/>
      </c>
      <c r="F197" s="8" t="n"/>
      <c r="G197" s="8" t="n"/>
      <c r="J197" s="9">
        <f>IF(A197="","",IFERROR(VLOOKUP(A197,Lists!$A:$H,8,FALSE),0))</f>
        <v/>
      </c>
      <c r="L197" s="9">
        <f>IF(A197="","",IFERROR(VLOOKUP(A197,Lists!$A:$H,7,FALSE),0))</f>
        <v/>
      </c>
      <c r="M197" s="10">
        <f>IF(K197="Eigen Beheer",0,IF(AND(ISNUMBER(L197),I197&lt;&gt;"",H197&lt;&gt;""),(L197*12/365)*(I197-H197),0))</f>
        <v/>
      </c>
      <c r="P197" s="8">
        <f>IF(O197="","",VLOOKUP(O197,Lists!$E:$F,2,FALSE))</f>
        <v/>
      </c>
      <c r="AC197" s="10">
        <f>IF(AND(AA197&lt;&gt;"",AB197&lt;&gt;""),AA197*AB197,"")</f>
        <v/>
      </c>
      <c r="AD197" s="11" t="n"/>
      <c r="AE197" s="10">
        <f>IF(AND(AC197&lt;&gt;"",AD197&lt;&gt;""),AC197*AD197,"")</f>
        <v/>
      </c>
      <c r="AF197" s="10">
        <f>IF(AND(AC197&lt;&gt;"",AE197&lt;&gt;""),AC197+AE197,"")</f>
        <v/>
      </c>
      <c r="AJ197">
        <f>IF($B197="GWE_Item",IF($AG197="Elektra",SUMIFS($U:$U,$A:$A,$A197,$B:$B,"GWE")-SUMIFS($T:$T,$A:$A,$A197,$B:$B,"GWE"),IF($AG197="Gas",SUMIFS($W:$W,$A:$A,$A197,$B:$B,"GWE")-SUMIFS($V:$V,$A:$A,$A197,$B:$B,"GWE"),IF($AG197="Water",SUMIFS($Y:$Y,$A:$A,$A197,$B:$B,"GWE")-SUMIFS($X:$X,$A:$A,$A197,$B:$B,"GWE"),""))),"")</f>
        <v/>
      </c>
      <c r="AL197" s="10">
        <f>IF(AND(AJ197&lt;&gt;"",AK197&lt;&gt;""),AJ197*AK197,"")</f>
        <v/>
      </c>
      <c r="AM197" s="11" t="n"/>
      <c r="AN197" s="10">
        <f>IF(AND(AL197&lt;&gt;"",AM197&lt;&gt;""),AL197*AM197,"")</f>
        <v/>
      </c>
      <c r="AO197" s="10">
        <f>IF(AND(AL197&lt;&gt;"",AN197&lt;&gt;""),AL197+AN197,"")</f>
        <v/>
      </c>
    </row>
    <row r="198">
      <c r="D198" s="8">
        <f>IF(A198="","",VLOOKUP(A198,Lists!$A:$B,2,FALSE))</f>
        <v/>
      </c>
      <c r="E198" s="8">
        <f>IF(C198="","",VLOOKUP(C198,Lists!$C:$D,2,FALSE))</f>
        <v/>
      </c>
      <c r="F198" s="8" t="n"/>
      <c r="G198" s="8" t="n"/>
      <c r="J198" s="9">
        <f>IF(A198="","",IFERROR(VLOOKUP(A198,Lists!$A:$H,8,FALSE),0))</f>
        <v/>
      </c>
      <c r="L198" s="9">
        <f>IF(A198="","",IFERROR(VLOOKUP(A198,Lists!$A:$H,7,FALSE),0))</f>
        <v/>
      </c>
      <c r="M198" s="10">
        <f>IF(K198="Eigen Beheer",0,IF(AND(ISNUMBER(L198),I198&lt;&gt;"",H198&lt;&gt;""),(L198*12/365)*(I198-H198),0))</f>
        <v/>
      </c>
      <c r="P198" s="8">
        <f>IF(O198="","",VLOOKUP(O198,Lists!$E:$F,2,FALSE))</f>
        <v/>
      </c>
      <c r="AC198" s="10">
        <f>IF(AND(AA198&lt;&gt;"",AB198&lt;&gt;""),AA198*AB198,"")</f>
        <v/>
      </c>
      <c r="AD198" s="11" t="n"/>
      <c r="AE198" s="10">
        <f>IF(AND(AC198&lt;&gt;"",AD198&lt;&gt;""),AC198*AD198,"")</f>
        <v/>
      </c>
      <c r="AF198" s="10">
        <f>IF(AND(AC198&lt;&gt;"",AE198&lt;&gt;""),AC198+AE198,"")</f>
        <v/>
      </c>
      <c r="AJ198">
        <f>IF($B198="GWE_Item",IF($AG198="Elektra",SUMIFS($U:$U,$A:$A,$A198,$B:$B,"GWE")-SUMIFS($T:$T,$A:$A,$A198,$B:$B,"GWE"),IF($AG198="Gas",SUMIFS($W:$W,$A:$A,$A198,$B:$B,"GWE")-SUMIFS($V:$V,$A:$A,$A198,$B:$B,"GWE"),IF($AG198="Water",SUMIFS($Y:$Y,$A:$A,$A198,$B:$B,"GWE")-SUMIFS($X:$X,$A:$A,$A198,$B:$B,"GWE"),""))),"")</f>
        <v/>
      </c>
      <c r="AL198" s="10">
        <f>IF(AND(AJ198&lt;&gt;"",AK198&lt;&gt;""),AJ198*AK198,"")</f>
        <v/>
      </c>
      <c r="AM198" s="11" t="n"/>
      <c r="AN198" s="10">
        <f>IF(AND(AL198&lt;&gt;"",AM198&lt;&gt;""),AL198*AM198,"")</f>
        <v/>
      </c>
      <c r="AO198" s="10">
        <f>IF(AND(AL198&lt;&gt;"",AN198&lt;&gt;""),AL198+AN198,"")</f>
        <v/>
      </c>
    </row>
    <row r="199">
      <c r="D199" s="8">
        <f>IF(A199="","",VLOOKUP(A199,Lists!$A:$B,2,FALSE))</f>
        <v/>
      </c>
      <c r="E199" s="8">
        <f>IF(C199="","",VLOOKUP(C199,Lists!$C:$D,2,FALSE))</f>
        <v/>
      </c>
      <c r="F199" s="8" t="n"/>
      <c r="G199" s="8" t="n"/>
      <c r="J199" s="9">
        <f>IF(A199="","",IFERROR(VLOOKUP(A199,Lists!$A:$H,8,FALSE),0))</f>
        <v/>
      </c>
      <c r="L199" s="9">
        <f>IF(A199="","",IFERROR(VLOOKUP(A199,Lists!$A:$H,7,FALSE),0))</f>
        <v/>
      </c>
      <c r="M199" s="10">
        <f>IF(K199="Eigen Beheer",0,IF(AND(ISNUMBER(L199),I199&lt;&gt;"",H199&lt;&gt;""),(L199*12/365)*(I199-H199),0))</f>
        <v/>
      </c>
      <c r="P199" s="8">
        <f>IF(O199="","",VLOOKUP(O199,Lists!$E:$F,2,FALSE))</f>
        <v/>
      </c>
      <c r="AC199" s="10">
        <f>IF(AND(AA199&lt;&gt;"",AB199&lt;&gt;""),AA199*AB199,"")</f>
        <v/>
      </c>
      <c r="AD199" s="11" t="n"/>
      <c r="AE199" s="10">
        <f>IF(AND(AC199&lt;&gt;"",AD199&lt;&gt;""),AC199*AD199,"")</f>
        <v/>
      </c>
      <c r="AF199" s="10">
        <f>IF(AND(AC199&lt;&gt;"",AE199&lt;&gt;""),AC199+AE199,"")</f>
        <v/>
      </c>
      <c r="AJ199">
        <f>IF($B199="GWE_Item",IF($AG199="Elektra",SUMIFS($U:$U,$A:$A,$A199,$B:$B,"GWE")-SUMIFS($T:$T,$A:$A,$A199,$B:$B,"GWE"),IF($AG199="Gas",SUMIFS($W:$W,$A:$A,$A199,$B:$B,"GWE")-SUMIFS($V:$V,$A:$A,$A199,$B:$B,"GWE"),IF($AG199="Water",SUMIFS($Y:$Y,$A:$A,$A199,$B:$B,"GWE")-SUMIFS($X:$X,$A:$A,$A199,$B:$B,"GWE"),""))),"")</f>
        <v/>
      </c>
      <c r="AL199" s="10">
        <f>IF(AND(AJ199&lt;&gt;"",AK199&lt;&gt;""),AJ199*AK199,"")</f>
        <v/>
      </c>
      <c r="AM199" s="11" t="n"/>
      <c r="AN199" s="10">
        <f>IF(AND(AL199&lt;&gt;"",AM199&lt;&gt;""),AL199*AM199,"")</f>
        <v/>
      </c>
      <c r="AO199" s="10">
        <f>IF(AND(AL199&lt;&gt;"",AN199&lt;&gt;""),AL199+AN199,"")</f>
        <v/>
      </c>
    </row>
    <row r="200">
      <c r="D200" s="8">
        <f>IF(A200="","",VLOOKUP(A200,Lists!$A:$B,2,FALSE))</f>
        <v/>
      </c>
      <c r="E200" s="8">
        <f>IF(C200="","",VLOOKUP(C200,Lists!$C:$D,2,FALSE))</f>
        <v/>
      </c>
      <c r="F200" s="8" t="n"/>
      <c r="G200" s="8" t="n"/>
      <c r="J200" s="9">
        <f>IF(A200="","",IFERROR(VLOOKUP(A200,Lists!$A:$H,8,FALSE),0))</f>
        <v/>
      </c>
      <c r="L200" s="9">
        <f>IF(A200="","",IFERROR(VLOOKUP(A200,Lists!$A:$H,7,FALSE),0))</f>
        <v/>
      </c>
      <c r="M200" s="10">
        <f>IF(K200="Eigen Beheer",0,IF(AND(ISNUMBER(L200),I200&lt;&gt;"",H200&lt;&gt;""),(L200*12/365)*(I200-H200),0))</f>
        <v/>
      </c>
      <c r="P200" s="8">
        <f>IF(O200="","",VLOOKUP(O200,Lists!$E:$F,2,FALSE))</f>
        <v/>
      </c>
      <c r="AC200" s="10">
        <f>IF(AND(AA200&lt;&gt;"",AB200&lt;&gt;""),AA200*AB200,"")</f>
        <v/>
      </c>
      <c r="AD200" s="11" t="n"/>
      <c r="AE200" s="10">
        <f>IF(AND(AC200&lt;&gt;"",AD200&lt;&gt;""),AC200*AD200,"")</f>
        <v/>
      </c>
      <c r="AF200" s="10">
        <f>IF(AND(AC200&lt;&gt;"",AE200&lt;&gt;""),AC200+AE200,"")</f>
        <v/>
      </c>
      <c r="AJ200">
        <f>IF($B200="GWE_Item",IF($AG200="Elektra",SUMIFS($U:$U,$A:$A,$A200,$B:$B,"GWE")-SUMIFS($T:$T,$A:$A,$A200,$B:$B,"GWE"),IF($AG200="Gas",SUMIFS($W:$W,$A:$A,$A200,$B:$B,"GWE")-SUMIFS($V:$V,$A:$A,$A200,$B:$B,"GWE"),IF($AG200="Water",SUMIFS($Y:$Y,$A:$A,$A200,$B:$B,"GWE")-SUMIFS($X:$X,$A:$A,$A200,$B:$B,"GWE"),""))),"")</f>
        <v/>
      </c>
      <c r="AL200" s="10">
        <f>IF(AND(AJ200&lt;&gt;"",AK200&lt;&gt;""),AJ200*AK200,"")</f>
        <v/>
      </c>
      <c r="AM200" s="11" t="n"/>
      <c r="AN200" s="10">
        <f>IF(AND(AL200&lt;&gt;"",AM200&lt;&gt;""),AL200*AM200,"")</f>
        <v/>
      </c>
      <c r="AO200" s="10">
        <f>IF(AND(AL200&lt;&gt;"",AN200&lt;&gt;""),AL200+AN200,"")</f>
        <v/>
      </c>
    </row>
    <row r="201">
      <c r="D201" s="8">
        <f>IF(A201="","",VLOOKUP(A201,Lists!$A:$B,2,FALSE))</f>
        <v/>
      </c>
      <c r="E201" s="8">
        <f>IF(C201="","",VLOOKUP(C201,Lists!$C:$D,2,FALSE))</f>
        <v/>
      </c>
      <c r="F201" s="8" t="n"/>
      <c r="G201" s="8" t="n"/>
      <c r="J201" s="9">
        <f>IF(A201="","",IFERROR(VLOOKUP(A201,Lists!$A:$H,8,FALSE),0))</f>
        <v/>
      </c>
      <c r="L201" s="9">
        <f>IF(A201="","",IFERROR(VLOOKUP(A201,Lists!$A:$H,7,FALSE),0))</f>
        <v/>
      </c>
      <c r="M201" s="10">
        <f>IF(K201="Eigen Beheer",0,IF(AND(ISNUMBER(L201),I201&lt;&gt;"",H201&lt;&gt;""),(L201*12/365)*(I201-H201),0))</f>
        <v/>
      </c>
      <c r="P201" s="8">
        <f>IF(O201="","",VLOOKUP(O201,Lists!$E:$F,2,FALSE))</f>
        <v/>
      </c>
      <c r="AC201" s="10">
        <f>IF(AND(AA201&lt;&gt;"",AB201&lt;&gt;""),AA201*AB201,"")</f>
        <v/>
      </c>
      <c r="AD201" s="11" t="n"/>
      <c r="AE201" s="10">
        <f>IF(AND(AC201&lt;&gt;"",AD201&lt;&gt;""),AC201*AD201,"")</f>
        <v/>
      </c>
      <c r="AF201" s="10">
        <f>IF(AND(AC201&lt;&gt;"",AE201&lt;&gt;""),AC201+AE201,"")</f>
        <v/>
      </c>
      <c r="AJ201">
        <f>IF($B201="GWE_Item",IF($AG201="Elektra",SUMIFS($U:$U,$A:$A,$A201,$B:$B,"GWE")-SUMIFS($T:$T,$A:$A,$A201,$B:$B,"GWE"),IF($AG201="Gas",SUMIFS($W:$W,$A:$A,$A201,$B:$B,"GWE")-SUMIFS($V:$V,$A:$A,$A201,$B:$B,"GWE"),IF($AG201="Water",SUMIFS($Y:$Y,$A:$A,$A201,$B:$B,"GWE")-SUMIFS($X:$X,$A:$A,$A201,$B:$B,"GWE"),""))),"")</f>
        <v/>
      </c>
      <c r="AL201" s="10">
        <f>IF(AND(AJ201&lt;&gt;"",AK201&lt;&gt;""),AJ201*AK201,"")</f>
        <v/>
      </c>
      <c r="AM201" s="11" t="n"/>
      <c r="AN201" s="10">
        <f>IF(AND(AL201&lt;&gt;"",AM201&lt;&gt;""),AL201*AM201,"")</f>
        <v/>
      </c>
      <c r="AO201" s="10">
        <f>IF(AND(AL201&lt;&gt;"",AN201&lt;&gt;""),AL201+AN201,"")</f>
        <v/>
      </c>
    </row>
  </sheetData>
  <conditionalFormatting sqref="D2:S2 D3:I14 D15:G15 D16:S5000 J3:S15">
    <cfRule type="expression" priority="9" dxfId="0" stopIfTrue="1">
      <formula>$B2&lt;&gt;"Basis"</formula>
    </cfRule>
  </conditionalFormatting>
  <conditionalFormatting sqref="T3:Y5000">
    <cfRule type="expression" priority="10" dxfId="0" stopIfTrue="1">
      <formula>$B3&lt;&gt;"GWE"</formula>
    </cfRule>
  </conditionalFormatting>
  <conditionalFormatting sqref="Z2:AF13 Z15:AF5000 AC14:AF14">
    <cfRule type="expression" priority="11" dxfId="0" stopIfTrue="1">
      <formula>$B2&lt;&gt;"Schoonmaak"</formula>
    </cfRule>
  </conditionalFormatting>
  <conditionalFormatting sqref="AG2:AO2 AG14:AO5000 AJ3:AJ13 AL3:AL13 AN3:AO13">
    <cfRule type="expression" priority="12" dxfId="0" stopIfTrue="1">
      <formula>AND($B2&lt;&gt;"Schade",$B2&lt;&gt;"Extra",$B2&lt;&gt;"GWE_Item")</formula>
    </cfRule>
  </conditionalFormatting>
  <conditionalFormatting sqref="H15:I15">
    <cfRule type="expression" priority="8" dxfId="0" stopIfTrue="1">
      <formula>$B15&lt;&gt;"Basis"</formula>
    </cfRule>
  </conditionalFormatting>
  <conditionalFormatting sqref="T2:Y2">
    <cfRule type="expression" priority="7" dxfId="0" stopIfTrue="1">
      <formula>$B2&lt;&gt;"GWE"</formula>
    </cfRule>
  </conditionalFormatting>
  <conditionalFormatting sqref="Z14:AB14">
    <cfRule type="expression" priority="6" dxfId="0" stopIfTrue="1">
      <formula>$B14&lt;&gt;"Schoonmaak"</formula>
    </cfRule>
  </conditionalFormatting>
  <conditionalFormatting sqref="AG3:AG13">
    <cfRule type="expression" priority="5" dxfId="0" stopIfTrue="1">
      <formula>AND($B3&lt;&gt;"Schade",$B3&lt;&gt;"Extra",$B3&lt;&gt;"GWE_Item")</formula>
    </cfRule>
  </conditionalFormatting>
  <conditionalFormatting sqref="AH3:AH13">
    <cfRule type="expression" priority="4" dxfId="0" stopIfTrue="1">
      <formula>AND($B3&lt;&gt;"Schade",$B3&lt;&gt;"Extra",$B3&lt;&gt;"GWE_Item")</formula>
    </cfRule>
  </conditionalFormatting>
  <conditionalFormatting sqref="AI3:AI13">
    <cfRule type="expression" priority="3" dxfId="0" stopIfTrue="1">
      <formula>AND($B3&lt;&gt;"Schade",$B3&lt;&gt;"Extra",$B3&lt;&gt;"GWE_Item")</formula>
    </cfRule>
  </conditionalFormatting>
  <conditionalFormatting sqref="AK3:AK13">
    <cfRule type="expression" priority="2" dxfId="0" stopIfTrue="1">
      <formula>AND($B3&lt;&gt;"Schade",$B3&lt;&gt;"Extra",$B3&lt;&gt;"GWE_Item")</formula>
    </cfRule>
  </conditionalFormatting>
  <conditionalFormatting sqref="AM3:AM13">
    <cfRule type="expression" priority="1" dxfId="0" stopIfTrue="1">
      <formula>AND($B3&lt;&gt;"Schade",$B3&lt;&gt;"Extra",$B3&lt;&gt;"GWE_Item")</formula>
    </cfRule>
  </conditionalFormatting>
  <dataValidations count="4">
    <dataValidation sqref="B2:B5000" showDropDown="0" showInputMessage="0" showErrorMessage="0" allowBlank="0" type="list">
      <formula1>"Basis,GWE,GWE_Item,Schoonmaak,Schade,Extra"</formula1>
    </dataValidation>
    <dataValidation sqref="K2:K5000" showDropDown="0" showInputMessage="0" showErrorMessage="0" allowBlank="1" type="list">
      <formula1>"Via RyanRent,Eigen Beheer"</formula1>
    </dataValidation>
    <dataValidation sqref="Z2:Z5000" showDropDown="0" showInputMessage="0" showErrorMessage="0" allowBlank="1" type="list">
      <formula1>"Basis Schoonmaak,Intensief Schoonmaak,Geen Schoonmaak,Achteraf Betaald"</formula1>
    </dataValidation>
    <dataValidation sqref="AG2:AG5000" showDropDown="0" showInputMessage="0" showErrorMessage="0" allowBlank="1" type="list">
      <formula1>"Elektra,Gas,Water,Overig"</formula1>
    </dataValidation>
  </dataValidations>
  <pageMargins left="0.75" right="0.75" top="1" bottom="1" header="0.5" footer="0.5"/>
  <pageSetup orientation="portrait" paperSize="9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92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Address</t>
        </is>
      </c>
      <c r="B1" t="inlineStr">
        <is>
          <t>Object ID</t>
        </is>
      </c>
      <c r="C1" t="inlineStr">
        <is>
          <t>Clients (Name)</t>
        </is>
      </c>
      <c r="D1" t="inlineStr">
        <is>
          <t>Clients (ID)</t>
        </is>
      </c>
      <c r="E1" t="inlineStr">
        <is>
          <t>Leveranciers (Name)</t>
        </is>
      </c>
      <c r="F1" t="inlineStr">
        <is>
          <t>Leveranciers (ID)</t>
        </is>
      </c>
      <c r="G1" t="inlineStr">
        <is>
          <t>GWE Voorschot (Default)</t>
        </is>
      </c>
      <c r="H1" t="inlineStr">
        <is>
          <t>Borg (Default)</t>
        </is>
      </c>
    </row>
    <row r="2">
      <c r="A2" t="inlineStr">
        <is>
          <t>1e Middellandstraat 104A</t>
        </is>
      </c>
      <c r="B2" t="inlineStr">
        <is>
          <t>0388</t>
        </is>
      </c>
      <c r="C2" t="inlineStr">
        <is>
          <t>'t Werkt B.V.</t>
        </is>
      </c>
      <c r="D2" t="n">
        <v>50223</v>
      </c>
      <c r="E2" t="inlineStr">
        <is>
          <t xml:space="preserve">
C. van Winsen</t>
        </is>
      </c>
      <c r="F2" t="n">
        <v>98</v>
      </c>
      <c r="G2" t="n">
        <v>200</v>
      </c>
      <c r="H2" t="n">
        <v>0</v>
      </c>
    </row>
    <row r="3">
      <c r="A3" t="inlineStr">
        <is>
          <t>2e Maasbosstraat 2 a</t>
        </is>
      </c>
      <c r="B3" t="inlineStr">
        <is>
          <t>0148</t>
        </is>
      </c>
      <c r="C3" t="inlineStr">
        <is>
          <t>24/7 drive</t>
        </is>
      </c>
      <c r="D3" t="n">
        <v>50224</v>
      </c>
      <c r="E3" t="inlineStr">
        <is>
          <t>4 Homes</t>
        </is>
      </c>
      <c r="F3" t="n">
        <v>82</v>
      </c>
      <c r="G3" t="n">
        <v>0</v>
      </c>
      <c r="H3" t="n">
        <v>0</v>
      </c>
    </row>
    <row r="4">
      <c r="A4" t="inlineStr">
        <is>
          <t>2e Maasbosstraat 2 b</t>
        </is>
      </c>
      <c r="B4" t="inlineStr">
        <is>
          <t>0149</t>
        </is>
      </c>
      <c r="C4" t="inlineStr">
        <is>
          <t>4 Homes B.V.</t>
        </is>
      </c>
      <c r="D4" t="n">
        <v>94</v>
      </c>
      <c r="E4" t="inlineStr">
        <is>
          <t>A. Brouwers &amp; S. Brouwers- van Weert</t>
        </is>
      </c>
      <c r="F4" t="n">
        <v>95</v>
      </c>
      <c r="G4" t="n">
        <v>0</v>
      </c>
      <c r="H4" t="n">
        <v>3300</v>
      </c>
    </row>
    <row r="5">
      <c r="A5" t="inlineStr">
        <is>
          <t>2e Maasbosstraat 2 c</t>
        </is>
      </c>
      <c r="B5" t="inlineStr">
        <is>
          <t>0150</t>
        </is>
      </c>
      <c r="C5" t="inlineStr">
        <is>
          <t>4 Homes B.V.</t>
        </is>
      </c>
      <c r="D5" t="n">
        <v>100151</v>
      </c>
      <c r="E5" t="inlineStr">
        <is>
          <t>A. Ghali</t>
        </is>
      </c>
      <c r="F5" t="n">
        <v>81</v>
      </c>
      <c r="G5" t="n">
        <v>0</v>
      </c>
      <c r="H5" t="n">
        <v>2550</v>
      </c>
    </row>
    <row r="6">
      <c r="A6" t="inlineStr">
        <is>
          <t>2e van Leydengaelstraat 6</t>
        </is>
      </c>
      <c r="B6" t="inlineStr">
        <is>
          <t>0022</t>
        </is>
      </c>
      <c r="C6" t="inlineStr">
        <is>
          <t>A. Blaszcak</t>
        </is>
      </c>
      <c r="D6" t="n">
        <v>50146</v>
      </c>
      <c r="E6" t="inlineStr">
        <is>
          <t>A.H.S. Willemsen</t>
        </is>
      </c>
      <c r="F6" t="n">
        <v>28</v>
      </c>
      <c r="G6" t="n">
        <v>150</v>
      </c>
      <c r="H6" t="n">
        <v>2271.76</v>
      </c>
    </row>
    <row r="7">
      <c r="A7" t="inlineStr">
        <is>
          <t>Abelenlaan 143</t>
        </is>
      </c>
      <c r="B7" t="inlineStr">
        <is>
          <t>0014</t>
        </is>
      </c>
      <c r="C7" t="inlineStr">
        <is>
          <t>A. Brouwers en S. Brouwers- van Weert</t>
        </is>
      </c>
      <c r="D7" t="n">
        <v>50405</v>
      </c>
      <c r="E7" t="inlineStr">
        <is>
          <t>A.P.W. Koedooder</t>
        </is>
      </c>
      <c r="F7" t="n">
        <v>24</v>
      </c>
      <c r="G7" t="n">
        <v>150</v>
      </c>
      <c r="H7" t="n">
        <v>1940</v>
      </c>
    </row>
    <row r="8">
      <c r="A8" t="inlineStr">
        <is>
          <t>Acacia 2</t>
        </is>
      </c>
      <c r="B8" t="inlineStr">
        <is>
          <t>0003</t>
        </is>
      </c>
      <c r="C8" t="inlineStr">
        <is>
          <t>A. Dzaka</t>
        </is>
      </c>
      <c r="D8" t="n">
        <v>74</v>
      </c>
      <c r="E8" t="inlineStr">
        <is>
          <t>Aannemer Bouwman</t>
        </is>
      </c>
      <c r="F8" t="n">
        <v>6</v>
      </c>
      <c r="G8" t="n">
        <v>150</v>
      </c>
      <c r="H8" t="n">
        <v>2022.35</v>
      </c>
    </row>
    <row r="9">
      <c r="A9" t="inlineStr">
        <is>
          <t>Acacialaan 9</t>
        </is>
      </c>
      <c r="B9" t="inlineStr">
        <is>
          <t>0223</t>
        </is>
      </c>
      <c r="C9" t="inlineStr">
        <is>
          <t>A. Ghali</t>
        </is>
      </c>
      <c r="D9" t="n">
        <v>50142</v>
      </c>
      <c r="E9" t="inlineStr">
        <is>
          <t>B. Bakker</t>
        </is>
      </c>
      <c r="F9" t="n">
        <v>46</v>
      </c>
      <c r="G9" t="n">
        <v>0</v>
      </c>
      <c r="H9" t="n">
        <v>2300</v>
      </c>
    </row>
    <row r="10">
      <c r="A10" t="inlineStr">
        <is>
          <t>Achterdijk 47A</t>
        </is>
      </c>
      <c r="B10" t="inlineStr">
        <is>
          <t>0190</t>
        </is>
      </c>
      <c r="C10" t="inlineStr">
        <is>
          <t>A. Verschueren</t>
        </is>
      </c>
      <c r="D10" t="n">
        <v>72</v>
      </c>
      <c r="E10" t="inlineStr">
        <is>
          <t>B. Bosch</t>
        </is>
      </c>
      <c r="F10" t="n">
        <v>85</v>
      </c>
      <c r="G10" t="n">
        <v>500</v>
      </c>
      <c r="H10" t="n">
        <v>2255</v>
      </c>
    </row>
    <row r="11">
      <c r="A11" t="inlineStr">
        <is>
          <t>Adriaan Baasstraat 34</t>
        </is>
      </c>
      <c r="B11" t="inlineStr">
        <is>
          <t>0007</t>
        </is>
      </c>
      <c r="C11" t="inlineStr">
        <is>
          <t>A.H.S. Willemsen</t>
        </is>
      </c>
      <c r="D11" t="n">
        <v>100098</v>
      </c>
      <c r="E11" t="inlineStr">
        <is>
          <t>B. Verstegen &amp; K. Maas</t>
        </is>
      </c>
      <c r="F11" t="n">
        <v>94</v>
      </c>
      <c r="G11" t="n">
        <v>250</v>
      </c>
      <c r="H11" t="n">
        <v>2594.12</v>
      </c>
    </row>
    <row r="12">
      <c r="A12" t="inlineStr">
        <is>
          <t>Akkerweg 41 [010]</t>
        </is>
      </c>
      <c r="B12" t="inlineStr">
        <is>
          <t>0341</t>
        </is>
      </c>
      <c r="C12" t="inlineStr">
        <is>
          <t>A.I.G. Lukkien</t>
        </is>
      </c>
      <c r="D12" t="n">
        <v>50189</v>
      </c>
      <c r="E12" t="inlineStr">
        <is>
          <t>B. van Abeelen</t>
        </is>
      </c>
      <c r="F12" t="n">
        <v>52</v>
      </c>
      <c r="G12" t="n">
        <v>0</v>
      </c>
      <c r="H12" t="n">
        <v>0</v>
      </c>
    </row>
    <row r="13">
      <c r="A13" t="inlineStr">
        <is>
          <t>Akkerweg 41 [011]</t>
        </is>
      </c>
      <c r="B13" t="inlineStr">
        <is>
          <t>0372</t>
        </is>
      </c>
      <c r="C13" t="inlineStr">
        <is>
          <t>A.P.W. Koedooder</t>
        </is>
      </c>
      <c r="D13" t="n">
        <v>86</v>
      </c>
      <c r="E13" t="inlineStr">
        <is>
          <t>Bart Vlastuin</t>
        </is>
      </c>
      <c r="F13" t="n">
        <v>45</v>
      </c>
      <c r="G13" t="n">
        <v>350</v>
      </c>
      <c r="H13" t="n">
        <v>0</v>
      </c>
    </row>
    <row r="14">
      <c r="A14" t="inlineStr">
        <is>
          <t>Akkerweg 41 [014]</t>
        </is>
      </c>
      <c r="B14" t="inlineStr">
        <is>
          <t>0293</t>
        </is>
      </c>
      <c r="C14" t="inlineStr">
        <is>
          <t>A.W.N. Alkemade</t>
        </is>
      </c>
      <c r="D14" t="n">
        <v>44</v>
      </c>
      <c r="E14" t="inlineStr">
        <is>
          <t>Beking</t>
        </is>
      </c>
      <c r="F14" t="n">
        <v>18</v>
      </c>
      <c r="G14" t="n">
        <v>400</v>
      </c>
      <c r="H14" t="n">
        <v>0</v>
      </c>
    </row>
    <row r="15">
      <c r="A15" t="inlineStr">
        <is>
          <t>Akkerweg 41 [015]</t>
        </is>
      </c>
      <c r="B15" t="inlineStr">
        <is>
          <t>0294</t>
        </is>
      </c>
      <c r="C15" t="inlineStr">
        <is>
          <t>A.Y. Nicolai</t>
        </is>
      </c>
      <c r="D15" t="n">
        <v>64</v>
      </c>
      <c r="E15" t="inlineStr">
        <is>
          <t>Business Housing</t>
        </is>
      </c>
      <c r="F15" t="n">
        <v>83</v>
      </c>
      <c r="G15" t="n">
        <v>300</v>
      </c>
      <c r="H15" t="n">
        <v>0</v>
      </c>
    </row>
    <row r="16">
      <c r="A16" t="inlineStr">
        <is>
          <t>Akkerweg 41 [016]</t>
        </is>
      </c>
      <c r="B16" t="inlineStr">
        <is>
          <t>0342</t>
        </is>
      </c>
      <c r="C16" t="inlineStr">
        <is>
          <t>ABC Bedrijfsservice B.V</t>
        </is>
      </c>
      <c r="D16" t="n">
        <v>50353</v>
      </c>
      <c r="E16" t="inlineStr">
        <is>
          <t>C. van Driel e/o B.M. Verdouw</t>
        </is>
      </c>
      <c r="F16" t="n">
        <v>115</v>
      </c>
      <c r="G16" t="n">
        <v>0</v>
      </c>
      <c r="H16" t="n">
        <v>0</v>
      </c>
    </row>
    <row r="17">
      <c r="A17" t="inlineStr">
        <is>
          <t>Akkerweg 41 [017]</t>
        </is>
      </c>
      <c r="B17" t="inlineStr">
        <is>
          <t>0373</t>
        </is>
      </c>
      <c r="C17" t="inlineStr">
        <is>
          <t>AKRION ADMINISTRATION</t>
        </is>
      </c>
      <c r="D17" t="n">
        <v>50332</v>
      </c>
      <c r="E17" t="inlineStr">
        <is>
          <t>C.R. Valk &amp; H.J. Valk</t>
        </is>
      </c>
      <c r="F17" t="n">
        <v>80</v>
      </c>
      <c r="G17" t="n">
        <v>300</v>
      </c>
      <c r="H17" t="n">
        <v>0</v>
      </c>
    </row>
    <row r="18">
      <c r="A18" t="inlineStr">
        <is>
          <t>Akkerweg 41 [018]</t>
        </is>
      </c>
      <c r="B18" t="inlineStr">
        <is>
          <t>0295</t>
        </is>
      </c>
      <c r="C18" t="inlineStr">
        <is>
          <t>AKT Autoschade</t>
        </is>
      </c>
      <c r="D18" t="n">
        <v>50315</v>
      </c>
      <c r="E18" t="inlineStr">
        <is>
          <t>CB-Homes</t>
        </is>
      </c>
      <c r="F18" t="n">
        <v>91</v>
      </c>
      <c r="G18" t="n">
        <v>0</v>
      </c>
      <c r="H18" t="n">
        <v>0</v>
      </c>
    </row>
    <row r="19">
      <c r="A19" t="inlineStr">
        <is>
          <t>Akkerweg 41 [019]</t>
        </is>
      </c>
      <c r="B19" t="inlineStr">
        <is>
          <t>0343</t>
        </is>
      </c>
      <c r="C19" t="inlineStr">
        <is>
          <t>Adecco Group</t>
        </is>
      </c>
      <c r="D19" t="n">
        <v>50352</v>
      </c>
      <c r="E19" t="inlineStr">
        <is>
          <t>Chalet Park Holiday</t>
        </is>
      </c>
      <c r="F19" t="n">
        <v>120</v>
      </c>
      <c r="G19" t="n">
        <v>0</v>
      </c>
      <c r="H19" t="n">
        <v>0</v>
      </c>
    </row>
    <row r="20">
      <c r="A20" t="inlineStr">
        <is>
          <t>Akkerweg 41 [020]</t>
        </is>
      </c>
      <c r="B20" t="inlineStr">
        <is>
          <t>0383</t>
        </is>
      </c>
      <c r="C20" t="inlineStr">
        <is>
          <t>Aelbers Flexibele Personeels Diensten B.V.</t>
        </is>
      </c>
      <c r="D20" t="n">
        <v>50348</v>
      </c>
      <c r="E20" t="inlineStr">
        <is>
          <t>City Estate (Reinier Derksen)</t>
        </is>
      </c>
      <c r="F20" t="n">
        <v>71</v>
      </c>
      <c r="G20" t="n">
        <v>450</v>
      </c>
      <c r="H20" t="n">
        <v>2176.47</v>
      </c>
    </row>
    <row r="21">
      <c r="A21" t="inlineStr">
        <is>
          <t>Akkerweg 41 [022]</t>
        </is>
      </c>
      <c r="B21" t="inlineStr">
        <is>
          <t>0296</t>
        </is>
      </c>
      <c r="C21" t="inlineStr">
        <is>
          <t>Alis Vastgoed B.V.</t>
        </is>
      </c>
      <c r="D21" t="n">
        <v>31</v>
      </c>
      <c r="E21" t="inlineStr">
        <is>
          <t>Coolblue</t>
        </is>
      </c>
      <c r="F21" t="n">
        <v>9</v>
      </c>
      <c r="G21" t="n">
        <v>0</v>
      </c>
      <c r="H21" t="n">
        <v>0</v>
      </c>
    </row>
    <row r="22">
      <c r="A22" t="inlineStr">
        <is>
          <t>Akkerweg 41 [026]</t>
        </is>
      </c>
      <c r="B22" t="inlineStr">
        <is>
          <t>0297</t>
        </is>
      </c>
      <c r="C22" t="inlineStr">
        <is>
          <t>Alpha Workforce Aps</t>
        </is>
      </c>
      <c r="D22" t="n">
        <v>50287</v>
      </c>
      <c r="E22" t="inlineStr">
        <is>
          <t>Cris</t>
        </is>
      </c>
      <c r="F22" t="n">
        <v>114</v>
      </c>
      <c r="G22" t="n">
        <v>200</v>
      </c>
      <c r="H22" t="n">
        <v>0</v>
      </c>
    </row>
    <row r="23">
      <c r="A23" t="inlineStr">
        <is>
          <t>Akkerweg 41 [031]</t>
        </is>
      </c>
      <c r="B23" t="inlineStr">
        <is>
          <t>0298</t>
        </is>
      </c>
      <c r="C23" t="inlineStr">
        <is>
          <t>AmDor Projecten B.V.</t>
        </is>
      </c>
      <c r="D23" t="n">
        <v>50157</v>
      </c>
      <c r="E23" t="inlineStr">
        <is>
          <t>Crul</t>
        </is>
      </c>
      <c r="F23" t="n">
        <v>19</v>
      </c>
      <c r="G23" t="n">
        <v>0</v>
      </c>
      <c r="H23" t="n">
        <v>0</v>
      </c>
    </row>
    <row r="24">
      <c r="A24" t="inlineStr">
        <is>
          <t>Akkerweg 41 [035]</t>
        </is>
      </c>
      <c r="B24" t="inlineStr">
        <is>
          <t>0350</t>
        </is>
      </c>
      <c r="C24" t="inlineStr">
        <is>
          <t>Autobedrijf Voorne</t>
        </is>
      </c>
      <c r="D24" t="n">
        <v>50299</v>
      </c>
      <c r="E24" t="inlineStr">
        <is>
          <t>D. Kleijweg</t>
        </is>
      </c>
      <c r="F24" t="n">
        <v>108</v>
      </c>
      <c r="G24" t="n">
        <v>250</v>
      </c>
      <c r="H24" t="n">
        <v>0</v>
      </c>
    </row>
    <row r="25">
      <c r="A25" t="inlineStr">
        <is>
          <t>Akkerweg 41 [036]</t>
        </is>
      </c>
      <c r="B25" t="inlineStr">
        <is>
          <t>0356</t>
        </is>
      </c>
      <c r="C25" t="inlineStr">
        <is>
          <t>Autobedrijf W. Bronder</t>
        </is>
      </c>
      <c r="D25" t="n">
        <v>50008</v>
      </c>
      <c r="E25" t="inlineStr">
        <is>
          <t>D. tonen</t>
        </is>
      </c>
      <c r="F25" t="n">
        <v>109</v>
      </c>
      <c r="G25" t="n">
        <v>250</v>
      </c>
      <c r="H25" t="n">
        <v>0</v>
      </c>
    </row>
    <row r="26">
      <c r="A26" t="inlineStr">
        <is>
          <t>Akkerweg 41 [037]</t>
        </is>
      </c>
      <c r="B26" t="inlineStr">
        <is>
          <t>0299</t>
        </is>
      </c>
      <c r="C26" t="inlineStr">
        <is>
          <t>Autodaxx B.V.</t>
        </is>
      </c>
      <c r="D26" t="n">
        <v>50175</v>
      </c>
      <c r="E26" t="inlineStr">
        <is>
          <t>De Pagter Vastgoed B.V.</t>
        </is>
      </c>
      <c r="F26" t="n">
        <v>56</v>
      </c>
      <c r="G26" t="n">
        <v>300</v>
      </c>
      <c r="H26" t="n">
        <v>0</v>
      </c>
    </row>
    <row r="27">
      <c r="A27" t="inlineStr">
        <is>
          <t>Akkerweg 41 [038]</t>
        </is>
      </c>
      <c r="B27" t="inlineStr">
        <is>
          <t>0357</t>
        </is>
      </c>
      <c r="C27" t="inlineStr">
        <is>
          <t>B. Bosch</t>
        </is>
      </c>
      <c r="D27" t="n">
        <v>50169</v>
      </c>
      <c r="E27" t="inlineStr">
        <is>
          <t>Derwig</t>
        </is>
      </c>
      <c r="F27" t="n">
        <v>48</v>
      </c>
      <c r="G27" t="n">
        <v>0</v>
      </c>
      <c r="H27" t="n">
        <v>0</v>
      </c>
    </row>
    <row r="28">
      <c r="A28" t="inlineStr">
        <is>
          <t>Akkerweg 41 [040]</t>
        </is>
      </c>
      <c r="B28" t="inlineStr">
        <is>
          <t>0300</t>
        </is>
      </c>
      <c r="C28" t="inlineStr">
        <is>
          <t>B. van Abeelen</t>
        </is>
      </c>
      <c r="D28" t="n">
        <v>100265</v>
      </c>
      <c r="E28" t="inlineStr">
        <is>
          <t>Digo Real Estate</t>
        </is>
      </c>
      <c r="F28" t="n">
        <v>84</v>
      </c>
      <c r="G28" t="n">
        <v>600</v>
      </c>
      <c r="H28" t="n">
        <v>0</v>
      </c>
    </row>
    <row r="29">
      <c r="A29" t="inlineStr">
        <is>
          <t>Akkerweg 41 [041]</t>
        </is>
      </c>
      <c r="B29" t="inlineStr">
        <is>
          <t>0301</t>
        </is>
      </c>
      <c r="C29" t="inlineStr">
        <is>
          <t>BDR Uitzendbureau B.V.</t>
        </is>
      </c>
      <c r="D29" t="n">
        <v>50254</v>
      </c>
      <c r="E29" t="inlineStr">
        <is>
          <t>Dockholland</t>
        </is>
      </c>
      <c r="F29" t="n">
        <v>59</v>
      </c>
      <c r="G29" t="n">
        <v>600</v>
      </c>
      <c r="H29" t="n">
        <v>0</v>
      </c>
    </row>
    <row r="30">
      <c r="A30" t="inlineStr">
        <is>
          <t>Akkerweg 41 [042]</t>
        </is>
      </c>
      <c r="B30" t="inlineStr">
        <is>
          <t>0302</t>
        </is>
      </c>
      <c r="C30" t="inlineStr">
        <is>
          <t>BJ Bakker</t>
        </is>
      </c>
      <c r="D30" t="n">
        <v>50330</v>
      </c>
      <c r="E30" t="inlineStr">
        <is>
          <t>E. Beukema</t>
        </is>
      </c>
      <c r="F30" t="n">
        <v>92</v>
      </c>
      <c r="G30" t="n">
        <v>450</v>
      </c>
      <c r="H30" t="n">
        <v>0</v>
      </c>
    </row>
    <row r="31">
      <c r="A31" t="inlineStr">
        <is>
          <t>Akkerweg 41 [055]</t>
        </is>
      </c>
      <c r="B31" t="inlineStr">
        <is>
          <t>0303</t>
        </is>
      </c>
      <c r="C31" t="inlineStr">
        <is>
          <t>Bator V.O.F.</t>
        </is>
      </c>
      <c r="D31" t="n">
        <v>50101</v>
      </c>
      <c r="E31" t="inlineStr">
        <is>
          <t>E. Rebel</t>
        </is>
      </c>
      <c r="F31" t="n">
        <v>58</v>
      </c>
      <c r="G31" t="n">
        <v>0</v>
      </c>
      <c r="H31" t="n">
        <v>0</v>
      </c>
    </row>
    <row r="32">
      <c r="A32" t="inlineStr">
        <is>
          <t>Akkerweg 41 [056]</t>
        </is>
      </c>
      <c r="B32" t="inlineStr">
        <is>
          <t>0304</t>
        </is>
      </c>
      <c r="C32" t="inlineStr">
        <is>
          <t>Best@Work B.V.</t>
        </is>
      </c>
      <c r="D32" t="n">
        <v>38</v>
      </c>
      <c r="E32" t="inlineStr">
        <is>
          <t>Edward Bosch</t>
        </is>
      </c>
      <c r="F32" t="n">
        <v>121</v>
      </c>
      <c r="G32" t="n">
        <v>0</v>
      </c>
      <c r="H32" t="n">
        <v>0</v>
      </c>
    </row>
    <row r="33">
      <c r="A33" t="inlineStr">
        <is>
          <t>Akkerweg 41 [057]</t>
        </is>
      </c>
      <c r="B33" t="inlineStr">
        <is>
          <t>0305</t>
        </is>
      </c>
      <c r="C33" t="inlineStr">
        <is>
          <t>Betterway BV</t>
        </is>
      </c>
      <c r="D33" t="n">
        <v>50401</v>
      </c>
      <c r="E33" t="inlineStr">
        <is>
          <t>Eneco</t>
        </is>
      </c>
      <c r="F33" t="n">
        <v>1</v>
      </c>
      <c r="G33" t="n">
        <v>250</v>
      </c>
      <c r="H33" t="n">
        <v>0</v>
      </c>
    </row>
    <row r="34">
      <c r="A34" t="inlineStr">
        <is>
          <t>Akkerweg 41 [058]</t>
        </is>
      </c>
      <c r="B34" t="inlineStr">
        <is>
          <t>0384</t>
        </is>
      </c>
      <c r="C34" t="inlineStr">
        <is>
          <t>Bosch B Dhr (Scheepjesbrug 814 Meerkerk)</t>
        </is>
      </c>
      <c r="D34" t="n">
        <v>50302</v>
      </c>
      <c r="E34" t="inlineStr">
        <is>
          <t>Eva Laus</t>
        </is>
      </c>
      <c r="F34" t="n">
        <v>14</v>
      </c>
      <c r="G34" t="n">
        <v>0</v>
      </c>
      <c r="H34" t="n">
        <v>0</v>
      </c>
    </row>
    <row r="35">
      <c r="A35" t="inlineStr">
        <is>
          <t>Akkerweg 41 [059]</t>
        </is>
      </c>
      <c r="B35" t="inlineStr">
        <is>
          <t>0306</t>
        </is>
      </c>
      <c r="C35" t="inlineStr">
        <is>
          <t>Bouius</t>
        </is>
      </c>
      <c r="D35" t="n">
        <v>50419</v>
      </c>
      <c r="E35" t="inlineStr">
        <is>
          <t>Facili Flex BV</t>
        </is>
      </c>
      <c r="F35" t="n">
        <v>35</v>
      </c>
      <c r="G35" t="n">
        <v>0</v>
      </c>
      <c r="H35" t="n">
        <v>0</v>
      </c>
    </row>
    <row r="36">
      <c r="A36" t="inlineStr">
        <is>
          <t>Akkerweg 41 [068]</t>
        </is>
      </c>
      <c r="B36" t="inlineStr">
        <is>
          <t>0326</t>
        </is>
      </c>
      <c r="C36" t="inlineStr">
        <is>
          <t>Bouw Service International B.V.</t>
        </is>
      </c>
      <c r="D36" t="n">
        <v>50257</v>
      </c>
      <c r="E36" t="inlineStr">
        <is>
          <t>Flexvesting</t>
        </is>
      </c>
      <c r="F36" t="n">
        <v>65</v>
      </c>
      <c r="G36" t="n">
        <v>0</v>
      </c>
      <c r="H36" t="n">
        <v>0</v>
      </c>
    </row>
    <row r="37">
      <c r="A37" t="inlineStr">
        <is>
          <t>Akkerweg 41 [074]</t>
        </is>
      </c>
      <c r="B37" t="inlineStr">
        <is>
          <t>0379</t>
        </is>
      </c>
      <c r="C37" t="inlineStr">
        <is>
          <t>Bright Home Rentals B.V.</t>
        </is>
      </c>
      <c r="D37" t="n">
        <v>2</v>
      </c>
      <c r="E37" t="inlineStr">
        <is>
          <t>G.J. Bergwerff</t>
        </is>
      </c>
      <c r="F37" t="n">
        <v>64</v>
      </c>
      <c r="G37" t="n">
        <v>0</v>
      </c>
      <c r="H37" t="n">
        <v>0</v>
      </c>
    </row>
    <row r="38">
      <c r="A38" t="inlineStr">
        <is>
          <t>Akkerweg 41 [075]</t>
        </is>
      </c>
      <c r="B38" t="inlineStr">
        <is>
          <t>0307</t>
        </is>
      </c>
      <c r="C38" t="inlineStr">
        <is>
          <t>Business Housing</t>
        </is>
      </c>
      <c r="D38" t="n">
        <v>58</v>
      </c>
      <c r="E38" t="inlineStr">
        <is>
          <t>G.K. Stoel</t>
        </is>
      </c>
      <c r="F38" t="n">
        <v>76</v>
      </c>
      <c r="G38" t="n">
        <v>300</v>
      </c>
      <c r="H38" t="n">
        <v>0</v>
      </c>
    </row>
    <row r="39">
      <c r="A39" t="inlineStr">
        <is>
          <t>Allard Piersonlaan 142</t>
        </is>
      </c>
      <c r="B39" t="inlineStr">
        <is>
          <t>0002</t>
        </is>
      </c>
      <c r="C39" t="inlineStr">
        <is>
          <t>Buurman Vastgoed E B.V.</t>
        </is>
      </c>
      <c r="D39" t="n">
        <v>100191</v>
      </c>
      <c r="E39" t="inlineStr">
        <is>
          <t>Gemeente Amsterdam</t>
        </is>
      </c>
      <c r="F39" t="n">
        <v>10</v>
      </c>
      <c r="G39" t="n">
        <v>150</v>
      </c>
      <c r="H39" t="n">
        <v>1929.41</v>
      </c>
    </row>
    <row r="40">
      <c r="A40" t="inlineStr">
        <is>
          <t>Amberberg 14</t>
        </is>
      </c>
      <c r="B40" t="inlineStr">
        <is>
          <t>0201</t>
        </is>
      </c>
      <c r="C40" t="inlineStr">
        <is>
          <t>Bw-engineering</t>
        </is>
      </c>
      <c r="D40" t="n">
        <v>100178</v>
      </c>
      <c r="E40" t="inlineStr">
        <is>
          <t>Groen Holding / van Vliet</t>
        </is>
      </c>
      <c r="F40" t="n">
        <v>97</v>
      </c>
      <c r="G40" t="n">
        <v>0</v>
      </c>
      <c r="H40" t="n">
        <v>1821.75</v>
      </c>
    </row>
    <row r="41">
      <c r="A41" t="inlineStr">
        <is>
          <t>Amperelaan 23</t>
        </is>
      </c>
      <c r="B41" t="inlineStr">
        <is>
          <t>0043</t>
        </is>
      </c>
      <c r="C41" t="inlineStr">
        <is>
          <t>C-Flex B.V.</t>
        </is>
      </c>
      <c r="D41" t="n">
        <v>50446</v>
      </c>
      <c r="E41" t="inlineStr">
        <is>
          <t>H. Heijdra</t>
        </is>
      </c>
      <c r="F41" t="n">
        <v>86</v>
      </c>
      <c r="G41" t="n">
        <v>150</v>
      </c>
      <c r="H41" t="n">
        <v>2275.29</v>
      </c>
    </row>
    <row r="42">
      <c r="A42" t="inlineStr">
        <is>
          <t>Ampèrestraat 36A</t>
        </is>
      </c>
      <c r="B42" t="inlineStr">
        <is>
          <t>0135</t>
        </is>
      </c>
      <c r="C42" t="inlineStr">
        <is>
          <t>C. van Winsen</t>
        </is>
      </c>
      <c r="D42" t="n">
        <v>100243</v>
      </c>
      <c r="E42" t="inlineStr">
        <is>
          <t>H. Samson</t>
        </is>
      </c>
      <c r="F42" t="n">
        <v>16</v>
      </c>
      <c r="G42" t="n">
        <v>0</v>
      </c>
      <c r="H42" t="n">
        <v>1691.63</v>
      </c>
    </row>
    <row r="43">
      <c r="A43" t="inlineStr">
        <is>
          <t>Archimedesstraat 6 B</t>
        </is>
      </c>
      <c r="B43" t="inlineStr">
        <is>
          <t>0353</t>
        </is>
      </c>
      <c r="C43" t="inlineStr">
        <is>
          <t>CASS Construction and Steel Structures Sp. z o.o</t>
        </is>
      </c>
      <c r="D43" t="n">
        <v>100203</v>
      </c>
      <c r="E43" t="inlineStr">
        <is>
          <t>HBB Wonen (Danielle Hanegraaf)</t>
        </is>
      </c>
      <c r="F43" t="n">
        <v>51</v>
      </c>
      <c r="G43" t="n">
        <v>0</v>
      </c>
      <c r="H43" t="n">
        <v>1623.96</v>
      </c>
    </row>
    <row r="44">
      <c r="A44" t="inlineStr">
        <is>
          <t>Arkelse Onderweg 24a</t>
        </is>
      </c>
      <c r="B44" t="inlineStr">
        <is>
          <t>0008</t>
        </is>
      </c>
      <c r="C44" t="inlineStr">
        <is>
          <t>CB Construction UAB</t>
        </is>
      </c>
      <c r="D44" t="n">
        <v>100206</v>
      </c>
      <c r="E44" t="inlineStr">
        <is>
          <t>HC van Os - Remeeus</t>
        </is>
      </c>
      <c r="F44" t="n">
        <v>61</v>
      </c>
      <c r="G44" t="n">
        <v>150</v>
      </c>
      <c r="H44" t="n">
        <v>1780</v>
      </c>
    </row>
    <row r="45">
      <c r="A45" t="inlineStr">
        <is>
          <t>Baanhoek 137</t>
        </is>
      </c>
      <c r="B45" t="inlineStr">
        <is>
          <t>0367</t>
        </is>
      </c>
      <c r="C45" t="inlineStr">
        <is>
          <t>CB-Homes B.V.</t>
        </is>
      </c>
      <c r="D45" t="n">
        <v>50151</v>
      </c>
      <c r="E45" t="inlineStr">
        <is>
          <t>HollandHousing Rental BV</t>
        </is>
      </c>
      <c r="F45" t="n">
        <v>87</v>
      </c>
      <c r="G45" t="n">
        <v>0</v>
      </c>
      <c r="H45" t="n">
        <v>0</v>
      </c>
    </row>
    <row r="46">
      <c r="A46" t="inlineStr">
        <is>
          <t>Baanhoek 139</t>
        </is>
      </c>
      <c r="B46" t="inlineStr">
        <is>
          <t>0055</t>
        </is>
      </c>
      <c r="C46" t="inlineStr">
        <is>
          <t>Central Job Facilities B.V.</t>
        </is>
      </c>
      <c r="D46" t="n">
        <v>50221</v>
      </c>
      <c r="E46" t="inlineStr">
        <is>
          <t>HollandHuisvesting</t>
        </is>
      </c>
      <c r="F46" t="n">
        <v>103</v>
      </c>
      <c r="G46" t="n">
        <v>250</v>
      </c>
      <c r="H46" t="n">
        <v>2314.12</v>
      </c>
    </row>
    <row r="47">
      <c r="A47" t="inlineStr">
        <is>
          <t>Baarlelaan 27</t>
        </is>
      </c>
      <c r="B47" t="inlineStr">
        <is>
          <t>0012</t>
        </is>
      </c>
      <c r="C47" t="inlineStr">
        <is>
          <t>City Estate B.V.</t>
        </is>
      </c>
      <c r="D47" t="n">
        <v>63</v>
      </c>
      <c r="E47" t="inlineStr">
        <is>
          <t>HomeScout (Rene van der Kruijf)</t>
        </is>
      </c>
      <c r="F47" t="n">
        <v>20</v>
      </c>
      <c r="G47" t="n">
        <v>150</v>
      </c>
      <c r="H47" t="n">
        <v>1965.88</v>
      </c>
    </row>
    <row r="48">
      <c r="A48" t="inlineStr">
        <is>
          <t>Baarsveen 197</t>
        </is>
      </c>
      <c r="B48" t="inlineStr">
        <is>
          <t>0013</t>
        </is>
      </c>
      <c r="C48" t="inlineStr">
        <is>
          <t>Crown Uitzendgroep</t>
        </is>
      </c>
      <c r="D48" t="n">
        <v>91</v>
      </c>
      <c r="E48" t="inlineStr">
        <is>
          <t>Hopmans</t>
        </is>
      </c>
      <c r="F48" t="n">
        <v>55</v>
      </c>
      <c r="G48" t="n">
        <v>325</v>
      </c>
      <c r="H48" t="n">
        <v>1864.71</v>
      </c>
    </row>
    <row r="49">
      <c r="A49" t="inlineStr">
        <is>
          <t>Beatrixstraat 3</t>
        </is>
      </c>
      <c r="B49" t="inlineStr">
        <is>
          <t>0040</t>
        </is>
      </c>
      <c r="C49" t="inlineStr">
        <is>
          <t>D Blommers</t>
        </is>
      </c>
      <c r="D49" t="n">
        <v>50246</v>
      </c>
      <c r="E49" t="inlineStr">
        <is>
          <t>Houses2Rent</t>
        </is>
      </c>
      <c r="F49" t="n">
        <v>31</v>
      </c>
      <c r="G49" t="n">
        <v>250</v>
      </c>
      <c r="H49" t="n">
        <v>2507.06</v>
      </c>
    </row>
    <row r="50">
      <c r="A50" t="inlineStr">
        <is>
          <t>Beeklaan 294</t>
        </is>
      </c>
      <c r="B50" t="inlineStr">
        <is>
          <t>0152</t>
        </is>
      </c>
      <c r="C50" t="inlineStr">
        <is>
          <t>D Kleijweg</t>
        </is>
      </c>
      <c r="D50" t="n">
        <v>50361</v>
      </c>
      <c r="E50" t="inlineStr">
        <is>
          <t>Hugo Vastgoed</t>
        </is>
      </c>
      <c r="F50" t="n">
        <v>36</v>
      </c>
      <c r="G50" t="n">
        <v>450</v>
      </c>
      <c r="H50" t="n">
        <v>4600</v>
      </c>
    </row>
    <row r="51">
      <c r="A51" t="inlineStr">
        <is>
          <t>Besterdring 6</t>
        </is>
      </c>
      <c r="B51" t="inlineStr">
        <is>
          <t>0060</t>
        </is>
      </c>
      <c r="C51" t="inlineStr">
        <is>
          <t>D. Walma</t>
        </is>
      </c>
      <c r="D51" t="n">
        <v>50167</v>
      </c>
      <c r="E51" t="inlineStr">
        <is>
          <t>Huurwoning in Rotterdam</t>
        </is>
      </c>
      <c r="F51" t="n">
        <v>73</v>
      </c>
      <c r="G51" t="n">
        <v>0</v>
      </c>
      <c r="H51" t="n">
        <v>0</v>
      </c>
    </row>
    <row r="52">
      <c r="A52" t="inlineStr">
        <is>
          <t>Bettingeslag 10</t>
        </is>
      </c>
      <c r="B52" t="inlineStr">
        <is>
          <t>0322</t>
        </is>
      </c>
      <c r="C52" t="inlineStr">
        <is>
          <t>DB Beheer B.V.</t>
        </is>
      </c>
      <c r="D52" t="n">
        <v>50143</v>
      </c>
      <c r="E52" t="inlineStr">
        <is>
          <t>IKEA Zakelijk</t>
        </is>
      </c>
      <c r="F52" t="n">
        <v>8</v>
      </c>
      <c r="G52" t="n">
        <v>250</v>
      </c>
      <c r="H52" t="n">
        <v>1900</v>
      </c>
    </row>
    <row r="53">
      <c r="A53" t="inlineStr">
        <is>
          <t>Beukenlaan 53</t>
        </is>
      </c>
      <c r="B53" t="inlineStr">
        <is>
          <t>0346</t>
        </is>
      </c>
      <c r="C53" t="inlineStr">
        <is>
          <t>DB woonruimtebemiddeling</t>
        </is>
      </c>
      <c r="D53" t="n">
        <v>50172</v>
      </c>
      <c r="E53" t="inlineStr">
        <is>
          <t>J, van de Linde</t>
        </is>
      </c>
      <c r="F53" t="n">
        <v>96</v>
      </c>
      <c r="G53" t="n">
        <v>300</v>
      </c>
      <c r="H53" t="n">
        <v>3860</v>
      </c>
    </row>
    <row r="54">
      <c r="A54" t="inlineStr">
        <is>
          <t>Bisschopstraat 68</t>
        </is>
      </c>
      <c r="B54" t="inlineStr">
        <is>
          <t>0047</t>
        </is>
      </c>
      <c r="C54" t="inlineStr">
        <is>
          <t>DIT en Larex Vakpersoneel B.V.</t>
        </is>
      </c>
      <c r="D54" t="n">
        <v>50282</v>
      </c>
      <c r="E54" t="inlineStr">
        <is>
          <t>J. van der Linde</t>
        </is>
      </c>
      <c r="F54" t="n">
        <v>70</v>
      </c>
      <c r="G54" t="n">
        <v>150</v>
      </c>
      <c r="H54" t="n">
        <v>2295.29</v>
      </c>
    </row>
    <row r="55">
      <c r="A55" t="inlineStr">
        <is>
          <t>Bliek 41</t>
        </is>
      </c>
      <c r="B55" t="inlineStr">
        <is>
          <t>0048</t>
        </is>
      </c>
      <c r="C55" t="inlineStr">
        <is>
          <t>DNACC B.V. / Rolbakkie</t>
        </is>
      </c>
      <c r="D55" t="n">
        <v>50019</v>
      </c>
      <c r="E55" t="inlineStr">
        <is>
          <t>J.G. van Pieterson</t>
        </is>
      </c>
      <c r="F55" t="n">
        <v>53</v>
      </c>
      <c r="G55" t="n">
        <v>400</v>
      </c>
      <c r="H55" t="n">
        <v>2356.47</v>
      </c>
    </row>
    <row r="56">
      <c r="A56" t="inlineStr">
        <is>
          <t>Bornerbroeksestraat 129A</t>
        </is>
      </c>
      <c r="B56" t="inlineStr">
        <is>
          <t>0049</t>
        </is>
      </c>
      <c r="C56" t="inlineStr">
        <is>
          <t>DS People B.V.</t>
        </is>
      </c>
      <c r="D56" t="n">
        <v>50201</v>
      </c>
      <c r="E56" t="inlineStr">
        <is>
          <t>J.L. Meerding</t>
        </is>
      </c>
      <c r="F56" t="n">
        <v>25</v>
      </c>
      <c r="G56" t="n">
        <v>250</v>
      </c>
      <c r="H56" t="n">
        <v>1714.12</v>
      </c>
    </row>
    <row r="57">
      <c r="A57" t="inlineStr">
        <is>
          <t>Bovendijk 59</t>
        </is>
      </c>
      <c r="B57" t="inlineStr">
        <is>
          <t>0280</t>
        </is>
      </c>
      <c r="C57" t="inlineStr">
        <is>
          <t>De Borgmeren B.V.</t>
        </is>
      </c>
      <c r="D57" t="n">
        <v>56</v>
      </c>
      <c r="E57" t="inlineStr">
        <is>
          <t>J.P. Stoel</t>
        </is>
      </c>
      <c r="F57" t="n">
        <v>21</v>
      </c>
      <c r="G57" t="n">
        <v>0</v>
      </c>
      <c r="H57" t="n">
        <v>0</v>
      </c>
    </row>
    <row r="58">
      <c r="A58" t="inlineStr">
        <is>
          <t>Bovendijk 61</t>
        </is>
      </c>
      <c r="B58" t="inlineStr">
        <is>
          <t>0281</t>
        </is>
      </c>
      <c r="C58" t="inlineStr">
        <is>
          <t>De Pagter Vastgoed B.V.</t>
        </is>
      </c>
      <c r="D58" t="n">
        <v>48</v>
      </c>
      <c r="E58" t="inlineStr">
        <is>
          <t>J.S. Vink</t>
        </is>
      </c>
      <c r="F58" t="n">
        <v>74</v>
      </c>
      <c r="G58" t="n">
        <v>0</v>
      </c>
      <c r="H58" t="n">
        <v>0</v>
      </c>
    </row>
    <row r="59">
      <c r="A59" t="inlineStr">
        <is>
          <t>Broekweg 25</t>
        </is>
      </c>
      <c r="B59" t="inlineStr">
        <is>
          <t>0004</t>
        </is>
      </c>
      <c r="C59" t="inlineStr">
        <is>
          <t>De Uitlener B.V.</t>
        </is>
      </c>
      <c r="D59" t="n">
        <v>50294</v>
      </c>
      <c r="E59" t="inlineStr">
        <is>
          <t>Jan Luijsterburg Beheer BV</t>
        </is>
      </c>
      <c r="F59" t="n">
        <v>88</v>
      </c>
      <c r="G59" t="n">
        <v>150</v>
      </c>
      <c r="H59" t="n">
        <v>2111.76</v>
      </c>
    </row>
    <row r="60">
      <c r="A60" t="inlineStr">
        <is>
          <t>Broersveld 150A</t>
        </is>
      </c>
      <c r="B60" t="inlineStr">
        <is>
          <t>0155</t>
        </is>
      </c>
      <c r="C60" t="inlineStr">
        <is>
          <t>De Witte Brigade B.V.</t>
        </is>
      </c>
      <c r="D60" t="n">
        <v>50214</v>
      </c>
      <c r="E60" t="inlineStr">
        <is>
          <t>Jes Funding &amp; Beheer</t>
        </is>
      </c>
      <c r="F60" t="n">
        <v>122</v>
      </c>
      <c r="G60" t="n">
        <v>0</v>
      </c>
      <c r="H60" t="n">
        <v>2810.7</v>
      </c>
    </row>
    <row r="61">
      <c r="A61" t="inlineStr">
        <is>
          <t>Broersvest 74 c</t>
        </is>
      </c>
      <c r="B61" t="inlineStr">
        <is>
          <t>0156</t>
        </is>
      </c>
      <c r="C61" t="inlineStr">
        <is>
          <t>Demeter BV</t>
        </is>
      </c>
      <c r="D61" t="n">
        <v>100213</v>
      </c>
      <c r="E61" t="inlineStr">
        <is>
          <t>Jetty Michielsen</t>
        </is>
      </c>
      <c r="F61" t="n">
        <v>99</v>
      </c>
      <c r="G61" t="n">
        <v>0</v>
      </c>
      <c r="H61" t="n">
        <v>2498.54</v>
      </c>
    </row>
    <row r="62">
      <c r="A62" t="inlineStr">
        <is>
          <t>Buizerdstraat 210</t>
        </is>
      </c>
      <c r="B62" t="inlineStr">
        <is>
          <t>0027</t>
        </is>
      </c>
      <c r="C62" t="inlineStr">
        <is>
          <t>Desa Construction NL BV</t>
        </is>
      </c>
      <c r="D62" t="n">
        <v>50427</v>
      </c>
      <c r="E62" t="inlineStr">
        <is>
          <t>Johan van der Burg</t>
        </is>
      </c>
      <c r="F62" t="n">
        <v>111</v>
      </c>
      <c r="G62" t="n">
        <v>150</v>
      </c>
      <c r="H62" t="n">
        <v>1442.35</v>
      </c>
    </row>
    <row r="63">
      <c r="A63" t="inlineStr">
        <is>
          <t>Burchstraat 16A</t>
        </is>
      </c>
      <c r="B63" t="inlineStr">
        <is>
          <t>0097</t>
        </is>
      </c>
      <c r="C63" t="inlineStr">
        <is>
          <t>Detaconcept Services B.V.</t>
        </is>
      </c>
      <c r="D63" t="n">
        <v>50231</v>
      </c>
      <c r="E63" t="inlineStr">
        <is>
          <t>Johan ven der Burg</t>
        </is>
      </c>
      <c r="F63" t="n">
        <v>44</v>
      </c>
      <c r="G63" t="n">
        <v>450</v>
      </c>
      <c r="H63" t="n">
        <v>0</v>
      </c>
    </row>
    <row r="64">
      <c r="A64" t="inlineStr">
        <is>
          <t>Burgemeester Cramerlaan 82</t>
        </is>
      </c>
      <c r="B64" t="inlineStr">
        <is>
          <t>0276</t>
        </is>
      </c>
      <c r="C64" t="inlineStr">
        <is>
          <t>Detaconcept Uitzendgroep B.V.</t>
        </is>
      </c>
      <c r="D64" t="n">
        <v>50230</v>
      </c>
      <c r="E64" t="inlineStr">
        <is>
          <t>KPN</t>
        </is>
      </c>
      <c r="F64" t="n">
        <v>4</v>
      </c>
      <c r="G64" t="n">
        <v>0</v>
      </c>
      <c r="H64" t="n">
        <v>0</v>
      </c>
    </row>
    <row r="65">
      <c r="A65" t="inlineStr">
        <is>
          <t>Burgemeester Crezeelaan 76</t>
        </is>
      </c>
      <c r="B65" t="inlineStr">
        <is>
          <t>0275</t>
        </is>
      </c>
      <c r="C65" t="inlineStr">
        <is>
          <t>Dhr D. Pronk en Mw y. Pronk - Dijkhuizen</t>
        </is>
      </c>
      <c r="D65" t="n">
        <v>50263</v>
      </c>
      <c r="E65" t="inlineStr">
        <is>
          <t>L&amp;T BV</t>
        </is>
      </c>
      <c r="F65" t="n">
        <v>90</v>
      </c>
      <c r="G65" t="n">
        <v>0</v>
      </c>
      <c r="H65" t="n">
        <v>0</v>
      </c>
    </row>
    <row r="66">
      <c r="A66" t="inlineStr">
        <is>
          <t>Burgemeester Stulemeijerlaan 71</t>
        </is>
      </c>
      <c r="B66" t="inlineStr">
        <is>
          <t>0292</t>
        </is>
      </c>
      <c r="C66" t="inlineStr">
        <is>
          <t>Dhr I.B. Stefan</t>
        </is>
      </c>
      <c r="D66" t="n">
        <v>50300</v>
      </c>
      <c r="E66" t="inlineStr">
        <is>
          <t>L. Schilstra / Eigenaar.nl</t>
        </is>
      </c>
      <c r="F66" t="n">
        <v>32</v>
      </c>
      <c r="G66" t="n">
        <v>0</v>
      </c>
      <c r="H66" t="n">
        <v>0</v>
      </c>
    </row>
    <row r="67">
      <c r="A67" t="inlineStr">
        <is>
          <t>Chopinstraat 33C</t>
        </is>
      </c>
      <c r="B67" t="inlineStr">
        <is>
          <t>0160</t>
        </is>
      </c>
      <c r="C67" t="inlineStr">
        <is>
          <t>Dhr. A. Dorin</t>
        </is>
      </c>
      <c r="D67" t="n">
        <v>50247</v>
      </c>
      <c r="E67" t="inlineStr">
        <is>
          <t>Leendert Keizer</t>
        </is>
      </c>
      <c r="F67" t="n">
        <v>40</v>
      </c>
      <c r="G67" t="n">
        <v>0</v>
      </c>
      <c r="H67" t="n">
        <v>2909.6</v>
      </c>
    </row>
    <row r="68">
      <c r="A68" t="inlineStr">
        <is>
          <t xml:space="preserve">Chopinstraat 35A </t>
        </is>
      </c>
      <c r="B68" t="inlineStr">
        <is>
          <t>0131</t>
        </is>
      </c>
      <c r="C68" t="inlineStr">
        <is>
          <t>Dhr. A. Ros</t>
        </is>
      </c>
      <c r="D68" t="n">
        <v>50203</v>
      </c>
      <c r="E68" t="inlineStr">
        <is>
          <t>Loodgieter Pietersen</t>
        </is>
      </c>
      <c r="F68" t="n">
        <v>7</v>
      </c>
      <c r="G68" t="n">
        <v>0</v>
      </c>
      <c r="H68" t="n">
        <v>2165.26</v>
      </c>
    </row>
    <row r="69">
      <c r="A69" t="inlineStr">
        <is>
          <t>Chopinstraat 39C</t>
        </is>
      </c>
      <c r="B69" t="inlineStr">
        <is>
          <t>0026</t>
        </is>
      </c>
      <c r="C69" t="inlineStr">
        <is>
          <t>Dhr. B. Vlastuin</t>
        </is>
      </c>
      <c r="D69" t="n">
        <v>50208</v>
      </c>
      <c r="E69" t="inlineStr">
        <is>
          <t>M&amp;M Hendriks</t>
        </is>
      </c>
      <c r="F69" t="n">
        <v>37</v>
      </c>
      <c r="G69" t="n">
        <v>150</v>
      </c>
      <c r="H69" t="n">
        <v>1763.53</v>
      </c>
    </row>
    <row r="70">
      <c r="A70" t="inlineStr">
        <is>
          <t>Cloosterstraat 23A</t>
        </is>
      </c>
      <c r="B70" t="inlineStr">
        <is>
          <t>0370</t>
        </is>
      </c>
      <c r="C70" t="inlineStr">
        <is>
          <t>Dhr. J.L. Meerding</t>
        </is>
      </c>
      <c r="D70" t="n">
        <v>50225</v>
      </c>
      <c r="E70" t="inlineStr">
        <is>
          <t>M. Dogan</t>
        </is>
      </c>
      <c r="F70" t="n">
        <v>50</v>
      </c>
      <c r="G70" t="n">
        <v>0</v>
      </c>
      <c r="H70" t="n">
        <v>2850</v>
      </c>
    </row>
    <row r="71">
      <c r="A71" t="inlineStr">
        <is>
          <t>Coehoorn van Scheltingaweg 12</t>
        </is>
      </c>
      <c r="B71" t="inlineStr">
        <is>
          <t>0051</t>
        </is>
      </c>
      <c r="C71" t="inlineStr">
        <is>
          <t>Dhr. J.M.R. Boringa</t>
        </is>
      </c>
      <c r="D71" t="n">
        <v>50226</v>
      </c>
      <c r="E71" t="inlineStr">
        <is>
          <t>M. Farajzadeh</t>
        </is>
      </c>
      <c r="F71" t="n">
        <v>69</v>
      </c>
      <c r="G71" t="n">
        <v>150</v>
      </c>
      <c r="H71" t="n">
        <v>2143.53</v>
      </c>
    </row>
    <row r="72">
      <c r="A72" t="inlineStr">
        <is>
          <t>Coehoorn van Scheltingaweg 66</t>
        </is>
      </c>
      <c r="B72" t="inlineStr">
        <is>
          <t>0052</t>
        </is>
      </c>
      <c r="C72" t="inlineStr">
        <is>
          <t>Dhr. M. Moeilijker</t>
        </is>
      </c>
      <c r="D72" t="n">
        <v>50237</v>
      </c>
      <c r="E72" t="inlineStr">
        <is>
          <t>M. Kathiravelu</t>
        </is>
      </c>
      <c r="F72" t="n">
        <v>107</v>
      </c>
      <c r="G72" t="n">
        <v>150</v>
      </c>
      <c r="H72" t="n">
        <v>2509.41</v>
      </c>
    </row>
    <row r="73">
      <c r="A73" t="inlineStr">
        <is>
          <t>Compierekade 15</t>
        </is>
      </c>
      <c r="B73" t="inlineStr">
        <is>
          <t>0345</t>
        </is>
      </c>
      <c r="C73" t="inlineStr">
        <is>
          <t>Dhr. R Verspui</t>
        </is>
      </c>
      <c r="D73" t="n">
        <v>50243</v>
      </c>
      <c r="E73" t="inlineStr">
        <is>
          <t>M. Koolhaas</t>
        </is>
      </c>
      <c r="F73" t="n">
        <v>49</v>
      </c>
      <c r="G73" t="n">
        <v>0</v>
      </c>
      <c r="H73" t="n">
        <v>0</v>
      </c>
    </row>
    <row r="74">
      <c r="A74" t="inlineStr">
        <is>
          <t xml:space="preserve">Coornhertstraat 95 </t>
        </is>
      </c>
      <c r="B74" t="inlineStr">
        <is>
          <t>0162</t>
        </is>
      </c>
      <c r="C74" t="inlineStr">
        <is>
          <t>Dhr. R. Bekken</t>
        </is>
      </c>
      <c r="D74" t="n">
        <v>50211</v>
      </c>
      <c r="E74" t="inlineStr">
        <is>
          <t>M. Moeilijker</t>
        </is>
      </c>
      <c r="F74" t="n">
        <v>100</v>
      </c>
      <c r="G74" t="n">
        <v>0</v>
      </c>
      <c r="H74" t="n">
        <v>1552.29</v>
      </c>
    </row>
    <row r="75">
      <c r="A75" t="inlineStr">
        <is>
          <t xml:space="preserve">Cubalaan 25 </t>
        </is>
      </c>
      <c r="B75" t="inlineStr">
        <is>
          <t>0375</t>
        </is>
      </c>
      <c r="C75" t="inlineStr">
        <is>
          <t>Dhr. R. J. Beking</t>
        </is>
      </c>
      <c r="D75" t="n">
        <v>50242</v>
      </c>
      <c r="E75" t="inlineStr">
        <is>
          <t>M. Poel</t>
        </is>
      </c>
      <c r="F75" t="n">
        <v>72</v>
      </c>
      <c r="G75" t="n">
        <v>450</v>
      </c>
      <c r="H75" t="n">
        <v>4850</v>
      </c>
    </row>
    <row r="76">
      <c r="A76" t="inlineStr">
        <is>
          <t>Curacaolaan 24</t>
        </is>
      </c>
      <c r="B76" t="inlineStr">
        <is>
          <t>0163</t>
        </is>
      </c>
      <c r="C76" t="inlineStr">
        <is>
          <t>Dhr. SWJ Colpaert en Mevr. J. Michielsen</t>
        </is>
      </c>
      <c r="D76" t="n">
        <v>50209</v>
      </c>
      <c r="E76" t="inlineStr">
        <is>
          <t>M.B. Kewal</t>
        </is>
      </c>
      <c r="F76" t="n">
        <v>68</v>
      </c>
      <c r="G76" t="n">
        <v>0</v>
      </c>
      <c r="H76" t="n">
        <v>2498.54</v>
      </c>
    </row>
    <row r="77">
      <c r="A77" t="inlineStr">
        <is>
          <t>Curacaolaan 88</t>
        </is>
      </c>
      <c r="B77" t="inlineStr">
        <is>
          <t>0030</t>
        </is>
      </c>
      <c r="C77" t="inlineStr">
        <is>
          <t>Dhr. T. Roestenberg en Mw. Roestenberg - Hustinx</t>
        </is>
      </c>
      <c r="D77" t="n">
        <v>50273</v>
      </c>
      <c r="E77" t="inlineStr">
        <is>
          <t>M.C. Mostert</t>
        </is>
      </c>
      <c r="F77" t="n">
        <v>43</v>
      </c>
      <c r="G77" t="n">
        <v>150</v>
      </c>
      <c r="H77" t="n">
        <v>2054.12</v>
      </c>
    </row>
    <row r="78">
      <c r="A78" t="inlineStr">
        <is>
          <t xml:space="preserve">Curcumastraat 39 </t>
        </is>
      </c>
      <c r="B78" t="inlineStr">
        <is>
          <t>0053</t>
        </is>
      </c>
      <c r="C78" t="inlineStr">
        <is>
          <t>Direct Rendement B.V.</t>
        </is>
      </c>
      <c r="D78" t="n">
        <v>34</v>
      </c>
      <c r="E78" t="inlineStr">
        <is>
          <t>Maatschap vd Vlist -Teuben</t>
        </is>
      </c>
      <c r="F78" t="n">
        <v>105</v>
      </c>
      <c r="G78" t="n">
        <v>250</v>
      </c>
      <c r="H78" t="n">
        <v>1700</v>
      </c>
    </row>
    <row r="79">
      <c r="A79" t="inlineStr">
        <is>
          <t>Datheenstraat 255</t>
        </is>
      </c>
      <c r="B79" t="inlineStr">
        <is>
          <t>0151</t>
        </is>
      </c>
      <c r="C79" t="inlineStr">
        <is>
          <t>Duijndam Personeelsdiensten B.V.</t>
        </is>
      </c>
      <c r="D79" t="n">
        <v>100233</v>
      </c>
      <c r="E79" t="inlineStr">
        <is>
          <t>Martens JG / Van Tetering CFP</t>
        </is>
      </c>
      <c r="F79" t="n">
        <v>104</v>
      </c>
      <c r="G79" t="n">
        <v>0</v>
      </c>
      <c r="H79" t="n">
        <v>2841.93</v>
      </c>
    </row>
    <row r="80">
      <c r="A80" t="inlineStr">
        <is>
          <t>De Driesprong 17</t>
        </is>
      </c>
      <c r="B80" t="inlineStr">
        <is>
          <t>0165</t>
        </is>
      </c>
      <c r="C80" t="inlineStr">
        <is>
          <t>Dumanli</t>
        </is>
      </c>
      <c r="D80" t="n">
        <v>50375</v>
      </c>
      <c r="E80" t="inlineStr">
        <is>
          <t>Meershoek</t>
        </is>
      </c>
      <c r="F80" t="n">
        <v>78</v>
      </c>
      <c r="G80" t="n">
        <v>0</v>
      </c>
      <c r="H80" t="n">
        <v>3608.79</v>
      </c>
    </row>
    <row r="81">
      <c r="A81" t="inlineStr">
        <is>
          <t>De Gasperistraat 11</t>
        </is>
      </c>
      <c r="B81" t="inlineStr">
        <is>
          <t>0054</t>
        </is>
      </c>
      <c r="C81" t="inlineStr">
        <is>
          <t>Dunaj Projekty SRO</t>
        </is>
      </c>
      <c r="D81" t="n">
        <v>50431</v>
      </c>
      <c r="E81" t="inlineStr">
        <is>
          <t>MvB Services BV (Meindert van Buuren)</t>
        </is>
      </c>
      <c r="F81" t="n">
        <v>13</v>
      </c>
      <c r="G81" t="n">
        <v>150</v>
      </c>
      <c r="H81" t="n">
        <v>1580</v>
      </c>
    </row>
    <row r="82">
      <c r="A82" t="inlineStr">
        <is>
          <t>De Haak, Zekkenstraat 31A</t>
        </is>
      </c>
      <c r="B82" t="inlineStr">
        <is>
          <t>0288</t>
        </is>
      </c>
      <c r="C82" t="inlineStr">
        <is>
          <t>Dutch Ink</t>
        </is>
      </c>
      <c r="D82" t="n">
        <v>100135</v>
      </c>
      <c r="E82" t="inlineStr">
        <is>
          <t>Orange Invesments Group</t>
        </is>
      </c>
      <c r="F82" t="n">
        <v>11</v>
      </c>
      <c r="G82" t="n">
        <v>150</v>
      </c>
      <c r="H82" t="n">
        <v>1648.24</v>
      </c>
    </row>
    <row r="83">
      <c r="A83" t="inlineStr">
        <is>
          <t>De Haak, Zekkenstraat 31B</t>
        </is>
      </c>
      <c r="B83" t="inlineStr">
        <is>
          <t>0289</t>
        </is>
      </c>
      <c r="C83" t="inlineStr">
        <is>
          <t>Dutch Shipyard B.V.</t>
        </is>
      </c>
      <c r="D83" t="n">
        <v>50192</v>
      </c>
      <c r="E83" t="inlineStr">
        <is>
          <t>Orange Investments Group</t>
        </is>
      </c>
      <c r="F83" t="n">
        <v>93</v>
      </c>
      <c r="G83" t="n">
        <v>150</v>
      </c>
      <c r="H83" t="n">
        <v>2157.65</v>
      </c>
    </row>
    <row r="84">
      <c r="A84" t="inlineStr">
        <is>
          <t>De Haak, Zekkenstraat 56</t>
        </is>
      </c>
      <c r="B84" t="inlineStr">
        <is>
          <t>0290</t>
        </is>
      </c>
      <c r="C84" t="inlineStr">
        <is>
          <t>Dynalinx B.V.</t>
        </is>
      </c>
      <c r="D84" t="n">
        <v>50020</v>
      </c>
      <c r="E84" t="inlineStr">
        <is>
          <t>P. Nederstigt</t>
        </is>
      </c>
      <c r="F84" t="n">
        <v>123</v>
      </c>
      <c r="G84" t="n">
        <v>0</v>
      </c>
      <c r="H84" t="n">
        <v>0</v>
      </c>
    </row>
    <row r="85">
      <c r="A85" t="inlineStr">
        <is>
          <t>De Hooidollen 606</t>
        </is>
      </c>
      <c r="B85" t="inlineStr">
        <is>
          <t>0056</t>
        </is>
      </c>
      <c r="C85" t="inlineStr">
        <is>
          <t>E Rebel</t>
        </is>
      </c>
      <c r="D85" t="n">
        <v>100133</v>
      </c>
      <c r="E85" t="inlineStr">
        <is>
          <t>P. Ter Haar - Ros</t>
        </is>
      </c>
      <c r="F85" t="n">
        <v>34</v>
      </c>
      <c r="G85" t="n">
        <v>150</v>
      </c>
      <c r="H85" t="n">
        <v>1768.24</v>
      </c>
    </row>
    <row r="86">
      <c r="A86" t="inlineStr">
        <is>
          <t>Deensestraat 6A2</t>
        </is>
      </c>
      <c r="B86" t="inlineStr">
        <is>
          <t>0153</t>
        </is>
      </c>
      <c r="C86" t="inlineStr">
        <is>
          <t>E.C. Koornneef</t>
        </is>
      </c>
      <c r="D86" t="n">
        <v>100238</v>
      </c>
      <c r="E86" t="inlineStr">
        <is>
          <t>PRMD</t>
        </is>
      </c>
      <c r="F86" t="n">
        <v>113</v>
      </c>
      <c r="G86" t="n">
        <v>0</v>
      </c>
      <c r="H86" t="n">
        <v>3789.24</v>
      </c>
    </row>
    <row r="87">
      <c r="A87" t="inlineStr">
        <is>
          <t>Desiree Geeraertstraat 1 B</t>
        </is>
      </c>
      <c r="B87" t="inlineStr">
        <is>
          <t>0023</t>
        </is>
      </c>
      <c r="C87" t="inlineStr">
        <is>
          <t>E.C. Laus (Landsteinerhof 68)</t>
        </is>
      </c>
      <c r="D87" t="n">
        <v>50186</v>
      </c>
      <c r="E87" t="inlineStr">
        <is>
          <t>Parkwonen</t>
        </is>
      </c>
      <c r="F87" t="n">
        <v>26</v>
      </c>
      <c r="G87" t="n">
        <v>150</v>
      </c>
      <c r="H87" t="n">
        <v>2018.82</v>
      </c>
    </row>
    <row r="88">
      <c r="A88" t="inlineStr">
        <is>
          <t>Desiree Geeraertstraat 1 C</t>
        </is>
      </c>
      <c r="B88" t="inlineStr">
        <is>
          <t>0024</t>
        </is>
      </c>
      <c r="C88" t="inlineStr">
        <is>
          <t>E.C. Laus / K. van Elk Landsteinerhof</t>
        </is>
      </c>
      <c r="D88" t="n">
        <v>50236</v>
      </c>
      <c r="E88" t="inlineStr">
        <is>
          <t>Quadrant Vastgoed B.V.</t>
        </is>
      </c>
      <c r="F88" t="n">
        <v>106</v>
      </c>
      <c r="G88" t="n">
        <v>150</v>
      </c>
      <c r="H88" t="n">
        <v>2510.59</v>
      </c>
    </row>
    <row r="89">
      <c r="A89" t="inlineStr">
        <is>
          <t>Deugenweerd 18</t>
        </is>
      </c>
      <c r="B89" t="inlineStr">
        <is>
          <t>0058</t>
        </is>
      </c>
      <c r="C89" t="inlineStr">
        <is>
          <t>EG Facility &amp; Services BV</t>
        </is>
      </c>
      <c r="D89" t="n">
        <v>50429</v>
      </c>
      <c r="E89" t="inlineStr">
        <is>
          <t>R. Basil</t>
        </is>
      </c>
      <c r="F89" t="n">
        <v>112</v>
      </c>
      <c r="G89" t="n">
        <v>0</v>
      </c>
      <c r="H89" t="n">
        <v>2750</v>
      </c>
    </row>
    <row r="90">
      <c r="A90" t="inlineStr">
        <is>
          <t>Dieptol 63</t>
        </is>
      </c>
      <c r="B90" t="inlineStr">
        <is>
          <t>0059</t>
        </is>
      </c>
      <c r="C90" t="inlineStr">
        <is>
          <t>ERGO Construction doo</t>
        </is>
      </c>
      <c r="D90" t="n">
        <v>50139</v>
      </c>
      <c r="E90" t="inlineStr">
        <is>
          <t>R. Bekken</t>
        </is>
      </c>
      <c r="F90" t="n">
        <v>124</v>
      </c>
      <c r="G90" t="n">
        <v>400</v>
      </c>
      <c r="H90" t="n">
        <v>3300</v>
      </c>
    </row>
    <row r="91">
      <c r="A91" t="inlineStr">
        <is>
          <t>Dorpsstraat 48</t>
        </is>
      </c>
      <c r="B91" t="inlineStr">
        <is>
          <t>0354</t>
        </is>
      </c>
      <c r="C91" t="inlineStr">
        <is>
          <t>EU Facility Services</t>
        </is>
      </c>
      <c r="D91" t="n">
        <v>50159</v>
      </c>
      <c r="E91" t="inlineStr">
        <is>
          <t xml:space="preserve">R. Boringa </t>
        </is>
      </c>
      <c r="F91" t="n">
        <v>110</v>
      </c>
      <c r="G91" t="n">
        <v>0</v>
      </c>
      <c r="H91" t="n">
        <v>0</v>
      </c>
    </row>
    <row r="92">
      <c r="A92" t="inlineStr">
        <is>
          <t xml:space="preserve">Dorpsstraat 73 </t>
        </is>
      </c>
      <c r="B92" t="inlineStr">
        <is>
          <t>0066</t>
        </is>
      </c>
      <c r="C92" t="inlineStr">
        <is>
          <t>EWLIT Sp.Z.O.O.SP.K</t>
        </is>
      </c>
      <c r="D92" t="n">
        <v>50435</v>
      </c>
      <c r="E92" t="inlineStr">
        <is>
          <t>R. Bouius</t>
        </is>
      </c>
      <c r="F92" t="n">
        <v>119</v>
      </c>
      <c r="G92" t="n">
        <v>400</v>
      </c>
      <c r="H92" t="n">
        <v>6140.29</v>
      </c>
    </row>
    <row r="93">
      <c r="A93" t="inlineStr">
        <is>
          <t>Dorpstraat 48</t>
        </is>
      </c>
      <c r="B93" t="inlineStr">
        <is>
          <t>0203</t>
        </is>
      </c>
      <c r="C93" t="inlineStr">
        <is>
          <t>Eastmen</t>
        </is>
      </c>
      <c r="D93" t="n">
        <v>95</v>
      </c>
      <c r="E93" t="inlineStr">
        <is>
          <t>R. Paalman</t>
        </is>
      </c>
      <c r="F93" t="n">
        <v>67</v>
      </c>
      <c r="G93" t="n">
        <v>0</v>
      </c>
      <c r="H93" t="n">
        <v>1734.98</v>
      </c>
    </row>
    <row r="94">
      <c r="A94" t="inlineStr">
        <is>
          <t xml:space="preserve">Dwarsweg 44 </t>
        </is>
      </c>
      <c r="B94" t="inlineStr">
        <is>
          <t>0061</t>
        </is>
      </c>
      <c r="C94" t="inlineStr">
        <is>
          <t>Eastmen Human Resources B.V.</t>
        </is>
      </c>
      <c r="D94" t="n">
        <v>50218</v>
      </c>
      <c r="E94" t="inlineStr">
        <is>
          <t>R. Ras</t>
        </is>
      </c>
      <c r="F94" t="n">
        <v>62</v>
      </c>
      <c r="G94" t="n">
        <v>200</v>
      </c>
      <c r="H94" t="n">
        <v>0</v>
      </c>
    </row>
    <row r="95">
      <c r="A95" t="inlineStr">
        <is>
          <t>Eendrachtstraat 22</t>
        </is>
      </c>
      <c r="B95" t="inlineStr">
        <is>
          <t>0062</t>
        </is>
      </c>
      <c r="C95" t="inlineStr">
        <is>
          <t>Easyjob People</t>
        </is>
      </c>
      <c r="D95" t="n">
        <v>50178</v>
      </c>
      <c r="E95" t="inlineStr">
        <is>
          <t>R. Verspui</t>
        </is>
      </c>
      <c r="F95" t="n">
        <v>17</v>
      </c>
      <c r="G95" t="n">
        <v>0</v>
      </c>
      <c r="H95" t="n">
        <v>6140.29</v>
      </c>
    </row>
    <row r="96">
      <c r="A96" t="inlineStr">
        <is>
          <t>Elisadonk 220</t>
        </is>
      </c>
      <c r="B96" t="inlineStr">
        <is>
          <t>0136</t>
        </is>
      </c>
      <c r="C96" t="inlineStr">
        <is>
          <t>Edy Comert BV</t>
        </is>
      </c>
      <c r="D96" t="n">
        <v>17</v>
      </c>
      <c r="E96" t="inlineStr">
        <is>
          <t>Risa Beheer</t>
        </is>
      </c>
      <c r="F96" t="n">
        <v>118</v>
      </c>
      <c r="G96" t="n">
        <v>0</v>
      </c>
      <c r="H96" t="n">
        <v>2446.35</v>
      </c>
    </row>
    <row r="97">
      <c r="A97" t="inlineStr">
        <is>
          <t xml:space="preserve">Energieweg 40 </t>
        </is>
      </c>
      <c r="B97" t="inlineStr">
        <is>
          <t>0063</t>
        </is>
      </c>
      <c r="C97" t="inlineStr">
        <is>
          <t>Edy Comert SRL</t>
        </is>
      </c>
      <c r="D97" t="n">
        <v>83</v>
      </c>
      <c r="E97" t="inlineStr">
        <is>
          <t>Robert de Jonge</t>
        </is>
      </c>
      <c r="F97" t="n">
        <v>47</v>
      </c>
      <c r="G97" t="n">
        <v>0</v>
      </c>
      <c r="H97" t="n">
        <v>4755.44</v>
      </c>
    </row>
    <row r="98">
      <c r="A98" t="inlineStr">
        <is>
          <t>Engelsestraat 16L1</t>
        </is>
      </c>
      <c r="B98" t="inlineStr">
        <is>
          <t>0168</t>
        </is>
      </c>
      <c r="C98" t="inlineStr">
        <is>
          <t>Eemsdelta Housing B.V.</t>
        </is>
      </c>
      <c r="D98" t="n">
        <v>50293</v>
      </c>
      <c r="E98" t="inlineStr">
        <is>
          <t>Roestenberg</t>
        </is>
      </c>
      <c r="F98" t="n">
        <v>33</v>
      </c>
      <c r="G98" t="n">
        <v>0</v>
      </c>
      <c r="H98" t="n">
        <v>1723.44</v>
      </c>
    </row>
    <row r="99">
      <c r="A99" t="inlineStr">
        <is>
          <t>Engelsestraat 16L3</t>
        </is>
      </c>
      <c r="B99" t="inlineStr">
        <is>
          <t>0095</t>
        </is>
      </c>
      <c r="C99" t="inlineStr">
        <is>
          <t>Eigenaren van Dieptol 63</t>
        </is>
      </c>
      <c r="D99" t="n">
        <v>50268</v>
      </c>
      <c r="E99" t="inlineStr">
        <is>
          <t>Ruva Vastgoed B.V.</t>
        </is>
      </c>
      <c r="F99" t="n">
        <v>30</v>
      </c>
      <c r="G99" t="n">
        <v>0</v>
      </c>
      <c r="H99" t="n">
        <v>1993.32</v>
      </c>
    </row>
    <row r="100">
      <c r="A100" t="inlineStr">
        <is>
          <t>Enk 6</t>
        </is>
      </c>
      <c r="B100" t="inlineStr">
        <is>
          <t>0064</t>
        </is>
      </c>
      <c r="C100" t="inlineStr">
        <is>
          <t>Eizema Heerenveen Vastgoed b.v.</t>
        </is>
      </c>
      <c r="D100" t="n">
        <v>50181</v>
      </c>
      <c r="E100" t="inlineStr">
        <is>
          <t>S. Bakker / Eigenaar.nl</t>
        </is>
      </c>
      <c r="F100" t="n">
        <v>101</v>
      </c>
      <c r="G100" t="n">
        <v>0</v>
      </c>
      <c r="H100" t="n">
        <v>2253.77</v>
      </c>
    </row>
    <row r="101">
      <c r="A101" t="inlineStr">
        <is>
          <t>Enschotsestraat 163</t>
        </is>
      </c>
      <c r="B101" t="inlineStr">
        <is>
          <t>0006</t>
        </is>
      </c>
      <c r="C101" t="inlineStr">
        <is>
          <t>Employ</t>
        </is>
      </c>
      <c r="D101" t="n">
        <v>37</v>
      </c>
      <c r="E101" t="inlineStr">
        <is>
          <t>S. Isaku</t>
        </is>
      </c>
      <c r="F101" t="n">
        <v>66</v>
      </c>
      <c r="G101" t="n">
        <v>150</v>
      </c>
      <c r="H101" t="n">
        <v>2192.94</v>
      </c>
    </row>
    <row r="102">
      <c r="A102" t="inlineStr">
        <is>
          <t xml:space="preserve">Esdoornlaan 68 </t>
        </is>
      </c>
      <c r="B102" t="inlineStr">
        <is>
          <t>0065</t>
        </is>
      </c>
      <c r="C102" t="inlineStr">
        <is>
          <t>Employ Facilitair B.V.</t>
        </is>
      </c>
      <c r="D102" t="n">
        <v>50286</v>
      </c>
      <c r="E102" t="inlineStr">
        <is>
          <t>S. Kleiren</t>
        </is>
      </c>
      <c r="F102" t="n">
        <v>116</v>
      </c>
      <c r="G102" t="n">
        <v>300</v>
      </c>
      <c r="H102" t="n">
        <v>2446.35</v>
      </c>
    </row>
    <row r="103">
      <c r="A103" t="inlineStr">
        <is>
          <t>F.Erensstraat 21</t>
        </is>
      </c>
      <c r="B103" t="inlineStr">
        <is>
          <t>0068</t>
        </is>
      </c>
      <c r="C103" t="inlineStr">
        <is>
          <t>Estra Logistics Systems B.V.</t>
        </is>
      </c>
      <c r="D103" t="n">
        <v>100137</v>
      </c>
      <c r="E103" t="inlineStr">
        <is>
          <t>S. Raats (123Wonen)</t>
        </is>
      </c>
      <c r="F103" t="n">
        <v>79</v>
      </c>
      <c r="G103" t="n">
        <v>0</v>
      </c>
      <c r="H103" t="n">
        <v>2253.77</v>
      </c>
    </row>
    <row r="104">
      <c r="A104" t="inlineStr">
        <is>
          <t>Fabristraat 34A</t>
        </is>
      </c>
      <c r="B104" t="inlineStr">
        <is>
          <t>0093</t>
        </is>
      </c>
      <c r="C104" t="inlineStr">
        <is>
          <t>Euromontur Asemblies SL.</t>
        </is>
      </c>
      <c r="D104" t="n">
        <v>50267</v>
      </c>
      <c r="E104" t="inlineStr">
        <is>
          <t>Schoonmaakbedrijf Frisse Start</t>
        </is>
      </c>
      <c r="F104" t="n">
        <v>5</v>
      </c>
      <c r="G104" t="n">
        <v>0</v>
      </c>
      <c r="H104" t="n">
        <v>2602.5</v>
      </c>
    </row>
    <row r="105">
      <c r="A105" t="inlineStr">
        <is>
          <t>Fabristraat 34B</t>
        </is>
      </c>
      <c r="B105" t="inlineStr">
        <is>
          <t>0094</t>
        </is>
      </c>
      <c r="C105" t="inlineStr">
        <is>
          <t>Europe-jobs B.V.</t>
        </is>
      </c>
      <c r="D105" t="n">
        <v>100109</v>
      </c>
      <c r="E105" t="inlineStr">
        <is>
          <t>Sill Marinus Dijkstra Vastgoedbeheer)</t>
        </is>
      </c>
      <c r="F105" t="n">
        <v>29</v>
      </c>
      <c r="G105" t="n">
        <v>0</v>
      </c>
      <c r="H105" t="n">
        <v>3426.56</v>
      </c>
    </row>
    <row r="106">
      <c r="A106" t="inlineStr">
        <is>
          <t>Fenacoliuslaan 56B</t>
        </is>
      </c>
      <c r="B106" t="inlineStr">
        <is>
          <t>0273</t>
        </is>
      </c>
      <c r="C106" t="inlineStr">
        <is>
          <t>European Business Brokers</t>
        </is>
      </c>
      <c r="D106" t="n">
        <v>51</v>
      </c>
      <c r="E106" t="inlineStr">
        <is>
          <t>Sjoerd Dolstra</t>
        </is>
      </c>
      <c r="F106" t="n">
        <v>89</v>
      </c>
      <c r="G106" t="n">
        <v>0</v>
      </c>
      <c r="H106" t="n">
        <v>0</v>
      </c>
    </row>
    <row r="107">
      <c r="A107" t="inlineStr">
        <is>
          <t>Flankstraat 11</t>
        </is>
      </c>
      <c r="B107" t="inlineStr">
        <is>
          <t>0331</t>
        </is>
      </c>
      <c r="C107" t="inlineStr">
        <is>
          <t>F. Veurink en P. Neleman</t>
        </is>
      </c>
      <c r="D107" t="n">
        <v>50216</v>
      </c>
      <c r="E107" t="inlineStr">
        <is>
          <t>Stef Kleijweg</t>
        </is>
      </c>
      <c r="F107" t="n">
        <v>75</v>
      </c>
      <c r="G107" t="n">
        <v>300</v>
      </c>
      <c r="H107" t="n">
        <v>2450</v>
      </c>
    </row>
    <row r="108">
      <c r="A108" t="inlineStr">
        <is>
          <t>Franselaan 273B</t>
        </is>
      </c>
      <c r="B108" t="inlineStr">
        <is>
          <t>0019</t>
        </is>
      </c>
      <c r="C108" t="inlineStr">
        <is>
          <t>FGM Solar Renewable S.R.L.</t>
        </is>
      </c>
      <c r="D108" t="n">
        <v>100142</v>
      </c>
      <c r="E108" t="inlineStr">
        <is>
          <t>T. Eenhuistra/J. Pluimakers</t>
        </is>
      </c>
      <c r="F108" t="n">
        <v>39</v>
      </c>
      <c r="G108" t="n">
        <v>150</v>
      </c>
      <c r="H108" t="n">
        <v>2052.94</v>
      </c>
    </row>
    <row r="109">
      <c r="A109" t="inlineStr">
        <is>
          <t>Franz Liszstraat 5</t>
        </is>
      </c>
      <c r="B109" t="inlineStr">
        <is>
          <t>0067</t>
        </is>
      </c>
      <c r="C109" t="inlineStr">
        <is>
          <t>FISSH B.V.</t>
        </is>
      </c>
      <c r="D109" t="n">
        <v>100195</v>
      </c>
      <c r="E109" t="inlineStr">
        <is>
          <t>T. Hoolhorst</t>
        </is>
      </c>
      <c r="F109" t="n">
        <v>23</v>
      </c>
      <c r="G109" t="n">
        <v>0</v>
      </c>
      <c r="H109" t="n">
        <v>3643.5</v>
      </c>
    </row>
    <row r="110">
      <c r="A110" t="inlineStr">
        <is>
          <t>G.A. Brederolaan 75B</t>
        </is>
      </c>
      <c r="B110" t="inlineStr">
        <is>
          <t>0017</t>
        </is>
      </c>
      <c r="C110" t="inlineStr">
        <is>
          <t>Facili Flex BV</t>
        </is>
      </c>
      <c r="D110" t="n">
        <v>50367</v>
      </c>
      <c r="E110" t="inlineStr">
        <is>
          <t>T. van de Moosdijk</t>
        </is>
      </c>
      <c r="F110" t="n">
        <v>102</v>
      </c>
      <c r="G110" t="n">
        <v>150</v>
      </c>
      <c r="H110" t="n">
        <v>1702.35</v>
      </c>
    </row>
    <row r="111">
      <c r="A111" t="inlineStr">
        <is>
          <t>Gaffelaar 3</t>
        </is>
      </c>
      <c r="B111" t="inlineStr">
        <is>
          <t>0069</t>
        </is>
      </c>
      <c r="C111" t="inlineStr">
        <is>
          <t>Fam. Derwig</t>
        </is>
      </c>
      <c r="D111" t="n">
        <v>50184</v>
      </c>
      <c r="E111" t="inlineStr">
        <is>
          <t>TH Mungroop</t>
        </is>
      </c>
      <c r="F111" t="n">
        <v>41</v>
      </c>
      <c r="G111" t="n">
        <v>0</v>
      </c>
      <c r="H111" t="n">
        <v>4575</v>
      </c>
    </row>
    <row r="112">
      <c r="A112" t="inlineStr">
        <is>
          <t>Galgeweg 48-A</t>
        </is>
      </c>
      <c r="B112" t="inlineStr">
        <is>
          <t>0009</t>
        </is>
      </c>
      <c r="C112" t="inlineStr">
        <is>
          <t>Fareon Z Nederland</t>
        </is>
      </c>
      <c r="D112" t="n">
        <v>100138</v>
      </c>
      <c r="E112" t="inlineStr">
        <is>
          <t>Tradiro</t>
        </is>
      </c>
      <c r="F112" t="n">
        <v>15</v>
      </c>
      <c r="G112" t="n">
        <v>150</v>
      </c>
      <c r="H112" t="n">
        <v>2058.82</v>
      </c>
    </row>
    <row r="113">
      <c r="A113" t="inlineStr">
        <is>
          <t>Geldersestraat 91</t>
        </is>
      </c>
      <c r="B113" t="inlineStr">
        <is>
          <t>0109</t>
        </is>
      </c>
      <c r="C113" t="inlineStr">
        <is>
          <t>Fasttravel Taxi</t>
        </is>
      </c>
      <c r="D113" t="n">
        <v>100175</v>
      </c>
      <c r="E113" t="inlineStr">
        <is>
          <t>Transformatiehaven BV</t>
        </is>
      </c>
      <c r="F113" t="n">
        <v>77</v>
      </c>
      <c r="G113" t="n">
        <v>500</v>
      </c>
      <c r="H113" t="n">
        <v>4372.2</v>
      </c>
    </row>
    <row r="114">
      <c r="A114" t="inlineStr">
        <is>
          <t>Geleenstraat 1</t>
        </is>
      </c>
      <c r="B114" t="inlineStr">
        <is>
          <t>0070</t>
        </is>
      </c>
      <c r="C114" t="inlineStr">
        <is>
          <t>Feel Flex B.V.</t>
        </is>
      </c>
      <c r="D114" t="n">
        <v>50397</v>
      </c>
      <c r="E114" t="inlineStr">
        <is>
          <t>TwinsBV</t>
        </is>
      </c>
      <c r="F114" t="n">
        <v>22</v>
      </c>
      <c r="G114" t="n">
        <v>200</v>
      </c>
      <c r="H114" t="n">
        <v>3239.85</v>
      </c>
    </row>
    <row r="115">
      <c r="A115" t="inlineStr">
        <is>
          <t>Gerberalaan 113</t>
        </is>
      </c>
      <c r="B115" t="inlineStr">
        <is>
          <t>0277</t>
        </is>
      </c>
      <c r="C115" t="inlineStr">
        <is>
          <t>Finest Housing B.V.</t>
        </is>
      </c>
      <c r="D115" t="n">
        <v>13</v>
      </c>
      <c r="E115" t="inlineStr">
        <is>
          <t>Value+ Vastgoedmanagement</t>
        </is>
      </c>
      <c r="F115" t="n">
        <v>42</v>
      </c>
      <c r="G115" t="n">
        <v>0</v>
      </c>
      <c r="H115" t="n">
        <v>0</v>
      </c>
    </row>
    <row r="116">
      <c r="A116" t="inlineStr">
        <is>
          <t>Goudestein 30</t>
        </is>
      </c>
      <c r="B116" t="inlineStr">
        <is>
          <t>0170</t>
        </is>
      </c>
      <c r="C116" t="inlineStr">
        <is>
          <t>Finishing De Luxe GmbH</t>
        </is>
      </c>
      <c r="D116" t="n">
        <v>59</v>
      </c>
      <c r="E116" t="inlineStr">
        <is>
          <t>Vattenfall</t>
        </is>
      </c>
      <c r="F116" t="n">
        <v>2</v>
      </c>
      <c r="G116" t="n">
        <v>250</v>
      </c>
      <c r="H116" t="n">
        <v>2100</v>
      </c>
    </row>
    <row r="117">
      <c r="A117" t="inlineStr">
        <is>
          <t>Groenelaan 30B</t>
        </is>
      </c>
      <c r="B117" t="inlineStr">
        <is>
          <t>0025</t>
        </is>
      </c>
      <c r="C117" t="inlineStr">
        <is>
          <t>Fix Personeelsdiensten</t>
        </is>
      </c>
      <c r="D117" t="n">
        <v>50271</v>
      </c>
      <c r="E117" t="inlineStr">
        <is>
          <t>Verknocht</t>
        </is>
      </c>
      <c r="F117" t="n">
        <v>12</v>
      </c>
      <c r="G117" t="n">
        <v>150</v>
      </c>
      <c r="H117" t="n">
        <v>2165.88</v>
      </c>
    </row>
    <row r="118">
      <c r="A118" t="inlineStr">
        <is>
          <t>Groeneweg 127</t>
        </is>
      </c>
      <c r="B118" t="inlineStr">
        <is>
          <t>0172</t>
        </is>
      </c>
      <c r="C118" t="inlineStr">
        <is>
          <t>Flex House Renting B.V.</t>
        </is>
      </c>
      <c r="D118" t="n">
        <v>89</v>
      </c>
      <c r="E118" t="inlineStr">
        <is>
          <t>Veurink</t>
        </is>
      </c>
      <c r="F118" t="n">
        <v>38</v>
      </c>
      <c r="G118" t="n">
        <v>0</v>
      </c>
      <c r="H118" t="n">
        <v>2186.1</v>
      </c>
    </row>
    <row r="119">
      <c r="A119" t="inlineStr">
        <is>
          <t xml:space="preserve">Groeneweg 71 </t>
        </is>
      </c>
      <c r="B119" t="inlineStr">
        <is>
          <t>0173</t>
        </is>
      </c>
      <c r="C119" t="inlineStr">
        <is>
          <t>Flex Pons B.V.</t>
        </is>
      </c>
      <c r="D119" t="n">
        <v>50141</v>
      </c>
      <c r="E119" t="inlineStr">
        <is>
          <t>Vivir wonen (Mendy)</t>
        </is>
      </c>
      <c r="F119" t="n">
        <v>54</v>
      </c>
      <c r="G119" t="n">
        <v>0</v>
      </c>
      <c r="H119" t="n">
        <v>2169.06</v>
      </c>
    </row>
    <row r="120">
      <c r="A120" t="inlineStr">
        <is>
          <t>Groeneweg 74</t>
        </is>
      </c>
      <c r="B120" t="inlineStr">
        <is>
          <t>0174</t>
        </is>
      </c>
      <c r="C120" t="inlineStr">
        <is>
          <t>FlexState B.V.</t>
        </is>
      </c>
      <c r="D120" t="n">
        <v>50309</v>
      </c>
      <c r="E120" t="inlineStr">
        <is>
          <t>Vondellaan vastgoed</t>
        </is>
      </c>
      <c r="F120" t="n">
        <v>63</v>
      </c>
      <c r="G120" t="n">
        <v>0</v>
      </c>
      <c r="H120" t="n">
        <v>1750</v>
      </c>
    </row>
    <row r="121">
      <c r="A121" t="inlineStr">
        <is>
          <t>H. Algraplein 25</t>
        </is>
      </c>
      <c r="B121" t="inlineStr">
        <is>
          <t>0071</t>
        </is>
      </c>
      <c r="C121" t="inlineStr">
        <is>
          <t>Flexbo B.V.</t>
        </is>
      </c>
      <c r="D121" t="n">
        <v>100177</v>
      </c>
      <c r="E121" t="inlineStr">
        <is>
          <t>W. van Straalen</t>
        </is>
      </c>
      <c r="F121" t="n">
        <v>27</v>
      </c>
      <c r="G121" t="n">
        <v>250</v>
      </c>
      <c r="H121" t="n">
        <v>2575</v>
      </c>
    </row>
    <row r="122">
      <c r="A122" t="inlineStr">
        <is>
          <t>Haagkamp 11</t>
        </is>
      </c>
      <c r="B122" t="inlineStr">
        <is>
          <t>0279</t>
        </is>
      </c>
      <c r="C122" t="inlineStr">
        <is>
          <t>Flexcraft SSC BV</t>
        </is>
      </c>
      <c r="D122" t="n">
        <v>18</v>
      </c>
      <c r="E122" t="inlineStr">
        <is>
          <t>Westhavendomein</t>
        </is>
      </c>
      <c r="F122" t="n">
        <v>117</v>
      </c>
      <c r="G122" t="n">
        <v>0</v>
      </c>
      <c r="H122" t="n">
        <v>0</v>
      </c>
    </row>
    <row r="123">
      <c r="A123" t="inlineStr">
        <is>
          <t>Hagastraat 8</t>
        </is>
      </c>
      <c r="B123" t="inlineStr">
        <is>
          <t>0175</t>
        </is>
      </c>
      <c r="C123" t="inlineStr">
        <is>
          <t>Flextalent4u Uitzenden B.V.</t>
        </is>
      </c>
      <c r="D123" t="n">
        <v>50402</v>
      </c>
      <c r="E123" t="inlineStr">
        <is>
          <t>Wooninq</t>
        </is>
      </c>
      <c r="F123" t="n">
        <v>57</v>
      </c>
      <c r="G123" t="n">
        <v>0</v>
      </c>
      <c r="H123" t="n">
        <v>1750</v>
      </c>
    </row>
    <row r="124">
      <c r="A124" t="inlineStr">
        <is>
          <t>Heemskerkstraat 19</t>
        </is>
      </c>
      <c r="B124" t="inlineStr">
        <is>
          <t>0072</t>
        </is>
      </c>
      <c r="C124" t="inlineStr">
        <is>
          <t>Flexvesting B.V.</t>
        </is>
      </c>
      <c r="D124" t="n">
        <v>50222</v>
      </c>
      <c r="E124" t="inlineStr">
        <is>
          <t>Z. Yilmaz</t>
        </is>
      </c>
      <c r="F124" t="n">
        <v>60</v>
      </c>
      <c r="G124" t="n">
        <v>250</v>
      </c>
      <c r="H124" t="n">
        <v>2250</v>
      </c>
    </row>
    <row r="125">
      <c r="A125" t="inlineStr">
        <is>
          <t>Hendrik Deddenstraat 26</t>
        </is>
      </c>
      <c r="B125" t="inlineStr">
        <is>
          <t>0073</t>
        </is>
      </c>
      <c r="C125" t="inlineStr">
        <is>
          <t>Flowerhill B.V.</t>
        </is>
      </c>
      <c r="D125" t="n">
        <v>40</v>
      </c>
      <c r="E125" t="inlineStr">
        <is>
          <t>Ziggo</t>
        </is>
      </c>
      <c r="F125" t="n">
        <v>3</v>
      </c>
      <c r="G125" t="n">
        <v>0</v>
      </c>
      <c r="H125" t="n">
        <v>0</v>
      </c>
    </row>
    <row r="126">
      <c r="A126" t="inlineStr">
        <is>
          <t>Hendriklaan 49</t>
        </is>
      </c>
      <c r="B126" t="inlineStr">
        <is>
          <t>0325</t>
        </is>
      </c>
      <c r="C126" t="inlineStr">
        <is>
          <t>Focuzop-eu</t>
        </is>
      </c>
      <c r="D126" t="n">
        <v>50448</v>
      </c>
      <c r="G126" t="n">
        <v>450</v>
      </c>
      <c r="H126" t="n">
        <v>5500</v>
      </c>
    </row>
    <row r="127">
      <c r="A127" t="inlineStr">
        <is>
          <t xml:space="preserve">Herautpad 22 </t>
        </is>
      </c>
      <c r="B127" t="inlineStr">
        <is>
          <t>0176</t>
        </is>
      </c>
      <c r="C127" t="inlineStr">
        <is>
          <t>Fryslân Homes</t>
        </is>
      </c>
      <c r="D127" t="n">
        <v>84</v>
      </c>
      <c r="G127" t="n">
        <v>0</v>
      </c>
      <c r="H127" t="n">
        <v>1750</v>
      </c>
    </row>
    <row r="128">
      <c r="A128" t="inlineStr">
        <is>
          <t>Herenpad 20 A</t>
        </is>
      </c>
      <c r="B128" t="inlineStr">
        <is>
          <t>0133</t>
        </is>
      </c>
      <c r="C128" t="inlineStr">
        <is>
          <t>Furniture Lease</t>
        </is>
      </c>
      <c r="D128" t="n">
        <v>50026</v>
      </c>
      <c r="G128" t="n">
        <v>0</v>
      </c>
      <c r="H128" t="n">
        <v>3409.28</v>
      </c>
    </row>
    <row r="129">
      <c r="A129" t="inlineStr">
        <is>
          <t>Herenpad 20 B</t>
        </is>
      </c>
      <c r="B129" t="inlineStr">
        <is>
          <t>0134</t>
        </is>
      </c>
      <c r="C129" t="inlineStr">
        <is>
          <t>G.D. Dijkstra</t>
        </is>
      </c>
      <c r="D129" t="n">
        <v>50168</v>
      </c>
      <c r="G129" t="n">
        <v>0</v>
      </c>
      <c r="H129" t="n">
        <v>2363.07</v>
      </c>
    </row>
    <row r="130">
      <c r="A130" t="inlineStr">
        <is>
          <t>Hoefslag 8</t>
        </is>
      </c>
      <c r="B130" t="inlineStr">
        <is>
          <t>0107</t>
        </is>
      </c>
      <c r="C130" t="inlineStr">
        <is>
          <t>G.K. Stoel</t>
        </is>
      </c>
      <c r="D130" t="n">
        <v>100125</v>
      </c>
      <c r="G130" t="n">
        <v>250</v>
      </c>
      <c r="H130" t="n">
        <v>2446.35</v>
      </c>
    </row>
    <row r="131">
      <c r="A131" t="inlineStr">
        <is>
          <t>Hof van zeeland 2</t>
        </is>
      </c>
      <c r="B131" t="inlineStr">
        <is>
          <t>0334</t>
        </is>
      </c>
      <c r="C131" t="inlineStr">
        <is>
          <t>GAP Costruzioni S.r.l.</t>
        </is>
      </c>
      <c r="D131" t="n">
        <v>100262</v>
      </c>
      <c r="G131" t="n">
        <v>0</v>
      </c>
      <c r="H131" t="n">
        <v>0</v>
      </c>
    </row>
    <row r="132">
      <c r="A132" t="inlineStr">
        <is>
          <t>Hoge Noordweg 27B</t>
        </is>
      </c>
      <c r="B132" t="inlineStr">
        <is>
          <t>0177</t>
        </is>
      </c>
      <c r="C132" t="inlineStr">
        <is>
          <t>GMC KOVI Global Metal Construction</t>
        </is>
      </c>
      <c r="D132" t="n">
        <v>50433</v>
      </c>
      <c r="G132" t="n">
        <v>0</v>
      </c>
      <c r="H132" t="n">
        <v>1829.53</v>
      </c>
    </row>
    <row r="133">
      <c r="A133" t="inlineStr">
        <is>
          <t>Hoge Noordweg 28</t>
        </is>
      </c>
      <c r="B133" t="inlineStr">
        <is>
          <t>0178</t>
        </is>
      </c>
      <c r="C133" t="inlineStr">
        <is>
          <t>GOTI Verhuur B.V.</t>
        </is>
      </c>
      <c r="D133" t="n">
        <v>7</v>
      </c>
      <c r="G133" t="n">
        <v>0</v>
      </c>
      <c r="H133" t="n">
        <v>0</v>
      </c>
    </row>
    <row r="134">
      <c r="A134" t="inlineStr">
        <is>
          <t>Hogenbanweg 331</t>
        </is>
      </c>
      <c r="B134" t="inlineStr">
        <is>
          <t>0031</t>
        </is>
      </c>
      <c r="C134" t="inlineStr">
        <is>
          <t>GSI B.V.</t>
        </is>
      </c>
      <c r="D134" t="n">
        <v>50426</v>
      </c>
      <c r="G134" t="n">
        <v>150</v>
      </c>
      <c r="H134" t="n">
        <v>1974.12</v>
      </c>
    </row>
    <row r="135">
      <c r="A135" t="inlineStr">
        <is>
          <t>Hontenissestraat 124</t>
        </is>
      </c>
      <c r="B135" t="inlineStr">
        <is>
          <t>0181</t>
        </is>
      </c>
      <c r="C135" t="inlineStr">
        <is>
          <t>Gap Costruzioni Dutch Branch</t>
        </is>
      </c>
      <c r="D135" t="n">
        <v>50394</v>
      </c>
      <c r="G135" t="n">
        <v>250</v>
      </c>
      <c r="H135" t="n">
        <v>2240.44</v>
      </c>
    </row>
    <row r="136">
      <c r="A136" t="inlineStr">
        <is>
          <t>Hoofdstraat 110</t>
        </is>
      </c>
      <c r="B136" t="inlineStr">
        <is>
          <t>0075</t>
        </is>
      </c>
      <c r="C136" t="inlineStr">
        <is>
          <t>Gastvrijaanzee.nl</t>
        </is>
      </c>
      <c r="D136" t="n">
        <v>50439</v>
      </c>
      <c r="G136" t="n">
        <v>0</v>
      </c>
      <c r="H136" t="n">
        <v>2342.25</v>
      </c>
    </row>
    <row r="137">
      <c r="A137" t="inlineStr">
        <is>
          <t>Hooizolder 6</t>
        </is>
      </c>
      <c r="B137" t="inlineStr">
        <is>
          <t>0078</t>
        </is>
      </c>
      <c r="C137" t="inlineStr">
        <is>
          <t>Gemeente Waadhoeke</t>
        </is>
      </c>
      <c r="D137" t="n">
        <v>50252</v>
      </c>
      <c r="G137" t="n">
        <v>250</v>
      </c>
      <c r="H137" t="n">
        <v>2602.5</v>
      </c>
    </row>
    <row r="138">
      <c r="A138" t="inlineStr">
        <is>
          <t>Hugo de Grootstraat 72A &amp; B</t>
        </is>
      </c>
      <c r="B138" t="inlineStr">
        <is>
          <t>0147</t>
        </is>
      </c>
      <c r="C138" t="inlineStr">
        <is>
          <t>Global Accomodation Solutions (Incassobureau)</t>
        </is>
      </c>
      <c r="D138" t="n">
        <v>30</v>
      </c>
      <c r="G138" t="n">
        <v>0</v>
      </c>
      <c r="H138" t="n">
        <v>1977.9</v>
      </c>
    </row>
    <row r="139">
      <c r="A139" t="inlineStr">
        <is>
          <t xml:space="preserve">Hugo de Vriesstraat 54 </t>
        </is>
      </c>
      <c r="B139" t="inlineStr">
        <is>
          <t>0183</t>
        </is>
      </c>
      <c r="C139" t="inlineStr">
        <is>
          <t>Global Expatriate Services SL</t>
        </is>
      </c>
      <c r="D139" t="n">
        <v>52</v>
      </c>
      <c r="G139" t="n">
        <v>0</v>
      </c>
      <c r="H139" t="n">
        <v>2082</v>
      </c>
    </row>
    <row r="140">
      <c r="A140" t="inlineStr">
        <is>
          <t>Industriestraat 9</t>
        </is>
      </c>
      <c r="B140" t="inlineStr">
        <is>
          <t>0391</t>
        </is>
      </c>
      <c r="C140" t="inlineStr">
        <is>
          <t>Gridin's Group LT</t>
        </is>
      </c>
      <c r="D140" t="n">
        <v>87</v>
      </c>
      <c r="G140" t="n">
        <v>0</v>
      </c>
      <c r="H140" t="n">
        <v>0</v>
      </c>
    </row>
    <row r="141">
      <c r="A141" t="inlineStr">
        <is>
          <t>Inundatiestraat 3</t>
        </is>
      </c>
      <c r="B141" t="inlineStr">
        <is>
          <t>0039</t>
        </is>
      </c>
      <c r="C141" t="inlineStr">
        <is>
          <t>Groene Hart Service Detachering B.V.</t>
        </is>
      </c>
      <c r="D141" t="n">
        <v>22</v>
      </c>
      <c r="G141" t="n">
        <v>250</v>
      </c>
      <c r="H141" t="n">
        <v>2315.29</v>
      </c>
    </row>
    <row r="142">
      <c r="A142" t="inlineStr">
        <is>
          <t>Jacob van Lennepstraat 13 A</t>
        </is>
      </c>
      <c r="B142" t="inlineStr">
        <is>
          <t>0187</t>
        </is>
      </c>
      <c r="C142" t="inlineStr">
        <is>
          <t>H. Molla Farajzadeh</t>
        </is>
      </c>
      <c r="D142" t="n">
        <v>50176</v>
      </c>
      <c r="G142" t="n">
        <v>0</v>
      </c>
      <c r="H142" t="n">
        <v>1503.32</v>
      </c>
    </row>
    <row r="143">
      <c r="A143" t="inlineStr">
        <is>
          <t>Jacob van Lennepstraat 13 b</t>
        </is>
      </c>
      <c r="B143" t="inlineStr">
        <is>
          <t>0188</t>
        </is>
      </c>
      <c r="C143" t="inlineStr">
        <is>
          <t>H. van den Berg</t>
        </is>
      </c>
      <c r="D143" t="n">
        <v>50308</v>
      </c>
      <c r="G143" t="n">
        <v>0</v>
      </c>
      <c r="H143" t="n">
        <v>1503.32</v>
      </c>
    </row>
    <row r="144">
      <c r="A144" t="inlineStr">
        <is>
          <t>Jacob van Lennepstraat 34</t>
        </is>
      </c>
      <c r="B144" t="inlineStr">
        <is>
          <t>0189</t>
        </is>
      </c>
      <c r="C144" t="inlineStr">
        <is>
          <t>H.A. Samsom &amp; M.E.P. Knaap</t>
        </is>
      </c>
      <c r="D144" t="n">
        <v>50215</v>
      </c>
      <c r="G144" t="n">
        <v>0</v>
      </c>
      <c r="H144" t="n">
        <v>1503.32</v>
      </c>
    </row>
    <row r="145">
      <c r="A145" t="inlineStr">
        <is>
          <t>Jacob van offwegenlaan 26</t>
        </is>
      </c>
      <c r="B145" t="inlineStr">
        <is>
          <t>0032</t>
        </is>
      </c>
      <c r="C145" t="inlineStr">
        <is>
          <t>H.C. van Os - Remeeus</t>
        </is>
      </c>
      <c r="D145" t="n">
        <v>11</v>
      </c>
      <c r="G145" t="n">
        <v>150</v>
      </c>
      <c r="H145" t="n">
        <v>2065.88</v>
      </c>
    </row>
    <row r="146">
      <c r="A146" t="inlineStr">
        <is>
          <t>Jan van Arkelstraat 118</t>
        </is>
      </c>
      <c r="B146" t="inlineStr">
        <is>
          <t>0191</t>
        </is>
      </c>
      <c r="C146" t="inlineStr">
        <is>
          <t>H.T.C. Facility Services B.V.</t>
        </is>
      </c>
      <c r="D146" t="n">
        <v>50170</v>
      </c>
      <c r="G146" t="n">
        <v>0</v>
      </c>
      <c r="H146" t="n">
        <v>2255</v>
      </c>
    </row>
    <row r="147">
      <c r="A147" t="inlineStr">
        <is>
          <t>Jasmijnring 37</t>
        </is>
      </c>
      <c r="B147" t="inlineStr">
        <is>
          <t>0087</t>
        </is>
      </c>
      <c r="C147" t="inlineStr">
        <is>
          <t>HBBwonen.nu B.V.</t>
        </is>
      </c>
      <c r="D147" t="n">
        <v>45</v>
      </c>
      <c r="G147" t="n">
        <v>350</v>
      </c>
      <c r="H147" t="n">
        <v>0</v>
      </c>
    </row>
    <row r="148">
      <c r="A148" t="inlineStr">
        <is>
          <t>Johan Willem Frisostraat 36</t>
        </is>
      </c>
      <c r="B148" t="inlineStr">
        <is>
          <t>0146</t>
        </is>
      </c>
      <c r="C148" t="inlineStr">
        <is>
          <t>HJC Service</t>
        </is>
      </c>
      <c r="D148" t="n">
        <v>76</v>
      </c>
      <c r="G148" t="n">
        <v>300</v>
      </c>
      <c r="H148" t="n">
        <v>0</v>
      </c>
    </row>
    <row r="149">
      <c r="A149" t="inlineStr">
        <is>
          <t xml:space="preserve">Kaapsebos 11 </t>
        </is>
      </c>
      <c r="B149" t="inlineStr">
        <is>
          <t>0192</t>
        </is>
      </c>
      <c r="C149" t="inlineStr">
        <is>
          <t>Habroko B.V.</t>
        </is>
      </c>
      <c r="D149" t="n">
        <v>50213</v>
      </c>
      <c r="G149" t="n">
        <v>0</v>
      </c>
      <c r="H149" t="n">
        <v>2255</v>
      </c>
    </row>
    <row r="150">
      <c r="A150" t="inlineStr">
        <is>
          <t>Kanaal van Steenenhoek Z.Z. 10</t>
        </is>
      </c>
      <c r="B150" t="inlineStr">
        <is>
          <t>0082</t>
        </is>
      </c>
      <c r="C150" t="inlineStr">
        <is>
          <t>Head Vastgoed B.V.</t>
        </is>
      </c>
      <c r="D150" t="n">
        <v>50396</v>
      </c>
      <c r="G150" t="n">
        <v>350</v>
      </c>
      <c r="H150" t="n">
        <v>2575</v>
      </c>
    </row>
    <row r="151">
      <c r="A151" t="inlineStr">
        <is>
          <t>Kapershoek 11</t>
        </is>
      </c>
      <c r="B151" t="inlineStr">
        <is>
          <t>0193</t>
        </is>
      </c>
      <c r="C151" t="inlineStr">
        <is>
          <t>Heijdra Dhr. H.M.</t>
        </is>
      </c>
      <c r="D151" t="n">
        <v>50305</v>
      </c>
      <c r="G151" t="n">
        <v>0</v>
      </c>
      <c r="H151" t="n">
        <v>2255</v>
      </c>
    </row>
    <row r="152">
      <c r="A152" t="inlineStr">
        <is>
          <t>Karel Doormanlaan 21A</t>
        </is>
      </c>
      <c r="B152" t="inlineStr">
        <is>
          <t>0274</t>
        </is>
      </c>
      <c r="C152" t="inlineStr">
        <is>
          <t>Hiltermann Lease B.V.</t>
        </is>
      </c>
      <c r="D152" t="n">
        <v>50033</v>
      </c>
      <c r="G152" t="n">
        <v>0</v>
      </c>
      <c r="H152" t="n">
        <v>0</v>
      </c>
    </row>
    <row r="153">
      <c r="A153" t="inlineStr">
        <is>
          <t>Kastanjelaan 232</t>
        </is>
      </c>
      <c r="B153" t="inlineStr">
        <is>
          <t>0159</t>
        </is>
      </c>
      <c r="C153" t="inlineStr">
        <is>
          <t>Hiway Operational Company B.V.</t>
        </is>
      </c>
      <c r="D153" t="n">
        <v>50288</v>
      </c>
      <c r="G153" t="n">
        <v>250</v>
      </c>
      <c r="H153" t="n">
        <v>2500</v>
      </c>
    </row>
    <row r="154">
      <c r="A154" t="inlineStr">
        <is>
          <t>Keesomstraat 22</t>
        </is>
      </c>
      <c r="B154" t="inlineStr">
        <is>
          <t>0194</t>
        </is>
      </c>
      <c r="C154" t="inlineStr">
        <is>
          <t>Holland Chalet Park</t>
        </is>
      </c>
      <c r="D154" t="n">
        <v>100108</v>
      </c>
      <c r="G154" t="n">
        <v>0</v>
      </c>
      <c r="H154" t="n">
        <v>1503.32</v>
      </c>
    </row>
    <row r="155">
      <c r="A155" t="inlineStr">
        <is>
          <t xml:space="preserve">Keesomstraat 50 </t>
        </is>
      </c>
      <c r="B155" t="inlineStr">
        <is>
          <t>0195</t>
        </is>
      </c>
      <c r="C155" t="inlineStr">
        <is>
          <t>Homekeur B.V.</t>
        </is>
      </c>
      <c r="D155" t="n">
        <v>50102</v>
      </c>
      <c r="G155" t="n">
        <v>0</v>
      </c>
      <c r="H155" t="n">
        <v>2300</v>
      </c>
    </row>
    <row r="156">
      <c r="A156" t="inlineStr">
        <is>
          <t>Keesomstraat 54</t>
        </is>
      </c>
      <c r="B156" t="inlineStr">
        <is>
          <t>0196</t>
        </is>
      </c>
      <c r="C156" t="inlineStr">
        <is>
          <t>Homescout21 B.V.</t>
        </is>
      </c>
      <c r="D156" t="n">
        <v>50283</v>
      </c>
      <c r="G156" t="n">
        <v>0</v>
      </c>
      <c r="H156" t="n">
        <v>2255</v>
      </c>
    </row>
    <row r="157">
      <c r="A157" t="inlineStr">
        <is>
          <t>Kerkdreef 42</t>
        </is>
      </c>
      <c r="B157" t="inlineStr">
        <is>
          <t>0084</t>
        </is>
      </c>
      <c r="C157" t="inlineStr">
        <is>
          <t>Horus Team Sp. Z.o.o.</t>
        </is>
      </c>
      <c r="D157" t="n">
        <v>100139</v>
      </c>
      <c r="G157" t="n">
        <v>0</v>
      </c>
      <c r="H157" t="n">
        <v>2250</v>
      </c>
    </row>
    <row r="158">
      <c r="A158" t="inlineStr">
        <is>
          <t>Kerkweg 9A [333]</t>
        </is>
      </c>
      <c r="B158" t="inlineStr">
        <is>
          <t>0312</t>
        </is>
      </c>
      <c r="C158" t="inlineStr">
        <is>
          <t>Houses2Rent</t>
        </is>
      </c>
      <c r="D158" t="n">
        <v>50415</v>
      </c>
      <c r="G158" t="n">
        <v>300</v>
      </c>
      <c r="H158" t="n">
        <v>1683.53</v>
      </c>
    </row>
    <row r="159">
      <c r="A159" t="inlineStr">
        <is>
          <t>Kerkweg 9A [334]</t>
        </is>
      </c>
      <c r="B159" t="inlineStr">
        <is>
          <t>0313</t>
        </is>
      </c>
      <c r="C159" t="inlineStr">
        <is>
          <t>Housing en Transport Facilities B.V.</t>
        </is>
      </c>
      <c r="D159" t="n">
        <v>50347</v>
      </c>
      <c r="G159" t="n">
        <v>300</v>
      </c>
      <c r="H159" t="n">
        <v>2422.35</v>
      </c>
    </row>
    <row r="160">
      <c r="A160" t="inlineStr">
        <is>
          <t>Kerkweg 9A [338]</t>
        </is>
      </c>
      <c r="B160" t="inlineStr">
        <is>
          <t>0314</t>
        </is>
      </c>
      <c r="C160" t="inlineStr">
        <is>
          <t>Housing en Transport Facilities BV</t>
        </is>
      </c>
      <c r="D160" t="n">
        <v>97</v>
      </c>
      <c r="G160" t="n">
        <v>300</v>
      </c>
      <c r="H160" t="n">
        <v>2284.71</v>
      </c>
    </row>
    <row r="161">
      <c r="A161" t="inlineStr">
        <is>
          <t>Kerkweg 9A [347]</t>
        </is>
      </c>
      <c r="B161" t="inlineStr">
        <is>
          <t>0317</t>
        </is>
      </c>
      <c r="C161" t="inlineStr">
        <is>
          <t>HousingWell B.V.</t>
        </is>
      </c>
      <c r="D161" t="n">
        <v>100112</v>
      </c>
      <c r="G161" t="n">
        <v>300</v>
      </c>
      <c r="H161" t="n">
        <v>1855.29</v>
      </c>
    </row>
    <row r="162">
      <c r="A162" t="inlineStr">
        <is>
          <t>Kerkweg 9a [135]</t>
        </is>
      </c>
      <c r="B162" t="inlineStr">
        <is>
          <t>0308</t>
        </is>
      </c>
      <c r="C162" t="inlineStr">
        <is>
          <t>Houvast Estates B.V.</t>
        </is>
      </c>
      <c r="D162" t="n">
        <v>50304</v>
      </c>
      <c r="G162" t="n">
        <v>200</v>
      </c>
      <c r="H162" t="n">
        <v>1642.35</v>
      </c>
    </row>
    <row r="163">
      <c r="A163" t="inlineStr">
        <is>
          <t xml:space="preserve">Kerkweg 9a [137] </t>
        </is>
      </c>
      <c r="B163" t="inlineStr">
        <is>
          <t>0309</t>
        </is>
      </c>
      <c r="C163" t="inlineStr">
        <is>
          <t>Hugo Vastgoed B.V.</t>
        </is>
      </c>
      <c r="D163" t="n">
        <v>50136</v>
      </c>
      <c r="G163" t="n">
        <v>200</v>
      </c>
      <c r="H163" t="n">
        <v>1978.82</v>
      </c>
    </row>
    <row r="164">
      <c r="A164" t="inlineStr">
        <is>
          <t>Kerkweg 9a [210]</t>
        </is>
      </c>
      <c r="B164" t="inlineStr">
        <is>
          <t>0310</t>
        </is>
      </c>
      <c r="C164" t="inlineStr">
        <is>
          <t>I.I. Bhaggoe</t>
        </is>
      </c>
      <c r="D164" t="n">
        <v>55</v>
      </c>
      <c r="G164" t="n">
        <v>250</v>
      </c>
      <c r="H164" t="n">
        <v>1772.94</v>
      </c>
    </row>
    <row r="165">
      <c r="A165" t="inlineStr">
        <is>
          <t>Kerkweg 9a [269]</t>
        </is>
      </c>
      <c r="B165" t="inlineStr">
        <is>
          <t>0311</t>
        </is>
      </c>
      <c r="C165" t="inlineStr">
        <is>
          <t>I.T.S. SR.L. (INDUSTRIAL TECHNICAL SERVICES), BRAN</t>
        </is>
      </c>
      <c r="D165" t="n">
        <v>100094</v>
      </c>
      <c r="G165" t="n">
        <v>250</v>
      </c>
      <c r="H165" t="n">
        <v>1795.29</v>
      </c>
    </row>
    <row r="166">
      <c r="A166" t="inlineStr">
        <is>
          <t>Kerkweg 9a [340]</t>
        </is>
      </c>
      <c r="B166" t="inlineStr">
        <is>
          <t>0332</t>
        </is>
      </c>
      <c r="C166" t="inlineStr">
        <is>
          <t>IC Idea Complex Sp. Z.o.o.</t>
        </is>
      </c>
      <c r="D166" t="n">
        <v>50173</v>
      </c>
      <c r="G166" t="n">
        <v>350</v>
      </c>
      <c r="H166" t="n">
        <v>1735.29</v>
      </c>
    </row>
    <row r="167">
      <c r="A167" t="inlineStr">
        <is>
          <t>Kerkweg 9a [342]</t>
        </is>
      </c>
      <c r="B167" t="inlineStr">
        <is>
          <t>0315</t>
        </is>
      </c>
      <c r="C167" t="inlineStr">
        <is>
          <t>ICS Impianti S.R.L.</t>
        </is>
      </c>
      <c r="D167" t="n">
        <v>50289</v>
      </c>
      <c r="G167" t="n">
        <v>350</v>
      </c>
      <c r="H167" t="n">
        <v>1884.71</v>
      </c>
    </row>
    <row r="168">
      <c r="A168" t="inlineStr">
        <is>
          <t>Kerkweg 9a [346]</t>
        </is>
      </c>
      <c r="B168" t="inlineStr">
        <is>
          <t>0316</t>
        </is>
      </c>
      <c r="C168" t="inlineStr">
        <is>
          <t>IFC B.V.</t>
        </is>
      </c>
      <c r="D168" t="n">
        <v>50160</v>
      </c>
      <c r="G168" t="n">
        <v>300</v>
      </c>
      <c r="H168" t="n">
        <v>2196.47</v>
      </c>
    </row>
    <row r="169">
      <c r="A169" t="inlineStr">
        <is>
          <t>Kerkweg 9a [348]</t>
        </is>
      </c>
      <c r="B169" t="inlineStr">
        <is>
          <t>0338</t>
        </is>
      </c>
      <c r="C169" t="inlineStr">
        <is>
          <t>IPS Industrial Plant Solutions Kft.</t>
        </is>
      </c>
      <c r="D169" t="n">
        <v>100136</v>
      </c>
      <c r="G169" t="n">
        <v>400</v>
      </c>
      <c r="H169" t="n">
        <v>2283.53</v>
      </c>
    </row>
    <row r="170">
      <c r="A170" t="inlineStr">
        <is>
          <t>Kerkweg 9a [349]</t>
        </is>
      </c>
      <c r="B170" t="inlineStr">
        <is>
          <t>0318</t>
        </is>
      </c>
      <c r="C170" t="inlineStr">
        <is>
          <t>Impes Service S.p.A.</t>
        </is>
      </c>
      <c r="D170" t="n">
        <v>50295</v>
      </c>
      <c r="G170" t="n">
        <v>400</v>
      </c>
      <c r="H170" t="n">
        <v>2028.24</v>
      </c>
    </row>
    <row r="171">
      <c r="A171" t="inlineStr">
        <is>
          <t>Kerkweg 9a [356]</t>
        </is>
      </c>
      <c r="B171" t="inlineStr">
        <is>
          <t>0319</t>
        </is>
      </c>
      <c r="C171" t="inlineStr">
        <is>
          <t>Impianti Industriala S.P.A. NEDERLAND BRANCH</t>
        </is>
      </c>
      <c r="D171" t="n">
        <v>50329</v>
      </c>
      <c r="G171" t="n">
        <v>300</v>
      </c>
      <c r="H171" t="n">
        <v>2361.18</v>
      </c>
    </row>
    <row r="172">
      <c r="A172" t="inlineStr">
        <is>
          <t>Kerkweg 9a [357]</t>
        </is>
      </c>
      <c r="B172" t="inlineStr">
        <is>
          <t>0339</t>
        </is>
      </c>
      <c r="C172" t="inlineStr">
        <is>
          <t>In Stijl Totaalbouw BV</t>
        </is>
      </c>
      <c r="D172" t="n">
        <v>50467</v>
      </c>
      <c r="G172" t="n">
        <v>200</v>
      </c>
      <c r="H172" t="n">
        <v>1818.82</v>
      </c>
    </row>
    <row r="173">
      <c r="A173" t="inlineStr">
        <is>
          <t>Kerkweg 9a [359]</t>
        </is>
      </c>
      <c r="B173" t="inlineStr">
        <is>
          <t>0320</t>
        </is>
      </c>
      <c r="C173" t="inlineStr">
        <is>
          <t>InAxtion Vastgoed B.V.</t>
        </is>
      </c>
      <c r="D173" t="n">
        <v>50198</v>
      </c>
      <c r="G173" t="n">
        <v>300</v>
      </c>
      <c r="H173" t="n">
        <v>1902.35</v>
      </c>
    </row>
    <row r="174">
      <c r="A174" t="inlineStr">
        <is>
          <t>Kerkweg 9a [453]</t>
        </is>
      </c>
      <c r="B174" t="inlineStr">
        <is>
          <t>0321</t>
        </is>
      </c>
      <c r="C174" t="inlineStr">
        <is>
          <t>Industrial Technical Services Srl</t>
        </is>
      </c>
      <c r="D174" t="n">
        <v>96</v>
      </c>
      <c r="G174" t="n">
        <v>400</v>
      </c>
      <c r="H174" t="n">
        <v>2516.47</v>
      </c>
    </row>
    <row r="175">
      <c r="A175" t="inlineStr">
        <is>
          <t>Kerkwerversingel 127</t>
        </is>
      </c>
      <c r="B175" t="inlineStr">
        <is>
          <t>0225</t>
        </is>
      </c>
      <c r="C175" t="inlineStr">
        <is>
          <t>Interim Jobs B.V.</t>
        </is>
      </c>
      <c r="D175" t="n">
        <v>35</v>
      </c>
      <c r="G175" t="n">
        <v>200</v>
      </c>
      <c r="H175" t="n">
        <v>4164</v>
      </c>
    </row>
    <row r="176">
      <c r="A176" t="inlineStr">
        <is>
          <t>Kerstendijk 125</t>
        </is>
      </c>
      <c r="B176" t="inlineStr">
        <is>
          <t>0199</t>
        </is>
      </c>
      <c r="C176" t="inlineStr">
        <is>
          <t>Interwel Oost B.V.</t>
        </is>
      </c>
      <c r="D176" t="n">
        <v>50152</v>
      </c>
      <c r="G176" t="n">
        <v>0</v>
      </c>
      <c r="H176" t="n">
        <v>2841.93</v>
      </c>
    </row>
    <row r="177">
      <c r="A177" t="inlineStr">
        <is>
          <t>Kethelweg 1B</t>
        </is>
      </c>
      <c r="B177" t="inlineStr">
        <is>
          <t>0010</t>
        </is>
      </c>
      <c r="C177" t="inlineStr">
        <is>
          <t>I–Housing Vastgoed Beheer B.V.</t>
        </is>
      </c>
      <c r="D177" t="n">
        <v>100228</v>
      </c>
      <c r="G177" t="n">
        <v>150</v>
      </c>
      <c r="H177" t="n">
        <v>2444.71</v>
      </c>
    </row>
    <row r="178">
      <c r="A178" t="inlineStr">
        <is>
          <t>Kethelweg 1C</t>
        </is>
      </c>
      <c r="B178" t="inlineStr">
        <is>
          <t>0011</t>
        </is>
      </c>
      <c r="C178" t="inlineStr">
        <is>
          <t>J. Hermans</t>
        </is>
      </c>
      <c r="D178" t="n">
        <v>25</v>
      </c>
      <c r="G178" t="n">
        <v>150</v>
      </c>
      <c r="H178" t="n">
        <v>1769.41</v>
      </c>
    </row>
    <row r="179">
      <c r="A179" t="inlineStr">
        <is>
          <t>Kethelweg 66 D</t>
        </is>
      </c>
      <c r="B179" t="inlineStr">
        <is>
          <t>0333</t>
        </is>
      </c>
      <c r="C179" t="inlineStr">
        <is>
          <t>J. Hogervorst</t>
        </is>
      </c>
      <c r="D179" t="n">
        <v>50373</v>
      </c>
      <c r="G179" t="n">
        <v>0</v>
      </c>
      <c r="H179" t="n">
        <v>0</v>
      </c>
    </row>
    <row r="180">
      <c r="A180" t="inlineStr">
        <is>
          <t>Kethelweg 66A</t>
        </is>
      </c>
      <c r="B180" t="inlineStr">
        <is>
          <t>0088</t>
        </is>
      </c>
      <c r="C180" t="inlineStr">
        <is>
          <t>J. J. van Veen</t>
        </is>
      </c>
      <c r="D180" t="n">
        <v>50228</v>
      </c>
      <c r="G180" t="n">
        <v>0</v>
      </c>
      <c r="H180" t="n">
        <v>2593.81</v>
      </c>
    </row>
    <row r="181">
      <c r="A181" t="inlineStr">
        <is>
          <t xml:space="preserve">Kethelweg 66B </t>
        </is>
      </c>
      <c r="B181" t="inlineStr">
        <is>
          <t>0122</t>
        </is>
      </c>
      <c r="C181" t="inlineStr">
        <is>
          <t>J. Kuipers</t>
        </is>
      </c>
      <c r="D181" t="n">
        <v>50164</v>
      </c>
      <c r="G181" t="n">
        <v>0</v>
      </c>
      <c r="H181" t="n">
        <v>2593.81</v>
      </c>
    </row>
    <row r="182">
      <c r="A182" t="inlineStr">
        <is>
          <t>Kethelweg 66C</t>
        </is>
      </c>
      <c r="B182" t="inlineStr">
        <is>
          <t>0033</t>
        </is>
      </c>
      <c r="C182" t="inlineStr">
        <is>
          <t>J. Luijsterburg</t>
        </is>
      </c>
      <c r="D182" t="n">
        <v>50162</v>
      </c>
      <c r="G182" t="n">
        <v>150</v>
      </c>
      <c r="H182" t="n">
        <v>2444.71</v>
      </c>
    </row>
    <row r="183">
      <c r="A183" t="inlineStr">
        <is>
          <t>Kethelweg 68A</t>
        </is>
      </c>
      <c r="B183" t="inlineStr">
        <is>
          <t>0034</t>
        </is>
      </c>
      <c r="C183" t="inlineStr">
        <is>
          <t>J. van Heeswijk</t>
        </is>
      </c>
      <c r="D183" t="n">
        <v>68</v>
      </c>
      <c r="G183" t="n">
        <v>150</v>
      </c>
      <c r="H183" t="n">
        <v>2108.7</v>
      </c>
    </row>
    <row r="184">
      <c r="A184" t="inlineStr">
        <is>
          <t>Kierkegaardhof 54</t>
        </is>
      </c>
      <c r="B184" t="inlineStr">
        <is>
          <t>0085</t>
        </is>
      </c>
      <c r="C184" t="inlineStr">
        <is>
          <t>J.D. Jongsma</t>
        </is>
      </c>
      <c r="D184" t="n">
        <v>41</v>
      </c>
      <c r="G184" t="n">
        <v>200</v>
      </c>
      <c r="H184" t="n">
        <v>2400</v>
      </c>
    </row>
    <row r="185">
      <c r="A185" t="inlineStr">
        <is>
          <t>Kimbrenoord 15</t>
        </is>
      </c>
      <c r="B185" t="inlineStr">
        <is>
          <t>0202</t>
        </is>
      </c>
      <c r="C185" t="inlineStr">
        <is>
          <t>JC Kemp</t>
        </is>
      </c>
      <c r="D185" t="n">
        <v>100088</v>
      </c>
      <c r="G185" t="n">
        <v>300</v>
      </c>
      <c r="H185" t="n">
        <v>2650</v>
      </c>
    </row>
    <row r="186">
      <c r="A186" t="inlineStr">
        <is>
          <t>Kimbrenoord 49</t>
        </is>
      </c>
      <c r="B186" t="inlineStr">
        <is>
          <t>0359</t>
        </is>
      </c>
      <c r="C186" t="inlineStr">
        <is>
          <t>JES Funding &amp; Beheer B.V.</t>
        </is>
      </c>
      <c r="D186" t="n">
        <v>100095</v>
      </c>
      <c r="G186" t="n">
        <v>250</v>
      </c>
      <c r="H186" t="n">
        <v>2250</v>
      </c>
    </row>
    <row r="187">
      <c r="A187" t="inlineStr">
        <is>
          <t>Kleine Beer 60</t>
        </is>
      </c>
      <c r="B187" t="inlineStr">
        <is>
          <t>0086</t>
        </is>
      </c>
      <c r="C187" t="inlineStr">
        <is>
          <t>JJM Personeel B.V.</t>
        </is>
      </c>
      <c r="D187" t="n">
        <v>100101</v>
      </c>
      <c r="G187" t="n">
        <v>550</v>
      </c>
      <c r="H187" t="n">
        <v>4000</v>
      </c>
    </row>
    <row r="188">
      <c r="A188" t="inlineStr">
        <is>
          <t>Koningin Julianastraat 27</t>
        </is>
      </c>
      <c r="B188" t="inlineStr">
        <is>
          <t>0119</t>
        </is>
      </c>
      <c r="C188" t="inlineStr">
        <is>
          <t>JPJ Stoel</t>
        </is>
      </c>
      <c r="D188" t="n">
        <v>50420</v>
      </c>
      <c r="G188" t="n">
        <v>300</v>
      </c>
      <c r="H188" t="n">
        <v>3775</v>
      </c>
    </row>
    <row r="189">
      <c r="A189" t="inlineStr">
        <is>
          <t>Koperwerf 28</t>
        </is>
      </c>
      <c r="B189" t="inlineStr">
        <is>
          <t>0291</t>
        </is>
      </c>
      <c r="C189" t="inlineStr">
        <is>
          <t>JT Glazenwasserij en Schoonmaakdiensten</t>
        </is>
      </c>
      <c r="D189" t="n">
        <v>100248</v>
      </c>
      <c r="G189" t="n">
        <v>0</v>
      </c>
      <c r="H189" t="n">
        <v>0</v>
      </c>
    </row>
    <row r="190">
      <c r="A190" t="inlineStr">
        <is>
          <t>Korte Singelstraat 21-2</t>
        </is>
      </c>
      <c r="B190" t="inlineStr">
        <is>
          <t>0126</t>
        </is>
      </c>
      <c r="C190" t="inlineStr">
        <is>
          <t>Jacco Maat</t>
        </is>
      </c>
      <c r="D190" t="n">
        <v>100106</v>
      </c>
      <c r="G190" t="n">
        <v>200</v>
      </c>
      <c r="H190" t="n">
        <v>2363.07</v>
      </c>
    </row>
    <row r="191">
      <c r="A191" t="inlineStr">
        <is>
          <t>Korte Singelstraat 21-3</t>
        </is>
      </c>
      <c r="B191" t="inlineStr">
        <is>
          <t>0125</t>
        </is>
      </c>
      <c r="C191" t="inlineStr">
        <is>
          <t>Jan Luijsterburg Beheer B.V.</t>
        </is>
      </c>
      <c r="D191" t="n">
        <v>50163</v>
      </c>
      <c r="G191" t="n">
        <v>100</v>
      </c>
      <c r="H191" t="n">
        <v>1610.06</v>
      </c>
    </row>
    <row r="192">
      <c r="A192" t="inlineStr">
        <is>
          <t>Krabbendijkestraat 456</t>
        </is>
      </c>
      <c r="B192" t="inlineStr">
        <is>
          <t>0198</t>
        </is>
      </c>
      <c r="C192" t="inlineStr">
        <is>
          <t>Johan van der Burg</t>
        </is>
      </c>
      <c r="D192" t="n">
        <v>50449</v>
      </c>
      <c r="G192" t="n">
        <v>0</v>
      </c>
      <c r="H192" t="n">
        <v>1867.66</v>
      </c>
    </row>
    <row r="193">
      <c r="A193" t="inlineStr">
        <is>
          <t xml:space="preserve">Kreekrug 1 </t>
        </is>
      </c>
      <c r="B193" t="inlineStr">
        <is>
          <t>0205</t>
        </is>
      </c>
      <c r="C193" t="inlineStr">
        <is>
          <t>Jong de SAW Dhr</t>
        </is>
      </c>
      <c r="D193" t="n">
        <v>50301</v>
      </c>
      <c r="G193" t="n">
        <v>0</v>
      </c>
      <c r="H193" t="n">
        <v>0</v>
      </c>
    </row>
    <row r="194">
      <c r="A194" t="inlineStr">
        <is>
          <t>Kritostraat 54</t>
        </is>
      </c>
      <c r="B194" t="inlineStr">
        <is>
          <t>0389</t>
        </is>
      </c>
      <c r="C194" t="inlineStr">
        <is>
          <t>Joost de Jong Holding B.V.</t>
        </is>
      </c>
      <c r="D194" t="n">
        <v>10</v>
      </c>
      <c r="G194" t="n">
        <v>0</v>
      </c>
      <c r="H194" t="n">
        <v>2350</v>
      </c>
    </row>
    <row r="195">
      <c r="A195" t="inlineStr">
        <is>
          <t>Kruiningenstraat 152</t>
        </is>
      </c>
      <c r="B195" t="inlineStr">
        <is>
          <t>0206</t>
        </is>
      </c>
      <c r="C195" t="inlineStr">
        <is>
          <t>Joyce Bakker Advies</t>
        </is>
      </c>
      <c r="D195" t="n">
        <v>50210</v>
      </c>
      <c r="G195" t="n">
        <v>250</v>
      </c>
      <c r="H195" t="n">
        <v>2400</v>
      </c>
    </row>
    <row r="196">
      <c r="A196" t="inlineStr">
        <is>
          <t>Kruiningenstraat 185</t>
        </is>
      </c>
      <c r="B196" t="inlineStr">
        <is>
          <t>0360</t>
        </is>
      </c>
      <c r="C196" t="inlineStr">
        <is>
          <t>K-Power Netherlands Kft</t>
        </is>
      </c>
      <c r="D196" t="n">
        <v>85</v>
      </c>
      <c r="G196" t="n">
        <v>250</v>
      </c>
      <c r="H196" t="n">
        <v>2500</v>
      </c>
    </row>
    <row r="197">
      <c r="A197" t="inlineStr">
        <is>
          <t>Kruisweg 16</t>
        </is>
      </c>
      <c r="B197" t="inlineStr">
        <is>
          <t>0337</t>
        </is>
      </c>
      <c r="C197" t="inlineStr">
        <is>
          <t>KODE Staffhousing B.V.</t>
        </is>
      </c>
      <c r="D197" t="n">
        <v>50279</v>
      </c>
      <c r="G197" t="n">
        <v>600</v>
      </c>
      <c r="H197" t="n">
        <v>4750</v>
      </c>
    </row>
    <row r="198">
      <c r="A198" t="inlineStr">
        <is>
          <t>Kuipers-Rietbergpad 15</t>
        </is>
      </c>
      <c r="B198" t="inlineStr">
        <is>
          <t>0157</t>
        </is>
      </c>
      <c r="C198" t="inlineStr">
        <is>
          <t>Kadaster</t>
        </is>
      </c>
      <c r="D198" t="n">
        <v>50039</v>
      </c>
      <c r="G198" t="n">
        <v>0</v>
      </c>
      <c r="H198" t="n">
        <v>2737.83</v>
      </c>
    </row>
    <row r="199">
      <c r="A199" t="inlineStr">
        <is>
          <t xml:space="preserve">Kwekerslaan 7 </t>
        </is>
      </c>
      <c r="B199" t="inlineStr">
        <is>
          <t>0382</t>
        </is>
      </c>
      <c r="C199" t="inlineStr">
        <is>
          <t>Kajuit</t>
        </is>
      </c>
      <c r="D199" t="n">
        <v>100247</v>
      </c>
      <c r="G199" t="n">
        <v>450</v>
      </c>
      <c r="H199" t="n">
        <v>0</v>
      </c>
    </row>
    <row r="200">
      <c r="A200" t="inlineStr">
        <is>
          <t>Kwikstaartweg 45</t>
        </is>
      </c>
      <c r="B200" t="inlineStr">
        <is>
          <t>0207</t>
        </is>
      </c>
      <c r="C200" t="inlineStr">
        <is>
          <t>Kapitan Workers Sp. Z.o.o.</t>
        </is>
      </c>
      <c r="D200" t="n">
        <v>100244</v>
      </c>
      <c r="G200" t="n">
        <v>0</v>
      </c>
      <c r="H200" t="n">
        <v>1436.58</v>
      </c>
    </row>
    <row r="201">
      <c r="A201" t="inlineStr">
        <is>
          <t>Laan op Zuid 949</t>
        </is>
      </c>
      <c r="B201" t="inlineStr">
        <is>
          <t>0365</t>
        </is>
      </c>
      <c r="C201" t="inlineStr">
        <is>
          <t>Kapitein &amp; Personeel B.V</t>
        </is>
      </c>
      <c r="D201" t="n">
        <v>100239</v>
      </c>
      <c r="G201" t="n">
        <v>250</v>
      </c>
      <c r="H201" t="n">
        <v>0</v>
      </c>
    </row>
    <row r="202">
      <c r="A202" t="inlineStr">
        <is>
          <t>Laan van Adrichem 12</t>
        </is>
      </c>
      <c r="B202" t="inlineStr">
        <is>
          <t>0209</t>
        </is>
      </c>
      <c r="C202" t="inlineStr">
        <is>
          <t>Karadeniz Diensten</t>
        </is>
      </c>
      <c r="D202" t="n">
        <v>50349</v>
      </c>
      <c r="G202" t="n">
        <v>0</v>
      </c>
      <c r="H202" t="n">
        <v>1436.58</v>
      </c>
    </row>
    <row r="203">
      <c r="A203" t="inlineStr">
        <is>
          <t>Laan van Nieuw Blankenburg 278</t>
        </is>
      </c>
      <c r="B203" t="inlineStr">
        <is>
          <t>0090</t>
        </is>
      </c>
      <c r="C203" t="inlineStr">
        <is>
          <t>Key4work B.V.</t>
        </is>
      </c>
      <c r="D203" t="n">
        <v>100201</v>
      </c>
      <c r="G203" t="n">
        <v>200</v>
      </c>
      <c r="H203" t="n">
        <v>2855.46</v>
      </c>
    </row>
    <row r="204">
      <c r="A204" t="inlineStr">
        <is>
          <t>Laan van Nieuw Blankenburg 328</t>
        </is>
      </c>
      <c r="B204" t="inlineStr">
        <is>
          <t>0185</t>
        </is>
      </c>
      <c r="C204" t="inlineStr">
        <is>
          <t>Keypro B.V.</t>
        </is>
      </c>
      <c r="D204" t="n">
        <v>50041</v>
      </c>
      <c r="G204" t="n">
        <v>200</v>
      </c>
      <c r="H204" t="n">
        <v>2853.27</v>
      </c>
    </row>
    <row r="205">
      <c r="A205" t="inlineStr">
        <is>
          <t>Landsteinerhof 68</t>
        </is>
      </c>
      <c r="B205" t="inlineStr">
        <is>
          <t>0091</t>
        </is>
      </c>
      <c r="C205" t="inlineStr">
        <is>
          <t>Kiose Yacht Finishing</t>
        </is>
      </c>
      <c r="D205" t="n">
        <v>50</v>
      </c>
      <c r="G205" t="n">
        <v>0</v>
      </c>
      <c r="H205" t="n">
        <v>2914.8</v>
      </c>
    </row>
    <row r="206">
      <c r="A206" t="inlineStr">
        <is>
          <t>Lange Brink 3</t>
        </is>
      </c>
      <c r="B206" t="inlineStr">
        <is>
          <t>0092</t>
        </is>
      </c>
      <c r="C206" t="inlineStr">
        <is>
          <t>Klaas Bos</t>
        </is>
      </c>
      <c r="D206" t="n">
        <v>12</v>
      </c>
      <c r="G206" t="n">
        <v>0</v>
      </c>
      <c r="H206" t="n">
        <v>3643.5</v>
      </c>
    </row>
    <row r="207">
      <c r="A207" t="inlineStr">
        <is>
          <t>Lange Broekweg 46</t>
        </is>
      </c>
      <c r="B207" t="inlineStr">
        <is>
          <t>0278</t>
        </is>
      </c>
      <c r="C207" t="inlineStr">
        <is>
          <t>Kleijweg projects</t>
        </is>
      </c>
      <c r="D207" t="n">
        <v>100140</v>
      </c>
      <c r="G207" t="n">
        <v>0</v>
      </c>
      <c r="H207" t="n">
        <v>0</v>
      </c>
    </row>
    <row r="208">
      <c r="A208" t="inlineStr">
        <is>
          <t>Lange kruisweg 12</t>
        </is>
      </c>
      <c r="B208" t="inlineStr">
        <is>
          <t>0028</t>
        </is>
      </c>
      <c r="C208" t="inlineStr">
        <is>
          <t>Koens T. Dhr.</t>
        </is>
      </c>
      <c r="D208" t="n">
        <v>50270</v>
      </c>
      <c r="G208" t="n">
        <v>150</v>
      </c>
      <c r="H208" t="n">
        <v>1954.12</v>
      </c>
    </row>
    <row r="209">
      <c r="A209" t="inlineStr">
        <is>
          <t>Lavendelpad 6</t>
        </is>
      </c>
      <c r="B209" t="inlineStr">
        <is>
          <t>0385</t>
        </is>
      </c>
      <c r="C209" t="inlineStr">
        <is>
          <t>Kwekerij Stef Kleijweg</t>
        </is>
      </c>
      <c r="D209" t="n">
        <v>100231</v>
      </c>
      <c r="G209" t="n">
        <v>0</v>
      </c>
      <c r="H209" t="n">
        <v>0</v>
      </c>
    </row>
    <row r="210">
      <c r="A210" t="inlineStr">
        <is>
          <t>Lekdijk 14</t>
        </is>
      </c>
      <c r="B210" t="inlineStr">
        <is>
          <t>0366</t>
        </is>
      </c>
      <c r="C210" t="inlineStr">
        <is>
          <t>L. Keizer</t>
        </is>
      </c>
      <c r="D210" t="n">
        <v>88</v>
      </c>
      <c r="G210" t="n">
        <v>0</v>
      </c>
      <c r="H210" t="n">
        <v>0</v>
      </c>
    </row>
    <row r="211">
      <c r="A211" t="inlineStr">
        <is>
          <t>Liesveld 100</t>
        </is>
      </c>
      <c r="B211" t="inlineStr">
        <is>
          <t>0180</t>
        </is>
      </c>
      <c r="C211" t="inlineStr">
        <is>
          <t>L.M. Schilstra</t>
        </is>
      </c>
      <c r="D211" t="n">
        <v>36</v>
      </c>
      <c r="G211" t="n">
        <v>0</v>
      </c>
      <c r="H211" t="n">
        <v>0</v>
      </c>
    </row>
    <row r="212">
      <c r="A212" t="inlineStr">
        <is>
          <t>Loggerstraat 3</t>
        </is>
      </c>
      <c r="B212" t="inlineStr">
        <is>
          <t>0096</t>
        </is>
      </c>
      <c r="C212" t="inlineStr">
        <is>
          <t>LZ Auto- en Motorservice B.V.</t>
        </is>
      </c>
      <c r="D212" t="n">
        <v>50098</v>
      </c>
      <c r="G212" t="n">
        <v>0</v>
      </c>
      <c r="H212" t="n">
        <v>2375</v>
      </c>
    </row>
    <row r="213">
      <c r="A213" t="inlineStr">
        <is>
          <t>Lorentzstraat 73</t>
        </is>
      </c>
      <c r="B213" t="inlineStr">
        <is>
          <t>0210</t>
        </is>
      </c>
      <c r="C213" t="inlineStr">
        <is>
          <t>Labour Housing BV</t>
        </is>
      </c>
      <c r="D213" t="n">
        <v>50311</v>
      </c>
      <c r="G213" t="n">
        <v>0</v>
      </c>
      <c r="H213" t="n">
        <v>2750</v>
      </c>
    </row>
    <row r="214">
      <c r="A214" t="inlineStr">
        <is>
          <t xml:space="preserve">Maasdijk 206 </t>
        </is>
      </c>
      <c r="B214" t="inlineStr">
        <is>
          <t>0211</t>
        </is>
      </c>
      <c r="C214" t="inlineStr">
        <is>
          <t>Lago Personeelshuisvesting B.V.</t>
        </is>
      </c>
      <c r="D214" t="n">
        <v>50047</v>
      </c>
      <c r="G214" t="n">
        <v>0</v>
      </c>
      <c r="H214" t="n">
        <v>2300</v>
      </c>
    </row>
    <row r="215">
      <c r="A215" t="inlineStr">
        <is>
          <t xml:space="preserve">Maasdijk 69 </t>
        </is>
      </c>
      <c r="B215" t="inlineStr">
        <is>
          <t>0015</t>
        </is>
      </c>
      <c r="C215" t="inlineStr">
        <is>
          <t>Langweer Vastgoed B.V.</t>
        </is>
      </c>
      <c r="D215" t="n">
        <v>73</v>
      </c>
      <c r="G215" t="n">
        <v>150</v>
      </c>
      <c r="H215" t="n">
        <v>1934.12</v>
      </c>
    </row>
    <row r="216">
      <c r="A216" t="inlineStr">
        <is>
          <t>Madeliefstraat 46c</t>
        </is>
      </c>
      <c r="B216" t="inlineStr">
        <is>
          <t>0029</t>
        </is>
      </c>
      <c r="C216" t="inlineStr">
        <is>
          <t>Leen Bakker Nederland B.V.</t>
        </is>
      </c>
      <c r="D216" t="n">
        <v>50307</v>
      </c>
      <c r="G216" t="n">
        <v>200</v>
      </c>
      <c r="H216" t="n">
        <v>1877.65</v>
      </c>
    </row>
    <row r="217">
      <c r="A217" t="inlineStr">
        <is>
          <t>Madeweg 25C</t>
        </is>
      </c>
      <c r="B217" t="inlineStr">
        <is>
          <t>0282</t>
        </is>
      </c>
      <c r="C217" t="inlineStr">
        <is>
          <t>Level 5 Assetmanagement B.V.</t>
        </is>
      </c>
      <c r="D217" t="n">
        <v>50148</v>
      </c>
      <c r="G217" t="n">
        <v>0</v>
      </c>
      <c r="H217" t="n">
        <v>0</v>
      </c>
    </row>
    <row r="218">
      <c r="A218" t="inlineStr">
        <is>
          <t>Madeweg 35A</t>
        </is>
      </c>
      <c r="B218" t="inlineStr">
        <is>
          <t>0283</t>
        </is>
      </c>
      <c r="C218" t="inlineStr">
        <is>
          <t>Lievaart B.V.</t>
        </is>
      </c>
      <c r="D218" t="n">
        <v>50376</v>
      </c>
      <c r="G218" t="n">
        <v>0</v>
      </c>
      <c r="H218" t="n">
        <v>0</v>
      </c>
    </row>
    <row r="219">
      <c r="A219" t="inlineStr">
        <is>
          <t>Malzwin 34</t>
        </is>
      </c>
      <c r="B219" t="inlineStr">
        <is>
          <t>0182</t>
        </is>
      </c>
      <c r="C219" t="inlineStr">
        <is>
          <t>Light Personeelsdiensten</t>
        </is>
      </c>
      <c r="D219" t="n">
        <v>53</v>
      </c>
      <c r="G219" t="n">
        <v>0</v>
      </c>
      <c r="H219" t="n">
        <v>2082</v>
      </c>
    </row>
    <row r="220">
      <c r="A220" t="inlineStr">
        <is>
          <t>Marathonlaan 26</t>
        </is>
      </c>
      <c r="B220" t="inlineStr">
        <is>
          <t>0118</t>
        </is>
      </c>
      <c r="C220" t="inlineStr">
        <is>
          <t>Light Personeelsdiensten BV</t>
        </is>
      </c>
      <c r="D220" t="n">
        <v>100155</v>
      </c>
      <c r="G220" t="n">
        <v>300</v>
      </c>
      <c r="H220" t="n">
        <v>3300</v>
      </c>
    </row>
    <row r="221">
      <c r="A221" t="inlineStr">
        <is>
          <t xml:space="preserve">Markt 5 </t>
        </is>
      </c>
      <c r="B221" t="inlineStr">
        <is>
          <t>0057</t>
        </is>
      </c>
      <c r="C221" t="inlineStr">
        <is>
          <t>Lilit Home Makelaardij</t>
        </is>
      </c>
      <c r="D221" t="n">
        <v>100169</v>
      </c>
      <c r="G221" t="n">
        <v>0</v>
      </c>
      <c r="H221" t="n">
        <v>4033.88</v>
      </c>
    </row>
    <row r="222">
      <c r="A222" t="inlineStr">
        <is>
          <t>Marnixstraat 32</t>
        </is>
      </c>
      <c r="B222" t="inlineStr">
        <is>
          <t>0323</t>
        </is>
      </c>
      <c r="C222" t="inlineStr">
        <is>
          <t>Lion Trading</t>
        </is>
      </c>
      <c r="D222" t="n">
        <v>50217</v>
      </c>
      <c r="G222" t="n">
        <v>300</v>
      </c>
      <c r="H222" t="n">
        <v>2550</v>
      </c>
    </row>
    <row r="223">
      <c r="A223" t="inlineStr">
        <is>
          <t>Mathenesserdijk 261-C03</t>
        </is>
      </c>
      <c r="B223" t="inlineStr">
        <is>
          <t>0184</t>
        </is>
      </c>
      <c r="C223" t="inlineStr">
        <is>
          <t>LogIQ Barendrecht B.V.</t>
        </is>
      </c>
      <c r="D223" t="n">
        <v>100221</v>
      </c>
      <c r="G223" t="n">
        <v>200</v>
      </c>
      <c r="H223" t="n">
        <v>3600</v>
      </c>
    </row>
    <row r="224">
      <c r="A224" t="inlineStr">
        <is>
          <t>Meester G. Groen van Prinsterlaan 313</t>
        </is>
      </c>
      <c r="B224" t="inlineStr">
        <is>
          <t>0018</t>
        </is>
      </c>
      <c r="C224" t="inlineStr">
        <is>
          <t>Looije Facilities B.V.</t>
        </is>
      </c>
      <c r="D224" t="n">
        <v>50395</v>
      </c>
      <c r="G224" t="n">
        <v>200</v>
      </c>
      <c r="H224" t="n">
        <v>1861.18</v>
      </c>
    </row>
    <row r="225">
      <c r="A225" t="inlineStr">
        <is>
          <t>Melis Stokezijde 94</t>
        </is>
      </c>
      <c r="B225" t="inlineStr">
        <is>
          <t>0098</t>
        </is>
      </c>
      <c r="C225" t="inlineStr">
        <is>
          <t>M van den Berg e/o H van den Berg</t>
        </is>
      </c>
      <c r="D225" t="n">
        <v>50327</v>
      </c>
      <c r="G225" t="n">
        <v>200</v>
      </c>
      <c r="H225" t="n">
        <v>3250</v>
      </c>
    </row>
    <row r="226">
      <c r="A226" t="inlineStr">
        <is>
          <t>Mendelssohnplein 10C</t>
        </is>
      </c>
      <c r="B226" t="inlineStr">
        <is>
          <t>0215</t>
        </is>
      </c>
      <c r="C226" t="inlineStr">
        <is>
          <t>M. Poel</t>
        </is>
      </c>
      <c r="D226" t="n">
        <v>65</v>
      </c>
      <c r="G226" t="n">
        <v>0</v>
      </c>
      <c r="H226" t="n">
        <v>5710.93</v>
      </c>
    </row>
    <row r="227">
      <c r="A227" t="inlineStr">
        <is>
          <t>Mendelssohnplein 13D</t>
        </is>
      </c>
      <c r="B227" t="inlineStr">
        <is>
          <t>0214</t>
        </is>
      </c>
      <c r="C227" t="inlineStr">
        <is>
          <t>M.A. Pronk</t>
        </is>
      </c>
      <c r="D227" t="n">
        <v>75</v>
      </c>
      <c r="G227" t="n">
        <v>0</v>
      </c>
      <c r="H227" t="n">
        <v>2350</v>
      </c>
    </row>
    <row r="228">
      <c r="A228" t="inlineStr">
        <is>
          <t>Mendelssohnplein 46a</t>
        </is>
      </c>
      <c r="B228" t="inlineStr">
        <is>
          <t>0216</t>
        </is>
      </c>
      <c r="C228" t="inlineStr">
        <is>
          <t>M.C. Claassen</t>
        </is>
      </c>
      <c r="D228" t="n">
        <v>1</v>
      </c>
      <c r="G228" t="n">
        <v>0</v>
      </c>
      <c r="H228" t="n">
        <v>2053.74</v>
      </c>
    </row>
    <row r="229">
      <c r="A229" t="inlineStr">
        <is>
          <t>Messchaertplein 39</t>
        </is>
      </c>
      <c r="B229" t="inlineStr">
        <is>
          <t>0035</t>
        </is>
      </c>
      <c r="C229" t="inlineStr">
        <is>
          <t>M.J. van Os</t>
        </is>
      </c>
      <c r="D229" t="n">
        <v>14</v>
      </c>
      <c r="G229" t="n">
        <v>150</v>
      </c>
      <c r="H229" t="n">
        <v>2160</v>
      </c>
    </row>
    <row r="230">
      <c r="A230" t="inlineStr">
        <is>
          <t>Messchaertplein 40</t>
        </is>
      </c>
      <c r="B230" t="inlineStr">
        <is>
          <t>0036</t>
        </is>
      </c>
      <c r="C230" t="inlineStr">
        <is>
          <t>M@tchm@kers International B.V.</t>
        </is>
      </c>
      <c r="D230" t="n">
        <v>50275</v>
      </c>
      <c r="G230" t="n">
        <v>150</v>
      </c>
      <c r="H230" t="n">
        <v>2149.41</v>
      </c>
    </row>
    <row r="231">
      <c r="A231" t="inlineStr">
        <is>
          <t>Messchaertplein 40</t>
        </is>
      </c>
      <c r="B231" t="inlineStr">
        <is>
          <t>0037</t>
        </is>
      </c>
      <c r="C231" t="inlineStr">
        <is>
          <t>MB Kewal</t>
        </is>
      </c>
      <c r="D231" t="n">
        <v>100170</v>
      </c>
      <c r="G231" t="n">
        <v>150</v>
      </c>
      <c r="H231" t="n">
        <v>1937.65</v>
      </c>
    </row>
    <row r="232">
      <c r="A232" t="inlineStr">
        <is>
          <t>Middelrode 8</t>
        </is>
      </c>
      <c r="B232" t="inlineStr">
        <is>
          <t>0217</t>
        </is>
      </c>
      <c r="C232" t="inlineStr">
        <is>
          <t>MBS Services B.V.</t>
        </is>
      </c>
      <c r="D232" t="n">
        <v>50248</v>
      </c>
      <c r="G232" t="n">
        <v>0</v>
      </c>
      <c r="H232" t="n">
        <v>2250</v>
      </c>
    </row>
    <row r="233">
      <c r="A233" t="inlineStr">
        <is>
          <t>Middenbaan Noord 18A</t>
        </is>
      </c>
      <c r="B233" t="inlineStr">
        <is>
          <t>0251</t>
        </is>
      </c>
      <c r="C233" t="inlineStr">
        <is>
          <t>MC Mostert prive</t>
        </is>
      </c>
      <c r="D233" t="n">
        <v>50399</v>
      </c>
      <c r="G233" t="n">
        <v>250</v>
      </c>
      <c r="H233" t="n">
        <v>3325</v>
      </c>
    </row>
    <row r="234">
      <c r="A234" t="inlineStr">
        <is>
          <t xml:space="preserve">Middenbaan Noord 18B </t>
        </is>
      </c>
      <c r="B234" t="inlineStr">
        <is>
          <t>0252</t>
        </is>
      </c>
      <c r="C234" t="inlineStr">
        <is>
          <t>MDI Techniek B.V.</t>
        </is>
      </c>
      <c r="D234" t="n">
        <v>50468</v>
      </c>
      <c r="G234" t="n">
        <v>100</v>
      </c>
      <c r="H234" t="n">
        <v>2196.51</v>
      </c>
    </row>
    <row r="235">
      <c r="A235" t="inlineStr">
        <is>
          <t>Middenbaan Noord 18C</t>
        </is>
      </c>
      <c r="B235" t="inlineStr">
        <is>
          <t>0253</t>
        </is>
      </c>
      <c r="C235" t="inlineStr">
        <is>
          <t>MK Contracting BV</t>
        </is>
      </c>
      <c r="D235" t="n">
        <v>100173</v>
      </c>
      <c r="G235" t="n">
        <v>100</v>
      </c>
      <c r="H235" t="n">
        <v>2737.83</v>
      </c>
    </row>
    <row r="236">
      <c r="A236" t="inlineStr">
        <is>
          <t>Middenbaan Noord 20A</t>
        </is>
      </c>
      <c r="B236" t="inlineStr">
        <is>
          <t>0254</t>
        </is>
      </c>
      <c r="C236" t="inlineStr">
        <is>
          <t>MNA Proud Facilities B.V.</t>
        </is>
      </c>
      <c r="D236" t="n">
        <v>100197</v>
      </c>
      <c r="G236" t="n">
        <v>250</v>
      </c>
      <c r="H236" t="n">
        <v>2351.76</v>
      </c>
    </row>
    <row r="237">
      <c r="A237" t="inlineStr">
        <is>
          <t>Middenbaan Noord 20B</t>
        </is>
      </c>
      <c r="B237" t="inlineStr">
        <is>
          <t>0255</t>
        </is>
      </c>
      <c r="C237" t="inlineStr">
        <is>
          <t>MPC Energy B.V.</t>
        </is>
      </c>
      <c r="D237" t="n">
        <v>50320</v>
      </c>
      <c r="G237" t="n">
        <v>250</v>
      </c>
      <c r="H237" t="n">
        <v>2909.6</v>
      </c>
    </row>
    <row r="238">
      <c r="A238" t="inlineStr">
        <is>
          <t>Middenbaan Noord 20C</t>
        </is>
      </c>
      <c r="B238" t="inlineStr">
        <is>
          <t>0256</t>
        </is>
      </c>
      <c r="C238" t="inlineStr">
        <is>
          <t>Maatschap J.W. Meershoek &amp; W.M. Meershoek</t>
        </is>
      </c>
      <c r="D238" t="n">
        <v>8</v>
      </c>
      <c r="G238" t="n">
        <v>250</v>
      </c>
      <c r="H238" t="n">
        <v>2909.6</v>
      </c>
    </row>
    <row r="239">
      <c r="A239" t="inlineStr">
        <is>
          <t>Middenbaan Noord 22A</t>
        </is>
      </c>
      <c r="B239" t="inlineStr">
        <is>
          <t>0257</t>
        </is>
      </c>
      <c r="C239" t="inlineStr">
        <is>
          <t>Maatschap Van Driel - Vd Vlist</t>
        </is>
      </c>
      <c r="D239" t="n">
        <v>50306</v>
      </c>
      <c r="G239" t="n">
        <v>200</v>
      </c>
      <c r="H239" t="n">
        <v>3157.68</v>
      </c>
    </row>
    <row r="240">
      <c r="A240" t="inlineStr">
        <is>
          <t>Middenbaan Noord 22B</t>
        </is>
      </c>
      <c r="B240" t="inlineStr">
        <is>
          <t>0258</t>
        </is>
      </c>
      <c r="C240" t="inlineStr">
        <is>
          <t>Marco is Vastgoed B.V.</t>
        </is>
      </c>
      <c r="D240" t="n">
        <v>49</v>
      </c>
      <c r="G240" t="n">
        <v>250</v>
      </c>
      <c r="H240" t="n">
        <v>2498.54</v>
      </c>
    </row>
    <row r="241">
      <c r="A241" t="inlineStr">
        <is>
          <t xml:space="preserve">Middenbaan Noord 22C </t>
        </is>
      </c>
      <c r="B241" t="inlineStr">
        <is>
          <t>0259</t>
        </is>
      </c>
      <c r="C241" t="inlineStr">
        <is>
          <t>Marco van Beek B.V.</t>
        </is>
      </c>
      <c r="D241" t="n">
        <v>50266</v>
      </c>
      <c r="G241" t="n">
        <v>250</v>
      </c>
      <c r="H241" t="n">
        <v>2394.3</v>
      </c>
    </row>
    <row r="242">
      <c r="A242" t="inlineStr">
        <is>
          <t>Miltonstraat 55</t>
        </is>
      </c>
      <c r="B242" t="inlineStr">
        <is>
          <t>0219</t>
        </is>
      </c>
      <c r="C242" t="inlineStr">
        <is>
          <t>Maria</t>
        </is>
      </c>
      <c r="D242" t="n">
        <v>50462</v>
      </c>
      <c r="G242" t="n">
        <v>0</v>
      </c>
      <c r="H242" t="n">
        <v>1450</v>
      </c>
    </row>
    <row r="243">
      <c r="A243" t="inlineStr">
        <is>
          <t>Miltonstraat 85</t>
        </is>
      </c>
      <c r="B243" t="inlineStr">
        <is>
          <t>0220</t>
        </is>
      </c>
      <c r="C243" t="inlineStr">
        <is>
          <t>Marseille Bax Van Maanen Rotterdamse account.</t>
        </is>
      </c>
      <c r="D243" t="n">
        <v>50001</v>
      </c>
      <c r="G243" t="n">
        <v>0</v>
      </c>
      <c r="H243" t="n">
        <v>2500</v>
      </c>
    </row>
    <row r="244">
      <c r="A244" t="inlineStr">
        <is>
          <t>Molendijk 4</t>
        </is>
      </c>
      <c r="B244" t="inlineStr">
        <is>
          <t>0076</t>
        </is>
      </c>
      <c r="C244" t="inlineStr">
        <is>
          <t>Mavi Vastgoed</t>
        </is>
      </c>
      <c r="D244" t="n">
        <v>50436</v>
      </c>
      <c r="G244" t="n">
        <v>260</v>
      </c>
      <c r="H244" t="n">
        <v>3608.79</v>
      </c>
    </row>
    <row r="245">
      <c r="A245" t="inlineStr">
        <is>
          <t>Molenstraat 10</t>
        </is>
      </c>
      <c r="B245" t="inlineStr">
        <is>
          <t>0221</t>
        </is>
      </c>
      <c r="C245" t="inlineStr">
        <is>
          <t>Maytree Invest</t>
        </is>
      </c>
      <c r="D245" t="n">
        <v>50364</v>
      </c>
      <c r="G245" t="n">
        <v>0</v>
      </c>
      <c r="H245" t="n">
        <v>3800</v>
      </c>
    </row>
    <row r="246">
      <c r="A246" t="inlineStr">
        <is>
          <t>Molenstraat 23</t>
        </is>
      </c>
      <c r="B246" t="inlineStr">
        <is>
          <t>0222</t>
        </is>
      </c>
      <c r="C246" t="inlineStr">
        <is>
          <t>Mediterranean Careers Netherlands B.V.</t>
        </is>
      </c>
      <c r="D246" t="n">
        <v>50460</v>
      </c>
      <c r="G246" t="n">
        <v>0</v>
      </c>
      <c r="H246" t="n">
        <v>2498.4</v>
      </c>
    </row>
    <row r="247">
      <c r="A247" t="inlineStr">
        <is>
          <t>Molenweg 135</t>
        </is>
      </c>
      <c r="B247" t="inlineStr">
        <is>
          <t>0100</t>
        </is>
      </c>
      <c r="C247" t="inlineStr">
        <is>
          <t>Meerdervoort Queda Real B.V.</t>
        </is>
      </c>
      <c r="D247" t="n">
        <v>50194</v>
      </c>
      <c r="G247" t="n">
        <v>300</v>
      </c>
      <c r="H247" t="n">
        <v>2932.13</v>
      </c>
    </row>
    <row r="248">
      <c r="A248" t="inlineStr">
        <is>
          <t>Molenweg 3A</t>
        </is>
      </c>
      <c r="B248" t="inlineStr">
        <is>
          <t>0284</t>
        </is>
      </c>
      <c r="C248" t="inlineStr">
        <is>
          <t>Milieu Service Brabant</t>
        </is>
      </c>
      <c r="D248" t="n">
        <v>100235</v>
      </c>
      <c r="G248" t="n">
        <v>0</v>
      </c>
      <c r="H248" t="n">
        <v>0</v>
      </c>
    </row>
    <row r="249">
      <c r="A249" t="inlineStr">
        <is>
          <t>Molenweg 3B</t>
        </is>
      </c>
      <c r="B249" t="inlineStr">
        <is>
          <t>0335</t>
        </is>
      </c>
      <c r="C249" t="inlineStr">
        <is>
          <t>Mooswijk T.R. &amp; Plugers R.</t>
        </is>
      </c>
      <c r="D249" t="n">
        <v>50259</v>
      </c>
      <c r="G249" t="n">
        <v>0</v>
      </c>
      <c r="H249" t="n">
        <v>0</v>
      </c>
    </row>
    <row r="250">
      <c r="A250" t="inlineStr">
        <is>
          <t>Monseigneur W.M. Bekkerslaan 34</t>
        </is>
      </c>
      <c r="B250" t="inlineStr">
        <is>
          <t>0074</t>
        </is>
      </c>
      <c r="C250" t="inlineStr">
        <is>
          <t>Multiservizi Romania SRL</t>
        </is>
      </c>
      <c r="D250" t="n">
        <v>100141</v>
      </c>
      <c r="G250" t="n">
        <v>0</v>
      </c>
      <c r="H250" t="n">
        <v>2450</v>
      </c>
    </row>
    <row r="251">
      <c r="A251" t="inlineStr">
        <is>
          <t>Monsterseweg 26A</t>
        </is>
      </c>
      <c r="B251" t="inlineStr">
        <is>
          <t>0358</t>
        </is>
      </c>
      <c r="C251" t="inlineStr">
        <is>
          <t>Multiserwis SP z o.o.</t>
        </is>
      </c>
      <c r="D251" t="n">
        <v>42</v>
      </c>
      <c r="G251" t="n">
        <v>0</v>
      </c>
      <c r="H251" t="n">
        <v>0</v>
      </c>
    </row>
    <row r="252">
      <c r="A252" t="inlineStr">
        <is>
          <t>Moureauveld 8</t>
        </is>
      </c>
      <c r="B252" t="inlineStr">
        <is>
          <t>0101</t>
        </is>
      </c>
      <c r="C252" t="inlineStr">
        <is>
          <t>MvB Services</t>
        </is>
      </c>
      <c r="D252" t="n">
        <v>61</v>
      </c>
      <c r="G252" t="n">
        <v>250</v>
      </c>
      <c r="H252" t="n">
        <v>2800</v>
      </c>
    </row>
    <row r="253">
      <c r="A253" t="inlineStr">
        <is>
          <t>Mr. L.A. Kesperweg 31A</t>
        </is>
      </c>
      <c r="B253" t="inlineStr">
        <is>
          <t>0208</t>
        </is>
      </c>
      <c r="C253" t="inlineStr">
        <is>
          <t>Mw. M. Hyllested Poulsen en Dhr. S. Crull</t>
        </is>
      </c>
      <c r="D253" t="n">
        <v>50233</v>
      </c>
      <c r="G253" t="n">
        <v>0</v>
      </c>
      <c r="H253" t="n">
        <v>1436.58</v>
      </c>
    </row>
    <row r="254">
      <c r="A254" t="inlineStr">
        <is>
          <t>Mr. Troelstrastraat 11</t>
        </is>
      </c>
      <c r="B254" t="inlineStr">
        <is>
          <t>0213</t>
        </is>
      </c>
      <c r="C254" t="inlineStr">
        <is>
          <t>N2people B.V.</t>
        </is>
      </c>
      <c r="D254" t="n">
        <v>100259</v>
      </c>
      <c r="G254" t="n">
        <v>0</v>
      </c>
      <c r="H254" t="n">
        <v>0</v>
      </c>
    </row>
    <row r="255">
      <c r="A255" t="inlineStr">
        <is>
          <t>Mr. Troelstrastraat 37</t>
        </is>
      </c>
      <c r="B255" t="inlineStr">
        <is>
          <t>0020</t>
        </is>
      </c>
      <c r="C255" t="inlineStr">
        <is>
          <t>NL Realty B.V.</t>
        </is>
      </c>
      <c r="D255" t="n">
        <v>50314</v>
      </c>
      <c r="G255" t="n">
        <v>150</v>
      </c>
      <c r="H255" t="n">
        <v>1783.53</v>
      </c>
    </row>
    <row r="256">
      <c r="A256" t="inlineStr">
        <is>
          <t xml:space="preserve">Narcissenstraat 23 </t>
        </is>
      </c>
      <c r="B256" t="inlineStr">
        <is>
          <t>0103</t>
        </is>
      </c>
      <c r="C256" t="inlineStr">
        <is>
          <t>Nerom Flex B.V.</t>
        </is>
      </c>
      <c r="D256" t="n">
        <v>50255</v>
      </c>
      <c r="G256" t="n">
        <v>0</v>
      </c>
      <c r="H256" t="n">
        <v>1700</v>
      </c>
    </row>
    <row r="257">
      <c r="A257" t="inlineStr">
        <is>
          <t>Narcissenstraat 37</t>
        </is>
      </c>
      <c r="B257" t="inlineStr">
        <is>
          <t>0104</t>
        </is>
      </c>
      <c r="C257" t="inlineStr">
        <is>
          <t>Nerom Industrial Flex B.V.</t>
        </is>
      </c>
      <c r="D257" t="n">
        <v>50196</v>
      </c>
      <c r="G257" t="n">
        <v>375</v>
      </c>
      <c r="H257" t="n">
        <v>1850</v>
      </c>
    </row>
    <row r="258">
      <c r="A258" t="inlineStr">
        <is>
          <t>Narcissenstraat 9</t>
        </is>
      </c>
      <c r="B258" t="inlineStr">
        <is>
          <t>0102</t>
        </is>
      </c>
      <c r="C258" t="inlineStr">
        <is>
          <t>O.J.P Soc Construções</t>
        </is>
      </c>
      <c r="D258" t="n">
        <v>28</v>
      </c>
      <c r="G258" t="n">
        <v>300</v>
      </c>
      <c r="H258" t="n">
        <v>2250</v>
      </c>
    </row>
    <row r="259">
      <c r="A259" t="inlineStr">
        <is>
          <t>Nicolaas Beetsstraat 29</t>
        </is>
      </c>
      <c r="B259" t="inlineStr">
        <is>
          <t>0224</t>
        </is>
      </c>
      <c r="C259" t="inlineStr">
        <is>
          <t>O.P.H. Verhuur B.V. / Eigenaar.nl</t>
        </is>
      </c>
      <c r="D259" t="n">
        <v>50207</v>
      </c>
      <c r="G259" t="n">
        <v>0</v>
      </c>
      <c r="H259" t="n">
        <v>0</v>
      </c>
    </row>
    <row r="260">
      <c r="A260" t="inlineStr">
        <is>
          <t>Nieuwe Zeedijk 1K 308</t>
        </is>
      </c>
      <c r="B260" t="inlineStr">
        <is>
          <t>0108</t>
        </is>
      </c>
      <c r="C260" t="inlineStr">
        <is>
          <t>O.Vasiutina</t>
        </is>
      </c>
      <c r="D260" t="n">
        <v>50205</v>
      </c>
      <c r="G260" t="n">
        <v>0</v>
      </c>
      <c r="H260" t="n">
        <v>3275</v>
      </c>
    </row>
    <row r="261">
      <c r="A261" t="inlineStr">
        <is>
          <t>Nieuwenhoornstraat 46B</t>
        </is>
      </c>
      <c r="B261" t="inlineStr">
        <is>
          <t>0046</t>
        </is>
      </c>
      <c r="C261" t="inlineStr">
        <is>
          <t>OGSS BV</t>
        </is>
      </c>
      <c r="D261" t="n">
        <v>50100</v>
      </c>
      <c r="G261" t="n">
        <v>200</v>
      </c>
      <c r="H261" t="n">
        <v>1957.65</v>
      </c>
    </row>
    <row r="262">
      <c r="A262" t="inlineStr">
        <is>
          <t>Nieuwkerstraat 78</t>
        </is>
      </c>
      <c r="B262" t="inlineStr">
        <is>
          <t>0166</t>
        </is>
      </c>
      <c r="C262" t="inlineStr">
        <is>
          <t>OJP B.V.</t>
        </is>
      </c>
      <c r="D262" t="n">
        <v>50154</v>
      </c>
      <c r="G262" t="n">
        <v>300</v>
      </c>
      <c r="H262" t="n">
        <v>2169.06</v>
      </c>
    </row>
    <row r="263">
      <c r="A263" t="inlineStr">
        <is>
          <t>Noordmolenstraat 36a</t>
        </is>
      </c>
      <c r="B263" t="inlineStr">
        <is>
          <t>0328</t>
        </is>
      </c>
      <c r="C263" t="inlineStr">
        <is>
          <t>Odido Netherlands</t>
        </is>
      </c>
      <c r="D263" t="n">
        <v>100250</v>
      </c>
      <c r="G263" t="n">
        <v>200</v>
      </c>
      <c r="H263" t="n">
        <v>0</v>
      </c>
    </row>
    <row r="264">
      <c r="A264" t="inlineStr">
        <is>
          <t>Noordmolenstraat 36b</t>
        </is>
      </c>
      <c r="B264" t="inlineStr">
        <is>
          <t>0329</t>
        </is>
      </c>
      <c r="C264" t="inlineStr">
        <is>
          <t>Oostkracht Bemiddeling B.V.</t>
        </is>
      </c>
      <c r="D264" t="n">
        <v>100224</v>
      </c>
      <c r="G264" t="n">
        <v>200</v>
      </c>
      <c r="H264" t="n">
        <v>0</v>
      </c>
    </row>
    <row r="265">
      <c r="A265" t="inlineStr">
        <is>
          <t>Noordmolenstraat 36c</t>
        </is>
      </c>
      <c r="B265" t="inlineStr">
        <is>
          <t>0330</t>
        </is>
      </c>
      <c r="C265" t="inlineStr">
        <is>
          <t>Optima Uitzendbureau B.V.</t>
        </is>
      </c>
      <c r="D265" t="n">
        <v>100212</v>
      </c>
      <c r="G265" t="n">
        <v>200</v>
      </c>
      <c r="H265" t="n">
        <v>0</v>
      </c>
    </row>
    <row r="266">
      <c r="A266" t="inlineStr">
        <is>
          <t>Nunspeetlaan 14</t>
        </is>
      </c>
      <c r="B266" t="inlineStr">
        <is>
          <t>0001</t>
        </is>
      </c>
      <c r="C266" t="inlineStr">
        <is>
          <t>Orange Investments Group</t>
        </is>
      </c>
      <c r="D266" t="n">
        <v>93</v>
      </c>
      <c r="G266" t="n">
        <v>150</v>
      </c>
      <c r="H266" t="n">
        <v>1816.47</v>
      </c>
    </row>
    <row r="267">
      <c r="A267" t="inlineStr">
        <is>
          <t>Nunspeetlaan 53</t>
        </is>
      </c>
      <c r="B267" t="inlineStr">
        <is>
          <t>0041</t>
        </is>
      </c>
      <c r="C267" t="inlineStr">
        <is>
          <t>Orange Investments Group B.V.</t>
        </is>
      </c>
      <c r="D267" t="n">
        <v>50398</v>
      </c>
      <c r="G267" t="n">
        <v>150</v>
      </c>
      <c r="H267" t="n">
        <v>1834.12</v>
      </c>
    </row>
    <row r="268">
      <c r="A268" t="inlineStr">
        <is>
          <t>Ofwegen 1A</t>
        </is>
      </c>
      <c r="B268" t="inlineStr">
        <is>
          <t>0336</t>
        </is>
      </c>
      <c r="C268" t="inlineStr">
        <is>
          <t>Oranjegroep Vastgoed B.V.</t>
        </is>
      </c>
      <c r="D268" t="n">
        <v>50441</v>
      </c>
      <c r="G268" t="n">
        <v>350</v>
      </c>
      <c r="H268" t="n">
        <v>2900</v>
      </c>
    </row>
    <row r="269">
      <c r="A269" t="inlineStr">
        <is>
          <t>Oosterstraat 89</t>
        </is>
      </c>
      <c r="B269" t="inlineStr">
        <is>
          <t>0111</t>
        </is>
      </c>
      <c r="C269" t="inlineStr">
        <is>
          <t>Oxrooms</t>
        </is>
      </c>
      <c r="D269" t="n">
        <v>50130</v>
      </c>
      <c r="G269" t="n">
        <v>0</v>
      </c>
      <c r="H269" t="n">
        <v>3275</v>
      </c>
    </row>
    <row r="270">
      <c r="A270" t="inlineStr">
        <is>
          <t xml:space="preserve">Oostlaan 3 </t>
        </is>
      </c>
      <c r="B270" t="inlineStr">
        <is>
          <t>0227</t>
        </is>
      </c>
      <c r="C270" t="inlineStr">
        <is>
          <t>P. Gryspeerdt</t>
        </is>
      </c>
      <c r="D270" t="n">
        <v>71</v>
      </c>
      <c r="G270" t="n">
        <v>0</v>
      </c>
      <c r="H270" t="n">
        <v>2663.43</v>
      </c>
    </row>
    <row r="271">
      <c r="A271" t="inlineStr">
        <is>
          <t>Opaal 9</t>
        </is>
      </c>
      <c r="B271" t="inlineStr">
        <is>
          <t>0110</t>
        </is>
      </c>
      <c r="C271" t="inlineStr">
        <is>
          <t>P. Nederstigt</t>
        </is>
      </c>
      <c r="D271" t="n">
        <v>100121</v>
      </c>
      <c r="G271" t="n">
        <v>300</v>
      </c>
      <c r="H271" t="n">
        <v>3250</v>
      </c>
    </row>
    <row r="272">
      <c r="A272" t="inlineStr">
        <is>
          <t>Oranjestraat 63</t>
        </is>
      </c>
      <c r="B272" t="inlineStr">
        <is>
          <t>0369</t>
        </is>
      </c>
      <c r="C272" t="inlineStr">
        <is>
          <t>P. Ter Haar-Ros</t>
        </is>
      </c>
      <c r="D272" t="n">
        <v>100260</v>
      </c>
      <c r="G272" t="n">
        <v>150</v>
      </c>
      <c r="H272" t="n">
        <v>1600</v>
      </c>
    </row>
    <row r="273">
      <c r="A273" t="inlineStr">
        <is>
          <t>Oudewefslaan 84</t>
        </is>
      </c>
      <c r="B273" t="inlineStr">
        <is>
          <t>0112</t>
        </is>
      </c>
      <c r="C273" t="inlineStr">
        <is>
          <t>PMM Workforce Management Ltd</t>
        </is>
      </c>
      <c r="D273" t="n">
        <v>50430</v>
      </c>
      <c r="G273" t="n">
        <v>250</v>
      </c>
      <c r="H273" t="n">
        <v>2082</v>
      </c>
    </row>
    <row r="274">
      <c r="A274" t="inlineStr">
        <is>
          <t>P.F. Catsstraat 8</t>
        </is>
      </c>
      <c r="B274" t="inlineStr">
        <is>
          <t>0218</t>
        </is>
      </c>
      <c r="C274" t="inlineStr">
        <is>
          <t>PRP Solutions Flex Sp. Z.O.O</t>
        </is>
      </c>
      <c r="D274" t="n">
        <v>100172</v>
      </c>
      <c r="G274" t="n">
        <v>0</v>
      </c>
      <c r="H274" t="n">
        <v>3500</v>
      </c>
    </row>
    <row r="275">
      <c r="A275" t="inlineStr">
        <is>
          <t>Parallelweg 110A</t>
        </is>
      </c>
      <c r="B275" t="inlineStr">
        <is>
          <t>0042</t>
        </is>
      </c>
      <c r="C275" t="inlineStr">
        <is>
          <t>Parkwonen</t>
        </is>
      </c>
      <c r="D275" t="n">
        <v>50381</v>
      </c>
      <c r="G275" t="n">
        <v>150</v>
      </c>
      <c r="H275" t="n">
        <v>2056.47</v>
      </c>
    </row>
    <row r="276">
      <c r="A276" t="inlineStr">
        <is>
          <t>Parallelweg 114C</t>
        </is>
      </c>
      <c r="B276" t="inlineStr">
        <is>
          <t>0380</t>
        </is>
      </c>
      <c r="C276" t="inlineStr">
        <is>
          <t>People21 Services BV</t>
        </is>
      </c>
      <c r="D276" t="n">
        <v>50408</v>
      </c>
      <c r="G276" t="n">
        <v>250</v>
      </c>
      <c r="H276" t="n">
        <v>0</v>
      </c>
    </row>
    <row r="277">
      <c r="A277" t="inlineStr">
        <is>
          <t xml:space="preserve">Parallelweg 122A </t>
        </is>
      </c>
      <c r="B277" t="inlineStr">
        <is>
          <t>0228</t>
        </is>
      </c>
      <c r="C277" t="inlineStr">
        <is>
          <t>PersoneelDirectFriesland</t>
        </is>
      </c>
      <c r="D277" t="n">
        <v>50298</v>
      </c>
      <c r="G277" t="n">
        <v>0</v>
      </c>
      <c r="H277" t="n">
        <v>0</v>
      </c>
    </row>
    <row r="278">
      <c r="A278" t="inlineStr">
        <is>
          <t>Parallelweg 134B</t>
        </is>
      </c>
      <c r="B278" t="inlineStr">
        <is>
          <t>0381</t>
        </is>
      </c>
      <c r="C278" t="inlineStr">
        <is>
          <t>Plural Albufeira S.R.L.</t>
        </is>
      </c>
      <c r="D278" t="n">
        <v>50138</v>
      </c>
      <c r="G278" t="n">
        <v>250</v>
      </c>
      <c r="H278" t="n">
        <v>0</v>
      </c>
    </row>
    <row r="279">
      <c r="A279" t="inlineStr">
        <is>
          <t>Parallelweg 98B</t>
        </is>
      </c>
      <c r="B279" t="inlineStr">
        <is>
          <t>0229</t>
        </is>
      </c>
      <c r="C279" t="inlineStr">
        <is>
          <t>Pol Flex B.V.</t>
        </is>
      </c>
      <c r="D279" t="n">
        <v>54</v>
      </c>
      <c r="G279" t="n">
        <v>0</v>
      </c>
      <c r="H279" t="n">
        <v>2663.43</v>
      </c>
    </row>
    <row r="280">
      <c r="A280" t="inlineStr">
        <is>
          <t>Pasteursingel 61B</t>
        </is>
      </c>
      <c r="B280" t="inlineStr">
        <is>
          <t>0230</t>
        </is>
      </c>
      <c r="C280" t="inlineStr">
        <is>
          <t>Profectus Staffing Solutions</t>
        </is>
      </c>
      <c r="D280" t="n">
        <v>50161</v>
      </c>
      <c r="G280" t="n">
        <v>0</v>
      </c>
      <c r="H280" t="n">
        <v>3383.25</v>
      </c>
    </row>
    <row r="281">
      <c r="A281" t="inlineStr">
        <is>
          <t>Pastoor Gillisstraat 81-A</t>
        </is>
      </c>
      <c r="B281" t="inlineStr">
        <is>
          <t>0344</t>
        </is>
      </c>
      <c r="C281" t="inlineStr">
        <is>
          <t>Quality Home Rentals</t>
        </is>
      </c>
      <c r="D281" t="n">
        <v>70</v>
      </c>
      <c r="G281" t="n">
        <v>400</v>
      </c>
      <c r="H281" t="n">
        <v>0</v>
      </c>
    </row>
    <row r="282">
      <c r="A282" t="inlineStr">
        <is>
          <t>Pastoriedijk 89</t>
        </is>
      </c>
      <c r="B282" t="inlineStr">
        <is>
          <t>0083</t>
        </is>
      </c>
      <c r="C282" t="inlineStr">
        <is>
          <t>R&amp;E Services</t>
        </is>
      </c>
      <c r="D282" t="n">
        <v>50297</v>
      </c>
      <c r="G282" t="n">
        <v>0</v>
      </c>
      <c r="H282" t="n">
        <v>2250</v>
      </c>
    </row>
    <row r="283">
      <c r="A283" t="inlineStr">
        <is>
          <t>Patrijsstraat 39</t>
        </is>
      </c>
      <c r="B283" t="inlineStr">
        <is>
          <t>0081</t>
        </is>
      </c>
      <c r="C283" t="inlineStr">
        <is>
          <t>R. Bassil</t>
        </is>
      </c>
      <c r="D283" t="n">
        <v>100251</v>
      </c>
      <c r="G283" t="n">
        <v>250</v>
      </c>
      <c r="H283" t="n">
        <v>2394.3</v>
      </c>
    </row>
    <row r="284">
      <c r="A284" t="inlineStr">
        <is>
          <t>Persoonsdam 176</t>
        </is>
      </c>
      <c r="B284" t="inlineStr">
        <is>
          <t>0260</t>
        </is>
      </c>
      <c r="C284" t="inlineStr">
        <is>
          <t>RNDV Industries</t>
        </is>
      </c>
      <c r="D284" t="n">
        <v>100153</v>
      </c>
      <c r="G284" t="n">
        <v>100</v>
      </c>
      <c r="H284" t="n">
        <v>1503.32</v>
      </c>
    </row>
    <row r="285">
      <c r="A285" t="inlineStr">
        <is>
          <t>Persoonsdam 177</t>
        </is>
      </c>
      <c r="B285" t="inlineStr">
        <is>
          <t>0261</t>
        </is>
      </c>
      <c r="C285" t="inlineStr">
        <is>
          <t>RNVD Industries</t>
        </is>
      </c>
      <c r="D285" t="n">
        <v>100176</v>
      </c>
      <c r="G285" t="n">
        <v>100</v>
      </c>
      <c r="H285" t="n">
        <v>1503.32</v>
      </c>
    </row>
    <row r="286">
      <c r="A286" t="inlineStr">
        <is>
          <t>Persoonsdam 178</t>
        </is>
      </c>
      <c r="B286" t="inlineStr">
        <is>
          <t>0262</t>
        </is>
      </c>
      <c r="C286" t="inlineStr">
        <is>
          <t>Randstad Wonen</t>
        </is>
      </c>
      <c r="D286" t="n">
        <v>5</v>
      </c>
      <c r="G286" t="n">
        <v>100</v>
      </c>
      <c r="H286" t="n">
        <v>1503.32</v>
      </c>
    </row>
    <row r="287">
      <c r="A287" t="inlineStr">
        <is>
          <t>Persoonsdam 179</t>
        </is>
      </c>
      <c r="B287" t="inlineStr">
        <is>
          <t>0263</t>
        </is>
      </c>
      <c r="C287" t="inlineStr">
        <is>
          <t>Ras R.A. Dhr.</t>
        </is>
      </c>
      <c r="D287" t="n">
        <v>50310</v>
      </c>
      <c r="G287" t="n">
        <v>150</v>
      </c>
      <c r="H287" t="n">
        <v>2255</v>
      </c>
    </row>
    <row r="288">
      <c r="A288" t="inlineStr">
        <is>
          <t>Persoonsdam 180</t>
        </is>
      </c>
      <c r="B288" t="inlineStr">
        <is>
          <t>0264</t>
        </is>
      </c>
      <c r="C288" t="inlineStr">
        <is>
          <t>Reham Verhuur B.V.</t>
        </is>
      </c>
      <c r="D288" t="n">
        <v>50104</v>
      </c>
      <c r="G288" t="n">
        <v>150</v>
      </c>
      <c r="H288" t="n">
        <v>2255</v>
      </c>
    </row>
    <row r="289">
      <c r="A289" t="inlineStr">
        <is>
          <t>Persoonsdam 181</t>
        </is>
      </c>
      <c r="B289" t="inlineStr">
        <is>
          <t>0265</t>
        </is>
      </c>
      <c r="C289" t="inlineStr">
        <is>
          <t>Resource One B.V.</t>
        </is>
      </c>
      <c r="D289" t="n">
        <v>32</v>
      </c>
      <c r="G289" t="n">
        <v>150</v>
      </c>
      <c r="H289" t="n">
        <v>2255</v>
      </c>
    </row>
    <row r="290">
      <c r="A290" t="inlineStr">
        <is>
          <t>Persoonsdam 182</t>
        </is>
      </c>
      <c r="B290" t="inlineStr">
        <is>
          <t>0266</t>
        </is>
      </c>
      <c r="C290" t="inlineStr">
        <is>
          <t>Robert L.P. de Jonge</t>
        </is>
      </c>
      <c r="D290" t="n">
        <v>50179</v>
      </c>
      <c r="G290" t="n">
        <v>150</v>
      </c>
      <c r="H290" t="n">
        <v>2255</v>
      </c>
    </row>
    <row r="291">
      <c r="A291" t="inlineStr">
        <is>
          <t>Persoonsdam 194</t>
        </is>
      </c>
      <c r="B291" t="inlineStr">
        <is>
          <t>0267</t>
        </is>
      </c>
      <c r="C291" t="inlineStr">
        <is>
          <t>Royal DS Personeel-service</t>
        </is>
      </c>
      <c r="D291" t="n">
        <v>100102</v>
      </c>
      <c r="G291" t="n">
        <v>100</v>
      </c>
      <c r="H291" t="n">
        <v>1503.32</v>
      </c>
    </row>
    <row r="292">
      <c r="A292" t="inlineStr">
        <is>
          <t>Persoonsdam 196</t>
        </is>
      </c>
      <c r="B292" t="inlineStr">
        <is>
          <t>0349</t>
        </is>
      </c>
      <c r="C292" t="inlineStr">
        <is>
          <t>Ruva Vastgoed B.V.</t>
        </is>
      </c>
      <c r="D292" t="n">
        <v>6</v>
      </c>
      <c r="G292" t="n">
        <v>150</v>
      </c>
      <c r="H292" t="n">
        <v>2300</v>
      </c>
    </row>
    <row r="293">
      <c r="A293" t="inlineStr">
        <is>
          <t>Persoonsdam 198</t>
        </is>
      </c>
      <c r="B293" t="inlineStr">
        <is>
          <t>0268</t>
        </is>
      </c>
      <c r="C293" t="inlineStr">
        <is>
          <t>RyanRent B.V.</t>
        </is>
      </c>
      <c r="D293" t="n">
        <v>50264</v>
      </c>
      <c r="G293" t="n">
        <v>150</v>
      </c>
      <c r="H293" t="n">
        <v>2255</v>
      </c>
    </row>
    <row r="294">
      <c r="A294" t="inlineStr">
        <is>
          <t>Peursumseweg 119A</t>
        </is>
      </c>
      <c r="B294" t="inlineStr">
        <is>
          <t>0113</t>
        </is>
      </c>
      <c r="C294" t="inlineStr">
        <is>
          <t>S Kleijweg</t>
        </is>
      </c>
      <c r="D294" t="n">
        <v>100234</v>
      </c>
      <c r="G294" t="n">
        <v>0</v>
      </c>
      <c r="H294" t="n">
        <v>3275</v>
      </c>
    </row>
    <row r="295">
      <c r="A295" t="inlineStr">
        <is>
          <t>Piersonstraat 8</t>
        </is>
      </c>
      <c r="B295" t="inlineStr">
        <is>
          <t>0114</t>
        </is>
      </c>
      <c r="C295" t="inlineStr">
        <is>
          <t>S. Bakker OPH Verhuur</t>
        </is>
      </c>
      <c r="D295" t="n">
        <v>26</v>
      </c>
      <c r="G295" t="n">
        <v>150</v>
      </c>
      <c r="H295" t="n">
        <v>3500</v>
      </c>
    </row>
    <row r="296">
      <c r="A296" t="inlineStr">
        <is>
          <t>Plaats 10</t>
        </is>
      </c>
      <c r="B296" t="inlineStr">
        <is>
          <t>0120</t>
        </is>
      </c>
      <c r="C296" t="inlineStr">
        <is>
          <t>S. Dolstra</t>
        </is>
      </c>
      <c r="D296" t="n">
        <v>23</v>
      </c>
      <c r="G296" t="n">
        <v>250</v>
      </c>
      <c r="H296" t="n">
        <v>2850</v>
      </c>
    </row>
    <row r="297">
      <c r="A297" t="inlineStr">
        <is>
          <t>Platostraat 80</t>
        </is>
      </c>
      <c r="B297" t="inlineStr">
        <is>
          <t>0231</t>
        </is>
      </c>
      <c r="C297" t="inlineStr">
        <is>
          <t>S. Kleiren</t>
        </is>
      </c>
      <c r="D297" t="n">
        <v>100150</v>
      </c>
      <c r="G297" t="n">
        <v>0</v>
      </c>
      <c r="H297" t="n">
        <v>2516.83</v>
      </c>
    </row>
    <row r="298">
      <c r="A298" t="inlineStr">
        <is>
          <t>Pleinweg 101 A</t>
        </is>
      </c>
      <c r="B298" t="inlineStr">
        <is>
          <t>0044</t>
        </is>
      </c>
      <c r="C298" t="inlineStr">
        <is>
          <t>S. Marinus (zie 50200)</t>
        </is>
      </c>
      <c r="D298" t="n">
        <v>67</v>
      </c>
      <c r="G298" t="n">
        <v>200</v>
      </c>
      <c r="H298" t="n">
        <v>2040</v>
      </c>
    </row>
    <row r="299">
      <c r="A299" t="inlineStr">
        <is>
          <t>Pleinweg 101 B</t>
        </is>
      </c>
      <c r="B299" t="inlineStr">
        <is>
          <t>0045</t>
        </is>
      </c>
      <c r="C299" t="inlineStr">
        <is>
          <t>S. Meijer</t>
        </is>
      </c>
      <c r="D299" t="n">
        <v>47</v>
      </c>
      <c r="G299" t="n">
        <v>200</v>
      </c>
      <c r="H299" t="n">
        <v>2175.29</v>
      </c>
    </row>
    <row r="300">
      <c r="A300" t="inlineStr">
        <is>
          <t>Ploegstraat 2a</t>
        </is>
      </c>
      <c r="B300" t="inlineStr">
        <is>
          <t>0079</t>
        </is>
      </c>
      <c r="C300" t="inlineStr">
        <is>
          <t>SHGJ Ribbink</t>
        </is>
      </c>
      <c r="D300" t="n">
        <v>100179</v>
      </c>
      <c r="G300" t="n">
        <v>0</v>
      </c>
      <c r="H300" t="n">
        <v>0</v>
      </c>
    </row>
    <row r="301">
      <c r="A301" t="inlineStr">
        <is>
          <t>Poeldijkseweg 27</t>
        </is>
      </c>
      <c r="B301" t="inlineStr">
        <is>
          <t>0285</t>
        </is>
      </c>
      <c r="C301" t="inlineStr">
        <is>
          <t>SS Kara Yacht Painters LLP</t>
        </is>
      </c>
      <c r="D301" t="n">
        <v>100128</v>
      </c>
      <c r="G301" t="n">
        <v>0</v>
      </c>
      <c r="H301" t="n">
        <v>0</v>
      </c>
    </row>
    <row r="302">
      <c r="A302" t="inlineStr">
        <is>
          <t>Poeldijkseweg 29</t>
        </is>
      </c>
      <c r="B302" t="inlineStr">
        <is>
          <t>0378</t>
        </is>
      </c>
      <c r="C302" t="inlineStr">
        <is>
          <t>STANA d.o.o.</t>
        </is>
      </c>
      <c r="D302" t="n">
        <v>50261</v>
      </c>
      <c r="G302" t="n">
        <v>0</v>
      </c>
      <c r="H302" t="n">
        <v>0</v>
      </c>
    </row>
    <row r="303">
      <c r="A303" t="inlineStr">
        <is>
          <t>Poolsestraat 29A</t>
        </is>
      </c>
      <c r="B303" t="inlineStr">
        <is>
          <t>0386</t>
        </is>
      </c>
      <c r="C303" t="inlineStr">
        <is>
          <t>Sagius Uitzenders B.V.</t>
        </is>
      </c>
      <c r="D303" t="n">
        <v>21</v>
      </c>
      <c r="G303" t="n">
        <v>300</v>
      </c>
      <c r="H303" t="n">
        <v>2950</v>
      </c>
    </row>
    <row r="304">
      <c r="A304" t="inlineStr">
        <is>
          <t>Poppestraat 59</t>
        </is>
      </c>
      <c r="B304" t="inlineStr">
        <is>
          <t>0115</t>
        </is>
      </c>
      <c r="C304" t="inlineStr">
        <is>
          <t>Showtuin Nederland B.V.</t>
        </is>
      </c>
      <c r="D304" t="n">
        <v>100190</v>
      </c>
      <c r="G304" t="n">
        <v>0</v>
      </c>
      <c r="H304" t="n">
        <v>3275</v>
      </c>
    </row>
    <row r="305">
      <c r="A305" t="inlineStr">
        <is>
          <t>Prins Bernhardstraat 40</t>
        </is>
      </c>
      <c r="B305" t="inlineStr">
        <is>
          <t>0116</t>
        </is>
      </c>
      <c r="C305" t="inlineStr">
        <is>
          <t>Shtan Vitaliy</t>
        </is>
      </c>
      <c r="D305" t="n">
        <v>100200</v>
      </c>
      <c r="G305" t="n">
        <v>0</v>
      </c>
      <c r="H305" t="n">
        <v>3250</v>
      </c>
    </row>
    <row r="306">
      <c r="A306" t="inlineStr">
        <is>
          <t>Prins Willemweg 2</t>
        </is>
      </c>
      <c r="B306" t="inlineStr">
        <is>
          <t>0287</t>
        </is>
      </c>
      <c r="C306" t="inlineStr">
        <is>
          <t>Soul inn B.B B.V</t>
        </is>
      </c>
      <c r="D306" t="n">
        <v>50461</v>
      </c>
      <c r="G306" t="n">
        <v>0</v>
      </c>
      <c r="H306" t="n">
        <v>0</v>
      </c>
    </row>
    <row r="307">
      <c r="A307" t="inlineStr">
        <is>
          <t>Prinses Wilhelminastraat 9</t>
        </is>
      </c>
      <c r="B307" t="inlineStr">
        <is>
          <t>0106</t>
        </is>
      </c>
      <c r="C307" t="inlineStr">
        <is>
          <t>Space4U B.V.</t>
        </is>
      </c>
      <c r="D307" t="n">
        <v>66</v>
      </c>
      <c r="G307" t="n">
        <v>0</v>
      </c>
      <c r="H307" t="n">
        <v>2275</v>
      </c>
    </row>
    <row r="308">
      <c r="A308" t="inlineStr">
        <is>
          <t>Professor Kamerlingh Onneslaan 134 A</t>
        </is>
      </c>
      <c r="B308" t="inlineStr">
        <is>
          <t>0269</t>
        </is>
      </c>
      <c r="C308" t="inlineStr">
        <is>
          <t>St. Zakelijke Beh.rek. Dijkstra Vastgoedbeh.</t>
        </is>
      </c>
      <c r="D308" t="n">
        <v>50200</v>
      </c>
      <c r="G308" t="n">
        <v>150</v>
      </c>
      <c r="H308" t="n">
        <v>0</v>
      </c>
    </row>
    <row r="309">
      <c r="A309" t="inlineStr">
        <is>
          <t>Professor Kamerlingh Onneslaan 134 B1</t>
        </is>
      </c>
      <c r="B309" t="inlineStr">
        <is>
          <t>0270</t>
        </is>
      </c>
      <c r="C309" t="inlineStr">
        <is>
          <t>Stay21</t>
        </is>
      </c>
      <c r="D309" t="n">
        <v>98</v>
      </c>
      <c r="G309" t="n">
        <v>150</v>
      </c>
      <c r="H309" t="n">
        <v>0</v>
      </c>
    </row>
    <row r="310">
      <c r="A310" t="inlineStr">
        <is>
          <t>Professor Kamerlingh Onneslaan 134 B2</t>
        </is>
      </c>
      <c r="B310" t="inlineStr">
        <is>
          <t>0271</t>
        </is>
      </c>
      <c r="C310" t="inlineStr">
        <is>
          <t>StayProjects Group Netherlands B.V.</t>
        </is>
      </c>
      <c r="D310" t="n">
        <v>77</v>
      </c>
      <c r="G310" t="n">
        <v>150</v>
      </c>
      <c r="H310" t="n">
        <v>0</v>
      </c>
    </row>
    <row r="311">
      <c r="A311" t="inlineStr">
        <is>
          <t>Professor Kamerlingh Onneslaan 134 B3</t>
        </is>
      </c>
      <c r="B311" t="inlineStr">
        <is>
          <t>0272</t>
        </is>
      </c>
      <c r="C311" t="inlineStr">
        <is>
          <t>Stichting Bewaring PRMD</t>
        </is>
      </c>
      <c r="D311" t="n">
        <v>50149</v>
      </c>
      <c r="G311" t="n">
        <v>150</v>
      </c>
      <c r="H311" t="n">
        <v>0</v>
      </c>
    </row>
    <row r="312">
      <c r="A312" t="inlineStr">
        <is>
          <t>Professor Poelslaan 58C</t>
        </is>
      </c>
      <c r="B312" t="inlineStr">
        <is>
          <t>0340</t>
        </is>
      </c>
      <c r="C312" t="inlineStr">
        <is>
          <t>Suricare B.V.</t>
        </is>
      </c>
      <c r="D312" t="n">
        <v>50292</v>
      </c>
      <c r="G312" t="n">
        <v>0</v>
      </c>
      <c r="H312" t="n">
        <v>0</v>
      </c>
    </row>
    <row r="313">
      <c r="A313" t="inlineStr">
        <is>
          <t>Prunuslaan 36</t>
        </is>
      </c>
      <c r="B313" t="inlineStr">
        <is>
          <t>0117</t>
        </is>
      </c>
      <c r="C313" t="inlineStr">
        <is>
          <t>T. Hoolhorst</t>
        </is>
      </c>
      <c r="D313" t="n">
        <v>50185</v>
      </c>
      <c r="G313" t="n">
        <v>250</v>
      </c>
      <c r="H313" t="n">
        <v>2300</v>
      </c>
    </row>
    <row r="314">
      <c r="A314" t="inlineStr">
        <is>
          <t xml:space="preserve">Punter 22 34 </t>
        </is>
      </c>
      <c r="B314" t="inlineStr">
        <is>
          <t>0204</t>
        </is>
      </c>
      <c r="C314" t="inlineStr">
        <is>
          <t>T. van de Moosdijk</t>
        </is>
      </c>
      <c r="D314" t="n">
        <v>50166</v>
      </c>
      <c r="G314" t="n">
        <v>300</v>
      </c>
      <c r="H314" t="n">
        <v>2855.46</v>
      </c>
    </row>
    <row r="315">
      <c r="A315" t="inlineStr">
        <is>
          <t>Putsebocht 136 B01</t>
        </is>
      </c>
      <c r="B315" t="inlineStr">
        <is>
          <t>0361</t>
        </is>
      </c>
      <c r="C315" t="inlineStr">
        <is>
          <t>T.A. Middelkoop</t>
        </is>
      </c>
      <c r="D315" t="n">
        <v>90</v>
      </c>
      <c r="G315" t="n">
        <v>0</v>
      </c>
      <c r="H315" t="n">
        <v>0</v>
      </c>
    </row>
    <row r="316">
      <c r="A316" t="inlineStr">
        <is>
          <t>Putter 42</t>
        </is>
      </c>
      <c r="B316" t="inlineStr">
        <is>
          <t>0327</t>
        </is>
      </c>
      <c r="C316" t="inlineStr">
        <is>
          <t>T.A. van der Burg</t>
        </is>
      </c>
      <c r="D316" t="n">
        <v>4</v>
      </c>
      <c r="G316" t="n">
        <v>300</v>
      </c>
      <c r="H316" t="n">
        <v>2350</v>
      </c>
    </row>
    <row r="317">
      <c r="A317" t="inlineStr">
        <is>
          <t>Rembrandtstraat 20B</t>
        </is>
      </c>
      <c r="B317" t="inlineStr">
        <is>
          <t>0233</t>
        </is>
      </c>
      <c r="C317" t="inlineStr">
        <is>
          <t>THS EU B.V.</t>
        </is>
      </c>
      <c r="D317" t="n">
        <v>50312</v>
      </c>
      <c r="G317" t="n">
        <v>0</v>
      </c>
      <c r="H317" t="n">
        <v>2150</v>
      </c>
    </row>
    <row r="318">
      <c r="A318" t="inlineStr">
        <is>
          <t>Rietdijkstraat 56A</t>
        </is>
      </c>
      <c r="B318" t="inlineStr">
        <is>
          <t>0363</t>
        </is>
      </c>
      <c r="C318" t="inlineStr">
        <is>
          <t>TNM Vastgoed B.V.</t>
        </is>
      </c>
      <c r="D318" t="n">
        <v>50199</v>
      </c>
      <c r="G318" t="n">
        <v>0</v>
      </c>
      <c r="H318" t="n">
        <v>0</v>
      </c>
    </row>
    <row r="319">
      <c r="A319" t="inlineStr">
        <is>
          <t>Rietdijkstraat 56B</t>
        </is>
      </c>
      <c r="B319" t="inlineStr">
        <is>
          <t>0364</t>
        </is>
      </c>
      <c r="C319" t="inlineStr">
        <is>
          <t>TOTAL Nederland N.V.</t>
        </is>
      </c>
      <c r="D319" t="n">
        <v>50080</v>
      </c>
      <c r="G319" t="n">
        <v>0</v>
      </c>
      <c r="H319" t="n">
        <v>0</v>
      </c>
    </row>
    <row r="320">
      <c r="A320" t="inlineStr">
        <is>
          <t>Rijpstraat 24</t>
        </is>
      </c>
      <c r="B320" t="inlineStr">
        <is>
          <t>0377</t>
        </is>
      </c>
      <c r="C320" t="inlineStr">
        <is>
          <t>Team Home Rentals B.V.</t>
        </is>
      </c>
      <c r="D320" t="n">
        <v>33</v>
      </c>
      <c r="G320" t="n">
        <v>0</v>
      </c>
      <c r="H320" t="n">
        <v>0</v>
      </c>
    </row>
    <row r="321">
      <c r="A321" t="inlineStr">
        <is>
          <t>Ringbaan Oost 327</t>
        </is>
      </c>
      <c r="B321" t="inlineStr">
        <is>
          <t>0005</t>
        </is>
      </c>
      <c r="C321" t="inlineStr">
        <is>
          <t>Team Technical Services BV</t>
        </is>
      </c>
      <c r="D321" t="n">
        <v>50434</v>
      </c>
      <c r="G321" t="n">
        <v>500</v>
      </c>
      <c r="H321" t="n">
        <v>2076.47</v>
      </c>
    </row>
    <row r="322">
      <c r="A322" t="inlineStr">
        <is>
          <t>Rivierdijk 793</t>
        </is>
      </c>
      <c r="B322" t="inlineStr">
        <is>
          <t>0226</t>
        </is>
      </c>
      <c r="C322" t="inlineStr">
        <is>
          <t>Team Unica B.V.</t>
        </is>
      </c>
      <c r="D322" t="n">
        <v>50444</v>
      </c>
      <c r="G322" t="n">
        <v>0</v>
      </c>
      <c r="H322" t="n">
        <v>2053.74</v>
      </c>
    </row>
    <row r="323">
      <c r="A323" t="inlineStr">
        <is>
          <t>Rivierdijk 794</t>
        </is>
      </c>
      <c r="B323" t="inlineStr">
        <is>
          <t>0121</t>
        </is>
      </c>
      <c r="C323" t="inlineStr">
        <is>
          <t>TecFlex B.V.</t>
        </is>
      </c>
      <c r="D323" t="n">
        <v>50285</v>
      </c>
      <c r="G323" t="n">
        <v>0</v>
      </c>
      <c r="H323" t="n">
        <v>0</v>
      </c>
    </row>
    <row r="324">
      <c r="A324" t="inlineStr">
        <is>
          <t>Roerdompstraat 4B</t>
        </is>
      </c>
      <c r="B324" t="inlineStr">
        <is>
          <t>0390</t>
        </is>
      </c>
      <c r="C324" t="inlineStr">
        <is>
          <t>Techvisie Personeelsdiensten Centraal B.V.</t>
        </is>
      </c>
      <c r="D324" t="n">
        <v>50334</v>
      </c>
      <c r="G324" t="n">
        <v>0</v>
      </c>
      <c r="H324" t="n">
        <v>6282.85</v>
      </c>
    </row>
    <row r="325">
      <c r="A325" t="inlineStr">
        <is>
          <t>Rooseveltlaan 185</t>
        </is>
      </c>
      <c r="B325" t="inlineStr">
        <is>
          <t>0179</t>
        </is>
      </c>
      <c r="C325" t="inlineStr">
        <is>
          <t>Tempsteel B.V.</t>
        </is>
      </c>
      <c r="D325" t="n">
        <v>50265</v>
      </c>
      <c r="G325" t="n">
        <v>300</v>
      </c>
      <c r="H325" t="n">
        <v>3500</v>
      </c>
    </row>
    <row r="326">
      <c r="A326" t="inlineStr">
        <is>
          <t>Rotterdamsedijk 154B</t>
        </is>
      </c>
      <c r="B326" t="inlineStr">
        <is>
          <t>0234</t>
        </is>
      </c>
      <c r="C326" t="inlineStr">
        <is>
          <t>The Housing Guild B.V.</t>
        </is>
      </c>
      <c r="D326" t="n">
        <v>24</v>
      </c>
      <c r="G326" t="n">
        <v>0</v>
      </c>
      <c r="H326" t="n">
        <v>3123</v>
      </c>
    </row>
    <row r="327">
      <c r="A327" t="inlineStr">
        <is>
          <t>Rubensplein 3 B</t>
        </is>
      </c>
      <c r="B327" t="inlineStr">
        <is>
          <t>0235</t>
        </is>
      </c>
      <c r="C327" t="inlineStr">
        <is>
          <t>Thuisvesting B.V.</t>
        </is>
      </c>
      <c r="D327" t="n">
        <v>100096</v>
      </c>
      <c r="G327" t="n">
        <v>0</v>
      </c>
      <c r="H327" t="n">
        <v>1830.43</v>
      </c>
    </row>
    <row r="328">
      <c r="A328" t="inlineStr">
        <is>
          <t>Rubensplein 6B3</t>
        </is>
      </c>
      <c r="B328" t="inlineStr">
        <is>
          <t>0154</t>
        </is>
      </c>
      <c r="C328" t="inlineStr">
        <is>
          <t>Timing Uitzendteam BV</t>
        </is>
      </c>
      <c r="D328" t="n">
        <v>100126</v>
      </c>
      <c r="G328" t="n">
        <v>200</v>
      </c>
      <c r="H328" t="n">
        <v>1784.67</v>
      </c>
    </row>
    <row r="329">
      <c r="A329" t="inlineStr">
        <is>
          <t>Ruigenhoek 69</t>
        </is>
      </c>
      <c r="B329" t="inlineStr">
        <is>
          <t>0362</t>
        </is>
      </c>
      <c r="C329" t="inlineStr">
        <is>
          <t>Tradiro Services B.V.</t>
        </is>
      </c>
      <c r="D329" t="n">
        <v>20</v>
      </c>
      <c r="G329" t="n">
        <v>250</v>
      </c>
      <c r="H329" t="n">
        <v>2500</v>
      </c>
    </row>
    <row r="330">
      <c r="A330" t="inlineStr">
        <is>
          <t xml:space="preserve">Schalkeroord 389 </t>
        </is>
      </c>
      <c r="B330" t="inlineStr">
        <is>
          <t>0236</t>
        </is>
      </c>
      <c r="C330" t="inlineStr">
        <is>
          <t>Transport People B.V.</t>
        </is>
      </c>
      <c r="D330" t="n">
        <v>50368</v>
      </c>
      <c r="G330" t="n">
        <v>0</v>
      </c>
      <c r="H330" t="n">
        <v>0</v>
      </c>
    </row>
    <row r="331">
      <c r="A331" t="inlineStr">
        <is>
          <t>Scheepjesbrug 433</t>
        </is>
      </c>
      <c r="B331" t="inlineStr">
        <is>
          <t>0144</t>
        </is>
      </c>
      <c r="C331" t="inlineStr">
        <is>
          <t>Twins BV</t>
        </is>
      </c>
      <c r="D331" t="n">
        <v>100152</v>
      </c>
      <c r="G331" t="n">
        <v>400</v>
      </c>
      <c r="H331" t="n">
        <v>3800</v>
      </c>
    </row>
    <row r="332">
      <c r="A332" t="inlineStr">
        <is>
          <t>Scheepjesbrug 814</t>
        </is>
      </c>
      <c r="B332" t="inlineStr">
        <is>
          <t>0197</t>
        </is>
      </c>
      <c r="C332" t="inlineStr">
        <is>
          <t>UAB Baltic Contracting Group</t>
        </is>
      </c>
      <c r="D332" t="n">
        <v>50335</v>
      </c>
      <c r="G332" t="n">
        <v>250</v>
      </c>
      <c r="H332" t="n">
        <v>2498.4</v>
      </c>
    </row>
    <row r="333">
      <c r="A333" t="inlineStr">
        <is>
          <t>Schere 238</t>
        </is>
      </c>
      <c r="B333" t="inlineStr">
        <is>
          <t>0237</t>
        </is>
      </c>
      <c r="C333" t="inlineStr">
        <is>
          <t>UAB Techsome</t>
        </is>
      </c>
      <c r="D333" t="n">
        <v>100154</v>
      </c>
      <c r="G333" t="n">
        <v>0</v>
      </c>
      <c r="H333" t="n">
        <v>2234.29</v>
      </c>
    </row>
    <row r="334">
      <c r="A334" t="inlineStr">
        <is>
          <t>Schoonegge 110</t>
        </is>
      </c>
      <c r="B334" t="inlineStr">
        <is>
          <t>0239</t>
        </is>
      </c>
      <c r="C334" t="inlineStr">
        <is>
          <t>UAB Toromega</t>
        </is>
      </c>
      <c r="D334" t="n">
        <v>92</v>
      </c>
      <c r="G334" t="n">
        <v>250</v>
      </c>
      <c r="H334" t="n">
        <v>2300</v>
      </c>
    </row>
    <row r="335">
      <c r="A335" t="inlineStr">
        <is>
          <t>Schoonegge 84</t>
        </is>
      </c>
      <c r="B335" t="inlineStr">
        <is>
          <t>0240</t>
        </is>
      </c>
      <c r="C335" t="inlineStr">
        <is>
          <t>UAB Toromega</t>
        </is>
      </c>
      <c r="D335" t="n">
        <v>50445</v>
      </c>
      <c r="G335" t="n">
        <v>0</v>
      </c>
      <c r="H335" t="n">
        <v>1560</v>
      </c>
    </row>
    <row r="336">
      <c r="A336" t="inlineStr">
        <is>
          <t>Sint Josephstraat 61</t>
        </is>
      </c>
      <c r="B336" t="inlineStr">
        <is>
          <t>0050</t>
        </is>
      </c>
      <c r="C336" t="inlineStr">
        <is>
          <t>UAB „Laivsta“/ JSC „Laivsta“, Part of Litana Group</t>
        </is>
      </c>
      <c r="D336" t="n">
        <v>50338</v>
      </c>
      <c r="G336" t="n">
        <v>400</v>
      </c>
      <c r="H336" t="n">
        <v>1710.59</v>
      </c>
    </row>
    <row r="337">
      <c r="A337" t="inlineStr">
        <is>
          <t>Sint Liduinastraat 76 A</t>
        </is>
      </c>
      <c r="B337" t="inlineStr">
        <is>
          <t>0242</t>
        </is>
      </c>
      <c r="C337" t="inlineStr">
        <is>
          <t>Uitzendbureau Bakker B.V.</t>
        </is>
      </c>
      <c r="D337" t="n">
        <v>100089</v>
      </c>
      <c r="G337" t="n">
        <v>0</v>
      </c>
      <c r="H337" t="n">
        <v>2364.3</v>
      </c>
    </row>
    <row r="338">
      <c r="A338" t="inlineStr">
        <is>
          <t>Sint Liduinastraat 80A</t>
        </is>
      </c>
      <c r="B338" t="inlineStr">
        <is>
          <t>0243</t>
        </is>
      </c>
      <c r="C338" t="inlineStr">
        <is>
          <t>Uitzendwerk B.V.</t>
        </is>
      </c>
      <c r="D338" t="n">
        <v>100183</v>
      </c>
      <c r="G338" t="n">
        <v>0</v>
      </c>
      <c r="H338" t="n">
        <v>2100</v>
      </c>
    </row>
    <row r="339">
      <c r="A339" t="inlineStr">
        <is>
          <t>Sint Liduinastraat 80B</t>
        </is>
      </c>
      <c r="B339" t="inlineStr">
        <is>
          <t>0244</t>
        </is>
      </c>
      <c r="C339" t="inlineStr">
        <is>
          <t>United Homes B.V.</t>
        </is>
      </c>
      <c r="D339" t="n">
        <v>16</v>
      </c>
      <c r="G339" t="n">
        <v>0</v>
      </c>
      <c r="H339" t="n">
        <v>2449.11</v>
      </c>
    </row>
    <row r="340">
      <c r="A340" t="inlineStr">
        <is>
          <t>Sint-Annalandstraat 116</t>
        </is>
      </c>
      <c r="B340" t="inlineStr">
        <is>
          <t>0164</t>
        </is>
      </c>
      <c r="C340" t="inlineStr">
        <is>
          <t>United Homes Inhouse B.V.</t>
        </is>
      </c>
      <c r="D340" t="n">
        <v>50144</v>
      </c>
      <c r="G340" t="n">
        <v>0</v>
      </c>
      <c r="H340" t="n">
        <v>2498.54</v>
      </c>
    </row>
    <row r="341">
      <c r="A341" t="inlineStr">
        <is>
          <t>Snecanusstraat 12</t>
        </is>
      </c>
      <c r="B341" t="inlineStr">
        <is>
          <t>0123</t>
        </is>
      </c>
      <c r="C341" t="inlineStr">
        <is>
          <t>V.B.A. Beheer B.V.</t>
        </is>
      </c>
      <c r="D341" t="n">
        <v>69</v>
      </c>
      <c r="G341" t="n">
        <v>300</v>
      </c>
      <c r="H341" t="n">
        <v>2650</v>
      </c>
    </row>
    <row r="342">
      <c r="A342" t="inlineStr">
        <is>
          <t>Snoekenveen 242</t>
        </is>
      </c>
      <c r="B342" t="inlineStr">
        <is>
          <t>0124</t>
        </is>
      </c>
      <c r="C342" t="inlineStr">
        <is>
          <t>V.O.F. Groepsaccommodaties Drenthe</t>
        </is>
      </c>
      <c r="D342" t="n">
        <v>27</v>
      </c>
      <c r="G342" t="n">
        <v>250</v>
      </c>
      <c r="H342" t="n">
        <v>2593.81</v>
      </c>
    </row>
    <row r="343">
      <c r="A343" t="inlineStr">
        <is>
          <t>Socratesstraat 168</t>
        </is>
      </c>
      <c r="B343" t="inlineStr">
        <is>
          <t>0246</t>
        </is>
      </c>
      <c r="C343" t="inlineStr">
        <is>
          <t>VALO Facilities B.V.</t>
        </is>
      </c>
      <c r="D343" t="n">
        <v>100105</v>
      </c>
      <c r="G343" t="n">
        <v>0</v>
      </c>
      <c r="H343" t="n">
        <v>2449.11</v>
      </c>
    </row>
    <row r="344">
      <c r="A344" t="inlineStr">
        <is>
          <t>Spoorsingel 154b</t>
        </is>
      </c>
      <c r="B344" t="inlineStr">
        <is>
          <t>0247</t>
        </is>
      </c>
      <c r="C344" t="inlineStr">
        <is>
          <t>VALO Facilities B.V.</t>
        </is>
      </c>
      <c r="D344" t="n">
        <v>100168</v>
      </c>
      <c r="G344" t="n">
        <v>0</v>
      </c>
      <c r="H344" t="n">
        <v>3608.8</v>
      </c>
    </row>
    <row r="345">
      <c r="A345" t="inlineStr">
        <is>
          <t>Stal 355</t>
        </is>
      </c>
      <c r="B345" t="inlineStr">
        <is>
          <t>0200</t>
        </is>
      </c>
      <c r="C345" t="inlineStr">
        <is>
          <t>Vaktec B.V.</t>
        </is>
      </c>
      <c r="D345" t="n">
        <v>50132</v>
      </c>
      <c r="G345" t="n">
        <v>260</v>
      </c>
      <c r="H345" t="n">
        <v>2663.43</v>
      </c>
    </row>
    <row r="346">
      <c r="A346" t="inlineStr">
        <is>
          <t>Steenen Dijck 87</t>
        </is>
      </c>
      <c r="B346" t="inlineStr">
        <is>
          <t>0099</t>
        </is>
      </c>
      <c r="C346" t="inlineStr">
        <is>
          <t>Vaktec BV</t>
        </is>
      </c>
      <c r="D346" t="n">
        <v>19</v>
      </c>
      <c r="G346" t="n">
        <v>0</v>
      </c>
      <c r="H346" t="n">
        <v>3383.25</v>
      </c>
    </row>
    <row r="347">
      <c r="A347" t="inlineStr">
        <is>
          <t>Struitenweg 19b</t>
        </is>
      </c>
      <c r="B347" t="inlineStr">
        <is>
          <t>0127</t>
        </is>
      </c>
      <c r="C347" t="inlineStr">
        <is>
          <t>Valkenet Vastgoed B.V.</t>
        </is>
      </c>
      <c r="D347" t="n">
        <v>50274</v>
      </c>
      <c r="G347" t="n">
        <v>375</v>
      </c>
      <c r="H347" t="n">
        <v>2491.65</v>
      </c>
    </row>
    <row r="348">
      <c r="A348" t="inlineStr">
        <is>
          <t>Tesselschadelaan 45</t>
        </is>
      </c>
      <c r="B348" t="inlineStr">
        <is>
          <t>0128</t>
        </is>
      </c>
      <c r="C348" t="inlineStr">
        <is>
          <t>Van Bergen Personeelsdiensten B.V.</t>
        </is>
      </c>
      <c r="D348" t="n">
        <v>50440</v>
      </c>
      <c r="G348" t="n">
        <v>0</v>
      </c>
      <c r="H348" t="n">
        <v>2316.23</v>
      </c>
    </row>
    <row r="349">
      <c r="A349" t="inlineStr">
        <is>
          <t>Tholenstraat 114</t>
        </is>
      </c>
      <c r="B349" t="inlineStr">
        <is>
          <t>0249</t>
        </is>
      </c>
      <c r="C349" t="inlineStr">
        <is>
          <t>Van Mossel Rotterdam</t>
        </is>
      </c>
      <c r="D349" t="n">
        <v>100166</v>
      </c>
      <c r="G349" t="n">
        <v>200</v>
      </c>
      <c r="H349" t="n">
        <v>2150</v>
      </c>
    </row>
    <row r="350">
      <c r="A350" t="inlineStr">
        <is>
          <t xml:space="preserve">Utrechtse straatweg 7 </t>
        </is>
      </c>
      <c r="B350" t="inlineStr">
        <is>
          <t>0129</t>
        </is>
      </c>
      <c r="C350" t="inlineStr">
        <is>
          <t>Van der Wal Bedrijfshuisvesting B.V.</t>
        </is>
      </c>
      <c r="D350" t="n">
        <v>50083</v>
      </c>
      <c r="G350" t="n">
        <v>0</v>
      </c>
      <c r="H350" t="n">
        <v>2400</v>
      </c>
    </row>
    <row r="351">
      <c r="A351" t="inlineStr">
        <is>
          <t>Vaartweg 106C</t>
        </is>
      </c>
      <c r="B351" t="inlineStr">
        <is>
          <t>0021</t>
        </is>
      </c>
      <c r="C351" t="inlineStr">
        <is>
          <t>Vast-PS Housing</t>
        </is>
      </c>
      <c r="D351" t="n">
        <v>78</v>
      </c>
      <c r="G351" t="n">
        <v>150</v>
      </c>
      <c r="H351" t="n">
        <v>2016.47</v>
      </c>
    </row>
    <row r="352">
      <c r="A352" t="inlineStr">
        <is>
          <t>Van Hoofsweg 4</t>
        </is>
      </c>
      <c r="B352" t="inlineStr">
        <is>
          <t>0355</t>
        </is>
      </c>
      <c r="C352" t="inlineStr">
        <is>
          <t>Vastgoed Spijkenisse</t>
        </is>
      </c>
      <c r="D352" t="n">
        <v>50251</v>
      </c>
      <c r="G352" t="n">
        <v>0</v>
      </c>
      <c r="H352" t="n">
        <v>0</v>
      </c>
    </row>
    <row r="353">
      <c r="A353" t="inlineStr">
        <is>
          <t>Van Langedonckstraat 80</t>
        </is>
      </c>
      <c r="B353" t="inlineStr">
        <is>
          <t>0130</t>
        </is>
      </c>
      <c r="C353" t="inlineStr">
        <is>
          <t>Verhuur en onderhoudsbedrijf Hilaard</t>
        </is>
      </c>
      <c r="D353" t="n">
        <v>50129</v>
      </c>
      <c r="G353" t="n">
        <v>0</v>
      </c>
      <c r="H353" t="n">
        <v>2650</v>
      </c>
    </row>
    <row r="354">
      <c r="A354" t="inlineStr">
        <is>
          <t>Van Maanenstraat 14A</t>
        </is>
      </c>
      <c r="B354" t="inlineStr">
        <is>
          <t>0089</t>
        </is>
      </c>
      <c r="C354" t="inlineStr">
        <is>
          <t>Verkeersschool Nobel</t>
        </is>
      </c>
      <c r="D354" t="n">
        <v>50099</v>
      </c>
      <c r="G354" t="n">
        <v>120</v>
      </c>
      <c r="H354" t="n">
        <v>0</v>
      </c>
    </row>
    <row r="355">
      <c r="A355" t="inlineStr">
        <is>
          <t>Van Ruijsdaellaan 72 A</t>
        </is>
      </c>
      <c r="B355" t="inlineStr">
        <is>
          <t>0347</t>
        </is>
      </c>
      <c r="C355" t="inlineStr">
        <is>
          <t>Verlangen Finance BV</t>
        </is>
      </c>
      <c r="D355" t="n">
        <v>100124</v>
      </c>
      <c r="G355" t="n">
        <v>0</v>
      </c>
      <c r="H355" t="n">
        <v>1560</v>
      </c>
    </row>
    <row r="356">
      <c r="A356" t="inlineStr">
        <is>
          <t>Van Ruijsdaellaan 72 B</t>
        </is>
      </c>
      <c r="B356" t="inlineStr">
        <is>
          <t>0351</t>
        </is>
      </c>
      <c r="C356" t="inlineStr">
        <is>
          <t>Vivir Wonen</t>
        </is>
      </c>
      <c r="D356" t="n">
        <v>29</v>
      </c>
      <c r="G356" t="n">
        <v>0</v>
      </c>
      <c r="H356" t="n">
        <v>0</v>
      </c>
    </row>
    <row r="357">
      <c r="A357" t="inlineStr">
        <is>
          <t>Van Ruijsdaellaan 72 C</t>
        </is>
      </c>
      <c r="B357" t="inlineStr">
        <is>
          <t>0352</t>
        </is>
      </c>
      <c r="C357" t="inlineStr">
        <is>
          <t>Vleesbewerking van der Pijl B.V.</t>
        </is>
      </c>
      <c r="D357" t="n">
        <v>62</v>
      </c>
      <c r="G357" t="n">
        <v>0</v>
      </c>
      <c r="H357" t="n">
        <v>0</v>
      </c>
    </row>
    <row r="358">
      <c r="A358" t="inlineStr">
        <is>
          <t>Van Swinderenstraat 21</t>
        </is>
      </c>
      <c r="B358" t="inlineStr">
        <is>
          <t>0324</t>
        </is>
      </c>
      <c r="C358" t="inlineStr">
        <is>
          <t>Vlot Vastgoed B.V.</t>
        </is>
      </c>
      <c r="D358" t="n">
        <v>50234</v>
      </c>
      <c r="G358" t="n">
        <v>250</v>
      </c>
      <c r="H358" t="n">
        <v>2100</v>
      </c>
    </row>
    <row r="359">
      <c r="A359" t="inlineStr">
        <is>
          <t xml:space="preserve">Van der Werffstraat 370 </t>
        </is>
      </c>
      <c r="B359" t="inlineStr">
        <is>
          <t>0238</t>
        </is>
      </c>
      <c r="C359" t="inlineStr">
        <is>
          <t>Vondellaan Vastgoed Beheer B.V.</t>
        </is>
      </c>
      <c r="D359" t="n">
        <v>50158</v>
      </c>
      <c r="G359" t="n">
        <v>0</v>
      </c>
      <c r="H359" t="n">
        <v>1650</v>
      </c>
    </row>
    <row r="360">
      <c r="A360" t="inlineStr">
        <is>
          <t>Venkelstraat 29A</t>
        </is>
      </c>
      <c r="B360" t="inlineStr">
        <is>
          <t>0137</t>
        </is>
      </c>
      <c r="C360" t="inlineStr">
        <is>
          <t>W.T. Bosgraaf en E. Stam</t>
        </is>
      </c>
      <c r="D360" t="n">
        <v>50174</v>
      </c>
      <c r="G360" t="n">
        <v>0</v>
      </c>
      <c r="H360" t="n">
        <v>2500</v>
      </c>
    </row>
    <row r="361">
      <c r="A361" t="inlineStr">
        <is>
          <t xml:space="preserve">Verschansing 21 </t>
        </is>
      </c>
      <c r="B361" t="inlineStr">
        <is>
          <t>0387</t>
        </is>
      </c>
      <c r="C361" t="inlineStr">
        <is>
          <t>WIL International B.V.</t>
        </is>
      </c>
      <c r="D361" t="n">
        <v>100110</v>
      </c>
      <c r="G361" t="n">
        <v>350</v>
      </c>
      <c r="H361" t="n">
        <v>0</v>
      </c>
    </row>
    <row r="362">
      <c r="A362" t="inlineStr">
        <is>
          <t>Vierambachtsstraat 32-B01</t>
        </is>
      </c>
      <c r="B362" t="inlineStr">
        <is>
          <t>0374</t>
        </is>
      </c>
      <c r="C362" t="inlineStr">
        <is>
          <t>WILL Vakkrachten B. V.</t>
        </is>
      </c>
      <c r="D362" t="n">
        <v>50410</v>
      </c>
      <c r="G362" t="n">
        <v>200</v>
      </c>
      <c r="H362" t="n">
        <v>2000</v>
      </c>
    </row>
    <row r="363">
      <c r="A363" t="inlineStr">
        <is>
          <t>Visartstraat 31</t>
        </is>
      </c>
      <c r="B363" t="inlineStr">
        <is>
          <t>0158</t>
        </is>
      </c>
      <c r="C363" t="inlineStr">
        <is>
          <t>WS Detachering BV</t>
        </is>
      </c>
      <c r="D363" t="n">
        <v>39</v>
      </c>
      <c r="G363" t="n">
        <v>200</v>
      </c>
      <c r="H363" t="n">
        <v>2737.83</v>
      </c>
    </row>
    <row r="364">
      <c r="A364" t="inlineStr">
        <is>
          <t>Voeghoutenstraat 236</t>
        </is>
      </c>
      <c r="B364" t="inlineStr">
        <is>
          <t>0132</t>
        </is>
      </c>
      <c r="C364" t="inlineStr">
        <is>
          <t>Welcome Housing B.V.</t>
        </is>
      </c>
      <c r="D364" t="n">
        <v>100123</v>
      </c>
      <c r="G364" t="n">
        <v>0</v>
      </c>
      <c r="H364" t="n">
        <v>4000</v>
      </c>
    </row>
    <row r="365">
      <c r="A365" t="inlineStr">
        <is>
          <t>Vogelschorstraat 24</t>
        </is>
      </c>
      <c r="B365" t="inlineStr">
        <is>
          <t>0167</t>
        </is>
      </c>
      <c r="C365" t="inlineStr">
        <is>
          <t>Werckpost Service B.V.</t>
        </is>
      </c>
      <c r="D365" t="n">
        <v>50188</v>
      </c>
      <c r="G365" t="n">
        <v>200</v>
      </c>
      <c r="H365" t="n">
        <v>2449.11</v>
      </c>
    </row>
    <row r="366">
      <c r="A366" t="inlineStr">
        <is>
          <t>Voorstraat 10</t>
        </is>
      </c>
      <c r="B366" t="inlineStr">
        <is>
          <t>0077</t>
        </is>
      </c>
      <c r="C366" t="inlineStr">
        <is>
          <t>Workforce Housing Holland B.V.</t>
        </is>
      </c>
      <c r="D366" t="n">
        <v>100174</v>
      </c>
      <c r="G366" t="n">
        <v>260</v>
      </c>
      <c r="H366" t="n">
        <v>3608.8</v>
      </c>
    </row>
    <row r="367">
      <c r="A367" t="inlineStr">
        <is>
          <t>Voorstraat 25</t>
        </is>
      </c>
      <c r="B367" t="inlineStr">
        <is>
          <t>0080</t>
        </is>
      </c>
      <c r="C367" t="inlineStr">
        <is>
          <t>Workforce Housing International B.V</t>
        </is>
      </c>
      <c r="D367" t="n">
        <v>100237</v>
      </c>
      <c r="G367" t="n">
        <v>250</v>
      </c>
      <c r="H367" t="n">
        <v>2170</v>
      </c>
    </row>
    <row r="368">
      <c r="A368" t="inlineStr">
        <is>
          <t>Waellandweg 12</t>
        </is>
      </c>
      <c r="B368" t="inlineStr">
        <is>
          <t>0286</t>
        </is>
      </c>
      <c r="C368" t="inlineStr">
        <is>
          <t>Works Personeelsdiensten</t>
        </is>
      </c>
      <c r="D368" t="n">
        <v>50409</v>
      </c>
      <c r="G368" t="n">
        <v>0</v>
      </c>
      <c r="H368" t="n">
        <v>0</v>
      </c>
    </row>
    <row r="369">
      <c r="A369" t="inlineStr">
        <is>
          <t>Wagenstraat 70</t>
        </is>
      </c>
      <c r="B369" t="inlineStr">
        <is>
          <t>0348</t>
        </is>
      </c>
      <c r="C369" t="inlineStr">
        <is>
          <t>Y. K. Bos</t>
        </is>
      </c>
      <c r="D369" t="n">
        <v>50235</v>
      </c>
      <c r="G369" t="n">
        <v>0</v>
      </c>
      <c r="H369" t="n">
        <v>0</v>
      </c>
    </row>
    <row r="370">
      <c r="A370" t="inlineStr">
        <is>
          <t>Wedderweg 3</t>
        </is>
      </c>
      <c r="B370" t="inlineStr">
        <is>
          <t>0368</t>
        </is>
      </c>
      <c r="C370" t="inlineStr">
        <is>
          <t>YaY</t>
        </is>
      </c>
      <c r="D370" t="n">
        <v>50095</v>
      </c>
      <c r="G370" t="n">
        <v>250</v>
      </c>
      <c r="H370" t="n">
        <v>0</v>
      </c>
    </row>
    <row r="371">
      <c r="A371" t="inlineStr">
        <is>
          <t>Westercluft 134</t>
        </is>
      </c>
      <c r="B371" t="inlineStr">
        <is>
          <t>0138</t>
        </is>
      </c>
      <c r="C371" t="inlineStr">
        <is>
          <t>Z Yilmaz</t>
        </is>
      </c>
      <c r="D371" t="n">
        <v>100225</v>
      </c>
      <c r="G371" t="n">
        <v>350</v>
      </c>
      <c r="H371" t="n">
        <v>4750</v>
      </c>
    </row>
    <row r="372">
      <c r="A372" t="inlineStr">
        <is>
          <t>Westfrankelandsestraat 108</t>
        </is>
      </c>
      <c r="B372" t="inlineStr">
        <is>
          <t>0038</t>
        </is>
      </c>
      <c r="C372" t="inlineStr">
        <is>
          <t>ZaMens R.I.A. B.V.</t>
        </is>
      </c>
      <c r="D372" t="n">
        <v>50272</v>
      </c>
      <c r="G372" t="n">
        <v>350</v>
      </c>
      <c r="H372" t="n">
        <v>2202.35</v>
      </c>
    </row>
    <row r="373">
      <c r="A373" t="inlineStr">
        <is>
          <t>Wieldraaierstraat 39</t>
        </is>
      </c>
      <c r="B373" t="inlineStr">
        <is>
          <t>0105</t>
        </is>
      </c>
      <c r="C373" t="inlineStr">
        <is>
          <t>Zeeland Housing Facility B.V.</t>
        </is>
      </c>
      <c r="D373" t="n">
        <v>60</v>
      </c>
      <c r="G373" t="n">
        <v>150</v>
      </c>
      <c r="H373" t="n">
        <v>2888.78</v>
      </c>
    </row>
    <row r="374">
      <c r="A374" t="inlineStr">
        <is>
          <t>Wijdstraat 13</t>
        </is>
      </c>
      <c r="B374" t="inlineStr">
        <is>
          <t>0171</t>
        </is>
      </c>
      <c r="C374" t="inlineStr">
        <is>
          <t>dockHolland Huisvesting B.V.</t>
        </is>
      </c>
      <c r="D374" t="n">
        <v>50182</v>
      </c>
      <c r="G374" t="n">
        <v>500</v>
      </c>
      <c r="H374" t="n">
        <v>5361.15</v>
      </c>
    </row>
    <row r="375">
      <c r="A375" t="inlineStr">
        <is>
          <t>Wijngaard 66</t>
        </is>
      </c>
      <c r="B375" t="inlineStr">
        <is>
          <t>0212</t>
        </is>
      </c>
      <c r="C375" t="inlineStr">
        <is>
          <t>house of work</t>
        </is>
      </c>
      <c r="D375" t="n">
        <v>50447</v>
      </c>
      <c r="G375" t="n">
        <v>250</v>
      </c>
      <c r="H375" t="n">
        <v>2750</v>
      </c>
    </row>
    <row r="376">
      <c r="A376" t="inlineStr">
        <is>
          <t xml:space="preserve">Wilgensingel 63 </t>
        </is>
      </c>
      <c r="B376" t="inlineStr">
        <is>
          <t>0139</t>
        </is>
      </c>
      <c r="C376" t="inlineStr">
        <is>
          <t>van Heeswijk</t>
        </is>
      </c>
      <c r="D376" t="n">
        <v>57</v>
      </c>
      <c r="G376" t="n">
        <v>300</v>
      </c>
      <c r="H376" t="n">
        <v>0</v>
      </c>
    </row>
    <row r="377">
      <c r="A377" t="inlineStr">
        <is>
          <t>Wilgenstraat 37</t>
        </is>
      </c>
      <c r="B377" t="inlineStr">
        <is>
          <t>0140</t>
        </is>
      </c>
      <c r="G377" t="n">
        <v>300</v>
      </c>
      <c r="H377" t="n">
        <v>3955.8</v>
      </c>
    </row>
    <row r="378">
      <c r="A378" t="inlineStr">
        <is>
          <t>Wilhelmina Druckerstraat 68</t>
        </is>
      </c>
      <c r="B378" t="inlineStr">
        <is>
          <t>0142</t>
        </is>
      </c>
      <c r="G378" t="n">
        <v>350</v>
      </c>
      <c r="H378" t="n">
        <v>2394.3</v>
      </c>
    </row>
    <row r="379">
      <c r="A379" t="inlineStr">
        <is>
          <t>Wilhelminastraat 8</t>
        </is>
      </c>
      <c r="B379" t="inlineStr">
        <is>
          <t>0141</t>
        </is>
      </c>
      <c r="G379" t="n">
        <v>300</v>
      </c>
      <c r="H379" t="n">
        <v>2700</v>
      </c>
    </row>
    <row r="380">
      <c r="A380" t="inlineStr">
        <is>
          <t>Willem Lodewijkstraat 8</t>
        </is>
      </c>
      <c r="B380" t="inlineStr">
        <is>
          <t>0143</t>
        </is>
      </c>
      <c r="G380" t="n">
        <v>200</v>
      </c>
      <c r="H380" t="n">
        <v>2000</v>
      </c>
    </row>
    <row r="381">
      <c r="A381" t="inlineStr">
        <is>
          <t>Willem de Rijkelaan 134</t>
        </is>
      </c>
      <c r="B381" t="inlineStr">
        <is>
          <t>0161</t>
        </is>
      </c>
      <c r="G381" t="n">
        <v>0</v>
      </c>
      <c r="H381" t="n">
        <v>2909.6</v>
      </c>
    </row>
    <row r="382">
      <c r="A382" t="inlineStr">
        <is>
          <t xml:space="preserve">Woutersweg 20 </t>
        </is>
      </c>
      <c r="B382" t="inlineStr">
        <is>
          <t>0186</t>
        </is>
      </c>
      <c r="G382" t="n">
        <v>0</v>
      </c>
      <c r="H382" t="n">
        <v>2394.3</v>
      </c>
    </row>
    <row r="383">
      <c r="A383" t="inlineStr">
        <is>
          <t>Wouwbaan 230</t>
        </is>
      </c>
      <c r="B383" t="inlineStr">
        <is>
          <t>0145</t>
        </is>
      </c>
      <c r="G383" t="n">
        <v>0</v>
      </c>
      <c r="H383" t="n">
        <v>2928.69</v>
      </c>
    </row>
    <row r="384">
      <c r="A384" t="inlineStr">
        <is>
          <t>Zuidhoek 209D</t>
        </is>
      </c>
      <c r="B384" t="inlineStr">
        <is>
          <t>0232</t>
        </is>
      </c>
      <c r="G384" t="n">
        <v>250</v>
      </c>
      <c r="H384" t="n">
        <v>2316.23</v>
      </c>
    </row>
    <row r="385">
      <c r="A385" t="inlineStr">
        <is>
          <t>Zwethkade Zuid 30A</t>
        </is>
      </c>
      <c r="B385" t="inlineStr">
        <is>
          <t>0376</t>
        </is>
      </c>
      <c r="G385" t="n">
        <v>390</v>
      </c>
      <c r="H385" t="n">
        <v>0</v>
      </c>
    </row>
    <row r="386">
      <c r="A386" t="inlineStr">
        <is>
          <t>Zwingel 8B</t>
        </is>
      </c>
      <c r="B386" t="inlineStr">
        <is>
          <t>0371</t>
        </is>
      </c>
      <c r="G386" t="n">
        <v>0</v>
      </c>
      <c r="H386" t="n">
        <v>0</v>
      </c>
    </row>
    <row r="387">
      <c r="A387" t="inlineStr">
        <is>
          <t>de Genestetstraat 32</t>
        </is>
      </c>
      <c r="B387" t="inlineStr">
        <is>
          <t>0169</t>
        </is>
      </c>
      <c r="G387" t="n">
        <v>0</v>
      </c>
      <c r="H387" t="n">
        <v>1700</v>
      </c>
    </row>
    <row r="388">
      <c r="A388" t="inlineStr">
        <is>
          <t>van Scorelstraat 73</t>
        </is>
      </c>
      <c r="B388" t="inlineStr">
        <is>
          <t>0016</t>
        </is>
      </c>
      <c r="G388" t="n">
        <v>150</v>
      </c>
      <c r="H388" t="n">
        <v>2224.71</v>
      </c>
    </row>
    <row r="389">
      <c r="A389" t="inlineStr">
        <is>
          <t>van der Waalsstraat 16</t>
        </is>
      </c>
      <c r="B389" t="inlineStr">
        <is>
          <t>0248</t>
        </is>
      </c>
      <c r="G389" t="n">
        <v>0</v>
      </c>
      <c r="H389" t="n">
        <v>2170</v>
      </c>
    </row>
    <row r="390">
      <c r="A390" t="inlineStr">
        <is>
          <t>van der Waalsstraat 70</t>
        </is>
      </c>
      <c r="B390" t="inlineStr">
        <is>
          <t>0250</t>
        </is>
      </c>
      <c r="G390" t="n">
        <v>0</v>
      </c>
      <c r="H390" t="n">
        <v>0</v>
      </c>
    </row>
    <row r="391">
      <c r="A391" t="inlineStr">
        <is>
          <t>van der Werffstraat 166</t>
        </is>
      </c>
      <c r="B391" t="inlineStr">
        <is>
          <t>0241</t>
        </is>
      </c>
      <c r="G391" t="n">
        <v>0</v>
      </c>
      <c r="H391" t="n">
        <v>1560</v>
      </c>
    </row>
    <row r="392">
      <c r="A392" t="inlineStr">
        <is>
          <t>van der Werffstraat 240</t>
        </is>
      </c>
      <c r="B392" t="inlineStr">
        <is>
          <t>0245</t>
        </is>
      </c>
      <c r="G392" t="n">
        <v>0</v>
      </c>
      <c r="H392" t="n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7a5dd83b0615c7ab65f6e497dc3f1a67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8b3083ab368e81f90f854d4b93d60013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Props1.xml><?xml version="1.0" encoding="utf-8"?>
<ds:datastoreItem xmlns:ds="http://schemas.openxmlformats.org/officeDocument/2006/customXml" ds:itemID="{54B36BF3-A926-4907-937B-800FAC3295A7}"/>
</file>

<file path=customXml/itemProps2.xml><?xml version="1.0" encoding="utf-8"?>
<ds:datastoreItem xmlns:ds="http://schemas.openxmlformats.org/officeDocument/2006/customXml" ds:itemID="{8F0F6A4A-3D4F-4B53-96AB-888EB7F39F14}"/>
</file>

<file path=customXml/itemProps3.xml><?xml version="1.0" encoding="utf-8"?>
<ds:datastoreItem xmlns:ds="http://schemas.openxmlformats.org/officeDocument/2006/customXml" ds:itemID="{24E0BE6A-B422-42ED-9064-0DE111BEEF8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Aljereau Marten</cp:lastModifiedBy>
  <dcterms:created xsi:type="dcterms:W3CDTF">2025-12-09T14:01:26Z</dcterms:created>
  <dcterms:modified xsi:type="dcterms:W3CDTF">2025-12-09T16:31:03Z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0x010100FD8216A3BCF59A4CAC1EDC9B65F03F94</vt:lpwstr>
  </property>
</Properties>
</file>