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8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164" fontId="0" fillId="7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G5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UNIQUE(FILTER(Input!A2:A5000,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  <row r="54">
      <c r="A54" t="inlineStr">
        <is>
          <t>Zuidzijde 13</t>
        </is>
      </c>
      <c r="B54" t="inlineStr">
        <is>
          <t>Basis</t>
        </is>
      </c>
      <c r="C54" t="inlineStr">
        <is>
          <t>Test Klant BV</t>
        </is>
      </c>
      <c r="D54" t="inlineStr">
        <is>
          <t>OBJ-001</t>
        </is>
      </c>
      <c r="E54" s="9" t="n">
        <v>45292</v>
      </c>
      <c r="F54" s="9" t="n">
        <v>45322</v>
      </c>
      <c r="G54" t="n">
        <v>500</v>
      </c>
      <c r="H54" t="inlineStr">
        <is>
          <t>Via RyanRent</t>
        </is>
      </c>
      <c r="I54" t="inlineStr">
        <is>
          <t>Liander</t>
        </is>
      </c>
      <c r="J54" t="inlineStr">
        <is>
          <t>Vattenfall</t>
        </is>
      </c>
      <c r="K54" t="inlineStr">
        <is>
          <t>C-123</t>
        </is>
      </c>
      <c r="L54" t="n">
        <v>100</v>
      </c>
      <c r="M54" t="inlineStr">
        <is>
          <t>Extra Borgtb</t>
        </is>
      </c>
    </row>
    <row r="55">
      <c r="A55" t="inlineStr">
        <is>
          <t>Zuidzijde 13</t>
        </is>
      </c>
      <c r="B55" t="inlineStr">
        <is>
          <t>GWE</t>
        </is>
      </c>
      <c r="N55" t="n">
        <v>1000</v>
      </c>
      <c r="O55" t="n">
        <v>1100</v>
      </c>
      <c r="P55" t="n">
        <v>500</v>
      </c>
      <c r="Q55" t="n">
        <v>550</v>
      </c>
      <c r="R55" t="n">
        <v>200</v>
      </c>
      <c r="S55" t="n">
        <v>210</v>
      </c>
    </row>
    <row r="56">
      <c r="A56" t="inlineStr">
        <is>
          <t>Zuidzijde 13</t>
        </is>
      </c>
      <c r="B56" t="inlineStr">
        <is>
          <t>Schoonmaak</t>
        </is>
      </c>
      <c r="T56" t="inlineStr">
        <is>
          <t>Basis Schoonmaak</t>
        </is>
      </c>
      <c r="U56" t="n">
        <v>5</v>
      </c>
      <c r="V56" t="n">
        <v>50</v>
      </c>
      <c r="X56" t="n">
        <v>0.21</v>
      </c>
    </row>
    <row r="57">
      <c r="A57" t="inlineStr">
        <is>
          <t>Zuidzijde 13</t>
        </is>
      </c>
      <c r="B57" t="inlineStr">
        <is>
          <t>GWE_Item</t>
        </is>
      </c>
      <c r="AA57" t="inlineStr">
        <is>
          <t>Water</t>
        </is>
      </c>
      <c r="AB57" t="inlineStr">
        <is>
          <t>mnd</t>
        </is>
      </c>
      <c r="AC57" t="inlineStr">
        <is>
          <t>Vaste Levering</t>
        </is>
      </c>
      <c r="AD57" t="n">
        <v>1</v>
      </c>
      <c r="AE57" t="n">
        <v>10</v>
      </c>
      <c r="AG57" t="n">
        <v>0.09</v>
      </c>
    </row>
    <row r="58">
      <c r="A58" t="inlineStr">
        <is>
          <t>Zuidzijde 13</t>
        </is>
      </c>
      <c r="B58" t="inlineStr">
        <is>
          <t>Schade</t>
        </is>
      </c>
      <c r="AC58" t="inlineStr">
        <is>
          <t>Gebroken Lamp</t>
        </is>
      </c>
      <c r="AD58" t="n">
        <v>1</v>
      </c>
      <c r="AE58" t="n">
        <v>15</v>
      </c>
      <c r="AG58" t="n">
        <v>0.21</v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3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Check-in</t>
        </is>
      </c>
      <c r="F1" s="4" t="inlineStr">
        <is>
          <t>Check-out</t>
        </is>
      </c>
      <c r="G1" s="4" t="inlineStr">
        <is>
          <t>Borg (€)</t>
        </is>
      </c>
      <c r="H1" s="4" t="inlineStr">
        <is>
          <t>GWE Beheer</t>
        </is>
      </c>
      <c r="I1" s="4" t="inlineStr">
        <is>
          <t>Meterbeheerder</t>
        </is>
      </c>
      <c r="J1" s="4" t="inlineStr">
        <is>
          <t>Leverancier</t>
        </is>
      </c>
      <c r="K1" s="4" t="inlineStr">
        <is>
          <t>Contractnr</t>
        </is>
      </c>
      <c r="L1" s="4" t="inlineStr">
        <is>
          <t>Extra Voorschot (€)</t>
        </is>
      </c>
      <c r="M1" s="4" t="inlineStr">
        <is>
          <t>Extra Voor. Omschr.</t>
        </is>
      </c>
      <c r="N1" s="5" t="inlineStr">
        <is>
          <t>Elek Begin</t>
        </is>
      </c>
      <c r="O1" s="5" t="inlineStr">
        <is>
          <t>Elek Eind</t>
        </is>
      </c>
      <c r="P1" s="5" t="inlineStr">
        <is>
          <t>Gas Begin</t>
        </is>
      </c>
      <c r="Q1" s="5" t="inlineStr">
        <is>
          <t>Gas Eind</t>
        </is>
      </c>
      <c r="R1" s="5" t="inlineStr">
        <is>
          <t>Water Begin</t>
        </is>
      </c>
      <c r="S1" s="5" t="inlineStr">
        <is>
          <t>Water Eind</t>
        </is>
      </c>
      <c r="T1" s="6" t="inlineStr">
        <is>
          <t>Schoon Maak Pakket</t>
        </is>
      </c>
      <c r="U1" s="6" t="inlineStr">
        <is>
          <t>Schoon Uren</t>
        </is>
      </c>
      <c r="V1" s="6" t="inlineStr">
        <is>
          <t>Uurtarief (€)</t>
        </is>
      </c>
      <c r="W1" s="6" t="inlineStr">
        <is>
          <t>Totaal Excl (€)</t>
        </is>
      </c>
      <c r="X1" s="6" t="inlineStr">
        <is>
          <t>BTW %</t>
        </is>
      </c>
      <c r="Y1" s="6" t="inlineStr">
        <is>
          <t>BTW Bedrag (€)</t>
        </is>
      </c>
      <c r="Z1" s="6" t="inlineStr">
        <is>
          <t>Totaal Incl (€)</t>
        </is>
      </c>
      <c r="AA1" s="7" t="inlineStr">
        <is>
          <t>Kosten Type</t>
        </is>
      </c>
      <c r="AB1" s="7" t="inlineStr">
        <is>
          <t>Eenheid</t>
        </is>
      </c>
      <c r="AC1" s="7" t="inlineStr">
        <is>
          <t>Beschrijving</t>
        </is>
      </c>
      <c r="AD1" s="7" t="inlineStr">
        <is>
          <t>Aantal</t>
        </is>
      </c>
      <c r="AE1" s="7" t="inlineStr">
        <is>
          <t>Prijs/Stuk (€)</t>
        </is>
      </c>
      <c r="AF1" s="7" t="inlineStr">
        <is>
          <t>Totaal Excl (€)</t>
        </is>
      </c>
      <c r="AG1" s="6" t="inlineStr">
        <is>
          <t>BTW %</t>
        </is>
      </c>
      <c r="AH1" s="6" t="inlineStr">
        <is>
          <t>BTW Bedrag (€)</t>
        </is>
      </c>
      <c r="AI1" s="7" t="inlineStr">
        <is>
          <t>Totaal Incl (€)</t>
        </is>
      </c>
    </row>
    <row r="2">
      <c r="D2">
        <f>IF(A2="","",VLOOKUP(A2,Lists!$A:$B,2,FALSE))</f>
        <v/>
      </c>
      <c r="W2" s="8">
        <f>IF(AND(U2&lt;&gt;"",V2&lt;&gt;""),U2*V2,"")</f>
        <v/>
      </c>
      <c r="Y2" s="8">
        <f>IF(AND(W2&lt;&gt;"",X2&lt;&gt;""),W2*X2,"")</f>
        <v/>
      </c>
      <c r="Z2" s="8">
        <f>IF(AND(W2&lt;&gt;"",Y2&lt;&gt;""),W2+Y2,"")</f>
        <v/>
      </c>
      <c r="AD2">
        <f>IF($B2="GWE_Item",IF($AA2="Elektra",(SUMIFS($O:$O,$A:$A,$A2,$B:$B,"GWE")-SUMIFS($N:$N,$A:$A,$A2,$B:$B,"GWE")),IF($AA2="Gas",(SUMIFS($Q:$Q,$A:$A,$A2,$B:$B,"GWE")-SUMIFS($P:$P,$A:$A,$A2,$B:$B,"GWE")),IF($AA2="Water",(SUMIFS($S:$S,$A:$A,$A2,$B:$B,"GWE")-SUMIFS($R:$R,$A:$A,$A2,$B:$B,"GWE")),""))),"")</f>
        <v/>
      </c>
      <c r="AF2" s="8">
        <f>IF(AND(AD2&lt;&gt;"",AE2&lt;&gt;""),AD2*AE2,"")</f>
        <v/>
      </c>
      <c r="AH2" s="8">
        <f>IF(AND(AF2&lt;&gt;"",AG2&lt;&gt;""),AF2*AG2,"")</f>
        <v/>
      </c>
      <c r="AI2" s="8">
        <f>IF(AND(AF2&lt;&gt;"",AH2&lt;&gt;""),AF2+AH2,"")</f>
        <v/>
      </c>
    </row>
    <row r="3">
      <c r="D3">
        <f>IF(A3="","",VLOOKUP(A3,Lists!$A:$B,2,FALSE))</f>
        <v/>
      </c>
      <c r="W3" s="8">
        <f>IF(AND(U3&lt;&gt;"",V3&lt;&gt;""),U3*V3,"")</f>
        <v/>
      </c>
      <c r="Y3" s="8">
        <f>IF(AND(W3&lt;&gt;"",X3&lt;&gt;""),W3*X3,"")</f>
        <v/>
      </c>
      <c r="Z3" s="8">
        <f>IF(AND(W3&lt;&gt;"",Y3&lt;&gt;""),W3+Y3,"")</f>
        <v/>
      </c>
      <c r="AD3">
        <f>IF($B3="GWE_Item",IF($AA3="Elektra",(SUMIFS($O:$O,$A:$A,$A3,$B:$B,"GWE")-SUMIFS($N:$N,$A:$A,$A3,$B:$B,"GWE")),IF($AA3="Gas",(SUMIFS($Q:$Q,$A:$A,$A3,$B:$B,"GWE")-SUMIFS($P:$P,$A:$A,$A3,$B:$B,"GWE")),IF($AA3="Water",(SUMIFS($S:$S,$A:$A,$A3,$B:$B,"GWE")-SUMIFS($R:$R,$A:$A,$A3,$B:$B,"GWE")),""))),"")</f>
        <v/>
      </c>
      <c r="AF3" s="8">
        <f>IF(AND(AD3&lt;&gt;"",AE3&lt;&gt;""),AD3*AE3,"")</f>
        <v/>
      </c>
      <c r="AH3" s="8">
        <f>IF(AND(AF3&lt;&gt;"",AG3&lt;&gt;""),AF3*AG3,"")</f>
        <v/>
      </c>
      <c r="AI3" s="8">
        <f>IF(AND(AF3&lt;&gt;"",AH3&lt;&gt;""),AF3+AH3,"")</f>
        <v/>
      </c>
    </row>
    <row r="4">
      <c r="D4">
        <f>IF(A4="","",VLOOKUP(A4,Lists!$A:$B,2,FALSE))</f>
        <v/>
      </c>
      <c r="W4" s="8">
        <f>IF(AND(U4&lt;&gt;"",V4&lt;&gt;""),U4*V4,"")</f>
        <v/>
      </c>
      <c r="Y4" s="8">
        <f>IF(AND(W4&lt;&gt;"",X4&lt;&gt;""),W4*X4,"")</f>
        <v/>
      </c>
      <c r="Z4" s="8">
        <f>IF(AND(W4&lt;&gt;"",Y4&lt;&gt;""),W4+Y4,"")</f>
        <v/>
      </c>
      <c r="AD4">
        <f>IF($B4="GWE_Item",IF($AA4="Elektra",(SUMIFS($O:$O,$A:$A,$A4,$B:$B,"GWE")-SUMIFS($N:$N,$A:$A,$A4,$B:$B,"GWE")),IF($AA4="Gas",(SUMIFS($Q:$Q,$A:$A,$A4,$B:$B,"GWE")-SUMIFS($P:$P,$A:$A,$A4,$B:$B,"GWE")),IF($AA4="Water",(SUMIFS($S:$S,$A:$A,$A4,$B:$B,"GWE")-SUMIFS($R:$R,$A:$A,$A4,$B:$B,"GWE")),""))),"")</f>
        <v/>
      </c>
      <c r="AF4" s="8">
        <f>IF(AND(AD4&lt;&gt;"",AE4&lt;&gt;""),AD4*AE4,"")</f>
        <v/>
      </c>
      <c r="AH4" s="8">
        <f>IF(AND(AF4&lt;&gt;"",AG4&lt;&gt;""),AF4*AG4,"")</f>
        <v/>
      </c>
      <c r="AI4" s="8">
        <f>IF(AND(AF4&lt;&gt;"",AH4&lt;&gt;""),AF4+AH4,"")</f>
        <v/>
      </c>
    </row>
    <row r="5">
      <c r="D5">
        <f>IF(A5="","",VLOOKUP(A5,Lists!$A:$B,2,FALSE))</f>
        <v/>
      </c>
      <c r="W5" s="8">
        <f>IF(AND(U5&lt;&gt;"",V5&lt;&gt;""),U5*V5,"")</f>
        <v/>
      </c>
      <c r="Y5" s="8">
        <f>IF(AND(W5&lt;&gt;"",X5&lt;&gt;""),W5*X5,"")</f>
        <v/>
      </c>
      <c r="Z5" s="8">
        <f>IF(AND(W5&lt;&gt;"",Y5&lt;&gt;""),W5+Y5,"")</f>
        <v/>
      </c>
      <c r="AD5">
        <f>IF($B5="GWE_Item",IF($AA5="Elektra",(SUMIFS($O:$O,$A:$A,$A5,$B:$B,"GWE")-SUMIFS($N:$N,$A:$A,$A5,$B:$B,"GWE")),IF($AA5="Gas",(SUMIFS($Q:$Q,$A:$A,$A5,$B:$B,"GWE")-SUMIFS($P:$P,$A:$A,$A5,$B:$B,"GWE")),IF($AA5="Water",(SUMIFS($S:$S,$A:$A,$A5,$B:$B,"GWE")-SUMIFS($R:$R,$A:$A,$A5,$B:$B,"GWE")),""))),"")</f>
        <v/>
      </c>
      <c r="AF5" s="8">
        <f>IF(AND(AD5&lt;&gt;"",AE5&lt;&gt;""),AD5*AE5,"")</f>
        <v/>
      </c>
      <c r="AH5" s="8">
        <f>IF(AND(AF5&lt;&gt;"",AG5&lt;&gt;""),AF5*AG5,"")</f>
        <v/>
      </c>
      <c r="AI5" s="8">
        <f>IF(AND(AF5&lt;&gt;"",AH5&lt;&gt;""),AF5+AH5,"")</f>
        <v/>
      </c>
    </row>
    <row r="6">
      <c r="D6">
        <f>IF(A6="","",VLOOKUP(A6,Lists!$A:$B,2,FALSE))</f>
        <v/>
      </c>
      <c r="W6" s="8">
        <f>IF(AND(U6&lt;&gt;"",V6&lt;&gt;""),U6*V6,"")</f>
        <v/>
      </c>
      <c r="Y6" s="8">
        <f>IF(AND(W6&lt;&gt;"",X6&lt;&gt;""),W6*X6,"")</f>
        <v/>
      </c>
      <c r="Z6" s="8">
        <f>IF(AND(W6&lt;&gt;"",Y6&lt;&gt;""),W6+Y6,"")</f>
        <v/>
      </c>
      <c r="AD6">
        <f>IF($B6="GWE_Item",IF($AA6="Elektra",(SUMIFS($O:$O,$A:$A,$A6,$B:$B,"GWE")-SUMIFS($N:$N,$A:$A,$A6,$B:$B,"GWE")),IF($AA6="Gas",(SUMIFS($Q:$Q,$A:$A,$A6,$B:$B,"GWE")-SUMIFS($P:$P,$A:$A,$A6,$B:$B,"GWE")),IF($AA6="Water",(SUMIFS($S:$S,$A:$A,$A6,$B:$B,"GWE")-SUMIFS($R:$R,$A:$A,$A6,$B:$B,"GWE")),""))),"")</f>
        <v/>
      </c>
      <c r="AF6" s="8">
        <f>IF(AND(AD6&lt;&gt;"",AE6&lt;&gt;""),AD6*AE6,"")</f>
        <v/>
      </c>
      <c r="AH6" s="8">
        <f>IF(AND(AF6&lt;&gt;"",AG6&lt;&gt;""),AF6*AG6,"")</f>
        <v/>
      </c>
      <c r="AI6" s="8">
        <f>IF(AND(AF6&lt;&gt;"",AH6&lt;&gt;""),AF6+AH6,"")</f>
        <v/>
      </c>
    </row>
    <row r="7">
      <c r="D7">
        <f>IF(A7="","",VLOOKUP(A7,Lists!$A:$B,2,FALSE))</f>
        <v/>
      </c>
      <c r="W7" s="8">
        <f>IF(AND(U7&lt;&gt;"",V7&lt;&gt;""),U7*V7,"")</f>
        <v/>
      </c>
      <c r="Y7" s="8">
        <f>IF(AND(W7&lt;&gt;"",X7&lt;&gt;""),W7*X7,"")</f>
        <v/>
      </c>
      <c r="Z7" s="8">
        <f>IF(AND(W7&lt;&gt;"",Y7&lt;&gt;""),W7+Y7,"")</f>
        <v/>
      </c>
      <c r="AD7">
        <f>IF($B7="GWE_Item",IF($AA7="Elektra",(SUMIFS($O:$O,$A:$A,$A7,$B:$B,"GWE")-SUMIFS($N:$N,$A:$A,$A7,$B:$B,"GWE")),IF($AA7="Gas",(SUMIFS($Q:$Q,$A:$A,$A7,$B:$B,"GWE")-SUMIFS($P:$P,$A:$A,$A7,$B:$B,"GWE")),IF($AA7="Water",(SUMIFS($S:$S,$A:$A,$A7,$B:$B,"GWE")-SUMIFS($R:$R,$A:$A,$A7,$B:$B,"GWE")),""))),"")</f>
        <v/>
      </c>
      <c r="AF7" s="8">
        <f>IF(AND(AD7&lt;&gt;"",AE7&lt;&gt;""),AD7*AE7,"")</f>
        <v/>
      </c>
      <c r="AH7" s="8">
        <f>IF(AND(AF7&lt;&gt;"",AG7&lt;&gt;""),AF7*AG7,"")</f>
        <v/>
      </c>
      <c r="AI7" s="8">
        <f>IF(AND(AF7&lt;&gt;"",AH7&lt;&gt;""),AF7+AH7,"")</f>
        <v/>
      </c>
    </row>
    <row r="8">
      <c r="D8">
        <f>IF(A8="","",VLOOKUP(A8,Lists!$A:$B,2,FALSE))</f>
        <v/>
      </c>
      <c r="W8" s="8">
        <f>IF(AND(U8&lt;&gt;"",V8&lt;&gt;""),U8*V8,"")</f>
        <v/>
      </c>
      <c r="Y8" s="8">
        <f>IF(AND(W8&lt;&gt;"",X8&lt;&gt;""),W8*X8,"")</f>
        <v/>
      </c>
      <c r="Z8" s="8">
        <f>IF(AND(W8&lt;&gt;"",Y8&lt;&gt;""),W8+Y8,"")</f>
        <v/>
      </c>
      <c r="AD8">
        <f>IF($B8="GWE_Item",IF($AA8="Elektra",(SUMIFS($O:$O,$A:$A,$A8,$B:$B,"GWE")-SUMIFS($N:$N,$A:$A,$A8,$B:$B,"GWE")),IF($AA8="Gas",(SUMIFS($Q:$Q,$A:$A,$A8,$B:$B,"GWE")-SUMIFS($P:$P,$A:$A,$A8,$B:$B,"GWE")),IF($AA8="Water",(SUMIFS($S:$S,$A:$A,$A8,$B:$B,"GWE")-SUMIFS($R:$R,$A:$A,$A8,$B:$B,"GWE")),""))),"")</f>
        <v/>
      </c>
      <c r="AF8" s="8">
        <f>IF(AND(AD8&lt;&gt;"",AE8&lt;&gt;""),AD8*AE8,"")</f>
        <v/>
      </c>
      <c r="AH8" s="8">
        <f>IF(AND(AF8&lt;&gt;"",AG8&lt;&gt;""),AF8*AG8,"")</f>
        <v/>
      </c>
      <c r="AI8" s="8">
        <f>IF(AND(AF8&lt;&gt;"",AH8&lt;&gt;""),AF8+AH8,"")</f>
        <v/>
      </c>
    </row>
    <row r="9">
      <c r="D9">
        <f>IF(A9="","",VLOOKUP(A9,Lists!$A:$B,2,FALSE))</f>
        <v/>
      </c>
      <c r="W9" s="8">
        <f>IF(AND(U9&lt;&gt;"",V9&lt;&gt;""),U9*V9,"")</f>
        <v/>
      </c>
      <c r="Y9" s="8">
        <f>IF(AND(W9&lt;&gt;"",X9&lt;&gt;""),W9*X9,"")</f>
        <v/>
      </c>
      <c r="Z9" s="8">
        <f>IF(AND(W9&lt;&gt;"",Y9&lt;&gt;""),W9+Y9,"")</f>
        <v/>
      </c>
      <c r="AD9">
        <f>IF($B9="GWE_Item",IF($AA9="Elektra",(SUMIFS($O:$O,$A:$A,$A9,$B:$B,"GWE")-SUMIFS($N:$N,$A:$A,$A9,$B:$B,"GWE")),IF($AA9="Gas",(SUMIFS($Q:$Q,$A:$A,$A9,$B:$B,"GWE")-SUMIFS($P:$P,$A:$A,$A9,$B:$B,"GWE")),IF($AA9="Water",(SUMIFS($S:$S,$A:$A,$A9,$B:$B,"GWE")-SUMIFS($R:$R,$A:$A,$A9,$B:$B,"GWE")),""))),"")</f>
        <v/>
      </c>
      <c r="AF9" s="8">
        <f>IF(AND(AD9&lt;&gt;"",AE9&lt;&gt;""),AD9*AE9,"")</f>
        <v/>
      </c>
      <c r="AH9" s="8">
        <f>IF(AND(AF9&lt;&gt;"",AG9&lt;&gt;""),AF9*AG9,"")</f>
        <v/>
      </c>
      <c r="AI9" s="8">
        <f>IF(AND(AF9&lt;&gt;"",AH9&lt;&gt;""),AF9+AH9,"")</f>
        <v/>
      </c>
    </row>
    <row r="10">
      <c r="D10">
        <f>IF(A10="","",VLOOKUP(A10,Lists!$A:$B,2,FALSE))</f>
        <v/>
      </c>
      <c r="W10" s="8">
        <f>IF(AND(U10&lt;&gt;"",V10&lt;&gt;""),U10*V10,"")</f>
        <v/>
      </c>
      <c r="Y10" s="8">
        <f>IF(AND(W10&lt;&gt;"",X10&lt;&gt;""),W10*X10,"")</f>
        <v/>
      </c>
      <c r="Z10" s="8">
        <f>IF(AND(W10&lt;&gt;"",Y10&lt;&gt;""),W10+Y10,"")</f>
        <v/>
      </c>
      <c r="AD10">
        <f>IF($B10="GWE_Item",IF($AA10="Elektra",(SUMIFS($O:$O,$A:$A,$A10,$B:$B,"GWE")-SUMIFS($N:$N,$A:$A,$A10,$B:$B,"GWE")),IF($AA10="Gas",(SUMIFS($Q:$Q,$A:$A,$A10,$B:$B,"GWE")-SUMIFS($P:$P,$A:$A,$A10,$B:$B,"GWE")),IF($AA10="Water",(SUMIFS($S:$S,$A:$A,$A10,$B:$B,"GWE")-SUMIFS($R:$R,$A:$A,$A10,$B:$B,"GWE")),""))),"")</f>
        <v/>
      </c>
      <c r="AF10" s="8">
        <f>IF(AND(AD10&lt;&gt;"",AE10&lt;&gt;""),AD10*AE10,"")</f>
        <v/>
      </c>
      <c r="AH10" s="8">
        <f>IF(AND(AF10&lt;&gt;"",AG10&lt;&gt;""),AF10*AG10,"")</f>
        <v/>
      </c>
      <c r="AI10" s="8">
        <f>IF(AND(AF10&lt;&gt;"",AH10&lt;&gt;""),AF10+AH10,"")</f>
        <v/>
      </c>
    </row>
    <row r="11">
      <c r="D11">
        <f>IF(A11="","",VLOOKUP(A11,Lists!$A:$B,2,FALSE))</f>
        <v/>
      </c>
      <c r="W11" s="8">
        <f>IF(AND(U11&lt;&gt;"",V11&lt;&gt;""),U11*V11,"")</f>
        <v/>
      </c>
      <c r="Y11" s="8">
        <f>IF(AND(W11&lt;&gt;"",X11&lt;&gt;""),W11*X11,"")</f>
        <v/>
      </c>
      <c r="Z11" s="8">
        <f>IF(AND(W11&lt;&gt;"",Y11&lt;&gt;""),W11+Y11,"")</f>
        <v/>
      </c>
      <c r="AD11">
        <f>IF($B11="GWE_Item",IF($AA11="Elektra",(SUMIFS($O:$O,$A:$A,$A11,$B:$B,"GWE")-SUMIFS($N:$N,$A:$A,$A11,$B:$B,"GWE")),IF($AA11="Gas",(SUMIFS($Q:$Q,$A:$A,$A11,$B:$B,"GWE")-SUMIFS($P:$P,$A:$A,$A11,$B:$B,"GWE")),IF($AA11="Water",(SUMIFS($S:$S,$A:$A,$A11,$B:$B,"GWE")-SUMIFS($R:$R,$A:$A,$A11,$B:$B,"GWE")),""))),"")</f>
        <v/>
      </c>
      <c r="AF11" s="8">
        <f>IF(AND(AD11&lt;&gt;"",AE11&lt;&gt;""),AD11*AE11,"")</f>
        <v/>
      </c>
      <c r="AH11" s="8">
        <f>IF(AND(AF11&lt;&gt;"",AG11&lt;&gt;""),AF11*AG11,"")</f>
        <v/>
      </c>
      <c r="AI11" s="8">
        <f>IF(AND(AF11&lt;&gt;"",AH11&lt;&gt;""),AF11+AH11,"")</f>
        <v/>
      </c>
    </row>
    <row r="12">
      <c r="D12">
        <f>IF(A12="","",VLOOKUP(A12,Lists!$A:$B,2,FALSE))</f>
        <v/>
      </c>
      <c r="W12" s="8">
        <f>IF(AND(U12&lt;&gt;"",V12&lt;&gt;""),U12*V12,"")</f>
        <v/>
      </c>
      <c r="Y12" s="8">
        <f>IF(AND(W12&lt;&gt;"",X12&lt;&gt;""),W12*X12,"")</f>
        <v/>
      </c>
      <c r="Z12" s="8">
        <f>IF(AND(W12&lt;&gt;"",Y12&lt;&gt;""),W12+Y12,"")</f>
        <v/>
      </c>
      <c r="AD12">
        <f>IF($B12="GWE_Item",IF($AA12="Elektra",(SUMIFS($O:$O,$A:$A,$A12,$B:$B,"GWE")-SUMIFS($N:$N,$A:$A,$A12,$B:$B,"GWE")),IF($AA12="Gas",(SUMIFS($Q:$Q,$A:$A,$A12,$B:$B,"GWE")-SUMIFS($P:$P,$A:$A,$A12,$B:$B,"GWE")),IF($AA12="Water",(SUMIFS($S:$S,$A:$A,$A12,$B:$B,"GWE")-SUMIFS($R:$R,$A:$A,$A12,$B:$B,"GWE")),""))),"")</f>
        <v/>
      </c>
      <c r="AF12" s="8">
        <f>IF(AND(AD12&lt;&gt;"",AE12&lt;&gt;""),AD12*AE12,"")</f>
        <v/>
      </c>
      <c r="AH12" s="8">
        <f>IF(AND(AF12&lt;&gt;"",AG12&lt;&gt;""),AF12*AG12,"")</f>
        <v/>
      </c>
      <c r="AI12" s="8">
        <f>IF(AND(AF12&lt;&gt;"",AH12&lt;&gt;""),AF12+AH12,"")</f>
        <v/>
      </c>
    </row>
    <row r="13">
      <c r="D13">
        <f>IF(A13="","",VLOOKUP(A13,Lists!$A:$B,2,FALSE))</f>
        <v/>
      </c>
      <c r="W13" s="8">
        <f>IF(AND(U13&lt;&gt;"",V13&lt;&gt;""),U13*V13,"")</f>
        <v/>
      </c>
      <c r="Y13" s="8">
        <f>IF(AND(W13&lt;&gt;"",X13&lt;&gt;""),W13*X13,"")</f>
        <v/>
      </c>
      <c r="Z13" s="8">
        <f>IF(AND(W13&lt;&gt;"",Y13&lt;&gt;""),W13+Y13,"")</f>
        <v/>
      </c>
      <c r="AD13">
        <f>IF($B13="GWE_Item",IF($AA13="Elektra",(SUMIFS($O:$O,$A:$A,$A13,$B:$B,"GWE")-SUMIFS($N:$N,$A:$A,$A13,$B:$B,"GWE")),IF($AA13="Gas",(SUMIFS($Q:$Q,$A:$A,$A13,$B:$B,"GWE")-SUMIFS($P:$P,$A:$A,$A13,$B:$B,"GWE")),IF($AA13="Water",(SUMIFS($S:$S,$A:$A,$A13,$B:$B,"GWE")-SUMIFS($R:$R,$A:$A,$A13,$B:$B,"GWE")),""))),"")</f>
        <v/>
      </c>
      <c r="AF13" s="8">
        <f>IF(AND(AD13&lt;&gt;"",AE13&lt;&gt;""),AD13*AE13,"")</f>
        <v/>
      </c>
      <c r="AH13" s="8">
        <f>IF(AND(AF13&lt;&gt;"",AG13&lt;&gt;""),AF13*AG13,"")</f>
        <v/>
      </c>
      <c r="AI13" s="8">
        <f>IF(AND(AF13&lt;&gt;"",AH13&lt;&gt;""),AF13+AH13,"")</f>
        <v/>
      </c>
    </row>
    <row r="14">
      <c r="D14">
        <f>IF(A14="","",VLOOKUP(A14,Lists!$A:$B,2,FALSE))</f>
        <v/>
      </c>
      <c r="W14" s="8">
        <f>IF(AND(U14&lt;&gt;"",V14&lt;&gt;""),U14*V14,"")</f>
        <v/>
      </c>
      <c r="Y14" s="8">
        <f>IF(AND(W14&lt;&gt;"",X14&lt;&gt;""),W14*X14,"")</f>
        <v/>
      </c>
      <c r="Z14" s="8">
        <f>IF(AND(W14&lt;&gt;"",Y14&lt;&gt;""),W14+Y14,"")</f>
        <v/>
      </c>
      <c r="AD14">
        <f>IF($B14="GWE_Item",IF($AA14="Elektra",(SUMIFS($O:$O,$A:$A,$A14,$B:$B,"GWE")-SUMIFS($N:$N,$A:$A,$A14,$B:$B,"GWE")),IF($AA14="Gas",(SUMIFS($Q:$Q,$A:$A,$A14,$B:$B,"GWE")-SUMIFS($P:$P,$A:$A,$A14,$B:$B,"GWE")),IF($AA14="Water",(SUMIFS($S:$S,$A:$A,$A14,$B:$B,"GWE")-SUMIFS($R:$R,$A:$A,$A14,$B:$B,"GWE")),""))),"")</f>
        <v/>
      </c>
      <c r="AF14" s="8">
        <f>IF(AND(AD14&lt;&gt;"",AE14&lt;&gt;""),AD14*AE14,"")</f>
        <v/>
      </c>
      <c r="AH14" s="8">
        <f>IF(AND(AF14&lt;&gt;"",AG14&lt;&gt;""),AF14*AG14,"")</f>
        <v/>
      </c>
      <c r="AI14" s="8">
        <f>IF(AND(AF14&lt;&gt;"",AH14&lt;&gt;""),AF14+AH14,"")</f>
        <v/>
      </c>
    </row>
    <row r="15">
      <c r="D15">
        <f>IF(A15="","",VLOOKUP(A15,Lists!$A:$B,2,FALSE))</f>
        <v/>
      </c>
      <c r="W15" s="8">
        <f>IF(AND(U15&lt;&gt;"",V15&lt;&gt;""),U15*V15,"")</f>
        <v/>
      </c>
      <c r="Y15" s="8">
        <f>IF(AND(W15&lt;&gt;"",X15&lt;&gt;""),W15*X15,"")</f>
        <v/>
      </c>
      <c r="Z15" s="8">
        <f>IF(AND(W15&lt;&gt;"",Y15&lt;&gt;""),W15+Y15,"")</f>
        <v/>
      </c>
      <c r="AD15">
        <f>IF($B15="GWE_Item",IF($AA15="Elektra",(SUMIFS($O:$O,$A:$A,$A15,$B:$B,"GWE")-SUMIFS($N:$N,$A:$A,$A15,$B:$B,"GWE")),IF($AA15="Gas",(SUMIFS($Q:$Q,$A:$A,$A15,$B:$B,"GWE")-SUMIFS($P:$P,$A:$A,$A15,$B:$B,"GWE")),IF($AA15="Water",(SUMIFS($S:$S,$A:$A,$A15,$B:$B,"GWE")-SUMIFS($R:$R,$A:$A,$A15,$B:$B,"GWE")),""))),"")</f>
        <v/>
      </c>
      <c r="AF15" s="8">
        <f>IF(AND(AD15&lt;&gt;"",AE15&lt;&gt;""),AD15*AE15,"")</f>
        <v/>
      </c>
      <c r="AH15" s="8">
        <f>IF(AND(AF15&lt;&gt;"",AG15&lt;&gt;""),AF15*AG15,"")</f>
        <v/>
      </c>
      <c r="AI15" s="8">
        <f>IF(AND(AF15&lt;&gt;"",AH15&lt;&gt;""),AF15+AH15,"")</f>
        <v/>
      </c>
    </row>
    <row r="16">
      <c r="D16">
        <f>IF(A16="","",VLOOKUP(A16,Lists!$A:$B,2,FALSE))</f>
        <v/>
      </c>
      <c r="W16" s="8">
        <f>IF(AND(U16&lt;&gt;"",V16&lt;&gt;""),U16*V16,"")</f>
        <v/>
      </c>
      <c r="Y16" s="8">
        <f>IF(AND(W16&lt;&gt;"",X16&lt;&gt;""),W16*X16,"")</f>
        <v/>
      </c>
      <c r="Z16" s="8">
        <f>IF(AND(W16&lt;&gt;"",Y16&lt;&gt;""),W16+Y16,"")</f>
        <v/>
      </c>
      <c r="AD16">
        <f>IF($B16="GWE_Item",IF($AA16="Elektra",(SUMIFS($O:$O,$A:$A,$A16,$B:$B,"GWE")-SUMIFS($N:$N,$A:$A,$A16,$B:$B,"GWE")),IF($AA16="Gas",(SUMIFS($Q:$Q,$A:$A,$A16,$B:$B,"GWE")-SUMIFS($P:$P,$A:$A,$A16,$B:$B,"GWE")),IF($AA16="Water",(SUMIFS($S:$S,$A:$A,$A16,$B:$B,"GWE")-SUMIFS($R:$R,$A:$A,$A16,$B:$B,"GWE")),""))),"")</f>
        <v/>
      </c>
      <c r="AF16" s="8">
        <f>IF(AND(AD16&lt;&gt;"",AE16&lt;&gt;""),AD16*AE16,"")</f>
        <v/>
      </c>
      <c r="AH16" s="8">
        <f>IF(AND(AF16&lt;&gt;"",AG16&lt;&gt;""),AF16*AG16,"")</f>
        <v/>
      </c>
      <c r="AI16" s="8">
        <f>IF(AND(AF16&lt;&gt;"",AH16&lt;&gt;""),AF16+AH16,"")</f>
        <v/>
      </c>
    </row>
    <row r="17">
      <c r="D17">
        <f>IF(A17="","",VLOOKUP(A17,Lists!$A:$B,2,FALSE))</f>
        <v/>
      </c>
      <c r="W17" s="8">
        <f>IF(AND(U17&lt;&gt;"",V17&lt;&gt;""),U17*V17,"")</f>
        <v/>
      </c>
      <c r="Y17" s="8">
        <f>IF(AND(W17&lt;&gt;"",X17&lt;&gt;""),W17*X17,"")</f>
        <v/>
      </c>
      <c r="Z17" s="8">
        <f>IF(AND(W17&lt;&gt;"",Y17&lt;&gt;""),W17+Y17,"")</f>
        <v/>
      </c>
      <c r="AD17">
        <f>IF($B17="GWE_Item",IF($AA17="Elektra",(SUMIFS($O:$O,$A:$A,$A17,$B:$B,"GWE")-SUMIFS($N:$N,$A:$A,$A17,$B:$B,"GWE")),IF($AA17="Gas",(SUMIFS($Q:$Q,$A:$A,$A17,$B:$B,"GWE")-SUMIFS($P:$P,$A:$A,$A17,$B:$B,"GWE")),IF($AA17="Water",(SUMIFS($S:$S,$A:$A,$A17,$B:$B,"GWE")-SUMIFS($R:$R,$A:$A,$A17,$B:$B,"GWE")),""))),"")</f>
        <v/>
      </c>
      <c r="AF17" s="8">
        <f>IF(AND(AD17&lt;&gt;"",AE17&lt;&gt;""),AD17*AE17,"")</f>
        <v/>
      </c>
      <c r="AH17" s="8">
        <f>IF(AND(AF17&lt;&gt;"",AG17&lt;&gt;""),AF17*AG17,"")</f>
        <v/>
      </c>
      <c r="AI17" s="8">
        <f>IF(AND(AF17&lt;&gt;"",AH17&lt;&gt;""),AF17+AH17,"")</f>
        <v/>
      </c>
    </row>
    <row r="18">
      <c r="D18">
        <f>IF(A18="","",VLOOKUP(A18,Lists!$A:$B,2,FALSE))</f>
        <v/>
      </c>
      <c r="W18" s="8">
        <f>IF(AND(U18&lt;&gt;"",V18&lt;&gt;""),U18*V18,"")</f>
        <v/>
      </c>
      <c r="Y18" s="8">
        <f>IF(AND(W18&lt;&gt;"",X18&lt;&gt;""),W18*X18,"")</f>
        <v/>
      </c>
      <c r="Z18" s="8">
        <f>IF(AND(W18&lt;&gt;"",Y18&lt;&gt;""),W18+Y18,"")</f>
        <v/>
      </c>
      <c r="AD18">
        <f>IF($B18="GWE_Item",IF($AA18="Elektra",(SUMIFS($O:$O,$A:$A,$A18,$B:$B,"GWE")-SUMIFS($N:$N,$A:$A,$A18,$B:$B,"GWE")),IF($AA18="Gas",(SUMIFS($Q:$Q,$A:$A,$A18,$B:$B,"GWE")-SUMIFS($P:$P,$A:$A,$A18,$B:$B,"GWE")),IF($AA18="Water",(SUMIFS($S:$S,$A:$A,$A18,$B:$B,"GWE")-SUMIFS($R:$R,$A:$A,$A18,$B:$B,"GWE")),""))),"")</f>
        <v/>
      </c>
      <c r="AF18" s="8">
        <f>IF(AND(AD18&lt;&gt;"",AE18&lt;&gt;""),AD18*AE18,"")</f>
        <v/>
      </c>
      <c r="AH18" s="8">
        <f>IF(AND(AF18&lt;&gt;"",AG18&lt;&gt;""),AF18*AG18,"")</f>
        <v/>
      </c>
      <c r="AI18" s="8">
        <f>IF(AND(AF18&lt;&gt;"",AH18&lt;&gt;""),AF18+AH18,"")</f>
        <v/>
      </c>
    </row>
    <row r="19">
      <c r="D19">
        <f>IF(A19="","",VLOOKUP(A19,Lists!$A:$B,2,FALSE))</f>
        <v/>
      </c>
      <c r="W19" s="8">
        <f>IF(AND(U19&lt;&gt;"",V19&lt;&gt;""),U19*V19,"")</f>
        <v/>
      </c>
      <c r="Y19" s="8">
        <f>IF(AND(W19&lt;&gt;"",X19&lt;&gt;""),W19*X19,"")</f>
        <v/>
      </c>
      <c r="Z19" s="8">
        <f>IF(AND(W19&lt;&gt;"",Y19&lt;&gt;""),W19+Y19,"")</f>
        <v/>
      </c>
      <c r="AD19">
        <f>IF($B19="GWE_Item",IF($AA19="Elektra",(SUMIFS($O:$O,$A:$A,$A19,$B:$B,"GWE")-SUMIFS($N:$N,$A:$A,$A19,$B:$B,"GWE")),IF($AA19="Gas",(SUMIFS($Q:$Q,$A:$A,$A19,$B:$B,"GWE")-SUMIFS($P:$P,$A:$A,$A19,$B:$B,"GWE")),IF($AA19="Water",(SUMIFS($S:$S,$A:$A,$A19,$B:$B,"GWE")-SUMIFS($R:$R,$A:$A,$A19,$B:$B,"GWE")),""))),"")</f>
        <v/>
      </c>
      <c r="AF19" s="8">
        <f>IF(AND(AD19&lt;&gt;"",AE19&lt;&gt;""),AD19*AE19,"")</f>
        <v/>
      </c>
      <c r="AH19" s="8">
        <f>IF(AND(AF19&lt;&gt;"",AG19&lt;&gt;""),AF19*AG19,"")</f>
        <v/>
      </c>
      <c r="AI19" s="8">
        <f>IF(AND(AF19&lt;&gt;"",AH19&lt;&gt;""),AF19+AH19,"")</f>
        <v/>
      </c>
    </row>
    <row r="20">
      <c r="D20">
        <f>IF(A20="","",VLOOKUP(A20,Lists!$A:$B,2,FALSE))</f>
        <v/>
      </c>
      <c r="W20" s="8">
        <f>IF(AND(U20&lt;&gt;"",V20&lt;&gt;""),U20*V20,"")</f>
        <v/>
      </c>
      <c r="Y20" s="8">
        <f>IF(AND(W20&lt;&gt;"",X20&lt;&gt;""),W20*X20,"")</f>
        <v/>
      </c>
      <c r="Z20" s="8">
        <f>IF(AND(W20&lt;&gt;"",Y20&lt;&gt;""),W20+Y20,"")</f>
        <v/>
      </c>
      <c r="AD20">
        <f>IF($B20="GWE_Item",IF($AA20="Elektra",(SUMIFS($O:$O,$A:$A,$A20,$B:$B,"GWE")-SUMIFS($N:$N,$A:$A,$A20,$B:$B,"GWE")),IF($AA20="Gas",(SUMIFS($Q:$Q,$A:$A,$A20,$B:$B,"GWE")-SUMIFS($P:$P,$A:$A,$A20,$B:$B,"GWE")),IF($AA20="Water",(SUMIFS($S:$S,$A:$A,$A20,$B:$B,"GWE")-SUMIFS($R:$R,$A:$A,$A20,$B:$B,"GWE")),""))),"")</f>
        <v/>
      </c>
      <c r="AF20" s="8">
        <f>IF(AND(AD20&lt;&gt;"",AE20&lt;&gt;""),AD20*AE20,"")</f>
        <v/>
      </c>
      <c r="AH20" s="8">
        <f>IF(AND(AF20&lt;&gt;"",AG20&lt;&gt;""),AF20*AG20,"")</f>
        <v/>
      </c>
      <c r="AI20" s="8">
        <f>IF(AND(AF20&lt;&gt;"",AH20&lt;&gt;""),AF20+AH20,"")</f>
        <v/>
      </c>
    </row>
    <row r="21">
      <c r="D21">
        <f>IF(A21="","",VLOOKUP(A21,Lists!$A:$B,2,FALSE))</f>
        <v/>
      </c>
      <c r="W21" s="8">
        <f>IF(AND(U21&lt;&gt;"",V21&lt;&gt;""),U21*V21,"")</f>
        <v/>
      </c>
      <c r="Y21" s="8">
        <f>IF(AND(W21&lt;&gt;"",X21&lt;&gt;""),W21*X21,"")</f>
        <v/>
      </c>
      <c r="Z21" s="8">
        <f>IF(AND(W21&lt;&gt;"",Y21&lt;&gt;""),W21+Y21,"")</f>
        <v/>
      </c>
      <c r="AD21">
        <f>IF($B21="GWE_Item",IF($AA21="Elektra",(SUMIFS($O:$O,$A:$A,$A21,$B:$B,"GWE")-SUMIFS($N:$N,$A:$A,$A21,$B:$B,"GWE")),IF($AA21="Gas",(SUMIFS($Q:$Q,$A:$A,$A21,$B:$B,"GWE")-SUMIFS($P:$P,$A:$A,$A21,$B:$B,"GWE")),IF($AA21="Water",(SUMIFS($S:$S,$A:$A,$A21,$B:$B,"GWE")-SUMIFS($R:$R,$A:$A,$A21,$B:$B,"GWE")),""))),"")</f>
        <v/>
      </c>
      <c r="AF21" s="8">
        <f>IF(AND(AD21&lt;&gt;"",AE21&lt;&gt;""),AD21*AE21,"")</f>
        <v/>
      </c>
      <c r="AH21" s="8">
        <f>IF(AND(AF21&lt;&gt;"",AG21&lt;&gt;""),AF21*AG21,"")</f>
        <v/>
      </c>
      <c r="AI21" s="8">
        <f>IF(AND(AF21&lt;&gt;"",AH21&lt;&gt;""),AF21+AH21,"")</f>
        <v/>
      </c>
    </row>
    <row r="22">
      <c r="D22">
        <f>IF(A22="","",VLOOKUP(A22,Lists!$A:$B,2,FALSE))</f>
        <v/>
      </c>
      <c r="W22" s="8">
        <f>IF(AND(U22&lt;&gt;"",V22&lt;&gt;""),U22*V22,"")</f>
        <v/>
      </c>
      <c r="Y22" s="8">
        <f>IF(AND(W22&lt;&gt;"",X22&lt;&gt;""),W22*X22,"")</f>
        <v/>
      </c>
      <c r="Z22" s="8">
        <f>IF(AND(W22&lt;&gt;"",Y22&lt;&gt;""),W22+Y22,"")</f>
        <v/>
      </c>
      <c r="AD22">
        <f>IF($B22="GWE_Item",IF($AA22="Elektra",(SUMIFS($O:$O,$A:$A,$A22,$B:$B,"GWE")-SUMIFS($N:$N,$A:$A,$A22,$B:$B,"GWE")),IF($AA22="Gas",(SUMIFS($Q:$Q,$A:$A,$A22,$B:$B,"GWE")-SUMIFS($P:$P,$A:$A,$A22,$B:$B,"GWE")),IF($AA22="Water",(SUMIFS($S:$S,$A:$A,$A22,$B:$B,"GWE")-SUMIFS($R:$R,$A:$A,$A22,$B:$B,"GWE")),""))),"")</f>
        <v/>
      </c>
      <c r="AF22" s="8">
        <f>IF(AND(AD22&lt;&gt;"",AE22&lt;&gt;""),AD22*AE22,"")</f>
        <v/>
      </c>
      <c r="AH22" s="8">
        <f>IF(AND(AF22&lt;&gt;"",AG22&lt;&gt;""),AF22*AG22,"")</f>
        <v/>
      </c>
      <c r="AI22" s="8">
        <f>IF(AND(AF22&lt;&gt;"",AH22&lt;&gt;""),AF22+AH22,"")</f>
        <v/>
      </c>
    </row>
    <row r="23">
      <c r="D23">
        <f>IF(A23="","",VLOOKUP(A23,Lists!$A:$B,2,FALSE))</f>
        <v/>
      </c>
      <c r="W23" s="8">
        <f>IF(AND(U23&lt;&gt;"",V23&lt;&gt;""),U23*V23,"")</f>
        <v/>
      </c>
      <c r="Y23" s="8">
        <f>IF(AND(W23&lt;&gt;"",X23&lt;&gt;""),W23*X23,"")</f>
        <v/>
      </c>
      <c r="Z23" s="8">
        <f>IF(AND(W23&lt;&gt;"",Y23&lt;&gt;""),W23+Y23,"")</f>
        <v/>
      </c>
      <c r="AD23">
        <f>IF($B23="GWE_Item",IF($AA23="Elektra",(SUMIFS($O:$O,$A:$A,$A23,$B:$B,"GWE")-SUMIFS($N:$N,$A:$A,$A23,$B:$B,"GWE")),IF($AA23="Gas",(SUMIFS($Q:$Q,$A:$A,$A23,$B:$B,"GWE")-SUMIFS($P:$P,$A:$A,$A23,$B:$B,"GWE")),IF($AA23="Water",(SUMIFS($S:$S,$A:$A,$A23,$B:$B,"GWE")-SUMIFS($R:$R,$A:$A,$A23,$B:$B,"GWE")),""))),"")</f>
        <v/>
      </c>
      <c r="AF23" s="8">
        <f>IF(AND(AD23&lt;&gt;"",AE23&lt;&gt;""),AD23*AE23,"")</f>
        <v/>
      </c>
      <c r="AH23" s="8">
        <f>IF(AND(AF23&lt;&gt;"",AG23&lt;&gt;""),AF23*AG23,"")</f>
        <v/>
      </c>
      <c r="AI23" s="8">
        <f>IF(AND(AF23&lt;&gt;"",AH23&lt;&gt;""),AF23+AH23,"")</f>
        <v/>
      </c>
    </row>
    <row r="24">
      <c r="D24">
        <f>IF(A24="","",VLOOKUP(A24,Lists!$A:$B,2,FALSE))</f>
        <v/>
      </c>
      <c r="W24" s="8">
        <f>IF(AND(U24&lt;&gt;"",V24&lt;&gt;""),U24*V24,"")</f>
        <v/>
      </c>
      <c r="Y24" s="8">
        <f>IF(AND(W24&lt;&gt;"",X24&lt;&gt;""),W24*X24,"")</f>
        <v/>
      </c>
      <c r="Z24" s="8">
        <f>IF(AND(W24&lt;&gt;"",Y24&lt;&gt;""),W24+Y24,"")</f>
        <v/>
      </c>
      <c r="AD24">
        <f>IF($B24="GWE_Item",IF($AA24="Elektra",(SUMIFS($O:$O,$A:$A,$A24,$B:$B,"GWE")-SUMIFS($N:$N,$A:$A,$A24,$B:$B,"GWE")),IF($AA24="Gas",(SUMIFS($Q:$Q,$A:$A,$A24,$B:$B,"GWE")-SUMIFS($P:$P,$A:$A,$A24,$B:$B,"GWE")),IF($AA24="Water",(SUMIFS($S:$S,$A:$A,$A24,$B:$B,"GWE")-SUMIFS($R:$R,$A:$A,$A24,$B:$B,"GWE")),""))),"")</f>
        <v/>
      </c>
      <c r="AF24" s="8">
        <f>IF(AND(AD24&lt;&gt;"",AE24&lt;&gt;""),AD24*AE24,"")</f>
        <v/>
      </c>
      <c r="AH24" s="8">
        <f>IF(AND(AF24&lt;&gt;"",AG24&lt;&gt;""),AF24*AG24,"")</f>
        <v/>
      </c>
      <c r="AI24" s="8">
        <f>IF(AND(AF24&lt;&gt;"",AH24&lt;&gt;""),AF24+AH24,"")</f>
        <v/>
      </c>
    </row>
    <row r="25">
      <c r="D25">
        <f>IF(A25="","",VLOOKUP(A25,Lists!$A:$B,2,FALSE))</f>
        <v/>
      </c>
      <c r="W25" s="8">
        <f>IF(AND(U25&lt;&gt;"",V25&lt;&gt;""),U25*V25,"")</f>
        <v/>
      </c>
      <c r="Y25" s="8">
        <f>IF(AND(W25&lt;&gt;"",X25&lt;&gt;""),W25*X25,"")</f>
        <v/>
      </c>
      <c r="Z25" s="8">
        <f>IF(AND(W25&lt;&gt;"",Y25&lt;&gt;""),W25+Y25,"")</f>
        <v/>
      </c>
      <c r="AD25">
        <f>IF($B25="GWE_Item",IF($AA25="Elektra",(SUMIFS($O:$O,$A:$A,$A25,$B:$B,"GWE")-SUMIFS($N:$N,$A:$A,$A25,$B:$B,"GWE")),IF($AA25="Gas",(SUMIFS($Q:$Q,$A:$A,$A25,$B:$B,"GWE")-SUMIFS($P:$P,$A:$A,$A25,$B:$B,"GWE")),IF($AA25="Water",(SUMIFS($S:$S,$A:$A,$A25,$B:$B,"GWE")-SUMIFS($R:$R,$A:$A,$A25,$B:$B,"GWE")),""))),"")</f>
        <v/>
      </c>
      <c r="AF25" s="8">
        <f>IF(AND(AD25&lt;&gt;"",AE25&lt;&gt;""),AD25*AE25,"")</f>
        <v/>
      </c>
      <c r="AH25" s="8">
        <f>IF(AND(AF25&lt;&gt;"",AG25&lt;&gt;""),AF25*AG25,"")</f>
        <v/>
      </c>
      <c r="AI25" s="8">
        <f>IF(AND(AF25&lt;&gt;"",AH25&lt;&gt;""),AF25+AH25,"")</f>
        <v/>
      </c>
    </row>
    <row r="26">
      <c r="D26">
        <f>IF(A26="","",VLOOKUP(A26,Lists!$A:$B,2,FALSE))</f>
        <v/>
      </c>
      <c r="W26" s="8">
        <f>IF(AND(U26&lt;&gt;"",V26&lt;&gt;""),U26*V26,"")</f>
        <v/>
      </c>
      <c r="Y26" s="8">
        <f>IF(AND(W26&lt;&gt;"",X26&lt;&gt;""),W26*X26,"")</f>
        <v/>
      </c>
      <c r="Z26" s="8">
        <f>IF(AND(W26&lt;&gt;"",Y26&lt;&gt;""),W26+Y26,"")</f>
        <v/>
      </c>
      <c r="AD26">
        <f>IF($B26="GWE_Item",IF($AA26="Elektra",(SUMIFS($O:$O,$A:$A,$A26,$B:$B,"GWE")-SUMIFS($N:$N,$A:$A,$A26,$B:$B,"GWE")),IF($AA26="Gas",(SUMIFS($Q:$Q,$A:$A,$A26,$B:$B,"GWE")-SUMIFS($P:$P,$A:$A,$A26,$B:$B,"GWE")),IF($AA26="Water",(SUMIFS($S:$S,$A:$A,$A26,$B:$B,"GWE")-SUMIFS($R:$R,$A:$A,$A26,$B:$B,"GWE")),""))),"")</f>
        <v/>
      </c>
      <c r="AF26" s="8">
        <f>IF(AND(AD26&lt;&gt;"",AE26&lt;&gt;""),AD26*AE26,"")</f>
        <v/>
      </c>
      <c r="AH26" s="8">
        <f>IF(AND(AF26&lt;&gt;"",AG26&lt;&gt;""),AF26*AG26,"")</f>
        <v/>
      </c>
      <c r="AI26" s="8">
        <f>IF(AND(AF26&lt;&gt;"",AH26&lt;&gt;""),AF26+AH26,"")</f>
        <v/>
      </c>
    </row>
    <row r="27">
      <c r="D27">
        <f>IF(A27="","",VLOOKUP(A27,Lists!$A:$B,2,FALSE))</f>
        <v/>
      </c>
      <c r="W27" s="8">
        <f>IF(AND(U27&lt;&gt;"",V27&lt;&gt;""),U27*V27,"")</f>
        <v/>
      </c>
      <c r="Y27" s="8">
        <f>IF(AND(W27&lt;&gt;"",X27&lt;&gt;""),W27*X27,"")</f>
        <v/>
      </c>
      <c r="Z27" s="8">
        <f>IF(AND(W27&lt;&gt;"",Y27&lt;&gt;""),W27+Y27,"")</f>
        <v/>
      </c>
      <c r="AD27">
        <f>IF($B27="GWE_Item",IF($AA27="Elektra",(SUMIFS($O:$O,$A:$A,$A27,$B:$B,"GWE")-SUMIFS($N:$N,$A:$A,$A27,$B:$B,"GWE")),IF($AA27="Gas",(SUMIFS($Q:$Q,$A:$A,$A27,$B:$B,"GWE")-SUMIFS($P:$P,$A:$A,$A27,$B:$B,"GWE")),IF($AA27="Water",(SUMIFS($S:$S,$A:$A,$A27,$B:$B,"GWE")-SUMIFS($R:$R,$A:$A,$A27,$B:$B,"GWE")),""))),"")</f>
        <v/>
      </c>
      <c r="AF27" s="8">
        <f>IF(AND(AD27&lt;&gt;"",AE27&lt;&gt;""),AD27*AE27,"")</f>
        <v/>
      </c>
      <c r="AH27" s="8">
        <f>IF(AND(AF27&lt;&gt;"",AG27&lt;&gt;""),AF27*AG27,"")</f>
        <v/>
      </c>
      <c r="AI27" s="8">
        <f>IF(AND(AF27&lt;&gt;"",AH27&lt;&gt;""),AF27+AH27,"")</f>
        <v/>
      </c>
    </row>
    <row r="28">
      <c r="D28">
        <f>IF(A28="","",VLOOKUP(A28,Lists!$A:$B,2,FALSE))</f>
        <v/>
      </c>
      <c r="W28" s="8">
        <f>IF(AND(U28&lt;&gt;"",V28&lt;&gt;""),U28*V28,"")</f>
        <v/>
      </c>
      <c r="Y28" s="8">
        <f>IF(AND(W28&lt;&gt;"",X28&lt;&gt;""),W28*X28,"")</f>
        <v/>
      </c>
      <c r="Z28" s="8">
        <f>IF(AND(W28&lt;&gt;"",Y28&lt;&gt;""),W28+Y28,"")</f>
        <v/>
      </c>
      <c r="AD28">
        <f>IF($B28="GWE_Item",IF($AA28="Elektra",(SUMIFS($O:$O,$A:$A,$A28,$B:$B,"GWE")-SUMIFS($N:$N,$A:$A,$A28,$B:$B,"GWE")),IF($AA28="Gas",(SUMIFS($Q:$Q,$A:$A,$A28,$B:$B,"GWE")-SUMIFS($P:$P,$A:$A,$A28,$B:$B,"GWE")),IF($AA28="Water",(SUMIFS($S:$S,$A:$A,$A28,$B:$B,"GWE")-SUMIFS($R:$R,$A:$A,$A28,$B:$B,"GWE")),""))),"")</f>
        <v/>
      </c>
      <c r="AF28" s="8">
        <f>IF(AND(AD28&lt;&gt;"",AE28&lt;&gt;""),AD28*AE28,"")</f>
        <v/>
      </c>
      <c r="AH28" s="8">
        <f>IF(AND(AF28&lt;&gt;"",AG28&lt;&gt;""),AF28*AG28,"")</f>
        <v/>
      </c>
      <c r="AI28" s="8">
        <f>IF(AND(AF28&lt;&gt;"",AH28&lt;&gt;""),AF28+AH28,"")</f>
        <v/>
      </c>
    </row>
    <row r="29">
      <c r="D29">
        <f>IF(A29="","",VLOOKUP(A29,Lists!$A:$B,2,FALSE))</f>
        <v/>
      </c>
      <c r="W29" s="8">
        <f>IF(AND(U29&lt;&gt;"",V29&lt;&gt;""),U29*V29,"")</f>
        <v/>
      </c>
      <c r="Y29" s="8">
        <f>IF(AND(W29&lt;&gt;"",X29&lt;&gt;""),W29*X29,"")</f>
        <v/>
      </c>
      <c r="Z29" s="8">
        <f>IF(AND(W29&lt;&gt;"",Y29&lt;&gt;""),W29+Y29,"")</f>
        <v/>
      </c>
      <c r="AD29">
        <f>IF($B29="GWE_Item",IF($AA29="Elektra",(SUMIFS($O:$O,$A:$A,$A29,$B:$B,"GWE")-SUMIFS($N:$N,$A:$A,$A29,$B:$B,"GWE")),IF($AA29="Gas",(SUMIFS($Q:$Q,$A:$A,$A29,$B:$B,"GWE")-SUMIFS($P:$P,$A:$A,$A29,$B:$B,"GWE")),IF($AA29="Water",(SUMIFS($S:$S,$A:$A,$A29,$B:$B,"GWE")-SUMIFS($R:$R,$A:$A,$A29,$B:$B,"GWE")),""))),"")</f>
        <v/>
      </c>
      <c r="AF29" s="8">
        <f>IF(AND(AD29&lt;&gt;"",AE29&lt;&gt;""),AD29*AE29,"")</f>
        <v/>
      </c>
      <c r="AH29" s="8">
        <f>IF(AND(AF29&lt;&gt;"",AG29&lt;&gt;""),AF29*AG29,"")</f>
        <v/>
      </c>
      <c r="AI29" s="8">
        <f>IF(AND(AF29&lt;&gt;"",AH29&lt;&gt;""),AF29+AH29,"")</f>
        <v/>
      </c>
    </row>
    <row r="30">
      <c r="D30">
        <f>IF(A30="","",VLOOKUP(A30,Lists!$A:$B,2,FALSE))</f>
        <v/>
      </c>
      <c r="W30" s="8">
        <f>IF(AND(U30&lt;&gt;"",V30&lt;&gt;""),U30*V30,"")</f>
        <v/>
      </c>
      <c r="Y30" s="8">
        <f>IF(AND(W30&lt;&gt;"",X30&lt;&gt;""),W30*X30,"")</f>
        <v/>
      </c>
      <c r="Z30" s="8">
        <f>IF(AND(W30&lt;&gt;"",Y30&lt;&gt;""),W30+Y30,"")</f>
        <v/>
      </c>
      <c r="AD30">
        <f>IF($B30="GWE_Item",IF($AA30="Elektra",(SUMIFS($O:$O,$A:$A,$A30,$B:$B,"GWE")-SUMIFS($N:$N,$A:$A,$A30,$B:$B,"GWE")),IF($AA30="Gas",(SUMIFS($Q:$Q,$A:$A,$A30,$B:$B,"GWE")-SUMIFS($P:$P,$A:$A,$A30,$B:$B,"GWE")),IF($AA30="Water",(SUMIFS($S:$S,$A:$A,$A30,$B:$B,"GWE")-SUMIFS($R:$R,$A:$A,$A30,$B:$B,"GWE")),""))),"")</f>
        <v/>
      </c>
      <c r="AF30" s="8">
        <f>IF(AND(AD30&lt;&gt;"",AE30&lt;&gt;""),AD30*AE30,"")</f>
        <v/>
      </c>
      <c r="AH30" s="8">
        <f>IF(AND(AF30&lt;&gt;"",AG30&lt;&gt;""),AF30*AG30,"")</f>
        <v/>
      </c>
      <c r="AI30" s="8">
        <f>IF(AND(AF30&lt;&gt;"",AH30&lt;&gt;""),AF30+AH30,"")</f>
        <v/>
      </c>
    </row>
    <row r="31">
      <c r="D31">
        <f>IF(A31="","",VLOOKUP(A31,Lists!$A:$B,2,FALSE))</f>
        <v/>
      </c>
      <c r="W31" s="8">
        <f>IF(AND(U31&lt;&gt;"",V31&lt;&gt;""),U31*V31,"")</f>
        <v/>
      </c>
      <c r="Y31" s="8">
        <f>IF(AND(W31&lt;&gt;"",X31&lt;&gt;""),W31*X31,"")</f>
        <v/>
      </c>
      <c r="Z31" s="8">
        <f>IF(AND(W31&lt;&gt;"",Y31&lt;&gt;""),W31+Y31,"")</f>
        <v/>
      </c>
      <c r="AD31">
        <f>IF($B31="GWE_Item",IF($AA31="Elektra",(SUMIFS($O:$O,$A:$A,$A31,$B:$B,"GWE")-SUMIFS($N:$N,$A:$A,$A31,$B:$B,"GWE")),IF($AA31="Gas",(SUMIFS($Q:$Q,$A:$A,$A31,$B:$B,"GWE")-SUMIFS($P:$P,$A:$A,$A31,$B:$B,"GWE")),IF($AA31="Water",(SUMIFS($S:$S,$A:$A,$A31,$B:$B,"GWE")-SUMIFS($R:$R,$A:$A,$A31,$B:$B,"GWE")),""))),"")</f>
        <v/>
      </c>
      <c r="AF31" s="8">
        <f>IF(AND(AD31&lt;&gt;"",AE31&lt;&gt;""),AD31*AE31,"")</f>
        <v/>
      </c>
      <c r="AH31" s="8">
        <f>IF(AND(AF31&lt;&gt;"",AG31&lt;&gt;""),AF31*AG31,"")</f>
        <v/>
      </c>
      <c r="AI31" s="8">
        <f>IF(AND(AF31&lt;&gt;"",AH31&lt;&gt;""),AF31+AH31,"")</f>
        <v/>
      </c>
    </row>
    <row r="32">
      <c r="D32">
        <f>IF(A32="","",VLOOKUP(A32,Lists!$A:$B,2,FALSE))</f>
        <v/>
      </c>
      <c r="W32" s="8">
        <f>IF(AND(U32&lt;&gt;"",V32&lt;&gt;""),U32*V32,"")</f>
        <v/>
      </c>
      <c r="Y32" s="8">
        <f>IF(AND(W32&lt;&gt;"",X32&lt;&gt;""),W32*X32,"")</f>
        <v/>
      </c>
      <c r="Z32" s="8">
        <f>IF(AND(W32&lt;&gt;"",Y32&lt;&gt;""),W32+Y32,"")</f>
        <v/>
      </c>
      <c r="AD32">
        <f>IF($B32="GWE_Item",IF($AA32="Elektra",(SUMIFS($O:$O,$A:$A,$A32,$B:$B,"GWE")-SUMIFS($N:$N,$A:$A,$A32,$B:$B,"GWE")),IF($AA32="Gas",(SUMIFS($Q:$Q,$A:$A,$A32,$B:$B,"GWE")-SUMIFS($P:$P,$A:$A,$A32,$B:$B,"GWE")),IF($AA32="Water",(SUMIFS($S:$S,$A:$A,$A32,$B:$B,"GWE")-SUMIFS($R:$R,$A:$A,$A32,$B:$B,"GWE")),""))),"")</f>
        <v/>
      </c>
      <c r="AF32" s="8">
        <f>IF(AND(AD32&lt;&gt;"",AE32&lt;&gt;""),AD32*AE32,"")</f>
        <v/>
      </c>
      <c r="AH32" s="8">
        <f>IF(AND(AF32&lt;&gt;"",AG32&lt;&gt;""),AF32*AG32,"")</f>
        <v/>
      </c>
      <c r="AI32" s="8">
        <f>IF(AND(AF32&lt;&gt;"",AH32&lt;&gt;""),AF32+AH32,"")</f>
        <v/>
      </c>
    </row>
    <row r="33">
      <c r="D33">
        <f>IF(A33="","",VLOOKUP(A33,Lists!$A:$B,2,FALSE))</f>
        <v/>
      </c>
      <c r="W33" s="8">
        <f>IF(AND(U33&lt;&gt;"",V33&lt;&gt;""),U33*V33,"")</f>
        <v/>
      </c>
      <c r="Y33" s="8">
        <f>IF(AND(W33&lt;&gt;"",X33&lt;&gt;""),W33*X33,"")</f>
        <v/>
      </c>
      <c r="Z33" s="8">
        <f>IF(AND(W33&lt;&gt;"",Y33&lt;&gt;""),W33+Y33,"")</f>
        <v/>
      </c>
      <c r="AD33">
        <f>IF($B33="GWE_Item",IF($AA33="Elektra",(SUMIFS($O:$O,$A:$A,$A33,$B:$B,"GWE")-SUMIFS($N:$N,$A:$A,$A33,$B:$B,"GWE")),IF($AA33="Gas",(SUMIFS($Q:$Q,$A:$A,$A33,$B:$B,"GWE")-SUMIFS($P:$P,$A:$A,$A33,$B:$B,"GWE")),IF($AA33="Water",(SUMIFS($S:$S,$A:$A,$A33,$B:$B,"GWE")-SUMIFS($R:$R,$A:$A,$A33,$B:$B,"GWE")),""))),"")</f>
        <v/>
      </c>
      <c r="AF33" s="8">
        <f>IF(AND(AD33&lt;&gt;"",AE33&lt;&gt;""),AD33*AE33,"")</f>
        <v/>
      </c>
      <c r="AH33" s="8">
        <f>IF(AND(AF33&lt;&gt;"",AG33&lt;&gt;""),AF33*AG33,"")</f>
        <v/>
      </c>
      <c r="AI33" s="8">
        <f>IF(AND(AF33&lt;&gt;"",AH33&lt;&gt;""),AF33+AH33,"")</f>
        <v/>
      </c>
    </row>
    <row r="34">
      <c r="D34">
        <f>IF(A34="","",VLOOKUP(A34,Lists!$A:$B,2,FALSE))</f>
        <v/>
      </c>
      <c r="W34" s="8">
        <f>IF(AND(U34&lt;&gt;"",V34&lt;&gt;""),U34*V34,"")</f>
        <v/>
      </c>
      <c r="Y34" s="8">
        <f>IF(AND(W34&lt;&gt;"",X34&lt;&gt;""),W34*X34,"")</f>
        <v/>
      </c>
      <c r="Z34" s="8">
        <f>IF(AND(W34&lt;&gt;"",Y34&lt;&gt;""),W34+Y34,"")</f>
        <v/>
      </c>
      <c r="AD34">
        <f>IF($B34="GWE_Item",IF($AA34="Elektra",(SUMIFS($O:$O,$A:$A,$A34,$B:$B,"GWE")-SUMIFS($N:$N,$A:$A,$A34,$B:$B,"GWE")),IF($AA34="Gas",(SUMIFS($Q:$Q,$A:$A,$A34,$B:$B,"GWE")-SUMIFS($P:$P,$A:$A,$A34,$B:$B,"GWE")),IF($AA34="Water",(SUMIFS($S:$S,$A:$A,$A34,$B:$B,"GWE")-SUMIFS($R:$R,$A:$A,$A34,$B:$B,"GWE")),""))),"")</f>
        <v/>
      </c>
      <c r="AF34" s="8">
        <f>IF(AND(AD34&lt;&gt;"",AE34&lt;&gt;""),AD34*AE34,"")</f>
        <v/>
      </c>
      <c r="AH34" s="8">
        <f>IF(AND(AF34&lt;&gt;"",AG34&lt;&gt;""),AF34*AG34,"")</f>
        <v/>
      </c>
      <c r="AI34" s="8">
        <f>IF(AND(AF34&lt;&gt;"",AH34&lt;&gt;""),AF34+AH34,"")</f>
        <v/>
      </c>
    </row>
    <row r="35">
      <c r="D35">
        <f>IF(A35="","",VLOOKUP(A35,Lists!$A:$B,2,FALSE))</f>
        <v/>
      </c>
      <c r="W35" s="8">
        <f>IF(AND(U35&lt;&gt;"",V35&lt;&gt;""),U35*V35,"")</f>
        <v/>
      </c>
      <c r="Y35" s="8">
        <f>IF(AND(W35&lt;&gt;"",X35&lt;&gt;""),W35*X35,"")</f>
        <v/>
      </c>
      <c r="Z35" s="8">
        <f>IF(AND(W35&lt;&gt;"",Y35&lt;&gt;""),W35+Y35,"")</f>
        <v/>
      </c>
      <c r="AD35">
        <f>IF($B35="GWE_Item",IF($AA35="Elektra",(SUMIFS($O:$O,$A:$A,$A35,$B:$B,"GWE")-SUMIFS($N:$N,$A:$A,$A35,$B:$B,"GWE")),IF($AA35="Gas",(SUMIFS($Q:$Q,$A:$A,$A35,$B:$B,"GWE")-SUMIFS($P:$P,$A:$A,$A35,$B:$B,"GWE")),IF($AA35="Water",(SUMIFS($S:$S,$A:$A,$A35,$B:$B,"GWE")-SUMIFS($R:$R,$A:$A,$A35,$B:$B,"GWE")),""))),"")</f>
        <v/>
      </c>
      <c r="AF35" s="8">
        <f>IF(AND(AD35&lt;&gt;"",AE35&lt;&gt;""),AD35*AE35,"")</f>
        <v/>
      </c>
      <c r="AH35" s="8">
        <f>IF(AND(AF35&lt;&gt;"",AG35&lt;&gt;""),AF35*AG35,"")</f>
        <v/>
      </c>
      <c r="AI35" s="8">
        <f>IF(AND(AF35&lt;&gt;"",AH35&lt;&gt;""),AF35+AH35,"")</f>
        <v/>
      </c>
    </row>
    <row r="36">
      <c r="D36">
        <f>IF(A36="","",VLOOKUP(A36,Lists!$A:$B,2,FALSE))</f>
        <v/>
      </c>
      <c r="W36" s="8">
        <f>IF(AND(U36&lt;&gt;"",V36&lt;&gt;""),U36*V36,"")</f>
        <v/>
      </c>
      <c r="Y36" s="8">
        <f>IF(AND(W36&lt;&gt;"",X36&lt;&gt;""),W36*X36,"")</f>
        <v/>
      </c>
      <c r="Z36" s="8">
        <f>IF(AND(W36&lt;&gt;"",Y36&lt;&gt;""),W36+Y36,"")</f>
        <v/>
      </c>
      <c r="AD36">
        <f>IF($B36="GWE_Item",IF($AA36="Elektra",(SUMIFS($O:$O,$A:$A,$A36,$B:$B,"GWE")-SUMIFS($N:$N,$A:$A,$A36,$B:$B,"GWE")),IF($AA36="Gas",(SUMIFS($Q:$Q,$A:$A,$A36,$B:$B,"GWE")-SUMIFS($P:$P,$A:$A,$A36,$B:$B,"GWE")),IF($AA36="Water",(SUMIFS($S:$S,$A:$A,$A36,$B:$B,"GWE")-SUMIFS($R:$R,$A:$A,$A36,$B:$B,"GWE")),""))),"")</f>
        <v/>
      </c>
      <c r="AF36" s="8">
        <f>IF(AND(AD36&lt;&gt;"",AE36&lt;&gt;""),AD36*AE36,"")</f>
        <v/>
      </c>
      <c r="AH36" s="8">
        <f>IF(AND(AF36&lt;&gt;"",AG36&lt;&gt;""),AF36*AG36,"")</f>
        <v/>
      </c>
      <c r="AI36" s="8">
        <f>IF(AND(AF36&lt;&gt;"",AH36&lt;&gt;""),AF36+AH36,"")</f>
        <v/>
      </c>
    </row>
    <row r="37">
      <c r="D37">
        <f>IF(A37="","",VLOOKUP(A37,Lists!$A:$B,2,FALSE))</f>
        <v/>
      </c>
      <c r="W37" s="8">
        <f>IF(AND(U37&lt;&gt;"",V37&lt;&gt;""),U37*V37,"")</f>
        <v/>
      </c>
      <c r="Y37" s="8">
        <f>IF(AND(W37&lt;&gt;"",X37&lt;&gt;""),W37*X37,"")</f>
        <v/>
      </c>
      <c r="Z37" s="8">
        <f>IF(AND(W37&lt;&gt;"",Y37&lt;&gt;""),W37+Y37,"")</f>
        <v/>
      </c>
      <c r="AD37">
        <f>IF($B37="GWE_Item",IF($AA37="Elektra",(SUMIFS($O:$O,$A:$A,$A37,$B:$B,"GWE")-SUMIFS($N:$N,$A:$A,$A37,$B:$B,"GWE")),IF($AA37="Gas",(SUMIFS($Q:$Q,$A:$A,$A37,$B:$B,"GWE")-SUMIFS($P:$P,$A:$A,$A37,$B:$B,"GWE")),IF($AA37="Water",(SUMIFS($S:$S,$A:$A,$A37,$B:$B,"GWE")-SUMIFS($R:$R,$A:$A,$A37,$B:$B,"GWE")),""))),"")</f>
        <v/>
      </c>
      <c r="AF37" s="8">
        <f>IF(AND(AD37&lt;&gt;"",AE37&lt;&gt;""),AD37*AE37,"")</f>
        <v/>
      </c>
      <c r="AH37" s="8">
        <f>IF(AND(AF37&lt;&gt;"",AG37&lt;&gt;""),AF37*AG37,"")</f>
        <v/>
      </c>
      <c r="AI37" s="8">
        <f>IF(AND(AF37&lt;&gt;"",AH37&lt;&gt;""),AF37+AH37,"")</f>
        <v/>
      </c>
    </row>
    <row r="38">
      <c r="D38">
        <f>IF(A38="","",VLOOKUP(A38,Lists!$A:$B,2,FALSE))</f>
        <v/>
      </c>
      <c r="W38" s="8">
        <f>IF(AND(U38&lt;&gt;"",V38&lt;&gt;""),U38*V38,"")</f>
        <v/>
      </c>
      <c r="Y38" s="8">
        <f>IF(AND(W38&lt;&gt;"",X38&lt;&gt;""),W38*X38,"")</f>
        <v/>
      </c>
      <c r="Z38" s="8">
        <f>IF(AND(W38&lt;&gt;"",Y38&lt;&gt;""),W38+Y38,"")</f>
        <v/>
      </c>
      <c r="AD38">
        <f>IF($B38="GWE_Item",IF($AA38="Elektra",(SUMIFS($O:$O,$A:$A,$A38,$B:$B,"GWE")-SUMIFS($N:$N,$A:$A,$A38,$B:$B,"GWE")),IF($AA38="Gas",(SUMIFS($Q:$Q,$A:$A,$A38,$B:$B,"GWE")-SUMIFS($P:$P,$A:$A,$A38,$B:$B,"GWE")),IF($AA38="Water",(SUMIFS($S:$S,$A:$A,$A38,$B:$B,"GWE")-SUMIFS($R:$R,$A:$A,$A38,$B:$B,"GWE")),""))),"")</f>
        <v/>
      </c>
      <c r="AF38" s="8">
        <f>IF(AND(AD38&lt;&gt;"",AE38&lt;&gt;""),AD38*AE38,"")</f>
        <v/>
      </c>
      <c r="AH38" s="8">
        <f>IF(AND(AF38&lt;&gt;"",AG38&lt;&gt;""),AF38*AG38,"")</f>
        <v/>
      </c>
      <c r="AI38" s="8">
        <f>IF(AND(AF38&lt;&gt;"",AH38&lt;&gt;""),AF38+AH38,"")</f>
        <v/>
      </c>
    </row>
    <row r="39">
      <c r="D39">
        <f>IF(A39="","",VLOOKUP(A39,Lists!$A:$B,2,FALSE))</f>
        <v/>
      </c>
      <c r="W39" s="8">
        <f>IF(AND(U39&lt;&gt;"",V39&lt;&gt;""),U39*V39,"")</f>
        <v/>
      </c>
      <c r="Y39" s="8">
        <f>IF(AND(W39&lt;&gt;"",X39&lt;&gt;""),W39*X39,"")</f>
        <v/>
      </c>
      <c r="Z39" s="8">
        <f>IF(AND(W39&lt;&gt;"",Y39&lt;&gt;""),W39+Y39,"")</f>
        <v/>
      </c>
      <c r="AD39">
        <f>IF($B39="GWE_Item",IF($AA39="Elektra",(SUMIFS($O:$O,$A:$A,$A39,$B:$B,"GWE")-SUMIFS($N:$N,$A:$A,$A39,$B:$B,"GWE")),IF($AA39="Gas",(SUMIFS($Q:$Q,$A:$A,$A39,$B:$B,"GWE")-SUMIFS($P:$P,$A:$A,$A39,$B:$B,"GWE")),IF($AA39="Water",(SUMIFS($S:$S,$A:$A,$A39,$B:$B,"GWE")-SUMIFS($R:$R,$A:$A,$A39,$B:$B,"GWE")),""))),"")</f>
        <v/>
      </c>
      <c r="AF39" s="8">
        <f>IF(AND(AD39&lt;&gt;"",AE39&lt;&gt;""),AD39*AE39,"")</f>
        <v/>
      </c>
      <c r="AH39" s="8">
        <f>IF(AND(AF39&lt;&gt;"",AG39&lt;&gt;""),AF39*AG39,"")</f>
        <v/>
      </c>
      <c r="AI39" s="8">
        <f>IF(AND(AF39&lt;&gt;"",AH39&lt;&gt;""),AF39+AH39,"")</f>
        <v/>
      </c>
    </row>
    <row r="40">
      <c r="D40">
        <f>IF(A40="","",VLOOKUP(A40,Lists!$A:$B,2,FALSE))</f>
        <v/>
      </c>
      <c r="W40" s="8">
        <f>IF(AND(U40&lt;&gt;"",V40&lt;&gt;""),U40*V40,"")</f>
        <v/>
      </c>
      <c r="Y40" s="8">
        <f>IF(AND(W40&lt;&gt;"",X40&lt;&gt;""),W40*X40,"")</f>
        <v/>
      </c>
      <c r="Z40" s="8">
        <f>IF(AND(W40&lt;&gt;"",Y40&lt;&gt;""),W40+Y40,"")</f>
        <v/>
      </c>
      <c r="AD40">
        <f>IF($B40="GWE_Item",IF($AA40="Elektra",(SUMIFS($O:$O,$A:$A,$A40,$B:$B,"GWE")-SUMIFS($N:$N,$A:$A,$A40,$B:$B,"GWE")),IF($AA40="Gas",(SUMIFS($Q:$Q,$A:$A,$A40,$B:$B,"GWE")-SUMIFS($P:$P,$A:$A,$A40,$B:$B,"GWE")),IF($AA40="Water",(SUMIFS($S:$S,$A:$A,$A40,$B:$B,"GWE")-SUMIFS($R:$R,$A:$A,$A40,$B:$B,"GWE")),""))),"")</f>
        <v/>
      </c>
      <c r="AF40" s="8">
        <f>IF(AND(AD40&lt;&gt;"",AE40&lt;&gt;""),AD40*AE40,"")</f>
        <v/>
      </c>
      <c r="AH40" s="8">
        <f>IF(AND(AF40&lt;&gt;"",AG40&lt;&gt;""),AF40*AG40,"")</f>
        <v/>
      </c>
      <c r="AI40" s="8">
        <f>IF(AND(AF40&lt;&gt;"",AH40&lt;&gt;""),AF40+AH40,"")</f>
        <v/>
      </c>
    </row>
    <row r="41">
      <c r="D41">
        <f>IF(A41="","",VLOOKUP(A41,Lists!$A:$B,2,FALSE))</f>
        <v/>
      </c>
      <c r="W41" s="8">
        <f>IF(AND(U41&lt;&gt;"",V41&lt;&gt;""),U41*V41,"")</f>
        <v/>
      </c>
      <c r="Y41" s="8">
        <f>IF(AND(W41&lt;&gt;"",X41&lt;&gt;""),W41*X41,"")</f>
        <v/>
      </c>
      <c r="Z41" s="8">
        <f>IF(AND(W41&lt;&gt;"",Y41&lt;&gt;""),W41+Y41,"")</f>
        <v/>
      </c>
      <c r="AD41">
        <f>IF($B41="GWE_Item",IF($AA41="Elektra",(SUMIFS($O:$O,$A:$A,$A41,$B:$B,"GWE")-SUMIFS($N:$N,$A:$A,$A41,$B:$B,"GWE")),IF($AA41="Gas",(SUMIFS($Q:$Q,$A:$A,$A41,$B:$B,"GWE")-SUMIFS($P:$P,$A:$A,$A41,$B:$B,"GWE")),IF($AA41="Water",(SUMIFS($S:$S,$A:$A,$A41,$B:$B,"GWE")-SUMIFS($R:$R,$A:$A,$A41,$B:$B,"GWE")),""))),"")</f>
        <v/>
      </c>
      <c r="AF41" s="8">
        <f>IF(AND(AD41&lt;&gt;"",AE41&lt;&gt;""),AD41*AE41,"")</f>
        <v/>
      </c>
      <c r="AH41" s="8">
        <f>IF(AND(AF41&lt;&gt;"",AG41&lt;&gt;""),AF41*AG41,"")</f>
        <v/>
      </c>
      <c r="AI41" s="8">
        <f>IF(AND(AF41&lt;&gt;"",AH41&lt;&gt;""),AF41+AH41,"")</f>
        <v/>
      </c>
    </row>
    <row r="42">
      <c r="D42">
        <f>IF(A42="","",VLOOKUP(A42,Lists!$A:$B,2,FALSE))</f>
        <v/>
      </c>
      <c r="W42" s="8">
        <f>IF(AND(U42&lt;&gt;"",V42&lt;&gt;""),U42*V42,"")</f>
        <v/>
      </c>
      <c r="Y42" s="8">
        <f>IF(AND(W42&lt;&gt;"",X42&lt;&gt;""),W42*X42,"")</f>
        <v/>
      </c>
      <c r="Z42" s="8">
        <f>IF(AND(W42&lt;&gt;"",Y42&lt;&gt;""),W42+Y42,"")</f>
        <v/>
      </c>
      <c r="AD42">
        <f>IF($B42="GWE_Item",IF($AA42="Elektra",(SUMIFS($O:$O,$A:$A,$A42,$B:$B,"GWE")-SUMIFS($N:$N,$A:$A,$A42,$B:$B,"GWE")),IF($AA42="Gas",(SUMIFS($Q:$Q,$A:$A,$A42,$B:$B,"GWE")-SUMIFS($P:$P,$A:$A,$A42,$B:$B,"GWE")),IF($AA42="Water",(SUMIFS($S:$S,$A:$A,$A42,$B:$B,"GWE")-SUMIFS($R:$R,$A:$A,$A42,$B:$B,"GWE")),""))),"")</f>
        <v/>
      </c>
      <c r="AF42" s="8">
        <f>IF(AND(AD42&lt;&gt;"",AE42&lt;&gt;""),AD42*AE42,"")</f>
        <v/>
      </c>
      <c r="AH42" s="8">
        <f>IF(AND(AF42&lt;&gt;"",AG42&lt;&gt;""),AF42*AG42,"")</f>
        <v/>
      </c>
      <c r="AI42" s="8">
        <f>IF(AND(AF42&lt;&gt;"",AH42&lt;&gt;""),AF42+AH42,"")</f>
        <v/>
      </c>
    </row>
    <row r="43">
      <c r="D43">
        <f>IF(A43="","",VLOOKUP(A43,Lists!$A:$B,2,FALSE))</f>
        <v/>
      </c>
      <c r="W43" s="8">
        <f>IF(AND(U43&lt;&gt;"",V43&lt;&gt;""),U43*V43,"")</f>
        <v/>
      </c>
      <c r="Y43" s="8">
        <f>IF(AND(W43&lt;&gt;"",X43&lt;&gt;""),W43*X43,"")</f>
        <v/>
      </c>
      <c r="Z43" s="8">
        <f>IF(AND(W43&lt;&gt;"",Y43&lt;&gt;""),W43+Y43,"")</f>
        <v/>
      </c>
      <c r="AD43">
        <f>IF($B43="GWE_Item",IF($AA43="Elektra",(SUMIFS($O:$O,$A:$A,$A43,$B:$B,"GWE")-SUMIFS($N:$N,$A:$A,$A43,$B:$B,"GWE")),IF($AA43="Gas",(SUMIFS($Q:$Q,$A:$A,$A43,$B:$B,"GWE")-SUMIFS($P:$P,$A:$A,$A43,$B:$B,"GWE")),IF($AA43="Water",(SUMIFS($S:$S,$A:$A,$A43,$B:$B,"GWE")-SUMIFS($R:$R,$A:$A,$A43,$B:$B,"GWE")),""))),"")</f>
        <v/>
      </c>
      <c r="AF43" s="8">
        <f>IF(AND(AD43&lt;&gt;"",AE43&lt;&gt;""),AD43*AE43,"")</f>
        <v/>
      </c>
      <c r="AH43" s="8">
        <f>IF(AND(AF43&lt;&gt;"",AG43&lt;&gt;""),AF43*AG43,"")</f>
        <v/>
      </c>
      <c r="AI43" s="8">
        <f>IF(AND(AF43&lt;&gt;"",AH43&lt;&gt;""),AF43+AH43,"")</f>
        <v/>
      </c>
    </row>
    <row r="44">
      <c r="D44">
        <f>IF(A44="","",VLOOKUP(A44,Lists!$A:$B,2,FALSE))</f>
        <v/>
      </c>
      <c r="W44" s="8">
        <f>IF(AND(U44&lt;&gt;"",V44&lt;&gt;""),U44*V44,"")</f>
        <v/>
      </c>
      <c r="Y44" s="8">
        <f>IF(AND(W44&lt;&gt;"",X44&lt;&gt;""),W44*X44,"")</f>
        <v/>
      </c>
      <c r="Z44" s="8">
        <f>IF(AND(W44&lt;&gt;"",Y44&lt;&gt;""),W44+Y44,"")</f>
        <v/>
      </c>
      <c r="AD44">
        <f>IF($B44="GWE_Item",IF($AA44="Elektra",(SUMIFS($O:$O,$A:$A,$A44,$B:$B,"GWE")-SUMIFS($N:$N,$A:$A,$A44,$B:$B,"GWE")),IF($AA44="Gas",(SUMIFS($Q:$Q,$A:$A,$A44,$B:$B,"GWE")-SUMIFS($P:$P,$A:$A,$A44,$B:$B,"GWE")),IF($AA44="Water",(SUMIFS($S:$S,$A:$A,$A44,$B:$B,"GWE")-SUMIFS($R:$R,$A:$A,$A44,$B:$B,"GWE")),""))),"")</f>
        <v/>
      </c>
      <c r="AF44" s="8">
        <f>IF(AND(AD44&lt;&gt;"",AE44&lt;&gt;""),AD44*AE44,"")</f>
        <v/>
      </c>
      <c r="AH44" s="8">
        <f>IF(AND(AF44&lt;&gt;"",AG44&lt;&gt;""),AF44*AG44,"")</f>
        <v/>
      </c>
      <c r="AI44" s="8">
        <f>IF(AND(AF44&lt;&gt;"",AH44&lt;&gt;""),AF44+AH44,"")</f>
        <v/>
      </c>
    </row>
    <row r="45">
      <c r="D45">
        <f>IF(A45="","",VLOOKUP(A45,Lists!$A:$B,2,FALSE))</f>
        <v/>
      </c>
      <c r="W45" s="8">
        <f>IF(AND(U45&lt;&gt;"",V45&lt;&gt;""),U45*V45,"")</f>
        <v/>
      </c>
      <c r="Y45" s="8">
        <f>IF(AND(W45&lt;&gt;"",X45&lt;&gt;""),W45*X45,"")</f>
        <v/>
      </c>
      <c r="Z45" s="8">
        <f>IF(AND(W45&lt;&gt;"",Y45&lt;&gt;""),W45+Y45,"")</f>
        <v/>
      </c>
      <c r="AD45">
        <f>IF($B45="GWE_Item",IF($AA45="Elektra",(SUMIFS($O:$O,$A:$A,$A45,$B:$B,"GWE")-SUMIFS($N:$N,$A:$A,$A45,$B:$B,"GWE")),IF($AA45="Gas",(SUMIFS($Q:$Q,$A:$A,$A45,$B:$B,"GWE")-SUMIFS($P:$P,$A:$A,$A45,$B:$B,"GWE")),IF($AA45="Water",(SUMIFS($S:$S,$A:$A,$A45,$B:$B,"GWE")-SUMIFS($R:$R,$A:$A,$A45,$B:$B,"GWE")),""))),"")</f>
        <v/>
      </c>
      <c r="AF45" s="8">
        <f>IF(AND(AD45&lt;&gt;"",AE45&lt;&gt;""),AD45*AE45,"")</f>
        <v/>
      </c>
      <c r="AH45" s="8">
        <f>IF(AND(AF45&lt;&gt;"",AG45&lt;&gt;""),AF45*AG45,"")</f>
        <v/>
      </c>
      <c r="AI45" s="8">
        <f>IF(AND(AF45&lt;&gt;"",AH45&lt;&gt;""),AF45+AH45,"")</f>
        <v/>
      </c>
    </row>
    <row r="46">
      <c r="D46">
        <f>IF(A46="","",VLOOKUP(A46,Lists!$A:$B,2,FALSE))</f>
        <v/>
      </c>
      <c r="W46" s="8">
        <f>IF(AND(U46&lt;&gt;"",V46&lt;&gt;""),U46*V46,"")</f>
        <v/>
      </c>
      <c r="Y46" s="8">
        <f>IF(AND(W46&lt;&gt;"",X46&lt;&gt;""),W46*X46,"")</f>
        <v/>
      </c>
      <c r="Z46" s="8">
        <f>IF(AND(W46&lt;&gt;"",Y46&lt;&gt;""),W46+Y46,"")</f>
        <v/>
      </c>
      <c r="AD46">
        <f>IF($B46="GWE_Item",IF($AA46="Elektra",(SUMIFS($O:$O,$A:$A,$A46,$B:$B,"GWE")-SUMIFS($N:$N,$A:$A,$A46,$B:$B,"GWE")),IF($AA46="Gas",(SUMIFS($Q:$Q,$A:$A,$A46,$B:$B,"GWE")-SUMIFS($P:$P,$A:$A,$A46,$B:$B,"GWE")),IF($AA46="Water",(SUMIFS($S:$S,$A:$A,$A46,$B:$B,"GWE")-SUMIFS($R:$R,$A:$A,$A46,$B:$B,"GWE")),""))),"")</f>
        <v/>
      </c>
      <c r="AF46" s="8">
        <f>IF(AND(AD46&lt;&gt;"",AE46&lt;&gt;""),AD46*AE46,"")</f>
        <v/>
      </c>
      <c r="AH46" s="8">
        <f>IF(AND(AF46&lt;&gt;"",AG46&lt;&gt;""),AF46*AG46,"")</f>
        <v/>
      </c>
      <c r="AI46" s="8">
        <f>IF(AND(AF46&lt;&gt;"",AH46&lt;&gt;""),AF46+AH46,"")</f>
        <v/>
      </c>
    </row>
    <row r="47">
      <c r="D47">
        <f>IF(A47="","",VLOOKUP(A47,Lists!$A:$B,2,FALSE))</f>
        <v/>
      </c>
      <c r="W47" s="8">
        <f>IF(AND(U47&lt;&gt;"",V47&lt;&gt;""),U47*V47,"")</f>
        <v/>
      </c>
      <c r="Y47" s="8">
        <f>IF(AND(W47&lt;&gt;"",X47&lt;&gt;""),W47*X47,"")</f>
        <v/>
      </c>
      <c r="Z47" s="8">
        <f>IF(AND(W47&lt;&gt;"",Y47&lt;&gt;""),W47+Y47,"")</f>
        <v/>
      </c>
      <c r="AD47">
        <f>IF($B47="GWE_Item",IF($AA47="Elektra",(SUMIFS($O:$O,$A:$A,$A47,$B:$B,"GWE")-SUMIFS($N:$N,$A:$A,$A47,$B:$B,"GWE")),IF($AA47="Gas",(SUMIFS($Q:$Q,$A:$A,$A47,$B:$B,"GWE")-SUMIFS($P:$P,$A:$A,$A47,$B:$B,"GWE")),IF($AA47="Water",(SUMIFS($S:$S,$A:$A,$A47,$B:$B,"GWE")-SUMIFS($R:$R,$A:$A,$A47,$B:$B,"GWE")),""))),"")</f>
        <v/>
      </c>
      <c r="AF47" s="8">
        <f>IF(AND(AD47&lt;&gt;"",AE47&lt;&gt;""),AD47*AE47,"")</f>
        <v/>
      </c>
      <c r="AH47" s="8">
        <f>IF(AND(AF47&lt;&gt;"",AG47&lt;&gt;""),AF47*AG47,"")</f>
        <v/>
      </c>
      <c r="AI47" s="8">
        <f>IF(AND(AF47&lt;&gt;"",AH47&lt;&gt;""),AF47+AH47,"")</f>
        <v/>
      </c>
    </row>
    <row r="48">
      <c r="D48">
        <f>IF(A48="","",VLOOKUP(A48,Lists!$A:$B,2,FALSE))</f>
        <v/>
      </c>
      <c r="W48" s="8">
        <f>IF(AND(U48&lt;&gt;"",V48&lt;&gt;""),U48*V48,"")</f>
        <v/>
      </c>
      <c r="Y48" s="8">
        <f>IF(AND(W48&lt;&gt;"",X48&lt;&gt;""),W48*X48,"")</f>
        <v/>
      </c>
      <c r="Z48" s="8">
        <f>IF(AND(W48&lt;&gt;"",Y48&lt;&gt;""),W48+Y48,"")</f>
        <v/>
      </c>
      <c r="AD48">
        <f>IF($B48="GWE_Item",IF($AA48="Elektra",(SUMIFS($O:$O,$A:$A,$A48,$B:$B,"GWE")-SUMIFS($N:$N,$A:$A,$A48,$B:$B,"GWE")),IF($AA48="Gas",(SUMIFS($Q:$Q,$A:$A,$A48,$B:$B,"GWE")-SUMIFS($P:$P,$A:$A,$A48,$B:$B,"GWE")),IF($AA48="Water",(SUMIFS($S:$S,$A:$A,$A48,$B:$B,"GWE")-SUMIFS($R:$R,$A:$A,$A48,$B:$B,"GWE")),""))),"")</f>
        <v/>
      </c>
      <c r="AF48" s="8">
        <f>IF(AND(AD48&lt;&gt;"",AE48&lt;&gt;""),AD48*AE48,"")</f>
        <v/>
      </c>
      <c r="AH48" s="8">
        <f>IF(AND(AF48&lt;&gt;"",AG48&lt;&gt;""),AF48*AG48,"")</f>
        <v/>
      </c>
      <c r="AI48" s="8">
        <f>IF(AND(AF48&lt;&gt;"",AH48&lt;&gt;""),AF48+AH48,"")</f>
        <v/>
      </c>
    </row>
    <row r="49">
      <c r="D49">
        <f>IF(A49="","",VLOOKUP(A49,Lists!$A:$B,2,FALSE))</f>
        <v/>
      </c>
      <c r="W49" s="8">
        <f>IF(AND(U49&lt;&gt;"",V49&lt;&gt;""),U49*V49,"")</f>
        <v/>
      </c>
      <c r="Y49" s="8">
        <f>IF(AND(W49&lt;&gt;"",X49&lt;&gt;""),W49*X49,"")</f>
        <v/>
      </c>
      <c r="Z49" s="8">
        <f>IF(AND(W49&lt;&gt;"",Y49&lt;&gt;""),W49+Y49,"")</f>
        <v/>
      </c>
      <c r="AD49">
        <f>IF($B49="GWE_Item",IF($AA49="Elektra",(SUMIFS($O:$O,$A:$A,$A49,$B:$B,"GWE")-SUMIFS($N:$N,$A:$A,$A49,$B:$B,"GWE")),IF($AA49="Gas",(SUMIFS($Q:$Q,$A:$A,$A49,$B:$B,"GWE")-SUMIFS($P:$P,$A:$A,$A49,$B:$B,"GWE")),IF($AA49="Water",(SUMIFS($S:$S,$A:$A,$A49,$B:$B,"GWE")-SUMIFS($R:$R,$A:$A,$A49,$B:$B,"GWE")),""))),"")</f>
        <v/>
      </c>
      <c r="AF49" s="8">
        <f>IF(AND(AD49&lt;&gt;"",AE49&lt;&gt;""),AD49*AE49,"")</f>
        <v/>
      </c>
      <c r="AH49" s="8">
        <f>IF(AND(AF49&lt;&gt;"",AG49&lt;&gt;""),AF49*AG49,"")</f>
        <v/>
      </c>
      <c r="AI49" s="8">
        <f>IF(AND(AF49&lt;&gt;"",AH49&lt;&gt;""),AF49+AH49,"")</f>
        <v/>
      </c>
    </row>
    <row r="50">
      <c r="D50">
        <f>IF(A50="","",VLOOKUP(A50,Lists!$A:$B,2,FALSE))</f>
        <v/>
      </c>
      <c r="W50" s="8">
        <f>IF(AND(U50&lt;&gt;"",V50&lt;&gt;""),U50*V50,"")</f>
        <v/>
      </c>
      <c r="Y50" s="8">
        <f>IF(AND(W50&lt;&gt;"",X50&lt;&gt;""),W50*X50,"")</f>
        <v/>
      </c>
      <c r="Z50" s="8">
        <f>IF(AND(W50&lt;&gt;"",Y50&lt;&gt;""),W50+Y50,"")</f>
        <v/>
      </c>
      <c r="AD50">
        <f>IF($B50="GWE_Item",IF($AA50="Elektra",(SUMIFS($O:$O,$A:$A,$A50,$B:$B,"GWE")-SUMIFS($N:$N,$A:$A,$A50,$B:$B,"GWE")),IF($AA50="Gas",(SUMIFS($Q:$Q,$A:$A,$A50,$B:$B,"GWE")-SUMIFS($P:$P,$A:$A,$A50,$B:$B,"GWE")),IF($AA50="Water",(SUMIFS($S:$S,$A:$A,$A50,$B:$B,"GWE")-SUMIFS($R:$R,$A:$A,$A50,$B:$B,"GWE")),""))),"")</f>
        <v/>
      </c>
      <c r="AF50" s="8">
        <f>IF(AND(AD50&lt;&gt;"",AE50&lt;&gt;""),AD50*AE50,"")</f>
        <v/>
      </c>
      <c r="AH50" s="8">
        <f>IF(AND(AF50&lt;&gt;"",AG50&lt;&gt;""),AF50*AG50,"")</f>
        <v/>
      </c>
      <c r="AI50" s="8">
        <f>IF(AND(AF50&lt;&gt;"",AH50&lt;&gt;""),AF50+AH50,"")</f>
        <v/>
      </c>
    </row>
    <row r="51">
      <c r="D51">
        <f>IF(A51="","",VLOOKUP(A51,Lists!$A:$B,2,FALSE))</f>
        <v/>
      </c>
      <c r="W51" s="8">
        <f>IF(AND(U51&lt;&gt;"",V51&lt;&gt;""),U51*V51,"")</f>
        <v/>
      </c>
      <c r="Y51" s="8">
        <f>IF(AND(W51&lt;&gt;"",X51&lt;&gt;""),W51*X51,"")</f>
        <v/>
      </c>
      <c r="Z51" s="8">
        <f>IF(AND(W51&lt;&gt;"",Y51&lt;&gt;""),W51+Y51,"")</f>
        <v/>
      </c>
      <c r="AD51">
        <f>IF($B51="GWE_Item",IF($AA51="Elektra",(SUMIFS($O:$O,$A:$A,$A51,$B:$B,"GWE")-SUMIFS($N:$N,$A:$A,$A51,$B:$B,"GWE")),IF($AA51="Gas",(SUMIFS($Q:$Q,$A:$A,$A51,$B:$B,"GWE")-SUMIFS($P:$P,$A:$A,$A51,$B:$B,"GWE")),IF($AA51="Water",(SUMIFS($S:$S,$A:$A,$A51,$B:$B,"GWE")-SUMIFS($R:$R,$A:$A,$A51,$B:$B,"GWE")),""))),"")</f>
        <v/>
      </c>
      <c r="AF51" s="8">
        <f>IF(AND(AD51&lt;&gt;"",AE51&lt;&gt;""),AD51*AE51,"")</f>
        <v/>
      </c>
      <c r="AH51" s="8">
        <f>IF(AND(AF51&lt;&gt;"",AG51&lt;&gt;""),AF51*AG51,"")</f>
        <v/>
      </c>
      <c r="AI51" s="8">
        <f>IF(AND(AF51&lt;&gt;"",AH51&lt;&gt;""),AF51+AH51,"")</f>
        <v/>
      </c>
    </row>
    <row r="52">
      <c r="D52">
        <f>IF(A52="","",VLOOKUP(A52,Lists!$A:$B,2,FALSE))</f>
        <v/>
      </c>
      <c r="W52" s="8">
        <f>IF(AND(U52&lt;&gt;"",V52&lt;&gt;""),U52*V52,"")</f>
        <v/>
      </c>
      <c r="Y52" s="8">
        <f>IF(AND(W52&lt;&gt;"",X52&lt;&gt;""),W52*X52,"")</f>
        <v/>
      </c>
      <c r="Z52" s="8">
        <f>IF(AND(W52&lt;&gt;"",Y52&lt;&gt;""),W52+Y52,"")</f>
        <v/>
      </c>
      <c r="AD52">
        <f>IF($B52="GWE_Item",IF($AA52="Elektra",(SUMIFS($O:$O,$A:$A,$A52,$B:$B,"GWE")-SUMIFS($N:$N,$A:$A,$A52,$B:$B,"GWE")),IF($AA52="Gas",(SUMIFS($Q:$Q,$A:$A,$A52,$B:$B,"GWE")-SUMIFS($P:$P,$A:$A,$A52,$B:$B,"GWE")),IF($AA52="Water",(SUMIFS($S:$S,$A:$A,$A52,$B:$B,"GWE")-SUMIFS($R:$R,$A:$A,$A52,$B:$B,"GWE")),""))),"")</f>
        <v/>
      </c>
      <c r="AF52" s="8">
        <f>IF(AND(AD52&lt;&gt;"",AE52&lt;&gt;""),AD52*AE52,"")</f>
        <v/>
      </c>
      <c r="AH52" s="8">
        <f>IF(AND(AF52&lt;&gt;"",AG52&lt;&gt;""),AF52*AG52,"")</f>
        <v/>
      </c>
      <c r="AI52" s="8">
        <f>IF(AND(AF52&lt;&gt;"",AH52&lt;&gt;""),AF52+AH52,"")</f>
        <v/>
      </c>
    </row>
    <row r="53">
      <c r="D53">
        <f>IF(A53="","",VLOOKUP(A53,Lists!$A:$B,2,FALSE))</f>
        <v/>
      </c>
      <c r="W53" s="8">
        <f>IF(AND(U53&lt;&gt;"",V53&lt;&gt;""),U53*V53,"")</f>
        <v/>
      </c>
      <c r="Y53" s="8">
        <f>IF(AND(W53&lt;&gt;"",X53&lt;&gt;""),W53*X53,"")</f>
        <v/>
      </c>
      <c r="Z53" s="8">
        <f>IF(AND(W53&lt;&gt;"",Y53&lt;&gt;""),W53+Y53,"")</f>
        <v/>
      </c>
      <c r="AD53">
        <f>IF($B53="GWE_Item",IF($AA53="Elektra",(SUMIFS($O:$O,$A:$A,$A53,$B:$B,"GWE")-SUMIFS($N:$N,$A:$A,$A53,$B:$B,"GWE")),IF($AA53="Gas",(SUMIFS($Q:$Q,$A:$A,$A53,$B:$B,"GWE")-SUMIFS($P:$P,$A:$A,$A53,$B:$B,"GWE")),IF($AA53="Water",(SUMIFS($S:$S,$A:$A,$A53,$B:$B,"GWE")-SUMIFS($R:$R,$A:$A,$A53,$B:$B,"GWE")),""))),"")</f>
        <v/>
      </c>
      <c r="AF53" s="8">
        <f>IF(AND(AD53&lt;&gt;"",AE53&lt;&gt;""),AD53*AE53,"")</f>
        <v/>
      </c>
      <c r="AH53" s="8">
        <f>IF(AND(AF53&lt;&gt;"",AG53&lt;&gt;""),AF53*AG53,"")</f>
        <v/>
      </c>
      <c r="AI53" s="8">
        <f>IF(AND(AF53&lt;&gt;"",AH53&lt;&gt;""),AF53+AH53,"")</f>
        <v/>
      </c>
    </row>
    <row r="54">
      <c r="D54">
        <f>IF(A54="","",VLOOKUP(A54,Lists!$A:$B,2,FALSE))</f>
        <v/>
      </c>
      <c r="W54" s="8">
        <f>IF(AND(U54&lt;&gt;"",V54&lt;&gt;""),U54*V54,"")</f>
        <v/>
      </c>
      <c r="Y54" s="8">
        <f>IF(AND(W54&lt;&gt;"",X54&lt;&gt;""),W54*X54,"")</f>
        <v/>
      </c>
      <c r="Z54" s="8">
        <f>IF(AND(W54&lt;&gt;"",Y54&lt;&gt;""),W54+Y54,"")</f>
        <v/>
      </c>
      <c r="AD54">
        <f>IF($B54="GWE_Item",IF($AA54="Elektra",(SUMIFS($O:$O,$A:$A,$A54,$B:$B,"GWE")-SUMIFS($N:$N,$A:$A,$A54,$B:$B,"GWE")),IF($AA54="Gas",(SUMIFS($Q:$Q,$A:$A,$A54,$B:$B,"GWE")-SUMIFS($P:$P,$A:$A,$A54,$B:$B,"GWE")),IF($AA54="Water",(SUMIFS($S:$S,$A:$A,$A54,$B:$B,"GWE")-SUMIFS($R:$R,$A:$A,$A54,$B:$B,"GWE")),""))),"")</f>
        <v/>
      </c>
      <c r="AF54" s="8">
        <f>IF(AND(AD54&lt;&gt;"",AE54&lt;&gt;""),AD54*AE54,"")</f>
        <v/>
      </c>
      <c r="AH54" s="8">
        <f>IF(AND(AF54&lt;&gt;"",AG54&lt;&gt;""),AF54*AG54,"")</f>
        <v/>
      </c>
      <c r="AI54" s="8">
        <f>IF(AND(AF54&lt;&gt;"",AH54&lt;&gt;""),AF54+AH54,"")</f>
        <v/>
      </c>
    </row>
    <row r="55">
      <c r="D55">
        <f>IF(A55="","",VLOOKUP(A55,Lists!$A:$B,2,FALSE))</f>
        <v/>
      </c>
      <c r="W55" s="8">
        <f>IF(AND(U55&lt;&gt;"",V55&lt;&gt;""),U55*V55,"")</f>
        <v/>
      </c>
      <c r="Y55" s="8">
        <f>IF(AND(W55&lt;&gt;"",X55&lt;&gt;""),W55*X55,"")</f>
        <v/>
      </c>
      <c r="Z55" s="8">
        <f>IF(AND(W55&lt;&gt;"",Y55&lt;&gt;""),W55+Y55,"")</f>
        <v/>
      </c>
      <c r="AD55">
        <f>IF($B55="GWE_Item",IF($AA55="Elektra",(SUMIFS($O:$O,$A:$A,$A55,$B:$B,"GWE")-SUMIFS($N:$N,$A:$A,$A55,$B:$B,"GWE")),IF($AA55="Gas",(SUMIFS($Q:$Q,$A:$A,$A55,$B:$B,"GWE")-SUMIFS($P:$P,$A:$A,$A55,$B:$B,"GWE")),IF($AA55="Water",(SUMIFS($S:$S,$A:$A,$A55,$B:$B,"GWE")-SUMIFS($R:$R,$A:$A,$A55,$B:$B,"GWE")),""))),"")</f>
        <v/>
      </c>
      <c r="AF55" s="8">
        <f>IF(AND(AD55&lt;&gt;"",AE55&lt;&gt;""),AD55*AE55,"")</f>
        <v/>
      </c>
      <c r="AH55" s="8">
        <f>IF(AND(AF55&lt;&gt;"",AG55&lt;&gt;""),AF55*AG55,"")</f>
        <v/>
      </c>
      <c r="AI55" s="8">
        <f>IF(AND(AF55&lt;&gt;"",AH55&lt;&gt;""),AF55+AH55,"")</f>
        <v/>
      </c>
    </row>
    <row r="56">
      <c r="D56">
        <f>IF(A56="","",VLOOKUP(A56,Lists!$A:$B,2,FALSE))</f>
        <v/>
      </c>
      <c r="W56" s="8">
        <f>IF(AND(U56&lt;&gt;"",V56&lt;&gt;""),U56*V56,"")</f>
        <v/>
      </c>
      <c r="Y56" s="8">
        <f>IF(AND(W56&lt;&gt;"",X56&lt;&gt;""),W56*X56,"")</f>
        <v/>
      </c>
      <c r="Z56" s="8">
        <f>IF(AND(W56&lt;&gt;"",Y56&lt;&gt;""),W56+Y56,"")</f>
        <v/>
      </c>
      <c r="AD56">
        <f>IF($B56="GWE_Item",IF($AA56="Elektra",(SUMIFS($O:$O,$A:$A,$A56,$B:$B,"GWE")-SUMIFS($N:$N,$A:$A,$A56,$B:$B,"GWE")),IF($AA56="Gas",(SUMIFS($Q:$Q,$A:$A,$A56,$B:$B,"GWE")-SUMIFS($P:$P,$A:$A,$A56,$B:$B,"GWE")),IF($AA56="Water",(SUMIFS($S:$S,$A:$A,$A56,$B:$B,"GWE")-SUMIFS($R:$R,$A:$A,$A56,$B:$B,"GWE")),""))),"")</f>
        <v/>
      </c>
      <c r="AF56" s="8">
        <f>IF(AND(AD56&lt;&gt;"",AE56&lt;&gt;""),AD56*AE56,"")</f>
        <v/>
      </c>
      <c r="AH56" s="8">
        <f>IF(AND(AF56&lt;&gt;"",AG56&lt;&gt;""),AF56*AG56,"")</f>
        <v/>
      </c>
      <c r="AI56" s="8">
        <f>IF(AND(AF56&lt;&gt;"",AH56&lt;&gt;""),AF56+AH56,"")</f>
        <v/>
      </c>
    </row>
    <row r="57">
      <c r="D57">
        <f>IF(A57="","",VLOOKUP(A57,Lists!$A:$B,2,FALSE))</f>
        <v/>
      </c>
      <c r="W57" s="8">
        <f>IF(AND(U57&lt;&gt;"",V57&lt;&gt;""),U57*V57,"")</f>
        <v/>
      </c>
      <c r="Y57" s="8">
        <f>IF(AND(W57&lt;&gt;"",X57&lt;&gt;""),W57*X57,"")</f>
        <v/>
      </c>
      <c r="Z57" s="8">
        <f>IF(AND(W57&lt;&gt;"",Y57&lt;&gt;""),W57+Y57,"")</f>
        <v/>
      </c>
      <c r="AD57">
        <f>IF($B57="GWE_Item",IF($AA57="Elektra",(SUMIFS($O:$O,$A:$A,$A57,$B:$B,"GWE")-SUMIFS($N:$N,$A:$A,$A57,$B:$B,"GWE")),IF($AA57="Gas",(SUMIFS($Q:$Q,$A:$A,$A57,$B:$B,"GWE")-SUMIFS($P:$P,$A:$A,$A57,$B:$B,"GWE")),IF($AA57="Water",(SUMIFS($S:$S,$A:$A,$A57,$B:$B,"GWE")-SUMIFS($R:$R,$A:$A,$A57,$B:$B,"GWE")),""))),"")</f>
        <v/>
      </c>
      <c r="AF57" s="8">
        <f>IF(AND(AD57&lt;&gt;"",AE57&lt;&gt;""),AD57*AE57,"")</f>
        <v/>
      </c>
      <c r="AH57" s="8">
        <f>IF(AND(AF57&lt;&gt;"",AG57&lt;&gt;""),AF57*AG57,"")</f>
        <v/>
      </c>
      <c r="AI57" s="8">
        <f>IF(AND(AF57&lt;&gt;"",AH57&lt;&gt;""),AF57+AH57,"")</f>
        <v/>
      </c>
    </row>
    <row r="58">
      <c r="D58">
        <f>IF(A58="","",VLOOKUP(A58,Lists!$A:$B,2,FALSE))</f>
        <v/>
      </c>
      <c r="W58" s="8">
        <f>IF(AND(U58&lt;&gt;"",V58&lt;&gt;""),U58*V58,"")</f>
        <v/>
      </c>
      <c r="Y58" s="8">
        <f>IF(AND(W58&lt;&gt;"",X58&lt;&gt;""),W58*X58,"")</f>
        <v/>
      </c>
      <c r="Z58" s="8">
        <f>IF(AND(W58&lt;&gt;"",Y58&lt;&gt;""),W58+Y58,"")</f>
        <v/>
      </c>
      <c r="AD58">
        <f>IF($B58="GWE_Item",IF($AA58="Elektra",(SUMIFS($O:$O,$A:$A,$A58,$B:$B,"GWE")-SUMIFS($N:$N,$A:$A,$A58,$B:$B,"GWE")),IF($AA58="Gas",(SUMIFS($Q:$Q,$A:$A,$A58,$B:$B,"GWE")-SUMIFS($P:$P,$A:$A,$A58,$B:$B,"GWE")),IF($AA58="Water",(SUMIFS($S:$S,$A:$A,$A58,$B:$B,"GWE")-SUMIFS($R:$R,$A:$A,$A58,$B:$B,"GWE")),""))),"")</f>
        <v/>
      </c>
      <c r="AF58" s="8">
        <f>IF(AND(AD58&lt;&gt;"",AE58&lt;&gt;""),AD58*AE58,"")</f>
        <v/>
      </c>
      <c r="AH58" s="8">
        <f>IF(AND(AF58&lt;&gt;"",AG58&lt;&gt;""),AF58*AG58,"")</f>
        <v/>
      </c>
      <c r="AI58" s="8">
        <f>IF(AND(AF58&lt;&gt;"",AH58&lt;&gt;""),AF58+AH58,"")</f>
        <v/>
      </c>
    </row>
    <row r="59">
      <c r="D59">
        <f>IF(A59="","",VLOOKUP(A59,Lists!$A:$B,2,FALSE))</f>
        <v/>
      </c>
      <c r="W59" s="8">
        <f>IF(AND(U59&lt;&gt;"",V59&lt;&gt;""),U59*V59,"")</f>
        <v/>
      </c>
      <c r="Y59" s="8">
        <f>IF(AND(W59&lt;&gt;"",X59&lt;&gt;""),W59*X59,"")</f>
        <v/>
      </c>
      <c r="Z59" s="8">
        <f>IF(AND(W59&lt;&gt;"",Y59&lt;&gt;""),W59+Y59,"")</f>
        <v/>
      </c>
      <c r="AD59">
        <f>IF($B59="GWE_Item",IF($AA59="Elektra",(SUMIFS($O:$O,$A:$A,$A59,$B:$B,"GWE")-SUMIFS($N:$N,$A:$A,$A59,$B:$B,"GWE")),IF($AA59="Gas",(SUMIFS($Q:$Q,$A:$A,$A59,$B:$B,"GWE")-SUMIFS($P:$P,$A:$A,$A59,$B:$B,"GWE")),IF($AA59="Water",(SUMIFS($S:$S,$A:$A,$A59,$B:$B,"GWE")-SUMIFS($R:$R,$A:$A,$A59,$B:$B,"GWE")),""))),"")</f>
        <v/>
      </c>
      <c r="AF59" s="8">
        <f>IF(AND(AD59&lt;&gt;"",AE59&lt;&gt;""),AD59*AE59,"")</f>
        <v/>
      </c>
      <c r="AH59" s="8">
        <f>IF(AND(AF59&lt;&gt;"",AG59&lt;&gt;""),AF59*AG59,"")</f>
        <v/>
      </c>
      <c r="AI59" s="8">
        <f>IF(AND(AF59&lt;&gt;"",AH59&lt;&gt;""),AF59+AH59,"")</f>
        <v/>
      </c>
    </row>
    <row r="60">
      <c r="D60">
        <f>IF(A60="","",VLOOKUP(A60,Lists!$A:$B,2,FALSE))</f>
        <v/>
      </c>
      <c r="W60" s="8">
        <f>IF(AND(U60&lt;&gt;"",V60&lt;&gt;""),U60*V60,"")</f>
        <v/>
      </c>
      <c r="Y60" s="8">
        <f>IF(AND(W60&lt;&gt;"",X60&lt;&gt;""),W60*X60,"")</f>
        <v/>
      </c>
      <c r="Z60" s="8">
        <f>IF(AND(W60&lt;&gt;"",Y60&lt;&gt;""),W60+Y60,"")</f>
        <v/>
      </c>
      <c r="AD60">
        <f>IF($B60="GWE_Item",IF($AA60="Elektra",(SUMIFS($O:$O,$A:$A,$A60,$B:$B,"GWE")-SUMIFS($N:$N,$A:$A,$A60,$B:$B,"GWE")),IF($AA60="Gas",(SUMIFS($Q:$Q,$A:$A,$A60,$B:$B,"GWE")-SUMIFS($P:$P,$A:$A,$A60,$B:$B,"GWE")),IF($AA60="Water",(SUMIFS($S:$S,$A:$A,$A60,$B:$B,"GWE")-SUMIFS($R:$R,$A:$A,$A60,$B:$B,"GWE")),""))),"")</f>
        <v/>
      </c>
      <c r="AF60" s="8">
        <f>IF(AND(AD60&lt;&gt;"",AE60&lt;&gt;""),AD60*AE60,"")</f>
        <v/>
      </c>
      <c r="AH60" s="8">
        <f>IF(AND(AF60&lt;&gt;"",AG60&lt;&gt;""),AF60*AG60,"")</f>
        <v/>
      </c>
      <c r="AI60" s="8">
        <f>IF(AND(AF60&lt;&gt;"",AH60&lt;&gt;""),AF60+AH60,"")</f>
        <v/>
      </c>
    </row>
    <row r="61">
      <c r="D61">
        <f>IF(A61="","",VLOOKUP(A61,Lists!$A:$B,2,FALSE))</f>
        <v/>
      </c>
      <c r="W61" s="8">
        <f>IF(AND(U61&lt;&gt;"",V61&lt;&gt;""),U61*V61,"")</f>
        <v/>
      </c>
      <c r="Y61" s="8">
        <f>IF(AND(W61&lt;&gt;"",X61&lt;&gt;""),W61*X61,"")</f>
        <v/>
      </c>
      <c r="Z61" s="8">
        <f>IF(AND(W61&lt;&gt;"",Y61&lt;&gt;""),W61+Y61,"")</f>
        <v/>
      </c>
      <c r="AD61">
        <f>IF($B61="GWE_Item",IF($AA61="Elektra",(SUMIFS($O:$O,$A:$A,$A61,$B:$B,"GWE")-SUMIFS($N:$N,$A:$A,$A61,$B:$B,"GWE")),IF($AA61="Gas",(SUMIFS($Q:$Q,$A:$A,$A61,$B:$B,"GWE")-SUMIFS($P:$P,$A:$A,$A61,$B:$B,"GWE")),IF($AA61="Water",(SUMIFS($S:$S,$A:$A,$A61,$B:$B,"GWE")-SUMIFS($R:$R,$A:$A,$A61,$B:$B,"GWE")),""))),"")</f>
        <v/>
      </c>
      <c r="AF61" s="8">
        <f>IF(AND(AD61&lt;&gt;"",AE61&lt;&gt;""),AD61*AE61,"")</f>
        <v/>
      </c>
      <c r="AH61" s="8">
        <f>IF(AND(AF61&lt;&gt;"",AG61&lt;&gt;""),AF61*AG61,"")</f>
        <v/>
      </c>
      <c r="AI61" s="8">
        <f>IF(AND(AF61&lt;&gt;"",AH61&lt;&gt;""),AF61+AH61,"")</f>
        <v/>
      </c>
    </row>
    <row r="62">
      <c r="D62">
        <f>IF(A62="","",VLOOKUP(A62,Lists!$A:$B,2,FALSE))</f>
        <v/>
      </c>
      <c r="W62" s="8">
        <f>IF(AND(U62&lt;&gt;"",V62&lt;&gt;""),U62*V62,"")</f>
        <v/>
      </c>
      <c r="Y62" s="8">
        <f>IF(AND(W62&lt;&gt;"",X62&lt;&gt;""),W62*X62,"")</f>
        <v/>
      </c>
      <c r="Z62" s="8">
        <f>IF(AND(W62&lt;&gt;"",Y62&lt;&gt;""),W62+Y62,"")</f>
        <v/>
      </c>
      <c r="AD62">
        <f>IF($B62="GWE_Item",IF($AA62="Elektra",(SUMIFS($O:$O,$A:$A,$A62,$B:$B,"GWE")-SUMIFS($N:$N,$A:$A,$A62,$B:$B,"GWE")),IF($AA62="Gas",(SUMIFS($Q:$Q,$A:$A,$A62,$B:$B,"GWE")-SUMIFS($P:$P,$A:$A,$A62,$B:$B,"GWE")),IF($AA62="Water",(SUMIFS($S:$S,$A:$A,$A62,$B:$B,"GWE")-SUMIFS($R:$R,$A:$A,$A62,$B:$B,"GWE")),""))),"")</f>
        <v/>
      </c>
      <c r="AF62" s="8">
        <f>IF(AND(AD62&lt;&gt;"",AE62&lt;&gt;""),AD62*AE62,"")</f>
        <v/>
      </c>
      <c r="AH62" s="8">
        <f>IF(AND(AF62&lt;&gt;"",AG62&lt;&gt;""),AF62*AG62,"")</f>
        <v/>
      </c>
      <c r="AI62" s="8">
        <f>IF(AND(AF62&lt;&gt;"",AH62&lt;&gt;""),AF62+AH62,"")</f>
        <v/>
      </c>
    </row>
    <row r="63">
      <c r="D63">
        <f>IF(A63="","",VLOOKUP(A63,Lists!$A:$B,2,FALSE))</f>
        <v/>
      </c>
      <c r="W63" s="8">
        <f>IF(AND(U63&lt;&gt;"",V63&lt;&gt;""),U63*V63,"")</f>
        <v/>
      </c>
      <c r="Y63" s="8">
        <f>IF(AND(W63&lt;&gt;"",X63&lt;&gt;""),W63*X63,"")</f>
        <v/>
      </c>
      <c r="Z63" s="8">
        <f>IF(AND(W63&lt;&gt;"",Y63&lt;&gt;""),W63+Y63,"")</f>
        <v/>
      </c>
      <c r="AD63">
        <f>IF($B63="GWE_Item",IF($AA63="Elektra",(SUMIFS($O:$O,$A:$A,$A63,$B:$B,"GWE")-SUMIFS($N:$N,$A:$A,$A63,$B:$B,"GWE")),IF($AA63="Gas",(SUMIFS($Q:$Q,$A:$A,$A63,$B:$B,"GWE")-SUMIFS($P:$P,$A:$A,$A63,$B:$B,"GWE")),IF($AA63="Water",(SUMIFS($S:$S,$A:$A,$A63,$B:$B,"GWE")-SUMIFS($R:$R,$A:$A,$A63,$B:$B,"GWE")),""))),"")</f>
        <v/>
      </c>
      <c r="AF63" s="8">
        <f>IF(AND(AD63&lt;&gt;"",AE63&lt;&gt;""),AD63*AE63,"")</f>
        <v/>
      </c>
      <c r="AH63" s="8">
        <f>IF(AND(AF63&lt;&gt;"",AG63&lt;&gt;""),AF63*AG63,"")</f>
        <v/>
      </c>
      <c r="AI63" s="8">
        <f>IF(AND(AF63&lt;&gt;"",AH63&lt;&gt;""),AF63+AH63,"")</f>
        <v/>
      </c>
    </row>
    <row r="64">
      <c r="D64">
        <f>IF(A64="","",VLOOKUP(A64,Lists!$A:$B,2,FALSE))</f>
        <v/>
      </c>
      <c r="W64" s="8">
        <f>IF(AND(U64&lt;&gt;"",V64&lt;&gt;""),U64*V64,"")</f>
        <v/>
      </c>
      <c r="Y64" s="8">
        <f>IF(AND(W64&lt;&gt;"",X64&lt;&gt;""),W64*X64,"")</f>
        <v/>
      </c>
      <c r="Z64" s="8">
        <f>IF(AND(W64&lt;&gt;"",Y64&lt;&gt;""),W64+Y64,"")</f>
        <v/>
      </c>
      <c r="AD64">
        <f>IF($B64="GWE_Item",IF($AA64="Elektra",(SUMIFS($O:$O,$A:$A,$A64,$B:$B,"GWE")-SUMIFS($N:$N,$A:$A,$A64,$B:$B,"GWE")),IF($AA64="Gas",(SUMIFS($Q:$Q,$A:$A,$A64,$B:$B,"GWE")-SUMIFS($P:$P,$A:$A,$A64,$B:$B,"GWE")),IF($AA64="Water",(SUMIFS($S:$S,$A:$A,$A64,$B:$B,"GWE")-SUMIFS($R:$R,$A:$A,$A64,$B:$B,"GWE")),""))),"")</f>
        <v/>
      </c>
      <c r="AF64" s="8">
        <f>IF(AND(AD64&lt;&gt;"",AE64&lt;&gt;""),AD64*AE64,"")</f>
        <v/>
      </c>
      <c r="AH64" s="8">
        <f>IF(AND(AF64&lt;&gt;"",AG64&lt;&gt;""),AF64*AG64,"")</f>
        <v/>
      </c>
      <c r="AI64" s="8">
        <f>IF(AND(AF64&lt;&gt;"",AH64&lt;&gt;""),AF64+AH64,"")</f>
        <v/>
      </c>
    </row>
    <row r="65">
      <c r="D65">
        <f>IF(A65="","",VLOOKUP(A65,Lists!$A:$B,2,FALSE))</f>
        <v/>
      </c>
      <c r="W65" s="8">
        <f>IF(AND(U65&lt;&gt;"",V65&lt;&gt;""),U65*V65,"")</f>
        <v/>
      </c>
      <c r="Y65" s="8">
        <f>IF(AND(W65&lt;&gt;"",X65&lt;&gt;""),W65*X65,"")</f>
        <v/>
      </c>
      <c r="Z65" s="8">
        <f>IF(AND(W65&lt;&gt;"",Y65&lt;&gt;""),W65+Y65,"")</f>
        <v/>
      </c>
      <c r="AD65">
        <f>IF($B65="GWE_Item",IF($AA65="Elektra",(SUMIFS($O:$O,$A:$A,$A65,$B:$B,"GWE")-SUMIFS($N:$N,$A:$A,$A65,$B:$B,"GWE")),IF($AA65="Gas",(SUMIFS($Q:$Q,$A:$A,$A65,$B:$B,"GWE")-SUMIFS($P:$P,$A:$A,$A65,$B:$B,"GWE")),IF($AA65="Water",(SUMIFS($S:$S,$A:$A,$A65,$B:$B,"GWE")-SUMIFS($R:$R,$A:$A,$A65,$B:$B,"GWE")),""))),"")</f>
        <v/>
      </c>
      <c r="AF65" s="8">
        <f>IF(AND(AD65&lt;&gt;"",AE65&lt;&gt;""),AD65*AE65,"")</f>
        <v/>
      </c>
      <c r="AH65" s="8">
        <f>IF(AND(AF65&lt;&gt;"",AG65&lt;&gt;""),AF65*AG65,"")</f>
        <v/>
      </c>
      <c r="AI65" s="8">
        <f>IF(AND(AF65&lt;&gt;"",AH65&lt;&gt;""),AF65+AH65,"")</f>
        <v/>
      </c>
    </row>
    <row r="66">
      <c r="D66">
        <f>IF(A66="","",VLOOKUP(A66,Lists!$A:$B,2,FALSE))</f>
        <v/>
      </c>
      <c r="W66" s="8">
        <f>IF(AND(U66&lt;&gt;"",V66&lt;&gt;""),U66*V66,"")</f>
        <v/>
      </c>
      <c r="Y66" s="8">
        <f>IF(AND(W66&lt;&gt;"",X66&lt;&gt;""),W66*X66,"")</f>
        <v/>
      </c>
      <c r="Z66" s="8">
        <f>IF(AND(W66&lt;&gt;"",Y66&lt;&gt;""),W66+Y66,"")</f>
        <v/>
      </c>
      <c r="AD66">
        <f>IF($B66="GWE_Item",IF($AA66="Elektra",(SUMIFS($O:$O,$A:$A,$A66,$B:$B,"GWE")-SUMIFS($N:$N,$A:$A,$A66,$B:$B,"GWE")),IF($AA66="Gas",(SUMIFS($Q:$Q,$A:$A,$A66,$B:$B,"GWE")-SUMIFS($P:$P,$A:$A,$A66,$B:$B,"GWE")),IF($AA66="Water",(SUMIFS($S:$S,$A:$A,$A66,$B:$B,"GWE")-SUMIFS($R:$R,$A:$A,$A66,$B:$B,"GWE")),""))),"")</f>
        <v/>
      </c>
      <c r="AF66" s="8">
        <f>IF(AND(AD66&lt;&gt;"",AE66&lt;&gt;""),AD66*AE66,"")</f>
        <v/>
      </c>
      <c r="AH66" s="8">
        <f>IF(AND(AF66&lt;&gt;"",AG66&lt;&gt;""),AF66*AG66,"")</f>
        <v/>
      </c>
      <c r="AI66" s="8">
        <f>IF(AND(AF66&lt;&gt;"",AH66&lt;&gt;""),AF66+AH66,"")</f>
        <v/>
      </c>
    </row>
    <row r="67">
      <c r="D67">
        <f>IF(A67="","",VLOOKUP(A67,Lists!$A:$B,2,FALSE))</f>
        <v/>
      </c>
      <c r="W67" s="8">
        <f>IF(AND(U67&lt;&gt;"",V67&lt;&gt;""),U67*V67,"")</f>
        <v/>
      </c>
      <c r="Y67" s="8">
        <f>IF(AND(W67&lt;&gt;"",X67&lt;&gt;""),W67*X67,"")</f>
        <v/>
      </c>
      <c r="Z67" s="8">
        <f>IF(AND(W67&lt;&gt;"",Y67&lt;&gt;""),W67+Y67,"")</f>
        <v/>
      </c>
      <c r="AD67">
        <f>IF($B67="GWE_Item",IF($AA67="Elektra",(SUMIFS($O:$O,$A:$A,$A67,$B:$B,"GWE")-SUMIFS($N:$N,$A:$A,$A67,$B:$B,"GWE")),IF($AA67="Gas",(SUMIFS($Q:$Q,$A:$A,$A67,$B:$B,"GWE")-SUMIFS($P:$P,$A:$A,$A67,$B:$B,"GWE")),IF($AA67="Water",(SUMIFS($S:$S,$A:$A,$A67,$B:$B,"GWE")-SUMIFS($R:$R,$A:$A,$A67,$B:$B,"GWE")),""))),"")</f>
        <v/>
      </c>
      <c r="AF67" s="8">
        <f>IF(AND(AD67&lt;&gt;"",AE67&lt;&gt;""),AD67*AE67,"")</f>
        <v/>
      </c>
      <c r="AH67" s="8">
        <f>IF(AND(AF67&lt;&gt;"",AG67&lt;&gt;""),AF67*AG67,"")</f>
        <v/>
      </c>
      <c r="AI67" s="8">
        <f>IF(AND(AF67&lt;&gt;"",AH67&lt;&gt;""),AF67+AH67,"")</f>
        <v/>
      </c>
    </row>
    <row r="68">
      <c r="D68">
        <f>IF(A68="","",VLOOKUP(A68,Lists!$A:$B,2,FALSE))</f>
        <v/>
      </c>
      <c r="W68" s="8">
        <f>IF(AND(U68&lt;&gt;"",V68&lt;&gt;""),U68*V68,"")</f>
        <v/>
      </c>
      <c r="Y68" s="8">
        <f>IF(AND(W68&lt;&gt;"",X68&lt;&gt;""),W68*X68,"")</f>
        <v/>
      </c>
      <c r="Z68" s="8">
        <f>IF(AND(W68&lt;&gt;"",Y68&lt;&gt;""),W68+Y68,"")</f>
        <v/>
      </c>
      <c r="AD68">
        <f>IF($B68="GWE_Item",IF($AA68="Elektra",(SUMIFS($O:$O,$A:$A,$A68,$B:$B,"GWE")-SUMIFS($N:$N,$A:$A,$A68,$B:$B,"GWE")),IF($AA68="Gas",(SUMIFS($Q:$Q,$A:$A,$A68,$B:$B,"GWE")-SUMIFS($P:$P,$A:$A,$A68,$B:$B,"GWE")),IF($AA68="Water",(SUMIFS($S:$S,$A:$A,$A68,$B:$B,"GWE")-SUMIFS($R:$R,$A:$A,$A68,$B:$B,"GWE")),""))),"")</f>
        <v/>
      </c>
      <c r="AF68" s="8">
        <f>IF(AND(AD68&lt;&gt;"",AE68&lt;&gt;""),AD68*AE68,"")</f>
        <v/>
      </c>
      <c r="AH68" s="8">
        <f>IF(AND(AF68&lt;&gt;"",AG68&lt;&gt;""),AF68*AG68,"")</f>
        <v/>
      </c>
      <c r="AI68" s="8">
        <f>IF(AND(AF68&lt;&gt;"",AH68&lt;&gt;""),AF68+AH68,"")</f>
        <v/>
      </c>
    </row>
    <row r="69">
      <c r="D69">
        <f>IF(A69="","",VLOOKUP(A69,Lists!$A:$B,2,FALSE))</f>
        <v/>
      </c>
      <c r="W69" s="8">
        <f>IF(AND(U69&lt;&gt;"",V69&lt;&gt;""),U69*V69,"")</f>
        <v/>
      </c>
      <c r="Y69" s="8">
        <f>IF(AND(W69&lt;&gt;"",X69&lt;&gt;""),W69*X69,"")</f>
        <v/>
      </c>
      <c r="Z69" s="8">
        <f>IF(AND(W69&lt;&gt;"",Y69&lt;&gt;""),W69+Y69,"")</f>
        <v/>
      </c>
      <c r="AD69">
        <f>IF($B69="GWE_Item",IF($AA69="Elektra",(SUMIFS($O:$O,$A:$A,$A69,$B:$B,"GWE")-SUMIFS($N:$N,$A:$A,$A69,$B:$B,"GWE")),IF($AA69="Gas",(SUMIFS($Q:$Q,$A:$A,$A69,$B:$B,"GWE")-SUMIFS($P:$P,$A:$A,$A69,$B:$B,"GWE")),IF($AA69="Water",(SUMIFS($S:$S,$A:$A,$A69,$B:$B,"GWE")-SUMIFS($R:$R,$A:$A,$A69,$B:$B,"GWE")),""))),"")</f>
        <v/>
      </c>
      <c r="AF69" s="8">
        <f>IF(AND(AD69&lt;&gt;"",AE69&lt;&gt;""),AD69*AE69,"")</f>
        <v/>
      </c>
      <c r="AH69" s="8">
        <f>IF(AND(AF69&lt;&gt;"",AG69&lt;&gt;""),AF69*AG69,"")</f>
        <v/>
      </c>
      <c r="AI69" s="8">
        <f>IF(AND(AF69&lt;&gt;"",AH69&lt;&gt;""),AF69+AH69,"")</f>
        <v/>
      </c>
    </row>
    <row r="70">
      <c r="D70">
        <f>IF(A70="","",VLOOKUP(A70,Lists!$A:$B,2,FALSE))</f>
        <v/>
      </c>
      <c r="W70" s="8">
        <f>IF(AND(U70&lt;&gt;"",V70&lt;&gt;""),U70*V70,"")</f>
        <v/>
      </c>
      <c r="Y70" s="8">
        <f>IF(AND(W70&lt;&gt;"",X70&lt;&gt;""),W70*X70,"")</f>
        <v/>
      </c>
      <c r="Z70" s="8">
        <f>IF(AND(W70&lt;&gt;"",Y70&lt;&gt;""),W70+Y70,"")</f>
        <v/>
      </c>
      <c r="AD70">
        <f>IF($B70="GWE_Item",IF($AA70="Elektra",(SUMIFS($O:$O,$A:$A,$A70,$B:$B,"GWE")-SUMIFS($N:$N,$A:$A,$A70,$B:$B,"GWE")),IF($AA70="Gas",(SUMIFS($Q:$Q,$A:$A,$A70,$B:$B,"GWE")-SUMIFS($P:$P,$A:$A,$A70,$B:$B,"GWE")),IF($AA70="Water",(SUMIFS($S:$S,$A:$A,$A70,$B:$B,"GWE")-SUMIFS($R:$R,$A:$A,$A70,$B:$B,"GWE")),""))),"")</f>
        <v/>
      </c>
      <c r="AF70" s="8">
        <f>IF(AND(AD70&lt;&gt;"",AE70&lt;&gt;""),AD70*AE70,"")</f>
        <v/>
      </c>
      <c r="AH70" s="8">
        <f>IF(AND(AF70&lt;&gt;"",AG70&lt;&gt;""),AF70*AG70,"")</f>
        <v/>
      </c>
      <c r="AI70" s="8">
        <f>IF(AND(AF70&lt;&gt;"",AH70&lt;&gt;""),AF70+AH70,"")</f>
        <v/>
      </c>
    </row>
    <row r="71">
      <c r="D71">
        <f>IF(A71="","",VLOOKUP(A71,Lists!$A:$B,2,FALSE))</f>
        <v/>
      </c>
      <c r="W71" s="8">
        <f>IF(AND(U71&lt;&gt;"",V71&lt;&gt;""),U71*V71,"")</f>
        <v/>
      </c>
      <c r="Y71" s="8">
        <f>IF(AND(W71&lt;&gt;"",X71&lt;&gt;""),W71*X71,"")</f>
        <v/>
      </c>
      <c r="Z71" s="8">
        <f>IF(AND(W71&lt;&gt;"",Y71&lt;&gt;""),W71+Y71,"")</f>
        <v/>
      </c>
      <c r="AD71">
        <f>IF($B71="GWE_Item",IF($AA71="Elektra",(SUMIFS($O:$O,$A:$A,$A71,$B:$B,"GWE")-SUMIFS($N:$N,$A:$A,$A71,$B:$B,"GWE")),IF($AA71="Gas",(SUMIFS($Q:$Q,$A:$A,$A71,$B:$B,"GWE")-SUMIFS($P:$P,$A:$A,$A71,$B:$B,"GWE")),IF($AA71="Water",(SUMIFS($S:$S,$A:$A,$A71,$B:$B,"GWE")-SUMIFS($R:$R,$A:$A,$A71,$B:$B,"GWE")),""))),"")</f>
        <v/>
      </c>
      <c r="AF71" s="8">
        <f>IF(AND(AD71&lt;&gt;"",AE71&lt;&gt;""),AD71*AE71,"")</f>
        <v/>
      </c>
      <c r="AH71" s="8">
        <f>IF(AND(AF71&lt;&gt;"",AG71&lt;&gt;""),AF71*AG71,"")</f>
        <v/>
      </c>
      <c r="AI71" s="8">
        <f>IF(AND(AF71&lt;&gt;"",AH71&lt;&gt;""),AF71+AH71,"")</f>
        <v/>
      </c>
    </row>
    <row r="72">
      <c r="D72">
        <f>IF(A72="","",VLOOKUP(A72,Lists!$A:$B,2,FALSE))</f>
        <v/>
      </c>
      <c r="W72" s="8">
        <f>IF(AND(U72&lt;&gt;"",V72&lt;&gt;""),U72*V72,"")</f>
        <v/>
      </c>
      <c r="Y72" s="8">
        <f>IF(AND(W72&lt;&gt;"",X72&lt;&gt;""),W72*X72,"")</f>
        <v/>
      </c>
      <c r="Z72" s="8">
        <f>IF(AND(W72&lt;&gt;"",Y72&lt;&gt;""),W72+Y72,"")</f>
        <v/>
      </c>
      <c r="AD72">
        <f>IF($B72="GWE_Item",IF($AA72="Elektra",(SUMIFS($O:$O,$A:$A,$A72,$B:$B,"GWE")-SUMIFS($N:$N,$A:$A,$A72,$B:$B,"GWE")),IF($AA72="Gas",(SUMIFS($Q:$Q,$A:$A,$A72,$B:$B,"GWE")-SUMIFS($P:$P,$A:$A,$A72,$B:$B,"GWE")),IF($AA72="Water",(SUMIFS($S:$S,$A:$A,$A72,$B:$B,"GWE")-SUMIFS($R:$R,$A:$A,$A72,$B:$B,"GWE")),""))),"")</f>
        <v/>
      </c>
      <c r="AF72" s="8">
        <f>IF(AND(AD72&lt;&gt;"",AE72&lt;&gt;""),AD72*AE72,"")</f>
        <v/>
      </c>
      <c r="AH72" s="8">
        <f>IF(AND(AF72&lt;&gt;"",AG72&lt;&gt;""),AF72*AG72,"")</f>
        <v/>
      </c>
      <c r="AI72" s="8">
        <f>IF(AND(AF72&lt;&gt;"",AH72&lt;&gt;""),AF72+AH72,"")</f>
        <v/>
      </c>
    </row>
    <row r="73">
      <c r="D73">
        <f>IF(A73="","",VLOOKUP(A73,Lists!$A:$B,2,FALSE))</f>
        <v/>
      </c>
      <c r="W73" s="8">
        <f>IF(AND(U73&lt;&gt;"",V73&lt;&gt;""),U73*V73,"")</f>
        <v/>
      </c>
      <c r="Y73" s="8">
        <f>IF(AND(W73&lt;&gt;"",X73&lt;&gt;""),W73*X73,"")</f>
        <v/>
      </c>
      <c r="Z73" s="8">
        <f>IF(AND(W73&lt;&gt;"",Y73&lt;&gt;""),W73+Y73,"")</f>
        <v/>
      </c>
      <c r="AD73">
        <f>IF($B73="GWE_Item",IF($AA73="Elektra",(SUMIFS($O:$O,$A:$A,$A73,$B:$B,"GWE")-SUMIFS($N:$N,$A:$A,$A73,$B:$B,"GWE")),IF($AA73="Gas",(SUMIFS($Q:$Q,$A:$A,$A73,$B:$B,"GWE")-SUMIFS($P:$P,$A:$A,$A73,$B:$B,"GWE")),IF($AA73="Water",(SUMIFS($S:$S,$A:$A,$A73,$B:$B,"GWE")-SUMIFS($R:$R,$A:$A,$A73,$B:$B,"GWE")),""))),"")</f>
        <v/>
      </c>
      <c r="AF73" s="8">
        <f>IF(AND(AD73&lt;&gt;"",AE73&lt;&gt;""),AD73*AE73,"")</f>
        <v/>
      </c>
      <c r="AH73" s="8">
        <f>IF(AND(AF73&lt;&gt;"",AG73&lt;&gt;""),AF73*AG73,"")</f>
        <v/>
      </c>
      <c r="AI73" s="8">
        <f>IF(AND(AF73&lt;&gt;"",AH73&lt;&gt;""),AF73+AH73,"")</f>
        <v/>
      </c>
    </row>
    <row r="74">
      <c r="D74">
        <f>IF(A74="","",VLOOKUP(A74,Lists!$A:$B,2,FALSE))</f>
        <v/>
      </c>
      <c r="W74" s="8">
        <f>IF(AND(U74&lt;&gt;"",V74&lt;&gt;""),U74*V74,"")</f>
        <v/>
      </c>
      <c r="Y74" s="8">
        <f>IF(AND(W74&lt;&gt;"",X74&lt;&gt;""),W74*X74,"")</f>
        <v/>
      </c>
      <c r="Z74" s="8">
        <f>IF(AND(W74&lt;&gt;"",Y74&lt;&gt;""),W74+Y74,"")</f>
        <v/>
      </c>
      <c r="AD74">
        <f>IF($B74="GWE_Item",IF($AA74="Elektra",(SUMIFS($O:$O,$A:$A,$A74,$B:$B,"GWE")-SUMIFS($N:$N,$A:$A,$A74,$B:$B,"GWE")),IF($AA74="Gas",(SUMIFS($Q:$Q,$A:$A,$A74,$B:$B,"GWE")-SUMIFS($P:$P,$A:$A,$A74,$B:$B,"GWE")),IF($AA74="Water",(SUMIFS($S:$S,$A:$A,$A74,$B:$B,"GWE")-SUMIFS($R:$R,$A:$A,$A74,$B:$B,"GWE")),""))),"")</f>
        <v/>
      </c>
      <c r="AF74" s="8">
        <f>IF(AND(AD74&lt;&gt;"",AE74&lt;&gt;""),AD74*AE74,"")</f>
        <v/>
      </c>
      <c r="AH74" s="8">
        <f>IF(AND(AF74&lt;&gt;"",AG74&lt;&gt;""),AF74*AG74,"")</f>
        <v/>
      </c>
      <c r="AI74" s="8">
        <f>IF(AND(AF74&lt;&gt;"",AH74&lt;&gt;""),AF74+AH74,"")</f>
        <v/>
      </c>
    </row>
    <row r="75">
      <c r="D75">
        <f>IF(A75="","",VLOOKUP(A75,Lists!$A:$B,2,FALSE))</f>
        <v/>
      </c>
      <c r="W75" s="8">
        <f>IF(AND(U75&lt;&gt;"",V75&lt;&gt;""),U75*V75,"")</f>
        <v/>
      </c>
      <c r="Y75" s="8">
        <f>IF(AND(W75&lt;&gt;"",X75&lt;&gt;""),W75*X75,"")</f>
        <v/>
      </c>
      <c r="Z75" s="8">
        <f>IF(AND(W75&lt;&gt;"",Y75&lt;&gt;""),W75+Y75,"")</f>
        <v/>
      </c>
      <c r="AD75">
        <f>IF($B75="GWE_Item",IF($AA75="Elektra",(SUMIFS($O:$O,$A:$A,$A75,$B:$B,"GWE")-SUMIFS($N:$N,$A:$A,$A75,$B:$B,"GWE")),IF($AA75="Gas",(SUMIFS($Q:$Q,$A:$A,$A75,$B:$B,"GWE")-SUMIFS($P:$P,$A:$A,$A75,$B:$B,"GWE")),IF($AA75="Water",(SUMIFS($S:$S,$A:$A,$A75,$B:$B,"GWE")-SUMIFS($R:$R,$A:$A,$A75,$B:$B,"GWE")),""))),"")</f>
        <v/>
      </c>
      <c r="AF75" s="8">
        <f>IF(AND(AD75&lt;&gt;"",AE75&lt;&gt;""),AD75*AE75,"")</f>
        <v/>
      </c>
      <c r="AH75" s="8">
        <f>IF(AND(AF75&lt;&gt;"",AG75&lt;&gt;""),AF75*AG75,"")</f>
        <v/>
      </c>
      <c r="AI75" s="8">
        <f>IF(AND(AF75&lt;&gt;"",AH75&lt;&gt;""),AF75+AH75,"")</f>
        <v/>
      </c>
    </row>
    <row r="76">
      <c r="D76">
        <f>IF(A76="","",VLOOKUP(A76,Lists!$A:$B,2,FALSE))</f>
        <v/>
      </c>
      <c r="W76" s="8">
        <f>IF(AND(U76&lt;&gt;"",V76&lt;&gt;""),U76*V76,"")</f>
        <v/>
      </c>
      <c r="Y76" s="8">
        <f>IF(AND(W76&lt;&gt;"",X76&lt;&gt;""),W76*X76,"")</f>
        <v/>
      </c>
      <c r="Z76" s="8">
        <f>IF(AND(W76&lt;&gt;"",Y76&lt;&gt;""),W76+Y76,"")</f>
        <v/>
      </c>
      <c r="AD76">
        <f>IF($B76="GWE_Item",IF($AA76="Elektra",(SUMIFS($O:$O,$A:$A,$A76,$B:$B,"GWE")-SUMIFS($N:$N,$A:$A,$A76,$B:$B,"GWE")),IF($AA76="Gas",(SUMIFS($Q:$Q,$A:$A,$A76,$B:$B,"GWE")-SUMIFS($P:$P,$A:$A,$A76,$B:$B,"GWE")),IF($AA76="Water",(SUMIFS($S:$S,$A:$A,$A76,$B:$B,"GWE")-SUMIFS($R:$R,$A:$A,$A76,$B:$B,"GWE")),""))),"")</f>
        <v/>
      </c>
      <c r="AF76" s="8">
        <f>IF(AND(AD76&lt;&gt;"",AE76&lt;&gt;""),AD76*AE76,"")</f>
        <v/>
      </c>
      <c r="AH76" s="8">
        <f>IF(AND(AF76&lt;&gt;"",AG76&lt;&gt;""),AF76*AG76,"")</f>
        <v/>
      </c>
      <c r="AI76" s="8">
        <f>IF(AND(AF76&lt;&gt;"",AH76&lt;&gt;""),AF76+AH76,"")</f>
        <v/>
      </c>
    </row>
    <row r="77">
      <c r="D77">
        <f>IF(A77="","",VLOOKUP(A77,Lists!$A:$B,2,FALSE))</f>
        <v/>
      </c>
      <c r="W77" s="8">
        <f>IF(AND(U77&lt;&gt;"",V77&lt;&gt;""),U77*V77,"")</f>
        <v/>
      </c>
      <c r="Y77" s="8">
        <f>IF(AND(W77&lt;&gt;"",X77&lt;&gt;""),W77*X77,"")</f>
        <v/>
      </c>
      <c r="Z77" s="8">
        <f>IF(AND(W77&lt;&gt;"",Y77&lt;&gt;""),W77+Y77,"")</f>
        <v/>
      </c>
      <c r="AD77">
        <f>IF($B77="GWE_Item",IF($AA77="Elektra",(SUMIFS($O:$O,$A:$A,$A77,$B:$B,"GWE")-SUMIFS($N:$N,$A:$A,$A77,$B:$B,"GWE")),IF($AA77="Gas",(SUMIFS($Q:$Q,$A:$A,$A77,$B:$B,"GWE")-SUMIFS($P:$P,$A:$A,$A77,$B:$B,"GWE")),IF($AA77="Water",(SUMIFS($S:$S,$A:$A,$A77,$B:$B,"GWE")-SUMIFS($R:$R,$A:$A,$A77,$B:$B,"GWE")),""))),"")</f>
        <v/>
      </c>
      <c r="AF77" s="8">
        <f>IF(AND(AD77&lt;&gt;"",AE77&lt;&gt;""),AD77*AE77,"")</f>
        <v/>
      </c>
      <c r="AH77" s="8">
        <f>IF(AND(AF77&lt;&gt;"",AG77&lt;&gt;""),AF77*AG77,"")</f>
        <v/>
      </c>
      <c r="AI77" s="8">
        <f>IF(AND(AF77&lt;&gt;"",AH77&lt;&gt;""),AF77+AH77,"")</f>
        <v/>
      </c>
    </row>
    <row r="78">
      <c r="D78">
        <f>IF(A78="","",VLOOKUP(A78,Lists!$A:$B,2,FALSE))</f>
        <v/>
      </c>
      <c r="W78" s="8">
        <f>IF(AND(U78&lt;&gt;"",V78&lt;&gt;""),U78*V78,"")</f>
        <v/>
      </c>
      <c r="Y78" s="8">
        <f>IF(AND(W78&lt;&gt;"",X78&lt;&gt;""),W78*X78,"")</f>
        <v/>
      </c>
      <c r="Z78" s="8">
        <f>IF(AND(W78&lt;&gt;"",Y78&lt;&gt;""),W78+Y78,"")</f>
        <v/>
      </c>
      <c r="AD78">
        <f>IF($B78="GWE_Item",IF($AA78="Elektra",(SUMIFS($O:$O,$A:$A,$A78,$B:$B,"GWE")-SUMIFS($N:$N,$A:$A,$A78,$B:$B,"GWE")),IF($AA78="Gas",(SUMIFS($Q:$Q,$A:$A,$A78,$B:$B,"GWE")-SUMIFS($P:$P,$A:$A,$A78,$B:$B,"GWE")),IF($AA78="Water",(SUMIFS($S:$S,$A:$A,$A78,$B:$B,"GWE")-SUMIFS($R:$R,$A:$A,$A78,$B:$B,"GWE")),""))),"")</f>
        <v/>
      </c>
      <c r="AF78" s="8">
        <f>IF(AND(AD78&lt;&gt;"",AE78&lt;&gt;""),AD78*AE78,"")</f>
        <v/>
      </c>
      <c r="AH78" s="8">
        <f>IF(AND(AF78&lt;&gt;"",AG78&lt;&gt;""),AF78*AG78,"")</f>
        <v/>
      </c>
      <c r="AI78" s="8">
        <f>IF(AND(AF78&lt;&gt;"",AH78&lt;&gt;""),AF78+AH78,"")</f>
        <v/>
      </c>
    </row>
    <row r="79">
      <c r="D79">
        <f>IF(A79="","",VLOOKUP(A79,Lists!$A:$B,2,FALSE))</f>
        <v/>
      </c>
      <c r="W79" s="8">
        <f>IF(AND(U79&lt;&gt;"",V79&lt;&gt;""),U79*V79,"")</f>
        <v/>
      </c>
      <c r="Y79" s="8">
        <f>IF(AND(W79&lt;&gt;"",X79&lt;&gt;""),W79*X79,"")</f>
        <v/>
      </c>
      <c r="Z79" s="8">
        <f>IF(AND(W79&lt;&gt;"",Y79&lt;&gt;""),W79+Y79,"")</f>
        <v/>
      </c>
      <c r="AD79">
        <f>IF($B79="GWE_Item",IF($AA79="Elektra",(SUMIFS($O:$O,$A:$A,$A79,$B:$B,"GWE")-SUMIFS($N:$N,$A:$A,$A79,$B:$B,"GWE")),IF($AA79="Gas",(SUMIFS($Q:$Q,$A:$A,$A79,$B:$B,"GWE")-SUMIFS($P:$P,$A:$A,$A79,$B:$B,"GWE")),IF($AA79="Water",(SUMIFS($S:$S,$A:$A,$A79,$B:$B,"GWE")-SUMIFS($R:$R,$A:$A,$A79,$B:$B,"GWE")),""))),"")</f>
        <v/>
      </c>
      <c r="AF79" s="8">
        <f>IF(AND(AD79&lt;&gt;"",AE79&lt;&gt;""),AD79*AE79,"")</f>
        <v/>
      </c>
      <c r="AH79" s="8">
        <f>IF(AND(AF79&lt;&gt;"",AG79&lt;&gt;""),AF79*AG79,"")</f>
        <v/>
      </c>
      <c r="AI79" s="8">
        <f>IF(AND(AF79&lt;&gt;"",AH79&lt;&gt;""),AF79+AH79,"")</f>
        <v/>
      </c>
    </row>
    <row r="80">
      <c r="D80">
        <f>IF(A80="","",VLOOKUP(A80,Lists!$A:$B,2,FALSE))</f>
        <v/>
      </c>
      <c r="W80" s="8">
        <f>IF(AND(U80&lt;&gt;"",V80&lt;&gt;""),U80*V80,"")</f>
        <v/>
      </c>
      <c r="Y80" s="8">
        <f>IF(AND(W80&lt;&gt;"",X80&lt;&gt;""),W80*X80,"")</f>
        <v/>
      </c>
      <c r="Z80" s="8">
        <f>IF(AND(W80&lt;&gt;"",Y80&lt;&gt;""),W80+Y80,"")</f>
        <v/>
      </c>
      <c r="AD80">
        <f>IF($B80="GWE_Item",IF($AA80="Elektra",(SUMIFS($O:$O,$A:$A,$A80,$B:$B,"GWE")-SUMIFS($N:$N,$A:$A,$A80,$B:$B,"GWE")),IF($AA80="Gas",(SUMIFS($Q:$Q,$A:$A,$A80,$B:$B,"GWE")-SUMIFS($P:$P,$A:$A,$A80,$B:$B,"GWE")),IF($AA80="Water",(SUMIFS($S:$S,$A:$A,$A80,$B:$B,"GWE")-SUMIFS($R:$R,$A:$A,$A80,$B:$B,"GWE")),""))),"")</f>
        <v/>
      </c>
      <c r="AF80" s="8">
        <f>IF(AND(AD80&lt;&gt;"",AE80&lt;&gt;""),AD80*AE80,"")</f>
        <v/>
      </c>
      <c r="AH80" s="8">
        <f>IF(AND(AF80&lt;&gt;"",AG80&lt;&gt;""),AF80*AG80,"")</f>
        <v/>
      </c>
      <c r="AI80" s="8">
        <f>IF(AND(AF80&lt;&gt;"",AH80&lt;&gt;""),AF80+AH80,"")</f>
        <v/>
      </c>
    </row>
    <row r="81">
      <c r="D81">
        <f>IF(A81="","",VLOOKUP(A81,Lists!$A:$B,2,FALSE))</f>
        <v/>
      </c>
      <c r="W81" s="8">
        <f>IF(AND(U81&lt;&gt;"",V81&lt;&gt;""),U81*V81,"")</f>
        <v/>
      </c>
      <c r="Y81" s="8">
        <f>IF(AND(W81&lt;&gt;"",X81&lt;&gt;""),W81*X81,"")</f>
        <v/>
      </c>
      <c r="Z81" s="8">
        <f>IF(AND(W81&lt;&gt;"",Y81&lt;&gt;""),W81+Y81,"")</f>
        <v/>
      </c>
      <c r="AD81">
        <f>IF($B81="GWE_Item",IF($AA81="Elektra",(SUMIFS($O:$O,$A:$A,$A81,$B:$B,"GWE")-SUMIFS($N:$N,$A:$A,$A81,$B:$B,"GWE")),IF($AA81="Gas",(SUMIFS($Q:$Q,$A:$A,$A81,$B:$B,"GWE")-SUMIFS($P:$P,$A:$A,$A81,$B:$B,"GWE")),IF($AA81="Water",(SUMIFS($S:$S,$A:$A,$A81,$B:$B,"GWE")-SUMIFS($R:$R,$A:$A,$A81,$B:$B,"GWE")),""))),"")</f>
        <v/>
      </c>
      <c r="AF81" s="8">
        <f>IF(AND(AD81&lt;&gt;"",AE81&lt;&gt;""),AD81*AE81,"")</f>
        <v/>
      </c>
      <c r="AH81" s="8">
        <f>IF(AND(AF81&lt;&gt;"",AG81&lt;&gt;""),AF81*AG81,"")</f>
        <v/>
      </c>
      <c r="AI81" s="8">
        <f>IF(AND(AF81&lt;&gt;"",AH81&lt;&gt;""),AF81+AH81,"")</f>
        <v/>
      </c>
    </row>
    <row r="82">
      <c r="D82">
        <f>IF(A82="","",VLOOKUP(A82,Lists!$A:$B,2,FALSE))</f>
        <v/>
      </c>
      <c r="W82" s="8">
        <f>IF(AND(U82&lt;&gt;"",V82&lt;&gt;""),U82*V82,"")</f>
        <v/>
      </c>
      <c r="Y82" s="8">
        <f>IF(AND(W82&lt;&gt;"",X82&lt;&gt;""),W82*X82,"")</f>
        <v/>
      </c>
      <c r="Z82" s="8">
        <f>IF(AND(W82&lt;&gt;"",Y82&lt;&gt;""),W82+Y82,"")</f>
        <v/>
      </c>
      <c r="AD82">
        <f>IF($B82="GWE_Item",IF($AA82="Elektra",(SUMIFS($O:$O,$A:$A,$A82,$B:$B,"GWE")-SUMIFS($N:$N,$A:$A,$A82,$B:$B,"GWE")),IF($AA82="Gas",(SUMIFS($Q:$Q,$A:$A,$A82,$B:$B,"GWE")-SUMIFS($P:$P,$A:$A,$A82,$B:$B,"GWE")),IF($AA82="Water",(SUMIFS($S:$S,$A:$A,$A82,$B:$B,"GWE")-SUMIFS($R:$R,$A:$A,$A82,$B:$B,"GWE")),""))),"")</f>
        <v/>
      </c>
      <c r="AF82" s="8">
        <f>IF(AND(AD82&lt;&gt;"",AE82&lt;&gt;""),AD82*AE82,"")</f>
        <v/>
      </c>
      <c r="AH82" s="8">
        <f>IF(AND(AF82&lt;&gt;"",AG82&lt;&gt;""),AF82*AG82,"")</f>
        <v/>
      </c>
      <c r="AI82" s="8">
        <f>IF(AND(AF82&lt;&gt;"",AH82&lt;&gt;""),AF82+AH82,"")</f>
        <v/>
      </c>
    </row>
    <row r="83">
      <c r="D83">
        <f>IF(A83="","",VLOOKUP(A83,Lists!$A:$B,2,FALSE))</f>
        <v/>
      </c>
      <c r="W83" s="8">
        <f>IF(AND(U83&lt;&gt;"",V83&lt;&gt;""),U83*V83,"")</f>
        <v/>
      </c>
      <c r="Y83" s="8">
        <f>IF(AND(W83&lt;&gt;"",X83&lt;&gt;""),W83*X83,"")</f>
        <v/>
      </c>
      <c r="Z83" s="8">
        <f>IF(AND(W83&lt;&gt;"",Y83&lt;&gt;""),W83+Y83,"")</f>
        <v/>
      </c>
      <c r="AD83">
        <f>IF($B83="GWE_Item",IF($AA83="Elektra",(SUMIFS($O:$O,$A:$A,$A83,$B:$B,"GWE")-SUMIFS($N:$N,$A:$A,$A83,$B:$B,"GWE")),IF($AA83="Gas",(SUMIFS($Q:$Q,$A:$A,$A83,$B:$B,"GWE")-SUMIFS($P:$P,$A:$A,$A83,$B:$B,"GWE")),IF($AA83="Water",(SUMIFS($S:$S,$A:$A,$A83,$B:$B,"GWE")-SUMIFS($R:$R,$A:$A,$A83,$B:$B,"GWE")),""))),"")</f>
        <v/>
      </c>
      <c r="AF83" s="8">
        <f>IF(AND(AD83&lt;&gt;"",AE83&lt;&gt;""),AD83*AE83,"")</f>
        <v/>
      </c>
      <c r="AH83" s="8">
        <f>IF(AND(AF83&lt;&gt;"",AG83&lt;&gt;""),AF83*AG83,"")</f>
        <v/>
      </c>
      <c r="AI83" s="8">
        <f>IF(AND(AF83&lt;&gt;"",AH83&lt;&gt;""),AF83+AH83,"")</f>
        <v/>
      </c>
    </row>
    <row r="84">
      <c r="D84">
        <f>IF(A84="","",VLOOKUP(A84,Lists!$A:$B,2,FALSE))</f>
        <v/>
      </c>
      <c r="W84" s="8">
        <f>IF(AND(U84&lt;&gt;"",V84&lt;&gt;""),U84*V84,"")</f>
        <v/>
      </c>
      <c r="Y84" s="8">
        <f>IF(AND(W84&lt;&gt;"",X84&lt;&gt;""),W84*X84,"")</f>
        <v/>
      </c>
      <c r="Z84" s="8">
        <f>IF(AND(W84&lt;&gt;"",Y84&lt;&gt;""),W84+Y84,"")</f>
        <v/>
      </c>
      <c r="AD84">
        <f>IF($B84="GWE_Item",IF($AA84="Elektra",(SUMIFS($O:$O,$A:$A,$A84,$B:$B,"GWE")-SUMIFS($N:$N,$A:$A,$A84,$B:$B,"GWE")),IF($AA84="Gas",(SUMIFS($Q:$Q,$A:$A,$A84,$B:$B,"GWE")-SUMIFS($P:$P,$A:$A,$A84,$B:$B,"GWE")),IF($AA84="Water",(SUMIFS($S:$S,$A:$A,$A84,$B:$B,"GWE")-SUMIFS($R:$R,$A:$A,$A84,$B:$B,"GWE")),""))),"")</f>
        <v/>
      </c>
      <c r="AF84" s="8">
        <f>IF(AND(AD84&lt;&gt;"",AE84&lt;&gt;""),AD84*AE84,"")</f>
        <v/>
      </c>
      <c r="AH84" s="8">
        <f>IF(AND(AF84&lt;&gt;"",AG84&lt;&gt;""),AF84*AG84,"")</f>
        <v/>
      </c>
      <c r="AI84" s="8">
        <f>IF(AND(AF84&lt;&gt;"",AH84&lt;&gt;""),AF84+AH84,"")</f>
        <v/>
      </c>
    </row>
    <row r="85">
      <c r="D85">
        <f>IF(A85="","",VLOOKUP(A85,Lists!$A:$B,2,FALSE))</f>
        <v/>
      </c>
      <c r="W85" s="8">
        <f>IF(AND(U85&lt;&gt;"",V85&lt;&gt;""),U85*V85,"")</f>
        <v/>
      </c>
      <c r="Y85" s="8">
        <f>IF(AND(W85&lt;&gt;"",X85&lt;&gt;""),W85*X85,"")</f>
        <v/>
      </c>
      <c r="Z85" s="8">
        <f>IF(AND(W85&lt;&gt;"",Y85&lt;&gt;""),W85+Y85,"")</f>
        <v/>
      </c>
      <c r="AD85">
        <f>IF($B85="GWE_Item",IF($AA85="Elektra",(SUMIFS($O:$O,$A:$A,$A85,$B:$B,"GWE")-SUMIFS($N:$N,$A:$A,$A85,$B:$B,"GWE")),IF($AA85="Gas",(SUMIFS($Q:$Q,$A:$A,$A85,$B:$B,"GWE")-SUMIFS($P:$P,$A:$A,$A85,$B:$B,"GWE")),IF($AA85="Water",(SUMIFS($S:$S,$A:$A,$A85,$B:$B,"GWE")-SUMIFS($R:$R,$A:$A,$A85,$B:$B,"GWE")),""))),"")</f>
        <v/>
      </c>
      <c r="AF85" s="8">
        <f>IF(AND(AD85&lt;&gt;"",AE85&lt;&gt;""),AD85*AE85,"")</f>
        <v/>
      </c>
      <c r="AH85" s="8">
        <f>IF(AND(AF85&lt;&gt;"",AG85&lt;&gt;""),AF85*AG85,"")</f>
        <v/>
      </c>
      <c r="AI85" s="8">
        <f>IF(AND(AF85&lt;&gt;"",AH85&lt;&gt;""),AF85+AH85,"")</f>
        <v/>
      </c>
    </row>
    <row r="86">
      <c r="D86">
        <f>IF(A86="","",VLOOKUP(A86,Lists!$A:$B,2,FALSE))</f>
        <v/>
      </c>
      <c r="W86" s="8">
        <f>IF(AND(U86&lt;&gt;"",V86&lt;&gt;""),U86*V86,"")</f>
        <v/>
      </c>
      <c r="Y86" s="8">
        <f>IF(AND(W86&lt;&gt;"",X86&lt;&gt;""),W86*X86,"")</f>
        <v/>
      </c>
      <c r="Z86" s="8">
        <f>IF(AND(W86&lt;&gt;"",Y86&lt;&gt;""),W86+Y86,"")</f>
        <v/>
      </c>
      <c r="AD86">
        <f>IF($B86="GWE_Item",IF($AA86="Elektra",(SUMIFS($O:$O,$A:$A,$A86,$B:$B,"GWE")-SUMIFS($N:$N,$A:$A,$A86,$B:$B,"GWE")),IF($AA86="Gas",(SUMIFS($Q:$Q,$A:$A,$A86,$B:$B,"GWE")-SUMIFS($P:$P,$A:$A,$A86,$B:$B,"GWE")),IF($AA86="Water",(SUMIFS($S:$S,$A:$A,$A86,$B:$B,"GWE")-SUMIFS($R:$R,$A:$A,$A86,$B:$B,"GWE")),""))),"")</f>
        <v/>
      </c>
      <c r="AF86" s="8">
        <f>IF(AND(AD86&lt;&gt;"",AE86&lt;&gt;""),AD86*AE86,"")</f>
        <v/>
      </c>
      <c r="AH86" s="8">
        <f>IF(AND(AF86&lt;&gt;"",AG86&lt;&gt;""),AF86*AG86,"")</f>
        <v/>
      </c>
      <c r="AI86" s="8">
        <f>IF(AND(AF86&lt;&gt;"",AH86&lt;&gt;""),AF86+AH86,"")</f>
        <v/>
      </c>
    </row>
    <row r="87">
      <c r="D87">
        <f>IF(A87="","",VLOOKUP(A87,Lists!$A:$B,2,FALSE))</f>
        <v/>
      </c>
      <c r="W87" s="8">
        <f>IF(AND(U87&lt;&gt;"",V87&lt;&gt;""),U87*V87,"")</f>
        <v/>
      </c>
      <c r="Y87" s="8">
        <f>IF(AND(W87&lt;&gt;"",X87&lt;&gt;""),W87*X87,"")</f>
        <v/>
      </c>
      <c r="Z87" s="8">
        <f>IF(AND(W87&lt;&gt;"",Y87&lt;&gt;""),W87+Y87,"")</f>
        <v/>
      </c>
      <c r="AD87">
        <f>IF($B87="GWE_Item",IF($AA87="Elektra",(SUMIFS($O:$O,$A:$A,$A87,$B:$B,"GWE")-SUMIFS($N:$N,$A:$A,$A87,$B:$B,"GWE")),IF($AA87="Gas",(SUMIFS($Q:$Q,$A:$A,$A87,$B:$B,"GWE")-SUMIFS($P:$P,$A:$A,$A87,$B:$B,"GWE")),IF($AA87="Water",(SUMIFS($S:$S,$A:$A,$A87,$B:$B,"GWE")-SUMIFS($R:$R,$A:$A,$A87,$B:$B,"GWE")),""))),"")</f>
        <v/>
      </c>
      <c r="AF87" s="8">
        <f>IF(AND(AD87&lt;&gt;"",AE87&lt;&gt;""),AD87*AE87,"")</f>
        <v/>
      </c>
      <c r="AH87" s="8">
        <f>IF(AND(AF87&lt;&gt;"",AG87&lt;&gt;""),AF87*AG87,"")</f>
        <v/>
      </c>
      <c r="AI87" s="8">
        <f>IF(AND(AF87&lt;&gt;"",AH87&lt;&gt;""),AF87+AH87,"")</f>
        <v/>
      </c>
    </row>
    <row r="88">
      <c r="D88">
        <f>IF(A88="","",VLOOKUP(A88,Lists!$A:$B,2,FALSE))</f>
        <v/>
      </c>
      <c r="W88" s="8">
        <f>IF(AND(U88&lt;&gt;"",V88&lt;&gt;""),U88*V88,"")</f>
        <v/>
      </c>
      <c r="Y88" s="8">
        <f>IF(AND(W88&lt;&gt;"",X88&lt;&gt;""),W88*X88,"")</f>
        <v/>
      </c>
      <c r="Z88" s="8">
        <f>IF(AND(W88&lt;&gt;"",Y88&lt;&gt;""),W88+Y88,"")</f>
        <v/>
      </c>
      <c r="AD88">
        <f>IF($B88="GWE_Item",IF($AA88="Elektra",(SUMIFS($O:$O,$A:$A,$A88,$B:$B,"GWE")-SUMIFS($N:$N,$A:$A,$A88,$B:$B,"GWE")),IF($AA88="Gas",(SUMIFS($Q:$Q,$A:$A,$A88,$B:$B,"GWE")-SUMIFS($P:$P,$A:$A,$A88,$B:$B,"GWE")),IF($AA88="Water",(SUMIFS($S:$S,$A:$A,$A88,$B:$B,"GWE")-SUMIFS($R:$R,$A:$A,$A88,$B:$B,"GWE")),""))),"")</f>
        <v/>
      </c>
      <c r="AF88" s="8">
        <f>IF(AND(AD88&lt;&gt;"",AE88&lt;&gt;""),AD88*AE88,"")</f>
        <v/>
      </c>
      <c r="AH88" s="8">
        <f>IF(AND(AF88&lt;&gt;"",AG88&lt;&gt;""),AF88*AG88,"")</f>
        <v/>
      </c>
      <c r="AI88" s="8">
        <f>IF(AND(AF88&lt;&gt;"",AH88&lt;&gt;""),AF88+AH88,"")</f>
        <v/>
      </c>
    </row>
    <row r="89">
      <c r="D89">
        <f>IF(A89="","",VLOOKUP(A89,Lists!$A:$B,2,FALSE))</f>
        <v/>
      </c>
      <c r="W89" s="8">
        <f>IF(AND(U89&lt;&gt;"",V89&lt;&gt;""),U89*V89,"")</f>
        <v/>
      </c>
      <c r="Y89" s="8">
        <f>IF(AND(W89&lt;&gt;"",X89&lt;&gt;""),W89*X89,"")</f>
        <v/>
      </c>
      <c r="Z89" s="8">
        <f>IF(AND(W89&lt;&gt;"",Y89&lt;&gt;""),W89+Y89,"")</f>
        <v/>
      </c>
      <c r="AD89">
        <f>IF($B89="GWE_Item",IF($AA89="Elektra",(SUMIFS($O:$O,$A:$A,$A89,$B:$B,"GWE")-SUMIFS($N:$N,$A:$A,$A89,$B:$B,"GWE")),IF($AA89="Gas",(SUMIFS($Q:$Q,$A:$A,$A89,$B:$B,"GWE")-SUMIFS($P:$P,$A:$A,$A89,$B:$B,"GWE")),IF($AA89="Water",(SUMIFS($S:$S,$A:$A,$A89,$B:$B,"GWE")-SUMIFS($R:$R,$A:$A,$A89,$B:$B,"GWE")),""))),"")</f>
        <v/>
      </c>
      <c r="AF89" s="8">
        <f>IF(AND(AD89&lt;&gt;"",AE89&lt;&gt;""),AD89*AE89,"")</f>
        <v/>
      </c>
      <c r="AH89" s="8">
        <f>IF(AND(AF89&lt;&gt;"",AG89&lt;&gt;""),AF89*AG89,"")</f>
        <v/>
      </c>
      <c r="AI89" s="8">
        <f>IF(AND(AF89&lt;&gt;"",AH89&lt;&gt;""),AF89+AH89,"")</f>
        <v/>
      </c>
    </row>
    <row r="90">
      <c r="D90">
        <f>IF(A90="","",VLOOKUP(A90,Lists!$A:$B,2,FALSE))</f>
        <v/>
      </c>
      <c r="W90" s="8">
        <f>IF(AND(U90&lt;&gt;"",V90&lt;&gt;""),U90*V90,"")</f>
        <v/>
      </c>
      <c r="Y90" s="8">
        <f>IF(AND(W90&lt;&gt;"",X90&lt;&gt;""),W90*X90,"")</f>
        <v/>
      </c>
      <c r="Z90" s="8">
        <f>IF(AND(W90&lt;&gt;"",Y90&lt;&gt;""),W90+Y90,"")</f>
        <v/>
      </c>
      <c r="AD90">
        <f>IF($B90="GWE_Item",IF($AA90="Elektra",(SUMIFS($O:$O,$A:$A,$A90,$B:$B,"GWE")-SUMIFS($N:$N,$A:$A,$A90,$B:$B,"GWE")),IF($AA90="Gas",(SUMIFS($Q:$Q,$A:$A,$A90,$B:$B,"GWE")-SUMIFS($P:$P,$A:$A,$A90,$B:$B,"GWE")),IF($AA90="Water",(SUMIFS($S:$S,$A:$A,$A90,$B:$B,"GWE")-SUMIFS($R:$R,$A:$A,$A90,$B:$B,"GWE")),""))),"")</f>
        <v/>
      </c>
      <c r="AF90" s="8">
        <f>IF(AND(AD90&lt;&gt;"",AE90&lt;&gt;""),AD90*AE90,"")</f>
        <v/>
      </c>
      <c r="AH90" s="8">
        <f>IF(AND(AF90&lt;&gt;"",AG90&lt;&gt;""),AF90*AG90,"")</f>
        <v/>
      </c>
      <c r="AI90" s="8">
        <f>IF(AND(AF90&lt;&gt;"",AH90&lt;&gt;""),AF90+AH90,"")</f>
        <v/>
      </c>
    </row>
    <row r="91">
      <c r="D91">
        <f>IF(A91="","",VLOOKUP(A91,Lists!$A:$B,2,FALSE))</f>
        <v/>
      </c>
      <c r="W91" s="8">
        <f>IF(AND(U91&lt;&gt;"",V91&lt;&gt;""),U91*V91,"")</f>
        <v/>
      </c>
      <c r="Y91" s="8">
        <f>IF(AND(W91&lt;&gt;"",X91&lt;&gt;""),W91*X91,"")</f>
        <v/>
      </c>
      <c r="Z91" s="8">
        <f>IF(AND(W91&lt;&gt;"",Y91&lt;&gt;""),W91+Y91,"")</f>
        <v/>
      </c>
      <c r="AD91">
        <f>IF($B91="GWE_Item",IF($AA91="Elektra",(SUMIFS($O:$O,$A:$A,$A91,$B:$B,"GWE")-SUMIFS($N:$N,$A:$A,$A91,$B:$B,"GWE")),IF($AA91="Gas",(SUMIFS($Q:$Q,$A:$A,$A91,$B:$B,"GWE")-SUMIFS($P:$P,$A:$A,$A91,$B:$B,"GWE")),IF($AA91="Water",(SUMIFS($S:$S,$A:$A,$A91,$B:$B,"GWE")-SUMIFS($R:$R,$A:$A,$A91,$B:$B,"GWE")),""))),"")</f>
        <v/>
      </c>
      <c r="AF91" s="8">
        <f>IF(AND(AD91&lt;&gt;"",AE91&lt;&gt;""),AD91*AE91,"")</f>
        <v/>
      </c>
      <c r="AH91" s="8">
        <f>IF(AND(AF91&lt;&gt;"",AG91&lt;&gt;""),AF91*AG91,"")</f>
        <v/>
      </c>
      <c r="AI91" s="8">
        <f>IF(AND(AF91&lt;&gt;"",AH91&lt;&gt;""),AF91+AH91,"")</f>
        <v/>
      </c>
    </row>
    <row r="92">
      <c r="D92">
        <f>IF(A92="","",VLOOKUP(A92,Lists!$A:$B,2,FALSE))</f>
        <v/>
      </c>
      <c r="W92" s="8">
        <f>IF(AND(U92&lt;&gt;"",V92&lt;&gt;""),U92*V92,"")</f>
        <v/>
      </c>
      <c r="Y92" s="8">
        <f>IF(AND(W92&lt;&gt;"",X92&lt;&gt;""),W92*X92,"")</f>
        <v/>
      </c>
      <c r="Z92" s="8">
        <f>IF(AND(W92&lt;&gt;"",Y92&lt;&gt;""),W92+Y92,"")</f>
        <v/>
      </c>
      <c r="AD92">
        <f>IF($B92="GWE_Item",IF($AA92="Elektra",(SUMIFS($O:$O,$A:$A,$A92,$B:$B,"GWE")-SUMIFS($N:$N,$A:$A,$A92,$B:$B,"GWE")),IF($AA92="Gas",(SUMIFS($Q:$Q,$A:$A,$A92,$B:$B,"GWE")-SUMIFS($P:$P,$A:$A,$A92,$B:$B,"GWE")),IF($AA92="Water",(SUMIFS($S:$S,$A:$A,$A92,$B:$B,"GWE")-SUMIFS($R:$R,$A:$A,$A92,$B:$B,"GWE")),""))),"")</f>
        <v/>
      </c>
      <c r="AF92" s="8">
        <f>IF(AND(AD92&lt;&gt;"",AE92&lt;&gt;""),AD92*AE92,"")</f>
        <v/>
      </c>
      <c r="AH92" s="8">
        <f>IF(AND(AF92&lt;&gt;"",AG92&lt;&gt;""),AF92*AG92,"")</f>
        <v/>
      </c>
      <c r="AI92" s="8">
        <f>IF(AND(AF92&lt;&gt;"",AH92&lt;&gt;""),AF92+AH92,"")</f>
        <v/>
      </c>
    </row>
    <row r="93">
      <c r="D93">
        <f>IF(A93="","",VLOOKUP(A93,Lists!$A:$B,2,FALSE))</f>
        <v/>
      </c>
      <c r="W93" s="8">
        <f>IF(AND(U93&lt;&gt;"",V93&lt;&gt;""),U93*V93,"")</f>
        <v/>
      </c>
      <c r="Y93" s="8">
        <f>IF(AND(W93&lt;&gt;"",X93&lt;&gt;""),W93*X93,"")</f>
        <v/>
      </c>
      <c r="Z93" s="8">
        <f>IF(AND(W93&lt;&gt;"",Y93&lt;&gt;""),W93+Y93,"")</f>
        <v/>
      </c>
      <c r="AD93">
        <f>IF($B93="GWE_Item",IF($AA93="Elektra",(SUMIFS($O:$O,$A:$A,$A93,$B:$B,"GWE")-SUMIFS($N:$N,$A:$A,$A93,$B:$B,"GWE")),IF($AA93="Gas",(SUMIFS($Q:$Q,$A:$A,$A93,$B:$B,"GWE")-SUMIFS($P:$P,$A:$A,$A93,$B:$B,"GWE")),IF($AA93="Water",(SUMIFS($S:$S,$A:$A,$A93,$B:$B,"GWE")-SUMIFS($R:$R,$A:$A,$A93,$B:$B,"GWE")),""))),"")</f>
        <v/>
      </c>
      <c r="AF93" s="8">
        <f>IF(AND(AD93&lt;&gt;"",AE93&lt;&gt;""),AD93*AE93,"")</f>
        <v/>
      </c>
      <c r="AH93" s="8">
        <f>IF(AND(AF93&lt;&gt;"",AG93&lt;&gt;""),AF93*AG93,"")</f>
        <v/>
      </c>
      <c r="AI93" s="8">
        <f>IF(AND(AF93&lt;&gt;"",AH93&lt;&gt;""),AF93+AH93,"")</f>
        <v/>
      </c>
    </row>
    <row r="94">
      <c r="D94">
        <f>IF(A94="","",VLOOKUP(A94,Lists!$A:$B,2,FALSE))</f>
        <v/>
      </c>
      <c r="W94" s="8">
        <f>IF(AND(U94&lt;&gt;"",V94&lt;&gt;""),U94*V94,"")</f>
        <v/>
      </c>
      <c r="Y94" s="8">
        <f>IF(AND(W94&lt;&gt;"",X94&lt;&gt;""),W94*X94,"")</f>
        <v/>
      </c>
      <c r="Z94" s="8">
        <f>IF(AND(W94&lt;&gt;"",Y94&lt;&gt;""),W94+Y94,"")</f>
        <v/>
      </c>
      <c r="AD94">
        <f>IF($B94="GWE_Item",IF($AA94="Elektra",(SUMIFS($O:$O,$A:$A,$A94,$B:$B,"GWE")-SUMIFS($N:$N,$A:$A,$A94,$B:$B,"GWE")),IF($AA94="Gas",(SUMIFS($Q:$Q,$A:$A,$A94,$B:$B,"GWE")-SUMIFS($P:$P,$A:$A,$A94,$B:$B,"GWE")),IF($AA94="Water",(SUMIFS($S:$S,$A:$A,$A94,$B:$B,"GWE")-SUMIFS($R:$R,$A:$A,$A94,$B:$B,"GWE")),""))),"")</f>
        <v/>
      </c>
      <c r="AF94" s="8">
        <f>IF(AND(AD94&lt;&gt;"",AE94&lt;&gt;""),AD94*AE94,"")</f>
        <v/>
      </c>
      <c r="AH94" s="8">
        <f>IF(AND(AF94&lt;&gt;"",AG94&lt;&gt;""),AF94*AG94,"")</f>
        <v/>
      </c>
      <c r="AI94" s="8">
        <f>IF(AND(AF94&lt;&gt;"",AH94&lt;&gt;""),AF94+AH94,"")</f>
        <v/>
      </c>
    </row>
    <row r="95">
      <c r="D95">
        <f>IF(A95="","",VLOOKUP(A95,Lists!$A:$B,2,FALSE))</f>
        <v/>
      </c>
      <c r="W95" s="8">
        <f>IF(AND(U95&lt;&gt;"",V95&lt;&gt;""),U95*V95,"")</f>
        <v/>
      </c>
      <c r="Y95" s="8">
        <f>IF(AND(W95&lt;&gt;"",X95&lt;&gt;""),W95*X95,"")</f>
        <v/>
      </c>
      <c r="Z95" s="8">
        <f>IF(AND(W95&lt;&gt;"",Y95&lt;&gt;""),W95+Y95,"")</f>
        <v/>
      </c>
      <c r="AD95">
        <f>IF($B95="GWE_Item",IF($AA95="Elektra",(SUMIFS($O:$O,$A:$A,$A95,$B:$B,"GWE")-SUMIFS($N:$N,$A:$A,$A95,$B:$B,"GWE")),IF($AA95="Gas",(SUMIFS($Q:$Q,$A:$A,$A95,$B:$B,"GWE")-SUMIFS($P:$P,$A:$A,$A95,$B:$B,"GWE")),IF($AA95="Water",(SUMIFS($S:$S,$A:$A,$A95,$B:$B,"GWE")-SUMIFS($R:$R,$A:$A,$A95,$B:$B,"GWE")),""))),"")</f>
        <v/>
      </c>
      <c r="AF95" s="8">
        <f>IF(AND(AD95&lt;&gt;"",AE95&lt;&gt;""),AD95*AE95,"")</f>
        <v/>
      </c>
      <c r="AH95" s="8">
        <f>IF(AND(AF95&lt;&gt;"",AG95&lt;&gt;""),AF95*AG95,"")</f>
        <v/>
      </c>
      <c r="AI95" s="8">
        <f>IF(AND(AF95&lt;&gt;"",AH95&lt;&gt;""),AF95+AH95,"")</f>
        <v/>
      </c>
    </row>
    <row r="96">
      <c r="D96">
        <f>IF(A96="","",VLOOKUP(A96,Lists!$A:$B,2,FALSE))</f>
        <v/>
      </c>
      <c r="W96" s="8">
        <f>IF(AND(U96&lt;&gt;"",V96&lt;&gt;""),U96*V96,"")</f>
        <v/>
      </c>
      <c r="Y96" s="8">
        <f>IF(AND(W96&lt;&gt;"",X96&lt;&gt;""),W96*X96,"")</f>
        <v/>
      </c>
      <c r="Z96" s="8">
        <f>IF(AND(W96&lt;&gt;"",Y96&lt;&gt;""),W96+Y96,"")</f>
        <v/>
      </c>
      <c r="AD96">
        <f>IF($B96="GWE_Item",IF($AA96="Elektra",(SUMIFS($O:$O,$A:$A,$A96,$B:$B,"GWE")-SUMIFS($N:$N,$A:$A,$A96,$B:$B,"GWE")),IF($AA96="Gas",(SUMIFS($Q:$Q,$A:$A,$A96,$B:$B,"GWE")-SUMIFS($P:$P,$A:$A,$A96,$B:$B,"GWE")),IF($AA96="Water",(SUMIFS($S:$S,$A:$A,$A96,$B:$B,"GWE")-SUMIFS($R:$R,$A:$A,$A96,$B:$B,"GWE")),""))),"")</f>
        <v/>
      </c>
      <c r="AF96" s="8">
        <f>IF(AND(AD96&lt;&gt;"",AE96&lt;&gt;""),AD96*AE96,"")</f>
        <v/>
      </c>
      <c r="AH96" s="8">
        <f>IF(AND(AF96&lt;&gt;"",AG96&lt;&gt;""),AF96*AG96,"")</f>
        <v/>
      </c>
      <c r="AI96" s="8">
        <f>IF(AND(AF96&lt;&gt;"",AH96&lt;&gt;""),AF96+AH96,"")</f>
        <v/>
      </c>
    </row>
    <row r="97">
      <c r="D97">
        <f>IF(A97="","",VLOOKUP(A97,Lists!$A:$B,2,FALSE))</f>
        <v/>
      </c>
      <c r="W97" s="8">
        <f>IF(AND(U97&lt;&gt;"",V97&lt;&gt;""),U97*V97,"")</f>
        <v/>
      </c>
      <c r="Y97" s="8">
        <f>IF(AND(W97&lt;&gt;"",X97&lt;&gt;""),W97*X97,"")</f>
        <v/>
      </c>
      <c r="Z97" s="8">
        <f>IF(AND(W97&lt;&gt;"",Y97&lt;&gt;""),W97+Y97,"")</f>
        <v/>
      </c>
      <c r="AD97">
        <f>IF($B97="GWE_Item",IF($AA97="Elektra",(SUMIFS($O:$O,$A:$A,$A97,$B:$B,"GWE")-SUMIFS($N:$N,$A:$A,$A97,$B:$B,"GWE")),IF($AA97="Gas",(SUMIFS($Q:$Q,$A:$A,$A97,$B:$B,"GWE")-SUMIFS($P:$P,$A:$A,$A97,$B:$B,"GWE")),IF($AA97="Water",(SUMIFS($S:$S,$A:$A,$A97,$B:$B,"GWE")-SUMIFS($R:$R,$A:$A,$A97,$B:$B,"GWE")),""))),"")</f>
        <v/>
      </c>
      <c r="AF97" s="8">
        <f>IF(AND(AD97&lt;&gt;"",AE97&lt;&gt;""),AD97*AE97,"")</f>
        <v/>
      </c>
      <c r="AH97" s="8">
        <f>IF(AND(AF97&lt;&gt;"",AG97&lt;&gt;""),AF97*AG97,"")</f>
        <v/>
      </c>
      <c r="AI97" s="8">
        <f>IF(AND(AF97&lt;&gt;"",AH97&lt;&gt;""),AF97+AH97,"")</f>
        <v/>
      </c>
    </row>
    <row r="98">
      <c r="D98">
        <f>IF(A98="","",VLOOKUP(A98,Lists!$A:$B,2,FALSE))</f>
        <v/>
      </c>
      <c r="W98" s="8">
        <f>IF(AND(U98&lt;&gt;"",V98&lt;&gt;""),U98*V98,"")</f>
        <v/>
      </c>
      <c r="Y98" s="8">
        <f>IF(AND(W98&lt;&gt;"",X98&lt;&gt;""),W98*X98,"")</f>
        <v/>
      </c>
      <c r="Z98" s="8">
        <f>IF(AND(W98&lt;&gt;"",Y98&lt;&gt;""),W98+Y98,"")</f>
        <v/>
      </c>
      <c r="AD98">
        <f>IF($B98="GWE_Item",IF($AA98="Elektra",(SUMIFS($O:$O,$A:$A,$A98,$B:$B,"GWE")-SUMIFS($N:$N,$A:$A,$A98,$B:$B,"GWE")),IF($AA98="Gas",(SUMIFS($Q:$Q,$A:$A,$A98,$B:$B,"GWE")-SUMIFS($P:$P,$A:$A,$A98,$B:$B,"GWE")),IF($AA98="Water",(SUMIFS($S:$S,$A:$A,$A98,$B:$B,"GWE")-SUMIFS($R:$R,$A:$A,$A98,$B:$B,"GWE")),""))),"")</f>
        <v/>
      </c>
      <c r="AF98" s="8">
        <f>IF(AND(AD98&lt;&gt;"",AE98&lt;&gt;""),AD98*AE98,"")</f>
        <v/>
      </c>
      <c r="AH98" s="8">
        <f>IF(AND(AF98&lt;&gt;"",AG98&lt;&gt;""),AF98*AG98,"")</f>
        <v/>
      </c>
      <c r="AI98" s="8">
        <f>IF(AND(AF98&lt;&gt;"",AH98&lt;&gt;""),AF98+AH98,"")</f>
        <v/>
      </c>
    </row>
    <row r="99">
      <c r="D99">
        <f>IF(A99="","",VLOOKUP(A99,Lists!$A:$B,2,FALSE))</f>
        <v/>
      </c>
      <c r="W99" s="8">
        <f>IF(AND(U99&lt;&gt;"",V99&lt;&gt;""),U99*V99,"")</f>
        <v/>
      </c>
      <c r="Y99" s="8">
        <f>IF(AND(W99&lt;&gt;"",X99&lt;&gt;""),W99*X99,"")</f>
        <v/>
      </c>
      <c r="Z99" s="8">
        <f>IF(AND(W99&lt;&gt;"",Y99&lt;&gt;""),W99+Y99,"")</f>
        <v/>
      </c>
      <c r="AD99">
        <f>IF($B99="GWE_Item",IF($AA99="Elektra",(SUMIFS($O:$O,$A:$A,$A99,$B:$B,"GWE")-SUMIFS($N:$N,$A:$A,$A99,$B:$B,"GWE")),IF($AA99="Gas",(SUMIFS($Q:$Q,$A:$A,$A99,$B:$B,"GWE")-SUMIFS($P:$P,$A:$A,$A99,$B:$B,"GWE")),IF($AA99="Water",(SUMIFS($S:$S,$A:$A,$A99,$B:$B,"GWE")-SUMIFS($R:$R,$A:$A,$A99,$B:$B,"GWE")),""))),"")</f>
        <v/>
      </c>
      <c r="AF99" s="8">
        <f>IF(AND(AD99&lt;&gt;"",AE99&lt;&gt;""),AD99*AE99,"")</f>
        <v/>
      </c>
      <c r="AH99" s="8">
        <f>IF(AND(AF99&lt;&gt;"",AG99&lt;&gt;""),AF99*AG99,"")</f>
        <v/>
      </c>
      <c r="AI99" s="8">
        <f>IF(AND(AF99&lt;&gt;"",AH99&lt;&gt;""),AF99+AH99,"")</f>
        <v/>
      </c>
    </row>
    <row r="100">
      <c r="D100">
        <f>IF(A100="","",VLOOKUP(A100,Lists!$A:$B,2,FALSE))</f>
        <v/>
      </c>
      <c r="W100" s="8">
        <f>IF(AND(U100&lt;&gt;"",V100&lt;&gt;""),U100*V100,"")</f>
        <v/>
      </c>
      <c r="Y100" s="8">
        <f>IF(AND(W100&lt;&gt;"",X100&lt;&gt;""),W100*X100,"")</f>
        <v/>
      </c>
      <c r="Z100" s="8">
        <f>IF(AND(W100&lt;&gt;"",Y100&lt;&gt;""),W100+Y100,"")</f>
        <v/>
      </c>
      <c r="AD100">
        <f>IF($B100="GWE_Item",IF($AA100="Elektra",(SUMIFS($O:$O,$A:$A,$A100,$B:$B,"GWE")-SUMIFS($N:$N,$A:$A,$A100,$B:$B,"GWE")),IF($AA100="Gas",(SUMIFS($Q:$Q,$A:$A,$A100,$B:$B,"GWE")-SUMIFS($P:$P,$A:$A,$A100,$B:$B,"GWE")),IF($AA100="Water",(SUMIFS($S:$S,$A:$A,$A100,$B:$B,"GWE")-SUMIFS($R:$R,$A:$A,$A100,$B:$B,"GWE")),""))),"")</f>
        <v/>
      </c>
      <c r="AF100" s="8">
        <f>IF(AND(AD100&lt;&gt;"",AE100&lt;&gt;""),AD100*AE100,"")</f>
        <v/>
      </c>
      <c r="AH100" s="8">
        <f>IF(AND(AF100&lt;&gt;"",AG100&lt;&gt;""),AF100*AG100,"")</f>
        <v/>
      </c>
      <c r="AI100" s="8">
        <f>IF(AND(AF100&lt;&gt;"",AH100&lt;&gt;""),AF100+AH100,"")</f>
        <v/>
      </c>
    </row>
    <row r="101">
      <c r="D101">
        <f>IF(A101="","",VLOOKUP(A101,Lists!$A:$B,2,FALSE))</f>
        <v/>
      </c>
      <c r="W101" s="8">
        <f>IF(AND(U101&lt;&gt;"",V101&lt;&gt;""),U101*V101,"")</f>
        <v/>
      </c>
      <c r="Y101" s="8">
        <f>IF(AND(W101&lt;&gt;"",X101&lt;&gt;""),W101*X101,"")</f>
        <v/>
      </c>
      <c r="Z101" s="8">
        <f>IF(AND(W101&lt;&gt;"",Y101&lt;&gt;""),W101+Y101,"")</f>
        <v/>
      </c>
      <c r="AD101">
        <f>IF($B101="GWE_Item",IF($AA101="Elektra",(SUMIFS($O:$O,$A:$A,$A101,$B:$B,"GWE")-SUMIFS($N:$N,$A:$A,$A101,$B:$B,"GWE")),IF($AA101="Gas",(SUMIFS($Q:$Q,$A:$A,$A101,$B:$B,"GWE")-SUMIFS($P:$P,$A:$A,$A101,$B:$B,"GWE")),IF($AA101="Water",(SUMIFS($S:$S,$A:$A,$A101,$B:$B,"GWE")-SUMIFS($R:$R,$A:$A,$A101,$B:$B,"GWE")),""))),"")</f>
        <v/>
      </c>
      <c r="AF101" s="8">
        <f>IF(AND(AD101&lt;&gt;"",AE101&lt;&gt;""),AD101*AE101,"")</f>
        <v/>
      </c>
      <c r="AH101" s="8">
        <f>IF(AND(AF101&lt;&gt;"",AG101&lt;&gt;""),AF101*AG101,"")</f>
        <v/>
      </c>
      <c r="AI101" s="8">
        <f>IF(AND(AF101&lt;&gt;"",AH101&lt;&gt;""),AF101+AH101,"")</f>
        <v/>
      </c>
    </row>
    <row r="102">
      <c r="D102">
        <f>IF(A102="","",VLOOKUP(A102,Lists!$A:$B,2,FALSE))</f>
        <v/>
      </c>
      <c r="W102" s="8">
        <f>IF(AND(U102&lt;&gt;"",V102&lt;&gt;""),U102*V102,"")</f>
        <v/>
      </c>
      <c r="Y102" s="8">
        <f>IF(AND(W102&lt;&gt;"",X102&lt;&gt;""),W102*X102,"")</f>
        <v/>
      </c>
      <c r="Z102" s="8">
        <f>IF(AND(W102&lt;&gt;"",Y102&lt;&gt;""),W102+Y102,"")</f>
        <v/>
      </c>
      <c r="AD102">
        <f>IF($B102="GWE_Item",IF($AA102="Elektra",(SUMIFS($O:$O,$A:$A,$A102,$B:$B,"GWE")-SUMIFS($N:$N,$A:$A,$A102,$B:$B,"GWE")),IF($AA102="Gas",(SUMIFS($Q:$Q,$A:$A,$A102,$B:$B,"GWE")-SUMIFS($P:$P,$A:$A,$A102,$B:$B,"GWE")),IF($AA102="Water",(SUMIFS($S:$S,$A:$A,$A102,$B:$B,"GWE")-SUMIFS($R:$R,$A:$A,$A102,$B:$B,"GWE")),""))),"")</f>
        <v/>
      </c>
      <c r="AF102" s="8">
        <f>IF(AND(AD102&lt;&gt;"",AE102&lt;&gt;""),AD102*AE102,"")</f>
        <v/>
      </c>
      <c r="AH102" s="8">
        <f>IF(AND(AF102&lt;&gt;"",AG102&lt;&gt;""),AF102*AG102,"")</f>
        <v/>
      </c>
      <c r="AI102" s="8">
        <f>IF(AND(AF102&lt;&gt;"",AH102&lt;&gt;""),AF102+AH102,"")</f>
        <v/>
      </c>
    </row>
    <row r="103">
      <c r="D103">
        <f>IF(A103="","",VLOOKUP(A103,Lists!$A:$B,2,FALSE))</f>
        <v/>
      </c>
      <c r="W103" s="8">
        <f>IF(AND(U103&lt;&gt;"",V103&lt;&gt;""),U103*V103,"")</f>
        <v/>
      </c>
      <c r="Y103" s="8">
        <f>IF(AND(W103&lt;&gt;"",X103&lt;&gt;""),W103*X103,"")</f>
        <v/>
      </c>
      <c r="Z103" s="8">
        <f>IF(AND(W103&lt;&gt;"",Y103&lt;&gt;""),W103+Y103,"")</f>
        <v/>
      </c>
      <c r="AD103">
        <f>IF($B103="GWE_Item",IF($AA103="Elektra",(SUMIFS($O:$O,$A:$A,$A103,$B:$B,"GWE")-SUMIFS($N:$N,$A:$A,$A103,$B:$B,"GWE")),IF($AA103="Gas",(SUMIFS($Q:$Q,$A:$A,$A103,$B:$B,"GWE")-SUMIFS($P:$P,$A:$A,$A103,$B:$B,"GWE")),IF($AA103="Water",(SUMIFS($S:$S,$A:$A,$A103,$B:$B,"GWE")-SUMIFS($R:$R,$A:$A,$A103,$B:$B,"GWE")),""))),"")</f>
        <v/>
      </c>
      <c r="AF103" s="8">
        <f>IF(AND(AD103&lt;&gt;"",AE103&lt;&gt;""),AD103*AE103,"")</f>
        <v/>
      </c>
      <c r="AH103" s="8">
        <f>IF(AND(AF103&lt;&gt;"",AG103&lt;&gt;""),AF103*AG103,"")</f>
        <v/>
      </c>
      <c r="AI103" s="8">
        <f>IF(AND(AF103&lt;&gt;"",AH103&lt;&gt;""),AF103+AH103,"")</f>
        <v/>
      </c>
    </row>
    <row r="104">
      <c r="D104">
        <f>IF(A104="","",VLOOKUP(A104,Lists!$A:$B,2,FALSE))</f>
        <v/>
      </c>
      <c r="W104" s="8">
        <f>IF(AND(U104&lt;&gt;"",V104&lt;&gt;""),U104*V104,"")</f>
        <v/>
      </c>
      <c r="Y104" s="8">
        <f>IF(AND(W104&lt;&gt;"",X104&lt;&gt;""),W104*X104,"")</f>
        <v/>
      </c>
      <c r="Z104" s="8">
        <f>IF(AND(W104&lt;&gt;"",Y104&lt;&gt;""),W104+Y104,"")</f>
        <v/>
      </c>
      <c r="AD104">
        <f>IF($B104="GWE_Item",IF($AA104="Elektra",(SUMIFS($O:$O,$A:$A,$A104,$B:$B,"GWE")-SUMIFS($N:$N,$A:$A,$A104,$B:$B,"GWE")),IF($AA104="Gas",(SUMIFS($Q:$Q,$A:$A,$A104,$B:$B,"GWE")-SUMIFS($P:$P,$A:$A,$A104,$B:$B,"GWE")),IF($AA104="Water",(SUMIFS($S:$S,$A:$A,$A104,$B:$B,"GWE")-SUMIFS($R:$R,$A:$A,$A104,$B:$B,"GWE")),""))),"")</f>
        <v/>
      </c>
      <c r="AF104" s="8">
        <f>IF(AND(AD104&lt;&gt;"",AE104&lt;&gt;""),AD104*AE104,"")</f>
        <v/>
      </c>
      <c r="AH104" s="8">
        <f>IF(AND(AF104&lt;&gt;"",AG104&lt;&gt;""),AF104*AG104,"")</f>
        <v/>
      </c>
      <c r="AI104" s="8">
        <f>IF(AND(AF104&lt;&gt;"",AH104&lt;&gt;""),AF104+AH104,"")</f>
        <v/>
      </c>
    </row>
    <row r="105">
      <c r="D105">
        <f>IF(A105="","",VLOOKUP(A105,Lists!$A:$B,2,FALSE))</f>
        <v/>
      </c>
      <c r="W105" s="8">
        <f>IF(AND(U105&lt;&gt;"",V105&lt;&gt;""),U105*V105,"")</f>
        <v/>
      </c>
      <c r="Y105" s="8">
        <f>IF(AND(W105&lt;&gt;"",X105&lt;&gt;""),W105*X105,"")</f>
        <v/>
      </c>
      <c r="Z105" s="8">
        <f>IF(AND(W105&lt;&gt;"",Y105&lt;&gt;""),W105+Y105,"")</f>
        <v/>
      </c>
      <c r="AD105">
        <f>IF($B105="GWE_Item",IF($AA105="Elektra",(SUMIFS($O:$O,$A:$A,$A105,$B:$B,"GWE")-SUMIFS($N:$N,$A:$A,$A105,$B:$B,"GWE")),IF($AA105="Gas",(SUMIFS($Q:$Q,$A:$A,$A105,$B:$B,"GWE")-SUMIFS($P:$P,$A:$A,$A105,$B:$B,"GWE")),IF($AA105="Water",(SUMIFS($S:$S,$A:$A,$A105,$B:$B,"GWE")-SUMIFS($R:$R,$A:$A,$A105,$B:$B,"GWE")),""))),"")</f>
        <v/>
      </c>
      <c r="AF105" s="8">
        <f>IF(AND(AD105&lt;&gt;"",AE105&lt;&gt;""),AD105*AE105,"")</f>
        <v/>
      </c>
      <c r="AH105" s="8">
        <f>IF(AND(AF105&lt;&gt;"",AG105&lt;&gt;""),AF105*AG105,"")</f>
        <v/>
      </c>
      <c r="AI105" s="8">
        <f>IF(AND(AF105&lt;&gt;"",AH105&lt;&gt;""),AF105+AH105,"")</f>
        <v/>
      </c>
    </row>
    <row r="106">
      <c r="D106">
        <f>IF(A106="","",VLOOKUP(A106,Lists!$A:$B,2,FALSE))</f>
        <v/>
      </c>
      <c r="W106" s="8">
        <f>IF(AND(U106&lt;&gt;"",V106&lt;&gt;""),U106*V106,"")</f>
        <v/>
      </c>
      <c r="Y106" s="8">
        <f>IF(AND(W106&lt;&gt;"",X106&lt;&gt;""),W106*X106,"")</f>
        <v/>
      </c>
      <c r="Z106" s="8">
        <f>IF(AND(W106&lt;&gt;"",Y106&lt;&gt;""),W106+Y106,"")</f>
        <v/>
      </c>
      <c r="AD106">
        <f>IF($B106="GWE_Item",IF($AA106="Elektra",(SUMIFS($O:$O,$A:$A,$A106,$B:$B,"GWE")-SUMIFS($N:$N,$A:$A,$A106,$B:$B,"GWE")),IF($AA106="Gas",(SUMIFS($Q:$Q,$A:$A,$A106,$B:$B,"GWE")-SUMIFS($P:$P,$A:$A,$A106,$B:$B,"GWE")),IF($AA106="Water",(SUMIFS($S:$S,$A:$A,$A106,$B:$B,"GWE")-SUMIFS($R:$R,$A:$A,$A106,$B:$B,"GWE")),""))),"")</f>
        <v/>
      </c>
      <c r="AF106" s="8">
        <f>IF(AND(AD106&lt;&gt;"",AE106&lt;&gt;""),AD106*AE106,"")</f>
        <v/>
      </c>
      <c r="AH106" s="8">
        <f>IF(AND(AF106&lt;&gt;"",AG106&lt;&gt;""),AF106*AG106,"")</f>
        <v/>
      </c>
      <c r="AI106" s="8">
        <f>IF(AND(AF106&lt;&gt;"",AH106&lt;&gt;""),AF106+AH106,"")</f>
        <v/>
      </c>
    </row>
    <row r="107">
      <c r="D107">
        <f>IF(A107="","",VLOOKUP(A107,Lists!$A:$B,2,FALSE))</f>
        <v/>
      </c>
      <c r="W107" s="8">
        <f>IF(AND(U107&lt;&gt;"",V107&lt;&gt;""),U107*V107,"")</f>
        <v/>
      </c>
      <c r="Y107" s="8">
        <f>IF(AND(W107&lt;&gt;"",X107&lt;&gt;""),W107*X107,"")</f>
        <v/>
      </c>
      <c r="Z107" s="8">
        <f>IF(AND(W107&lt;&gt;"",Y107&lt;&gt;""),W107+Y107,"")</f>
        <v/>
      </c>
      <c r="AD107">
        <f>IF($B107="GWE_Item",IF($AA107="Elektra",(SUMIFS($O:$O,$A:$A,$A107,$B:$B,"GWE")-SUMIFS($N:$N,$A:$A,$A107,$B:$B,"GWE")),IF($AA107="Gas",(SUMIFS($Q:$Q,$A:$A,$A107,$B:$B,"GWE")-SUMIFS($P:$P,$A:$A,$A107,$B:$B,"GWE")),IF($AA107="Water",(SUMIFS($S:$S,$A:$A,$A107,$B:$B,"GWE")-SUMIFS($R:$R,$A:$A,$A107,$B:$B,"GWE")),""))),"")</f>
        <v/>
      </c>
      <c r="AF107" s="8">
        <f>IF(AND(AD107&lt;&gt;"",AE107&lt;&gt;""),AD107*AE107,"")</f>
        <v/>
      </c>
      <c r="AH107" s="8">
        <f>IF(AND(AF107&lt;&gt;"",AG107&lt;&gt;""),AF107*AG107,"")</f>
        <v/>
      </c>
      <c r="AI107" s="8">
        <f>IF(AND(AF107&lt;&gt;"",AH107&lt;&gt;""),AF107+AH107,"")</f>
        <v/>
      </c>
    </row>
    <row r="108">
      <c r="D108">
        <f>IF(A108="","",VLOOKUP(A108,Lists!$A:$B,2,FALSE))</f>
        <v/>
      </c>
      <c r="W108" s="8">
        <f>IF(AND(U108&lt;&gt;"",V108&lt;&gt;""),U108*V108,"")</f>
        <v/>
      </c>
      <c r="Y108" s="8">
        <f>IF(AND(W108&lt;&gt;"",X108&lt;&gt;""),W108*X108,"")</f>
        <v/>
      </c>
      <c r="Z108" s="8">
        <f>IF(AND(W108&lt;&gt;"",Y108&lt;&gt;""),W108+Y108,"")</f>
        <v/>
      </c>
      <c r="AD108">
        <f>IF($B108="GWE_Item",IF($AA108="Elektra",(SUMIFS($O:$O,$A:$A,$A108,$B:$B,"GWE")-SUMIFS($N:$N,$A:$A,$A108,$B:$B,"GWE")),IF($AA108="Gas",(SUMIFS($Q:$Q,$A:$A,$A108,$B:$B,"GWE")-SUMIFS($P:$P,$A:$A,$A108,$B:$B,"GWE")),IF($AA108="Water",(SUMIFS($S:$S,$A:$A,$A108,$B:$B,"GWE")-SUMIFS($R:$R,$A:$A,$A108,$B:$B,"GWE")),""))),"")</f>
        <v/>
      </c>
      <c r="AF108" s="8">
        <f>IF(AND(AD108&lt;&gt;"",AE108&lt;&gt;""),AD108*AE108,"")</f>
        <v/>
      </c>
      <c r="AH108" s="8">
        <f>IF(AND(AF108&lt;&gt;"",AG108&lt;&gt;""),AF108*AG108,"")</f>
        <v/>
      </c>
      <c r="AI108" s="8">
        <f>IF(AND(AF108&lt;&gt;"",AH108&lt;&gt;""),AF108+AH108,"")</f>
        <v/>
      </c>
    </row>
    <row r="109">
      <c r="D109">
        <f>IF(A109="","",VLOOKUP(A109,Lists!$A:$B,2,FALSE))</f>
        <v/>
      </c>
      <c r="W109" s="8">
        <f>IF(AND(U109&lt;&gt;"",V109&lt;&gt;""),U109*V109,"")</f>
        <v/>
      </c>
      <c r="Y109" s="8">
        <f>IF(AND(W109&lt;&gt;"",X109&lt;&gt;""),W109*X109,"")</f>
        <v/>
      </c>
      <c r="Z109" s="8">
        <f>IF(AND(W109&lt;&gt;"",Y109&lt;&gt;""),W109+Y109,"")</f>
        <v/>
      </c>
      <c r="AD109">
        <f>IF($B109="GWE_Item",IF($AA109="Elektra",(SUMIFS($O:$O,$A:$A,$A109,$B:$B,"GWE")-SUMIFS($N:$N,$A:$A,$A109,$B:$B,"GWE")),IF($AA109="Gas",(SUMIFS($Q:$Q,$A:$A,$A109,$B:$B,"GWE")-SUMIFS($P:$P,$A:$A,$A109,$B:$B,"GWE")),IF($AA109="Water",(SUMIFS($S:$S,$A:$A,$A109,$B:$B,"GWE")-SUMIFS($R:$R,$A:$A,$A109,$B:$B,"GWE")),""))),"")</f>
        <v/>
      </c>
      <c r="AF109" s="8">
        <f>IF(AND(AD109&lt;&gt;"",AE109&lt;&gt;""),AD109*AE109,"")</f>
        <v/>
      </c>
      <c r="AH109" s="8">
        <f>IF(AND(AF109&lt;&gt;"",AG109&lt;&gt;""),AF109*AG109,"")</f>
        <v/>
      </c>
      <c r="AI109" s="8">
        <f>IF(AND(AF109&lt;&gt;"",AH109&lt;&gt;""),AF109+AH109,"")</f>
        <v/>
      </c>
    </row>
    <row r="110">
      <c r="D110">
        <f>IF(A110="","",VLOOKUP(A110,Lists!$A:$B,2,FALSE))</f>
        <v/>
      </c>
      <c r="W110" s="8">
        <f>IF(AND(U110&lt;&gt;"",V110&lt;&gt;""),U110*V110,"")</f>
        <v/>
      </c>
      <c r="Y110" s="8">
        <f>IF(AND(W110&lt;&gt;"",X110&lt;&gt;""),W110*X110,"")</f>
        <v/>
      </c>
      <c r="Z110" s="8">
        <f>IF(AND(W110&lt;&gt;"",Y110&lt;&gt;""),W110+Y110,"")</f>
        <v/>
      </c>
      <c r="AD110">
        <f>IF($B110="GWE_Item",IF($AA110="Elektra",(SUMIFS($O:$O,$A:$A,$A110,$B:$B,"GWE")-SUMIFS($N:$N,$A:$A,$A110,$B:$B,"GWE")),IF($AA110="Gas",(SUMIFS($Q:$Q,$A:$A,$A110,$B:$B,"GWE")-SUMIFS($P:$P,$A:$A,$A110,$B:$B,"GWE")),IF($AA110="Water",(SUMIFS($S:$S,$A:$A,$A110,$B:$B,"GWE")-SUMIFS($R:$R,$A:$A,$A110,$B:$B,"GWE")),""))),"")</f>
        <v/>
      </c>
      <c r="AF110" s="8">
        <f>IF(AND(AD110&lt;&gt;"",AE110&lt;&gt;""),AD110*AE110,"")</f>
        <v/>
      </c>
      <c r="AH110" s="8">
        <f>IF(AND(AF110&lt;&gt;"",AG110&lt;&gt;""),AF110*AG110,"")</f>
        <v/>
      </c>
      <c r="AI110" s="8">
        <f>IF(AND(AF110&lt;&gt;"",AH110&lt;&gt;""),AF110+AH110,"")</f>
        <v/>
      </c>
    </row>
    <row r="111">
      <c r="D111">
        <f>IF(A111="","",VLOOKUP(A111,Lists!$A:$B,2,FALSE))</f>
        <v/>
      </c>
      <c r="W111" s="8">
        <f>IF(AND(U111&lt;&gt;"",V111&lt;&gt;""),U111*V111,"")</f>
        <v/>
      </c>
      <c r="Y111" s="8">
        <f>IF(AND(W111&lt;&gt;"",X111&lt;&gt;""),W111*X111,"")</f>
        <v/>
      </c>
      <c r="Z111" s="8">
        <f>IF(AND(W111&lt;&gt;"",Y111&lt;&gt;""),W111+Y111,"")</f>
        <v/>
      </c>
      <c r="AD111">
        <f>IF($B111="GWE_Item",IF($AA111="Elektra",(SUMIFS($O:$O,$A:$A,$A111,$B:$B,"GWE")-SUMIFS($N:$N,$A:$A,$A111,$B:$B,"GWE")),IF($AA111="Gas",(SUMIFS($Q:$Q,$A:$A,$A111,$B:$B,"GWE")-SUMIFS($P:$P,$A:$A,$A111,$B:$B,"GWE")),IF($AA111="Water",(SUMIFS($S:$S,$A:$A,$A111,$B:$B,"GWE")-SUMIFS($R:$R,$A:$A,$A111,$B:$B,"GWE")),""))),"")</f>
        <v/>
      </c>
      <c r="AF111" s="8">
        <f>IF(AND(AD111&lt;&gt;"",AE111&lt;&gt;""),AD111*AE111,"")</f>
        <v/>
      </c>
      <c r="AH111" s="8">
        <f>IF(AND(AF111&lt;&gt;"",AG111&lt;&gt;""),AF111*AG111,"")</f>
        <v/>
      </c>
      <c r="AI111" s="8">
        <f>IF(AND(AF111&lt;&gt;"",AH111&lt;&gt;""),AF111+AH111,"")</f>
        <v/>
      </c>
    </row>
    <row r="112">
      <c r="D112">
        <f>IF(A112="","",VLOOKUP(A112,Lists!$A:$B,2,FALSE))</f>
        <v/>
      </c>
      <c r="W112" s="8">
        <f>IF(AND(U112&lt;&gt;"",V112&lt;&gt;""),U112*V112,"")</f>
        <v/>
      </c>
      <c r="Y112" s="8">
        <f>IF(AND(W112&lt;&gt;"",X112&lt;&gt;""),W112*X112,"")</f>
        <v/>
      </c>
      <c r="Z112" s="8">
        <f>IF(AND(W112&lt;&gt;"",Y112&lt;&gt;""),W112+Y112,"")</f>
        <v/>
      </c>
      <c r="AD112">
        <f>IF($B112="GWE_Item",IF($AA112="Elektra",(SUMIFS($O:$O,$A:$A,$A112,$B:$B,"GWE")-SUMIFS($N:$N,$A:$A,$A112,$B:$B,"GWE")),IF($AA112="Gas",(SUMIFS($Q:$Q,$A:$A,$A112,$B:$B,"GWE")-SUMIFS($P:$P,$A:$A,$A112,$B:$B,"GWE")),IF($AA112="Water",(SUMIFS($S:$S,$A:$A,$A112,$B:$B,"GWE")-SUMIFS($R:$R,$A:$A,$A112,$B:$B,"GWE")),""))),"")</f>
        <v/>
      </c>
      <c r="AF112" s="8">
        <f>IF(AND(AD112&lt;&gt;"",AE112&lt;&gt;""),AD112*AE112,"")</f>
        <v/>
      </c>
      <c r="AH112" s="8">
        <f>IF(AND(AF112&lt;&gt;"",AG112&lt;&gt;""),AF112*AG112,"")</f>
        <v/>
      </c>
      <c r="AI112" s="8">
        <f>IF(AND(AF112&lt;&gt;"",AH112&lt;&gt;""),AF112+AH112,"")</f>
        <v/>
      </c>
    </row>
    <row r="113">
      <c r="D113">
        <f>IF(A113="","",VLOOKUP(A113,Lists!$A:$B,2,FALSE))</f>
        <v/>
      </c>
      <c r="W113" s="8">
        <f>IF(AND(U113&lt;&gt;"",V113&lt;&gt;""),U113*V113,"")</f>
        <v/>
      </c>
      <c r="Y113" s="8">
        <f>IF(AND(W113&lt;&gt;"",X113&lt;&gt;""),W113*X113,"")</f>
        <v/>
      </c>
      <c r="Z113" s="8">
        <f>IF(AND(W113&lt;&gt;"",Y113&lt;&gt;""),W113+Y113,"")</f>
        <v/>
      </c>
      <c r="AD113">
        <f>IF($B113="GWE_Item",IF($AA113="Elektra",(SUMIFS($O:$O,$A:$A,$A113,$B:$B,"GWE")-SUMIFS($N:$N,$A:$A,$A113,$B:$B,"GWE")),IF($AA113="Gas",(SUMIFS($Q:$Q,$A:$A,$A113,$B:$B,"GWE")-SUMIFS($P:$P,$A:$A,$A113,$B:$B,"GWE")),IF($AA113="Water",(SUMIFS($S:$S,$A:$A,$A113,$B:$B,"GWE")-SUMIFS($R:$R,$A:$A,$A113,$B:$B,"GWE")),""))),"")</f>
        <v/>
      </c>
      <c r="AF113" s="8">
        <f>IF(AND(AD113&lt;&gt;"",AE113&lt;&gt;""),AD113*AE113,"")</f>
        <v/>
      </c>
      <c r="AH113" s="8">
        <f>IF(AND(AF113&lt;&gt;"",AG113&lt;&gt;""),AF113*AG113,"")</f>
        <v/>
      </c>
      <c r="AI113" s="8">
        <f>IF(AND(AF113&lt;&gt;"",AH113&lt;&gt;""),AF113+AH113,"")</f>
        <v/>
      </c>
    </row>
    <row r="114">
      <c r="D114">
        <f>IF(A114="","",VLOOKUP(A114,Lists!$A:$B,2,FALSE))</f>
        <v/>
      </c>
      <c r="W114" s="8">
        <f>IF(AND(U114&lt;&gt;"",V114&lt;&gt;""),U114*V114,"")</f>
        <v/>
      </c>
      <c r="Y114" s="8">
        <f>IF(AND(W114&lt;&gt;"",X114&lt;&gt;""),W114*X114,"")</f>
        <v/>
      </c>
      <c r="Z114" s="8">
        <f>IF(AND(W114&lt;&gt;"",Y114&lt;&gt;""),W114+Y114,"")</f>
        <v/>
      </c>
      <c r="AD114">
        <f>IF($B114="GWE_Item",IF($AA114="Elektra",(SUMIFS($O:$O,$A:$A,$A114,$B:$B,"GWE")-SUMIFS($N:$N,$A:$A,$A114,$B:$B,"GWE")),IF($AA114="Gas",(SUMIFS($Q:$Q,$A:$A,$A114,$B:$B,"GWE")-SUMIFS($P:$P,$A:$A,$A114,$B:$B,"GWE")),IF($AA114="Water",(SUMIFS($S:$S,$A:$A,$A114,$B:$B,"GWE")-SUMIFS($R:$R,$A:$A,$A114,$B:$B,"GWE")),""))),"")</f>
        <v/>
      </c>
      <c r="AF114" s="8">
        <f>IF(AND(AD114&lt;&gt;"",AE114&lt;&gt;""),AD114*AE114,"")</f>
        <v/>
      </c>
      <c r="AH114" s="8">
        <f>IF(AND(AF114&lt;&gt;"",AG114&lt;&gt;""),AF114*AG114,"")</f>
        <v/>
      </c>
      <c r="AI114" s="8">
        <f>IF(AND(AF114&lt;&gt;"",AH114&lt;&gt;""),AF114+AH114,"")</f>
        <v/>
      </c>
    </row>
    <row r="115">
      <c r="D115">
        <f>IF(A115="","",VLOOKUP(A115,Lists!$A:$B,2,FALSE))</f>
        <v/>
      </c>
      <c r="W115" s="8">
        <f>IF(AND(U115&lt;&gt;"",V115&lt;&gt;""),U115*V115,"")</f>
        <v/>
      </c>
      <c r="Y115" s="8">
        <f>IF(AND(W115&lt;&gt;"",X115&lt;&gt;""),W115*X115,"")</f>
        <v/>
      </c>
      <c r="Z115" s="8">
        <f>IF(AND(W115&lt;&gt;"",Y115&lt;&gt;""),W115+Y115,"")</f>
        <v/>
      </c>
      <c r="AD115">
        <f>IF($B115="GWE_Item",IF($AA115="Elektra",(SUMIFS($O:$O,$A:$A,$A115,$B:$B,"GWE")-SUMIFS($N:$N,$A:$A,$A115,$B:$B,"GWE")),IF($AA115="Gas",(SUMIFS($Q:$Q,$A:$A,$A115,$B:$B,"GWE")-SUMIFS($P:$P,$A:$A,$A115,$B:$B,"GWE")),IF($AA115="Water",(SUMIFS($S:$S,$A:$A,$A115,$B:$B,"GWE")-SUMIFS($R:$R,$A:$A,$A115,$B:$B,"GWE")),""))),"")</f>
        <v/>
      </c>
      <c r="AF115" s="8">
        <f>IF(AND(AD115&lt;&gt;"",AE115&lt;&gt;""),AD115*AE115,"")</f>
        <v/>
      </c>
      <c r="AH115" s="8">
        <f>IF(AND(AF115&lt;&gt;"",AG115&lt;&gt;""),AF115*AG115,"")</f>
        <v/>
      </c>
      <c r="AI115" s="8">
        <f>IF(AND(AF115&lt;&gt;"",AH115&lt;&gt;""),AF115+AH115,"")</f>
        <v/>
      </c>
    </row>
    <row r="116">
      <c r="D116">
        <f>IF(A116="","",VLOOKUP(A116,Lists!$A:$B,2,FALSE))</f>
        <v/>
      </c>
      <c r="W116" s="8">
        <f>IF(AND(U116&lt;&gt;"",V116&lt;&gt;""),U116*V116,"")</f>
        <v/>
      </c>
      <c r="Y116" s="8">
        <f>IF(AND(W116&lt;&gt;"",X116&lt;&gt;""),W116*X116,"")</f>
        <v/>
      </c>
      <c r="Z116" s="8">
        <f>IF(AND(W116&lt;&gt;"",Y116&lt;&gt;""),W116+Y116,"")</f>
        <v/>
      </c>
      <c r="AD116">
        <f>IF($B116="GWE_Item",IF($AA116="Elektra",(SUMIFS($O:$O,$A:$A,$A116,$B:$B,"GWE")-SUMIFS($N:$N,$A:$A,$A116,$B:$B,"GWE")),IF($AA116="Gas",(SUMIFS($Q:$Q,$A:$A,$A116,$B:$B,"GWE")-SUMIFS($P:$P,$A:$A,$A116,$B:$B,"GWE")),IF($AA116="Water",(SUMIFS($S:$S,$A:$A,$A116,$B:$B,"GWE")-SUMIFS($R:$R,$A:$A,$A116,$B:$B,"GWE")),""))),"")</f>
        <v/>
      </c>
      <c r="AF116" s="8">
        <f>IF(AND(AD116&lt;&gt;"",AE116&lt;&gt;""),AD116*AE116,"")</f>
        <v/>
      </c>
      <c r="AH116" s="8">
        <f>IF(AND(AF116&lt;&gt;"",AG116&lt;&gt;""),AF116*AG116,"")</f>
        <v/>
      </c>
      <c r="AI116" s="8">
        <f>IF(AND(AF116&lt;&gt;"",AH116&lt;&gt;""),AF116+AH116,"")</f>
        <v/>
      </c>
    </row>
    <row r="117">
      <c r="D117">
        <f>IF(A117="","",VLOOKUP(A117,Lists!$A:$B,2,FALSE))</f>
        <v/>
      </c>
      <c r="W117" s="8">
        <f>IF(AND(U117&lt;&gt;"",V117&lt;&gt;""),U117*V117,"")</f>
        <v/>
      </c>
      <c r="Y117" s="8">
        <f>IF(AND(W117&lt;&gt;"",X117&lt;&gt;""),W117*X117,"")</f>
        <v/>
      </c>
      <c r="Z117" s="8">
        <f>IF(AND(W117&lt;&gt;"",Y117&lt;&gt;""),W117+Y117,"")</f>
        <v/>
      </c>
      <c r="AD117">
        <f>IF($B117="GWE_Item",IF($AA117="Elektra",(SUMIFS($O:$O,$A:$A,$A117,$B:$B,"GWE")-SUMIFS($N:$N,$A:$A,$A117,$B:$B,"GWE")),IF($AA117="Gas",(SUMIFS($Q:$Q,$A:$A,$A117,$B:$B,"GWE")-SUMIFS($P:$P,$A:$A,$A117,$B:$B,"GWE")),IF($AA117="Water",(SUMIFS($S:$S,$A:$A,$A117,$B:$B,"GWE")-SUMIFS($R:$R,$A:$A,$A117,$B:$B,"GWE")),""))),"")</f>
        <v/>
      </c>
      <c r="AF117" s="8">
        <f>IF(AND(AD117&lt;&gt;"",AE117&lt;&gt;""),AD117*AE117,"")</f>
        <v/>
      </c>
      <c r="AH117" s="8">
        <f>IF(AND(AF117&lt;&gt;"",AG117&lt;&gt;""),AF117*AG117,"")</f>
        <v/>
      </c>
      <c r="AI117" s="8">
        <f>IF(AND(AF117&lt;&gt;"",AH117&lt;&gt;""),AF117+AH117,"")</f>
        <v/>
      </c>
    </row>
    <row r="118">
      <c r="D118">
        <f>IF(A118="","",VLOOKUP(A118,Lists!$A:$B,2,FALSE))</f>
        <v/>
      </c>
      <c r="W118" s="8">
        <f>IF(AND(U118&lt;&gt;"",V118&lt;&gt;""),U118*V118,"")</f>
        <v/>
      </c>
      <c r="Y118" s="8">
        <f>IF(AND(W118&lt;&gt;"",X118&lt;&gt;""),W118*X118,"")</f>
        <v/>
      </c>
      <c r="Z118" s="8">
        <f>IF(AND(W118&lt;&gt;"",Y118&lt;&gt;""),W118+Y118,"")</f>
        <v/>
      </c>
      <c r="AD118">
        <f>IF($B118="GWE_Item",IF($AA118="Elektra",(SUMIFS($O:$O,$A:$A,$A118,$B:$B,"GWE")-SUMIFS($N:$N,$A:$A,$A118,$B:$B,"GWE")),IF($AA118="Gas",(SUMIFS($Q:$Q,$A:$A,$A118,$B:$B,"GWE")-SUMIFS($P:$P,$A:$A,$A118,$B:$B,"GWE")),IF($AA118="Water",(SUMIFS($S:$S,$A:$A,$A118,$B:$B,"GWE")-SUMIFS($R:$R,$A:$A,$A118,$B:$B,"GWE")),""))),"")</f>
        <v/>
      </c>
      <c r="AF118" s="8">
        <f>IF(AND(AD118&lt;&gt;"",AE118&lt;&gt;""),AD118*AE118,"")</f>
        <v/>
      </c>
      <c r="AH118" s="8">
        <f>IF(AND(AF118&lt;&gt;"",AG118&lt;&gt;""),AF118*AG118,"")</f>
        <v/>
      </c>
      <c r="AI118" s="8">
        <f>IF(AND(AF118&lt;&gt;"",AH118&lt;&gt;""),AF118+AH118,"")</f>
        <v/>
      </c>
    </row>
    <row r="119">
      <c r="D119">
        <f>IF(A119="","",VLOOKUP(A119,Lists!$A:$B,2,FALSE))</f>
        <v/>
      </c>
      <c r="W119" s="8">
        <f>IF(AND(U119&lt;&gt;"",V119&lt;&gt;""),U119*V119,"")</f>
        <v/>
      </c>
      <c r="Y119" s="8">
        <f>IF(AND(W119&lt;&gt;"",X119&lt;&gt;""),W119*X119,"")</f>
        <v/>
      </c>
      <c r="Z119" s="8">
        <f>IF(AND(W119&lt;&gt;"",Y119&lt;&gt;""),W119+Y119,"")</f>
        <v/>
      </c>
      <c r="AD119">
        <f>IF($B119="GWE_Item",IF($AA119="Elektra",(SUMIFS($O:$O,$A:$A,$A119,$B:$B,"GWE")-SUMIFS($N:$N,$A:$A,$A119,$B:$B,"GWE")),IF($AA119="Gas",(SUMIFS($Q:$Q,$A:$A,$A119,$B:$B,"GWE")-SUMIFS($P:$P,$A:$A,$A119,$B:$B,"GWE")),IF($AA119="Water",(SUMIFS($S:$S,$A:$A,$A119,$B:$B,"GWE")-SUMIFS($R:$R,$A:$A,$A119,$B:$B,"GWE")),""))),"")</f>
        <v/>
      </c>
      <c r="AF119" s="8">
        <f>IF(AND(AD119&lt;&gt;"",AE119&lt;&gt;""),AD119*AE119,"")</f>
        <v/>
      </c>
      <c r="AH119" s="8">
        <f>IF(AND(AF119&lt;&gt;"",AG119&lt;&gt;""),AF119*AG119,"")</f>
        <v/>
      </c>
      <c r="AI119" s="8">
        <f>IF(AND(AF119&lt;&gt;"",AH119&lt;&gt;""),AF119+AH119,"")</f>
        <v/>
      </c>
    </row>
    <row r="120">
      <c r="D120">
        <f>IF(A120="","",VLOOKUP(A120,Lists!$A:$B,2,FALSE))</f>
        <v/>
      </c>
      <c r="W120" s="8">
        <f>IF(AND(U120&lt;&gt;"",V120&lt;&gt;""),U120*V120,"")</f>
        <v/>
      </c>
      <c r="Y120" s="8">
        <f>IF(AND(W120&lt;&gt;"",X120&lt;&gt;""),W120*X120,"")</f>
        <v/>
      </c>
      <c r="Z120" s="8">
        <f>IF(AND(W120&lt;&gt;"",Y120&lt;&gt;""),W120+Y120,"")</f>
        <v/>
      </c>
      <c r="AD120">
        <f>IF($B120="GWE_Item",IF($AA120="Elektra",(SUMIFS($O:$O,$A:$A,$A120,$B:$B,"GWE")-SUMIFS($N:$N,$A:$A,$A120,$B:$B,"GWE")),IF($AA120="Gas",(SUMIFS($Q:$Q,$A:$A,$A120,$B:$B,"GWE")-SUMIFS($P:$P,$A:$A,$A120,$B:$B,"GWE")),IF($AA120="Water",(SUMIFS($S:$S,$A:$A,$A120,$B:$B,"GWE")-SUMIFS($R:$R,$A:$A,$A120,$B:$B,"GWE")),""))),"")</f>
        <v/>
      </c>
      <c r="AF120" s="8">
        <f>IF(AND(AD120&lt;&gt;"",AE120&lt;&gt;""),AD120*AE120,"")</f>
        <v/>
      </c>
      <c r="AH120" s="8">
        <f>IF(AND(AF120&lt;&gt;"",AG120&lt;&gt;""),AF120*AG120,"")</f>
        <v/>
      </c>
      <c r="AI120" s="8">
        <f>IF(AND(AF120&lt;&gt;"",AH120&lt;&gt;""),AF120+AH120,"")</f>
        <v/>
      </c>
    </row>
    <row r="121">
      <c r="D121">
        <f>IF(A121="","",VLOOKUP(A121,Lists!$A:$B,2,FALSE))</f>
        <v/>
      </c>
      <c r="W121" s="8">
        <f>IF(AND(U121&lt;&gt;"",V121&lt;&gt;""),U121*V121,"")</f>
        <v/>
      </c>
      <c r="Y121" s="8">
        <f>IF(AND(W121&lt;&gt;"",X121&lt;&gt;""),W121*X121,"")</f>
        <v/>
      </c>
      <c r="Z121" s="8">
        <f>IF(AND(W121&lt;&gt;"",Y121&lt;&gt;""),W121+Y121,"")</f>
        <v/>
      </c>
      <c r="AD121">
        <f>IF($B121="GWE_Item",IF($AA121="Elektra",(SUMIFS($O:$O,$A:$A,$A121,$B:$B,"GWE")-SUMIFS($N:$N,$A:$A,$A121,$B:$B,"GWE")),IF($AA121="Gas",(SUMIFS($Q:$Q,$A:$A,$A121,$B:$B,"GWE")-SUMIFS($P:$P,$A:$A,$A121,$B:$B,"GWE")),IF($AA121="Water",(SUMIFS($S:$S,$A:$A,$A121,$B:$B,"GWE")-SUMIFS($R:$R,$A:$A,$A121,$B:$B,"GWE")),""))),"")</f>
        <v/>
      </c>
      <c r="AF121" s="8">
        <f>IF(AND(AD121&lt;&gt;"",AE121&lt;&gt;""),AD121*AE121,"")</f>
        <v/>
      </c>
      <c r="AH121" s="8">
        <f>IF(AND(AF121&lt;&gt;"",AG121&lt;&gt;""),AF121*AG121,"")</f>
        <v/>
      </c>
      <c r="AI121" s="8">
        <f>IF(AND(AF121&lt;&gt;"",AH121&lt;&gt;""),AF121+AH121,"")</f>
        <v/>
      </c>
    </row>
    <row r="122">
      <c r="D122">
        <f>IF(A122="","",VLOOKUP(A122,Lists!$A:$B,2,FALSE))</f>
        <v/>
      </c>
      <c r="W122" s="8">
        <f>IF(AND(U122&lt;&gt;"",V122&lt;&gt;""),U122*V122,"")</f>
        <v/>
      </c>
      <c r="Y122" s="8">
        <f>IF(AND(W122&lt;&gt;"",X122&lt;&gt;""),W122*X122,"")</f>
        <v/>
      </c>
      <c r="Z122" s="8">
        <f>IF(AND(W122&lt;&gt;"",Y122&lt;&gt;""),W122+Y122,"")</f>
        <v/>
      </c>
      <c r="AD122">
        <f>IF($B122="GWE_Item",IF($AA122="Elektra",(SUMIFS($O:$O,$A:$A,$A122,$B:$B,"GWE")-SUMIFS($N:$N,$A:$A,$A122,$B:$B,"GWE")),IF($AA122="Gas",(SUMIFS($Q:$Q,$A:$A,$A122,$B:$B,"GWE")-SUMIFS($P:$P,$A:$A,$A122,$B:$B,"GWE")),IF($AA122="Water",(SUMIFS($S:$S,$A:$A,$A122,$B:$B,"GWE")-SUMIFS($R:$R,$A:$A,$A122,$B:$B,"GWE")),""))),"")</f>
        <v/>
      </c>
      <c r="AF122" s="8">
        <f>IF(AND(AD122&lt;&gt;"",AE122&lt;&gt;""),AD122*AE122,"")</f>
        <v/>
      </c>
      <c r="AH122" s="8">
        <f>IF(AND(AF122&lt;&gt;"",AG122&lt;&gt;""),AF122*AG122,"")</f>
        <v/>
      </c>
      <c r="AI122" s="8">
        <f>IF(AND(AF122&lt;&gt;"",AH122&lt;&gt;""),AF122+AH122,"")</f>
        <v/>
      </c>
    </row>
    <row r="123">
      <c r="D123">
        <f>IF(A123="","",VLOOKUP(A123,Lists!$A:$B,2,FALSE))</f>
        <v/>
      </c>
      <c r="W123" s="8">
        <f>IF(AND(U123&lt;&gt;"",V123&lt;&gt;""),U123*V123,"")</f>
        <v/>
      </c>
      <c r="Y123" s="8">
        <f>IF(AND(W123&lt;&gt;"",X123&lt;&gt;""),W123*X123,"")</f>
        <v/>
      </c>
      <c r="Z123" s="8">
        <f>IF(AND(W123&lt;&gt;"",Y123&lt;&gt;""),W123+Y123,"")</f>
        <v/>
      </c>
      <c r="AD123">
        <f>IF($B123="GWE_Item",IF($AA123="Elektra",(SUMIFS($O:$O,$A:$A,$A123,$B:$B,"GWE")-SUMIFS($N:$N,$A:$A,$A123,$B:$B,"GWE")),IF($AA123="Gas",(SUMIFS($Q:$Q,$A:$A,$A123,$B:$B,"GWE")-SUMIFS($P:$P,$A:$A,$A123,$B:$B,"GWE")),IF($AA123="Water",(SUMIFS($S:$S,$A:$A,$A123,$B:$B,"GWE")-SUMIFS($R:$R,$A:$A,$A123,$B:$B,"GWE")),""))),"")</f>
        <v/>
      </c>
      <c r="AF123" s="8">
        <f>IF(AND(AD123&lt;&gt;"",AE123&lt;&gt;""),AD123*AE123,"")</f>
        <v/>
      </c>
      <c r="AH123" s="8">
        <f>IF(AND(AF123&lt;&gt;"",AG123&lt;&gt;""),AF123*AG123,"")</f>
        <v/>
      </c>
      <c r="AI123" s="8">
        <f>IF(AND(AF123&lt;&gt;"",AH123&lt;&gt;""),AF123+AH123,"")</f>
        <v/>
      </c>
    </row>
    <row r="124">
      <c r="D124">
        <f>IF(A124="","",VLOOKUP(A124,Lists!$A:$B,2,FALSE))</f>
        <v/>
      </c>
      <c r="W124" s="8">
        <f>IF(AND(U124&lt;&gt;"",V124&lt;&gt;""),U124*V124,"")</f>
        <v/>
      </c>
      <c r="Y124" s="8">
        <f>IF(AND(W124&lt;&gt;"",X124&lt;&gt;""),W124*X124,"")</f>
        <v/>
      </c>
      <c r="Z124" s="8">
        <f>IF(AND(W124&lt;&gt;"",Y124&lt;&gt;""),W124+Y124,"")</f>
        <v/>
      </c>
      <c r="AD124">
        <f>IF($B124="GWE_Item",IF($AA124="Elektra",(SUMIFS($O:$O,$A:$A,$A124,$B:$B,"GWE")-SUMIFS($N:$N,$A:$A,$A124,$B:$B,"GWE")),IF($AA124="Gas",(SUMIFS($Q:$Q,$A:$A,$A124,$B:$B,"GWE")-SUMIFS($P:$P,$A:$A,$A124,$B:$B,"GWE")),IF($AA124="Water",(SUMIFS($S:$S,$A:$A,$A124,$B:$B,"GWE")-SUMIFS($R:$R,$A:$A,$A124,$B:$B,"GWE")),""))),"")</f>
        <v/>
      </c>
      <c r="AF124" s="8">
        <f>IF(AND(AD124&lt;&gt;"",AE124&lt;&gt;""),AD124*AE124,"")</f>
        <v/>
      </c>
      <c r="AH124" s="8">
        <f>IF(AND(AF124&lt;&gt;"",AG124&lt;&gt;""),AF124*AG124,"")</f>
        <v/>
      </c>
      <c r="AI124" s="8">
        <f>IF(AND(AF124&lt;&gt;"",AH124&lt;&gt;""),AF124+AH124,"")</f>
        <v/>
      </c>
    </row>
    <row r="125">
      <c r="D125">
        <f>IF(A125="","",VLOOKUP(A125,Lists!$A:$B,2,FALSE))</f>
        <v/>
      </c>
      <c r="W125" s="8">
        <f>IF(AND(U125&lt;&gt;"",V125&lt;&gt;""),U125*V125,"")</f>
        <v/>
      </c>
      <c r="Y125" s="8">
        <f>IF(AND(W125&lt;&gt;"",X125&lt;&gt;""),W125*X125,"")</f>
        <v/>
      </c>
      <c r="Z125" s="8">
        <f>IF(AND(W125&lt;&gt;"",Y125&lt;&gt;""),W125+Y125,"")</f>
        <v/>
      </c>
      <c r="AD125">
        <f>IF($B125="GWE_Item",IF($AA125="Elektra",(SUMIFS($O:$O,$A:$A,$A125,$B:$B,"GWE")-SUMIFS($N:$N,$A:$A,$A125,$B:$B,"GWE")),IF($AA125="Gas",(SUMIFS($Q:$Q,$A:$A,$A125,$B:$B,"GWE")-SUMIFS($P:$P,$A:$A,$A125,$B:$B,"GWE")),IF($AA125="Water",(SUMIFS($S:$S,$A:$A,$A125,$B:$B,"GWE")-SUMIFS($R:$R,$A:$A,$A125,$B:$B,"GWE")),""))),"")</f>
        <v/>
      </c>
      <c r="AF125" s="8">
        <f>IF(AND(AD125&lt;&gt;"",AE125&lt;&gt;""),AD125*AE125,"")</f>
        <v/>
      </c>
      <c r="AH125" s="8">
        <f>IF(AND(AF125&lt;&gt;"",AG125&lt;&gt;""),AF125*AG125,"")</f>
        <v/>
      </c>
      <c r="AI125" s="8">
        <f>IF(AND(AF125&lt;&gt;"",AH125&lt;&gt;""),AF125+AH125,"")</f>
        <v/>
      </c>
    </row>
    <row r="126">
      <c r="D126">
        <f>IF(A126="","",VLOOKUP(A126,Lists!$A:$B,2,FALSE))</f>
        <v/>
      </c>
      <c r="W126" s="8">
        <f>IF(AND(U126&lt;&gt;"",V126&lt;&gt;""),U126*V126,"")</f>
        <v/>
      </c>
      <c r="Y126" s="8">
        <f>IF(AND(W126&lt;&gt;"",X126&lt;&gt;""),W126*X126,"")</f>
        <v/>
      </c>
      <c r="Z126" s="8">
        <f>IF(AND(W126&lt;&gt;"",Y126&lt;&gt;""),W126+Y126,"")</f>
        <v/>
      </c>
      <c r="AD126">
        <f>IF($B126="GWE_Item",IF($AA126="Elektra",(SUMIFS($O:$O,$A:$A,$A126,$B:$B,"GWE")-SUMIFS($N:$N,$A:$A,$A126,$B:$B,"GWE")),IF($AA126="Gas",(SUMIFS($Q:$Q,$A:$A,$A126,$B:$B,"GWE")-SUMIFS($P:$P,$A:$A,$A126,$B:$B,"GWE")),IF($AA126="Water",(SUMIFS($S:$S,$A:$A,$A126,$B:$B,"GWE")-SUMIFS($R:$R,$A:$A,$A126,$B:$B,"GWE")),""))),"")</f>
        <v/>
      </c>
      <c r="AF126" s="8">
        <f>IF(AND(AD126&lt;&gt;"",AE126&lt;&gt;""),AD126*AE126,"")</f>
        <v/>
      </c>
      <c r="AH126" s="8">
        <f>IF(AND(AF126&lt;&gt;"",AG126&lt;&gt;""),AF126*AG126,"")</f>
        <v/>
      </c>
      <c r="AI126" s="8">
        <f>IF(AND(AF126&lt;&gt;"",AH126&lt;&gt;""),AF126+AH126,"")</f>
        <v/>
      </c>
    </row>
    <row r="127">
      <c r="D127">
        <f>IF(A127="","",VLOOKUP(A127,Lists!$A:$B,2,FALSE))</f>
        <v/>
      </c>
      <c r="W127" s="8">
        <f>IF(AND(U127&lt;&gt;"",V127&lt;&gt;""),U127*V127,"")</f>
        <v/>
      </c>
      <c r="Y127" s="8">
        <f>IF(AND(W127&lt;&gt;"",X127&lt;&gt;""),W127*X127,"")</f>
        <v/>
      </c>
      <c r="Z127" s="8">
        <f>IF(AND(W127&lt;&gt;"",Y127&lt;&gt;""),W127+Y127,"")</f>
        <v/>
      </c>
      <c r="AD127">
        <f>IF($B127="GWE_Item",IF($AA127="Elektra",(SUMIFS($O:$O,$A:$A,$A127,$B:$B,"GWE")-SUMIFS($N:$N,$A:$A,$A127,$B:$B,"GWE")),IF($AA127="Gas",(SUMIFS($Q:$Q,$A:$A,$A127,$B:$B,"GWE")-SUMIFS($P:$P,$A:$A,$A127,$B:$B,"GWE")),IF($AA127="Water",(SUMIFS($S:$S,$A:$A,$A127,$B:$B,"GWE")-SUMIFS($R:$R,$A:$A,$A127,$B:$B,"GWE")),""))),"")</f>
        <v/>
      </c>
      <c r="AF127" s="8">
        <f>IF(AND(AD127&lt;&gt;"",AE127&lt;&gt;""),AD127*AE127,"")</f>
        <v/>
      </c>
      <c r="AH127" s="8">
        <f>IF(AND(AF127&lt;&gt;"",AG127&lt;&gt;""),AF127*AG127,"")</f>
        <v/>
      </c>
      <c r="AI127" s="8">
        <f>IF(AND(AF127&lt;&gt;"",AH127&lt;&gt;""),AF127+AH127,"")</f>
        <v/>
      </c>
    </row>
    <row r="128">
      <c r="D128">
        <f>IF(A128="","",VLOOKUP(A128,Lists!$A:$B,2,FALSE))</f>
        <v/>
      </c>
      <c r="W128" s="8">
        <f>IF(AND(U128&lt;&gt;"",V128&lt;&gt;""),U128*V128,"")</f>
        <v/>
      </c>
      <c r="Y128" s="8">
        <f>IF(AND(W128&lt;&gt;"",X128&lt;&gt;""),W128*X128,"")</f>
        <v/>
      </c>
      <c r="Z128" s="8">
        <f>IF(AND(W128&lt;&gt;"",Y128&lt;&gt;""),W128+Y128,"")</f>
        <v/>
      </c>
      <c r="AD128">
        <f>IF($B128="GWE_Item",IF($AA128="Elektra",(SUMIFS($O:$O,$A:$A,$A128,$B:$B,"GWE")-SUMIFS($N:$N,$A:$A,$A128,$B:$B,"GWE")),IF($AA128="Gas",(SUMIFS($Q:$Q,$A:$A,$A128,$B:$B,"GWE")-SUMIFS($P:$P,$A:$A,$A128,$B:$B,"GWE")),IF($AA128="Water",(SUMIFS($S:$S,$A:$A,$A128,$B:$B,"GWE")-SUMIFS($R:$R,$A:$A,$A128,$B:$B,"GWE")),""))),"")</f>
        <v/>
      </c>
      <c r="AF128" s="8">
        <f>IF(AND(AD128&lt;&gt;"",AE128&lt;&gt;""),AD128*AE128,"")</f>
        <v/>
      </c>
      <c r="AH128" s="8">
        <f>IF(AND(AF128&lt;&gt;"",AG128&lt;&gt;""),AF128*AG128,"")</f>
        <v/>
      </c>
      <c r="AI128" s="8">
        <f>IF(AND(AF128&lt;&gt;"",AH128&lt;&gt;""),AF128+AH128,"")</f>
        <v/>
      </c>
    </row>
    <row r="129">
      <c r="D129">
        <f>IF(A129="","",VLOOKUP(A129,Lists!$A:$B,2,FALSE))</f>
        <v/>
      </c>
      <c r="W129" s="8">
        <f>IF(AND(U129&lt;&gt;"",V129&lt;&gt;""),U129*V129,"")</f>
        <v/>
      </c>
      <c r="Y129" s="8">
        <f>IF(AND(W129&lt;&gt;"",X129&lt;&gt;""),W129*X129,"")</f>
        <v/>
      </c>
      <c r="Z129" s="8">
        <f>IF(AND(W129&lt;&gt;"",Y129&lt;&gt;""),W129+Y129,"")</f>
        <v/>
      </c>
      <c r="AD129">
        <f>IF($B129="GWE_Item",IF($AA129="Elektra",(SUMIFS($O:$O,$A:$A,$A129,$B:$B,"GWE")-SUMIFS($N:$N,$A:$A,$A129,$B:$B,"GWE")),IF($AA129="Gas",(SUMIFS($Q:$Q,$A:$A,$A129,$B:$B,"GWE")-SUMIFS($P:$P,$A:$A,$A129,$B:$B,"GWE")),IF($AA129="Water",(SUMIFS($S:$S,$A:$A,$A129,$B:$B,"GWE")-SUMIFS($R:$R,$A:$A,$A129,$B:$B,"GWE")),""))),"")</f>
        <v/>
      </c>
      <c r="AF129" s="8">
        <f>IF(AND(AD129&lt;&gt;"",AE129&lt;&gt;""),AD129*AE129,"")</f>
        <v/>
      </c>
      <c r="AH129" s="8">
        <f>IF(AND(AF129&lt;&gt;"",AG129&lt;&gt;""),AF129*AG129,"")</f>
        <v/>
      </c>
      <c r="AI129" s="8">
        <f>IF(AND(AF129&lt;&gt;"",AH129&lt;&gt;""),AF129+AH129,"")</f>
        <v/>
      </c>
    </row>
    <row r="130">
      <c r="D130">
        <f>IF(A130="","",VLOOKUP(A130,Lists!$A:$B,2,FALSE))</f>
        <v/>
      </c>
      <c r="W130" s="8">
        <f>IF(AND(U130&lt;&gt;"",V130&lt;&gt;""),U130*V130,"")</f>
        <v/>
      </c>
      <c r="Y130" s="8">
        <f>IF(AND(W130&lt;&gt;"",X130&lt;&gt;""),W130*X130,"")</f>
        <v/>
      </c>
      <c r="Z130" s="8">
        <f>IF(AND(W130&lt;&gt;"",Y130&lt;&gt;""),W130+Y130,"")</f>
        <v/>
      </c>
      <c r="AD130">
        <f>IF($B130="GWE_Item",IF($AA130="Elektra",(SUMIFS($O:$O,$A:$A,$A130,$B:$B,"GWE")-SUMIFS($N:$N,$A:$A,$A130,$B:$B,"GWE")),IF($AA130="Gas",(SUMIFS($Q:$Q,$A:$A,$A130,$B:$B,"GWE")-SUMIFS($P:$P,$A:$A,$A130,$B:$B,"GWE")),IF($AA130="Water",(SUMIFS($S:$S,$A:$A,$A130,$B:$B,"GWE")-SUMIFS($R:$R,$A:$A,$A130,$B:$B,"GWE")),""))),"")</f>
        <v/>
      </c>
      <c r="AF130" s="8">
        <f>IF(AND(AD130&lt;&gt;"",AE130&lt;&gt;""),AD130*AE130,"")</f>
        <v/>
      </c>
      <c r="AH130" s="8">
        <f>IF(AND(AF130&lt;&gt;"",AG130&lt;&gt;""),AF130*AG130,"")</f>
        <v/>
      </c>
      <c r="AI130" s="8">
        <f>IF(AND(AF130&lt;&gt;"",AH130&lt;&gt;""),AF130+AH130,"")</f>
        <v/>
      </c>
    </row>
    <row r="131">
      <c r="D131">
        <f>IF(A131="","",VLOOKUP(A131,Lists!$A:$B,2,FALSE))</f>
        <v/>
      </c>
      <c r="W131" s="8">
        <f>IF(AND(U131&lt;&gt;"",V131&lt;&gt;""),U131*V131,"")</f>
        <v/>
      </c>
      <c r="Y131" s="8">
        <f>IF(AND(W131&lt;&gt;"",X131&lt;&gt;""),W131*X131,"")</f>
        <v/>
      </c>
      <c r="Z131" s="8">
        <f>IF(AND(W131&lt;&gt;"",Y131&lt;&gt;""),W131+Y131,"")</f>
        <v/>
      </c>
      <c r="AD131">
        <f>IF($B131="GWE_Item",IF($AA131="Elektra",(SUMIFS($O:$O,$A:$A,$A131,$B:$B,"GWE")-SUMIFS($N:$N,$A:$A,$A131,$B:$B,"GWE")),IF($AA131="Gas",(SUMIFS($Q:$Q,$A:$A,$A131,$B:$B,"GWE")-SUMIFS($P:$P,$A:$A,$A131,$B:$B,"GWE")),IF($AA131="Water",(SUMIFS($S:$S,$A:$A,$A131,$B:$B,"GWE")-SUMIFS($R:$R,$A:$A,$A131,$B:$B,"GWE")),""))),"")</f>
        <v/>
      </c>
      <c r="AF131" s="8">
        <f>IF(AND(AD131&lt;&gt;"",AE131&lt;&gt;""),AD131*AE131,"")</f>
        <v/>
      </c>
      <c r="AH131" s="8">
        <f>IF(AND(AF131&lt;&gt;"",AG131&lt;&gt;""),AF131*AG131,"")</f>
        <v/>
      </c>
      <c r="AI131" s="8">
        <f>IF(AND(AF131&lt;&gt;"",AH131&lt;&gt;""),AF131+AH131,"")</f>
        <v/>
      </c>
    </row>
    <row r="132">
      <c r="D132">
        <f>IF(A132="","",VLOOKUP(A132,Lists!$A:$B,2,FALSE))</f>
        <v/>
      </c>
      <c r="W132" s="8">
        <f>IF(AND(U132&lt;&gt;"",V132&lt;&gt;""),U132*V132,"")</f>
        <v/>
      </c>
      <c r="Y132" s="8">
        <f>IF(AND(W132&lt;&gt;"",X132&lt;&gt;""),W132*X132,"")</f>
        <v/>
      </c>
      <c r="Z132" s="8">
        <f>IF(AND(W132&lt;&gt;"",Y132&lt;&gt;""),W132+Y132,"")</f>
        <v/>
      </c>
      <c r="AD132">
        <f>IF($B132="GWE_Item",IF($AA132="Elektra",(SUMIFS($O:$O,$A:$A,$A132,$B:$B,"GWE")-SUMIFS($N:$N,$A:$A,$A132,$B:$B,"GWE")),IF($AA132="Gas",(SUMIFS($Q:$Q,$A:$A,$A132,$B:$B,"GWE")-SUMIFS($P:$P,$A:$A,$A132,$B:$B,"GWE")),IF($AA132="Water",(SUMIFS($S:$S,$A:$A,$A132,$B:$B,"GWE")-SUMIFS($R:$R,$A:$A,$A132,$B:$B,"GWE")),""))),"")</f>
        <v/>
      </c>
      <c r="AF132" s="8">
        <f>IF(AND(AD132&lt;&gt;"",AE132&lt;&gt;""),AD132*AE132,"")</f>
        <v/>
      </c>
      <c r="AH132" s="8">
        <f>IF(AND(AF132&lt;&gt;"",AG132&lt;&gt;""),AF132*AG132,"")</f>
        <v/>
      </c>
      <c r="AI132" s="8">
        <f>IF(AND(AF132&lt;&gt;"",AH132&lt;&gt;""),AF132+AH132,"")</f>
        <v/>
      </c>
    </row>
    <row r="133">
      <c r="D133">
        <f>IF(A133="","",VLOOKUP(A133,Lists!$A:$B,2,FALSE))</f>
        <v/>
      </c>
      <c r="W133" s="8">
        <f>IF(AND(U133&lt;&gt;"",V133&lt;&gt;""),U133*V133,"")</f>
        <v/>
      </c>
      <c r="Y133" s="8">
        <f>IF(AND(W133&lt;&gt;"",X133&lt;&gt;""),W133*X133,"")</f>
        <v/>
      </c>
      <c r="Z133" s="8">
        <f>IF(AND(W133&lt;&gt;"",Y133&lt;&gt;""),W133+Y133,"")</f>
        <v/>
      </c>
      <c r="AD133">
        <f>IF($B133="GWE_Item",IF($AA133="Elektra",(SUMIFS($O:$O,$A:$A,$A133,$B:$B,"GWE")-SUMIFS($N:$N,$A:$A,$A133,$B:$B,"GWE")),IF($AA133="Gas",(SUMIFS($Q:$Q,$A:$A,$A133,$B:$B,"GWE")-SUMIFS($P:$P,$A:$A,$A133,$B:$B,"GWE")),IF($AA133="Water",(SUMIFS($S:$S,$A:$A,$A133,$B:$B,"GWE")-SUMIFS($R:$R,$A:$A,$A133,$B:$B,"GWE")),""))),"")</f>
        <v/>
      </c>
      <c r="AF133" s="8">
        <f>IF(AND(AD133&lt;&gt;"",AE133&lt;&gt;""),AD133*AE133,"")</f>
        <v/>
      </c>
      <c r="AH133" s="8">
        <f>IF(AND(AF133&lt;&gt;"",AG133&lt;&gt;""),AF133*AG133,"")</f>
        <v/>
      </c>
      <c r="AI133" s="8">
        <f>IF(AND(AF133&lt;&gt;"",AH133&lt;&gt;""),AF133+AH133,"")</f>
        <v/>
      </c>
    </row>
    <row r="134">
      <c r="D134">
        <f>IF(A134="","",VLOOKUP(A134,Lists!$A:$B,2,FALSE))</f>
        <v/>
      </c>
      <c r="W134" s="8">
        <f>IF(AND(U134&lt;&gt;"",V134&lt;&gt;""),U134*V134,"")</f>
        <v/>
      </c>
      <c r="Y134" s="8">
        <f>IF(AND(W134&lt;&gt;"",X134&lt;&gt;""),W134*X134,"")</f>
        <v/>
      </c>
      <c r="Z134" s="8">
        <f>IF(AND(W134&lt;&gt;"",Y134&lt;&gt;""),W134+Y134,"")</f>
        <v/>
      </c>
      <c r="AD134">
        <f>IF($B134="GWE_Item",IF($AA134="Elektra",(SUMIFS($O:$O,$A:$A,$A134,$B:$B,"GWE")-SUMIFS($N:$N,$A:$A,$A134,$B:$B,"GWE")),IF($AA134="Gas",(SUMIFS($Q:$Q,$A:$A,$A134,$B:$B,"GWE")-SUMIFS($P:$P,$A:$A,$A134,$B:$B,"GWE")),IF($AA134="Water",(SUMIFS($S:$S,$A:$A,$A134,$B:$B,"GWE")-SUMIFS($R:$R,$A:$A,$A134,$B:$B,"GWE")),""))),"")</f>
        <v/>
      </c>
      <c r="AF134" s="8">
        <f>IF(AND(AD134&lt;&gt;"",AE134&lt;&gt;""),AD134*AE134,"")</f>
        <v/>
      </c>
      <c r="AH134" s="8">
        <f>IF(AND(AF134&lt;&gt;"",AG134&lt;&gt;""),AF134*AG134,"")</f>
        <v/>
      </c>
      <c r="AI134" s="8">
        <f>IF(AND(AF134&lt;&gt;"",AH134&lt;&gt;""),AF134+AH134,"")</f>
        <v/>
      </c>
    </row>
    <row r="135">
      <c r="D135">
        <f>IF(A135="","",VLOOKUP(A135,Lists!$A:$B,2,FALSE))</f>
        <v/>
      </c>
      <c r="W135" s="8">
        <f>IF(AND(U135&lt;&gt;"",V135&lt;&gt;""),U135*V135,"")</f>
        <v/>
      </c>
      <c r="Y135" s="8">
        <f>IF(AND(W135&lt;&gt;"",X135&lt;&gt;""),W135*X135,"")</f>
        <v/>
      </c>
      <c r="Z135" s="8">
        <f>IF(AND(W135&lt;&gt;"",Y135&lt;&gt;""),W135+Y135,"")</f>
        <v/>
      </c>
      <c r="AD135">
        <f>IF($B135="GWE_Item",IF($AA135="Elektra",(SUMIFS($O:$O,$A:$A,$A135,$B:$B,"GWE")-SUMIFS($N:$N,$A:$A,$A135,$B:$B,"GWE")),IF($AA135="Gas",(SUMIFS($Q:$Q,$A:$A,$A135,$B:$B,"GWE")-SUMIFS($P:$P,$A:$A,$A135,$B:$B,"GWE")),IF($AA135="Water",(SUMIFS($S:$S,$A:$A,$A135,$B:$B,"GWE")-SUMIFS($R:$R,$A:$A,$A135,$B:$B,"GWE")),""))),"")</f>
        <v/>
      </c>
      <c r="AF135" s="8">
        <f>IF(AND(AD135&lt;&gt;"",AE135&lt;&gt;""),AD135*AE135,"")</f>
        <v/>
      </c>
      <c r="AH135" s="8">
        <f>IF(AND(AF135&lt;&gt;"",AG135&lt;&gt;""),AF135*AG135,"")</f>
        <v/>
      </c>
      <c r="AI135" s="8">
        <f>IF(AND(AF135&lt;&gt;"",AH135&lt;&gt;""),AF135+AH135,"")</f>
        <v/>
      </c>
    </row>
    <row r="136">
      <c r="D136">
        <f>IF(A136="","",VLOOKUP(A136,Lists!$A:$B,2,FALSE))</f>
        <v/>
      </c>
      <c r="W136" s="8">
        <f>IF(AND(U136&lt;&gt;"",V136&lt;&gt;""),U136*V136,"")</f>
        <v/>
      </c>
      <c r="Y136" s="8">
        <f>IF(AND(W136&lt;&gt;"",X136&lt;&gt;""),W136*X136,"")</f>
        <v/>
      </c>
      <c r="Z136" s="8">
        <f>IF(AND(W136&lt;&gt;"",Y136&lt;&gt;""),W136+Y136,"")</f>
        <v/>
      </c>
      <c r="AD136">
        <f>IF($B136="GWE_Item",IF($AA136="Elektra",(SUMIFS($O:$O,$A:$A,$A136,$B:$B,"GWE")-SUMIFS($N:$N,$A:$A,$A136,$B:$B,"GWE")),IF($AA136="Gas",(SUMIFS($Q:$Q,$A:$A,$A136,$B:$B,"GWE")-SUMIFS($P:$P,$A:$A,$A136,$B:$B,"GWE")),IF($AA136="Water",(SUMIFS($S:$S,$A:$A,$A136,$B:$B,"GWE")-SUMIFS($R:$R,$A:$A,$A136,$B:$B,"GWE")),""))),"")</f>
        <v/>
      </c>
      <c r="AF136" s="8">
        <f>IF(AND(AD136&lt;&gt;"",AE136&lt;&gt;""),AD136*AE136,"")</f>
        <v/>
      </c>
      <c r="AH136" s="8">
        <f>IF(AND(AF136&lt;&gt;"",AG136&lt;&gt;""),AF136*AG136,"")</f>
        <v/>
      </c>
      <c r="AI136" s="8">
        <f>IF(AND(AF136&lt;&gt;"",AH136&lt;&gt;""),AF136+AH136,"")</f>
        <v/>
      </c>
    </row>
    <row r="137">
      <c r="D137">
        <f>IF(A137="","",VLOOKUP(A137,Lists!$A:$B,2,FALSE))</f>
        <v/>
      </c>
      <c r="W137" s="8">
        <f>IF(AND(U137&lt;&gt;"",V137&lt;&gt;""),U137*V137,"")</f>
        <v/>
      </c>
      <c r="Y137" s="8">
        <f>IF(AND(W137&lt;&gt;"",X137&lt;&gt;""),W137*X137,"")</f>
        <v/>
      </c>
      <c r="Z137" s="8">
        <f>IF(AND(W137&lt;&gt;"",Y137&lt;&gt;""),W137+Y137,"")</f>
        <v/>
      </c>
      <c r="AD137">
        <f>IF($B137="GWE_Item",IF($AA137="Elektra",(SUMIFS($O:$O,$A:$A,$A137,$B:$B,"GWE")-SUMIFS($N:$N,$A:$A,$A137,$B:$B,"GWE")),IF($AA137="Gas",(SUMIFS($Q:$Q,$A:$A,$A137,$B:$B,"GWE")-SUMIFS($P:$P,$A:$A,$A137,$B:$B,"GWE")),IF($AA137="Water",(SUMIFS($S:$S,$A:$A,$A137,$B:$B,"GWE")-SUMIFS($R:$R,$A:$A,$A137,$B:$B,"GWE")),""))),"")</f>
        <v/>
      </c>
      <c r="AF137" s="8">
        <f>IF(AND(AD137&lt;&gt;"",AE137&lt;&gt;""),AD137*AE137,"")</f>
        <v/>
      </c>
      <c r="AH137" s="8">
        <f>IF(AND(AF137&lt;&gt;"",AG137&lt;&gt;""),AF137*AG137,"")</f>
        <v/>
      </c>
      <c r="AI137" s="8">
        <f>IF(AND(AF137&lt;&gt;"",AH137&lt;&gt;""),AF137+AH137,"")</f>
        <v/>
      </c>
    </row>
    <row r="138">
      <c r="D138">
        <f>IF(A138="","",VLOOKUP(A138,Lists!$A:$B,2,FALSE))</f>
        <v/>
      </c>
      <c r="W138" s="8">
        <f>IF(AND(U138&lt;&gt;"",V138&lt;&gt;""),U138*V138,"")</f>
        <v/>
      </c>
      <c r="Y138" s="8">
        <f>IF(AND(W138&lt;&gt;"",X138&lt;&gt;""),W138*X138,"")</f>
        <v/>
      </c>
      <c r="Z138" s="8">
        <f>IF(AND(W138&lt;&gt;"",Y138&lt;&gt;""),W138+Y138,"")</f>
        <v/>
      </c>
      <c r="AD138">
        <f>IF($B138="GWE_Item",IF($AA138="Elektra",(SUMIFS($O:$O,$A:$A,$A138,$B:$B,"GWE")-SUMIFS($N:$N,$A:$A,$A138,$B:$B,"GWE")),IF($AA138="Gas",(SUMIFS($Q:$Q,$A:$A,$A138,$B:$B,"GWE")-SUMIFS($P:$P,$A:$A,$A138,$B:$B,"GWE")),IF($AA138="Water",(SUMIFS($S:$S,$A:$A,$A138,$B:$B,"GWE")-SUMIFS($R:$R,$A:$A,$A138,$B:$B,"GWE")),""))),"")</f>
        <v/>
      </c>
      <c r="AF138" s="8">
        <f>IF(AND(AD138&lt;&gt;"",AE138&lt;&gt;""),AD138*AE138,"")</f>
        <v/>
      </c>
      <c r="AH138" s="8">
        <f>IF(AND(AF138&lt;&gt;"",AG138&lt;&gt;""),AF138*AG138,"")</f>
        <v/>
      </c>
      <c r="AI138" s="8">
        <f>IF(AND(AF138&lt;&gt;"",AH138&lt;&gt;""),AF138+AH138,"")</f>
        <v/>
      </c>
    </row>
    <row r="139">
      <c r="D139">
        <f>IF(A139="","",VLOOKUP(A139,Lists!$A:$B,2,FALSE))</f>
        <v/>
      </c>
      <c r="W139" s="8">
        <f>IF(AND(U139&lt;&gt;"",V139&lt;&gt;""),U139*V139,"")</f>
        <v/>
      </c>
      <c r="Y139" s="8">
        <f>IF(AND(W139&lt;&gt;"",X139&lt;&gt;""),W139*X139,"")</f>
        <v/>
      </c>
      <c r="Z139" s="8">
        <f>IF(AND(W139&lt;&gt;"",Y139&lt;&gt;""),W139+Y139,"")</f>
        <v/>
      </c>
      <c r="AD139">
        <f>IF($B139="GWE_Item",IF($AA139="Elektra",(SUMIFS($O:$O,$A:$A,$A139,$B:$B,"GWE")-SUMIFS($N:$N,$A:$A,$A139,$B:$B,"GWE")),IF($AA139="Gas",(SUMIFS($Q:$Q,$A:$A,$A139,$B:$B,"GWE")-SUMIFS($P:$P,$A:$A,$A139,$B:$B,"GWE")),IF($AA139="Water",(SUMIFS($S:$S,$A:$A,$A139,$B:$B,"GWE")-SUMIFS($R:$R,$A:$A,$A139,$B:$B,"GWE")),""))),"")</f>
        <v/>
      </c>
      <c r="AF139" s="8">
        <f>IF(AND(AD139&lt;&gt;"",AE139&lt;&gt;""),AD139*AE139,"")</f>
        <v/>
      </c>
      <c r="AH139" s="8">
        <f>IF(AND(AF139&lt;&gt;"",AG139&lt;&gt;""),AF139*AG139,"")</f>
        <v/>
      </c>
      <c r="AI139" s="8">
        <f>IF(AND(AF139&lt;&gt;"",AH139&lt;&gt;""),AF139+AH139,"")</f>
        <v/>
      </c>
    </row>
    <row r="140">
      <c r="D140">
        <f>IF(A140="","",VLOOKUP(A140,Lists!$A:$B,2,FALSE))</f>
        <v/>
      </c>
      <c r="W140" s="8">
        <f>IF(AND(U140&lt;&gt;"",V140&lt;&gt;""),U140*V140,"")</f>
        <v/>
      </c>
      <c r="Y140" s="8">
        <f>IF(AND(W140&lt;&gt;"",X140&lt;&gt;""),W140*X140,"")</f>
        <v/>
      </c>
      <c r="Z140" s="8">
        <f>IF(AND(W140&lt;&gt;"",Y140&lt;&gt;""),W140+Y140,"")</f>
        <v/>
      </c>
      <c r="AD140">
        <f>IF($B140="GWE_Item",IF($AA140="Elektra",(SUMIFS($O:$O,$A:$A,$A140,$B:$B,"GWE")-SUMIFS($N:$N,$A:$A,$A140,$B:$B,"GWE")),IF($AA140="Gas",(SUMIFS($Q:$Q,$A:$A,$A140,$B:$B,"GWE")-SUMIFS($P:$P,$A:$A,$A140,$B:$B,"GWE")),IF($AA140="Water",(SUMIFS($S:$S,$A:$A,$A140,$B:$B,"GWE")-SUMIFS($R:$R,$A:$A,$A140,$B:$B,"GWE")),""))),"")</f>
        <v/>
      </c>
      <c r="AF140" s="8">
        <f>IF(AND(AD140&lt;&gt;"",AE140&lt;&gt;""),AD140*AE140,"")</f>
        <v/>
      </c>
      <c r="AH140" s="8">
        <f>IF(AND(AF140&lt;&gt;"",AG140&lt;&gt;""),AF140*AG140,"")</f>
        <v/>
      </c>
      <c r="AI140" s="8">
        <f>IF(AND(AF140&lt;&gt;"",AH140&lt;&gt;""),AF140+AH140,"")</f>
        <v/>
      </c>
    </row>
    <row r="141">
      <c r="D141">
        <f>IF(A141="","",VLOOKUP(A141,Lists!$A:$B,2,FALSE))</f>
        <v/>
      </c>
      <c r="W141" s="8">
        <f>IF(AND(U141&lt;&gt;"",V141&lt;&gt;""),U141*V141,"")</f>
        <v/>
      </c>
      <c r="Y141" s="8">
        <f>IF(AND(W141&lt;&gt;"",X141&lt;&gt;""),W141*X141,"")</f>
        <v/>
      </c>
      <c r="Z141" s="8">
        <f>IF(AND(W141&lt;&gt;"",Y141&lt;&gt;""),W141+Y141,"")</f>
        <v/>
      </c>
      <c r="AD141">
        <f>IF($B141="GWE_Item",IF($AA141="Elektra",(SUMIFS($O:$O,$A:$A,$A141,$B:$B,"GWE")-SUMIFS($N:$N,$A:$A,$A141,$B:$B,"GWE")),IF($AA141="Gas",(SUMIFS($Q:$Q,$A:$A,$A141,$B:$B,"GWE")-SUMIFS($P:$P,$A:$A,$A141,$B:$B,"GWE")),IF($AA141="Water",(SUMIFS($S:$S,$A:$A,$A141,$B:$B,"GWE")-SUMIFS($R:$R,$A:$A,$A141,$B:$B,"GWE")),""))),"")</f>
        <v/>
      </c>
      <c r="AF141" s="8">
        <f>IF(AND(AD141&lt;&gt;"",AE141&lt;&gt;""),AD141*AE141,"")</f>
        <v/>
      </c>
      <c r="AH141" s="8">
        <f>IF(AND(AF141&lt;&gt;"",AG141&lt;&gt;""),AF141*AG141,"")</f>
        <v/>
      </c>
      <c r="AI141" s="8">
        <f>IF(AND(AF141&lt;&gt;"",AH141&lt;&gt;""),AF141+AH141,"")</f>
        <v/>
      </c>
    </row>
    <row r="142">
      <c r="D142">
        <f>IF(A142="","",VLOOKUP(A142,Lists!$A:$B,2,FALSE))</f>
        <v/>
      </c>
      <c r="W142" s="8">
        <f>IF(AND(U142&lt;&gt;"",V142&lt;&gt;""),U142*V142,"")</f>
        <v/>
      </c>
      <c r="Y142" s="8">
        <f>IF(AND(W142&lt;&gt;"",X142&lt;&gt;""),W142*X142,"")</f>
        <v/>
      </c>
      <c r="Z142" s="8">
        <f>IF(AND(W142&lt;&gt;"",Y142&lt;&gt;""),W142+Y142,"")</f>
        <v/>
      </c>
      <c r="AD142">
        <f>IF($B142="GWE_Item",IF($AA142="Elektra",(SUMIFS($O:$O,$A:$A,$A142,$B:$B,"GWE")-SUMIFS($N:$N,$A:$A,$A142,$B:$B,"GWE")),IF($AA142="Gas",(SUMIFS($Q:$Q,$A:$A,$A142,$B:$B,"GWE")-SUMIFS($P:$P,$A:$A,$A142,$B:$B,"GWE")),IF($AA142="Water",(SUMIFS($S:$S,$A:$A,$A142,$B:$B,"GWE")-SUMIFS($R:$R,$A:$A,$A142,$B:$B,"GWE")),""))),"")</f>
        <v/>
      </c>
      <c r="AF142" s="8">
        <f>IF(AND(AD142&lt;&gt;"",AE142&lt;&gt;""),AD142*AE142,"")</f>
        <v/>
      </c>
      <c r="AH142" s="8">
        <f>IF(AND(AF142&lt;&gt;"",AG142&lt;&gt;""),AF142*AG142,"")</f>
        <v/>
      </c>
      <c r="AI142" s="8">
        <f>IF(AND(AF142&lt;&gt;"",AH142&lt;&gt;""),AF142+AH142,"")</f>
        <v/>
      </c>
    </row>
    <row r="143">
      <c r="D143">
        <f>IF(A143="","",VLOOKUP(A143,Lists!$A:$B,2,FALSE))</f>
        <v/>
      </c>
      <c r="W143" s="8">
        <f>IF(AND(U143&lt;&gt;"",V143&lt;&gt;""),U143*V143,"")</f>
        <v/>
      </c>
      <c r="Y143" s="8">
        <f>IF(AND(W143&lt;&gt;"",X143&lt;&gt;""),W143*X143,"")</f>
        <v/>
      </c>
      <c r="Z143" s="8">
        <f>IF(AND(W143&lt;&gt;"",Y143&lt;&gt;""),W143+Y143,"")</f>
        <v/>
      </c>
      <c r="AD143">
        <f>IF($B143="GWE_Item",IF($AA143="Elektra",(SUMIFS($O:$O,$A:$A,$A143,$B:$B,"GWE")-SUMIFS($N:$N,$A:$A,$A143,$B:$B,"GWE")),IF($AA143="Gas",(SUMIFS($Q:$Q,$A:$A,$A143,$B:$B,"GWE")-SUMIFS($P:$P,$A:$A,$A143,$B:$B,"GWE")),IF($AA143="Water",(SUMIFS($S:$S,$A:$A,$A143,$B:$B,"GWE")-SUMIFS($R:$R,$A:$A,$A143,$B:$B,"GWE")),""))),"")</f>
        <v/>
      </c>
      <c r="AF143" s="8">
        <f>IF(AND(AD143&lt;&gt;"",AE143&lt;&gt;""),AD143*AE143,"")</f>
        <v/>
      </c>
      <c r="AH143" s="8">
        <f>IF(AND(AF143&lt;&gt;"",AG143&lt;&gt;""),AF143*AG143,"")</f>
        <v/>
      </c>
      <c r="AI143" s="8">
        <f>IF(AND(AF143&lt;&gt;"",AH143&lt;&gt;""),AF143+AH143,"")</f>
        <v/>
      </c>
    </row>
    <row r="144">
      <c r="D144">
        <f>IF(A144="","",VLOOKUP(A144,Lists!$A:$B,2,FALSE))</f>
        <v/>
      </c>
      <c r="W144" s="8">
        <f>IF(AND(U144&lt;&gt;"",V144&lt;&gt;""),U144*V144,"")</f>
        <v/>
      </c>
      <c r="Y144" s="8">
        <f>IF(AND(W144&lt;&gt;"",X144&lt;&gt;""),W144*X144,"")</f>
        <v/>
      </c>
      <c r="Z144" s="8">
        <f>IF(AND(W144&lt;&gt;"",Y144&lt;&gt;""),W144+Y144,"")</f>
        <v/>
      </c>
      <c r="AD144">
        <f>IF($B144="GWE_Item",IF($AA144="Elektra",(SUMIFS($O:$O,$A:$A,$A144,$B:$B,"GWE")-SUMIFS($N:$N,$A:$A,$A144,$B:$B,"GWE")),IF($AA144="Gas",(SUMIFS($Q:$Q,$A:$A,$A144,$B:$B,"GWE")-SUMIFS($P:$P,$A:$A,$A144,$B:$B,"GWE")),IF($AA144="Water",(SUMIFS($S:$S,$A:$A,$A144,$B:$B,"GWE")-SUMIFS($R:$R,$A:$A,$A144,$B:$B,"GWE")),""))),"")</f>
        <v/>
      </c>
      <c r="AF144" s="8">
        <f>IF(AND(AD144&lt;&gt;"",AE144&lt;&gt;""),AD144*AE144,"")</f>
        <v/>
      </c>
      <c r="AH144" s="8">
        <f>IF(AND(AF144&lt;&gt;"",AG144&lt;&gt;""),AF144*AG144,"")</f>
        <v/>
      </c>
      <c r="AI144" s="8">
        <f>IF(AND(AF144&lt;&gt;"",AH144&lt;&gt;""),AF144+AH144,"")</f>
        <v/>
      </c>
    </row>
    <row r="145">
      <c r="D145">
        <f>IF(A145="","",VLOOKUP(A145,Lists!$A:$B,2,FALSE))</f>
        <v/>
      </c>
      <c r="W145" s="8">
        <f>IF(AND(U145&lt;&gt;"",V145&lt;&gt;""),U145*V145,"")</f>
        <v/>
      </c>
      <c r="Y145" s="8">
        <f>IF(AND(W145&lt;&gt;"",X145&lt;&gt;""),W145*X145,"")</f>
        <v/>
      </c>
      <c r="Z145" s="8">
        <f>IF(AND(W145&lt;&gt;"",Y145&lt;&gt;""),W145+Y145,"")</f>
        <v/>
      </c>
      <c r="AD145">
        <f>IF($B145="GWE_Item",IF($AA145="Elektra",(SUMIFS($O:$O,$A:$A,$A145,$B:$B,"GWE")-SUMIFS($N:$N,$A:$A,$A145,$B:$B,"GWE")),IF($AA145="Gas",(SUMIFS($Q:$Q,$A:$A,$A145,$B:$B,"GWE")-SUMIFS($P:$P,$A:$A,$A145,$B:$B,"GWE")),IF($AA145="Water",(SUMIFS($S:$S,$A:$A,$A145,$B:$B,"GWE")-SUMIFS($R:$R,$A:$A,$A145,$B:$B,"GWE")),""))),"")</f>
        <v/>
      </c>
      <c r="AF145" s="8">
        <f>IF(AND(AD145&lt;&gt;"",AE145&lt;&gt;""),AD145*AE145,"")</f>
        <v/>
      </c>
      <c r="AH145" s="8">
        <f>IF(AND(AF145&lt;&gt;"",AG145&lt;&gt;""),AF145*AG145,"")</f>
        <v/>
      </c>
      <c r="AI145" s="8">
        <f>IF(AND(AF145&lt;&gt;"",AH145&lt;&gt;""),AF145+AH145,"")</f>
        <v/>
      </c>
    </row>
    <row r="146">
      <c r="D146">
        <f>IF(A146="","",VLOOKUP(A146,Lists!$A:$B,2,FALSE))</f>
        <v/>
      </c>
      <c r="W146" s="8">
        <f>IF(AND(U146&lt;&gt;"",V146&lt;&gt;""),U146*V146,"")</f>
        <v/>
      </c>
      <c r="Y146" s="8">
        <f>IF(AND(W146&lt;&gt;"",X146&lt;&gt;""),W146*X146,"")</f>
        <v/>
      </c>
      <c r="Z146" s="8">
        <f>IF(AND(W146&lt;&gt;"",Y146&lt;&gt;""),W146+Y146,"")</f>
        <v/>
      </c>
      <c r="AD146">
        <f>IF($B146="GWE_Item",IF($AA146="Elektra",(SUMIFS($O:$O,$A:$A,$A146,$B:$B,"GWE")-SUMIFS($N:$N,$A:$A,$A146,$B:$B,"GWE")),IF($AA146="Gas",(SUMIFS($Q:$Q,$A:$A,$A146,$B:$B,"GWE")-SUMIFS($P:$P,$A:$A,$A146,$B:$B,"GWE")),IF($AA146="Water",(SUMIFS($S:$S,$A:$A,$A146,$B:$B,"GWE")-SUMIFS($R:$R,$A:$A,$A146,$B:$B,"GWE")),""))),"")</f>
        <v/>
      </c>
      <c r="AF146" s="8">
        <f>IF(AND(AD146&lt;&gt;"",AE146&lt;&gt;""),AD146*AE146,"")</f>
        <v/>
      </c>
      <c r="AH146" s="8">
        <f>IF(AND(AF146&lt;&gt;"",AG146&lt;&gt;""),AF146*AG146,"")</f>
        <v/>
      </c>
      <c r="AI146" s="8">
        <f>IF(AND(AF146&lt;&gt;"",AH146&lt;&gt;""),AF146+AH146,"")</f>
        <v/>
      </c>
    </row>
    <row r="147">
      <c r="D147">
        <f>IF(A147="","",VLOOKUP(A147,Lists!$A:$B,2,FALSE))</f>
        <v/>
      </c>
      <c r="W147" s="8">
        <f>IF(AND(U147&lt;&gt;"",V147&lt;&gt;""),U147*V147,"")</f>
        <v/>
      </c>
      <c r="Y147" s="8">
        <f>IF(AND(W147&lt;&gt;"",X147&lt;&gt;""),W147*X147,"")</f>
        <v/>
      </c>
      <c r="Z147" s="8">
        <f>IF(AND(W147&lt;&gt;"",Y147&lt;&gt;""),W147+Y147,"")</f>
        <v/>
      </c>
      <c r="AD147">
        <f>IF($B147="GWE_Item",IF($AA147="Elektra",(SUMIFS($O:$O,$A:$A,$A147,$B:$B,"GWE")-SUMIFS($N:$N,$A:$A,$A147,$B:$B,"GWE")),IF($AA147="Gas",(SUMIFS($Q:$Q,$A:$A,$A147,$B:$B,"GWE")-SUMIFS($P:$P,$A:$A,$A147,$B:$B,"GWE")),IF($AA147="Water",(SUMIFS($S:$S,$A:$A,$A147,$B:$B,"GWE")-SUMIFS($R:$R,$A:$A,$A147,$B:$B,"GWE")),""))),"")</f>
        <v/>
      </c>
      <c r="AF147" s="8">
        <f>IF(AND(AD147&lt;&gt;"",AE147&lt;&gt;""),AD147*AE147,"")</f>
        <v/>
      </c>
      <c r="AH147" s="8">
        <f>IF(AND(AF147&lt;&gt;"",AG147&lt;&gt;""),AF147*AG147,"")</f>
        <v/>
      </c>
      <c r="AI147" s="8">
        <f>IF(AND(AF147&lt;&gt;"",AH147&lt;&gt;""),AF147+AH147,"")</f>
        <v/>
      </c>
    </row>
    <row r="148">
      <c r="D148">
        <f>IF(A148="","",VLOOKUP(A148,Lists!$A:$B,2,FALSE))</f>
        <v/>
      </c>
      <c r="W148" s="8">
        <f>IF(AND(U148&lt;&gt;"",V148&lt;&gt;""),U148*V148,"")</f>
        <v/>
      </c>
      <c r="Y148" s="8">
        <f>IF(AND(W148&lt;&gt;"",X148&lt;&gt;""),W148*X148,"")</f>
        <v/>
      </c>
      <c r="Z148" s="8">
        <f>IF(AND(W148&lt;&gt;"",Y148&lt;&gt;""),W148+Y148,"")</f>
        <v/>
      </c>
      <c r="AD148">
        <f>IF($B148="GWE_Item",IF($AA148="Elektra",(SUMIFS($O:$O,$A:$A,$A148,$B:$B,"GWE")-SUMIFS($N:$N,$A:$A,$A148,$B:$B,"GWE")),IF($AA148="Gas",(SUMIFS($Q:$Q,$A:$A,$A148,$B:$B,"GWE")-SUMIFS($P:$P,$A:$A,$A148,$B:$B,"GWE")),IF($AA148="Water",(SUMIFS($S:$S,$A:$A,$A148,$B:$B,"GWE")-SUMIFS($R:$R,$A:$A,$A148,$B:$B,"GWE")),""))),"")</f>
        <v/>
      </c>
      <c r="AF148" s="8">
        <f>IF(AND(AD148&lt;&gt;"",AE148&lt;&gt;""),AD148*AE148,"")</f>
        <v/>
      </c>
      <c r="AH148" s="8">
        <f>IF(AND(AF148&lt;&gt;"",AG148&lt;&gt;""),AF148*AG148,"")</f>
        <v/>
      </c>
      <c r="AI148" s="8">
        <f>IF(AND(AF148&lt;&gt;"",AH148&lt;&gt;""),AF148+AH148,"")</f>
        <v/>
      </c>
    </row>
    <row r="149">
      <c r="D149">
        <f>IF(A149="","",VLOOKUP(A149,Lists!$A:$B,2,FALSE))</f>
        <v/>
      </c>
      <c r="W149" s="8">
        <f>IF(AND(U149&lt;&gt;"",V149&lt;&gt;""),U149*V149,"")</f>
        <v/>
      </c>
      <c r="Y149" s="8">
        <f>IF(AND(W149&lt;&gt;"",X149&lt;&gt;""),W149*X149,"")</f>
        <v/>
      </c>
      <c r="Z149" s="8">
        <f>IF(AND(W149&lt;&gt;"",Y149&lt;&gt;""),W149+Y149,"")</f>
        <v/>
      </c>
      <c r="AD149">
        <f>IF($B149="GWE_Item",IF($AA149="Elektra",(SUMIFS($O:$O,$A:$A,$A149,$B:$B,"GWE")-SUMIFS($N:$N,$A:$A,$A149,$B:$B,"GWE")),IF($AA149="Gas",(SUMIFS($Q:$Q,$A:$A,$A149,$B:$B,"GWE")-SUMIFS($P:$P,$A:$A,$A149,$B:$B,"GWE")),IF($AA149="Water",(SUMIFS($S:$S,$A:$A,$A149,$B:$B,"GWE")-SUMIFS($R:$R,$A:$A,$A149,$B:$B,"GWE")),""))),"")</f>
        <v/>
      </c>
      <c r="AF149" s="8">
        <f>IF(AND(AD149&lt;&gt;"",AE149&lt;&gt;""),AD149*AE149,"")</f>
        <v/>
      </c>
      <c r="AH149" s="8">
        <f>IF(AND(AF149&lt;&gt;"",AG149&lt;&gt;""),AF149*AG149,"")</f>
        <v/>
      </c>
      <c r="AI149" s="8">
        <f>IF(AND(AF149&lt;&gt;"",AH149&lt;&gt;""),AF149+AH149,"")</f>
        <v/>
      </c>
    </row>
    <row r="150">
      <c r="D150">
        <f>IF(A150="","",VLOOKUP(A150,Lists!$A:$B,2,FALSE))</f>
        <v/>
      </c>
      <c r="W150" s="8">
        <f>IF(AND(U150&lt;&gt;"",V150&lt;&gt;""),U150*V150,"")</f>
        <v/>
      </c>
      <c r="Y150" s="8">
        <f>IF(AND(W150&lt;&gt;"",X150&lt;&gt;""),W150*X150,"")</f>
        <v/>
      </c>
      <c r="Z150" s="8">
        <f>IF(AND(W150&lt;&gt;"",Y150&lt;&gt;""),W150+Y150,"")</f>
        <v/>
      </c>
      <c r="AD150">
        <f>IF($B150="GWE_Item",IF($AA150="Elektra",(SUMIFS($O:$O,$A:$A,$A150,$B:$B,"GWE")-SUMIFS($N:$N,$A:$A,$A150,$B:$B,"GWE")),IF($AA150="Gas",(SUMIFS($Q:$Q,$A:$A,$A150,$B:$B,"GWE")-SUMIFS($P:$P,$A:$A,$A150,$B:$B,"GWE")),IF($AA150="Water",(SUMIFS($S:$S,$A:$A,$A150,$B:$B,"GWE")-SUMIFS($R:$R,$A:$A,$A150,$B:$B,"GWE")),""))),"")</f>
        <v/>
      </c>
      <c r="AF150" s="8">
        <f>IF(AND(AD150&lt;&gt;"",AE150&lt;&gt;""),AD150*AE150,"")</f>
        <v/>
      </c>
      <c r="AH150" s="8">
        <f>IF(AND(AF150&lt;&gt;"",AG150&lt;&gt;""),AF150*AG150,"")</f>
        <v/>
      </c>
      <c r="AI150" s="8">
        <f>IF(AND(AF150&lt;&gt;"",AH150&lt;&gt;""),AF150+AH150,"")</f>
        <v/>
      </c>
    </row>
    <row r="151">
      <c r="D151">
        <f>IF(A151="","",VLOOKUP(A151,Lists!$A:$B,2,FALSE))</f>
        <v/>
      </c>
      <c r="W151" s="8">
        <f>IF(AND(U151&lt;&gt;"",V151&lt;&gt;""),U151*V151,"")</f>
        <v/>
      </c>
      <c r="Y151" s="8">
        <f>IF(AND(W151&lt;&gt;"",X151&lt;&gt;""),W151*X151,"")</f>
        <v/>
      </c>
      <c r="Z151" s="8">
        <f>IF(AND(W151&lt;&gt;"",Y151&lt;&gt;""),W151+Y151,"")</f>
        <v/>
      </c>
      <c r="AD151">
        <f>IF($B151="GWE_Item",IF($AA151="Elektra",(SUMIFS($O:$O,$A:$A,$A151,$B:$B,"GWE")-SUMIFS($N:$N,$A:$A,$A151,$B:$B,"GWE")),IF($AA151="Gas",(SUMIFS($Q:$Q,$A:$A,$A151,$B:$B,"GWE")-SUMIFS($P:$P,$A:$A,$A151,$B:$B,"GWE")),IF($AA151="Water",(SUMIFS($S:$S,$A:$A,$A151,$B:$B,"GWE")-SUMIFS($R:$R,$A:$A,$A151,$B:$B,"GWE")),""))),"")</f>
        <v/>
      </c>
      <c r="AF151" s="8">
        <f>IF(AND(AD151&lt;&gt;"",AE151&lt;&gt;""),AD151*AE151,"")</f>
        <v/>
      </c>
      <c r="AH151" s="8">
        <f>IF(AND(AF151&lt;&gt;"",AG151&lt;&gt;""),AF151*AG151,"")</f>
        <v/>
      </c>
      <c r="AI151" s="8">
        <f>IF(AND(AF151&lt;&gt;"",AH151&lt;&gt;""),AF151+AH151,"")</f>
        <v/>
      </c>
    </row>
    <row r="152">
      <c r="D152">
        <f>IF(A152="","",VLOOKUP(A152,Lists!$A:$B,2,FALSE))</f>
        <v/>
      </c>
      <c r="W152" s="8">
        <f>IF(AND(U152&lt;&gt;"",V152&lt;&gt;""),U152*V152,"")</f>
        <v/>
      </c>
      <c r="Y152" s="8">
        <f>IF(AND(W152&lt;&gt;"",X152&lt;&gt;""),W152*X152,"")</f>
        <v/>
      </c>
      <c r="Z152" s="8">
        <f>IF(AND(W152&lt;&gt;"",Y152&lt;&gt;""),W152+Y152,"")</f>
        <v/>
      </c>
      <c r="AD152">
        <f>IF($B152="GWE_Item",IF($AA152="Elektra",(SUMIFS($O:$O,$A:$A,$A152,$B:$B,"GWE")-SUMIFS($N:$N,$A:$A,$A152,$B:$B,"GWE")),IF($AA152="Gas",(SUMIFS($Q:$Q,$A:$A,$A152,$B:$B,"GWE")-SUMIFS($P:$P,$A:$A,$A152,$B:$B,"GWE")),IF($AA152="Water",(SUMIFS($S:$S,$A:$A,$A152,$B:$B,"GWE")-SUMIFS($R:$R,$A:$A,$A152,$B:$B,"GWE")),""))),"")</f>
        <v/>
      </c>
      <c r="AF152" s="8">
        <f>IF(AND(AD152&lt;&gt;"",AE152&lt;&gt;""),AD152*AE152,"")</f>
        <v/>
      </c>
      <c r="AH152" s="8">
        <f>IF(AND(AF152&lt;&gt;"",AG152&lt;&gt;""),AF152*AG152,"")</f>
        <v/>
      </c>
      <c r="AI152" s="8">
        <f>IF(AND(AF152&lt;&gt;"",AH152&lt;&gt;""),AF152+AH152,"")</f>
        <v/>
      </c>
    </row>
    <row r="153">
      <c r="D153">
        <f>IF(A153="","",VLOOKUP(A153,Lists!$A:$B,2,FALSE))</f>
        <v/>
      </c>
      <c r="W153" s="8">
        <f>IF(AND(U153&lt;&gt;"",V153&lt;&gt;""),U153*V153,"")</f>
        <v/>
      </c>
      <c r="Y153" s="8">
        <f>IF(AND(W153&lt;&gt;"",X153&lt;&gt;""),W153*X153,"")</f>
        <v/>
      </c>
      <c r="Z153" s="8">
        <f>IF(AND(W153&lt;&gt;"",Y153&lt;&gt;""),W153+Y153,"")</f>
        <v/>
      </c>
      <c r="AD153">
        <f>IF($B153="GWE_Item",IF($AA153="Elektra",(SUMIFS($O:$O,$A:$A,$A153,$B:$B,"GWE")-SUMIFS($N:$N,$A:$A,$A153,$B:$B,"GWE")),IF($AA153="Gas",(SUMIFS($Q:$Q,$A:$A,$A153,$B:$B,"GWE")-SUMIFS($P:$P,$A:$A,$A153,$B:$B,"GWE")),IF($AA153="Water",(SUMIFS($S:$S,$A:$A,$A153,$B:$B,"GWE")-SUMIFS($R:$R,$A:$A,$A153,$B:$B,"GWE")),""))),"")</f>
        <v/>
      </c>
      <c r="AF153" s="8">
        <f>IF(AND(AD153&lt;&gt;"",AE153&lt;&gt;""),AD153*AE153,"")</f>
        <v/>
      </c>
      <c r="AH153" s="8">
        <f>IF(AND(AF153&lt;&gt;"",AG153&lt;&gt;""),AF153*AG153,"")</f>
        <v/>
      </c>
      <c r="AI153" s="8">
        <f>IF(AND(AF153&lt;&gt;"",AH153&lt;&gt;""),AF153+AH153,"")</f>
        <v/>
      </c>
    </row>
    <row r="154">
      <c r="D154">
        <f>IF(A154="","",VLOOKUP(A154,Lists!$A:$B,2,FALSE))</f>
        <v/>
      </c>
      <c r="W154" s="8">
        <f>IF(AND(U154&lt;&gt;"",V154&lt;&gt;""),U154*V154,"")</f>
        <v/>
      </c>
      <c r="Y154" s="8">
        <f>IF(AND(W154&lt;&gt;"",X154&lt;&gt;""),W154*X154,"")</f>
        <v/>
      </c>
      <c r="Z154" s="8">
        <f>IF(AND(W154&lt;&gt;"",Y154&lt;&gt;""),W154+Y154,"")</f>
        <v/>
      </c>
      <c r="AD154">
        <f>IF($B154="GWE_Item",IF($AA154="Elektra",(SUMIFS($O:$O,$A:$A,$A154,$B:$B,"GWE")-SUMIFS($N:$N,$A:$A,$A154,$B:$B,"GWE")),IF($AA154="Gas",(SUMIFS($Q:$Q,$A:$A,$A154,$B:$B,"GWE")-SUMIFS($P:$P,$A:$A,$A154,$B:$B,"GWE")),IF($AA154="Water",(SUMIFS($S:$S,$A:$A,$A154,$B:$B,"GWE")-SUMIFS($R:$R,$A:$A,$A154,$B:$B,"GWE")),""))),"")</f>
        <v/>
      </c>
      <c r="AF154" s="8">
        <f>IF(AND(AD154&lt;&gt;"",AE154&lt;&gt;""),AD154*AE154,"")</f>
        <v/>
      </c>
      <c r="AH154" s="8">
        <f>IF(AND(AF154&lt;&gt;"",AG154&lt;&gt;""),AF154*AG154,"")</f>
        <v/>
      </c>
      <c r="AI154" s="8">
        <f>IF(AND(AF154&lt;&gt;"",AH154&lt;&gt;""),AF154+AH154,"")</f>
        <v/>
      </c>
    </row>
    <row r="155">
      <c r="D155">
        <f>IF(A155="","",VLOOKUP(A155,Lists!$A:$B,2,FALSE))</f>
        <v/>
      </c>
      <c r="W155" s="8">
        <f>IF(AND(U155&lt;&gt;"",V155&lt;&gt;""),U155*V155,"")</f>
        <v/>
      </c>
      <c r="Y155" s="8">
        <f>IF(AND(W155&lt;&gt;"",X155&lt;&gt;""),W155*X155,"")</f>
        <v/>
      </c>
      <c r="Z155" s="8">
        <f>IF(AND(W155&lt;&gt;"",Y155&lt;&gt;""),W155+Y155,"")</f>
        <v/>
      </c>
      <c r="AD155">
        <f>IF($B155="GWE_Item",IF($AA155="Elektra",(SUMIFS($O:$O,$A:$A,$A155,$B:$B,"GWE")-SUMIFS($N:$N,$A:$A,$A155,$B:$B,"GWE")),IF($AA155="Gas",(SUMIFS($Q:$Q,$A:$A,$A155,$B:$B,"GWE")-SUMIFS($P:$P,$A:$A,$A155,$B:$B,"GWE")),IF($AA155="Water",(SUMIFS($S:$S,$A:$A,$A155,$B:$B,"GWE")-SUMIFS($R:$R,$A:$A,$A155,$B:$B,"GWE")),""))),"")</f>
        <v/>
      </c>
      <c r="AF155" s="8">
        <f>IF(AND(AD155&lt;&gt;"",AE155&lt;&gt;""),AD155*AE155,"")</f>
        <v/>
      </c>
      <c r="AH155" s="8">
        <f>IF(AND(AF155&lt;&gt;"",AG155&lt;&gt;""),AF155*AG155,"")</f>
        <v/>
      </c>
      <c r="AI155" s="8">
        <f>IF(AND(AF155&lt;&gt;"",AH155&lt;&gt;""),AF155+AH155,"")</f>
        <v/>
      </c>
    </row>
    <row r="156">
      <c r="D156">
        <f>IF(A156="","",VLOOKUP(A156,Lists!$A:$B,2,FALSE))</f>
        <v/>
      </c>
      <c r="W156" s="8">
        <f>IF(AND(U156&lt;&gt;"",V156&lt;&gt;""),U156*V156,"")</f>
        <v/>
      </c>
      <c r="Y156" s="8">
        <f>IF(AND(W156&lt;&gt;"",X156&lt;&gt;""),W156*X156,"")</f>
        <v/>
      </c>
      <c r="Z156" s="8">
        <f>IF(AND(W156&lt;&gt;"",Y156&lt;&gt;""),W156+Y156,"")</f>
        <v/>
      </c>
      <c r="AD156">
        <f>IF($B156="GWE_Item",IF($AA156="Elektra",(SUMIFS($O:$O,$A:$A,$A156,$B:$B,"GWE")-SUMIFS($N:$N,$A:$A,$A156,$B:$B,"GWE")),IF($AA156="Gas",(SUMIFS($Q:$Q,$A:$A,$A156,$B:$B,"GWE")-SUMIFS($P:$P,$A:$A,$A156,$B:$B,"GWE")),IF($AA156="Water",(SUMIFS($S:$S,$A:$A,$A156,$B:$B,"GWE")-SUMIFS($R:$R,$A:$A,$A156,$B:$B,"GWE")),""))),"")</f>
        <v/>
      </c>
      <c r="AF156" s="8">
        <f>IF(AND(AD156&lt;&gt;"",AE156&lt;&gt;""),AD156*AE156,"")</f>
        <v/>
      </c>
      <c r="AH156" s="8">
        <f>IF(AND(AF156&lt;&gt;"",AG156&lt;&gt;""),AF156*AG156,"")</f>
        <v/>
      </c>
      <c r="AI156" s="8">
        <f>IF(AND(AF156&lt;&gt;"",AH156&lt;&gt;""),AF156+AH156,"")</f>
        <v/>
      </c>
    </row>
    <row r="157">
      <c r="D157">
        <f>IF(A157="","",VLOOKUP(A157,Lists!$A:$B,2,FALSE))</f>
        <v/>
      </c>
      <c r="W157" s="8">
        <f>IF(AND(U157&lt;&gt;"",V157&lt;&gt;""),U157*V157,"")</f>
        <v/>
      </c>
      <c r="Y157" s="8">
        <f>IF(AND(W157&lt;&gt;"",X157&lt;&gt;""),W157*X157,"")</f>
        <v/>
      </c>
      <c r="Z157" s="8">
        <f>IF(AND(W157&lt;&gt;"",Y157&lt;&gt;""),W157+Y157,"")</f>
        <v/>
      </c>
      <c r="AD157">
        <f>IF($B157="GWE_Item",IF($AA157="Elektra",(SUMIFS($O:$O,$A:$A,$A157,$B:$B,"GWE")-SUMIFS($N:$N,$A:$A,$A157,$B:$B,"GWE")),IF($AA157="Gas",(SUMIFS($Q:$Q,$A:$A,$A157,$B:$B,"GWE")-SUMIFS($P:$P,$A:$A,$A157,$B:$B,"GWE")),IF($AA157="Water",(SUMIFS($S:$S,$A:$A,$A157,$B:$B,"GWE")-SUMIFS($R:$R,$A:$A,$A157,$B:$B,"GWE")),""))),"")</f>
        <v/>
      </c>
      <c r="AF157" s="8">
        <f>IF(AND(AD157&lt;&gt;"",AE157&lt;&gt;""),AD157*AE157,"")</f>
        <v/>
      </c>
      <c r="AH157" s="8">
        <f>IF(AND(AF157&lt;&gt;"",AG157&lt;&gt;""),AF157*AG157,"")</f>
        <v/>
      </c>
      <c r="AI157" s="8">
        <f>IF(AND(AF157&lt;&gt;"",AH157&lt;&gt;""),AF157+AH157,"")</f>
        <v/>
      </c>
    </row>
    <row r="158">
      <c r="D158">
        <f>IF(A158="","",VLOOKUP(A158,Lists!$A:$B,2,FALSE))</f>
        <v/>
      </c>
      <c r="W158" s="8">
        <f>IF(AND(U158&lt;&gt;"",V158&lt;&gt;""),U158*V158,"")</f>
        <v/>
      </c>
      <c r="Y158" s="8">
        <f>IF(AND(W158&lt;&gt;"",X158&lt;&gt;""),W158*X158,"")</f>
        <v/>
      </c>
      <c r="Z158" s="8">
        <f>IF(AND(W158&lt;&gt;"",Y158&lt;&gt;""),W158+Y158,"")</f>
        <v/>
      </c>
      <c r="AD158">
        <f>IF($B158="GWE_Item",IF($AA158="Elektra",(SUMIFS($O:$O,$A:$A,$A158,$B:$B,"GWE")-SUMIFS($N:$N,$A:$A,$A158,$B:$B,"GWE")),IF($AA158="Gas",(SUMIFS($Q:$Q,$A:$A,$A158,$B:$B,"GWE")-SUMIFS($P:$P,$A:$A,$A158,$B:$B,"GWE")),IF($AA158="Water",(SUMIFS($S:$S,$A:$A,$A158,$B:$B,"GWE")-SUMIFS($R:$R,$A:$A,$A158,$B:$B,"GWE")),""))),"")</f>
        <v/>
      </c>
      <c r="AF158" s="8">
        <f>IF(AND(AD158&lt;&gt;"",AE158&lt;&gt;""),AD158*AE158,"")</f>
        <v/>
      </c>
      <c r="AH158" s="8">
        <f>IF(AND(AF158&lt;&gt;"",AG158&lt;&gt;""),AF158*AG158,"")</f>
        <v/>
      </c>
      <c r="AI158" s="8">
        <f>IF(AND(AF158&lt;&gt;"",AH158&lt;&gt;""),AF158+AH158,"")</f>
        <v/>
      </c>
    </row>
    <row r="159">
      <c r="D159">
        <f>IF(A159="","",VLOOKUP(A159,Lists!$A:$B,2,FALSE))</f>
        <v/>
      </c>
      <c r="W159" s="8">
        <f>IF(AND(U159&lt;&gt;"",V159&lt;&gt;""),U159*V159,"")</f>
        <v/>
      </c>
      <c r="Y159" s="8">
        <f>IF(AND(W159&lt;&gt;"",X159&lt;&gt;""),W159*X159,"")</f>
        <v/>
      </c>
      <c r="Z159" s="8">
        <f>IF(AND(W159&lt;&gt;"",Y159&lt;&gt;""),W159+Y159,"")</f>
        <v/>
      </c>
      <c r="AD159">
        <f>IF($B159="GWE_Item",IF($AA159="Elektra",(SUMIFS($O:$O,$A:$A,$A159,$B:$B,"GWE")-SUMIFS($N:$N,$A:$A,$A159,$B:$B,"GWE")),IF($AA159="Gas",(SUMIFS($Q:$Q,$A:$A,$A159,$B:$B,"GWE")-SUMIFS($P:$P,$A:$A,$A159,$B:$B,"GWE")),IF($AA159="Water",(SUMIFS($S:$S,$A:$A,$A159,$B:$B,"GWE")-SUMIFS($R:$R,$A:$A,$A159,$B:$B,"GWE")),""))),"")</f>
        <v/>
      </c>
      <c r="AF159" s="8">
        <f>IF(AND(AD159&lt;&gt;"",AE159&lt;&gt;""),AD159*AE159,"")</f>
        <v/>
      </c>
      <c r="AH159" s="8">
        <f>IF(AND(AF159&lt;&gt;"",AG159&lt;&gt;""),AF159*AG159,"")</f>
        <v/>
      </c>
      <c r="AI159" s="8">
        <f>IF(AND(AF159&lt;&gt;"",AH159&lt;&gt;""),AF159+AH159,"")</f>
        <v/>
      </c>
    </row>
    <row r="160">
      <c r="D160">
        <f>IF(A160="","",VLOOKUP(A160,Lists!$A:$B,2,FALSE))</f>
        <v/>
      </c>
      <c r="W160" s="8">
        <f>IF(AND(U160&lt;&gt;"",V160&lt;&gt;""),U160*V160,"")</f>
        <v/>
      </c>
      <c r="Y160" s="8">
        <f>IF(AND(W160&lt;&gt;"",X160&lt;&gt;""),W160*X160,"")</f>
        <v/>
      </c>
      <c r="Z160" s="8">
        <f>IF(AND(W160&lt;&gt;"",Y160&lt;&gt;""),W160+Y160,"")</f>
        <v/>
      </c>
      <c r="AD160">
        <f>IF($B160="GWE_Item",IF($AA160="Elektra",(SUMIFS($O:$O,$A:$A,$A160,$B:$B,"GWE")-SUMIFS($N:$N,$A:$A,$A160,$B:$B,"GWE")),IF($AA160="Gas",(SUMIFS($Q:$Q,$A:$A,$A160,$B:$B,"GWE")-SUMIFS($P:$P,$A:$A,$A160,$B:$B,"GWE")),IF($AA160="Water",(SUMIFS($S:$S,$A:$A,$A160,$B:$B,"GWE")-SUMIFS($R:$R,$A:$A,$A160,$B:$B,"GWE")),""))),"")</f>
        <v/>
      </c>
      <c r="AF160" s="8">
        <f>IF(AND(AD160&lt;&gt;"",AE160&lt;&gt;""),AD160*AE160,"")</f>
        <v/>
      </c>
      <c r="AH160" s="8">
        <f>IF(AND(AF160&lt;&gt;"",AG160&lt;&gt;""),AF160*AG160,"")</f>
        <v/>
      </c>
      <c r="AI160" s="8">
        <f>IF(AND(AF160&lt;&gt;"",AH160&lt;&gt;""),AF160+AH160,"")</f>
        <v/>
      </c>
    </row>
    <row r="161">
      <c r="D161">
        <f>IF(A161="","",VLOOKUP(A161,Lists!$A:$B,2,FALSE))</f>
        <v/>
      </c>
      <c r="W161" s="8">
        <f>IF(AND(U161&lt;&gt;"",V161&lt;&gt;""),U161*V161,"")</f>
        <v/>
      </c>
      <c r="Y161" s="8">
        <f>IF(AND(W161&lt;&gt;"",X161&lt;&gt;""),W161*X161,"")</f>
        <v/>
      </c>
      <c r="Z161" s="8">
        <f>IF(AND(W161&lt;&gt;"",Y161&lt;&gt;""),W161+Y161,"")</f>
        <v/>
      </c>
      <c r="AD161">
        <f>IF($B161="GWE_Item",IF($AA161="Elektra",(SUMIFS($O:$O,$A:$A,$A161,$B:$B,"GWE")-SUMIFS($N:$N,$A:$A,$A161,$B:$B,"GWE")),IF($AA161="Gas",(SUMIFS($Q:$Q,$A:$A,$A161,$B:$B,"GWE")-SUMIFS($P:$P,$A:$A,$A161,$B:$B,"GWE")),IF($AA161="Water",(SUMIFS($S:$S,$A:$A,$A161,$B:$B,"GWE")-SUMIFS($R:$R,$A:$A,$A161,$B:$B,"GWE")),""))),"")</f>
        <v/>
      </c>
      <c r="AF161" s="8">
        <f>IF(AND(AD161&lt;&gt;"",AE161&lt;&gt;""),AD161*AE161,"")</f>
        <v/>
      </c>
      <c r="AH161" s="8">
        <f>IF(AND(AF161&lt;&gt;"",AG161&lt;&gt;""),AF161*AG161,"")</f>
        <v/>
      </c>
      <c r="AI161" s="8">
        <f>IF(AND(AF161&lt;&gt;"",AH161&lt;&gt;""),AF161+AH161,"")</f>
        <v/>
      </c>
    </row>
    <row r="162">
      <c r="D162">
        <f>IF(A162="","",VLOOKUP(A162,Lists!$A:$B,2,FALSE))</f>
        <v/>
      </c>
      <c r="W162" s="8">
        <f>IF(AND(U162&lt;&gt;"",V162&lt;&gt;""),U162*V162,"")</f>
        <v/>
      </c>
      <c r="Y162" s="8">
        <f>IF(AND(W162&lt;&gt;"",X162&lt;&gt;""),W162*X162,"")</f>
        <v/>
      </c>
      <c r="Z162" s="8">
        <f>IF(AND(W162&lt;&gt;"",Y162&lt;&gt;""),W162+Y162,"")</f>
        <v/>
      </c>
      <c r="AD162">
        <f>IF($B162="GWE_Item",IF($AA162="Elektra",(SUMIFS($O:$O,$A:$A,$A162,$B:$B,"GWE")-SUMIFS($N:$N,$A:$A,$A162,$B:$B,"GWE")),IF($AA162="Gas",(SUMIFS($Q:$Q,$A:$A,$A162,$B:$B,"GWE")-SUMIFS($P:$P,$A:$A,$A162,$B:$B,"GWE")),IF($AA162="Water",(SUMIFS($S:$S,$A:$A,$A162,$B:$B,"GWE")-SUMIFS($R:$R,$A:$A,$A162,$B:$B,"GWE")),""))),"")</f>
        <v/>
      </c>
      <c r="AF162" s="8">
        <f>IF(AND(AD162&lt;&gt;"",AE162&lt;&gt;""),AD162*AE162,"")</f>
        <v/>
      </c>
      <c r="AH162" s="8">
        <f>IF(AND(AF162&lt;&gt;"",AG162&lt;&gt;""),AF162*AG162,"")</f>
        <v/>
      </c>
      <c r="AI162" s="8">
        <f>IF(AND(AF162&lt;&gt;"",AH162&lt;&gt;""),AF162+AH162,"")</f>
        <v/>
      </c>
    </row>
    <row r="163">
      <c r="D163">
        <f>IF(A163="","",VLOOKUP(A163,Lists!$A:$B,2,FALSE))</f>
        <v/>
      </c>
      <c r="W163" s="8">
        <f>IF(AND(U163&lt;&gt;"",V163&lt;&gt;""),U163*V163,"")</f>
        <v/>
      </c>
      <c r="Y163" s="8">
        <f>IF(AND(W163&lt;&gt;"",X163&lt;&gt;""),W163*X163,"")</f>
        <v/>
      </c>
      <c r="Z163" s="8">
        <f>IF(AND(W163&lt;&gt;"",Y163&lt;&gt;""),W163+Y163,"")</f>
        <v/>
      </c>
      <c r="AD163">
        <f>IF($B163="GWE_Item",IF($AA163="Elektra",(SUMIFS($O:$O,$A:$A,$A163,$B:$B,"GWE")-SUMIFS($N:$N,$A:$A,$A163,$B:$B,"GWE")),IF($AA163="Gas",(SUMIFS($Q:$Q,$A:$A,$A163,$B:$B,"GWE")-SUMIFS($P:$P,$A:$A,$A163,$B:$B,"GWE")),IF($AA163="Water",(SUMIFS($S:$S,$A:$A,$A163,$B:$B,"GWE")-SUMIFS($R:$R,$A:$A,$A163,$B:$B,"GWE")),""))),"")</f>
        <v/>
      </c>
      <c r="AF163" s="8">
        <f>IF(AND(AD163&lt;&gt;"",AE163&lt;&gt;""),AD163*AE163,"")</f>
        <v/>
      </c>
      <c r="AH163" s="8">
        <f>IF(AND(AF163&lt;&gt;"",AG163&lt;&gt;""),AF163*AG163,"")</f>
        <v/>
      </c>
      <c r="AI163" s="8">
        <f>IF(AND(AF163&lt;&gt;"",AH163&lt;&gt;""),AF163+AH163,"")</f>
        <v/>
      </c>
    </row>
    <row r="164">
      <c r="D164">
        <f>IF(A164="","",VLOOKUP(A164,Lists!$A:$B,2,FALSE))</f>
        <v/>
      </c>
      <c r="W164" s="8">
        <f>IF(AND(U164&lt;&gt;"",V164&lt;&gt;""),U164*V164,"")</f>
        <v/>
      </c>
      <c r="Y164" s="8">
        <f>IF(AND(W164&lt;&gt;"",X164&lt;&gt;""),W164*X164,"")</f>
        <v/>
      </c>
      <c r="Z164" s="8">
        <f>IF(AND(W164&lt;&gt;"",Y164&lt;&gt;""),W164+Y164,"")</f>
        <v/>
      </c>
      <c r="AD164">
        <f>IF($B164="GWE_Item",IF($AA164="Elektra",(SUMIFS($O:$O,$A:$A,$A164,$B:$B,"GWE")-SUMIFS($N:$N,$A:$A,$A164,$B:$B,"GWE")),IF($AA164="Gas",(SUMIFS($Q:$Q,$A:$A,$A164,$B:$B,"GWE")-SUMIFS($P:$P,$A:$A,$A164,$B:$B,"GWE")),IF($AA164="Water",(SUMIFS($S:$S,$A:$A,$A164,$B:$B,"GWE")-SUMIFS($R:$R,$A:$A,$A164,$B:$B,"GWE")),""))),"")</f>
        <v/>
      </c>
      <c r="AF164" s="8">
        <f>IF(AND(AD164&lt;&gt;"",AE164&lt;&gt;""),AD164*AE164,"")</f>
        <v/>
      </c>
      <c r="AH164" s="8">
        <f>IF(AND(AF164&lt;&gt;"",AG164&lt;&gt;""),AF164*AG164,"")</f>
        <v/>
      </c>
      <c r="AI164" s="8">
        <f>IF(AND(AF164&lt;&gt;"",AH164&lt;&gt;""),AF164+AH164,"")</f>
        <v/>
      </c>
    </row>
    <row r="165">
      <c r="D165">
        <f>IF(A165="","",VLOOKUP(A165,Lists!$A:$B,2,FALSE))</f>
        <v/>
      </c>
      <c r="W165" s="8">
        <f>IF(AND(U165&lt;&gt;"",V165&lt;&gt;""),U165*V165,"")</f>
        <v/>
      </c>
      <c r="Y165" s="8">
        <f>IF(AND(W165&lt;&gt;"",X165&lt;&gt;""),W165*X165,"")</f>
        <v/>
      </c>
      <c r="Z165" s="8">
        <f>IF(AND(W165&lt;&gt;"",Y165&lt;&gt;""),W165+Y165,"")</f>
        <v/>
      </c>
      <c r="AD165">
        <f>IF($B165="GWE_Item",IF($AA165="Elektra",(SUMIFS($O:$O,$A:$A,$A165,$B:$B,"GWE")-SUMIFS($N:$N,$A:$A,$A165,$B:$B,"GWE")),IF($AA165="Gas",(SUMIFS($Q:$Q,$A:$A,$A165,$B:$B,"GWE")-SUMIFS($P:$P,$A:$A,$A165,$B:$B,"GWE")),IF($AA165="Water",(SUMIFS($S:$S,$A:$A,$A165,$B:$B,"GWE")-SUMIFS($R:$R,$A:$A,$A165,$B:$B,"GWE")),""))),"")</f>
        <v/>
      </c>
      <c r="AF165" s="8">
        <f>IF(AND(AD165&lt;&gt;"",AE165&lt;&gt;""),AD165*AE165,"")</f>
        <v/>
      </c>
      <c r="AH165" s="8">
        <f>IF(AND(AF165&lt;&gt;"",AG165&lt;&gt;""),AF165*AG165,"")</f>
        <v/>
      </c>
      <c r="AI165" s="8">
        <f>IF(AND(AF165&lt;&gt;"",AH165&lt;&gt;""),AF165+AH165,"")</f>
        <v/>
      </c>
    </row>
    <row r="166">
      <c r="D166">
        <f>IF(A166="","",VLOOKUP(A166,Lists!$A:$B,2,FALSE))</f>
        <v/>
      </c>
      <c r="W166" s="8">
        <f>IF(AND(U166&lt;&gt;"",V166&lt;&gt;""),U166*V166,"")</f>
        <v/>
      </c>
      <c r="Y166" s="8">
        <f>IF(AND(W166&lt;&gt;"",X166&lt;&gt;""),W166*X166,"")</f>
        <v/>
      </c>
      <c r="Z166" s="8">
        <f>IF(AND(W166&lt;&gt;"",Y166&lt;&gt;""),W166+Y166,"")</f>
        <v/>
      </c>
      <c r="AD166">
        <f>IF($B166="GWE_Item",IF($AA166="Elektra",(SUMIFS($O:$O,$A:$A,$A166,$B:$B,"GWE")-SUMIFS($N:$N,$A:$A,$A166,$B:$B,"GWE")),IF($AA166="Gas",(SUMIFS($Q:$Q,$A:$A,$A166,$B:$B,"GWE")-SUMIFS($P:$P,$A:$A,$A166,$B:$B,"GWE")),IF($AA166="Water",(SUMIFS($S:$S,$A:$A,$A166,$B:$B,"GWE")-SUMIFS($R:$R,$A:$A,$A166,$B:$B,"GWE")),""))),"")</f>
        <v/>
      </c>
      <c r="AF166" s="8">
        <f>IF(AND(AD166&lt;&gt;"",AE166&lt;&gt;""),AD166*AE166,"")</f>
        <v/>
      </c>
      <c r="AH166" s="8">
        <f>IF(AND(AF166&lt;&gt;"",AG166&lt;&gt;""),AF166*AG166,"")</f>
        <v/>
      </c>
      <c r="AI166" s="8">
        <f>IF(AND(AF166&lt;&gt;"",AH166&lt;&gt;""),AF166+AH166,"")</f>
        <v/>
      </c>
    </row>
    <row r="167">
      <c r="D167">
        <f>IF(A167="","",VLOOKUP(A167,Lists!$A:$B,2,FALSE))</f>
        <v/>
      </c>
      <c r="W167" s="8">
        <f>IF(AND(U167&lt;&gt;"",V167&lt;&gt;""),U167*V167,"")</f>
        <v/>
      </c>
      <c r="Y167" s="8">
        <f>IF(AND(W167&lt;&gt;"",X167&lt;&gt;""),W167*X167,"")</f>
        <v/>
      </c>
      <c r="Z167" s="8">
        <f>IF(AND(W167&lt;&gt;"",Y167&lt;&gt;""),W167+Y167,"")</f>
        <v/>
      </c>
      <c r="AD167">
        <f>IF($B167="GWE_Item",IF($AA167="Elektra",(SUMIFS($O:$O,$A:$A,$A167,$B:$B,"GWE")-SUMIFS($N:$N,$A:$A,$A167,$B:$B,"GWE")),IF($AA167="Gas",(SUMIFS($Q:$Q,$A:$A,$A167,$B:$B,"GWE")-SUMIFS($P:$P,$A:$A,$A167,$B:$B,"GWE")),IF($AA167="Water",(SUMIFS($S:$S,$A:$A,$A167,$B:$B,"GWE")-SUMIFS($R:$R,$A:$A,$A167,$B:$B,"GWE")),""))),"")</f>
        <v/>
      </c>
      <c r="AF167" s="8">
        <f>IF(AND(AD167&lt;&gt;"",AE167&lt;&gt;""),AD167*AE167,"")</f>
        <v/>
      </c>
      <c r="AH167" s="8">
        <f>IF(AND(AF167&lt;&gt;"",AG167&lt;&gt;""),AF167*AG167,"")</f>
        <v/>
      </c>
      <c r="AI167" s="8">
        <f>IF(AND(AF167&lt;&gt;"",AH167&lt;&gt;""),AF167+AH167,"")</f>
        <v/>
      </c>
    </row>
    <row r="168">
      <c r="D168">
        <f>IF(A168="","",VLOOKUP(A168,Lists!$A:$B,2,FALSE))</f>
        <v/>
      </c>
      <c r="W168" s="8">
        <f>IF(AND(U168&lt;&gt;"",V168&lt;&gt;""),U168*V168,"")</f>
        <v/>
      </c>
      <c r="Y168" s="8">
        <f>IF(AND(W168&lt;&gt;"",X168&lt;&gt;""),W168*X168,"")</f>
        <v/>
      </c>
      <c r="Z168" s="8">
        <f>IF(AND(W168&lt;&gt;"",Y168&lt;&gt;""),W168+Y168,"")</f>
        <v/>
      </c>
      <c r="AD168">
        <f>IF($B168="GWE_Item",IF($AA168="Elektra",(SUMIFS($O:$O,$A:$A,$A168,$B:$B,"GWE")-SUMIFS($N:$N,$A:$A,$A168,$B:$B,"GWE")),IF($AA168="Gas",(SUMIFS($Q:$Q,$A:$A,$A168,$B:$B,"GWE")-SUMIFS($P:$P,$A:$A,$A168,$B:$B,"GWE")),IF($AA168="Water",(SUMIFS($S:$S,$A:$A,$A168,$B:$B,"GWE")-SUMIFS($R:$R,$A:$A,$A168,$B:$B,"GWE")),""))),"")</f>
        <v/>
      </c>
      <c r="AF168" s="8">
        <f>IF(AND(AD168&lt;&gt;"",AE168&lt;&gt;""),AD168*AE168,"")</f>
        <v/>
      </c>
      <c r="AH168" s="8">
        <f>IF(AND(AF168&lt;&gt;"",AG168&lt;&gt;""),AF168*AG168,"")</f>
        <v/>
      </c>
      <c r="AI168" s="8">
        <f>IF(AND(AF168&lt;&gt;"",AH168&lt;&gt;""),AF168+AH168,"")</f>
        <v/>
      </c>
    </row>
    <row r="169">
      <c r="D169">
        <f>IF(A169="","",VLOOKUP(A169,Lists!$A:$B,2,FALSE))</f>
        <v/>
      </c>
      <c r="W169" s="8">
        <f>IF(AND(U169&lt;&gt;"",V169&lt;&gt;""),U169*V169,"")</f>
        <v/>
      </c>
      <c r="Y169" s="8">
        <f>IF(AND(W169&lt;&gt;"",X169&lt;&gt;""),W169*X169,"")</f>
        <v/>
      </c>
      <c r="Z169" s="8">
        <f>IF(AND(W169&lt;&gt;"",Y169&lt;&gt;""),W169+Y169,"")</f>
        <v/>
      </c>
      <c r="AD169">
        <f>IF($B169="GWE_Item",IF($AA169="Elektra",(SUMIFS($O:$O,$A:$A,$A169,$B:$B,"GWE")-SUMIFS($N:$N,$A:$A,$A169,$B:$B,"GWE")),IF($AA169="Gas",(SUMIFS($Q:$Q,$A:$A,$A169,$B:$B,"GWE")-SUMIFS($P:$P,$A:$A,$A169,$B:$B,"GWE")),IF($AA169="Water",(SUMIFS($S:$S,$A:$A,$A169,$B:$B,"GWE")-SUMIFS($R:$R,$A:$A,$A169,$B:$B,"GWE")),""))),"")</f>
        <v/>
      </c>
      <c r="AF169" s="8">
        <f>IF(AND(AD169&lt;&gt;"",AE169&lt;&gt;""),AD169*AE169,"")</f>
        <v/>
      </c>
      <c r="AH169" s="8">
        <f>IF(AND(AF169&lt;&gt;"",AG169&lt;&gt;""),AF169*AG169,"")</f>
        <v/>
      </c>
      <c r="AI169" s="8">
        <f>IF(AND(AF169&lt;&gt;"",AH169&lt;&gt;""),AF169+AH169,"")</f>
        <v/>
      </c>
    </row>
    <row r="170">
      <c r="D170">
        <f>IF(A170="","",VLOOKUP(A170,Lists!$A:$B,2,FALSE))</f>
        <v/>
      </c>
      <c r="W170" s="8">
        <f>IF(AND(U170&lt;&gt;"",V170&lt;&gt;""),U170*V170,"")</f>
        <v/>
      </c>
      <c r="Y170" s="8">
        <f>IF(AND(W170&lt;&gt;"",X170&lt;&gt;""),W170*X170,"")</f>
        <v/>
      </c>
      <c r="Z170" s="8">
        <f>IF(AND(W170&lt;&gt;"",Y170&lt;&gt;""),W170+Y170,"")</f>
        <v/>
      </c>
      <c r="AD170">
        <f>IF($B170="GWE_Item",IF($AA170="Elektra",(SUMIFS($O:$O,$A:$A,$A170,$B:$B,"GWE")-SUMIFS($N:$N,$A:$A,$A170,$B:$B,"GWE")),IF($AA170="Gas",(SUMIFS($Q:$Q,$A:$A,$A170,$B:$B,"GWE")-SUMIFS($P:$P,$A:$A,$A170,$B:$B,"GWE")),IF($AA170="Water",(SUMIFS($S:$S,$A:$A,$A170,$B:$B,"GWE")-SUMIFS($R:$R,$A:$A,$A170,$B:$B,"GWE")),""))),"")</f>
        <v/>
      </c>
      <c r="AF170" s="8">
        <f>IF(AND(AD170&lt;&gt;"",AE170&lt;&gt;""),AD170*AE170,"")</f>
        <v/>
      </c>
      <c r="AH170" s="8">
        <f>IF(AND(AF170&lt;&gt;"",AG170&lt;&gt;""),AF170*AG170,"")</f>
        <v/>
      </c>
      <c r="AI170" s="8">
        <f>IF(AND(AF170&lt;&gt;"",AH170&lt;&gt;""),AF170+AH170,"")</f>
        <v/>
      </c>
    </row>
    <row r="171">
      <c r="D171">
        <f>IF(A171="","",VLOOKUP(A171,Lists!$A:$B,2,FALSE))</f>
        <v/>
      </c>
      <c r="W171" s="8">
        <f>IF(AND(U171&lt;&gt;"",V171&lt;&gt;""),U171*V171,"")</f>
        <v/>
      </c>
      <c r="Y171" s="8">
        <f>IF(AND(W171&lt;&gt;"",X171&lt;&gt;""),W171*X171,"")</f>
        <v/>
      </c>
      <c r="Z171" s="8">
        <f>IF(AND(W171&lt;&gt;"",Y171&lt;&gt;""),W171+Y171,"")</f>
        <v/>
      </c>
      <c r="AD171">
        <f>IF($B171="GWE_Item",IF($AA171="Elektra",(SUMIFS($O:$O,$A:$A,$A171,$B:$B,"GWE")-SUMIFS($N:$N,$A:$A,$A171,$B:$B,"GWE")),IF($AA171="Gas",(SUMIFS($Q:$Q,$A:$A,$A171,$B:$B,"GWE")-SUMIFS($P:$P,$A:$A,$A171,$B:$B,"GWE")),IF($AA171="Water",(SUMIFS($S:$S,$A:$A,$A171,$B:$B,"GWE")-SUMIFS($R:$R,$A:$A,$A171,$B:$B,"GWE")),""))),"")</f>
        <v/>
      </c>
      <c r="AF171" s="8">
        <f>IF(AND(AD171&lt;&gt;"",AE171&lt;&gt;""),AD171*AE171,"")</f>
        <v/>
      </c>
      <c r="AH171" s="8">
        <f>IF(AND(AF171&lt;&gt;"",AG171&lt;&gt;""),AF171*AG171,"")</f>
        <v/>
      </c>
      <c r="AI171" s="8">
        <f>IF(AND(AF171&lt;&gt;"",AH171&lt;&gt;""),AF171+AH171,"")</f>
        <v/>
      </c>
    </row>
    <row r="172">
      <c r="D172">
        <f>IF(A172="","",VLOOKUP(A172,Lists!$A:$B,2,FALSE))</f>
        <v/>
      </c>
      <c r="W172" s="8">
        <f>IF(AND(U172&lt;&gt;"",V172&lt;&gt;""),U172*V172,"")</f>
        <v/>
      </c>
      <c r="Y172" s="8">
        <f>IF(AND(W172&lt;&gt;"",X172&lt;&gt;""),W172*X172,"")</f>
        <v/>
      </c>
      <c r="Z172" s="8">
        <f>IF(AND(W172&lt;&gt;"",Y172&lt;&gt;""),W172+Y172,"")</f>
        <v/>
      </c>
      <c r="AD172">
        <f>IF($B172="GWE_Item",IF($AA172="Elektra",(SUMIFS($O:$O,$A:$A,$A172,$B:$B,"GWE")-SUMIFS($N:$N,$A:$A,$A172,$B:$B,"GWE")),IF($AA172="Gas",(SUMIFS($Q:$Q,$A:$A,$A172,$B:$B,"GWE")-SUMIFS($P:$P,$A:$A,$A172,$B:$B,"GWE")),IF($AA172="Water",(SUMIFS($S:$S,$A:$A,$A172,$B:$B,"GWE")-SUMIFS($R:$R,$A:$A,$A172,$B:$B,"GWE")),""))),"")</f>
        <v/>
      </c>
      <c r="AF172" s="8">
        <f>IF(AND(AD172&lt;&gt;"",AE172&lt;&gt;""),AD172*AE172,"")</f>
        <v/>
      </c>
      <c r="AH172" s="8">
        <f>IF(AND(AF172&lt;&gt;"",AG172&lt;&gt;""),AF172*AG172,"")</f>
        <v/>
      </c>
      <c r="AI172" s="8">
        <f>IF(AND(AF172&lt;&gt;"",AH172&lt;&gt;""),AF172+AH172,"")</f>
        <v/>
      </c>
    </row>
    <row r="173">
      <c r="D173">
        <f>IF(A173="","",VLOOKUP(A173,Lists!$A:$B,2,FALSE))</f>
        <v/>
      </c>
      <c r="W173" s="8">
        <f>IF(AND(U173&lt;&gt;"",V173&lt;&gt;""),U173*V173,"")</f>
        <v/>
      </c>
      <c r="Y173" s="8">
        <f>IF(AND(W173&lt;&gt;"",X173&lt;&gt;""),W173*X173,"")</f>
        <v/>
      </c>
      <c r="Z173" s="8">
        <f>IF(AND(W173&lt;&gt;"",Y173&lt;&gt;""),W173+Y173,"")</f>
        <v/>
      </c>
      <c r="AD173">
        <f>IF($B173="GWE_Item",IF($AA173="Elektra",(SUMIFS($O:$O,$A:$A,$A173,$B:$B,"GWE")-SUMIFS($N:$N,$A:$A,$A173,$B:$B,"GWE")),IF($AA173="Gas",(SUMIFS($Q:$Q,$A:$A,$A173,$B:$B,"GWE")-SUMIFS($P:$P,$A:$A,$A173,$B:$B,"GWE")),IF($AA173="Water",(SUMIFS($S:$S,$A:$A,$A173,$B:$B,"GWE")-SUMIFS($R:$R,$A:$A,$A173,$B:$B,"GWE")),""))),"")</f>
        <v/>
      </c>
      <c r="AF173" s="8">
        <f>IF(AND(AD173&lt;&gt;"",AE173&lt;&gt;""),AD173*AE173,"")</f>
        <v/>
      </c>
      <c r="AH173" s="8">
        <f>IF(AND(AF173&lt;&gt;"",AG173&lt;&gt;""),AF173*AG173,"")</f>
        <v/>
      </c>
      <c r="AI173" s="8">
        <f>IF(AND(AF173&lt;&gt;"",AH173&lt;&gt;""),AF173+AH173,"")</f>
        <v/>
      </c>
    </row>
    <row r="174">
      <c r="D174">
        <f>IF(A174="","",VLOOKUP(A174,Lists!$A:$B,2,FALSE))</f>
        <v/>
      </c>
      <c r="W174" s="8">
        <f>IF(AND(U174&lt;&gt;"",V174&lt;&gt;""),U174*V174,"")</f>
        <v/>
      </c>
      <c r="Y174" s="8">
        <f>IF(AND(W174&lt;&gt;"",X174&lt;&gt;""),W174*X174,"")</f>
        <v/>
      </c>
      <c r="Z174" s="8">
        <f>IF(AND(W174&lt;&gt;"",Y174&lt;&gt;""),W174+Y174,"")</f>
        <v/>
      </c>
      <c r="AD174">
        <f>IF($B174="GWE_Item",IF($AA174="Elektra",(SUMIFS($O:$O,$A:$A,$A174,$B:$B,"GWE")-SUMIFS($N:$N,$A:$A,$A174,$B:$B,"GWE")),IF($AA174="Gas",(SUMIFS($Q:$Q,$A:$A,$A174,$B:$B,"GWE")-SUMIFS($P:$P,$A:$A,$A174,$B:$B,"GWE")),IF($AA174="Water",(SUMIFS($S:$S,$A:$A,$A174,$B:$B,"GWE")-SUMIFS($R:$R,$A:$A,$A174,$B:$B,"GWE")),""))),"")</f>
        <v/>
      </c>
      <c r="AF174" s="8">
        <f>IF(AND(AD174&lt;&gt;"",AE174&lt;&gt;""),AD174*AE174,"")</f>
        <v/>
      </c>
      <c r="AH174" s="8">
        <f>IF(AND(AF174&lt;&gt;"",AG174&lt;&gt;""),AF174*AG174,"")</f>
        <v/>
      </c>
      <c r="AI174" s="8">
        <f>IF(AND(AF174&lt;&gt;"",AH174&lt;&gt;""),AF174+AH174,"")</f>
        <v/>
      </c>
    </row>
    <row r="175">
      <c r="D175">
        <f>IF(A175="","",VLOOKUP(A175,Lists!$A:$B,2,FALSE))</f>
        <v/>
      </c>
      <c r="W175" s="8">
        <f>IF(AND(U175&lt;&gt;"",V175&lt;&gt;""),U175*V175,"")</f>
        <v/>
      </c>
      <c r="Y175" s="8">
        <f>IF(AND(W175&lt;&gt;"",X175&lt;&gt;""),W175*X175,"")</f>
        <v/>
      </c>
      <c r="Z175" s="8">
        <f>IF(AND(W175&lt;&gt;"",Y175&lt;&gt;""),W175+Y175,"")</f>
        <v/>
      </c>
      <c r="AD175">
        <f>IF($B175="GWE_Item",IF($AA175="Elektra",(SUMIFS($O:$O,$A:$A,$A175,$B:$B,"GWE")-SUMIFS($N:$N,$A:$A,$A175,$B:$B,"GWE")),IF($AA175="Gas",(SUMIFS($Q:$Q,$A:$A,$A175,$B:$B,"GWE")-SUMIFS($P:$P,$A:$A,$A175,$B:$B,"GWE")),IF($AA175="Water",(SUMIFS($S:$S,$A:$A,$A175,$B:$B,"GWE")-SUMIFS($R:$R,$A:$A,$A175,$B:$B,"GWE")),""))),"")</f>
        <v/>
      </c>
      <c r="AF175" s="8">
        <f>IF(AND(AD175&lt;&gt;"",AE175&lt;&gt;""),AD175*AE175,"")</f>
        <v/>
      </c>
      <c r="AH175" s="8">
        <f>IF(AND(AF175&lt;&gt;"",AG175&lt;&gt;""),AF175*AG175,"")</f>
        <v/>
      </c>
      <c r="AI175" s="8">
        <f>IF(AND(AF175&lt;&gt;"",AH175&lt;&gt;""),AF175+AH175,"")</f>
        <v/>
      </c>
    </row>
    <row r="176">
      <c r="D176">
        <f>IF(A176="","",VLOOKUP(A176,Lists!$A:$B,2,FALSE))</f>
        <v/>
      </c>
      <c r="W176" s="8">
        <f>IF(AND(U176&lt;&gt;"",V176&lt;&gt;""),U176*V176,"")</f>
        <v/>
      </c>
      <c r="Y176" s="8">
        <f>IF(AND(W176&lt;&gt;"",X176&lt;&gt;""),W176*X176,"")</f>
        <v/>
      </c>
      <c r="Z176" s="8">
        <f>IF(AND(W176&lt;&gt;"",Y176&lt;&gt;""),W176+Y176,"")</f>
        <v/>
      </c>
      <c r="AD176">
        <f>IF($B176="GWE_Item",IF($AA176="Elektra",(SUMIFS($O:$O,$A:$A,$A176,$B:$B,"GWE")-SUMIFS($N:$N,$A:$A,$A176,$B:$B,"GWE")),IF($AA176="Gas",(SUMIFS($Q:$Q,$A:$A,$A176,$B:$B,"GWE")-SUMIFS($P:$P,$A:$A,$A176,$B:$B,"GWE")),IF($AA176="Water",(SUMIFS($S:$S,$A:$A,$A176,$B:$B,"GWE")-SUMIFS($R:$R,$A:$A,$A176,$B:$B,"GWE")),""))),"")</f>
        <v/>
      </c>
      <c r="AF176" s="8">
        <f>IF(AND(AD176&lt;&gt;"",AE176&lt;&gt;""),AD176*AE176,"")</f>
        <v/>
      </c>
      <c r="AH176" s="8">
        <f>IF(AND(AF176&lt;&gt;"",AG176&lt;&gt;""),AF176*AG176,"")</f>
        <v/>
      </c>
      <c r="AI176" s="8">
        <f>IF(AND(AF176&lt;&gt;"",AH176&lt;&gt;""),AF176+AH176,"")</f>
        <v/>
      </c>
    </row>
    <row r="177">
      <c r="D177">
        <f>IF(A177="","",VLOOKUP(A177,Lists!$A:$B,2,FALSE))</f>
        <v/>
      </c>
      <c r="W177" s="8">
        <f>IF(AND(U177&lt;&gt;"",V177&lt;&gt;""),U177*V177,"")</f>
        <v/>
      </c>
      <c r="Y177" s="8">
        <f>IF(AND(W177&lt;&gt;"",X177&lt;&gt;""),W177*X177,"")</f>
        <v/>
      </c>
      <c r="Z177" s="8">
        <f>IF(AND(W177&lt;&gt;"",Y177&lt;&gt;""),W177+Y177,"")</f>
        <v/>
      </c>
      <c r="AD177">
        <f>IF($B177="GWE_Item",IF($AA177="Elektra",(SUMIFS($O:$O,$A:$A,$A177,$B:$B,"GWE")-SUMIFS($N:$N,$A:$A,$A177,$B:$B,"GWE")),IF($AA177="Gas",(SUMIFS($Q:$Q,$A:$A,$A177,$B:$B,"GWE")-SUMIFS($P:$P,$A:$A,$A177,$B:$B,"GWE")),IF($AA177="Water",(SUMIFS($S:$S,$A:$A,$A177,$B:$B,"GWE")-SUMIFS($R:$R,$A:$A,$A177,$B:$B,"GWE")),""))),"")</f>
        <v/>
      </c>
      <c r="AF177" s="8">
        <f>IF(AND(AD177&lt;&gt;"",AE177&lt;&gt;""),AD177*AE177,"")</f>
        <v/>
      </c>
      <c r="AH177" s="8">
        <f>IF(AND(AF177&lt;&gt;"",AG177&lt;&gt;""),AF177*AG177,"")</f>
        <v/>
      </c>
      <c r="AI177" s="8">
        <f>IF(AND(AF177&lt;&gt;"",AH177&lt;&gt;""),AF177+AH177,"")</f>
        <v/>
      </c>
    </row>
    <row r="178">
      <c r="D178">
        <f>IF(A178="","",VLOOKUP(A178,Lists!$A:$B,2,FALSE))</f>
        <v/>
      </c>
      <c r="W178" s="8">
        <f>IF(AND(U178&lt;&gt;"",V178&lt;&gt;""),U178*V178,"")</f>
        <v/>
      </c>
      <c r="Y178" s="8">
        <f>IF(AND(W178&lt;&gt;"",X178&lt;&gt;""),W178*X178,"")</f>
        <v/>
      </c>
      <c r="Z178" s="8">
        <f>IF(AND(W178&lt;&gt;"",Y178&lt;&gt;""),W178+Y178,"")</f>
        <v/>
      </c>
      <c r="AD178">
        <f>IF($B178="GWE_Item",IF($AA178="Elektra",(SUMIFS($O:$O,$A:$A,$A178,$B:$B,"GWE")-SUMIFS($N:$N,$A:$A,$A178,$B:$B,"GWE")),IF($AA178="Gas",(SUMIFS($Q:$Q,$A:$A,$A178,$B:$B,"GWE")-SUMIFS($P:$P,$A:$A,$A178,$B:$B,"GWE")),IF($AA178="Water",(SUMIFS($S:$S,$A:$A,$A178,$B:$B,"GWE")-SUMIFS($R:$R,$A:$A,$A178,$B:$B,"GWE")),""))),"")</f>
        <v/>
      </c>
      <c r="AF178" s="8">
        <f>IF(AND(AD178&lt;&gt;"",AE178&lt;&gt;""),AD178*AE178,"")</f>
        <v/>
      </c>
      <c r="AH178" s="8">
        <f>IF(AND(AF178&lt;&gt;"",AG178&lt;&gt;""),AF178*AG178,"")</f>
        <v/>
      </c>
      <c r="AI178" s="8">
        <f>IF(AND(AF178&lt;&gt;"",AH178&lt;&gt;""),AF178+AH178,"")</f>
        <v/>
      </c>
    </row>
    <row r="179">
      <c r="D179">
        <f>IF(A179="","",VLOOKUP(A179,Lists!$A:$B,2,FALSE))</f>
        <v/>
      </c>
      <c r="W179" s="8">
        <f>IF(AND(U179&lt;&gt;"",V179&lt;&gt;""),U179*V179,"")</f>
        <v/>
      </c>
      <c r="Y179" s="8">
        <f>IF(AND(W179&lt;&gt;"",X179&lt;&gt;""),W179*X179,"")</f>
        <v/>
      </c>
      <c r="Z179" s="8">
        <f>IF(AND(W179&lt;&gt;"",Y179&lt;&gt;""),W179+Y179,"")</f>
        <v/>
      </c>
      <c r="AD179">
        <f>IF($B179="GWE_Item",IF($AA179="Elektra",(SUMIFS($O:$O,$A:$A,$A179,$B:$B,"GWE")-SUMIFS($N:$N,$A:$A,$A179,$B:$B,"GWE")),IF($AA179="Gas",(SUMIFS($Q:$Q,$A:$A,$A179,$B:$B,"GWE")-SUMIFS($P:$P,$A:$A,$A179,$B:$B,"GWE")),IF($AA179="Water",(SUMIFS($S:$S,$A:$A,$A179,$B:$B,"GWE")-SUMIFS($R:$R,$A:$A,$A179,$B:$B,"GWE")),""))),"")</f>
        <v/>
      </c>
      <c r="AF179" s="8">
        <f>IF(AND(AD179&lt;&gt;"",AE179&lt;&gt;""),AD179*AE179,"")</f>
        <v/>
      </c>
      <c r="AH179" s="8">
        <f>IF(AND(AF179&lt;&gt;"",AG179&lt;&gt;""),AF179*AG179,"")</f>
        <v/>
      </c>
      <c r="AI179" s="8">
        <f>IF(AND(AF179&lt;&gt;"",AH179&lt;&gt;""),AF179+AH179,"")</f>
        <v/>
      </c>
    </row>
    <row r="180">
      <c r="D180">
        <f>IF(A180="","",VLOOKUP(A180,Lists!$A:$B,2,FALSE))</f>
        <v/>
      </c>
      <c r="W180" s="8">
        <f>IF(AND(U180&lt;&gt;"",V180&lt;&gt;""),U180*V180,"")</f>
        <v/>
      </c>
      <c r="Y180" s="8">
        <f>IF(AND(W180&lt;&gt;"",X180&lt;&gt;""),W180*X180,"")</f>
        <v/>
      </c>
      <c r="Z180" s="8">
        <f>IF(AND(W180&lt;&gt;"",Y180&lt;&gt;""),W180+Y180,"")</f>
        <v/>
      </c>
      <c r="AD180">
        <f>IF($B180="GWE_Item",IF($AA180="Elektra",(SUMIFS($O:$O,$A:$A,$A180,$B:$B,"GWE")-SUMIFS($N:$N,$A:$A,$A180,$B:$B,"GWE")),IF($AA180="Gas",(SUMIFS($Q:$Q,$A:$A,$A180,$B:$B,"GWE")-SUMIFS($P:$P,$A:$A,$A180,$B:$B,"GWE")),IF($AA180="Water",(SUMIFS($S:$S,$A:$A,$A180,$B:$B,"GWE")-SUMIFS($R:$R,$A:$A,$A180,$B:$B,"GWE")),""))),"")</f>
        <v/>
      </c>
      <c r="AF180" s="8">
        <f>IF(AND(AD180&lt;&gt;"",AE180&lt;&gt;""),AD180*AE180,"")</f>
        <v/>
      </c>
      <c r="AH180" s="8">
        <f>IF(AND(AF180&lt;&gt;"",AG180&lt;&gt;""),AF180*AG180,"")</f>
        <v/>
      </c>
      <c r="AI180" s="8">
        <f>IF(AND(AF180&lt;&gt;"",AH180&lt;&gt;""),AF180+AH180,"")</f>
        <v/>
      </c>
    </row>
    <row r="181">
      <c r="D181">
        <f>IF(A181="","",VLOOKUP(A181,Lists!$A:$B,2,FALSE))</f>
        <v/>
      </c>
      <c r="W181" s="8">
        <f>IF(AND(U181&lt;&gt;"",V181&lt;&gt;""),U181*V181,"")</f>
        <v/>
      </c>
      <c r="Y181" s="8">
        <f>IF(AND(W181&lt;&gt;"",X181&lt;&gt;""),W181*X181,"")</f>
        <v/>
      </c>
      <c r="Z181" s="8">
        <f>IF(AND(W181&lt;&gt;"",Y181&lt;&gt;""),W181+Y181,"")</f>
        <v/>
      </c>
      <c r="AD181">
        <f>IF($B181="GWE_Item",IF($AA181="Elektra",(SUMIFS($O:$O,$A:$A,$A181,$B:$B,"GWE")-SUMIFS($N:$N,$A:$A,$A181,$B:$B,"GWE")),IF($AA181="Gas",(SUMIFS($Q:$Q,$A:$A,$A181,$B:$B,"GWE")-SUMIFS($P:$P,$A:$A,$A181,$B:$B,"GWE")),IF($AA181="Water",(SUMIFS($S:$S,$A:$A,$A181,$B:$B,"GWE")-SUMIFS($R:$R,$A:$A,$A181,$B:$B,"GWE")),""))),"")</f>
        <v/>
      </c>
      <c r="AF181" s="8">
        <f>IF(AND(AD181&lt;&gt;"",AE181&lt;&gt;""),AD181*AE181,"")</f>
        <v/>
      </c>
      <c r="AH181" s="8">
        <f>IF(AND(AF181&lt;&gt;"",AG181&lt;&gt;""),AF181*AG181,"")</f>
        <v/>
      </c>
      <c r="AI181" s="8">
        <f>IF(AND(AF181&lt;&gt;"",AH181&lt;&gt;""),AF181+AH181,"")</f>
        <v/>
      </c>
    </row>
    <row r="182">
      <c r="D182">
        <f>IF(A182="","",VLOOKUP(A182,Lists!$A:$B,2,FALSE))</f>
        <v/>
      </c>
      <c r="W182" s="8">
        <f>IF(AND(U182&lt;&gt;"",V182&lt;&gt;""),U182*V182,"")</f>
        <v/>
      </c>
      <c r="Y182" s="8">
        <f>IF(AND(W182&lt;&gt;"",X182&lt;&gt;""),W182*X182,"")</f>
        <v/>
      </c>
      <c r="Z182" s="8">
        <f>IF(AND(W182&lt;&gt;"",Y182&lt;&gt;""),W182+Y182,"")</f>
        <v/>
      </c>
      <c r="AD182">
        <f>IF($B182="GWE_Item",IF($AA182="Elektra",(SUMIFS($O:$O,$A:$A,$A182,$B:$B,"GWE")-SUMIFS($N:$N,$A:$A,$A182,$B:$B,"GWE")),IF($AA182="Gas",(SUMIFS($Q:$Q,$A:$A,$A182,$B:$B,"GWE")-SUMIFS($P:$P,$A:$A,$A182,$B:$B,"GWE")),IF($AA182="Water",(SUMIFS($S:$S,$A:$A,$A182,$B:$B,"GWE")-SUMIFS($R:$R,$A:$A,$A182,$B:$B,"GWE")),""))),"")</f>
        <v/>
      </c>
      <c r="AF182" s="8">
        <f>IF(AND(AD182&lt;&gt;"",AE182&lt;&gt;""),AD182*AE182,"")</f>
        <v/>
      </c>
      <c r="AH182" s="8">
        <f>IF(AND(AF182&lt;&gt;"",AG182&lt;&gt;""),AF182*AG182,"")</f>
        <v/>
      </c>
      <c r="AI182" s="8">
        <f>IF(AND(AF182&lt;&gt;"",AH182&lt;&gt;""),AF182+AH182,"")</f>
        <v/>
      </c>
    </row>
    <row r="183">
      <c r="D183">
        <f>IF(A183="","",VLOOKUP(A183,Lists!$A:$B,2,FALSE))</f>
        <v/>
      </c>
      <c r="W183" s="8">
        <f>IF(AND(U183&lt;&gt;"",V183&lt;&gt;""),U183*V183,"")</f>
        <v/>
      </c>
      <c r="Y183" s="8">
        <f>IF(AND(W183&lt;&gt;"",X183&lt;&gt;""),W183*X183,"")</f>
        <v/>
      </c>
      <c r="Z183" s="8">
        <f>IF(AND(W183&lt;&gt;"",Y183&lt;&gt;""),W183+Y183,"")</f>
        <v/>
      </c>
      <c r="AD183">
        <f>IF($B183="GWE_Item",IF($AA183="Elektra",(SUMIFS($O:$O,$A:$A,$A183,$B:$B,"GWE")-SUMIFS($N:$N,$A:$A,$A183,$B:$B,"GWE")),IF($AA183="Gas",(SUMIFS($Q:$Q,$A:$A,$A183,$B:$B,"GWE")-SUMIFS($P:$P,$A:$A,$A183,$B:$B,"GWE")),IF($AA183="Water",(SUMIFS($S:$S,$A:$A,$A183,$B:$B,"GWE")-SUMIFS($R:$R,$A:$A,$A183,$B:$B,"GWE")),""))),"")</f>
        <v/>
      </c>
      <c r="AF183" s="8">
        <f>IF(AND(AD183&lt;&gt;"",AE183&lt;&gt;""),AD183*AE183,"")</f>
        <v/>
      </c>
      <c r="AH183" s="8">
        <f>IF(AND(AF183&lt;&gt;"",AG183&lt;&gt;""),AF183*AG183,"")</f>
        <v/>
      </c>
      <c r="AI183" s="8">
        <f>IF(AND(AF183&lt;&gt;"",AH183&lt;&gt;""),AF183+AH183,"")</f>
        <v/>
      </c>
    </row>
    <row r="184">
      <c r="D184">
        <f>IF(A184="","",VLOOKUP(A184,Lists!$A:$B,2,FALSE))</f>
        <v/>
      </c>
      <c r="W184" s="8">
        <f>IF(AND(U184&lt;&gt;"",V184&lt;&gt;""),U184*V184,"")</f>
        <v/>
      </c>
      <c r="Y184" s="8">
        <f>IF(AND(W184&lt;&gt;"",X184&lt;&gt;""),W184*X184,"")</f>
        <v/>
      </c>
      <c r="Z184" s="8">
        <f>IF(AND(W184&lt;&gt;"",Y184&lt;&gt;""),W184+Y184,"")</f>
        <v/>
      </c>
      <c r="AD184">
        <f>IF($B184="GWE_Item",IF($AA184="Elektra",(SUMIFS($O:$O,$A:$A,$A184,$B:$B,"GWE")-SUMIFS($N:$N,$A:$A,$A184,$B:$B,"GWE")),IF($AA184="Gas",(SUMIFS($Q:$Q,$A:$A,$A184,$B:$B,"GWE")-SUMIFS($P:$P,$A:$A,$A184,$B:$B,"GWE")),IF($AA184="Water",(SUMIFS($S:$S,$A:$A,$A184,$B:$B,"GWE")-SUMIFS($R:$R,$A:$A,$A184,$B:$B,"GWE")),""))),"")</f>
        <v/>
      </c>
      <c r="AF184" s="8">
        <f>IF(AND(AD184&lt;&gt;"",AE184&lt;&gt;""),AD184*AE184,"")</f>
        <v/>
      </c>
      <c r="AH184" s="8">
        <f>IF(AND(AF184&lt;&gt;"",AG184&lt;&gt;""),AF184*AG184,"")</f>
        <v/>
      </c>
      <c r="AI184" s="8">
        <f>IF(AND(AF184&lt;&gt;"",AH184&lt;&gt;""),AF184+AH184,"")</f>
        <v/>
      </c>
    </row>
    <row r="185">
      <c r="D185">
        <f>IF(A185="","",VLOOKUP(A185,Lists!$A:$B,2,FALSE))</f>
        <v/>
      </c>
      <c r="W185" s="8">
        <f>IF(AND(U185&lt;&gt;"",V185&lt;&gt;""),U185*V185,"")</f>
        <v/>
      </c>
      <c r="Y185" s="8">
        <f>IF(AND(W185&lt;&gt;"",X185&lt;&gt;""),W185*X185,"")</f>
        <v/>
      </c>
      <c r="Z185" s="8">
        <f>IF(AND(W185&lt;&gt;"",Y185&lt;&gt;""),W185+Y185,"")</f>
        <v/>
      </c>
      <c r="AD185">
        <f>IF($B185="GWE_Item",IF($AA185="Elektra",(SUMIFS($O:$O,$A:$A,$A185,$B:$B,"GWE")-SUMIFS($N:$N,$A:$A,$A185,$B:$B,"GWE")),IF($AA185="Gas",(SUMIFS($Q:$Q,$A:$A,$A185,$B:$B,"GWE")-SUMIFS($P:$P,$A:$A,$A185,$B:$B,"GWE")),IF($AA185="Water",(SUMIFS($S:$S,$A:$A,$A185,$B:$B,"GWE")-SUMIFS($R:$R,$A:$A,$A185,$B:$B,"GWE")),""))),"")</f>
        <v/>
      </c>
      <c r="AF185" s="8">
        <f>IF(AND(AD185&lt;&gt;"",AE185&lt;&gt;""),AD185*AE185,"")</f>
        <v/>
      </c>
      <c r="AH185" s="8">
        <f>IF(AND(AF185&lt;&gt;"",AG185&lt;&gt;""),AF185*AG185,"")</f>
        <v/>
      </c>
      <c r="AI185" s="8">
        <f>IF(AND(AF185&lt;&gt;"",AH185&lt;&gt;""),AF185+AH185,"")</f>
        <v/>
      </c>
    </row>
    <row r="186">
      <c r="D186">
        <f>IF(A186="","",VLOOKUP(A186,Lists!$A:$B,2,FALSE))</f>
        <v/>
      </c>
      <c r="W186" s="8">
        <f>IF(AND(U186&lt;&gt;"",V186&lt;&gt;""),U186*V186,"")</f>
        <v/>
      </c>
      <c r="Y186" s="8">
        <f>IF(AND(W186&lt;&gt;"",X186&lt;&gt;""),W186*X186,"")</f>
        <v/>
      </c>
      <c r="Z186" s="8">
        <f>IF(AND(W186&lt;&gt;"",Y186&lt;&gt;""),W186+Y186,"")</f>
        <v/>
      </c>
      <c r="AD186">
        <f>IF($B186="GWE_Item",IF($AA186="Elektra",(SUMIFS($O:$O,$A:$A,$A186,$B:$B,"GWE")-SUMIFS($N:$N,$A:$A,$A186,$B:$B,"GWE")),IF($AA186="Gas",(SUMIFS($Q:$Q,$A:$A,$A186,$B:$B,"GWE")-SUMIFS($P:$P,$A:$A,$A186,$B:$B,"GWE")),IF($AA186="Water",(SUMIFS($S:$S,$A:$A,$A186,$B:$B,"GWE")-SUMIFS($R:$R,$A:$A,$A186,$B:$B,"GWE")),""))),"")</f>
        <v/>
      </c>
      <c r="AF186" s="8">
        <f>IF(AND(AD186&lt;&gt;"",AE186&lt;&gt;""),AD186*AE186,"")</f>
        <v/>
      </c>
      <c r="AH186" s="8">
        <f>IF(AND(AF186&lt;&gt;"",AG186&lt;&gt;""),AF186*AG186,"")</f>
        <v/>
      </c>
      <c r="AI186" s="8">
        <f>IF(AND(AF186&lt;&gt;"",AH186&lt;&gt;""),AF186+AH186,"")</f>
        <v/>
      </c>
    </row>
    <row r="187">
      <c r="D187">
        <f>IF(A187="","",VLOOKUP(A187,Lists!$A:$B,2,FALSE))</f>
        <v/>
      </c>
      <c r="W187" s="8">
        <f>IF(AND(U187&lt;&gt;"",V187&lt;&gt;""),U187*V187,"")</f>
        <v/>
      </c>
      <c r="Y187" s="8">
        <f>IF(AND(W187&lt;&gt;"",X187&lt;&gt;""),W187*X187,"")</f>
        <v/>
      </c>
      <c r="Z187" s="8">
        <f>IF(AND(W187&lt;&gt;"",Y187&lt;&gt;""),W187+Y187,"")</f>
        <v/>
      </c>
      <c r="AD187">
        <f>IF($B187="GWE_Item",IF($AA187="Elektra",(SUMIFS($O:$O,$A:$A,$A187,$B:$B,"GWE")-SUMIFS($N:$N,$A:$A,$A187,$B:$B,"GWE")),IF($AA187="Gas",(SUMIFS($Q:$Q,$A:$A,$A187,$B:$B,"GWE")-SUMIFS($P:$P,$A:$A,$A187,$B:$B,"GWE")),IF($AA187="Water",(SUMIFS($S:$S,$A:$A,$A187,$B:$B,"GWE")-SUMIFS($R:$R,$A:$A,$A187,$B:$B,"GWE")),""))),"")</f>
        <v/>
      </c>
      <c r="AF187" s="8">
        <f>IF(AND(AD187&lt;&gt;"",AE187&lt;&gt;""),AD187*AE187,"")</f>
        <v/>
      </c>
      <c r="AH187" s="8">
        <f>IF(AND(AF187&lt;&gt;"",AG187&lt;&gt;""),AF187*AG187,"")</f>
        <v/>
      </c>
      <c r="AI187" s="8">
        <f>IF(AND(AF187&lt;&gt;"",AH187&lt;&gt;""),AF187+AH187,"")</f>
        <v/>
      </c>
    </row>
    <row r="188">
      <c r="D188">
        <f>IF(A188="","",VLOOKUP(A188,Lists!$A:$B,2,FALSE))</f>
        <v/>
      </c>
      <c r="W188" s="8">
        <f>IF(AND(U188&lt;&gt;"",V188&lt;&gt;""),U188*V188,"")</f>
        <v/>
      </c>
      <c r="Y188" s="8">
        <f>IF(AND(W188&lt;&gt;"",X188&lt;&gt;""),W188*X188,"")</f>
        <v/>
      </c>
      <c r="Z188" s="8">
        <f>IF(AND(W188&lt;&gt;"",Y188&lt;&gt;""),W188+Y188,"")</f>
        <v/>
      </c>
      <c r="AD188">
        <f>IF($B188="GWE_Item",IF($AA188="Elektra",(SUMIFS($O:$O,$A:$A,$A188,$B:$B,"GWE")-SUMIFS($N:$N,$A:$A,$A188,$B:$B,"GWE")),IF($AA188="Gas",(SUMIFS($Q:$Q,$A:$A,$A188,$B:$B,"GWE")-SUMIFS($P:$P,$A:$A,$A188,$B:$B,"GWE")),IF($AA188="Water",(SUMIFS($S:$S,$A:$A,$A188,$B:$B,"GWE")-SUMIFS($R:$R,$A:$A,$A188,$B:$B,"GWE")),""))),"")</f>
        <v/>
      </c>
      <c r="AF188" s="8">
        <f>IF(AND(AD188&lt;&gt;"",AE188&lt;&gt;""),AD188*AE188,"")</f>
        <v/>
      </c>
      <c r="AH188" s="8">
        <f>IF(AND(AF188&lt;&gt;"",AG188&lt;&gt;""),AF188*AG188,"")</f>
        <v/>
      </c>
      <c r="AI188" s="8">
        <f>IF(AND(AF188&lt;&gt;"",AH188&lt;&gt;""),AF188+AH188,"")</f>
        <v/>
      </c>
    </row>
    <row r="189">
      <c r="D189">
        <f>IF(A189="","",VLOOKUP(A189,Lists!$A:$B,2,FALSE))</f>
        <v/>
      </c>
      <c r="W189" s="8">
        <f>IF(AND(U189&lt;&gt;"",V189&lt;&gt;""),U189*V189,"")</f>
        <v/>
      </c>
      <c r="Y189" s="8">
        <f>IF(AND(W189&lt;&gt;"",X189&lt;&gt;""),W189*X189,"")</f>
        <v/>
      </c>
      <c r="Z189" s="8">
        <f>IF(AND(W189&lt;&gt;"",Y189&lt;&gt;""),W189+Y189,"")</f>
        <v/>
      </c>
      <c r="AD189">
        <f>IF($B189="GWE_Item",IF($AA189="Elektra",(SUMIFS($O:$O,$A:$A,$A189,$B:$B,"GWE")-SUMIFS($N:$N,$A:$A,$A189,$B:$B,"GWE")),IF($AA189="Gas",(SUMIFS($Q:$Q,$A:$A,$A189,$B:$B,"GWE")-SUMIFS($P:$P,$A:$A,$A189,$B:$B,"GWE")),IF($AA189="Water",(SUMIFS($S:$S,$A:$A,$A189,$B:$B,"GWE")-SUMIFS($R:$R,$A:$A,$A189,$B:$B,"GWE")),""))),"")</f>
        <v/>
      </c>
      <c r="AF189" s="8">
        <f>IF(AND(AD189&lt;&gt;"",AE189&lt;&gt;""),AD189*AE189,"")</f>
        <v/>
      </c>
      <c r="AH189" s="8">
        <f>IF(AND(AF189&lt;&gt;"",AG189&lt;&gt;""),AF189*AG189,"")</f>
        <v/>
      </c>
      <c r="AI189" s="8">
        <f>IF(AND(AF189&lt;&gt;"",AH189&lt;&gt;""),AF189+AH189,"")</f>
        <v/>
      </c>
    </row>
    <row r="190">
      <c r="D190">
        <f>IF(A190="","",VLOOKUP(A190,Lists!$A:$B,2,FALSE))</f>
        <v/>
      </c>
      <c r="W190" s="8">
        <f>IF(AND(U190&lt;&gt;"",V190&lt;&gt;""),U190*V190,"")</f>
        <v/>
      </c>
      <c r="Y190" s="8">
        <f>IF(AND(W190&lt;&gt;"",X190&lt;&gt;""),W190*X190,"")</f>
        <v/>
      </c>
      <c r="Z190" s="8">
        <f>IF(AND(W190&lt;&gt;"",Y190&lt;&gt;""),W190+Y190,"")</f>
        <v/>
      </c>
      <c r="AD190">
        <f>IF($B190="GWE_Item",IF($AA190="Elektra",(SUMIFS($O:$O,$A:$A,$A190,$B:$B,"GWE")-SUMIFS($N:$N,$A:$A,$A190,$B:$B,"GWE")),IF($AA190="Gas",(SUMIFS($Q:$Q,$A:$A,$A190,$B:$B,"GWE")-SUMIFS($P:$P,$A:$A,$A190,$B:$B,"GWE")),IF($AA190="Water",(SUMIFS($S:$S,$A:$A,$A190,$B:$B,"GWE")-SUMIFS($R:$R,$A:$A,$A190,$B:$B,"GWE")),""))),"")</f>
        <v/>
      </c>
      <c r="AF190" s="8">
        <f>IF(AND(AD190&lt;&gt;"",AE190&lt;&gt;""),AD190*AE190,"")</f>
        <v/>
      </c>
      <c r="AH190" s="8">
        <f>IF(AND(AF190&lt;&gt;"",AG190&lt;&gt;""),AF190*AG190,"")</f>
        <v/>
      </c>
      <c r="AI190" s="8">
        <f>IF(AND(AF190&lt;&gt;"",AH190&lt;&gt;""),AF190+AH190,"")</f>
        <v/>
      </c>
    </row>
    <row r="191">
      <c r="D191">
        <f>IF(A191="","",VLOOKUP(A191,Lists!$A:$B,2,FALSE))</f>
        <v/>
      </c>
      <c r="W191" s="8">
        <f>IF(AND(U191&lt;&gt;"",V191&lt;&gt;""),U191*V191,"")</f>
        <v/>
      </c>
      <c r="Y191" s="8">
        <f>IF(AND(W191&lt;&gt;"",X191&lt;&gt;""),W191*X191,"")</f>
        <v/>
      </c>
      <c r="Z191" s="8">
        <f>IF(AND(W191&lt;&gt;"",Y191&lt;&gt;""),W191+Y191,"")</f>
        <v/>
      </c>
      <c r="AD191">
        <f>IF($B191="GWE_Item",IF($AA191="Elektra",(SUMIFS($O:$O,$A:$A,$A191,$B:$B,"GWE")-SUMIFS($N:$N,$A:$A,$A191,$B:$B,"GWE")),IF($AA191="Gas",(SUMIFS($Q:$Q,$A:$A,$A191,$B:$B,"GWE")-SUMIFS($P:$P,$A:$A,$A191,$B:$B,"GWE")),IF($AA191="Water",(SUMIFS($S:$S,$A:$A,$A191,$B:$B,"GWE")-SUMIFS($R:$R,$A:$A,$A191,$B:$B,"GWE")),""))),"")</f>
        <v/>
      </c>
      <c r="AF191" s="8">
        <f>IF(AND(AD191&lt;&gt;"",AE191&lt;&gt;""),AD191*AE191,"")</f>
        <v/>
      </c>
      <c r="AH191" s="8">
        <f>IF(AND(AF191&lt;&gt;"",AG191&lt;&gt;""),AF191*AG191,"")</f>
        <v/>
      </c>
      <c r="AI191" s="8">
        <f>IF(AND(AF191&lt;&gt;"",AH191&lt;&gt;""),AF191+AH191,"")</f>
        <v/>
      </c>
    </row>
    <row r="192">
      <c r="D192">
        <f>IF(A192="","",VLOOKUP(A192,Lists!$A:$B,2,FALSE))</f>
        <v/>
      </c>
      <c r="W192" s="8">
        <f>IF(AND(U192&lt;&gt;"",V192&lt;&gt;""),U192*V192,"")</f>
        <v/>
      </c>
      <c r="Y192" s="8">
        <f>IF(AND(W192&lt;&gt;"",X192&lt;&gt;""),W192*X192,"")</f>
        <v/>
      </c>
      <c r="Z192" s="8">
        <f>IF(AND(W192&lt;&gt;"",Y192&lt;&gt;""),W192+Y192,"")</f>
        <v/>
      </c>
      <c r="AD192">
        <f>IF($B192="GWE_Item",IF($AA192="Elektra",(SUMIFS($O:$O,$A:$A,$A192,$B:$B,"GWE")-SUMIFS($N:$N,$A:$A,$A192,$B:$B,"GWE")),IF($AA192="Gas",(SUMIFS($Q:$Q,$A:$A,$A192,$B:$B,"GWE")-SUMIFS($P:$P,$A:$A,$A192,$B:$B,"GWE")),IF($AA192="Water",(SUMIFS($S:$S,$A:$A,$A192,$B:$B,"GWE")-SUMIFS($R:$R,$A:$A,$A192,$B:$B,"GWE")),""))),"")</f>
        <v/>
      </c>
      <c r="AF192" s="8">
        <f>IF(AND(AD192&lt;&gt;"",AE192&lt;&gt;""),AD192*AE192,"")</f>
        <v/>
      </c>
      <c r="AH192" s="8">
        <f>IF(AND(AF192&lt;&gt;"",AG192&lt;&gt;""),AF192*AG192,"")</f>
        <v/>
      </c>
      <c r="AI192" s="8">
        <f>IF(AND(AF192&lt;&gt;"",AH192&lt;&gt;""),AF192+AH192,"")</f>
        <v/>
      </c>
    </row>
    <row r="193">
      <c r="D193">
        <f>IF(A193="","",VLOOKUP(A193,Lists!$A:$B,2,FALSE))</f>
        <v/>
      </c>
      <c r="W193" s="8">
        <f>IF(AND(U193&lt;&gt;"",V193&lt;&gt;""),U193*V193,"")</f>
        <v/>
      </c>
      <c r="Y193" s="8">
        <f>IF(AND(W193&lt;&gt;"",X193&lt;&gt;""),W193*X193,"")</f>
        <v/>
      </c>
      <c r="Z193" s="8">
        <f>IF(AND(W193&lt;&gt;"",Y193&lt;&gt;""),W193+Y193,"")</f>
        <v/>
      </c>
      <c r="AD193">
        <f>IF($B193="GWE_Item",IF($AA193="Elektra",(SUMIFS($O:$O,$A:$A,$A193,$B:$B,"GWE")-SUMIFS($N:$N,$A:$A,$A193,$B:$B,"GWE")),IF($AA193="Gas",(SUMIFS($Q:$Q,$A:$A,$A193,$B:$B,"GWE")-SUMIFS($P:$P,$A:$A,$A193,$B:$B,"GWE")),IF($AA193="Water",(SUMIFS($S:$S,$A:$A,$A193,$B:$B,"GWE")-SUMIFS($R:$R,$A:$A,$A193,$B:$B,"GWE")),""))),"")</f>
        <v/>
      </c>
      <c r="AF193" s="8">
        <f>IF(AND(AD193&lt;&gt;"",AE193&lt;&gt;""),AD193*AE193,"")</f>
        <v/>
      </c>
      <c r="AH193" s="8">
        <f>IF(AND(AF193&lt;&gt;"",AG193&lt;&gt;""),AF193*AG193,"")</f>
        <v/>
      </c>
      <c r="AI193" s="8">
        <f>IF(AND(AF193&lt;&gt;"",AH193&lt;&gt;""),AF193+AH193,"")</f>
        <v/>
      </c>
    </row>
    <row r="194">
      <c r="D194">
        <f>IF(A194="","",VLOOKUP(A194,Lists!$A:$B,2,FALSE))</f>
        <v/>
      </c>
      <c r="W194" s="8">
        <f>IF(AND(U194&lt;&gt;"",V194&lt;&gt;""),U194*V194,"")</f>
        <v/>
      </c>
      <c r="Y194" s="8">
        <f>IF(AND(W194&lt;&gt;"",X194&lt;&gt;""),W194*X194,"")</f>
        <v/>
      </c>
      <c r="Z194" s="8">
        <f>IF(AND(W194&lt;&gt;"",Y194&lt;&gt;""),W194+Y194,"")</f>
        <v/>
      </c>
      <c r="AD194">
        <f>IF($B194="GWE_Item",IF($AA194="Elektra",(SUMIFS($O:$O,$A:$A,$A194,$B:$B,"GWE")-SUMIFS($N:$N,$A:$A,$A194,$B:$B,"GWE")),IF($AA194="Gas",(SUMIFS($Q:$Q,$A:$A,$A194,$B:$B,"GWE")-SUMIFS($P:$P,$A:$A,$A194,$B:$B,"GWE")),IF($AA194="Water",(SUMIFS($S:$S,$A:$A,$A194,$B:$B,"GWE")-SUMIFS($R:$R,$A:$A,$A194,$B:$B,"GWE")),""))),"")</f>
        <v/>
      </c>
      <c r="AF194" s="8">
        <f>IF(AND(AD194&lt;&gt;"",AE194&lt;&gt;""),AD194*AE194,"")</f>
        <v/>
      </c>
      <c r="AH194" s="8">
        <f>IF(AND(AF194&lt;&gt;"",AG194&lt;&gt;""),AF194*AG194,"")</f>
        <v/>
      </c>
      <c r="AI194" s="8">
        <f>IF(AND(AF194&lt;&gt;"",AH194&lt;&gt;""),AF194+AH194,"")</f>
        <v/>
      </c>
    </row>
    <row r="195">
      <c r="D195">
        <f>IF(A195="","",VLOOKUP(A195,Lists!$A:$B,2,FALSE))</f>
        <v/>
      </c>
      <c r="W195" s="8">
        <f>IF(AND(U195&lt;&gt;"",V195&lt;&gt;""),U195*V195,"")</f>
        <v/>
      </c>
      <c r="Y195" s="8">
        <f>IF(AND(W195&lt;&gt;"",X195&lt;&gt;""),W195*X195,"")</f>
        <v/>
      </c>
      <c r="Z195" s="8">
        <f>IF(AND(W195&lt;&gt;"",Y195&lt;&gt;""),W195+Y195,"")</f>
        <v/>
      </c>
      <c r="AD195">
        <f>IF($B195="GWE_Item",IF($AA195="Elektra",(SUMIFS($O:$O,$A:$A,$A195,$B:$B,"GWE")-SUMIFS($N:$N,$A:$A,$A195,$B:$B,"GWE")),IF($AA195="Gas",(SUMIFS($Q:$Q,$A:$A,$A195,$B:$B,"GWE")-SUMIFS($P:$P,$A:$A,$A195,$B:$B,"GWE")),IF($AA195="Water",(SUMIFS($S:$S,$A:$A,$A195,$B:$B,"GWE")-SUMIFS($R:$R,$A:$A,$A195,$B:$B,"GWE")),""))),"")</f>
        <v/>
      </c>
      <c r="AF195" s="8">
        <f>IF(AND(AD195&lt;&gt;"",AE195&lt;&gt;""),AD195*AE195,"")</f>
        <v/>
      </c>
      <c r="AH195" s="8">
        <f>IF(AND(AF195&lt;&gt;"",AG195&lt;&gt;""),AF195*AG195,"")</f>
        <v/>
      </c>
      <c r="AI195" s="8">
        <f>IF(AND(AF195&lt;&gt;"",AH195&lt;&gt;""),AF195+AH195,"")</f>
        <v/>
      </c>
    </row>
    <row r="196">
      <c r="D196">
        <f>IF(A196="","",VLOOKUP(A196,Lists!$A:$B,2,FALSE))</f>
        <v/>
      </c>
      <c r="W196" s="8">
        <f>IF(AND(U196&lt;&gt;"",V196&lt;&gt;""),U196*V196,"")</f>
        <v/>
      </c>
      <c r="Y196" s="8">
        <f>IF(AND(W196&lt;&gt;"",X196&lt;&gt;""),W196*X196,"")</f>
        <v/>
      </c>
      <c r="Z196" s="8">
        <f>IF(AND(W196&lt;&gt;"",Y196&lt;&gt;""),W196+Y196,"")</f>
        <v/>
      </c>
      <c r="AD196">
        <f>IF($B196="GWE_Item",IF($AA196="Elektra",(SUMIFS($O:$O,$A:$A,$A196,$B:$B,"GWE")-SUMIFS($N:$N,$A:$A,$A196,$B:$B,"GWE")),IF($AA196="Gas",(SUMIFS($Q:$Q,$A:$A,$A196,$B:$B,"GWE")-SUMIFS($P:$P,$A:$A,$A196,$B:$B,"GWE")),IF($AA196="Water",(SUMIFS($S:$S,$A:$A,$A196,$B:$B,"GWE")-SUMIFS($R:$R,$A:$A,$A196,$B:$B,"GWE")),""))),"")</f>
        <v/>
      </c>
      <c r="AF196" s="8">
        <f>IF(AND(AD196&lt;&gt;"",AE196&lt;&gt;""),AD196*AE196,"")</f>
        <v/>
      </c>
      <c r="AH196" s="8">
        <f>IF(AND(AF196&lt;&gt;"",AG196&lt;&gt;""),AF196*AG196,"")</f>
        <v/>
      </c>
      <c r="AI196" s="8">
        <f>IF(AND(AF196&lt;&gt;"",AH196&lt;&gt;""),AF196+AH196,"")</f>
        <v/>
      </c>
    </row>
    <row r="197">
      <c r="D197">
        <f>IF(A197="","",VLOOKUP(A197,Lists!$A:$B,2,FALSE))</f>
        <v/>
      </c>
      <c r="W197" s="8">
        <f>IF(AND(U197&lt;&gt;"",V197&lt;&gt;""),U197*V197,"")</f>
        <v/>
      </c>
      <c r="Y197" s="8">
        <f>IF(AND(W197&lt;&gt;"",X197&lt;&gt;""),W197*X197,"")</f>
        <v/>
      </c>
      <c r="Z197" s="8">
        <f>IF(AND(W197&lt;&gt;"",Y197&lt;&gt;""),W197+Y197,"")</f>
        <v/>
      </c>
      <c r="AD197">
        <f>IF($B197="GWE_Item",IF($AA197="Elektra",(SUMIFS($O:$O,$A:$A,$A197,$B:$B,"GWE")-SUMIFS($N:$N,$A:$A,$A197,$B:$B,"GWE")),IF($AA197="Gas",(SUMIFS($Q:$Q,$A:$A,$A197,$B:$B,"GWE")-SUMIFS($P:$P,$A:$A,$A197,$B:$B,"GWE")),IF($AA197="Water",(SUMIFS($S:$S,$A:$A,$A197,$B:$B,"GWE")-SUMIFS($R:$R,$A:$A,$A197,$B:$B,"GWE")),""))),"")</f>
        <v/>
      </c>
      <c r="AF197" s="8">
        <f>IF(AND(AD197&lt;&gt;"",AE197&lt;&gt;""),AD197*AE197,"")</f>
        <v/>
      </c>
      <c r="AH197" s="8">
        <f>IF(AND(AF197&lt;&gt;"",AG197&lt;&gt;""),AF197*AG197,"")</f>
        <v/>
      </c>
      <c r="AI197" s="8">
        <f>IF(AND(AF197&lt;&gt;"",AH197&lt;&gt;""),AF197+AH197,"")</f>
        <v/>
      </c>
    </row>
    <row r="198">
      <c r="D198">
        <f>IF(A198="","",VLOOKUP(A198,Lists!$A:$B,2,FALSE))</f>
        <v/>
      </c>
      <c r="W198" s="8">
        <f>IF(AND(U198&lt;&gt;"",V198&lt;&gt;""),U198*V198,"")</f>
        <v/>
      </c>
      <c r="Y198" s="8">
        <f>IF(AND(W198&lt;&gt;"",X198&lt;&gt;""),W198*X198,"")</f>
        <v/>
      </c>
      <c r="Z198" s="8">
        <f>IF(AND(W198&lt;&gt;"",Y198&lt;&gt;""),W198+Y198,"")</f>
        <v/>
      </c>
      <c r="AD198">
        <f>IF($B198="GWE_Item",IF($AA198="Elektra",(SUMIFS($O:$O,$A:$A,$A198,$B:$B,"GWE")-SUMIFS($N:$N,$A:$A,$A198,$B:$B,"GWE")),IF($AA198="Gas",(SUMIFS($Q:$Q,$A:$A,$A198,$B:$B,"GWE")-SUMIFS($P:$P,$A:$A,$A198,$B:$B,"GWE")),IF($AA198="Water",(SUMIFS($S:$S,$A:$A,$A198,$B:$B,"GWE")-SUMIFS($R:$R,$A:$A,$A198,$B:$B,"GWE")),""))),"")</f>
        <v/>
      </c>
      <c r="AF198" s="8">
        <f>IF(AND(AD198&lt;&gt;"",AE198&lt;&gt;""),AD198*AE198,"")</f>
        <v/>
      </c>
      <c r="AH198" s="8">
        <f>IF(AND(AF198&lt;&gt;"",AG198&lt;&gt;""),AF198*AG198,"")</f>
        <v/>
      </c>
      <c r="AI198" s="8">
        <f>IF(AND(AF198&lt;&gt;"",AH198&lt;&gt;""),AF198+AH198,"")</f>
        <v/>
      </c>
    </row>
    <row r="199">
      <c r="D199">
        <f>IF(A199="","",VLOOKUP(A199,Lists!$A:$B,2,FALSE))</f>
        <v/>
      </c>
      <c r="W199" s="8">
        <f>IF(AND(U199&lt;&gt;"",V199&lt;&gt;""),U199*V199,"")</f>
        <v/>
      </c>
      <c r="Y199" s="8">
        <f>IF(AND(W199&lt;&gt;"",X199&lt;&gt;""),W199*X199,"")</f>
        <v/>
      </c>
      <c r="Z199" s="8">
        <f>IF(AND(W199&lt;&gt;"",Y199&lt;&gt;""),W199+Y199,"")</f>
        <v/>
      </c>
      <c r="AD199">
        <f>IF($B199="GWE_Item",IF($AA199="Elektra",(SUMIFS($O:$O,$A:$A,$A199,$B:$B,"GWE")-SUMIFS($N:$N,$A:$A,$A199,$B:$B,"GWE")),IF($AA199="Gas",(SUMIFS($Q:$Q,$A:$A,$A199,$B:$B,"GWE")-SUMIFS($P:$P,$A:$A,$A199,$B:$B,"GWE")),IF($AA199="Water",(SUMIFS($S:$S,$A:$A,$A199,$B:$B,"GWE")-SUMIFS($R:$R,$A:$A,$A199,$B:$B,"GWE")),""))),"")</f>
        <v/>
      </c>
      <c r="AF199" s="8">
        <f>IF(AND(AD199&lt;&gt;"",AE199&lt;&gt;""),AD199*AE199,"")</f>
        <v/>
      </c>
      <c r="AH199" s="8">
        <f>IF(AND(AF199&lt;&gt;"",AG199&lt;&gt;""),AF199*AG199,"")</f>
        <v/>
      </c>
      <c r="AI199" s="8">
        <f>IF(AND(AF199&lt;&gt;"",AH199&lt;&gt;""),AF199+AH199,"")</f>
        <v/>
      </c>
    </row>
    <row r="200">
      <c r="D200">
        <f>IF(A200="","",VLOOKUP(A200,Lists!$A:$B,2,FALSE))</f>
        <v/>
      </c>
      <c r="W200" s="8">
        <f>IF(AND(U200&lt;&gt;"",V200&lt;&gt;""),U200*V200,"")</f>
        <v/>
      </c>
      <c r="Y200" s="8">
        <f>IF(AND(W200&lt;&gt;"",X200&lt;&gt;""),W200*X200,"")</f>
        <v/>
      </c>
      <c r="Z200" s="8">
        <f>IF(AND(W200&lt;&gt;"",Y200&lt;&gt;""),W200+Y200,"")</f>
        <v/>
      </c>
      <c r="AD200">
        <f>IF($B200="GWE_Item",IF($AA200="Elektra",(SUMIFS($O:$O,$A:$A,$A200,$B:$B,"GWE")-SUMIFS($N:$N,$A:$A,$A200,$B:$B,"GWE")),IF($AA200="Gas",(SUMIFS($Q:$Q,$A:$A,$A200,$B:$B,"GWE")-SUMIFS($P:$P,$A:$A,$A200,$B:$B,"GWE")),IF($AA200="Water",(SUMIFS($S:$S,$A:$A,$A200,$B:$B,"GWE")-SUMIFS($R:$R,$A:$A,$A200,$B:$B,"GWE")),""))),"")</f>
        <v/>
      </c>
      <c r="AF200" s="8">
        <f>IF(AND(AD200&lt;&gt;"",AE200&lt;&gt;""),AD200*AE200,"")</f>
        <v/>
      </c>
      <c r="AH200" s="8">
        <f>IF(AND(AF200&lt;&gt;"",AG200&lt;&gt;""),AF200*AG200,"")</f>
        <v/>
      </c>
      <c r="AI200" s="8">
        <f>IF(AND(AF200&lt;&gt;"",AH200&lt;&gt;""),AF200+AH200,"")</f>
        <v/>
      </c>
    </row>
    <row r="201">
      <c r="D201">
        <f>IF(A201="","",VLOOKUP(A201,Lists!$A:$B,2,FALSE))</f>
        <v/>
      </c>
      <c r="W201" s="8">
        <f>IF(AND(U201&lt;&gt;"",V201&lt;&gt;""),U201*V201,"")</f>
        <v/>
      </c>
      <c r="Y201" s="8">
        <f>IF(AND(W201&lt;&gt;"",X201&lt;&gt;""),W201*X201,"")</f>
        <v/>
      </c>
      <c r="Z201" s="8">
        <f>IF(AND(W201&lt;&gt;"",Y201&lt;&gt;""),W201+Y201,"")</f>
        <v/>
      </c>
      <c r="AD201">
        <f>IF($B201="GWE_Item",IF($AA201="Elektra",(SUMIFS($O:$O,$A:$A,$A201,$B:$B,"GWE")-SUMIFS($N:$N,$A:$A,$A201,$B:$B,"GWE")),IF($AA201="Gas",(SUMIFS($Q:$Q,$A:$A,$A201,$B:$B,"GWE")-SUMIFS($P:$P,$A:$A,$A201,$B:$B,"GWE")),IF($AA201="Water",(SUMIFS($S:$S,$A:$A,$A201,$B:$B,"GWE")-SUMIFS($R:$R,$A:$A,$A201,$B:$B,"GWE")),""))),"")</f>
        <v/>
      </c>
      <c r="AF201" s="8">
        <f>IF(AND(AD201&lt;&gt;"",AE201&lt;&gt;""),AD201*AE201,"")</f>
        <v/>
      </c>
      <c r="AH201" s="8">
        <f>IF(AND(AF201&lt;&gt;"",AG201&lt;&gt;""),AF201*AG201,"")</f>
        <v/>
      </c>
      <c r="AI201" s="8">
        <f>IF(AND(AF201&lt;&gt;"",AH201&lt;&gt;""),AF201+AH201,"")</f>
        <v/>
      </c>
    </row>
  </sheetData>
  <conditionalFormatting sqref="D2:M5000">
    <cfRule type="expression" priority="1" dxfId="2" stopIfTrue="1">
      <formula>$B2&lt;&gt;"Basis"</formula>
    </cfRule>
  </conditionalFormatting>
  <conditionalFormatting sqref="N2:S5000">
    <cfRule type="expression" priority="2" dxfId="2" stopIfTrue="1">
      <formula>$B2&lt;&gt;"GWE"</formula>
    </cfRule>
  </conditionalFormatting>
  <conditionalFormatting sqref="T2:Z5000">
    <cfRule type="expression" priority="3" dxfId="2" stopIfTrue="1">
      <formula>$B2&lt;&gt;"Schoonmaak"</formula>
    </cfRule>
  </conditionalFormatting>
  <conditionalFormatting sqref="AA2:AI5000">
    <cfRule type="expression" priority="4" dxfId="2" stopIfTrue="1">
      <formula>AND($B2&lt;&gt;"Schade",$B2&lt;&gt;"Extra",$B2&lt;&gt;"GWE_Item")</formula>
    </cfRule>
  </conditionalFormatting>
  <dataValidations count="6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H2:H5000" showDropDown="0" showInputMessage="0" showErrorMessage="0" allowBlank="1" type="list">
      <formula1>"Via RyanRent,Eigen Beheer"</formula1>
    </dataValidation>
    <dataValidation sqref="T2:T5000" showDropDown="0" showInputMessage="0" showErrorMessage="0" allowBlank="1" type="list">
      <formula1>"Basis Schoonmaak,Intensief Schoonmaak,Geen Schoonmaak,Achteraf Betaald"</formula1>
    </dataValidation>
    <dataValidation sqref="AA2:AA5000" showDropDown="0" showInputMessage="0" showErrorMessage="0" allowBlank="1" type="list">
      <formula1>"Elektra,Gas,Water,Overig"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4 Homes B.V.</t>
        </is>
      </c>
    </row>
    <row r="3">
      <c r="A3" t="inlineStr">
        <is>
          <t>2e Maasbosstraat 2 a</t>
        </is>
      </c>
      <c r="B3" t="inlineStr">
        <is>
          <t>0148</t>
        </is>
      </c>
      <c r="C3" t="inlineStr">
        <is>
          <t>AKT Autoschade</t>
        </is>
      </c>
    </row>
    <row r="4">
      <c r="A4" t="inlineStr">
        <is>
          <t>2e Maasbosstraat 2 b</t>
        </is>
      </c>
      <c r="B4" t="inlineStr">
        <is>
          <t>0149</t>
        </is>
      </c>
      <c r="C4" t="inlineStr">
        <is>
          <t>ASML Housing</t>
        </is>
      </c>
    </row>
    <row r="5">
      <c r="A5" t="inlineStr">
        <is>
          <t>2e Maasbosstraat 2 c</t>
        </is>
      </c>
      <c r="B5" t="inlineStr">
        <is>
          <t>0150</t>
        </is>
      </c>
      <c r="C5" t="inlineStr">
        <is>
          <t>Aelbers</t>
        </is>
      </c>
    </row>
    <row r="6">
      <c r="A6" t="inlineStr">
        <is>
          <t>2e van Leydengaelstraat 6</t>
        </is>
      </c>
      <c r="B6" t="inlineStr">
        <is>
          <t>0022</t>
        </is>
      </c>
      <c r="C6" t="inlineStr">
        <is>
          <t xml:space="preserve">Amdor Projecten </t>
        </is>
      </c>
    </row>
    <row r="7">
      <c r="A7" t="inlineStr">
        <is>
          <t>Abelenlaan 143</t>
        </is>
      </c>
      <c r="B7" t="inlineStr">
        <is>
          <t>0014</t>
        </is>
      </c>
      <c r="C7" t="inlineStr">
        <is>
          <t>Anna Meijer</t>
        </is>
      </c>
    </row>
    <row r="8">
      <c r="A8" t="inlineStr">
        <is>
          <t>Acacia 2</t>
        </is>
      </c>
      <c r="B8" t="inlineStr">
        <is>
          <t>0003</t>
        </is>
      </c>
      <c r="C8" t="inlineStr">
        <is>
          <t>Anna Mulder</t>
        </is>
      </c>
    </row>
    <row r="9">
      <c r="A9" t="inlineStr">
        <is>
          <t>Acacialaan 9</t>
        </is>
      </c>
      <c r="B9" t="inlineStr">
        <is>
          <t>0223</t>
        </is>
      </c>
      <c r="C9" t="inlineStr">
        <is>
          <t>Autodaxx B.V.</t>
        </is>
      </c>
    </row>
    <row r="10">
      <c r="A10" t="inlineStr">
        <is>
          <t>Achterdijk 47A</t>
        </is>
      </c>
      <c r="B10" t="inlineStr">
        <is>
          <t>0190</t>
        </is>
      </c>
      <c r="C10" t="inlineStr">
        <is>
          <t>BAM Wonen</t>
        </is>
      </c>
    </row>
    <row r="11">
      <c r="A11" t="inlineStr">
        <is>
          <t>Adriaan Baasstraat 34</t>
        </is>
      </c>
      <c r="B11" t="inlineStr">
        <is>
          <t>0007</t>
        </is>
      </c>
      <c r="C11" t="inlineStr">
        <is>
          <t>BBTS (Vastgoed Spijkenisse)</t>
        </is>
      </c>
    </row>
    <row r="12">
      <c r="A12" t="inlineStr">
        <is>
          <t>Akkerweg 41 [010]</t>
        </is>
      </c>
      <c r="B12" t="inlineStr">
        <is>
          <t>0341</t>
        </is>
      </c>
      <c r="C12" t="inlineStr">
        <is>
          <t>Bakker</t>
        </is>
      </c>
    </row>
    <row r="13">
      <c r="A13" t="inlineStr">
        <is>
          <t>Akkerweg 41 [011]</t>
        </is>
      </c>
      <c r="B13" t="inlineStr">
        <is>
          <t>0372</t>
        </is>
      </c>
      <c r="C13" t="inlineStr">
        <is>
          <t>Buurman Vastgoed B.V.</t>
        </is>
      </c>
    </row>
    <row r="14">
      <c r="A14" t="inlineStr">
        <is>
          <t>Akkerweg 41 [014]</t>
        </is>
      </c>
      <c r="B14" t="inlineStr">
        <is>
          <t>0293</t>
        </is>
      </c>
      <c r="C14" t="inlineStr">
        <is>
          <t>Bw-engineering</t>
        </is>
      </c>
    </row>
    <row r="15">
      <c r="A15" t="inlineStr">
        <is>
          <t>Akkerweg 41 [015]</t>
        </is>
      </c>
      <c r="B15" t="inlineStr">
        <is>
          <t>0294</t>
        </is>
      </c>
      <c r="C15" t="inlineStr">
        <is>
          <t>C-Flex BV</t>
        </is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CB Construction</t>
        </is>
      </c>
    </row>
    <row r="17">
      <c r="A17" t="inlineStr">
        <is>
          <t>Akkerweg 41 [017]</t>
        </is>
      </c>
      <c r="B17" t="inlineStr">
        <is>
          <t>0373</t>
        </is>
      </c>
      <c r="C17" t="inlineStr">
        <is>
          <t>Crown Uitzendgroep</t>
        </is>
      </c>
    </row>
    <row r="18">
      <c r="A18" t="inlineStr">
        <is>
          <t>Akkerweg 41 [018]</t>
        </is>
      </c>
      <c r="B18" t="inlineStr">
        <is>
          <t>0295</t>
        </is>
      </c>
      <c r="C18" t="inlineStr">
        <is>
          <t>Daan Jansen</t>
        </is>
      </c>
    </row>
    <row r="19">
      <c r="A19" t="inlineStr">
        <is>
          <t>Akkerweg 41 [019]</t>
        </is>
      </c>
      <c r="B19" t="inlineStr">
        <is>
          <t>0343</t>
        </is>
      </c>
      <c r="C19" t="inlineStr">
        <is>
          <t>Daan Vos</t>
        </is>
      </c>
    </row>
    <row r="20">
      <c r="A20" t="inlineStr">
        <is>
          <t>Akkerweg 41 [020]</t>
        </is>
      </c>
      <c r="B20" t="inlineStr">
        <is>
          <t>0383</t>
        </is>
      </c>
      <c r="C20" t="inlineStr">
        <is>
          <t>Dit en Larex</t>
        </is>
      </c>
    </row>
    <row r="21">
      <c r="A21" t="inlineStr">
        <is>
          <t>Akkerweg 41 [022]</t>
        </is>
      </c>
      <c r="B21" t="inlineStr">
        <is>
          <t>0296</t>
        </is>
      </c>
      <c r="C21" t="inlineStr">
        <is>
          <t>Dock Holland</t>
        </is>
      </c>
    </row>
    <row r="22">
      <c r="A22" t="inlineStr">
        <is>
          <t>Akkerweg 41 [026]</t>
        </is>
      </c>
      <c r="B22" t="inlineStr">
        <is>
          <t>0297</t>
        </is>
      </c>
      <c r="C22" t="inlineStr">
        <is>
          <t>Duijndam Personeeldiensten</t>
        </is>
      </c>
    </row>
    <row r="23">
      <c r="A23" t="inlineStr">
        <is>
          <t>Akkerweg 41 [031]</t>
        </is>
      </c>
      <c r="B23" t="inlineStr">
        <is>
          <t>0298</t>
        </is>
      </c>
      <c r="C23" t="inlineStr">
        <is>
          <t>EG Facility &amp; Services BV</t>
        </is>
      </c>
    </row>
    <row r="24">
      <c r="A24" t="inlineStr">
        <is>
          <t>Akkerweg 41 [035]</t>
        </is>
      </c>
      <c r="B24" t="inlineStr">
        <is>
          <t>0350</t>
        </is>
      </c>
      <c r="C24" t="inlineStr">
        <is>
          <t>Eastmen</t>
        </is>
      </c>
    </row>
    <row r="25">
      <c r="A25" t="inlineStr">
        <is>
          <t>Akkerweg 41 [036]</t>
        </is>
      </c>
      <c r="B25" t="inlineStr">
        <is>
          <t>0356</t>
        </is>
      </c>
      <c r="C25" t="inlineStr">
        <is>
          <t>Eemsdelta</t>
        </is>
      </c>
    </row>
    <row r="26">
      <c r="A26" t="inlineStr">
        <is>
          <t>Akkerweg 41 [037]</t>
        </is>
      </c>
      <c r="B26" t="inlineStr">
        <is>
          <t>0299</t>
        </is>
      </c>
      <c r="C26" t="inlineStr">
        <is>
          <t>Emma Vos</t>
        </is>
      </c>
    </row>
    <row r="27">
      <c r="A27" t="inlineStr">
        <is>
          <t>Akkerweg 41 [038]</t>
        </is>
      </c>
      <c r="B27" t="inlineStr">
        <is>
          <t>0357</t>
        </is>
      </c>
      <c r="C27" t="inlineStr">
        <is>
          <t>Employ</t>
        </is>
      </c>
    </row>
    <row r="28">
      <c r="A28" t="inlineStr">
        <is>
          <t>Akkerweg 41 [040]</t>
        </is>
      </c>
      <c r="B28" t="inlineStr">
        <is>
          <t>0300</t>
        </is>
      </c>
      <c r="C28" t="inlineStr">
        <is>
          <t>Estra Logistics Systems</t>
        </is>
      </c>
    </row>
    <row r="29">
      <c r="A29" t="inlineStr">
        <is>
          <t>Akkerweg 41 [041]</t>
        </is>
      </c>
      <c r="B29" t="inlineStr">
        <is>
          <t>0301</t>
        </is>
      </c>
      <c r="C29" t="inlineStr">
        <is>
          <t>Eu Facility Services</t>
        </is>
      </c>
    </row>
    <row r="30">
      <c r="A30" t="inlineStr">
        <is>
          <t>Akkerweg 41 [042]</t>
        </is>
      </c>
      <c r="B30" t="inlineStr">
        <is>
          <t>0302</t>
        </is>
      </c>
      <c r="C30" t="inlineStr">
        <is>
          <t>Expats Inc</t>
        </is>
      </c>
    </row>
    <row r="31">
      <c r="A31" t="inlineStr">
        <is>
          <t>Akkerweg 41 [055]</t>
        </is>
      </c>
      <c r="B31" t="inlineStr">
        <is>
          <t>0303</t>
        </is>
      </c>
      <c r="C31" t="inlineStr">
        <is>
          <t>Faciloo B.V.</t>
        </is>
      </c>
    </row>
    <row r="32">
      <c r="A32" t="inlineStr">
        <is>
          <t>Akkerweg 41 [056]</t>
        </is>
      </c>
      <c r="B32" t="inlineStr">
        <is>
          <t>0304</t>
        </is>
      </c>
      <c r="C32" t="inlineStr">
        <is>
          <t>Flextalent4u</t>
        </is>
      </c>
    </row>
    <row r="33">
      <c r="A33" t="inlineStr">
        <is>
          <t>Akkerweg 41 [057]</t>
        </is>
      </c>
      <c r="B33" t="inlineStr">
        <is>
          <t>0305</t>
        </is>
      </c>
      <c r="C33" t="inlineStr">
        <is>
          <t xml:space="preserve">Flexvesting </t>
        </is>
      </c>
    </row>
    <row r="34">
      <c r="A34" t="inlineStr">
        <is>
          <t>Akkerweg 41 [058]</t>
        </is>
      </c>
      <c r="B34" t="inlineStr">
        <is>
          <t>0384</t>
        </is>
      </c>
      <c r="C34" t="inlineStr">
        <is>
          <t>Focuzop-EU</t>
        </is>
      </c>
    </row>
    <row r="35">
      <c r="A35" t="inlineStr">
        <is>
          <t>Akkerweg 41 [059]</t>
        </is>
      </c>
      <c r="B35" t="inlineStr">
        <is>
          <t>0306</t>
        </is>
      </c>
      <c r="C35" t="inlineStr">
        <is>
          <t>GAP Costruzioni</t>
        </is>
      </c>
    </row>
    <row r="36">
      <c r="A36" t="inlineStr">
        <is>
          <t>Akkerweg 41 [068]</t>
        </is>
      </c>
      <c r="B36" t="inlineStr">
        <is>
          <t>0326</t>
        </is>
      </c>
      <c r="C36" t="inlineStr">
        <is>
          <t>GHS</t>
        </is>
      </c>
    </row>
    <row r="37">
      <c r="A37" t="inlineStr">
        <is>
          <t>Akkerweg 41 [074]</t>
        </is>
      </c>
      <c r="B37" t="inlineStr">
        <is>
          <t>0379</t>
        </is>
      </c>
      <c r="C37" t="inlineStr">
        <is>
          <t>Goti verhuur</t>
        </is>
      </c>
    </row>
    <row r="38">
      <c r="A38" t="inlineStr">
        <is>
          <t>Akkerweg 41 [075]</t>
        </is>
      </c>
      <c r="B38" t="inlineStr">
        <is>
          <t>0307</t>
        </is>
      </c>
      <c r="C38" t="inlineStr">
        <is>
          <t>H.T.C. Facility Services</t>
        </is>
      </c>
    </row>
    <row r="39">
      <c r="A39" t="inlineStr">
        <is>
          <t>Allard Piersonlaan 142</t>
        </is>
      </c>
      <c r="B39" t="inlineStr">
        <is>
          <t>0002</t>
        </is>
      </c>
      <c r="C39" t="inlineStr">
        <is>
          <t>HTC</t>
        </is>
      </c>
    </row>
    <row r="40">
      <c r="A40" t="inlineStr">
        <is>
          <t>Amberberg 14</t>
        </is>
      </c>
      <c r="B40" t="inlineStr">
        <is>
          <t>0201</t>
        </is>
      </c>
      <c r="C40" t="inlineStr">
        <is>
          <t>HTC Facility</t>
        </is>
      </c>
    </row>
    <row r="41">
      <c r="A41" t="inlineStr">
        <is>
          <t>Amperelaan 23</t>
        </is>
      </c>
      <c r="B41" t="inlineStr">
        <is>
          <t>0043</t>
        </is>
      </c>
      <c r="C41" t="inlineStr">
        <is>
          <t>Housing en Transport Facilities BV</t>
        </is>
      </c>
    </row>
    <row r="42">
      <c r="A42" t="inlineStr">
        <is>
          <t>Ampèrestraat 36A</t>
        </is>
      </c>
      <c r="B42" t="inlineStr">
        <is>
          <t>0135</t>
        </is>
      </c>
      <c r="C42" t="inlineStr">
        <is>
          <t>HousingWell</t>
        </is>
      </c>
    </row>
    <row r="43">
      <c r="A43" t="inlineStr">
        <is>
          <t>Archimedesstraat 6 B</t>
        </is>
      </c>
      <c r="B43" t="inlineStr">
        <is>
          <t>0353</t>
        </is>
      </c>
      <c r="C43" t="inlineStr">
        <is>
          <t>I-housing Vastgoed</t>
        </is>
      </c>
    </row>
    <row r="44">
      <c r="A44" t="inlineStr">
        <is>
          <t>Arkelse Onderweg 24a</t>
        </is>
      </c>
      <c r="B44" t="inlineStr">
        <is>
          <t>0008</t>
        </is>
      </c>
      <c r="C44" t="inlineStr">
        <is>
          <t>Impes Service</t>
        </is>
      </c>
    </row>
    <row r="45">
      <c r="A45" t="inlineStr">
        <is>
          <t>Baanhoek 137</t>
        </is>
      </c>
      <c r="B45" t="inlineStr">
        <is>
          <t>0367</t>
        </is>
      </c>
      <c r="C45" t="inlineStr">
        <is>
          <t xml:space="preserve">Impianti Industriala S.P.A.  </t>
        </is>
      </c>
    </row>
    <row r="46">
      <c r="A46" t="inlineStr">
        <is>
          <t>Baanhoek 139</t>
        </is>
      </c>
      <c r="B46" t="inlineStr">
        <is>
          <t>0055</t>
        </is>
      </c>
      <c r="C46" t="inlineStr">
        <is>
          <t>InAxtion Vastgoed B.V.</t>
        </is>
      </c>
    </row>
    <row r="47">
      <c r="A47" t="inlineStr">
        <is>
          <t>Baarlelaan 27</t>
        </is>
      </c>
      <c r="B47" t="inlineStr">
        <is>
          <t>0012</t>
        </is>
      </c>
      <c r="C47" t="inlineStr">
        <is>
          <t>Industrial Technical Services</t>
        </is>
      </c>
    </row>
    <row r="48">
      <c r="A48" t="inlineStr">
        <is>
          <t>Baarsveen 197</t>
        </is>
      </c>
      <c r="B48" t="inlineStr">
        <is>
          <t>0013</t>
        </is>
      </c>
      <c r="C48" t="inlineStr">
        <is>
          <t>Industrial Technical Services Srl</t>
        </is>
      </c>
    </row>
    <row r="49">
      <c r="A49" t="inlineStr">
        <is>
          <t>Beatrixstraat 3</t>
        </is>
      </c>
      <c r="B49" t="inlineStr">
        <is>
          <t>0040</t>
        </is>
      </c>
      <c r="C49" t="inlineStr">
        <is>
          <t>Interim Jobs B.V.</t>
        </is>
      </c>
    </row>
    <row r="50">
      <c r="A50" t="inlineStr">
        <is>
          <t>Beeklaan 294</t>
        </is>
      </c>
      <c r="B50" t="inlineStr">
        <is>
          <t>0152</t>
        </is>
      </c>
      <c r="C50" t="inlineStr">
        <is>
          <t>Interwell Oost B.V.</t>
        </is>
      </c>
    </row>
    <row r="51">
      <c r="A51" t="inlineStr">
        <is>
          <t>Besterdring 6</t>
        </is>
      </c>
      <c r="B51" t="inlineStr">
        <is>
          <t>0060</t>
        </is>
      </c>
      <c r="C51" t="inlineStr">
        <is>
          <t>Jan Bos</t>
        </is>
      </c>
    </row>
    <row r="52">
      <c r="A52" t="inlineStr">
        <is>
          <t>Bettingeslag 10</t>
        </is>
      </c>
      <c r="B52" t="inlineStr">
        <is>
          <t>0322</t>
        </is>
      </c>
      <c r="C52" t="inlineStr">
        <is>
          <t>Jan Smit</t>
        </is>
      </c>
    </row>
    <row r="53">
      <c r="A53" t="inlineStr">
        <is>
          <t>Beukenlaan 53</t>
        </is>
      </c>
      <c r="B53" t="inlineStr">
        <is>
          <t>0346</t>
        </is>
      </c>
      <c r="C53" t="inlineStr">
        <is>
          <t>Jan Vos</t>
        </is>
      </c>
    </row>
    <row r="54">
      <c r="A54" t="inlineStr">
        <is>
          <t>Bisschopstraat 68</t>
        </is>
      </c>
      <c r="B54" t="inlineStr">
        <is>
          <t>0047</t>
        </is>
      </c>
      <c r="C54" t="inlineStr">
        <is>
          <t>Julia Visser</t>
        </is>
      </c>
    </row>
    <row r="55">
      <c r="A55" t="inlineStr">
        <is>
          <t>Bliek 41</t>
        </is>
      </c>
      <c r="B55" t="inlineStr">
        <is>
          <t>0048</t>
        </is>
      </c>
      <c r="C55" t="inlineStr">
        <is>
          <t>Julia de Jong</t>
        </is>
      </c>
    </row>
    <row r="56">
      <c r="A56" t="inlineStr">
        <is>
          <t>Bornerbroeksestraat 129A</t>
        </is>
      </c>
      <c r="B56" t="inlineStr">
        <is>
          <t>0049</t>
        </is>
      </c>
      <c r="C56" t="inlineStr">
        <is>
          <t>Kapitan workers</t>
        </is>
      </c>
    </row>
    <row r="57">
      <c r="A57" t="inlineStr">
        <is>
          <t>Bovendijk 59</t>
        </is>
      </c>
      <c r="B57" t="inlineStr">
        <is>
          <t>0280</t>
        </is>
      </c>
      <c r="C57" t="inlineStr">
        <is>
          <t>Labour Housing B.V.</t>
        </is>
      </c>
    </row>
    <row r="58">
      <c r="A58" t="inlineStr">
        <is>
          <t>Bovendijk 61</t>
        </is>
      </c>
      <c r="B58" t="inlineStr">
        <is>
          <t>0281</t>
        </is>
      </c>
      <c r="C58" t="inlineStr">
        <is>
          <t>Lago perseelshuisvesting</t>
        </is>
      </c>
    </row>
    <row r="59">
      <c r="A59" t="inlineStr">
        <is>
          <t>Broekweg 25</t>
        </is>
      </c>
      <c r="B59" t="inlineStr">
        <is>
          <t>0004</t>
        </is>
      </c>
      <c r="C59" t="inlineStr">
        <is>
          <t>Light Personeelsdiensten</t>
        </is>
      </c>
    </row>
    <row r="60">
      <c r="A60" t="inlineStr">
        <is>
          <t>Broersveld 150A</t>
        </is>
      </c>
      <c r="B60" t="inlineStr">
        <is>
          <t>0155</t>
        </is>
      </c>
      <c r="C60" t="inlineStr">
        <is>
          <t>LogIQ</t>
        </is>
      </c>
    </row>
    <row r="61">
      <c r="A61" t="inlineStr">
        <is>
          <t>Broersvest 74 c</t>
        </is>
      </c>
      <c r="B61" t="inlineStr">
        <is>
          <t>0156</t>
        </is>
      </c>
      <c r="C61" t="inlineStr">
        <is>
          <t>Looije</t>
        </is>
      </c>
    </row>
    <row r="62">
      <c r="A62" t="inlineStr">
        <is>
          <t>Buizerdstraat 210</t>
        </is>
      </c>
      <c r="B62" t="inlineStr">
        <is>
          <t>0027</t>
        </is>
      </c>
      <c r="C62" t="inlineStr">
        <is>
          <t>MNA Proud Facilities B.V.</t>
        </is>
      </c>
    </row>
    <row r="63">
      <c r="A63" t="inlineStr">
        <is>
          <t>Burchstraat 16A</t>
        </is>
      </c>
      <c r="B63" t="inlineStr">
        <is>
          <t>0097</t>
        </is>
      </c>
      <c r="C63" t="inlineStr">
        <is>
          <t>Mila Jansen</t>
        </is>
      </c>
    </row>
    <row r="64">
      <c r="A64" t="inlineStr">
        <is>
          <t>Burgemeester Cramerlaan 82</t>
        </is>
      </c>
      <c r="B64" t="inlineStr">
        <is>
          <t>0276</t>
        </is>
      </c>
      <c r="C64" t="inlineStr">
        <is>
          <t>N2 People</t>
        </is>
      </c>
    </row>
    <row r="65">
      <c r="A65" t="inlineStr">
        <is>
          <t>Burgemeester Crezeelaan 76</t>
        </is>
      </c>
      <c r="B65" t="inlineStr">
        <is>
          <t>0275</t>
        </is>
      </c>
      <c r="C65" t="inlineStr">
        <is>
          <t>NL Realty</t>
        </is>
      </c>
    </row>
    <row r="66">
      <c r="A66" t="inlineStr">
        <is>
          <t>Burgemeester Stulemeijerlaan 71</t>
        </is>
      </c>
      <c r="B66" t="inlineStr">
        <is>
          <t>0292</t>
        </is>
      </c>
      <c r="C66" t="inlineStr">
        <is>
          <t>OJP</t>
        </is>
      </c>
    </row>
    <row r="67">
      <c r="A67" t="inlineStr">
        <is>
          <t>Chopinstraat 33C</t>
        </is>
      </c>
      <c r="B67" t="inlineStr">
        <is>
          <t>0160</t>
        </is>
      </c>
      <c r="C67" t="inlineStr">
        <is>
          <t>Oostkracht Bemiddeling B.V.</t>
        </is>
      </c>
    </row>
    <row r="68">
      <c r="A68" t="inlineStr">
        <is>
          <t xml:space="preserve">Chopinstraat 35A </t>
        </is>
      </c>
      <c r="B68" t="inlineStr">
        <is>
          <t>0131</t>
        </is>
      </c>
      <c r="C68" t="inlineStr">
        <is>
          <t>Optima</t>
        </is>
      </c>
    </row>
    <row r="69">
      <c r="A69" t="inlineStr">
        <is>
          <t>Chopinstraat 39C</t>
        </is>
      </c>
      <c r="B69" t="inlineStr">
        <is>
          <t>0026</t>
        </is>
      </c>
      <c r="C69" t="inlineStr">
        <is>
          <t>Orange Investments Group</t>
        </is>
      </c>
    </row>
    <row r="70">
      <c r="A70" t="inlineStr">
        <is>
          <t>Cloosterstraat 23A</t>
        </is>
      </c>
      <c r="B70" t="inlineStr">
        <is>
          <t>0370</t>
        </is>
      </c>
      <c r="C70" t="inlineStr">
        <is>
          <t>Oranjegroep</t>
        </is>
      </c>
    </row>
    <row r="71">
      <c r="A71" t="inlineStr">
        <is>
          <t>Coehoorn van Scheltingaweg 12</t>
        </is>
      </c>
      <c r="B71" t="inlineStr">
        <is>
          <t>0051</t>
        </is>
      </c>
      <c r="C71" t="inlineStr">
        <is>
          <t>PRP Solutions Flex Sp. Z.O.O.</t>
        </is>
      </c>
    </row>
    <row r="72">
      <c r="A72" t="inlineStr">
        <is>
          <t>Coehoorn van Scheltingaweg 66</t>
        </is>
      </c>
      <c r="B72" t="inlineStr">
        <is>
          <t>0052</t>
        </is>
      </c>
      <c r="C72" t="inlineStr">
        <is>
          <t>People21 Services BV</t>
        </is>
      </c>
    </row>
    <row r="73">
      <c r="A73" t="inlineStr">
        <is>
          <t>Compierekade 15</t>
        </is>
      </c>
      <c r="B73" t="inlineStr">
        <is>
          <t>0345</t>
        </is>
      </c>
      <c r="C73" t="inlineStr">
        <is>
          <t>Piet Visser</t>
        </is>
      </c>
    </row>
    <row r="74">
      <c r="A74" t="inlineStr">
        <is>
          <t>Coolsingel 1</t>
        </is>
      </c>
      <c r="B74" t="inlineStr">
        <is>
          <t>R-001</t>
        </is>
      </c>
      <c r="C74" t="inlineStr">
        <is>
          <t>Professional Manpower Management</t>
        </is>
      </c>
    </row>
    <row r="75">
      <c r="A75" t="inlineStr">
        <is>
          <t xml:space="preserve">Coornhertstraat 95 </t>
        </is>
      </c>
      <c r="B75" t="inlineStr">
        <is>
          <t>0162</t>
        </is>
      </c>
      <c r="C75" t="inlineStr">
        <is>
          <t>Pythagoras Construction s.r.l.</t>
        </is>
      </c>
    </row>
    <row r="76">
      <c r="A76" t="inlineStr">
        <is>
          <t xml:space="preserve">Cubalaan 25 </t>
        </is>
      </c>
      <c r="B76" t="inlineStr">
        <is>
          <t>0375</t>
        </is>
      </c>
      <c r="C76" t="inlineStr">
        <is>
          <t>RNDV</t>
        </is>
      </c>
    </row>
    <row r="77">
      <c r="A77" t="inlineStr">
        <is>
          <t>Curacaolaan 24</t>
        </is>
      </c>
      <c r="B77" t="inlineStr">
        <is>
          <t>0163</t>
        </is>
      </c>
      <c r="C77" t="inlineStr">
        <is>
          <t>Randstad Wonen</t>
        </is>
      </c>
    </row>
    <row r="78">
      <c r="A78" t="inlineStr">
        <is>
          <t>Curacaolaan 88</t>
        </is>
      </c>
      <c r="B78" t="inlineStr">
        <is>
          <t>0030</t>
        </is>
      </c>
      <c r="C78" t="inlineStr">
        <is>
          <t>RoyalDS</t>
        </is>
      </c>
    </row>
    <row r="79">
      <c r="A79" t="inlineStr">
        <is>
          <t xml:space="preserve">Curcumastraat 39 </t>
        </is>
      </c>
      <c r="B79" t="inlineStr">
        <is>
          <t>0053</t>
        </is>
      </c>
      <c r="C79" t="inlineStr">
        <is>
          <t>Shell Expats</t>
        </is>
      </c>
    </row>
    <row r="80">
      <c r="A80" t="inlineStr">
        <is>
          <t>Datheenstraat 255</t>
        </is>
      </c>
      <c r="B80" t="inlineStr">
        <is>
          <t>0151</t>
        </is>
      </c>
      <c r="C80" t="inlineStr">
        <is>
          <t>Stay21</t>
        </is>
      </c>
    </row>
    <row r="81">
      <c r="A81" t="inlineStr">
        <is>
          <t>De Driesprong 17</t>
        </is>
      </c>
      <c r="B81" t="inlineStr">
        <is>
          <t>0165</t>
        </is>
      </c>
      <c r="C81" t="inlineStr">
        <is>
          <t>Strukton</t>
        </is>
      </c>
    </row>
    <row r="82">
      <c r="A82" t="inlineStr">
        <is>
          <t>De Gasperistraat 11</t>
        </is>
      </c>
      <c r="B82" t="inlineStr">
        <is>
          <t>0054</t>
        </is>
      </c>
      <c r="C82" t="inlineStr">
        <is>
          <t>Suricare</t>
        </is>
      </c>
    </row>
    <row r="83">
      <c r="A83" t="inlineStr">
        <is>
          <t>De Haak, Zekkenstraat 31A</t>
        </is>
      </c>
      <c r="B83" t="inlineStr">
        <is>
          <t>0288</t>
        </is>
      </c>
      <c r="C83" t="inlineStr">
        <is>
          <t>THS EU B.V.</t>
        </is>
      </c>
    </row>
    <row r="84">
      <c r="A84" t="inlineStr">
        <is>
          <t>De Haak, Zekkenstraat 31B</t>
        </is>
      </c>
      <c r="B84" t="inlineStr">
        <is>
          <t>0289</t>
        </is>
      </c>
      <c r="C84" t="inlineStr">
        <is>
          <t>Team Home Rentals</t>
        </is>
      </c>
    </row>
    <row r="85">
      <c r="A85" t="inlineStr">
        <is>
          <t>De Haak, Zekkenstraat 56</t>
        </is>
      </c>
      <c r="B85" t="inlineStr">
        <is>
          <t>0290</t>
        </is>
      </c>
      <c r="C85" t="inlineStr">
        <is>
          <t>Team Unica (nieuw per 17-05)</t>
        </is>
      </c>
    </row>
    <row r="86">
      <c r="A86" t="inlineStr">
        <is>
          <t>De Hooidollen 606</t>
        </is>
      </c>
      <c r="B86" t="inlineStr">
        <is>
          <t>0056</t>
        </is>
      </c>
      <c r="C86" t="inlineStr">
        <is>
          <t>TechCorp</t>
        </is>
      </c>
    </row>
    <row r="87">
      <c r="A87" t="inlineStr">
        <is>
          <t>De Plaats 10</t>
        </is>
      </c>
      <c r="B87" t="inlineStr">
        <is>
          <t>120</t>
        </is>
      </c>
      <c r="C87" t="inlineStr">
        <is>
          <t>Tradiro</t>
        </is>
      </c>
    </row>
    <row r="88">
      <c r="A88" t="inlineStr">
        <is>
          <t>Deensestraat 6A2</t>
        </is>
      </c>
      <c r="B88" t="inlineStr">
        <is>
          <t>0153</t>
        </is>
      </c>
      <c r="C88" t="inlineStr">
        <is>
          <t>Tradiro BV</t>
        </is>
      </c>
    </row>
    <row r="89">
      <c r="A89" t="inlineStr">
        <is>
          <t>Desiree Geeraertstraat 1 B</t>
        </is>
      </c>
      <c r="B89" t="inlineStr">
        <is>
          <t>0023</t>
        </is>
      </c>
      <c r="C89" t="inlineStr">
        <is>
          <t>Tradiro BV</t>
        </is>
      </c>
    </row>
    <row r="90">
      <c r="A90" t="inlineStr">
        <is>
          <t>Desiree Geeraertstraat 1 C</t>
        </is>
      </c>
      <c r="B90" t="inlineStr">
        <is>
          <t>0024</t>
        </is>
      </c>
      <c r="C90" t="inlineStr">
        <is>
          <t>Tradiro BV</t>
        </is>
      </c>
    </row>
    <row r="91">
      <c r="A91" t="inlineStr">
        <is>
          <t>Deugenweerd 18</t>
        </is>
      </c>
      <c r="B91" t="inlineStr">
        <is>
          <t>0058</t>
        </is>
      </c>
      <c r="C91" t="inlineStr">
        <is>
          <t>Tradiro BV</t>
        </is>
      </c>
    </row>
    <row r="92">
      <c r="A92" t="inlineStr">
        <is>
          <t>Dieptol 63</t>
        </is>
      </c>
      <c r="B92" t="inlineStr">
        <is>
          <t>0059</t>
        </is>
      </c>
      <c r="C92" t="inlineStr">
        <is>
          <t>Transport People B.V.</t>
        </is>
      </c>
    </row>
    <row r="93">
      <c r="A93" t="inlineStr">
        <is>
          <t>Dorpsstraat 48</t>
        </is>
      </c>
      <c r="B93" t="inlineStr">
        <is>
          <t>0354</t>
        </is>
      </c>
      <c r="C93" t="inlineStr">
        <is>
          <t>UAB Techsoma</t>
        </is>
      </c>
    </row>
    <row r="94">
      <c r="A94" t="inlineStr">
        <is>
          <t xml:space="preserve">Dorpsstraat 73 </t>
        </is>
      </c>
      <c r="B94" t="inlineStr">
        <is>
          <t>0066</t>
        </is>
      </c>
      <c r="C94" t="inlineStr">
        <is>
          <t>UAB Toromega</t>
        </is>
      </c>
    </row>
    <row r="95">
      <c r="A95" t="inlineStr">
        <is>
          <t>Dorpstraat 48</t>
        </is>
      </c>
      <c r="B95" t="inlineStr">
        <is>
          <t>0203</t>
        </is>
      </c>
      <c r="C95" t="inlineStr">
        <is>
          <t>United Homes</t>
        </is>
      </c>
    </row>
    <row r="96">
      <c r="A96" t="inlineStr">
        <is>
          <t xml:space="preserve">Dwarsweg 44 </t>
        </is>
      </c>
      <c r="B96" t="inlineStr">
        <is>
          <t>0061</t>
        </is>
      </c>
      <c r="C96" t="inlineStr">
        <is>
          <t>United homes</t>
        </is>
      </c>
    </row>
    <row r="97">
      <c r="A97" t="inlineStr">
        <is>
          <t>Eendrachtstraat 22</t>
        </is>
      </c>
      <c r="B97" t="inlineStr">
        <is>
          <t>0062</t>
        </is>
      </c>
      <c r="C97" t="inlineStr">
        <is>
          <t>Vivir Wonen</t>
        </is>
      </c>
    </row>
    <row r="98">
      <c r="A98" t="inlineStr">
        <is>
          <t>Elisadonk 220</t>
        </is>
      </c>
      <c r="B98" t="inlineStr">
        <is>
          <t>0136</t>
        </is>
      </c>
      <c r="C98" t="inlineStr">
        <is>
          <t>WS Wonen B.V.</t>
        </is>
      </c>
    </row>
    <row r="99">
      <c r="A99" t="inlineStr">
        <is>
          <t xml:space="preserve">Energieweg 40 </t>
        </is>
      </c>
      <c r="B99" t="inlineStr">
        <is>
          <t>0063</t>
        </is>
      </c>
      <c r="C99" t="inlineStr">
        <is>
          <t>Welcome Housing BV</t>
        </is>
      </c>
    </row>
    <row r="100">
      <c r="A100" t="inlineStr">
        <is>
          <t>Engelsestraat 16L1</t>
        </is>
      </c>
      <c r="B100" t="inlineStr">
        <is>
          <t>0168</t>
        </is>
      </c>
      <c r="C100" t="inlineStr">
        <is>
          <t>Werckpost</t>
        </is>
      </c>
    </row>
    <row r="101">
      <c r="A101" t="inlineStr">
        <is>
          <t>Engelsestraat 16L3</t>
        </is>
      </c>
      <c r="B101" t="inlineStr">
        <is>
          <t>0095</t>
        </is>
      </c>
      <c r="C101" t="inlineStr">
        <is>
          <t>Wil International BV</t>
        </is>
      </c>
    </row>
    <row r="102">
      <c r="A102" t="inlineStr">
        <is>
          <t>Enk 6</t>
        </is>
      </c>
      <c r="B102" t="inlineStr">
        <is>
          <t>0064</t>
        </is>
      </c>
      <c r="C102" t="inlineStr">
        <is>
          <t>Wil Vakkrachten BV</t>
        </is>
      </c>
    </row>
    <row r="103">
      <c r="A103" t="inlineStr">
        <is>
          <t>Enschotsestraat 163</t>
        </is>
      </c>
      <c r="B103" t="inlineStr">
        <is>
          <t>0006</t>
        </is>
      </c>
      <c r="C103" t="inlineStr">
        <is>
          <t>Workforce Housing International B.V.</t>
        </is>
      </c>
    </row>
    <row r="104">
      <c r="A104" t="inlineStr">
        <is>
          <t xml:space="preserve">Esdoornlaan 68 </t>
        </is>
      </c>
      <c r="B104" t="inlineStr">
        <is>
          <t>0065</t>
        </is>
      </c>
    </row>
    <row r="105">
      <c r="A105" t="inlineStr">
        <is>
          <t>F.Erensstraat 21</t>
        </is>
      </c>
      <c r="B105" t="inlineStr">
        <is>
          <t>0068</t>
        </is>
      </c>
    </row>
    <row r="106">
      <c r="A106" t="inlineStr">
        <is>
          <t>Fabristraat 34A</t>
        </is>
      </c>
      <c r="B106" t="inlineStr">
        <is>
          <t>0093</t>
        </is>
      </c>
    </row>
    <row r="107">
      <c r="A107" t="inlineStr">
        <is>
          <t>Fabristraat 34B</t>
        </is>
      </c>
      <c r="B107" t="inlineStr">
        <is>
          <t>0094</t>
        </is>
      </c>
    </row>
    <row r="108">
      <c r="A108" t="inlineStr">
        <is>
          <t>Fenacoliuslaan 56B</t>
        </is>
      </c>
      <c r="B108" t="inlineStr">
        <is>
          <t>0273</t>
        </is>
      </c>
    </row>
    <row r="109">
      <c r="A109" t="inlineStr">
        <is>
          <t>Flankstraat 11</t>
        </is>
      </c>
      <c r="B109" t="inlineStr">
        <is>
          <t>0331</t>
        </is>
      </c>
    </row>
    <row r="110">
      <c r="A110" t="inlineStr">
        <is>
          <t>Franselaan 273B</t>
        </is>
      </c>
      <c r="B110" t="inlineStr">
        <is>
          <t>0019</t>
        </is>
      </c>
    </row>
    <row r="111">
      <c r="A111" t="inlineStr">
        <is>
          <t>Franz Liszstraat 5</t>
        </is>
      </c>
      <c r="B111" t="inlineStr">
        <is>
          <t>0067</t>
        </is>
      </c>
    </row>
    <row r="112">
      <c r="A112" t="inlineStr">
        <is>
          <t>G.A. Brederolaan 75B</t>
        </is>
      </c>
      <c r="B112" t="inlineStr">
        <is>
          <t>0017</t>
        </is>
      </c>
    </row>
    <row r="113">
      <c r="A113" t="inlineStr">
        <is>
          <t>Gaffelaar 3</t>
        </is>
      </c>
      <c r="B113" t="inlineStr">
        <is>
          <t>0069</t>
        </is>
      </c>
    </row>
    <row r="114">
      <c r="A114" t="inlineStr">
        <is>
          <t>Galgeweg 48-A</t>
        </is>
      </c>
      <c r="B114" t="inlineStr">
        <is>
          <t>0009</t>
        </is>
      </c>
    </row>
    <row r="115">
      <c r="A115" t="inlineStr">
        <is>
          <t>Geldersestraat 91</t>
        </is>
      </c>
      <c r="B115" t="inlineStr">
        <is>
          <t>0109</t>
        </is>
      </c>
    </row>
    <row r="116">
      <c r="A116" t="inlineStr">
        <is>
          <t>Geleenstraat 1</t>
        </is>
      </c>
      <c r="B116" t="inlineStr">
        <is>
          <t>0070</t>
        </is>
      </c>
    </row>
    <row r="117">
      <c r="A117" t="inlineStr">
        <is>
          <t>Gerberalaan 113</t>
        </is>
      </c>
      <c r="B117" t="inlineStr">
        <is>
          <t>0277</t>
        </is>
      </c>
    </row>
    <row r="118">
      <c r="A118" t="inlineStr">
        <is>
          <t>Goudestein 30</t>
        </is>
      </c>
      <c r="B118" t="inlineStr">
        <is>
          <t>0170</t>
        </is>
      </c>
    </row>
    <row r="119">
      <c r="A119" t="inlineStr">
        <is>
          <t>Groenelaan 30B</t>
        </is>
      </c>
      <c r="B119" t="inlineStr">
        <is>
          <t>0025</t>
        </is>
      </c>
    </row>
    <row r="120">
      <c r="A120" t="inlineStr">
        <is>
          <t>Groeneweg 127</t>
        </is>
      </c>
      <c r="B120" t="inlineStr">
        <is>
          <t>0172</t>
        </is>
      </c>
    </row>
    <row r="121">
      <c r="A121" t="inlineStr">
        <is>
          <t xml:space="preserve">Groeneweg 71 </t>
        </is>
      </c>
      <c r="B121" t="inlineStr">
        <is>
          <t>0173</t>
        </is>
      </c>
    </row>
    <row r="122">
      <c r="A122" t="inlineStr">
        <is>
          <t>Groeneweg 74</t>
        </is>
      </c>
      <c r="B122" t="inlineStr">
        <is>
          <t>0174</t>
        </is>
      </c>
    </row>
    <row r="123">
      <c r="A123" t="inlineStr">
        <is>
          <t>H. Algraplein 25</t>
        </is>
      </c>
      <c r="B123" t="inlineStr">
        <is>
          <t>0071</t>
        </is>
      </c>
    </row>
    <row r="124">
      <c r="A124" t="inlineStr">
        <is>
          <t>Haagkamp 11</t>
        </is>
      </c>
      <c r="B124" t="inlineStr">
        <is>
          <t>0279</t>
        </is>
      </c>
    </row>
    <row r="125">
      <c r="A125" t="inlineStr">
        <is>
          <t>Hagastraat 8</t>
        </is>
      </c>
      <c r="B125" t="inlineStr">
        <is>
          <t>0175</t>
        </is>
      </c>
    </row>
    <row r="126">
      <c r="A126" t="inlineStr">
        <is>
          <t>Heemskerkstraat 19</t>
        </is>
      </c>
      <c r="B126" t="inlineStr">
        <is>
          <t>0072</t>
        </is>
      </c>
    </row>
    <row r="127">
      <c r="A127" t="inlineStr">
        <is>
          <t>Hendrik Deddenstraat 26</t>
        </is>
      </c>
      <c r="B127" t="inlineStr">
        <is>
          <t>0073</t>
        </is>
      </c>
    </row>
    <row r="128">
      <c r="A128" t="inlineStr">
        <is>
          <t>Hendriklaan 49</t>
        </is>
      </c>
      <c r="B128" t="inlineStr">
        <is>
          <t>0325</t>
        </is>
      </c>
    </row>
    <row r="129">
      <c r="A129" t="inlineStr">
        <is>
          <t xml:space="preserve">Herautpad 22 </t>
        </is>
      </c>
      <c r="B129" t="inlineStr">
        <is>
          <t>0176</t>
        </is>
      </c>
    </row>
    <row r="130">
      <c r="A130" t="inlineStr">
        <is>
          <t>Herenpad 20 A</t>
        </is>
      </c>
      <c r="B130" t="inlineStr">
        <is>
          <t>0133</t>
        </is>
      </c>
    </row>
    <row r="131">
      <c r="A131" t="inlineStr">
        <is>
          <t>Herenpad 20 B</t>
        </is>
      </c>
      <c r="B131" t="inlineStr">
        <is>
          <t>0134</t>
        </is>
      </c>
    </row>
    <row r="132">
      <c r="A132" t="inlineStr">
        <is>
          <t>Hoefslag 8</t>
        </is>
      </c>
      <c r="B132" t="inlineStr">
        <is>
          <t>0107</t>
        </is>
      </c>
    </row>
    <row r="133">
      <c r="A133" t="inlineStr">
        <is>
          <t>Hof van zeeland 2</t>
        </is>
      </c>
      <c r="B133" t="inlineStr">
        <is>
          <t>0334</t>
        </is>
      </c>
    </row>
    <row r="134">
      <c r="A134" t="inlineStr">
        <is>
          <t>Hoge Noordweg 27B</t>
        </is>
      </c>
      <c r="B134" t="inlineStr">
        <is>
          <t>0177</t>
        </is>
      </c>
    </row>
    <row r="135">
      <c r="A135" t="inlineStr">
        <is>
          <t>Hoge Noordweg 28</t>
        </is>
      </c>
      <c r="B135" t="inlineStr">
        <is>
          <t>0178</t>
        </is>
      </c>
    </row>
    <row r="136">
      <c r="A136" t="inlineStr">
        <is>
          <t>Hogenbanweg 331</t>
        </is>
      </c>
      <c r="B136" t="inlineStr">
        <is>
          <t>0031</t>
        </is>
      </c>
    </row>
    <row r="137">
      <c r="A137" t="inlineStr">
        <is>
          <t>Hontenissestraat 124</t>
        </is>
      </c>
      <c r="B137" t="inlineStr">
        <is>
          <t>0181</t>
        </is>
      </c>
    </row>
    <row r="138">
      <c r="A138" t="inlineStr">
        <is>
          <t>Hoofdstraat 110</t>
        </is>
      </c>
      <c r="B138" t="inlineStr">
        <is>
          <t>0075</t>
        </is>
      </c>
    </row>
    <row r="139">
      <c r="A139" t="inlineStr">
        <is>
          <t>Hooizolder 6</t>
        </is>
      </c>
      <c r="B139" t="inlineStr">
        <is>
          <t>0078</t>
        </is>
      </c>
    </row>
    <row r="140">
      <c r="A140" t="inlineStr">
        <is>
          <t>Hugo de Grootstraat 72A &amp; B</t>
        </is>
      </c>
      <c r="B140" t="inlineStr">
        <is>
          <t>0147</t>
        </is>
      </c>
    </row>
    <row r="141">
      <c r="A141" t="inlineStr">
        <is>
          <t xml:space="preserve">Hugo de Vriesstraat 54 </t>
        </is>
      </c>
      <c r="B141" t="inlineStr">
        <is>
          <t>0183</t>
        </is>
      </c>
    </row>
    <row r="142">
      <c r="A142" t="inlineStr">
        <is>
          <t>Industriestraat 9</t>
        </is>
      </c>
      <c r="B142" t="inlineStr">
        <is>
          <t>0391</t>
        </is>
      </c>
    </row>
    <row r="143">
      <c r="A143" t="inlineStr">
        <is>
          <t>Inundatiestraat 3</t>
        </is>
      </c>
      <c r="B143" t="inlineStr">
        <is>
          <t>0039</t>
        </is>
      </c>
    </row>
    <row r="144">
      <c r="A144" t="inlineStr">
        <is>
          <t>Jacob van Lennepstraat 13 A</t>
        </is>
      </c>
      <c r="B144" t="inlineStr">
        <is>
          <t>0187</t>
        </is>
      </c>
    </row>
    <row r="145">
      <c r="A145" t="inlineStr">
        <is>
          <t>Jacob van Lennepstraat 13 b</t>
        </is>
      </c>
      <c r="B145" t="inlineStr">
        <is>
          <t>0188</t>
        </is>
      </c>
    </row>
    <row r="146">
      <c r="A146" t="inlineStr">
        <is>
          <t>Jacob van Lennepstraat 34</t>
        </is>
      </c>
      <c r="B146" t="inlineStr">
        <is>
          <t>0189</t>
        </is>
      </c>
    </row>
    <row r="147">
      <c r="A147" t="inlineStr">
        <is>
          <t>Jacob van offwegenlaan 26</t>
        </is>
      </c>
      <c r="B147" t="inlineStr">
        <is>
          <t>0032</t>
        </is>
      </c>
    </row>
    <row r="148">
      <c r="A148" t="inlineStr">
        <is>
          <t>Jan van Arkelstraat 118</t>
        </is>
      </c>
      <c r="B148" t="inlineStr">
        <is>
          <t>0191</t>
        </is>
      </c>
    </row>
    <row r="149">
      <c r="A149" t="inlineStr">
        <is>
          <t>Jasmijnring 37</t>
        </is>
      </c>
      <c r="B149" t="inlineStr">
        <is>
          <t>0087</t>
        </is>
      </c>
    </row>
    <row r="150">
      <c r="A150" t="inlineStr">
        <is>
          <t>Johan Willem Frisostraat 36</t>
        </is>
      </c>
      <c r="B150" t="inlineStr">
        <is>
          <t>0146</t>
        </is>
      </c>
    </row>
    <row r="151">
      <c r="A151" t="inlineStr">
        <is>
          <t xml:space="preserve">Kaapsebos 11 </t>
        </is>
      </c>
      <c r="B151" t="inlineStr">
        <is>
          <t>0192</t>
        </is>
      </c>
    </row>
    <row r="152">
      <c r="A152" t="inlineStr">
        <is>
          <t>Kanaal van Steenenhoek Z.Z. 10</t>
        </is>
      </c>
      <c r="B152" t="inlineStr">
        <is>
          <t>0082</t>
        </is>
      </c>
    </row>
    <row r="153">
      <c r="A153" t="inlineStr">
        <is>
          <t>Kapershoek 11</t>
        </is>
      </c>
      <c r="B153" t="inlineStr">
        <is>
          <t>0193</t>
        </is>
      </c>
    </row>
    <row r="154">
      <c r="A154" t="inlineStr">
        <is>
          <t>Karel Doormanlaan 21A</t>
        </is>
      </c>
      <c r="B154" t="inlineStr">
        <is>
          <t>0274</t>
        </is>
      </c>
    </row>
    <row r="155">
      <c r="A155" t="inlineStr">
        <is>
          <t>Kastanjelaan 232</t>
        </is>
      </c>
      <c r="B155" t="inlineStr">
        <is>
          <t>0159</t>
        </is>
      </c>
    </row>
    <row r="156">
      <c r="A156" t="inlineStr">
        <is>
          <t>Keesomstraat 22</t>
        </is>
      </c>
      <c r="B156" t="inlineStr">
        <is>
          <t>0194</t>
        </is>
      </c>
    </row>
    <row r="157">
      <c r="A157" t="inlineStr">
        <is>
          <t xml:space="preserve">Keesomstraat 50 </t>
        </is>
      </c>
      <c r="B157" t="inlineStr">
        <is>
          <t>0195</t>
        </is>
      </c>
    </row>
    <row r="158">
      <c r="A158" t="inlineStr">
        <is>
          <t>Keesomstraat 54</t>
        </is>
      </c>
      <c r="B158" t="inlineStr">
        <is>
          <t>0196</t>
        </is>
      </c>
    </row>
    <row r="159">
      <c r="A159" t="inlineStr">
        <is>
          <t>Kerkdreef 42</t>
        </is>
      </c>
      <c r="B159" t="inlineStr">
        <is>
          <t>0084</t>
        </is>
      </c>
    </row>
    <row r="160">
      <c r="A160" t="inlineStr">
        <is>
          <t>Kerkweg 9A [333]</t>
        </is>
      </c>
      <c r="B160" t="inlineStr">
        <is>
          <t>0312</t>
        </is>
      </c>
    </row>
    <row r="161">
      <c r="A161" t="inlineStr">
        <is>
          <t>Kerkweg 9A [334]</t>
        </is>
      </c>
      <c r="B161" t="inlineStr">
        <is>
          <t>0313</t>
        </is>
      </c>
    </row>
    <row r="162">
      <c r="A162" t="inlineStr">
        <is>
          <t>Kerkweg 9A [338]</t>
        </is>
      </c>
      <c r="B162" t="inlineStr">
        <is>
          <t>0314</t>
        </is>
      </c>
    </row>
    <row r="163">
      <c r="A163" t="inlineStr">
        <is>
          <t>Kerkweg 9A [347]</t>
        </is>
      </c>
      <c r="B163" t="inlineStr">
        <is>
          <t>0317</t>
        </is>
      </c>
    </row>
    <row r="164">
      <c r="A164" t="inlineStr">
        <is>
          <t>Kerkweg 9a [135]</t>
        </is>
      </c>
      <c r="B164" t="inlineStr">
        <is>
          <t>0308</t>
        </is>
      </c>
    </row>
    <row r="165">
      <c r="A165" t="inlineStr">
        <is>
          <t xml:space="preserve">Kerkweg 9a [137] </t>
        </is>
      </c>
      <c r="B165" t="inlineStr">
        <is>
          <t>0309</t>
        </is>
      </c>
    </row>
    <row r="166">
      <c r="A166" t="inlineStr">
        <is>
          <t>Kerkweg 9a [210]</t>
        </is>
      </c>
      <c r="B166" t="inlineStr">
        <is>
          <t>0310</t>
        </is>
      </c>
    </row>
    <row r="167">
      <c r="A167" t="inlineStr">
        <is>
          <t>Kerkweg 9a [269]</t>
        </is>
      </c>
      <c r="B167" t="inlineStr">
        <is>
          <t>0311</t>
        </is>
      </c>
    </row>
    <row r="168">
      <c r="A168" t="inlineStr">
        <is>
          <t>Kerkweg 9a [340]</t>
        </is>
      </c>
      <c r="B168" t="inlineStr">
        <is>
          <t>0332</t>
        </is>
      </c>
    </row>
    <row r="169">
      <c r="A169" t="inlineStr">
        <is>
          <t>Kerkweg 9a [342]</t>
        </is>
      </c>
      <c r="B169" t="inlineStr">
        <is>
          <t>0315</t>
        </is>
      </c>
    </row>
    <row r="170">
      <c r="A170" t="inlineStr">
        <is>
          <t>Kerkweg 9a [346]</t>
        </is>
      </c>
      <c r="B170" t="inlineStr">
        <is>
          <t>0316</t>
        </is>
      </c>
    </row>
    <row r="171">
      <c r="A171" t="inlineStr">
        <is>
          <t>Kerkweg 9a [348]</t>
        </is>
      </c>
      <c r="B171" t="inlineStr">
        <is>
          <t>0338</t>
        </is>
      </c>
    </row>
    <row r="172">
      <c r="A172" t="inlineStr">
        <is>
          <t>Kerkweg 9a [349]</t>
        </is>
      </c>
      <c r="B172" t="inlineStr">
        <is>
          <t>0318</t>
        </is>
      </c>
    </row>
    <row r="173">
      <c r="A173" t="inlineStr">
        <is>
          <t>Kerkweg 9a [356]</t>
        </is>
      </c>
      <c r="B173" t="inlineStr">
        <is>
          <t>0319</t>
        </is>
      </c>
    </row>
    <row r="174">
      <c r="A174" t="inlineStr">
        <is>
          <t>Kerkweg 9a [357]</t>
        </is>
      </c>
      <c r="B174" t="inlineStr">
        <is>
          <t>0339</t>
        </is>
      </c>
    </row>
    <row r="175">
      <c r="A175" t="inlineStr">
        <is>
          <t>Kerkweg 9a [359]</t>
        </is>
      </c>
      <c r="B175" t="inlineStr">
        <is>
          <t>0320</t>
        </is>
      </c>
    </row>
    <row r="176">
      <c r="A176" t="inlineStr">
        <is>
          <t>Kerkweg 9a [453]</t>
        </is>
      </c>
      <c r="B176" t="inlineStr">
        <is>
          <t>0321</t>
        </is>
      </c>
    </row>
    <row r="177">
      <c r="A177" t="inlineStr">
        <is>
          <t>Kerkwerversingel 127</t>
        </is>
      </c>
      <c r="B177" t="inlineStr">
        <is>
          <t>0225</t>
        </is>
      </c>
    </row>
    <row r="178">
      <c r="A178" t="inlineStr">
        <is>
          <t>Kerstendijk 125</t>
        </is>
      </c>
      <c r="B178" t="inlineStr">
        <is>
          <t>0199</t>
        </is>
      </c>
    </row>
    <row r="179">
      <c r="A179" t="inlineStr">
        <is>
          <t>Kethelweg 1B</t>
        </is>
      </c>
      <c r="B179" t="inlineStr">
        <is>
          <t>0010</t>
        </is>
      </c>
    </row>
    <row r="180">
      <c r="A180" t="inlineStr">
        <is>
          <t>Kethelweg 1C</t>
        </is>
      </c>
      <c r="B180" t="inlineStr">
        <is>
          <t>0011</t>
        </is>
      </c>
    </row>
    <row r="181">
      <c r="A181" t="inlineStr">
        <is>
          <t>Kethelweg 66 D</t>
        </is>
      </c>
      <c r="B181" t="inlineStr">
        <is>
          <t>0333</t>
        </is>
      </c>
    </row>
    <row r="182">
      <c r="A182" t="inlineStr">
        <is>
          <t>Kethelweg 66A</t>
        </is>
      </c>
      <c r="B182" t="inlineStr">
        <is>
          <t>0088</t>
        </is>
      </c>
    </row>
    <row r="183">
      <c r="A183" t="inlineStr">
        <is>
          <t xml:space="preserve">Kethelweg 66B </t>
        </is>
      </c>
      <c r="B183" t="inlineStr">
        <is>
          <t>0122</t>
        </is>
      </c>
    </row>
    <row r="184">
      <c r="A184" t="inlineStr">
        <is>
          <t>Kethelweg 66C</t>
        </is>
      </c>
      <c r="B184" t="inlineStr">
        <is>
          <t>0033</t>
        </is>
      </c>
    </row>
    <row r="185">
      <c r="A185" t="inlineStr">
        <is>
          <t>Kethelweg 68A</t>
        </is>
      </c>
      <c r="B185" t="inlineStr">
        <is>
          <t>0034</t>
        </is>
      </c>
    </row>
    <row r="186">
      <c r="A186" t="inlineStr">
        <is>
          <t>Kierkegaardhof 54</t>
        </is>
      </c>
      <c r="B186" t="inlineStr">
        <is>
          <t>0085</t>
        </is>
      </c>
    </row>
    <row r="187">
      <c r="A187" t="inlineStr">
        <is>
          <t>Kimbrenoord 15</t>
        </is>
      </c>
      <c r="B187" t="inlineStr">
        <is>
          <t>0202</t>
        </is>
      </c>
    </row>
    <row r="188">
      <c r="A188" t="inlineStr">
        <is>
          <t>Kimbrenoord 49</t>
        </is>
      </c>
      <c r="B188" t="inlineStr">
        <is>
          <t>0359</t>
        </is>
      </c>
    </row>
    <row r="189">
      <c r="A189" t="inlineStr">
        <is>
          <t>Kleine Beer 60</t>
        </is>
      </c>
      <c r="B189" t="inlineStr">
        <is>
          <t>0086</t>
        </is>
      </c>
    </row>
    <row r="190">
      <c r="A190" t="inlineStr">
        <is>
          <t>Koningin Julianastraat 27</t>
        </is>
      </c>
      <c r="B190" t="inlineStr">
        <is>
          <t>0119</t>
        </is>
      </c>
    </row>
    <row r="191">
      <c r="A191" t="inlineStr">
        <is>
          <t>Koperwerf 28</t>
        </is>
      </c>
      <c r="B191" t="inlineStr">
        <is>
          <t>0291</t>
        </is>
      </c>
    </row>
    <row r="192">
      <c r="A192" t="inlineStr">
        <is>
          <t>Korte Singelstraat 21-2</t>
        </is>
      </c>
      <c r="B192" t="inlineStr">
        <is>
          <t>0126</t>
        </is>
      </c>
    </row>
    <row r="193">
      <c r="A193" t="inlineStr">
        <is>
          <t>Korte Singelstraat 21-3</t>
        </is>
      </c>
      <c r="B193" t="inlineStr">
        <is>
          <t>0125</t>
        </is>
      </c>
    </row>
    <row r="194">
      <c r="A194" t="inlineStr">
        <is>
          <t>Krabbendijkestraat 456</t>
        </is>
      </c>
      <c r="B194" t="inlineStr">
        <is>
          <t>0198</t>
        </is>
      </c>
    </row>
    <row r="195">
      <c r="A195" t="inlineStr">
        <is>
          <t xml:space="preserve">Kreekrug 1 </t>
        </is>
      </c>
      <c r="B195" t="inlineStr">
        <is>
          <t>0205</t>
        </is>
      </c>
    </row>
    <row r="196">
      <c r="A196" t="inlineStr">
        <is>
          <t>Kritostraat 54</t>
        </is>
      </c>
      <c r="B196" t="inlineStr">
        <is>
          <t>0389</t>
        </is>
      </c>
    </row>
    <row r="197">
      <c r="A197" t="inlineStr">
        <is>
          <t>Kruiningenstraat 152</t>
        </is>
      </c>
      <c r="B197" t="inlineStr">
        <is>
          <t>0206</t>
        </is>
      </c>
    </row>
    <row r="198">
      <c r="A198" t="inlineStr">
        <is>
          <t>Kruiningenstraat 185</t>
        </is>
      </c>
      <c r="B198" t="inlineStr">
        <is>
          <t>0360</t>
        </is>
      </c>
    </row>
    <row r="199">
      <c r="A199" t="inlineStr">
        <is>
          <t>Kruisweg 16</t>
        </is>
      </c>
      <c r="B199" t="inlineStr">
        <is>
          <t>0337</t>
        </is>
      </c>
    </row>
    <row r="200">
      <c r="A200" t="inlineStr">
        <is>
          <t>Kuipers-Rietbergpad 15</t>
        </is>
      </c>
      <c r="B200" t="inlineStr">
        <is>
          <t>0157</t>
        </is>
      </c>
    </row>
    <row r="201">
      <c r="A201" t="inlineStr">
        <is>
          <t xml:space="preserve">Kwekerslaan 7 </t>
        </is>
      </c>
      <c r="B201" t="inlineStr">
        <is>
          <t>0382</t>
        </is>
      </c>
    </row>
    <row r="202">
      <c r="A202" t="inlineStr">
        <is>
          <t>Kwikstaartweg 45</t>
        </is>
      </c>
      <c r="B202" t="inlineStr">
        <is>
          <t>0207</t>
        </is>
      </c>
    </row>
    <row r="203">
      <c r="A203" t="inlineStr">
        <is>
          <t>Laan op Zuid 949</t>
        </is>
      </c>
      <c r="B203" t="inlineStr">
        <is>
          <t>0365</t>
        </is>
      </c>
    </row>
    <row r="204">
      <c r="A204" t="inlineStr">
        <is>
          <t>Laan van Adrichem 12</t>
        </is>
      </c>
      <c r="B204" t="inlineStr">
        <is>
          <t>0209</t>
        </is>
      </c>
    </row>
    <row r="205">
      <c r="A205" t="inlineStr">
        <is>
          <t>Laan van Nieuw Blankenburg 278</t>
        </is>
      </c>
      <c r="B205" t="inlineStr">
        <is>
          <t>0090</t>
        </is>
      </c>
    </row>
    <row r="206">
      <c r="A206" t="inlineStr">
        <is>
          <t>Laan van Nieuw Blankenburg 328</t>
        </is>
      </c>
      <c r="B206" t="inlineStr">
        <is>
          <t>0185</t>
        </is>
      </c>
    </row>
    <row r="207">
      <c r="A207" t="inlineStr">
        <is>
          <t>Landsteinerhof 68</t>
        </is>
      </c>
      <c r="B207" t="inlineStr">
        <is>
          <t>0091</t>
        </is>
      </c>
    </row>
    <row r="208">
      <c r="A208" t="inlineStr">
        <is>
          <t>Lange Brink 3</t>
        </is>
      </c>
      <c r="B208" t="inlineStr">
        <is>
          <t>0092</t>
        </is>
      </c>
    </row>
    <row r="209">
      <c r="A209" t="inlineStr">
        <is>
          <t>Lange Broekweg 46</t>
        </is>
      </c>
      <c r="B209" t="inlineStr">
        <is>
          <t>0278</t>
        </is>
      </c>
    </row>
    <row r="210">
      <c r="A210" t="inlineStr">
        <is>
          <t>Lange kruisweg 12</t>
        </is>
      </c>
      <c r="B210" t="inlineStr">
        <is>
          <t>0028</t>
        </is>
      </c>
    </row>
    <row r="211">
      <c r="A211" t="inlineStr">
        <is>
          <t>Lavendelpad 6</t>
        </is>
      </c>
      <c r="B211" t="inlineStr">
        <is>
          <t>0385</t>
        </is>
      </c>
    </row>
    <row r="212">
      <c r="A212" t="inlineStr">
        <is>
          <t>Lekdijk 14</t>
        </is>
      </c>
      <c r="B212" t="inlineStr">
        <is>
          <t>0366</t>
        </is>
      </c>
    </row>
    <row r="213">
      <c r="A213" t="inlineStr">
        <is>
          <t>Liesveld 100</t>
        </is>
      </c>
      <c r="B213" t="inlineStr">
        <is>
          <t>0180</t>
        </is>
      </c>
    </row>
    <row r="214">
      <c r="A214" t="inlineStr">
        <is>
          <t>Loggerstraat 3</t>
        </is>
      </c>
      <c r="B214" t="inlineStr">
        <is>
          <t>0096</t>
        </is>
      </c>
    </row>
    <row r="215">
      <c r="A215" t="inlineStr">
        <is>
          <t>Lorentzstraat 73</t>
        </is>
      </c>
      <c r="B215" t="inlineStr">
        <is>
          <t>0210</t>
        </is>
      </c>
    </row>
    <row r="216">
      <c r="A216" t="inlineStr">
        <is>
          <t xml:space="preserve">Maasdijk 206 </t>
        </is>
      </c>
      <c r="B216" t="inlineStr">
        <is>
          <t>0211</t>
        </is>
      </c>
    </row>
    <row r="217">
      <c r="A217" t="inlineStr">
        <is>
          <t xml:space="preserve">Maasdijk 69 </t>
        </is>
      </c>
      <c r="B217" t="inlineStr">
        <is>
          <t>0015</t>
        </is>
      </c>
    </row>
    <row r="218">
      <c r="A218" t="inlineStr">
        <is>
          <t>Madeliefstraat 46c</t>
        </is>
      </c>
      <c r="B218" t="inlineStr">
        <is>
          <t>0029</t>
        </is>
      </c>
    </row>
    <row r="219">
      <c r="A219" t="inlineStr">
        <is>
          <t>Madeweg 25C</t>
        </is>
      </c>
      <c r="B219" t="inlineStr">
        <is>
          <t>0282</t>
        </is>
      </c>
    </row>
    <row r="220">
      <c r="A220" t="inlineStr">
        <is>
          <t>Madeweg 35A</t>
        </is>
      </c>
      <c r="B220" t="inlineStr">
        <is>
          <t>0283</t>
        </is>
      </c>
    </row>
    <row r="221">
      <c r="A221" t="inlineStr">
        <is>
          <t>Malzwin 34</t>
        </is>
      </c>
      <c r="B221" t="inlineStr">
        <is>
          <t>0182</t>
        </is>
      </c>
    </row>
    <row r="222">
      <c r="A222" t="inlineStr">
        <is>
          <t>Marathonlaan 26</t>
        </is>
      </c>
      <c r="B222" t="inlineStr">
        <is>
          <t>0118</t>
        </is>
      </c>
    </row>
    <row r="223">
      <c r="A223" t="inlineStr">
        <is>
          <t xml:space="preserve">Markt 5 </t>
        </is>
      </c>
      <c r="B223" t="inlineStr">
        <is>
          <t>0057</t>
        </is>
      </c>
    </row>
    <row r="224">
      <c r="A224" t="inlineStr">
        <is>
          <t>Marnixstraat 32</t>
        </is>
      </c>
      <c r="B224" t="inlineStr">
        <is>
          <t>0323</t>
        </is>
      </c>
    </row>
    <row r="225">
      <c r="A225" t="inlineStr">
        <is>
          <t>Mathenesserdijk 261-C03</t>
        </is>
      </c>
      <c r="B225" t="inlineStr">
        <is>
          <t>0184</t>
        </is>
      </c>
    </row>
    <row r="226">
      <c r="A226" t="inlineStr">
        <is>
          <t>Meester G. Groen van Prinsterlaan 313</t>
        </is>
      </c>
      <c r="B226" t="inlineStr">
        <is>
          <t>0018</t>
        </is>
      </c>
    </row>
    <row r="227">
      <c r="A227" t="inlineStr">
        <is>
          <t>Melis Stokezijde 94</t>
        </is>
      </c>
      <c r="B227" t="inlineStr">
        <is>
          <t>0098</t>
        </is>
      </c>
    </row>
    <row r="228">
      <c r="A228" t="inlineStr">
        <is>
          <t>Mendelssohnplein 10C</t>
        </is>
      </c>
      <c r="B228" t="inlineStr">
        <is>
          <t>0215</t>
        </is>
      </c>
    </row>
    <row r="229">
      <c r="A229" t="inlineStr">
        <is>
          <t>Mendelssohnplein 13D</t>
        </is>
      </c>
      <c r="B229" t="inlineStr">
        <is>
          <t>0214</t>
        </is>
      </c>
    </row>
    <row r="230">
      <c r="A230" t="inlineStr">
        <is>
          <t>Mendelssohnplein 46a</t>
        </is>
      </c>
      <c r="B230" t="inlineStr">
        <is>
          <t>0216</t>
        </is>
      </c>
    </row>
    <row r="231">
      <c r="A231" t="inlineStr">
        <is>
          <t>Messchaertplein 39</t>
        </is>
      </c>
      <c r="B231" t="inlineStr">
        <is>
          <t>0035</t>
        </is>
      </c>
    </row>
    <row r="232">
      <c r="A232" t="inlineStr">
        <is>
          <t>Messchaertplein 40</t>
        </is>
      </c>
      <c r="B232" t="inlineStr">
        <is>
          <t>0036</t>
        </is>
      </c>
    </row>
    <row r="233">
      <c r="A233" t="inlineStr">
        <is>
          <t>Messchaertplein 40</t>
        </is>
      </c>
      <c r="B233" t="inlineStr">
        <is>
          <t>0037</t>
        </is>
      </c>
    </row>
    <row r="234">
      <c r="A234" t="inlineStr">
        <is>
          <t>Middelrode 8</t>
        </is>
      </c>
      <c r="B234" t="inlineStr">
        <is>
          <t>0217</t>
        </is>
      </c>
    </row>
    <row r="235">
      <c r="A235" t="inlineStr">
        <is>
          <t>Middenbaan Noord 18A</t>
        </is>
      </c>
      <c r="B235" t="inlineStr">
        <is>
          <t>0251</t>
        </is>
      </c>
    </row>
    <row r="236">
      <c r="A236" t="inlineStr">
        <is>
          <t xml:space="preserve">Middenbaan Noord 18B </t>
        </is>
      </c>
      <c r="B236" t="inlineStr">
        <is>
          <t>0252</t>
        </is>
      </c>
    </row>
    <row r="237">
      <c r="A237" t="inlineStr">
        <is>
          <t>Middenbaan Noord 18C</t>
        </is>
      </c>
      <c r="B237" t="inlineStr">
        <is>
          <t>0253</t>
        </is>
      </c>
    </row>
    <row r="238">
      <c r="A238" t="inlineStr">
        <is>
          <t>Middenbaan Noord 20A</t>
        </is>
      </c>
      <c r="B238" t="inlineStr">
        <is>
          <t>0254</t>
        </is>
      </c>
    </row>
    <row r="239">
      <c r="A239" t="inlineStr">
        <is>
          <t>Middenbaan Noord 20B</t>
        </is>
      </c>
      <c r="B239" t="inlineStr">
        <is>
          <t>0255</t>
        </is>
      </c>
    </row>
    <row r="240">
      <c r="A240" t="inlineStr">
        <is>
          <t>Middenbaan Noord 20C</t>
        </is>
      </c>
      <c r="B240" t="inlineStr">
        <is>
          <t>0256</t>
        </is>
      </c>
    </row>
    <row r="241">
      <c r="A241" t="inlineStr">
        <is>
          <t>Middenbaan Noord 22A</t>
        </is>
      </c>
      <c r="B241" t="inlineStr">
        <is>
          <t>0257</t>
        </is>
      </c>
    </row>
    <row r="242">
      <c r="A242" t="inlineStr">
        <is>
          <t>Middenbaan Noord 22B</t>
        </is>
      </c>
      <c r="B242" t="inlineStr">
        <is>
          <t>0258</t>
        </is>
      </c>
    </row>
    <row r="243">
      <c r="A243" t="inlineStr">
        <is>
          <t xml:space="preserve">Middenbaan Noord 22C </t>
        </is>
      </c>
      <c r="B243" t="inlineStr">
        <is>
          <t>0259</t>
        </is>
      </c>
    </row>
    <row r="244">
      <c r="A244" t="inlineStr">
        <is>
          <t>Miltonstraat 55</t>
        </is>
      </c>
      <c r="B244" t="inlineStr">
        <is>
          <t>0219</t>
        </is>
      </c>
    </row>
    <row r="245">
      <c r="A245" t="inlineStr">
        <is>
          <t>Miltonstraat 85</t>
        </is>
      </c>
      <c r="B245" t="inlineStr">
        <is>
          <t>0220</t>
        </is>
      </c>
    </row>
    <row r="246">
      <c r="A246" t="inlineStr">
        <is>
          <t>Molendijk 4</t>
        </is>
      </c>
      <c r="B246" t="inlineStr">
        <is>
          <t>0076</t>
        </is>
      </c>
    </row>
    <row r="247">
      <c r="A247" t="inlineStr">
        <is>
          <t>Molenstraat 10</t>
        </is>
      </c>
      <c r="B247" t="inlineStr">
        <is>
          <t>0221</t>
        </is>
      </c>
    </row>
    <row r="248">
      <c r="A248" t="inlineStr">
        <is>
          <t>Molenstraat 23</t>
        </is>
      </c>
      <c r="B248" t="inlineStr">
        <is>
          <t>0222</t>
        </is>
      </c>
    </row>
    <row r="249">
      <c r="A249" t="inlineStr">
        <is>
          <t>Molenweg 135</t>
        </is>
      </c>
      <c r="B249" t="inlineStr">
        <is>
          <t>0100</t>
        </is>
      </c>
    </row>
    <row r="250">
      <c r="A250" t="inlineStr">
        <is>
          <t>Molenweg 3A</t>
        </is>
      </c>
      <c r="B250" t="inlineStr">
        <is>
          <t>0284</t>
        </is>
      </c>
    </row>
    <row r="251">
      <c r="A251" t="inlineStr">
        <is>
          <t>Molenweg 3B</t>
        </is>
      </c>
      <c r="B251" t="inlineStr">
        <is>
          <t>0335</t>
        </is>
      </c>
    </row>
    <row r="252">
      <c r="A252" t="inlineStr">
        <is>
          <t>Monseigneur W.M. Bekkerslaan 34</t>
        </is>
      </c>
      <c r="B252" t="inlineStr">
        <is>
          <t>0074</t>
        </is>
      </c>
    </row>
    <row r="253">
      <c r="A253" t="inlineStr">
        <is>
          <t>Monsterseweg 26A</t>
        </is>
      </c>
      <c r="B253" t="inlineStr">
        <is>
          <t>0358</t>
        </is>
      </c>
    </row>
    <row r="254">
      <c r="A254" t="inlineStr">
        <is>
          <t>Moureauveld 8</t>
        </is>
      </c>
      <c r="B254" t="inlineStr">
        <is>
          <t>0101</t>
        </is>
      </c>
    </row>
    <row r="255">
      <c r="A255" t="inlineStr">
        <is>
          <t>Mr. L.A. Kesperweg 31A</t>
        </is>
      </c>
      <c r="B255" t="inlineStr">
        <is>
          <t>0208</t>
        </is>
      </c>
    </row>
    <row r="256">
      <c r="A256" t="inlineStr">
        <is>
          <t>Mr. Troelstrastraat 11</t>
        </is>
      </c>
      <c r="B256" t="inlineStr">
        <is>
          <t>0213</t>
        </is>
      </c>
    </row>
    <row r="257">
      <c r="A257" t="inlineStr">
        <is>
          <t>Mr. Troelstrastraat 37</t>
        </is>
      </c>
      <c r="B257" t="inlineStr">
        <is>
          <t>0020</t>
        </is>
      </c>
    </row>
    <row r="258">
      <c r="A258" t="inlineStr">
        <is>
          <t xml:space="preserve">Narcissenstraat 23 </t>
        </is>
      </c>
      <c r="B258" t="inlineStr">
        <is>
          <t>0103</t>
        </is>
      </c>
    </row>
    <row r="259">
      <c r="A259" t="inlineStr">
        <is>
          <t>Narcissenstraat 37</t>
        </is>
      </c>
      <c r="B259" t="inlineStr">
        <is>
          <t>0104</t>
        </is>
      </c>
    </row>
    <row r="260">
      <c r="A260" t="inlineStr">
        <is>
          <t>Narcissenstraat 9</t>
        </is>
      </c>
      <c r="B260" t="inlineStr">
        <is>
          <t>0102</t>
        </is>
      </c>
    </row>
    <row r="261">
      <c r="A261" t="inlineStr">
        <is>
          <t>Nicolaas Beetsstraat 29</t>
        </is>
      </c>
      <c r="B261" t="inlineStr">
        <is>
          <t>0224</t>
        </is>
      </c>
    </row>
    <row r="262">
      <c r="A262" t="inlineStr">
        <is>
          <t>Nieuwe Zeedijk 1K 308</t>
        </is>
      </c>
      <c r="B262" t="inlineStr">
        <is>
          <t>0108</t>
        </is>
      </c>
    </row>
    <row r="263">
      <c r="A263" t="inlineStr">
        <is>
          <t>Nieuwenhoornstraat 46B</t>
        </is>
      </c>
      <c r="B263" t="inlineStr">
        <is>
          <t>0046</t>
        </is>
      </c>
    </row>
    <row r="264">
      <c r="A264" t="inlineStr">
        <is>
          <t>Nieuwkerstraat 78</t>
        </is>
      </c>
      <c r="B264" t="inlineStr">
        <is>
          <t>0166</t>
        </is>
      </c>
    </row>
    <row r="265">
      <c r="A265" t="inlineStr">
        <is>
          <t>Noordmolenstraat 36a</t>
        </is>
      </c>
      <c r="B265" t="inlineStr">
        <is>
          <t>0328</t>
        </is>
      </c>
    </row>
    <row r="266">
      <c r="A266" t="inlineStr">
        <is>
          <t>Noordmolenstraat 36b</t>
        </is>
      </c>
      <c r="B266" t="inlineStr">
        <is>
          <t>0329</t>
        </is>
      </c>
    </row>
    <row r="267">
      <c r="A267" t="inlineStr">
        <is>
          <t>Noordmolenstraat 36c</t>
        </is>
      </c>
      <c r="B267" t="inlineStr">
        <is>
          <t>0330</t>
        </is>
      </c>
    </row>
    <row r="268">
      <c r="A268" t="inlineStr">
        <is>
          <t>Nunspeetlaan 14</t>
        </is>
      </c>
      <c r="B268" t="inlineStr">
        <is>
          <t>0001</t>
        </is>
      </c>
    </row>
    <row r="269">
      <c r="A269" t="inlineStr">
        <is>
          <t>Nunspeetlaan 53</t>
        </is>
      </c>
      <c r="B269" t="inlineStr">
        <is>
          <t>0041</t>
        </is>
      </c>
    </row>
    <row r="270">
      <c r="A270" t="inlineStr">
        <is>
          <t>Ofwegen 1A</t>
        </is>
      </c>
      <c r="B270" t="inlineStr">
        <is>
          <t>0336</t>
        </is>
      </c>
    </row>
    <row r="271">
      <c r="A271" t="inlineStr">
        <is>
          <t>Oosterstraat 89</t>
        </is>
      </c>
      <c r="B271" t="inlineStr">
        <is>
          <t>0111</t>
        </is>
      </c>
    </row>
    <row r="272">
      <c r="A272" t="inlineStr">
        <is>
          <t xml:space="preserve">Oostlaan 3 </t>
        </is>
      </c>
      <c r="B272" t="inlineStr">
        <is>
          <t>0227</t>
        </is>
      </c>
    </row>
    <row r="273">
      <c r="A273" t="inlineStr">
        <is>
          <t>Opaal 9</t>
        </is>
      </c>
      <c r="B273" t="inlineStr">
        <is>
          <t>0110</t>
        </is>
      </c>
    </row>
    <row r="274">
      <c r="A274" t="inlineStr">
        <is>
          <t>Oranjestraat 63</t>
        </is>
      </c>
      <c r="B274" t="inlineStr">
        <is>
          <t>0369</t>
        </is>
      </c>
    </row>
    <row r="275">
      <c r="A275" t="inlineStr">
        <is>
          <t>Oudewefslaan 84</t>
        </is>
      </c>
      <c r="B275" t="inlineStr">
        <is>
          <t>0112</t>
        </is>
      </c>
    </row>
    <row r="276">
      <c r="A276" t="inlineStr">
        <is>
          <t>P.F. Catsstraat 8</t>
        </is>
      </c>
      <c r="B276" t="inlineStr">
        <is>
          <t>0218</t>
        </is>
      </c>
    </row>
    <row r="277">
      <c r="A277" t="inlineStr">
        <is>
          <t>Parallelweg 110A</t>
        </is>
      </c>
      <c r="B277" t="inlineStr">
        <is>
          <t>0042</t>
        </is>
      </c>
    </row>
    <row r="278">
      <c r="A278" t="inlineStr">
        <is>
          <t>Parallelweg 114C</t>
        </is>
      </c>
      <c r="B278" t="inlineStr">
        <is>
          <t>0380</t>
        </is>
      </c>
    </row>
    <row r="279">
      <c r="A279" t="inlineStr">
        <is>
          <t xml:space="preserve">Parallelweg 122A </t>
        </is>
      </c>
      <c r="B279" t="inlineStr">
        <is>
          <t>0228</t>
        </is>
      </c>
    </row>
    <row r="280">
      <c r="A280" t="inlineStr">
        <is>
          <t>Parallelweg 134B</t>
        </is>
      </c>
      <c r="B280" t="inlineStr">
        <is>
          <t>0381</t>
        </is>
      </c>
    </row>
    <row r="281">
      <c r="A281" t="inlineStr">
        <is>
          <t>Parallelweg 98B</t>
        </is>
      </c>
      <c r="B281" t="inlineStr">
        <is>
          <t>0229</t>
        </is>
      </c>
    </row>
    <row r="282">
      <c r="A282" t="inlineStr">
        <is>
          <t>Pasteursingel 61B</t>
        </is>
      </c>
      <c r="B282" t="inlineStr">
        <is>
          <t>0230</t>
        </is>
      </c>
    </row>
    <row r="283">
      <c r="A283" t="inlineStr">
        <is>
          <t>Pastoor Gillisstraat 81-A</t>
        </is>
      </c>
      <c r="B283" t="inlineStr">
        <is>
          <t>0344</t>
        </is>
      </c>
    </row>
    <row r="284">
      <c r="A284" t="inlineStr">
        <is>
          <t>Pastoriedijk 89</t>
        </is>
      </c>
      <c r="B284" t="inlineStr">
        <is>
          <t>0083</t>
        </is>
      </c>
    </row>
    <row r="285">
      <c r="A285" t="inlineStr">
        <is>
          <t>Patrijsstraat 39</t>
        </is>
      </c>
      <c r="B285" t="inlineStr">
        <is>
          <t>0081</t>
        </is>
      </c>
    </row>
    <row r="286">
      <c r="A286" t="inlineStr">
        <is>
          <t>Persoonsdam 176</t>
        </is>
      </c>
      <c r="B286" t="inlineStr">
        <is>
          <t>0260</t>
        </is>
      </c>
    </row>
    <row r="287">
      <c r="A287" t="inlineStr">
        <is>
          <t>Persoonsdam 177</t>
        </is>
      </c>
      <c r="B287" t="inlineStr">
        <is>
          <t>0261</t>
        </is>
      </c>
    </row>
    <row r="288">
      <c r="A288" t="inlineStr">
        <is>
          <t>Persoonsdam 178</t>
        </is>
      </c>
      <c r="B288" t="inlineStr">
        <is>
          <t>0262</t>
        </is>
      </c>
    </row>
    <row r="289">
      <c r="A289" t="inlineStr">
        <is>
          <t>Persoonsdam 179</t>
        </is>
      </c>
      <c r="B289" t="inlineStr">
        <is>
          <t>0263</t>
        </is>
      </c>
    </row>
    <row r="290">
      <c r="A290" t="inlineStr">
        <is>
          <t>Persoonsdam 180</t>
        </is>
      </c>
      <c r="B290" t="inlineStr">
        <is>
          <t>0264</t>
        </is>
      </c>
    </row>
    <row r="291">
      <c r="A291" t="inlineStr">
        <is>
          <t>Persoonsdam 181</t>
        </is>
      </c>
      <c r="B291" t="inlineStr">
        <is>
          <t>0265</t>
        </is>
      </c>
    </row>
    <row r="292">
      <c r="A292" t="inlineStr">
        <is>
          <t>Persoonsdam 182</t>
        </is>
      </c>
      <c r="B292" t="inlineStr">
        <is>
          <t>0266</t>
        </is>
      </c>
    </row>
    <row r="293">
      <c r="A293" t="inlineStr">
        <is>
          <t>Persoonsdam 194</t>
        </is>
      </c>
      <c r="B293" t="inlineStr">
        <is>
          <t>0267</t>
        </is>
      </c>
    </row>
    <row r="294">
      <c r="A294" t="inlineStr">
        <is>
          <t>Persoonsdam 196</t>
        </is>
      </c>
      <c r="B294" t="inlineStr">
        <is>
          <t>0349</t>
        </is>
      </c>
    </row>
    <row r="295">
      <c r="A295" t="inlineStr">
        <is>
          <t>Persoonsdam 198</t>
        </is>
      </c>
      <c r="B295" t="inlineStr">
        <is>
          <t>0268</t>
        </is>
      </c>
    </row>
    <row r="296">
      <c r="A296" t="inlineStr">
        <is>
          <t>Peursumseweg 119A</t>
        </is>
      </c>
      <c r="B296" t="inlineStr">
        <is>
          <t>0113</t>
        </is>
      </c>
    </row>
    <row r="297">
      <c r="A297" t="inlineStr">
        <is>
          <t>Piersonstraat 8</t>
        </is>
      </c>
      <c r="B297" t="inlineStr">
        <is>
          <t>0114</t>
        </is>
      </c>
    </row>
    <row r="298">
      <c r="A298" t="inlineStr">
        <is>
          <t>Plaats 10</t>
        </is>
      </c>
      <c r="B298" t="inlineStr">
        <is>
          <t>0120</t>
        </is>
      </c>
    </row>
    <row r="299">
      <c r="A299" t="inlineStr">
        <is>
          <t>Platostraat 80</t>
        </is>
      </c>
      <c r="B299" t="inlineStr">
        <is>
          <t>0231</t>
        </is>
      </c>
    </row>
    <row r="300">
      <c r="A300" t="inlineStr">
        <is>
          <t>Pleinweg 101 A</t>
        </is>
      </c>
      <c r="B300" t="inlineStr">
        <is>
          <t>0044</t>
        </is>
      </c>
    </row>
    <row r="301">
      <c r="A301" t="inlineStr">
        <is>
          <t>Pleinweg 101 B</t>
        </is>
      </c>
      <c r="B301" t="inlineStr">
        <is>
          <t>0045</t>
        </is>
      </c>
    </row>
    <row r="302">
      <c r="A302" t="inlineStr">
        <is>
          <t>Ploegstraat 2a</t>
        </is>
      </c>
      <c r="B302" t="inlineStr">
        <is>
          <t>0079</t>
        </is>
      </c>
    </row>
    <row r="303">
      <c r="A303" t="inlineStr">
        <is>
          <t>Poeldijkseweg 27</t>
        </is>
      </c>
      <c r="B303" t="inlineStr">
        <is>
          <t>0285</t>
        </is>
      </c>
    </row>
    <row r="304">
      <c r="A304" t="inlineStr">
        <is>
          <t>Poeldijkseweg 29</t>
        </is>
      </c>
      <c r="B304" t="inlineStr">
        <is>
          <t>0378</t>
        </is>
      </c>
    </row>
    <row r="305">
      <c r="A305" t="inlineStr">
        <is>
          <t>Poolsestraat 29A</t>
        </is>
      </c>
      <c r="B305" t="inlineStr">
        <is>
          <t>0386</t>
        </is>
      </c>
    </row>
    <row r="306">
      <c r="A306" t="inlineStr">
        <is>
          <t>Poppestraat 59</t>
        </is>
      </c>
      <c r="B306" t="inlineStr">
        <is>
          <t>0115</t>
        </is>
      </c>
    </row>
    <row r="307">
      <c r="A307" t="inlineStr">
        <is>
          <t>Prins Bernhardstraat 40</t>
        </is>
      </c>
      <c r="B307" t="inlineStr">
        <is>
          <t>0116</t>
        </is>
      </c>
    </row>
    <row r="308">
      <c r="A308" t="inlineStr">
        <is>
          <t>Prins Willemweg 2</t>
        </is>
      </c>
      <c r="B308" t="inlineStr">
        <is>
          <t>0287</t>
        </is>
      </c>
    </row>
    <row r="309">
      <c r="A309" t="inlineStr">
        <is>
          <t>Prinses Wilhelminastraat 9</t>
        </is>
      </c>
      <c r="B309" t="inlineStr">
        <is>
          <t>0106</t>
        </is>
      </c>
    </row>
    <row r="310">
      <c r="A310" t="inlineStr">
        <is>
          <t>Professor Kamerlingh Onneslaan 134 A</t>
        </is>
      </c>
      <c r="B310" t="inlineStr">
        <is>
          <t>0269</t>
        </is>
      </c>
    </row>
    <row r="311">
      <c r="A311" t="inlineStr">
        <is>
          <t>Professor Kamerlingh Onneslaan 134 B1</t>
        </is>
      </c>
      <c r="B311" t="inlineStr">
        <is>
          <t>0270</t>
        </is>
      </c>
    </row>
    <row r="312">
      <c r="A312" t="inlineStr">
        <is>
          <t>Professor Kamerlingh Onneslaan 134 B2</t>
        </is>
      </c>
      <c r="B312" t="inlineStr">
        <is>
          <t>0271</t>
        </is>
      </c>
    </row>
    <row r="313">
      <c r="A313" t="inlineStr">
        <is>
          <t>Professor Kamerlingh Onneslaan 134 B3</t>
        </is>
      </c>
      <c r="B313" t="inlineStr">
        <is>
          <t>0272</t>
        </is>
      </c>
    </row>
    <row r="314">
      <c r="A314" t="inlineStr">
        <is>
          <t>Professor Poelslaan 58C</t>
        </is>
      </c>
      <c r="B314" t="inlineStr">
        <is>
          <t>0340</t>
        </is>
      </c>
    </row>
    <row r="315">
      <c r="A315" t="inlineStr">
        <is>
          <t>Prunuslaan 36</t>
        </is>
      </c>
      <c r="B315" t="inlineStr">
        <is>
          <t>0117</t>
        </is>
      </c>
    </row>
    <row r="316">
      <c r="A316" t="inlineStr">
        <is>
          <t xml:space="preserve">Punter 22 34 </t>
        </is>
      </c>
      <c r="B316" t="inlineStr">
        <is>
          <t>0204</t>
        </is>
      </c>
    </row>
    <row r="317">
      <c r="A317" t="inlineStr">
        <is>
          <t>Putsebocht 136 B01</t>
        </is>
      </c>
      <c r="B317" t="inlineStr">
        <is>
          <t>0361</t>
        </is>
      </c>
    </row>
    <row r="318">
      <c r="A318" t="inlineStr">
        <is>
          <t>Putter 42</t>
        </is>
      </c>
      <c r="B318" t="inlineStr">
        <is>
          <t>0327</t>
        </is>
      </c>
    </row>
    <row r="319">
      <c r="A319" t="inlineStr">
        <is>
          <t>Rembrandtstraat 20B</t>
        </is>
      </c>
      <c r="B319" t="inlineStr">
        <is>
          <t>0233</t>
        </is>
      </c>
    </row>
    <row r="320">
      <c r="A320" t="inlineStr">
        <is>
          <t>Rietdijkstraat 56A</t>
        </is>
      </c>
      <c r="B320" t="inlineStr">
        <is>
          <t>0363</t>
        </is>
      </c>
    </row>
    <row r="321">
      <c r="A321" t="inlineStr">
        <is>
          <t>Rietdijkstraat 56B</t>
        </is>
      </c>
      <c r="B321" t="inlineStr">
        <is>
          <t>0364</t>
        </is>
      </c>
    </row>
    <row r="322">
      <c r="A322" t="inlineStr">
        <is>
          <t>Rijpstraat 24</t>
        </is>
      </c>
      <c r="B322" t="inlineStr">
        <is>
          <t>0377</t>
        </is>
      </c>
    </row>
    <row r="323">
      <c r="A323" t="inlineStr">
        <is>
          <t>Ringbaan Oost 327</t>
        </is>
      </c>
      <c r="B323" t="inlineStr">
        <is>
          <t>0005</t>
        </is>
      </c>
    </row>
    <row r="324">
      <c r="A324" t="inlineStr">
        <is>
          <t>Rivierdijk 793</t>
        </is>
      </c>
      <c r="B324" t="inlineStr">
        <is>
          <t>0226</t>
        </is>
      </c>
    </row>
    <row r="325">
      <c r="A325" t="inlineStr">
        <is>
          <t>Rivierdijk 794</t>
        </is>
      </c>
      <c r="B325" t="inlineStr">
        <is>
          <t>0121</t>
        </is>
      </c>
    </row>
    <row r="326">
      <c r="A326" t="inlineStr">
        <is>
          <t>Roerdompstraat 4B</t>
        </is>
      </c>
      <c r="B326" t="inlineStr">
        <is>
          <t>0390</t>
        </is>
      </c>
    </row>
    <row r="327">
      <c r="A327" t="inlineStr">
        <is>
          <t>Rooseveltlaan 185</t>
        </is>
      </c>
      <c r="B327" t="inlineStr">
        <is>
          <t>0179</t>
        </is>
      </c>
    </row>
    <row r="328">
      <c r="A328" t="inlineStr">
        <is>
          <t>Rotterdamsedijk 154B</t>
        </is>
      </c>
      <c r="B328" t="inlineStr">
        <is>
          <t>0234</t>
        </is>
      </c>
    </row>
    <row r="329">
      <c r="A329" t="inlineStr">
        <is>
          <t>Rubensplein 3 B</t>
        </is>
      </c>
      <c r="B329" t="inlineStr">
        <is>
          <t>0235</t>
        </is>
      </c>
    </row>
    <row r="330">
      <c r="A330" t="inlineStr">
        <is>
          <t>Rubensplein 6B3</t>
        </is>
      </c>
      <c r="B330" t="inlineStr">
        <is>
          <t>0154</t>
        </is>
      </c>
    </row>
    <row r="331">
      <c r="A331" t="inlineStr">
        <is>
          <t>Ruigenhoek 69</t>
        </is>
      </c>
      <c r="B331" t="inlineStr">
        <is>
          <t>0362</t>
        </is>
      </c>
    </row>
    <row r="332">
      <c r="A332" t="inlineStr">
        <is>
          <t xml:space="preserve">Schalkeroord 389 </t>
        </is>
      </c>
      <c r="B332" t="inlineStr">
        <is>
          <t>0236</t>
        </is>
      </c>
    </row>
    <row r="333">
      <c r="A333" t="inlineStr">
        <is>
          <t>Scheepjesbrug 433</t>
        </is>
      </c>
      <c r="B333" t="inlineStr">
        <is>
          <t>0144</t>
        </is>
      </c>
    </row>
    <row r="334">
      <c r="A334" t="inlineStr">
        <is>
          <t>Scheepjesbrug 814</t>
        </is>
      </c>
      <c r="B334" t="inlineStr">
        <is>
          <t>0197</t>
        </is>
      </c>
    </row>
    <row r="335">
      <c r="A335" t="inlineStr">
        <is>
          <t>Schere 238</t>
        </is>
      </c>
      <c r="B335" t="inlineStr">
        <is>
          <t>0237</t>
        </is>
      </c>
    </row>
    <row r="336">
      <c r="A336" t="inlineStr">
        <is>
          <t>Schoonegge 110</t>
        </is>
      </c>
      <c r="B336" t="inlineStr">
        <is>
          <t>0239</t>
        </is>
      </c>
    </row>
    <row r="337">
      <c r="A337" t="inlineStr">
        <is>
          <t>Schoonegge 84</t>
        </is>
      </c>
      <c r="B337" t="inlineStr">
        <is>
          <t>0240</t>
        </is>
      </c>
    </row>
    <row r="338">
      <c r="A338" t="inlineStr">
        <is>
          <t>Sint Josephstraat 61</t>
        </is>
      </c>
      <c r="B338" t="inlineStr">
        <is>
          <t>0050</t>
        </is>
      </c>
    </row>
    <row r="339">
      <c r="A339" t="inlineStr">
        <is>
          <t>Sint Liduinastraat 76 A</t>
        </is>
      </c>
      <c r="B339" t="inlineStr">
        <is>
          <t>0242</t>
        </is>
      </c>
    </row>
    <row r="340">
      <c r="A340" t="inlineStr">
        <is>
          <t>Sint Liduinastraat 80A</t>
        </is>
      </c>
      <c r="B340" t="inlineStr">
        <is>
          <t>0243</t>
        </is>
      </c>
    </row>
    <row r="341">
      <c r="A341" t="inlineStr">
        <is>
          <t>Sint Liduinastraat 80B</t>
        </is>
      </c>
      <c r="B341" t="inlineStr">
        <is>
          <t>0244</t>
        </is>
      </c>
    </row>
    <row r="342">
      <c r="A342" t="inlineStr">
        <is>
          <t>Sint-Annalandstraat 116</t>
        </is>
      </c>
      <c r="B342" t="inlineStr">
        <is>
          <t>0164</t>
        </is>
      </c>
    </row>
    <row r="343">
      <c r="A343" t="inlineStr">
        <is>
          <t>Snecanusstraat 12</t>
        </is>
      </c>
      <c r="B343" t="inlineStr">
        <is>
          <t>0123</t>
        </is>
      </c>
    </row>
    <row r="344">
      <c r="A344" t="inlineStr">
        <is>
          <t>Snoekenveen 242</t>
        </is>
      </c>
      <c r="B344" t="inlineStr">
        <is>
          <t>0124</t>
        </is>
      </c>
    </row>
    <row r="345">
      <c r="A345" t="inlineStr">
        <is>
          <t>Socratesstraat 168</t>
        </is>
      </c>
      <c r="B345" t="inlineStr">
        <is>
          <t>0246</t>
        </is>
      </c>
    </row>
    <row r="346">
      <c r="A346" t="inlineStr">
        <is>
          <t>Spoorsingel 154b</t>
        </is>
      </c>
      <c r="B346" t="inlineStr">
        <is>
          <t>0247</t>
        </is>
      </c>
    </row>
    <row r="347">
      <c r="A347" t="inlineStr">
        <is>
          <t>Stal 355</t>
        </is>
      </c>
      <c r="B347" t="inlineStr">
        <is>
          <t>0200</t>
        </is>
      </c>
    </row>
    <row r="348">
      <c r="A348" t="inlineStr">
        <is>
          <t>Steenen Dijck 87</t>
        </is>
      </c>
      <c r="B348" t="inlineStr">
        <is>
          <t>0099</t>
        </is>
      </c>
    </row>
    <row r="349">
      <c r="A349" t="inlineStr">
        <is>
          <t>Struitenweg 19b</t>
        </is>
      </c>
      <c r="B349" t="inlineStr">
        <is>
          <t>0127</t>
        </is>
      </c>
    </row>
    <row r="350">
      <c r="A350" t="inlineStr">
        <is>
          <t>Tesselschadelaan 45</t>
        </is>
      </c>
      <c r="B350" t="inlineStr">
        <is>
          <t>0128</t>
        </is>
      </c>
    </row>
    <row r="351">
      <c r="A351" t="inlineStr">
        <is>
          <t>Tholenstraat 114</t>
        </is>
      </c>
      <c r="B351" t="inlineStr">
        <is>
          <t>0249</t>
        </is>
      </c>
    </row>
    <row r="352">
      <c r="A352" t="inlineStr">
        <is>
          <t>Tradiro Lane 1</t>
        </is>
      </c>
      <c r="B352" t="inlineStr">
        <is>
          <t>T-001</t>
        </is>
      </c>
    </row>
    <row r="353">
      <c r="A353" t="inlineStr">
        <is>
          <t xml:space="preserve">Utrechtse straatweg 7 </t>
        </is>
      </c>
      <c r="B353" t="inlineStr">
        <is>
          <t>0129</t>
        </is>
      </c>
    </row>
    <row r="354">
      <c r="A354" t="inlineStr">
        <is>
          <t>Vaartweg 106C</t>
        </is>
      </c>
      <c r="B354" t="inlineStr">
        <is>
          <t>0021</t>
        </is>
      </c>
    </row>
    <row r="355">
      <c r="A355" t="inlineStr">
        <is>
          <t>Van Hoofsweg 4</t>
        </is>
      </c>
      <c r="B355" t="inlineStr">
        <is>
          <t>0355</t>
        </is>
      </c>
    </row>
    <row r="356">
      <c r="A356" t="inlineStr">
        <is>
          <t>Van Langedonckstraat 80</t>
        </is>
      </c>
      <c r="B356" t="inlineStr">
        <is>
          <t>0130</t>
        </is>
      </c>
    </row>
    <row r="357">
      <c r="A357" t="inlineStr">
        <is>
          <t>Van Maanenstraat 14A</t>
        </is>
      </c>
      <c r="B357" t="inlineStr">
        <is>
          <t>0089</t>
        </is>
      </c>
    </row>
    <row r="358">
      <c r="A358" t="inlineStr">
        <is>
          <t>Van Ruijsdaellaan 72 A</t>
        </is>
      </c>
      <c r="B358" t="inlineStr">
        <is>
          <t>0347</t>
        </is>
      </c>
    </row>
    <row r="359">
      <c r="A359" t="inlineStr">
        <is>
          <t>Van Ruijsdaellaan 72 B</t>
        </is>
      </c>
      <c r="B359" t="inlineStr">
        <is>
          <t>0351</t>
        </is>
      </c>
    </row>
    <row r="360">
      <c r="A360" t="inlineStr">
        <is>
          <t>Van Ruijsdaellaan 72 C</t>
        </is>
      </c>
      <c r="B360" t="inlineStr">
        <is>
          <t>0352</t>
        </is>
      </c>
    </row>
    <row r="361">
      <c r="A361" t="inlineStr">
        <is>
          <t>Van Swinderenstraat 21</t>
        </is>
      </c>
      <c r="B361" t="inlineStr">
        <is>
          <t>0324</t>
        </is>
      </c>
    </row>
    <row r="362">
      <c r="A362" t="inlineStr">
        <is>
          <t xml:space="preserve">Van der Werffstraat 370 </t>
        </is>
      </c>
      <c r="B362" t="inlineStr">
        <is>
          <t>0238</t>
        </is>
      </c>
    </row>
    <row r="363">
      <c r="A363" t="inlineStr">
        <is>
          <t>Venkelstraat 29A</t>
        </is>
      </c>
      <c r="B363" t="inlineStr">
        <is>
          <t>0137</t>
        </is>
      </c>
    </row>
    <row r="364">
      <c r="A364" t="inlineStr">
        <is>
          <t xml:space="preserve">Verschansing 21 </t>
        </is>
      </c>
      <c r="B364" t="inlineStr">
        <is>
          <t>0387</t>
        </is>
      </c>
    </row>
    <row r="365">
      <c r="A365" t="inlineStr">
        <is>
          <t>Vierambachtsstraat 32-B01</t>
        </is>
      </c>
      <c r="B365" t="inlineStr">
        <is>
          <t>0374</t>
        </is>
      </c>
    </row>
    <row r="366">
      <c r="A366" t="inlineStr">
        <is>
          <t>Visartstraat 31</t>
        </is>
      </c>
      <c r="B366" t="inlineStr">
        <is>
          <t>0158</t>
        </is>
      </c>
    </row>
    <row r="367">
      <c r="A367" t="inlineStr">
        <is>
          <t>Voeghoutenstraat 236</t>
        </is>
      </c>
      <c r="B367" t="inlineStr">
        <is>
          <t>0132</t>
        </is>
      </c>
    </row>
    <row r="368">
      <c r="A368" t="inlineStr">
        <is>
          <t>Vogelschorstraat 24</t>
        </is>
      </c>
      <c r="B368" t="inlineStr">
        <is>
          <t>0167</t>
        </is>
      </c>
    </row>
    <row r="369">
      <c r="A369" t="inlineStr">
        <is>
          <t>Voorstraat 10</t>
        </is>
      </c>
      <c r="B369" t="inlineStr">
        <is>
          <t>0077</t>
        </is>
      </c>
    </row>
    <row r="370">
      <c r="A370" t="inlineStr">
        <is>
          <t>Voorstraat 25</t>
        </is>
      </c>
      <c r="B370" t="inlineStr">
        <is>
          <t>0080</t>
        </is>
      </c>
    </row>
    <row r="371">
      <c r="A371" t="inlineStr">
        <is>
          <t>Waellandweg 12</t>
        </is>
      </c>
      <c r="B371" t="inlineStr">
        <is>
          <t>0286</t>
        </is>
      </c>
    </row>
    <row r="372">
      <c r="A372" t="inlineStr">
        <is>
          <t>Wagenstraat 70</t>
        </is>
      </c>
      <c r="B372" t="inlineStr">
        <is>
          <t>0348</t>
        </is>
      </c>
    </row>
    <row r="373">
      <c r="A373" t="inlineStr">
        <is>
          <t>Wedderweg 3</t>
        </is>
      </c>
      <c r="B373" t="inlineStr">
        <is>
          <t>0368</t>
        </is>
      </c>
    </row>
    <row r="374">
      <c r="A374" t="inlineStr">
        <is>
          <t>Westercluft 134</t>
        </is>
      </c>
      <c r="B374" t="inlineStr">
        <is>
          <t>0138</t>
        </is>
      </c>
    </row>
    <row r="375">
      <c r="A375" t="inlineStr">
        <is>
          <t>Westfrankelandsestraat 108</t>
        </is>
      </c>
      <c r="B375" t="inlineStr">
        <is>
          <t>0038</t>
        </is>
      </c>
    </row>
    <row r="376">
      <c r="A376" t="inlineStr">
        <is>
          <t>Wieldraaierstraat 39</t>
        </is>
      </c>
      <c r="B376" t="inlineStr">
        <is>
          <t>0105</t>
        </is>
      </c>
    </row>
    <row r="377">
      <c r="A377" t="inlineStr">
        <is>
          <t>Wijdstraat 13</t>
        </is>
      </c>
      <c r="B377" t="inlineStr">
        <is>
          <t>0171</t>
        </is>
      </c>
    </row>
    <row r="378">
      <c r="A378" t="inlineStr">
        <is>
          <t>Wijngaard 66</t>
        </is>
      </c>
      <c r="B378" t="inlineStr">
        <is>
          <t>0212</t>
        </is>
      </c>
    </row>
    <row r="379">
      <c r="A379" t="inlineStr">
        <is>
          <t xml:space="preserve">Wilgensingel 63 </t>
        </is>
      </c>
      <c r="B379" t="inlineStr">
        <is>
          <t>0139</t>
        </is>
      </c>
    </row>
    <row r="380">
      <c r="A380" t="inlineStr">
        <is>
          <t>Wilgenstraat 37</t>
        </is>
      </c>
      <c r="B380" t="inlineStr">
        <is>
          <t>0140</t>
        </is>
      </c>
    </row>
    <row r="381">
      <c r="A381" t="inlineStr">
        <is>
          <t>Wilhelmina Druckerstraat 68</t>
        </is>
      </c>
      <c r="B381" t="inlineStr">
        <is>
          <t>0142</t>
        </is>
      </c>
    </row>
    <row r="382">
      <c r="A382" t="inlineStr">
        <is>
          <t>Wilhelminastraat 8</t>
        </is>
      </c>
      <c r="B382" t="inlineStr">
        <is>
          <t>0141</t>
        </is>
      </c>
    </row>
    <row r="383">
      <c r="A383" t="inlineStr">
        <is>
          <t>Willem Lodewijkstraat 8</t>
        </is>
      </c>
      <c r="B383" t="inlineStr">
        <is>
          <t>0143</t>
        </is>
      </c>
    </row>
    <row r="384">
      <c r="A384" t="inlineStr">
        <is>
          <t>Willem de Rijkelaan 134</t>
        </is>
      </c>
      <c r="B384" t="inlineStr">
        <is>
          <t>0161</t>
        </is>
      </c>
    </row>
    <row r="385">
      <c r="A385" t="inlineStr">
        <is>
          <t xml:space="preserve">Woutersweg 20 </t>
        </is>
      </c>
      <c r="B385" t="inlineStr">
        <is>
          <t>0186</t>
        </is>
      </c>
    </row>
    <row r="386">
      <c r="A386" t="inlineStr">
        <is>
          <t>Wouwbaan 230</t>
        </is>
      </c>
      <c r="B386" t="inlineStr">
        <is>
          <t>0145</t>
        </is>
      </c>
    </row>
    <row r="387">
      <c r="A387" t="inlineStr">
        <is>
          <t>Zuidhoek 209D</t>
        </is>
      </c>
      <c r="B387" t="inlineStr">
        <is>
          <t>0232</t>
        </is>
      </c>
    </row>
    <row r="388">
      <c r="A388" t="inlineStr">
        <is>
          <t>Zwethkade Zuid 30A</t>
        </is>
      </c>
      <c r="B388" t="inlineStr">
        <is>
          <t>0376</t>
        </is>
      </c>
    </row>
    <row r="389">
      <c r="A389" t="inlineStr">
        <is>
          <t>Zwingel 8B</t>
        </is>
      </c>
      <c r="B389" t="inlineStr">
        <is>
          <t>0371</t>
        </is>
      </c>
    </row>
    <row r="390">
      <c r="A390" t="inlineStr">
        <is>
          <t>de Genestetstraat 32</t>
        </is>
      </c>
      <c r="B390" t="inlineStr">
        <is>
          <t>0169</t>
        </is>
      </c>
    </row>
    <row r="391">
      <c r="A391" t="inlineStr">
        <is>
          <t>van Scorelstraat 73</t>
        </is>
      </c>
      <c r="B391" t="inlineStr">
        <is>
          <t>0016</t>
        </is>
      </c>
    </row>
    <row r="392">
      <c r="A392" t="inlineStr">
        <is>
          <t>van der Waalsstraat 16</t>
        </is>
      </c>
      <c r="B392" t="inlineStr">
        <is>
          <t>0248</t>
        </is>
      </c>
    </row>
    <row r="393">
      <c r="A393" t="inlineStr">
        <is>
          <t>van der Waalsstraat 16</t>
        </is>
      </c>
      <c r="B393" t="inlineStr">
        <is>
          <t>248</t>
        </is>
      </c>
    </row>
    <row r="394">
      <c r="A394" t="inlineStr">
        <is>
          <t>van der Waalsstraat 70</t>
        </is>
      </c>
      <c r="B394" t="inlineStr">
        <is>
          <t>0250</t>
        </is>
      </c>
    </row>
    <row r="395">
      <c r="A395" t="inlineStr">
        <is>
          <t>van der Werffstraat 166</t>
        </is>
      </c>
      <c r="B395" t="inlineStr">
        <is>
          <t>0241</t>
        </is>
      </c>
    </row>
    <row r="396">
      <c r="A396" t="inlineStr">
        <is>
          <t>van der Werffstraat 240</t>
        </is>
      </c>
      <c r="B396" t="inlineStr">
        <is>
          <t>0245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B9B0C7E-E790-427E-9575-1307EBD6A432}"/>
</file>

<file path=customXml/itemProps2.xml><?xml version="1.0" encoding="utf-8"?>
<ds:datastoreItem xmlns:ds="http://schemas.openxmlformats.org/officeDocument/2006/customXml" ds:itemID="{477FFFB5-0084-4EE7-A971-AC39C5184CB4}"/>
</file>

<file path=customXml/itemProps3.xml><?xml version="1.0" encoding="utf-8"?>
<ds:datastoreItem xmlns:ds="http://schemas.openxmlformats.org/officeDocument/2006/customXml" ds:itemID="{1B9A50A9-DAF9-4921-9639-347762D3C3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2025-12-08T16:15:22Z</dcterms:created>
  <dcterms:modified xsi:type="dcterms:W3CDTF">2025-12-08T16:15:22Z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