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Eindafrekening Inputs/"/>
    </mc:Choice>
  </mc:AlternateContent>
  <xr:revisionPtr revIDLastSave="204" documentId="11_AD21B94DCC1D05312014D9037EFCCD609645B8E8" xr6:coauthVersionLast="47" xr6:coauthVersionMax="47" xr10:uidLastSave="{B11C157E-1BFD-904B-A024-1F282ED22136}"/>
  <bookViews>
    <workbookView xWindow="-2220" yWindow="-21100" windowWidth="38400" windowHeight="21100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O31" i="2"/>
  <c r="AM35" i="2"/>
  <c r="AM34" i="2"/>
  <c r="J12" i="2" l="1"/>
  <c r="AL191" i="2"/>
  <c r="AN191" i="2" s="1"/>
  <c r="AE191" i="2"/>
  <c r="AH191" i="2" s="1"/>
  <c r="R191" i="2"/>
  <c r="L191" i="2"/>
  <c r="N191" i="2" s="1"/>
  <c r="O191" i="2" s="1"/>
  <c r="J191" i="2"/>
  <c r="E191" i="2"/>
  <c r="D191" i="2"/>
  <c r="AL190" i="2"/>
  <c r="AN190" i="2" s="1"/>
  <c r="AE190" i="2"/>
  <c r="R190" i="2"/>
  <c r="L190" i="2"/>
  <c r="N190" i="2" s="1"/>
  <c r="O190" i="2" s="1"/>
  <c r="J190" i="2"/>
  <c r="E190" i="2"/>
  <c r="D190" i="2"/>
  <c r="AL189" i="2"/>
  <c r="AN189" i="2" s="1"/>
  <c r="AP189" i="2" s="1"/>
  <c r="AE189" i="2"/>
  <c r="R189" i="2"/>
  <c r="L189" i="2"/>
  <c r="N189" i="2" s="1"/>
  <c r="O189" i="2" s="1"/>
  <c r="J189" i="2"/>
  <c r="E189" i="2"/>
  <c r="D189" i="2"/>
  <c r="AL188" i="2"/>
  <c r="AN188" i="2" s="1"/>
  <c r="AP188" i="2" s="1"/>
  <c r="AE188" i="2"/>
  <c r="R188" i="2"/>
  <c r="L188" i="2"/>
  <c r="N188" i="2" s="1"/>
  <c r="O188" i="2" s="1"/>
  <c r="J188" i="2"/>
  <c r="E188" i="2"/>
  <c r="D188" i="2"/>
  <c r="AL187" i="2"/>
  <c r="AN187" i="2" s="1"/>
  <c r="AP187" i="2" s="1"/>
  <c r="AE187" i="2"/>
  <c r="R187" i="2"/>
  <c r="L187" i="2"/>
  <c r="N187" i="2" s="1"/>
  <c r="O187" i="2" s="1"/>
  <c r="J187" i="2"/>
  <c r="E187" i="2"/>
  <c r="D187" i="2"/>
  <c r="AL186" i="2"/>
  <c r="AN186" i="2" s="1"/>
  <c r="AP186" i="2" s="1"/>
  <c r="AE186" i="2"/>
  <c r="R186" i="2"/>
  <c r="L186" i="2"/>
  <c r="N186" i="2" s="1"/>
  <c r="O186" i="2" s="1"/>
  <c r="J186" i="2"/>
  <c r="E186" i="2"/>
  <c r="D186" i="2"/>
  <c r="AL185" i="2"/>
  <c r="AN185" i="2" s="1"/>
  <c r="AP185" i="2" s="1"/>
  <c r="AE185" i="2"/>
  <c r="R185" i="2"/>
  <c r="L185" i="2"/>
  <c r="N185" i="2" s="1"/>
  <c r="O185" i="2" s="1"/>
  <c r="J185" i="2"/>
  <c r="E185" i="2"/>
  <c r="D185" i="2"/>
  <c r="AL184" i="2"/>
  <c r="AN184" i="2" s="1"/>
  <c r="AP184" i="2" s="1"/>
  <c r="AE184" i="2"/>
  <c r="R184" i="2"/>
  <c r="L184" i="2"/>
  <c r="N184" i="2" s="1"/>
  <c r="O184" i="2" s="1"/>
  <c r="J184" i="2"/>
  <c r="E184" i="2"/>
  <c r="D184" i="2"/>
  <c r="AL183" i="2"/>
  <c r="AN183" i="2" s="1"/>
  <c r="AP183" i="2" s="1"/>
  <c r="AE183" i="2"/>
  <c r="R183" i="2"/>
  <c r="L183" i="2"/>
  <c r="N183" i="2" s="1"/>
  <c r="O183" i="2" s="1"/>
  <c r="J183" i="2"/>
  <c r="E183" i="2"/>
  <c r="D183" i="2"/>
  <c r="AL182" i="2"/>
  <c r="AN182" i="2" s="1"/>
  <c r="AP182" i="2" s="1"/>
  <c r="AE182" i="2"/>
  <c r="R182" i="2"/>
  <c r="L182" i="2"/>
  <c r="N182" i="2" s="1"/>
  <c r="O182" i="2" s="1"/>
  <c r="J182" i="2"/>
  <c r="E182" i="2"/>
  <c r="D182" i="2"/>
  <c r="AL181" i="2"/>
  <c r="AN181" i="2" s="1"/>
  <c r="AP181" i="2" s="1"/>
  <c r="AE181" i="2"/>
  <c r="R181" i="2"/>
  <c r="L181" i="2"/>
  <c r="N181" i="2" s="1"/>
  <c r="O181" i="2" s="1"/>
  <c r="J181" i="2"/>
  <c r="E181" i="2"/>
  <c r="D181" i="2"/>
  <c r="AL180" i="2"/>
  <c r="AN180" i="2" s="1"/>
  <c r="AP180" i="2" s="1"/>
  <c r="AE180" i="2"/>
  <c r="R180" i="2"/>
  <c r="L180" i="2"/>
  <c r="N180" i="2" s="1"/>
  <c r="O180" i="2" s="1"/>
  <c r="J180" i="2"/>
  <c r="E180" i="2"/>
  <c r="D180" i="2"/>
  <c r="AL179" i="2"/>
  <c r="AN179" i="2" s="1"/>
  <c r="AP179" i="2" s="1"/>
  <c r="AE179" i="2"/>
  <c r="R179" i="2"/>
  <c r="L179" i="2"/>
  <c r="N179" i="2" s="1"/>
  <c r="O179" i="2" s="1"/>
  <c r="J179" i="2"/>
  <c r="E179" i="2"/>
  <c r="D179" i="2"/>
  <c r="AL178" i="2"/>
  <c r="AN178" i="2" s="1"/>
  <c r="AP178" i="2" s="1"/>
  <c r="AE178" i="2"/>
  <c r="R178" i="2"/>
  <c r="L178" i="2"/>
  <c r="N178" i="2" s="1"/>
  <c r="O178" i="2" s="1"/>
  <c r="J178" i="2"/>
  <c r="E178" i="2"/>
  <c r="D178" i="2"/>
  <c r="AL177" i="2"/>
  <c r="AN177" i="2" s="1"/>
  <c r="AP177" i="2" s="1"/>
  <c r="AE177" i="2"/>
  <c r="R177" i="2"/>
  <c r="L177" i="2"/>
  <c r="N177" i="2" s="1"/>
  <c r="O177" i="2" s="1"/>
  <c r="J177" i="2"/>
  <c r="E177" i="2"/>
  <c r="D177" i="2"/>
  <c r="AL176" i="2"/>
  <c r="AN176" i="2" s="1"/>
  <c r="AE176" i="2"/>
  <c r="R176" i="2"/>
  <c r="L176" i="2"/>
  <c r="N176" i="2" s="1"/>
  <c r="O176" i="2" s="1"/>
  <c r="J176" i="2"/>
  <c r="E176" i="2"/>
  <c r="D176" i="2"/>
  <c r="AL175" i="2"/>
  <c r="AN175" i="2" s="1"/>
  <c r="AP175" i="2" s="1"/>
  <c r="AE175" i="2"/>
  <c r="R175" i="2"/>
  <c r="L175" i="2"/>
  <c r="N175" i="2" s="1"/>
  <c r="O175" i="2" s="1"/>
  <c r="J175" i="2"/>
  <c r="E175" i="2"/>
  <c r="D175" i="2"/>
  <c r="AL174" i="2"/>
  <c r="AN174" i="2" s="1"/>
  <c r="AP174" i="2" s="1"/>
  <c r="AE174" i="2"/>
  <c r="R174" i="2"/>
  <c r="L174" i="2"/>
  <c r="N174" i="2" s="1"/>
  <c r="O174" i="2" s="1"/>
  <c r="J174" i="2"/>
  <c r="E174" i="2"/>
  <c r="D174" i="2"/>
  <c r="AL173" i="2"/>
  <c r="AN173" i="2" s="1"/>
  <c r="AP173" i="2" s="1"/>
  <c r="AE173" i="2"/>
  <c r="R173" i="2"/>
  <c r="L173" i="2"/>
  <c r="N173" i="2" s="1"/>
  <c r="O173" i="2" s="1"/>
  <c r="J173" i="2"/>
  <c r="E173" i="2"/>
  <c r="D173" i="2"/>
  <c r="AL172" i="2"/>
  <c r="AN172" i="2" s="1"/>
  <c r="AP172" i="2" s="1"/>
  <c r="AE172" i="2"/>
  <c r="R172" i="2"/>
  <c r="L172" i="2"/>
  <c r="N172" i="2" s="1"/>
  <c r="O172" i="2" s="1"/>
  <c r="J172" i="2"/>
  <c r="E172" i="2"/>
  <c r="D172" i="2"/>
  <c r="AL171" i="2"/>
  <c r="AN171" i="2" s="1"/>
  <c r="AP171" i="2" s="1"/>
  <c r="AE171" i="2"/>
  <c r="R171" i="2"/>
  <c r="L171" i="2"/>
  <c r="N171" i="2" s="1"/>
  <c r="O171" i="2" s="1"/>
  <c r="J171" i="2"/>
  <c r="E171" i="2"/>
  <c r="D171" i="2"/>
  <c r="AL170" i="2"/>
  <c r="AN170" i="2" s="1"/>
  <c r="AP170" i="2" s="1"/>
  <c r="AE170" i="2"/>
  <c r="R170" i="2"/>
  <c r="L170" i="2"/>
  <c r="N170" i="2" s="1"/>
  <c r="O170" i="2" s="1"/>
  <c r="J170" i="2"/>
  <c r="E170" i="2"/>
  <c r="D170" i="2"/>
  <c r="AL169" i="2"/>
  <c r="AN169" i="2" s="1"/>
  <c r="AP169" i="2" s="1"/>
  <c r="AE169" i="2"/>
  <c r="R169" i="2"/>
  <c r="L169" i="2"/>
  <c r="N169" i="2" s="1"/>
  <c r="O169" i="2" s="1"/>
  <c r="J169" i="2"/>
  <c r="E169" i="2"/>
  <c r="D169" i="2"/>
  <c r="AL168" i="2"/>
  <c r="AN168" i="2" s="1"/>
  <c r="AP168" i="2" s="1"/>
  <c r="AE168" i="2"/>
  <c r="R168" i="2"/>
  <c r="L168" i="2"/>
  <c r="N168" i="2" s="1"/>
  <c r="O168" i="2" s="1"/>
  <c r="J168" i="2"/>
  <c r="E168" i="2"/>
  <c r="D168" i="2"/>
  <c r="AL167" i="2"/>
  <c r="AN167" i="2" s="1"/>
  <c r="AP167" i="2" s="1"/>
  <c r="AE167" i="2"/>
  <c r="R167" i="2"/>
  <c r="L167" i="2"/>
  <c r="N167" i="2" s="1"/>
  <c r="O167" i="2" s="1"/>
  <c r="J167" i="2"/>
  <c r="E167" i="2"/>
  <c r="D167" i="2"/>
  <c r="AL166" i="2"/>
  <c r="AN166" i="2" s="1"/>
  <c r="AP166" i="2" s="1"/>
  <c r="AE166" i="2"/>
  <c r="R166" i="2"/>
  <c r="L166" i="2"/>
  <c r="N166" i="2" s="1"/>
  <c r="O166" i="2" s="1"/>
  <c r="J166" i="2"/>
  <c r="E166" i="2"/>
  <c r="D166" i="2"/>
  <c r="AL165" i="2"/>
  <c r="AN165" i="2" s="1"/>
  <c r="AE165" i="2"/>
  <c r="R165" i="2"/>
  <c r="L165" i="2"/>
  <c r="N165" i="2" s="1"/>
  <c r="O165" i="2" s="1"/>
  <c r="J165" i="2"/>
  <c r="E165" i="2"/>
  <c r="D165" i="2"/>
  <c r="AL164" i="2"/>
  <c r="AN164" i="2" s="1"/>
  <c r="AP164" i="2" s="1"/>
  <c r="AE164" i="2"/>
  <c r="R164" i="2"/>
  <c r="L164" i="2"/>
  <c r="N164" i="2" s="1"/>
  <c r="O164" i="2" s="1"/>
  <c r="J164" i="2"/>
  <c r="E164" i="2"/>
  <c r="D164" i="2"/>
  <c r="AL163" i="2"/>
  <c r="AN163" i="2" s="1"/>
  <c r="AP163" i="2" s="1"/>
  <c r="AE163" i="2"/>
  <c r="AH163" i="2" s="1"/>
  <c r="R163" i="2"/>
  <c r="L163" i="2"/>
  <c r="N163" i="2" s="1"/>
  <c r="O163" i="2" s="1"/>
  <c r="J163" i="2"/>
  <c r="E163" i="2"/>
  <c r="D163" i="2"/>
  <c r="AL162" i="2"/>
  <c r="AN162" i="2" s="1"/>
  <c r="AE162" i="2"/>
  <c r="AH162" i="2" s="1"/>
  <c r="R162" i="2"/>
  <c r="L162" i="2"/>
  <c r="N162" i="2" s="1"/>
  <c r="O162" i="2" s="1"/>
  <c r="J162" i="2"/>
  <c r="E162" i="2"/>
  <c r="D162" i="2"/>
  <c r="AL161" i="2"/>
  <c r="AN161" i="2" s="1"/>
  <c r="AE161" i="2"/>
  <c r="AH161" i="2" s="1"/>
  <c r="R161" i="2"/>
  <c r="L161" i="2"/>
  <c r="N161" i="2" s="1"/>
  <c r="O161" i="2" s="1"/>
  <c r="J161" i="2"/>
  <c r="E161" i="2"/>
  <c r="D161" i="2"/>
  <c r="AL160" i="2"/>
  <c r="AN160" i="2" s="1"/>
  <c r="AP160" i="2" s="1"/>
  <c r="AE160" i="2"/>
  <c r="AH160" i="2" s="1"/>
  <c r="R160" i="2"/>
  <c r="L160" i="2"/>
  <c r="N160" i="2" s="1"/>
  <c r="O160" i="2" s="1"/>
  <c r="J160" i="2"/>
  <c r="E160" i="2"/>
  <c r="D160" i="2"/>
  <c r="AL159" i="2"/>
  <c r="AN159" i="2" s="1"/>
  <c r="AE159" i="2"/>
  <c r="AH159" i="2" s="1"/>
  <c r="R159" i="2"/>
  <c r="L159" i="2"/>
  <c r="N159" i="2" s="1"/>
  <c r="O159" i="2" s="1"/>
  <c r="J159" i="2"/>
  <c r="E159" i="2"/>
  <c r="D159" i="2"/>
  <c r="AL158" i="2"/>
  <c r="AN158" i="2" s="1"/>
  <c r="AP158" i="2" s="1"/>
  <c r="AQ158" i="2" s="1"/>
  <c r="AE158" i="2"/>
  <c r="AH158" i="2" s="1"/>
  <c r="R158" i="2"/>
  <c r="L158" i="2"/>
  <c r="N158" i="2" s="1"/>
  <c r="O158" i="2" s="1"/>
  <c r="J158" i="2"/>
  <c r="E158" i="2"/>
  <c r="D158" i="2"/>
  <c r="AL157" i="2"/>
  <c r="AN157" i="2" s="1"/>
  <c r="AE157" i="2"/>
  <c r="AH157" i="2" s="1"/>
  <c r="R157" i="2"/>
  <c r="L157" i="2"/>
  <c r="N157" i="2" s="1"/>
  <c r="O157" i="2" s="1"/>
  <c r="J157" i="2"/>
  <c r="E157" i="2"/>
  <c r="D157" i="2"/>
  <c r="AL156" i="2"/>
  <c r="AN156" i="2" s="1"/>
  <c r="AP156" i="2" s="1"/>
  <c r="AQ156" i="2" s="1"/>
  <c r="AE156" i="2"/>
  <c r="AH156" i="2" s="1"/>
  <c r="R156" i="2"/>
  <c r="L156" i="2"/>
  <c r="N156" i="2" s="1"/>
  <c r="O156" i="2" s="1"/>
  <c r="J156" i="2"/>
  <c r="E156" i="2"/>
  <c r="D156" i="2"/>
  <c r="AL155" i="2"/>
  <c r="AN155" i="2" s="1"/>
  <c r="AE155" i="2"/>
  <c r="AH155" i="2" s="1"/>
  <c r="R155" i="2"/>
  <c r="L155" i="2"/>
  <c r="N155" i="2" s="1"/>
  <c r="O155" i="2" s="1"/>
  <c r="J155" i="2"/>
  <c r="E155" i="2"/>
  <c r="D155" i="2"/>
  <c r="AL154" i="2"/>
  <c r="AN154" i="2" s="1"/>
  <c r="AP154" i="2" s="1"/>
  <c r="AQ154" i="2" s="1"/>
  <c r="AE154" i="2"/>
  <c r="AH154" i="2" s="1"/>
  <c r="R154" i="2"/>
  <c r="L154" i="2"/>
  <c r="N154" i="2" s="1"/>
  <c r="O154" i="2" s="1"/>
  <c r="J154" i="2"/>
  <c r="E154" i="2"/>
  <c r="D154" i="2"/>
  <c r="AL153" i="2"/>
  <c r="AN153" i="2" s="1"/>
  <c r="AE153" i="2"/>
  <c r="AH153" i="2" s="1"/>
  <c r="R153" i="2"/>
  <c r="L153" i="2"/>
  <c r="N153" i="2" s="1"/>
  <c r="O153" i="2" s="1"/>
  <c r="J153" i="2"/>
  <c r="E153" i="2"/>
  <c r="D153" i="2"/>
  <c r="AL152" i="2"/>
  <c r="AN152" i="2" s="1"/>
  <c r="AP152" i="2" s="1"/>
  <c r="AQ152" i="2" s="1"/>
  <c r="AE152" i="2"/>
  <c r="R152" i="2"/>
  <c r="L152" i="2"/>
  <c r="N152" i="2" s="1"/>
  <c r="O152" i="2" s="1"/>
  <c r="J152" i="2"/>
  <c r="E152" i="2"/>
  <c r="D152" i="2"/>
  <c r="AL151" i="2"/>
  <c r="AN151" i="2" s="1"/>
  <c r="AP151" i="2" s="1"/>
  <c r="AQ151" i="2" s="1"/>
  <c r="AE151" i="2"/>
  <c r="AH151" i="2" s="1"/>
  <c r="R151" i="2"/>
  <c r="L151" i="2"/>
  <c r="N151" i="2" s="1"/>
  <c r="O151" i="2" s="1"/>
  <c r="J151" i="2"/>
  <c r="E151" i="2"/>
  <c r="D151" i="2"/>
  <c r="AL150" i="2"/>
  <c r="AN150" i="2" s="1"/>
  <c r="AP150" i="2" s="1"/>
  <c r="AQ150" i="2" s="1"/>
  <c r="AE150" i="2"/>
  <c r="AH150" i="2" s="1"/>
  <c r="R150" i="2"/>
  <c r="L150" i="2"/>
  <c r="N150" i="2" s="1"/>
  <c r="O150" i="2" s="1"/>
  <c r="J150" i="2"/>
  <c r="E150" i="2"/>
  <c r="D150" i="2"/>
  <c r="AL149" i="2"/>
  <c r="AN149" i="2" s="1"/>
  <c r="AP149" i="2" s="1"/>
  <c r="AQ149" i="2" s="1"/>
  <c r="AE149" i="2"/>
  <c r="AH149" i="2" s="1"/>
  <c r="R149" i="2"/>
  <c r="L149" i="2"/>
  <c r="N149" i="2" s="1"/>
  <c r="O149" i="2" s="1"/>
  <c r="J149" i="2"/>
  <c r="E149" i="2"/>
  <c r="D149" i="2"/>
  <c r="AL148" i="2"/>
  <c r="AN148" i="2" s="1"/>
  <c r="AE148" i="2"/>
  <c r="AH148" i="2" s="1"/>
  <c r="R148" i="2"/>
  <c r="L148" i="2"/>
  <c r="N148" i="2" s="1"/>
  <c r="O148" i="2" s="1"/>
  <c r="J148" i="2"/>
  <c r="E148" i="2"/>
  <c r="D148" i="2"/>
  <c r="AL147" i="2"/>
  <c r="AN147" i="2" s="1"/>
  <c r="AE147" i="2"/>
  <c r="AH147" i="2" s="1"/>
  <c r="R147" i="2"/>
  <c r="L147" i="2"/>
  <c r="N147" i="2" s="1"/>
  <c r="O147" i="2" s="1"/>
  <c r="J147" i="2"/>
  <c r="E147" i="2"/>
  <c r="D147" i="2"/>
  <c r="AL146" i="2"/>
  <c r="AN146" i="2" s="1"/>
  <c r="AE146" i="2"/>
  <c r="AH146" i="2" s="1"/>
  <c r="R146" i="2"/>
  <c r="L146" i="2"/>
  <c r="N146" i="2" s="1"/>
  <c r="O146" i="2" s="1"/>
  <c r="J146" i="2"/>
  <c r="E146" i="2"/>
  <c r="D146" i="2"/>
  <c r="AL145" i="2"/>
  <c r="AN145" i="2" s="1"/>
  <c r="AE145" i="2"/>
  <c r="AH145" i="2" s="1"/>
  <c r="R145" i="2"/>
  <c r="L145" i="2"/>
  <c r="N145" i="2" s="1"/>
  <c r="O145" i="2" s="1"/>
  <c r="J145" i="2"/>
  <c r="E145" i="2"/>
  <c r="D145" i="2"/>
  <c r="AL144" i="2"/>
  <c r="AN144" i="2" s="1"/>
  <c r="AP144" i="2" s="1"/>
  <c r="AQ144" i="2" s="1"/>
  <c r="AE144" i="2"/>
  <c r="AH144" i="2" s="1"/>
  <c r="R144" i="2"/>
  <c r="L144" i="2"/>
  <c r="N144" i="2" s="1"/>
  <c r="O144" i="2" s="1"/>
  <c r="J144" i="2"/>
  <c r="E144" i="2"/>
  <c r="D144" i="2"/>
  <c r="AL143" i="2"/>
  <c r="AN143" i="2" s="1"/>
  <c r="AP143" i="2" s="1"/>
  <c r="AQ143" i="2" s="1"/>
  <c r="AE143" i="2"/>
  <c r="AH143" i="2" s="1"/>
  <c r="R143" i="2"/>
  <c r="L143" i="2"/>
  <c r="N143" i="2" s="1"/>
  <c r="O143" i="2" s="1"/>
  <c r="J143" i="2"/>
  <c r="E143" i="2"/>
  <c r="D143" i="2"/>
  <c r="AL142" i="2"/>
  <c r="AN142" i="2" s="1"/>
  <c r="AP142" i="2" s="1"/>
  <c r="AQ142" i="2" s="1"/>
  <c r="AE142" i="2"/>
  <c r="AG142" i="2" s="1"/>
  <c r="R142" i="2"/>
  <c r="L142" i="2"/>
  <c r="N142" i="2" s="1"/>
  <c r="O142" i="2" s="1"/>
  <c r="J142" i="2"/>
  <c r="E142" i="2"/>
  <c r="D142" i="2"/>
  <c r="AL141" i="2"/>
  <c r="AN141" i="2" s="1"/>
  <c r="AE141" i="2"/>
  <c r="AH141" i="2" s="1"/>
  <c r="R141" i="2"/>
  <c r="L141" i="2"/>
  <c r="N141" i="2" s="1"/>
  <c r="O141" i="2" s="1"/>
  <c r="J141" i="2"/>
  <c r="E141" i="2"/>
  <c r="D141" i="2"/>
  <c r="AL140" i="2"/>
  <c r="AN140" i="2" s="1"/>
  <c r="AP140" i="2" s="1"/>
  <c r="AQ140" i="2" s="1"/>
  <c r="AE140" i="2"/>
  <c r="AG140" i="2" s="1"/>
  <c r="R140" i="2"/>
  <c r="L140" i="2"/>
  <c r="N140" i="2" s="1"/>
  <c r="O140" i="2" s="1"/>
  <c r="J140" i="2"/>
  <c r="E140" i="2"/>
  <c r="D140" i="2"/>
  <c r="AL139" i="2"/>
  <c r="AN139" i="2" s="1"/>
  <c r="AE139" i="2"/>
  <c r="AH139" i="2" s="1"/>
  <c r="R139" i="2"/>
  <c r="L139" i="2"/>
  <c r="N139" i="2" s="1"/>
  <c r="O139" i="2" s="1"/>
  <c r="J139" i="2"/>
  <c r="E139" i="2"/>
  <c r="D139" i="2"/>
  <c r="AL138" i="2"/>
  <c r="AN138" i="2" s="1"/>
  <c r="AE138" i="2"/>
  <c r="AH138" i="2" s="1"/>
  <c r="R138" i="2"/>
  <c r="L138" i="2"/>
  <c r="N138" i="2" s="1"/>
  <c r="O138" i="2" s="1"/>
  <c r="J138" i="2"/>
  <c r="E138" i="2"/>
  <c r="D138" i="2"/>
  <c r="AL137" i="2"/>
  <c r="AN137" i="2" s="1"/>
  <c r="AE137" i="2"/>
  <c r="R137" i="2"/>
  <c r="L137" i="2"/>
  <c r="N137" i="2" s="1"/>
  <c r="O137" i="2" s="1"/>
  <c r="J137" i="2"/>
  <c r="E137" i="2"/>
  <c r="D137" i="2"/>
  <c r="AL136" i="2"/>
  <c r="AN136" i="2" s="1"/>
  <c r="AE136" i="2"/>
  <c r="AH136" i="2" s="1"/>
  <c r="R136" i="2"/>
  <c r="L136" i="2"/>
  <c r="N136" i="2" s="1"/>
  <c r="O136" i="2" s="1"/>
  <c r="J136" i="2"/>
  <c r="E136" i="2"/>
  <c r="D136" i="2"/>
  <c r="AL135" i="2"/>
  <c r="AN135" i="2" s="1"/>
  <c r="AP135" i="2" s="1"/>
  <c r="AE135" i="2"/>
  <c r="AH135" i="2" s="1"/>
  <c r="R135" i="2"/>
  <c r="L135" i="2"/>
  <c r="N135" i="2" s="1"/>
  <c r="O135" i="2" s="1"/>
  <c r="J135" i="2"/>
  <c r="E135" i="2"/>
  <c r="D135" i="2"/>
  <c r="AL134" i="2"/>
  <c r="AN134" i="2" s="1"/>
  <c r="AE134" i="2"/>
  <c r="AH134" i="2" s="1"/>
  <c r="R134" i="2"/>
  <c r="L134" i="2"/>
  <c r="N134" i="2" s="1"/>
  <c r="O134" i="2" s="1"/>
  <c r="J134" i="2"/>
  <c r="E134" i="2"/>
  <c r="D134" i="2"/>
  <c r="AL133" i="2"/>
  <c r="AN133" i="2" s="1"/>
  <c r="AE133" i="2"/>
  <c r="AH133" i="2" s="1"/>
  <c r="R133" i="2"/>
  <c r="L133" i="2"/>
  <c r="N133" i="2" s="1"/>
  <c r="O133" i="2" s="1"/>
  <c r="J133" i="2"/>
  <c r="E133" i="2"/>
  <c r="D133" i="2"/>
  <c r="AL132" i="2"/>
  <c r="AN132" i="2" s="1"/>
  <c r="AP132" i="2" s="1"/>
  <c r="AQ132" i="2" s="1"/>
  <c r="AE132" i="2"/>
  <c r="AH132" i="2" s="1"/>
  <c r="R132" i="2"/>
  <c r="L132" i="2"/>
  <c r="N132" i="2" s="1"/>
  <c r="O132" i="2" s="1"/>
  <c r="J132" i="2"/>
  <c r="E132" i="2"/>
  <c r="D132" i="2"/>
  <c r="AL131" i="2"/>
  <c r="AN131" i="2" s="1"/>
  <c r="AP131" i="2" s="1"/>
  <c r="AE131" i="2"/>
  <c r="AH131" i="2" s="1"/>
  <c r="R131" i="2"/>
  <c r="L131" i="2"/>
  <c r="N131" i="2" s="1"/>
  <c r="O131" i="2" s="1"/>
  <c r="J131" i="2"/>
  <c r="E131" i="2"/>
  <c r="D131" i="2"/>
  <c r="AL130" i="2"/>
  <c r="AN130" i="2" s="1"/>
  <c r="AP130" i="2" s="1"/>
  <c r="AE130" i="2"/>
  <c r="AG130" i="2" s="1"/>
  <c r="R130" i="2"/>
  <c r="L130" i="2"/>
  <c r="N130" i="2" s="1"/>
  <c r="O130" i="2" s="1"/>
  <c r="J130" i="2"/>
  <c r="E130" i="2"/>
  <c r="D130" i="2"/>
  <c r="AL129" i="2"/>
  <c r="AN129" i="2" s="1"/>
  <c r="AP129" i="2" s="1"/>
  <c r="AE129" i="2"/>
  <c r="AG129" i="2" s="1"/>
  <c r="R129" i="2"/>
  <c r="L129" i="2"/>
  <c r="N129" i="2" s="1"/>
  <c r="O129" i="2" s="1"/>
  <c r="J129" i="2"/>
  <c r="E129" i="2"/>
  <c r="D129" i="2"/>
  <c r="AL128" i="2"/>
  <c r="AN128" i="2" s="1"/>
  <c r="AP128" i="2" s="1"/>
  <c r="AQ128" i="2" s="1"/>
  <c r="AE128" i="2"/>
  <c r="AG128" i="2" s="1"/>
  <c r="R128" i="2"/>
  <c r="L128" i="2"/>
  <c r="N128" i="2" s="1"/>
  <c r="O128" i="2" s="1"/>
  <c r="J128" i="2"/>
  <c r="E128" i="2"/>
  <c r="D128" i="2"/>
  <c r="AL127" i="2"/>
  <c r="AN127" i="2" s="1"/>
  <c r="AE127" i="2"/>
  <c r="AH127" i="2" s="1"/>
  <c r="R127" i="2"/>
  <c r="L127" i="2"/>
  <c r="N127" i="2" s="1"/>
  <c r="O127" i="2" s="1"/>
  <c r="J127" i="2"/>
  <c r="E127" i="2"/>
  <c r="D127" i="2"/>
  <c r="AL126" i="2"/>
  <c r="AN126" i="2" s="1"/>
  <c r="AE126" i="2"/>
  <c r="R126" i="2"/>
  <c r="L126" i="2"/>
  <c r="N126" i="2" s="1"/>
  <c r="O126" i="2" s="1"/>
  <c r="J126" i="2"/>
  <c r="E126" i="2"/>
  <c r="D126" i="2"/>
  <c r="AL125" i="2"/>
  <c r="AN125" i="2" s="1"/>
  <c r="AE125" i="2"/>
  <c r="AH125" i="2" s="1"/>
  <c r="R125" i="2"/>
  <c r="L125" i="2"/>
  <c r="N125" i="2" s="1"/>
  <c r="O125" i="2" s="1"/>
  <c r="J125" i="2"/>
  <c r="E125" i="2"/>
  <c r="D125" i="2"/>
  <c r="AL124" i="2"/>
  <c r="AN124" i="2" s="1"/>
  <c r="AP124" i="2" s="1"/>
  <c r="AQ124" i="2" s="1"/>
  <c r="AE124" i="2"/>
  <c r="AH124" i="2" s="1"/>
  <c r="R124" i="2"/>
  <c r="L124" i="2"/>
  <c r="N124" i="2" s="1"/>
  <c r="O124" i="2" s="1"/>
  <c r="J124" i="2"/>
  <c r="E124" i="2"/>
  <c r="D124" i="2"/>
  <c r="AL123" i="2"/>
  <c r="AN123" i="2" s="1"/>
  <c r="AE123" i="2"/>
  <c r="AH123" i="2" s="1"/>
  <c r="R123" i="2"/>
  <c r="L123" i="2"/>
  <c r="N123" i="2" s="1"/>
  <c r="O123" i="2" s="1"/>
  <c r="J123" i="2"/>
  <c r="E123" i="2"/>
  <c r="D123" i="2"/>
  <c r="AL122" i="2"/>
  <c r="AN122" i="2" s="1"/>
  <c r="AP122" i="2" s="1"/>
  <c r="AQ122" i="2" s="1"/>
  <c r="AE122" i="2"/>
  <c r="AH122" i="2" s="1"/>
  <c r="R122" i="2"/>
  <c r="L122" i="2"/>
  <c r="N122" i="2" s="1"/>
  <c r="O122" i="2" s="1"/>
  <c r="J122" i="2"/>
  <c r="E122" i="2"/>
  <c r="D122" i="2"/>
  <c r="AL121" i="2"/>
  <c r="AN121" i="2" s="1"/>
  <c r="AE121" i="2"/>
  <c r="AH121" i="2" s="1"/>
  <c r="R121" i="2"/>
  <c r="L121" i="2"/>
  <c r="N121" i="2" s="1"/>
  <c r="O121" i="2" s="1"/>
  <c r="J121" i="2"/>
  <c r="E121" i="2"/>
  <c r="D121" i="2"/>
  <c r="AL120" i="2"/>
  <c r="AN120" i="2" s="1"/>
  <c r="AE120" i="2"/>
  <c r="AH120" i="2" s="1"/>
  <c r="R120" i="2"/>
  <c r="L120" i="2"/>
  <c r="N120" i="2" s="1"/>
  <c r="O120" i="2" s="1"/>
  <c r="J120" i="2"/>
  <c r="E120" i="2"/>
  <c r="D120" i="2"/>
  <c r="AL119" i="2"/>
  <c r="AN119" i="2" s="1"/>
  <c r="AP119" i="2" s="1"/>
  <c r="AE119" i="2"/>
  <c r="R119" i="2"/>
  <c r="L119" i="2"/>
  <c r="N119" i="2" s="1"/>
  <c r="O119" i="2" s="1"/>
  <c r="J119" i="2"/>
  <c r="E119" i="2"/>
  <c r="D119" i="2"/>
  <c r="AL118" i="2"/>
  <c r="AN118" i="2" s="1"/>
  <c r="AP118" i="2" s="1"/>
  <c r="AQ118" i="2" s="1"/>
  <c r="AE118" i="2"/>
  <c r="AH118" i="2" s="1"/>
  <c r="R118" i="2"/>
  <c r="L118" i="2"/>
  <c r="N118" i="2" s="1"/>
  <c r="O118" i="2" s="1"/>
  <c r="J118" i="2"/>
  <c r="E118" i="2"/>
  <c r="D118" i="2"/>
  <c r="AL117" i="2"/>
  <c r="AN117" i="2" s="1"/>
  <c r="AP117" i="2" s="1"/>
  <c r="AE117" i="2"/>
  <c r="AH117" i="2" s="1"/>
  <c r="R117" i="2"/>
  <c r="L117" i="2"/>
  <c r="N117" i="2" s="1"/>
  <c r="O117" i="2" s="1"/>
  <c r="J117" i="2"/>
  <c r="E117" i="2"/>
  <c r="D117" i="2"/>
  <c r="AL116" i="2"/>
  <c r="AN116" i="2" s="1"/>
  <c r="AE116" i="2"/>
  <c r="AG116" i="2" s="1"/>
  <c r="R116" i="2"/>
  <c r="L116" i="2"/>
  <c r="N116" i="2" s="1"/>
  <c r="O116" i="2" s="1"/>
  <c r="J116" i="2"/>
  <c r="E116" i="2"/>
  <c r="D116" i="2"/>
  <c r="AL115" i="2"/>
  <c r="AN115" i="2" s="1"/>
  <c r="AP115" i="2" s="1"/>
  <c r="AE115" i="2"/>
  <c r="AH115" i="2" s="1"/>
  <c r="R115" i="2"/>
  <c r="L115" i="2"/>
  <c r="N115" i="2" s="1"/>
  <c r="O115" i="2" s="1"/>
  <c r="J115" i="2"/>
  <c r="E115" i="2"/>
  <c r="D115" i="2"/>
  <c r="AL114" i="2"/>
  <c r="AN114" i="2" s="1"/>
  <c r="AP114" i="2" s="1"/>
  <c r="AQ114" i="2" s="1"/>
  <c r="AE114" i="2"/>
  <c r="AG114" i="2" s="1"/>
  <c r="R114" i="2"/>
  <c r="L114" i="2"/>
  <c r="N114" i="2" s="1"/>
  <c r="O114" i="2" s="1"/>
  <c r="J114" i="2"/>
  <c r="E114" i="2"/>
  <c r="D114" i="2"/>
  <c r="AL113" i="2"/>
  <c r="AN113" i="2" s="1"/>
  <c r="AE113" i="2"/>
  <c r="AH113" i="2" s="1"/>
  <c r="R113" i="2"/>
  <c r="L113" i="2"/>
  <c r="N113" i="2" s="1"/>
  <c r="O113" i="2" s="1"/>
  <c r="J113" i="2"/>
  <c r="E113" i="2"/>
  <c r="D113" i="2"/>
  <c r="AL112" i="2"/>
  <c r="AN112" i="2" s="1"/>
  <c r="AP112" i="2" s="1"/>
  <c r="AE112" i="2"/>
  <c r="AG112" i="2" s="1"/>
  <c r="R112" i="2"/>
  <c r="L112" i="2"/>
  <c r="N112" i="2" s="1"/>
  <c r="O112" i="2" s="1"/>
  <c r="J112" i="2"/>
  <c r="E112" i="2"/>
  <c r="D112" i="2"/>
  <c r="AL111" i="2"/>
  <c r="AN111" i="2" s="1"/>
  <c r="AP111" i="2" s="1"/>
  <c r="AQ111" i="2" s="1"/>
  <c r="AE111" i="2"/>
  <c r="AH111" i="2" s="1"/>
  <c r="R111" i="2"/>
  <c r="L111" i="2"/>
  <c r="N111" i="2" s="1"/>
  <c r="O111" i="2" s="1"/>
  <c r="J111" i="2"/>
  <c r="E111" i="2"/>
  <c r="D111" i="2"/>
  <c r="AL110" i="2"/>
  <c r="AN110" i="2" s="1"/>
  <c r="AE110" i="2"/>
  <c r="AG110" i="2" s="1"/>
  <c r="R110" i="2"/>
  <c r="L110" i="2"/>
  <c r="N110" i="2" s="1"/>
  <c r="O110" i="2" s="1"/>
  <c r="J110" i="2"/>
  <c r="E110" i="2"/>
  <c r="D110" i="2"/>
  <c r="AL109" i="2"/>
  <c r="AN109" i="2" s="1"/>
  <c r="AE109" i="2"/>
  <c r="AH109" i="2" s="1"/>
  <c r="R109" i="2"/>
  <c r="L109" i="2"/>
  <c r="N109" i="2" s="1"/>
  <c r="O109" i="2" s="1"/>
  <c r="J109" i="2"/>
  <c r="E109" i="2"/>
  <c r="D109" i="2"/>
  <c r="AL108" i="2"/>
  <c r="AN108" i="2" s="1"/>
  <c r="AE108" i="2"/>
  <c r="AG108" i="2" s="1"/>
  <c r="R108" i="2"/>
  <c r="L108" i="2"/>
  <c r="N108" i="2" s="1"/>
  <c r="O108" i="2" s="1"/>
  <c r="J108" i="2"/>
  <c r="E108" i="2"/>
  <c r="D108" i="2"/>
  <c r="AL107" i="2"/>
  <c r="AN107" i="2" s="1"/>
  <c r="AP107" i="2" s="1"/>
  <c r="AE107" i="2"/>
  <c r="AH107" i="2" s="1"/>
  <c r="R107" i="2"/>
  <c r="L107" i="2"/>
  <c r="N107" i="2" s="1"/>
  <c r="O107" i="2" s="1"/>
  <c r="J107" i="2"/>
  <c r="E107" i="2"/>
  <c r="D107" i="2"/>
  <c r="AL106" i="2"/>
  <c r="AN106" i="2" s="1"/>
  <c r="AE106" i="2"/>
  <c r="AH106" i="2" s="1"/>
  <c r="R106" i="2"/>
  <c r="L106" i="2"/>
  <c r="N106" i="2" s="1"/>
  <c r="O106" i="2" s="1"/>
  <c r="J106" i="2"/>
  <c r="E106" i="2"/>
  <c r="D106" i="2"/>
  <c r="AL105" i="2"/>
  <c r="AN105" i="2" s="1"/>
  <c r="AE105" i="2"/>
  <c r="AG105" i="2" s="1"/>
  <c r="R105" i="2"/>
  <c r="L105" i="2"/>
  <c r="N105" i="2" s="1"/>
  <c r="O105" i="2" s="1"/>
  <c r="J105" i="2"/>
  <c r="E105" i="2"/>
  <c r="D105" i="2"/>
  <c r="AL104" i="2"/>
  <c r="AN104" i="2" s="1"/>
  <c r="AE104" i="2"/>
  <c r="AH104" i="2" s="1"/>
  <c r="R104" i="2"/>
  <c r="L104" i="2"/>
  <c r="N104" i="2" s="1"/>
  <c r="O104" i="2" s="1"/>
  <c r="J104" i="2"/>
  <c r="E104" i="2"/>
  <c r="D104" i="2"/>
  <c r="AL103" i="2"/>
  <c r="AN103" i="2" s="1"/>
  <c r="AE103" i="2"/>
  <c r="R103" i="2"/>
  <c r="L103" i="2"/>
  <c r="N103" i="2" s="1"/>
  <c r="O103" i="2" s="1"/>
  <c r="J103" i="2"/>
  <c r="E103" i="2"/>
  <c r="D103" i="2"/>
  <c r="AL102" i="2"/>
  <c r="AN102" i="2" s="1"/>
  <c r="AE102" i="2"/>
  <c r="AH102" i="2" s="1"/>
  <c r="R102" i="2"/>
  <c r="L102" i="2"/>
  <c r="N102" i="2" s="1"/>
  <c r="O102" i="2" s="1"/>
  <c r="J102" i="2"/>
  <c r="E102" i="2"/>
  <c r="D102" i="2"/>
  <c r="AL101" i="2"/>
  <c r="AN101" i="2" s="1"/>
  <c r="AP101" i="2" s="1"/>
  <c r="AE101" i="2"/>
  <c r="AH101" i="2" s="1"/>
  <c r="R101" i="2"/>
  <c r="L101" i="2"/>
  <c r="N101" i="2" s="1"/>
  <c r="O101" i="2" s="1"/>
  <c r="J101" i="2"/>
  <c r="E101" i="2"/>
  <c r="D101" i="2"/>
  <c r="AL100" i="2"/>
  <c r="AN100" i="2" s="1"/>
  <c r="AE100" i="2"/>
  <c r="AH100" i="2" s="1"/>
  <c r="R100" i="2"/>
  <c r="L100" i="2"/>
  <c r="N100" i="2" s="1"/>
  <c r="O100" i="2" s="1"/>
  <c r="J100" i="2"/>
  <c r="E100" i="2"/>
  <c r="D100" i="2"/>
  <c r="AL99" i="2"/>
  <c r="AN99" i="2" s="1"/>
  <c r="AE99" i="2"/>
  <c r="AG99" i="2" s="1"/>
  <c r="R99" i="2"/>
  <c r="L99" i="2"/>
  <c r="N99" i="2" s="1"/>
  <c r="O99" i="2" s="1"/>
  <c r="J99" i="2"/>
  <c r="E99" i="2"/>
  <c r="D99" i="2"/>
  <c r="AL98" i="2"/>
  <c r="AN98" i="2" s="1"/>
  <c r="AP98" i="2" s="1"/>
  <c r="AE98" i="2"/>
  <c r="AG98" i="2" s="1"/>
  <c r="R98" i="2"/>
  <c r="L98" i="2"/>
  <c r="N98" i="2" s="1"/>
  <c r="O98" i="2" s="1"/>
  <c r="J98" i="2"/>
  <c r="E98" i="2"/>
  <c r="D98" i="2"/>
  <c r="AL97" i="2"/>
  <c r="AN97" i="2" s="1"/>
  <c r="AE97" i="2"/>
  <c r="AH97" i="2" s="1"/>
  <c r="R97" i="2"/>
  <c r="L97" i="2"/>
  <c r="N97" i="2" s="1"/>
  <c r="O97" i="2" s="1"/>
  <c r="J97" i="2"/>
  <c r="E97" i="2"/>
  <c r="D97" i="2"/>
  <c r="AL96" i="2"/>
  <c r="AN96" i="2" s="1"/>
  <c r="AE96" i="2"/>
  <c r="AH96" i="2" s="1"/>
  <c r="R96" i="2"/>
  <c r="L96" i="2"/>
  <c r="N96" i="2" s="1"/>
  <c r="O96" i="2" s="1"/>
  <c r="J96" i="2"/>
  <c r="E96" i="2"/>
  <c r="D96" i="2"/>
  <c r="AL95" i="2"/>
  <c r="AN95" i="2" s="1"/>
  <c r="AP95" i="2" s="1"/>
  <c r="AE95" i="2"/>
  <c r="AG95" i="2" s="1"/>
  <c r="R95" i="2"/>
  <c r="L95" i="2"/>
  <c r="N95" i="2" s="1"/>
  <c r="O95" i="2" s="1"/>
  <c r="J95" i="2"/>
  <c r="E95" i="2"/>
  <c r="D95" i="2"/>
  <c r="AL94" i="2"/>
  <c r="AN94" i="2" s="1"/>
  <c r="AE94" i="2"/>
  <c r="AH94" i="2" s="1"/>
  <c r="R94" i="2"/>
  <c r="L94" i="2"/>
  <c r="N94" i="2" s="1"/>
  <c r="O94" i="2" s="1"/>
  <c r="J94" i="2"/>
  <c r="E94" i="2"/>
  <c r="D94" i="2"/>
  <c r="AL93" i="2"/>
  <c r="AN93" i="2" s="1"/>
  <c r="AE93" i="2"/>
  <c r="AH93" i="2" s="1"/>
  <c r="R93" i="2"/>
  <c r="L93" i="2"/>
  <c r="N93" i="2" s="1"/>
  <c r="O93" i="2" s="1"/>
  <c r="J93" i="2"/>
  <c r="E93" i="2"/>
  <c r="D93" i="2"/>
  <c r="AL92" i="2"/>
  <c r="AN92" i="2" s="1"/>
  <c r="AE92" i="2"/>
  <c r="AG92" i="2" s="1"/>
  <c r="R92" i="2"/>
  <c r="L92" i="2"/>
  <c r="N92" i="2" s="1"/>
  <c r="O92" i="2" s="1"/>
  <c r="J92" i="2"/>
  <c r="E92" i="2"/>
  <c r="D92" i="2"/>
  <c r="AL91" i="2"/>
  <c r="AN91" i="2" s="1"/>
  <c r="AE91" i="2"/>
  <c r="AH91" i="2" s="1"/>
  <c r="R91" i="2"/>
  <c r="L91" i="2"/>
  <c r="N91" i="2" s="1"/>
  <c r="O91" i="2" s="1"/>
  <c r="J91" i="2"/>
  <c r="E91" i="2"/>
  <c r="D91" i="2"/>
  <c r="AL90" i="2"/>
  <c r="AN90" i="2" s="1"/>
  <c r="AE90" i="2"/>
  <c r="AG90" i="2" s="1"/>
  <c r="R90" i="2"/>
  <c r="L90" i="2"/>
  <c r="N90" i="2" s="1"/>
  <c r="O90" i="2" s="1"/>
  <c r="J90" i="2"/>
  <c r="E90" i="2"/>
  <c r="D90" i="2"/>
  <c r="AL89" i="2"/>
  <c r="AN89" i="2" s="1"/>
  <c r="AE89" i="2"/>
  <c r="AH89" i="2" s="1"/>
  <c r="R89" i="2"/>
  <c r="L89" i="2"/>
  <c r="N89" i="2" s="1"/>
  <c r="O89" i="2" s="1"/>
  <c r="J89" i="2"/>
  <c r="E89" i="2"/>
  <c r="D89" i="2"/>
  <c r="AL88" i="2"/>
  <c r="AN88" i="2" s="1"/>
  <c r="AP88" i="2" s="1"/>
  <c r="AE88" i="2"/>
  <c r="R88" i="2"/>
  <c r="L88" i="2"/>
  <c r="N88" i="2" s="1"/>
  <c r="O88" i="2" s="1"/>
  <c r="J88" i="2"/>
  <c r="E88" i="2"/>
  <c r="D88" i="2"/>
  <c r="AL87" i="2"/>
  <c r="AN87" i="2" s="1"/>
  <c r="AE87" i="2"/>
  <c r="AH87" i="2" s="1"/>
  <c r="R87" i="2"/>
  <c r="L87" i="2"/>
  <c r="N87" i="2" s="1"/>
  <c r="O87" i="2" s="1"/>
  <c r="J87" i="2"/>
  <c r="E87" i="2"/>
  <c r="D87" i="2"/>
  <c r="AL86" i="2"/>
  <c r="AN86" i="2" s="1"/>
  <c r="AE86" i="2"/>
  <c r="AH86" i="2" s="1"/>
  <c r="R86" i="2"/>
  <c r="L86" i="2"/>
  <c r="N86" i="2" s="1"/>
  <c r="O86" i="2" s="1"/>
  <c r="J86" i="2"/>
  <c r="E86" i="2"/>
  <c r="D86" i="2"/>
  <c r="AL85" i="2"/>
  <c r="AN85" i="2" s="1"/>
  <c r="AE85" i="2"/>
  <c r="AG85" i="2" s="1"/>
  <c r="R85" i="2"/>
  <c r="L85" i="2"/>
  <c r="N85" i="2" s="1"/>
  <c r="O85" i="2" s="1"/>
  <c r="J85" i="2"/>
  <c r="E85" i="2"/>
  <c r="D85" i="2"/>
  <c r="AL84" i="2"/>
  <c r="AN84" i="2" s="1"/>
  <c r="AP84" i="2" s="1"/>
  <c r="AE84" i="2"/>
  <c r="AH84" i="2" s="1"/>
  <c r="R84" i="2"/>
  <c r="L84" i="2"/>
  <c r="N84" i="2" s="1"/>
  <c r="O84" i="2" s="1"/>
  <c r="J84" i="2"/>
  <c r="E84" i="2"/>
  <c r="D84" i="2"/>
  <c r="AL83" i="2"/>
  <c r="AN83" i="2" s="1"/>
  <c r="AE83" i="2"/>
  <c r="AH83" i="2" s="1"/>
  <c r="R83" i="2"/>
  <c r="L83" i="2"/>
  <c r="N83" i="2" s="1"/>
  <c r="O83" i="2" s="1"/>
  <c r="J83" i="2"/>
  <c r="E83" i="2"/>
  <c r="D83" i="2"/>
  <c r="AL82" i="2"/>
  <c r="AN82" i="2" s="1"/>
  <c r="AE82" i="2"/>
  <c r="AH82" i="2" s="1"/>
  <c r="R82" i="2"/>
  <c r="L82" i="2"/>
  <c r="N82" i="2" s="1"/>
  <c r="O82" i="2" s="1"/>
  <c r="J82" i="2"/>
  <c r="E82" i="2"/>
  <c r="D82" i="2"/>
  <c r="AL81" i="2"/>
  <c r="AN81" i="2" s="1"/>
  <c r="AE81" i="2"/>
  <c r="AH81" i="2" s="1"/>
  <c r="R81" i="2"/>
  <c r="L81" i="2"/>
  <c r="N81" i="2" s="1"/>
  <c r="O81" i="2" s="1"/>
  <c r="J81" i="2"/>
  <c r="E81" i="2"/>
  <c r="D81" i="2"/>
  <c r="AL80" i="2"/>
  <c r="AN80" i="2" s="1"/>
  <c r="AE80" i="2"/>
  <c r="AH80" i="2" s="1"/>
  <c r="R80" i="2"/>
  <c r="L80" i="2"/>
  <c r="N80" i="2" s="1"/>
  <c r="O80" i="2" s="1"/>
  <c r="J80" i="2"/>
  <c r="E80" i="2"/>
  <c r="D80" i="2"/>
  <c r="AL79" i="2"/>
  <c r="AN79" i="2" s="1"/>
  <c r="AE79" i="2"/>
  <c r="AH79" i="2" s="1"/>
  <c r="R79" i="2"/>
  <c r="L79" i="2"/>
  <c r="N79" i="2" s="1"/>
  <c r="O79" i="2" s="1"/>
  <c r="J79" i="2"/>
  <c r="E79" i="2"/>
  <c r="D79" i="2"/>
  <c r="AL78" i="2"/>
  <c r="AN78" i="2" s="1"/>
  <c r="AE78" i="2"/>
  <c r="AH78" i="2" s="1"/>
  <c r="R78" i="2"/>
  <c r="L78" i="2"/>
  <c r="N78" i="2" s="1"/>
  <c r="O78" i="2" s="1"/>
  <c r="J78" i="2"/>
  <c r="E78" i="2"/>
  <c r="D78" i="2"/>
  <c r="AL77" i="2"/>
  <c r="AN77" i="2" s="1"/>
  <c r="AE77" i="2"/>
  <c r="AG77" i="2" s="1"/>
  <c r="R77" i="2"/>
  <c r="L77" i="2"/>
  <c r="N77" i="2" s="1"/>
  <c r="O77" i="2" s="1"/>
  <c r="J77" i="2"/>
  <c r="E77" i="2"/>
  <c r="D77" i="2"/>
  <c r="AL76" i="2"/>
  <c r="AN76" i="2" s="1"/>
  <c r="AE76" i="2"/>
  <c r="AG76" i="2" s="1"/>
  <c r="R76" i="2"/>
  <c r="L76" i="2"/>
  <c r="N76" i="2" s="1"/>
  <c r="O76" i="2" s="1"/>
  <c r="J76" i="2"/>
  <c r="E76" i="2"/>
  <c r="D76" i="2"/>
  <c r="AL75" i="2"/>
  <c r="AN75" i="2" s="1"/>
  <c r="AE75" i="2"/>
  <c r="AH75" i="2" s="1"/>
  <c r="R75" i="2"/>
  <c r="L75" i="2"/>
  <c r="N75" i="2" s="1"/>
  <c r="O75" i="2" s="1"/>
  <c r="J75" i="2"/>
  <c r="E75" i="2"/>
  <c r="D75" i="2"/>
  <c r="AL74" i="2"/>
  <c r="AN74" i="2" s="1"/>
  <c r="AE74" i="2"/>
  <c r="AG74" i="2" s="1"/>
  <c r="R74" i="2"/>
  <c r="L74" i="2"/>
  <c r="N74" i="2" s="1"/>
  <c r="O74" i="2" s="1"/>
  <c r="J74" i="2"/>
  <c r="E74" i="2"/>
  <c r="D74" i="2"/>
  <c r="AL73" i="2"/>
  <c r="AN73" i="2" s="1"/>
  <c r="AE73" i="2"/>
  <c r="AH73" i="2" s="1"/>
  <c r="R73" i="2"/>
  <c r="L73" i="2"/>
  <c r="N73" i="2" s="1"/>
  <c r="O73" i="2" s="1"/>
  <c r="J73" i="2"/>
  <c r="E73" i="2"/>
  <c r="D73" i="2"/>
  <c r="AL72" i="2"/>
  <c r="AN72" i="2" s="1"/>
  <c r="AP72" i="2" s="1"/>
  <c r="AE72" i="2"/>
  <c r="R72" i="2"/>
  <c r="L72" i="2"/>
  <c r="N72" i="2" s="1"/>
  <c r="O72" i="2" s="1"/>
  <c r="J72" i="2"/>
  <c r="E72" i="2"/>
  <c r="D72" i="2"/>
  <c r="AL71" i="2"/>
  <c r="AN71" i="2" s="1"/>
  <c r="AE71" i="2"/>
  <c r="AG71" i="2" s="1"/>
  <c r="R71" i="2"/>
  <c r="L71" i="2"/>
  <c r="N71" i="2" s="1"/>
  <c r="O71" i="2" s="1"/>
  <c r="J71" i="2"/>
  <c r="E71" i="2"/>
  <c r="D71" i="2"/>
  <c r="AL70" i="2"/>
  <c r="AN70" i="2" s="1"/>
  <c r="AE70" i="2"/>
  <c r="AH70" i="2" s="1"/>
  <c r="R70" i="2"/>
  <c r="L70" i="2"/>
  <c r="N70" i="2" s="1"/>
  <c r="O70" i="2" s="1"/>
  <c r="J70" i="2"/>
  <c r="E70" i="2"/>
  <c r="D70" i="2"/>
  <c r="AL69" i="2"/>
  <c r="AN69" i="2" s="1"/>
  <c r="AE69" i="2"/>
  <c r="AH69" i="2" s="1"/>
  <c r="R69" i="2"/>
  <c r="L69" i="2"/>
  <c r="N69" i="2" s="1"/>
  <c r="O69" i="2" s="1"/>
  <c r="J69" i="2"/>
  <c r="E69" i="2"/>
  <c r="D69" i="2"/>
  <c r="AL68" i="2"/>
  <c r="AN68" i="2" s="1"/>
  <c r="AE68" i="2"/>
  <c r="AH68" i="2" s="1"/>
  <c r="R68" i="2"/>
  <c r="L68" i="2"/>
  <c r="N68" i="2" s="1"/>
  <c r="O68" i="2" s="1"/>
  <c r="J68" i="2"/>
  <c r="E68" i="2"/>
  <c r="D68" i="2"/>
  <c r="AL67" i="2"/>
  <c r="AN67" i="2" s="1"/>
  <c r="AE67" i="2"/>
  <c r="AG67" i="2" s="1"/>
  <c r="R67" i="2"/>
  <c r="L67" i="2"/>
  <c r="N67" i="2" s="1"/>
  <c r="O67" i="2" s="1"/>
  <c r="J67" i="2"/>
  <c r="E67" i="2"/>
  <c r="D67" i="2"/>
  <c r="AL66" i="2"/>
  <c r="AN66" i="2" s="1"/>
  <c r="AE66" i="2"/>
  <c r="AH66" i="2" s="1"/>
  <c r="R66" i="2"/>
  <c r="L66" i="2"/>
  <c r="N66" i="2" s="1"/>
  <c r="O66" i="2" s="1"/>
  <c r="J66" i="2"/>
  <c r="E66" i="2"/>
  <c r="D66" i="2"/>
  <c r="AL65" i="2"/>
  <c r="AN65" i="2" s="1"/>
  <c r="AE65" i="2"/>
  <c r="AH65" i="2" s="1"/>
  <c r="R65" i="2"/>
  <c r="L65" i="2"/>
  <c r="N65" i="2" s="1"/>
  <c r="O65" i="2" s="1"/>
  <c r="J65" i="2"/>
  <c r="E65" i="2"/>
  <c r="D65" i="2"/>
  <c r="AL64" i="2"/>
  <c r="AN64" i="2" s="1"/>
  <c r="AP64" i="2" s="1"/>
  <c r="AE64" i="2"/>
  <c r="AH64" i="2" s="1"/>
  <c r="R64" i="2"/>
  <c r="L64" i="2"/>
  <c r="N64" i="2" s="1"/>
  <c r="O64" i="2" s="1"/>
  <c r="J64" i="2"/>
  <c r="E64" i="2"/>
  <c r="D64" i="2"/>
  <c r="AL63" i="2"/>
  <c r="AN63" i="2" s="1"/>
  <c r="AE63" i="2"/>
  <c r="AH63" i="2" s="1"/>
  <c r="R63" i="2"/>
  <c r="L63" i="2"/>
  <c r="N63" i="2" s="1"/>
  <c r="O63" i="2" s="1"/>
  <c r="J63" i="2"/>
  <c r="E63" i="2"/>
  <c r="D63" i="2"/>
  <c r="AL62" i="2"/>
  <c r="AN62" i="2" s="1"/>
  <c r="AE62" i="2"/>
  <c r="AH62" i="2" s="1"/>
  <c r="R62" i="2"/>
  <c r="L62" i="2"/>
  <c r="N62" i="2" s="1"/>
  <c r="O62" i="2" s="1"/>
  <c r="J62" i="2"/>
  <c r="E62" i="2"/>
  <c r="D62" i="2"/>
  <c r="AL61" i="2"/>
  <c r="AN61" i="2" s="1"/>
  <c r="AE61" i="2"/>
  <c r="AH61" i="2" s="1"/>
  <c r="R61" i="2"/>
  <c r="L61" i="2"/>
  <c r="N61" i="2" s="1"/>
  <c r="O61" i="2" s="1"/>
  <c r="J61" i="2"/>
  <c r="E61" i="2"/>
  <c r="D61" i="2"/>
  <c r="AL60" i="2"/>
  <c r="AN60" i="2" s="1"/>
  <c r="AE60" i="2"/>
  <c r="AH60" i="2" s="1"/>
  <c r="R60" i="2"/>
  <c r="L60" i="2"/>
  <c r="N60" i="2" s="1"/>
  <c r="O60" i="2" s="1"/>
  <c r="J60" i="2"/>
  <c r="E60" i="2"/>
  <c r="D60" i="2"/>
  <c r="AL59" i="2"/>
  <c r="AN59" i="2" s="1"/>
  <c r="AE59" i="2"/>
  <c r="AH59" i="2" s="1"/>
  <c r="R59" i="2"/>
  <c r="L59" i="2"/>
  <c r="N59" i="2" s="1"/>
  <c r="O59" i="2" s="1"/>
  <c r="J59" i="2"/>
  <c r="E59" i="2"/>
  <c r="D59" i="2"/>
  <c r="AL58" i="2"/>
  <c r="AN58" i="2" s="1"/>
  <c r="AE58" i="2"/>
  <c r="R58" i="2"/>
  <c r="L58" i="2"/>
  <c r="N58" i="2" s="1"/>
  <c r="O58" i="2" s="1"/>
  <c r="J58" i="2"/>
  <c r="E58" i="2"/>
  <c r="D58" i="2"/>
  <c r="AL57" i="2"/>
  <c r="AN57" i="2" s="1"/>
  <c r="AP57" i="2" s="1"/>
  <c r="AE57" i="2"/>
  <c r="AG57" i="2" s="1"/>
  <c r="R57" i="2"/>
  <c r="L57" i="2"/>
  <c r="N57" i="2" s="1"/>
  <c r="O57" i="2" s="1"/>
  <c r="J57" i="2"/>
  <c r="E57" i="2"/>
  <c r="D57" i="2"/>
  <c r="AL56" i="2"/>
  <c r="AN56" i="2" s="1"/>
  <c r="AE56" i="2"/>
  <c r="AG56" i="2" s="1"/>
  <c r="R56" i="2"/>
  <c r="L56" i="2"/>
  <c r="N56" i="2" s="1"/>
  <c r="O56" i="2" s="1"/>
  <c r="J56" i="2"/>
  <c r="E56" i="2"/>
  <c r="D56" i="2"/>
  <c r="AL55" i="2"/>
  <c r="AN55" i="2" s="1"/>
  <c r="AE55" i="2"/>
  <c r="AH55" i="2" s="1"/>
  <c r="R55" i="2"/>
  <c r="L55" i="2"/>
  <c r="N55" i="2" s="1"/>
  <c r="O55" i="2" s="1"/>
  <c r="J55" i="2"/>
  <c r="E55" i="2"/>
  <c r="D55" i="2"/>
  <c r="AL54" i="2"/>
  <c r="AN54" i="2" s="1"/>
  <c r="AP54" i="2" s="1"/>
  <c r="AE54" i="2"/>
  <c r="AG54" i="2" s="1"/>
  <c r="R54" i="2"/>
  <c r="L54" i="2"/>
  <c r="N54" i="2" s="1"/>
  <c r="O54" i="2" s="1"/>
  <c r="J54" i="2"/>
  <c r="E54" i="2"/>
  <c r="D54" i="2"/>
  <c r="AL53" i="2"/>
  <c r="AN53" i="2" s="1"/>
  <c r="AE53" i="2"/>
  <c r="AH53" i="2" s="1"/>
  <c r="R53" i="2"/>
  <c r="L53" i="2"/>
  <c r="N53" i="2" s="1"/>
  <c r="O53" i="2" s="1"/>
  <c r="J53" i="2"/>
  <c r="E53" i="2"/>
  <c r="D53" i="2"/>
  <c r="AL52" i="2"/>
  <c r="AN52" i="2" s="1"/>
  <c r="AE52" i="2"/>
  <c r="AH52" i="2" s="1"/>
  <c r="R52" i="2"/>
  <c r="L52" i="2"/>
  <c r="N52" i="2" s="1"/>
  <c r="O52" i="2" s="1"/>
  <c r="J52" i="2"/>
  <c r="E52" i="2"/>
  <c r="D52" i="2"/>
  <c r="AL51" i="2"/>
  <c r="AN51" i="2" s="1"/>
  <c r="AE51" i="2"/>
  <c r="AH51" i="2" s="1"/>
  <c r="R51" i="2"/>
  <c r="L51" i="2"/>
  <c r="N51" i="2" s="1"/>
  <c r="O51" i="2" s="1"/>
  <c r="J51" i="2"/>
  <c r="E51" i="2"/>
  <c r="D51" i="2"/>
  <c r="AL50" i="2"/>
  <c r="AN50" i="2" s="1"/>
  <c r="AE50" i="2"/>
  <c r="AH50" i="2" s="1"/>
  <c r="R50" i="2"/>
  <c r="L50" i="2"/>
  <c r="N50" i="2" s="1"/>
  <c r="O50" i="2" s="1"/>
  <c r="J50" i="2"/>
  <c r="E50" i="2"/>
  <c r="D50" i="2"/>
  <c r="AL49" i="2"/>
  <c r="AN49" i="2" s="1"/>
  <c r="AE49" i="2"/>
  <c r="AH49" i="2" s="1"/>
  <c r="R49" i="2"/>
  <c r="L49" i="2"/>
  <c r="N49" i="2" s="1"/>
  <c r="O49" i="2" s="1"/>
  <c r="J49" i="2"/>
  <c r="E49" i="2"/>
  <c r="D49" i="2"/>
  <c r="AL48" i="2"/>
  <c r="AN48" i="2" s="1"/>
  <c r="AE48" i="2"/>
  <c r="AG48" i="2" s="1"/>
  <c r="R48" i="2"/>
  <c r="L48" i="2"/>
  <c r="N48" i="2" s="1"/>
  <c r="O48" i="2" s="1"/>
  <c r="J48" i="2"/>
  <c r="E48" i="2"/>
  <c r="D48" i="2"/>
  <c r="AL47" i="2"/>
  <c r="AN47" i="2" s="1"/>
  <c r="AE47" i="2"/>
  <c r="AH47" i="2" s="1"/>
  <c r="R47" i="2"/>
  <c r="L47" i="2"/>
  <c r="N47" i="2" s="1"/>
  <c r="O47" i="2" s="1"/>
  <c r="J47" i="2"/>
  <c r="E47" i="2"/>
  <c r="D47" i="2"/>
  <c r="AL46" i="2"/>
  <c r="AN46" i="2" s="1"/>
  <c r="AE46" i="2"/>
  <c r="AH46" i="2" s="1"/>
  <c r="R46" i="2"/>
  <c r="L46" i="2"/>
  <c r="N46" i="2" s="1"/>
  <c r="O46" i="2" s="1"/>
  <c r="J46" i="2"/>
  <c r="E46" i="2"/>
  <c r="D46" i="2"/>
  <c r="AL45" i="2"/>
  <c r="AN45" i="2" s="1"/>
  <c r="AE45" i="2"/>
  <c r="AH45" i="2" s="1"/>
  <c r="R45" i="2"/>
  <c r="L45" i="2"/>
  <c r="N45" i="2" s="1"/>
  <c r="O45" i="2" s="1"/>
  <c r="J45" i="2"/>
  <c r="E45" i="2"/>
  <c r="D45" i="2"/>
  <c r="AL44" i="2"/>
  <c r="AN44" i="2" s="1"/>
  <c r="AP44" i="2" s="1"/>
  <c r="AQ44" i="2" s="1"/>
  <c r="AE44" i="2"/>
  <c r="AH44" i="2" s="1"/>
  <c r="R44" i="2"/>
  <c r="L44" i="2"/>
  <c r="N44" i="2" s="1"/>
  <c r="O44" i="2" s="1"/>
  <c r="J44" i="2"/>
  <c r="E44" i="2"/>
  <c r="D44" i="2"/>
  <c r="AL43" i="2"/>
  <c r="AN43" i="2" s="1"/>
  <c r="AE43" i="2"/>
  <c r="AG43" i="2" s="1"/>
  <c r="R43" i="2"/>
  <c r="L43" i="2"/>
  <c r="N43" i="2" s="1"/>
  <c r="O43" i="2" s="1"/>
  <c r="J43" i="2"/>
  <c r="E43" i="2"/>
  <c r="D43" i="2"/>
  <c r="AL42" i="2"/>
  <c r="AN42" i="2" s="1"/>
  <c r="AE42" i="2"/>
  <c r="AG42" i="2" s="1"/>
  <c r="R42" i="2"/>
  <c r="L42" i="2"/>
  <c r="N42" i="2" s="1"/>
  <c r="O42" i="2" s="1"/>
  <c r="J42" i="2"/>
  <c r="E42" i="2"/>
  <c r="D42" i="2"/>
  <c r="AL41" i="2"/>
  <c r="AN41" i="2" s="1"/>
  <c r="AE41" i="2"/>
  <c r="AH41" i="2" s="1"/>
  <c r="R41" i="2"/>
  <c r="L41" i="2"/>
  <c r="N41" i="2" s="1"/>
  <c r="O41" i="2" s="1"/>
  <c r="J41" i="2"/>
  <c r="E41" i="2"/>
  <c r="D41" i="2"/>
  <c r="AL40" i="2"/>
  <c r="AN40" i="2" s="1"/>
  <c r="AE40" i="2"/>
  <c r="AG40" i="2" s="1"/>
  <c r="R40" i="2"/>
  <c r="L40" i="2"/>
  <c r="N40" i="2" s="1"/>
  <c r="O40" i="2" s="1"/>
  <c r="J40" i="2"/>
  <c r="E40" i="2"/>
  <c r="D40" i="2"/>
  <c r="AL39" i="2"/>
  <c r="AN39" i="2" s="1"/>
  <c r="AE39" i="2"/>
  <c r="AH39" i="2" s="1"/>
  <c r="R39" i="2"/>
  <c r="L39" i="2"/>
  <c r="N39" i="2" s="1"/>
  <c r="O39" i="2" s="1"/>
  <c r="J39" i="2"/>
  <c r="E39" i="2"/>
  <c r="D39" i="2"/>
  <c r="AL38" i="2"/>
  <c r="AN38" i="2" s="1"/>
  <c r="AE38" i="2"/>
  <c r="AH38" i="2" s="1"/>
  <c r="R38" i="2"/>
  <c r="L38" i="2"/>
  <c r="N38" i="2" s="1"/>
  <c r="O38" i="2" s="1"/>
  <c r="J38" i="2"/>
  <c r="E38" i="2"/>
  <c r="D38" i="2"/>
  <c r="AL37" i="2"/>
  <c r="AN37" i="2" s="1"/>
  <c r="AE37" i="2"/>
  <c r="AH37" i="2" s="1"/>
  <c r="R37" i="2"/>
  <c r="L37" i="2"/>
  <c r="N37" i="2" s="1"/>
  <c r="O37" i="2" s="1"/>
  <c r="J37" i="2"/>
  <c r="E37" i="2"/>
  <c r="D37" i="2"/>
  <c r="AL36" i="2"/>
  <c r="AP36" i="2" s="1"/>
  <c r="AQ36" i="2" s="1"/>
  <c r="AE36" i="2"/>
  <c r="AH36" i="2" s="1"/>
  <c r="R36" i="2"/>
  <c r="N36" i="2"/>
  <c r="O36" i="2" s="1"/>
  <c r="E36" i="2"/>
  <c r="D36" i="2"/>
  <c r="AE35" i="2"/>
  <c r="AG35" i="2" s="1"/>
  <c r="R35" i="2"/>
  <c r="N35" i="2"/>
  <c r="O35" i="2" s="1"/>
  <c r="E35" i="2"/>
  <c r="D35" i="2"/>
  <c r="AE34" i="2"/>
  <c r="AH34" i="2" s="1"/>
  <c r="R34" i="2"/>
  <c r="N34" i="2"/>
  <c r="O34" i="2" s="1"/>
  <c r="E34" i="2"/>
  <c r="D34" i="2"/>
  <c r="AL33" i="2"/>
  <c r="AN33" i="2" s="1"/>
  <c r="AE33" i="2"/>
  <c r="R33" i="2"/>
  <c r="N33" i="2"/>
  <c r="O33" i="2" s="1"/>
  <c r="E33" i="2"/>
  <c r="D33" i="2"/>
  <c r="AL32" i="2"/>
  <c r="AN32" i="2" s="1"/>
  <c r="AE32" i="2"/>
  <c r="AG32" i="2" s="1"/>
  <c r="R32" i="2"/>
  <c r="N32" i="2"/>
  <c r="O32" i="2" s="1"/>
  <c r="E32" i="2"/>
  <c r="D32" i="2"/>
  <c r="AL31" i="2"/>
  <c r="AN31" i="2" s="1"/>
  <c r="AE31" i="2"/>
  <c r="AG31" i="2" s="1"/>
  <c r="R31" i="2"/>
  <c r="N31" i="2"/>
  <c r="E31" i="2"/>
  <c r="D31" i="2"/>
  <c r="AL30" i="2"/>
  <c r="AN30" i="2" s="1"/>
  <c r="AE30" i="2"/>
  <c r="AH30" i="2" s="1"/>
  <c r="R30" i="2"/>
  <c r="L30" i="2"/>
  <c r="N30" i="2" s="1"/>
  <c r="O30" i="2" s="1"/>
  <c r="J30" i="2"/>
  <c r="E30" i="2"/>
  <c r="D30" i="2"/>
  <c r="AL29" i="2"/>
  <c r="AN29" i="2" s="1"/>
  <c r="AE29" i="2"/>
  <c r="AH29" i="2" s="1"/>
  <c r="R29" i="2"/>
  <c r="L29" i="2"/>
  <c r="N29" i="2" s="1"/>
  <c r="O29" i="2" s="1"/>
  <c r="J29" i="2"/>
  <c r="E29" i="2"/>
  <c r="D29" i="2"/>
  <c r="AN28" i="2"/>
  <c r="AE28" i="2"/>
  <c r="AH28" i="2" s="1"/>
  <c r="R28" i="2"/>
  <c r="L28" i="2"/>
  <c r="N28" i="2" s="1"/>
  <c r="O28" i="2" s="1"/>
  <c r="J28" i="2"/>
  <c r="E28" i="2"/>
  <c r="D28" i="2"/>
  <c r="AL27" i="2"/>
  <c r="AN27" i="2" s="1"/>
  <c r="AE27" i="2"/>
  <c r="AH27" i="2" s="1"/>
  <c r="R27" i="2"/>
  <c r="L27" i="2"/>
  <c r="N27" i="2" s="1"/>
  <c r="O27" i="2" s="1"/>
  <c r="J27" i="2"/>
  <c r="E27" i="2"/>
  <c r="D27" i="2"/>
  <c r="AL26" i="2"/>
  <c r="AN26" i="2" s="1"/>
  <c r="AE26" i="2"/>
  <c r="AG26" i="2" s="1"/>
  <c r="R26" i="2"/>
  <c r="L26" i="2"/>
  <c r="N26" i="2" s="1"/>
  <c r="O26" i="2" s="1"/>
  <c r="J26" i="2"/>
  <c r="E26" i="2"/>
  <c r="D26" i="2"/>
  <c r="AL25" i="2"/>
  <c r="AN25" i="2" s="1"/>
  <c r="AE25" i="2"/>
  <c r="AH25" i="2" s="1"/>
  <c r="R25" i="2"/>
  <c r="L25" i="2"/>
  <c r="N25" i="2" s="1"/>
  <c r="O25" i="2" s="1"/>
  <c r="J25" i="2"/>
  <c r="E25" i="2"/>
  <c r="D25" i="2"/>
  <c r="AL24" i="2"/>
  <c r="AN24" i="2" s="1"/>
  <c r="AE24" i="2"/>
  <c r="AH24" i="2" s="1"/>
  <c r="R24" i="2"/>
  <c r="L24" i="2"/>
  <c r="N24" i="2" s="1"/>
  <c r="O24" i="2" s="1"/>
  <c r="J24" i="2"/>
  <c r="E24" i="2"/>
  <c r="D24" i="2"/>
  <c r="AL23" i="2"/>
  <c r="AN23" i="2" s="1"/>
  <c r="AE23" i="2"/>
  <c r="AH23" i="2" s="1"/>
  <c r="R23" i="2"/>
  <c r="L23" i="2"/>
  <c r="N23" i="2" s="1"/>
  <c r="O23" i="2" s="1"/>
  <c r="J23" i="2"/>
  <c r="E23" i="2"/>
  <c r="D23" i="2"/>
  <c r="AL22" i="2"/>
  <c r="AN22" i="2" s="1"/>
  <c r="AE22" i="2"/>
  <c r="AH22" i="2" s="1"/>
  <c r="R22" i="2"/>
  <c r="L22" i="2"/>
  <c r="N22" i="2" s="1"/>
  <c r="O22" i="2" s="1"/>
  <c r="J22" i="2"/>
  <c r="E22" i="2"/>
  <c r="D22" i="2"/>
  <c r="AL21" i="2"/>
  <c r="AN21" i="2" s="1"/>
  <c r="AE21" i="2"/>
  <c r="AG21" i="2" s="1"/>
  <c r="R21" i="2"/>
  <c r="L21" i="2"/>
  <c r="N21" i="2" s="1"/>
  <c r="O21" i="2" s="1"/>
  <c r="J21" i="2"/>
  <c r="E21" i="2"/>
  <c r="D21" i="2"/>
  <c r="AL20" i="2"/>
  <c r="AN20" i="2" s="1"/>
  <c r="AE20" i="2"/>
  <c r="AG20" i="2" s="1"/>
  <c r="R20" i="2"/>
  <c r="L20" i="2"/>
  <c r="N20" i="2" s="1"/>
  <c r="O20" i="2" s="1"/>
  <c r="J20" i="2"/>
  <c r="E20" i="2"/>
  <c r="D20" i="2"/>
  <c r="AL19" i="2"/>
  <c r="AN19" i="2" s="1"/>
  <c r="AE19" i="2"/>
  <c r="AH19" i="2" s="1"/>
  <c r="R19" i="2"/>
  <c r="L19" i="2"/>
  <c r="N19" i="2" s="1"/>
  <c r="O19" i="2" s="1"/>
  <c r="J19" i="2"/>
  <c r="E19" i="2"/>
  <c r="D19" i="2"/>
  <c r="AN18" i="2"/>
  <c r="AE18" i="2"/>
  <c r="AG18" i="2" s="1"/>
  <c r="R18" i="2"/>
  <c r="L18" i="2"/>
  <c r="N18" i="2" s="1"/>
  <c r="O18" i="2" s="1"/>
  <c r="J18" i="2"/>
  <c r="E18" i="2"/>
  <c r="D18" i="2"/>
  <c r="AL17" i="2"/>
  <c r="AN17" i="2" s="1"/>
  <c r="AE17" i="2"/>
  <c r="AH17" i="2" s="1"/>
  <c r="R17" i="2"/>
  <c r="L17" i="2"/>
  <c r="N17" i="2" s="1"/>
  <c r="O17" i="2" s="1"/>
  <c r="J17" i="2"/>
  <c r="E17" i="2"/>
  <c r="D17" i="2"/>
  <c r="AL16" i="2"/>
  <c r="AN16" i="2" s="1"/>
  <c r="AE16" i="2"/>
  <c r="AH16" i="2" s="1"/>
  <c r="R16" i="2"/>
  <c r="L16" i="2"/>
  <c r="N16" i="2" s="1"/>
  <c r="O16" i="2" s="1"/>
  <c r="J16" i="2"/>
  <c r="E16" i="2"/>
  <c r="D16" i="2"/>
  <c r="AL15" i="2"/>
  <c r="AN15" i="2" s="1"/>
  <c r="AE15" i="2"/>
  <c r="AH15" i="2" s="1"/>
  <c r="R15" i="2"/>
  <c r="L15" i="2"/>
  <c r="N15" i="2" s="1"/>
  <c r="O15" i="2" s="1"/>
  <c r="E15" i="2"/>
  <c r="D15" i="2"/>
  <c r="AL14" i="2"/>
  <c r="AN14" i="2" s="1"/>
  <c r="AE14" i="2"/>
  <c r="AH14" i="2" s="1"/>
  <c r="R14" i="2"/>
  <c r="L14" i="2"/>
  <c r="N14" i="2" s="1"/>
  <c r="O14" i="2" s="1"/>
  <c r="J14" i="2"/>
  <c r="E14" i="2"/>
  <c r="D14" i="2"/>
  <c r="AL13" i="2"/>
  <c r="AN13" i="2" s="1"/>
  <c r="AE13" i="2"/>
  <c r="AH13" i="2" s="1"/>
  <c r="R13" i="2"/>
  <c r="L13" i="2"/>
  <c r="N13" i="2" s="1"/>
  <c r="O13" i="2" s="1"/>
  <c r="J13" i="2"/>
  <c r="E13" i="2"/>
  <c r="D13" i="2"/>
  <c r="AL12" i="2"/>
  <c r="AN12" i="2" s="1"/>
  <c r="AE12" i="2"/>
  <c r="AH12" i="2" s="1"/>
  <c r="R12" i="2"/>
  <c r="N12" i="2"/>
  <c r="O12" i="2" s="1"/>
  <c r="E12" i="2"/>
  <c r="D12" i="2"/>
  <c r="AL11" i="2"/>
  <c r="AE11" i="2"/>
  <c r="AH11" i="2" s="1"/>
  <c r="R11" i="2"/>
  <c r="L11" i="2"/>
  <c r="N11" i="2" s="1"/>
  <c r="O11" i="2" s="1"/>
  <c r="J11" i="2"/>
  <c r="E11" i="2"/>
  <c r="D11" i="2"/>
  <c r="AL10" i="2"/>
  <c r="AN10" i="2" s="1"/>
  <c r="AE10" i="2"/>
  <c r="AH10" i="2" s="1"/>
  <c r="R10" i="2"/>
  <c r="L10" i="2"/>
  <c r="N10" i="2" s="1"/>
  <c r="O10" i="2" s="1"/>
  <c r="J10" i="2"/>
  <c r="E10" i="2"/>
  <c r="D10" i="2"/>
  <c r="AL9" i="2"/>
  <c r="AN9" i="2" s="1"/>
  <c r="R9" i="2"/>
  <c r="L9" i="2"/>
  <c r="N9" i="2" s="1"/>
  <c r="O9" i="2" s="1"/>
  <c r="J9" i="2"/>
  <c r="E9" i="2"/>
  <c r="D9" i="2"/>
  <c r="AE8" i="2"/>
  <c r="AH8" i="2" s="1"/>
  <c r="R8" i="2"/>
  <c r="L8" i="2"/>
  <c r="N8" i="2" s="1"/>
  <c r="O8" i="2" s="1"/>
  <c r="J8" i="2"/>
  <c r="E8" i="2"/>
  <c r="D8" i="2"/>
  <c r="AE7" i="2"/>
  <c r="AH7" i="2" s="1"/>
  <c r="R7" i="2"/>
  <c r="L7" i="2"/>
  <c r="N7" i="2" s="1"/>
  <c r="O7" i="2" s="1"/>
  <c r="J7" i="2"/>
  <c r="E7" i="2"/>
  <c r="D7" i="2"/>
  <c r="AE6" i="2"/>
  <c r="AH6" i="2" s="1"/>
  <c r="R6" i="2"/>
  <c r="L6" i="2"/>
  <c r="N6" i="2" s="1"/>
  <c r="O6" i="2" s="1"/>
  <c r="J6" i="2"/>
  <c r="E6" i="2"/>
  <c r="D6" i="2"/>
  <c r="AE5" i="2"/>
  <c r="AH5" i="2" s="1"/>
  <c r="R5" i="2"/>
  <c r="L5" i="2"/>
  <c r="N5" i="2" s="1"/>
  <c r="O5" i="2" s="1"/>
  <c r="J5" i="2"/>
  <c r="E5" i="2"/>
  <c r="D5" i="2"/>
  <c r="AE4" i="2"/>
  <c r="AH4" i="2" s="1"/>
  <c r="R4" i="2"/>
  <c r="L4" i="2"/>
  <c r="N4" i="2" s="1"/>
  <c r="O4" i="2" s="1"/>
  <c r="J4" i="2"/>
  <c r="E4" i="2"/>
  <c r="D4" i="2"/>
  <c r="AE3" i="2"/>
  <c r="AH3" i="2" s="1"/>
  <c r="R3" i="2"/>
  <c r="L3" i="2"/>
  <c r="N3" i="2" s="1"/>
  <c r="O3" i="2" s="1"/>
  <c r="J3" i="2"/>
  <c r="E3" i="2"/>
  <c r="D3" i="2"/>
  <c r="AL2" i="2"/>
  <c r="AN2" i="2" s="1"/>
  <c r="AE2" i="2"/>
  <c r="AH2" i="2" s="1"/>
  <c r="R2" i="2"/>
  <c r="L2" i="2"/>
  <c r="N2" i="2" s="1"/>
  <c r="O2" i="2" s="1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D38" i="1"/>
  <c r="C38" i="1"/>
  <c r="B38" i="1"/>
  <c r="E38" i="1" s="1"/>
  <c r="D37" i="1"/>
  <c r="C37" i="1"/>
  <c r="B37" i="1"/>
  <c r="E37" i="1" s="1"/>
  <c r="D36" i="1"/>
  <c r="C36" i="1"/>
  <c r="B36" i="1"/>
  <c r="E36" i="1" s="1"/>
  <c r="D35" i="1"/>
  <c r="C35" i="1"/>
  <c r="B35" i="1"/>
  <c r="E35" i="1" s="1"/>
  <c r="D34" i="1"/>
  <c r="C34" i="1"/>
  <c r="B34" i="1"/>
  <c r="E34" i="1" s="1"/>
  <c r="D33" i="1"/>
  <c r="C33" i="1"/>
  <c r="B33" i="1"/>
  <c r="E33" i="1" s="1"/>
  <c r="D32" i="1"/>
  <c r="C32" i="1"/>
  <c r="B32" i="1"/>
  <c r="E32" i="1" s="1"/>
  <c r="D31" i="1"/>
  <c r="C31" i="1"/>
  <c r="B31" i="1"/>
  <c r="E31" i="1" s="1"/>
  <c r="D30" i="1"/>
  <c r="C30" i="1"/>
  <c r="B30" i="1"/>
  <c r="E30" i="1" s="1"/>
  <c r="D29" i="1"/>
  <c r="C29" i="1"/>
  <c r="B29" i="1"/>
  <c r="E29" i="1" s="1"/>
  <c r="D28" i="1"/>
  <c r="C28" i="1"/>
  <c r="B28" i="1"/>
  <c r="E28" i="1" s="1"/>
  <c r="D27" i="1"/>
  <c r="C27" i="1"/>
  <c r="B27" i="1"/>
  <c r="E27" i="1" s="1"/>
  <c r="D26" i="1"/>
  <c r="C26" i="1"/>
  <c r="B26" i="1"/>
  <c r="E26" i="1" s="1"/>
  <c r="D25" i="1"/>
  <c r="C25" i="1"/>
  <c r="B25" i="1"/>
  <c r="E25" i="1" s="1"/>
  <c r="D24" i="1"/>
  <c r="C24" i="1"/>
  <c r="B24" i="1"/>
  <c r="E24" i="1" s="1"/>
  <c r="D23" i="1"/>
  <c r="C23" i="1"/>
  <c r="B23" i="1"/>
  <c r="E23" i="1" s="1"/>
  <c r="D22" i="1"/>
  <c r="C22" i="1"/>
  <c r="B22" i="1"/>
  <c r="E22" i="1" s="1"/>
  <c r="D21" i="1"/>
  <c r="C21" i="1"/>
  <c r="B21" i="1"/>
  <c r="E21" i="1" s="1"/>
  <c r="D20" i="1"/>
  <c r="C20" i="1"/>
  <c r="B20" i="1"/>
  <c r="E20" i="1" s="1"/>
  <c r="D19" i="1"/>
  <c r="C19" i="1"/>
  <c r="B19" i="1"/>
  <c r="E19" i="1" s="1"/>
  <c r="D18" i="1"/>
  <c r="C18" i="1"/>
  <c r="B18" i="1"/>
  <c r="E18" i="1" s="1"/>
  <c r="D17" i="1"/>
  <c r="C17" i="1"/>
  <c r="B17" i="1"/>
  <c r="E17" i="1" s="1"/>
  <c r="D16" i="1"/>
  <c r="C16" i="1"/>
  <c r="B16" i="1"/>
  <c r="E16" i="1" s="1"/>
  <c r="D15" i="1"/>
  <c r="C15" i="1"/>
  <c r="B15" i="1"/>
  <c r="E15" i="1" s="1"/>
  <c r="D14" i="1"/>
  <c r="C14" i="1"/>
  <c r="B14" i="1"/>
  <c r="E14" i="1" s="1"/>
  <c r="D13" i="1"/>
  <c r="C13" i="1"/>
  <c r="B13" i="1"/>
  <c r="E13" i="1" s="1"/>
  <c r="D12" i="1"/>
  <c r="C12" i="1"/>
  <c r="B12" i="1"/>
  <c r="E12" i="1" s="1"/>
  <c r="D11" i="1"/>
  <c r="C11" i="1"/>
  <c r="B11" i="1"/>
  <c r="E11" i="1" s="1"/>
  <c r="D10" i="1"/>
  <c r="C10" i="1"/>
  <c r="B10" i="1"/>
  <c r="E10" i="1" s="1"/>
  <c r="D9" i="1"/>
  <c r="C9" i="1"/>
  <c r="B9" i="1"/>
  <c r="E9" i="1" s="1"/>
  <c r="D8" i="1"/>
  <c r="C8" i="1"/>
  <c r="B8" i="1"/>
  <c r="E8" i="1" s="1"/>
  <c r="D7" i="1"/>
  <c r="C7" i="1"/>
  <c r="B7" i="1"/>
  <c r="E7" i="1" s="1"/>
  <c r="D6" i="1"/>
  <c r="C6" i="1"/>
  <c r="B6" i="1"/>
  <c r="E6" i="1" s="1"/>
  <c r="D5" i="1"/>
  <c r="C5" i="1"/>
  <c r="B5" i="1"/>
  <c r="E5" i="1" s="1"/>
  <c r="A4" i="1"/>
  <c r="C4" i="1" s="1"/>
  <c r="AH40" i="2" l="1"/>
  <c r="AH105" i="2"/>
  <c r="AH140" i="2"/>
  <c r="AG162" i="2"/>
  <c r="AG11" i="2"/>
  <c r="AH31" i="2"/>
  <c r="AH20" i="2"/>
  <c r="AG120" i="2"/>
  <c r="AH95" i="2"/>
  <c r="AG101" i="2"/>
  <c r="AH54" i="2"/>
  <c r="AH76" i="2"/>
  <c r="AH129" i="2"/>
  <c r="AH56" i="2"/>
  <c r="AG83" i="2"/>
  <c r="AH98" i="2"/>
  <c r="AG89" i="2"/>
  <c r="AH21" i="2"/>
  <c r="AG115" i="2"/>
  <c r="AH128" i="2"/>
  <c r="AG141" i="2"/>
  <c r="AG10" i="2"/>
  <c r="AG93" i="2"/>
  <c r="AG82" i="2"/>
  <c r="AG125" i="2"/>
  <c r="AH110" i="2"/>
  <c r="AH35" i="2"/>
  <c r="AG135" i="2"/>
  <c r="AG15" i="2"/>
  <c r="AH142" i="2"/>
  <c r="AG12" i="2"/>
  <c r="AG23" i="2"/>
  <c r="AH32" i="2"/>
  <c r="AG51" i="2"/>
  <c r="AG96" i="2"/>
  <c r="AG2" i="2"/>
  <c r="AH57" i="2"/>
  <c r="AH90" i="2"/>
  <c r="AH130" i="2"/>
  <c r="AG70" i="2"/>
  <c r="AG87" i="2"/>
  <c r="AH99" i="2"/>
  <c r="AG6" i="2"/>
  <c r="AG34" i="2"/>
  <c r="AG84" i="2"/>
  <c r="AG117" i="2"/>
  <c r="AG122" i="2"/>
  <c r="AG127" i="2"/>
  <c r="AG139" i="2"/>
  <c r="AG155" i="2"/>
  <c r="AG8" i="2"/>
  <c r="AG29" i="2"/>
  <c r="AG53" i="2"/>
  <c r="AG62" i="2"/>
  <c r="AG134" i="2"/>
  <c r="AG14" i="2"/>
  <c r="AH43" i="2"/>
  <c r="AG75" i="2"/>
  <c r="AG121" i="2"/>
  <c r="AG148" i="2"/>
  <c r="AG61" i="2"/>
  <c r="AG143" i="2"/>
  <c r="AG3" i="2"/>
  <c r="AG55" i="2"/>
  <c r="AG94" i="2"/>
  <c r="AG106" i="2"/>
  <c r="AG111" i="2"/>
  <c r="AH116" i="2"/>
  <c r="AG154" i="2"/>
  <c r="AG17" i="2"/>
  <c r="AG37" i="2"/>
  <c r="AG45" i="2"/>
  <c r="AG5" i="2"/>
  <c r="AG7" i="2"/>
  <c r="AG13" i="2"/>
  <c r="AG19" i="2"/>
  <c r="AG39" i="2"/>
  <c r="AH42" i="2"/>
  <c r="AH77" i="2"/>
  <c r="AG145" i="2"/>
  <c r="AG113" i="2"/>
  <c r="AG4" i="2"/>
  <c r="AH18" i="2"/>
  <c r="AG60" i="2"/>
  <c r="AH71" i="2"/>
  <c r="AG73" i="2"/>
  <c r="AH85" i="2"/>
  <c r="AG147" i="2"/>
  <c r="AG9" i="2"/>
  <c r="AH9" i="2" s="1"/>
  <c r="AQ184" i="2"/>
  <c r="AQ177" i="2"/>
  <c r="AP23" i="2"/>
  <c r="AQ23" i="2" s="1"/>
  <c r="AP45" i="2"/>
  <c r="AQ45" i="2" s="1"/>
  <c r="AQ170" i="2"/>
  <c r="AP110" i="2"/>
  <c r="AQ110" i="2" s="1"/>
  <c r="AP113" i="2"/>
  <c r="AQ113" i="2" s="1"/>
  <c r="AP116" i="2"/>
  <c r="AQ116" i="2" s="1"/>
  <c r="AQ186" i="2"/>
  <c r="AQ163" i="2"/>
  <c r="AQ129" i="2"/>
  <c r="AQ112" i="2"/>
  <c r="AQ183" i="2"/>
  <c r="AQ178" i="2"/>
  <c r="AQ185" i="2"/>
  <c r="AP141" i="2"/>
  <c r="AQ141" i="2" s="1"/>
  <c r="AP125" i="2"/>
  <c r="AQ125" i="2" s="1"/>
  <c r="AP136" i="2"/>
  <c r="AQ136" i="2" s="1"/>
  <c r="AP155" i="2"/>
  <c r="AQ155" i="2" s="1"/>
  <c r="AQ130" i="2"/>
  <c r="AP33" i="2"/>
  <c r="AQ33" i="2" s="1"/>
  <c r="AP51" i="2"/>
  <c r="AQ51" i="2" s="1"/>
  <c r="AP25" i="2"/>
  <c r="AQ25" i="2" s="1"/>
  <c r="AP35" i="2"/>
  <c r="AQ35" i="2" s="1"/>
  <c r="AP69" i="2"/>
  <c r="AQ69" i="2" s="1"/>
  <c r="AP85" i="2"/>
  <c r="AQ85" i="2" s="1"/>
  <c r="AP65" i="2"/>
  <c r="AQ65" i="2" s="1"/>
  <c r="AP11" i="2"/>
  <c r="AQ11" i="2" s="1"/>
  <c r="AP12" i="2"/>
  <c r="AQ12" i="2" s="1"/>
  <c r="AP37" i="2"/>
  <c r="AQ37" i="2" s="1"/>
  <c r="AP14" i="2"/>
  <c r="AQ14" i="2" s="1"/>
  <c r="AP27" i="2"/>
  <c r="AQ27" i="2" s="1"/>
  <c r="AP81" i="2"/>
  <c r="AQ81" i="2" s="1"/>
  <c r="AP93" i="2"/>
  <c r="AQ93" i="2" s="1"/>
  <c r="AP3" i="2"/>
  <c r="AQ3" i="2" s="1"/>
  <c r="AP7" i="2"/>
  <c r="AQ7" i="2" s="1"/>
  <c r="AP17" i="2"/>
  <c r="AQ17" i="2" s="1"/>
  <c r="AP39" i="2"/>
  <c r="AQ39" i="2" s="1"/>
  <c r="AP53" i="2"/>
  <c r="AQ53" i="2" s="1"/>
  <c r="AP66" i="2"/>
  <c r="AQ66" i="2" s="1"/>
  <c r="AP21" i="2"/>
  <c r="AQ21" i="2" s="1"/>
  <c r="AP46" i="2"/>
  <c r="AQ46" i="2" s="1"/>
  <c r="AP4" i="2"/>
  <c r="AQ4" i="2" s="1"/>
  <c r="AP50" i="2"/>
  <c r="AQ50" i="2" s="1"/>
  <c r="AP100" i="2"/>
  <c r="AQ100" i="2" s="1"/>
  <c r="AP30" i="2"/>
  <c r="AQ30" i="2" s="1"/>
  <c r="AP67" i="2"/>
  <c r="AQ67" i="2" s="1"/>
  <c r="AP43" i="2"/>
  <c r="AQ43" i="2" s="1"/>
  <c r="AP13" i="2"/>
  <c r="AQ13" i="2" s="1"/>
  <c r="AP28" i="2"/>
  <c r="AQ28" i="2" s="1"/>
  <c r="AP70" i="2"/>
  <c r="AQ70" i="2" s="1"/>
  <c r="AP79" i="2"/>
  <c r="AQ79" i="2" s="1"/>
  <c r="AP29" i="2"/>
  <c r="AQ29" i="2" s="1"/>
  <c r="AP10" i="2"/>
  <c r="AQ10" i="2" s="1"/>
  <c r="AP19" i="2"/>
  <c r="AQ19" i="2" s="1"/>
  <c r="AP56" i="2"/>
  <c r="AQ56" i="2" s="1"/>
  <c r="AP68" i="2"/>
  <c r="AQ68" i="2" s="1"/>
  <c r="AP15" i="2"/>
  <c r="AQ15" i="2" s="1"/>
  <c r="AP49" i="2"/>
  <c r="AQ49" i="2" s="1"/>
  <c r="AP94" i="2"/>
  <c r="AQ94" i="2" s="1"/>
  <c r="AP2" i="2"/>
  <c r="AQ2" i="2" s="1"/>
  <c r="AP16" i="2"/>
  <c r="AQ16" i="2" s="1"/>
  <c r="AP24" i="2"/>
  <c r="AQ24" i="2" s="1"/>
  <c r="AP31" i="2"/>
  <c r="AQ31" i="2" s="1"/>
  <c r="AP38" i="2"/>
  <c r="AQ38" i="2" s="1"/>
  <c r="AP41" i="2"/>
  <c r="AQ41" i="2" s="1"/>
  <c r="AP47" i="2"/>
  <c r="AQ47" i="2" s="1"/>
  <c r="AP52" i="2"/>
  <c r="AQ52" i="2" s="1"/>
  <c r="AP80" i="2"/>
  <c r="AQ80" i="2" s="1"/>
  <c r="AP83" i="2"/>
  <c r="AQ83" i="2" s="1"/>
  <c r="AP99" i="2"/>
  <c r="AQ99" i="2" s="1"/>
  <c r="AP9" i="2"/>
  <c r="AQ9" i="2" s="1"/>
  <c r="AP82" i="2"/>
  <c r="AQ82" i="2" s="1"/>
  <c r="AP8" i="2"/>
  <c r="AQ8" i="2" s="1"/>
  <c r="AP5" i="2"/>
  <c r="AQ5" i="2" s="1"/>
  <c r="AP22" i="2"/>
  <c r="AQ22" i="2" s="1"/>
  <c r="AP6" i="2"/>
  <c r="AQ6" i="2" s="1"/>
  <c r="AP86" i="2"/>
  <c r="AQ86" i="2" s="1"/>
  <c r="AP62" i="2"/>
  <c r="AQ62" i="2" s="1"/>
  <c r="AH176" i="2"/>
  <c r="AG176" i="2"/>
  <c r="AG16" i="2"/>
  <c r="AP20" i="2"/>
  <c r="AQ20" i="2" s="1"/>
  <c r="AG30" i="2"/>
  <c r="AP34" i="2"/>
  <c r="AQ34" i="2" s="1"/>
  <c r="AG38" i="2"/>
  <c r="AP42" i="2"/>
  <c r="AQ42" i="2" s="1"/>
  <c r="AG52" i="2"/>
  <c r="AP55" i="2"/>
  <c r="AQ55" i="2" s="1"/>
  <c r="AG69" i="2"/>
  <c r="AP71" i="2"/>
  <c r="AQ71" i="2" s="1"/>
  <c r="AP76" i="2"/>
  <c r="AQ76" i="2" s="1"/>
  <c r="AP89" i="2"/>
  <c r="AQ89" i="2" s="1"/>
  <c r="AP96" i="2"/>
  <c r="AQ96" i="2" s="1"/>
  <c r="AH114" i="2"/>
  <c r="AP121" i="2"/>
  <c r="AQ121" i="2" s="1"/>
  <c r="AH137" i="2"/>
  <c r="AG137" i="2"/>
  <c r="AP147" i="2"/>
  <c r="AQ147" i="2" s="1"/>
  <c r="AP162" i="2"/>
  <c r="AQ162" i="2" s="1"/>
  <c r="AP176" i="2"/>
  <c r="AQ176" i="2" s="1"/>
  <c r="AP18" i="2"/>
  <c r="AQ18" i="2" s="1"/>
  <c r="AG28" i="2"/>
  <c r="AP32" i="2"/>
  <c r="AQ32" i="2" s="1"/>
  <c r="AP40" i="2"/>
  <c r="AQ40" i="2" s="1"/>
  <c r="AG50" i="2"/>
  <c r="AG68" i="2"/>
  <c r="AP75" i="2"/>
  <c r="AQ75" i="2" s="1"/>
  <c r="AH88" i="2"/>
  <c r="AG88" i="2"/>
  <c r="AG104" i="2"/>
  <c r="AG109" i="2"/>
  <c r="AP134" i="2"/>
  <c r="AQ134" i="2" s="1"/>
  <c r="AG81" i="2"/>
  <c r="AG159" i="2"/>
  <c r="B4" i="1"/>
  <c r="AG59" i="2"/>
  <c r="AH74" i="2"/>
  <c r="AG80" i="2"/>
  <c r="AG146" i="2"/>
  <c r="AH190" i="2"/>
  <c r="AG190" i="2"/>
  <c r="D4" i="1"/>
  <c r="AG25" i="2"/>
  <c r="AH26" i="2"/>
  <c r="AG47" i="2"/>
  <c r="AH48" i="2"/>
  <c r="AH58" i="2"/>
  <c r="AG58" i="2"/>
  <c r="AG66" i="2"/>
  <c r="AH67" i="2"/>
  <c r="AG79" i="2"/>
  <c r="AH92" i="2"/>
  <c r="AH108" i="2"/>
  <c r="AP109" i="2"/>
  <c r="AQ109" i="2" s="1"/>
  <c r="AH119" i="2"/>
  <c r="AG119" i="2"/>
  <c r="AG133" i="2"/>
  <c r="AQ166" i="2"/>
  <c r="AH168" i="2"/>
  <c r="AG168" i="2"/>
  <c r="AH180" i="2"/>
  <c r="AG180" i="2"/>
  <c r="AP190" i="2"/>
  <c r="AQ190" i="2" s="1"/>
  <c r="AP61" i="2"/>
  <c r="AQ61" i="2" s="1"/>
  <c r="AQ101" i="2"/>
  <c r="AP105" i="2"/>
  <c r="AQ105" i="2" s="1"/>
  <c r="AG24" i="2"/>
  <c r="AG46" i="2"/>
  <c r="AP59" i="2"/>
  <c r="AQ59" i="2" s="1"/>
  <c r="AG65" i="2"/>
  <c r="AP74" i="2"/>
  <c r="AQ74" i="2" s="1"/>
  <c r="AP92" i="2"/>
  <c r="AQ92" i="2" s="1"/>
  <c r="AH103" i="2"/>
  <c r="AG103" i="2"/>
  <c r="AG126" i="2"/>
  <c r="AH126" i="2"/>
  <c r="AG153" i="2"/>
  <c r="AP127" i="2"/>
  <c r="AQ127" i="2" s="1"/>
  <c r="AG64" i="2"/>
  <c r="AG78" i="2"/>
  <c r="AG91" i="2"/>
  <c r="AP103" i="2"/>
  <c r="AQ103" i="2" s="1"/>
  <c r="AG107" i="2"/>
  <c r="AP108" i="2"/>
  <c r="AQ108" i="2" s="1"/>
  <c r="AP123" i="2"/>
  <c r="AQ123" i="2" s="1"/>
  <c r="AP139" i="2"/>
  <c r="AQ139" i="2" s="1"/>
  <c r="AQ180" i="2"/>
  <c r="AQ95" i="2"/>
  <c r="AG22" i="2"/>
  <c r="AP26" i="2"/>
  <c r="AQ26" i="2" s="1"/>
  <c r="AG36" i="2"/>
  <c r="AG44" i="2"/>
  <c r="AP48" i="2"/>
  <c r="AQ48" i="2" s="1"/>
  <c r="AP58" i="2"/>
  <c r="AQ58" i="2" s="1"/>
  <c r="AG63" i="2"/>
  <c r="AH72" i="2"/>
  <c r="AG72" i="2"/>
  <c r="AP87" i="2"/>
  <c r="AQ87" i="2" s="1"/>
  <c r="AG97" i="2"/>
  <c r="AG138" i="2"/>
  <c r="AP153" i="2"/>
  <c r="AQ153" i="2" s="1"/>
  <c r="AH182" i="2"/>
  <c r="AG182" i="2"/>
  <c r="AP73" i="2"/>
  <c r="AQ73" i="2" s="1"/>
  <c r="AP91" i="2"/>
  <c r="AQ91" i="2" s="1"/>
  <c r="AQ107" i="2"/>
  <c r="AG132" i="2"/>
  <c r="AH165" i="2"/>
  <c r="AG165" i="2"/>
  <c r="AQ54" i="2"/>
  <c r="AQ84" i="2"/>
  <c r="AQ57" i="2"/>
  <c r="AQ64" i="2"/>
  <c r="AQ72" i="2"/>
  <c r="AP78" i="2"/>
  <c r="AQ78" i="2" s="1"/>
  <c r="AQ98" i="2"/>
  <c r="AP138" i="2"/>
  <c r="AQ138" i="2" s="1"/>
  <c r="AP165" i="2"/>
  <c r="AQ165" i="2" s="1"/>
  <c r="AG49" i="2"/>
  <c r="AP60" i="2"/>
  <c r="AQ60" i="2" s="1"/>
  <c r="AG33" i="2"/>
  <c r="AH33" i="2" s="1"/>
  <c r="AG41" i="2"/>
  <c r="AH152" i="2"/>
  <c r="AG152" i="2"/>
  <c r="AH179" i="2"/>
  <c r="AG179" i="2"/>
  <c r="AG27" i="2"/>
  <c r="AQ88" i="2"/>
  <c r="AP63" i="2"/>
  <c r="AQ63" i="2" s="1"/>
  <c r="AP77" i="2"/>
  <c r="AQ77" i="2" s="1"/>
  <c r="AP97" i="2"/>
  <c r="AQ97" i="2" s="1"/>
  <c r="AP102" i="2"/>
  <c r="AQ102" i="2" s="1"/>
  <c r="AP106" i="2"/>
  <c r="AQ106" i="2" s="1"/>
  <c r="AQ115" i="2"/>
  <c r="AQ160" i="2"/>
  <c r="AH173" i="2"/>
  <c r="AG173" i="2"/>
  <c r="AH187" i="2"/>
  <c r="AG187" i="2"/>
  <c r="AP120" i="2"/>
  <c r="AQ120" i="2" s="1"/>
  <c r="AP146" i="2"/>
  <c r="AQ146" i="2" s="1"/>
  <c r="AQ179" i="2"/>
  <c r="AG118" i="2"/>
  <c r="AP126" i="2"/>
  <c r="AQ126" i="2" s="1"/>
  <c r="AG131" i="2"/>
  <c r="AG136" i="2"/>
  <c r="AG161" i="2"/>
  <c r="AQ173" i="2"/>
  <c r="AQ187" i="2"/>
  <c r="AH112" i="2"/>
  <c r="AQ119" i="2"/>
  <c r="AP137" i="2"/>
  <c r="AQ137" i="2" s="1"/>
  <c r="AH175" i="2"/>
  <c r="AG175" i="2"/>
  <c r="AG102" i="2"/>
  <c r="AG124" i="2"/>
  <c r="AQ131" i="2"/>
  <c r="AP161" i="2"/>
  <c r="AQ161" i="2" s="1"/>
  <c r="AH169" i="2"/>
  <c r="AG169" i="2"/>
  <c r="AH172" i="2"/>
  <c r="AG172" i="2"/>
  <c r="AG86" i="2"/>
  <c r="AP90" i="2"/>
  <c r="AQ90" i="2" s="1"/>
  <c r="AG100" i="2"/>
  <c r="AP104" i="2"/>
  <c r="AQ104" i="2" s="1"/>
  <c r="AG123" i="2"/>
  <c r="AP148" i="2"/>
  <c r="AQ148" i="2" s="1"/>
  <c r="AH183" i="2"/>
  <c r="AG183" i="2"/>
  <c r="AH186" i="2"/>
  <c r="AG186" i="2"/>
  <c r="AQ117" i="2"/>
  <c r="AQ135" i="2"/>
  <c r="AG160" i="2"/>
  <c r="AH166" i="2"/>
  <c r="AG166" i="2"/>
  <c r="AQ169" i="2"/>
  <c r="AQ172" i="2"/>
  <c r="AH189" i="2"/>
  <c r="AG189" i="2"/>
  <c r="AP133" i="2"/>
  <c r="AQ133" i="2" s="1"/>
  <c r="AG144" i="2"/>
  <c r="AP145" i="2"/>
  <c r="AQ145" i="2" s="1"/>
  <c r="AG151" i="2"/>
  <c r="AG158" i="2"/>
  <c r="AP159" i="2"/>
  <c r="AQ159" i="2" s="1"/>
  <c r="AH164" i="2"/>
  <c r="AG164" i="2"/>
  <c r="AQ168" i="2"/>
  <c r="AH171" i="2"/>
  <c r="AG171" i="2"/>
  <c r="AQ175" i="2"/>
  <c r="AH178" i="2"/>
  <c r="AG178" i="2"/>
  <c r="AQ182" i="2"/>
  <c r="AH185" i="2"/>
  <c r="AG185" i="2"/>
  <c r="AQ189" i="2"/>
  <c r="AG150" i="2"/>
  <c r="AG157" i="2"/>
  <c r="AQ164" i="2"/>
  <c r="AH167" i="2"/>
  <c r="AG167" i="2"/>
  <c r="AQ171" i="2"/>
  <c r="AH174" i="2"/>
  <c r="AG174" i="2"/>
  <c r="AH181" i="2"/>
  <c r="AG181" i="2"/>
  <c r="AH188" i="2"/>
  <c r="AG188" i="2"/>
  <c r="AG149" i="2"/>
  <c r="AG156" i="2"/>
  <c r="AP157" i="2"/>
  <c r="AQ157" i="2" s="1"/>
  <c r="AG163" i="2"/>
  <c r="AQ167" i="2"/>
  <c r="AH170" i="2"/>
  <c r="AG170" i="2"/>
  <c r="AQ174" i="2"/>
  <c r="AH177" i="2"/>
  <c r="AG177" i="2"/>
  <c r="AQ181" i="2"/>
  <c r="AH184" i="2"/>
  <c r="AG184" i="2"/>
  <c r="AQ188" i="2"/>
  <c r="AP191" i="2"/>
  <c r="AQ191" i="2" s="1"/>
  <c r="AG191" i="2"/>
  <c r="E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<sst xmlns="http://schemas.openxmlformats.org/spreadsheetml/2006/main" count="1524" uniqueCount="1347">
  <si>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</si>
  <si>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</si>
  <si>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</si>
  <si>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</si>
  <si>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</si>
  <si>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</si>
  <si>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</si>
  <si>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</si>
  <si>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</si>
  <si>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</si>
  <si>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</si>
  <si>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</si>
  <si>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</si>
  <si>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</si>
  <si>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</si>
  <si>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</si>
  <si>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</si>
  <si>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</si>
  <si>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</si>
  <si>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</si>
  <si>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</si>
  <si>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</si>
  <si>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</si>
  <si>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</si>
  <si>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</si>
  <si>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</si>
  <si>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</si>
  <si>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</si>
  <si>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</si>
  <si>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</si>
  <si>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</si>
  <si>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</si>
  <si>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</si>
  <si>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</si>
  <si>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</si>
  <si>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</si>
  <si>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</si>
  <si>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</si>
  <si>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</si>
  <si>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</si>
  <si>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</si>
  <si>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</si>
  <si>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</si>
  <si>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</si>
  <si>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</si>
  <si>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</si>
  <si>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</si>
  <si>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</si>
  <si>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</si>
  <si>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</si>
  <si>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</si>
  <si>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</si>
  <si>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</si>
  <si>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</si>
  <si>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</si>
  <si>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</si>
  <si>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</si>
  <si>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</si>
  <si>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</si>
  <si>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</si>
  <si>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</si>
  <si>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</si>
  <si>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</si>
  <si>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</si>
  <si>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</si>
  <si>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</si>
  <si>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</si>
  <si>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</si>
  <si>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</si>
  <si>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</si>
  <si>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</si>
  <si>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</si>
  <si>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</si>
  <si>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</si>
  <si>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</si>
  <si>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</si>
  <si>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</si>
  <si>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</si>
  <si>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</si>
  <si>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</si>
  <si>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</si>
  <si>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</si>
  <si>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</si>
  <si>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</si>
  <si>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</si>
  <si>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</si>
  <si>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</si>
  <si>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</si>
  <si>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</si>
  <si>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</si>
  <si>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</si>
  <si>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</si>
  <si>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</si>
  <si>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</si>
  <si>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</si>
  <si>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</si>
  <si>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</si>
  <si>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</si>
  <si>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</si>
  <si>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</si>
  <si>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</si>
  <si>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</si>
  <si>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</si>
  <si>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</si>
  <si>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</si>
  <si>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</si>
  <si>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</si>
  <si>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</si>
  <si>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</si>
  <si>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</si>
  <si>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</si>
  <si>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</si>
  <si>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</si>
  <si>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</si>
  <si>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</si>
  <si>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</si>
  <si>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</si>
  <si>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</si>
  <si>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</si>
  <si>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</si>
  <si>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</si>
  <si>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</si>
  <si>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</si>
  <si>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</si>
  <si>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</si>
  <si>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</si>
  <si>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</si>
  <si>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</si>
  <si>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</si>
  <si>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</si>
  <si>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</si>
  <si>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</si>
  <si>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</si>
  <si>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</si>
  <si>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</si>
  <si>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</si>
  <si>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</si>
  <si>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</si>
  <si>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</si>
  <si>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</si>
  <si>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</si>
  <si>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</si>
  <si>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</si>
  <si>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</si>
  <si>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</si>
  <si>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</si>
  <si>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</si>
  <si>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</si>
  <si>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</si>
  <si>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</si>
  <si>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</si>
  <si>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</si>
  <si>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</si>
  <si>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</si>
  <si>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</si>
  <si>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</si>
  <si>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</si>
  <si>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</si>
  <si>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</si>
  <si>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</si>
  <si>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</si>
  <si>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</si>
  <si>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</si>
  <si>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</si>
  <si>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</si>
  <si>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</si>
  <si>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</si>
  <si>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</si>
  <si>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</si>
  <si>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</si>
  <si>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</si>
  <si>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</si>
  <si>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</si>
  <si>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</si>
  <si>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</si>
  <si>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</si>
  <si>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</si>
  <si>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</si>
  <si>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</si>
  <si>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</si>
  <si>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</si>
  <si>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</si>
  <si>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</si>
  <si>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</si>
  <si>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</si>
  <si>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</si>
  <si>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</si>
  <si>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</si>
  <si>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</si>
  <si>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</si>
  <si>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</si>
  <si>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</si>
  <si>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</si>
  <si>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</si>
  <si>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</si>
  <si>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</si>
  <si>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</si>
  <si>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</si>
  <si>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</si>
  <si>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</si>
  <si>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</si>
  <si>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</si>
  <si>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</si>
  <si>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</si>
  <si>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</si>
  <si>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</si>
  <si>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</si>
  <si>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</si>
  <si>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</si>
  <si>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</si>
  <si>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</si>
  <si>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</si>
  <si>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</si>
  <si>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</si>
  <si>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</si>
  <si>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</si>
  <si>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</si>
  <si>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</si>
  <si>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</si>
  <si>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</si>
  <si>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</si>
  <si>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</si>
  <si>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</si>
  <si>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</si>
  <si>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</si>
  <si>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</si>
  <si>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</si>
  <si>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</si>
  <si>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</si>
  <si>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</si>
  <si>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</si>
  <si>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</si>
  <si>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</si>
  <si>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</si>
  <si>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</si>
  <si>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</si>
  <si>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</si>
  <si>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</si>
  <si>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</si>
  <si>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</si>
  <si>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</si>
  <si>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</si>
  <si>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</si>
  <si>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</si>
  <si>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</si>
  <si>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</si>
  <si>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</si>
  <si>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</si>
  <si>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</si>
  <si>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</si>
  <si>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</si>
  <si>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</si>
  <si>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</si>
  <si>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</si>
  <si>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</si>
  <si>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</si>
  <si>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</si>
  <si>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</si>
  <si>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</si>
  <si>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</si>
  <si>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</si>
  <si>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</si>
  <si>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</si>
  <si>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</si>
  <si>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</si>
  <si>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</si>
  <si>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</si>
  <si>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</si>
  <si>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</si>
  <si>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</si>
  <si>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</si>
  <si>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</si>
  <si>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</si>
  <si>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</si>
  <si>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</si>
  <si>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</si>
  <si>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</si>
  <si>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</si>
  <si>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</si>
  <si>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</si>
  <si>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</si>
  <si>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</si>
  <si>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</si>
  <si>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</si>
  <si>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</si>
  <si>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</si>
  <si>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</si>
  <si>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</si>
  <si>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</si>
  <si>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</si>
  <si>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</si>
  <si>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</si>
  <si>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</si>
  <si>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</si>
  <si>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</si>
  <si>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</si>
  <si>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</si>
  <si>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</si>
  <si>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</si>
  <si>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</si>
  <si>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</si>
  <si>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</si>
  <si>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</si>
  <si>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</si>
  <si>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</si>
  <si>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</si>
  <si>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Baumannlaan 175H</t>
  </si>
  <si>
    <t>0392</t>
  </si>
  <si>
    <t>Detaconcept Uitzendgroep B.V.</t>
  </si>
  <si>
    <t>KPN</t>
  </si>
  <si>
    <t>Burgemeester Cramerlaan 82</t>
  </si>
  <si>
    <t>0276</t>
  </si>
  <si>
    <t>Dhr D. Pronk en Mw y. Pronk - Dijkhuizen</t>
  </si>
  <si>
    <t>L&amp;T BV</t>
  </si>
  <si>
    <t>Burgemeester Crezeelaan 76</t>
  </si>
  <si>
    <t>0275</t>
  </si>
  <si>
    <t>Dhr I.B. Stefan</t>
  </si>
  <si>
    <t>L. Schilstra / Eigenaar.nl</t>
  </si>
  <si>
    <t>Burgemeester Stulemeijerlaan 71</t>
  </si>
  <si>
    <t>0292</t>
  </si>
  <si>
    <t>Dhr. A. Dorin</t>
  </si>
  <si>
    <t>Leendert Keizer</t>
  </si>
  <si>
    <t>Chopinstraat 33C</t>
  </si>
  <si>
    <t>0160</t>
  </si>
  <si>
    <t>Dhr. A. Ros</t>
  </si>
  <si>
    <t>Loodgieter Pietersen</t>
  </si>
  <si>
    <t xml:space="preserve">Chopinstraat 35A </t>
  </si>
  <si>
    <t>0131</t>
  </si>
  <si>
    <t>Dhr. B. Vlastuin</t>
  </si>
  <si>
    <t>M&amp;M Hendriks</t>
  </si>
  <si>
    <t>Chopinstraat 39C</t>
  </si>
  <si>
    <t>0026</t>
  </si>
  <si>
    <t>Dhr. J.L. Meerding</t>
  </si>
  <si>
    <t>M. Dogan</t>
  </si>
  <si>
    <t>Cloosterstraat 23A</t>
  </si>
  <si>
    <t>0370</t>
  </si>
  <si>
    <t>Dhr. J.M.R. Boringa</t>
  </si>
  <si>
    <t>M. Farajzadeh</t>
  </si>
  <si>
    <t>Coehoorn van Scheltingaweg 12</t>
  </si>
  <si>
    <t>0051</t>
  </si>
  <si>
    <t>Dhr. M. Moeilijker</t>
  </si>
  <si>
    <t>M. Kathiravelu</t>
  </si>
  <si>
    <t>Coehoorn van Scheltingaweg 66</t>
  </si>
  <si>
    <t>0052</t>
  </si>
  <si>
    <t>Dhr. R Verspui</t>
  </si>
  <si>
    <t>M. Koolhaas</t>
  </si>
  <si>
    <t>Compierekade 15</t>
  </si>
  <si>
    <t>0345</t>
  </si>
  <si>
    <t>Dhr. R. Bekken</t>
  </si>
  <si>
    <t>M. Moeilijker</t>
  </si>
  <si>
    <t xml:space="preserve">Coornhertstraat 95 </t>
  </si>
  <si>
    <t>0162</t>
  </si>
  <si>
    <t>Dhr. R. J. Beking</t>
  </si>
  <si>
    <t>M. Poel</t>
  </si>
  <si>
    <t xml:space="preserve">Cubalaan 25 </t>
  </si>
  <si>
    <t>0375</t>
  </si>
  <si>
    <t>Dhr. SWJ Colpaert en Mevr. J. Michielsen</t>
  </si>
  <si>
    <t>M.B. Kewal</t>
  </si>
  <si>
    <t>Curacaolaan 24</t>
  </si>
  <si>
    <t>0163</t>
  </si>
  <si>
    <t>Dhr. T. Roestenberg en Mw. Roestenberg - Hustinx</t>
  </si>
  <si>
    <t>M.C. Mostert</t>
  </si>
  <si>
    <t>Curacaolaan 88</t>
  </si>
  <si>
    <t>0030</t>
  </si>
  <si>
    <t>Direct Rendement B.V.</t>
  </si>
  <si>
    <t>Maatschap vd Vlist -Teuben</t>
  </si>
  <si>
    <t xml:space="preserve">Curcumastraat 39 </t>
  </si>
  <si>
    <t>0053</t>
  </si>
  <si>
    <t>Duijndam Personeelsdiensten B.V.</t>
  </si>
  <si>
    <t>Martens JG / Van Tetering CFP</t>
  </si>
  <si>
    <t>Datheenstraat 255</t>
  </si>
  <si>
    <t>0151</t>
  </si>
  <si>
    <t>Dumanli</t>
  </si>
  <si>
    <t>Meershoek</t>
  </si>
  <si>
    <t>De Driesprong 17</t>
  </si>
  <si>
    <t>0165</t>
  </si>
  <si>
    <t>Dunaj Projekty SRO</t>
  </si>
  <si>
    <t>MvB Services BV (Meindert van Buuren)</t>
  </si>
  <si>
    <t>De Gasperistraat 11</t>
  </si>
  <si>
    <t>0054</t>
  </si>
  <si>
    <t>Dutch Ink</t>
  </si>
  <si>
    <t>Orange Invesments Group</t>
  </si>
  <si>
    <t>De Haak, Zekkenstraat 31A</t>
  </si>
  <si>
    <t>0288</t>
  </si>
  <si>
    <t>Dutch Shipyard B.V.</t>
  </si>
  <si>
    <t>Orange Investments Group</t>
  </si>
  <si>
    <t>De Haak, Zekkenstraat 31B</t>
  </si>
  <si>
    <t>0289</t>
  </si>
  <si>
    <t>Dynalinx B.V.</t>
  </si>
  <si>
    <t>P. Nederstigt</t>
  </si>
  <si>
    <t>De Haak, Zekkenstraat 56</t>
  </si>
  <si>
    <t>0290</t>
  </si>
  <si>
    <t>E Rebel</t>
  </si>
  <si>
    <t>P. Ter Haar - Ros</t>
  </si>
  <si>
    <t>De Hooidollen 606</t>
  </si>
  <si>
    <t>0056</t>
  </si>
  <si>
    <t>E.C. Koornneef</t>
  </si>
  <si>
    <t>PRMD</t>
  </si>
  <si>
    <t>Deensestraat 6A2</t>
  </si>
  <si>
    <t>0153</t>
  </si>
  <si>
    <t>E.C. Laus (Landsteinerhof 68)</t>
  </si>
  <si>
    <t>Parkwonen</t>
  </si>
  <si>
    <t>Desiree Geeraertstraat 1 B</t>
  </si>
  <si>
    <t>0023</t>
  </si>
  <si>
    <t>E.C. Laus / K. van Elk Landsteinerhof</t>
  </si>
  <si>
    <t>Quadrant Vastgoed B.V.</t>
  </si>
  <si>
    <t>Desiree Geeraertstraat 1 C</t>
  </si>
  <si>
    <t>0024</t>
  </si>
  <si>
    <t>EG Facility &amp; Services BV</t>
  </si>
  <si>
    <t>R. Basil</t>
  </si>
  <si>
    <t>Deugenweerd 18</t>
  </si>
  <si>
    <t>0058</t>
  </si>
  <si>
    <t>ERGO Construction doo</t>
  </si>
  <si>
    <t>R. Bekken</t>
  </si>
  <si>
    <t>Dieptol 63</t>
  </si>
  <si>
    <t>0059</t>
  </si>
  <si>
    <t>EU Facility Services</t>
  </si>
  <si>
    <t xml:space="preserve">R. Boringa </t>
  </si>
  <si>
    <t>Dorpsstraat 48</t>
  </si>
  <si>
    <t>0354</t>
  </si>
  <si>
    <t>EWLIT Sp.Z.O.O.SP.K</t>
  </si>
  <si>
    <t>R. Bouius</t>
  </si>
  <si>
    <t xml:space="preserve">Dorpsstraat 73 </t>
  </si>
  <si>
    <t>0066</t>
  </si>
  <si>
    <t>Eastmen</t>
  </si>
  <si>
    <t>R. Paalman</t>
  </si>
  <si>
    <t>Dorpstraat 48</t>
  </si>
  <si>
    <t>0203</t>
  </si>
  <si>
    <t>Eastmen Human Resources B.V.</t>
  </si>
  <si>
    <t>R. Ras</t>
  </si>
  <si>
    <t xml:space="preserve">Dwarsweg 44 </t>
  </si>
  <si>
    <t>0061</t>
  </si>
  <si>
    <t>Easyjob People</t>
  </si>
  <si>
    <t>R. Verspui</t>
  </si>
  <si>
    <t>Eendrachtstraat 22</t>
  </si>
  <si>
    <t>0062</t>
  </si>
  <si>
    <t>Edy Comert BV</t>
  </si>
  <si>
    <t>Risa Beheer</t>
  </si>
  <si>
    <t>Elisadonk 220</t>
  </si>
  <si>
    <t>0136</t>
  </si>
  <si>
    <t>Edy Comert SRL</t>
  </si>
  <si>
    <t>Robert de Jonge</t>
  </si>
  <si>
    <t xml:space="preserve">Energieweg 40 </t>
  </si>
  <si>
    <t>0063</t>
  </si>
  <si>
    <t>Eemsdelta Housing B.V.</t>
  </si>
  <si>
    <t>Roestenberg</t>
  </si>
  <si>
    <t>Engelsestraat 16L1</t>
  </si>
  <si>
    <t>0168</t>
  </si>
  <si>
    <t>Eigenaren van Dieptol 63</t>
  </si>
  <si>
    <t>Ruva Vastgoed B.V.</t>
  </si>
  <si>
    <t>Engelsestraat 16L3</t>
  </si>
  <si>
    <t>0095</t>
  </si>
  <si>
    <t>Eizema Heerenveen Vastgoed b.v.</t>
  </si>
  <si>
    <t>S. Bakker / Eigenaar.nl</t>
  </si>
  <si>
    <t>Enk 6</t>
  </si>
  <si>
    <t>0064</t>
  </si>
  <si>
    <t>Employ</t>
  </si>
  <si>
    <t>S. Isaku</t>
  </si>
  <si>
    <t>Enschotsestraat 163</t>
  </si>
  <si>
    <t>0006</t>
  </si>
  <si>
    <t>Employ Facilitair B.V.</t>
  </si>
  <si>
    <t>S. Kleiren</t>
  </si>
  <si>
    <t xml:space="preserve">Esdoornlaan 68 </t>
  </si>
  <si>
    <t>0065</t>
  </si>
  <si>
    <t>Estra Logistics Systems B.V.</t>
  </si>
  <si>
    <t>S. Raats (123Wonen)</t>
  </si>
  <si>
    <t>F.Erensstraat 21</t>
  </si>
  <si>
    <t>0068</t>
  </si>
  <si>
    <t>Euromontur Asemblies SL.</t>
  </si>
  <si>
    <t>Schoonmaakbedrijf Frisse Start</t>
  </si>
  <si>
    <t>Fabristraat 34A</t>
  </si>
  <si>
    <t>0093</t>
  </si>
  <si>
    <t>Europe-jobs B.V.</t>
  </si>
  <si>
    <t>Sill Marinus Dijkstra Vastgoedbeheer)</t>
  </si>
  <si>
    <t>Fabristraat 34B</t>
  </si>
  <si>
    <t>0094</t>
  </si>
  <si>
    <t>European Business Brokers</t>
  </si>
  <si>
    <t>Sjoerd Dolstra</t>
  </si>
  <si>
    <t>Fenacoliuslaan 56B</t>
  </si>
  <si>
    <t>0273</t>
  </si>
  <si>
    <t>F. Veurink en P. Neleman</t>
  </si>
  <si>
    <t>Stef Kleijweg</t>
  </si>
  <si>
    <t>Flankstraat 11</t>
  </si>
  <si>
    <t>0331</t>
  </si>
  <si>
    <t>FGM Solar Renewable S.R.L.</t>
  </si>
  <si>
    <t>T. Eenhuistra/J. Pluimakers</t>
  </si>
  <si>
    <t>Franselaan 273B</t>
  </si>
  <si>
    <t>0019</t>
  </si>
  <si>
    <t>FISSH B.V.</t>
  </si>
  <si>
    <t>T. Hoolhorst</t>
  </si>
  <si>
    <t>Franz Liszstraat 5</t>
  </si>
  <si>
    <t>0067</t>
  </si>
  <si>
    <t>T. van de Moosdijk</t>
  </si>
  <si>
    <t>G.A. Brederolaan 75B</t>
  </si>
  <si>
    <t>0017</t>
  </si>
  <si>
    <t>Fam. Derwig</t>
  </si>
  <si>
    <t>TH Mungroop</t>
  </si>
  <si>
    <t>Gaffelaar 3</t>
  </si>
  <si>
    <t>0069</t>
  </si>
  <si>
    <t>Fareon Z Nederland</t>
  </si>
  <si>
    <t>Tradiro</t>
  </si>
  <si>
    <t>Galgeweg 48-A</t>
  </si>
  <si>
    <t>0009</t>
  </si>
  <si>
    <t>Fasttravel Taxi</t>
  </si>
  <si>
    <t>Transformatiehaven BV</t>
  </si>
  <si>
    <t>Geldersestraat 91</t>
  </si>
  <si>
    <t>0109</t>
  </si>
  <si>
    <t>Feel Flex B.V.</t>
  </si>
  <si>
    <t>TwinsBV</t>
  </si>
  <si>
    <t>Geleenstraat 1</t>
  </si>
  <si>
    <t>0070</t>
  </si>
  <si>
    <t>Finest Housing B.V.</t>
  </si>
  <si>
    <t>Value+ Vastgoedmanagement</t>
  </si>
  <si>
    <t>Gerberalaan 113</t>
  </si>
  <si>
    <t>0277</t>
  </si>
  <si>
    <t>Finishing De Luxe GmbH</t>
  </si>
  <si>
    <t>Vattenfall</t>
  </si>
  <si>
    <t>Goudestein 30</t>
  </si>
  <si>
    <t>0170</t>
  </si>
  <si>
    <t>Fix Personeelsdiensten</t>
  </si>
  <si>
    <t>Verknocht</t>
  </si>
  <si>
    <t>Groenelaan 30B</t>
  </si>
  <si>
    <t>0025</t>
  </si>
  <si>
    <t>Flex House Renting B.V.</t>
  </si>
  <si>
    <t>Veurink</t>
  </si>
  <si>
    <t>Groeneweg 127</t>
  </si>
  <si>
    <t>0172</t>
  </si>
  <si>
    <t>Flex Pons B.V.</t>
  </si>
  <si>
    <t>Vivir wonen (Mendy)</t>
  </si>
  <si>
    <t xml:space="preserve">Groeneweg 71 </t>
  </si>
  <si>
    <t>0173</t>
  </si>
  <si>
    <t>FlexState B.V.</t>
  </si>
  <si>
    <t>Vondellaan vastgoed</t>
  </si>
  <si>
    <t>Groeneweg 74</t>
  </si>
  <si>
    <t>0174</t>
  </si>
  <si>
    <t>Flexbo B.V.</t>
  </si>
  <si>
    <t>W. van Straalen</t>
  </si>
  <si>
    <t>H. Algraplein 25</t>
  </si>
  <si>
    <t>0071</t>
  </si>
  <si>
    <t>Flexcraft SSC BV</t>
  </si>
  <si>
    <t>Westhavendomein</t>
  </si>
  <si>
    <t>Haagkamp 11</t>
  </si>
  <si>
    <t>0279</t>
  </si>
  <si>
    <t>Flextalent4u Uitzenden B.V.</t>
  </si>
  <si>
    <t>Wooninq</t>
  </si>
  <si>
    <t>Hagastraat 8</t>
  </si>
  <si>
    <t>0175</t>
  </si>
  <si>
    <t>Flexvesting B.V.</t>
  </si>
  <si>
    <t>Z. Yilmaz</t>
  </si>
  <si>
    <t>Heemskerkstraat 19</t>
  </si>
  <si>
    <t>0072</t>
  </si>
  <si>
    <t>Flowerhill B.V.</t>
  </si>
  <si>
    <t>Ziggo</t>
  </si>
  <si>
    <t>Hendrik Deddenstraat 26</t>
  </si>
  <si>
    <t>0073</t>
  </si>
  <si>
    <t>Focuzop-eu</t>
  </si>
  <si>
    <t>Hendriklaan 49</t>
  </si>
  <si>
    <t>0325</t>
  </si>
  <si>
    <t>Fryslân Homes</t>
  </si>
  <si>
    <t xml:space="preserve">Herautpad 22 </t>
  </si>
  <si>
    <t>0176</t>
  </si>
  <si>
    <t>Furniture Lease</t>
  </si>
  <si>
    <t>Herenpad 20 A</t>
  </si>
  <si>
    <t>0133</t>
  </si>
  <si>
    <t>G.D. Dijkstra</t>
  </si>
  <si>
    <t>Herenpad 20 B</t>
  </si>
  <si>
    <t>0134</t>
  </si>
  <si>
    <t>Hoefslag 8</t>
  </si>
  <si>
    <t>0107</t>
  </si>
  <si>
    <t>GAP Costruzioni S.r.l.</t>
  </si>
  <si>
    <t>Hof van zeeland 2</t>
  </si>
  <si>
    <t>0334</t>
  </si>
  <si>
    <t>GMC KOVI Global Metal Construction</t>
  </si>
  <si>
    <t>Hoge Noordweg 27B</t>
  </si>
  <si>
    <t>0177</t>
  </si>
  <si>
    <t>GOTI Verhuur B.V.</t>
  </si>
  <si>
    <t>Hoge Noordweg 28</t>
  </si>
  <si>
    <t>0178</t>
  </si>
  <si>
    <t>GSI B.V.</t>
  </si>
  <si>
    <t>Hogenbanweg 331</t>
  </si>
  <si>
    <t>0031</t>
  </si>
  <si>
    <t>Gap Costruzioni Dutch Branch</t>
  </si>
  <si>
    <t>Hontenissestraat 124</t>
  </si>
  <si>
    <t>0181</t>
  </si>
  <si>
    <t>Gastvrijaanzee.nl</t>
  </si>
  <si>
    <t>Hoofdstraat 110</t>
  </si>
  <si>
    <t>0075</t>
  </si>
  <si>
    <t>Gemeente Waadhoeke</t>
  </si>
  <si>
    <t>Hooizolder 6</t>
  </si>
  <si>
    <t>0078</t>
  </si>
  <si>
    <t>Global Accomodation Solutions (Incassobureau)</t>
  </si>
  <si>
    <t>Hugo de Grootstraat 72A &amp; B</t>
  </si>
  <si>
    <t>0147</t>
  </si>
  <si>
    <t>Global Expatriate Services SL</t>
  </si>
  <si>
    <t xml:space="preserve">Hugo de Vriesstraat 54 </t>
  </si>
  <si>
    <t>0183</t>
  </si>
  <si>
    <t>Gridin's Group LT</t>
  </si>
  <si>
    <t>Industriestraat 9</t>
  </si>
  <si>
    <t>0391</t>
  </si>
  <si>
    <t>Groene Hart Service Detachering B.V.</t>
  </si>
  <si>
    <t>Inundatiestraat 3</t>
  </si>
  <si>
    <t>0039</t>
  </si>
  <si>
    <t>H. Molla Farajzadeh</t>
  </si>
  <si>
    <t>Jacob van Lennepstraat 13 A</t>
  </si>
  <si>
    <t>0187</t>
  </si>
  <si>
    <t>H. van den Berg</t>
  </si>
  <si>
    <t>Jacob van Lennepstraat 13 b</t>
  </si>
  <si>
    <t>0188</t>
  </si>
  <si>
    <t>H.A. Samsom &amp; M.E.P. Knaap</t>
  </si>
  <si>
    <t>Jacob van Lennepstraat 34</t>
  </si>
  <si>
    <t>0189</t>
  </si>
  <si>
    <t>H.C. van Os - Remeeus</t>
  </si>
  <si>
    <t>Jacob van offwegenlaan 26</t>
  </si>
  <si>
    <t>0032</t>
  </si>
  <si>
    <t>H.T.C. Facility Services B.V.</t>
  </si>
  <si>
    <t>Jan van Arkelstraat 118</t>
  </si>
  <si>
    <t>0191</t>
  </si>
  <si>
    <t>HBBwonen.nu B.V.</t>
  </si>
  <si>
    <t>Jasmijnring 37</t>
  </si>
  <si>
    <t>0087</t>
  </si>
  <si>
    <t>HJC Service</t>
  </si>
  <si>
    <t>Johan Willem Frisostraat 36</t>
  </si>
  <si>
    <t>0146</t>
  </si>
  <si>
    <t>Habroko B.V.</t>
  </si>
  <si>
    <t xml:space="preserve">Kaapsebos 11 </t>
  </si>
  <si>
    <t>0192</t>
  </si>
  <si>
    <t>Head Vastgoed B.V.</t>
  </si>
  <si>
    <t>Kanaal van Steenenhoek Z.Z. 10</t>
  </si>
  <si>
    <t>0082</t>
  </si>
  <si>
    <t>Heijdra Dhr. H.M.</t>
  </si>
  <si>
    <t>Kapershoek 11</t>
  </si>
  <si>
    <t>0193</t>
  </si>
  <si>
    <t>Hiltermann Lease B.V.</t>
  </si>
  <si>
    <t>Karel Doormanlaan 21A</t>
  </si>
  <si>
    <t>0274</t>
  </si>
  <si>
    <t>Hiway Operational Company B.V.</t>
  </si>
  <si>
    <t>Kastanjelaan 232</t>
  </si>
  <si>
    <t>0159</t>
  </si>
  <si>
    <t>Holland Chalet Park</t>
  </si>
  <si>
    <t>Keesomstraat 22</t>
  </si>
  <si>
    <t>0194</t>
  </si>
  <si>
    <t>Homekeur B.V.</t>
  </si>
  <si>
    <t xml:space="preserve">Keesomstraat 50 </t>
  </si>
  <si>
    <t>0195</t>
  </si>
  <si>
    <t>Homescout21 B.V.</t>
  </si>
  <si>
    <t>Keesomstraat 54</t>
  </si>
  <si>
    <t>0196</t>
  </si>
  <si>
    <t>Horus Team Sp. Z.o.o.</t>
  </si>
  <si>
    <t>Kerkdreef 42</t>
  </si>
  <si>
    <t>0084</t>
  </si>
  <si>
    <t>Kerkweg 9A [333]</t>
  </si>
  <si>
    <t>0312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</si>
  <si>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</si>
  <si>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</si>
  <si>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</si>
  <si>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</si>
  <si>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</si>
  <si>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</si>
  <si>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</si>
  <si>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Kerkweg 9A [347]</t>
  </si>
  <si>
    <t>0317</t>
  </si>
  <si>
    <t>Houvast Estates B.V.</t>
  </si>
  <si>
    <t>Kerkweg 9a [135]</t>
  </si>
  <si>
    <t>0308</t>
  </si>
  <si>
    <t>Hugo Vastgoed B.V.</t>
  </si>
  <si>
    <t xml:space="preserve">Kerkweg 9a [137] </t>
  </si>
  <si>
    <t>0309</t>
  </si>
  <si>
    <t>I.I. Bhaggoe</t>
  </si>
  <si>
    <t>Kerkweg 9a [210]</t>
  </si>
  <si>
    <t>0310</t>
  </si>
  <si>
    <t>I.T.S. SR.L. (INDUSTRIAL TECHNICAL SERVICES), BRAN</t>
  </si>
  <si>
    <t>Kerkweg 9a [269]</t>
  </si>
  <si>
    <t>0311</t>
  </si>
  <si>
    <t>IC Idea Complex Sp. Z.o.o.</t>
  </si>
  <si>
    <t>Kerkweg 9a [340]</t>
  </si>
  <si>
    <t>0332</t>
  </si>
  <si>
    <t>ICS Impianti S.R.L.</t>
  </si>
  <si>
    <t>Kerkweg 9a [342]</t>
  </si>
  <si>
    <t>0315</t>
  </si>
  <si>
    <t>IFC B.V.</t>
  </si>
  <si>
    <t>Kerkweg 9a [346]</t>
  </si>
  <si>
    <t>0316</t>
  </si>
  <si>
    <t>IPS Industrial Plant Solutions Kft.</t>
  </si>
  <si>
    <t>Kerkweg 9a [348]</t>
  </si>
  <si>
    <t>0338</t>
  </si>
  <si>
    <t>Impes Service S.p.A.</t>
  </si>
  <si>
    <t>Kerkweg 9a [349]</t>
  </si>
  <si>
    <t>0318</t>
  </si>
  <si>
    <t>Impianti Industriala S.P.A. NEDERLAND BRANCH</t>
  </si>
  <si>
    <t>Kerkweg 9a [356]</t>
  </si>
  <si>
    <t>0319</t>
  </si>
  <si>
    <t>In Stijl Totaalbouw BV</t>
  </si>
  <si>
    <t>Kerkweg 9a [357]</t>
  </si>
  <si>
    <t>0339</t>
  </si>
  <si>
    <t>InAxtion Vastgoed B.V.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</si>
  <si>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</si>
  <si>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</si>
  <si>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</si>
  <si>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</si>
  <si>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</si>
  <si>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</si>
  <si>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</si>
  <si>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</si>
  <si>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Interwel Oost B.V.</t>
  </si>
  <si>
    <t>Kerstendijk 125</t>
  </si>
  <si>
    <t>0199</t>
  </si>
  <si>
    <t>I–Housing Vastgoed Beheer B.V.</t>
  </si>
  <si>
    <t>Kethelweg 1B</t>
  </si>
  <si>
    <t>0010</t>
  </si>
  <si>
    <t>J. Hermans</t>
  </si>
  <si>
    <t>Kethelweg 1C</t>
  </si>
  <si>
    <t>0011</t>
  </si>
  <si>
    <t>J. Hogervorst</t>
  </si>
  <si>
    <t>Kethelweg 66 D</t>
  </si>
  <si>
    <t>0333</t>
  </si>
  <si>
    <t>J. J. van Veen</t>
  </si>
  <si>
    <t>Kethelweg 66A</t>
  </si>
  <si>
    <t>0088</t>
  </si>
  <si>
    <t>J. Kuipers</t>
  </si>
  <si>
    <t xml:space="preserve">Kethelweg 66B </t>
  </si>
  <si>
    <t>0122</t>
  </si>
  <si>
    <t>J. Luijsterburg</t>
  </si>
  <si>
    <t>Kethelweg 66C</t>
  </si>
  <si>
    <t>0033</t>
  </si>
  <si>
    <t>J. van Heeswijk</t>
  </si>
  <si>
    <t>Kethelweg 68A</t>
  </si>
  <si>
    <t>0034</t>
  </si>
  <si>
    <t>J.D. Jongsma</t>
  </si>
  <si>
    <t>Kierkegaardhof 54</t>
  </si>
  <si>
    <t>0085</t>
  </si>
  <si>
    <t>JC Kemp</t>
  </si>
  <si>
    <t>Kimbrenoord 15</t>
  </si>
  <si>
    <t>0202</t>
  </si>
  <si>
    <t>JES Funding &amp; Beheer B.V.</t>
  </si>
  <si>
    <t>Kimbrenoord 49</t>
  </si>
  <si>
    <t>0359</t>
  </si>
  <si>
    <t>JJM Personeel B.V.</t>
  </si>
  <si>
    <t>Kleine Beer 60</t>
  </si>
  <si>
    <t>0086</t>
  </si>
  <si>
    <t>JPJ Stoel</t>
  </si>
  <si>
    <t>Koningin Julianastraat 27</t>
  </si>
  <si>
    <t>0119</t>
  </si>
  <si>
    <t>JT Glazenwasserij en Schoonmaakdiensten</t>
  </si>
  <si>
    <t>Koperwerf 28</t>
  </si>
  <si>
    <t>0291</t>
  </si>
  <si>
    <t>Jacco Maat</t>
  </si>
  <si>
    <t>Korte Singelstraat 21-2</t>
  </si>
  <si>
    <t>0126</t>
  </si>
  <si>
    <t>Jan Luijsterburg Beheer B.V.</t>
  </si>
  <si>
    <t>Korte Singelstraat 21-3</t>
  </si>
  <si>
    <t>0125</t>
  </si>
  <si>
    <t>Krabbendijkestraat 456</t>
  </si>
  <si>
    <t>0198</t>
  </si>
  <si>
    <t>Jong de SAW Dhr</t>
  </si>
  <si>
    <t xml:space="preserve">Kreekrug 1 </t>
  </si>
  <si>
    <t>0205</t>
  </si>
  <si>
    <t>Joost de Jong Holding B.V.</t>
  </si>
  <si>
    <t>Kritostraat 54</t>
  </si>
  <si>
    <t>0389</t>
  </si>
  <si>
    <t>Joyce Bakker Advies</t>
  </si>
  <si>
    <t>Kruiningenstraat 152</t>
  </si>
  <si>
    <t>0206</t>
  </si>
  <si>
    <t>K-Power Netherlands Kft</t>
  </si>
  <si>
    <t>Kruiningenstraat 185</t>
  </si>
  <si>
    <t>0360</t>
  </si>
  <si>
    <t>KODE Staffhousing B.V.</t>
  </si>
  <si>
    <t>Kruisweg 16</t>
  </si>
  <si>
    <t>0337</t>
  </si>
  <si>
    <t>Kadaster</t>
  </si>
  <si>
    <t>Kuipers-Rietbergpad 15</t>
  </si>
  <si>
    <t>0157</t>
  </si>
  <si>
    <t>Kajuit</t>
  </si>
  <si>
    <t xml:space="preserve">Kwekerslaan 7 </t>
  </si>
  <si>
    <t>0382</t>
  </si>
  <si>
    <t>Kapitan Workers Sp. Z.o.o.</t>
  </si>
  <si>
    <t>Kwikstaartweg 45</t>
  </si>
  <si>
    <t>0207</t>
  </si>
  <si>
    <t>Kapitein &amp; Personeel B.V</t>
  </si>
  <si>
    <t>Laan op Zuid 949</t>
  </si>
  <si>
    <t>0365</t>
  </si>
  <si>
    <t>Karadeniz Diensten</t>
  </si>
  <si>
    <t>Laan van Adrichem 12</t>
  </si>
  <si>
    <t>0209</t>
  </si>
  <si>
    <t>Key4work B.V.</t>
  </si>
  <si>
    <t>Laan van Nieuw Blankenburg 278</t>
  </si>
  <si>
    <t>0090</t>
  </si>
  <si>
    <t>Keypro B.V.</t>
  </si>
  <si>
    <t>Laan van Nieuw Blankenburg 328</t>
  </si>
  <si>
    <t>0185</t>
  </si>
  <si>
    <t>Kiose Yacht Finishing</t>
  </si>
  <si>
    <t>Landsteinerhof 68</t>
  </si>
  <si>
    <t>0091</t>
  </si>
  <si>
    <t>Klaas Bos</t>
  </si>
  <si>
    <t>Lange Brink 3</t>
  </si>
  <si>
    <t>0092</t>
  </si>
  <si>
    <t>Kleijweg projects</t>
  </si>
  <si>
    <t>Lange Broekweg 46</t>
  </si>
  <si>
    <t>0278</t>
  </si>
  <si>
    <t>Koens T. Dhr.</t>
  </si>
  <si>
    <t>Lange kruisweg 12</t>
  </si>
  <si>
    <t>0028</t>
  </si>
  <si>
    <t>Kwekerij Stef Kleijweg</t>
  </si>
  <si>
    <t>Lavendelpad 6</t>
  </si>
  <si>
    <t>0385</t>
  </si>
  <si>
    <t>L. Keizer</t>
  </si>
  <si>
    <t>Lekdijk 14</t>
  </si>
  <si>
    <t>0366</t>
  </si>
  <si>
    <t>L.M. Schilstra</t>
  </si>
  <si>
    <t>Liesveld 100</t>
  </si>
  <si>
    <t>0180</t>
  </si>
  <si>
    <t>LZ Auto- en Motorservice B.V.</t>
  </si>
  <si>
    <t>Loggerstraat 3</t>
  </si>
  <si>
    <t>0096</t>
  </si>
  <si>
    <t>Labour Housing BV</t>
  </si>
  <si>
    <t>Lorentzstraat 73</t>
  </si>
  <si>
    <t>0210</t>
  </si>
  <si>
    <t>Lago Personeelshuisvesting B.V.</t>
  </si>
  <si>
    <t xml:space="preserve">Maasdijk 206 </t>
  </si>
  <si>
    <t>0211</t>
  </si>
  <si>
    <t>Langweer Vastgoed B.V.</t>
  </si>
  <si>
    <t xml:space="preserve">Maasdijk 69 </t>
  </si>
  <si>
    <t>0015</t>
  </si>
  <si>
    <t>Leen Bakker Nederland B.V.</t>
  </si>
  <si>
    <t>Madeliefstraat 46c</t>
  </si>
  <si>
    <t>0029</t>
  </si>
  <si>
    <t>Level 5 Assetmanagement B.V.</t>
  </si>
  <si>
    <t>Madeweg 25C</t>
  </si>
  <si>
    <t>0282</t>
  </si>
  <si>
    <t>Lievaart B.V.</t>
  </si>
  <si>
    <t>Madeweg 35A</t>
  </si>
  <si>
    <t>0283</t>
  </si>
  <si>
    <t>Light Personeelsdiensten</t>
  </si>
  <si>
    <t>Malzwin 34</t>
  </si>
  <si>
    <t>0182</t>
  </si>
  <si>
    <t>Light Personeelsdiensten BV</t>
  </si>
  <si>
    <t>Marathonlaan 26</t>
  </si>
  <si>
    <t>0118</t>
  </si>
  <si>
    <t>Lilit Home Makelaardij</t>
  </si>
  <si>
    <t xml:space="preserve">Markt 5 </t>
  </si>
  <si>
    <t>0057</t>
  </si>
  <si>
    <t>Lion Trading</t>
  </si>
  <si>
    <t>Marnixstraat 32</t>
  </si>
  <si>
    <t>0323</t>
  </si>
  <si>
    <t>LogIQ Barendrecht B.V.</t>
  </si>
  <si>
    <t>Mathenesserdijk 261-C03</t>
  </si>
  <si>
    <t>0184</t>
  </si>
  <si>
    <t>Looije Facilities B.V.</t>
  </si>
  <si>
    <t>Meester G. Groen van Prinsterlaan 313</t>
  </si>
  <si>
    <t>0018</t>
  </si>
  <si>
    <t>M van den Berg e/o H van den Berg</t>
  </si>
  <si>
    <t>Melis Stokezijde 94</t>
  </si>
  <si>
    <t>0098</t>
  </si>
  <si>
    <t>Mendelssohnplein 10C</t>
  </si>
  <si>
    <t>0215</t>
  </si>
  <si>
    <t>M.A. Pronk</t>
  </si>
  <si>
    <t>Mendelssohnplein 13D</t>
  </si>
  <si>
    <t>0214</t>
  </si>
  <si>
    <t>M.C. Claassen</t>
  </si>
  <si>
    <t>Mendelssohnplein 46a</t>
  </si>
  <si>
    <t>0216</t>
  </si>
  <si>
    <t>M.J. van Os</t>
  </si>
  <si>
    <t>Messchaertplein 39</t>
  </si>
  <si>
    <t>0035</t>
  </si>
  <si>
    <t>M@tchm@kers International B.V.</t>
  </si>
  <si>
    <t>Messchaertplein 40</t>
  </si>
  <si>
    <t>0036</t>
  </si>
  <si>
    <t>MB Kewal</t>
  </si>
  <si>
    <t>0037</t>
  </si>
  <si>
    <t>MBS Services B.V.</t>
  </si>
  <si>
    <t>Middelrode 8</t>
  </si>
  <si>
    <t>0217</t>
  </si>
  <si>
    <t>MC Mostert prive</t>
  </si>
  <si>
    <t>Middenbaan Noord 18A</t>
  </si>
  <si>
    <t>0251</t>
  </si>
  <si>
    <t>MDI Techniek B.V.</t>
  </si>
  <si>
    <t xml:space="preserve">Middenbaan Noord 18B </t>
  </si>
  <si>
    <t>0252</t>
  </si>
  <si>
    <t>MK Contracting BV</t>
  </si>
  <si>
    <t>Middenbaan Noord 18C</t>
  </si>
  <si>
    <t>0253</t>
  </si>
  <si>
    <t>MNA Proud Facilities B.V.</t>
  </si>
  <si>
    <t>Middenbaan Noord 20A</t>
  </si>
  <si>
    <t>0254</t>
  </si>
  <si>
    <t>MPC Energy B.V.</t>
  </si>
  <si>
    <t>Middenbaan Noord 20B</t>
  </si>
  <si>
    <t>0255</t>
  </si>
  <si>
    <t>Maatschap J.W. Meershoek &amp; W.M. Meershoek</t>
  </si>
  <si>
    <t>Middenbaan Noord 20C</t>
  </si>
  <si>
    <t>0256</t>
  </si>
  <si>
    <t>Maatschap Van Driel - Vd Vlist</t>
  </si>
  <si>
    <t>Middenbaan Noord 22A</t>
  </si>
  <si>
    <t>0257</t>
  </si>
  <si>
    <t>Marco is Vastgoed B.V.</t>
  </si>
  <si>
    <t>Middenbaan Noord 22B</t>
  </si>
  <si>
    <t>0258</t>
  </si>
  <si>
    <t>Marco van Beek B.V.</t>
  </si>
  <si>
    <t xml:space="preserve">Middenbaan Noord 22C </t>
  </si>
  <si>
    <t>0259</t>
  </si>
  <si>
    <t>Maria</t>
  </si>
  <si>
    <t>Miltonstraat 55</t>
  </si>
  <si>
    <t>0219</t>
  </si>
  <si>
    <t>Marseille Bax Van Maanen Rotterdamse account.</t>
  </si>
  <si>
    <t>Miltonstraat 85</t>
  </si>
  <si>
    <t>0220</t>
  </si>
  <si>
    <t>Mavi Vastgoed</t>
  </si>
  <si>
    <t>Molendijk 4</t>
  </si>
  <si>
    <t>0076</t>
  </si>
  <si>
    <t>Maytree Invest</t>
  </si>
  <si>
    <t>Molenstraat 10</t>
  </si>
  <si>
    <t>0221</t>
  </si>
  <si>
    <t>Mediterranean Careers Netherlands B.V.</t>
  </si>
  <si>
    <t>Molenstraat 23</t>
  </si>
  <si>
    <t>0222</t>
  </si>
  <si>
    <t>Meerdervoort Queda Real B.V.</t>
  </si>
  <si>
    <t>Molenweg 135</t>
  </si>
  <si>
    <t>0100</t>
  </si>
  <si>
    <t>Milieu Service Brabant</t>
  </si>
  <si>
    <t>Molenweg 3A</t>
  </si>
  <si>
    <t>0284</t>
  </si>
  <si>
    <t>Mooswijk T.R. &amp; Plugers R.</t>
  </si>
  <si>
    <t>Molenweg 3B</t>
  </si>
  <si>
    <t>0335</t>
  </si>
  <si>
    <t>Multiservizi Romania SRL</t>
  </si>
  <si>
    <t>Monseigneur W.M. Bekkerslaan 34</t>
  </si>
  <si>
    <t>0074</t>
  </si>
  <si>
    <t>Multiserwis SP z o.o.</t>
  </si>
  <si>
    <t>Monsterseweg 26A</t>
  </si>
  <si>
    <t>0358</t>
  </si>
  <si>
    <t>MvB Services</t>
  </si>
  <si>
    <t>Moureauveld 8</t>
  </si>
  <si>
    <t>0101</t>
  </si>
  <si>
    <t>Mw. M. Hyllested Poulsen en Dhr. S. Crull</t>
  </si>
  <si>
    <t>Mr. L.A. Kesperweg 31A</t>
  </si>
  <si>
    <t>0208</t>
  </si>
  <si>
    <t>N2people B.V.</t>
  </si>
  <si>
    <t>Mr. Troelstrastraat 11</t>
  </si>
  <si>
    <t>0213</t>
  </si>
  <si>
    <t>NL Realty B.V.</t>
  </si>
  <si>
    <t>Mr. Troelstrastraat 37</t>
  </si>
  <si>
    <t>0020</t>
  </si>
  <si>
    <t>Nerom Flex B.V.</t>
  </si>
  <si>
    <t xml:space="preserve">Narcissenstraat 23 </t>
  </si>
  <si>
    <t>0103</t>
  </si>
  <si>
    <t>Nerom Industrial Flex B.V.</t>
  </si>
  <si>
    <t>Narcissenstraat 37</t>
  </si>
  <si>
    <t>0104</t>
  </si>
  <si>
    <t>O.J.P Soc Construções</t>
  </si>
  <si>
    <t>Narcissenstraat 9</t>
  </si>
  <si>
    <t>0102</t>
  </si>
  <si>
    <t>O.P.H. Verhuur B.V. / Eigenaar.nl</t>
  </si>
  <si>
    <t>Nicolaas Beetsstraat 29</t>
  </si>
  <si>
    <t>0224</t>
  </si>
  <si>
    <t>O.Vasiutina</t>
  </si>
  <si>
    <t>Nieuwe Zeedijk 1K 308</t>
  </si>
  <si>
    <t>0108</t>
  </si>
  <si>
    <t>OGSS BV</t>
  </si>
  <si>
    <t>Nieuwenhoornstraat 46B</t>
  </si>
  <si>
    <t>0046</t>
  </si>
  <si>
    <t>OJP B.V.</t>
  </si>
  <si>
    <t>Nieuwkerstraat 78</t>
  </si>
  <si>
    <t>0166</t>
  </si>
  <si>
    <t>Odido Netherlands</t>
  </si>
  <si>
    <t>Noordmolenstraat 36a</t>
  </si>
  <si>
    <t>0328</t>
  </si>
  <si>
    <t>Oostkracht Bemiddeling B.V.</t>
  </si>
  <si>
    <t>Noordmolenstraat 36b</t>
  </si>
  <si>
    <t>0329</t>
  </si>
  <si>
    <t>Optima Uitzendbureau B.V.</t>
  </si>
  <si>
    <t>Noordmolenstraat 36c</t>
  </si>
  <si>
    <t>0330</t>
  </si>
  <si>
    <t>Nunspeetlaan 14</t>
  </si>
  <si>
    <t>0001</t>
  </si>
  <si>
    <t>Orange Investments Group B.V.</t>
  </si>
  <si>
    <t>Nunspeetlaan 53</t>
  </si>
  <si>
    <t>0041</t>
  </si>
  <si>
    <t>Oranjegroep Vastgoed B.V.</t>
  </si>
  <si>
    <t>Ofwegen 1A</t>
  </si>
  <si>
    <t>0336</t>
  </si>
  <si>
    <t>Oxrooms</t>
  </si>
  <si>
    <t>Oosterstraat 89</t>
  </si>
  <si>
    <t>0111</t>
  </si>
  <si>
    <t>P. Gryspeerdt</t>
  </si>
  <si>
    <t xml:space="preserve">Oostlaan 3 </t>
  </si>
  <si>
    <t>0227</t>
  </si>
  <si>
    <t>Opaal 9</t>
  </si>
  <si>
    <t>0110</t>
  </si>
  <si>
    <t>P. Ter Haar-Ros</t>
  </si>
  <si>
    <t>Oranjestraat 63</t>
  </si>
  <si>
    <t>0369</t>
  </si>
  <si>
    <t>PMM Workforce Management Ltd</t>
  </si>
  <si>
    <t>Oudewefslaan 84</t>
  </si>
  <si>
    <t>0112</t>
  </si>
  <si>
    <t>PRP Solutions Flex Sp. Z.O.O</t>
  </si>
  <si>
    <t>P.F. Catsstraat 8</t>
  </si>
  <si>
    <t>0218</t>
  </si>
  <si>
    <t>Parallelweg 110A</t>
  </si>
  <si>
    <t>0042</t>
  </si>
  <si>
    <t>People21 Services BV</t>
  </si>
  <si>
    <t>Parallelweg 114C</t>
  </si>
  <si>
    <t>0380</t>
  </si>
  <si>
    <t>PersoneelDirectFriesland</t>
  </si>
  <si>
    <t xml:space="preserve">Parallelweg 122A </t>
  </si>
  <si>
    <t>0228</t>
  </si>
  <si>
    <t>Plural Albufeira S.R.L.</t>
  </si>
  <si>
    <t>Parallelweg 134B</t>
  </si>
  <si>
    <t>0381</t>
  </si>
  <si>
    <t>Pol Flex B.V.</t>
  </si>
  <si>
    <t>Parallelweg 98B</t>
  </si>
  <si>
    <t>0229</t>
  </si>
  <si>
    <t>Profectus Staffing Solutions</t>
  </si>
  <si>
    <t>Pasteursingel 61B</t>
  </si>
  <si>
    <t>0230</t>
  </si>
  <si>
    <t>Quality Home Rentals</t>
  </si>
  <si>
    <t>Pastoor Gillisstraat 81-A</t>
  </si>
  <si>
    <t>0344</t>
  </si>
  <si>
    <t>R&amp;E Services</t>
  </si>
  <si>
    <t>Pastoriedijk 89</t>
  </si>
  <si>
    <t>0083</t>
  </si>
  <si>
    <t>R. Bassil</t>
  </si>
  <si>
    <t>Patrijsstraat 39</t>
  </si>
  <si>
    <t>0081</t>
  </si>
  <si>
    <t>RNDV Industries</t>
  </si>
  <si>
    <t>Persoonsdam 176</t>
  </si>
  <si>
    <t>0260</t>
  </si>
  <si>
    <t>RNVD Industries</t>
  </si>
  <si>
    <t>Persoonsdam 177</t>
  </si>
  <si>
    <t>0261</t>
  </si>
  <si>
    <t>Randstad Wonen</t>
  </si>
  <si>
    <t>Persoonsdam 178</t>
  </si>
  <si>
    <t>0262</t>
  </si>
  <si>
    <t>Ras R.A. Dhr.</t>
  </si>
  <si>
    <t>Persoonsdam 179</t>
  </si>
  <si>
    <t>0263</t>
  </si>
  <si>
    <t>Reham Verhuur B.V.</t>
  </si>
  <si>
    <t>Persoonsdam 180</t>
  </si>
  <si>
    <t>0264</t>
  </si>
  <si>
    <t>Resource One B.V.</t>
  </si>
  <si>
    <t>Persoonsdam 181</t>
  </si>
  <si>
    <t>0265</t>
  </si>
  <si>
    <t>Robert L.P. de Jonge</t>
  </si>
  <si>
    <t>Persoonsdam 182</t>
  </si>
  <si>
    <t>0266</t>
  </si>
  <si>
    <t>Royal DS Personeel-service</t>
  </si>
  <si>
    <t>Persoonsdam 194</t>
  </si>
  <si>
    <t>0267</t>
  </si>
  <si>
    <t>Persoonsdam 196</t>
  </si>
  <si>
    <t>0349</t>
  </si>
  <si>
    <t>RyanRent B.V.</t>
  </si>
  <si>
    <t>Persoonsdam 198</t>
  </si>
  <si>
    <t>0268</t>
  </si>
  <si>
    <t>S Kleijweg</t>
  </si>
  <si>
    <t>Peursumseweg 119A</t>
  </si>
  <si>
    <t>0113</t>
  </si>
  <si>
    <t>S. Bakker OPH Verhuur</t>
  </si>
  <si>
    <t>Piersonstraat 8</t>
  </si>
  <si>
    <t>0114</t>
  </si>
  <si>
    <t>S. Dolstra</t>
  </si>
  <si>
    <t>Plaats 10</t>
  </si>
  <si>
    <t>0120</t>
  </si>
  <si>
    <t>Platostraat 80</t>
  </si>
  <si>
    <t>0231</t>
  </si>
  <si>
    <t>S. Marinus (zie 50200)</t>
  </si>
  <si>
    <t>Pleinweg 101 A</t>
  </si>
  <si>
    <t>0044</t>
  </si>
  <si>
    <t>S. Meijer</t>
  </si>
  <si>
    <t>Pleinweg 101 B</t>
  </si>
  <si>
    <t>0045</t>
  </si>
  <si>
    <t>SHGJ Ribbink</t>
  </si>
  <si>
    <t>Ploegstraat 2a</t>
  </si>
  <si>
    <t>0079</t>
  </si>
  <si>
    <t>SS Kara Yacht Painters LLP</t>
  </si>
  <si>
    <t>Poeldijkseweg 27</t>
  </si>
  <si>
    <t>0285</t>
  </si>
  <si>
    <t>STANA d.o.o.</t>
  </si>
  <si>
    <t>Poeldijkseweg 29</t>
  </si>
  <si>
    <t>0378</t>
  </si>
  <si>
    <t>Sagius Uitzenders B.V.</t>
  </si>
  <si>
    <t>Poolsestraat 29A</t>
  </si>
  <si>
    <t>0386</t>
  </si>
  <si>
    <t>Showtuin Nederland B.V.</t>
  </si>
  <si>
    <t>Poppestraat 59</t>
  </si>
  <si>
    <t>0115</t>
  </si>
  <si>
    <t>Shtan Vitaliy</t>
  </si>
  <si>
    <t>Prins Bernhardstraat 40</t>
  </si>
  <si>
    <t>0116</t>
  </si>
  <si>
    <t>Soul inn B.B B.V</t>
  </si>
  <si>
    <t>Prins Willemweg 2</t>
  </si>
  <si>
    <t>0287</t>
  </si>
  <si>
    <t>Space4U B.V.</t>
  </si>
  <si>
    <t>Prinses Wilhelminastraat 9</t>
  </si>
  <si>
    <t>0106</t>
  </si>
  <si>
    <t>St. Zakelijke Beh.rek. Dijkstra Vastgoedbeh.</t>
  </si>
  <si>
    <t>Professor Kamerlingh Onneslaan 134 A</t>
  </si>
  <si>
    <t>0269</t>
  </si>
  <si>
    <t>Stay21</t>
  </si>
  <si>
    <t>Professor Kamerlingh Onneslaan 134 B1</t>
  </si>
  <si>
    <t>0270</t>
  </si>
  <si>
    <t>StayProjects Group Netherlands B.V.</t>
  </si>
  <si>
    <t>Professor Kamerlingh Onneslaan 134 B2</t>
  </si>
  <si>
    <t>0271</t>
  </si>
  <si>
    <t>Stichting Bewaring PRMD</t>
  </si>
  <si>
    <t>Professor Kamerlingh Onneslaan 134 B3</t>
  </si>
  <si>
    <t>0272</t>
  </si>
  <si>
    <t>Suricare B.V.</t>
  </si>
  <si>
    <t>Professor Poelslaan 58C</t>
  </si>
  <si>
    <t>0340</t>
  </si>
  <si>
    <t>Prunuslaan 36</t>
  </si>
  <si>
    <t>0117</t>
  </si>
  <si>
    <t xml:space="preserve">Punter 22 34 </t>
  </si>
  <si>
    <t>0204</t>
  </si>
  <si>
    <t>T.A. Middelkoop</t>
  </si>
  <si>
    <t>Putsebocht 136 B01</t>
  </si>
  <si>
    <t>0361</t>
  </si>
  <si>
    <t>T.A. van der Burg</t>
  </si>
  <si>
    <t>Putter 42</t>
  </si>
  <si>
    <t>0327</t>
  </si>
  <si>
    <t>THS EU B.V.</t>
  </si>
  <si>
    <t>Rembrandtstraat 20B</t>
  </si>
  <si>
    <t>0233</t>
  </si>
  <si>
    <t>TNM Vastgoed B.V.</t>
  </si>
  <si>
    <t>Rietdijkstraat 56A</t>
  </si>
  <si>
    <t>0363</t>
  </si>
  <si>
    <t>TOTAL Nederland N.V.</t>
  </si>
  <si>
    <t>Rietdijkstraat 56B</t>
  </si>
  <si>
    <t>0364</t>
  </si>
  <si>
    <t>Team Home Rentals B.V.</t>
  </si>
  <si>
    <t>Rijpstraat 24</t>
  </si>
  <si>
    <t>0377</t>
  </si>
  <si>
    <t>Team Technical Services BV</t>
  </si>
  <si>
    <t>Ringbaan Oost 327</t>
  </si>
  <si>
    <t>0005</t>
  </si>
  <si>
    <t>Team Unica B.V.</t>
  </si>
  <si>
    <t>Rivierdijk 793</t>
  </si>
  <si>
    <t>0226</t>
  </si>
  <si>
    <t>TecFlex B.V.</t>
  </si>
  <si>
    <t>Rivierdijk 794</t>
  </si>
  <si>
    <t>0121</t>
  </si>
  <si>
    <t>Techvisie Personeelsdiensten Centraal B.V.</t>
  </si>
  <si>
    <t>Roerdompstraat 4B</t>
  </si>
  <si>
    <t>0390</t>
  </si>
  <si>
    <t>Tempsteel B.V.</t>
  </si>
  <si>
    <t>Rooseveltlaan 185</t>
  </si>
  <si>
    <t>0179</t>
  </si>
  <si>
    <t>The Housing Guild B.V.</t>
  </si>
  <si>
    <t>Rotterdamsedijk 154B</t>
  </si>
  <si>
    <t>0234</t>
  </si>
  <si>
    <t>Thuisvesting B.V.</t>
  </si>
  <si>
    <t>Rubensplein 3 B</t>
  </si>
  <si>
    <t>0235</t>
  </si>
  <si>
    <t>Timing Uitzendteam BV</t>
  </si>
  <si>
    <t>Rubensplein 6B3</t>
  </si>
  <si>
    <t>0154</t>
  </si>
  <si>
    <t>Tradiro Services B.V.</t>
  </si>
  <si>
    <t>Ruigenhoek 69</t>
  </si>
  <si>
    <t>0362</t>
  </si>
  <si>
    <t>Transport People B.V.</t>
  </si>
  <si>
    <t xml:space="preserve">Schalkeroord 389 </t>
  </si>
  <si>
    <t>0236</t>
  </si>
  <si>
    <t>Twins BV</t>
  </si>
  <si>
    <t>Scheepjesbrug 433</t>
  </si>
  <si>
    <t>0144</t>
  </si>
  <si>
    <t>UAB Baltic Contracting Group</t>
  </si>
  <si>
    <t>Scheepjesbrug 814</t>
  </si>
  <si>
    <t>0197</t>
  </si>
  <si>
    <t>UAB Techsome</t>
  </si>
  <si>
    <t>Schere 238</t>
  </si>
  <si>
    <t>0237</t>
  </si>
  <si>
    <t>UAB Toromega</t>
  </si>
  <si>
    <t>Schoonegge 110</t>
  </si>
  <si>
    <t>0239</t>
  </si>
  <si>
    <t>Schoonegge 84</t>
  </si>
  <si>
    <t>0240</t>
  </si>
  <si>
    <t>UAB „Laivsta“/ JSC „Laivsta“, Part of Litana Group</t>
  </si>
  <si>
    <t>Sint Josephstraat 61</t>
  </si>
  <si>
    <t>0050</t>
  </si>
  <si>
    <t>Uitzendbureau Bakker B.V.</t>
  </si>
  <si>
    <t>Sint Liduinastraat 76 A</t>
  </si>
  <si>
    <t>0242</t>
  </si>
  <si>
    <t>Uitzendwerk B.V.</t>
  </si>
  <si>
    <t>Sint Liduinastraat 80A</t>
  </si>
  <si>
    <t>0243</t>
  </si>
  <si>
    <t>United Homes B.V.</t>
  </si>
  <si>
    <t>Sint Liduinastraat 80B</t>
  </si>
  <si>
    <t>0244</t>
  </si>
  <si>
    <t>United Homes Inhouse B.V.</t>
  </si>
  <si>
    <t>Sint-Annalandstraat 116</t>
  </si>
  <si>
    <t>0164</t>
  </si>
  <si>
    <t>V.B.A. Beheer B.V.</t>
  </si>
  <si>
    <t>Snecanusstraat 12</t>
  </si>
  <si>
    <t>0123</t>
  </si>
  <si>
    <t>V.O.F. Groepsaccommodaties Drenthe</t>
  </si>
  <si>
    <t>Snoekenveen 242</t>
  </si>
  <si>
    <t>0124</t>
  </si>
  <si>
    <t>VALO Facilities B.V.</t>
  </si>
  <si>
    <t>Socratesstraat 168</t>
  </si>
  <si>
    <t>0246</t>
  </si>
  <si>
    <t>Spoorsingel 154b</t>
  </si>
  <si>
    <t>0247</t>
  </si>
  <si>
    <t>Vaktec B.V.</t>
  </si>
  <si>
    <t>Stal 355</t>
  </si>
  <si>
    <t>0200</t>
  </si>
  <si>
    <t>Vaktec BV</t>
  </si>
  <si>
    <t>Steenen Dijck 87</t>
  </si>
  <si>
    <t>0099</t>
  </si>
  <si>
    <t>Valkenet Vastgoed B.V.</t>
  </si>
  <si>
    <t>Struitenweg 19b</t>
  </si>
  <si>
    <t>0127</t>
  </si>
  <si>
    <t>Van Bergen Personeelsdiensten B.V.</t>
  </si>
  <si>
    <t>Tesselschadelaan 45</t>
  </si>
  <si>
    <t>0128</t>
  </si>
  <si>
    <t>Van Mossel Rotterdam</t>
  </si>
  <si>
    <t>Tholenstraat 114</t>
  </si>
  <si>
    <t>0249</t>
  </si>
  <si>
    <t>Van der Wal Bedrijfshuisvesting B.V.</t>
  </si>
  <si>
    <t xml:space="preserve">Utrechtse straatweg 7 </t>
  </si>
  <si>
    <t>0129</t>
  </si>
  <si>
    <t>Vast-PS Housing</t>
  </si>
  <si>
    <t>Vaartweg 106C</t>
  </si>
  <si>
    <t>0021</t>
  </si>
  <si>
    <t>Vastgoed Spijkenisse</t>
  </si>
  <si>
    <t>Van Hoofsweg 4</t>
  </si>
  <si>
    <t>0355</t>
  </si>
  <si>
    <t>Verhuur en onderhoudsbedrijf Hilaard</t>
  </si>
  <si>
    <t>Van Langedonckstraat 80</t>
  </si>
  <si>
    <t>0130</t>
  </si>
  <si>
    <t>Verkeersschool Nobel</t>
  </si>
  <si>
    <t>Van Maanenstraat 14A</t>
  </si>
  <si>
    <t>0089</t>
  </si>
  <si>
    <t>Verlangen Finance BV</t>
  </si>
  <si>
    <t>Van Ruijsdaellaan 72 A</t>
  </si>
  <si>
    <t>0347</t>
  </si>
  <si>
    <t>Vivir Wonen</t>
  </si>
  <si>
    <t>Van Ruijsdaellaan 72 B</t>
  </si>
  <si>
    <t>0351</t>
  </si>
  <si>
    <t>Vleesbewerking van der Pijl B.V.</t>
  </si>
  <si>
    <t>Van Ruijsdaellaan 72 C</t>
  </si>
  <si>
    <t>0352</t>
  </si>
  <si>
    <t>Vlot Vastgoed B.V.</t>
  </si>
  <si>
    <t>Van Swinderenstraat 21</t>
  </si>
  <si>
    <t>0324</t>
  </si>
  <si>
    <t>Vondellaan Vastgoed Beheer B.V.</t>
  </si>
  <si>
    <t xml:space="preserve">Van der Werffstraat 370 </t>
  </si>
  <si>
    <t>0238</t>
  </si>
  <si>
    <t>W.T. Bosgraaf en E. Stam</t>
  </si>
  <si>
    <t>Venkelstraat 29A</t>
  </si>
  <si>
    <t>0137</t>
  </si>
  <si>
    <t>WIL International B.V.</t>
  </si>
  <si>
    <t xml:space="preserve">Verschansing 21 </t>
  </si>
  <si>
    <t>0387</t>
  </si>
  <si>
    <t>WILL Vakkrachten B. V.</t>
  </si>
  <si>
    <t>Vierambachtsstraat 32-B01</t>
  </si>
  <si>
    <t>0374</t>
  </si>
  <si>
    <t>WS Detachering BV</t>
  </si>
  <si>
    <t>Visartstraat 31</t>
  </si>
  <si>
    <t>0158</t>
  </si>
  <si>
    <t>Welcome Housing B.V.</t>
  </si>
  <si>
    <t>Voeghoutenstraat 236</t>
  </si>
  <si>
    <t>0132</t>
  </si>
  <si>
    <t>Werckpost Service B.V.</t>
  </si>
  <si>
    <t>Vogelschorstraat 24</t>
  </si>
  <si>
    <t>0167</t>
  </si>
  <si>
    <t>Workforce Housing Holland B.V.</t>
  </si>
  <si>
    <t>Voorstraat 10</t>
  </si>
  <si>
    <t>0077</t>
  </si>
  <si>
    <t>Workforce Housing International B.V</t>
  </si>
  <si>
    <t>Voorstraat 25</t>
  </si>
  <si>
    <t>0080</t>
  </si>
  <si>
    <t>Works Personeelsdiensten</t>
  </si>
  <si>
    <t>Waellandweg 12</t>
  </si>
  <si>
    <t>0286</t>
  </si>
  <si>
    <t>Y. K. Bos</t>
  </si>
  <si>
    <t>Wagenstraat 70</t>
  </si>
  <si>
    <t>0348</t>
  </si>
  <si>
    <t>YaY</t>
  </si>
  <si>
    <t>Wedderweg 3</t>
  </si>
  <si>
    <t>0368</t>
  </si>
  <si>
    <t>Z Yilmaz</t>
  </si>
  <si>
    <t>Westercluft 134</t>
  </si>
  <si>
    <t>0138</t>
  </si>
  <si>
    <t>ZaMens R.I.A. B.V.</t>
  </si>
  <si>
    <t>Westfrankelandsestraat 108</t>
  </si>
  <si>
    <t>0038</t>
  </si>
  <si>
    <t>Zeeland Housing Facility B.V.</t>
  </si>
  <si>
    <t>Wieldraaierstraat 39</t>
  </si>
  <si>
    <t>0105</t>
  </si>
  <si>
    <t>dockHolland Huisvesting B.V.</t>
  </si>
  <si>
    <t>Wijdstraat 13</t>
  </si>
  <si>
    <t>0171</t>
  </si>
  <si>
    <t>house of work</t>
  </si>
  <si>
    <t>Wijngaard 66</t>
  </si>
  <si>
    <t>0212</t>
  </si>
  <si>
    <t>van Heeswijk</t>
  </si>
  <si>
    <t xml:space="preserve">Wilgensingel 63 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</si>
  <si>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</si>
  <si>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</si>
  <si>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</si>
  <si>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</si>
  <si>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</si>
  <si>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</si>
  <si>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</si>
  <si>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</si>
  <si>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</si>
  <si>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</si>
  <si>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</si>
  <si>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</si>
  <si>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</si>
  <si>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</si>
  <si>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</si>
  <si>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</si>
  <si>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</si>
  <si>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</si>
  <si>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</si>
  <si>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</si>
  <si>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</si>
  <si>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</si>
  <si>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</si>
  <si>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</si>
  <si>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</si>
  <si>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</si>
  <si>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</si>
  <si>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</si>
  <si>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</si>
  <si>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</si>
  <si>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</si>
  <si>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</si>
  <si>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</si>
  <si>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Basis</t>
  </si>
  <si>
    <t>Schade</t>
  </si>
  <si>
    <t>Schoonmaak</t>
  </si>
  <si>
    <t>Kapotte stoel</t>
  </si>
  <si>
    <t>bestekken, pannen, koekenpannen</t>
  </si>
  <si>
    <t>Matrassen</t>
  </si>
  <si>
    <t>Matrashoezen</t>
  </si>
  <si>
    <t>Sleutel voor ingebouwd kast op de gang</t>
  </si>
  <si>
    <t>Gat in de deur</t>
  </si>
  <si>
    <t>GWE_Item</t>
  </si>
  <si>
    <t>GWE</t>
  </si>
  <si>
    <t>vattenfall</t>
  </si>
  <si>
    <t>levering</t>
  </si>
  <si>
    <t>dag</t>
  </si>
  <si>
    <t>m3</t>
  </si>
  <si>
    <t>vastrecht</t>
  </si>
  <si>
    <t>Belasting op leidingwater</t>
  </si>
  <si>
    <t>Precarrioheffing</t>
  </si>
  <si>
    <t>Inventaris</t>
  </si>
  <si>
    <t>Ramen Decoratie</t>
  </si>
  <si>
    <t>Elektra +Water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</si>
</sst>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tabSelected="1" workbookViewId="0">
      <selection activeCell="A4" sqref="A4:A53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_xlfn.UNIQUE(_xlfn._xlws.FILTER(Input!A2:A4990, Input!A2:A4990&lt;&gt;""))</f>
        <v>Compierekade 15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MISSING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⚠️ INCOMPLETE</v>
      </c>
    </row>
    <row r="5" spans="1:5" x14ac:dyDescent="0.2">
      <c r="A5" t="str">
        <f>_xlfn.UNIQUE(_xlfn._xlws.FILTER(Input!A3:A4991, Input!A3:A4991&lt;&gt;""))</f>
        <v>Compierekade 15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MISSING</v>
      </c>
      <c r="D5" t="str">
        <f>IF(A5="","",IF(COUNTIFS(Input!$A:$A, A5, Input!$B:$B, "Schoonmaak")&gt;0, "OK", "MISSING"))</f>
        <v>OK</v>
      </c>
      <c r="E5" t="str">
        <f t="shared" si="0"/>
        <v>⚠️ INCOMPLETE</v>
      </c>
    </row>
    <row r="6" spans="1:5" x14ac:dyDescent="0.2">
      <c r="A6" t="str">
        <f>_xlfn.UNIQUE(_xlfn._xlws.FILTER(Input!A4:A4992, Input!A4:A4992&lt;&gt;""))</f>
        <v>Compierekade 15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MISSING</v>
      </c>
      <c r="D6" t="str">
        <f>IF(A6="","",IF(COUNTIFS(Input!$A:$A, A6, Input!$B:$B, "Schoonmaak")&gt;0, "OK", "MISSING"))</f>
        <v>OK</v>
      </c>
      <c r="E6" t="str">
        <f t="shared" si="0"/>
        <v>⚠️ INCOMPLETE</v>
      </c>
    </row>
    <row r="7" spans="1:5" x14ac:dyDescent="0.2">
      <c r="A7" t="str">
        <f>_xlfn.UNIQUE(_xlfn._xlws.FILTER(Input!A5:A4993, Input!A5:A4993&lt;&gt;""))</f>
        <v>Compierekade 15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MISSING</v>
      </c>
      <c r="D7" t="str">
        <f>IF(A7="","",IF(COUNTIFS(Input!$A:$A, A7, Input!$B:$B, "Schoonmaak")&gt;0, "OK", "MISSING"))</f>
        <v>OK</v>
      </c>
      <c r="E7" t="str">
        <f t="shared" si="0"/>
        <v>⚠️ INCOMPLETE</v>
      </c>
    </row>
    <row r="8" spans="1:5" x14ac:dyDescent="0.2">
      <c r="A8" t="str">
        <f>_xlfn.UNIQUE(_xlfn._xlws.FILTER(Input!A6:A4994, Input!A6:A4994&lt;&gt;""))</f>
        <v>Compierekade 15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MISSING</v>
      </c>
      <c r="D8" t="str">
        <f>IF(A8="","",IF(COUNTIFS(Input!$A:$A, A8, Input!$B:$B, "Schoonmaak")&gt;0, "OK", "MISSING"))</f>
        <v>OK</v>
      </c>
      <c r="E8" t="str">
        <f t="shared" si="0"/>
        <v>⚠️ INCOMPLETE</v>
      </c>
    </row>
    <row r="9" spans="1:5" x14ac:dyDescent="0.2">
      <c r="A9" t="str">
        <f>_xlfn.UNIQUE(_xlfn._xlws.FILTER(Input!A7:A4995, Input!A7:A4995&lt;&gt;""))</f>
        <v>Compierekade 15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MISSING</v>
      </c>
      <c r="D9" t="str">
        <f>IF(A9="","",IF(COUNTIFS(Input!$A:$A, A9, Input!$B:$B, "Schoonmaak")&gt;0, "OK", "MISSING"))</f>
        <v>OK</v>
      </c>
      <c r="E9" t="str">
        <f t="shared" si="0"/>
        <v>⚠️ INCOMPLETE</v>
      </c>
    </row>
    <row r="10" spans="1:5" x14ac:dyDescent="0.2">
      <c r="A10" t="str">
        <f>_xlfn.UNIQUE(_xlfn._xlws.FILTER(Input!A8:A4996, Input!A8:A4996&lt;&gt;""))</f>
        <v>Compierekade 15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MISSING</v>
      </c>
      <c r="D10" t="str">
        <f>IF(A10="","",IF(COUNTIFS(Input!$A:$A, A10, Input!$B:$B, "Schoonmaak")&gt;0, "OK", "MISSING"))</f>
        <v>OK</v>
      </c>
      <c r="E10" t="str">
        <f t="shared" si="0"/>
        <v>⚠️ INCOMPLETE</v>
      </c>
    </row>
    <row r="11" spans="1:5" x14ac:dyDescent="0.2">
      <c r="A11" t="str">
        <f>_xlfn.UNIQUE(_xlfn._xlws.FILTER(Input!A9:A4997, Input!A9:A4997&lt;&gt;""))</f>
        <v>Compierekade 15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MISSING</v>
      </c>
      <c r="D11" t="str">
        <f>IF(A11="","",IF(COUNTIFS(Input!$A:$A, A11, Input!$B:$B, "Schoonmaak")&gt;0, "OK", "MISSING"))</f>
        <v>OK</v>
      </c>
      <c r="E11" t="str">
        <f t="shared" si="0"/>
        <v>⚠️ INCOMPLETE</v>
      </c>
    </row>
    <row r="12" spans="1:5" x14ac:dyDescent="0.2">
      <c r="A12" t="str">
        <f>_xlfn.UNIQUE(_xlfn._xlws.FILTER(Input!A10:A4998, Input!A10:A4998&lt;&gt;""))</f>
        <v>Akkerweg 41 [058]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MISSING</v>
      </c>
      <c r="E12" t="str">
        <f t="shared" si="0"/>
        <v>⚠️ INCOMPLETE</v>
      </c>
    </row>
    <row r="13" spans="1:5" x14ac:dyDescent="0.2">
      <c r="A13" t="str">
        <f>_xlfn.UNIQUE(_xlfn._xlws.FILTER(Input!A11:A4999, Input!A11:A4999&lt;&gt;""))</f>
        <v>Akkerweg 41 [058]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MISSING</v>
      </c>
      <c r="E13" t="str">
        <f t="shared" si="0"/>
        <v>⚠️ INCOMPLETE</v>
      </c>
    </row>
    <row r="14" spans="1:5" x14ac:dyDescent="0.2">
      <c r="A14" t="str">
        <f>_xlfn.UNIQUE(_xlfn._xlws.FILTER(Input!A12:A5000, Input!A12:A5000&lt;&gt;""))</f>
        <v>Akkerweg 41 [058]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MISSING</v>
      </c>
      <c r="E14" t="str">
        <f t="shared" si="0"/>
        <v>⚠️ INCOMPLETE</v>
      </c>
    </row>
    <row r="15" spans="1:5" x14ac:dyDescent="0.2">
      <c r="A15" t="str">
        <f>_xlfn.UNIQUE(_xlfn._xlws.FILTER(Input!A13:A5001, Input!A13:A5001&lt;&gt;""))</f>
        <v>Akkerweg 41 [058]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MISSING</v>
      </c>
      <c r="E15" t="str">
        <f t="shared" si="0"/>
        <v>⚠️ INCOMPLETE</v>
      </c>
    </row>
    <row r="16" spans="1:5" x14ac:dyDescent="0.2">
      <c r="A16" t="str">
        <f>_xlfn.UNIQUE(_xlfn._xlws.FILTER(Input!A14:A5002, Input!A14:A5002&lt;&gt;""))</f>
        <v>Akkerweg 41 [058]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MISSING</v>
      </c>
      <c r="E16" t="str">
        <f t="shared" si="0"/>
        <v>⚠️ INCOMPLETE</v>
      </c>
    </row>
    <row r="17" spans="1:5" x14ac:dyDescent="0.2">
      <c r="A17" t="str">
        <f>_xlfn.UNIQUE(_xlfn._xlws.FILTER(Input!A15:A5003, Input!A15:A5003&lt;&gt;""))</f>
        <v>Van Maanenstraat 14A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MISSING</v>
      </c>
      <c r="E17" t="str">
        <f t="shared" si="0"/>
        <v>⚠️ INCOMPLETE</v>
      </c>
    </row>
    <row r="18" spans="1:5" x14ac:dyDescent="0.2">
      <c r="A18" t="str">
        <f>_xlfn.UNIQUE(_xlfn._xlws.FILTER(Input!A16:A5004, Input!A16:A5004&lt;&gt;""))</f>
        <v>Van Maanenstraat 14A</v>
      </c>
      <c r="B18" t="str">
        <f>IF(A18="","",IF(COUNTIFS(Input!$A:$A, A18, Input!$B:$B, "Basis")&gt;0, "OK", "MISSING"))</f>
        <v>OK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MISSING</v>
      </c>
      <c r="E18" t="str">
        <f t="shared" si="0"/>
        <v>⚠️ INCOMPLETE</v>
      </c>
    </row>
    <row r="19" spans="1:5" x14ac:dyDescent="0.2">
      <c r="A19" t="str">
        <f>_xlfn.UNIQUE(_xlfn._xlws.FILTER(Input!A17:A5005, Input!A17:A5005&lt;&gt;""))</f>
        <v>Van Maanenstraat 14A</v>
      </c>
      <c r="B19" t="str">
        <f>IF(A19="","",IF(COUNTIFS(Input!$A:$A, A19, Input!$B:$B, "Basis")&gt;0, "OK", "MISSING"))</f>
        <v>OK</v>
      </c>
      <c r="C19" t="str">
        <f>IF(A19="","",IF(COUNTIFS(Input!$A:$A, A19, Input!$B:$B, "GWE")&gt;0, "OK", "MISSING"))</f>
        <v>OK</v>
      </c>
      <c r="D19" t="str">
        <f>IF(A19="","",IF(COUNTIFS(Input!$A:$A, A19, Input!$B:$B, "Schoonmaak")&gt;0, "OK", "MISSING"))</f>
        <v>MISSING</v>
      </c>
      <c r="E19" t="str">
        <f t="shared" si="0"/>
        <v>⚠️ INCOMPLETE</v>
      </c>
    </row>
    <row r="20" spans="1:5" x14ac:dyDescent="0.2">
      <c r="A20" t="str">
        <f>_xlfn.UNIQUE(_xlfn._xlws.FILTER(Input!A18:A5006, Input!A18:A5006&lt;&gt;""))</f>
        <v>Van Maanenstraat 14A</v>
      </c>
      <c r="B20" t="str">
        <f>IF(A20="","",IF(COUNTIFS(Input!$A:$A, A20, Input!$B:$B, "Basis")&gt;0, "OK", "MISSING"))</f>
        <v>OK</v>
      </c>
      <c r="C20" t="str">
        <f>IF(A20="","",IF(COUNTIFS(Input!$A:$A, A20, Input!$B:$B, "GWE")&gt;0, "OK", "MISSING"))</f>
        <v>OK</v>
      </c>
      <c r="D20" t="str">
        <f>IF(A20="","",IF(COUNTIFS(Input!$A:$A, A20, Input!$B:$B, "Schoonmaak")&gt;0, "OK", "MISSING"))</f>
        <v>MISSING</v>
      </c>
      <c r="E20" t="str">
        <f t="shared" si="0"/>
        <v>⚠️ INCOMPLETE</v>
      </c>
    </row>
    <row r="21" spans="1:5" x14ac:dyDescent="0.2">
      <c r="A21" t="str">
        <f>_xlfn.UNIQUE(_xlfn._xlws.FILTER(Input!A19:A5007, Input!A19:A5007&lt;&gt;""))</f>
        <v>Van Maanenstraat 14A</v>
      </c>
      <c r="B21" t="str">
        <f>IF(A21="","",IF(COUNTIFS(Input!$A:$A, A21, Input!$B:$B, "Basis")&gt;0, "OK", "MISSING"))</f>
        <v>OK</v>
      </c>
      <c r="C21" t="str">
        <f>IF(A21="","",IF(COUNTIFS(Input!$A:$A, A21, Input!$B:$B, "GWE")&gt;0, "OK", "MISSING"))</f>
        <v>OK</v>
      </c>
      <c r="D21" t="str">
        <f>IF(A21="","",IF(COUNTIFS(Input!$A:$A, A21, Input!$B:$B, "Schoonmaak")&gt;0, "OK", "MISSING"))</f>
        <v>MISSING</v>
      </c>
      <c r="E21" t="str">
        <f t="shared" si="0"/>
        <v>⚠️ INCOMPLETE</v>
      </c>
    </row>
    <row r="22" spans="1:5" x14ac:dyDescent="0.2">
      <c r="A22" t="str">
        <f>_xlfn.UNIQUE(_xlfn._xlws.FILTER(Input!A20:A5008, Input!A20:A5008&lt;&gt;""))</f>
        <v>Van Maanenstraat 14A</v>
      </c>
      <c r="B22" t="str">
        <f>IF(A22="","",IF(COUNTIFS(Input!$A:$A, A22, Input!$B:$B, "Basis")&gt;0, "OK", "MISSING"))</f>
        <v>OK</v>
      </c>
      <c r="C22" t="str">
        <f>IF(A22="","",IF(COUNTIFS(Input!$A:$A, A22, Input!$B:$B, "GWE")&gt;0, "OK", "MISSING"))</f>
        <v>OK</v>
      </c>
      <c r="D22" t="str">
        <f>IF(A22="","",IF(COUNTIFS(Input!$A:$A, A22, Input!$B:$B, "Schoonmaak")&gt;0, "OK", "MISSING"))</f>
        <v>MISSING</v>
      </c>
      <c r="E22" t="str">
        <f t="shared" si="0"/>
        <v>⚠️ INCOMPLETE</v>
      </c>
    </row>
    <row r="23" spans="1:5" x14ac:dyDescent="0.2">
      <c r="A23" t="str">
        <f>_xlfn.UNIQUE(_xlfn._xlws.FILTER(Input!A21:A5009, Input!A21:A5009&lt;&gt;""))</f>
        <v>Van Maanenstraat 14A</v>
      </c>
      <c r="B23" t="str">
        <f>IF(A23="","",IF(COUNTIFS(Input!$A:$A, A23, Input!$B:$B, "Basis")&gt;0, "OK", "MISSING"))</f>
        <v>OK</v>
      </c>
      <c r="C23" t="str">
        <f>IF(A23="","",IF(COUNTIFS(Input!$A:$A, A23, Input!$B:$B, "GWE")&gt;0, "OK", "MISSING"))</f>
        <v>OK</v>
      </c>
      <c r="D23" t="str">
        <f>IF(A23="","",IF(COUNTIFS(Input!$A:$A, A23, Input!$B:$B, "Schoonmaak")&gt;0, "OK", "MISSING"))</f>
        <v>MISSING</v>
      </c>
      <c r="E23" t="str">
        <f t="shared" si="0"/>
        <v>⚠️ INCOMPLETE</v>
      </c>
    </row>
    <row r="24" spans="1:5" x14ac:dyDescent="0.2">
      <c r="A24" t="str">
        <f>_xlfn.UNIQUE(_xlfn._xlws.FILTER(Input!A22:A5010, Input!A22:A5010&lt;&gt;""))</f>
        <v>Van Maanenstraat 14A</v>
      </c>
      <c r="B24" t="str">
        <f>IF(A24="","",IF(COUNTIFS(Input!$A:$A, A24, Input!$B:$B, "Basis")&gt;0, "OK", "MISSING"))</f>
        <v>OK</v>
      </c>
      <c r="C24" t="str">
        <f>IF(A24="","",IF(COUNTIFS(Input!$A:$A, A24, Input!$B:$B, "GWE")&gt;0, "OK", "MISSING"))</f>
        <v>OK</v>
      </c>
      <c r="D24" t="str">
        <f>IF(A24="","",IF(COUNTIFS(Input!$A:$A, A24, Input!$B:$B, "Schoonmaak")&gt;0, "OK", "MISSING"))</f>
        <v>MISSING</v>
      </c>
      <c r="E24" t="str">
        <f t="shared" si="0"/>
        <v>⚠️ INCOMPLETE</v>
      </c>
    </row>
    <row r="25" spans="1:5" x14ac:dyDescent="0.2">
      <c r="A25" t="str">
        <f>_xlfn.UNIQUE(_xlfn._xlws.FILTER(Input!A23:A5011, Input!A23:A5011&lt;&gt;""))</f>
        <v>Van Maanenstraat 14A</v>
      </c>
      <c r="B25" t="str">
        <f>IF(A25="","",IF(COUNTIFS(Input!$A:$A, A25, Input!$B:$B, "Basis")&gt;0, "OK", "MISSING"))</f>
        <v>OK</v>
      </c>
      <c r="C25" t="str">
        <f>IF(A25="","",IF(COUNTIFS(Input!$A:$A, A25, Input!$B:$B, "GWE")&gt;0, "OK", "MISSING"))</f>
        <v>OK</v>
      </c>
      <c r="D25" t="str">
        <f>IF(A25="","",IF(COUNTIFS(Input!$A:$A, A25, Input!$B:$B, "Schoonmaak")&gt;0, "OK", "MISSING"))</f>
        <v>MISSING</v>
      </c>
      <c r="E25" t="str">
        <f t="shared" si="0"/>
        <v>⚠️ INCOMPLETE</v>
      </c>
    </row>
    <row r="26" spans="1:5" x14ac:dyDescent="0.2">
      <c r="A26" t="str">
        <f>_xlfn.UNIQUE(_xlfn._xlws.FILTER(Input!A24:A5012, Input!A24:A5012&lt;&gt;""))</f>
        <v>Van Maanenstraat 14A</v>
      </c>
      <c r="B26" t="str">
        <f>IF(A26="","",IF(COUNTIFS(Input!$A:$A, A26, Input!$B:$B, "Basis")&gt;0, "OK", "MISSING"))</f>
        <v>OK</v>
      </c>
      <c r="C26" t="str">
        <f>IF(A26="","",IF(COUNTIFS(Input!$A:$A, A26, Input!$B:$B, "GWE")&gt;0, "OK", "MISSING"))</f>
        <v>OK</v>
      </c>
      <c r="D26" t="str">
        <f>IF(A26="","",IF(COUNTIFS(Input!$A:$A, A26, Input!$B:$B, "Schoonmaak")&gt;0, "OK", "MISSING"))</f>
        <v>MISSING</v>
      </c>
      <c r="E26" t="str">
        <f t="shared" si="0"/>
        <v>⚠️ INCOMPLETE</v>
      </c>
    </row>
    <row r="27" spans="1:5" x14ac:dyDescent="0.2">
      <c r="A27" t="str">
        <f>_xlfn.UNIQUE(_xlfn._xlws.FILTER(Input!A25:A5013, Input!A25:A5013&lt;&gt;""))</f>
        <v>Kerkwerversingel 127</v>
      </c>
      <c r="B27" t="str">
        <f>IF(A27="","",IF(COUNTIFS(Input!$A:$A, A27, Input!$B:$B, "Basis")&gt;0, "OK", "MISSING"))</f>
        <v>OK</v>
      </c>
      <c r="C27" t="str">
        <f>IF(A27="","",IF(COUNTIFS(Input!$A:$A, A27, Input!$B:$B, "GWE")&gt;0, "OK", "MISSING"))</f>
        <v>OK</v>
      </c>
      <c r="D27" t="str">
        <f>IF(A27="","",IF(COUNTIFS(Input!$A:$A, A27, Input!$B:$B, "Schoonmaak")&gt;0, "OK", "MISSING"))</f>
        <v>MISSING</v>
      </c>
      <c r="E27" t="str">
        <f t="shared" si="0"/>
        <v>⚠️ INCOMPLETE</v>
      </c>
    </row>
    <row r="28" spans="1:5" x14ac:dyDescent="0.2">
      <c r="A28" t="str">
        <f>_xlfn.UNIQUE(_xlfn._xlws.FILTER(Input!A26:A5014, Input!A26:A5014&lt;&gt;""))</f>
        <v>Kerkwerversingel 127</v>
      </c>
      <c r="B28" t="str">
        <f>IF(A28="","",IF(COUNTIFS(Input!$A:$A, A28, Input!$B:$B, "Basis")&gt;0, "OK", "MISSING"))</f>
        <v>OK</v>
      </c>
      <c r="C28" t="str">
        <f>IF(A28="","",IF(COUNTIFS(Input!$A:$A, A28, Input!$B:$B, "GWE")&gt;0, "OK", "MISSING"))</f>
        <v>OK</v>
      </c>
      <c r="D28" t="str">
        <f>IF(A28="","",IF(COUNTIFS(Input!$A:$A, A28, Input!$B:$B, "Schoonmaak")&gt;0, "OK", "MISSING"))</f>
        <v>MISSING</v>
      </c>
      <c r="E28" t="str">
        <f t="shared" si="0"/>
        <v>⚠️ INCOMPLETE</v>
      </c>
    </row>
    <row r="29" spans="1:5" x14ac:dyDescent="0.2">
      <c r="A29" t="str">
        <f>_xlfn.UNIQUE(_xlfn._xlws.FILTER(Input!A27:A5015, Input!A27:A5015&lt;&gt;""))</f>
        <v>Kerkwerversingel 127</v>
      </c>
      <c r="B29" t="str">
        <f>IF(A29="","",IF(COUNTIFS(Input!$A:$A, A29, Input!$B:$B, "Basis")&gt;0, "OK", "MISSING"))</f>
        <v>OK</v>
      </c>
      <c r="C29" t="str">
        <f>IF(A29="","",IF(COUNTIFS(Input!$A:$A, A29, Input!$B:$B, "GWE")&gt;0, "OK", "MISSING"))</f>
        <v>OK</v>
      </c>
      <c r="D29" t="str">
        <f>IF(A29="","",IF(COUNTIFS(Input!$A:$A, A29, Input!$B:$B, "Schoonmaak")&gt;0, "OK", "MISSING"))</f>
        <v>MISSING</v>
      </c>
      <c r="E29" t="str">
        <f t="shared" si="0"/>
        <v>⚠️ INCOMPLETE</v>
      </c>
    </row>
    <row r="30" spans="1:5" x14ac:dyDescent="0.2">
      <c r="A30" t="str">
        <f>_xlfn.UNIQUE(_xlfn._xlws.FILTER(Input!A28:A5016, Input!A28:A5016&lt;&gt;""))</f>
        <v>Kerkwerversingel 127</v>
      </c>
      <c r="B30" t="str">
        <f>IF(A30="","",IF(COUNTIFS(Input!$A:$A, A30, Input!$B:$B, "Basis")&gt;0, "OK", "MISSING"))</f>
        <v>OK</v>
      </c>
      <c r="C30" t="str">
        <f>IF(A30="","",IF(COUNTIFS(Input!$A:$A, A30, Input!$B:$B, "GWE")&gt;0, "OK", "MISSING"))</f>
        <v>OK</v>
      </c>
      <c r="D30" t="str">
        <f>IF(A30="","",IF(COUNTIFS(Input!$A:$A, A30, Input!$B:$B, "Schoonmaak")&gt;0, "OK", "MISSING"))</f>
        <v>MISSING</v>
      </c>
      <c r="E30" t="str">
        <f t="shared" si="0"/>
        <v>⚠️ INCOMPLETE</v>
      </c>
    </row>
    <row r="31" spans="1:5" x14ac:dyDescent="0.2">
      <c r="A31" t="str">
        <f>_xlfn.UNIQUE(_xlfn._xlws.FILTER(Input!A29:A5017, Input!A29:A5017&lt;&gt;""))</f>
        <v>Kerkwerversingel 127</v>
      </c>
      <c r="B31" t="str">
        <f>IF(A31="","",IF(COUNTIFS(Input!$A:$A, A31, Input!$B:$B, "Basis")&gt;0, "OK", "MISSING"))</f>
        <v>OK</v>
      </c>
      <c r="C31" t="str">
        <f>IF(A31="","",IF(COUNTIFS(Input!$A:$A, A31, Input!$B:$B, "GWE")&gt;0, "OK", "MISSING"))</f>
        <v>OK</v>
      </c>
      <c r="D31" t="str">
        <f>IF(A31="","",IF(COUNTIFS(Input!$A:$A, A31, Input!$B:$B, "Schoonmaak")&gt;0, "OK", "MISSING"))</f>
        <v>MISSING</v>
      </c>
      <c r="E31" t="str">
        <f t="shared" si="0"/>
        <v>⚠️ INCOMPLETE</v>
      </c>
    </row>
    <row r="32" spans="1:5" x14ac:dyDescent="0.2">
      <c r="A32" t="str">
        <f>_xlfn.UNIQUE(_xlfn._xlws.FILTER(Input!A30:A5018, Input!A30:A5018&lt;&gt;""))</f>
        <v>Kerkwerversingel 127</v>
      </c>
      <c r="B32" t="str">
        <f>IF(A32="","",IF(COUNTIFS(Input!$A:$A, A32, Input!$B:$B, "Basis")&gt;0, "OK", "MISSING"))</f>
        <v>OK</v>
      </c>
      <c r="C32" t="str">
        <f>IF(A32="","",IF(COUNTIFS(Input!$A:$A, A32, Input!$B:$B, "GWE")&gt;0, "OK", "MISSING"))</f>
        <v>OK</v>
      </c>
      <c r="D32" t="str">
        <f>IF(A32="","",IF(COUNTIFS(Input!$A:$A, A32, Input!$B:$B, "Schoonmaak")&gt;0, "OK", "MISSING"))</f>
        <v>MISSING</v>
      </c>
      <c r="E32" t="str">
        <f t="shared" si="0"/>
        <v>⚠️ INCOMPLETE</v>
      </c>
    </row>
    <row r="33" spans="1:5" x14ac:dyDescent="0.2">
      <c r="A33" t="str">
        <f>_xlfn.UNIQUE(_xlfn._xlws.FILTER(Input!A31:A5019, Input!A31:A5019&lt;&gt;""))</f>
        <v>Akkerweg 41 [018]</v>
      </c>
      <c r="B33" t="str">
        <f>IF(A33="","",IF(COUNTIFS(Input!$A:$A, A33, Input!$B:$B, "Basis")&gt;0, "OK", "MISSING"))</f>
        <v>OK</v>
      </c>
      <c r="C33" t="str">
        <f>IF(A33="","",IF(COUNTIFS(Input!$A:$A, A33, Input!$B:$B, "GWE")&gt;0, "OK", "MISSING"))</f>
        <v>OK</v>
      </c>
      <c r="D33" t="str">
        <f>IF(A33="","",IF(COUNTIFS(Input!$A:$A, A33, Input!$B:$B, "Schoonmaak")&gt;0, "OK", "MISSING"))</f>
        <v>OK</v>
      </c>
      <c r="E33" t="str">
        <f t="shared" si="0"/>
        <v>✅ READY</v>
      </c>
    </row>
    <row r="34" spans="1:5" x14ac:dyDescent="0.2">
      <c r="A34" t="str">
        <f>_xlfn.UNIQUE(_xlfn._xlws.FILTER(Input!A32:A5020, Input!A32:A5020&lt;&gt;""))</f>
        <v>Akkerweg 41 [018]</v>
      </c>
      <c r="B34" t="str">
        <f>IF(A34="","",IF(COUNTIFS(Input!$A:$A, A34, Input!$B:$B, "Basis")&gt;0, "OK", "MISSING"))</f>
        <v>OK</v>
      </c>
      <c r="C34" t="str">
        <f>IF(A34="","",IF(COUNTIFS(Input!$A:$A, A34, Input!$B:$B, "GWE")&gt;0, "OK", "MISSING"))</f>
        <v>OK</v>
      </c>
      <c r="D34" t="str">
        <f>IF(A34="","",IF(COUNTIFS(Input!$A:$A, A34, Input!$B:$B, "Schoonmaak")&gt;0, "OK", "MISSING"))</f>
        <v>OK</v>
      </c>
      <c r="E34" t="str">
        <f t="shared" si="0"/>
        <v>✅ READY</v>
      </c>
    </row>
    <row r="35" spans="1:5" x14ac:dyDescent="0.2">
      <c r="A35" t="str">
        <f>_xlfn.UNIQUE(_xlfn._xlws.FILTER(Input!A33:A5021, Input!A33:A5021&lt;&gt;""))</f>
        <v>Akkerweg 41 [018]</v>
      </c>
      <c r="B35" t="str">
        <f>IF(A35="","",IF(COUNTIFS(Input!$A:$A, A35, Input!$B:$B, "Basis")&gt;0, "OK", "MISSING"))</f>
        <v>OK</v>
      </c>
      <c r="C35" t="str">
        <f>IF(A35="","",IF(COUNTIFS(Input!$A:$A, A35, Input!$B:$B, "GWE")&gt;0, "OK", "MISSING"))</f>
        <v>OK</v>
      </c>
      <c r="D35" t="str">
        <f>IF(A35="","",IF(COUNTIFS(Input!$A:$A, A35, Input!$B:$B, "Schoonmaak")&gt;0, "OK", "MISSING"))</f>
        <v>OK</v>
      </c>
      <c r="E35" t="str">
        <f t="shared" si="0"/>
        <v>✅ READY</v>
      </c>
    </row>
    <row r="36" spans="1:5" x14ac:dyDescent="0.2">
      <c r="A36" t="str">
        <f>_xlfn.UNIQUE(_xlfn._xlws.FILTER(Input!A34:A5022, Input!A34:A5022&lt;&gt;""))</f>
        <v>Akkerweg 41 [018]</v>
      </c>
      <c r="B36" t="str">
        <f>IF(A36="","",IF(COUNTIFS(Input!$A:$A, A36, Input!$B:$B, "Basis")&gt;0, "OK", "MISSING"))</f>
        <v>OK</v>
      </c>
      <c r="C36" t="str">
        <f>IF(A36="","",IF(COUNTIFS(Input!$A:$A, A36, Input!$B:$B, "GWE")&gt;0, "OK", "MISSING"))</f>
        <v>OK</v>
      </c>
      <c r="D36" t="str">
        <f>IF(A36="","",IF(COUNTIFS(Input!$A:$A, A36, Input!$B:$B, "Schoonmaak")&gt;0, "OK", "MISSING"))</f>
        <v>OK</v>
      </c>
      <c r="E36" t="str">
        <f t="shared" ref="E36:E53" si="1">IF(A36="","",IF(AND(B36="OK",C36="OK",D36="OK"), "✅ READY", "⚠️ INCOMPLETE"))</f>
        <v>✅ READY</v>
      </c>
    </row>
    <row r="37" spans="1:5" x14ac:dyDescent="0.2">
      <c r="A37" t="str">
        <f>_xlfn.UNIQUE(_xlfn._xlws.FILTER(Input!A35:A5023, Input!A35:A5023&lt;&gt;""))</f>
        <v>Akkerweg 41 [018]</v>
      </c>
      <c r="B37" t="str">
        <f>IF(A37="","",IF(COUNTIFS(Input!$A:$A, A37, Input!$B:$B, "Basis")&gt;0, "OK", "MISSING"))</f>
        <v>OK</v>
      </c>
      <c r="C37" t="str">
        <f>IF(A37="","",IF(COUNTIFS(Input!$A:$A, A37, Input!$B:$B, "GWE")&gt;0, "OK", "MISSING"))</f>
        <v>OK</v>
      </c>
      <c r="D37" t="str">
        <f>IF(A37="","",IF(COUNTIFS(Input!$A:$A, A37, Input!$B:$B, "Schoonmaak")&gt;0, "OK", "MISSING"))</f>
        <v>OK</v>
      </c>
      <c r="E37" t="str">
        <f t="shared" si="1"/>
        <v>✅ READY</v>
      </c>
    </row>
    <row r="38" spans="1:5" x14ac:dyDescent="0.2">
      <c r="A38" t="str">
        <f>_xlfn.UNIQUE(_xlfn._xlws.FILTER(Input!A36:A5024, Input!A36:A5024&lt;&gt;""))</f>
        <v>Akkerweg 41 [018]</v>
      </c>
      <c r="B38" t="str">
        <f>IF(A38="","",IF(COUNTIFS(Input!$A:$A, A38, Input!$B:$B, "Basis")&gt;0, "OK", "MISSING"))</f>
        <v>OK</v>
      </c>
      <c r="C38" t="str">
        <f>IF(A38="","",IF(COUNTIFS(Input!$A:$A, A38, Input!$B:$B, "GWE")&gt;0, "OK", "MISSING"))</f>
        <v>OK</v>
      </c>
      <c r="D38" t="str">
        <f>IF(A38="","",IF(COUNTIFS(Input!$A:$A, A38, Input!$B:$B, "Schoonmaak")&gt;0, "OK", "MISSING"))</f>
        <v>OK</v>
      </c>
      <c r="E38" t="str">
        <f t="shared" si="1"/>
        <v>✅ READY</v>
      </c>
    </row>
    <row r="39" spans="1:5" x14ac:dyDescent="0.2">
      <c r="A39" t="e" vm="1">
        <f>_xlfn.UNIQUE(_xlfn._xlws.FILTER(Input!A37:A5025, Input!A37:A5025&lt;&gt;""))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_xlfn.UNIQUE(_xlfn._xlws.FILTER(Input!A38:A5026, Input!A38:A5026&lt;&gt;""))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_xlfn.UNIQUE(_xlfn._xlws.FILTER(Input!A39:A5027, Input!A39:A5027&lt;&gt;""))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_xlfn.UNIQUE(_xlfn._xlws.FILTER(Input!A40:A5028, Input!A40:A5028&lt;&gt;""))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_xlfn.UNIQUE(_xlfn._xlws.FILTER(Input!A41:A5029, Input!A41:A5029&lt;&gt;""))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_xlfn.UNIQUE(_xlfn._xlws.FILTER(Input!A42:A5030, Input!A42:A5030&lt;&gt;""))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_xlfn.UNIQUE(_xlfn._xlws.FILTER(Input!A43:A5031, Input!A43:A5031&lt;&gt;""))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_xlfn.UNIQUE(_xlfn._xlws.FILTER(Input!A44:A5032, Input!A44:A5032&lt;&gt;""))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_xlfn.UNIQUE(_xlfn._xlws.FILTER(Input!A45:A5033, Input!A45:A5033&lt;&gt;""))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_xlfn.UNIQUE(_xlfn._xlws.FILTER(Input!A46:A5034, Input!A46:A5034&lt;&gt;""))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_xlfn.UNIQUE(_xlfn._xlws.FILTER(Input!A47:A5035, Input!A47:A5035&lt;&gt;""))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_xlfn.UNIQUE(_xlfn._xlws.FILTER(Input!A48:A5036, Input!A48:A5036&lt;&gt;""))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_xlfn.UNIQUE(_xlfn._xlws.FILTER(Input!A49:A5037, Input!A49:A5037&lt;&gt;""))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A52" t="e" vm="1">
        <f>_xlfn.UNIQUE(_xlfn._xlws.FILTER(Input!A50:A5038, Input!A50:A5038&lt;&gt;""))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 t="shared" si="1"/>
        <v>#VALUE!</v>
      </c>
    </row>
    <row r="53" spans="1:5" x14ac:dyDescent="0.2">
      <c r="A53" t="e" vm="1">
        <f>_xlfn.UNIQUE(_xlfn._xlws.FILTER(Input!A51:A5039, Input!A51:A5039&lt;&gt;""))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 t="shared" si="1"/>
        <v>#VALUE!</v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91"/>
  <sheetViews>
    <sheetView workbookViewId="0">
      <pane xSplit="3" ySplit="1" topLeftCell="AD9" activePane="bottomRight" state="frozen"/>
      <selection pane="topRight" activeCell="D1" sqref="D1"/>
      <selection pane="bottomLeft" activeCell="A2" sqref="A2"/>
      <selection pane="bottomRight" activeCell="H31" sqref="H31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346</v>
      </c>
      <c r="B2" t="s">
        <v>1326</v>
      </c>
      <c r="C2" t="s">
        <v>385</v>
      </c>
      <c r="D2" s="8" t="str">
        <f>IF(A2="","",VLOOKUP(A2,Lists!$A:$B,2,FALSE))</f>
        <v>0345</v>
      </c>
      <c r="E2" s="8">
        <f>IF(C2="","",VLOOKUP(C2,Lists!$C:$D,2,FALSE))</f>
        <v>93</v>
      </c>
      <c r="F2" s="8"/>
      <c r="G2" s="8"/>
      <c r="H2" s="15">
        <v>45658</v>
      </c>
      <c r="I2" s="15">
        <v>46022</v>
      </c>
      <c r="J2" s="9">
        <v>6450</v>
      </c>
      <c r="K2" t="s">
        <v>64</v>
      </c>
      <c r="L2" s="9">
        <f>IF(A2="","",IFERROR(VLOOKUP(A2,Lists!$A:$H,7,FALSE),0))</f>
        <v>0</v>
      </c>
      <c r="M2" s="10">
        <v>0.21</v>
      </c>
      <c r="N2" s="11">
        <f t="shared" ref="N2:N29" si="0">L2 * (1 + M2)</f>
        <v>0</v>
      </c>
      <c r="O2" s="11">
        <f t="shared" ref="O2:O29" si="1">IF(K2="Eigen Beheer",0,IF(AND(ISNUMBER(N2),I2&lt;&gt;"",H2&lt;&gt;""),YEARFRAC(H2,I2,4)*12*N2,0))</f>
        <v>0</v>
      </c>
      <c r="R2" s="12" t="str">
        <f>IF(Q2="","",VLOOKUP(Q2,Lists!$E:$F,2,FALSE))</f>
        <v/>
      </c>
      <c r="AD2" s="9">
        <v>50</v>
      </c>
      <c r="AE2" s="11" t="str">
        <f t="shared" ref="AE2:AE29" si="2">IF(AB2="","",IF(ISNUMBER(SEARCH("Basis",AB2)),(250/1.21)+MAX(0,AC2-5)*AD2,IF(ISNUMBER(SEARCH("Intensief",AB2)),(375/1.21)+MAX(0,AC2-7)*AD2,AC2*AD2)))</f>
        <v/>
      </c>
      <c r="AF2" s="13">
        <v>0.21</v>
      </c>
      <c r="AG2" s="11" t="str">
        <f t="shared" ref="AG2:AG29" si="3">IF(AE2&lt;&gt;"",AE2*AF2,"")</f>
        <v/>
      </c>
      <c r="AH2" s="11" t="str">
        <f t="shared" ref="AH2:AH29" si="4">IF(AE2&lt;&gt;"",AE2+AG2,"")</f>
        <v/>
      </c>
      <c r="AL2" t="str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29" si="5">IF(AND(AL2&lt;&gt;"",AM2&lt;&gt;""),AL2*AM2,"")</f>
        <v/>
      </c>
      <c r="AO2" s="13"/>
      <c r="AP2" s="11" t="str">
        <f t="shared" ref="AP2:AP29" si="6">IF(AND(AN2&lt;&gt;"",AO2&lt;&gt;""),AN2*AO2,"")</f>
        <v/>
      </c>
      <c r="AQ2" s="11" t="str">
        <f t="shared" ref="AQ2:AQ29" si="7">IF(AND(AN2&lt;&gt;"",AP2&lt;&gt;""),AN2+AP2,"")</f>
        <v/>
      </c>
    </row>
    <row r="3" spans="1:43" x14ac:dyDescent="0.2">
      <c r="A3" t="s">
        <v>346</v>
      </c>
      <c r="B3" t="s">
        <v>1327</v>
      </c>
      <c r="C3" t="s">
        <v>385</v>
      </c>
      <c r="D3" s="8" t="str">
        <f>IF(A3="","",VLOOKUP(A3,Lists!$A:$B,2,FALSE))</f>
        <v>0345</v>
      </c>
      <c r="E3" s="8">
        <f>IF(C3="","",VLOOKUP(C3,Lists!$C:$D,2,FALSE))</f>
        <v>93</v>
      </c>
      <c r="F3" s="8"/>
      <c r="G3" s="8"/>
      <c r="J3" s="9">
        <f>IF(A3="","",IFERROR(VLOOKUP(A3,Lists!$A:$H,8,FALSE),0))</f>
        <v>0</v>
      </c>
      <c r="L3" s="9">
        <f>IF(A3="","",IFERROR(VLOOKUP(A3,Lists!$A:$H,7,FALSE),0))</f>
        <v>0</v>
      </c>
      <c r="M3" s="10">
        <v>0.21</v>
      </c>
      <c r="N3" s="11">
        <f t="shared" si="0"/>
        <v>0</v>
      </c>
      <c r="O3" s="11">
        <f t="shared" si="1"/>
        <v>0</v>
      </c>
      <c r="R3" s="12" t="str">
        <f>IF(Q3="","",VLOOKUP(Q3,Lists!$E:$F,2,FALSE))</f>
        <v/>
      </c>
      <c r="AD3" s="9">
        <v>50</v>
      </c>
      <c r="AE3" s="11" t="str">
        <f t="shared" si="2"/>
        <v/>
      </c>
      <c r="AF3" s="13">
        <v>0.21</v>
      </c>
      <c r="AG3" s="11" t="str">
        <f t="shared" si="3"/>
        <v/>
      </c>
      <c r="AH3" s="11" t="str">
        <f>IF(AE3&lt;&gt;"",AE3+AG3,"")</f>
        <v/>
      </c>
      <c r="AI3" t="s">
        <v>79</v>
      </c>
      <c r="AK3" t="s">
        <v>1329</v>
      </c>
      <c r="AL3">
        <v>1</v>
      </c>
      <c r="AN3" s="11">
        <v>58.8</v>
      </c>
      <c r="AO3" s="13">
        <v>0.21</v>
      </c>
      <c r="AP3" s="11">
        <f t="shared" si="6"/>
        <v>12.347999999999999</v>
      </c>
      <c r="AQ3" s="11">
        <f t="shared" si="7"/>
        <v>71.147999999999996</v>
      </c>
    </row>
    <row r="4" spans="1:43" x14ac:dyDescent="0.2">
      <c r="A4" t="s">
        <v>346</v>
      </c>
      <c r="B4" t="s">
        <v>1327</v>
      </c>
      <c r="C4" t="s">
        <v>385</v>
      </c>
      <c r="D4" s="8" t="str">
        <f>IF(A4="","",VLOOKUP(A4,Lists!$A:$B,2,FALSE))</f>
        <v>0345</v>
      </c>
      <c r="E4" s="8">
        <f>IF(C4="","",VLOOKUP(C4,Lists!$C:$D,2,FALSE))</f>
        <v>93</v>
      </c>
      <c r="F4" s="8"/>
      <c r="G4" s="8"/>
      <c r="J4" s="9">
        <f>IF(A4="","",IFERROR(VLOOKUP(A4,Lists!$A:$H,8,FALSE),0))</f>
        <v>0</v>
      </c>
      <c r="L4" s="9">
        <f>IF(A4="","",IFERROR(VLOOKUP(A4,Lists!$A:$H,7,FALSE),0))</f>
        <v>0</v>
      </c>
      <c r="M4" s="10">
        <v>0.21</v>
      </c>
      <c r="N4" s="11">
        <f t="shared" si="0"/>
        <v>0</v>
      </c>
      <c r="O4" s="11">
        <f t="shared" si="1"/>
        <v>0</v>
      </c>
      <c r="R4" s="12" t="str">
        <f>IF(Q4="","",VLOOKUP(Q4,Lists!$E:$F,2,FALSE))</f>
        <v/>
      </c>
      <c r="AD4" s="9">
        <v>50</v>
      </c>
      <c r="AE4" s="11" t="str">
        <f t="shared" si="2"/>
        <v/>
      </c>
      <c r="AF4" s="13">
        <v>0.21</v>
      </c>
      <c r="AG4" s="11" t="str">
        <f t="shared" si="3"/>
        <v/>
      </c>
      <c r="AH4" s="11" t="str">
        <f t="shared" si="4"/>
        <v/>
      </c>
      <c r="AI4" t="s">
        <v>79</v>
      </c>
      <c r="AK4" t="s">
        <v>1330</v>
      </c>
      <c r="AL4">
        <v>1</v>
      </c>
      <c r="AN4" s="11">
        <v>51.87</v>
      </c>
      <c r="AO4" s="13">
        <v>0.21</v>
      </c>
      <c r="AP4" s="11">
        <f t="shared" si="6"/>
        <v>10.8927</v>
      </c>
      <c r="AQ4" s="11">
        <f t="shared" si="7"/>
        <v>62.762699999999995</v>
      </c>
    </row>
    <row r="5" spans="1:43" x14ac:dyDescent="0.2">
      <c r="A5" t="s">
        <v>346</v>
      </c>
      <c r="B5" t="s">
        <v>1327</v>
      </c>
      <c r="C5" t="s">
        <v>385</v>
      </c>
      <c r="D5" s="8" t="str">
        <f>IF(A5="","",VLOOKUP(A5,Lists!$A:$B,2,FALSE))</f>
        <v>0345</v>
      </c>
      <c r="E5" s="8">
        <f>IF(C5="","",VLOOKUP(C5,Lists!$C:$D,2,FALSE))</f>
        <v>93</v>
      </c>
      <c r="F5" s="8"/>
      <c r="G5" s="8"/>
      <c r="J5" s="9">
        <f>IF(A5="","",IFERROR(VLOOKUP(A5,Lists!$A:$H,8,FALSE),0))</f>
        <v>0</v>
      </c>
      <c r="L5" s="9">
        <f>IF(A5="","",IFERROR(VLOOKUP(A5,Lists!$A:$H,7,FALSE),0))</f>
        <v>0</v>
      </c>
      <c r="M5" s="10">
        <v>0.21</v>
      </c>
      <c r="N5" s="11">
        <f t="shared" si="0"/>
        <v>0</v>
      </c>
      <c r="O5" s="11">
        <f t="shared" si="1"/>
        <v>0</v>
      </c>
      <c r="R5" s="12" t="str">
        <f>IF(Q5="","",VLOOKUP(Q5,Lists!$E:$F,2,FALSE))</f>
        <v/>
      </c>
      <c r="AD5" s="9">
        <v>50</v>
      </c>
      <c r="AE5" s="11" t="str">
        <f t="shared" si="2"/>
        <v/>
      </c>
      <c r="AF5" s="13">
        <v>0.21</v>
      </c>
      <c r="AG5" s="11" t="str">
        <f t="shared" si="3"/>
        <v/>
      </c>
      <c r="AH5" s="11" t="str">
        <f t="shared" si="4"/>
        <v/>
      </c>
      <c r="AI5" t="s">
        <v>79</v>
      </c>
      <c r="AK5" t="s">
        <v>1331</v>
      </c>
      <c r="AL5">
        <v>1</v>
      </c>
      <c r="AN5" s="11">
        <v>283.14</v>
      </c>
      <c r="AO5" s="13">
        <v>0.21</v>
      </c>
      <c r="AP5" s="11">
        <f t="shared" si="6"/>
        <v>59.459399999999995</v>
      </c>
      <c r="AQ5" s="11">
        <f t="shared" si="7"/>
        <v>342.5994</v>
      </c>
    </row>
    <row r="6" spans="1:43" x14ac:dyDescent="0.2">
      <c r="A6" t="s">
        <v>346</v>
      </c>
      <c r="B6" t="s">
        <v>1327</v>
      </c>
      <c r="C6" t="s">
        <v>385</v>
      </c>
      <c r="D6" s="8" t="str">
        <f>IF(A6="","",VLOOKUP(A6,Lists!$A:$B,2,FALSE))</f>
        <v>0345</v>
      </c>
      <c r="E6" s="8">
        <f>IF(C6="","",VLOOKUP(C6,Lists!$C:$D,2,FALSE))</f>
        <v>93</v>
      </c>
      <c r="F6" s="8"/>
      <c r="G6" s="8"/>
      <c r="J6" s="9">
        <f>IF(A6="","",IFERROR(VLOOKUP(A6,Lists!$A:$H,8,FALSE),0))</f>
        <v>0</v>
      </c>
      <c r="L6" s="9">
        <f>IF(A6="","",IFERROR(VLOOKUP(A6,Lists!$A:$H,7,FALSE),0))</f>
        <v>0</v>
      </c>
      <c r="M6" s="10">
        <v>0.21</v>
      </c>
      <c r="N6" s="11">
        <f t="shared" si="0"/>
        <v>0</v>
      </c>
      <c r="O6" s="11">
        <f t="shared" si="1"/>
        <v>0</v>
      </c>
      <c r="R6" s="12" t="str">
        <f>IF(Q6="","",VLOOKUP(Q6,Lists!$E:$F,2,FALSE))</f>
        <v/>
      </c>
      <c r="AD6" s="9">
        <v>50</v>
      </c>
      <c r="AE6" s="11" t="str">
        <f t="shared" si="2"/>
        <v/>
      </c>
      <c r="AF6" s="13">
        <v>0.21</v>
      </c>
      <c r="AG6" s="11" t="str">
        <f t="shared" si="3"/>
        <v/>
      </c>
      <c r="AH6" s="11" t="str">
        <f t="shared" si="4"/>
        <v/>
      </c>
      <c r="AI6" t="s">
        <v>79</v>
      </c>
      <c r="AK6" t="s">
        <v>1332</v>
      </c>
      <c r="AL6">
        <v>6</v>
      </c>
      <c r="AN6" s="11">
        <v>339.3</v>
      </c>
      <c r="AO6" s="13">
        <v>0.21</v>
      </c>
      <c r="AP6" s="11">
        <f t="shared" si="6"/>
        <v>71.253</v>
      </c>
      <c r="AQ6" s="11">
        <f t="shared" si="7"/>
        <v>410.553</v>
      </c>
    </row>
    <row r="7" spans="1:43" x14ac:dyDescent="0.2">
      <c r="A7" t="s">
        <v>346</v>
      </c>
      <c r="B7" t="s">
        <v>1327</v>
      </c>
      <c r="C7" t="s">
        <v>385</v>
      </c>
      <c r="D7" s="8" t="str">
        <f>IF(A7="","",VLOOKUP(A7,Lists!$A:$B,2,FALSE))</f>
        <v>0345</v>
      </c>
      <c r="E7" s="8">
        <f>IF(C7="","",VLOOKUP(C7,Lists!$C:$D,2,FALSE))</f>
        <v>93</v>
      </c>
      <c r="F7" s="8"/>
      <c r="G7" s="8"/>
      <c r="J7" s="9">
        <f>IF(A7="","",IFERROR(VLOOKUP(A7,Lists!$A:$H,8,FALSE),0))</f>
        <v>0</v>
      </c>
      <c r="L7" s="9">
        <f>IF(A7="","",IFERROR(VLOOKUP(A7,Lists!$A:$H,7,FALSE),0))</f>
        <v>0</v>
      </c>
      <c r="M7" s="10">
        <v>0.21</v>
      </c>
      <c r="N7" s="11">
        <f t="shared" si="0"/>
        <v>0</v>
      </c>
      <c r="O7" s="11">
        <f t="shared" si="1"/>
        <v>0</v>
      </c>
      <c r="R7" s="12" t="str">
        <f>IF(Q7="","",VLOOKUP(Q7,Lists!$E:$F,2,FALSE))</f>
        <v/>
      </c>
      <c r="AD7" s="9">
        <v>50</v>
      </c>
      <c r="AE7" s="11" t="str">
        <f t="shared" si="2"/>
        <v/>
      </c>
      <c r="AF7" s="13">
        <v>0.21</v>
      </c>
      <c r="AG7" s="11" t="str">
        <f t="shared" si="3"/>
        <v/>
      </c>
      <c r="AH7" s="11" t="str">
        <f t="shared" si="4"/>
        <v/>
      </c>
      <c r="AI7" t="s">
        <v>79</v>
      </c>
      <c r="AK7" t="s">
        <v>1333</v>
      </c>
      <c r="AL7">
        <v>1</v>
      </c>
      <c r="AN7" s="11">
        <v>8</v>
      </c>
      <c r="AO7" s="13">
        <v>0.21</v>
      </c>
      <c r="AP7" s="11">
        <f t="shared" si="6"/>
        <v>1.68</v>
      </c>
      <c r="AQ7" s="11">
        <f t="shared" si="7"/>
        <v>9.68</v>
      </c>
    </row>
    <row r="8" spans="1:43" x14ac:dyDescent="0.2">
      <c r="A8" t="s">
        <v>346</v>
      </c>
      <c r="B8" t="s">
        <v>1327</v>
      </c>
      <c r="C8" t="s">
        <v>385</v>
      </c>
      <c r="D8" s="8" t="str">
        <f>IF(A8="","",VLOOKUP(A8,Lists!$A:$B,2,FALSE))</f>
        <v>0345</v>
      </c>
      <c r="E8" s="8">
        <f>IF(C8="","",VLOOKUP(C8,Lists!$C:$D,2,FALSE))</f>
        <v>93</v>
      </c>
      <c r="F8" s="8"/>
      <c r="G8" s="8"/>
      <c r="J8" s="9">
        <f>IF(A8="","",IFERROR(VLOOKUP(A8,Lists!$A:$H,8,FALSE),0))</f>
        <v>0</v>
      </c>
      <c r="L8" s="9">
        <f>IF(A8="","",IFERROR(VLOOKUP(A8,Lists!$A:$H,7,FALSE),0))</f>
        <v>0</v>
      </c>
      <c r="M8" s="10">
        <v>0.21</v>
      </c>
      <c r="N8" s="11">
        <f t="shared" si="0"/>
        <v>0</v>
      </c>
      <c r="O8" s="11">
        <f t="shared" si="1"/>
        <v>0</v>
      </c>
      <c r="R8" s="12" t="str">
        <f>IF(Q8="","",VLOOKUP(Q8,Lists!$E:$F,2,FALSE))</f>
        <v/>
      </c>
      <c r="AD8" s="9">
        <v>50</v>
      </c>
      <c r="AE8" s="11" t="str">
        <f t="shared" si="2"/>
        <v/>
      </c>
      <c r="AF8" s="13">
        <v>0.21</v>
      </c>
      <c r="AG8" s="11" t="str">
        <f t="shared" si="3"/>
        <v/>
      </c>
      <c r="AH8" s="11" t="str">
        <f t="shared" si="4"/>
        <v/>
      </c>
      <c r="AI8" t="s">
        <v>79</v>
      </c>
      <c r="AK8" t="s">
        <v>1334</v>
      </c>
      <c r="AL8">
        <v>1</v>
      </c>
      <c r="AN8" s="11">
        <v>50</v>
      </c>
      <c r="AO8" s="13">
        <v>0.21</v>
      </c>
      <c r="AP8" s="11">
        <f t="shared" si="6"/>
        <v>10.5</v>
      </c>
      <c r="AQ8" s="11">
        <f t="shared" si="7"/>
        <v>60.5</v>
      </c>
    </row>
    <row r="9" spans="1:43" x14ac:dyDescent="0.2">
      <c r="A9" t="s">
        <v>346</v>
      </c>
      <c r="B9" t="s">
        <v>1328</v>
      </c>
      <c r="C9" t="s">
        <v>385</v>
      </c>
      <c r="D9" s="8" t="str">
        <f>IF(A9="","",VLOOKUP(A9,Lists!$A:$B,2,FALSE))</f>
        <v>0345</v>
      </c>
      <c r="E9" s="8">
        <f>IF(C9="","",VLOOKUP(C9,Lists!$C:$D,2,FALSE))</f>
        <v>93</v>
      </c>
      <c r="F9" s="8"/>
      <c r="G9" s="8"/>
      <c r="J9" s="9">
        <f>IF(A9="","",IFERROR(VLOOKUP(A9,Lists!$A:$H,8,FALSE),0))</f>
        <v>0</v>
      </c>
      <c r="L9" s="9">
        <f>IF(A9="","",IFERROR(VLOOKUP(A9,Lists!$A:$H,7,FALSE),0))</f>
        <v>0</v>
      </c>
      <c r="M9" s="10">
        <v>0.21</v>
      </c>
      <c r="N9" s="11">
        <f t="shared" si="0"/>
        <v>0</v>
      </c>
      <c r="O9" s="11">
        <f t="shared" si="1"/>
        <v>0</v>
      </c>
      <c r="R9" s="12" t="str">
        <f>IF(Q9="","",VLOOKUP(Q9,Lists!$E:$F,2,FALSE))</f>
        <v/>
      </c>
      <c r="AB9" t="s">
        <v>65</v>
      </c>
      <c r="AD9" s="9">
        <v>50</v>
      </c>
      <c r="AE9" s="11">
        <v>620</v>
      </c>
      <c r="AF9" s="13">
        <v>0.21</v>
      </c>
      <c r="AG9" s="11">
        <f t="shared" si="3"/>
        <v>130.19999999999999</v>
      </c>
      <c r="AH9" s="11">
        <f t="shared" si="4"/>
        <v>750.2</v>
      </c>
      <c r="AL9" t="str">
        <f t="shared" ref="AL9:AL17" si="8"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 t="str">
        <f t="shared" si="5"/>
        <v/>
      </c>
      <c r="AO9" s="13"/>
      <c r="AP9" s="11" t="str">
        <f t="shared" si="6"/>
        <v/>
      </c>
      <c r="AQ9" s="11" t="str">
        <f t="shared" si="7"/>
        <v/>
      </c>
    </row>
    <row r="10" spans="1:43" x14ac:dyDescent="0.2">
      <c r="A10" t="s">
        <v>188</v>
      </c>
      <c r="B10" t="s">
        <v>1336</v>
      </c>
      <c r="C10" t="s">
        <v>209</v>
      </c>
      <c r="D10" s="8" t="str">
        <f>IF(A10="","",VLOOKUP(A10,Lists!$A:$B,2,FALSE))</f>
        <v>0384</v>
      </c>
      <c r="E10" s="8">
        <f>IF(C10="","",VLOOKUP(C10,Lists!$C:$D,2,FALSE))</f>
        <v>100191</v>
      </c>
      <c r="F10" s="8"/>
      <c r="G10" s="8"/>
      <c r="J10" s="9">
        <f>IF(A10="","",IFERROR(VLOOKUP(A10,Lists!$A:$H,8,FALSE),0))</f>
        <v>1000</v>
      </c>
      <c r="L10" s="9">
        <f>IF(A10="","",IFERROR(VLOOKUP(A10,Lists!$A:$H,7,FALSE),0))</f>
        <v>0</v>
      </c>
      <c r="M10" s="10">
        <v>0.21</v>
      </c>
      <c r="N10" s="11">
        <f t="shared" si="0"/>
        <v>0</v>
      </c>
      <c r="O10" s="11">
        <f t="shared" si="1"/>
        <v>0</v>
      </c>
      <c r="R10" s="12" t="str">
        <f>IF(Q10="","",VLOOKUP(Q10,Lists!$E:$F,2,FALSE))</f>
        <v/>
      </c>
      <c r="V10">
        <v>53</v>
      </c>
      <c r="W10">
        <v>124</v>
      </c>
      <c r="X10">
        <v>373</v>
      </c>
      <c r="Y10">
        <v>376</v>
      </c>
      <c r="Z10">
        <v>56</v>
      </c>
      <c r="AA10">
        <v>60</v>
      </c>
      <c r="AD10" s="9">
        <v>50</v>
      </c>
      <c r="AE10" s="11" t="str">
        <f t="shared" si="2"/>
        <v/>
      </c>
      <c r="AF10" s="13">
        <v>0.21</v>
      </c>
      <c r="AG10" s="11" t="str">
        <f t="shared" si="3"/>
        <v/>
      </c>
      <c r="AH10" s="11" t="str">
        <f t="shared" si="4"/>
        <v/>
      </c>
      <c r="AL10" t="str">
        <f t="shared" si="8"/>
        <v/>
      </c>
      <c r="AN10" s="11" t="str">
        <f t="shared" si="5"/>
        <v/>
      </c>
      <c r="AO10" s="13"/>
      <c r="AP10" s="11" t="str">
        <f t="shared" si="6"/>
        <v/>
      </c>
      <c r="AQ10" s="11" t="str">
        <f t="shared" si="7"/>
        <v/>
      </c>
    </row>
    <row r="11" spans="1:43" x14ac:dyDescent="0.2">
      <c r="A11" t="s">
        <v>188</v>
      </c>
      <c r="B11" t="s">
        <v>1335</v>
      </c>
      <c r="C11" t="s">
        <v>209</v>
      </c>
      <c r="D11" s="8" t="str">
        <f>IF(A11="","",VLOOKUP(A11,Lists!$A:$B,2,FALSE))</f>
        <v>0384</v>
      </c>
      <c r="E11" s="8">
        <f>IF(C11="","",VLOOKUP(C11,Lists!$C:$D,2,FALSE))</f>
        <v>100191</v>
      </c>
      <c r="F11" s="8"/>
      <c r="G11" s="8"/>
      <c r="J11" s="9">
        <f>IF(A11="","",IFERROR(VLOOKUP(A11,Lists!$A:$H,8,FALSE),0))</f>
        <v>1000</v>
      </c>
      <c r="L11" s="9">
        <f>IF(A11="","",IFERROR(VLOOKUP(A11,Lists!$A:$H,7,FALSE),0))</f>
        <v>0</v>
      </c>
      <c r="M11" s="10">
        <v>0.21</v>
      </c>
      <c r="N11" s="11">
        <f t="shared" si="0"/>
        <v>0</v>
      </c>
      <c r="O11" s="11">
        <f t="shared" si="1"/>
        <v>0</v>
      </c>
      <c r="R11" s="12" t="str">
        <f>IF(Q11="","",VLOOKUP(Q11,Lists!$E:$F,2,FALSE))</f>
        <v/>
      </c>
      <c r="AD11" s="9">
        <v>50</v>
      </c>
      <c r="AE11" s="11" t="str">
        <f t="shared" si="2"/>
        <v/>
      </c>
      <c r="AF11" s="13">
        <v>0.21</v>
      </c>
      <c r="AG11" s="11" t="str">
        <f t="shared" si="3"/>
        <v/>
      </c>
      <c r="AH11" s="11" t="str">
        <f t="shared" si="4"/>
        <v/>
      </c>
      <c r="AI11" t="s">
        <v>58</v>
      </c>
      <c r="AL11">
        <f t="shared" si="8"/>
        <v>71</v>
      </c>
      <c r="AN11" s="11">
        <v>50.83</v>
      </c>
      <c r="AO11" s="13">
        <v>0.21</v>
      </c>
      <c r="AP11" s="11">
        <f t="shared" si="6"/>
        <v>10.674299999999999</v>
      </c>
      <c r="AQ11" s="11">
        <f t="shared" si="7"/>
        <v>61.504300000000001</v>
      </c>
    </row>
    <row r="12" spans="1:43" x14ac:dyDescent="0.2">
      <c r="A12" t="s">
        <v>188</v>
      </c>
      <c r="B12" t="s">
        <v>1326</v>
      </c>
      <c r="C12" t="s">
        <v>209</v>
      </c>
      <c r="D12" s="8" t="str">
        <f>IF(A12="","",VLOOKUP(A12,Lists!$A:$B,2,FALSE))</f>
        <v>0384</v>
      </c>
      <c r="E12" s="8">
        <f>IF(C12="","",VLOOKUP(C12,Lists!$C:$D,2,FALSE))</f>
        <v>100191</v>
      </c>
      <c r="F12" s="8"/>
      <c r="G12" s="8"/>
      <c r="H12" s="15">
        <v>45913</v>
      </c>
      <c r="I12" s="15">
        <v>46004</v>
      </c>
      <c r="J12" s="9">
        <f>IF(A12="","",IFERROR(VLOOKUP(A12,Lists!$A:$H,8,FALSE),0))</f>
        <v>1000</v>
      </c>
      <c r="K12" t="s">
        <v>56</v>
      </c>
      <c r="L12" s="9">
        <v>200</v>
      </c>
      <c r="M12" s="10">
        <v>0.21</v>
      </c>
      <c r="N12" s="11">
        <f t="shared" si="0"/>
        <v>242</v>
      </c>
      <c r="O12" s="11">
        <f>IF(K12="Eigen Beheer",0,IF(AND(ISNUMBER(N12),I12&lt;&gt;"",H12&lt;&gt;""),YEARFRAC(H12,I12,4)*12*N12,0))</f>
        <v>726</v>
      </c>
      <c r="P12" t="s">
        <v>71</v>
      </c>
      <c r="Q12" t="s">
        <v>516</v>
      </c>
      <c r="R12" s="12">
        <f>IF(Q12="","",VLOOKUP(Q12,Lists!$E:$F,2,FALSE))</f>
        <v>2</v>
      </c>
      <c r="AD12" s="9">
        <v>50</v>
      </c>
      <c r="AE12" s="11" t="str">
        <f t="shared" si="2"/>
        <v/>
      </c>
      <c r="AF12" s="13">
        <v>0.21</v>
      </c>
      <c r="AG12" s="11" t="str">
        <f t="shared" si="3"/>
        <v/>
      </c>
      <c r="AH12" s="11" t="str">
        <f t="shared" si="4"/>
        <v/>
      </c>
      <c r="AL12" t="str">
        <f t="shared" si="8"/>
        <v/>
      </c>
      <c r="AN12" s="11" t="str">
        <f t="shared" si="5"/>
        <v/>
      </c>
      <c r="AO12" s="13"/>
      <c r="AP12" s="11" t="str">
        <f t="shared" si="6"/>
        <v/>
      </c>
      <c r="AQ12" s="11" t="str">
        <f t="shared" si="7"/>
        <v/>
      </c>
    </row>
    <row r="13" spans="1:43" x14ac:dyDescent="0.2">
      <c r="A13" t="s">
        <v>188</v>
      </c>
      <c r="B13" t="s">
        <v>1335</v>
      </c>
      <c r="C13" t="s">
        <v>209</v>
      </c>
      <c r="D13" s="8" t="str">
        <f>IF(A13="","",VLOOKUP(A13,Lists!$A:$B,2,FALSE))</f>
        <v>0384</v>
      </c>
      <c r="E13" s="8">
        <f>IF(C13="","",VLOOKUP(C13,Lists!$C:$D,2,FALSE))</f>
        <v>100191</v>
      </c>
      <c r="F13" s="8"/>
      <c r="G13" s="8"/>
      <c r="J13" s="9">
        <f>IF(A13="","",IFERROR(VLOOKUP(A13,Lists!$A:$H,8,FALSE),0))</f>
        <v>1000</v>
      </c>
      <c r="L13" s="9">
        <f>IF(A13="","",IFERROR(VLOOKUP(A13,Lists!$A:$H,7,FALSE),0))</f>
        <v>0</v>
      </c>
      <c r="M13" s="10">
        <v>0.21</v>
      </c>
      <c r="N13" s="11">
        <f t="shared" si="0"/>
        <v>0</v>
      </c>
      <c r="O13" s="11">
        <f t="shared" si="1"/>
        <v>0</v>
      </c>
      <c r="R13" s="12" t="str">
        <f>IF(Q13="","",VLOOKUP(Q13,Lists!$E:$F,2,FALSE))</f>
        <v/>
      </c>
      <c r="AD13" s="9">
        <v>50</v>
      </c>
      <c r="AE13" s="11" t="str">
        <f t="shared" si="2"/>
        <v/>
      </c>
      <c r="AF13" s="13">
        <v>0.21</v>
      </c>
      <c r="AG13" s="11" t="str">
        <f t="shared" si="3"/>
        <v/>
      </c>
      <c r="AH13" s="11" t="str">
        <f t="shared" si="4"/>
        <v/>
      </c>
      <c r="AI13" t="s">
        <v>66</v>
      </c>
      <c r="AL13">
        <f t="shared" si="8"/>
        <v>3</v>
      </c>
      <c r="AN13" s="11" t="str">
        <f t="shared" si="5"/>
        <v/>
      </c>
      <c r="AO13" s="13"/>
      <c r="AP13" s="11" t="str">
        <f t="shared" si="6"/>
        <v/>
      </c>
      <c r="AQ13" s="11" t="str">
        <f t="shared" si="7"/>
        <v/>
      </c>
    </row>
    <row r="14" spans="1:43" x14ac:dyDescent="0.2">
      <c r="A14" t="s">
        <v>188</v>
      </c>
      <c r="B14" t="s">
        <v>1335</v>
      </c>
      <c r="C14" t="s">
        <v>209</v>
      </c>
      <c r="D14" s="8" t="str">
        <f>IF(A14="","",VLOOKUP(A14,Lists!$A:$B,2,FALSE))</f>
        <v>0384</v>
      </c>
      <c r="E14" s="8">
        <f>IF(C14="","",VLOOKUP(C14,Lists!$C:$D,2,FALSE))</f>
        <v>100191</v>
      </c>
      <c r="F14" s="8"/>
      <c r="G14" s="8"/>
      <c r="J14" s="9">
        <f>IF(A14="","",IFERROR(VLOOKUP(A14,Lists!$A:$H,8,FALSE),0))</f>
        <v>1000</v>
      </c>
      <c r="L14" s="9">
        <f>IF(A14="","",IFERROR(VLOOKUP(A14,Lists!$A:$H,7,FALSE),0))</f>
        <v>0</v>
      </c>
      <c r="M14" s="10">
        <v>0.21</v>
      </c>
      <c r="N14" s="11">
        <f t="shared" si="0"/>
        <v>0</v>
      </c>
      <c r="O14" s="11">
        <f t="shared" si="1"/>
        <v>0</v>
      </c>
      <c r="R14" s="12" t="str">
        <f>IF(Q14="","",VLOOKUP(Q14,Lists!$E:$F,2,FALSE))</f>
        <v/>
      </c>
      <c r="AD14" s="9">
        <v>50</v>
      </c>
      <c r="AE14" s="11" t="str">
        <f t="shared" si="2"/>
        <v/>
      </c>
      <c r="AF14" s="13">
        <v>0.21</v>
      </c>
      <c r="AG14" s="11" t="str">
        <f t="shared" si="3"/>
        <v/>
      </c>
      <c r="AH14" s="11" t="str">
        <f t="shared" si="4"/>
        <v/>
      </c>
      <c r="AI14" t="s">
        <v>73</v>
      </c>
      <c r="AL14">
        <f t="shared" si="8"/>
        <v>4</v>
      </c>
      <c r="AN14" s="11" t="str">
        <f t="shared" si="5"/>
        <v/>
      </c>
      <c r="AO14" s="13"/>
      <c r="AP14" s="11" t="str">
        <f t="shared" si="6"/>
        <v/>
      </c>
      <c r="AQ14" s="11" t="str">
        <f t="shared" si="7"/>
        <v/>
      </c>
    </row>
    <row r="15" spans="1:43" x14ac:dyDescent="0.2">
      <c r="A15" t="s">
        <v>1226</v>
      </c>
      <c r="B15" t="s">
        <v>1326</v>
      </c>
      <c r="C15" t="s">
        <v>555</v>
      </c>
      <c r="D15" s="8" t="str">
        <f>IF(A15="","",VLOOKUP(A15,Lists!$A:$B,2,FALSE))</f>
        <v>0089</v>
      </c>
      <c r="E15" s="8">
        <f>IF(C15="","",VLOOKUP(C15,Lists!$C:$D,2,FALSE))</f>
        <v>50448</v>
      </c>
      <c r="F15" s="8"/>
      <c r="G15" s="8"/>
      <c r="H15" s="15">
        <v>45915</v>
      </c>
      <c r="I15" s="15">
        <v>46011</v>
      </c>
      <c r="J15" s="9">
        <v>1650</v>
      </c>
      <c r="K15" t="s">
        <v>56</v>
      </c>
      <c r="L15" s="9">
        <f>IF(A15="","",IFERROR(VLOOKUP(A15,Lists!$A:$H,7,FALSE),0))</f>
        <v>120</v>
      </c>
      <c r="M15" s="10">
        <v>0.21</v>
      </c>
      <c r="N15" s="11">
        <f t="shared" si="0"/>
        <v>145.19999999999999</v>
      </c>
      <c r="O15" s="11">
        <f t="shared" si="1"/>
        <v>459.8</v>
      </c>
      <c r="P15" t="s">
        <v>71</v>
      </c>
      <c r="Q15" t="s">
        <v>516</v>
      </c>
      <c r="R15" s="12">
        <f>IF(Q15="","",VLOOKUP(Q15,Lists!$E:$F,2,FALSE))</f>
        <v>2</v>
      </c>
      <c r="AD15" s="9">
        <v>50</v>
      </c>
      <c r="AE15" s="11" t="str">
        <f t="shared" si="2"/>
        <v/>
      </c>
      <c r="AF15" s="13">
        <v>0.21</v>
      </c>
      <c r="AG15" s="11" t="str">
        <f t="shared" si="3"/>
        <v/>
      </c>
      <c r="AH15" s="11" t="str">
        <f t="shared" si="4"/>
        <v/>
      </c>
      <c r="AL15" t="str">
        <f t="shared" si="8"/>
        <v/>
      </c>
      <c r="AN15" s="11" t="str">
        <f t="shared" si="5"/>
        <v/>
      </c>
      <c r="AO15" s="13"/>
      <c r="AP15" s="11" t="str">
        <f t="shared" si="6"/>
        <v/>
      </c>
      <c r="AQ15" s="11" t="str">
        <f t="shared" si="7"/>
        <v/>
      </c>
    </row>
    <row r="16" spans="1:43" x14ac:dyDescent="0.2">
      <c r="A16" t="s">
        <v>1226</v>
      </c>
      <c r="B16" t="s">
        <v>1336</v>
      </c>
      <c r="C16" t="s">
        <v>555</v>
      </c>
      <c r="D16" s="8" t="str">
        <f>IF(A16="","",VLOOKUP(A16,Lists!$A:$B,2,FALSE))</f>
        <v>0089</v>
      </c>
      <c r="E16" s="8">
        <f>IF(C16="","",VLOOKUP(C16,Lists!$C:$D,2,FALSE))</f>
        <v>50448</v>
      </c>
      <c r="F16" s="8"/>
      <c r="G16" s="8"/>
      <c r="J16" s="9">
        <f>IF(A16="","",IFERROR(VLOOKUP(A16,Lists!$A:$H,8,FALSE),0))</f>
        <v>1650</v>
      </c>
      <c r="L16" s="9">
        <f>IF(A16="","",IFERROR(VLOOKUP(A16,Lists!$A:$H,7,FALSE),0))</f>
        <v>120</v>
      </c>
      <c r="M16" s="10">
        <v>0.21</v>
      </c>
      <c r="N16" s="11">
        <f t="shared" si="0"/>
        <v>145.19999999999999</v>
      </c>
      <c r="O16" s="11">
        <f t="shared" si="1"/>
        <v>0</v>
      </c>
      <c r="R16" s="12" t="str">
        <f>IF(Q16="","",VLOOKUP(Q16,Lists!$E:$F,2,FALSE))</f>
        <v/>
      </c>
      <c r="Z16">
        <v>487</v>
      </c>
      <c r="AA16">
        <v>499</v>
      </c>
      <c r="AD16" s="9">
        <v>50</v>
      </c>
      <c r="AE16" s="11" t="str">
        <f t="shared" si="2"/>
        <v/>
      </c>
      <c r="AF16" s="13">
        <v>0.21</v>
      </c>
      <c r="AG16" s="11" t="str">
        <f t="shared" si="3"/>
        <v/>
      </c>
      <c r="AH16" s="11" t="str">
        <f t="shared" si="4"/>
        <v/>
      </c>
      <c r="AL16" t="str">
        <f t="shared" si="8"/>
        <v/>
      </c>
      <c r="AN16" s="11" t="str">
        <f t="shared" si="5"/>
        <v/>
      </c>
      <c r="AO16" s="13"/>
      <c r="AP16" s="11" t="str">
        <f t="shared" si="6"/>
        <v/>
      </c>
      <c r="AQ16" s="11" t="str">
        <f t="shared" si="7"/>
        <v/>
      </c>
    </row>
    <row r="17" spans="1:43" x14ac:dyDescent="0.2">
      <c r="A17" t="s">
        <v>1226</v>
      </c>
      <c r="B17" t="s">
        <v>1335</v>
      </c>
      <c r="C17" t="s">
        <v>555</v>
      </c>
      <c r="D17" s="8" t="str">
        <f>IF(A17="","",VLOOKUP(A17,Lists!$A:$B,2,FALSE))</f>
        <v>0089</v>
      </c>
      <c r="E17" s="8">
        <f>IF(C17="","",VLOOKUP(C17,Lists!$C:$D,2,FALSE))</f>
        <v>50448</v>
      </c>
      <c r="F17" s="8"/>
      <c r="G17" s="8"/>
      <c r="J17" s="9">
        <f>IF(A17="","",IFERROR(VLOOKUP(A17,Lists!$A:$H,8,FALSE),0))</f>
        <v>1650</v>
      </c>
      <c r="L17" s="9">
        <f>IF(A17="","",IFERROR(VLOOKUP(A17,Lists!$A:$H,7,FALSE),0))</f>
        <v>120</v>
      </c>
      <c r="M17" s="10">
        <v>0.21</v>
      </c>
      <c r="N17" s="11">
        <f t="shared" si="0"/>
        <v>145.19999999999999</v>
      </c>
      <c r="O17" s="11">
        <f t="shared" si="1"/>
        <v>0</v>
      </c>
      <c r="R17" s="12" t="str">
        <f>IF(Q17="","",VLOOKUP(Q17,Lists!$E:$F,2,FALSE))</f>
        <v/>
      </c>
      <c r="AD17" s="9">
        <v>50</v>
      </c>
      <c r="AE17" s="11" t="str">
        <f t="shared" si="2"/>
        <v/>
      </c>
      <c r="AF17" s="13">
        <v>0.21</v>
      </c>
      <c r="AG17" s="11" t="str">
        <f t="shared" si="3"/>
        <v/>
      </c>
      <c r="AH17" s="11" t="str">
        <f t="shared" si="4"/>
        <v/>
      </c>
      <c r="AI17" t="s">
        <v>73</v>
      </c>
      <c r="AJ17" t="s">
        <v>1340</v>
      </c>
      <c r="AK17" t="s">
        <v>1338</v>
      </c>
      <c r="AL17">
        <f t="shared" si="8"/>
        <v>12</v>
      </c>
      <c r="AM17">
        <v>1.29</v>
      </c>
      <c r="AN17" s="11">
        <f t="shared" si="5"/>
        <v>15.48</v>
      </c>
      <c r="AO17" s="13">
        <v>0.09</v>
      </c>
      <c r="AP17" s="11">
        <f t="shared" si="6"/>
        <v>1.3932</v>
      </c>
      <c r="AQ17" s="11">
        <f t="shared" si="7"/>
        <v>16.873200000000001</v>
      </c>
    </row>
    <row r="18" spans="1:43" x14ac:dyDescent="0.2">
      <c r="A18" t="s">
        <v>1226</v>
      </c>
      <c r="B18" t="s">
        <v>1335</v>
      </c>
      <c r="C18" t="s">
        <v>555</v>
      </c>
      <c r="D18" s="8" t="str">
        <f>IF(A18="","",VLOOKUP(A18,Lists!$A:$B,2,FALSE))</f>
        <v>0089</v>
      </c>
      <c r="E18" s="8">
        <f>IF(C18="","",VLOOKUP(C18,Lists!$C:$D,2,FALSE))</f>
        <v>50448</v>
      </c>
      <c r="F18" s="8"/>
      <c r="G18" s="8"/>
      <c r="J18" s="9">
        <f>IF(A18="","",IFERROR(VLOOKUP(A18,Lists!$A:$H,8,FALSE),0))</f>
        <v>1650</v>
      </c>
      <c r="L18" s="9">
        <f>IF(A18="","",IFERROR(VLOOKUP(A18,Lists!$A:$H,7,FALSE),0))</f>
        <v>120</v>
      </c>
      <c r="M18" s="10">
        <v>0.21</v>
      </c>
      <c r="N18" s="11">
        <f t="shared" si="0"/>
        <v>145.19999999999999</v>
      </c>
      <c r="O18" s="11">
        <f t="shared" si="1"/>
        <v>0</v>
      </c>
      <c r="R18" s="12" t="str">
        <f>IF(Q18="","",VLOOKUP(Q18,Lists!$E:$F,2,FALSE))</f>
        <v/>
      </c>
      <c r="AD18" s="9">
        <v>50</v>
      </c>
      <c r="AE18" s="11" t="str">
        <f t="shared" si="2"/>
        <v/>
      </c>
      <c r="AF18" s="13">
        <v>0.21</v>
      </c>
      <c r="AG18" s="11" t="str">
        <f t="shared" si="3"/>
        <v/>
      </c>
      <c r="AH18" s="11" t="str">
        <f t="shared" si="4"/>
        <v/>
      </c>
      <c r="AI18" t="s">
        <v>73</v>
      </c>
      <c r="AJ18" t="s">
        <v>1339</v>
      </c>
      <c r="AK18" t="s">
        <v>1341</v>
      </c>
      <c r="AL18">
        <v>97</v>
      </c>
      <c r="AM18">
        <v>0.25474000000000002</v>
      </c>
      <c r="AN18" s="11">
        <f t="shared" si="5"/>
        <v>24.709780000000002</v>
      </c>
      <c r="AO18" s="13">
        <v>0.09</v>
      </c>
      <c r="AP18" s="11">
        <f t="shared" si="6"/>
        <v>2.2238802</v>
      </c>
      <c r="AQ18" s="11">
        <f t="shared" si="7"/>
        <v>26.933660200000002</v>
      </c>
    </row>
    <row r="19" spans="1:43" x14ac:dyDescent="0.2">
      <c r="A19" t="s">
        <v>1226</v>
      </c>
      <c r="B19" t="s">
        <v>1335</v>
      </c>
      <c r="C19" t="s">
        <v>555</v>
      </c>
      <c r="D19" s="8" t="str">
        <f>IF(A19="","",VLOOKUP(A19,Lists!$A:$B,2,FALSE))</f>
        <v>0089</v>
      </c>
      <c r="E19" s="8">
        <f>IF(C19="","",VLOOKUP(C19,Lists!$C:$D,2,FALSE))</f>
        <v>50448</v>
      </c>
      <c r="F19" s="8"/>
      <c r="G19" s="8"/>
      <c r="J19" s="9">
        <f>IF(A19="","",IFERROR(VLOOKUP(A19,Lists!$A:$H,8,FALSE),0))</f>
        <v>1650</v>
      </c>
      <c r="L19" s="9">
        <f>IF(A19="","",IFERROR(VLOOKUP(A19,Lists!$A:$H,7,FALSE),0))</f>
        <v>120</v>
      </c>
      <c r="M19" s="10">
        <v>0.21</v>
      </c>
      <c r="N19" s="11">
        <f t="shared" si="0"/>
        <v>145.19999999999999</v>
      </c>
      <c r="O19" s="11">
        <f t="shared" si="1"/>
        <v>0</v>
      </c>
      <c r="R19" s="12" t="str">
        <f>IF(Q19="","",VLOOKUP(Q19,Lists!$E:$F,2,FALSE))</f>
        <v/>
      </c>
      <c r="AD19" s="9">
        <v>50</v>
      </c>
      <c r="AE19" s="11" t="str">
        <f t="shared" si="2"/>
        <v/>
      </c>
      <c r="AF19" s="13">
        <v>0.21</v>
      </c>
      <c r="AG19" s="11" t="str">
        <f t="shared" si="3"/>
        <v/>
      </c>
      <c r="AH19" s="11" t="str">
        <f t="shared" si="4"/>
        <v/>
      </c>
      <c r="AI19" t="s">
        <v>73</v>
      </c>
      <c r="AJ19" t="s">
        <v>1340</v>
      </c>
      <c r="AK19" t="s">
        <v>1342</v>
      </c>
      <c r="AL19">
        <f t="shared" ref="AL19:AL27" si="9"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>12</v>
      </c>
      <c r="AM19">
        <v>0.45800000000000002</v>
      </c>
      <c r="AN19" s="11">
        <f t="shared" si="5"/>
        <v>5.4960000000000004</v>
      </c>
      <c r="AO19" s="13">
        <v>0.09</v>
      </c>
      <c r="AP19" s="11">
        <f t="shared" si="6"/>
        <v>0.49464000000000002</v>
      </c>
      <c r="AQ19" s="11">
        <f t="shared" si="7"/>
        <v>5.9906400000000009</v>
      </c>
    </row>
    <row r="20" spans="1:43" x14ac:dyDescent="0.2">
      <c r="A20" t="s">
        <v>1226</v>
      </c>
      <c r="B20" t="s">
        <v>1335</v>
      </c>
      <c r="C20" t="s">
        <v>555</v>
      </c>
      <c r="D20" s="8" t="str">
        <f>IF(A20="","",VLOOKUP(A20,Lists!$A:$B,2,FALSE))</f>
        <v>0089</v>
      </c>
      <c r="E20" s="8">
        <f>IF(C20="","",VLOOKUP(C20,Lists!$C:$D,2,FALSE))</f>
        <v>50448</v>
      </c>
      <c r="F20" s="8"/>
      <c r="G20" s="8"/>
      <c r="J20" s="9">
        <f>IF(A20="","",IFERROR(VLOOKUP(A20,Lists!$A:$H,8,FALSE),0))</f>
        <v>1650</v>
      </c>
      <c r="L20" s="9">
        <f>IF(A20="","",IFERROR(VLOOKUP(A20,Lists!$A:$H,7,FALSE),0))</f>
        <v>120</v>
      </c>
      <c r="M20" s="10">
        <v>0.21</v>
      </c>
      <c r="N20" s="11">
        <f t="shared" si="0"/>
        <v>145.19999999999999</v>
      </c>
      <c r="O20" s="11">
        <f t="shared" si="1"/>
        <v>0</v>
      </c>
      <c r="R20" s="12" t="str">
        <f>IF(Q20="","",VLOOKUP(Q20,Lists!$E:$F,2,FALSE))</f>
        <v/>
      </c>
      <c r="AD20" s="9">
        <v>50</v>
      </c>
      <c r="AE20" s="11" t="str">
        <f t="shared" si="2"/>
        <v/>
      </c>
      <c r="AF20" s="13">
        <v>0.21</v>
      </c>
      <c r="AG20" s="11" t="str">
        <f t="shared" si="3"/>
        <v/>
      </c>
      <c r="AH20" s="11" t="str">
        <f t="shared" si="4"/>
        <v/>
      </c>
      <c r="AI20" t="s">
        <v>73</v>
      </c>
      <c r="AJ20" t="s">
        <v>1340</v>
      </c>
      <c r="AK20" t="s">
        <v>1343</v>
      </c>
      <c r="AL20">
        <f t="shared" si="9"/>
        <v>12</v>
      </c>
      <c r="AM20">
        <v>9.2299999999999993E-2</v>
      </c>
      <c r="AN20" s="11">
        <f t="shared" si="5"/>
        <v>1.1075999999999999</v>
      </c>
      <c r="AO20" s="13">
        <v>0.09</v>
      </c>
      <c r="AP20" s="11">
        <f t="shared" si="6"/>
        <v>9.9683999999999995E-2</v>
      </c>
      <c r="AQ20" s="11">
        <f t="shared" si="7"/>
        <v>1.207284</v>
      </c>
    </row>
    <row r="21" spans="1:43" x14ac:dyDescent="0.2">
      <c r="A21" t="s">
        <v>1226</v>
      </c>
      <c r="B21" t="s">
        <v>1327</v>
      </c>
      <c r="C21" t="s">
        <v>555</v>
      </c>
      <c r="D21" s="8" t="str">
        <f>IF(A21="","",VLOOKUP(A21,Lists!$A:$B,2,FALSE))</f>
        <v>0089</v>
      </c>
      <c r="E21" s="8">
        <f>IF(C21="","",VLOOKUP(C21,Lists!$C:$D,2,FALSE))</f>
        <v>50448</v>
      </c>
      <c r="F21" s="8"/>
      <c r="G21" s="8"/>
      <c r="J21" s="9">
        <f>IF(A21="","",IFERROR(VLOOKUP(A21,Lists!$A:$H,8,FALSE),0))</f>
        <v>1650</v>
      </c>
      <c r="L21" s="9">
        <f>IF(A21="","",IFERROR(VLOOKUP(A21,Lists!$A:$H,7,FALSE),0))</f>
        <v>120</v>
      </c>
      <c r="M21" s="10">
        <v>0.21</v>
      </c>
      <c r="N21" s="11">
        <f t="shared" si="0"/>
        <v>145.19999999999999</v>
      </c>
      <c r="O21" s="11">
        <f t="shared" si="1"/>
        <v>0</v>
      </c>
      <c r="R21" s="12" t="str">
        <f>IF(Q21="","",VLOOKUP(Q21,Lists!$E:$F,2,FALSE))</f>
        <v/>
      </c>
      <c r="AD21" s="9">
        <v>50</v>
      </c>
      <c r="AE21" s="11" t="str">
        <f t="shared" si="2"/>
        <v/>
      </c>
      <c r="AF21" s="13">
        <v>0.21</v>
      </c>
      <c r="AG21" s="11" t="str">
        <f t="shared" si="3"/>
        <v/>
      </c>
      <c r="AH21" s="11" t="str">
        <f t="shared" si="4"/>
        <v/>
      </c>
      <c r="AL21" t="str">
        <f t="shared" si="9"/>
        <v/>
      </c>
      <c r="AN21" s="11" t="str">
        <f t="shared" si="5"/>
        <v/>
      </c>
      <c r="AO21" s="13"/>
      <c r="AP21" s="11" t="str">
        <f t="shared" si="6"/>
        <v/>
      </c>
      <c r="AQ21" s="11" t="str">
        <f t="shared" si="7"/>
        <v/>
      </c>
    </row>
    <row r="22" spans="1:43" x14ac:dyDescent="0.2">
      <c r="A22" t="s">
        <v>1226</v>
      </c>
      <c r="B22" t="s">
        <v>1327</v>
      </c>
      <c r="C22" t="s">
        <v>555</v>
      </c>
      <c r="D22" s="8" t="str">
        <f>IF(A22="","",VLOOKUP(A22,Lists!$A:$B,2,FALSE))</f>
        <v>0089</v>
      </c>
      <c r="E22" s="8">
        <f>IF(C22="","",VLOOKUP(C22,Lists!$C:$D,2,FALSE))</f>
        <v>50448</v>
      </c>
      <c r="F22" s="8"/>
      <c r="G22" s="8"/>
      <c r="J22" s="9">
        <f>IF(A22="","",IFERROR(VLOOKUP(A22,Lists!$A:$H,8,FALSE),0))</f>
        <v>1650</v>
      </c>
      <c r="L22" s="9">
        <f>IF(A22="","",IFERROR(VLOOKUP(A22,Lists!$A:$H,7,FALSE),0))</f>
        <v>120</v>
      </c>
      <c r="M22" s="10">
        <v>0.21</v>
      </c>
      <c r="N22" s="11">
        <f t="shared" si="0"/>
        <v>145.19999999999999</v>
      </c>
      <c r="O22" s="11">
        <f t="shared" si="1"/>
        <v>0</v>
      </c>
      <c r="R22" s="12" t="str">
        <f>IF(Q22="","",VLOOKUP(Q22,Lists!$E:$F,2,FALSE))</f>
        <v/>
      </c>
      <c r="AD22" s="9">
        <v>50</v>
      </c>
      <c r="AE22" s="11" t="str">
        <f t="shared" si="2"/>
        <v/>
      </c>
      <c r="AF22" s="13">
        <v>0.21</v>
      </c>
      <c r="AG22" s="11" t="str">
        <f t="shared" si="3"/>
        <v/>
      </c>
      <c r="AH22" s="11" t="str">
        <f t="shared" si="4"/>
        <v/>
      </c>
      <c r="AL22" t="str">
        <f t="shared" si="9"/>
        <v/>
      </c>
      <c r="AN22" s="11" t="str">
        <f t="shared" si="5"/>
        <v/>
      </c>
      <c r="AO22" s="13"/>
      <c r="AP22" s="11" t="str">
        <f t="shared" si="6"/>
        <v/>
      </c>
      <c r="AQ22" s="11" t="str">
        <f t="shared" si="7"/>
        <v/>
      </c>
    </row>
    <row r="23" spans="1:43" x14ac:dyDescent="0.2">
      <c r="A23" t="s">
        <v>1226</v>
      </c>
      <c r="B23" t="s">
        <v>1327</v>
      </c>
      <c r="C23" t="s">
        <v>555</v>
      </c>
      <c r="D23" s="8" t="str">
        <f>IF(A23="","",VLOOKUP(A23,Lists!$A:$B,2,FALSE))</f>
        <v>0089</v>
      </c>
      <c r="E23" s="8">
        <f>IF(C23="","",VLOOKUP(C23,Lists!$C:$D,2,FALSE))</f>
        <v>50448</v>
      </c>
      <c r="F23" s="8"/>
      <c r="G23" s="8"/>
      <c r="J23" s="9">
        <f>IF(A23="","",IFERROR(VLOOKUP(A23,Lists!$A:$H,8,FALSE),0))</f>
        <v>1650</v>
      </c>
      <c r="L23" s="9">
        <f>IF(A23="","",IFERROR(VLOOKUP(A23,Lists!$A:$H,7,FALSE),0))</f>
        <v>120</v>
      </c>
      <c r="M23" s="10">
        <v>0.21</v>
      </c>
      <c r="N23" s="11">
        <f t="shared" si="0"/>
        <v>145.19999999999999</v>
      </c>
      <c r="O23" s="11">
        <f t="shared" si="1"/>
        <v>0</v>
      </c>
      <c r="R23" s="12" t="str">
        <f>IF(Q23="","",VLOOKUP(Q23,Lists!$E:$F,2,FALSE))</f>
        <v/>
      </c>
      <c r="AD23" s="9">
        <v>50</v>
      </c>
      <c r="AE23" s="11" t="str">
        <f t="shared" si="2"/>
        <v/>
      </c>
      <c r="AF23" s="13">
        <v>0.21</v>
      </c>
      <c r="AG23" s="11" t="str">
        <f t="shared" si="3"/>
        <v/>
      </c>
      <c r="AH23" s="11" t="str">
        <f t="shared" si="4"/>
        <v/>
      </c>
      <c r="AL23" t="str">
        <f t="shared" si="9"/>
        <v/>
      </c>
      <c r="AN23" s="11" t="str">
        <f t="shared" si="5"/>
        <v/>
      </c>
      <c r="AO23" s="13"/>
      <c r="AP23" s="11" t="str">
        <f t="shared" si="6"/>
        <v/>
      </c>
      <c r="AQ23" s="11" t="str">
        <f t="shared" si="7"/>
        <v/>
      </c>
    </row>
    <row r="24" spans="1:43" x14ac:dyDescent="0.2">
      <c r="A24" t="s">
        <v>1226</v>
      </c>
      <c r="B24" t="s">
        <v>1327</v>
      </c>
      <c r="C24" t="s">
        <v>555</v>
      </c>
      <c r="D24" s="8" t="str">
        <f>IF(A24="","",VLOOKUP(A24,Lists!$A:$B,2,FALSE))</f>
        <v>0089</v>
      </c>
      <c r="E24" s="8">
        <f>IF(C24="","",VLOOKUP(C24,Lists!$C:$D,2,FALSE))</f>
        <v>50448</v>
      </c>
      <c r="F24" s="8"/>
      <c r="G24" s="8"/>
      <c r="J24" s="9">
        <f>IF(A24="","",IFERROR(VLOOKUP(A24,Lists!$A:$H,8,FALSE),0))</f>
        <v>1650</v>
      </c>
      <c r="L24" s="9">
        <f>IF(A24="","",IFERROR(VLOOKUP(A24,Lists!$A:$H,7,FALSE),0))</f>
        <v>120</v>
      </c>
      <c r="M24" s="10">
        <v>0.21</v>
      </c>
      <c r="N24" s="11">
        <f t="shared" si="0"/>
        <v>145.19999999999999</v>
      </c>
      <c r="O24" s="11">
        <f t="shared" si="1"/>
        <v>0</v>
      </c>
      <c r="R24" s="12" t="str">
        <f>IF(Q24="","",VLOOKUP(Q24,Lists!$E:$F,2,FALSE))</f>
        <v/>
      </c>
      <c r="AD24" s="9">
        <v>50</v>
      </c>
      <c r="AE24" s="11" t="str">
        <f t="shared" si="2"/>
        <v/>
      </c>
      <c r="AF24" s="13">
        <v>0.21</v>
      </c>
      <c r="AG24" s="11" t="str">
        <f t="shared" si="3"/>
        <v/>
      </c>
      <c r="AH24" s="11" t="str">
        <f t="shared" si="4"/>
        <v/>
      </c>
      <c r="AL24" t="str">
        <f t="shared" si="9"/>
        <v/>
      </c>
      <c r="AN24" s="11" t="str">
        <f t="shared" si="5"/>
        <v/>
      </c>
      <c r="AO24" s="13"/>
      <c r="AP24" s="11" t="str">
        <f t="shared" si="6"/>
        <v/>
      </c>
      <c r="AQ24" s="11" t="str">
        <f t="shared" si="7"/>
        <v/>
      </c>
    </row>
    <row r="25" spans="1:43" x14ac:dyDescent="0.2">
      <c r="A25" t="s">
        <v>701</v>
      </c>
      <c r="B25" t="s">
        <v>1326</v>
      </c>
      <c r="C25" t="s">
        <v>834</v>
      </c>
      <c r="D25" s="8" t="str">
        <f>IF(A25="","",VLOOKUP(A25,Lists!$A:$B,2,FALSE))</f>
        <v>0225</v>
      </c>
      <c r="E25" s="8">
        <f>IF(C25="","",VLOOKUP(C25,Lists!$C:$D,2,FALSE))</f>
        <v>100155</v>
      </c>
      <c r="F25" s="8"/>
      <c r="G25" s="8"/>
      <c r="H25" s="15">
        <v>45642</v>
      </c>
      <c r="I25" s="15">
        <v>46007</v>
      </c>
      <c r="J25" s="9">
        <f>IF(A25="","",IFERROR(VLOOKUP(A25,Lists!$A:$H,8,FALSE),0))</f>
        <v>4164</v>
      </c>
      <c r="K25" t="s">
        <v>56</v>
      </c>
      <c r="L25" s="9">
        <f>IF(A25="","",IFERROR(VLOOKUP(A25,Lists!$A:$H,7,FALSE),0))</f>
        <v>200</v>
      </c>
      <c r="M25" s="10">
        <v>0.21</v>
      </c>
      <c r="N25" s="11">
        <f t="shared" si="0"/>
        <v>242</v>
      </c>
      <c r="O25" s="11">
        <f t="shared" si="1"/>
        <v>2904</v>
      </c>
      <c r="P25" t="s">
        <v>71</v>
      </c>
      <c r="Q25" t="s">
        <v>1337</v>
      </c>
      <c r="R25" s="12">
        <f>IF(Q25="","",VLOOKUP(Q25,Lists!$E:$F,2,FALSE))</f>
        <v>2</v>
      </c>
      <c r="AD25" s="9">
        <v>50</v>
      </c>
      <c r="AE25" s="11" t="str">
        <f t="shared" si="2"/>
        <v/>
      </c>
      <c r="AF25" s="13">
        <v>0.21</v>
      </c>
      <c r="AG25" s="11" t="str">
        <f t="shared" si="3"/>
        <v/>
      </c>
      <c r="AH25" s="11" t="str">
        <f t="shared" si="4"/>
        <v/>
      </c>
      <c r="AL25" t="str">
        <f t="shared" si="9"/>
        <v/>
      </c>
      <c r="AN25" s="11" t="str">
        <f t="shared" si="5"/>
        <v/>
      </c>
      <c r="AO25" s="13"/>
      <c r="AP25" s="11" t="str">
        <f t="shared" si="6"/>
        <v/>
      </c>
      <c r="AQ25" s="11" t="str">
        <f t="shared" si="7"/>
        <v/>
      </c>
    </row>
    <row r="26" spans="1:43" x14ac:dyDescent="0.2">
      <c r="A26" t="s">
        <v>701</v>
      </c>
      <c r="B26" t="s">
        <v>1336</v>
      </c>
      <c r="C26" t="s">
        <v>834</v>
      </c>
      <c r="D26" s="8" t="str">
        <f>IF(A26="","",VLOOKUP(A26,Lists!$A:$B,2,FALSE))</f>
        <v>0225</v>
      </c>
      <c r="E26" s="8">
        <f>IF(C26="","",VLOOKUP(C26,Lists!$C:$D,2,FALSE))</f>
        <v>100155</v>
      </c>
      <c r="F26" s="8"/>
      <c r="G26" s="8"/>
      <c r="J26" s="9">
        <f>IF(A26="","",IFERROR(VLOOKUP(A26,Lists!$A:$H,8,FALSE),0))</f>
        <v>4164</v>
      </c>
      <c r="L26" s="9">
        <f>IF(A26="","",IFERROR(VLOOKUP(A26,Lists!$A:$H,7,FALSE),0))</f>
        <v>200</v>
      </c>
      <c r="M26" s="10">
        <v>0.21</v>
      </c>
      <c r="N26" s="11">
        <f t="shared" si="0"/>
        <v>242</v>
      </c>
      <c r="O26" s="11">
        <f t="shared" si="1"/>
        <v>0</v>
      </c>
      <c r="R26" s="12" t="str">
        <f>IF(Q26="","",VLOOKUP(Q26,Lists!$E:$F,2,FALSE))</f>
        <v/>
      </c>
      <c r="Z26">
        <v>1483</v>
      </c>
      <c r="AA26">
        <v>1541</v>
      </c>
      <c r="AD26" s="9">
        <v>50</v>
      </c>
      <c r="AE26" s="11" t="str">
        <f t="shared" si="2"/>
        <v/>
      </c>
      <c r="AF26" s="13">
        <v>0.21</v>
      </c>
      <c r="AG26" s="11" t="str">
        <f t="shared" si="3"/>
        <v/>
      </c>
      <c r="AH26" s="11" t="str">
        <f t="shared" si="4"/>
        <v/>
      </c>
      <c r="AL26" t="str">
        <f t="shared" si="9"/>
        <v/>
      </c>
      <c r="AN26" s="11" t="str">
        <f t="shared" si="5"/>
        <v/>
      </c>
      <c r="AO26" s="13"/>
      <c r="AP26" s="11" t="str">
        <f t="shared" si="6"/>
        <v/>
      </c>
      <c r="AQ26" s="11" t="str">
        <f t="shared" si="7"/>
        <v/>
      </c>
    </row>
    <row r="27" spans="1:43" x14ac:dyDescent="0.2">
      <c r="A27" t="s">
        <v>701</v>
      </c>
      <c r="B27" t="s">
        <v>1335</v>
      </c>
      <c r="C27" t="s">
        <v>834</v>
      </c>
      <c r="D27" s="8" t="str">
        <f>IF(A27="","",VLOOKUP(A27,Lists!$A:$B,2,FALSE))</f>
        <v>0225</v>
      </c>
      <c r="E27" s="8">
        <f>IF(C27="","",VLOOKUP(C27,Lists!$C:$D,2,FALSE))</f>
        <v>100155</v>
      </c>
      <c r="F27" s="8"/>
      <c r="G27" s="8"/>
      <c r="J27" s="9">
        <f>IF(A27="","",IFERROR(VLOOKUP(A27,Lists!$A:$H,8,FALSE),0))</f>
        <v>4164</v>
      </c>
      <c r="L27" s="9">
        <f>IF(A27="","",IFERROR(VLOOKUP(A27,Lists!$A:$H,7,FALSE),0))</f>
        <v>200</v>
      </c>
      <c r="M27" s="10">
        <v>0.21</v>
      </c>
      <c r="N27" s="11">
        <f t="shared" si="0"/>
        <v>242</v>
      </c>
      <c r="O27" s="11">
        <f t="shared" si="1"/>
        <v>0</v>
      </c>
      <c r="R27" s="12" t="str">
        <f>IF(Q27="","",VLOOKUP(Q27,Lists!$E:$F,2,FALSE))</f>
        <v/>
      </c>
      <c r="AD27" s="9">
        <v>50</v>
      </c>
      <c r="AE27" s="11" t="str">
        <f t="shared" si="2"/>
        <v/>
      </c>
      <c r="AF27" s="13">
        <v>0.21</v>
      </c>
      <c r="AG27" s="11" t="str">
        <f t="shared" si="3"/>
        <v/>
      </c>
      <c r="AH27" s="11" t="str">
        <f t="shared" si="4"/>
        <v/>
      </c>
      <c r="AI27" t="s">
        <v>73</v>
      </c>
      <c r="AJ27" t="s">
        <v>1340</v>
      </c>
      <c r="AK27" t="s">
        <v>1338</v>
      </c>
      <c r="AL27">
        <f t="shared" si="9"/>
        <v>58</v>
      </c>
      <c r="AM27">
        <v>1.29</v>
      </c>
      <c r="AN27" s="11">
        <f t="shared" si="5"/>
        <v>74.820000000000007</v>
      </c>
      <c r="AO27" s="13">
        <v>0.09</v>
      </c>
      <c r="AP27" s="11">
        <f t="shared" si="6"/>
        <v>6.7338000000000005</v>
      </c>
      <c r="AQ27" s="11">
        <f t="shared" si="7"/>
        <v>81.55380000000001</v>
      </c>
    </row>
    <row r="28" spans="1:43" x14ac:dyDescent="0.2">
      <c r="A28" t="s">
        <v>701</v>
      </c>
      <c r="B28" t="s">
        <v>1335</v>
      </c>
      <c r="C28" t="s">
        <v>834</v>
      </c>
      <c r="D28" s="8" t="str">
        <f>IF(A28="","",VLOOKUP(A28,Lists!$A:$B,2,FALSE))</f>
        <v>0225</v>
      </c>
      <c r="E28" s="8">
        <f>IF(C28="","",VLOOKUP(C28,Lists!$C:$D,2,FALSE))</f>
        <v>100155</v>
      </c>
      <c r="F28" s="8"/>
      <c r="G28" s="8"/>
      <c r="J28" s="9">
        <f>IF(A28="","",IFERROR(VLOOKUP(A28,Lists!$A:$H,8,FALSE),0))</f>
        <v>4164</v>
      </c>
      <c r="L28" s="9">
        <f>IF(A28="","",IFERROR(VLOOKUP(A28,Lists!$A:$H,7,FALSE),0))</f>
        <v>200</v>
      </c>
      <c r="M28" s="10">
        <v>0.21</v>
      </c>
      <c r="N28" s="11">
        <f t="shared" si="0"/>
        <v>242</v>
      </c>
      <c r="O28" s="11">
        <f t="shared" si="1"/>
        <v>0</v>
      </c>
      <c r="R28" s="12" t="str">
        <f>IF(Q28="","",VLOOKUP(Q28,Lists!$E:$F,2,FALSE))</f>
        <v/>
      </c>
      <c r="AD28" s="9">
        <v>50</v>
      </c>
      <c r="AE28" s="11" t="str">
        <f t="shared" si="2"/>
        <v/>
      </c>
      <c r="AF28" s="13">
        <v>0.21</v>
      </c>
      <c r="AG28" s="11" t="str">
        <f t="shared" si="3"/>
        <v/>
      </c>
      <c r="AH28" s="11" t="str">
        <f t="shared" si="4"/>
        <v/>
      </c>
      <c r="AI28" t="s">
        <v>73</v>
      </c>
      <c r="AJ28" t="s">
        <v>1339</v>
      </c>
      <c r="AK28" t="s">
        <v>1341</v>
      </c>
      <c r="AL28">
        <v>366</v>
      </c>
      <c r="AM28">
        <v>0.25474000000000002</v>
      </c>
      <c r="AN28" s="11">
        <f t="shared" si="5"/>
        <v>93.234840000000005</v>
      </c>
      <c r="AO28" s="13">
        <v>0.09</v>
      </c>
      <c r="AP28" s="11">
        <f t="shared" si="6"/>
        <v>8.3911356000000001</v>
      </c>
      <c r="AQ28" s="11">
        <f t="shared" si="7"/>
        <v>101.6259756</v>
      </c>
    </row>
    <row r="29" spans="1:43" x14ac:dyDescent="0.2">
      <c r="A29" t="s">
        <v>701</v>
      </c>
      <c r="B29" t="s">
        <v>1335</v>
      </c>
      <c r="C29" t="s">
        <v>834</v>
      </c>
      <c r="D29" s="8" t="str">
        <f>IF(A29="","",VLOOKUP(A29,Lists!$A:$B,2,FALSE))</f>
        <v>0225</v>
      </c>
      <c r="E29" s="8">
        <f>IF(C29="","",VLOOKUP(C29,Lists!$C:$D,2,FALSE))</f>
        <v>100155</v>
      </c>
      <c r="F29" s="8"/>
      <c r="G29" s="8"/>
      <c r="J29" s="9">
        <f>IF(A29="","",IFERROR(VLOOKUP(A29,Lists!$A:$H,8,FALSE),0))</f>
        <v>4164</v>
      </c>
      <c r="L29" s="9">
        <f>IF(A29="","",IFERROR(VLOOKUP(A29,Lists!$A:$H,7,FALSE),0))</f>
        <v>200</v>
      </c>
      <c r="M29" s="10">
        <v>0.21</v>
      </c>
      <c r="N29" s="11">
        <f t="shared" si="0"/>
        <v>242</v>
      </c>
      <c r="O29" s="11">
        <f t="shared" si="1"/>
        <v>0</v>
      </c>
      <c r="R29" s="12" t="str">
        <f>IF(Q29="","",VLOOKUP(Q29,Lists!$E:$F,2,FALSE))</f>
        <v/>
      </c>
      <c r="AD29" s="9">
        <v>50</v>
      </c>
      <c r="AE29" s="11" t="str">
        <f t="shared" si="2"/>
        <v/>
      </c>
      <c r="AF29" s="13">
        <v>0.21</v>
      </c>
      <c r="AG29" s="11" t="str">
        <f t="shared" si="3"/>
        <v/>
      </c>
      <c r="AH29" s="11" t="str">
        <f t="shared" si="4"/>
        <v/>
      </c>
      <c r="AI29" t="s">
        <v>73</v>
      </c>
      <c r="AJ29" t="s">
        <v>1340</v>
      </c>
      <c r="AK29" t="s">
        <v>1342</v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>58</v>
      </c>
      <c r="AM29">
        <v>0.45800000000000002</v>
      </c>
      <c r="AN29" s="11">
        <f t="shared" si="5"/>
        <v>26.564</v>
      </c>
      <c r="AO29" s="13">
        <v>0.09</v>
      </c>
      <c r="AP29" s="11">
        <f t="shared" si="6"/>
        <v>2.3907599999999998</v>
      </c>
      <c r="AQ29" s="11">
        <f t="shared" si="7"/>
        <v>28.95476</v>
      </c>
    </row>
    <row r="30" spans="1:43" x14ac:dyDescent="0.2">
      <c r="A30" t="s">
        <v>701</v>
      </c>
      <c r="B30" t="s">
        <v>1335</v>
      </c>
      <c r="C30" t="s">
        <v>834</v>
      </c>
      <c r="D30" s="8" t="str">
        <f>IF(A30="","",VLOOKUP(A30,Lists!$A:$B,2,FALSE))</f>
        <v>0225</v>
      </c>
      <c r="E30" s="8">
        <f>IF(C30="","",VLOOKUP(C30,Lists!$C:$D,2,FALSE))</f>
        <v>100155</v>
      </c>
      <c r="F30" s="8"/>
      <c r="G30" s="8"/>
      <c r="J30" s="9">
        <f>IF(A30="","",IFERROR(VLOOKUP(A30,Lists!$A:$H,8,FALSE),0))</f>
        <v>4164</v>
      </c>
      <c r="L30" s="9">
        <f>IF(A30="","",IFERROR(VLOOKUP(A30,Lists!$A:$H,7,FALSE),0))</f>
        <v>200</v>
      </c>
      <c r="M30" s="10">
        <v>0.21</v>
      </c>
      <c r="N30" s="11">
        <f t="shared" ref="N30:N55" si="10">L30 * (1 + M30)</f>
        <v>242</v>
      </c>
      <c r="O30" s="11">
        <f t="shared" ref="O30:O55" si="11">IF(K30="Eigen Beheer",0,IF(AND(ISNUMBER(N30),I30&lt;&gt;"",H30&lt;&gt;""),YEARFRAC(H30,I30,4)*12*N30,0))</f>
        <v>0</v>
      </c>
      <c r="R30" s="12" t="str">
        <f>IF(Q30="","",VLOOKUP(Q30,Lists!$E:$F,2,FALSE))</f>
        <v/>
      </c>
      <c r="AD30" s="9">
        <v>50</v>
      </c>
      <c r="AE30" s="11" t="str">
        <f t="shared" ref="AE30:AE55" si="12">IF(AB30="","",IF(ISNUMBER(SEARCH("Basis",AB30)),(250/1.21)+MAX(0,AC30-5)*AD30,IF(ISNUMBER(SEARCH("Intensief",AB30)),(375/1.21)+MAX(0,AC30-7)*AD30,AC30*AD30)))</f>
        <v/>
      </c>
      <c r="AF30" s="13">
        <v>0.21</v>
      </c>
      <c r="AG30" s="11" t="str">
        <f t="shared" ref="AG30:AG55" si="13">IF(AE30&lt;&gt;"",AE30*AF30,"")</f>
        <v/>
      </c>
      <c r="AH30" s="11" t="str">
        <f t="shared" ref="AH30:AH55" si="14">IF(AE30&lt;&gt;"",AE30+AG30,"")</f>
        <v/>
      </c>
      <c r="AI30" t="s">
        <v>73</v>
      </c>
      <c r="AJ30" t="s">
        <v>1340</v>
      </c>
      <c r="AK30" t="s">
        <v>1343</v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>58</v>
      </c>
      <c r="AM30">
        <v>9.2299999999999993E-2</v>
      </c>
      <c r="AN30" s="11">
        <f t="shared" ref="AN30:AN55" si="15">IF(AND(AL30&lt;&gt;"",AM30&lt;&gt;""),AL30*AM30,"")</f>
        <v>5.3533999999999997</v>
      </c>
      <c r="AO30" s="13">
        <v>0.09</v>
      </c>
      <c r="AP30" s="11">
        <f t="shared" ref="AP30:AP55" si="16">IF(AND(AN30&lt;&gt;"",AO30&lt;&gt;""),AN30*AO30,"")</f>
        <v>0.48180599999999996</v>
      </c>
      <c r="AQ30" s="11">
        <f t="shared" ref="AQ30:AQ55" si="17">IF(AND(AN30&lt;&gt;"",AP30&lt;&gt;""),AN30+AP30,"")</f>
        <v>5.8352059999999994</v>
      </c>
    </row>
    <row r="31" spans="1:43" x14ac:dyDescent="0.2">
      <c r="A31" t="s">
        <v>126</v>
      </c>
      <c r="B31" t="s">
        <v>1326</v>
      </c>
      <c r="C31" t="s">
        <v>1178</v>
      </c>
      <c r="D31" s="8" t="str">
        <f>IF(A31="","",VLOOKUP(A31,Lists!$A:$B,2,FALSE))</f>
        <v>0295</v>
      </c>
      <c r="E31" s="8">
        <f>IF(C31="","",VLOOKUP(C31,Lists!$C:$D,2,FALSE))</f>
        <v>100183</v>
      </c>
      <c r="F31" s="8"/>
      <c r="G31" s="8"/>
      <c r="H31" s="15">
        <v>45838</v>
      </c>
      <c r="I31" s="15">
        <v>45961</v>
      </c>
      <c r="J31" s="9">
        <v>3200</v>
      </c>
      <c r="K31" t="s">
        <v>56</v>
      </c>
      <c r="L31" s="9">
        <v>400</v>
      </c>
      <c r="M31" s="10">
        <v>0.21</v>
      </c>
      <c r="N31" s="11">
        <f t="shared" si="10"/>
        <v>484</v>
      </c>
      <c r="O31" s="11">
        <f>IF(K31="Eigen Beheer",0,IF(AND(ISNUMBER(N31),I31&lt;&gt;"",H31&lt;&gt;""),YEARFRAC(H31,I31,4)*12*N31,0))</f>
        <v>1936</v>
      </c>
      <c r="P31" t="s">
        <v>71</v>
      </c>
      <c r="Q31" t="s">
        <v>516</v>
      </c>
      <c r="R31" s="12">
        <f>IF(Q31="","",VLOOKUP(Q31,Lists!$E:$F,2,FALSE))</f>
        <v>2</v>
      </c>
      <c r="AD31" s="9">
        <v>50</v>
      </c>
      <c r="AE31" s="11" t="str">
        <f t="shared" si="12"/>
        <v/>
      </c>
      <c r="AF31" s="13">
        <v>0.21</v>
      </c>
      <c r="AG31" s="11" t="str">
        <f t="shared" si="13"/>
        <v/>
      </c>
      <c r="AH31" s="11" t="str">
        <f t="shared" si="14"/>
        <v/>
      </c>
      <c r="AL31" t="str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 t="str">
        <f t="shared" si="15"/>
        <v/>
      </c>
      <c r="AO31" s="13"/>
      <c r="AP31" s="11" t="str">
        <f t="shared" si="16"/>
        <v/>
      </c>
      <c r="AQ31" s="11" t="str">
        <f t="shared" si="17"/>
        <v/>
      </c>
    </row>
    <row r="32" spans="1:43" x14ac:dyDescent="0.2">
      <c r="A32" t="s">
        <v>126</v>
      </c>
      <c r="B32" t="s">
        <v>1336</v>
      </c>
      <c r="C32" t="s">
        <v>1178</v>
      </c>
      <c r="D32" s="8" t="str">
        <f>IF(A32="","",VLOOKUP(A32,Lists!$A:$B,2,FALSE))</f>
        <v>0295</v>
      </c>
      <c r="E32" s="8">
        <f>IF(C32="","",VLOOKUP(C32,Lists!$C:$D,2,FALSE))</f>
        <v>100183</v>
      </c>
      <c r="F32" s="8"/>
      <c r="G32" s="8"/>
      <c r="J32" s="9">
        <v>3200</v>
      </c>
      <c r="L32" s="9">
        <v>400</v>
      </c>
      <c r="M32" s="10">
        <v>0.21</v>
      </c>
      <c r="N32" s="11">
        <f t="shared" si="10"/>
        <v>484</v>
      </c>
      <c r="O32" s="11">
        <f t="shared" si="11"/>
        <v>0</v>
      </c>
      <c r="R32" s="12" t="str">
        <f>IF(Q32="","",VLOOKUP(Q32,Lists!$E:$F,2,FALSE))</f>
        <v/>
      </c>
      <c r="V32">
        <v>12552</v>
      </c>
      <c r="W32">
        <v>14399</v>
      </c>
      <c r="Z32">
        <v>326</v>
      </c>
      <c r="AA32">
        <v>380</v>
      </c>
      <c r="AD32" s="9">
        <v>50</v>
      </c>
      <c r="AE32" s="11" t="str">
        <f t="shared" si="12"/>
        <v/>
      </c>
      <c r="AF32" s="13">
        <v>0.21</v>
      </c>
      <c r="AG32" s="11" t="str">
        <f t="shared" si="13"/>
        <v/>
      </c>
      <c r="AH32" s="11" t="str">
        <f t="shared" si="14"/>
        <v/>
      </c>
      <c r="AL32" t="str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 t="str">
        <f t="shared" si="15"/>
        <v/>
      </c>
      <c r="AO32" s="13"/>
      <c r="AP32" s="11" t="str">
        <f t="shared" si="16"/>
        <v/>
      </c>
      <c r="AQ32" s="11" t="str">
        <f t="shared" si="17"/>
        <v/>
      </c>
    </row>
    <row r="33" spans="1:43" x14ac:dyDescent="0.2">
      <c r="A33" t="s">
        <v>126</v>
      </c>
      <c r="B33" t="s">
        <v>1328</v>
      </c>
      <c r="C33" t="s">
        <v>1178</v>
      </c>
      <c r="D33" s="8" t="str">
        <f>IF(A33="","",VLOOKUP(A33,Lists!$A:$B,2,FALSE))</f>
        <v>0295</v>
      </c>
      <c r="E33" s="8">
        <f>IF(C33="","",VLOOKUP(C33,Lists!$C:$D,2,FALSE))</f>
        <v>100183</v>
      </c>
      <c r="F33" s="8"/>
      <c r="G33" s="8"/>
      <c r="J33" s="9">
        <v>3200</v>
      </c>
      <c r="L33" s="9">
        <v>400</v>
      </c>
      <c r="M33" s="10">
        <v>0.21</v>
      </c>
      <c r="N33" s="11">
        <f t="shared" si="10"/>
        <v>484</v>
      </c>
      <c r="O33" s="11">
        <f t="shared" si="11"/>
        <v>0</v>
      </c>
      <c r="R33" s="12" t="str">
        <f>IF(Q33="","",VLOOKUP(Q33,Lists!$E:$F,2,FALSE))</f>
        <v/>
      </c>
      <c r="AB33" t="s">
        <v>78</v>
      </c>
      <c r="AC33">
        <v>6</v>
      </c>
      <c r="AD33" s="9">
        <v>50</v>
      </c>
      <c r="AE33" s="11">
        <f t="shared" si="12"/>
        <v>300</v>
      </c>
      <c r="AF33" s="13">
        <v>0.21</v>
      </c>
      <c r="AG33" s="11">
        <f t="shared" si="13"/>
        <v>63</v>
      </c>
      <c r="AH33" s="11">
        <f t="shared" si="14"/>
        <v>363</v>
      </c>
      <c r="AL33" t="str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 t="str">
        <f t="shared" si="15"/>
        <v/>
      </c>
      <c r="AO33" s="13"/>
      <c r="AP33" s="11" t="str">
        <f t="shared" si="16"/>
        <v/>
      </c>
      <c r="AQ33" s="11" t="str">
        <f t="shared" si="17"/>
        <v/>
      </c>
    </row>
    <row r="34" spans="1:43" x14ac:dyDescent="0.2">
      <c r="A34" t="s">
        <v>126</v>
      </c>
      <c r="B34" t="s">
        <v>1327</v>
      </c>
      <c r="C34" t="s">
        <v>1178</v>
      </c>
      <c r="D34" s="8" t="str">
        <f>IF(A34="","",VLOOKUP(A34,Lists!$A:$B,2,FALSE))</f>
        <v>0295</v>
      </c>
      <c r="E34" s="8">
        <f>IF(C34="","",VLOOKUP(C34,Lists!$C:$D,2,FALSE))</f>
        <v>100183</v>
      </c>
      <c r="F34" s="8"/>
      <c r="G34" s="8"/>
      <c r="J34" s="9">
        <v>3200</v>
      </c>
      <c r="L34" s="9">
        <v>400</v>
      </c>
      <c r="M34" s="10">
        <v>0.21</v>
      </c>
      <c r="N34" s="11">
        <f t="shared" si="10"/>
        <v>484</v>
      </c>
      <c r="O34" s="11">
        <f t="shared" si="11"/>
        <v>0</v>
      </c>
      <c r="R34" s="12" t="str">
        <f>IF(Q34="","",VLOOKUP(Q34,Lists!$E:$F,2,FALSE))</f>
        <v/>
      </c>
      <c r="AD34" s="9">
        <v>50</v>
      </c>
      <c r="AE34" s="11" t="str">
        <f t="shared" si="12"/>
        <v/>
      </c>
      <c r="AF34" s="13">
        <v>0.21</v>
      </c>
      <c r="AG34" s="11" t="str">
        <f t="shared" si="13"/>
        <v/>
      </c>
      <c r="AH34" s="11" t="str">
        <f t="shared" si="14"/>
        <v/>
      </c>
      <c r="AI34" t="s">
        <v>79</v>
      </c>
      <c r="AK34" t="s">
        <v>1344</v>
      </c>
      <c r="AL34">
        <v>1</v>
      </c>
      <c r="AM34">
        <f>AN34/AL34</f>
        <v>455.18</v>
      </c>
      <c r="AN34" s="11">
        <v>455.18</v>
      </c>
      <c r="AO34" s="13">
        <v>0.21</v>
      </c>
      <c r="AP34" s="11">
        <f t="shared" si="16"/>
        <v>95.587800000000001</v>
      </c>
      <c r="AQ34" s="11">
        <f t="shared" si="17"/>
        <v>550.76779999999997</v>
      </c>
    </row>
    <row r="35" spans="1:43" x14ac:dyDescent="0.2">
      <c r="A35" t="s">
        <v>126</v>
      </c>
      <c r="B35" t="s">
        <v>1327</v>
      </c>
      <c r="C35" t="s">
        <v>1178</v>
      </c>
      <c r="D35" s="8" t="str">
        <f>IF(A35="","",VLOOKUP(A35,Lists!$A:$B,2,FALSE))</f>
        <v>0295</v>
      </c>
      <c r="E35" s="8">
        <f>IF(C35="","",VLOOKUP(C35,Lists!$C:$D,2,FALSE))</f>
        <v>100183</v>
      </c>
      <c r="F35" s="8"/>
      <c r="G35" s="8"/>
      <c r="J35" s="9">
        <v>3200</v>
      </c>
      <c r="L35" s="9">
        <v>400</v>
      </c>
      <c r="M35" s="10">
        <v>0.21</v>
      </c>
      <c r="N35" s="11">
        <f t="shared" si="10"/>
        <v>484</v>
      </c>
      <c r="O35" s="11">
        <f t="shared" si="11"/>
        <v>0</v>
      </c>
      <c r="R35" s="12" t="str">
        <f>IF(Q35="","",VLOOKUP(Q35,Lists!$E:$F,2,FALSE))</f>
        <v/>
      </c>
      <c r="AD35" s="9">
        <v>50</v>
      </c>
      <c r="AE35" s="11" t="str">
        <f t="shared" si="12"/>
        <v/>
      </c>
      <c r="AF35" s="13">
        <v>0.21</v>
      </c>
      <c r="AG35" s="11" t="str">
        <f t="shared" si="13"/>
        <v/>
      </c>
      <c r="AH35" s="11" t="str">
        <f t="shared" si="14"/>
        <v/>
      </c>
      <c r="AI35" t="s">
        <v>79</v>
      </c>
      <c r="AK35" t="s">
        <v>1345</v>
      </c>
      <c r="AL35">
        <v>2</v>
      </c>
      <c r="AM35">
        <f>AN35/AL35</f>
        <v>383.5</v>
      </c>
      <c r="AN35" s="11">
        <v>767</v>
      </c>
      <c r="AO35" s="13">
        <v>0.21</v>
      </c>
      <c r="AP35" s="11">
        <f t="shared" si="16"/>
        <v>161.07</v>
      </c>
      <c r="AQ35" s="11">
        <f t="shared" si="17"/>
        <v>928.06999999999994</v>
      </c>
    </row>
    <row r="36" spans="1:43" x14ac:dyDescent="0.2">
      <c r="A36" t="s">
        <v>126</v>
      </c>
      <c r="B36" t="s">
        <v>1335</v>
      </c>
      <c r="C36" t="s">
        <v>1178</v>
      </c>
      <c r="D36" s="8" t="str">
        <f>IF(A36="","",VLOOKUP(A36,Lists!$A:$B,2,FALSE))</f>
        <v>0295</v>
      </c>
      <c r="E36" s="8">
        <f>IF(C36="","",VLOOKUP(C36,Lists!$C:$D,2,FALSE))</f>
        <v>100183</v>
      </c>
      <c r="F36" s="8"/>
      <c r="G36" s="8"/>
      <c r="J36" s="9">
        <v>3200</v>
      </c>
      <c r="L36" s="9">
        <v>400</v>
      </c>
      <c r="M36" s="10">
        <v>0.21</v>
      </c>
      <c r="N36" s="11">
        <f t="shared" si="10"/>
        <v>484</v>
      </c>
      <c r="O36" s="11">
        <f t="shared" si="11"/>
        <v>0</v>
      </c>
      <c r="R36" s="12" t="str">
        <f>IF(Q36="","",VLOOKUP(Q36,Lists!$E:$F,2,FALSE))</f>
        <v/>
      </c>
      <c r="AD36" s="9">
        <v>50</v>
      </c>
      <c r="AE36" s="11" t="str">
        <f t="shared" si="12"/>
        <v/>
      </c>
      <c r="AF36" s="13">
        <v>0.21</v>
      </c>
      <c r="AG36" s="11" t="str">
        <f t="shared" si="13"/>
        <v/>
      </c>
      <c r="AH36" s="11" t="str">
        <f t="shared" si="14"/>
        <v/>
      </c>
      <c r="AI36" t="s">
        <v>79</v>
      </c>
      <c r="AK36" t="s">
        <v>1346</v>
      </c>
      <c r="AL36" t="str">
        <f t="shared" ref="AL36:AL67" si="18"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v>899.65</v>
      </c>
      <c r="AO36" s="13">
        <v>0.21</v>
      </c>
      <c r="AP36" s="11">
        <f t="shared" si="16"/>
        <v>188.92649999999998</v>
      </c>
      <c r="AQ36" s="11">
        <f t="shared" si="17"/>
        <v>1088.5764999999999</v>
      </c>
    </row>
    <row r="37" spans="1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10"/>
        <v>#VALUE!</v>
      </c>
      <c r="O37" s="11">
        <f t="shared" si="11"/>
        <v>0</v>
      </c>
      <c r="R37" s="12" t="str">
        <f>IF(Q37="","",VLOOKUP(Q37,Lists!$E:$F,2,FALSE))</f>
        <v/>
      </c>
      <c r="AD37" s="9">
        <v>50</v>
      </c>
      <c r="AE37" s="11" t="str">
        <f t="shared" si="12"/>
        <v/>
      </c>
      <c r="AF37" s="13">
        <v>0.21</v>
      </c>
      <c r="AG37" s="11" t="str">
        <f t="shared" si="13"/>
        <v/>
      </c>
      <c r="AH37" s="11" t="str">
        <f t="shared" si="14"/>
        <v/>
      </c>
      <c r="AL37" t="str">
        <f t="shared" si="18"/>
        <v/>
      </c>
      <c r="AN37" s="11" t="str">
        <f t="shared" si="15"/>
        <v/>
      </c>
      <c r="AO37" s="13"/>
      <c r="AP37" s="11" t="str">
        <f t="shared" si="16"/>
        <v/>
      </c>
      <c r="AQ37" s="11" t="str">
        <f t="shared" si="17"/>
        <v/>
      </c>
    </row>
    <row r="38" spans="1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10"/>
        <v>#VALUE!</v>
      </c>
      <c r="O38" s="11">
        <f t="shared" si="11"/>
        <v>0</v>
      </c>
      <c r="R38" s="12" t="str">
        <f>IF(Q38="","",VLOOKUP(Q38,Lists!$E:$F,2,FALSE))</f>
        <v/>
      </c>
      <c r="AD38" s="9">
        <v>50</v>
      </c>
      <c r="AE38" s="11" t="str">
        <f t="shared" si="12"/>
        <v/>
      </c>
      <c r="AF38" s="13">
        <v>0.21</v>
      </c>
      <c r="AG38" s="11" t="str">
        <f t="shared" si="13"/>
        <v/>
      </c>
      <c r="AH38" s="11" t="str">
        <f t="shared" si="14"/>
        <v/>
      </c>
      <c r="AL38" t="str">
        <f t="shared" si="18"/>
        <v/>
      </c>
      <c r="AN38" s="11" t="str">
        <f t="shared" si="15"/>
        <v/>
      </c>
      <c r="AO38" s="13"/>
      <c r="AP38" s="11" t="str">
        <f t="shared" si="16"/>
        <v/>
      </c>
      <c r="AQ38" s="11" t="str">
        <f t="shared" si="17"/>
        <v/>
      </c>
    </row>
    <row r="39" spans="1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10"/>
        <v>#VALUE!</v>
      </c>
      <c r="O39" s="11">
        <f t="shared" si="11"/>
        <v>0</v>
      </c>
      <c r="R39" s="12" t="str">
        <f>IF(Q39="","",VLOOKUP(Q39,Lists!$E:$F,2,FALSE))</f>
        <v/>
      </c>
      <c r="AD39" s="9">
        <v>50</v>
      </c>
      <c r="AE39" s="11" t="str">
        <f t="shared" si="12"/>
        <v/>
      </c>
      <c r="AF39" s="13">
        <v>0.21</v>
      </c>
      <c r="AG39" s="11" t="str">
        <f t="shared" si="13"/>
        <v/>
      </c>
      <c r="AH39" s="11" t="str">
        <f t="shared" si="14"/>
        <v/>
      </c>
      <c r="AL39" t="str">
        <f t="shared" si="18"/>
        <v/>
      </c>
      <c r="AN39" s="11" t="str">
        <f t="shared" si="15"/>
        <v/>
      </c>
      <c r="AO39" s="13"/>
      <c r="AP39" s="11" t="str">
        <f t="shared" si="16"/>
        <v/>
      </c>
      <c r="AQ39" s="11" t="str">
        <f t="shared" si="17"/>
        <v/>
      </c>
    </row>
    <row r="40" spans="1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10"/>
        <v>#VALUE!</v>
      </c>
      <c r="O40" s="11">
        <f t="shared" si="11"/>
        <v>0</v>
      </c>
      <c r="R40" s="12" t="str">
        <f>IF(Q40="","",VLOOKUP(Q40,Lists!$E:$F,2,FALSE))</f>
        <v/>
      </c>
      <c r="AD40" s="9">
        <v>50</v>
      </c>
      <c r="AE40" s="11" t="str">
        <f t="shared" si="12"/>
        <v/>
      </c>
      <c r="AF40" s="13">
        <v>0.21</v>
      </c>
      <c r="AG40" s="11" t="str">
        <f t="shared" si="13"/>
        <v/>
      </c>
      <c r="AH40" s="11" t="str">
        <f t="shared" si="14"/>
        <v/>
      </c>
      <c r="AL40" t="str">
        <f t="shared" si="18"/>
        <v/>
      </c>
      <c r="AN40" s="11" t="str">
        <f t="shared" si="15"/>
        <v/>
      </c>
      <c r="AO40" s="13"/>
      <c r="AP40" s="11" t="str">
        <f t="shared" si="16"/>
        <v/>
      </c>
      <c r="AQ40" s="11" t="str">
        <f t="shared" si="17"/>
        <v/>
      </c>
    </row>
    <row r="41" spans="1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10"/>
        <v>#VALUE!</v>
      </c>
      <c r="O41" s="11">
        <f t="shared" si="11"/>
        <v>0</v>
      </c>
      <c r="R41" s="12" t="str">
        <f>IF(Q41="","",VLOOKUP(Q41,Lists!$E:$F,2,FALSE))</f>
        <v/>
      </c>
      <c r="AD41" s="9">
        <v>50</v>
      </c>
      <c r="AE41" s="11" t="str">
        <f t="shared" si="12"/>
        <v/>
      </c>
      <c r="AF41" s="13">
        <v>0.21</v>
      </c>
      <c r="AG41" s="11" t="str">
        <f t="shared" si="13"/>
        <v/>
      </c>
      <c r="AH41" s="11" t="str">
        <f t="shared" si="14"/>
        <v/>
      </c>
      <c r="AL41" t="str">
        <f t="shared" si="18"/>
        <v/>
      </c>
      <c r="AN41" s="11" t="str">
        <f t="shared" si="15"/>
        <v/>
      </c>
      <c r="AO41" s="13"/>
      <c r="AP41" s="11" t="str">
        <f t="shared" si="16"/>
        <v/>
      </c>
      <c r="AQ41" s="11" t="str">
        <f t="shared" si="17"/>
        <v/>
      </c>
    </row>
    <row r="42" spans="1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10"/>
        <v>#VALUE!</v>
      </c>
      <c r="O42" s="11">
        <f t="shared" si="11"/>
        <v>0</v>
      </c>
      <c r="R42" s="12" t="str">
        <f>IF(Q42="","",VLOOKUP(Q42,Lists!$E:$F,2,FALSE))</f>
        <v/>
      </c>
      <c r="AD42" s="9">
        <v>50</v>
      </c>
      <c r="AE42" s="11" t="str">
        <f t="shared" si="12"/>
        <v/>
      </c>
      <c r="AF42" s="13">
        <v>0.21</v>
      </c>
      <c r="AG42" s="11" t="str">
        <f t="shared" si="13"/>
        <v/>
      </c>
      <c r="AH42" s="11" t="str">
        <f t="shared" si="14"/>
        <v/>
      </c>
      <c r="AL42" t="str">
        <f t="shared" si="18"/>
        <v/>
      </c>
      <c r="AN42" s="11" t="str">
        <f t="shared" si="15"/>
        <v/>
      </c>
      <c r="AO42" s="13"/>
      <c r="AP42" s="11" t="str">
        <f t="shared" si="16"/>
        <v/>
      </c>
      <c r="AQ42" s="11" t="str">
        <f t="shared" si="17"/>
        <v/>
      </c>
    </row>
    <row r="43" spans="1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10"/>
        <v>#VALUE!</v>
      </c>
      <c r="O43" s="11">
        <f t="shared" si="11"/>
        <v>0</v>
      </c>
      <c r="R43" s="12" t="str">
        <f>IF(Q43="","",VLOOKUP(Q43,Lists!$E:$F,2,FALSE))</f>
        <v/>
      </c>
      <c r="AD43" s="9">
        <v>50</v>
      </c>
      <c r="AE43" s="11" t="str">
        <f t="shared" si="12"/>
        <v/>
      </c>
      <c r="AF43" s="13">
        <v>0.21</v>
      </c>
      <c r="AG43" s="11" t="str">
        <f t="shared" si="13"/>
        <v/>
      </c>
      <c r="AH43" s="11" t="str">
        <f t="shared" si="14"/>
        <v/>
      </c>
      <c r="AL43" t="str">
        <f t="shared" si="18"/>
        <v/>
      </c>
      <c r="AN43" s="11" t="str">
        <f t="shared" si="15"/>
        <v/>
      </c>
      <c r="AO43" s="13"/>
      <c r="AP43" s="11" t="str">
        <f t="shared" si="16"/>
        <v/>
      </c>
      <c r="AQ43" s="11" t="str">
        <f t="shared" si="17"/>
        <v/>
      </c>
    </row>
    <row r="44" spans="1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10"/>
        <v>#VALUE!</v>
      </c>
      <c r="O44" s="11">
        <f t="shared" si="11"/>
        <v>0</v>
      </c>
      <c r="R44" s="12" t="str">
        <f>IF(Q44="","",VLOOKUP(Q44,Lists!$E:$F,2,FALSE))</f>
        <v/>
      </c>
      <c r="AD44" s="9">
        <v>50</v>
      </c>
      <c r="AE44" s="11" t="str">
        <f t="shared" si="12"/>
        <v/>
      </c>
      <c r="AF44" s="13">
        <v>0.21</v>
      </c>
      <c r="AG44" s="11" t="str">
        <f t="shared" si="13"/>
        <v/>
      </c>
      <c r="AH44" s="11" t="str">
        <f t="shared" si="14"/>
        <v/>
      </c>
      <c r="AL44" t="str">
        <f t="shared" si="18"/>
        <v/>
      </c>
      <c r="AN44" s="11" t="str">
        <f t="shared" si="15"/>
        <v/>
      </c>
      <c r="AO44" s="13"/>
      <c r="AP44" s="11" t="str">
        <f t="shared" si="16"/>
        <v/>
      </c>
      <c r="AQ44" s="11" t="str">
        <f t="shared" si="17"/>
        <v/>
      </c>
    </row>
    <row r="45" spans="1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10"/>
        <v>#VALUE!</v>
      </c>
      <c r="O45" s="11">
        <f t="shared" si="11"/>
        <v>0</v>
      </c>
      <c r="R45" s="12" t="str">
        <f>IF(Q45="","",VLOOKUP(Q45,Lists!$E:$F,2,FALSE))</f>
        <v/>
      </c>
      <c r="AD45" s="9">
        <v>50</v>
      </c>
      <c r="AE45" s="11" t="str">
        <f t="shared" si="12"/>
        <v/>
      </c>
      <c r="AF45" s="13">
        <v>0.21</v>
      </c>
      <c r="AG45" s="11" t="str">
        <f t="shared" si="13"/>
        <v/>
      </c>
      <c r="AH45" s="11" t="str">
        <f t="shared" si="14"/>
        <v/>
      </c>
      <c r="AL45" t="str">
        <f t="shared" si="18"/>
        <v/>
      </c>
      <c r="AN45" s="11" t="str">
        <f t="shared" si="15"/>
        <v/>
      </c>
      <c r="AO45" s="13"/>
      <c r="AP45" s="11" t="str">
        <f t="shared" si="16"/>
        <v/>
      </c>
      <c r="AQ45" s="11" t="str">
        <f t="shared" si="17"/>
        <v/>
      </c>
    </row>
    <row r="46" spans="1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10"/>
        <v>#VALUE!</v>
      </c>
      <c r="O46" s="11">
        <f t="shared" si="11"/>
        <v>0</v>
      </c>
      <c r="R46" s="12" t="str">
        <f>IF(Q46="","",VLOOKUP(Q46,Lists!$E:$F,2,FALSE))</f>
        <v/>
      </c>
      <c r="AD46" s="9">
        <v>50</v>
      </c>
      <c r="AE46" s="11" t="str">
        <f t="shared" si="12"/>
        <v/>
      </c>
      <c r="AF46" s="13">
        <v>0.21</v>
      </c>
      <c r="AG46" s="11" t="str">
        <f t="shared" si="13"/>
        <v/>
      </c>
      <c r="AH46" s="11" t="str">
        <f t="shared" si="14"/>
        <v/>
      </c>
      <c r="AL46" t="str">
        <f t="shared" si="18"/>
        <v/>
      </c>
      <c r="AN46" s="11" t="str">
        <f t="shared" si="15"/>
        <v/>
      </c>
      <c r="AO46" s="13"/>
      <c r="AP46" s="11" t="str">
        <f t="shared" si="16"/>
        <v/>
      </c>
      <c r="AQ46" s="11" t="str">
        <f t="shared" si="17"/>
        <v/>
      </c>
    </row>
    <row r="47" spans="1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10"/>
        <v>#VALUE!</v>
      </c>
      <c r="O47" s="11">
        <f t="shared" si="11"/>
        <v>0</v>
      </c>
      <c r="R47" s="12" t="str">
        <f>IF(Q47="","",VLOOKUP(Q47,Lists!$E:$F,2,FALSE))</f>
        <v/>
      </c>
      <c r="AD47" s="9">
        <v>50</v>
      </c>
      <c r="AE47" s="11" t="str">
        <f t="shared" si="12"/>
        <v/>
      </c>
      <c r="AF47" s="13">
        <v>0.21</v>
      </c>
      <c r="AG47" s="11" t="str">
        <f t="shared" si="13"/>
        <v/>
      </c>
      <c r="AH47" s="11" t="str">
        <f t="shared" si="14"/>
        <v/>
      </c>
      <c r="AL47" t="str">
        <f t="shared" si="18"/>
        <v/>
      </c>
      <c r="AN47" s="11" t="str">
        <f t="shared" si="15"/>
        <v/>
      </c>
      <c r="AO47" s="13"/>
      <c r="AP47" s="11" t="str">
        <f t="shared" si="16"/>
        <v/>
      </c>
      <c r="AQ47" s="11" t="str">
        <f t="shared" si="17"/>
        <v/>
      </c>
    </row>
    <row r="48" spans="1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10"/>
        <v>#VALUE!</v>
      </c>
      <c r="O48" s="11">
        <f t="shared" si="11"/>
        <v>0</v>
      </c>
      <c r="R48" s="12" t="str">
        <f>IF(Q48="","",VLOOKUP(Q48,Lists!$E:$F,2,FALSE))</f>
        <v/>
      </c>
      <c r="AD48" s="9">
        <v>50</v>
      </c>
      <c r="AE48" s="11" t="str">
        <f t="shared" si="12"/>
        <v/>
      </c>
      <c r="AF48" s="13">
        <v>0.21</v>
      </c>
      <c r="AG48" s="11" t="str">
        <f t="shared" si="13"/>
        <v/>
      </c>
      <c r="AH48" s="11" t="str">
        <f t="shared" si="14"/>
        <v/>
      </c>
      <c r="AL48" t="str">
        <f t="shared" si="18"/>
        <v/>
      </c>
      <c r="AN48" s="11" t="str">
        <f t="shared" si="15"/>
        <v/>
      </c>
      <c r="AO48" s="13"/>
      <c r="AP48" s="11" t="str">
        <f t="shared" si="16"/>
        <v/>
      </c>
      <c r="AQ48" s="11" t="str">
        <f t="shared" si="17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10"/>
        <v>#VALUE!</v>
      </c>
      <c r="O49" s="11">
        <f t="shared" si="11"/>
        <v>0</v>
      </c>
      <c r="R49" s="12" t="str">
        <f>IF(Q49="","",VLOOKUP(Q49,Lists!$E:$F,2,FALSE))</f>
        <v/>
      </c>
      <c r="AD49" s="9">
        <v>50</v>
      </c>
      <c r="AE49" s="11" t="str">
        <f t="shared" si="12"/>
        <v/>
      </c>
      <c r="AF49" s="13">
        <v>0.21</v>
      </c>
      <c r="AG49" s="11" t="str">
        <f t="shared" si="13"/>
        <v/>
      </c>
      <c r="AH49" s="11" t="str">
        <f t="shared" si="14"/>
        <v/>
      </c>
      <c r="AL49" t="str">
        <f t="shared" si="18"/>
        <v/>
      </c>
      <c r="AN49" s="11" t="str">
        <f t="shared" si="15"/>
        <v/>
      </c>
      <c r="AO49" s="13"/>
      <c r="AP49" s="11" t="str">
        <f t="shared" si="16"/>
        <v/>
      </c>
      <c r="AQ49" s="11" t="str">
        <f t="shared" si="17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10"/>
        <v>#VALUE!</v>
      </c>
      <c r="O50" s="11">
        <f t="shared" si="11"/>
        <v>0</v>
      </c>
      <c r="R50" s="12" t="str">
        <f>IF(Q50="","",VLOOKUP(Q50,Lists!$E:$F,2,FALSE))</f>
        <v/>
      </c>
      <c r="AD50" s="9">
        <v>50</v>
      </c>
      <c r="AE50" s="11" t="str">
        <f t="shared" si="12"/>
        <v/>
      </c>
      <c r="AF50" s="13">
        <v>0.21</v>
      </c>
      <c r="AG50" s="11" t="str">
        <f t="shared" si="13"/>
        <v/>
      </c>
      <c r="AH50" s="11" t="str">
        <f t="shared" si="14"/>
        <v/>
      </c>
      <c r="AL50" t="str">
        <f t="shared" si="18"/>
        <v/>
      </c>
      <c r="AN50" s="11" t="str">
        <f t="shared" si="15"/>
        <v/>
      </c>
      <c r="AO50" s="13"/>
      <c r="AP50" s="11" t="str">
        <f t="shared" si="16"/>
        <v/>
      </c>
      <c r="AQ50" s="11" t="str">
        <f t="shared" si="17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10"/>
        <v>#VALUE!</v>
      </c>
      <c r="O51" s="11">
        <f t="shared" si="11"/>
        <v>0</v>
      </c>
      <c r="R51" s="12" t="str">
        <f>IF(Q51="","",VLOOKUP(Q51,Lists!$E:$F,2,FALSE))</f>
        <v/>
      </c>
      <c r="AD51" s="9">
        <v>50</v>
      </c>
      <c r="AE51" s="11" t="str">
        <f t="shared" si="12"/>
        <v/>
      </c>
      <c r="AF51" s="13">
        <v>0.21</v>
      </c>
      <c r="AG51" s="11" t="str">
        <f t="shared" si="13"/>
        <v/>
      </c>
      <c r="AH51" s="11" t="str">
        <f t="shared" si="14"/>
        <v/>
      </c>
      <c r="AL51" t="str">
        <f t="shared" si="18"/>
        <v/>
      </c>
      <c r="AN51" s="11" t="str">
        <f t="shared" si="15"/>
        <v/>
      </c>
      <c r="AO51" s="13"/>
      <c r="AP51" s="11" t="str">
        <f t="shared" si="16"/>
        <v/>
      </c>
      <c r="AQ51" s="11" t="str">
        <f t="shared" si="17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10"/>
        <v>#VALUE!</v>
      </c>
      <c r="O52" s="11">
        <f t="shared" si="11"/>
        <v>0</v>
      </c>
      <c r="R52" s="12" t="str">
        <f>IF(Q52="","",VLOOKUP(Q52,Lists!$E:$F,2,FALSE))</f>
        <v/>
      </c>
      <c r="AD52" s="9">
        <v>50</v>
      </c>
      <c r="AE52" s="11" t="str">
        <f t="shared" si="12"/>
        <v/>
      </c>
      <c r="AF52" s="13">
        <v>0.21</v>
      </c>
      <c r="AG52" s="11" t="str">
        <f t="shared" si="13"/>
        <v/>
      </c>
      <c r="AH52" s="11" t="str">
        <f t="shared" si="14"/>
        <v/>
      </c>
      <c r="AL52" t="str">
        <f t="shared" si="18"/>
        <v/>
      </c>
      <c r="AN52" s="11" t="str">
        <f t="shared" si="15"/>
        <v/>
      </c>
      <c r="AO52" s="13"/>
      <c r="AP52" s="11" t="str">
        <f t="shared" si="16"/>
        <v/>
      </c>
      <c r="AQ52" s="11" t="str">
        <f t="shared" si="17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10"/>
        <v>#VALUE!</v>
      </c>
      <c r="O53" s="11">
        <f t="shared" si="11"/>
        <v>0</v>
      </c>
      <c r="R53" s="12" t="str">
        <f>IF(Q53="","",VLOOKUP(Q53,Lists!$E:$F,2,FALSE))</f>
        <v/>
      </c>
      <c r="AD53" s="9">
        <v>50</v>
      </c>
      <c r="AE53" s="11" t="str">
        <f t="shared" si="12"/>
        <v/>
      </c>
      <c r="AF53" s="13">
        <v>0.21</v>
      </c>
      <c r="AG53" s="11" t="str">
        <f t="shared" si="13"/>
        <v/>
      </c>
      <c r="AH53" s="11" t="str">
        <f t="shared" si="14"/>
        <v/>
      </c>
      <c r="AL53" t="str">
        <f t="shared" si="18"/>
        <v/>
      </c>
      <c r="AN53" s="11" t="str">
        <f t="shared" si="15"/>
        <v/>
      </c>
      <c r="AO53" s="13"/>
      <c r="AP53" s="11" t="str">
        <f t="shared" si="16"/>
        <v/>
      </c>
      <c r="AQ53" s="11" t="str">
        <f t="shared" si="17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10"/>
        <v>#VALUE!</v>
      </c>
      <c r="O54" s="11">
        <f t="shared" si="11"/>
        <v>0</v>
      </c>
      <c r="R54" s="12" t="str">
        <f>IF(Q54="","",VLOOKUP(Q54,Lists!$E:$F,2,FALSE))</f>
        <v/>
      </c>
      <c r="AD54" s="9">
        <v>50</v>
      </c>
      <c r="AE54" s="11" t="str">
        <f t="shared" si="12"/>
        <v/>
      </c>
      <c r="AF54" s="13">
        <v>0.21</v>
      </c>
      <c r="AG54" s="11" t="str">
        <f t="shared" si="13"/>
        <v/>
      </c>
      <c r="AH54" s="11" t="str">
        <f t="shared" si="14"/>
        <v/>
      </c>
      <c r="AL54" t="str">
        <f t="shared" si="18"/>
        <v/>
      </c>
      <c r="AN54" s="11" t="str">
        <f t="shared" si="15"/>
        <v/>
      </c>
      <c r="AO54" s="13"/>
      <c r="AP54" s="11" t="str">
        <f t="shared" si="16"/>
        <v/>
      </c>
      <c r="AQ54" s="11" t="str">
        <f t="shared" si="17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10"/>
        <v>#VALUE!</v>
      </c>
      <c r="O55" s="11">
        <f t="shared" si="11"/>
        <v>0</v>
      </c>
      <c r="R55" s="12" t="str">
        <f>IF(Q55="","",VLOOKUP(Q55,Lists!$E:$F,2,FALSE))</f>
        <v/>
      </c>
      <c r="AD55" s="9">
        <v>50</v>
      </c>
      <c r="AE55" s="11" t="str">
        <f t="shared" si="12"/>
        <v/>
      </c>
      <c r="AF55" s="13">
        <v>0.21</v>
      </c>
      <c r="AG55" s="11" t="str">
        <f t="shared" si="13"/>
        <v/>
      </c>
      <c r="AH55" s="11" t="str">
        <f t="shared" si="14"/>
        <v/>
      </c>
      <c r="AL55" t="str">
        <f t="shared" si="18"/>
        <v/>
      </c>
      <c r="AN55" s="11" t="str">
        <f t="shared" si="15"/>
        <v/>
      </c>
      <c r="AO55" s="13"/>
      <c r="AP55" s="11" t="str">
        <f t="shared" si="16"/>
        <v/>
      </c>
      <c r="AQ55" s="11" t="str">
        <f t="shared" si="17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ref="N56:N87" si="19">L56 * (1 + M56)</f>
        <v>#VALUE!</v>
      </c>
      <c r="O56" s="11">
        <f t="shared" ref="O56:O87" si="20">IF(K56="Eigen Beheer",0,IF(AND(ISNUMBER(N56),I56&lt;&gt;"",H56&lt;&gt;""),YEARFRAC(H56,I56,4)*12*N56,0))</f>
        <v>0</v>
      </c>
      <c r="R56" s="12" t="str">
        <f>IF(Q56="","",VLOOKUP(Q56,Lists!$E:$F,2,FALSE))</f>
        <v/>
      </c>
      <c r="AD56" s="9">
        <v>50</v>
      </c>
      <c r="AE56" s="11" t="str">
        <f t="shared" ref="AE56:AE87" si="21">IF(AB56="","",IF(ISNUMBER(SEARCH("Basis",AB56)),(250/1.21)+MAX(0,AC56-5)*AD56,IF(ISNUMBER(SEARCH("Intensief",AB56)),(375/1.21)+MAX(0,AC56-7)*AD56,AC56*AD56)))</f>
        <v/>
      </c>
      <c r="AF56" s="13">
        <v>0.21</v>
      </c>
      <c r="AG56" s="11" t="str">
        <f t="shared" ref="AG56:AG87" si="22">IF(AE56&lt;&gt;"",AE56*AF56,"")</f>
        <v/>
      </c>
      <c r="AH56" s="11" t="str">
        <f t="shared" ref="AH56:AH87" si="23">IF(AE56&lt;&gt;"",AE56+AG56,"")</f>
        <v/>
      </c>
      <c r="AL56" t="str">
        <f t="shared" si="18"/>
        <v/>
      </c>
      <c r="AN56" s="11" t="str">
        <f t="shared" ref="AN56:AN87" si="24">IF(AND(AL56&lt;&gt;"",AM56&lt;&gt;""),AL56*AM56,"")</f>
        <v/>
      </c>
      <c r="AO56" s="13"/>
      <c r="AP56" s="11" t="str">
        <f t="shared" ref="AP56:AP87" si="25">IF(AND(AN56&lt;&gt;"",AO56&lt;&gt;""),AN56*AO56,"")</f>
        <v/>
      </c>
      <c r="AQ56" s="11" t="str">
        <f t="shared" ref="AQ56:AQ87" si="26">IF(AND(AN56&lt;&gt;"",AP56&lt;&gt;""),AN56+AP56,"")</f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19"/>
        <v>#VALUE!</v>
      </c>
      <c r="O57" s="11">
        <f t="shared" si="20"/>
        <v>0</v>
      </c>
      <c r="R57" s="12" t="str">
        <f>IF(Q57="","",VLOOKUP(Q57,Lists!$E:$F,2,FALSE))</f>
        <v/>
      </c>
      <c r="AD57" s="9">
        <v>50</v>
      </c>
      <c r="AE57" s="11" t="str">
        <f t="shared" si="21"/>
        <v/>
      </c>
      <c r="AF57" s="13">
        <v>0.21</v>
      </c>
      <c r="AG57" s="11" t="str">
        <f t="shared" si="22"/>
        <v/>
      </c>
      <c r="AH57" s="11" t="str">
        <f t="shared" si="23"/>
        <v/>
      </c>
      <c r="AL57" t="str">
        <f t="shared" si="18"/>
        <v/>
      </c>
      <c r="AN57" s="11" t="str">
        <f t="shared" si="24"/>
        <v/>
      </c>
      <c r="AO57" s="13"/>
      <c r="AP57" s="11" t="str">
        <f t="shared" si="25"/>
        <v/>
      </c>
      <c r="AQ57" s="11" t="str">
        <f t="shared" si="26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19"/>
        <v>#VALUE!</v>
      </c>
      <c r="O58" s="11">
        <f t="shared" si="20"/>
        <v>0</v>
      </c>
      <c r="R58" s="12" t="str">
        <f>IF(Q58="","",VLOOKUP(Q58,Lists!$E:$F,2,FALSE))</f>
        <v/>
      </c>
      <c r="AD58" s="9">
        <v>50</v>
      </c>
      <c r="AE58" s="11" t="str">
        <f t="shared" si="21"/>
        <v/>
      </c>
      <c r="AF58" s="13">
        <v>0.21</v>
      </c>
      <c r="AG58" s="11" t="str">
        <f t="shared" si="22"/>
        <v/>
      </c>
      <c r="AH58" s="11" t="str">
        <f t="shared" si="23"/>
        <v/>
      </c>
      <c r="AL58" t="str">
        <f t="shared" si="18"/>
        <v/>
      </c>
      <c r="AN58" s="11" t="str">
        <f t="shared" si="24"/>
        <v/>
      </c>
      <c r="AO58" s="13"/>
      <c r="AP58" s="11" t="str">
        <f t="shared" si="25"/>
        <v/>
      </c>
      <c r="AQ58" s="11" t="str">
        <f t="shared" si="26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19"/>
        <v>#VALUE!</v>
      </c>
      <c r="O59" s="11">
        <f t="shared" si="20"/>
        <v>0</v>
      </c>
      <c r="R59" s="12" t="str">
        <f>IF(Q59="","",VLOOKUP(Q59,Lists!$E:$F,2,FALSE))</f>
        <v/>
      </c>
      <c r="AD59" s="9">
        <v>50</v>
      </c>
      <c r="AE59" s="11" t="str">
        <f t="shared" si="21"/>
        <v/>
      </c>
      <c r="AF59" s="13">
        <v>0.21</v>
      </c>
      <c r="AG59" s="11" t="str">
        <f t="shared" si="22"/>
        <v/>
      </c>
      <c r="AH59" s="11" t="str">
        <f t="shared" si="23"/>
        <v/>
      </c>
      <c r="AL59" t="str">
        <f t="shared" si="18"/>
        <v/>
      </c>
      <c r="AN59" s="11" t="str">
        <f t="shared" si="24"/>
        <v/>
      </c>
      <c r="AO59" s="13"/>
      <c r="AP59" s="11" t="str">
        <f t="shared" si="25"/>
        <v/>
      </c>
      <c r="AQ59" s="11" t="str">
        <f t="shared" si="26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19"/>
        <v>#VALUE!</v>
      </c>
      <c r="O60" s="11">
        <f t="shared" si="20"/>
        <v>0</v>
      </c>
      <c r="R60" s="12" t="str">
        <f>IF(Q60="","",VLOOKUP(Q60,Lists!$E:$F,2,FALSE))</f>
        <v/>
      </c>
      <c r="AD60" s="9">
        <v>50</v>
      </c>
      <c r="AE60" s="11" t="str">
        <f t="shared" si="21"/>
        <v/>
      </c>
      <c r="AF60" s="13">
        <v>0.21</v>
      </c>
      <c r="AG60" s="11" t="str">
        <f t="shared" si="22"/>
        <v/>
      </c>
      <c r="AH60" s="11" t="str">
        <f t="shared" si="23"/>
        <v/>
      </c>
      <c r="AL60" t="str">
        <f t="shared" si="18"/>
        <v/>
      </c>
      <c r="AN60" s="11" t="str">
        <f t="shared" si="24"/>
        <v/>
      </c>
      <c r="AO60" s="13"/>
      <c r="AP60" s="11" t="str">
        <f t="shared" si="25"/>
        <v/>
      </c>
      <c r="AQ60" s="11" t="str">
        <f t="shared" si="26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19"/>
        <v>#VALUE!</v>
      </c>
      <c r="O61" s="11">
        <f t="shared" si="20"/>
        <v>0</v>
      </c>
      <c r="R61" s="12" t="str">
        <f>IF(Q61="","",VLOOKUP(Q61,Lists!$E:$F,2,FALSE))</f>
        <v/>
      </c>
      <c r="AD61" s="9">
        <v>50</v>
      </c>
      <c r="AE61" s="11" t="str">
        <f t="shared" si="21"/>
        <v/>
      </c>
      <c r="AF61" s="13">
        <v>0.21</v>
      </c>
      <c r="AG61" s="11" t="str">
        <f t="shared" si="22"/>
        <v/>
      </c>
      <c r="AH61" s="11" t="str">
        <f t="shared" si="23"/>
        <v/>
      </c>
      <c r="AL61" t="str">
        <f t="shared" si="18"/>
        <v/>
      </c>
      <c r="AN61" s="11" t="str">
        <f t="shared" si="24"/>
        <v/>
      </c>
      <c r="AO61" s="13"/>
      <c r="AP61" s="11" t="str">
        <f t="shared" si="25"/>
        <v/>
      </c>
      <c r="AQ61" s="11" t="str">
        <f t="shared" si="26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19"/>
        <v>#VALUE!</v>
      </c>
      <c r="O62" s="11">
        <f t="shared" si="20"/>
        <v>0</v>
      </c>
      <c r="R62" s="12" t="str">
        <f>IF(Q62="","",VLOOKUP(Q62,Lists!$E:$F,2,FALSE))</f>
        <v/>
      </c>
      <c r="AD62" s="9">
        <v>50</v>
      </c>
      <c r="AE62" s="11" t="str">
        <f t="shared" si="21"/>
        <v/>
      </c>
      <c r="AF62" s="13">
        <v>0.21</v>
      </c>
      <c r="AG62" s="11" t="str">
        <f t="shared" si="22"/>
        <v/>
      </c>
      <c r="AH62" s="11" t="str">
        <f t="shared" si="23"/>
        <v/>
      </c>
      <c r="AL62" t="str">
        <f t="shared" si="18"/>
        <v/>
      </c>
      <c r="AN62" s="11" t="str">
        <f t="shared" si="24"/>
        <v/>
      </c>
      <c r="AO62" s="13"/>
      <c r="AP62" s="11" t="str">
        <f t="shared" si="25"/>
        <v/>
      </c>
      <c r="AQ62" s="11" t="str">
        <f t="shared" si="26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19"/>
        <v>#VALUE!</v>
      </c>
      <c r="O63" s="11">
        <f t="shared" si="20"/>
        <v>0</v>
      </c>
      <c r="R63" s="12" t="str">
        <f>IF(Q63="","",VLOOKUP(Q63,Lists!$E:$F,2,FALSE))</f>
        <v/>
      </c>
      <c r="AD63" s="9">
        <v>50</v>
      </c>
      <c r="AE63" s="11" t="str">
        <f t="shared" si="21"/>
        <v/>
      </c>
      <c r="AF63" s="13">
        <v>0.21</v>
      </c>
      <c r="AG63" s="11" t="str">
        <f t="shared" si="22"/>
        <v/>
      </c>
      <c r="AH63" s="11" t="str">
        <f t="shared" si="23"/>
        <v/>
      </c>
      <c r="AL63" t="str">
        <f t="shared" si="18"/>
        <v/>
      </c>
      <c r="AN63" s="11" t="str">
        <f t="shared" si="24"/>
        <v/>
      </c>
      <c r="AO63" s="13"/>
      <c r="AP63" s="11" t="str">
        <f t="shared" si="25"/>
        <v/>
      </c>
      <c r="AQ63" s="11" t="str">
        <f t="shared" si="26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19"/>
        <v>#VALUE!</v>
      </c>
      <c r="O64" s="11">
        <f t="shared" si="20"/>
        <v>0</v>
      </c>
      <c r="R64" s="12" t="str">
        <f>IF(Q64="","",VLOOKUP(Q64,Lists!$E:$F,2,FALSE))</f>
        <v/>
      </c>
      <c r="AD64" s="9">
        <v>50</v>
      </c>
      <c r="AE64" s="11" t="str">
        <f t="shared" si="21"/>
        <v/>
      </c>
      <c r="AF64" s="13">
        <v>0.21</v>
      </c>
      <c r="AG64" s="11" t="str">
        <f t="shared" si="22"/>
        <v/>
      </c>
      <c r="AH64" s="11" t="str">
        <f t="shared" si="23"/>
        <v/>
      </c>
      <c r="AL64" t="str">
        <f t="shared" si="18"/>
        <v/>
      </c>
      <c r="AN64" s="11" t="str">
        <f t="shared" si="24"/>
        <v/>
      </c>
      <c r="AO64" s="13"/>
      <c r="AP64" s="11" t="str">
        <f t="shared" si="25"/>
        <v/>
      </c>
      <c r="AQ64" s="11" t="str">
        <f t="shared" si="26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19"/>
        <v>#VALUE!</v>
      </c>
      <c r="O65" s="11">
        <f t="shared" si="20"/>
        <v>0</v>
      </c>
      <c r="R65" s="12" t="str">
        <f>IF(Q65="","",VLOOKUP(Q65,Lists!$E:$F,2,FALSE))</f>
        <v/>
      </c>
      <c r="AD65" s="9">
        <v>50</v>
      </c>
      <c r="AE65" s="11" t="str">
        <f t="shared" si="21"/>
        <v/>
      </c>
      <c r="AF65" s="13">
        <v>0.21</v>
      </c>
      <c r="AG65" s="11" t="str">
        <f t="shared" si="22"/>
        <v/>
      </c>
      <c r="AH65" s="11" t="str">
        <f t="shared" si="23"/>
        <v/>
      </c>
      <c r="AL65" t="str">
        <f t="shared" si="18"/>
        <v/>
      </c>
      <c r="AN65" s="11" t="str">
        <f t="shared" si="24"/>
        <v/>
      </c>
      <c r="AO65" s="13"/>
      <c r="AP65" s="11" t="str">
        <f t="shared" si="25"/>
        <v/>
      </c>
      <c r="AQ65" s="11" t="str">
        <f t="shared" si="26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si="19"/>
        <v>#VALUE!</v>
      </c>
      <c r="O66" s="11">
        <f t="shared" si="20"/>
        <v>0</v>
      </c>
      <c r="R66" s="12" t="str">
        <f>IF(Q66="","",VLOOKUP(Q66,Lists!$E:$F,2,FALSE))</f>
        <v/>
      </c>
      <c r="AD66" s="9">
        <v>50</v>
      </c>
      <c r="AE66" s="11" t="str">
        <f t="shared" si="21"/>
        <v/>
      </c>
      <c r="AF66" s="13">
        <v>0.21</v>
      </c>
      <c r="AG66" s="11" t="str">
        <f t="shared" si="22"/>
        <v/>
      </c>
      <c r="AH66" s="11" t="str">
        <f t="shared" si="23"/>
        <v/>
      </c>
      <c r="AL66" t="str">
        <f t="shared" si="18"/>
        <v/>
      </c>
      <c r="AN66" s="11" t="str">
        <f t="shared" si="24"/>
        <v/>
      </c>
      <c r="AO66" s="13"/>
      <c r="AP66" s="11" t="str">
        <f t="shared" si="25"/>
        <v/>
      </c>
      <c r="AQ66" s="11" t="str">
        <f t="shared" si="26"/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19"/>
        <v>#VALUE!</v>
      </c>
      <c r="O67" s="11">
        <f t="shared" si="20"/>
        <v>0</v>
      </c>
      <c r="R67" s="12" t="str">
        <f>IF(Q67="","",VLOOKUP(Q67,Lists!$E:$F,2,FALSE))</f>
        <v/>
      </c>
      <c r="AD67" s="9">
        <v>50</v>
      </c>
      <c r="AE67" s="11" t="str">
        <f t="shared" si="21"/>
        <v/>
      </c>
      <c r="AF67" s="13">
        <v>0.21</v>
      </c>
      <c r="AG67" s="11" t="str">
        <f t="shared" si="22"/>
        <v/>
      </c>
      <c r="AH67" s="11" t="str">
        <f t="shared" si="23"/>
        <v/>
      </c>
      <c r="AL67" t="str">
        <f t="shared" si="18"/>
        <v/>
      </c>
      <c r="AN67" s="11" t="str">
        <f t="shared" si="24"/>
        <v/>
      </c>
      <c r="AO67" s="13"/>
      <c r="AP67" s="11" t="str">
        <f t="shared" si="25"/>
        <v/>
      </c>
      <c r="AQ67" s="11" t="str">
        <f t="shared" si="26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19"/>
        <v>#VALUE!</v>
      </c>
      <c r="O68" s="11">
        <f t="shared" si="20"/>
        <v>0</v>
      </c>
      <c r="R68" s="12" t="str">
        <f>IF(Q68="","",VLOOKUP(Q68,Lists!$E:$F,2,FALSE))</f>
        <v/>
      </c>
      <c r="AD68" s="9">
        <v>50</v>
      </c>
      <c r="AE68" s="11" t="str">
        <f t="shared" si="21"/>
        <v/>
      </c>
      <c r="AF68" s="13">
        <v>0.21</v>
      </c>
      <c r="AG68" s="11" t="str">
        <f t="shared" si="22"/>
        <v/>
      </c>
      <c r="AH68" s="11" t="str">
        <f t="shared" si="23"/>
        <v/>
      </c>
      <c r="AL68" t="str">
        <f t="shared" ref="AL68:AL99" si="27"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 t="str">
        <f t="shared" si="24"/>
        <v/>
      </c>
      <c r="AO68" s="13"/>
      <c r="AP68" s="11" t="str">
        <f t="shared" si="25"/>
        <v/>
      </c>
      <c r="AQ68" s="11" t="str">
        <f t="shared" si="26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19"/>
        <v>#VALUE!</v>
      </c>
      <c r="O69" s="11">
        <f t="shared" si="20"/>
        <v>0</v>
      </c>
      <c r="R69" s="12" t="str">
        <f>IF(Q69="","",VLOOKUP(Q69,Lists!$E:$F,2,FALSE))</f>
        <v/>
      </c>
      <c r="AD69" s="9">
        <v>50</v>
      </c>
      <c r="AE69" s="11" t="str">
        <f t="shared" si="21"/>
        <v/>
      </c>
      <c r="AF69" s="13">
        <v>0.21</v>
      </c>
      <c r="AG69" s="11" t="str">
        <f t="shared" si="22"/>
        <v/>
      </c>
      <c r="AH69" s="11" t="str">
        <f t="shared" si="23"/>
        <v/>
      </c>
      <c r="AL69" t="str">
        <f t="shared" si="27"/>
        <v/>
      </c>
      <c r="AN69" s="11" t="str">
        <f t="shared" si="24"/>
        <v/>
      </c>
      <c r="AO69" s="13"/>
      <c r="AP69" s="11" t="str">
        <f t="shared" si="25"/>
        <v/>
      </c>
      <c r="AQ69" s="11" t="str">
        <f t="shared" si="26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19"/>
        <v>#VALUE!</v>
      </c>
      <c r="O70" s="11">
        <f t="shared" si="20"/>
        <v>0</v>
      </c>
      <c r="R70" s="12" t="str">
        <f>IF(Q70="","",VLOOKUP(Q70,Lists!$E:$F,2,FALSE))</f>
        <v/>
      </c>
      <c r="AD70" s="9">
        <v>50</v>
      </c>
      <c r="AE70" s="11" t="str">
        <f t="shared" si="21"/>
        <v/>
      </c>
      <c r="AF70" s="13">
        <v>0.21</v>
      </c>
      <c r="AG70" s="11" t="str">
        <f t="shared" si="22"/>
        <v/>
      </c>
      <c r="AH70" s="11" t="str">
        <f t="shared" si="23"/>
        <v/>
      </c>
      <c r="AL70" t="str">
        <f t="shared" si="27"/>
        <v/>
      </c>
      <c r="AN70" s="11" t="str">
        <f t="shared" si="24"/>
        <v/>
      </c>
      <c r="AO70" s="13"/>
      <c r="AP70" s="11" t="str">
        <f t="shared" si="25"/>
        <v/>
      </c>
      <c r="AQ70" s="11" t="str">
        <f t="shared" si="26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19"/>
        <v>#VALUE!</v>
      </c>
      <c r="O71" s="11">
        <f t="shared" si="20"/>
        <v>0</v>
      </c>
      <c r="R71" s="12" t="str">
        <f>IF(Q71="","",VLOOKUP(Q71,Lists!$E:$F,2,FALSE))</f>
        <v/>
      </c>
      <c r="AD71" s="9">
        <v>50</v>
      </c>
      <c r="AE71" s="11" t="str">
        <f t="shared" si="21"/>
        <v/>
      </c>
      <c r="AF71" s="13">
        <v>0.21</v>
      </c>
      <c r="AG71" s="11" t="str">
        <f t="shared" si="22"/>
        <v/>
      </c>
      <c r="AH71" s="11" t="str">
        <f t="shared" si="23"/>
        <v/>
      </c>
      <c r="AL71" t="str">
        <f t="shared" si="27"/>
        <v/>
      </c>
      <c r="AN71" s="11" t="str">
        <f t="shared" si="24"/>
        <v/>
      </c>
      <c r="AO71" s="13"/>
      <c r="AP71" s="11" t="str">
        <f t="shared" si="25"/>
        <v/>
      </c>
      <c r="AQ71" s="11" t="str">
        <f t="shared" si="26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19"/>
        <v>#VALUE!</v>
      </c>
      <c r="O72" s="11">
        <f t="shared" si="20"/>
        <v>0</v>
      </c>
      <c r="R72" s="12" t="str">
        <f>IF(Q72="","",VLOOKUP(Q72,Lists!$E:$F,2,FALSE))</f>
        <v/>
      </c>
      <c r="AD72" s="9">
        <v>50</v>
      </c>
      <c r="AE72" s="11" t="str">
        <f t="shared" si="21"/>
        <v/>
      </c>
      <c r="AF72" s="13">
        <v>0.21</v>
      </c>
      <c r="AG72" s="11" t="str">
        <f t="shared" si="22"/>
        <v/>
      </c>
      <c r="AH72" s="11" t="str">
        <f t="shared" si="23"/>
        <v/>
      </c>
      <c r="AL72" t="str">
        <f t="shared" si="27"/>
        <v/>
      </c>
      <c r="AN72" s="11" t="str">
        <f t="shared" si="24"/>
        <v/>
      </c>
      <c r="AO72" s="13"/>
      <c r="AP72" s="11" t="str">
        <f t="shared" si="25"/>
        <v/>
      </c>
      <c r="AQ72" s="11" t="str">
        <f t="shared" si="26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19"/>
        <v>#VALUE!</v>
      </c>
      <c r="O73" s="11">
        <f t="shared" si="20"/>
        <v>0</v>
      </c>
      <c r="R73" s="12" t="str">
        <f>IF(Q73="","",VLOOKUP(Q73,Lists!$E:$F,2,FALSE))</f>
        <v/>
      </c>
      <c r="AD73" s="9">
        <v>50</v>
      </c>
      <c r="AE73" s="11" t="str">
        <f t="shared" si="21"/>
        <v/>
      </c>
      <c r="AF73" s="13">
        <v>0.21</v>
      </c>
      <c r="AG73" s="11" t="str">
        <f t="shared" si="22"/>
        <v/>
      </c>
      <c r="AH73" s="11" t="str">
        <f t="shared" si="23"/>
        <v/>
      </c>
      <c r="AL73" t="str">
        <f t="shared" si="27"/>
        <v/>
      </c>
      <c r="AN73" s="11" t="str">
        <f t="shared" si="24"/>
        <v/>
      </c>
      <c r="AO73" s="13"/>
      <c r="AP73" s="11" t="str">
        <f t="shared" si="25"/>
        <v/>
      </c>
      <c r="AQ73" s="11" t="str">
        <f t="shared" si="26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19"/>
        <v>#VALUE!</v>
      </c>
      <c r="O74" s="11">
        <f t="shared" si="20"/>
        <v>0</v>
      </c>
      <c r="R74" s="12" t="str">
        <f>IF(Q74="","",VLOOKUP(Q74,Lists!$E:$F,2,FALSE))</f>
        <v/>
      </c>
      <c r="AD74" s="9">
        <v>50</v>
      </c>
      <c r="AE74" s="11" t="str">
        <f t="shared" si="21"/>
        <v/>
      </c>
      <c r="AF74" s="13">
        <v>0.21</v>
      </c>
      <c r="AG74" s="11" t="str">
        <f t="shared" si="22"/>
        <v/>
      </c>
      <c r="AH74" s="11" t="str">
        <f t="shared" si="23"/>
        <v/>
      </c>
      <c r="AL74" t="str">
        <f t="shared" si="27"/>
        <v/>
      </c>
      <c r="AN74" s="11" t="str">
        <f t="shared" si="24"/>
        <v/>
      </c>
      <c r="AO74" s="13"/>
      <c r="AP74" s="11" t="str">
        <f t="shared" si="25"/>
        <v/>
      </c>
      <c r="AQ74" s="11" t="str">
        <f t="shared" si="26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19"/>
        <v>#VALUE!</v>
      </c>
      <c r="O75" s="11">
        <f t="shared" si="20"/>
        <v>0</v>
      </c>
      <c r="R75" s="12" t="str">
        <f>IF(Q75="","",VLOOKUP(Q75,Lists!$E:$F,2,FALSE))</f>
        <v/>
      </c>
      <c r="AD75" s="9">
        <v>50</v>
      </c>
      <c r="AE75" s="11" t="str">
        <f t="shared" si="21"/>
        <v/>
      </c>
      <c r="AF75" s="13">
        <v>0.21</v>
      </c>
      <c r="AG75" s="11" t="str">
        <f t="shared" si="22"/>
        <v/>
      </c>
      <c r="AH75" s="11" t="str">
        <f t="shared" si="23"/>
        <v/>
      </c>
      <c r="AL75" t="str">
        <f t="shared" si="27"/>
        <v/>
      </c>
      <c r="AN75" s="11" t="str">
        <f t="shared" si="24"/>
        <v/>
      </c>
      <c r="AO75" s="13"/>
      <c r="AP75" s="11" t="str">
        <f t="shared" si="25"/>
        <v/>
      </c>
      <c r="AQ75" s="11" t="str">
        <f t="shared" si="26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19"/>
        <v>#VALUE!</v>
      </c>
      <c r="O76" s="11">
        <f t="shared" si="20"/>
        <v>0</v>
      </c>
      <c r="R76" s="12" t="str">
        <f>IF(Q76="","",VLOOKUP(Q76,Lists!$E:$F,2,FALSE))</f>
        <v/>
      </c>
      <c r="AD76" s="9">
        <v>50</v>
      </c>
      <c r="AE76" s="11" t="str">
        <f t="shared" si="21"/>
        <v/>
      </c>
      <c r="AF76" s="13">
        <v>0.21</v>
      </c>
      <c r="AG76" s="11" t="str">
        <f t="shared" si="22"/>
        <v/>
      </c>
      <c r="AH76" s="11" t="str">
        <f t="shared" si="23"/>
        <v/>
      </c>
      <c r="AL76" t="str">
        <f t="shared" si="27"/>
        <v/>
      </c>
      <c r="AN76" s="11" t="str">
        <f t="shared" si="24"/>
        <v/>
      </c>
      <c r="AO76" s="13"/>
      <c r="AP76" s="11" t="str">
        <f t="shared" si="25"/>
        <v/>
      </c>
      <c r="AQ76" s="11" t="str">
        <f t="shared" si="26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19"/>
        <v>#VALUE!</v>
      </c>
      <c r="O77" s="11">
        <f t="shared" si="20"/>
        <v>0</v>
      </c>
      <c r="R77" s="12" t="str">
        <f>IF(Q77="","",VLOOKUP(Q77,Lists!$E:$F,2,FALSE))</f>
        <v/>
      </c>
      <c r="AD77" s="9">
        <v>50</v>
      </c>
      <c r="AE77" s="11" t="str">
        <f t="shared" si="21"/>
        <v/>
      </c>
      <c r="AF77" s="13">
        <v>0.21</v>
      </c>
      <c r="AG77" s="11" t="str">
        <f t="shared" si="22"/>
        <v/>
      </c>
      <c r="AH77" s="11" t="str">
        <f t="shared" si="23"/>
        <v/>
      </c>
      <c r="AL77" t="str">
        <f t="shared" si="27"/>
        <v/>
      </c>
      <c r="AN77" s="11" t="str">
        <f t="shared" si="24"/>
        <v/>
      </c>
      <c r="AO77" s="13"/>
      <c r="AP77" s="11" t="str">
        <f t="shared" si="25"/>
        <v/>
      </c>
      <c r="AQ77" s="11" t="str">
        <f t="shared" si="26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19"/>
        <v>#VALUE!</v>
      </c>
      <c r="O78" s="11">
        <f t="shared" si="20"/>
        <v>0</v>
      </c>
      <c r="R78" s="12" t="str">
        <f>IF(Q78="","",VLOOKUP(Q78,Lists!$E:$F,2,FALSE))</f>
        <v/>
      </c>
      <c r="AD78" s="9">
        <v>50</v>
      </c>
      <c r="AE78" s="11" t="str">
        <f t="shared" si="21"/>
        <v/>
      </c>
      <c r="AF78" s="13">
        <v>0.21</v>
      </c>
      <c r="AG78" s="11" t="str">
        <f t="shared" si="22"/>
        <v/>
      </c>
      <c r="AH78" s="11" t="str">
        <f t="shared" si="23"/>
        <v/>
      </c>
      <c r="AL78" t="str">
        <f t="shared" si="27"/>
        <v/>
      </c>
      <c r="AN78" s="11" t="str">
        <f t="shared" si="24"/>
        <v/>
      </c>
      <c r="AO78" s="13"/>
      <c r="AP78" s="11" t="str">
        <f t="shared" si="25"/>
        <v/>
      </c>
      <c r="AQ78" s="11" t="str">
        <f t="shared" si="26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19"/>
        <v>#VALUE!</v>
      </c>
      <c r="O79" s="11">
        <f t="shared" si="20"/>
        <v>0</v>
      </c>
      <c r="R79" s="12" t="str">
        <f>IF(Q79="","",VLOOKUP(Q79,Lists!$E:$F,2,FALSE))</f>
        <v/>
      </c>
      <c r="AD79" s="9">
        <v>50</v>
      </c>
      <c r="AE79" s="11" t="str">
        <f t="shared" si="21"/>
        <v/>
      </c>
      <c r="AF79" s="13">
        <v>0.21</v>
      </c>
      <c r="AG79" s="11" t="str">
        <f t="shared" si="22"/>
        <v/>
      </c>
      <c r="AH79" s="11" t="str">
        <f t="shared" si="23"/>
        <v/>
      </c>
      <c r="AL79" t="str">
        <f t="shared" si="27"/>
        <v/>
      </c>
      <c r="AN79" s="11" t="str">
        <f t="shared" si="24"/>
        <v/>
      </c>
      <c r="AO79" s="13"/>
      <c r="AP79" s="11" t="str">
        <f t="shared" si="25"/>
        <v/>
      </c>
      <c r="AQ79" s="11" t="str">
        <f t="shared" si="26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19"/>
        <v>#VALUE!</v>
      </c>
      <c r="O80" s="11">
        <f t="shared" si="20"/>
        <v>0</v>
      </c>
      <c r="R80" s="12" t="str">
        <f>IF(Q80="","",VLOOKUP(Q80,Lists!$E:$F,2,FALSE))</f>
        <v/>
      </c>
      <c r="AD80" s="9">
        <v>50</v>
      </c>
      <c r="AE80" s="11" t="str">
        <f t="shared" si="21"/>
        <v/>
      </c>
      <c r="AF80" s="13">
        <v>0.21</v>
      </c>
      <c r="AG80" s="11" t="str">
        <f t="shared" si="22"/>
        <v/>
      </c>
      <c r="AH80" s="11" t="str">
        <f t="shared" si="23"/>
        <v/>
      </c>
      <c r="AL80" t="str">
        <f t="shared" si="27"/>
        <v/>
      </c>
      <c r="AN80" s="11" t="str">
        <f t="shared" si="24"/>
        <v/>
      </c>
      <c r="AO80" s="13"/>
      <c r="AP80" s="11" t="str">
        <f t="shared" si="25"/>
        <v/>
      </c>
      <c r="AQ80" s="11" t="str">
        <f t="shared" si="26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19"/>
        <v>#VALUE!</v>
      </c>
      <c r="O81" s="11">
        <f t="shared" si="20"/>
        <v>0</v>
      </c>
      <c r="R81" s="12" t="str">
        <f>IF(Q81="","",VLOOKUP(Q81,Lists!$E:$F,2,FALSE))</f>
        <v/>
      </c>
      <c r="AD81" s="9">
        <v>50</v>
      </c>
      <c r="AE81" s="11" t="str">
        <f t="shared" si="21"/>
        <v/>
      </c>
      <c r="AF81" s="13">
        <v>0.21</v>
      </c>
      <c r="AG81" s="11" t="str">
        <f t="shared" si="22"/>
        <v/>
      </c>
      <c r="AH81" s="11" t="str">
        <f t="shared" si="23"/>
        <v/>
      </c>
      <c r="AL81" t="str">
        <f t="shared" si="27"/>
        <v/>
      </c>
      <c r="AN81" s="11" t="str">
        <f t="shared" si="24"/>
        <v/>
      </c>
      <c r="AO81" s="13"/>
      <c r="AP81" s="11" t="str">
        <f t="shared" si="25"/>
        <v/>
      </c>
      <c r="AQ81" s="11" t="str">
        <f t="shared" si="26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19"/>
        <v>#VALUE!</v>
      </c>
      <c r="O82" s="11">
        <f t="shared" si="20"/>
        <v>0</v>
      </c>
      <c r="R82" s="12" t="str">
        <f>IF(Q82="","",VLOOKUP(Q82,Lists!$E:$F,2,FALSE))</f>
        <v/>
      </c>
      <c r="AD82" s="9">
        <v>50</v>
      </c>
      <c r="AE82" s="11" t="str">
        <f t="shared" si="21"/>
        <v/>
      </c>
      <c r="AF82" s="13">
        <v>0.21</v>
      </c>
      <c r="AG82" s="11" t="str">
        <f t="shared" si="22"/>
        <v/>
      </c>
      <c r="AH82" s="11" t="str">
        <f t="shared" si="23"/>
        <v/>
      </c>
      <c r="AL82" t="str">
        <f t="shared" si="27"/>
        <v/>
      </c>
      <c r="AN82" s="11" t="str">
        <f t="shared" si="24"/>
        <v/>
      </c>
      <c r="AO82" s="13"/>
      <c r="AP82" s="11" t="str">
        <f t="shared" si="25"/>
        <v/>
      </c>
      <c r="AQ82" s="11" t="str">
        <f t="shared" si="26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19"/>
        <v>#VALUE!</v>
      </c>
      <c r="O83" s="11">
        <f t="shared" si="20"/>
        <v>0</v>
      </c>
      <c r="R83" s="12" t="str">
        <f>IF(Q83="","",VLOOKUP(Q83,Lists!$E:$F,2,FALSE))</f>
        <v/>
      </c>
      <c r="AD83" s="9">
        <v>50</v>
      </c>
      <c r="AE83" s="11" t="str">
        <f t="shared" si="21"/>
        <v/>
      </c>
      <c r="AF83" s="13">
        <v>0.21</v>
      </c>
      <c r="AG83" s="11" t="str">
        <f t="shared" si="22"/>
        <v/>
      </c>
      <c r="AH83" s="11" t="str">
        <f t="shared" si="23"/>
        <v/>
      </c>
      <c r="AL83" t="str">
        <f t="shared" si="27"/>
        <v/>
      </c>
      <c r="AN83" s="11" t="str">
        <f t="shared" si="24"/>
        <v/>
      </c>
      <c r="AO83" s="13"/>
      <c r="AP83" s="11" t="str">
        <f t="shared" si="25"/>
        <v/>
      </c>
      <c r="AQ83" s="11" t="str">
        <f t="shared" si="26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19"/>
        <v>#VALUE!</v>
      </c>
      <c r="O84" s="11">
        <f t="shared" si="20"/>
        <v>0</v>
      </c>
      <c r="R84" s="12" t="str">
        <f>IF(Q84="","",VLOOKUP(Q84,Lists!$E:$F,2,FALSE))</f>
        <v/>
      </c>
      <c r="AD84" s="9">
        <v>50</v>
      </c>
      <c r="AE84" s="11" t="str">
        <f t="shared" si="21"/>
        <v/>
      </c>
      <c r="AF84" s="13">
        <v>0.21</v>
      </c>
      <c r="AG84" s="11" t="str">
        <f t="shared" si="22"/>
        <v/>
      </c>
      <c r="AH84" s="11" t="str">
        <f t="shared" si="23"/>
        <v/>
      </c>
      <c r="AL84" t="str">
        <f t="shared" si="27"/>
        <v/>
      </c>
      <c r="AN84" s="11" t="str">
        <f t="shared" si="24"/>
        <v/>
      </c>
      <c r="AO84" s="13"/>
      <c r="AP84" s="11" t="str">
        <f t="shared" si="25"/>
        <v/>
      </c>
      <c r="AQ84" s="11" t="str">
        <f t="shared" si="26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19"/>
        <v>#VALUE!</v>
      </c>
      <c r="O85" s="11">
        <f t="shared" si="20"/>
        <v>0</v>
      </c>
      <c r="R85" s="12" t="str">
        <f>IF(Q85="","",VLOOKUP(Q85,Lists!$E:$F,2,FALSE))</f>
        <v/>
      </c>
      <c r="AD85" s="9">
        <v>50</v>
      </c>
      <c r="AE85" s="11" t="str">
        <f t="shared" si="21"/>
        <v/>
      </c>
      <c r="AF85" s="13">
        <v>0.21</v>
      </c>
      <c r="AG85" s="11" t="str">
        <f t="shared" si="22"/>
        <v/>
      </c>
      <c r="AH85" s="11" t="str">
        <f t="shared" si="23"/>
        <v/>
      </c>
      <c r="AL85" t="str">
        <f t="shared" si="27"/>
        <v/>
      </c>
      <c r="AN85" s="11" t="str">
        <f t="shared" si="24"/>
        <v/>
      </c>
      <c r="AO85" s="13"/>
      <c r="AP85" s="11" t="str">
        <f t="shared" si="25"/>
        <v/>
      </c>
      <c r="AQ85" s="11" t="str">
        <f t="shared" si="26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19"/>
        <v>#VALUE!</v>
      </c>
      <c r="O86" s="11">
        <f t="shared" si="20"/>
        <v>0</v>
      </c>
      <c r="R86" s="12" t="str">
        <f>IF(Q86="","",VLOOKUP(Q86,Lists!$E:$F,2,FALSE))</f>
        <v/>
      </c>
      <c r="AD86" s="9">
        <v>50</v>
      </c>
      <c r="AE86" s="11" t="str">
        <f t="shared" si="21"/>
        <v/>
      </c>
      <c r="AF86" s="13">
        <v>0.21</v>
      </c>
      <c r="AG86" s="11" t="str">
        <f t="shared" si="22"/>
        <v/>
      </c>
      <c r="AH86" s="11" t="str">
        <f t="shared" si="23"/>
        <v/>
      </c>
      <c r="AL86" t="str">
        <f t="shared" si="27"/>
        <v/>
      </c>
      <c r="AN86" s="11" t="str">
        <f t="shared" si="24"/>
        <v/>
      </c>
      <c r="AO86" s="13"/>
      <c r="AP86" s="11" t="str">
        <f t="shared" si="25"/>
        <v/>
      </c>
      <c r="AQ86" s="11" t="str">
        <f t="shared" si="26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19"/>
        <v>#VALUE!</v>
      </c>
      <c r="O87" s="11">
        <f t="shared" si="20"/>
        <v>0</v>
      </c>
      <c r="R87" s="12" t="str">
        <f>IF(Q87="","",VLOOKUP(Q87,Lists!$E:$F,2,FALSE))</f>
        <v/>
      </c>
      <c r="AD87" s="9">
        <v>50</v>
      </c>
      <c r="AE87" s="11" t="str">
        <f t="shared" si="21"/>
        <v/>
      </c>
      <c r="AF87" s="13">
        <v>0.21</v>
      </c>
      <c r="AG87" s="11" t="str">
        <f t="shared" si="22"/>
        <v/>
      </c>
      <c r="AH87" s="11" t="str">
        <f t="shared" si="23"/>
        <v/>
      </c>
      <c r="AL87" t="str">
        <f t="shared" si="27"/>
        <v/>
      </c>
      <c r="AN87" s="11" t="str">
        <f t="shared" si="24"/>
        <v/>
      </c>
      <c r="AO87" s="13"/>
      <c r="AP87" s="11" t="str">
        <f t="shared" si="25"/>
        <v/>
      </c>
      <c r="AQ87" s="11" t="str">
        <f t="shared" si="26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ref="N88:N119" si="28">L88 * (1 + M88)</f>
        <v>#VALUE!</v>
      </c>
      <c r="O88" s="11">
        <f t="shared" ref="O88:O119" si="29">IF(K88="Eigen Beheer",0,IF(AND(ISNUMBER(N88),I88&lt;&gt;"",H88&lt;&gt;""),YEARFRAC(H88,I88,4)*12*N88,0))</f>
        <v>0</v>
      </c>
      <c r="R88" s="12" t="str">
        <f>IF(Q88="","",VLOOKUP(Q88,Lists!$E:$F,2,FALSE))</f>
        <v/>
      </c>
      <c r="AD88" s="9">
        <v>50</v>
      </c>
      <c r="AE88" s="11" t="str">
        <f t="shared" ref="AE88:AE119" si="30">IF(AB88="","",IF(ISNUMBER(SEARCH("Basis",AB88)),(250/1.21)+MAX(0,AC88-5)*AD88,IF(ISNUMBER(SEARCH("Intensief",AB88)),(375/1.21)+MAX(0,AC88-7)*AD88,AC88*AD88)))</f>
        <v/>
      </c>
      <c r="AF88" s="13">
        <v>0.21</v>
      </c>
      <c r="AG88" s="11" t="str">
        <f t="shared" ref="AG88:AG119" si="31">IF(AE88&lt;&gt;"",AE88*AF88,"")</f>
        <v/>
      </c>
      <c r="AH88" s="11" t="str">
        <f t="shared" ref="AH88:AH119" si="32">IF(AE88&lt;&gt;"",AE88+AG88,"")</f>
        <v/>
      </c>
      <c r="AL88" t="str">
        <f t="shared" si="27"/>
        <v/>
      </c>
      <c r="AN88" s="11" t="str">
        <f t="shared" ref="AN88:AN119" si="33">IF(AND(AL88&lt;&gt;"",AM88&lt;&gt;""),AL88*AM88,"")</f>
        <v/>
      </c>
      <c r="AO88" s="13"/>
      <c r="AP88" s="11" t="str">
        <f t="shared" ref="AP88:AP119" si="34">IF(AND(AN88&lt;&gt;"",AO88&lt;&gt;""),AN88*AO88,"")</f>
        <v/>
      </c>
      <c r="AQ88" s="11" t="str">
        <f t="shared" ref="AQ88:AQ119" si="35">IF(AND(AN88&lt;&gt;"",AP88&lt;&gt;""),AN88+AP88,"")</f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28"/>
        <v>#VALUE!</v>
      </c>
      <c r="O89" s="11">
        <f t="shared" si="29"/>
        <v>0</v>
      </c>
      <c r="R89" s="12" t="str">
        <f>IF(Q89="","",VLOOKUP(Q89,Lists!$E:$F,2,FALSE))</f>
        <v/>
      </c>
      <c r="AD89" s="9">
        <v>50</v>
      </c>
      <c r="AE89" s="11" t="str">
        <f t="shared" si="30"/>
        <v/>
      </c>
      <c r="AF89" s="13">
        <v>0.21</v>
      </c>
      <c r="AG89" s="11" t="str">
        <f t="shared" si="31"/>
        <v/>
      </c>
      <c r="AH89" s="11" t="str">
        <f t="shared" si="32"/>
        <v/>
      </c>
      <c r="AL89" t="str">
        <f t="shared" si="27"/>
        <v/>
      </c>
      <c r="AN89" s="11" t="str">
        <f t="shared" si="33"/>
        <v/>
      </c>
      <c r="AO89" s="13"/>
      <c r="AP89" s="11" t="str">
        <f t="shared" si="34"/>
        <v/>
      </c>
      <c r="AQ89" s="11" t="str">
        <f t="shared" si="35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28"/>
        <v>#VALUE!</v>
      </c>
      <c r="O90" s="11">
        <f t="shared" si="29"/>
        <v>0</v>
      </c>
      <c r="R90" s="12" t="str">
        <f>IF(Q90="","",VLOOKUP(Q90,Lists!$E:$F,2,FALSE))</f>
        <v/>
      </c>
      <c r="AD90" s="9">
        <v>50</v>
      </c>
      <c r="AE90" s="11" t="str">
        <f t="shared" si="30"/>
        <v/>
      </c>
      <c r="AF90" s="13">
        <v>0.21</v>
      </c>
      <c r="AG90" s="11" t="str">
        <f t="shared" si="31"/>
        <v/>
      </c>
      <c r="AH90" s="11" t="str">
        <f t="shared" si="32"/>
        <v/>
      </c>
      <c r="AL90" t="str">
        <f t="shared" si="27"/>
        <v/>
      </c>
      <c r="AN90" s="11" t="str">
        <f t="shared" si="33"/>
        <v/>
      </c>
      <c r="AO90" s="13"/>
      <c r="AP90" s="11" t="str">
        <f t="shared" si="34"/>
        <v/>
      </c>
      <c r="AQ90" s="11" t="str">
        <f t="shared" si="35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28"/>
        <v>#VALUE!</v>
      </c>
      <c r="O91" s="11">
        <f t="shared" si="29"/>
        <v>0</v>
      </c>
      <c r="R91" s="12" t="str">
        <f>IF(Q91="","",VLOOKUP(Q91,Lists!$E:$F,2,FALSE))</f>
        <v/>
      </c>
      <c r="AD91" s="9">
        <v>50</v>
      </c>
      <c r="AE91" s="11" t="str">
        <f t="shared" si="30"/>
        <v/>
      </c>
      <c r="AF91" s="13">
        <v>0.21</v>
      </c>
      <c r="AG91" s="11" t="str">
        <f t="shared" si="31"/>
        <v/>
      </c>
      <c r="AH91" s="11" t="str">
        <f t="shared" si="32"/>
        <v/>
      </c>
      <c r="AL91" t="str">
        <f t="shared" si="27"/>
        <v/>
      </c>
      <c r="AN91" s="11" t="str">
        <f t="shared" si="33"/>
        <v/>
      </c>
      <c r="AO91" s="13"/>
      <c r="AP91" s="11" t="str">
        <f t="shared" si="34"/>
        <v/>
      </c>
      <c r="AQ91" s="11" t="str">
        <f t="shared" si="35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28"/>
        <v>#VALUE!</v>
      </c>
      <c r="O92" s="11">
        <f t="shared" si="29"/>
        <v>0</v>
      </c>
      <c r="R92" s="12" t="str">
        <f>IF(Q92="","",VLOOKUP(Q92,Lists!$E:$F,2,FALSE))</f>
        <v/>
      </c>
      <c r="AD92" s="9">
        <v>50</v>
      </c>
      <c r="AE92" s="11" t="str">
        <f t="shared" si="30"/>
        <v/>
      </c>
      <c r="AF92" s="13">
        <v>0.21</v>
      </c>
      <c r="AG92" s="11" t="str">
        <f t="shared" si="31"/>
        <v/>
      </c>
      <c r="AH92" s="11" t="str">
        <f t="shared" si="32"/>
        <v/>
      </c>
      <c r="AL92" t="str">
        <f t="shared" si="27"/>
        <v/>
      </c>
      <c r="AN92" s="11" t="str">
        <f t="shared" si="33"/>
        <v/>
      </c>
      <c r="AO92" s="13"/>
      <c r="AP92" s="11" t="str">
        <f t="shared" si="34"/>
        <v/>
      </c>
      <c r="AQ92" s="11" t="str">
        <f t="shared" si="35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28"/>
        <v>#VALUE!</v>
      </c>
      <c r="O93" s="11">
        <f t="shared" si="29"/>
        <v>0</v>
      </c>
      <c r="R93" s="12" t="str">
        <f>IF(Q93="","",VLOOKUP(Q93,Lists!$E:$F,2,FALSE))</f>
        <v/>
      </c>
      <c r="AD93" s="9">
        <v>50</v>
      </c>
      <c r="AE93" s="11" t="str">
        <f t="shared" si="30"/>
        <v/>
      </c>
      <c r="AF93" s="13">
        <v>0.21</v>
      </c>
      <c r="AG93" s="11" t="str">
        <f t="shared" si="31"/>
        <v/>
      </c>
      <c r="AH93" s="11" t="str">
        <f t="shared" si="32"/>
        <v/>
      </c>
      <c r="AL93" t="str">
        <f t="shared" si="27"/>
        <v/>
      </c>
      <c r="AN93" s="11" t="str">
        <f t="shared" si="33"/>
        <v/>
      </c>
      <c r="AO93" s="13"/>
      <c r="AP93" s="11" t="str">
        <f t="shared" si="34"/>
        <v/>
      </c>
      <c r="AQ93" s="11" t="str">
        <f t="shared" si="35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28"/>
        <v>#VALUE!</v>
      </c>
      <c r="O94" s="11">
        <f t="shared" si="29"/>
        <v>0</v>
      </c>
      <c r="R94" s="12" t="str">
        <f>IF(Q94="","",VLOOKUP(Q94,Lists!$E:$F,2,FALSE))</f>
        <v/>
      </c>
      <c r="AD94" s="9">
        <v>50</v>
      </c>
      <c r="AE94" s="11" t="str">
        <f t="shared" si="30"/>
        <v/>
      </c>
      <c r="AF94" s="13">
        <v>0.21</v>
      </c>
      <c r="AG94" s="11" t="str">
        <f t="shared" si="31"/>
        <v/>
      </c>
      <c r="AH94" s="11" t="str">
        <f t="shared" si="32"/>
        <v/>
      </c>
      <c r="AL94" t="str">
        <f t="shared" si="27"/>
        <v/>
      </c>
      <c r="AN94" s="11" t="str">
        <f t="shared" si="33"/>
        <v/>
      </c>
      <c r="AO94" s="13"/>
      <c r="AP94" s="11" t="str">
        <f t="shared" si="34"/>
        <v/>
      </c>
      <c r="AQ94" s="11" t="str">
        <f t="shared" si="35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28"/>
        <v>#VALUE!</v>
      </c>
      <c r="O95" s="11">
        <f t="shared" si="29"/>
        <v>0</v>
      </c>
      <c r="R95" s="12" t="str">
        <f>IF(Q95="","",VLOOKUP(Q95,Lists!$E:$F,2,FALSE))</f>
        <v/>
      </c>
      <c r="AD95" s="9">
        <v>50</v>
      </c>
      <c r="AE95" s="11" t="str">
        <f t="shared" si="30"/>
        <v/>
      </c>
      <c r="AF95" s="13">
        <v>0.21</v>
      </c>
      <c r="AG95" s="11" t="str">
        <f t="shared" si="31"/>
        <v/>
      </c>
      <c r="AH95" s="11" t="str">
        <f t="shared" si="32"/>
        <v/>
      </c>
      <c r="AL95" t="str">
        <f t="shared" si="27"/>
        <v/>
      </c>
      <c r="AN95" s="11" t="str">
        <f t="shared" si="33"/>
        <v/>
      </c>
      <c r="AO95" s="13"/>
      <c r="AP95" s="11" t="str">
        <f t="shared" si="34"/>
        <v/>
      </c>
      <c r="AQ95" s="11" t="str">
        <f t="shared" si="35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28"/>
        <v>#VALUE!</v>
      </c>
      <c r="O96" s="11">
        <f t="shared" si="29"/>
        <v>0</v>
      </c>
      <c r="R96" s="12" t="str">
        <f>IF(Q96="","",VLOOKUP(Q96,Lists!$E:$F,2,FALSE))</f>
        <v/>
      </c>
      <c r="AD96" s="9">
        <v>50</v>
      </c>
      <c r="AE96" s="11" t="str">
        <f t="shared" si="30"/>
        <v/>
      </c>
      <c r="AF96" s="13">
        <v>0.21</v>
      </c>
      <c r="AG96" s="11" t="str">
        <f t="shared" si="31"/>
        <v/>
      </c>
      <c r="AH96" s="11" t="str">
        <f t="shared" si="32"/>
        <v/>
      </c>
      <c r="AL96" t="str">
        <f t="shared" si="27"/>
        <v/>
      </c>
      <c r="AN96" s="11" t="str">
        <f t="shared" si="33"/>
        <v/>
      </c>
      <c r="AO96" s="13"/>
      <c r="AP96" s="11" t="str">
        <f t="shared" si="34"/>
        <v/>
      </c>
      <c r="AQ96" s="11" t="str">
        <f t="shared" si="35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28"/>
        <v>#VALUE!</v>
      </c>
      <c r="O97" s="11">
        <f t="shared" si="29"/>
        <v>0</v>
      </c>
      <c r="R97" s="12" t="str">
        <f>IF(Q97="","",VLOOKUP(Q97,Lists!$E:$F,2,FALSE))</f>
        <v/>
      </c>
      <c r="AD97" s="9">
        <v>50</v>
      </c>
      <c r="AE97" s="11" t="str">
        <f t="shared" si="30"/>
        <v/>
      </c>
      <c r="AF97" s="13">
        <v>0.21</v>
      </c>
      <c r="AG97" s="11" t="str">
        <f t="shared" si="31"/>
        <v/>
      </c>
      <c r="AH97" s="11" t="str">
        <f t="shared" si="32"/>
        <v/>
      </c>
      <c r="AL97" t="str">
        <f t="shared" si="27"/>
        <v/>
      </c>
      <c r="AN97" s="11" t="str">
        <f t="shared" si="33"/>
        <v/>
      </c>
      <c r="AO97" s="13"/>
      <c r="AP97" s="11" t="str">
        <f t="shared" si="34"/>
        <v/>
      </c>
      <c r="AQ97" s="11" t="str">
        <f t="shared" si="35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si="28"/>
        <v>#VALUE!</v>
      </c>
      <c r="O98" s="11">
        <f t="shared" si="29"/>
        <v>0</v>
      </c>
      <c r="R98" s="12" t="str">
        <f>IF(Q98="","",VLOOKUP(Q98,Lists!$E:$F,2,FALSE))</f>
        <v/>
      </c>
      <c r="AD98" s="9">
        <v>50</v>
      </c>
      <c r="AE98" s="11" t="str">
        <f t="shared" si="30"/>
        <v/>
      </c>
      <c r="AF98" s="13">
        <v>0.21</v>
      </c>
      <c r="AG98" s="11" t="str">
        <f t="shared" si="31"/>
        <v/>
      </c>
      <c r="AH98" s="11" t="str">
        <f t="shared" si="32"/>
        <v/>
      </c>
      <c r="AL98" t="str">
        <f t="shared" si="27"/>
        <v/>
      </c>
      <c r="AN98" s="11" t="str">
        <f t="shared" si="33"/>
        <v/>
      </c>
      <c r="AO98" s="13"/>
      <c r="AP98" s="11" t="str">
        <f t="shared" si="34"/>
        <v/>
      </c>
      <c r="AQ98" s="11" t="str">
        <f t="shared" si="35"/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8"/>
        <v>#VALUE!</v>
      </c>
      <c r="O99" s="11">
        <f t="shared" si="29"/>
        <v>0</v>
      </c>
      <c r="R99" s="12" t="str">
        <f>IF(Q99="","",VLOOKUP(Q99,Lists!$E:$F,2,FALSE))</f>
        <v/>
      </c>
      <c r="AD99" s="9">
        <v>50</v>
      </c>
      <c r="AE99" s="11" t="str">
        <f t="shared" si="30"/>
        <v/>
      </c>
      <c r="AF99" s="13">
        <v>0.21</v>
      </c>
      <c r="AG99" s="11" t="str">
        <f t="shared" si="31"/>
        <v/>
      </c>
      <c r="AH99" s="11" t="str">
        <f t="shared" si="32"/>
        <v/>
      </c>
      <c r="AL99" t="str">
        <f t="shared" si="27"/>
        <v/>
      </c>
      <c r="AN99" s="11" t="str">
        <f t="shared" si="33"/>
        <v/>
      </c>
      <c r="AO99" s="13"/>
      <c r="AP99" s="11" t="str">
        <f t="shared" si="34"/>
        <v/>
      </c>
      <c r="AQ99" s="11" t="str">
        <f t="shared" si="35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8"/>
        <v>#VALUE!</v>
      </c>
      <c r="O100" s="11">
        <f t="shared" si="29"/>
        <v>0</v>
      </c>
      <c r="R100" s="12" t="str">
        <f>IF(Q100="","",VLOOKUP(Q100,Lists!$E:$F,2,FALSE))</f>
        <v/>
      </c>
      <c r="AD100" s="9">
        <v>50</v>
      </c>
      <c r="AE100" s="11" t="str">
        <f t="shared" si="30"/>
        <v/>
      </c>
      <c r="AF100" s="13">
        <v>0.21</v>
      </c>
      <c r="AG100" s="11" t="str">
        <f t="shared" si="31"/>
        <v/>
      </c>
      <c r="AH100" s="11" t="str">
        <f t="shared" si="32"/>
        <v/>
      </c>
      <c r="AL100" t="str">
        <f t="shared" ref="AL100:AL131" si="36"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 t="str">
        <f t="shared" si="33"/>
        <v/>
      </c>
      <c r="AO100" s="13"/>
      <c r="AP100" s="11" t="str">
        <f t="shared" si="34"/>
        <v/>
      </c>
      <c r="AQ100" s="11" t="str">
        <f t="shared" si="35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8"/>
        <v>#VALUE!</v>
      </c>
      <c r="O101" s="11">
        <f t="shared" si="29"/>
        <v>0</v>
      </c>
      <c r="R101" s="12" t="str">
        <f>IF(Q101="","",VLOOKUP(Q101,Lists!$E:$F,2,FALSE))</f>
        <v/>
      </c>
      <c r="AD101" s="9">
        <v>50</v>
      </c>
      <c r="AE101" s="11" t="str">
        <f t="shared" si="30"/>
        <v/>
      </c>
      <c r="AF101" s="13">
        <v>0.21</v>
      </c>
      <c r="AG101" s="11" t="str">
        <f t="shared" si="31"/>
        <v/>
      </c>
      <c r="AH101" s="11" t="str">
        <f t="shared" si="32"/>
        <v/>
      </c>
      <c r="AL101" t="str">
        <f t="shared" si="36"/>
        <v/>
      </c>
      <c r="AN101" s="11" t="str">
        <f t="shared" si="33"/>
        <v/>
      </c>
      <c r="AO101" s="13"/>
      <c r="AP101" s="11" t="str">
        <f t="shared" si="34"/>
        <v/>
      </c>
      <c r="AQ101" s="11" t="str">
        <f t="shared" si="35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8"/>
        <v>#VALUE!</v>
      </c>
      <c r="O102" s="11">
        <f t="shared" si="29"/>
        <v>0</v>
      </c>
      <c r="R102" s="12" t="str">
        <f>IF(Q102="","",VLOOKUP(Q102,Lists!$E:$F,2,FALSE))</f>
        <v/>
      </c>
      <c r="AD102" s="9">
        <v>50</v>
      </c>
      <c r="AE102" s="11" t="str">
        <f t="shared" si="30"/>
        <v/>
      </c>
      <c r="AF102" s="13">
        <v>0.21</v>
      </c>
      <c r="AG102" s="11" t="str">
        <f t="shared" si="31"/>
        <v/>
      </c>
      <c r="AH102" s="11" t="str">
        <f t="shared" si="32"/>
        <v/>
      </c>
      <c r="AL102" t="str">
        <f t="shared" si="36"/>
        <v/>
      </c>
      <c r="AN102" s="11" t="str">
        <f t="shared" si="33"/>
        <v/>
      </c>
      <c r="AO102" s="13"/>
      <c r="AP102" s="11" t="str">
        <f t="shared" si="34"/>
        <v/>
      </c>
      <c r="AQ102" s="11" t="str">
        <f t="shared" si="35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8"/>
        <v>#VALUE!</v>
      </c>
      <c r="O103" s="11">
        <f t="shared" si="29"/>
        <v>0</v>
      </c>
      <c r="R103" s="12" t="str">
        <f>IF(Q103="","",VLOOKUP(Q103,Lists!$E:$F,2,FALSE))</f>
        <v/>
      </c>
      <c r="AD103" s="9">
        <v>50</v>
      </c>
      <c r="AE103" s="11" t="str">
        <f t="shared" si="30"/>
        <v/>
      </c>
      <c r="AF103" s="13">
        <v>0.21</v>
      </c>
      <c r="AG103" s="11" t="str">
        <f t="shared" si="31"/>
        <v/>
      </c>
      <c r="AH103" s="11" t="str">
        <f t="shared" si="32"/>
        <v/>
      </c>
      <c r="AL103" t="str">
        <f t="shared" si="36"/>
        <v/>
      </c>
      <c r="AN103" s="11" t="str">
        <f t="shared" si="33"/>
        <v/>
      </c>
      <c r="AO103" s="13"/>
      <c r="AP103" s="11" t="str">
        <f t="shared" si="34"/>
        <v/>
      </c>
      <c r="AQ103" s="11" t="str">
        <f t="shared" si="35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8"/>
        <v>#VALUE!</v>
      </c>
      <c r="O104" s="11">
        <f t="shared" si="29"/>
        <v>0</v>
      </c>
      <c r="R104" s="12" t="str">
        <f>IF(Q104="","",VLOOKUP(Q104,Lists!$E:$F,2,FALSE))</f>
        <v/>
      </c>
      <c r="AD104" s="9">
        <v>50</v>
      </c>
      <c r="AE104" s="11" t="str">
        <f t="shared" si="30"/>
        <v/>
      </c>
      <c r="AF104" s="13">
        <v>0.21</v>
      </c>
      <c r="AG104" s="11" t="str">
        <f t="shared" si="31"/>
        <v/>
      </c>
      <c r="AH104" s="11" t="str">
        <f t="shared" si="32"/>
        <v/>
      </c>
      <c r="AL104" t="str">
        <f t="shared" si="36"/>
        <v/>
      </c>
      <c r="AN104" s="11" t="str">
        <f t="shared" si="33"/>
        <v/>
      </c>
      <c r="AO104" s="13"/>
      <c r="AP104" s="11" t="str">
        <f t="shared" si="34"/>
        <v/>
      </c>
      <c r="AQ104" s="11" t="str">
        <f t="shared" si="35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8"/>
        <v>#VALUE!</v>
      </c>
      <c r="O105" s="11">
        <f t="shared" si="29"/>
        <v>0</v>
      </c>
      <c r="R105" s="12" t="str">
        <f>IF(Q105="","",VLOOKUP(Q105,Lists!$E:$F,2,FALSE))</f>
        <v/>
      </c>
      <c r="AD105" s="9">
        <v>50</v>
      </c>
      <c r="AE105" s="11" t="str">
        <f t="shared" si="30"/>
        <v/>
      </c>
      <c r="AF105" s="13">
        <v>0.21</v>
      </c>
      <c r="AG105" s="11" t="str">
        <f t="shared" si="31"/>
        <v/>
      </c>
      <c r="AH105" s="11" t="str">
        <f t="shared" si="32"/>
        <v/>
      </c>
      <c r="AL105" t="str">
        <f t="shared" si="36"/>
        <v/>
      </c>
      <c r="AN105" s="11" t="str">
        <f t="shared" si="33"/>
        <v/>
      </c>
      <c r="AO105" s="13"/>
      <c r="AP105" s="11" t="str">
        <f t="shared" si="34"/>
        <v/>
      </c>
      <c r="AQ105" s="11" t="str">
        <f t="shared" si="35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8"/>
        <v>#VALUE!</v>
      </c>
      <c r="O106" s="11">
        <f t="shared" si="29"/>
        <v>0</v>
      </c>
      <c r="R106" s="12" t="str">
        <f>IF(Q106="","",VLOOKUP(Q106,Lists!$E:$F,2,FALSE))</f>
        <v/>
      </c>
      <c r="AD106" s="9">
        <v>50</v>
      </c>
      <c r="AE106" s="11" t="str">
        <f t="shared" si="30"/>
        <v/>
      </c>
      <c r="AF106" s="13">
        <v>0.21</v>
      </c>
      <c r="AG106" s="11" t="str">
        <f t="shared" si="31"/>
        <v/>
      </c>
      <c r="AH106" s="11" t="str">
        <f t="shared" si="32"/>
        <v/>
      </c>
      <c r="AL106" t="str">
        <f t="shared" si="36"/>
        <v/>
      </c>
      <c r="AN106" s="11" t="str">
        <f t="shared" si="33"/>
        <v/>
      </c>
      <c r="AO106" s="13"/>
      <c r="AP106" s="11" t="str">
        <f t="shared" si="34"/>
        <v/>
      </c>
      <c r="AQ106" s="11" t="str">
        <f t="shared" si="35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8"/>
        <v>#VALUE!</v>
      </c>
      <c r="O107" s="11">
        <f t="shared" si="29"/>
        <v>0</v>
      </c>
      <c r="R107" s="12" t="str">
        <f>IF(Q107="","",VLOOKUP(Q107,Lists!$E:$F,2,FALSE))</f>
        <v/>
      </c>
      <c r="AD107" s="9">
        <v>50</v>
      </c>
      <c r="AE107" s="11" t="str">
        <f t="shared" si="30"/>
        <v/>
      </c>
      <c r="AF107" s="13">
        <v>0.21</v>
      </c>
      <c r="AG107" s="11" t="str">
        <f t="shared" si="31"/>
        <v/>
      </c>
      <c r="AH107" s="11" t="str">
        <f t="shared" si="32"/>
        <v/>
      </c>
      <c r="AL107" t="str">
        <f t="shared" si="36"/>
        <v/>
      </c>
      <c r="AN107" s="11" t="str">
        <f t="shared" si="33"/>
        <v/>
      </c>
      <c r="AO107" s="13"/>
      <c r="AP107" s="11" t="str">
        <f t="shared" si="34"/>
        <v/>
      </c>
      <c r="AQ107" s="11" t="str">
        <f t="shared" si="35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8"/>
        <v>#VALUE!</v>
      </c>
      <c r="O108" s="11">
        <f t="shared" si="29"/>
        <v>0</v>
      </c>
      <c r="R108" s="12" t="str">
        <f>IF(Q108="","",VLOOKUP(Q108,Lists!$E:$F,2,FALSE))</f>
        <v/>
      </c>
      <c r="AD108" s="9">
        <v>50</v>
      </c>
      <c r="AE108" s="11" t="str">
        <f t="shared" si="30"/>
        <v/>
      </c>
      <c r="AF108" s="13">
        <v>0.21</v>
      </c>
      <c r="AG108" s="11" t="str">
        <f t="shared" si="31"/>
        <v/>
      </c>
      <c r="AH108" s="11" t="str">
        <f t="shared" si="32"/>
        <v/>
      </c>
      <c r="AL108" t="str">
        <f t="shared" si="36"/>
        <v/>
      </c>
      <c r="AN108" s="11" t="str">
        <f t="shared" si="33"/>
        <v/>
      </c>
      <c r="AO108" s="13"/>
      <c r="AP108" s="11" t="str">
        <f t="shared" si="34"/>
        <v/>
      </c>
      <c r="AQ108" s="11" t="str">
        <f t="shared" si="35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8"/>
        <v>#VALUE!</v>
      </c>
      <c r="O109" s="11">
        <f t="shared" si="29"/>
        <v>0</v>
      </c>
      <c r="R109" s="12" t="str">
        <f>IF(Q109="","",VLOOKUP(Q109,Lists!$E:$F,2,FALSE))</f>
        <v/>
      </c>
      <c r="AD109" s="9">
        <v>50</v>
      </c>
      <c r="AE109" s="11" t="str">
        <f t="shared" si="30"/>
        <v/>
      </c>
      <c r="AF109" s="13">
        <v>0.21</v>
      </c>
      <c r="AG109" s="11" t="str">
        <f t="shared" si="31"/>
        <v/>
      </c>
      <c r="AH109" s="11" t="str">
        <f t="shared" si="32"/>
        <v/>
      </c>
      <c r="AL109" t="str">
        <f t="shared" si="36"/>
        <v/>
      </c>
      <c r="AN109" s="11" t="str">
        <f t="shared" si="33"/>
        <v/>
      </c>
      <c r="AO109" s="13"/>
      <c r="AP109" s="11" t="str">
        <f t="shared" si="34"/>
        <v/>
      </c>
      <c r="AQ109" s="11" t="str">
        <f t="shared" si="35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8"/>
        <v>#VALUE!</v>
      </c>
      <c r="O110" s="11">
        <f t="shared" si="29"/>
        <v>0</v>
      </c>
      <c r="R110" s="12" t="str">
        <f>IF(Q110="","",VLOOKUP(Q110,Lists!$E:$F,2,FALSE))</f>
        <v/>
      </c>
      <c r="AD110" s="9">
        <v>50</v>
      </c>
      <c r="AE110" s="11" t="str">
        <f t="shared" si="30"/>
        <v/>
      </c>
      <c r="AF110" s="13">
        <v>0.21</v>
      </c>
      <c r="AG110" s="11" t="str">
        <f t="shared" si="31"/>
        <v/>
      </c>
      <c r="AH110" s="11" t="str">
        <f t="shared" si="32"/>
        <v/>
      </c>
      <c r="AL110" t="str">
        <f t="shared" si="36"/>
        <v/>
      </c>
      <c r="AN110" s="11" t="str">
        <f t="shared" si="33"/>
        <v/>
      </c>
      <c r="AO110" s="13"/>
      <c r="AP110" s="11" t="str">
        <f t="shared" si="34"/>
        <v/>
      </c>
      <c r="AQ110" s="11" t="str">
        <f t="shared" si="35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8"/>
        <v>#VALUE!</v>
      </c>
      <c r="O111" s="11">
        <f t="shared" si="29"/>
        <v>0</v>
      </c>
      <c r="R111" s="12" t="str">
        <f>IF(Q111="","",VLOOKUP(Q111,Lists!$E:$F,2,FALSE))</f>
        <v/>
      </c>
      <c r="AD111" s="9">
        <v>50</v>
      </c>
      <c r="AE111" s="11" t="str">
        <f t="shared" si="30"/>
        <v/>
      </c>
      <c r="AF111" s="13">
        <v>0.21</v>
      </c>
      <c r="AG111" s="11" t="str">
        <f t="shared" si="31"/>
        <v/>
      </c>
      <c r="AH111" s="11" t="str">
        <f t="shared" si="32"/>
        <v/>
      </c>
      <c r="AL111" t="str">
        <f t="shared" si="36"/>
        <v/>
      </c>
      <c r="AN111" s="11" t="str">
        <f t="shared" si="33"/>
        <v/>
      </c>
      <c r="AO111" s="13"/>
      <c r="AP111" s="11" t="str">
        <f t="shared" si="34"/>
        <v/>
      </c>
      <c r="AQ111" s="11" t="str">
        <f t="shared" si="35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8"/>
        <v>#VALUE!</v>
      </c>
      <c r="O112" s="11">
        <f t="shared" si="29"/>
        <v>0</v>
      </c>
      <c r="R112" s="12" t="str">
        <f>IF(Q112="","",VLOOKUP(Q112,Lists!$E:$F,2,FALSE))</f>
        <v/>
      </c>
      <c r="AD112" s="9">
        <v>50</v>
      </c>
      <c r="AE112" s="11" t="str">
        <f t="shared" si="30"/>
        <v/>
      </c>
      <c r="AF112" s="13">
        <v>0.21</v>
      </c>
      <c r="AG112" s="11" t="str">
        <f t="shared" si="31"/>
        <v/>
      </c>
      <c r="AH112" s="11" t="str">
        <f t="shared" si="32"/>
        <v/>
      </c>
      <c r="AL112" t="str">
        <f t="shared" si="36"/>
        <v/>
      </c>
      <c r="AN112" s="11" t="str">
        <f t="shared" si="33"/>
        <v/>
      </c>
      <c r="AO112" s="13"/>
      <c r="AP112" s="11" t="str">
        <f t="shared" si="34"/>
        <v/>
      </c>
      <c r="AQ112" s="11" t="str">
        <f t="shared" si="35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8"/>
        <v>#VALUE!</v>
      </c>
      <c r="O113" s="11">
        <f t="shared" si="29"/>
        <v>0</v>
      </c>
      <c r="R113" s="12" t="str">
        <f>IF(Q113="","",VLOOKUP(Q113,Lists!$E:$F,2,FALSE))</f>
        <v/>
      </c>
      <c r="AD113" s="9">
        <v>50</v>
      </c>
      <c r="AE113" s="11" t="str">
        <f t="shared" si="30"/>
        <v/>
      </c>
      <c r="AF113" s="13">
        <v>0.21</v>
      </c>
      <c r="AG113" s="11" t="str">
        <f t="shared" si="31"/>
        <v/>
      </c>
      <c r="AH113" s="11" t="str">
        <f t="shared" si="32"/>
        <v/>
      </c>
      <c r="AL113" t="str">
        <f t="shared" si="36"/>
        <v/>
      </c>
      <c r="AN113" s="11" t="str">
        <f t="shared" si="33"/>
        <v/>
      </c>
      <c r="AO113" s="13"/>
      <c r="AP113" s="11" t="str">
        <f t="shared" si="34"/>
        <v/>
      </c>
      <c r="AQ113" s="11" t="str">
        <f t="shared" si="35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8"/>
        <v>#VALUE!</v>
      </c>
      <c r="O114" s="11">
        <f t="shared" si="29"/>
        <v>0</v>
      </c>
      <c r="R114" s="12" t="str">
        <f>IF(Q114="","",VLOOKUP(Q114,Lists!$E:$F,2,FALSE))</f>
        <v/>
      </c>
      <c r="AD114" s="9">
        <v>50</v>
      </c>
      <c r="AE114" s="11" t="str">
        <f t="shared" si="30"/>
        <v/>
      </c>
      <c r="AF114" s="13">
        <v>0.21</v>
      </c>
      <c r="AG114" s="11" t="str">
        <f t="shared" si="31"/>
        <v/>
      </c>
      <c r="AH114" s="11" t="str">
        <f t="shared" si="32"/>
        <v/>
      </c>
      <c r="AL114" t="str">
        <f t="shared" si="36"/>
        <v/>
      </c>
      <c r="AN114" s="11" t="str">
        <f t="shared" si="33"/>
        <v/>
      </c>
      <c r="AO114" s="13"/>
      <c r="AP114" s="11" t="str">
        <f t="shared" si="34"/>
        <v/>
      </c>
      <c r="AQ114" s="11" t="str">
        <f t="shared" si="35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8"/>
        <v>#VALUE!</v>
      </c>
      <c r="O115" s="11">
        <f t="shared" si="29"/>
        <v>0</v>
      </c>
      <c r="R115" s="12" t="str">
        <f>IF(Q115="","",VLOOKUP(Q115,Lists!$E:$F,2,FALSE))</f>
        <v/>
      </c>
      <c r="AD115" s="9">
        <v>50</v>
      </c>
      <c r="AE115" s="11" t="str">
        <f t="shared" si="30"/>
        <v/>
      </c>
      <c r="AF115" s="13">
        <v>0.21</v>
      </c>
      <c r="AG115" s="11" t="str">
        <f t="shared" si="31"/>
        <v/>
      </c>
      <c r="AH115" s="11" t="str">
        <f t="shared" si="32"/>
        <v/>
      </c>
      <c r="AL115" t="str">
        <f t="shared" si="36"/>
        <v/>
      </c>
      <c r="AN115" s="11" t="str">
        <f t="shared" si="33"/>
        <v/>
      </c>
      <c r="AO115" s="13"/>
      <c r="AP115" s="11" t="str">
        <f t="shared" si="34"/>
        <v/>
      </c>
      <c r="AQ115" s="11" t="str">
        <f t="shared" si="35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8"/>
        <v>#VALUE!</v>
      </c>
      <c r="O116" s="11">
        <f t="shared" si="29"/>
        <v>0</v>
      </c>
      <c r="R116" s="12" t="str">
        <f>IF(Q116="","",VLOOKUP(Q116,Lists!$E:$F,2,FALSE))</f>
        <v/>
      </c>
      <c r="AD116" s="9">
        <v>50</v>
      </c>
      <c r="AE116" s="11" t="str">
        <f t="shared" si="30"/>
        <v/>
      </c>
      <c r="AF116" s="13">
        <v>0.21</v>
      </c>
      <c r="AG116" s="11" t="str">
        <f t="shared" si="31"/>
        <v/>
      </c>
      <c r="AH116" s="11" t="str">
        <f t="shared" si="32"/>
        <v/>
      </c>
      <c r="AL116" t="str">
        <f t="shared" si="36"/>
        <v/>
      </c>
      <c r="AN116" s="11" t="str">
        <f t="shared" si="33"/>
        <v/>
      </c>
      <c r="AO116" s="13"/>
      <c r="AP116" s="11" t="str">
        <f t="shared" si="34"/>
        <v/>
      </c>
      <c r="AQ116" s="11" t="str">
        <f t="shared" si="35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8"/>
        <v>#VALUE!</v>
      </c>
      <c r="O117" s="11">
        <f t="shared" si="29"/>
        <v>0</v>
      </c>
      <c r="R117" s="12" t="str">
        <f>IF(Q117="","",VLOOKUP(Q117,Lists!$E:$F,2,FALSE))</f>
        <v/>
      </c>
      <c r="AD117" s="9">
        <v>50</v>
      </c>
      <c r="AE117" s="11" t="str">
        <f t="shared" si="30"/>
        <v/>
      </c>
      <c r="AF117" s="13">
        <v>0.21</v>
      </c>
      <c r="AG117" s="11" t="str">
        <f t="shared" si="31"/>
        <v/>
      </c>
      <c r="AH117" s="11" t="str">
        <f t="shared" si="32"/>
        <v/>
      </c>
      <c r="AL117" t="str">
        <f t="shared" si="36"/>
        <v/>
      </c>
      <c r="AN117" s="11" t="str">
        <f t="shared" si="33"/>
        <v/>
      </c>
      <c r="AO117" s="13"/>
      <c r="AP117" s="11" t="str">
        <f t="shared" si="34"/>
        <v/>
      </c>
      <c r="AQ117" s="11" t="str">
        <f t="shared" si="35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8"/>
        <v>#VALUE!</v>
      </c>
      <c r="O118" s="11">
        <f t="shared" si="29"/>
        <v>0</v>
      </c>
      <c r="R118" s="12" t="str">
        <f>IF(Q118="","",VLOOKUP(Q118,Lists!$E:$F,2,FALSE))</f>
        <v/>
      </c>
      <c r="AD118" s="9">
        <v>50</v>
      </c>
      <c r="AE118" s="11" t="str">
        <f t="shared" si="30"/>
        <v/>
      </c>
      <c r="AF118" s="13">
        <v>0.21</v>
      </c>
      <c r="AG118" s="11" t="str">
        <f t="shared" si="31"/>
        <v/>
      </c>
      <c r="AH118" s="11" t="str">
        <f t="shared" si="32"/>
        <v/>
      </c>
      <c r="AL118" t="str">
        <f t="shared" si="36"/>
        <v/>
      </c>
      <c r="AN118" s="11" t="str">
        <f t="shared" si="33"/>
        <v/>
      </c>
      <c r="AO118" s="13"/>
      <c r="AP118" s="11" t="str">
        <f t="shared" si="34"/>
        <v/>
      </c>
      <c r="AQ118" s="11" t="str">
        <f t="shared" si="35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8"/>
        <v>#VALUE!</v>
      </c>
      <c r="O119" s="11">
        <f t="shared" si="29"/>
        <v>0</v>
      </c>
      <c r="R119" s="12" t="str">
        <f>IF(Q119="","",VLOOKUP(Q119,Lists!$E:$F,2,FALSE))</f>
        <v/>
      </c>
      <c r="AD119" s="9">
        <v>50</v>
      </c>
      <c r="AE119" s="11" t="str">
        <f t="shared" si="30"/>
        <v/>
      </c>
      <c r="AF119" s="13">
        <v>0.21</v>
      </c>
      <c r="AG119" s="11" t="str">
        <f t="shared" si="31"/>
        <v/>
      </c>
      <c r="AH119" s="11" t="str">
        <f t="shared" si="32"/>
        <v/>
      </c>
      <c r="AL119" t="str">
        <f t="shared" si="36"/>
        <v/>
      </c>
      <c r="AN119" s="11" t="str">
        <f t="shared" si="33"/>
        <v/>
      </c>
      <c r="AO119" s="13"/>
      <c r="AP119" s="11" t="str">
        <f t="shared" si="34"/>
        <v/>
      </c>
      <c r="AQ119" s="11" t="str">
        <f t="shared" si="35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ref="N120:N151" si="37">L120 * (1 + M120)</f>
        <v>#VALUE!</v>
      </c>
      <c r="O120" s="11">
        <f t="shared" ref="O120:O151" si="38">IF(K120="Eigen Beheer",0,IF(AND(ISNUMBER(N120),I120&lt;&gt;"",H120&lt;&gt;""),YEARFRAC(H120,I120,4)*12*N120,0))</f>
        <v>0</v>
      </c>
      <c r="R120" s="12" t="str">
        <f>IF(Q120="","",VLOOKUP(Q120,Lists!$E:$F,2,FALSE))</f>
        <v/>
      </c>
      <c r="AD120" s="9">
        <v>50</v>
      </c>
      <c r="AE120" s="11" t="str">
        <f t="shared" ref="AE120:AE151" si="39">IF(AB120="","",IF(ISNUMBER(SEARCH("Basis",AB120)),(250/1.21)+MAX(0,AC120-5)*AD120,IF(ISNUMBER(SEARCH("Intensief",AB120)),(375/1.21)+MAX(0,AC120-7)*AD120,AC120*AD120)))</f>
        <v/>
      </c>
      <c r="AF120" s="13">
        <v>0.21</v>
      </c>
      <c r="AG120" s="11" t="str">
        <f t="shared" ref="AG120:AG151" si="40">IF(AE120&lt;&gt;"",AE120*AF120,"")</f>
        <v/>
      </c>
      <c r="AH120" s="11" t="str">
        <f t="shared" ref="AH120:AH151" si="41">IF(AE120&lt;&gt;"",AE120+AG120,"")</f>
        <v/>
      </c>
      <c r="AL120" t="str">
        <f t="shared" si="36"/>
        <v/>
      </c>
      <c r="AN120" s="11" t="str">
        <f t="shared" ref="AN120:AN151" si="42">IF(AND(AL120&lt;&gt;"",AM120&lt;&gt;""),AL120*AM120,"")</f>
        <v/>
      </c>
      <c r="AO120" s="13"/>
      <c r="AP120" s="11" t="str">
        <f t="shared" ref="AP120:AP151" si="43">IF(AND(AN120&lt;&gt;"",AO120&lt;&gt;""),AN120*AO120,"")</f>
        <v/>
      </c>
      <c r="AQ120" s="11" t="str">
        <f t="shared" ref="AQ120:AQ151" si="44">IF(AND(AN120&lt;&gt;"",AP120&lt;&gt;""),AN120+AP120,"")</f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37"/>
        <v>#VALUE!</v>
      </c>
      <c r="O121" s="11">
        <f t="shared" si="38"/>
        <v>0</v>
      </c>
      <c r="R121" s="12" t="str">
        <f>IF(Q121="","",VLOOKUP(Q121,Lists!$E:$F,2,FALSE))</f>
        <v/>
      </c>
      <c r="AD121" s="9">
        <v>50</v>
      </c>
      <c r="AE121" s="11" t="str">
        <f t="shared" si="39"/>
        <v/>
      </c>
      <c r="AF121" s="13">
        <v>0.21</v>
      </c>
      <c r="AG121" s="11" t="str">
        <f t="shared" si="40"/>
        <v/>
      </c>
      <c r="AH121" s="11" t="str">
        <f t="shared" si="41"/>
        <v/>
      </c>
      <c r="AL121" t="str">
        <f t="shared" si="36"/>
        <v/>
      </c>
      <c r="AN121" s="11" t="str">
        <f t="shared" si="42"/>
        <v/>
      </c>
      <c r="AO121" s="13"/>
      <c r="AP121" s="11" t="str">
        <f t="shared" si="43"/>
        <v/>
      </c>
      <c r="AQ121" s="11" t="str">
        <f t="shared" si="44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37"/>
        <v>#VALUE!</v>
      </c>
      <c r="O122" s="11">
        <f t="shared" si="38"/>
        <v>0</v>
      </c>
      <c r="R122" s="12" t="str">
        <f>IF(Q122="","",VLOOKUP(Q122,Lists!$E:$F,2,FALSE))</f>
        <v/>
      </c>
      <c r="AD122" s="9">
        <v>50</v>
      </c>
      <c r="AE122" s="11" t="str">
        <f t="shared" si="39"/>
        <v/>
      </c>
      <c r="AF122" s="13">
        <v>0.21</v>
      </c>
      <c r="AG122" s="11" t="str">
        <f t="shared" si="40"/>
        <v/>
      </c>
      <c r="AH122" s="11" t="str">
        <f t="shared" si="41"/>
        <v/>
      </c>
      <c r="AL122" t="str">
        <f t="shared" si="36"/>
        <v/>
      </c>
      <c r="AN122" s="11" t="str">
        <f t="shared" si="42"/>
        <v/>
      </c>
      <c r="AO122" s="13"/>
      <c r="AP122" s="11" t="str">
        <f t="shared" si="43"/>
        <v/>
      </c>
      <c r="AQ122" s="11" t="str">
        <f t="shared" si="44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37"/>
        <v>#VALUE!</v>
      </c>
      <c r="O123" s="11">
        <f t="shared" si="38"/>
        <v>0</v>
      </c>
      <c r="R123" s="12" t="str">
        <f>IF(Q123="","",VLOOKUP(Q123,Lists!$E:$F,2,FALSE))</f>
        <v/>
      </c>
      <c r="AD123" s="9">
        <v>50</v>
      </c>
      <c r="AE123" s="11" t="str">
        <f t="shared" si="39"/>
        <v/>
      </c>
      <c r="AF123" s="13">
        <v>0.21</v>
      </c>
      <c r="AG123" s="11" t="str">
        <f t="shared" si="40"/>
        <v/>
      </c>
      <c r="AH123" s="11" t="str">
        <f t="shared" si="41"/>
        <v/>
      </c>
      <c r="AL123" t="str">
        <f t="shared" si="36"/>
        <v/>
      </c>
      <c r="AN123" s="11" t="str">
        <f t="shared" si="42"/>
        <v/>
      </c>
      <c r="AO123" s="13"/>
      <c r="AP123" s="11" t="str">
        <f t="shared" si="43"/>
        <v/>
      </c>
      <c r="AQ123" s="11" t="str">
        <f t="shared" si="44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37"/>
        <v>#VALUE!</v>
      </c>
      <c r="O124" s="11">
        <f t="shared" si="38"/>
        <v>0</v>
      </c>
      <c r="R124" s="12" t="str">
        <f>IF(Q124="","",VLOOKUP(Q124,Lists!$E:$F,2,FALSE))</f>
        <v/>
      </c>
      <c r="AD124" s="9">
        <v>50</v>
      </c>
      <c r="AE124" s="11" t="str">
        <f t="shared" si="39"/>
        <v/>
      </c>
      <c r="AF124" s="13">
        <v>0.21</v>
      </c>
      <c r="AG124" s="11" t="str">
        <f t="shared" si="40"/>
        <v/>
      </c>
      <c r="AH124" s="11" t="str">
        <f t="shared" si="41"/>
        <v/>
      </c>
      <c r="AL124" t="str">
        <f t="shared" si="36"/>
        <v/>
      </c>
      <c r="AN124" s="11" t="str">
        <f t="shared" si="42"/>
        <v/>
      </c>
      <c r="AO124" s="13"/>
      <c r="AP124" s="11" t="str">
        <f t="shared" si="43"/>
        <v/>
      </c>
      <c r="AQ124" s="11" t="str">
        <f t="shared" si="44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37"/>
        <v>#VALUE!</v>
      </c>
      <c r="O125" s="11">
        <f t="shared" si="38"/>
        <v>0</v>
      </c>
      <c r="R125" s="12" t="str">
        <f>IF(Q125="","",VLOOKUP(Q125,Lists!$E:$F,2,FALSE))</f>
        <v/>
      </c>
      <c r="AD125" s="9">
        <v>50</v>
      </c>
      <c r="AE125" s="11" t="str">
        <f t="shared" si="39"/>
        <v/>
      </c>
      <c r="AF125" s="13">
        <v>0.21</v>
      </c>
      <c r="AG125" s="11" t="str">
        <f t="shared" si="40"/>
        <v/>
      </c>
      <c r="AH125" s="11" t="str">
        <f t="shared" si="41"/>
        <v/>
      </c>
      <c r="AL125" t="str">
        <f t="shared" si="36"/>
        <v/>
      </c>
      <c r="AN125" s="11" t="str">
        <f t="shared" si="42"/>
        <v/>
      </c>
      <c r="AO125" s="13"/>
      <c r="AP125" s="11" t="str">
        <f t="shared" si="43"/>
        <v/>
      </c>
      <c r="AQ125" s="11" t="str">
        <f t="shared" si="44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37"/>
        <v>#VALUE!</v>
      </c>
      <c r="O126" s="11">
        <f t="shared" si="38"/>
        <v>0</v>
      </c>
      <c r="R126" s="12" t="str">
        <f>IF(Q126="","",VLOOKUP(Q126,Lists!$E:$F,2,FALSE))</f>
        <v/>
      </c>
      <c r="AD126" s="9">
        <v>50</v>
      </c>
      <c r="AE126" s="11" t="str">
        <f t="shared" si="39"/>
        <v/>
      </c>
      <c r="AF126" s="13">
        <v>0.21</v>
      </c>
      <c r="AG126" s="11" t="str">
        <f t="shared" si="40"/>
        <v/>
      </c>
      <c r="AH126" s="11" t="str">
        <f t="shared" si="41"/>
        <v/>
      </c>
      <c r="AL126" t="str">
        <f t="shared" si="36"/>
        <v/>
      </c>
      <c r="AN126" s="11" t="str">
        <f t="shared" si="42"/>
        <v/>
      </c>
      <c r="AO126" s="13"/>
      <c r="AP126" s="11" t="str">
        <f t="shared" si="43"/>
        <v/>
      </c>
      <c r="AQ126" s="11" t="str">
        <f t="shared" si="44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37"/>
        <v>#VALUE!</v>
      </c>
      <c r="O127" s="11">
        <f t="shared" si="38"/>
        <v>0</v>
      </c>
      <c r="R127" s="12" t="str">
        <f>IF(Q127="","",VLOOKUP(Q127,Lists!$E:$F,2,FALSE))</f>
        <v/>
      </c>
      <c r="AD127" s="9">
        <v>50</v>
      </c>
      <c r="AE127" s="11" t="str">
        <f t="shared" si="39"/>
        <v/>
      </c>
      <c r="AF127" s="13">
        <v>0.21</v>
      </c>
      <c r="AG127" s="11" t="str">
        <f t="shared" si="40"/>
        <v/>
      </c>
      <c r="AH127" s="11" t="str">
        <f t="shared" si="41"/>
        <v/>
      </c>
      <c r="AL127" t="str">
        <f t="shared" si="36"/>
        <v/>
      </c>
      <c r="AN127" s="11" t="str">
        <f t="shared" si="42"/>
        <v/>
      </c>
      <c r="AO127" s="13"/>
      <c r="AP127" s="11" t="str">
        <f t="shared" si="43"/>
        <v/>
      </c>
      <c r="AQ127" s="11" t="str">
        <f t="shared" si="44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37"/>
        <v>#VALUE!</v>
      </c>
      <c r="O128" s="11">
        <f t="shared" si="38"/>
        <v>0</v>
      </c>
      <c r="R128" s="12" t="str">
        <f>IF(Q128="","",VLOOKUP(Q128,Lists!$E:$F,2,FALSE))</f>
        <v/>
      </c>
      <c r="AD128" s="9">
        <v>50</v>
      </c>
      <c r="AE128" s="11" t="str">
        <f t="shared" si="39"/>
        <v/>
      </c>
      <c r="AF128" s="13">
        <v>0.21</v>
      </c>
      <c r="AG128" s="11" t="str">
        <f t="shared" si="40"/>
        <v/>
      </c>
      <c r="AH128" s="11" t="str">
        <f t="shared" si="41"/>
        <v/>
      </c>
      <c r="AL128" t="str">
        <f t="shared" si="36"/>
        <v/>
      </c>
      <c r="AN128" s="11" t="str">
        <f t="shared" si="42"/>
        <v/>
      </c>
      <c r="AO128" s="13"/>
      <c r="AP128" s="11" t="str">
        <f t="shared" si="43"/>
        <v/>
      </c>
      <c r="AQ128" s="11" t="str">
        <f t="shared" si="44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37"/>
        <v>#VALUE!</v>
      </c>
      <c r="O129" s="11">
        <f t="shared" si="38"/>
        <v>0</v>
      </c>
      <c r="R129" s="12" t="str">
        <f>IF(Q129="","",VLOOKUP(Q129,Lists!$E:$F,2,FALSE))</f>
        <v/>
      </c>
      <c r="AD129" s="9">
        <v>50</v>
      </c>
      <c r="AE129" s="11" t="str">
        <f t="shared" si="39"/>
        <v/>
      </c>
      <c r="AF129" s="13">
        <v>0.21</v>
      </c>
      <c r="AG129" s="11" t="str">
        <f t="shared" si="40"/>
        <v/>
      </c>
      <c r="AH129" s="11" t="str">
        <f t="shared" si="41"/>
        <v/>
      </c>
      <c r="AL129" t="str">
        <f t="shared" si="36"/>
        <v/>
      </c>
      <c r="AN129" s="11" t="str">
        <f t="shared" si="42"/>
        <v/>
      </c>
      <c r="AO129" s="13"/>
      <c r="AP129" s="11" t="str">
        <f t="shared" si="43"/>
        <v/>
      </c>
      <c r="AQ129" s="11" t="str">
        <f t="shared" si="44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si="37"/>
        <v>#VALUE!</v>
      </c>
      <c r="O130" s="11">
        <f t="shared" si="38"/>
        <v>0</v>
      </c>
      <c r="R130" s="12" t="str">
        <f>IF(Q130="","",VLOOKUP(Q130,Lists!$E:$F,2,FALSE))</f>
        <v/>
      </c>
      <c r="AD130" s="9">
        <v>50</v>
      </c>
      <c r="AE130" s="11" t="str">
        <f t="shared" si="39"/>
        <v/>
      </c>
      <c r="AF130" s="13">
        <v>0.21</v>
      </c>
      <c r="AG130" s="11" t="str">
        <f t="shared" si="40"/>
        <v/>
      </c>
      <c r="AH130" s="11" t="str">
        <f t="shared" si="41"/>
        <v/>
      </c>
      <c r="AL130" t="str">
        <f t="shared" si="36"/>
        <v/>
      </c>
      <c r="AN130" s="11" t="str">
        <f t="shared" si="42"/>
        <v/>
      </c>
      <c r="AO130" s="13"/>
      <c r="AP130" s="11" t="str">
        <f t="shared" si="43"/>
        <v/>
      </c>
      <c r="AQ130" s="11" t="str">
        <f t="shared" si="44"/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7"/>
        <v>#VALUE!</v>
      </c>
      <c r="O131" s="11">
        <f t="shared" si="38"/>
        <v>0</v>
      </c>
      <c r="R131" s="12" t="str">
        <f>IF(Q131="","",VLOOKUP(Q131,Lists!$E:$F,2,FALSE))</f>
        <v/>
      </c>
      <c r="AD131" s="9">
        <v>50</v>
      </c>
      <c r="AE131" s="11" t="str">
        <f t="shared" si="39"/>
        <v/>
      </c>
      <c r="AF131" s="13">
        <v>0.21</v>
      </c>
      <c r="AG131" s="11" t="str">
        <f t="shared" si="40"/>
        <v/>
      </c>
      <c r="AH131" s="11" t="str">
        <f t="shared" si="41"/>
        <v/>
      </c>
      <c r="AL131" t="str">
        <f t="shared" si="36"/>
        <v/>
      </c>
      <c r="AN131" s="11" t="str">
        <f t="shared" si="42"/>
        <v/>
      </c>
      <c r="AO131" s="13"/>
      <c r="AP131" s="11" t="str">
        <f t="shared" si="43"/>
        <v/>
      </c>
      <c r="AQ131" s="11" t="str">
        <f t="shared" si="44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7"/>
        <v>#VALUE!</v>
      </c>
      <c r="O132" s="11">
        <f t="shared" si="38"/>
        <v>0</v>
      </c>
      <c r="R132" s="12" t="str">
        <f>IF(Q132="","",VLOOKUP(Q132,Lists!$E:$F,2,FALSE))</f>
        <v/>
      </c>
      <c r="AD132" s="9">
        <v>50</v>
      </c>
      <c r="AE132" s="11" t="str">
        <f t="shared" si="39"/>
        <v/>
      </c>
      <c r="AF132" s="13">
        <v>0.21</v>
      </c>
      <c r="AG132" s="11" t="str">
        <f t="shared" si="40"/>
        <v/>
      </c>
      <c r="AH132" s="11" t="str">
        <f t="shared" si="41"/>
        <v/>
      </c>
      <c r="AL132" t="str">
        <f t="shared" ref="AL132:AL163" si="45"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 t="str">
        <f t="shared" si="42"/>
        <v/>
      </c>
      <c r="AO132" s="13"/>
      <c r="AP132" s="11" t="str">
        <f t="shared" si="43"/>
        <v/>
      </c>
      <c r="AQ132" s="11" t="str">
        <f t="shared" si="44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7"/>
        <v>#VALUE!</v>
      </c>
      <c r="O133" s="11">
        <f t="shared" si="38"/>
        <v>0</v>
      </c>
      <c r="R133" s="12" t="str">
        <f>IF(Q133="","",VLOOKUP(Q133,Lists!$E:$F,2,FALSE))</f>
        <v/>
      </c>
      <c r="AD133" s="9">
        <v>50</v>
      </c>
      <c r="AE133" s="11" t="str">
        <f t="shared" si="39"/>
        <v/>
      </c>
      <c r="AF133" s="13">
        <v>0.21</v>
      </c>
      <c r="AG133" s="11" t="str">
        <f t="shared" si="40"/>
        <v/>
      </c>
      <c r="AH133" s="11" t="str">
        <f t="shared" si="41"/>
        <v/>
      </c>
      <c r="AL133" t="str">
        <f t="shared" si="45"/>
        <v/>
      </c>
      <c r="AN133" s="11" t="str">
        <f t="shared" si="42"/>
        <v/>
      </c>
      <c r="AO133" s="13"/>
      <c r="AP133" s="11" t="str">
        <f t="shared" si="43"/>
        <v/>
      </c>
      <c r="AQ133" s="11" t="str">
        <f t="shared" si="44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7"/>
        <v>#VALUE!</v>
      </c>
      <c r="O134" s="11">
        <f t="shared" si="38"/>
        <v>0</v>
      </c>
      <c r="R134" s="12" t="str">
        <f>IF(Q134="","",VLOOKUP(Q134,Lists!$E:$F,2,FALSE))</f>
        <v/>
      </c>
      <c r="AD134" s="9">
        <v>50</v>
      </c>
      <c r="AE134" s="11" t="str">
        <f t="shared" si="39"/>
        <v/>
      </c>
      <c r="AF134" s="13">
        <v>0.21</v>
      </c>
      <c r="AG134" s="11" t="str">
        <f t="shared" si="40"/>
        <v/>
      </c>
      <c r="AH134" s="11" t="str">
        <f t="shared" si="41"/>
        <v/>
      </c>
      <c r="AL134" t="str">
        <f t="shared" si="45"/>
        <v/>
      </c>
      <c r="AN134" s="11" t="str">
        <f t="shared" si="42"/>
        <v/>
      </c>
      <c r="AO134" s="13"/>
      <c r="AP134" s="11" t="str">
        <f t="shared" si="43"/>
        <v/>
      </c>
      <c r="AQ134" s="11" t="str">
        <f t="shared" si="44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7"/>
        <v>#VALUE!</v>
      </c>
      <c r="O135" s="11">
        <f t="shared" si="38"/>
        <v>0</v>
      </c>
      <c r="R135" s="12" t="str">
        <f>IF(Q135="","",VLOOKUP(Q135,Lists!$E:$F,2,FALSE))</f>
        <v/>
      </c>
      <c r="AD135" s="9">
        <v>50</v>
      </c>
      <c r="AE135" s="11" t="str">
        <f t="shared" si="39"/>
        <v/>
      </c>
      <c r="AF135" s="13">
        <v>0.21</v>
      </c>
      <c r="AG135" s="11" t="str">
        <f t="shared" si="40"/>
        <v/>
      </c>
      <c r="AH135" s="11" t="str">
        <f t="shared" si="41"/>
        <v/>
      </c>
      <c r="AL135" t="str">
        <f t="shared" si="45"/>
        <v/>
      </c>
      <c r="AN135" s="11" t="str">
        <f t="shared" si="42"/>
        <v/>
      </c>
      <c r="AO135" s="13"/>
      <c r="AP135" s="11" t="str">
        <f t="shared" si="43"/>
        <v/>
      </c>
      <c r="AQ135" s="11" t="str">
        <f t="shared" si="44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7"/>
        <v>#VALUE!</v>
      </c>
      <c r="O136" s="11">
        <f t="shared" si="38"/>
        <v>0</v>
      </c>
      <c r="R136" s="12" t="str">
        <f>IF(Q136="","",VLOOKUP(Q136,Lists!$E:$F,2,FALSE))</f>
        <v/>
      </c>
      <c r="AD136" s="9">
        <v>50</v>
      </c>
      <c r="AE136" s="11" t="str">
        <f t="shared" si="39"/>
        <v/>
      </c>
      <c r="AF136" s="13">
        <v>0.21</v>
      </c>
      <c r="AG136" s="11" t="str">
        <f t="shared" si="40"/>
        <v/>
      </c>
      <c r="AH136" s="11" t="str">
        <f t="shared" si="41"/>
        <v/>
      </c>
      <c r="AL136" t="str">
        <f t="shared" si="45"/>
        <v/>
      </c>
      <c r="AN136" s="11" t="str">
        <f t="shared" si="42"/>
        <v/>
      </c>
      <c r="AO136" s="13"/>
      <c r="AP136" s="11" t="str">
        <f t="shared" si="43"/>
        <v/>
      </c>
      <c r="AQ136" s="11" t="str">
        <f t="shared" si="44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7"/>
        <v>#VALUE!</v>
      </c>
      <c r="O137" s="11">
        <f t="shared" si="38"/>
        <v>0</v>
      </c>
      <c r="R137" s="12" t="str">
        <f>IF(Q137="","",VLOOKUP(Q137,Lists!$E:$F,2,FALSE))</f>
        <v/>
      </c>
      <c r="AD137" s="9">
        <v>50</v>
      </c>
      <c r="AE137" s="11" t="str">
        <f t="shared" si="39"/>
        <v/>
      </c>
      <c r="AF137" s="13">
        <v>0.21</v>
      </c>
      <c r="AG137" s="11" t="str">
        <f t="shared" si="40"/>
        <v/>
      </c>
      <c r="AH137" s="11" t="str">
        <f t="shared" si="41"/>
        <v/>
      </c>
      <c r="AL137" t="str">
        <f t="shared" si="45"/>
        <v/>
      </c>
      <c r="AN137" s="11" t="str">
        <f t="shared" si="42"/>
        <v/>
      </c>
      <c r="AO137" s="13"/>
      <c r="AP137" s="11" t="str">
        <f t="shared" si="43"/>
        <v/>
      </c>
      <c r="AQ137" s="11" t="str">
        <f t="shared" si="44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7"/>
        <v>#VALUE!</v>
      </c>
      <c r="O138" s="11">
        <f t="shared" si="38"/>
        <v>0</v>
      </c>
      <c r="R138" s="12" t="str">
        <f>IF(Q138="","",VLOOKUP(Q138,Lists!$E:$F,2,FALSE))</f>
        <v/>
      </c>
      <c r="AD138" s="9">
        <v>50</v>
      </c>
      <c r="AE138" s="11" t="str">
        <f t="shared" si="39"/>
        <v/>
      </c>
      <c r="AF138" s="13">
        <v>0.21</v>
      </c>
      <c r="AG138" s="11" t="str">
        <f t="shared" si="40"/>
        <v/>
      </c>
      <c r="AH138" s="11" t="str">
        <f t="shared" si="41"/>
        <v/>
      </c>
      <c r="AL138" t="str">
        <f t="shared" si="45"/>
        <v/>
      </c>
      <c r="AN138" s="11" t="str">
        <f t="shared" si="42"/>
        <v/>
      </c>
      <c r="AO138" s="13"/>
      <c r="AP138" s="11" t="str">
        <f t="shared" si="43"/>
        <v/>
      </c>
      <c r="AQ138" s="11" t="str">
        <f t="shared" si="44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7"/>
        <v>#VALUE!</v>
      </c>
      <c r="O139" s="11">
        <f t="shared" si="38"/>
        <v>0</v>
      </c>
      <c r="R139" s="12" t="str">
        <f>IF(Q139="","",VLOOKUP(Q139,Lists!$E:$F,2,FALSE))</f>
        <v/>
      </c>
      <c r="AD139" s="9">
        <v>50</v>
      </c>
      <c r="AE139" s="11" t="str">
        <f t="shared" si="39"/>
        <v/>
      </c>
      <c r="AF139" s="13">
        <v>0.21</v>
      </c>
      <c r="AG139" s="11" t="str">
        <f t="shared" si="40"/>
        <v/>
      </c>
      <c r="AH139" s="11" t="str">
        <f t="shared" si="41"/>
        <v/>
      </c>
      <c r="AL139" t="str">
        <f t="shared" si="45"/>
        <v/>
      </c>
      <c r="AN139" s="11" t="str">
        <f t="shared" si="42"/>
        <v/>
      </c>
      <c r="AO139" s="13"/>
      <c r="AP139" s="11" t="str">
        <f t="shared" si="43"/>
        <v/>
      </c>
      <c r="AQ139" s="11" t="str">
        <f t="shared" si="44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7"/>
        <v>#VALUE!</v>
      </c>
      <c r="O140" s="11">
        <f t="shared" si="38"/>
        <v>0</v>
      </c>
      <c r="R140" s="12" t="str">
        <f>IF(Q140="","",VLOOKUP(Q140,Lists!$E:$F,2,FALSE))</f>
        <v/>
      </c>
      <c r="AD140" s="9">
        <v>50</v>
      </c>
      <c r="AE140" s="11" t="str">
        <f t="shared" si="39"/>
        <v/>
      </c>
      <c r="AF140" s="13">
        <v>0.21</v>
      </c>
      <c r="AG140" s="11" t="str">
        <f t="shared" si="40"/>
        <v/>
      </c>
      <c r="AH140" s="11" t="str">
        <f t="shared" si="41"/>
        <v/>
      </c>
      <c r="AL140" t="str">
        <f t="shared" si="45"/>
        <v/>
      </c>
      <c r="AN140" s="11" t="str">
        <f t="shared" si="42"/>
        <v/>
      </c>
      <c r="AO140" s="13"/>
      <c r="AP140" s="11" t="str">
        <f t="shared" si="43"/>
        <v/>
      </c>
      <c r="AQ140" s="11" t="str">
        <f t="shared" si="44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7"/>
        <v>#VALUE!</v>
      </c>
      <c r="O141" s="11">
        <f t="shared" si="38"/>
        <v>0</v>
      </c>
      <c r="R141" s="12" t="str">
        <f>IF(Q141="","",VLOOKUP(Q141,Lists!$E:$F,2,FALSE))</f>
        <v/>
      </c>
      <c r="AD141" s="9">
        <v>50</v>
      </c>
      <c r="AE141" s="11" t="str">
        <f t="shared" si="39"/>
        <v/>
      </c>
      <c r="AF141" s="13">
        <v>0.21</v>
      </c>
      <c r="AG141" s="11" t="str">
        <f t="shared" si="40"/>
        <v/>
      </c>
      <c r="AH141" s="11" t="str">
        <f t="shared" si="41"/>
        <v/>
      </c>
      <c r="AL141" t="str">
        <f t="shared" si="45"/>
        <v/>
      </c>
      <c r="AN141" s="11" t="str">
        <f t="shared" si="42"/>
        <v/>
      </c>
      <c r="AO141" s="13"/>
      <c r="AP141" s="11" t="str">
        <f t="shared" si="43"/>
        <v/>
      </c>
      <c r="AQ141" s="11" t="str">
        <f t="shared" si="44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7"/>
        <v>#VALUE!</v>
      </c>
      <c r="O142" s="11">
        <f t="shared" si="38"/>
        <v>0</v>
      </c>
      <c r="R142" s="12" t="str">
        <f>IF(Q142="","",VLOOKUP(Q142,Lists!$E:$F,2,FALSE))</f>
        <v/>
      </c>
      <c r="AD142" s="9">
        <v>50</v>
      </c>
      <c r="AE142" s="11" t="str">
        <f t="shared" si="39"/>
        <v/>
      </c>
      <c r="AF142" s="13">
        <v>0.21</v>
      </c>
      <c r="AG142" s="11" t="str">
        <f t="shared" si="40"/>
        <v/>
      </c>
      <c r="AH142" s="11" t="str">
        <f t="shared" si="41"/>
        <v/>
      </c>
      <c r="AL142" t="str">
        <f t="shared" si="45"/>
        <v/>
      </c>
      <c r="AN142" s="11" t="str">
        <f t="shared" si="42"/>
        <v/>
      </c>
      <c r="AO142" s="13"/>
      <c r="AP142" s="11" t="str">
        <f t="shared" si="43"/>
        <v/>
      </c>
      <c r="AQ142" s="11" t="str">
        <f t="shared" si="44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7"/>
        <v>#VALUE!</v>
      </c>
      <c r="O143" s="11">
        <f t="shared" si="38"/>
        <v>0</v>
      </c>
      <c r="R143" s="12" t="str">
        <f>IF(Q143="","",VLOOKUP(Q143,Lists!$E:$F,2,FALSE))</f>
        <v/>
      </c>
      <c r="AD143" s="9">
        <v>50</v>
      </c>
      <c r="AE143" s="11" t="str">
        <f t="shared" si="39"/>
        <v/>
      </c>
      <c r="AF143" s="13">
        <v>0.21</v>
      </c>
      <c r="AG143" s="11" t="str">
        <f t="shared" si="40"/>
        <v/>
      </c>
      <c r="AH143" s="11" t="str">
        <f t="shared" si="41"/>
        <v/>
      </c>
      <c r="AL143" t="str">
        <f t="shared" si="45"/>
        <v/>
      </c>
      <c r="AN143" s="11" t="str">
        <f t="shared" si="42"/>
        <v/>
      </c>
      <c r="AO143" s="13"/>
      <c r="AP143" s="11" t="str">
        <f t="shared" si="43"/>
        <v/>
      </c>
      <c r="AQ143" s="11" t="str">
        <f t="shared" si="44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7"/>
        <v>#VALUE!</v>
      </c>
      <c r="O144" s="11">
        <f t="shared" si="38"/>
        <v>0</v>
      </c>
      <c r="R144" s="12" t="str">
        <f>IF(Q144="","",VLOOKUP(Q144,Lists!$E:$F,2,FALSE))</f>
        <v/>
      </c>
      <c r="AD144" s="9">
        <v>50</v>
      </c>
      <c r="AE144" s="11" t="str">
        <f t="shared" si="39"/>
        <v/>
      </c>
      <c r="AF144" s="13">
        <v>0.21</v>
      </c>
      <c r="AG144" s="11" t="str">
        <f t="shared" si="40"/>
        <v/>
      </c>
      <c r="AH144" s="11" t="str">
        <f t="shared" si="41"/>
        <v/>
      </c>
      <c r="AL144" t="str">
        <f t="shared" si="45"/>
        <v/>
      </c>
      <c r="AN144" s="11" t="str">
        <f t="shared" si="42"/>
        <v/>
      </c>
      <c r="AO144" s="13"/>
      <c r="AP144" s="11" t="str">
        <f t="shared" si="43"/>
        <v/>
      </c>
      <c r="AQ144" s="11" t="str">
        <f t="shared" si="44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7"/>
        <v>#VALUE!</v>
      </c>
      <c r="O145" s="11">
        <f t="shared" si="38"/>
        <v>0</v>
      </c>
      <c r="R145" s="12" t="str">
        <f>IF(Q145="","",VLOOKUP(Q145,Lists!$E:$F,2,FALSE))</f>
        <v/>
      </c>
      <c r="AD145" s="9">
        <v>50</v>
      </c>
      <c r="AE145" s="11" t="str">
        <f t="shared" si="39"/>
        <v/>
      </c>
      <c r="AF145" s="13">
        <v>0.21</v>
      </c>
      <c r="AG145" s="11" t="str">
        <f t="shared" si="40"/>
        <v/>
      </c>
      <c r="AH145" s="11" t="str">
        <f t="shared" si="41"/>
        <v/>
      </c>
      <c r="AL145" t="str">
        <f t="shared" si="45"/>
        <v/>
      </c>
      <c r="AN145" s="11" t="str">
        <f t="shared" si="42"/>
        <v/>
      </c>
      <c r="AO145" s="13"/>
      <c r="AP145" s="11" t="str">
        <f t="shared" si="43"/>
        <v/>
      </c>
      <c r="AQ145" s="11" t="str">
        <f t="shared" si="44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7"/>
        <v>#VALUE!</v>
      </c>
      <c r="O146" s="11">
        <f t="shared" si="38"/>
        <v>0</v>
      </c>
      <c r="R146" s="12" t="str">
        <f>IF(Q146="","",VLOOKUP(Q146,Lists!$E:$F,2,FALSE))</f>
        <v/>
      </c>
      <c r="AD146" s="9">
        <v>50</v>
      </c>
      <c r="AE146" s="11" t="str">
        <f t="shared" si="39"/>
        <v/>
      </c>
      <c r="AF146" s="13">
        <v>0.21</v>
      </c>
      <c r="AG146" s="11" t="str">
        <f t="shared" si="40"/>
        <v/>
      </c>
      <c r="AH146" s="11" t="str">
        <f t="shared" si="41"/>
        <v/>
      </c>
      <c r="AL146" t="str">
        <f t="shared" si="45"/>
        <v/>
      </c>
      <c r="AN146" s="11" t="str">
        <f t="shared" si="42"/>
        <v/>
      </c>
      <c r="AO146" s="13"/>
      <c r="AP146" s="11" t="str">
        <f t="shared" si="43"/>
        <v/>
      </c>
      <c r="AQ146" s="11" t="str">
        <f t="shared" si="44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7"/>
        <v>#VALUE!</v>
      </c>
      <c r="O147" s="11">
        <f t="shared" si="38"/>
        <v>0</v>
      </c>
      <c r="R147" s="12" t="str">
        <f>IF(Q147="","",VLOOKUP(Q147,Lists!$E:$F,2,FALSE))</f>
        <v/>
      </c>
      <c r="AD147" s="9">
        <v>50</v>
      </c>
      <c r="AE147" s="11" t="str">
        <f t="shared" si="39"/>
        <v/>
      </c>
      <c r="AF147" s="13">
        <v>0.21</v>
      </c>
      <c r="AG147" s="11" t="str">
        <f t="shared" si="40"/>
        <v/>
      </c>
      <c r="AH147" s="11" t="str">
        <f t="shared" si="41"/>
        <v/>
      </c>
      <c r="AL147" t="str">
        <f t="shared" si="45"/>
        <v/>
      </c>
      <c r="AN147" s="11" t="str">
        <f t="shared" si="42"/>
        <v/>
      </c>
      <c r="AO147" s="13"/>
      <c r="AP147" s="11" t="str">
        <f t="shared" si="43"/>
        <v/>
      </c>
      <c r="AQ147" s="11" t="str">
        <f t="shared" si="44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7"/>
        <v>#VALUE!</v>
      </c>
      <c r="O148" s="11">
        <f t="shared" si="38"/>
        <v>0</v>
      </c>
      <c r="R148" s="12" t="str">
        <f>IF(Q148="","",VLOOKUP(Q148,Lists!$E:$F,2,FALSE))</f>
        <v/>
      </c>
      <c r="AD148" s="9">
        <v>50</v>
      </c>
      <c r="AE148" s="11" t="str">
        <f t="shared" si="39"/>
        <v/>
      </c>
      <c r="AF148" s="13">
        <v>0.21</v>
      </c>
      <c r="AG148" s="11" t="str">
        <f t="shared" si="40"/>
        <v/>
      </c>
      <c r="AH148" s="11" t="str">
        <f t="shared" si="41"/>
        <v/>
      </c>
      <c r="AL148" t="str">
        <f t="shared" si="45"/>
        <v/>
      </c>
      <c r="AN148" s="11" t="str">
        <f t="shared" si="42"/>
        <v/>
      </c>
      <c r="AO148" s="13"/>
      <c r="AP148" s="11" t="str">
        <f t="shared" si="43"/>
        <v/>
      </c>
      <c r="AQ148" s="11" t="str">
        <f t="shared" si="44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7"/>
        <v>#VALUE!</v>
      </c>
      <c r="O149" s="11">
        <f t="shared" si="38"/>
        <v>0</v>
      </c>
      <c r="R149" s="12" t="str">
        <f>IF(Q149="","",VLOOKUP(Q149,Lists!$E:$F,2,FALSE))</f>
        <v/>
      </c>
      <c r="AD149" s="9">
        <v>50</v>
      </c>
      <c r="AE149" s="11" t="str">
        <f t="shared" si="39"/>
        <v/>
      </c>
      <c r="AF149" s="13">
        <v>0.21</v>
      </c>
      <c r="AG149" s="11" t="str">
        <f t="shared" si="40"/>
        <v/>
      </c>
      <c r="AH149" s="11" t="str">
        <f t="shared" si="41"/>
        <v/>
      </c>
      <c r="AL149" t="str">
        <f t="shared" si="45"/>
        <v/>
      </c>
      <c r="AN149" s="11" t="str">
        <f t="shared" si="42"/>
        <v/>
      </c>
      <c r="AO149" s="13"/>
      <c r="AP149" s="11" t="str">
        <f t="shared" si="43"/>
        <v/>
      </c>
      <c r="AQ149" s="11" t="str">
        <f t="shared" si="44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7"/>
        <v>#VALUE!</v>
      </c>
      <c r="O150" s="11">
        <f t="shared" si="38"/>
        <v>0</v>
      </c>
      <c r="R150" s="12" t="str">
        <f>IF(Q150="","",VLOOKUP(Q150,Lists!$E:$F,2,FALSE))</f>
        <v/>
      </c>
      <c r="AD150" s="9">
        <v>50</v>
      </c>
      <c r="AE150" s="11" t="str">
        <f t="shared" si="39"/>
        <v/>
      </c>
      <c r="AF150" s="13">
        <v>0.21</v>
      </c>
      <c r="AG150" s="11" t="str">
        <f t="shared" si="40"/>
        <v/>
      </c>
      <c r="AH150" s="11" t="str">
        <f t="shared" si="41"/>
        <v/>
      </c>
      <c r="AL150" t="str">
        <f t="shared" si="45"/>
        <v/>
      </c>
      <c r="AN150" s="11" t="str">
        <f t="shared" si="42"/>
        <v/>
      </c>
      <c r="AO150" s="13"/>
      <c r="AP150" s="11" t="str">
        <f t="shared" si="43"/>
        <v/>
      </c>
      <c r="AQ150" s="11" t="str">
        <f t="shared" si="44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7"/>
        <v>#VALUE!</v>
      </c>
      <c r="O151" s="11">
        <f t="shared" si="38"/>
        <v>0</v>
      </c>
      <c r="R151" s="12" t="str">
        <f>IF(Q151="","",VLOOKUP(Q151,Lists!$E:$F,2,FALSE))</f>
        <v/>
      </c>
      <c r="AD151" s="9">
        <v>50</v>
      </c>
      <c r="AE151" s="11" t="str">
        <f t="shared" si="39"/>
        <v/>
      </c>
      <c r="AF151" s="13">
        <v>0.21</v>
      </c>
      <c r="AG151" s="11" t="str">
        <f t="shared" si="40"/>
        <v/>
      </c>
      <c r="AH151" s="11" t="str">
        <f t="shared" si="41"/>
        <v/>
      </c>
      <c r="AL151" t="str">
        <f t="shared" si="45"/>
        <v/>
      </c>
      <c r="AN151" s="11" t="str">
        <f t="shared" si="42"/>
        <v/>
      </c>
      <c r="AO151" s="13"/>
      <c r="AP151" s="11" t="str">
        <f t="shared" si="43"/>
        <v/>
      </c>
      <c r="AQ151" s="11" t="str">
        <f t="shared" si="44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ref="N152:N183" si="46">L152 * (1 + M152)</f>
        <v>#VALUE!</v>
      </c>
      <c r="O152" s="11">
        <f t="shared" ref="O152:O183" si="47">IF(K152="Eigen Beheer",0,IF(AND(ISNUMBER(N152),I152&lt;&gt;"",H152&lt;&gt;""),YEARFRAC(H152,I152,4)*12*N152,0))</f>
        <v>0</v>
      </c>
      <c r="R152" s="12" t="str">
        <f>IF(Q152="","",VLOOKUP(Q152,Lists!$E:$F,2,FALSE))</f>
        <v/>
      </c>
      <c r="AD152" s="9">
        <v>50</v>
      </c>
      <c r="AE152" s="11" t="str">
        <f t="shared" ref="AE152:AE183" si="48">IF(AB152="","",IF(ISNUMBER(SEARCH("Basis",AB152)),(250/1.21)+MAX(0,AC152-5)*AD152,IF(ISNUMBER(SEARCH("Intensief",AB152)),(375/1.21)+MAX(0,AC152-7)*AD152,AC152*AD152)))</f>
        <v/>
      </c>
      <c r="AF152" s="13">
        <v>0.21</v>
      </c>
      <c r="AG152" s="11" t="str">
        <f t="shared" ref="AG152:AG183" si="49">IF(AE152&lt;&gt;"",AE152*AF152,"")</f>
        <v/>
      </c>
      <c r="AH152" s="11" t="str">
        <f t="shared" ref="AH152:AH183" si="50">IF(AE152&lt;&gt;"",AE152+AG152,"")</f>
        <v/>
      </c>
      <c r="AL152" t="str">
        <f t="shared" si="45"/>
        <v/>
      </c>
      <c r="AN152" s="11" t="str">
        <f t="shared" ref="AN152:AN183" si="51">IF(AND(AL152&lt;&gt;"",AM152&lt;&gt;""),AL152*AM152,"")</f>
        <v/>
      </c>
      <c r="AO152" s="13"/>
      <c r="AP152" s="11" t="str">
        <f t="shared" ref="AP152:AP183" si="52">IF(AND(AN152&lt;&gt;"",AO152&lt;&gt;""),AN152*AO152,"")</f>
        <v/>
      </c>
      <c r="AQ152" s="11" t="str">
        <f t="shared" ref="AQ152:AQ183" si="53">IF(AND(AN152&lt;&gt;"",AP152&lt;&gt;""),AN152+AP152,"")</f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46"/>
        <v>#VALUE!</v>
      </c>
      <c r="O153" s="11">
        <f t="shared" si="47"/>
        <v>0</v>
      </c>
      <c r="R153" s="12" t="str">
        <f>IF(Q153="","",VLOOKUP(Q153,Lists!$E:$F,2,FALSE))</f>
        <v/>
      </c>
      <c r="AD153" s="9">
        <v>50</v>
      </c>
      <c r="AE153" s="11" t="str">
        <f t="shared" si="48"/>
        <v/>
      </c>
      <c r="AF153" s="13">
        <v>0.21</v>
      </c>
      <c r="AG153" s="11" t="str">
        <f t="shared" si="49"/>
        <v/>
      </c>
      <c r="AH153" s="11" t="str">
        <f t="shared" si="50"/>
        <v/>
      </c>
      <c r="AL153" t="str">
        <f t="shared" si="45"/>
        <v/>
      </c>
      <c r="AN153" s="11" t="str">
        <f t="shared" si="51"/>
        <v/>
      </c>
      <c r="AO153" s="13"/>
      <c r="AP153" s="11" t="str">
        <f t="shared" si="52"/>
        <v/>
      </c>
      <c r="AQ153" s="11" t="str">
        <f t="shared" si="53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46"/>
        <v>#VALUE!</v>
      </c>
      <c r="O154" s="11">
        <f t="shared" si="47"/>
        <v>0</v>
      </c>
      <c r="R154" s="12" t="str">
        <f>IF(Q154="","",VLOOKUP(Q154,Lists!$E:$F,2,FALSE))</f>
        <v/>
      </c>
      <c r="AD154" s="9">
        <v>50</v>
      </c>
      <c r="AE154" s="11" t="str">
        <f t="shared" si="48"/>
        <v/>
      </c>
      <c r="AF154" s="13">
        <v>0.21</v>
      </c>
      <c r="AG154" s="11" t="str">
        <f t="shared" si="49"/>
        <v/>
      </c>
      <c r="AH154" s="11" t="str">
        <f t="shared" si="50"/>
        <v/>
      </c>
      <c r="AL154" t="str">
        <f t="shared" si="45"/>
        <v/>
      </c>
      <c r="AN154" s="11" t="str">
        <f t="shared" si="51"/>
        <v/>
      </c>
      <c r="AO154" s="13"/>
      <c r="AP154" s="11" t="str">
        <f t="shared" si="52"/>
        <v/>
      </c>
      <c r="AQ154" s="11" t="str">
        <f t="shared" si="53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46"/>
        <v>#VALUE!</v>
      </c>
      <c r="O155" s="11">
        <f t="shared" si="47"/>
        <v>0</v>
      </c>
      <c r="R155" s="12" t="str">
        <f>IF(Q155="","",VLOOKUP(Q155,Lists!$E:$F,2,FALSE))</f>
        <v/>
      </c>
      <c r="AD155" s="9">
        <v>50</v>
      </c>
      <c r="AE155" s="11" t="str">
        <f t="shared" si="48"/>
        <v/>
      </c>
      <c r="AF155" s="13">
        <v>0.21</v>
      </c>
      <c r="AG155" s="11" t="str">
        <f t="shared" si="49"/>
        <v/>
      </c>
      <c r="AH155" s="11" t="str">
        <f t="shared" si="50"/>
        <v/>
      </c>
      <c r="AL155" t="str">
        <f t="shared" si="45"/>
        <v/>
      </c>
      <c r="AN155" s="11" t="str">
        <f t="shared" si="51"/>
        <v/>
      </c>
      <c r="AO155" s="13"/>
      <c r="AP155" s="11" t="str">
        <f t="shared" si="52"/>
        <v/>
      </c>
      <c r="AQ155" s="11" t="str">
        <f t="shared" si="53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46"/>
        <v>#VALUE!</v>
      </c>
      <c r="O156" s="11">
        <f t="shared" si="47"/>
        <v>0</v>
      </c>
      <c r="R156" s="12" t="str">
        <f>IF(Q156="","",VLOOKUP(Q156,Lists!$E:$F,2,FALSE))</f>
        <v/>
      </c>
      <c r="AD156" s="9">
        <v>50</v>
      </c>
      <c r="AE156" s="11" t="str">
        <f t="shared" si="48"/>
        <v/>
      </c>
      <c r="AF156" s="13">
        <v>0.21</v>
      </c>
      <c r="AG156" s="11" t="str">
        <f t="shared" si="49"/>
        <v/>
      </c>
      <c r="AH156" s="11" t="str">
        <f t="shared" si="50"/>
        <v/>
      </c>
      <c r="AL156" t="str">
        <f t="shared" si="45"/>
        <v/>
      </c>
      <c r="AN156" s="11" t="str">
        <f t="shared" si="51"/>
        <v/>
      </c>
      <c r="AO156" s="13"/>
      <c r="AP156" s="11" t="str">
        <f t="shared" si="52"/>
        <v/>
      </c>
      <c r="AQ156" s="11" t="str">
        <f t="shared" si="53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46"/>
        <v>#VALUE!</v>
      </c>
      <c r="O157" s="11">
        <f t="shared" si="47"/>
        <v>0</v>
      </c>
      <c r="R157" s="12" t="str">
        <f>IF(Q157="","",VLOOKUP(Q157,Lists!$E:$F,2,FALSE))</f>
        <v/>
      </c>
      <c r="AD157" s="9">
        <v>50</v>
      </c>
      <c r="AE157" s="11" t="str">
        <f t="shared" si="48"/>
        <v/>
      </c>
      <c r="AF157" s="13">
        <v>0.21</v>
      </c>
      <c r="AG157" s="11" t="str">
        <f t="shared" si="49"/>
        <v/>
      </c>
      <c r="AH157" s="11" t="str">
        <f t="shared" si="50"/>
        <v/>
      </c>
      <c r="AL157" t="str">
        <f t="shared" si="45"/>
        <v/>
      </c>
      <c r="AN157" s="11" t="str">
        <f t="shared" si="51"/>
        <v/>
      </c>
      <c r="AO157" s="13"/>
      <c r="AP157" s="11" t="str">
        <f t="shared" si="52"/>
        <v/>
      </c>
      <c r="AQ157" s="11" t="str">
        <f t="shared" si="53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46"/>
        <v>#VALUE!</v>
      </c>
      <c r="O158" s="11">
        <f t="shared" si="47"/>
        <v>0</v>
      </c>
      <c r="R158" s="12" t="str">
        <f>IF(Q158="","",VLOOKUP(Q158,Lists!$E:$F,2,FALSE))</f>
        <v/>
      </c>
      <c r="AD158" s="9">
        <v>50</v>
      </c>
      <c r="AE158" s="11" t="str">
        <f t="shared" si="48"/>
        <v/>
      </c>
      <c r="AF158" s="13">
        <v>0.21</v>
      </c>
      <c r="AG158" s="11" t="str">
        <f t="shared" si="49"/>
        <v/>
      </c>
      <c r="AH158" s="11" t="str">
        <f t="shared" si="50"/>
        <v/>
      </c>
      <c r="AL158" t="str">
        <f t="shared" si="45"/>
        <v/>
      </c>
      <c r="AN158" s="11" t="str">
        <f t="shared" si="51"/>
        <v/>
      </c>
      <c r="AO158" s="13"/>
      <c r="AP158" s="11" t="str">
        <f t="shared" si="52"/>
        <v/>
      </c>
      <c r="AQ158" s="11" t="str">
        <f t="shared" si="53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46"/>
        <v>#VALUE!</v>
      </c>
      <c r="O159" s="11">
        <f t="shared" si="47"/>
        <v>0</v>
      </c>
      <c r="R159" s="12" t="str">
        <f>IF(Q159="","",VLOOKUP(Q159,Lists!$E:$F,2,FALSE))</f>
        <v/>
      </c>
      <c r="AD159" s="9">
        <v>50</v>
      </c>
      <c r="AE159" s="11" t="str">
        <f t="shared" si="48"/>
        <v/>
      </c>
      <c r="AF159" s="13">
        <v>0.21</v>
      </c>
      <c r="AG159" s="11" t="str">
        <f t="shared" si="49"/>
        <v/>
      </c>
      <c r="AH159" s="11" t="str">
        <f t="shared" si="50"/>
        <v/>
      </c>
      <c r="AL159" t="str">
        <f t="shared" si="45"/>
        <v/>
      </c>
      <c r="AN159" s="11" t="str">
        <f t="shared" si="51"/>
        <v/>
      </c>
      <c r="AO159" s="13"/>
      <c r="AP159" s="11" t="str">
        <f t="shared" si="52"/>
        <v/>
      </c>
      <c r="AQ159" s="11" t="str">
        <f t="shared" si="53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46"/>
        <v>#VALUE!</v>
      </c>
      <c r="O160" s="11">
        <f t="shared" si="47"/>
        <v>0</v>
      </c>
      <c r="R160" s="12" t="str">
        <f>IF(Q160="","",VLOOKUP(Q160,Lists!$E:$F,2,FALSE))</f>
        <v/>
      </c>
      <c r="AD160" s="9">
        <v>50</v>
      </c>
      <c r="AE160" s="11" t="str">
        <f t="shared" si="48"/>
        <v/>
      </c>
      <c r="AF160" s="13">
        <v>0.21</v>
      </c>
      <c r="AG160" s="11" t="str">
        <f t="shared" si="49"/>
        <v/>
      </c>
      <c r="AH160" s="11" t="str">
        <f t="shared" si="50"/>
        <v/>
      </c>
      <c r="AL160" t="str">
        <f t="shared" si="45"/>
        <v/>
      </c>
      <c r="AN160" s="11" t="str">
        <f t="shared" si="51"/>
        <v/>
      </c>
      <c r="AO160" s="13"/>
      <c r="AP160" s="11" t="str">
        <f t="shared" si="52"/>
        <v/>
      </c>
      <c r="AQ160" s="11" t="str">
        <f t="shared" si="53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46"/>
        <v>#VALUE!</v>
      </c>
      <c r="O161" s="11">
        <f t="shared" si="47"/>
        <v>0</v>
      </c>
      <c r="R161" s="12" t="str">
        <f>IF(Q161="","",VLOOKUP(Q161,Lists!$E:$F,2,FALSE))</f>
        <v/>
      </c>
      <c r="AD161" s="9">
        <v>50</v>
      </c>
      <c r="AE161" s="11" t="str">
        <f t="shared" si="48"/>
        <v/>
      </c>
      <c r="AF161" s="13">
        <v>0.21</v>
      </c>
      <c r="AG161" s="11" t="str">
        <f t="shared" si="49"/>
        <v/>
      </c>
      <c r="AH161" s="11" t="str">
        <f t="shared" si="50"/>
        <v/>
      </c>
      <c r="AL161" t="str">
        <f t="shared" si="45"/>
        <v/>
      </c>
      <c r="AN161" s="11" t="str">
        <f t="shared" si="51"/>
        <v/>
      </c>
      <c r="AO161" s="13"/>
      <c r="AP161" s="11" t="str">
        <f t="shared" si="52"/>
        <v/>
      </c>
      <c r="AQ161" s="11" t="str">
        <f t="shared" si="53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si="46"/>
        <v>#VALUE!</v>
      </c>
      <c r="O162" s="11">
        <f t="shared" si="47"/>
        <v>0</v>
      </c>
      <c r="R162" s="12" t="str">
        <f>IF(Q162="","",VLOOKUP(Q162,Lists!$E:$F,2,FALSE))</f>
        <v/>
      </c>
      <c r="AD162" s="9">
        <v>50</v>
      </c>
      <c r="AE162" s="11" t="str">
        <f t="shared" si="48"/>
        <v/>
      </c>
      <c r="AF162" s="13">
        <v>0.21</v>
      </c>
      <c r="AG162" s="11" t="str">
        <f t="shared" si="49"/>
        <v/>
      </c>
      <c r="AH162" s="11" t="str">
        <f t="shared" si="50"/>
        <v/>
      </c>
      <c r="AL162" t="str">
        <f t="shared" si="45"/>
        <v/>
      </c>
      <c r="AN162" s="11" t="str">
        <f t="shared" si="51"/>
        <v/>
      </c>
      <c r="AO162" s="13"/>
      <c r="AP162" s="11" t="str">
        <f t="shared" si="52"/>
        <v/>
      </c>
      <c r="AQ162" s="11" t="str">
        <f t="shared" si="53"/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6"/>
        <v>#VALUE!</v>
      </c>
      <c r="O163" s="11">
        <f t="shared" si="47"/>
        <v>0</v>
      </c>
      <c r="R163" s="12" t="str">
        <f>IF(Q163="","",VLOOKUP(Q163,Lists!$E:$F,2,FALSE))</f>
        <v/>
      </c>
      <c r="AD163" s="9">
        <v>50</v>
      </c>
      <c r="AE163" s="11" t="str">
        <f t="shared" si="48"/>
        <v/>
      </c>
      <c r="AF163" s="13">
        <v>0.21</v>
      </c>
      <c r="AG163" s="11" t="str">
        <f t="shared" si="49"/>
        <v/>
      </c>
      <c r="AH163" s="11" t="str">
        <f t="shared" si="50"/>
        <v/>
      </c>
      <c r="AL163" t="str">
        <f t="shared" si="45"/>
        <v/>
      </c>
      <c r="AN163" s="11" t="str">
        <f t="shared" si="51"/>
        <v/>
      </c>
      <c r="AO163" s="13"/>
      <c r="AP163" s="11" t="str">
        <f t="shared" si="52"/>
        <v/>
      </c>
      <c r="AQ163" s="11" t="str">
        <f t="shared" si="53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6"/>
        <v>#VALUE!</v>
      </c>
      <c r="O164" s="11">
        <f t="shared" si="47"/>
        <v>0</v>
      </c>
      <c r="R164" s="12" t="str">
        <f>IF(Q164="","",VLOOKUP(Q164,Lists!$E:$F,2,FALSE))</f>
        <v/>
      </c>
      <c r="AD164" s="9">
        <v>50</v>
      </c>
      <c r="AE164" s="11" t="str">
        <f t="shared" si="48"/>
        <v/>
      </c>
      <c r="AF164" s="13">
        <v>0.21</v>
      </c>
      <c r="AG164" s="11" t="str">
        <f t="shared" si="49"/>
        <v/>
      </c>
      <c r="AH164" s="11" t="str">
        <f t="shared" si="50"/>
        <v/>
      </c>
      <c r="AL164" t="str">
        <f t="shared" ref="AL164:AL191" si="54"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 t="str">
        <f t="shared" si="51"/>
        <v/>
      </c>
      <c r="AO164" s="13"/>
      <c r="AP164" s="11" t="str">
        <f t="shared" si="52"/>
        <v/>
      </c>
      <c r="AQ164" s="11" t="str">
        <f t="shared" si="53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6"/>
        <v>#VALUE!</v>
      </c>
      <c r="O165" s="11">
        <f t="shared" si="47"/>
        <v>0</v>
      </c>
      <c r="R165" s="12" t="str">
        <f>IF(Q165="","",VLOOKUP(Q165,Lists!$E:$F,2,FALSE))</f>
        <v/>
      </c>
      <c r="AD165" s="9">
        <v>50</v>
      </c>
      <c r="AE165" s="11" t="str">
        <f t="shared" si="48"/>
        <v/>
      </c>
      <c r="AF165" s="13">
        <v>0.21</v>
      </c>
      <c r="AG165" s="11" t="str">
        <f t="shared" si="49"/>
        <v/>
      </c>
      <c r="AH165" s="11" t="str">
        <f t="shared" si="50"/>
        <v/>
      </c>
      <c r="AL165" t="str">
        <f t="shared" si="54"/>
        <v/>
      </c>
      <c r="AN165" s="11" t="str">
        <f t="shared" si="51"/>
        <v/>
      </c>
      <c r="AO165" s="13"/>
      <c r="AP165" s="11" t="str">
        <f t="shared" si="52"/>
        <v/>
      </c>
      <c r="AQ165" s="11" t="str">
        <f t="shared" si="53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6"/>
        <v>#VALUE!</v>
      </c>
      <c r="O166" s="11">
        <f t="shared" si="47"/>
        <v>0</v>
      </c>
      <c r="R166" s="12" t="str">
        <f>IF(Q166="","",VLOOKUP(Q166,Lists!$E:$F,2,FALSE))</f>
        <v/>
      </c>
      <c r="AD166" s="9">
        <v>50</v>
      </c>
      <c r="AE166" s="11" t="str">
        <f t="shared" si="48"/>
        <v/>
      </c>
      <c r="AF166" s="13">
        <v>0.21</v>
      </c>
      <c r="AG166" s="11" t="str">
        <f t="shared" si="49"/>
        <v/>
      </c>
      <c r="AH166" s="11" t="str">
        <f t="shared" si="50"/>
        <v/>
      </c>
      <c r="AL166" t="str">
        <f t="shared" si="54"/>
        <v/>
      </c>
      <c r="AN166" s="11" t="str">
        <f t="shared" si="51"/>
        <v/>
      </c>
      <c r="AO166" s="13"/>
      <c r="AP166" s="11" t="str">
        <f t="shared" si="52"/>
        <v/>
      </c>
      <c r="AQ166" s="11" t="str">
        <f t="shared" si="53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6"/>
        <v>#VALUE!</v>
      </c>
      <c r="O167" s="11">
        <f t="shared" si="47"/>
        <v>0</v>
      </c>
      <c r="R167" s="12" t="str">
        <f>IF(Q167="","",VLOOKUP(Q167,Lists!$E:$F,2,FALSE))</f>
        <v/>
      </c>
      <c r="AD167" s="9">
        <v>50</v>
      </c>
      <c r="AE167" s="11" t="str">
        <f t="shared" si="48"/>
        <v/>
      </c>
      <c r="AF167" s="13">
        <v>0.21</v>
      </c>
      <c r="AG167" s="11" t="str">
        <f t="shared" si="49"/>
        <v/>
      </c>
      <c r="AH167" s="11" t="str">
        <f t="shared" si="50"/>
        <v/>
      </c>
      <c r="AL167" t="str">
        <f t="shared" si="54"/>
        <v/>
      </c>
      <c r="AN167" s="11" t="str">
        <f t="shared" si="51"/>
        <v/>
      </c>
      <c r="AO167" s="13"/>
      <c r="AP167" s="11" t="str">
        <f t="shared" si="52"/>
        <v/>
      </c>
      <c r="AQ167" s="11" t="str">
        <f t="shared" si="53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6"/>
        <v>#VALUE!</v>
      </c>
      <c r="O168" s="11">
        <f t="shared" si="47"/>
        <v>0</v>
      </c>
      <c r="R168" s="12" t="str">
        <f>IF(Q168="","",VLOOKUP(Q168,Lists!$E:$F,2,FALSE))</f>
        <v/>
      </c>
      <c r="AD168" s="9">
        <v>50</v>
      </c>
      <c r="AE168" s="11" t="str">
        <f t="shared" si="48"/>
        <v/>
      </c>
      <c r="AF168" s="13">
        <v>0.21</v>
      </c>
      <c r="AG168" s="11" t="str">
        <f t="shared" si="49"/>
        <v/>
      </c>
      <c r="AH168" s="11" t="str">
        <f t="shared" si="50"/>
        <v/>
      </c>
      <c r="AL168" t="str">
        <f t="shared" si="54"/>
        <v/>
      </c>
      <c r="AN168" s="11" t="str">
        <f t="shared" si="51"/>
        <v/>
      </c>
      <c r="AO168" s="13"/>
      <c r="AP168" s="11" t="str">
        <f t="shared" si="52"/>
        <v/>
      </c>
      <c r="AQ168" s="11" t="str">
        <f t="shared" si="53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6"/>
        <v>#VALUE!</v>
      </c>
      <c r="O169" s="11">
        <f t="shared" si="47"/>
        <v>0</v>
      </c>
      <c r="R169" s="12" t="str">
        <f>IF(Q169="","",VLOOKUP(Q169,Lists!$E:$F,2,FALSE))</f>
        <v/>
      </c>
      <c r="AD169" s="9">
        <v>50</v>
      </c>
      <c r="AE169" s="11" t="str">
        <f t="shared" si="48"/>
        <v/>
      </c>
      <c r="AF169" s="13">
        <v>0.21</v>
      </c>
      <c r="AG169" s="11" t="str">
        <f t="shared" si="49"/>
        <v/>
      </c>
      <c r="AH169" s="11" t="str">
        <f t="shared" si="50"/>
        <v/>
      </c>
      <c r="AL169" t="str">
        <f t="shared" si="54"/>
        <v/>
      </c>
      <c r="AN169" s="11" t="str">
        <f t="shared" si="51"/>
        <v/>
      </c>
      <c r="AO169" s="13"/>
      <c r="AP169" s="11" t="str">
        <f t="shared" si="52"/>
        <v/>
      </c>
      <c r="AQ169" s="11" t="str">
        <f t="shared" si="53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6"/>
        <v>#VALUE!</v>
      </c>
      <c r="O170" s="11">
        <f t="shared" si="47"/>
        <v>0</v>
      </c>
      <c r="R170" s="12" t="str">
        <f>IF(Q170="","",VLOOKUP(Q170,Lists!$E:$F,2,FALSE))</f>
        <v/>
      </c>
      <c r="AD170" s="9">
        <v>50</v>
      </c>
      <c r="AE170" s="11" t="str">
        <f t="shared" si="48"/>
        <v/>
      </c>
      <c r="AF170" s="13">
        <v>0.21</v>
      </c>
      <c r="AG170" s="11" t="str">
        <f t="shared" si="49"/>
        <v/>
      </c>
      <c r="AH170" s="11" t="str">
        <f t="shared" si="50"/>
        <v/>
      </c>
      <c r="AL170" t="str">
        <f t="shared" si="54"/>
        <v/>
      </c>
      <c r="AN170" s="11" t="str">
        <f t="shared" si="51"/>
        <v/>
      </c>
      <c r="AO170" s="13"/>
      <c r="AP170" s="11" t="str">
        <f t="shared" si="52"/>
        <v/>
      </c>
      <c r="AQ170" s="11" t="str">
        <f t="shared" si="53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6"/>
        <v>#VALUE!</v>
      </c>
      <c r="O171" s="11">
        <f t="shared" si="47"/>
        <v>0</v>
      </c>
      <c r="R171" s="12" t="str">
        <f>IF(Q171="","",VLOOKUP(Q171,Lists!$E:$F,2,FALSE))</f>
        <v/>
      </c>
      <c r="AD171" s="9">
        <v>50</v>
      </c>
      <c r="AE171" s="11" t="str">
        <f t="shared" si="48"/>
        <v/>
      </c>
      <c r="AF171" s="13">
        <v>0.21</v>
      </c>
      <c r="AG171" s="11" t="str">
        <f t="shared" si="49"/>
        <v/>
      </c>
      <c r="AH171" s="11" t="str">
        <f t="shared" si="50"/>
        <v/>
      </c>
      <c r="AL171" t="str">
        <f t="shared" si="54"/>
        <v/>
      </c>
      <c r="AN171" s="11" t="str">
        <f t="shared" si="51"/>
        <v/>
      </c>
      <c r="AO171" s="13"/>
      <c r="AP171" s="11" t="str">
        <f t="shared" si="52"/>
        <v/>
      </c>
      <c r="AQ171" s="11" t="str">
        <f t="shared" si="53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6"/>
        <v>#VALUE!</v>
      </c>
      <c r="O172" s="11">
        <f t="shared" si="47"/>
        <v>0</v>
      </c>
      <c r="R172" s="12" t="str">
        <f>IF(Q172="","",VLOOKUP(Q172,Lists!$E:$F,2,FALSE))</f>
        <v/>
      </c>
      <c r="AD172" s="9">
        <v>50</v>
      </c>
      <c r="AE172" s="11" t="str">
        <f t="shared" si="48"/>
        <v/>
      </c>
      <c r="AF172" s="13">
        <v>0.21</v>
      </c>
      <c r="AG172" s="11" t="str">
        <f t="shared" si="49"/>
        <v/>
      </c>
      <c r="AH172" s="11" t="str">
        <f t="shared" si="50"/>
        <v/>
      </c>
      <c r="AL172" t="str">
        <f t="shared" si="54"/>
        <v/>
      </c>
      <c r="AN172" s="11" t="str">
        <f t="shared" si="51"/>
        <v/>
      </c>
      <c r="AO172" s="13"/>
      <c r="AP172" s="11" t="str">
        <f t="shared" si="52"/>
        <v/>
      </c>
      <c r="AQ172" s="11" t="str">
        <f t="shared" si="53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6"/>
        <v>#VALUE!</v>
      </c>
      <c r="O173" s="11">
        <f t="shared" si="47"/>
        <v>0</v>
      </c>
      <c r="R173" s="12" t="str">
        <f>IF(Q173="","",VLOOKUP(Q173,Lists!$E:$F,2,FALSE))</f>
        <v/>
      </c>
      <c r="AD173" s="9">
        <v>50</v>
      </c>
      <c r="AE173" s="11" t="str">
        <f t="shared" si="48"/>
        <v/>
      </c>
      <c r="AF173" s="13">
        <v>0.21</v>
      </c>
      <c r="AG173" s="11" t="str">
        <f t="shared" si="49"/>
        <v/>
      </c>
      <c r="AH173" s="11" t="str">
        <f t="shared" si="50"/>
        <v/>
      </c>
      <c r="AL173" t="str">
        <f t="shared" si="54"/>
        <v/>
      </c>
      <c r="AN173" s="11" t="str">
        <f t="shared" si="51"/>
        <v/>
      </c>
      <c r="AO173" s="13"/>
      <c r="AP173" s="11" t="str">
        <f t="shared" si="52"/>
        <v/>
      </c>
      <c r="AQ173" s="11" t="str">
        <f t="shared" si="53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6"/>
        <v>#VALUE!</v>
      </c>
      <c r="O174" s="11">
        <f t="shared" si="47"/>
        <v>0</v>
      </c>
      <c r="R174" s="12" t="str">
        <f>IF(Q174="","",VLOOKUP(Q174,Lists!$E:$F,2,FALSE))</f>
        <v/>
      </c>
      <c r="AD174" s="9">
        <v>50</v>
      </c>
      <c r="AE174" s="11" t="str">
        <f t="shared" si="48"/>
        <v/>
      </c>
      <c r="AF174" s="13">
        <v>0.21</v>
      </c>
      <c r="AG174" s="11" t="str">
        <f t="shared" si="49"/>
        <v/>
      </c>
      <c r="AH174" s="11" t="str">
        <f t="shared" si="50"/>
        <v/>
      </c>
      <c r="AL174" t="str">
        <f t="shared" si="54"/>
        <v/>
      </c>
      <c r="AN174" s="11" t="str">
        <f t="shared" si="51"/>
        <v/>
      </c>
      <c r="AO174" s="13"/>
      <c r="AP174" s="11" t="str">
        <f t="shared" si="52"/>
        <v/>
      </c>
      <c r="AQ174" s="11" t="str">
        <f t="shared" si="53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6"/>
        <v>#VALUE!</v>
      </c>
      <c r="O175" s="11">
        <f t="shared" si="47"/>
        <v>0</v>
      </c>
      <c r="R175" s="12" t="str">
        <f>IF(Q175="","",VLOOKUP(Q175,Lists!$E:$F,2,FALSE))</f>
        <v/>
      </c>
      <c r="AD175" s="9">
        <v>50</v>
      </c>
      <c r="AE175" s="11" t="str">
        <f t="shared" si="48"/>
        <v/>
      </c>
      <c r="AF175" s="13">
        <v>0.21</v>
      </c>
      <c r="AG175" s="11" t="str">
        <f t="shared" si="49"/>
        <v/>
      </c>
      <c r="AH175" s="11" t="str">
        <f t="shared" si="50"/>
        <v/>
      </c>
      <c r="AL175" t="str">
        <f t="shared" si="54"/>
        <v/>
      </c>
      <c r="AN175" s="11" t="str">
        <f t="shared" si="51"/>
        <v/>
      </c>
      <c r="AO175" s="13"/>
      <c r="AP175" s="11" t="str">
        <f t="shared" si="52"/>
        <v/>
      </c>
      <c r="AQ175" s="11" t="str">
        <f t="shared" si="53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6"/>
        <v>#VALUE!</v>
      </c>
      <c r="O176" s="11">
        <f t="shared" si="47"/>
        <v>0</v>
      </c>
      <c r="R176" s="12" t="str">
        <f>IF(Q176="","",VLOOKUP(Q176,Lists!$E:$F,2,FALSE))</f>
        <v/>
      </c>
      <c r="AD176" s="9">
        <v>50</v>
      </c>
      <c r="AE176" s="11" t="str">
        <f t="shared" si="48"/>
        <v/>
      </c>
      <c r="AF176" s="13">
        <v>0.21</v>
      </c>
      <c r="AG176" s="11" t="str">
        <f t="shared" si="49"/>
        <v/>
      </c>
      <c r="AH176" s="11" t="str">
        <f t="shared" si="50"/>
        <v/>
      </c>
      <c r="AL176" t="str">
        <f t="shared" si="54"/>
        <v/>
      </c>
      <c r="AN176" s="11" t="str">
        <f t="shared" si="51"/>
        <v/>
      </c>
      <c r="AO176" s="13"/>
      <c r="AP176" s="11" t="str">
        <f t="shared" si="52"/>
        <v/>
      </c>
      <c r="AQ176" s="11" t="str">
        <f t="shared" si="53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6"/>
        <v>#VALUE!</v>
      </c>
      <c r="O177" s="11">
        <f t="shared" si="47"/>
        <v>0</v>
      </c>
      <c r="R177" s="12" t="str">
        <f>IF(Q177="","",VLOOKUP(Q177,Lists!$E:$F,2,FALSE))</f>
        <v/>
      </c>
      <c r="AD177" s="9">
        <v>50</v>
      </c>
      <c r="AE177" s="11" t="str">
        <f t="shared" si="48"/>
        <v/>
      </c>
      <c r="AF177" s="13">
        <v>0.21</v>
      </c>
      <c r="AG177" s="11" t="str">
        <f t="shared" si="49"/>
        <v/>
      </c>
      <c r="AH177" s="11" t="str">
        <f t="shared" si="50"/>
        <v/>
      </c>
      <c r="AL177" t="str">
        <f t="shared" si="54"/>
        <v/>
      </c>
      <c r="AN177" s="11" t="str">
        <f t="shared" si="51"/>
        <v/>
      </c>
      <c r="AO177" s="13"/>
      <c r="AP177" s="11" t="str">
        <f t="shared" si="52"/>
        <v/>
      </c>
      <c r="AQ177" s="11" t="str">
        <f t="shared" si="53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6"/>
        <v>#VALUE!</v>
      </c>
      <c r="O178" s="11">
        <f t="shared" si="47"/>
        <v>0</v>
      </c>
      <c r="R178" s="12" t="str">
        <f>IF(Q178="","",VLOOKUP(Q178,Lists!$E:$F,2,FALSE))</f>
        <v/>
      </c>
      <c r="AD178" s="9">
        <v>50</v>
      </c>
      <c r="AE178" s="11" t="str">
        <f t="shared" si="48"/>
        <v/>
      </c>
      <c r="AF178" s="13">
        <v>0.21</v>
      </c>
      <c r="AG178" s="11" t="str">
        <f t="shared" si="49"/>
        <v/>
      </c>
      <c r="AH178" s="11" t="str">
        <f t="shared" si="50"/>
        <v/>
      </c>
      <c r="AL178" t="str">
        <f t="shared" si="54"/>
        <v/>
      </c>
      <c r="AN178" s="11" t="str">
        <f t="shared" si="51"/>
        <v/>
      </c>
      <c r="AO178" s="13"/>
      <c r="AP178" s="11" t="str">
        <f t="shared" si="52"/>
        <v/>
      </c>
      <c r="AQ178" s="11" t="str">
        <f t="shared" si="53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6"/>
        <v>#VALUE!</v>
      </c>
      <c r="O179" s="11">
        <f t="shared" si="47"/>
        <v>0</v>
      </c>
      <c r="R179" s="12" t="str">
        <f>IF(Q179="","",VLOOKUP(Q179,Lists!$E:$F,2,FALSE))</f>
        <v/>
      </c>
      <c r="AD179" s="9">
        <v>50</v>
      </c>
      <c r="AE179" s="11" t="str">
        <f t="shared" si="48"/>
        <v/>
      </c>
      <c r="AF179" s="13">
        <v>0.21</v>
      </c>
      <c r="AG179" s="11" t="str">
        <f t="shared" si="49"/>
        <v/>
      </c>
      <c r="AH179" s="11" t="str">
        <f t="shared" si="50"/>
        <v/>
      </c>
      <c r="AL179" t="str">
        <f t="shared" si="54"/>
        <v/>
      </c>
      <c r="AN179" s="11" t="str">
        <f t="shared" si="51"/>
        <v/>
      </c>
      <c r="AO179" s="13"/>
      <c r="AP179" s="11" t="str">
        <f t="shared" si="52"/>
        <v/>
      </c>
      <c r="AQ179" s="11" t="str">
        <f t="shared" si="53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6"/>
        <v>#VALUE!</v>
      </c>
      <c r="O180" s="11">
        <f t="shared" si="47"/>
        <v>0</v>
      </c>
      <c r="R180" s="12" t="str">
        <f>IF(Q180="","",VLOOKUP(Q180,Lists!$E:$F,2,FALSE))</f>
        <v/>
      </c>
      <c r="AD180" s="9">
        <v>50</v>
      </c>
      <c r="AE180" s="11" t="str">
        <f t="shared" si="48"/>
        <v/>
      </c>
      <c r="AF180" s="13">
        <v>0.21</v>
      </c>
      <c r="AG180" s="11" t="str">
        <f t="shared" si="49"/>
        <v/>
      </c>
      <c r="AH180" s="11" t="str">
        <f t="shared" si="50"/>
        <v/>
      </c>
      <c r="AL180" t="str">
        <f t="shared" si="54"/>
        <v/>
      </c>
      <c r="AN180" s="11" t="str">
        <f t="shared" si="51"/>
        <v/>
      </c>
      <c r="AO180" s="13"/>
      <c r="AP180" s="11" t="str">
        <f t="shared" si="52"/>
        <v/>
      </c>
      <c r="AQ180" s="11" t="str">
        <f t="shared" si="53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6"/>
        <v>#VALUE!</v>
      </c>
      <c r="O181" s="11">
        <f t="shared" si="47"/>
        <v>0</v>
      </c>
      <c r="R181" s="12" t="str">
        <f>IF(Q181="","",VLOOKUP(Q181,Lists!$E:$F,2,FALSE))</f>
        <v/>
      </c>
      <c r="AD181" s="9">
        <v>50</v>
      </c>
      <c r="AE181" s="11" t="str">
        <f t="shared" si="48"/>
        <v/>
      </c>
      <c r="AF181" s="13">
        <v>0.21</v>
      </c>
      <c r="AG181" s="11" t="str">
        <f t="shared" si="49"/>
        <v/>
      </c>
      <c r="AH181" s="11" t="str">
        <f t="shared" si="50"/>
        <v/>
      </c>
      <c r="AL181" t="str">
        <f t="shared" si="54"/>
        <v/>
      </c>
      <c r="AN181" s="11" t="str">
        <f t="shared" si="51"/>
        <v/>
      </c>
      <c r="AO181" s="13"/>
      <c r="AP181" s="11" t="str">
        <f t="shared" si="52"/>
        <v/>
      </c>
      <c r="AQ181" s="11" t="str">
        <f t="shared" si="53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6"/>
        <v>#VALUE!</v>
      </c>
      <c r="O182" s="11">
        <f t="shared" si="47"/>
        <v>0</v>
      </c>
      <c r="R182" s="12" t="str">
        <f>IF(Q182="","",VLOOKUP(Q182,Lists!$E:$F,2,FALSE))</f>
        <v/>
      </c>
      <c r="AD182" s="9">
        <v>50</v>
      </c>
      <c r="AE182" s="11" t="str">
        <f t="shared" si="48"/>
        <v/>
      </c>
      <c r="AF182" s="13">
        <v>0.21</v>
      </c>
      <c r="AG182" s="11" t="str">
        <f t="shared" si="49"/>
        <v/>
      </c>
      <c r="AH182" s="11" t="str">
        <f t="shared" si="50"/>
        <v/>
      </c>
      <c r="AL182" t="str">
        <f t="shared" si="54"/>
        <v/>
      </c>
      <c r="AN182" s="11" t="str">
        <f t="shared" si="51"/>
        <v/>
      </c>
      <c r="AO182" s="13"/>
      <c r="AP182" s="11" t="str">
        <f t="shared" si="52"/>
        <v/>
      </c>
      <c r="AQ182" s="11" t="str">
        <f t="shared" si="53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6"/>
        <v>#VALUE!</v>
      </c>
      <c r="O183" s="11">
        <f t="shared" si="47"/>
        <v>0</v>
      </c>
      <c r="R183" s="12" t="str">
        <f>IF(Q183="","",VLOOKUP(Q183,Lists!$E:$F,2,FALSE))</f>
        <v/>
      </c>
      <c r="AD183" s="9">
        <v>50</v>
      </c>
      <c r="AE183" s="11" t="str">
        <f t="shared" si="48"/>
        <v/>
      </c>
      <c r="AF183" s="13">
        <v>0.21</v>
      </c>
      <c r="AG183" s="11" t="str">
        <f t="shared" si="49"/>
        <v/>
      </c>
      <c r="AH183" s="11" t="str">
        <f t="shared" si="50"/>
        <v/>
      </c>
      <c r="AL183" t="str">
        <f t="shared" si="54"/>
        <v/>
      </c>
      <c r="AN183" s="11" t="str">
        <f t="shared" si="51"/>
        <v/>
      </c>
      <c r="AO183" s="13"/>
      <c r="AP183" s="11" t="str">
        <f t="shared" si="52"/>
        <v/>
      </c>
      <c r="AQ183" s="11" t="str">
        <f t="shared" si="53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ref="N184:N191" si="55">L184 * (1 + M184)</f>
        <v>#VALUE!</v>
      </c>
      <c r="O184" s="11">
        <f t="shared" ref="O184:O191" si="56">IF(K184="Eigen Beheer",0,IF(AND(ISNUMBER(N184),I184&lt;&gt;"",H184&lt;&gt;""),YEARFRAC(H184,I184,4)*12*N184,0))</f>
        <v>0</v>
      </c>
      <c r="R184" s="12" t="str">
        <f>IF(Q184="","",VLOOKUP(Q184,Lists!$E:$F,2,FALSE))</f>
        <v/>
      </c>
      <c r="AD184" s="9">
        <v>50</v>
      </c>
      <c r="AE184" s="11" t="str">
        <f t="shared" ref="AE184:AE191" si="57">IF(AB184="","",IF(ISNUMBER(SEARCH("Basis",AB184)),(250/1.21)+MAX(0,AC184-5)*AD184,IF(ISNUMBER(SEARCH("Intensief",AB184)),(375/1.21)+MAX(0,AC184-7)*AD184,AC184*AD184)))</f>
        <v/>
      </c>
      <c r="AF184" s="13">
        <v>0.21</v>
      </c>
      <c r="AG184" s="11" t="str">
        <f t="shared" ref="AG184:AG191" si="58">IF(AE184&lt;&gt;"",AE184*AF184,"")</f>
        <v/>
      </c>
      <c r="AH184" s="11" t="str">
        <f t="shared" ref="AH184:AH191" si="59">IF(AE184&lt;&gt;"",AE184+AG184,"")</f>
        <v/>
      </c>
      <c r="AL184" t="str">
        <f t="shared" si="54"/>
        <v/>
      </c>
      <c r="AN184" s="11" t="str">
        <f t="shared" ref="AN184:AN191" si="60">IF(AND(AL184&lt;&gt;"",AM184&lt;&gt;""),AL184*AM184,"")</f>
        <v/>
      </c>
      <c r="AO184" s="13"/>
      <c r="AP184" s="11" t="str">
        <f t="shared" ref="AP184:AP191" si="61">IF(AND(AN184&lt;&gt;"",AO184&lt;&gt;""),AN184*AO184,"")</f>
        <v/>
      </c>
      <c r="AQ184" s="11" t="str">
        <f t="shared" ref="AQ184:AQ191" si="62">IF(AND(AN184&lt;&gt;"",AP184&lt;&gt;""),AN184+AP184,"")</f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55"/>
        <v>#VALUE!</v>
      </c>
      <c r="O185" s="11">
        <f t="shared" si="56"/>
        <v>0</v>
      </c>
      <c r="R185" s="12" t="str">
        <f>IF(Q185="","",VLOOKUP(Q185,Lists!$E:$F,2,FALSE))</f>
        <v/>
      </c>
      <c r="AD185" s="9">
        <v>50</v>
      </c>
      <c r="AE185" s="11" t="str">
        <f t="shared" si="57"/>
        <v/>
      </c>
      <c r="AF185" s="13">
        <v>0.21</v>
      </c>
      <c r="AG185" s="11" t="str">
        <f t="shared" si="58"/>
        <v/>
      </c>
      <c r="AH185" s="11" t="str">
        <f t="shared" si="59"/>
        <v/>
      </c>
      <c r="AL185" t="str">
        <f t="shared" si="54"/>
        <v/>
      </c>
      <c r="AN185" s="11" t="str">
        <f t="shared" si="60"/>
        <v/>
      </c>
      <c r="AO185" s="13"/>
      <c r="AP185" s="11" t="str">
        <f t="shared" si="61"/>
        <v/>
      </c>
      <c r="AQ185" s="11" t="str">
        <f t="shared" si="62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55"/>
        <v>#VALUE!</v>
      </c>
      <c r="O186" s="11">
        <f t="shared" si="56"/>
        <v>0</v>
      </c>
      <c r="R186" s="12" t="str">
        <f>IF(Q186="","",VLOOKUP(Q186,Lists!$E:$F,2,FALSE))</f>
        <v/>
      </c>
      <c r="AD186" s="9">
        <v>50</v>
      </c>
      <c r="AE186" s="11" t="str">
        <f t="shared" si="57"/>
        <v/>
      </c>
      <c r="AF186" s="13">
        <v>0.21</v>
      </c>
      <c r="AG186" s="11" t="str">
        <f t="shared" si="58"/>
        <v/>
      </c>
      <c r="AH186" s="11" t="str">
        <f t="shared" si="59"/>
        <v/>
      </c>
      <c r="AL186" t="str">
        <f t="shared" si="54"/>
        <v/>
      </c>
      <c r="AN186" s="11" t="str">
        <f t="shared" si="60"/>
        <v/>
      </c>
      <c r="AO186" s="13"/>
      <c r="AP186" s="11" t="str">
        <f t="shared" si="61"/>
        <v/>
      </c>
      <c r="AQ186" s="11" t="str">
        <f t="shared" si="62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55"/>
        <v>#VALUE!</v>
      </c>
      <c r="O187" s="11">
        <f t="shared" si="56"/>
        <v>0</v>
      </c>
      <c r="R187" s="12" t="str">
        <f>IF(Q187="","",VLOOKUP(Q187,Lists!$E:$F,2,FALSE))</f>
        <v/>
      </c>
      <c r="AD187" s="9">
        <v>50</v>
      </c>
      <c r="AE187" s="11" t="str">
        <f t="shared" si="57"/>
        <v/>
      </c>
      <c r="AF187" s="13">
        <v>0.21</v>
      </c>
      <c r="AG187" s="11" t="str">
        <f t="shared" si="58"/>
        <v/>
      </c>
      <c r="AH187" s="11" t="str">
        <f t="shared" si="59"/>
        <v/>
      </c>
      <c r="AL187" t="str">
        <f t="shared" si="54"/>
        <v/>
      </c>
      <c r="AN187" s="11" t="str">
        <f t="shared" si="60"/>
        <v/>
      </c>
      <c r="AO187" s="13"/>
      <c r="AP187" s="11" t="str">
        <f t="shared" si="61"/>
        <v/>
      </c>
      <c r="AQ187" s="11" t="str">
        <f t="shared" si="62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55"/>
        <v>#VALUE!</v>
      </c>
      <c r="O188" s="11">
        <f t="shared" si="56"/>
        <v>0</v>
      </c>
      <c r="R188" s="12" t="str">
        <f>IF(Q188="","",VLOOKUP(Q188,Lists!$E:$F,2,FALSE))</f>
        <v/>
      </c>
      <c r="AD188" s="9">
        <v>50</v>
      </c>
      <c r="AE188" s="11" t="str">
        <f t="shared" si="57"/>
        <v/>
      </c>
      <c r="AF188" s="13">
        <v>0.21</v>
      </c>
      <c r="AG188" s="11" t="str">
        <f t="shared" si="58"/>
        <v/>
      </c>
      <c r="AH188" s="11" t="str">
        <f t="shared" si="59"/>
        <v/>
      </c>
      <c r="AL188" t="str">
        <f t="shared" si="54"/>
        <v/>
      </c>
      <c r="AN188" s="11" t="str">
        <f t="shared" si="60"/>
        <v/>
      </c>
      <c r="AO188" s="13"/>
      <c r="AP188" s="11" t="str">
        <f t="shared" si="61"/>
        <v/>
      </c>
      <c r="AQ188" s="11" t="str">
        <f t="shared" si="62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55"/>
        <v>#VALUE!</v>
      </c>
      <c r="O189" s="11">
        <f t="shared" si="56"/>
        <v>0</v>
      </c>
      <c r="R189" s="12" t="str">
        <f>IF(Q189="","",VLOOKUP(Q189,Lists!$E:$F,2,FALSE))</f>
        <v/>
      </c>
      <c r="AD189" s="9">
        <v>50</v>
      </c>
      <c r="AE189" s="11" t="str">
        <f t="shared" si="57"/>
        <v/>
      </c>
      <c r="AF189" s="13">
        <v>0.21</v>
      </c>
      <c r="AG189" s="11" t="str">
        <f t="shared" si="58"/>
        <v/>
      </c>
      <c r="AH189" s="11" t="str">
        <f t="shared" si="59"/>
        <v/>
      </c>
      <c r="AL189" t="str">
        <f t="shared" si="54"/>
        <v/>
      </c>
      <c r="AN189" s="11" t="str">
        <f t="shared" si="60"/>
        <v/>
      </c>
      <c r="AO189" s="13"/>
      <c r="AP189" s="11" t="str">
        <f t="shared" si="61"/>
        <v/>
      </c>
      <c r="AQ189" s="11" t="str">
        <f t="shared" si="62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55"/>
        <v>#VALUE!</v>
      </c>
      <c r="O190" s="11">
        <f t="shared" si="56"/>
        <v>0</v>
      </c>
      <c r="R190" s="12" t="str">
        <f>IF(Q190="","",VLOOKUP(Q190,Lists!$E:$F,2,FALSE))</f>
        <v/>
      </c>
      <c r="AD190" s="9">
        <v>50</v>
      </c>
      <c r="AE190" s="11" t="str">
        <f t="shared" si="57"/>
        <v/>
      </c>
      <c r="AF190" s="13">
        <v>0.21</v>
      </c>
      <c r="AG190" s="11" t="str">
        <f t="shared" si="58"/>
        <v/>
      </c>
      <c r="AH190" s="11" t="str">
        <f t="shared" si="59"/>
        <v/>
      </c>
      <c r="AL190" t="str">
        <f t="shared" si="54"/>
        <v/>
      </c>
      <c r="AN190" s="11" t="str">
        <f t="shared" si="60"/>
        <v/>
      </c>
      <c r="AO190" s="13"/>
      <c r="AP190" s="11" t="str">
        <f t="shared" si="61"/>
        <v/>
      </c>
      <c r="AQ190" s="11" t="str">
        <f t="shared" si="62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55"/>
        <v>#VALUE!</v>
      </c>
      <c r="O191" s="11">
        <f t="shared" si="56"/>
        <v>0</v>
      </c>
      <c r="R191" s="12" t="str">
        <f>IF(Q191="","",VLOOKUP(Q191,Lists!$E:$F,2,FALSE))</f>
        <v/>
      </c>
      <c r="AD191" s="9">
        <v>50</v>
      </c>
      <c r="AE191" s="11" t="str">
        <f t="shared" si="57"/>
        <v/>
      </c>
      <c r="AF191" s="13">
        <v>0.21</v>
      </c>
      <c r="AG191" s="11" t="str">
        <f t="shared" si="58"/>
        <v/>
      </c>
      <c r="AH191" s="11" t="str">
        <f t="shared" si="59"/>
        <v/>
      </c>
      <c r="AL191" t="str">
        <f t="shared" si="54"/>
        <v/>
      </c>
      <c r="AN191" s="11" t="str">
        <f t="shared" si="60"/>
        <v/>
      </c>
      <c r="AO191" s="13"/>
      <c r="AP191" s="11" t="str">
        <f t="shared" si="61"/>
        <v/>
      </c>
      <c r="AQ191" s="11" t="str">
        <f t="shared" si="62"/>
        <v/>
      </c>
    </row>
  </sheetData>
  <conditionalFormatting sqref="D2:U4990">
    <cfRule type="expression" dxfId="3" priority="3" stopIfTrue="1">
      <formula>$B2&lt;&gt;"Basis"</formula>
    </cfRule>
  </conditionalFormatting>
  <conditionalFormatting sqref="V2:AA4990">
    <cfRule type="expression" dxfId="2" priority="5" stopIfTrue="1">
      <formula>$B2&lt;&gt;"GWE"</formula>
    </cfRule>
  </conditionalFormatting>
  <conditionalFormatting sqref="AB2:AH4990">
    <cfRule type="expression" dxfId="1" priority="6" stopIfTrue="1">
      <formula>$B2&lt;&gt;"Schoonmaak"</formula>
    </cfRule>
  </conditionalFormatting>
  <conditionalFormatting sqref="AI2:AQ4990">
    <cfRule type="expression" dxfId="0" priority="7" stopIfTrue="1">
      <formula>AND($B2&lt;&gt;"Schade",$B2&lt;&gt;"Extra",$B2&lt;&gt;"GWE_Item")</formula>
    </cfRule>
  </conditionalFormatting>
  <dataValidations count="1">
    <dataValidation type="list" sqref="B2:B4990" xr:uid="{00000000-0002-0000-0100-000000000000}">
      <formula1>"Basis,GWE,GWE_Item,Schoonmaak,Schade,Extra"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7000000}">
          <x14:formula1>
            <xm:f>Lists!$O$2:$O$5</xm:f>
          </x14:formula1>
          <xm:sqref>AI2 AI9:AI4990</xm:sqref>
        </x14:dataValidation>
        <x14:dataValidation type="list" allowBlank="1" xr:uid="{00000000-0002-0000-0100-000001000000}">
          <x14:formula1>
            <xm:f>Lists!$A$2:$A$5000</xm:f>
          </x14:formula1>
          <xm:sqref>A10:A4990</xm:sqref>
        </x14:dataValidation>
        <x14:dataValidation type="list" allowBlank="1" xr:uid="{00000000-0002-0000-0100-000002000000}">
          <x14:formula1>
            <xm:f>Lists!$C$2:$C$5000</xm:f>
          </x14:formula1>
          <xm:sqref>C10:C4990</xm:sqref>
        </x14:dataValidation>
        <x14:dataValidation type="list" allowBlank="1" xr:uid="{00000000-0002-0000-0100-000003000000}">
          <x14:formula1>
            <xm:f>Lists!$K$2:$K$3</xm:f>
          </x14:formula1>
          <xm:sqref>K2:K4990</xm:sqref>
        </x14:dataValidation>
        <x14:dataValidation type="list" allowBlank="1" xr:uid="{00000000-0002-0000-0100-000004000000}">
          <x14:formula1>
            <xm:f>Lists!$I$2:$I$5</xm:f>
          </x14:formula1>
          <xm:sqref>P2:P4990</xm:sqref>
        </x14:dataValidation>
        <x14:dataValidation type="list" allowBlank="1" xr:uid="{00000000-0002-0000-0100-000005000000}">
          <x14:formula1>
            <xm:f>Lists!$E$2:$E$100</xm:f>
          </x14:formula1>
          <xm:sqref>Q2:Q4990</xm:sqref>
        </x14:dataValidation>
        <x14:dataValidation type="list" allowBlank="1" xr:uid="{00000000-0002-0000-0100-000006000000}">
          <x14:formula1>
            <xm:f>Lists!$M$2:$M$6</xm:f>
          </x14:formula1>
          <xm:sqref>AB2:AB4990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3"/>
  <sheetViews>
    <sheetView topLeftCell="A329" workbookViewId="0">
      <selection activeCell="H356" sqref="H356"/>
    </sheetView>
  </sheetViews>
  <sheetFormatPr baseColWidth="10" defaultColWidth="8.83203125" defaultRowHeight="15" x14ac:dyDescent="0.2"/>
  <cols>
    <col min="1" max="1" width="31.5" bestFit="1" customWidth="1"/>
  </cols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1000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130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0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2909.6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2165.2600000000002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1763.53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2850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2143.5300000000002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2509.41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0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0</v>
      </c>
      <c r="H75">
        <v>1552.29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450</v>
      </c>
      <c r="H76">
        <v>4850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2498.54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0</v>
      </c>
      <c r="H78">
        <v>2054.12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250</v>
      </c>
      <c r="H79">
        <v>1700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2841.93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3608.79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1580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1648.24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2157.65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0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1768.24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3789.24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2018.82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2510.59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0</v>
      </c>
      <c r="H90">
        <v>2750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400</v>
      </c>
      <c r="H91">
        <v>3300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0</v>
      </c>
      <c r="H92">
        <v>0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400</v>
      </c>
      <c r="H93">
        <v>6140.29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0</v>
      </c>
      <c r="H94">
        <v>1734.98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200</v>
      </c>
      <c r="H95">
        <v>0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6140.29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2446.35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4755.4399999999996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1723.44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1993.32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2253.77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0</v>
      </c>
      <c r="H102">
        <v>2192.94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300</v>
      </c>
      <c r="H103">
        <v>2446.35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2253.77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2602.5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3426.56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0</v>
      </c>
      <c r="H107">
        <v>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300</v>
      </c>
      <c r="H108">
        <v>2450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2052.94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3643.5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1702.35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4575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0</v>
      </c>
      <c r="H113">
        <v>2058.8200000000002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500</v>
      </c>
      <c r="H114">
        <v>4372.2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200</v>
      </c>
      <c r="H115">
        <v>3239.85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0</v>
      </c>
      <c r="H116">
        <v>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250</v>
      </c>
      <c r="H117">
        <v>2100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2165.88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2186.1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2169.06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0</v>
      </c>
      <c r="H121">
        <v>1750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250</v>
      </c>
      <c r="H122">
        <v>2575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0</v>
      </c>
      <c r="H124">
        <v>1750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250</v>
      </c>
      <c r="H125">
        <v>2250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0</v>
      </c>
      <c r="H126">
        <v>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450</v>
      </c>
      <c r="H127">
        <v>5500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1750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3409.28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0</v>
      </c>
      <c r="H130">
        <v>2363.0700000000002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250</v>
      </c>
      <c r="H131">
        <v>2446.35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0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1829.53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0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0</v>
      </c>
      <c r="H135">
        <v>1974.12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250</v>
      </c>
      <c r="H136">
        <v>2240.44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0</v>
      </c>
      <c r="H137">
        <v>2342.25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250</v>
      </c>
      <c r="H138">
        <v>2602.5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1977.9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2082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0</v>
      </c>
      <c r="H141">
        <v>0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250</v>
      </c>
      <c r="H142">
        <v>2315.29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1503.32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2065.88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0</v>
      </c>
      <c r="H147">
        <v>2255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350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300</v>
      </c>
      <c r="H149">
        <v>0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0</v>
      </c>
      <c r="H150">
        <v>2255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350</v>
      </c>
      <c r="H151">
        <v>2575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2255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0</v>
      </c>
      <c r="H153">
        <v>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250</v>
      </c>
      <c r="H154">
        <v>2500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1503.32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2300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2255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0</v>
      </c>
      <c r="H158">
        <v>2250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1683.53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2422.35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2284.71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300</v>
      </c>
      <c r="H162">
        <v>1855.29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1642.35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200</v>
      </c>
      <c r="H164">
        <v>1978.82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1772.94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250</v>
      </c>
      <c r="H166">
        <v>1795.29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1735.29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350</v>
      </c>
      <c r="H168">
        <v>1884.71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300</v>
      </c>
      <c r="H169">
        <v>2196.4699999999998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2283.5300000000002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400</v>
      </c>
      <c r="H171">
        <v>2028.24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300</v>
      </c>
      <c r="H172">
        <v>2361.1799999999998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200</v>
      </c>
      <c r="H173">
        <v>1818.82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300</v>
      </c>
      <c r="H174">
        <v>1902.35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400</v>
      </c>
      <c r="H175">
        <v>2516.4699999999998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200</v>
      </c>
      <c r="H176">
        <v>4164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2841.93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2444.71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1769.41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0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2593.81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2444.71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0</v>
      </c>
      <c r="H184">
        <v>2108.6999999999998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200</v>
      </c>
      <c r="H185">
        <v>2400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300</v>
      </c>
      <c r="H186">
        <v>2650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250</v>
      </c>
      <c r="H187">
        <v>2250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550</v>
      </c>
      <c r="H188">
        <v>4000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300</v>
      </c>
      <c r="H189">
        <v>3775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0</v>
      </c>
      <c r="H190">
        <v>0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200</v>
      </c>
      <c r="H191">
        <v>2363.0700000000002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100</v>
      </c>
      <c r="H192">
        <v>1610.06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1867.66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0</v>
      </c>
      <c r="H195">
        <v>2350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2400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250</v>
      </c>
      <c r="H197">
        <v>2500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600</v>
      </c>
      <c r="H198">
        <v>4750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0</v>
      </c>
      <c r="H199">
        <v>2737.83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450</v>
      </c>
      <c r="H200">
        <v>0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0</v>
      </c>
      <c r="H201">
        <v>1436.58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250</v>
      </c>
      <c r="H202">
        <v>0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0</v>
      </c>
      <c r="H203">
        <v>1436.58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2855.46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200</v>
      </c>
      <c r="H205">
        <v>2853.27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2914.8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3643.5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0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1954.12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0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2375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2750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2300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0</v>
      </c>
      <c r="H216">
        <v>1934.12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200</v>
      </c>
      <c r="H217">
        <v>1877.65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0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0</v>
      </c>
      <c r="H220">
        <v>2082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300</v>
      </c>
      <c r="H221">
        <v>3300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0</v>
      </c>
      <c r="H222">
        <v>4033.88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300</v>
      </c>
      <c r="H223">
        <v>2550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3600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1861.18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200</v>
      </c>
      <c r="H226">
        <v>3250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5710.93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2350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2053.7399999999998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2160</v>
      </c>
    </row>
    <row r="231" spans="1:8" x14ac:dyDescent="0.2">
      <c r="A231" t="s">
        <v>864</v>
      </c>
      <c r="B231" t="s">
        <v>865</v>
      </c>
      <c r="C231" t="s">
        <v>866</v>
      </c>
      <c r="D231">
        <v>100170</v>
      </c>
      <c r="G231">
        <v>0</v>
      </c>
      <c r="H231">
        <v>2149.41</v>
      </c>
    </row>
    <row r="232" spans="1:8" x14ac:dyDescent="0.2">
      <c r="A232" t="s">
        <v>864</v>
      </c>
      <c r="B232" t="s">
        <v>867</v>
      </c>
      <c r="C232" t="s">
        <v>868</v>
      </c>
      <c r="D232">
        <v>50248</v>
      </c>
      <c r="G232">
        <v>0</v>
      </c>
      <c r="H232">
        <v>1937.65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0</v>
      </c>
      <c r="H233">
        <v>2250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250</v>
      </c>
      <c r="H234">
        <v>3325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2196.5100000000002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100</v>
      </c>
      <c r="H236">
        <v>2737.83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2351.7600000000002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250</v>
      </c>
      <c r="H239">
        <v>2909.6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200</v>
      </c>
      <c r="H240">
        <v>3157.68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2498.54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250</v>
      </c>
      <c r="H242">
        <v>2394.3000000000002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1450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0</v>
      </c>
      <c r="H244">
        <v>2500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260</v>
      </c>
      <c r="H245">
        <v>3608.79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3800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0</v>
      </c>
      <c r="H247">
        <v>2498.4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300</v>
      </c>
      <c r="H248">
        <v>2932.13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2450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0</v>
      </c>
      <c r="H252">
        <v>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250</v>
      </c>
      <c r="H253">
        <v>2800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1436.58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0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1783.53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0</v>
      </c>
      <c r="H257">
        <v>1700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375</v>
      </c>
      <c r="H258">
        <v>1850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300</v>
      </c>
      <c r="H259">
        <v>2250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0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0</v>
      </c>
      <c r="H261">
        <v>3275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200</v>
      </c>
      <c r="H262">
        <v>1957.65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300</v>
      </c>
      <c r="H263">
        <v>2169.06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200</v>
      </c>
      <c r="H266">
        <v>0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1816.47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0</v>
      </c>
      <c r="H268">
        <v>1834.12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350</v>
      </c>
      <c r="H269">
        <v>2900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3275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0</v>
      </c>
      <c r="H271">
        <v>2663.43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300</v>
      </c>
      <c r="H272">
        <v>3250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150</v>
      </c>
      <c r="H273">
        <v>1600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250</v>
      </c>
      <c r="H274">
        <v>2082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3500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0</v>
      </c>
      <c r="H276">
        <v>2056.4699999999998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250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250</v>
      </c>
      <c r="H279">
        <v>0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2663.43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0</v>
      </c>
      <c r="H281">
        <v>3383.25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400</v>
      </c>
      <c r="H282">
        <v>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0</v>
      </c>
      <c r="H283">
        <v>2250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250</v>
      </c>
      <c r="H284">
        <v>2394.3000000000002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100</v>
      </c>
      <c r="H287">
        <v>1503.32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150</v>
      </c>
      <c r="H291">
        <v>2255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100</v>
      </c>
      <c r="H292">
        <v>1503.32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2300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150</v>
      </c>
      <c r="H294">
        <v>2255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0</v>
      </c>
      <c r="H295">
        <v>3275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150</v>
      </c>
      <c r="H296">
        <v>3500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250</v>
      </c>
      <c r="H297">
        <v>2850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0</v>
      </c>
      <c r="H298">
        <v>2516.83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2040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200</v>
      </c>
      <c r="H300">
        <v>2175.29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0</v>
      </c>
      <c r="H303">
        <v>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300</v>
      </c>
      <c r="H304">
        <v>2950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3275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3250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0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0</v>
      </c>
      <c r="H308">
        <v>2275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150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0</v>
      </c>
      <c r="H313">
        <v>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250</v>
      </c>
      <c r="H314">
        <v>2300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300</v>
      </c>
      <c r="H315">
        <v>2855.46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0</v>
      </c>
      <c r="H316">
        <v>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300</v>
      </c>
      <c r="H317">
        <v>2350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2150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0</v>
      </c>
      <c r="H321">
        <v>0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500</v>
      </c>
      <c r="H322">
        <v>2076.4699999999998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2053.7399999999998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0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0</v>
      </c>
      <c r="H325">
        <v>6282.85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300</v>
      </c>
      <c r="H326">
        <v>3100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3123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0</v>
      </c>
      <c r="H328">
        <v>1830.43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200</v>
      </c>
      <c r="H329">
        <v>1784.67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250</v>
      </c>
      <c r="H330">
        <v>2500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0</v>
      </c>
      <c r="H331">
        <v>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400</v>
      </c>
      <c r="H332">
        <v>3800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250</v>
      </c>
      <c r="H333">
        <v>2498.4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0</v>
      </c>
      <c r="H334">
        <v>2234.29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250</v>
      </c>
      <c r="H335">
        <v>2300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0</v>
      </c>
      <c r="H336">
        <v>1560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400</v>
      </c>
      <c r="H337">
        <v>1710.59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2364.3000000000002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2100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2449.11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0</v>
      </c>
      <c r="H341">
        <v>2498.54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300</v>
      </c>
      <c r="H342">
        <v>2650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250</v>
      </c>
      <c r="H343">
        <v>2593.81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2449.11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0</v>
      </c>
      <c r="H345">
        <v>3608.8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260</v>
      </c>
      <c r="H346">
        <v>2663.43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0</v>
      </c>
      <c r="H347">
        <v>3383.25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375</v>
      </c>
      <c r="H348">
        <v>2491.65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0</v>
      </c>
      <c r="H349">
        <v>2316.23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200</v>
      </c>
      <c r="H350">
        <v>2150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2400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2016.47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0</v>
      </c>
      <c r="H354">
        <v>2650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120</v>
      </c>
      <c r="H355">
        <v>1650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1560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0</v>
      </c>
      <c r="H358">
        <v>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250</v>
      </c>
      <c r="H359">
        <v>2100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1650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0</v>
      </c>
      <c r="H361">
        <v>2500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350</v>
      </c>
      <c r="H362">
        <v>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2000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200</v>
      </c>
      <c r="H364">
        <v>2737.83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0</v>
      </c>
      <c r="H365">
        <v>4000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200</v>
      </c>
      <c r="H366">
        <v>2449.11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260</v>
      </c>
      <c r="H367">
        <v>3608.8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250</v>
      </c>
      <c r="H368">
        <v>2170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250</v>
      </c>
      <c r="H371">
        <v>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4750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350</v>
      </c>
      <c r="H373">
        <v>2202.35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150</v>
      </c>
      <c r="H374">
        <v>2888.78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500</v>
      </c>
      <c r="H375">
        <v>5361.15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250</v>
      </c>
      <c r="H376">
        <v>2750</v>
      </c>
    </row>
    <row r="377" spans="1:8" x14ac:dyDescent="0.2">
      <c r="A377" t="s">
        <v>1292</v>
      </c>
      <c r="B377" t="s">
        <v>1293</v>
      </c>
      <c r="G377">
        <v>300</v>
      </c>
      <c r="H377">
        <v>0</v>
      </c>
    </row>
    <row r="378" spans="1:8" x14ac:dyDescent="0.2">
      <c r="A378" t="s">
        <v>1294</v>
      </c>
      <c r="B378" t="s">
        <v>1295</v>
      </c>
      <c r="G378">
        <v>300</v>
      </c>
      <c r="H378">
        <v>3955.8</v>
      </c>
    </row>
    <row r="379" spans="1:8" x14ac:dyDescent="0.2">
      <c r="A379" t="s">
        <v>1296</v>
      </c>
      <c r="B379" t="s">
        <v>1297</v>
      </c>
      <c r="G379">
        <v>350</v>
      </c>
      <c r="H379">
        <v>2394.3000000000002</v>
      </c>
    </row>
    <row r="380" spans="1:8" x14ac:dyDescent="0.2">
      <c r="A380" t="s">
        <v>1298</v>
      </c>
      <c r="B380" t="s">
        <v>1299</v>
      </c>
      <c r="G380">
        <v>300</v>
      </c>
      <c r="H380">
        <v>2700</v>
      </c>
    </row>
    <row r="381" spans="1:8" x14ac:dyDescent="0.2">
      <c r="A381" t="s">
        <v>1300</v>
      </c>
      <c r="B381" t="s">
        <v>1301</v>
      </c>
      <c r="G381">
        <v>200</v>
      </c>
      <c r="H381">
        <v>2000</v>
      </c>
    </row>
    <row r="382" spans="1:8" x14ac:dyDescent="0.2">
      <c r="A382" t="s">
        <v>1302</v>
      </c>
      <c r="B382" t="s">
        <v>1303</v>
      </c>
      <c r="G382">
        <v>0</v>
      </c>
      <c r="H382">
        <v>2909.6</v>
      </c>
    </row>
    <row r="383" spans="1:8" x14ac:dyDescent="0.2">
      <c r="A383" t="s">
        <v>1304</v>
      </c>
      <c r="B383" t="s">
        <v>1305</v>
      </c>
      <c r="G383">
        <v>0</v>
      </c>
      <c r="H383">
        <v>2394.3000000000002</v>
      </c>
    </row>
    <row r="384" spans="1:8" x14ac:dyDescent="0.2">
      <c r="A384" t="s">
        <v>1306</v>
      </c>
      <c r="B384" t="s">
        <v>1307</v>
      </c>
      <c r="G384">
        <v>0</v>
      </c>
      <c r="H384">
        <v>2928.69</v>
      </c>
    </row>
    <row r="385" spans="1:8" x14ac:dyDescent="0.2">
      <c r="A385" t="s">
        <v>1308</v>
      </c>
      <c r="B385" t="s">
        <v>1309</v>
      </c>
      <c r="G385">
        <v>250</v>
      </c>
      <c r="H385">
        <v>2316.23</v>
      </c>
    </row>
    <row r="386" spans="1:8" x14ac:dyDescent="0.2">
      <c r="A386" t="s">
        <v>1310</v>
      </c>
      <c r="B386" t="s">
        <v>1311</v>
      </c>
      <c r="G386">
        <v>390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0</v>
      </c>
    </row>
    <row r="388" spans="1:8" x14ac:dyDescent="0.2">
      <c r="A388" t="s">
        <v>1314</v>
      </c>
      <c r="B388" t="s">
        <v>1315</v>
      </c>
      <c r="G388">
        <v>0</v>
      </c>
      <c r="H388">
        <v>1700</v>
      </c>
    </row>
    <row r="389" spans="1:8" x14ac:dyDescent="0.2">
      <c r="A389" t="s">
        <v>1316</v>
      </c>
      <c r="B389" t="s">
        <v>1317</v>
      </c>
      <c r="G389">
        <v>0</v>
      </c>
      <c r="H389">
        <v>2224.71</v>
      </c>
    </row>
    <row r="390" spans="1:8" x14ac:dyDescent="0.2">
      <c r="A390" t="s">
        <v>1318</v>
      </c>
      <c r="B390" t="s">
        <v>1319</v>
      </c>
      <c r="G390">
        <v>0</v>
      </c>
      <c r="H390">
        <v>2170</v>
      </c>
    </row>
    <row r="391" spans="1:8" x14ac:dyDescent="0.2">
      <c r="A391" t="s">
        <v>1320</v>
      </c>
      <c r="B391" t="s">
        <v>1321</v>
      </c>
      <c r="G391">
        <v>0</v>
      </c>
      <c r="H391">
        <v>0</v>
      </c>
    </row>
    <row r="392" spans="1:8" x14ac:dyDescent="0.2">
      <c r="A392" t="s">
        <v>1322</v>
      </c>
      <c r="B392" t="s">
        <v>1323</v>
      </c>
      <c r="G392">
        <v>0</v>
      </c>
      <c r="H392">
        <v>1560</v>
      </c>
    </row>
    <row r="393" spans="1:8" x14ac:dyDescent="0.2">
      <c r="A393" t="s">
        <v>1324</v>
      </c>
      <c r="B393" t="s">
        <v>1325</v>
      </c>
      <c r="G393">
        <v>0</v>
      </c>
      <c r="H393">
        <v>0</v>
      </c>
    </row>
  </sheetData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E12F48-6C81-480D-A54C-4B5AB0BB82A9}">
  <ds:schemaRefs>
    <ds:schemaRef ds:uri="http://schemas.microsoft.com/office/infopath/2007/PartnerControls"/>
    <ds:schemaRef ds:uri="http://schemas.microsoft.com/office/2006/metadata/properties"/>
    <ds:schemaRef ds:uri="7c6541c9-858d-46cc-aee4-1fa681dc1bd6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7e7f2dcd-0c2b-4478-ad05-247cf739c5b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EB1E8C-CF2F-4E26-98A1-B303EE5D0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A92B04-2801-454E-90E3-A3C28E44ED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2025-12-29T13:54:09Z</dcterms:created>
  <dcterms:modified xsi:type="dcterms:W3CDTF">2026-01-05T16:09:15Z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