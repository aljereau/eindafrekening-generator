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5B5B5B"/>
        <bgColor rgb="005B5B5B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2" fillId="8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164" fontId="0" fillId="0" borderId="0" pivotButton="0" quotePrefix="0" xfId="0"/>
    <xf numFmtId="9" fontId="0" fillId="7" borderId="0" pivotButton="0" quotePrefix="0" xfId="0"/>
    <xf numFmtId="164" fontId="0" fillId="7" borderId="0" pivotButton="0" quotePrefix="0" xfId="0"/>
    <xf numFmtId="0" fontId="0" fillId="7" borderId="0" applyAlignment="1" pivotButton="0" quotePrefix="0" xfId="0">
      <alignment horizontal="center"/>
    </xf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>_xlfn.UNIQUE(_xlfn.FILTER(Input!A2:A5000, Input!A2:A5000&lt;&gt;""))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</sheetData>
  <conditionalFormatting sqref="E4:E54">
    <cfRule type="expression" priority="1" dxfId="0" stopIfTrue="1">
      <formula>E4="✅ READY"</formula>
    </cfRule>
    <cfRule type="expression" priority="2" dxfId="1" stopIfTrue="1">
      <formula>E4="⚠️ INCOMPLETE"</formula>
    </cfRule>
  </conditionalFormatting>
  <conditionalFormatting sqref="B4:D54">
    <cfRule type="expression" priority="3" dxfId="1" stopIfTrue="1">
      <formula>B4="MISSING"</formula>
    </cfRule>
    <cfRule type="expression" priority="4" dxfId="0" stopIfTrue="1">
      <formula>B4="OK"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3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3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Klant Nr (Auto)</t>
        </is>
      </c>
      <c r="F1" s="4" t="inlineStr">
        <is>
          <t>RR Inspecteur</t>
        </is>
      </c>
      <c r="G1" s="4" t="inlineStr">
        <is>
          <t>Folder Link</t>
        </is>
      </c>
      <c r="H1" s="4" t="inlineStr">
        <is>
          <t>Check-in</t>
        </is>
      </c>
      <c r="I1" s="4" t="inlineStr">
        <is>
          <t>Check-out</t>
        </is>
      </c>
      <c r="J1" s="4" t="inlineStr">
        <is>
          <t>Borg (€)</t>
        </is>
      </c>
      <c r="K1" s="4" t="inlineStr">
        <is>
          <t>GWE Beheer</t>
        </is>
      </c>
      <c r="L1" s="4" t="inlineStr">
        <is>
          <t>GWE Maandbedrag (€)</t>
        </is>
      </c>
      <c r="M1" s="4" t="inlineStr">
        <is>
          <t>BTW %</t>
        </is>
      </c>
      <c r="N1" s="4" t="inlineStr">
        <is>
          <t>Voorschot GWE (Incl)</t>
        </is>
      </c>
      <c r="O1" s="4" t="inlineStr">
        <is>
          <t>Totaal Voorschot</t>
        </is>
      </c>
      <c r="P1" s="4" t="inlineStr">
        <is>
          <t>Meterbeheerder</t>
        </is>
      </c>
      <c r="Q1" s="4" t="inlineStr">
        <is>
          <t>Leverancier</t>
        </is>
      </c>
      <c r="R1" s="4" t="inlineStr">
        <is>
          <t>Leverancier Nr (Auto)</t>
        </is>
      </c>
      <c r="S1" s="4" t="inlineStr">
        <is>
          <t>Contractnr</t>
        </is>
      </c>
      <c r="T1" s="4" t="inlineStr">
        <is>
          <t>Extra Voorschot (€)</t>
        </is>
      </c>
      <c r="U1" s="4" t="inlineStr">
        <is>
          <t>Extra Voor. Omschr.</t>
        </is>
      </c>
      <c r="V1" s="5" t="inlineStr">
        <is>
          <t>Elek Begin</t>
        </is>
      </c>
      <c r="W1" s="5" t="inlineStr">
        <is>
          <t>Elek Eind</t>
        </is>
      </c>
      <c r="X1" s="5" t="inlineStr">
        <is>
          <t>Gas Begin</t>
        </is>
      </c>
      <c r="Y1" s="5" t="inlineStr">
        <is>
          <t>Gas Eind</t>
        </is>
      </c>
      <c r="Z1" s="5" t="inlineStr">
        <is>
          <t>Water Begin</t>
        </is>
      </c>
      <c r="AA1" s="5" t="inlineStr">
        <is>
          <t>Water Eind</t>
        </is>
      </c>
      <c r="AB1" s="6" t="inlineStr">
        <is>
          <t>Schoon Maak Pakket</t>
        </is>
      </c>
      <c r="AC1" s="6" t="inlineStr">
        <is>
          <t>Schoon Uren</t>
        </is>
      </c>
      <c r="AD1" s="6" t="inlineStr">
        <is>
          <t>Uurtarief (€)</t>
        </is>
      </c>
      <c r="AE1" s="6" t="inlineStr">
        <is>
          <t>Totaal Excl (€)</t>
        </is>
      </c>
      <c r="AF1" s="6" t="inlineStr">
        <is>
          <t>BTW %</t>
        </is>
      </c>
      <c r="AG1" s="6" t="inlineStr">
        <is>
          <t>BTW Bedrag (€)</t>
        </is>
      </c>
      <c r="AH1" s="6" t="inlineStr">
        <is>
          <t>Totaal Incl (€)</t>
        </is>
      </c>
      <c r="AI1" s="7" t="inlineStr">
        <is>
          <t>Kosten Type</t>
        </is>
      </c>
      <c r="AJ1" s="7" t="inlineStr">
        <is>
          <t>Eenheid</t>
        </is>
      </c>
      <c r="AK1" s="7" t="inlineStr">
        <is>
          <t>Beschrijving</t>
        </is>
      </c>
      <c r="AL1" s="7" t="inlineStr">
        <is>
          <t>Aantal</t>
        </is>
      </c>
      <c r="AM1" s="7" t="inlineStr">
        <is>
          <t>Prijs/Stuk (€)</t>
        </is>
      </c>
      <c r="AN1" s="7" t="inlineStr">
        <is>
          <t>Totaal Excl (€)</t>
        </is>
      </c>
      <c r="AO1" s="7" t="inlineStr">
        <is>
          <t>BTW %</t>
        </is>
      </c>
      <c r="AP1" s="7" t="inlineStr">
        <is>
          <t>BTW Bedrag (€)</t>
        </is>
      </c>
      <c r="AQ1" s="7" t="inlineStr">
        <is>
          <t>Totaal Incl (€)</t>
        </is>
      </c>
    </row>
    <row r="2">
      <c r="D2" s="8">
        <f>IF(A2="","",VLOOKUP(A2,Lists!$A:$B,2,FALSE))</f>
        <v/>
      </c>
      <c r="E2" s="8">
        <f>IF(C2="","",VLOOKUP(C2,Lists!$C:$D,2,FALSE))</f>
        <v/>
      </c>
      <c r="F2" s="8" t="n"/>
      <c r="G2" s="8" t="n"/>
      <c r="J2" s="9">
        <f>IF(A2="","",IFERROR(VLOOKUP(A2,Lists!$A:$H,8,FALSE),0))</f>
        <v/>
      </c>
      <c r="L2" s="9">
        <f>IF(A2="","",IFERROR(VLOOKUP(A2,Lists!$A:$H,7,FALSE),0))</f>
        <v/>
      </c>
      <c r="M2" s="10" t="n">
        <v>0.21</v>
      </c>
      <c r="N2" s="11">
        <f>L2 * (1 + M2)</f>
        <v/>
      </c>
      <c r="O2" s="11">
        <f>IF(K2="Eigen Beheer",0,IF(AND(ISNUMBER(N2),I2&lt;&gt;"",H2&lt;&gt;""),ROUND((I2-H2)/Lists!$Q$2,2)*N2,0))</f>
        <v/>
      </c>
      <c r="R2" s="12">
        <f>IF(Q2="","",VLOOKUP(Q2,Lists!$E:$F,2,FALSE))</f>
        <v/>
      </c>
      <c r="AD2" s="9" t="n">
        <v>50</v>
      </c>
      <c r="AE2" s="11">
        <f>IF(AB2="","",IF(ISNUMBER(SEARCH("Basis",AB2)),(250/1.21)+MAX(0,AC2-5)*AD2,IF(ISNUMBER(SEARCH("Intensief",AB2)),(375/1.21)+MAX(0,AC2-7)*AD2,AC2*AD2)))</f>
        <v/>
      </c>
      <c r="AF2" s="13" t="n">
        <v>0.21</v>
      </c>
      <c r="AG2" s="11">
        <f>IF(AE2&lt;&gt;"",AE2*AF2,"")</f>
        <v/>
      </c>
      <c r="AH2" s="11">
        <f>IF(AE2&lt;&gt;"",AE2+AG2,"")</f>
        <v/>
      </c>
      <c r="AL2">
        <f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>
        <f>IF(AND(AL2&lt;&gt;"",AM2&lt;&gt;""),AL2*AM2,"")</f>
        <v/>
      </c>
      <c r="AO2" s="13" t="n"/>
      <c r="AP2" s="11">
        <f>IF(AND(AN2&lt;&gt;"",AO2&lt;&gt;""),AN2*AO2,"")</f>
        <v/>
      </c>
      <c r="AQ2" s="11">
        <f>IF(AND(AN2&lt;&gt;"",AP2&lt;&gt;""),AN2+AP2,"")</f>
        <v/>
      </c>
    </row>
    <row r="3">
      <c r="D3" s="8">
        <f>IF(A3="","",VLOOKUP(A3,Lists!$A:$B,2,FALSE))</f>
        <v/>
      </c>
      <c r="E3" s="8">
        <f>IF(C3="","",VLOOKUP(C3,Lists!$C:$D,2,FALSE))</f>
        <v/>
      </c>
      <c r="F3" s="8" t="n"/>
      <c r="G3" s="8" t="n"/>
      <c r="J3" s="9">
        <f>IF(A3="","",IFERROR(VLOOKUP(A3,Lists!$A:$H,8,FALSE),0))</f>
        <v/>
      </c>
      <c r="L3" s="9">
        <f>IF(A3="","",IFERROR(VLOOKUP(A3,Lists!$A:$H,7,FALSE),0))</f>
        <v/>
      </c>
      <c r="M3" s="10" t="n">
        <v>0.21</v>
      </c>
      <c r="N3" s="11">
        <f>L3 * (1 + M3)</f>
        <v/>
      </c>
      <c r="O3" s="11">
        <f>IF(K3="Eigen Beheer",0,IF(AND(ISNUMBER(N3),I3&lt;&gt;"",H3&lt;&gt;""),ROUND((I3-H3)/Lists!$Q$2,2)*N3,0))</f>
        <v/>
      </c>
      <c r="R3" s="12">
        <f>IF(Q3="","",VLOOKUP(Q3,Lists!$E:$F,2,FALSE))</f>
        <v/>
      </c>
      <c r="AD3" s="9" t="n">
        <v>50</v>
      </c>
      <c r="AE3" s="11">
        <f>IF(AB3="","",IF(ISNUMBER(SEARCH("Basis",AB3)),(250/1.21)+MAX(0,AC3-5)*AD3,IF(ISNUMBER(SEARCH("Intensief",AB3)),(375/1.21)+MAX(0,AC3-7)*AD3,AC3*AD3)))</f>
        <v/>
      </c>
      <c r="AF3" s="13" t="n">
        <v>0.21</v>
      </c>
      <c r="AG3" s="11">
        <f>IF(AE3&lt;&gt;"",AE3*AF3,"")</f>
        <v/>
      </c>
      <c r="AH3" s="11">
        <f>IF(AE3&lt;&gt;"",AE3+AG3,"")</f>
        <v/>
      </c>
      <c r="AL3">
        <f>IF($B3="GWE_Item",IF($AI3="Elektra",SUMIFS($W:$W,$A:$A,$A3,$B:$B,"GWE")-SUMIFS($V:$V,$A:$A,$A3,$B:$B,"GWE"),IF($AI3="Gas",SUMIFS($Y:$Y,$A:$A,$A3,$B:$B,"GWE")-SUMIFS($X:$X,$A:$A,$A3,$B:$B,"GWE"),IF($AI3="Water",SUMIFS($AA:$AA,$A:$A,$A3,$B:$B,"GWE")-SUMIFS($Z:$Z,$A:$A,$A3,$B:$B,"GWE"),""))),"")</f>
        <v/>
      </c>
      <c r="AN3" s="11">
        <f>IF(AND(AL3&lt;&gt;"",AM3&lt;&gt;""),AL3*AM3,"")</f>
        <v/>
      </c>
      <c r="AO3" s="13" t="n"/>
      <c r="AP3" s="11">
        <f>IF(AND(AN3&lt;&gt;"",AO3&lt;&gt;""),AN3*AO3,"")</f>
        <v/>
      </c>
      <c r="AQ3" s="11">
        <f>IF(AND(AN3&lt;&gt;"",AP3&lt;&gt;""),AN3+AP3,"")</f>
        <v/>
      </c>
    </row>
    <row r="4">
      <c r="D4" s="8">
        <f>IF(A4="","",VLOOKUP(A4,Lists!$A:$B,2,FALSE))</f>
        <v/>
      </c>
      <c r="E4" s="8">
        <f>IF(C4="","",VLOOKUP(C4,Lists!$C:$D,2,FALSE))</f>
        <v/>
      </c>
      <c r="F4" s="8" t="n"/>
      <c r="G4" s="8" t="n"/>
      <c r="J4" s="9">
        <f>IF(A4="","",IFERROR(VLOOKUP(A4,Lists!$A:$H,8,FALSE),0))</f>
        <v/>
      </c>
      <c r="L4" s="9">
        <f>IF(A4="","",IFERROR(VLOOKUP(A4,Lists!$A:$H,7,FALSE),0))</f>
        <v/>
      </c>
      <c r="M4" s="10" t="n">
        <v>0.21</v>
      </c>
      <c r="N4" s="11">
        <f>L4 * (1 + M4)</f>
        <v/>
      </c>
      <c r="O4" s="11">
        <f>IF(K4="Eigen Beheer",0,IF(AND(ISNUMBER(N4),I4&lt;&gt;"",H4&lt;&gt;""),ROUND((I4-H4)/Lists!$Q$2,2)*N4,0))</f>
        <v/>
      </c>
      <c r="R4" s="12">
        <f>IF(Q4="","",VLOOKUP(Q4,Lists!$E:$F,2,FALSE))</f>
        <v/>
      </c>
      <c r="AD4" s="9" t="n">
        <v>50</v>
      </c>
      <c r="AE4" s="11">
        <f>IF(AB4="","",IF(ISNUMBER(SEARCH("Basis",AB4)),(250/1.21)+MAX(0,AC4-5)*AD4,IF(ISNUMBER(SEARCH("Intensief",AB4)),(375/1.21)+MAX(0,AC4-7)*AD4,AC4*AD4)))</f>
        <v/>
      </c>
      <c r="AF4" s="13" t="n">
        <v>0.21</v>
      </c>
      <c r="AG4" s="11">
        <f>IF(AE4&lt;&gt;"",AE4*AF4,"")</f>
        <v/>
      </c>
      <c r="AH4" s="11">
        <f>IF(AE4&lt;&gt;"",AE4+AG4,"")</f>
        <v/>
      </c>
      <c r="AL4">
        <f>IF($B4="GWE_Item",IF($AI4="Elektra",SUMIFS($W:$W,$A:$A,$A4,$B:$B,"GWE")-SUMIFS($V:$V,$A:$A,$A4,$B:$B,"GWE"),IF($AI4="Gas",SUMIFS($Y:$Y,$A:$A,$A4,$B:$B,"GWE")-SUMIFS($X:$X,$A:$A,$A4,$B:$B,"GWE"),IF($AI4="Water",SUMIFS($AA:$AA,$A:$A,$A4,$B:$B,"GWE")-SUMIFS($Z:$Z,$A:$A,$A4,$B:$B,"GWE"),""))),"")</f>
        <v/>
      </c>
      <c r="AN4" s="11">
        <f>IF(AND(AL4&lt;&gt;"",AM4&lt;&gt;""),AL4*AM4,"")</f>
        <v/>
      </c>
      <c r="AO4" s="13" t="n"/>
      <c r="AP4" s="11">
        <f>IF(AND(AN4&lt;&gt;"",AO4&lt;&gt;""),AN4*AO4,"")</f>
        <v/>
      </c>
      <c r="AQ4" s="11">
        <f>IF(AND(AN4&lt;&gt;"",AP4&lt;&gt;""),AN4+AP4,"")</f>
        <v/>
      </c>
    </row>
    <row r="5">
      <c r="D5" s="8">
        <f>IF(A5="","",VLOOKUP(A5,Lists!$A:$B,2,FALSE))</f>
        <v/>
      </c>
      <c r="E5" s="8">
        <f>IF(C5="","",VLOOKUP(C5,Lists!$C:$D,2,FALSE))</f>
        <v/>
      </c>
      <c r="F5" s="8" t="n"/>
      <c r="G5" s="8" t="n"/>
      <c r="J5" s="9">
        <f>IF(A5="","",IFERROR(VLOOKUP(A5,Lists!$A:$H,8,FALSE),0))</f>
        <v/>
      </c>
      <c r="L5" s="9">
        <f>IF(A5="","",IFERROR(VLOOKUP(A5,Lists!$A:$H,7,FALSE),0))</f>
        <v/>
      </c>
      <c r="M5" s="10" t="n">
        <v>0.21</v>
      </c>
      <c r="N5" s="11">
        <f>L5 * (1 + M5)</f>
        <v/>
      </c>
      <c r="O5" s="11">
        <f>IF(K5="Eigen Beheer",0,IF(AND(ISNUMBER(N5),I5&lt;&gt;"",H5&lt;&gt;""),ROUND((I5-H5)/Lists!$Q$2,2)*N5,0))</f>
        <v/>
      </c>
      <c r="R5" s="12">
        <f>IF(Q5="","",VLOOKUP(Q5,Lists!$E:$F,2,FALSE))</f>
        <v/>
      </c>
      <c r="AD5" s="9" t="n">
        <v>50</v>
      </c>
      <c r="AE5" s="11">
        <f>IF(AB5="","",IF(ISNUMBER(SEARCH("Basis",AB5)),(250/1.21)+MAX(0,AC5-5)*AD5,IF(ISNUMBER(SEARCH("Intensief",AB5)),(375/1.21)+MAX(0,AC5-7)*AD5,AC5*AD5)))</f>
        <v/>
      </c>
      <c r="AF5" s="13" t="n">
        <v>0.21</v>
      </c>
      <c r="AG5" s="11">
        <f>IF(AE5&lt;&gt;"",AE5*AF5,"")</f>
        <v/>
      </c>
      <c r="AH5" s="11">
        <f>IF(AE5&lt;&gt;"",AE5+AG5,"")</f>
        <v/>
      </c>
      <c r="AL5">
        <f>IF($B5="GWE_Item",IF($AI5="Elektra",SUMIFS($W:$W,$A:$A,$A5,$B:$B,"GWE")-SUMIFS($V:$V,$A:$A,$A5,$B:$B,"GWE"),IF($AI5="Gas",SUMIFS($Y:$Y,$A:$A,$A5,$B:$B,"GWE")-SUMIFS($X:$X,$A:$A,$A5,$B:$B,"GWE"),IF($AI5="Water",SUMIFS($AA:$AA,$A:$A,$A5,$B:$B,"GWE")-SUMIFS($Z:$Z,$A:$A,$A5,$B:$B,"GWE"),""))),"")</f>
        <v/>
      </c>
      <c r="AN5" s="11">
        <f>IF(AND(AL5&lt;&gt;"",AM5&lt;&gt;""),AL5*AM5,"")</f>
        <v/>
      </c>
      <c r="AO5" s="13" t="n"/>
      <c r="AP5" s="11">
        <f>IF(AND(AN5&lt;&gt;"",AO5&lt;&gt;""),AN5*AO5,"")</f>
        <v/>
      </c>
      <c r="AQ5" s="11">
        <f>IF(AND(AN5&lt;&gt;"",AP5&lt;&gt;""),AN5+AP5,"")</f>
        <v/>
      </c>
    </row>
    <row r="6">
      <c r="D6" s="8">
        <f>IF(A6="","",VLOOKUP(A6,Lists!$A:$B,2,FALSE))</f>
        <v/>
      </c>
      <c r="E6" s="8">
        <f>IF(C6="","",VLOOKUP(C6,Lists!$C:$D,2,FALSE))</f>
        <v/>
      </c>
      <c r="F6" s="8" t="n"/>
      <c r="G6" s="8" t="n"/>
      <c r="J6" s="9">
        <f>IF(A6="","",IFERROR(VLOOKUP(A6,Lists!$A:$H,8,FALSE),0))</f>
        <v/>
      </c>
      <c r="L6" s="9">
        <f>IF(A6="","",IFERROR(VLOOKUP(A6,Lists!$A:$H,7,FALSE),0))</f>
        <v/>
      </c>
      <c r="M6" s="10" t="n">
        <v>0.21</v>
      </c>
      <c r="N6" s="11">
        <f>L6 * (1 + M6)</f>
        <v/>
      </c>
      <c r="O6" s="11">
        <f>IF(K6="Eigen Beheer",0,IF(AND(ISNUMBER(N6),I6&lt;&gt;"",H6&lt;&gt;""),ROUND((I6-H6)/Lists!$Q$2,2)*N6,0))</f>
        <v/>
      </c>
      <c r="R6" s="12">
        <f>IF(Q6="","",VLOOKUP(Q6,Lists!$E:$F,2,FALSE))</f>
        <v/>
      </c>
      <c r="AD6" s="9" t="n">
        <v>50</v>
      </c>
      <c r="AE6" s="11">
        <f>IF(AB6="","",IF(ISNUMBER(SEARCH("Basis",AB6)),(250/1.21)+MAX(0,AC6-5)*AD6,IF(ISNUMBER(SEARCH("Intensief",AB6)),(375/1.21)+MAX(0,AC6-7)*AD6,AC6*AD6)))</f>
        <v/>
      </c>
      <c r="AF6" s="13" t="n">
        <v>0.21</v>
      </c>
      <c r="AG6" s="11">
        <f>IF(AE6&lt;&gt;"",AE6*AF6,"")</f>
        <v/>
      </c>
      <c r="AH6" s="11">
        <f>IF(AE6&lt;&gt;"",AE6+AG6,"")</f>
        <v/>
      </c>
      <c r="AL6">
        <f>IF($B6="GWE_Item",IF($AI6="Elektra",SUMIFS($W:$W,$A:$A,$A6,$B:$B,"GWE")-SUMIFS($V:$V,$A:$A,$A6,$B:$B,"GWE"),IF($AI6="Gas",SUMIFS($Y:$Y,$A:$A,$A6,$B:$B,"GWE")-SUMIFS($X:$X,$A:$A,$A6,$B:$B,"GWE"),IF($AI6="Water",SUMIFS($AA:$AA,$A:$A,$A6,$B:$B,"GWE")-SUMIFS($Z:$Z,$A:$A,$A6,$B:$B,"GWE"),""))),"")</f>
        <v/>
      </c>
      <c r="AN6" s="11">
        <f>IF(AND(AL6&lt;&gt;"",AM6&lt;&gt;""),AL6*AM6,"")</f>
        <v/>
      </c>
      <c r="AO6" s="13" t="n"/>
      <c r="AP6" s="11">
        <f>IF(AND(AN6&lt;&gt;"",AO6&lt;&gt;""),AN6*AO6,"")</f>
        <v/>
      </c>
      <c r="AQ6" s="11">
        <f>IF(AND(AN6&lt;&gt;"",AP6&lt;&gt;""),AN6+AP6,"")</f>
        <v/>
      </c>
    </row>
    <row r="7">
      <c r="D7" s="8">
        <f>IF(A7="","",VLOOKUP(A7,Lists!$A:$B,2,FALSE))</f>
        <v/>
      </c>
      <c r="E7" s="8">
        <f>IF(C7="","",VLOOKUP(C7,Lists!$C:$D,2,FALSE))</f>
        <v/>
      </c>
      <c r="F7" s="8" t="n"/>
      <c r="G7" s="8" t="n"/>
      <c r="J7" s="9">
        <f>IF(A7="","",IFERROR(VLOOKUP(A7,Lists!$A:$H,8,FALSE),0))</f>
        <v/>
      </c>
      <c r="L7" s="9">
        <f>IF(A7="","",IFERROR(VLOOKUP(A7,Lists!$A:$H,7,FALSE),0))</f>
        <v/>
      </c>
      <c r="M7" s="10" t="n">
        <v>0.21</v>
      </c>
      <c r="N7" s="11">
        <f>L7 * (1 + M7)</f>
        <v/>
      </c>
      <c r="O7" s="11">
        <f>IF(K7="Eigen Beheer",0,IF(AND(ISNUMBER(N7),I7&lt;&gt;"",H7&lt;&gt;""),ROUND((I7-H7)/Lists!$Q$2,2)*N7,0))</f>
        <v/>
      </c>
      <c r="R7" s="12">
        <f>IF(Q7="","",VLOOKUP(Q7,Lists!$E:$F,2,FALSE))</f>
        <v/>
      </c>
      <c r="AD7" s="9" t="n">
        <v>50</v>
      </c>
      <c r="AE7" s="11">
        <f>IF(AB7="","",IF(ISNUMBER(SEARCH("Basis",AB7)),(250/1.21)+MAX(0,AC7-5)*AD7,IF(ISNUMBER(SEARCH("Intensief",AB7)),(375/1.21)+MAX(0,AC7-7)*AD7,AC7*AD7)))</f>
        <v/>
      </c>
      <c r="AF7" s="13" t="n">
        <v>0.21</v>
      </c>
      <c r="AG7" s="11">
        <f>IF(AE7&lt;&gt;"",AE7*AF7,"")</f>
        <v/>
      </c>
      <c r="AH7" s="11">
        <f>IF(AE7&lt;&gt;"",AE7+AG7,"")</f>
        <v/>
      </c>
      <c r="AL7">
        <f>IF($B7="GWE_Item",IF($AI7="Elektra",SUMIFS($W:$W,$A:$A,$A7,$B:$B,"GWE")-SUMIFS($V:$V,$A:$A,$A7,$B:$B,"GWE"),IF($AI7="Gas",SUMIFS($Y:$Y,$A:$A,$A7,$B:$B,"GWE")-SUMIFS($X:$X,$A:$A,$A7,$B:$B,"GWE"),IF($AI7="Water",SUMIFS($AA:$AA,$A:$A,$A7,$B:$B,"GWE")-SUMIFS($Z:$Z,$A:$A,$A7,$B:$B,"GWE"),""))),"")</f>
        <v/>
      </c>
      <c r="AN7" s="11">
        <f>IF(AND(AL7&lt;&gt;"",AM7&lt;&gt;""),AL7*AM7,"")</f>
        <v/>
      </c>
      <c r="AO7" s="13" t="n"/>
      <c r="AP7" s="11">
        <f>IF(AND(AN7&lt;&gt;"",AO7&lt;&gt;""),AN7*AO7,"")</f>
        <v/>
      </c>
      <c r="AQ7" s="11">
        <f>IF(AND(AN7&lt;&gt;"",AP7&lt;&gt;""),AN7+AP7,"")</f>
        <v/>
      </c>
    </row>
    <row r="8">
      <c r="D8" s="8">
        <f>IF(A8="","",VLOOKUP(A8,Lists!$A:$B,2,FALSE))</f>
        <v/>
      </c>
      <c r="E8" s="8">
        <f>IF(C8="","",VLOOKUP(C8,Lists!$C:$D,2,FALSE))</f>
        <v/>
      </c>
      <c r="F8" s="8" t="n"/>
      <c r="G8" s="8" t="n"/>
      <c r="J8" s="9">
        <f>IF(A8="","",IFERROR(VLOOKUP(A8,Lists!$A:$H,8,FALSE),0))</f>
        <v/>
      </c>
      <c r="L8" s="9">
        <f>IF(A8="","",IFERROR(VLOOKUP(A8,Lists!$A:$H,7,FALSE),0))</f>
        <v/>
      </c>
      <c r="M8" s="10" t="n">
        <v>0.21</v>
      </c>
      <c r="N8" s="11">
        <f>L8 * (1 + M8)</f>
        <v/>
      </c>
      <c r="O8" s="11">
        <f>IF(K8="Eigen Beheer",0,IF(AND(ISNUMBER(N8),I8&lt;&gt;"",H8&lt;&gt;""),ROUND((I8-H8)/Lists!$Q$2,2)*N8,0))</f>
        <v/>
      </c>
      <c r="R8" s="12">
        <f>IF(Q8="","",VLOOKUP(Q8,Lists!$E:$F,2,FALSE))</f>
        <v/>
      </c>
      <c r="AD8" s="9" t="n">
        <v>50</v>
      </c>
      <c r="AE8" s="11">
        <f>IF(AB8="","",IF(ISNUMBER(SEARCH("Basis",AB8)),(250/1.21)+MAX(0,AC8-5)*AD8,IF(ISNUMBER(SEARCH("Intensief",AB8)),(375/1.21)+MAX(0,AC8-7)*AD8,AC8*AD8)))</f>
        <v/>
      </c>
      <c r="AF8" s="13" t="n">
        <v>0.21</v>
      </c>
      <c r="AG8" s="11">
        <f>IF(AE8&lt;&gt;"",AE8*AF8,"")</f>
        <v/>
      </c>
      <c r="AH8" s="11">
        <f>IF(AE8&lt;&gt;"",AE8+AG8,"")</f>
        <v/>
      </c>
      <c r="AL8">
        <f>IF($B8="GWE_Item",IF($AI8="Elektra",SUMIFS($W:$W,$A:$A,$A8,$B:$B,"GWE")-SUMIFS($V:$V,$A:$A,$A8,$B:$B,"GWE"),IF($AI8="Gas",SUMIFS($Y:$Y,$A:$A,$A8,$B:$B,"GWE")-SUMIFS($X:$X,$A:$A,$A8,$B:$B,"GWE"),IF($AI8="Water",SUMIFS($AA:$AA,$A:$A,$A8,$B:$B,"GWE")-SUMIFS($Z:$Z,$A:$A,$A8,$B:$B,"GWE"),""))),"")</f>
        <v/>
      </c>
      <c r="AN8" s="11">
        <f>IF(AND(AL8&lt;&gt;"",AM8&lt;&gt;""),AL8*AM8,"")</f>
        <v/>
      </c>
      <c r="AO8" s="13" t="n"/>
      <c r="AP8" s="11">
        <f>IF(AND(AN8&lt;&gt;"",AO8&lt;&gt;""),AN8*AO8,"")</f>
        <v/>
      </c>
      <c r="AQ8" s="11">
        <f>IF(AND(AN8&lt;&gt;"",AP8&lt;&gt;""),AN8+AP8,"")</f>
        <v/>
      </c>
    </row>
    <row r="9">
      <c r="D9" s="8">
        <f>IF(A9="","",VLOOKUP(A9,Lists!$A:$B,2,FALSE))</f>
        <v/>
      </c>
      <c r="E9" s="8">
        <f>IF(C9="","",VLOOKUP(C9,Lists!$C:$D,2,FALSE))</f>
        <v/>
      </c>
      <c r="F9" s="8" t="n"/>
      <c r="G9" s="8" t="n"/>
      <c r="J9" s="9">
        <f>IF(A9="","",IFERROR(VLOOKUP(A9,Lists!$A:$H,8,FALSE),0))</f>
        <v/>
      </c>
      <c r="L9" s="9">
        <f>IF(A9="","",IFERROR(VLOOKUP(A9,Lists!$A:$H,7,FALSE),0))</f>
        <v/>
      </c>
      <c r="M9" s="10" t="n">
        <v>0.21</v>
      </c>
      <c r="N9" s="11">
        <f>L9 * (1 + M9)</f>
        <v/>
      </c>
      <c r="O9" s="11">
        <f>IF(K9="Eigen Beheer",0,IF(AND(ISNUMBER(N9),I9&lt;&gt;"",H9&lt;&gt;""),ROUND((I9-H9)/Lists!$Q$2,2)*N9,0))</f>
        <v/>
      </c>
      <c r="R9" s="12">
        <f>IF(Q9="","",VLOOKUP(Q9,Lists!$E:$F,2,FALSE))</f>
        <v/>
      </c>
      <c r="AD9" s="9" t="n">
        <v>50</v>
      </c>
      <c r="AE9" s="11">
        <f>IF(AB9="","",IF(ISNUMBER(SEARCH("Basis",AB9)),(250/1.21)+MAX(0,AC9-5)*AD9,IF(ISNUMBER(SEARCH("Intensief",AB9)),(375/1.21)+MAX(0,AC9-7)*AD9,AC9*AD9)))</f>
        <v/>
      </c>
      <c r="AF9" s="13" t="n">
        <v>0.21</v>
      </c>
      <c r="AG9" s="11">
        <f>IF(AE9&lt;&gt;"",AE9*AF9,"")</f>
        <v/>
      </c>
      <c r="AH9" s="11">
        <f>IF(AE9&lt;&gt;"",AE9+AG9,"")</f>
        <v/>
      </c>
      <c r="AL9">
        <f>IF($B9="GWE_Item",IF($AI9="Elektra",SUMIFS($W:$W,$A:$A,$A9,$B:$B,"GWE")-SUMIFS($V:$V,$A:$A,$A9,$B:$B,"GWE"),IF($AI9="Gas",SUMIFS($Y:$Y,$A:$A,$A9,$B:$B,"GWE")-SUMIFS($X:$X,$A:$A,$A9,$B:$B,"GWE"),IF($AI9="Water",SUMIFS($AA:$AA,$A:$A,$A9,$B:$B,"GWE")-SUMIFS($Z:$Z,$A:$A,$A9,$B:$B,"GWE"),""))),"")</f>
        <v/>
      </c>
      <c r="AN9" s="11">
        <f>IF(AND(AL9&lt;&gt;"",AM9&lt;&gt;""),AL9*AM9,"")</f>
        <v/>
      </c>
      <c r="AO9" s="13" t="n"/>
      <c r="AP9" s="11">
        <f>IF(AND(AN9&lt;&gt;"",AO9&lt;&gt;""),AN9*AO9,"")</f>
        <v/>
      </c>
      <c r="AQ9" s="11">
        <f>IF(AND(AN9&lt;&gt;"",AP9&lt;&gt;""),AN9+AP9,"")</f>
        <v/>
      </c>
    </row>
    <row r="10">
      <c r="D10" s="8">
        <f>IF(A10="","",VLOOKUP(A10,Lists!$A:$B,2,FALSE))</f>
        <v/>
      </c>
      <c r="E10" s="8">
        <f>IF(C10="","",VLOOKUP(C10,Lists!$C:$D,2,FALSE))</f>
        <v/>
      </c>
      <c r="F10" s="8" t="n"/>
      <c r="G10" s="8" t="n"/>
      <c r="J10" s="9">
        <f>IF(A10="","",IFERROR(VLOOKUP(A10,Lists!$A:$H,8,FALSE),0))</f>
        <v/>
      </c>
      <c r="L10" s="9">
        <f>IF(A10="","",IFERROR(VLOOKUP(A10,Lists!$A:$H,7,FALSE),0))</f>
        <v/>
      </c>
      <c r="M10" s="10" t="n">
        <v>0.21</v>
      </c>
      <c r="N10" s="11">
        <f>L10 * (1 + M10)</f>
        <v/>
      </c>
      <c r="O10" s="11">
        <f>IF(K10="Eigen Beheer",0,IF(AND(ISNUMBER(N10),I10&lt;&gt;"",H10&lt;&gt;""),ROUND((I10-H10)/Lists!$Q$2,2)*N10,0))</f>
        <v/>
      </c>
      <c r="R10" s="12">
        <f>IF(Q10="","",VLOOKUP(Q10,Lists!$E:$F,2,FALSE))</f>
        <v/>
      </c>
      <c r="AD10" s="9" t="n">
        <v>50</v>
      </c>
      <c r="AE10" s="11">
        <f>IF(AB10="","",IF(ISNUMBER(SEARCH("Basis",AB10)),(250/1.21)+MAX(0,AC10-5)*AD10,IF(ISNUMBER(SEARCH("Intensief",AB10)),(375/1.21)+MAX(0,AC10-7)*AD10,AC10*AD10)))</f>
        <v/>
      </c>
      <c r="AF10" s="13" t="n">
        <v>0.21</v>
      </c>
      <c r="AG10" s="11">
        <f>IF(AE10&lt;&gt;"",AE10*AF10,"")</f>
        <v/>
      </c>
      <c r="AH10" s="11">
        <f>IF(AE10&lt;&gt;"",AE10+AG10,"")</f>
        <v/>
      </c>
      <c r="AL10">
        <f>IF($B10="GWE_Item",IF($AI10="Elektra",SUMIFS($W:$W,$A:$A,$A10,$B:$B,"GWE")-SUMIFS($V:$V,$A:$A,$A10,$B:$B,"GWE"),IF($AI10="Gas",SUMIFS($Y:$Y,$A:$A,$A10,$B:$B,"GWE")-SUMIFS($X:$X,$A:$A,$A10,$B:$B,"GWE"),IF($AI10="Water",SUMIFS($AA:$AA,$A:$A,$A10,$B:$B,"GWE")-SUMIFS($Z:$Z,$A:$A,$A10,$B:$B,"GWE"),""))),"")</f>
        <v/>
      </c>
      <c r="AN10" s="11">
        <f>IF(AND(AL10&lt;&gt;"",AM10&lt;&gt;""),AL10*AM10,"")</f>
        <v/>
      </c>
      <c r="AO10" s="13" t="n"/>
      <c r="AP10" s="11">
        <f>IF(AND(AN10&lt;&gt;"",AO10&lt;&gt;""),AN10*AO10,"")</f>
        <v/>
      </c>
      <c r="AQ10" s="11">
        <f>IF(AND(AN10&lt;&gt;"",AP10&lt;&gt;""),AN10+AP10,"")</f>
        <v/>
      </c>
    </row>
    <row r="11">
      <c r="D11" s="8">
        <f>IF(A11="","",VLOOKUP(A11,Lists!$A:$B,2,FALSE))</f>
        <v/>
      </c>
      <c r="E11" s="8">
        <f>IF(C11="","",VLOOKUP(C11,Lists!$C:$D,2,FALSE))</f>
        <v/>
      </c>
      <c r="F11" s="8" t="n"/>
      <c r="G11" s="8" t="n"/>
      <c r="J11" s="9">
        <f>IF(A11="","",IFERROR(VLOOKUP(A11,Lists!$A:$H,8,FALSE),0))</f>
        <v/>
      </c>
      <c r="L11" s="9">
        <f>IF(A11="","",IFERROR(VLOOKUP(A11,Lists!$A:$H,7,FALSE),0))</f>
        <v/>
      </c>
      <c r="M11" s="10" t="n">
        <v>0.21</v>
      </c>
      <c r="N11" s="11">
        <f>L11 * (1 + M11)</f>
        <v/>
      </c>
      <c r="O11" s="11">
        <f>IF(K11="Eigen Beheer",0,IF(AND(ISNUMBER(N11),I11&lt;&gt;"",H11&lt;&gt;""),ROUND((I11-H11)/Lists!$Q$2,2)*N11,0))</f>
        <v/>
      </c>
      <c r="R11" s="12">
        <f>IF(Q11="","",VLOOKUP(Q11,Lists!$E:$F,2,FALSE))</f>
        <v/>
      </c>
      <c r="AD11" s="9" t="n">
        <v>50</v>
      </c>
      <c r="AE11" s="11">
        <f>IF(AB11="","",IF(ISNUMBER(SEARCH("Basis",AB11)),(250/1.21)+MAX(0,AC11-5)*AD11,IF(ISNUMBER(SEARCH("Intensief",AB11)),(375/1.21)+MAX(0,AC11-7)*AD11,AC11*AD11)))</f>
        <v/>
      </c>
      <c r="AF11" s="13" t="n">
        <v>0.21</v>
      </c>
      <c r="AG11" s="11">
        <f>IF(AE11&lt;&gt;"",AE11*AF11,"")</f>
        <v/>
      </c>
      <c r="AH11" s="11">
        <f>IF(AE11&lt;&gt;"",AE11+AG11,"")</f>
        <v/>
      </c>
      <c r="AL11">
        <f>IF($B11="GWE_Item",IF($AI11="Elektra",SUMIFS($W:$W,$A:$A,$A11,$B:$B,"GWE")-SUMIFS($V:$V,$A:$A,$A11,$B:$B,"GWE"),IF($AI11="Gas",SUMIFS($Y:$Y,$A:$A,$A11,$B:$B,"GWE")-SUMIFS($X:$X,$A:$A,$A11,$B:$B,"GWE"),IF($AI11="Water",SUMIFS($AA:$AA,$A:$A,$A11,$B:$B,"GWE")-SUMIFS($Z:$Z,$A:$A,$A11,$B:$B,"GWE"),""))),"")</f>
        <v/>
      </c>
      <c r="AN11" s="11">
        <f>IF(AND(AL11&lt;&gt;"",AM11&lt;&gt;""),AL11*AM11,"")</f>
        <v/>
      </c>
      <c r="AO11" s="13" t="n"/>
      <c r="AP11" s="11">
        <f>IF(AND(AN11&lt;&gt;"",AO11&lt;&gt;""),AN11*AO11,"")</f>
        <v/>
      </c>
      <c r="AQ11" s="11">
        <f>IF(AND(AN11&lt;&gt;"",AP11&lt;&gt;""),AN11+AP11,"")</f>
        <v/>
      </c>
    </row>
    <row r="12">
      <c r="D12" s="8">
        <f>IF(A12="","",VLOOKUP(A12,Lists!$A:$B,2,FALSE))</f>
        <v/>
      </c>
      <c r="E12" s="8">
        <f>IF(C12="","",VLOOKUP(C12,Lists!$C:$D,2,FALSE))</f>
        <v/>
      </c>
      <c r="F12" s="8" t="n"/>
      <c r="G12" s="8" t="n"/>
      <c r="J12" s="9">
        <f>IF(A12="","",IFERROR(VLOOKUP(A12,Lists!$A:$H,8,FALSE),0))</f>
        <v/>
      </c>
      <c r="L12" s="9">
        <f>IF(A12="","",IFERROR(VLOOKUP(A12,Lists!$A:$H,7,FALSE),0))</f>
        <v/>
      </c>
      <c r="M12" s="10" t="n">
        <v>0.21</v>
      </c>
      <c r="N12" s="11">
        <f>L12 * (1 + M12)</f>
        <v/>
      </c>
      <c r="O12" s="11">
        <f>IF(K12="Eigen Beheer",0,IF(AND(ISNUMBER(N12),I12&lt;&gt;"",H12&lt;&gt;""),ROUND((I12-H12)/Lists!$Q$2,2)*N12,0))</f>
        <v/>
      </c>
      <c r="R12" s="12">
        <f>IF(Q12="","",VLOOKUP(Q12,Lists!$E:$F,2,FALSE))</f>
        <v/>
      </c>
      <c r="AD12" s="9" t="n">
        <v>50</v>
      </c>
      <c r="AE12" s="11">
        <f>IF(AB12="","",IF(ISNUMBER(SEARCH("Basis",AB12)),(250/1.21)+MAX(0,AC12-5)*AD12,IF(ISNUMBER(SEARCH("Intensief",AB12)),(375/1.21)+MAX(0,AC12-7)*AD12,AC12*AD12)))</f>
        <v/>
      </c>
      <c r="AF12" s="13" t="n">
        <v>0.21</v>
      </c>
      <c r="AG12" s="11">
        <f>IF(AE12&lt;&gt;"",AE12*AF12,"")</f>
        <v/>
      </c>
      <c r="AH12" s="11">
        <f>IF(AE12&lt;&gt;"",AE12+AG12,"")</f>
        <v/>
      </c>
      <c r="AL12">
        <f>IF($B12="GWE_Item",IF($AI12="Elektra",SUMIFS($W:$W,$A:$A,$A12,$B:$B,"GWE")-SUMIFS($V:$V,$A:$A,$A12,$B:$B,"GWE"),IF($AI12="Gas",SUMIFS($Y:$Y,$A:$A,$A12,$B:$B,"GWE")-SUMIFS($X:$X,$A:$A,$A12,$B:$B,"GWE"),IF($AI12="Water",SUMIFS($AA:$AA,$A:$A,$A12,$B:$B,"GWE")-SUMIFS($Z:$Z,$A:$A,$A12,$B:$B,"GWE"),""))),"")</f>
        <v/>
      </c>
      <c r="AN12" s="11">
        <f>IF(AND(AL12&lt;&gt;"",AM12&lt;&gt;""),AL12*AM12,"")</f>
        <v/>
      </c>
      <c r="AO12" s="13" t="n"/>
      <c r="AP12" s="11">
        <f>IF(AND(AN12&lt;&gt;"",AO12&lt;&gt;""),AN12*AO12,"")</f>
        <v/>
      </c>
      <c r="AQ12" s="11">
        <f>IF(AND(AN12&lt;&gt;"",AP12&lt;&gt;""),AN12+AP12,"")</f>
        <v/>
      </c>
    </row>
    <row r="13">
      <c r="D13" s="8">
        <f>IF(A13="","",VLOOKUP(A13,Lists!$A:$B,2,FALSE))</f>
        <v/>
      </c>
      <c r="E13" s="8">
        <f>IF(C13="","",VLOOKUP(C13,Lists!$C:$D,2,FALSE))</f>
        <v/>
      </c>
      <c r="F13" s="8" t="n"/>
      <c r="G13" s="8" t="n"/>
      <c r="J13" s="9">
        <f>IF(A13="","",IFERROR(VLOOKUP(A13,Lists!$A:$H,8,FALSE),0))</f>
        <v/>
      </c>
      <c r="L13" s="9">
        <f>IF(A13="","",IFERROR(VLOOKUP(A13,Lists!$A:$H,7,FALSE),0))</f>
        <v/>
      </c>
      <c r="M13" s="10" t="n">
        <v>0.21</v>
      </c>
      <c r="N13" s="11">
        <f>L13 * (1 + M13)</f>
        <v/>
      </c>
      <c r="O13" s="11">
        <f>IF(K13="Eigen Beheer",0,IF(AND(ISNUMBER(N13),I13&lt;&gt;"",H13&lt;&gt;""),ROUND((I13-H13)/Lists!$Q$2,2)*N13,0))</f>
        <v/>
      </c>
      <c r="R13" s="12">
        <f>IF(Q13="","",VLOOKUP(Q13,Lists!$E:$F,2,FALSE))</f>
        <v/>
      </c>
      <c r="AD13" s="9" t="n">
        <v>50</v>
      </c>
      <c r="AE13" s="11">
        <f>IF(AB13="","",IF(ISNUMBER(SEARCH("Basis",AB13)),(250/1.21)+MAX(0,AC13-5)*AD13,IF(ISNUMBER(SEARCH("Intensief",AB13)),(375/1.21)+MAX(0,AC13-7)*AD13,AC13*AD13)))</f>
        <v/>
      </c>
      <c r="AF13" s="13" t="n">
        <v>0.21</v>
      </c>
      <c r="AG13" s="11">
        <f>IF(AE13&lt;&gt;"",AE13*AF13,"")</f>
        <v/>
      </c>
      <c r="AH13" s="11">
        <f>IF(AE13&lt;&gt;"",AE13+AG13,"")</f>
        <v/>
      </c>
      <c r="AL13">
        <f>IF($B13="GWE_Item",IF($AI13="Elektra",SUMIFS($W:$W,$A:$A,$A13,$B:$B,"GWE")-SUMIFS($V:$V,$A:$A,$A13,$B:$B,"GWE"),IF($AI13="Gas",SUMIFS($Y:$Y,$A:$A,$A13,$B:$B,"GWE")-SUMIFS($X:$X,$A:$A,$A13,$B:$B,"GWE"),IF($AI13="Water",SUMIFS($AA:$AA,$A:$A,$A13,$B:$B,"GWE")-SUMIFS($Z:$Z,$A:$A,$A13,$B:$B,"GWE"),""))),"")</f>
        <v/>
      </c>
      <c r="AN13" s="11">
        <f>IF(AND(AL13&lt;&gt;"",AM13&lt;&gt;""),AL13*AM13,"")</f>
        <v/>
      </c>
      <c r="AO13" s="13" t="n"/>
      <c r="AP13" s="11">
        <f>IF(AND(AN13&lt;&gt;"",AO13&lt;&gt;""),AN13*AO13,"")</f>
        <v/>
      </c>
      <c r="AQ13" s="11">
        <f>IF(AND(AN13&lt;&gt;"",AP13&lt;&gt;""),AN13+AP13,"")</f>
        <v/>
      </c>
    </row>
    <row r="14">
      <c r="D14" s="8">
        <f>IF(A14="","",VLOOKUP(A14,Lists!$A:$B,2,FALSE))</f>
        <v/>
      </c>
      <c r="E14" s="8">
        <f>IF(C14="","",VLOOKUP(C14,Lists!$C:$D,2,FALSE))</f>
        <v/>
      </c>
      <c r="F14" s="8" t="n"/>
      <c r="G14" s="8" t="n"/>
      <c r="J14" s="9">
        <f>IF(A14="","",IFERROR(VLOOKUP(A14,Lists!$A:$H,8,FALSE),0))</f>
        <v/>
      </c>
      <c r="L14" s="9">
        <f>IF(A14="","",IFERROR(VLOOKUP(A14,Lists!$A:$H,7,FALSE),0))</f>
        <v/>
      </c>
      <c r="M14" s="10" t="n">
        <v>0.21</v>
      </c>
      <c r="N14" s="11">
        <f>L14 * (1 + M14)</f>
        <v/>
      </c>
      <c r="O14" s="11">
        <f>IF(K14="Eigen Beheer",0,IF(AND(ISNUMBER(N14),I14&lt;&gt;"",H14&lt;&gt;""),ROUND((I14-H14)/Lists!$Q$2,2)*N14,0))</f>
        <v/>
      </c>
      <c r="R14" s="12">
        <f>IF(Q14="","",VLOOKUP(Q14,Lists!$E:$F,2,FALSE))</f>
        <v/>
      </c>
      <c r="AD14" s="9" t="n">
        <v>50</v>
      </c>
      <c r="AE14" s="11">
        <f>IF(AB14="","",IF(ISNUMBER(SEARCH("Basis",AB14)),(250/1.21)+MAX(0,AC14-5)*AD14,IF(ISNUMBER(SEARCH("Intensief",AB14)),(375/1.21)+MAX(0,AC14-7)*AD14,AC14*AD14)))</f>
        <v/>
      </c>
      <c r="AF14" s="13" t="n">
        <v>0.21</v>
      </c>
      <c r="AG14" s="11">
        <f>IF(AE14&lt;&gt;"",AE14*AF14,"")</f>
        <v/>
      </c>
      <c r="AH14" s="11">
        <f>IF(AE14&lt;&gt;"",AE14+AG14,"")</f>
        <v/>
      </c>
      <c r="AL14">
        <f>IF($B14="GWE_Item",IF($AI14="Elektra",SUMIFS($W:$W,$A:$A,$A14,$B:$B,"GWE")-SUMIFS($V:$V,$A:$A,$A14,$B:$B,"GWE"),IF($AI14="Gas",SUMIFS($Y:$Y,$A:$A,$A14,$B:$B,"GWE")-SUMIFS($X:$X,$A:$A,$A14,$B:$B,"GWE"),IF($AI14="Water",SUMIFS($AA:$AA,$A:$A,$A14,$B:$B,"GWE")-SUMIFS($Z:$Z,$A:$A,$A14,$B:$B,"GWE"),""))),"")</f>
        <v/>
      </c>
      <c r="AN14" s="11">
        <f>IF(AND(AL14&lt;&gt;"",AM14&lt;&gt;""),AL14*AM14,"")</f>
        <v/>
      </c>
      <c r="AO14" s="13" t="n"/>
      <c r="AP14" s="11">
        <f>IF(AND(AN14&lt;&gt;"",AO14&lt;&gt;""),AN14*AO14,"")</f>
        <v/>
      </c>
      <c r="AQ14" s="11">
        <f>IF(AND(AN14&lt;&gt;"",AP14&lt;&gt;""),AN14+AP14,"")</f>
        <v/>
      </c>
    </row>
    <row r="15">
      <c r="D15" s="8">
        <f>IF(A15="","",VLOOKUP(A15,Lists!$A:$B,2,FALSE))</f>
        <v/>
      </c>
      <c r="E15" s="8">
        <f>IF(C15="","",VLOOKUP(C15,Lists!$C:$D,2,FALSE))</f>
        <v/>
      </c>
      <c r="F15" s="8" t="n"/>
      <c r="G15" s="8" t="n"/>
      <c r="J15" s="9">
        <f>IF(A15="","",IFERROR(VLOOKUP(A15,Lists!$A:$H,8,FALSE),0))</f>
        <v/>
      </c>
      <c r="L15" s="9">
        <f>IF(A15="","",IFERROR(VLOOKUP(A15,Lists!$A:$H,7,FALSE),0))</f>
        <v/>
      </c>
      <c r="M15" s="10" t="n">
        <v>0.21</v>
      </c>
      <c r="N15" s="11">
        <f>L15 * (1 + M15)</f>
        <v/>
      </c>
      <c r="O15" s="11">
        <f>IF(K15="Eigen Beheer",0,IF(AND(ISNUMBER(N15),I15&lt;&gt;"",H15&lt;&gt;""),ROUND((I15-H15)/Lists!$Q$2,2)*N15,0))</f>
        <v/>
      </c>
      <c r="R15" s="12">
        <f>IF(Q15="","",VLOOKUP(Q15,Lists!$E:$F,2,FALSE))</f>
        <v/>
      </c>
      <c r="AD15" s="9" t="n">
        <v>50</v>
      </c>
      <c r="AE15" s="11">
        <f>IF(AB15="","",IF(ISNUMBER(SEARCH("Basis",AB15)),(250/1.21)+MAX(0,AC15-5)*AD15,IF(ISNUMBER(SEARCH("Intensief",AB15)),(375/1.21)+MAX(0,AC15-7)*AD15,AC15*AD15)))</f>
        <v/>
      </c>
      <c r="AF15" s="13" t="n">
        <v>0.21</v>
      </c>
      <c r="AG15" s="11">
        <f>IF(AE15&lt;&gt;"",AE15*AF15,"")</f>
        <v/>
      </c>
      <c r="AH15" s="11">
        <f>IF(AE15&lt;&gt;"",AE15+AG15,"")</f>
        <v/>
      </c>
      <c r="AL15">
        <f>IF($B15="GWE_Item",IF($AI15="Elektra",SUMIFS($W:$W,$A:$A,$A15,$B:$B,"GWE")-SUMIFS($V:$V,$A:$A,$A15,$B:$B,"GWE"),IF($AI15="Gas",SUMIFS($Y:$Y,$A:$A,$A15,$B:$B,"GWE")-SUMIFS($X:$X,$A:$A,$A15,$B:$B,"GWE"),IF($AI15="Water",SUMIFS($AA:$AA,$A:$A,$A15,$B:$B,"GWE")-SUMIFS($Z:$Z,$A:$A,$A15,$B:$B,"GWE"),""))),"")</f>
        <v/>
      </c>
      <c r="AN15" s="11">
        <f>IF(AND(AL15&lt;&gt;"",AM15&lt;&gt;""),AL15*AM15,"")</f>
        <v/>
      </c>
      <c r="AO15" s="13" t="n"/>
      <c r="AP15" s="11">
        <f>IF(AND(AN15&lt;&gt;"",AO15&lt;&gt;""),AN15*AO15,"")</f>
        <v/>
      </c>
      <c r="AQ15" s="11">
        <f>IF(AND(AN15&lt;&gt;"",AP15&lt;&gt;""),AN15+AP15,"")</f>
        <v/>
      </c>
    </row>
    <row r="16">
      <c r="D16" s="8">
        <f>IF(A16="","",VLOOKUP(A16,Lists!$A:$B,2,FALSE))</f>
        <v/>
      </c>
      <c r="E16" s="8">
        <f>IF(C16="","",VLOOKUP(C16,Lists!$C:$D,2,FALSE))</f>
        <v/>
      </c>
      <c r="F16" s="8" t="n"/>
      <c r="G16" s="8" t="n"/>
      <c r="J16" s="9">
        <f>IF(A16="","",IFERROR(VLOOKUP(A16,Lists!$A:$H,8,FALSE),0))</f>
        <v/>
      </c>
      <c r="L16" s="9">
        <f>IF(A16="","",IFERROR(VLOOKUP(A16,Lists!$A:$H,7,FALSE),0))</f>
        <v/>
      </c>
      <c r="M16" s="10" t="n">
        <v>0.21</v>
      </c>
      <c r="N16" s="11">
        <f>L16 * (1 + M16)</f>
        <v/>
      </c>
      <c r="O16" s="11">
        <f>IF(K16="Eigen Beheer",0,IF(AND(ISNUMBER(N16),I16&lt;&gt;"",H16&lt;&gt;""),ROUND((I16-H16)/Lists!$Q$2,2)*N16,0))</f>
        <v/>
      </c>
      <c r="R16" s="12">
        <f>IF(Q16="","",VLOOKUP(Q16,Lists!$E:$F,2,FALSE))</f>
        <v/>
      </c>
      <c r="AD16" s="9" t="n">
        <v>50</v>
      </c>
      <c r="AE16" s="11">
        <f>IF(AB16="","",IF(ISNUMBER(SEARCH("Basis",AB16)),(250/1.21)+MAX(0,AC16-5)*AD16,IF(ISNUMBER(SEARCH("Intensief",AB16)),(375/1.21)+MAX(0,AC16-7)*AD16,AC16*AD16)))</f>
        <v/>
      </c>
      <c r="AF16" s="13" t="n">
        <v>0.21</v>
      </c>
      <c r="AG16" s="11">
        <f>IF(AE16&lt;&gt;"",AE16*AF16,"")</f>
        <v/>
      </c>
      <c r="AH16" s="11">
        <f>IF(AE16&lt;&gt;"",AE16+AG16,"")</f>
        <v/>
      </c>
      <c r="AL16">
        <f>IF($B16="GWE_Item",IF($AI16="Elektra",SUMIFS($W:$W,$A:$A,$A16,$B:$B,"GWE")-SUMIFS($V:$V,$A:$A,$A16,$B:$B,"GWE"),IF($AI16="Gas",SUMIFS($Y:$Y,$A:$A,$A16,$B:$B,"GWE")-SUMIFS($X:$X,$A:$A,$A16,$B:$B,"GWE"),IF($AI16="Water",SUMIFS($AA:$AA,$A:$A,$A16,$B:$B,"GWE")-SUMIFS($Z:$Z,$A:$A,$A16,$B:$B,"GWE"),""))),"")</f>
        <v/>
      </c>
      <c r="AN16" s="11">
        <f>IF(AND(AL16&lt;&gt;"",AM16&lt;&gt;""),AL16*AM16,"")</f>
        <v/>
      </c>
      <c r="AO16" s="13" t="n"/>
      <c r="AP16" s="11">
        <f>IF(AND(AN16&lt;&gt;"",AO16&lt;&gt;""),AN16*AO16,"")</f>
        <v/>
      </c>
      <c r="AQ16" s="11">
        <f>IF(AND(AN16&lt;&gt;"",AP16&lt;&gt;""),AN16+AP16,"")</f>
        <v/>
      </c>
    </row>
    <row r="17">
      <c r="D17" s="8">
        <f>IF(A17="","",VLOOKUP(A17,Lists!$A:$B,2,FALSE))</f>
        <v/>
      </c>
      <c r="E17" s="8">
        <f>IF(C17="","",VLOOKUP(C17,Lists!$C:$D,2,FALSE))</f>
        <v/>
      </c>
      <c r="F17" s="8" t="n"/>
      <c r="G17" s="8" t="n"/>
      <c r="J17" s="9">
        <f>IF(A17="","",IFERROR(VLOOKUP(A17,Lists!$A:$H,8,FALSE),0))</f>
        <v/>
      </c>
      <c r="L17" s="9">
        <f>IF(A17="","",IFERROR(VLOOKUP(A17,Lists!$A:$H,7,FALSE),0))</f>
        <v/>
      </c>
      <c r="M17" s="10" t="n">
        <v>0.21</v>
      </c>
      <c r="N17" s="11">
        <f>L17 * (1 + M17)</f>
        <v/>
      </c>
      <c r="O17" s="11">
        <f>IF(K17="Eigen Beheer",0,IF(AND(ISNUMBER(N17),I17&lt;&gt;"",H17&lt;&gt;""),ROUND((I17-H17)/Lists!$Q$2,2)*N17,0))</f>
        <v/>
      </c>
      <c r="R17" s="12">
        <f>IF(Q17="","",VLOOKUP(Q17,Lists!$E:$F,2,FALSE))</f>
        <v/>
      </c>
      <c r="AD17" s="9" t="n">
        <v>50</v>
      </c>
      <c r="AE17" s="11">
        <f>IF(AB17="","",IF(ISNUMBER(SEARCH("Basis",AB17)),(250/1.21)+MAX(0,AC17-5)*AD17,IF(ISNUMBER(SEARCH("Intensief",AB17)),(375/1.21)+MAX(0,AC17-7)*AD17,AC17*AD17)))</f>
        <v/>
      </c>
      <c r="AF17" s="13" t="n">
        <v>0.21</v>
      </c>
      <c r="AG17" s="11">
        <f>IF(AE17&lt;&gt;"",AE17*AF17,"")</f>
        <v/>
      </c>
      <c r="AH17" s="11">
        <f>IF(AE17&lt;&gt;"",AE17+AG17,"")</f>
        <v/>
      </c>
      <c r="AL17">
        <f>IF($B17="GWE_Item",IF($AI17="Elektra",SUMIFS($W:$W,$A:$A,$A17,$B:$B,"GWE")-SUMIFS($V:$V,$A:$A,$A17,$B:$B,"GWE"),IF($AI17="Gas",SUMIFS($Y:$Y,$A:$A,$A17,$B:$B,"GWE")-SUMIFS($X:$X,$A:$A,$A17,$B:$B,"GWE"),IF($AI17="Water",SUMIFS($AA:$AA,$A:$A,$A17,$B:$B,"GWE")-SUMIFS($Z:$Z,$A:$A,$A17,$B:$B,"GWE"),""))),"")</f>
        <v/>
      </c>
      <c r="AN17" s="11">
        <f>IF(AND(AL17&lt;&gt;"",AM17&lt;&gt;""),AL17*AM17,"")</f>
        <v/>
      </c>
      <c r="AO17" s="13" t="n"/>
      <c r="AP17" s="11">
        <f>IF(AND(AN17&lt;&gt;"",AO17&lt;&gt;""),AN17*AO17,"")</f>
        <v/>
      </c>
      <c r="AQ17" s="11">
        <f>IF(AND(AN17&lt;&gt;"",AP17&lt;&gt;""),AN17+AP17,"")</f>
        <v/>
      </c>
    </row>
    <row r="18">
      <c r="D18" s="8">
        <f>IF(A18="","",VLOOKUP(A18,Lists!$A:$B,2,FALSE))</f>
        <v/>
      </c>
      <c r="E18" s="8">
        <f>IF(C18="","",VLOOKUP(C18,Lists!$C:$D,2,FALSE))</f>
        <v/>
      </c>
      <c r="F18" s="8" t="n"/>
      <c r="G18" s="8" t="n"/>
      <c r="J18" s="9">
        <f>IF(A18="","",IFERROR(VLOOKUP(A18,Lists!$A:$H,8,FALSE),0))</f>
        <v/>
      </c>
      <c r="L18" s="9">
        <f>IF(A18="","",IFERROR(VLOOKUP(A18,Lists!$A:$H,7,FALSE),0))</f>
        <v/>
      </c>
      <c r="M18" s="10" t="n">
        <v>0.21</v>
      </c>
      <c r="N18" s="11">
        <f>L18 * (1 + M18)</f>
        <v/>
      </c>
      <c r="O18" s="11">
        <f>IF(K18="Eigen Beheer",0,IF(AND(ISNUMBER(N18),I18&lt;&gt;"",H18&lt;&gt;""),ROUND((I18-H18)/Lists!$Q$2,2)*N18,0))</f>
        <v/>
      </c>
      <c r="R18" s="12">
        <f>IF(Q18="","",VLOOKUP(Q18,Lists!$E:$F,2,FALSE))</f>
        <v/>
      </c>
      <c r="AD18" s="9" t="n">
        <v>50</v>
      </c>
      <c r="AE18" s="11">
        <f>IF(AB18="","",IF(ISNUMBER(SEARCH("Basis",AB18)),(250/1.21)+MAX(0,AC18-5)*AD18,IF(ISNUMBER(SEARCH("Intensief",AB18)),(375/1.21)+MAX(0,AC18-7)*AD18,AC18*AD18)))</f>
        <v/>
      </c>
      <c r="AF18" s="13" t="n">
        <v>0.21</v>
      </c>
      <c r="AG18" s="11">
        <f>IF(AE18&lt;&gt;"",AE18*AF18,"")</f>
        <v/>
      </c>
      <c r="AH18" s="11">
        <f>IF(AE18&lt;&gt;"",AE18+AG18,"")</f>
        <v/>
      </c>
      <c r="AL18">
        <f>IF($B18="GWE_Item",IF($AI18="Elektra",SUMIFS($W:$W,$A:$A,$A18,$B:$B,"GWE")-SUMIFS($V:$V,$A:$A,$A18,$B:$B,"GWE"),IF($AI18="Gas",SUMIFS($Y:$Y,$A:$A,$A18,$B:$B,"GWE")-SUMIFS($X:$X,$A:$A,$A18,$B:$B,"GWE"),IF($AI18="Water",SUMIFS($AA:$AA,$A:$A,$A18,$B:$B,"GWE")-SUMIFS($Z:$Z,$A:$A,$A18,$B:$B,"GWE"),""))),"")</f>
        <v/>
      </c>
      <c r="AN18" s="11">
        <f>IF(AND(AL18&lt;&gt;"",AM18&lt;&gt;""),AL18*AM18,"")</f>
        <v/>
      </c>
      <c r="AO18" s="13" t="n"/>
      <c r="AP18" s="11">
        <f>IF(AND(AN18&lt;&gt;"",AO18&lt;&gt;""),AN18*AO18,"")</f>
        <v/>
      </c>
      <c r="AQ18" s="11">
        <f>IF(AND(AN18&lt;&gt;"",AP18&lt;&gt;""),AN18+AP18,"")</f>
        <v/>
      </c>
    </row>
    <row r="19">
      <c r="D19" s="8">
        <f>IF(A19="","",VLOOKUP(A19,Lists!$A:$B,2,FALSE))</f>
        <v/>
      </c>
      <c r="E19" s="8">
        <f>IF(C19="","",VLOOKUP(C19,Lists!$C:$D,2,FALSE))</f>
        <v/>
      </c>
      <c r="F19" s="8" t="n"/>
      <c r="G19" s="8" t="n"/>
      <c r="J19" s="9">
        <f>IF(A19="","",IFERROR(VLOOKUP(A19,Lists!$A:$H,8,FALSE),0))</f>
        <v/>
      </c>
      <c r="L19" s="9">
        <f>IF(A19="","",IFERROR(VLOOKUP(A19,Lists!$A:$H,7,FALSE),0))</f>
        <v/>
      </c>
      <c r="M19" s="10" t="n">
        <v>0.21</v>
      </c>
      <c r="N19" s="11">
        <f>L19 * (1 + M19)</f>
        <v/>
      </c>
      <c r="O19" s="11">
        <f>IF(K19="Eigen Beheer",0,IF(AND(ISNUMBER(N19),I19&lt;&gt;"",H19&lt;&gt;""),ROUND((I19-H19)/Lists!$Q$2,2)*N19,0))</f>
        <v/>
      </c>
      <c r="R19" s="12">
        <f>IF(Q19="","",VLOOKUP(Q19,Lists!$E:$F,2,FALSE))</f>
        <v/>
      </c>
      <c r="AD19" s="9" t="n">
        <v>50</v>
      </c>
      <c r="AE19" s="11">
        <f>IF(AB19="","",IF(ISNUMBER(SEARCH("Basis",AB19)),(250/1.21)+MAX(0,AC19-5)*AD19,IF(ISNUMBER(SEARCH("Intensief",AB19)),(375/1.21)+MAX(0,AC19-7)*AD19,AC19*AD19)))</f>
        <v/>
      </c>
      <c r="AF19" s="13" t="n">
        <v>0.21</v>
      </c>
      <c r="AG19" s="11">
        <f>IF(AE19&lt;&gt;"",AE19*AF19,"")</f>
        <v/>
      </c>
      <c r="AH19" s="11">
        <f>IF(AE19&lt;&gt;"",AE19+AG19,"")</f>
        <v/>
      </c>
      <c r="AL19">
        <f>IF($B19="GWE_Item",IF($AI19="Elektra",SUMIFS($W:$W,$A:$A,$A19,$B:$B,"GWE")-SUMIFS($V:$V,$A:$A,$A19,$B:$B,"GWE"),IF($AI19="Gas",SUMIFS($Y:$Y,$A:$A,$A19,$B:$B,"GWE")-SUMIFS($X:$X,$A:$A,$A19,$B:$B,"GWE"),IF($AI19="Water",SUMIFS($AA:$AA,$A:$A,$A19,$B:$B,"GWE")-SUMIFS($Z:$Z,$A:$A,$A19,$B:$B,"GWE"),""))),"")</f>
        <v/>
      </c>
      <c r="AN19" s="11">
        <f>IF(AND(AL19&lt;&gt;"",AM19&lt;&gt;""),AL19*AM19,"")</f>
        <v/>
      </c>
      <c r="AO19" s="13" t="n"/>
      <c r="AP19" s="11">
        <f>IF(AND(AN19&lt;&gt;"",AO19&lt;&gt;""),AN19*AO19,"")</f>
        <v/>
      </c>
      <c r="AQ19" s="11">
        <f>IF(AND(AN19&lt;&gt;"",AP19&lt;&gt;""),AN19+AP19,"")</f>
        <v/>
      </c>
    </row>
    <row r="20">
      <c r="D20" s="8">
        <f>IF(A20="","",VLOOKUP(A20,Lists!$A:$B,2,FALSE))</f>
        <v/>
      </c>
      <c r="E20" s="8">
        <f>IF(C20="","",VLOOKUP(C20,Lists!$C:$D,2,FALSE))</f>
        <v/>
      </c>
      <c r="F20" s="8" t="n"/>
      <c r="G20" s="8" t="n"/>
      <c r="J20" s="9">
        <f>IF(A20="","",IFERROR(VLOOKUP(A20,Lists!$A:$H,8,FALSE),0))</f>
        <v/>
      </c>
      <c r="L20" s="9">
        <f>IF(A20="","",IFERROR(VLOOKUP(A20,Lists!$A:$H,7,FALSE),0))</f>
        <v/>
      </c>
      <c r="M20" s="10" t="n">
        <v>0.21</v>
      </c>
      <c r="N20" s="11">
        <f>L20 * (1 + M20)</f>
        <v/>
      </c>
      <c r="O20" s="11">
        <f>IF(K20="Eigen Beheer",0,IF(AND(ISNUMBER(N20),I20&lt;&gt;"",H20&lt;&gt;""),ROUND((I20-H20)/Lists!$Q$2,2)*N20,0))</f>
        <v/>
      </c>
      <c r="R20" s="12">
        <f>IF(Q20="","",VLOOKUP(Q20,Lists!$E:$F,2,FALSE))</f>
        <v/>
      </c>
      <c r="AD20" s="9" t="n">
        <v>50</v>
      </c>
      <c r="AE20" s="11">
        <f>IF(AB20="","",IF(ISNUMBER(SEARCH("Basis",AB20)),(250/1.21)+MAX(0,AC20-5)*AD20,IF(ISNUMBER(SEARCH("Intensief",AB20)),(375/1.21)+MAX(0,AC20-7)*AD20,AC20*AD20)))</f>
        <v/>
      </c>
      <c r="AF20" s="13" t="n">
        <v>0.21</v>
      </c>
      <c r="AG20" s="11">
        <f>IF(AE20&lt;&gt;"",AE20*AF20,"")</f>
        <v/>
      </c>
      <c r="AH20" s="11">
        <f>IF(AE20&lt;&gt;"",AE20+AG20,"")</f>
        <v/>
      </c>
      <c r="AL20">
        <f>IF($B20="GWE_Item",IF($AI20="Elektra",SUMIFS($W:$W,$A:$A,$A20,$B:$B,"GWE")-SUMIFS($V:$V,$A:$A,$A20,$B:$B,"GWE"),IF($AI20="Gas",SUMIFS($Y:$Y,$A:$A,$A20,$B:$B,"GWE")-SUMIFS($X:$X,$A:$A,$A20,$B:$B,"GWE"),IF($AI20="Water",SUMIFS($AA:$AA,$A:$A,$A20,$B:$B,"GWE")-SUMIFS($Z:$Z,$A:$A,$A20,$B:$B,"GWE"),""))),"")</f>
        <v/>
      </c>
      <c r="AN20" s="11">
        <f>IF(AND(AL20&lt;&gt;"",AM20&lt;&gt;""),AL20*AM20,"")</f>
        <v/>
      </c>
      <c r="AO20" s="13" t="n"/>
      <c r="AP20" s="11">
        <f>IF(AND(AN20&lt;&gt;"",AO20&lt;&gt;""),AN20*AO20,"")</f>
        <v/>
      </c>
      <c r="AQ20" s="11">
        <f>IF(AND(AN20&lt;&gt;"",AP20&lt;&gt;""),AN20+AP20,"")</f>
        <v/>
      </c>
    </row>
    <row r="21">
      <c r="D21" s="8">
        <f>IF(A21="","",VLOOKUP(A21,Lists!$A:$B,2,FALSE))</f>
        <v/>
      </c>
      <c r="E21" s="8">
        <f>IF(C21="","",VLOOKUP(C21,Lists!$C:$D,2,FALSE))</f>
        <v/>
      </c>
      <c r="F21" s="8" t="n"/>
      <c r="G21" s="8" t="n"/>
      <c r="J21" s="9">
        <f>IF(A21="","",IFERROR(VLOOKUP(A21,Lists!$A:$H,8,FALSE),0))</f>
        <v/>
      </c>
      <c r="L21" s="9">
        <f>IF(A21="","",IFERROR(VLOOKUP(A21,Lists!$A:$H,7,FALSE),0))</f>
        <v/>
      </c>
      <c r="M21" s="10" t="n">
        <v>0.21</v>
      </c>
      <c r="N21" s="11">
        <f>L21 * (1 + M21)</f>
        <v/>
      </c>
      <c r="O21" s="11">
        <f>IF(K21="Eigen Beheer",0,IF(AND(ISNUMBER(N21),I21&lt;&gt;"",H21&lt;&gt;""),ROUND((I21-H21)/Lists!$Q$2,2)*N21,0))</f>
        <v/>
      </c>
      <c r="R21" s="12">
        <f>IF(Q21="","",VLOOKUP(Q21,Lists!$E:$F,2,FALSE))</f>
        <v/>
      </c>
      <c r="AD21" s="9" t="n">
        <v>50</v>
      </c>
      <c r="AE21" s="11">
        <f>IF(AB21="","",IF(ISNUMBER(SEARCH("Basis",AB21)),(250/1.21)+MAX(0,AC21-5)*AD21,IF(ISNUMBER(SEARCH("Intensief",AB21)),(375/1.21)+MAX(0,AC21-7)*AD21,AC21*AD21)))</f>
        <v/>
      </c>
      <c r="AF21" s="13" t="n">
        <v>0.21</v>
      </c>
      <c r="AG21" s="11">
        <f>IF(AE21&lt;&gt;"",AE21*AF21,"")</f>
        <v/>
      </c>
      <c r="AH21" s="11">
        <f>IF(AE21&lt;&gt;"",AE21+AG21,"")</f>
        <v/>
      </c>
      <c r="AL21">
        <f>IF($B21="GWE_Item",IF($AI21="Elektra",SUMIFS($W:$W,$A:$A,$A21,$B:$B,"GWE")-SUMIFS($V:$V,$A:$A,$A21,$B:$B,"GWE"),IF($AI21="Gas",SUMIFS($Y:$Y,$A:$A,$A21,$B:$B,"GWE")-SUMIFS($X:$X,$A:$A,$A21,$B:$B,"GWE"),IF($AI21="Water",SUMIFS($AA:$AA,$A:$A,$A21,$B:$B,"GWE")-SUMIFS($Z:$Z,$A:$A,$A21,$B:$B,"GWE"),""))),"")</f>
        <v/>
      </c>
      <c r="AN21" s="11">
        <f>IF(AND(AL21&lt;&gt;"",AM21&lt;&gt;""),AL21*AM21,"")</f>
        <v/>
      </c>
      <c r="AO21" s="13" t="n"/>
      <c r="AP21" s="11">
        <f>IF(AND(AN21&lt;&gt;"",AO21&lt;&gt;""),AN21*AO21,"")</f>
        <v/>
      </c>
      <c r="AQ21" s="11">
        <f>IF(AND(AN21&lt;&gt;"",AP21&lt;&gt;""),AN21+AP21,"")</f>
        <v/>
      </c>
    </row>
    <row r="22">
      <c r="D22" s="8">
        <f>IF(A22="","",VLOOKUP(A22,Lists!$A:$B,2,FALSE))</f>
        <v/>
      </c>
      <c r="E22" s="8">
        <f>IF(C22="","",VLOOKUP(C22,Lists!$C:$D,2,FALSE))</f>
        <v/>
      </c>
      <c r="F22" s="8" t="n"/>
      <c r="G22" s="8" t="n"/>
      <c r="J22" s="9">
        <f>IF(A22="","",IFERROR(VLOOKUP(A22,Lists!$A:$H,8,FALSE),0))</f>
        <v/>
      </c>
      <c r="L22" s="9">
        <f>IF(A22="","",IFERROR(VLOOKUP(A22,Lists!$A:$H,7,FALSE),0))</f>
        <v/>
      </c>
      <c r="M22" s="10" t="n">
        <v>0.21</v>
      </c>
      <c r="N22" s="11">
        <f>L22 * (1 + M22)</f>
        <v/>
      </c>
      <c r="O22" s="11">
        <f>IF(K22="Eigen Beheer",0,IF(AND(ISNUMBER(N22),I22&lt;&gt;"",H22&lt;&gt;""),ROUND((I22-H22)/Lists!$Q$2,2)*N22,0))</f>
        <v/>
      </c>
      <c r="R22" s="12">
        <f>IF(Q22="","",VLOOKUP(Q22,Lists!$E:$F,2,FALSE))</f>
        <v/>
      </c>
      <c r="AD22" s="9" t="n">
        <v>50</v>
      </c>
      <c r="AE22" s="11">
        <f>IF(AB22="","",IF(ISNUMBER(SEARCH("Basis",AB22)),(250/1.21)+MAX(0,AC22-5)*AD22,IF(ISNUMBER(SEARCH("Intensief",AB22)),(375/1.21)+MAX(0,AC22-7)*AD22,AC22*AD22)))</f>
        <v/>
      </c>
      <c r="AF22" s="13" t="n">
        <v>0.21</v>
      </c>
      <c r="AG22" s="11">
        <f>IF(AE22&lt;&gt;"",AE22*AF22,"")</f>
        <v/>
      </c>
      <c r="AH22" s="11">
        <f>IF(AE22&lt;&gt;"",AE22+AG22,"")</f>
        <v/>
      </c>
      <c r="AL22">
        <f>IF($B22="GWE_Item",IF($AI22="Elektra",SUMIFS($W:$W,$A:$A,$A22,$B:$B,"GWE")-SUMIFS($V:$V,$A:$A,$A22,$B:$B,"GWE"),IF($AI22="Gas",SUMIFS($Y:$Y,$A:$A,$A22,$B:$B,"GWE")-SUMIFS($X:$X,$A:$A,$A22,$B:$B,"GWE"),IF($AI22="Water",SUMIFS($AA:$AA,$A:$A,$A22,$B:$B,"GWE")-SUMIFS($Z:$Z,$A:$A,$A22,$B:$B,"GWE"),""))),"")</f>
        <v/>
      </c>
      <c r="AN22" s="11">
        <f>IF(AND(AL22&lt;&gt;"",AM22&lt;&gt;""),AL22*AM22,"")</f>
        <v/>
      </c>
      <c r="AO22" s="13" t="n"/>
      <c r="AP22" s="11">
        <f>IF(AND(AN22&lt;&gt;"",AO22&lt;&gt;""),AN22*AO22,"")</f>
        <v/>
      </c>
      <c r="AQ22" s="11">
        <f>IF(AND(AN22&lt;&gt;"",AP22&lt;&gt;""),AN22+AP22,"")</f>
        <v/>
      </c>
    </row>
    <row r="23">
      <c r="D23" s="8">
        <f>IF(A23="","",VLOOKUP(A23,Lists!$A:$B,2,FALSE))</f>
        <v/>
      </c>
      <c r="E23" s="8">
        <f>IF(C23="","",VLOOKUP(C23,Lists!$C:$D,2,FALSE))</f>
        <v/>
      </c>
      <c r="F23" s="8" t="n"/>
      <c r="G23" s="8" t="n"/>
      <c r="J23" s="9">
        <f>IF(A23="","",IFERROR(VLOOKUP(A23,Lists!$A:$H,8,FALSE),0))</f>
        <v/>
      </c>
      <c r="L23" s="9">
        <f>IF(A23="","",IFERROR(VLOOKUP(A23,Lists!$A:$H,7,FALSE),0))</f>
        <v/>
      </c>
      <c r="M23" s="10" t="n">
        <v>0.21</v>
      </c>
      <c r="N23" s="11">
        <f>L23 * (1 + M23)</f>
        <v/>
      </c>
      <c r="O23" s="11">
        <f>IF(K23="Eigen Beheer",0,IF(AND(ISNUMBER(N23),I23&lt;&gt;"",H23&lt;&gt;""),ROUND((I23-H23)/Lists!$Q$2,2)*N23,0))</f>
        <v/>
      </c>
      <c r="R23" s="12">
        <f>IF(Q23="","",VLOOKUP(Q23,Lists!$E:$F,2,FALSE))</f>
        <v/>
      </c>
      <c r="AD23" s="9" t="n">
        <v>50</v>
      </c>
      <c r="AE23" s="11">
        <f>IF(AB23="","",IF(ISNUMBER(SEARCH("Basis",AB23)),(250/1.21)+MAX(0,AC23-5)*AD23,IF(ISNUMBER(SEARCH("Intensief",AB23)),(375/1.21)+MAX(0,AC23-7)*AD23,AC23*AD23)))</f>
        <v/>
      </c>
      <c r="AF23" s="13" t="n">
        <v>0.21</v>
      </c>
      <c r="AG23" s="11">
        <f>IF(AE23&lt;&gt;"",AE23*AF23,"")</f>
        <v/>
      </c>
      <c r="AH23" s="11">
        <f>IF(AE23&lt;&gt;"",AE23+AG23,"")</f>
        <v/>
      </c>
      <c r="AL23">
        <f>IF($B23="GWE_Item",IF($AI23="Elektra",SUMIFS($W:$W,$A:$A,$A23,$B:$B,"GWE")-SUMIFS($V:$V,$A:$A,$A23,$B:$B,"GWE"),IF($AI23="Gas",SUMIFS($Y:$Y,$A:$A,$A23,$B:$B,"GWE")-SUMIFS($X:$X,$A:$A,$A23,$B:$B,"GWE"),IF($AI23="Water",SUMIFS($AA:$AA,$A:$A,$A23,$B:$B,"GWE")-SUMIFS($Z:$Z,$A:$A,$A23,$B:$B,"GWE"),""))),"")</f>
        <v/>
      </c>
      <c r="AN23" s="11">
        <f>IF(AND(AL23&lt;&gt;"",AM23&lt;&gt;""),AL23*AM23,"")</f>
        <v/>
      </c>
      <c r="AO23" s="13" t="n"/>
      <c r="AP23" s="11">
        <f>IF(AND(AN23&lt;&gt;"",AO23&lt;&gt;""),AN23*AO23,"")</f>
        <v/>
      </c>
      <c r="AQ23" s="11">
        <f>IF(AND(AN23&lt;&gt;"",AP23&lt;&gt;""),AN23+AP23,"")</f>
        <v/>
      </c>
    </row>
    <row r="24">
      <c r="D24" s="8">
        <f>IF(A24="","",VLOOKUP(A24,Lists!$A:$B,2,FALSE))</f>
        <v/>
      </c>
      <c r="E24" s="8">
        <f>IF(C24="","",VLOOKUP(C24,Lists!$C:$D,2,FALSE))</f>
        <v/>
      </c>
      <c r="F24" s="8" t="n"/>
      <c r="G24" s="8" t="n"/>
      <c r="J24" s="9">
        <f>IF(A24="","",IFERROR(VLOOKUP(A24,Lists!$A:$H,8,FALSE),0))</f>
        <v/>
      </c>
      <c r="L24" s="9">
        <f>IF(A24="","",IFERROR(VLOOKUP(A24,Lists!$A:$H,7,FALSE),0))</f>
        <v/>
      </c>
      <c r="M24" s="10" t="n">
        <v>0.21</v>
      </c>
      <c r="N24" s="11">
        <f>L24 * (1 + M24)</f>
        <v/>
      </c>
      <c r="O24" s="11">
        <f>IF(K24="Eigen Beheer",0,IF(AND(ISNUMBER(N24),I24&lt;&gt;"",H24&lt;&gt;""),ROUND((I24-H24)/Lists!$Q$2,2)*N24,0))</f>
        <v/>
      </c>
      <c r="R24" s="12">
        <f>IF(Q24="","",VLOOKUP(Q24,Lists!$E:$F,2,FALSE))</f>
        <v/>
      </c>
      <c r="AD24" s="9" t="n">
        <v>50</v>
      </c>
      <c r="AE24" s="11">
        <f>IF(AB24="","",IF(ISNUMBER(SEARCH("Basis",AB24)),(250/1.21)+MAX(0,AC24-5)*AD24,IF(ISNUMBER(SEARCH("Intensief",AB24)),(375/1.21)+MAX(0,AC24-7)*AD24,AC24*AD24)))</f>
        <v/>
      </c>
      <c r="AF24" s="13" t="n">
        <v>0.21</v>
      </c>
      <c r="AG24" s="11">
        <f>IF(AE24&lt;&gt;"",AE24*AF24,"")</f>
        <v/>
      </c>
      <c r="AH24" s="11">
        <f>IF(AE24&lt;&gt;"",AE24+AG24,"")</f>
        <v/>
      </c>
      <c r="AL24">
        <f>IF($B24="GWE_Item",IF($AI24="Elektra",SUMIFS($W:$W,$A:$A,$A24,$B:$B,"GWE")-SUMIFS($V:$V,$A:$A,$A24,$B:$B,"GWE"),IF($AI24="Gas",SUMIFS($Y:$Y,$A:$A,$A24,$B:$B,"GWE")-SUMIFS($X:$X,$A:$A,$A24,$B:$B,"GWE"),IF($AI24="Water",SUMIFS($AA:$AA,$A:$A,$A24,$B:$B,"GWE")-SUMIFS($Z:$Z,$A:$A,$A24,$B:$B,"GWE"),""))),"")</f>
        <v/>
      </c>
      <c r="AN24" s="11">
        <f>IF(AND(AL24&lt;&gt;"",AM24&lt;&gt;""),AL24*AM24,"")</f>
        <v/>
      </c>
      <c r="AO24" s="13" t="n"/>
      <c r="AP24" s="11">
        <f>IF(AND(AN24&lt;&gt;"",AO24&lt;&gt;""),AN24*AO24,"")</f>
        <v/>
      </c>
      <c r="AQ24" s="11">
        <f>IF(AND(AN24&lt;&gt;"",AP24&lt;&gt;""),AN24+AP24,"")</f>
        <v/>
      </c>
    </row>
    <row r="25">
      <c r="D25" s="8">
        <f>IF(A25="","",VLOOKUP(A25,Lists!$A:$B,2,FALSE))</f>
        <v/>
      </c>
      <c r="E25" s="8">
        <f>IF(C25="","",VLOOKUP(C25,Lists!$C:$D,2,FALSE))</f>
        <v/>
      </c>
      <c r="F25" s="8" t="n"/>
      <c r="G25" s="8" t="n"/>
      <c r="J25" s="9">
        <f>IF(A25="","",IFERROR(VLOOKUP(A25,Lists!$A:$H,8,FALSE),0))</f>
        <v/>
      </c>
      <c r="L25" s="9">
        <f>IF(A25="","",IFERROR(VLOOKUP(A25,Lists!$A:$H,7,FALSE),0))</f>
        <v/>
      </c>
      <c r="M25" s="10" t="n">
        <v>0.21</v>
      </c>
      <c r="N25" s="11">
        <f>L25 * (1 + M25)</f>
        <v/>
      </c>
      <c r="O25" s="11">
        <f>IF(K25="Eigen Beheer",0,IF(AND(ISNUMBER(N25),I25&lt;&gt;"",H25&lt;&gt;""),ROUND((I25-H25)/Lists!$Q$2,2)*N25,0))</f>
        <v/>
      </c>
      <c r="R25" s="12">
        <f>IF(Q25="","",VLOOKUP(Q25,Lists!$E:$F,2,FALSE))</f>
        <v/>
      </c>
      <c r="AD25" s="9" t="n">
        <v>50</v>
      </c>
      <c r="AE25" s="11">
        <f>IF(AB25="","",IF(ISNUMBER(SEARCH("Basis",AB25)),(250/1.21)+MAX(0,AC25-5)*AD25,IF(ISNUMBER(SEARCH("Intensief",AB25)),(375/1.21)+MAX(0,AC25-7)*AD25,AC25*AD25)))</f>
        <v/>
      </c>
      <c r="AF25" s="13" t="n">
        <v>0.21</v>
      </c>
      <c r="AG25" s="11">
        <f>IF(AE25&lt;&gt;"",AE25*AF25,"")</f>
        <v/>
      </c>
      <c r="AH25" s="11">
        <f>IF(AE25&lt;&gt;"",AE25+AG25,"")</f>
        <v/>
      </c>
      <c r="AL25">
        <f>IF($B25="GWE_Item",IF($AI25="Elektra",SUMIFS($W:$W,$A:$A,$A25,$B:$B,"GWE")-SUMIFS($V:$V,$A:$A,$A25,$B:$B,"GWE"),IF($AI25="Gas",SUMIFS($Y:$Y,$A:$A,$A25,$B:$B,"GWE")-SUMIFS($X:$X,$A:$A,$A25,$B:$B,"GWE"),IF($AI25="Water",SUMIFS($AA:$AA,$A:$A,$A25,$B:$B,"GWE")-SUMIFS($Z:$Z,$A:$A,$A25,$B:$B,"GWE"),""))),"")</f>
        <v/>
      </c>
      <c r="AN25" s="11">
        <f>IF(AND(AL25&lt;&gt;"",AM25&lt;&gt;""),AL25*AM25,"")</f>
        <v/>
      </c>
      <c r="AO25" s="13" t="n"/>
      <c r="AP25" s="11">
        <f>IF(AND(AN25&lt;&gt;"",AO25&lt;&gt;""),AN25*AO25,"")</f>
        <v/>
      </c>
      <c r="AQ25" s="11">
        <f>IF(AND(AN25&lt;&gt;"",AP25&lt;&gt;""),AN25+AP25,"")</f>
        <v/>
      </c>
    </row>
    <row r="26">
      <c r="D26" s="8">
        <f>IF(A26="","",VLOOKUP(A26,Lists!$A:$B,2,FALSE))</f>
        <v/>
      </c>
      <c r="E26" s="8">
        <f>IF(C26="","",VLOOKUP(C26,Lists!$C:$D,2,FALSE))</f>
        <v/>
      </c>
      <c r="F26" s="8" t="n"/>
      <c r="G26" s="8" t="n"/>
      <c r="J26" s="9">
        <f>IF(A26="","",IFERROR(VLOOKUP(A26,Lists!$A:$H,8,FALSE),0))</f>
        <v/>
      </c>
      <c r="L26" s="9">
        <f>IF(A26="","",IFERROR(VLOOKUP(A26,Lists!$A:$H,7,FALSE),0))</f>
        <v/>
      </c>
      <c r="M26" s="10" t="n">
        <v>0.21</v>
      </c>
      <c r="N26" s="11">
        <f>L26 * (1 + M26)</f>
        <v/>
      </c>
      <c r="O26" s="11">
        <f>IF(K26="Eigen Beheer",0,IF(AND(ISNUMBER(N26),I26&lt;&gt;"",H26&lt;&gt;""),ROUND((I26-H26)/Lists!$Q$2,2)*N26,0))</f>
        <v/>
      </c>
      <c r="R26" s="12">
        <f>IF(Q26="","",VLOOKUP(Q26,Lists!$E:$F,2,FALSE))</f>
        <v/>
      </c>
      <c r="AD26" s="9" t="n">
        <v>50</v>
      </c>
      <c r="AE26" s="11">
        <f>IF(AB26="","",IF(ISNUMBER(SEARCH("Basis",AB26)),(250/1.21)+MAX(0,AC26-5)*AD26,IF(ISNUMBER(SEARCH("Intensief",AB26)),(375/1.21)+MAX(0,AC26-7)*AD26,AC26*AD26)))</f>
        <v/>
      </c>
      <c r="AF26" s="13" t="n">
        <v>0.21</v>
      </c>
      <c r="AG26" s="11">
        <f>IF(AE26&lt;&gt;"",AE26*AF26,"")</f>
        <v/>
      </c>
      <c r="AH26" s="11">
        <f>IF(AE26&lt;&gt;"",AE26+AG26,"")</f>
        <v/>
      </c>
      <c r="AL26">
        <f>IF($B26="GWE_Item",IF($AI26="Elektra",SUMIFS($W:$W,$A:$A,$A26,$B:$B,"GWE")-SUMIFS($V:$V,$A:$A,$A26,$B:$B,"GWE"),IF($AI26="Gas",SUMIFS($Y:$Y,$A:$A,$A26,$B:$B,"GWE")-SUMIFS($X:$X,$A:$A,$A26,$B:$B,"GWE"),IF($AI26="Water",SUMIFS($AA:$AA,$A:$A,$A26,$B:$B,"GWE")-SUMIFS($Z:$Z,$A:$A,$A26,$B:$B,"GWE"),""))),"")</f>
        <v/>
      </c>
      <c r="AN26" s="11">
        <f>IF(AND(AL26&lt;&gt;"",AM26&lt;&gt;""),AL26*AM26,"")</f>
        <v/>
      </c>
      <c r="AO26" s="13" t="n"/>
      <c r="AP26" s="11">
        <f>IF(AND(AN26&lt;&gt;"",AO26&lt;&gt;""),AN26*AO26,"")</f>
        <v/>
      </c>
      <c r="AQ26" s="11">
        <f>IF(AND(AN26&lt;&gt;"",AP26&lt;&gt;""),AN26+AP26,"")</f>
        <v/>
      </c>
    </row>
    <row r="27">
      <c r="D27" s="8">
        <f>IF(A27="","",VLOOKUP(A27,Lists!$A:$B,2,FALSE))</f>
        <v/>
      </c>
      <c r="E27" s="8">
        <f>IF(C27="","",VLOOKUP(C27,Lists!$C:$D,2,FALSE))</f>
        <v/>
      </c>
      <c r="F27" s="8" t="n"/>
      <c r="G27" s="8" t="n"/>
      <c r="J27" s="9">
        <f>IF(A27="","",IFERROR(VLOOKUP(A27,Lists!$A:$H,8,FALSE),0))</f>
        <v/>
      </c>
      <c r="L27" s="9">
        <f>IF(A27="","",IFERROR(VLOOKUP(A27,Lists!$A:$H,7,FALSE),0))</f>
        <v/>
      </c>
      <c r="M27" s="10" t="n">
        <v>0.21</v>
      </c>
      <c r="N27" s="11">
        <f>L27 * (1 + M27)</f>
        <v/>
      </c>
      <c r="O27" s="11">
        <f>IF(K27="Eigen Beheer",0,IF(AND(ISNUMBER(N27),I27&lt;&gt;"",H27&lt;&gt;""),ROUND((I27-H27)/Lists!$Q$2,2)*N27,0))</f>
        <v/>
      </c>
      <c r="R27" s="12">
        <f>IF(Q27="","",VLOOKUP(Q27,Lists!$E:$F,2,FALSE))</f>
        <v/>
      </c>
      <c r="AD27" s="9" t="n">
        <v>50</v>
      </c>
      <c r="AE27" s="11">
        <f>IF(AB27="","",IF(ISNUMBER(SEARCH("Basis",AB27)),(250/1.21)+MAX(0,AC27-5)*AD27,IF(ISNUMBER(SEARCH("Intensief",AB27)),(375/1.21)+MAX(0,AC27-7)*AD27,AC27*AD27)))</f>
        <v/>
      </c>
      <c r="AF27" s="13" t="n">
        <v>0.21</v>
      </c>
      <c r="AG27" s="11">
        <f>IF(AE27&lt;&gt;"",AE27*AF27,"")</f>
        <v/>
      </c>
      <c r="AH27" s="11">
        <f>IF(AE27&lt;&gt;"",AE27+AG27,"")</f>
        <v/>
      </c>
      <c r="AL27">
        <f>IF($B27="GWE_Item",IF($AI27="Elektra",SUMIFS($W:$W,$A:$A,$A27,$B:$B,"GWE")-SUMIFS($V:$V,$A:$A,$A27,$B:$B,"GWE"),IF($AI27="Gas",SUMIFS($Y:$Y,$A:$A,$A27,$B:$B,"GWE")-SUMIFS($X:$X,$A:$A,$A27,$B:$B,"GWE"),IF($AI27="Water",SUMIFS($AA:$AA,$A:$A,$A27,$B:$B,"GWE")-SUMIFS($Z:$Z,$A:$A,$A27,$B:$B,"GWE"),""))),"")</f>
        <v/>
      </c>
      <c r="AN27" s="11">
        <f>IF(AND(AL27&lt;&gt;"",AM27&lt;&gt;""),AL27*AM27,"")</f>
        <v/>
      </c>
      <c r="AO27" s="13" t="n"/>
      <c r="AP27" s="11">
        <f>IF(AND(AN27&lt;&gt;"",AO27&lt;&gt;""),AN27*AO27,"")</f>
        <v/>
      </c>
      <c r="AQ27" s="11">
        <f>IF(AND(AN27&lt;&gt;"",AP27&lt;&gt;""),AN27+AP27,"")</f>
        <v/>
      </c>
    </row>
    <row r="28">
      <c r="D28" s="8">
        <f>IF(A28="","",VLOOKUP(A28,Lists!$A:$B,2,FALSE))</f>
        <v/>
      </c>
      <c r="E28" s="8">
        <f>IF(C28="","",VLOOKUP(C28,Lists!$C:$D,2,FALSE))</f>
        <v/>
      </c>
      <c r="F28" s="8" t="n"/>
      <c r="G28" s="8" t="n"/>
      <c r="J28" s="9">
        <f>IF(A28="","",IFERROR(VLOOKUP(A28,Lists!$A:$H,8,FALSE),0))</f>
        <v/>
      </c>
      <c r="L28" s="9">
        <f>IF(A28="","",IFERROR(VLOOKUP(A28,Lists!$A:$H,7,FALSE),0))</f>
        <v/>
      </c>
      <c r="M28" s="10" t="n">
        <v>0.21</v>
      </c>
      <c r="N28" s="11">
        <f>L28 * (1 + M28)</f>
        <v/>
      </c>
      <c r="O28" s="11">
        <f>IF(K28="Eigen Beheer",0,IF(AND(ISNUMBER(N28),I28&lt;&gt;"",H28&lt;&gt;""),ROUND((I28-H28)/Lists!$Q$2,2)*N28,0))</f>
        <v/>
      </c>
      <c r="R28" s="12">
        <f>IF(Q28="","",VLOOKUP(Q28,Lists!$E:$F,2,FALSE))</f>
        <v/>
      </c>
      <c r="AD28" s="9" t="n">
        <v>50</v>
      </c>
      <c r="AE28" s="11">
        <f>IF(AB28="","",IF(ISNUMBER(SEARCH("Basis",AB28)),(250/1.21)+MAX(0,AC28-5)*AD28,IF(ISNUMBER(SEARCH("Intensief",AB28)),(375/1.21)+MAX(0,AC28-7)*AD28,AC28*AD28)))</f>
        <v/>
      </c>
      <c r="AF28" s="13" t="n">
        <v>0.21</v>
      </c>
      <c r="AG28" s="11">
        <f>IF(AE28&lt;&gt;"",AE28*AF28,"")</f>
        <v/>
      </c>
      <c r="AH28" s="11">
        <f>IF(AE28&lt;&gt;"",AE28+AG28,"")</f>
        <v/>
      </c>
      <c r="AL28">
        <f>IF($B28="GWE_Item",IF($AI28="Elektra",SUMIFS($W:$W,$A:$A,$A28,$B:$B,"GWE")-SUMIFS($V:$V,$A:$A,$A28,$B:$B,"GWE"),IF($AI28="Gas",SUMIFS($Y:$Y,$A:$A,$A28,$B:$B,"GWE")-SUMIFS($X:$X,$A:$A,$A28,$B:$B,"GWE"),IF($AI28="Water",SUMIFS($AA:$AA,$A:$A,$A28,$B:$B,"GWE")-SUMIFS($Z:$Z,$A:$A,$A28,$B:$B,"GWE"),""))),"")</f>
        <v/>
      </c>
      <c r="AN28" s="11">
        <f>IF(AND(AL28&lt;&gt;"",AM28&lt;&gt;""),AL28*AM28,"")</f>
        <v/>
      </c>
      <c r="AO28" s="13" t="n"/>
      <c r="AP28" s="11">
        <f>IF(AND(AN28&lt;&gt;"",AO28&lt;&gt;""),AN28*AO28,"")</f>
        <v/>
      </c>
      <c r="AQ28" s="11">
        <f>IF(AND(AN28&lt;&gt;"",AP28&lt;&gt;""),AN28+AP28,"")</f>
        <v/>
      </c>
    </row>
    <row r="29">
      <c r="D29" s="8">
        <f>IF(A29="","",VLOOKUP(A29,Lists!$A:$B,2,FALSE))</f>
        <v/>
      </c>
      <c r="E29" s="8">
        <f>IF(C29="","",VLOOKUP(C29,Lists!$C:$D,2,FALSE))</f>
        <v/>
      </c>
      <c r="F29" s="8" t="n"/>
      <c r="G29" s="8" t="n"/>
      <c r="J29" s="9">
        <f>IF(A29="","",IFERROR(VLOOKUP(A29,Lists!$A:$H,8,FALSE),0))</f>
        <v/>
      </c>
      <c r="L29" s="9">
        <f>IF(A29="","",IFERROR(VLOOKUP(A29,Lists!$A:$H,7,FALSE),0))</f>
        <v/>
      </c>
      <c r="M29" s="10" t="n">
        <v>0.21</v>
      </c>
      <c r="N29" s="11">
        <f>L29 * (1 + M29)</f>
        <v/>
      </c>
      <c r="O29" s="11">
        <f>IF(K29="Eigen Beheer",0,IF(AND(ISNUMBER(N29),I29&lt;&gt;"",H29&lt;&gt;""),ROUND((I29-H29)/Lists!$Q$2,2)*N29,0))</f>
        <v/>
      </c>
      <c r="R29" s="12">
        <f>IF(Q29="","",VLOOKUP(Q29,Lists!$E:$F,2,FALSE))</f>
        <v/>
      </c>
      <c r="AD29" s="9" t="n">
        <v>50</v>
      </c>
      <c r="AE29" s="11">
        <f>IF(AB29="","",IF(ISNUMBER(SEARCH("Basis",AB29)),(250/1.21)+MAX(0,AC29-5)*AD29,IF(ISNUMBER(SEARCH("Intensief",AB29)),(375/1.21)+MAX(0,AC29-7)*AD29,AC29*AD29)))</f>
        <v/>
      </c>
      <c r="AF29" s="13" t="n">
        <v>0.21</v>
      </c>
      <c r="AG29" s="11">
        <f>IF(AE29&lt;&gt;"",AE29*AF29,"")</f>
        <v/>
      </c>
      <c r="AH29" s="11">
        <f>IF(AE29&lt;&gt;"",AE29+AG29,"")</f>
        <v/>
      </c>
      <c r="AL29">
        <f>IF($B29="GWE_Item",IF($AI29="Elektra",SUMIFS($W:$W,$A:$A,$A29,$B:$B,"GWE")-SUMIFS($V:$V,$A:$A,$A29,$B:$B,"GWE"),IF($AI29="Gas",SUMIFS($Y:$Y,$A:$A,$A29,$B:$B,"GWE")-SUMIFS($X:$X,$A:$A,$A29,$B:$B,"GWE"),IF($AI29="Water",SUMIFS($AA:$AA,$A:$A,$A29,$B:$B,"GWE")-SUMIFS($Z:$Z,$A:$A,$A29,$B:$B,"GWE"),""))),"")</f>
        <v/>
      </c>
      <c r="AN29" s="11">
        <f>IF(AND(AL29&lt;&gt;"",AM29&lt;&gt;""),AL29*AM29,"")</f>
        <v/>
      </c>
      <c r="AO29" s="13" t="n"/>
      <c r="AP29" s="11">
        <f>IF(AND(AN29&lt;&gt;"",AO29&lt;&gt;""),AN29*AO29,"")</f>
        <v/>
      </c>
      <c r="AQ29" s="11">
        <f>IF(AND(AN29&lt;&gt;"",AP29&lt;&gt;""),AN29+AP29,"")</f>
        <v/>
      </c>
    </row>
    <row r="30">
      <c r="D30" s="8">
        <f>IF(A30="","",VLOOKUP(A30,Lists!$A:$B,2,FALSE))</f>
        <v/>
      </c>
      <c r="E30" s="8">
        <f>IF(C30="","",VLOOKUP(C30,Lists!$C:$D,2,FALSE))</f>
        <v/>
      </c>
      <c r="F30" s="8" t="n"/>
      <c r="G30" s="8" t="n"/>
      <c r="J30" s="9">
        <f>IF(A30="","",IFERROR(VLOOKUP(A30,Lists!$A:$H,8,FALSE),0))</f>
        <v/>
      </c>
      <c r="L30" s="9">
        <f>IF(A30="","",IFERROR(VLOOKUP(A30,Lists!$A:$H,7,FALSE),0))</f>
        <v/>
      </c>
      <c r="M30" s="10" t="n">
        <v>0.21</v>
      </c>
      <c r="N30" s="11">
        <f>L30 * (1 + M30)</f>
        <v/>
      </c>
      <c r="O30" s="11">
        <f>IF(K30="Eigen Beheer",0,IF(AND(ISNUMBER(N30),I30&lt;&gt;"",H30&lt;&gt;""),ROUND((I30-H30)/Lists!$Q$2,2)*N30,0))</f>
        <v/>
      </c>
      <c r="R30" s="12">
        <f>IF(Q30="","",VLOOKUP(Q30,Lists!$E:$F,2,FALSE))</f>
        <v/>
      </c>
      <c r="AD30" s="9" t="n">
        <v>50</v>
      </c>
      <c r="AE30" s="11">
        <f>IF(AB30="","",IF(ISNUMBER(SEARCH("Basis",AB30)),(250/1.21)+MAX(0,AC30-5)*AD30,IF(ISNUMBER(SEARCH("Intensief",AB30)),(375/1.21)+MAX(0,AC30-7)*AD30,AC30*AD30)))</f>
        <v/>
      </c>
      <c r="AF30" s="13" t="n">
        <v>0.21</v>
      </c>
      <c r="AG30" s="11">
        <f>IF(AE30&lt;&gt;"",AE30*AF30,"")</f>
        <v/>
      </c>
      <c r="AH30" s="11">
        <f>IF(AE30&lt;&gt;"",AE30+AG30,"")</f>
        <v/>
      </c>
      <c r="AL30">
        <f>IF($B30="GWE_Item",IF($AI30="Elektra",SUMIFS($W:$W,$A:$A,$A30,$B:$B,"GWE")-SUMIFS($V:$V,$A:$A,$A30,$B:$B,"GWE"),IF($AI30="Gas",SUMIFS($Y:$Y,$A:$A,$A30,$B:$B,"GWE")-SUMIFS($X:$X,$A:$A,$A30,$B:$B,"GWE"),IF($AI30="Water",SUMIFS($AA:$AA,$A:$A,$A30,$B:$B,"GWE")-SUMIFS($Z:$Z,$A:$A,$A30,$B:$B,"GWE"),""))),"")</f>
        <v/>
      </c>
      <c r="AN30" s="11">
        <f>IF(AND(AL30&lt;&gt;"",AM30&lt;&gt;""),AL30*AM30,"")</f>
        <v/>
      </c>
      <c r="AO30" s="13" t="n"/>
      <c r="AP30" s="11">
        <f>IF(AND(AN30&lt;&gt;"",AO30&lt;&gt;""),AN30*AO30,"")</f>
        <v/>
      </c>
      <c r="AQ30" s="11">
        <f>IF(AND(AN30&lt;&gt;"",AP30&lt;&gt;""),AN30+AP30,"")</f>
        <v/>
      </c>
    </row>
    <row r="31">
      <c r="D31" s="8">
        <f>IF(A31="","",VLOOKUP(A31,Lists!$A:$B,2,FALSE))</f>
        <v/>
      </c>
      <c r="E31" s="8">
        <f>IF(C31="","",VLOOKUP(C31,Lists!$C:$D,2,FALSE))</f>
        <v/>
      </c>
      <c r="F31" s="8" t="n"/>
      <c r="G31" s="8" t="n"/>
      <c r="J31" s="9">
        <f>IF(A31="","",IFERROR(VLOOKUP(A31,Lists!$A:$H,8,FALSE),0))</f>
        <v/>
      </c>
      <c r="L31" s="9">
        <f>IF(A31="","",IFERROR(VLOOKUP(A31,Lists!$A:$H,7,FALSE),0))</f>
        <v/>
      </c>
      <c r="M31" s="10" t="n">
        <v>0.21</v>
      </c>
      <c r="N31" s="11">
        <f>L31 * (1 + M31)</f>
        <v/>
      </c>
      <c r="O31" s="11">
        <f>IF(K31="Eigen Beheer",0,IF(AND(ISNUMBER(N31),I31&lt;&gt;"",H31&lt;&gt;""),ROUND((I31-H31)/Lists!$Q$2,2)*N31,0))</f>
        <v/>
      </c>
      <c r="R31" s="12">
        <f>IF(Q31="","",VLOOKUP(Q31,Lists!$E:$F,2,FALSE))</f>
        <v/>
      </c>
      <c r="AD31" s="9" t="n">
        <v>50</v>
      </c>
      <c r="AE31" s="11">
        <f>IF(AB31="","",IF(ISNUMBER(SEARCH("Basis",AB31)),(250/1.21)+MAX(0,AC31-5)*AD31,IF(ISNUMBER(SEARCH("Intensief",AB31)),(375/1.21)+MAX(0,AC31-7)*AD31,AC31*AD31)))</f>
        <v/>
      </c>
      <c r="AF31" s="13" t="n">
        <v>0.21</v>
      </c>
      <c r="AG31" s="11">
        <f>IF(AE31&lt;&gt;"",AE31*AF31,"")</f>
        <v/>
      </c>
      <c r="AH31" s="11">
        <f>IF(AE31&lt;&gt;"",AE31+AG31,"")</f>
        <v/>
      </c>
      <c r="AL31">
        <f>IF($B31="GWE_Item",IF($AI31="Elektra",SUMIFS($W:$W,$A:$A,$A31,$B:$B,"GWE")-SUMIFS($V:$V,$A:$A,$A31,$B:$B,"GWE"),IF($AI31="Gas",SUMIFS($Y:$Y,$A:$A,$A31,$B:$B,"GWE")-SUMIFS($X:$X,$A:$A,$A31,$B:$B,"GWE"),IF($AI31="Water",SUMIFS($AA:$AA,$A:$A,$A31,$B:$B,"GWE")-SUMIFS($Z:$Z,$A:$A,$A31,$B:$B,"GWE"),""))),"")</f>
        <v/>
      </c>
      <c r="AN31" s="11">
        <f>IF(AND(AL31&lt;&gt;"",AM31&lt;&gt;""),AL31*AM31,"")</f>
        <v/>
      </c>
      <c r="AO31" s="13" t="n"/>
      <c r="AP31" s="11">
        <f>IF(AND(AN31&lt;&gt;"",AO31&lt;&gt;""),AN31*AO31,"")</f>
        <v/>
      </c>
      <c r="AQ31" s="11">
        <f>IF(AND(AN31&lt;&gt;"",AP31&lt;&gt;""),AN31+AP31,"")</f>
        <v/>
      </c>
    </row>
    <row r="32">
      <c r="D32" s="8">
        <f>IF(A32="","",VLOOKUP(A32,Lists!$A:$B,2,FALSE))</f>
        <v/>
      </c>
      <c r="E32" s="8">
        <f>IF(C32="","",VLOOKUP(C32,Lists!$C:$D,2,FALSE))</f>
        <v/>
      </c>
      <c r="F32" s="8" t="n"/>
      <c r="G32" s="8" t="n"/>
      <c r="J32" s="9">
        <f>IF(A32="","",IFERROR(VLOOKUP(A32,Lists!$A:$H,8,FALSE),0))</f>
        <v/>
      </c>
      <c r="L32" s="9">
        <f>IF(A32="","",IFERROR(VLOOKUP(A32,Lists!$A:$H,7,FALSE),0))</f>
        <v/>
      </c>
      <c r="M32" s="10" t="n">
        <v>0.21</v>
      </c>
      <c r="N32" s="11">
        <f>L32 * (1 + M32)</f>
        <v/>
      </c>
      <c r="O32" s="11">
        <f>IF(K32="Eigen Beheer",0,IF(AND(ISNUMBER(N32),I32&lt;&gt;"",H32&lt;&gt;""),ROUND((I32-H32)/Lists!$Q$2,2)*N32,0))</f>
        <v/>
      </c>
      <c r="R32" s="12">
        <f>IF(Q32="","",VLOOKUP(Q32,Lists!$E:$F,2,FALSE))</f>
        <v/>
      </c>
      <c r="AD32" s="9" t="n">
        <v>50</v>
      </c>
      <c r="AE32" s="11">
        <f>IF(AB32="","",IF(ISNUMBER(SEARCH("Basis",AB32)),(250/1.21)+MAX(0,AC32-5)*AD32,IF(ISNUMBER(SEARCH("Intensief",AB32)),(375/1.21)+MAX(0,AC32-7)*AD32,AC32*AD32)))</f>
        <v/>
      </c>
      <c r="AF32" s="13" t="n">
        <v>0.21</v>
      </c>
      <c r="AG32" s="11">
        <f>IF(AE32&lt;&gt;"",AE32*AF32,"")</f>
        <v/>
      </c>
      <c r="AH32" s="11">
        <f>IF(AE32&lt;&gt;"",AE32+AG32,"")</f>
        <v/>
      </c>
      <c r="AL32">
        <f>IF($B32="GWE_Item",IF($AI32="Elektra",SUMIFS($W:$W,$A:$A,$A32,$B:$B,"GWE")-SUMIFS($V:$V,$A:$A,$A32,$B:$B,"GWE"),IF($AI32="Gas",SUMIFS($Y:$Y,$A:$A,$A32,$B:$B,"GWE")-SUMIFS($X:$X,$A:$A,$A32,$B:$B,"GWE"),IF($AI32="Water",SUMIFS($AA:$AA,$A:$A,$A32,$B:$B,"GWE")-SUMIFS($Z:$Z,$A:$A,$A32,$B:$B,"GWE"),""))),"")</f>
        <v/>
      </c>
      <c r="AN32" s="11">
        <f>IF(AND(AL32&lt;&gt;"",AM32&lt;&gt;""),AL32*AM32,"")</f>
        <v/>
      </c>
      <c r="AO32" s="13" t="n"/>
      <c r="AP32" s="11">
        <f>IF(AND(AN32&lt;&gt;"",AO32&lt;&gt;""),AN32*AO32,"")</f>
        <v/>
      </c>
      <c r="AQ32" s="11">
        <f>IF(AND(AN32&lt;&gt;"",AP32&lt;&gt;""),AN32+AP32,"")</f>
        <v/>
      </c>
    </row>
    <row r="33">
      <c r="D33" s="8">
        <f>IF(A33="","",VLOOKUP(A33,Lists!$A:$B,2,FALSE))</f>
        <v/>
      </c>
      <c r="E33" s="8">
        <f>IF(C33="","",VLOOKUP(C33,Lists!$C:$D,2,FALSE))</f>
        <v/>
      </c>
      <c r="F33" s="8" t="n"/>
      <c r="G33" s="8" t="n"/>
      <c r="J33" s="9">
        <f>IF(A33="","",IFERROR(VLOOKUP(A33,Lists!$A:$H,8,FALSE),0))</f>
        <v/>
      </c>
      <c r="L33" s="9">
        <f>IF(A33="","",IFERROR(VLOOKUP(A33,Lists!$A:$H,7,FALSE),0))</f>
        <v/>
      </c>
      <c r="M33" s="10" t="n">
        <v>0.21</v>
      </c>
      <c r="N33" s="11">
        <f>L33 * (1 + M33)</f>
        <v/>
      </c>
      <c r="O33" s="11">
        <f>IF(K33="Eigen Beheer",0,IF(AND(ISNUMBER(N33),I33&lt;&gt;"",H33&lt;&gt;""),ROUND((I33-H33)/Lists!$Q$2,2)*N33,0))</f>
        <v/>
      </c>
      <c r="R33" s="12">
        <f>IF(Q33="","",VLOOKUP(Q33,Lists!$E:$F,2,FALSE))</f>
        <v/>
      </c>
      <c r="AD33" s="9" t="n">
        <v>50</v>
      </c>
      <c r="AE33" s="11">
        <f>IF(AB33="","",IF(ISNUMBER(SEARCH("Basis",AB33)),(250/1.21)+MAX(0,AC33-5)*AD33,IF(ISNUMBER(SEARCH("Intensief",AB33)),(375/1.21)+MAX(0,AC33-7)*AD33,AC33*AD33)))</f>
        <v/>
      </c>
      <c r="AF33" s="13" t="n">
        <v>0.21</v>
      </c>
      <c r="AG33" s="11">
        <f>IF(AE33&lt;&gt;"",AE33*AF33,"")</f>
        <v/>
      </c>
      <c r="AH33" s="11">
        <f>IF(AE33&lt;&gt;"",AE33+AG33,"")</f>
        <v/>
      </c>
      <c r="AL33">
        <f>IF($B33="GWE_Item",IF($AI33="Elektra",SUMIFS($W:$W,$A:$A,$A33,$B:$B,"GWE")-SUMIFS($V:$V,$A:$A,$A33,$B:$B,"GWE"),IF($AI33="Gas",SUMIFS($Y:$Y,$A:$A,$A33,$B:$B,"GWE")-SUMIFS($X:$X,$A:$A,$A33,$B:$B,"GWE"),IF($AI33="Water",SUMIFS($AA:$AA,$A:$A,$A33,$B:$B,"GWE")-SUMIFS($Z:$Z,$A:$A,$A33,$B:$B,"GWE"),""))),"")</f>
        <v/>
      </c>
      <c r="AN33" s="11">
        <f>IF(AND(AL33&lt;&gt;"",AM33&lt;&gt;""),AL33*AM33,"")</f>
        <v/>
      </c>
      <c r="AO33" s="13" t="n"/>
      <c r="AP33" s="11">
        <f>IF(AND(AN33&lt;&gt;"",AO33&lt;&gt;""),AN33*AO33,"")</f>
        <v/>
      </c>
      <c r="AQ33" s="11">
        <f>IF(AND(AN33&lt;&gt;"",AP33&lt;&gt;""),AN33+AP33,"")</f>
        <v/>
      </c>
    </row>
    <row r="34">
      <c r="D34" s="8">
        <f>IF(A34="","",VLOOKUP(A34,Lists!$A:$B,2,FALSE))</f>
        <v/>
      </c>
      <c r="E34" s="8">
        <f>IF(C34="","",VLOOKUP(C34,Lists!$C:$D,2,FALSE))</f>
        <v/>
      </c>
      <c r="F34" s="8" t="n"/>
      <c r="G34" s="8" t="n"/>
      <c r="J34" s="9">
        <f>IF(A34="","",IFERROR(VLOOKUP(A34,Lists!$A:$H,8,FALSE),0))</f>
        <v/>
      </c>
      <c r="L34" s="9">
        <f>IF(A34="","",IFERROR(VLOOKUP(A34,Lists!$A:$H,7,FALSE),0))</f>
        <v/>
      </c>
      <c r="M34" s="10" t="n">
        <v>0.21</v>
      </c>
      <c r="N34" s="11">
        <f>L34 * (1 + M34)</f>
        <v/>
      </c>
      <c r="O34" s="11">
        <f>IF(K34="Eigen Beheer",0,IF(AND(ISNUMBER(N34),I34&lt;&gt;"",H34&lt;&gt;""),ROUND((I34-H34)/Lists!$Q$2,2)*N34,0))</f>
        <v/>
      </c>
      <c r="R34" s="12">
        <f>IF(Q34="","",VLOOKUP(Q34,Lists!$E:$F,2,FALSE))</f>
        <v/>
      </c>
      <c r="AD34" s="9" t="n">
        <v>50</v>
      </c>
      <c r="AE34" s="11">
        <f>IF(AB34="","",IF(ISNUMBER(SEARCH("Basis",AB34)),(250/1.21)+MAX(0,AC34-5)*AD34,IF(ISNUMBER(SEARCH("Intensief",AB34)),(375/1.21)+MAX(0,AC34-7)*AD34,AC34*AD34)))</f>
        <v/>
      </c>
      <c r="AF34" s="13" t="n">
        <v>0.21</v>
      </c>
      <c r="AG34" s="11">
        <f>IF(AE34&lt;&gt;"",AE34*AF34,"")</f>
        <v/>
      </c>
      <c r="AH34" s="11">
        <f>IF(AE34&lt;&gt;"",AE34+AG34,"")</f>
        <v/>
      </c>
      <c r="AL34">
        <f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>
        <f>IF(AND(AL34&lt;&gt;"",AM34&lt;&gt;""),AL34*AM34,"")</f>
        <v/>
      </c>
      <c r="AO34" s="13" t="n"/>
      <c r="AP34" s="11">
        <f>IF(AND(AN34&lt;&gt;"",AO34&lt;&gt;""),AN34*AO34,"")</f>
        <v/>
      </c>
      <c r="AQ34" s="11">
        <f>IF(AND(AN34&lt;&gt;"",AP34&lt;&gt;""),AN34+AP34,"")</f>
        <v/>
      </c>
    </row>
    <row r="35">
      <c r="D35" s="8">
        <f>IF(A35="","",VLOOKUP(A35,Lists!$A:$B,2,FALSE))</f>
        <v/>
      </c>
      <c r="E35" s="8">
        <f>IF(C35="","",VLOOKUP(C35,Lists!$C:$D,2,FALSE))</f>
        <v/>
      </c>
      <c r="F35" s="8" t="n"/>
      <c r="G35" s="8" t="n"/>
      <c r="J35" s="9">
        <f>IF(A35="","",IFERROR(VLOOKUP(A35,Lists!$A:$H,8,FALSE),0))</f>
        <v/>
      </c>
      <c r="L35" s="9">
        <f>IF(A35="","",IFERROR(VLOOKUP(A35,Lists!$A:$H,7,FALSE),0))</f>
        <v/>
      </c>
      <c r="M35" s="10" t="n">
        <v>0.21</v>
      </c>
      <c r="N35" s="11">
        <f>L35 * (1 + M35)</f>
        <v/>
      </c>
      <c r="O35" s="11">
        <f>IF(K35="Eigen Beheer",0,IF(AND(ISNUMBER(N35),I35&lt;&gt;"",H35&lt;&gt;""),ROUND((I35-H35)/Lists!$Q$2,2)*N35,0))</f>
        <v/>
      </c>
      <c r="R35" s="12">
        <f>IF(Q35="","",VLOOKUP(Q35,Lists!$E:$F,2,FALSE))</f>
        <v/>
      </c>
      <c r="AD35" s="9" t="n">
        <v>50</v>
      </c>
      <c r="AE35" s="11">
        <f>IF(AB35="","",IF(ISNUMBER(SEARCH("Basis",AB35)),(250/1.21)+MAX(0,AC35-5)*AD35,IF(ISNUMBER(SEARCH("Intensief",AB35)),(375/1.21)+MAX(0,AC35-7)*AD35,AC35*AD35)))</f>
        <v/>
      </c>
      <c r="AF35" s="13" t="n">
        <v>0.21</v>
      </c>
      <c r="AG35" s="11">
        <f>IF(AE35&lt;&gt;"",AE35*AF35,"")</f>
        <v/>
      </c>
      <c r="AH35" s="11">
        <f>IF(AE35&lt;&gt;"",AE35+AG35,"")</f>
        <v/>
      </c>
      <c r="AL35">
        <f>IF($B35="GWE_Item",IF($AI35="Elektra",SUMIFS($W:$W,$A:$A,$A35,$B:$B,"GWE")-SUMIFS($V:$V,$A:$A,$A35,$B:$B,"GWE"),IF($AI35="Gas",SUMIFS($Y:$Y,$A:$A,$A35,$B:$B,"GWE")-SUMIFS($X:$X,$A:$A,$A35,$B:$B,"GWE"),IF($AI35="Water",SUMIFS($AA:$AA,$A:$A,$A35,$B:$B,"GWE")-SUMIFS($Z:$Z,$A:$A,$A35,$B:$B,"GWE"),""))),"")</f>
        <v/>
      </c>
      <c r="AN35" s="11">
        <f>IF(AND(AL35&lt;&gt;"",AM35&lt;&gt;""),AL35*AM35,"")</f>
        <v/>
      </c>
      <c r="AO35" s="13" t="n"/>
      <c r="AP35" s="11">
        <f>IF(AND(AN35&lt;&gt;"",AO35&lt;&gt;""),AN35*AO35,"")</f>
        <v/>
      </c>
      <c r="AQ35" s="11">
        <f>IF(AND(AN35&lt;&gt;"",AP35&lt;&gt;""),AN35+AP35,"")</f>
        <v/>
      </c>
    </row>
    <row r="36">
      <c r="D36" s="8">
        <f>IF(A36="","",VLOOKUP(A36,Lists!$A:$B,2,FALSE))</f>
        <v/>
      </c>
      <c r="E36" s="8">
        <f>IF(C36="","",VLOOKUP(C36,Lists!$C:$D,2,FALSE))</f>
        <v/>
      </c>
      <c r="F36" s="8" t="n"/>
      <c r="G36" s="8" t="n"/>
      <c r="J36" s="9">
        <f>IF(A36="","",IFERROR(VLOOKUP(A36,Lists!$A:$H,8,FALSE),0))</f>
        <v/>
      </c>
      <c r="L36" s="9">
        <f>IF(A36="","",IFERROR(VLOOKUP(A36,Lists!$A:$H,7,FALSE),0))</f>
        <v/>
      </c>
      <c r="M36" s="10" t="n">
        <v>0.21</v>
      </c>
      <c r="N36" s="11">
        <f>L36 * (1 + M36)</f>
        <v/>
      </c>
      <c r="O36" s="11">
        <f>IF(K36="Eigen Beheer",0,IF(AND(ISNUMBER(N36),I36&lt;&gt;"",H36&lt;&gt;""),ROUND((I36-H36)/Lists!$Q$2,2)*N36,0))</f>
        <v/>
      </c>
      <c r="R36" s="12">
        <f>IF(Q36="","",VLOOKUP(Q36,Lists!$E:$F,2,FALSE))</f>
        <v/>
      </c>
      <c r="AD36" s="9" t="n">
        <v>50</v>
      </c>
      <c r="AE36" s="11">
        <f>IF(AB36="","",IF(ISNUMBER(SEARCH("Basis",AB36)),(250/1.21)+MAX(0,AC36-5)*AD36,IF(ISNUMBER(SEARCH("Intensief",AB36)),(375/1.21)+MAX(0,AC36-7)*AD36,AC36*AD36)))</f>
        <v/>
      </c>
      <c r="AF36" s="13" t="n">
        <v>0.21</v>
      </c>
      <c r="AG36" s="11">
        <f>IF(AE36&lt;&gt;"",AE36*AF36,"")</f>
        <v/>
      </c>
      <c r="AH36" s="11">
        <f>IF(AE36&lt;&gt;"",AE36+AG36,"")</f>
        <v/>
      </c>
      <c r="AL36">
        <f>IF($B36="GWE_Item",IF($AI36="Elektra",SUMIFS($W:$W,$A:$A,$A36,$B:$B,"GWE")-SUMIFS($V:$V,$A:$A,$A36,$B:$B,"GWE"),IF($AI36="Gas",SUMIFS($Y:$Y,$A:$A,$A36,$B:$B,"GWE")-SUMIFS($X:$X,$A:$A,$A36,$B:$B,"GWE"),IF($AI36="Water",SUMIFS($AA:$AA,$A:$A,$A36,$B:$B,"GWE")-SUMIFS($Z:$Z,$A:$A,$A36,$B:$B,"GWE"),""))),"")</f>
        <v/>
      </c>
      <c r="AN36" s="11">
        <f>IF(AND(AL36&lt;&gt;"",AM36&lt;&gt;""),AL36*AM36,"")</f>
        <v/>
      </c>
      <c r="AO36" s="13" t="n"/>
      <c r="AP36" s="11">
        <f>IF(AND(AN36&lt;&gt;"",AO36&lt;&gt;""),AN36*AO36,"")</f>
        <v/>
      </c>
      <c r="AQ36" s="11">
        <f>IF(AND(AN36&lt;&gt;"",AP36&lt;&gt;""),AN36+AP36,"")</f>
        <v/>
      </c>
    </row>
    <row r="37">
      <c r="D37" s="8">
        <f>IF(A37="","",VLOOKUP(A37,Lists!$A:$B,2,FALSE))</f>
        <v/>
      </c>
      <c r="E37" s="8">
        <f>IF(C37="","",VLOOKUP(C37,Lists!$C:$D,2,FALSE))</f>
        <v/>
      </c>
      <c r="F37" s="8" t="n"/>
      <c r="G37" s="8" t="n"/>
      <c r="J37" s="9">
        <f>IF(A37="","",IFERROR(VLOOKUP(A37,Lists!$A:$H,8,FALSE),0))</f>
        <v/>
      </c>
      <c r="L37" s="9">
        <f>IF(A37="","",IFERROR(VLOOKUP(A37,Lists!$A:$H,7,FALSE),0))</f>
        <v/>
      </c>
      <c r="M37" s="10" t="n">
        <v>0.21</v>
      </c>
      <c r="N37" s="11">
        <f>L37 * (1 + M37)</f>
        <v/>
      </c>
      <c r="O37" s="11">
        <f>IF(K37="Eigen Beheer",0,IF(AND(ISNUMBER(N37),I37&lt;&gt;"",H37&lt;&gt;""),ROUND((I37-H37)/Lists!$Q$2,2)*N37,0))</f>
        <v/>
      </c>
      <c r="R37" s="12">
        <f>IF(Q37="","",VLOOKUP(Q37,Lists!$E:$F,2,FALSE))</f>
        <v/>
      </c>
      <c r="AD37" s="9" t="n">
        <v>50</v>
      </c>
      <c r="AE37" s="11">
        <f>IF(AB37="","",IF(ISNUMBER(SEARCH("Basis",AB37)),(250/1.21)+MAX(0,AC37-5)*AD37,IF(ISNUMBER(SEARCH("Intensief",AB37)),(375/1.21)+MAX(0,AC37-7)*AD37,AC37*AD37)))</f>
        <v/>
      </c>
      <c r="AF37" s="13" t="n">
        <v>0.21</v>
      </c>
      <c r="AG37" s="11">
        <f>IF(AE37&lt;&gt;"",AE37*AF37,"")</f>
        <v/>
      </c>
      <c r="AH37" s="11">
        <f>IF(AE37&lt;&gt;"",AE37+AG37,"")</f>
        <v/>
      </c>
      <c r="AL37">
        <f>IF($B37="GWE_Item",IF($AI37="Elektra",SUMIFS($W:$W,$A:$A,$A37,$B:$B,"GWE")-SUMIFS($V:$V,$A:$A,$A37,$B:$B,"GWE"),IF($AI37="Gas",SUMIFS($Y:$Y,$A:$A,$A37,$B:$B,"GWE")-SUMIFS($X:$X,$A:$A,$A37,$B:$B,"GWE"),IF($AI37="Water",SUMIFS($AA:$AA,$A:$A,$A37,$B:$B,"GWE")-SUMIFS($Z:$Z,$A:$A,$A37,$B:$B,"GWE"),""))),"")</f>
        <v/>
      </c>
      <c r="AN37" s="11">
        <f>IF(AND(AL37&lt;&gt;"",AM37&lt;&gt;""),AL37*AM37,"")</f>
        <v/>
      </c>
      <c r="AO37" s="13" t="n"/>
      <c r="AP37" s="11">
        <f>IF(AND(AN37&lt;&gt;"",AO37&lt;&gt;""),AN37*AO37,"")</f>
        <v/>
      </c>
      <c r="AQ37" s="11">
        <f>IF(AND(AN37&lt;&gt;"",AP37&lt;&gt;""),AN37+AP37,"")</f>
        <v/>
      </c>
    </row>
    <row r="38">
      <c r="D38" s="8">
        <f>IF(A38="","",VLOOKUP(A38,Lists!$A:$B,2,FALSE))</f>
        <v/>
      </c>
      <c r="E38" s="8">
        <f>IF(C38="","",VLOOKUP(C38,Lists!$C:$D,2,FALSE))</f>
        <v/>
      </c>
      <c r="F38" s="8" t="n"/>
      <c r="G38" s="8" t="n"/>
      <c r="J38" s="9">
        <f>IF(A38="","",IFERROR(VLOOKUP(A38,Lists!$A:$H,8,FALSE),0))</f>
        <v/>
      </c>
      <c r="L38" s="9">
        <f>IF(A38="","",IFERROR(VLOOKUP(A38,Lists!$A:$H,7,FALSE),0))</f>
        <v/>
      </c>
      <c r="M38" s="10" t="n">
        <v>0.21</v>
      </c>
      <c r="N38" s="11">
        <f>L38 * (1 + M38)</f>
        <v/>
      </c>
      <c r="O38" s="11">
        <f>IF(K38="Eigen Beheer",0,IF(AND(ISNUMBER(N38),I38&lt;&gt;"",H38&lt;&gt;""),ROUND((I38-H38)/Lists!$Q$2,2)*N38,0))</f>
        <v/>
      </c>
      <c r="R38" s="12">
        <f>IF(Q38="","",VLOOKUP(Q38,Lists!$E:$F,2,FALSE))</f>
        <v/>
      </c>
      <c r="AD38" s="9" t="n">
        <v>50</v>
      </c>
      <c r="AE38" s="11">
        <f>IF(AB38="","",IF(ISNUMBER(SEARCH("Basis",AB38)),(250/1.21)+MAX(0,AC38-5)*AD38,IF(ISNUMBER(SEARCH("Intensief",AB38)),(375/1.21)+MAX(0,AC38-7)*AD38,AC38*AD38)))</f>
        <v/>
      </c>
      <c r="AF38" s="13" t="n">
        <v>0.21</v>
      </c>
      <c r="AG38" s="11">
        <f>IF(AE38&lt;&gt;"",AE38*AF38,"")</f>
        <v/>
      </c>
      <c r="AH38" s="11">
        <f>IF(AE38&lt;&gt;"",AE38+AG38,"")</f>
        <v/>
      </c>
      <c r="AL38">
        <f>IF($B38="GWE_Item",IF($AI38="Elektra",SUMIFS($W:$W,$A:$A,$A38,$B:$B,"GWE")-SUMIFS($V:$V,$A:$A,$A38,$B:$B,"GWE"),IF($AI38="Gas",SUMIFS($Y:$Y,$A:$A,$A38,$B:$B,"GWE")-SUMIFS($X:$X,$A:$A,$A38,$B:$B,"GWE"),IF($AI38="Water",SUMIFS($AA:$AA,$A:$A,$A38,$B:$B,"GWE")-SUMIFS($Z:$Z,$A:$A,$A38,$B:$B,"GWE"),""))),"")</f>
        <v/>
      </c>
      <c r="AN38" s="11">
        <f>IF(AND(AL38&lt;&gt;"",AM38&lt;&gt;""),AL38*AM38,"")</f>
        <v/>
      </c>
      <c r="AO38" s="13" t="n"/>
      <c r="AP38" s="11">
        <f>IF(AND(AN38&lt;&gt;"",AO38&lt;&gt;""),AN38*AO38,"")</f>
        <v/>
      </c>
      <c r="AQ38" s="11">
        <f>IF(AND(AN38&lt;&gt;"",AP38&lt;&gt;""),AN38+AP38,"")</f>
        <v/>
      </c>
    </row>
    <row r="39">
      <c r="D39" s="8">
        <f>IF(A39="","",VLOOKUP(A39,Lists!$A:$B,2,FALSE))</f>
        <v/>
      </c>
      <c r="E39" s="8">
        <f>IF(C39="","",VLOOKUP(C39,Lists!$C:$D,2,FALSE))</f>
        <v/>
      </c>
      <c r="F39" s="8" t="n"/>
      <c r="G39" s="8" t="n"/>
      <c r="J39" s="9">
        <f>IF(A39="","",IFERROR(VLOOKUP(A39,Lists!$A:$H,8,FALSE),0))</f>
        <v/>
      </c>
      <c r="L39" s="9">
        <f>IF(A39="","",IFERROR(VLOOKUP(A39,Lists!$A:$H,7,FALSE),0))</f>
        <v/>
      </c>
      <c r="M39" s="10" t="n">
        <v>0.21</v>
      </c>
      <c r="N39" s="11">
        <f>L39 * (1 + M39)</f>
        <v/>
      </c>
      <c r="O39" s="11">
        <f>IF(K39="Eigen Beheer",0,IF(AND(ISNUMBER(N39),I39&lt;&gt;"",H39&lt;&gt;""),ROUND((I39-H39)/Lists!$Q$2,2)*N39,0))</f>
        <v/>
      </c>
      <c r="R39" s="12">
        <f>IF(Q39="","",VLOOKUP(Q39,Lists!$E:$F,2,FALSE))</f>
        <v/>
      </c>
      <c r="AD39" s="9" t="n">
        <v>50</v>
      </c>
      <c r="AE39" s="11">
        <f>IF(AB39="","",IF(ISNUMBER(SEARCH("Basis",AB39)),(250/1.21)+MAX(0,AC39-5)*AD39,IF(ISNUMBER(SEARCH("Intensief",AB39)),(375/1.21)+MAX(0,AC39-7)*AD39,AC39*AD39)))</f>
        <v/>
      </c>
      <c r="AF39" s="13" t="n">
        <v>0.21</v>
      </c>
      <c r="AG39" s="11">
        <f>IF(AE39&lt;&gt;"",AE39*AF39,"")</f>
        <v/>
      </c>
      <c r="AH39" s="11">
        <f>IF(AE39&lt;&gt;"",AE39+AG39,"")</f>
        <v/>
      </c>
      <c r="AL39">
        <f>IF($B39="GWE_Item",IF($AI39="Elektra",SUMIFS($W:$W,$A:$A,$A39,$B:$B,"GWE")-SUMIFS($V:$V,$A:$A,$A39,$B:$B,"GWE"),IF($AI39="Gas",SUMIFS($Y:$Y,$A:$A,$A39,$B:$B,"GWE")-SUMIFS($X:$X,$A:$A,$A39,$B:$B,"GWE"),IF($AI39="Water",SUMIFS($AA:$AA,$A:$A,$A39,$B:$B,"GWE")-SUMIFS($Z:$Z,$A:$A,$A39,$B:$B,"GWE"),""))),"")</f>
        <v/>
      </c>
      <c r="AN39" s="11">
        <f>IF(AND(AL39&lt;&gt;"",AM39&lt;&gt;""),AL39*AM39,"")</f>
        <v/>
      </c>
      <c r="AO39" s="13" t="n"/>
      <c r="AP39" s="11">
        <f>IF(AND(AN39&lt;&gt;"",AO39&lt;&gt;""),AN39*AO39,"")</f>
        <v/>
      </c>
      <c r="AQ39" s="11">
        <f>IF(AND(AN39&lt;&gt;"",AP39&lt;&gt;""),AN39+AP39,"")</f>
        <v/>
      </c>
    </row>
    <row r="40">
      <c r="D40" s="8">
        <f>IF(A40="","",VLOOKUP(A40,Lists!$A:$B,2,FALSE))</f>
        <v/>
      </c>
      <c r="E40" s="8">
        <f>IF(C40="","",VLOOKUP(C40,Lists!$C:$D,2,FALSE))</f>
        <v/>
      </c>
      <c r="F40" s="8" t="n"/>
      <c r="G40" s="8" t="n"/>
      <c r="J40" s="9">
        <f>IF(A40="","",IFERROR(VLOOKUP(A40,Lists!$A:$H,8,FALSE),0))</f>
        <v/>
      </c>
      <c r="L40" s="9">
        <f>IF(A40="","",IFERROR(VLOOKUP(A40,Lists!$A:$H,7,FALSE),0))</f>
        <v/>
      </c>
      <c r="M40" s="10" t="n">
        <v>0.21</v>
      </c>
      <c r="N40" s="11">
        <f>L40 * (1 + M40)</f>
        <v/>
      </c>
      <c r="O40" s="11">
        <f>IF(K40="Eigen Beheer",0,IF(AND(ISNUMBER(N40),I40&lt;&gt;"",H40&lt;&gt;""),ROUND((I40-H40)/Lists!$Q$2,2)*N40,0))</f>
        <v/>
      </c>
      <c r="R40" s="12">
        <f>IF(Q40="","",VLOOKUP(Q40,Lists!$E:$F,2,FALSE))</f>
        <v/>
      </c>
      <c r="AD40" s="9" t="n">
        <v>50</v>
      </c>
      <c r="AE40" s="11">
        <f>IF(AB40="","",IF(ISNUMBER(SEARCH("Basis",AB40)),(250/1.21)+MAX(0,AC40-5)*AD40,IF(ISNUMBER(SEARCH("Intensief",AB40)),(375/1.21)+MAX(0,AC40-7)*AD40,AC40*AD40)))</f>
        <v/>
      </c>
      <c r="AF40" s="13" t="n">
        <v>0.21</v>
      </c>
      <c r="AG40" s="11">
        <f>IF(AE40&lt;&gt;"",AE40*AF40,"")</f>
        <v/>
      </c>
      <c r="AH40" s="11">
        <f>IF(AE40&lt;&gt;"",AE40+AG40,"")</f>
        <v/>
      </c>
      <c r="AL40">
        <f>IF($B40="GWE_Item",IF($AI40="Elektra",SUMIFS($W:$W,$A:$A,$A40,$B:$B,"GWE")-SUMIFS($V:$V,$A:$A,$A40,$B:$B,"GWE"),IF($AI40="Gas",SUMIFS($Y:$Y,$A:$A,$A40,$B:$B,"GWE")-SUMIFS($X:$X,$A:$A,$A40,$B:$B,"GWE"),IF($AI40="Water",SUMIFS($AA:$AA,$A:$A,$A40,$B:$B,"GWE")-SUMIFS($Z:$Z,$A:$A,$A40,$B:$B,"GWE"),""))),"")</f>
        <v/>
      </c>
      <c r="AN40" s="11">
        <f>IF(AND(AL40&lt;&gt;"",AM40&lt;&gt;""),AL40*AM40,"")</f>
        <v/>
      </c>
      <c r="AO40" s="13" t="n"/>
      <c r="AP40" s="11">
        <f>IF(AND(AN40&lt;&gt;"",AO40&lt;&gt;""),AN40*AO40,"")</f>
        <v/>
      </c>
      <c r="AQ40" s="11">
        <f>IF(AND(AN40&lt;&gt;"",AP40&lt;&gt;""),AN40+AP40,"")</f>
        <v/>
      </c>
    </row>
    <row r="41">
      <c r="D41" s="8">
        <f>IF(A41="","",VLOOKUP(A41,Lists!$A:$B,2,FALSE))</f>
        <v/>
      </c>
      <c r="E41" s="8">
        <f>IF(C41="","",VLOOKUP(C41,Lists!$C:$D,2,FALSE))</f>
        <v/>
      </c>
      <c r="F41" s="8" t="n"/>
      <c r="G41" s="8" t="n"/>
      <c r="J41" s="9">
        <f>IF(A41="","",IFERROR(VLOOKUP(A41,Lists!$A:$H,8,FALSE),0))</f>
        <v/>
      </c>
      <c r="L41" s="9">
        <f>IF(A41="","",IFERROR(VLOOKUP(A41,Lists!$A:$H,7,FALSE),0))</f>
        <v/>
      </c>
      <c r="M41" s="10" t="n">
        <v>0.21</v>
      </c>
      <c r="N41" s="11">
        <f>L41 * (1 + M41)</f>
        <v/>
      </c>
      <c r="O41" s="11">
        <f>IF(K41="Eigen Beheer",0,IF(AND(ISNUMBER(N41),I41&lt;&gt;"",H41&lt;&gt;""),ROUND((I41-H41)/Lists!$Q$2,2)*N41,0))</f>
        <v/>
      </c>
      <c r="R41" s="12">
        <f>IF(Q41="","",VLOOKUP(Q41,Lists!$E:$F,2,FALSE))</f>
        <v/>
      </c>
      <c r="AD41" s="9" t="n">
        <v>50</v>
      </c>
      <c r="AE41" s="11">
        <f>IF(AB41="","",IF(ISNUMBER(SEARCH("Basis",AB41)),(250/1.21)+MAX(0,AC41-5)*AD41,IF(ISNUMBER(SEARCH("Intensief",AB41)),(375/1.21)+MAX(0,AC41-7)*AD41,AC41*AD41)))</f>
        <v/>
      </c>
      <c r="AF41" s="13" t="n">
        <v>0.21</v>
      </c>
      <c r="AG41" s="11">
        <f>IF(AE41&lt;&gt;"",AE41*AF41,"")</f>
        <v/>
      </c>
      <c r="AH41" s="11">
        <f>IF(AE41&lt;&gt;"",AE41+AG41,"")</f>
        <v/>
      </c>
      <c r="AL41">
        <f>IF($B41="GWE_Item",IF($AI41="Elektra",SUMIFS($W:$W,$A:$A,$A41,$B:$B,"GWE")-SUMIFS($V:$V,$A:$A,$A41,$B:$B,"GWE"),IF($AI41="Gas",SUMIFS($Y:$Y,$A:$A,$A41,$B:$B,"GWE")-SUMIFS($X:$X,$A:$A,$A41,$B:$B,"GWE"),IF($AI41="Water",SUMIFS($AA:$AA,$A:$A,$A41,$B:$B,"GWE")-SUMIFS($Z:$Z,$A:$A,$A41,$B:$B,"GWE"),""))),"")</f>
        <v/>
      </c>
      <c r="AN41" s="11">
        <f>IF(AND(AL41&lt;&gt;"",AM41&lt;&gt;""),AL41*AM41,"")</f>
        <v/>
      </c>
      <c r="AO41" s="13" t="n"/>
      <c r="AP41" s="11">
        <f>IF(AND(AN41&lt;&gt;"",AO41&lt;&gt;""),AN41*AO41,"")</f>
        <v/>
      </c>
      <c r="AQ41" s="11">
        <f>IF(AND(AN41&lt;&gt;"",AP41&lt;&gt;""),AN41+AP41,"")</f>
        <v/>
      </c>
    </row>
    <row r="42">
      <c r="D42" s="8">
        <f>IF(A42="","",VLOOKUP(A42,Lists!$A:$B,2,FALSE))</f>
        <v/>
      </c>
      <c r="E42" s="8">
        <f>IF(C42="","",VLOOKUP(C42,Lists!$C:$D,2,FALSE))</f>
        <v/>
      </c>
      <c r="F42" s="8" t="n"/>
      <c r="G42" s="8" t="n"/>
      <c r="J42" s="9">
        <f>IF(A42="","",IFERROR(VLOOKUP(A42,Lists!$A:$H,8,FALSE),0))</f>
        <v/>
      </c>
      <c r="L42" s="9">
        <f>IF(A42="","",IFERROR(VLOOKUP(A42,Lists!$A:$H,7,FALSE),0))</f>
        <v/>
      </c>
      <c r="M42" s="10" t="n">
        <v>0.21</v>
      </c>
      <c r="N42" s="11">
        <f>L42 * (1 + M42)</f>
        <v/>
      </c>
      <c r="O42" s="11">
        <f>IF(K42="Eigen Beheer",0,IF(AND(ISNUMBER(N42),I42&lt;&gt;"",H42&lt;&gt;""),ROUND((I42-H42)/Lists!$Q$2,2)*N42,0))</f>
        <v/>
      </c>
      <c r="R42" s="12">
        <f>IF(Q42="","",VLOOKUP(Q42,Lists!$E:$F,2,FALSE))</f>
        <v/>
      </c>
      <c r="AD42" s="9" t="n">
        <v>50</v>
      </c>
      <c r="AE42" s="11">
        <f>IF(AB42="","",IF(ISNUMBER(SEARCH("Basis",AB42)),(250/1.21)+MAX(0,AC42-5)*AD42,IF(ISNUMBER(SEARCH("Intensief",AB42)),(375/1.21)+MAX(0,AC42-7)*AD42,AC42*AD42)))</f>
        <v/>
      </c>
      <c r="AF42" s="13" t="n">
        <v>0.21</v>
      </c>
      <c r="AG42" s="11">
        <f>IF(AE42&lt;&gt;"",AE42*AF42,"")</f>
        <v/>
      </c>
      <c r="AH42" s="11">
        <f>IF(AE42&lt;&gt;"",AE42+AG42,"")</f>
        <v/>
      </c>
      <c r="AL42">
        <f>IF($B42="GWE_Item",IF($AI42="Elektra",SUMIFS($W:$W,$A:$A,$A42,$B:$B,"GWE")-SUMIFS($V:$V,$A:$A,$A42,$B:$B,"GWE"),IF($AI42="Gas",SUMIFS($Y:$Y,$A:$A,$A42,$B:$B,"GWE")-SUMIFS($X:$X,$A:$A,$A42,$B:$B,"GWE"),IF($AI42="Water",SUMIFS($AA:$AA,$A:$A,$A42,$B:$B,"GWE")-SUMIFS($Z:$Z,$A:$A,$A42,$B:$B,"GWE"),""))),"")</f>
        <v/>
      </c>
      <c r="AN42" s="11">
        <f>IF(AND(AL42&lt;&gt;"",AM42&lt;&gt;""),AL42*AM42,"")</f>
        <v/>
      </c>
      <c r="AO42" s="13" t="n"/>
      <c r="AP42" s="11">
        <f>IF(AND(AN42&lt;&gt;"",AO42&lt;&gt;""),AN42*AO42,"")</f>
        <v/>
      </c>
      <c r="AQ42" s="11">
        <f>IF(AND(AN42&lt;&gt;"",AP42&lt;&gt;""),AN42+AP42,"")</f>
        <v/>
      </c>
    </row>
    <row r="43">
      <c r="D43" s="8">
        <f>IF(A43="","",VLOOKUP(A43,Lists!$A:$B,2,FALSE))</f>
        <v/>
      </c>
      <c r="E43" s="8">
        <f>IF(C43="","",VLOOKUP(C43,Lists!$C:$D,2,FALSE))</f>
        <v/>
      </c>
      <c r="F43" s="8" t="n"/>
      <c r="G43" s="8" t="n"/>
      <c r="J43" s="9">
        <f>IF(A43="","",IFERROR(VLOOKUP(A43,Lists!$A:$H,8,FALSE),0))</f>
        <v/>
      </c>
      <c r="L43" s="9">
        <f>IF(A43="","",IFERROR(VLOOKUP(A43,Lists!$A:$H,7,FALSE),0))</f>
        <v/>
      </c>
      <c r="M43" s="10" t="n">
        <v>0.21</v>
      </c>
      <c r="N43" s="11">
        <f>L43 * (1 + M43)</f>
        <v/>
      </c>
      <c r="O43" s="11">
        <f>IF(K43="Eigen Beheer",0,IF(AND(ISNUMBER(N43),I43&lt;&gt;"",H43&lt;&gt;""),ROUND((I43-H43)/Lists!$Q$2,2)*N43,0))</f>
        <v/>
      </c>
      <c r="R43" s="12">
        <f>IF(Q43="","",VLOOKUP(Q43,Lists!$E:$F,2,FALSE))</f>
        <v/>
      </c>
      <c r="AD43" s="9" t="n">
        <v>50</v>
      </c>
      <c r="AE43" s="11">
        <f>IF(AB43="","",IF(ISNUMBER(SEARCH("Basis",AB43)),(250/1.21)+MAX(0,AC43-5)*AD43,IF(ISNUMBER(SEARCH("Intensief",AB43)),(375/1.21)+MAX(0,AC43-7)*AD43,AC43*AD43)))</f>
        <v/>
      </c>
      <c r="AF43" s="13" t="n">
        <v>0.21</v>
      </c>
      <c r="AG43" s="11">
        <f>IF(AE43&lt;&gt;"",AE43*AF43,"")</f>
        <v/>
      </c>
      <c r="AH43" s="11">
        <f>IF(AE43&lt;&gt;"",AE43+AG43,"")</f>
        <v/>
      </c>
      <c r="AL43">
        <f>IF($B43="GWE_Item",IF($AI43="Elektra",SUMIFS($W:$W,$A:$A,$A43,$B:$B,"GWE")-SUMIFS($V:$V,$A:$A,$A43,$B:$B,"GWE"),IF($AI43="Gas",SUMIFS($Y:$Y,$A:$A,$A43,$B:$B,"GWE")-SUMIFS($X:$X,$A:$A,$A43,$B:$B,"GWE"),IF($AI43="Water",SUMIFS($AA:$AA,$A:$A,$A43,$B:$B,"GWE")-SUMIFS($Z:$Z,$A:$A,$A43,$B:$B,"GWE"),""))),"")</f>
        <v/>
      </c>
      <c r="AN43" s="11">
        <f>IF(AND(AL43&lt;&gt;"",AM43&lt;&gt;""),AL43*AM43,"")</f>
        <v/>
      </c>
      <c r="AO43" s="13" t="n"/>
      <c r="AP43" s="11">
        <f>IF(AND(AN43&lt;&gt;"",AO43&lt;&gt;""),AN43*AO43,"")</f>
        <v/>
      </c>
      <c r="AQ43" s="11">
        <f>IF(AND(AN43&lt;&gt;"",AP43&lt;&gt;""),AN43+AP43,"")</f>
        <v/>
      </c>
    </row>
    <row r="44">
      <c r="D44" s="8">
        <f>IF(A44="","",VLOOKUP(A44,Lists!$A:$B,2,FALSE))</f>
        <v/>
      </c>
      <c r="E44" s="8">
        <f>IF(C44="","",VLOOKUP(C44,Lists!$C:$D,2,FALSE))</f>
        <v/>
      </c>
      <c r="F44" s="8" t="n"/>
      <c r="G44" s="8" t="n"/>
      <c r="J44" s="9">
        <f>IF(A44="","",IFERROR(VLOOKUP(A44,Lists!$A:$H,8,FALSE),0))</f>
        <v/>
      </c>
      <c r="L44" s="9">
        <f>IF(A44="","",IFERROR(VLOOKUP(A44,Lists!$A:$H,7,FALSE),0))</f>
        <v/>
      </c>
      <c r="M44" s="10" t="n">
        <v>0.21</v>
      </c>
      <c r="N44" s="11">
        <f>L44 * (1 + M44)</f>
        <v/>
      </c>
      <c r="O44" s="11">
        <f>IF(K44="Eigen Beheer",0,IF(AND(ISNUMBER(N44),I44&lt;&gt;"",H44&lt;&gt;""),ROUND((I44-H44)/Lists!$Q$2,2)*N44,0))</f>
        <v/>
      </c>
      <c r="R44" s="12">
        <f>IF(Q44="","",VLOOKUP(Q44,Lists!$E:$F,2,FALSE))</f>
        <v/>
      </c>
      <c r="AD44" s="9" t="n">
        <v>50</v>
      </c>
      <c r="AE44" s="11">
        <f>IF(AB44="","",IF(ISNUMBER(SEARCH("Basis",AB44)),(250/1.21)+MAX(0,AC44-5)*AD44,IF(ISNUMBER(SEARCH("Intensief",AB44)),(375/1.21)+MAX(0,AC44-7)*AD44,AC44*AD44)))</f>
        <v/>
      </c>
      <c r="AF44" s="13" t="n">
        <v>0.21</v>
      </c>
      <c r="AG44" s="11">
        <f>IF(AE44&lt;&gt;"",AE44*AF44,"")</f>
        <v/>
      </c>
      <c r="AH44" s="11">
        <f>IF(AE44&lt;&gt;"",AE44+AG44,"")</f>
        <v/>
      </c>
      <c r="AL44">
        <f>IF($B44="GWE_Item",IF($AI44="Elektra",SUMIFS($W:$W,$A:$A,$A44,$B:$B,"GWE")-SUMIFS($V:$V,$A:$A,$A44,$B:$B,"GWE"),IF($AI44="Gas",SUMIFS($Y:$Y,$A:$A,$A44,$B:$B,"GWE")-SUMIFS($X:$X,$A:$A,$A44,$B:$B,"GWE"),IF($AI44="Water",SUMIFS($AA:$AA,$A:$A,$A44,$B:$B,"GWE")-SUMIFS($Z:$Z,$A:$A,$A44,$B:$B,"GWE"),""))),"")</f>
        <v/>
      </c>
      <c r="AN44" s="11">
        <f>IF(AND(AL44&lt;&gt;"",AM44&lt;&gt;""),AL44*AM44,"")</f>
        <v/>
      </c>
      <c r="AO44" s="13" t="n"/>
      <c r="AP44" s="11">
        <f>IF(AND(AN44&lt;&gt;"",AO44&lt;&gt;""),AN44*AO44,"")</f>
        <v/>
      </c>
      <c r="AQ44" s="11">
        <f>IF(AND(AN44&lt;&gt;"",AP44&lt;&gt;""),AN44+AP44,"")</f>
        <v/>
      </c>
    </row>
    <row r="45">
      <c r="D45" s="8">
        <f>IF(A45="","",VLOOKUP(A45,Lists!$A:$B,2,FALSE))</f>
        <v/>
      </c>
      <c r="E45" s="8">
        <f>IF(C45="","",VLOOKUP(C45,Lists!$C:$D,2,FALSE))</f>
        <v/>
      </c>
      <c r="F45" s="8" t="n"/>
      <c r="G45" s="8" t="n"/>
      <c r="J45" s="9">
        <f>IF(A45="","",IFERROR(VLOOKUP(A45,Lists!$A:$H,8,FALSE),0))</f>
        <v/>
      </c>
      <c r="L45" s="9">
        <f>IF(A45="","",IFERROR(VLOOKUP(A45,Lists!$A:$H,7,FALSE),0))</f>
        <v/>
      </c>
      <c r="M45" s="10" t="n">
        <v>0.21</v>
      </c>
      <c r="N45" s="11">
        <f>L45 * (1 + M45)</f>
        <v/>
      </c>
      <c r="O45" s="11">
        <f>IF(K45="Eigen Beheer",0,IF(AND(ISNUMBER(N45),I45&lt;&gt;"",H45&lt;&gt;""),ROUND((I45-H45)/Lists!$Q$2,2)*N45,0))</f>
        <v/>
      </c>
      <c r="R45" s="12">
        <f>IF(Q45="","",VLOOKUP(Q45,Lists!$E:$F,2,FALSE))</f>
        <v/>
      </c>
      <c r="AD45" s="9" t="n">
        <v>50</v>
      </c>
      <c r="AE45" s="11">
        <f>IF(AB45="","",IF(ISNUMBER(SEARCH("Basis",AB45)),(250/1.21)+MAX(0,AC45-5)*AD45,IF(ISNUMBER(SEARCH("Intensief",AB45)),(375/1.21)+MAX(0,AC45-7)*AD45,AC45*AD45)))</f>
        <v/>
      </c>
      <c r="AF45" s="13" t="n">
        <v>0.21</v>
      </c>
      <c r="AG45" s="11">
        <f>IF(AE45&lt;&gt;"",AE45*AF45,"")</f>
        <v/>
      </c>
      <c r="AH45" s="11">
        <f>IF(AE45&lt;&gt;"",AE45+AG45,"")</f>
        <v/>
      </c>
      <c r="AL45">
        <f>IF($B45="GWE_Item",IF($AI45="Elektra",SUMIFS($W:$W,$A:$A,$A45,$B:$B,"GWE")-SUMIFS($V:$V,$A:$A,$A45,$B:$B,"GWE"),IF($AI45="Gas",SUMIFS($Y:$Y,$A:$A,$A45,$B:$B,"GWE")-SUMIFS($X:$X,$A:$A,$A45,$B:$B,"GWE"),IF($AI45="Water",SUMIFS($AA:$AA,$A:$A,$A45,$B:$B,"GWE")-SUMIFS($Z:$Z,$A:$A,$A45,$B:$B,"GWE"),""))),"")</f>
        <v/>
      </c>
      <c r="AN45" s="11">
        <f>IF(AND(AL45&lt;&gt;"",AM45&lt;&gt;""),AL45*AM45,"")</f>
        <v/>
      </c>
      <c r="AO45" s="13" t="n"/>
      <c r="AP45" s="11">
        <f>IF(AND(AN45&lt;&gt;"",AO45&lt;&gt;""),AN45*AO45,"")</f>
        <v/>
      </c>
      <c r="AQ45" s="11">
        <f>IF(AND(AN45&lt;&gt;"",AP45&lt;&gt;""),AN45+AP45,"")</f>
        <v/>
      </c>
    </row>
    <row r="46">
      <c r="D46" s="8">
        <f>IF(A46="","",VLOOKUP(A46,Lists!$A:$B,2,FALSE))</f>
        <v/>
      </c>
      <c r="E46" s="8">
        <f>IF(C46="","",VLOOKUP(C46,Lists!$C:$D,2,FALSE))</f>
        <v/>
      </c>
      <c r="F46" s="8" t="n"/>
      <c r="G46" s="8" t="n"/>
      <c r="J46" s="9">
        <f>IF(A46="","",IFERROR(VLOOKUP(A46,Lists!$A:$H,8,FALSE),0))</f>
        <v/>
      </c>
      <c r="L46" s="9">
        <f>IF(A46="","",IFERROR(VLOOKUP(A46,Lists!$A:$H,7,FALSE),0))</f>
        <v/>
      </c>
      <c r="M46" s="10" t="n">
        <v>0.21</v>
      </c>
      <c r="N46" s="11">
        <f>L46 * (1 + M46)</f>
        <v/>
      </c>
      <c r="O46" s="11">
        <f>IF(K46="Eigen Beheer",0,IF(AND(ISNUMBER(N46),I46&lt;&gt;"",H46&lt;&gt;""),ROUND((I46-H46)/Lists!$Q$2,2)*N46,0))</f>
        <v/>
      </c>
      <c r="R46" s="12">
        <f>IF(Q46="","",VLOOKUP(Q46,Lists!$E:$F,2,FALSE))</f>
        <v/>
      </c>
      <c r="AD46" s="9" t="n">
        <v>50</v>
      </c>
      <c r="AE46" s="11">
        <f>IF(AB46="","",IF(ISNUMBER(SEARCH("Basis",AB46)),(250/1.21)+MAX(0,AC46-5)*AD46,IF(ISNUMBER(SEARCH("Intensief",AB46)),(375/1.21)+MAX(0,AC46-7)*AD46,AC46*AD46)))</f>
        <v/>
      </c>
      <c r="AF46" s="13" t="n">
        <v>0.21</v>
      </c>
      <c r="AG46" s="11">
        <f>IF(AE46&lt;&gt;"",AE46*AF46,"")</f>
        <v/>
      </c>
      <c r="AH46" s="11">
        <f>IF(AE46&lt;&gt;"",AE46+AG46,"")</f>
        <v/>
      </c>
      <c r="AL46">
        <f>IF($B46="GWE_Item",IF($AI46="Elektra",SUMIFS($W:$W,$A:$A,$A46,$B:$B,"GWE")-SUMIFS($V:$V,$A:$A,$A46,$B:$B,"GWE"),IF($AI46="Gas",SUMIFS($Y:$Y,$A:$A,$A46,$B:$B,"GWE")-SUMIFS($X:$X,$A:$A,$A46,$B:$B,"GWE"),IF($AI46="Water",SUMIFS($AA:$AA,$A:$A,$A46,$B:$B,"GWE")-SUMIFS($Z:$Z,$A:$A,$A46,$B:$B,"GWE"),""))),"")</f>
        <v/>
      </c>
      <c r="AN46" s="11">
        <f>IF(AND(AL46&lt;&gt;"",AM46&lt;&gt;""),AL46*AM46,"")</f>
        <v/>
      </c>
      <c r="AO46" s="13" t="n"/>
      <c r="AP46" s="11">
        <f>IF(AND(AN46&lt;&gt;"",AO46&lt;&gt;""),AN46*AO46,"")</f>
        <v/>
      </c>
      <c r="AQ46" s="11">
        <f>IF(AND(AN46&lt;&gt;"",AP46&lt;&gt;""),AN46+AP46,"")</f>
        <v/>
      </c>
    </row>
    <row r="47">
      <c r="D47" s="8">
        <f>IF(A47="","",VLOOKUP(A47,Lists!$A:$B,2,FALSE))</f>
        <v/>
      </c>
      <c r="E47" s="8">
        <f>IF(C47="","",VLOOKUP(C47,Lists!$C:$D,2,FALSE))</f>
        <v/>
      </c>
      <c r="F47" s="8" t="n"/>
      <c r="G47" s="8" t="n"/>
      <c r="J47" s="9">
        <f>IF(A47="","",IFERROR(VLOOKUP(A47,Lists!$A:$H,8,FALSE),0))</f>
        <v/>
      </c>
      <c r="L47" s="9">
        <f>IF(A47="","",IFERROR(VLOOKUP(A47,Lists!$A:$H,7,FALSE),0))</f>
        <v/>
      </c>
      <c r="M47" s="10" t="n">
        <v>0.21</v>
      </c>
      <c r="N47" s="11">
        <f>L47 * (1 + M47)</f>
        <v/>
      </c>
      <c r="O47" s="11">
        <f>IF(K47="Eigen Beheer",0,IF(AND(ISNUMBER(N47),I47&lt;&gt;"",H47&lt;&gt;""),ROUND((I47-H47)/Lists!$Q$2,2)*N47,0))</f>
        <v/>
      </c>
      <c r="R47" s="12">
        <f>IF(Q47="","",VLOOKUP(Q47,Lists!$E:$F,2,FALSE))</f>
        <v/>
      </c>
      <c r="AD47" s="9" t="n">
        <v>50</v>
      </c>
      <c r="AE47" s="11">
        <f>IF(AB47="","",IF(ISNUMBER(SEARCH("Basis",AB47)),(250/1.21)+MAX(0,AC47-5)*AD47,IF(ISNUMBER(SEARCH("Intensief",AB47)),(375/1.21)+MAX(0,AC47-7)*AD47,AC47*AD47)))</f>
        <v/>
      </c>
      <c r="AF47" s="13" t="n">
        <v>0.21</v>
      </c>
      <c r="AG47" s="11">
        <f>IF(AE47&lt;&gt;"",AE47*AF47,"")</f>
        <v/>
      </c>
      <c r="AH47" s="11">
        <f>IF(AE47&lt;&gt;"",AE47+AG47,"")</f>
        <v/>
      </c>
      <c r="AL47">
        <f>IF($B47="GWE_Item",IF($AI47="Elektra",SUMIFS($W:$W,$A:$A,$A47,$B:$B,"GWE")-SUMIFS($V:$V,$A:$A,$A47,$B:$B,"GWE"),IF($AI47="Gas",SUMIFS($Y:$Y,$A:$A,$A47,$B:$B,"GWE")-SUMIFS($X:$X,$A:$A,$A47,$B:$B,"GWE"),IF($AI47="Water",SUMIFS($AA:$AA,$A:$A,$A47,$B:$B,"GWE")-SUMIFS($Z:$Z,$A:$A,$A47,$B:$B,"GWE"),""))),"")</f>
        <v/>
      </c>
      <c r="AN47" s="11">
        <f>IF(AND(AL47&lt;&gt;"",AM47&lt;&gt;""),AL47*AM47,"")</f>
        <v/>
      </c>
      <c r="AO47" s="13" t="n"/>
      <c r="AP47" s="11">
        <f>IF(AND(AN47&lt;&gt;"",AO47&lt;&gt;""),AN47*AO47,"")</f>
        <v/>
      </c>
      <c r="AQ47" s="11">
        <f>IF(AND(AN47&lt;&gt;"",AP47&lt;&gt;""),AN47+AP47,"")</f>
        <v/>
      </c>
    </row>
    <row r="48">
      <c r="D48" s="8">
        <f>IF(A48="","",VLOOKUP(A48,Lists!$A:$B,2,FALSE))</f>
        <v/>
      </c>
      <c r="E48" s="8">
        <f>IF(C48="","",VLOOKUP(C48,Lists!$C:$D,2,FALSE))</f>
        <v/>
      </c>
      <c r="F48" s="8" t="n"/>
      <c r="G48" s="8" t="n"/>
      <c r="J48" s="9">
        <f>IF(A48="","",IFERROR(VLOOKUP(A48,Lists!$A:$H,8,FALSE),0))</f>
        <v/>
      </c>
      <c r="L48" s="9">
        <f>IF(A48="","",IFERROR(VLOOKUP(A48,Lists!$A:$H,7,FALSE),0))</f>
        <v/>
      </c>
      <c r="M48" s="10" t="n">
        <v>0.21</v>
      </c>
      <c r="N48" s="11">
        <f>L48 * (1 + M48)</f>
        <v/>
      </c>
      <c r="O48" s="11">
        <f>IF(K48="Eigen Beheer",0,IF(AND(ISNUMBER(N48),I48&lt;&gt;"",H48&lt;&gt;""),ROUND((I48-H48)/Lists!$Q$2,2)*N48,0))</f>
        <v/>
      </c>
      <c r="R48" s="12">
        <f>IF(Q48="","",VLOOKUP(Q48,Lists!$E:$F,2,FALSE))</f>
        <v/>
      </c>
      <c r="AD48" s="9" t="n">
        <v>50</v>
      </c>
      <c r="AE48" s="11">
        <f>IF(AB48="","",IF(ISNUMBER(SEARCH("Basis",AB48)),(250/1.21)+MAX(0,AC48-5)*AD48,IF(ISNUMBER(SEARCH("Intensief",AB48)),(375/1.21)+MAX(0,AC48-7)*AD48,AC48*AD48)))</f>
        <v/>
      </c>
      <c r="AF48" s="13" t="n">
        <v>0.21</v>
      </c>
      <c r="AG48" s="11">
        <f>IF(AE48&lt;&gt;"",AE48*AF48,"")</f>
        <v/>
      </c>
      <c r="AH48" s="11">
        <f>IF(AE48&lt;&gt;"",AE48+AG48,"")</f>
        <v/>
      </c>
      <c r="AL48">
        <f>IF($B48="GWE_Item",IF($AI48="Elektra",SUMIFS($W:$W,$A:$A,$A48,$B:$B,"GWE")-SUMIFS($V:$V,$A:$A,$A48,$B:$B,"GWE"),IF($AI48="Gas",SUMIFS($Y:$Y,$A:$A,$A48,$B:$B,"GWE")-SUMIFS($X:$X,$A:$A,$A48,$B:$B,"GWE"),IF($AI48="Water",SUMIFS($AA:$AA,$A:$A,$A48,$B:$B,"GWE")-SUMIFS($Z:$Z,$A:$A,$A48,$B:$B,"GWE"),""))),"")</f>
        <v/>
      </c>
      <c r="AN48" s="11">
        <f>IF(AND(AL48&lt;&gt;"",AM48&lt;&gt;""),AL48*AM48,"")</f>
        <v/>
      </c>
      <c r="AO48" s="13" t="n"/>
      <c r="AP48" s="11">
        <f>IF(AND(AN48&lt;&gt;"",AO48&lt;&gt;""),AN48*AO48,"")</f>
        <v/>
      </c>
      <c r="AQ48" s="11">
        <f>IF(AND(AN48&lt;&gt;"",AP48&lt;&gt;""),AN48+AP48,"")</f>
        <v/>
      </c>
    </row>
    <row r="49">
      <c r="D49" s="8">
        <f>IF(A49="","",VLOOKUP(A49,Lists!$A:$B,2,FALSE))</f>
        <v/>
      </c>
      <c r="E49" s="8">
        <f>IF(C49="","",VLOOKUP(C49,Lists!$C:$D,2,FALSE))</f>
        <v/>
      </c>
      <c r="F49" s="8" t="n"/>
      <c r="G49" s="8" t="n"/>
      <c r="J49" s="9">
        <f>IF(A49="","",IFERROR(VLOOKUP(A49,Lists!$A:$H,8,FALSE),0))</f>
        <v/>
      </c>
      <c r="L49" s="9">
        <f>IF(A49="","",IFERROR(VLOOKUP(A49,Lists!$A:$H,7,FALSE),0))</f>
        <v/>
      </c>
      <c r="M49" s="10" t="n">
        <v>0.21</v>
      </c>
      <c r="N49" s="11">
        <f>L49 * (1 + M49)</f>
        <v/>
      </c>
      <c r="O49" s="11">
        <f>IF(K49="Eigen Beheer",0,IF(AND(ISNUMBER(N49),I49&lt;&gt;"",H49&lt;&gt;""),ROUND((I49-H49)/Lists!$Q$2,2)*N49,0))</f>
        <v/>
      </c>
      <c r="R49" s="12">
        <f>IF(Q49="","",VLOOKUP(Q49,Lists!$E:$F,2,FALSE))</f>
        <v/>
      </c>
      <c r="AD49" s="9" t="n">
        <v>50</v>
      </c>
      <c r="AE49" s="11">
        <f>IF(AB49="","",IF(ISNUMBER(SEARCH("Basis",AB49)),(250/1.21)+MAX(0,AC49-5)*AD49,IF(ISNUMBER(SEARCH("Intensief",AB49)),(375/1.21)+MAX(0,AC49-7)*AD49,AC49*AD49)))</f>
        <v/>
      </c>
      <c r="AF49" s="13" t="n">
        <v>0.21</v>
      </c>
      <c r="AG49" s="11">
        <f>IF(AE49&lt;&gt;"",AE49*AF49,"")</f>
        <v/>
      </c>
      <c r="AH49" s="11">
        <f>IF(AE49&lt;&gt;"",AE49+AG49,"")</f>
        <v/>
      </c>
      <c r="AL49">
        <f>IF($B49="GWE_Item",IF($AI49="Elektra",SUMIFS($W:$W,$A:$A,$A49,$B:$B,"GWE")-SUMIFS($V:$V,$A:$A,$A49,$B:$B,"GWE"),IF($AI49="Gas",SUMIFS($Y:$Y,$A:$A,$A49,$B:$B,"GWE")-SUMIFS($X:$X,$A:$A,$A49,$B:$B,"GWE"),IF($AI49="Water",SUMIFS($AA:$AA,$A:$A,$A49,$B:$B,"GWE")-SUMIFS($Z:$Z,$A:$A,$A49,$B:$B,"GWE"),""))),"")</f>
        <v/>
      </c>
      <c r="AN49" s="11">
        <f>IF(AND(AL49&lt;&gt;"",AM49&lt;&gt;""),AL49*AM49,"")</f>
        <v/>
      </c>
      <c r="AO49" s="13" t="n"/>
      <c r="AP49" s="11">
        <f>IF(AND(AN49&lt;&gt;"",AO49&lt;&gt;""),AN49*AO49,"")</f>
        <v/>
      </c>
      <c r="AQ49" s="11">
        <f>IF(AND(AN49&lt;&gt;"",AP49&lt;&gt;""),AN49+AP49,"")</f>
        <v/>
      </c>
    </row>
    <row r="50">
      <c r="D50" s="8">
        <f>IF(A50="","",VLOOKUP(A50,Lists!$A:$B,2,FALSE))</f>
        <v/>
      </c>
      <c r="E50" s="8">
        <f>IF(C50="","",VLOOKUP(C50,Lists!$C:$D,2,FALSE))</f>
        <v/>
      </c>
      <c r="F50" s="8" t="n"/>
      <c r="G50" s="8" t="n"/>
      <c r="J50" s="9">
        <f>IF(A50="","",IFERROR(VLOOKUP(A50,Lists!$A:$H,8,FALSE),0))</f>
        <v/>
      </c>
      <c r="L50" s="9">
        <f>IF(A50="","",IFERROR(VLOOKUP(A50,Lists!$A:$H,7,FALSE),0))</f>
        <v/>
      </c>
      <c r="M50" s="10" t="n">
        <v>0.21</v>
      </c>
      <c r="N50" s="11">
        <f>L50 * (1 + M50)</f>
        <v/>
      </c>
      <c r="O50" s="11">
        <f>IF(K50="Eigen Beheer",0,IF(AND(ISNUMBER(N50),I50&lt;&gt;"",H50&lt;&gt;""),ROUND((I50-H50)/Lists!$Q$2,2)*N50,0))</f>
        <v/>
      </c>
      <c r="R50" s="12">
        <f>IF(Q50="","",VLOOKUP(Q50,Lists!$E:$F,2,FALSE))</f>
        <v/>
      </c>
      <c r="AD50" s="9" t="n">
        <v>50</v>
      </c>
      <c r="AE50" s="11">
        <f>IF(AB50="","",IF(ISNUMBER(SEARCH("Basis",AB50)),(250/1.21)+MAX(0,AC50-5)*AD50,IF(ISNUMBER(SEARCH("Intensief",AB50)),(375/1.21)+MAX(0,AC50-7)*AD50,AC50*AD50)))</f>
        <v/>
      </c>
      <c r="AF50" s="13" t="n">
        <v>0.21</v>
      </c>
      <c r="AG50" s="11">
        <f>IF(AE50&lt;&gt;"",AE50*AF50,"")</f>
        <v/>
      </c>
      <c r="AH50" s="11">
        <f>IF(AE50&lt;&gt;"",AE50+AG50,"")</f>
        <v/>
      </c>
      <c r="AL50">
        <f>IF($B50="GWE_Item",IF($AI50="Elektra",SUMIFS($W:$W,$A:$A,$A50,$B:$B,"GWE")-SUMIFS($V:$V,$A:$A,$A50,$B:$B,"GWE"),IF($AI50="Gas",SUMIFS($Y:$Y,$A:$A,$A50,$B:$B,"GWE")-SUMIFS($X:$X,$A:$A,$A50,$B:$B,"GWE"),IF($AI50="Water",SUMIFS($AA:$AA,$A:$A,$A50,$B:$B,"GWE")-SUMIFS($Z:$Z,$A:$A,$A50,$B:$B,"GWE"),""))),"")</f>
        <v/>
      </c>
      <c r="AN50" s="11">
        <f>IF(AND(AL50&lt;&gt;"",AM50&lt;&gt;""),AL50*AM50,"")</f>
        <v/>
      </c>
      <c r="AO50" s="13" t="n"/>
      <c r="AP50" s="11">
        <f>IF(AND(AN50&lt;&gt;"",AO50&lt;&gt;""),AN50*AO50,"")</f>
        <v/>
      </c>
      <c r="AQ50" s="11">
        <f>IF(AND(AN50&lt;&gt;"",AP50&lt;&gt;""),AN50+AP50,"")</f>
        <v/>
      </c>
    </row>
    <row r="51">
      <c r="D51" s="8">
        <f>IF(A51="","",VLOOKUP(A51,Lists!$A:$B,2,FALSE))</f>
        <v/>
      </c>
      <c r="E51" s="8">
        <f>IF(C51="","",VLOOKUP(C51,Lists!$C:$D,2,FALSE))</f>
        <v/>
      </c>
      <c r="F51" s="8" t="n"/>
      <c r="G51" s="8" t="n"/>
      <c r="J51" s="9">
        <f>IF(A51="","",IFERROR(VLOOKUP(A51,Lists!$A:$H,8,FALSE),0))</f>
        <v/>
      </c>
      <c r="L51" s="9">
        <f>IF(A51="","",IFERROR(VLOOKUP(A51,Lists!$A:$H,7,FALSE),0))</f>
        <v/>
      </c>
      <c r="M51" s="10" t="n">
        <v>0.21</v>
      </c>
      <c r="N51" s="11">
        <f>L51 * (1 + M51)</f>
        <v/>
      </c>
      <c r="O51" s="11">
        <f>IF(K51="Eigen Beheer",0,IF(AND(ISNUMBER(N51),I51&lt;&gt;"",H51&lt;&gt;""),ROUND((I51-H51)/Lists!$Q$2,2)*N51,0))</f>
        <v/>
      </c>
      <c r="R51" s="12">
        <f>IF(Q51="","",VLOOKUP(Q51,Lists!$E:$F,2,FALSE))</f>
        <v/>
      </c>
      <c r="AD51" s="9" t="n">
        <v>50</v>
      </c>
      <c r="AE51" s="11">
        <f>IF(AB51="","",IF(ISNUMBER(SEARCH("Basis",AB51)),(250/1.21)+MAX(0,AC51-5)*AD51,IF(ISNUMBER(SEARCH("Intensief",AB51)),(375/1.21)+MAX(0,AC51-7)*AD51,AC51*AD51)))</f>
        <v/>
      </c>
      <c r="AF51" s="13" t="n">
        <v>0.21</v>
      </c>
      <c r="AG51" s="11">
        <f>IF(AE51&lt;&gt;"",AE51*AF51,"")</f>
        <v/>
      </c>
      <c r="AH51" s="11">
        <f>IF(AE51&lt;&gt;"",AE51+AG51,"")</f>
        <v/>
      </c>
      <c r="AL51">
        <f>IF($B51="GWE_Item",IF($AI51="Elektra",SUMIFS($W:$W,$A:$A,$A51,$B:$B,"GWE")-SUMIFS($V:$V,$A:$A,$A51,$B:$B,"GWE"),IF($AI51="Gas",SUMIFS($Y:$Y,$A:$A,$A51,$B:$B,"GWE")-SUMIFS($X:$X,$A:$A,$A51,$B:$B,"GWE"),IF($AI51="Water",SUMIFS($AA:$AA,$A:$A,$A51,$B:$B,"GWE")-SUMIFS($Z:$Z,$A:$A,$A51,$B:$B,"GWE"),""))),"")</f>
        <v/>
      </c>
      <c r="AN51" s="11">
        <f>IF(AND(AL51&lt;&gt;"",AM51&lt;&gt;""),AL51*AM51,"")</f>
        <v/>
      </c>
      <c r="AO51" s="13" t="n"/>
      <c r="AP51" s="11">
        <f>IF(AND(AN51&lt;&gt;"",AO51&lt;&gt;""),AN51*AO51,"")</f>
        <v/>
      </c>
      <c r="AQ51" s="11">
        <f>IF(AND(AN51&lt;&gt;"",AP51&lt;&gt;""),AN51+AP51,"")</f>
        <v/>
      </c>
    </row>
    <row r="52">
      <c r="D52" s="8">
        <f>IF(A52="","",VLOOKUP(A52,Lists!$A:$B,2,FALSE))</f>
        <v/>
      </c>
      <c r="E52" s="8">
        <f>IF(C52="","",VLOOKUP(C52,Lists!$C:$D,2,FALSE))</f>
        <v/>
      </c>
      <c r="F52" s="8" t="n"/>
      <c r="G52" s="8" t="n"/>
      <c r="J52" s="9">
        <f>IF(A52="","",IFERROR(VLOOKUP(A52,Lists!$A:$H,8,FALSE),0))</f>
        <v/>
      </c>
      <c r="L52" s="9">
        <f>IF(A52="","",IFERROR(VLOOKUP(A52,Lists!$A:$H,7,FALSE),0))</f>
        <v/>
      </c>
      <c r="M52" s="10" t="n">
        <v>0.21</v>
      </c>
      <c r="N52" s="11">
        <f>L52 * (1 + M52)</f>
        <v/>
      </c>
      <c r="O52" s="11">
        <f>IF(K52="Eigen Beheer",0,IF(AND(ISNUMBER(N52),I52&lt;&gt;"",H52&lt;&gt;""),ROUND((I52-H52)/Lists!$Q$2,2)*N52,0))</f>
        <v/>
      </c>
      <c r="R52" s="12">
        <f>IF(Q52="","",VLOOKUP(Q52,Lists!$E:$F,2,FALSE))</f>
        <v/>
      </c>
      <c r="AD52" s="9" t="n">
        <v>50</v>
      </c>
      <c r="AE52" s="11">
        <f>IF(AB52="","",IF(ISNUMBER(SEARCH("Basis",AB52)),(250/1.21)+MAX(0,AC52-5)*AD52,IF(ISNUMBER(SEARCH("Intensief",AB52)),(375/1.21)+MAX(0,AC52-7)*AD52,AC52*AD52)))</f>
        <v/>
      </c>
      <c r="AF52" s="13" t="n">
        <v>0.21</v>
      </c>
      <c r="AG52" s="11">
        <f>IF(AE52&lt;&gt;"",AE52*AF52,"")</f>
        <v/>
      </c>
      <c r="AH52" s="11">
        <f>IF(AE52&lt;&gt;"",AE52+AG52,"")</f>
        <v/>
      </c>
      <c r="AL52">
        <f>IF($B52="GWE_Item",IF($AI52="Elektra",SUMIFS($W:$W,$A:$A,$A52,$B:$B,"GWE")-SUMIFS($V:$V,$A:$A,$A52,$B:$B,"GWE"),IF($AI52="Gas",SUMIFS($Y:$Y,$A:$A,$A52,$B:$B,"GWE")-SUMIFS($X:$X,$A:$A,$A52,$B:$B,"GWE"),IF($AI52="Water",SUMIFS($AA:$AA,$A:$A,$A52,$B:$B,"GWE")-SUMIFS($Z:$Z,$A:$A,$A52,$B:$B,"GWE"),""))),"")</f>
        <v/>
      </c>
      <c r="AN52" s="11">
        <f>IF(AND(AL52&lt;&gt;"",AM52&lt;&gt;""),AL52*AM52,"")</f>
        <v/>
      </c>
      <c r="AO52" s="13" t="n"/>
      <c r="AP52" s="11">
        <f>IF(AND(AN52&lt;&gt;"",AO52&lt;&gt;""),AN52*AO52,"")</f>
        <v/>
      </c>
      <c r="AQ52" s="11">
        <f>IF(AND(AN52&lt;&gt;"",AP52&lt;&gt;""),AN52+AP52,"")</f>
        <v/>
      </c>
    </row>
    <row r="53">
      <c r="D53" s="8">
        <f>IF(A53="","",VLOOKUP(A53,Lists!$A:$B,2,FALSE))</f>
        <v/>
      </c>
      <c r="E53" s="8">
        <f>IF(C53="","",VLOOKUP(C53,Lists!$C:$D,2,FALSE))</f>
        <v/>
      </c>
      <c r="F53" s="8" t="n"/>
      <c r="G53" s="8" t="n"/>
      <c r="J53" s="9">
        <f>IF(A53="","",IFERROR(VLOOKUP(A53,Lists!$A:$H,8,FALSE),0))</f>
        <v/>
      </c>
      <c r="L53" s="9">
        <f>IF(A53="","",IFERROR(VLOOKUP(A53,Lists!$A:$H,7,FALSE),0))</f>
        <v/>
      </c>
      <c r="M53" s="10" t="n">
        <v>0.21</v>
      </c>
      <c r="N53" s="11">
        <f>L53 * (1 + M53)</f>
        <v/>
      </c>
      <c r="O53" s="11">
        <f>IF(K53="Eigen Beheer",0,IF(AND(ISNUMBER(N53),I53&lt;&gt;"",H53&lt;&gt;""),ROUND((I53-H53)/Lists!$Q$2,2)*N53,0))</f>
        <v/>
      </c>
      <c r="R53" s="12">
        <f>IF(Q53="","",VLOOKUP(Q53,Lists!$E:$F,2,FALSE))</f>
        <v/>
      </c>
      <c r="AD53" s="9" t="n">
        <v>50</v>
      </c>
      <c r="AE53" s="11">
        <f>IF(AB53="","",IF(ISNUMBER(SEARCH("Basis",AB53)),(250/1.21)+MAX(0,AC53-5)*AD53,IF(ISNUMBER(SEARCH("Intensief",AB53)),(375/1.21)+MAX(0,AC53-7)*AD53,AC53*AD53)))</f>
        <v/>
      </c>
      <c r="AF53" s="13" t="n">
        <v>0.21</v>
      </c>
      <c r="AG53" s="11">
        <f>IF(AE53&lt;&gt;"",AE53*AF53,"")</f>
        <v/>
      </c>
      <c r="AH53" s="11">
        <f>IF(AE53&lt;&gt;"",AE53+AG53,"")</f>
        <v/>
      </c>
      <c r="AL53">
        <f>IF($B53="GWE_Item",IF($AI53="Elektra",SUMIFS($W:$W,$A:$A,$A53,$B:$B,"GWE")-SUMIFS($V:$V,$A:$A,$A53,$B:$B,"GWE"),IF($AI53="Gas",SUMIFS($Y:$Y,$A:$A,$A53,$B:$B,"GWE")-SUMIFS($X:$X,$A:$A,$A53,$B:$B,"GWE"),IF($AI53="Water",SUMIFS($AA:$AA,$A:$A,$A53,$B:$B,"GWE")-SUMIFS($Z:$Z,$A:$A,$A53,$B:$B,"GWE"),""))),"")</f>
        <v/>
      </c>
      <c r="AN53" s="11">
        <f>IF(AND(AL53&lt;&gt;"",AM53&lt;&gt;""),AL53*AM53,"")</f>
        <v/>
      </c>
      <c r="AO53" s="13" t="n"/>
      <c r="AP53" s="11">
        <f>IF(AND(AN53&lt;&gt;"",AO53&lt;&gt;""),AN53*AO53,"")</f>
        <v/>
      </c>
      <c r="AQ53" s="11">
        <f>IF(AND(AN53&lt;&gt;"",AP53&lt;&gt;""),AN53+AP53,"")</f>
        <v/>
      </c>
    </row>
    <row r="54">
      <c r="D54" s="8">
        <f>IF(A54="","",VLOOKUP(A54,Lists!$A:$B,2,FALSE))</f>
        <v/>
      </c>
      <c r="E54" s="8">
        <f>IF(C54="","",VLOOKUP(C54,Lists!$C:$D,2,FALSE))</f>
        <v/>
      </c>
      <c r="F54" s="8" t="n"/>
      <c r="G54" s="8" t="n"/>
      <c r="J54" s="9">
        <f>IF(A54="","",IFERROR(VLOOKUP(A54,Lists!$A:$H,8,FALSE),0))</f>
        <v/>
      </c>
      <c r="L54" s="9">
        <f>IF(A54="","",IFERROR(VLOOKUP(A54,Lists!$A:$H,7,FALSE),0))</f>
        <v/>
      </c>
      <c r="M54" s="10" t="n">
        <v>0.21</v>
      </c>
      <c r="N54" s="11">
        <f>L54 * (1 + M54)</f>
        <v/>
      </c>
      <c r="O54" s="11">
        <f>IF(K54="Eigen Beheer",0,IF(AND(ISNUMBER(N54),I54&lt;&gt;"",H54&lt;&gt;""),ROUND((I54-H54)/Lists!$Q$2,2)*N54,0))</f>
        <v/>
      </c>
      <c r="R54" s="12">
        <f>IF(Q54="","",VLOOKUP(Q54,Lists!$E:$F,2,FALSE))</f>
        <v/>
      </c>
      <c r="AD54" s="9" t="n">
        <v>50</v>
      </c>
      <c r="AE54" s="11">
        <f>IF(AB54="","",IF(ISNUMBER(SEARCH("Basis",AB54)),(250/1.21)+MAX(0,AC54-5)*AD54,IF(ISNUMBER(SEARCH("Intensief",AB54)),(375/1.21)+MAX(0,AC54-7)*AD54,AC54*AD54)))</f>
        <v/>
      </c>
      <c r="AF54" s="13" t="n">
        <v>0.21</v>
      </c>
      <c r="AG54" s="11">
        <f>IF(AE54&lt;&gt;"",AE54*AF54,"")</f>
        <v/>
      </c>
      <c r="AH54" s="11">
        <f>IF(AE54&lt;&gt;"",AE54+AG54,"")</f>
        <v/>
      </c>
      <c r="AL54">
        <f>IF($B54="GWE_Item",IF($AI54="Elektra",SUMIFS($W:$W,$A:$A,$A54,$B:$B,"GWE")-SUMIFS($V:$V,$A:$A,$A54,$B:$B,"GWE"),IF($AI54="Gas",SUMIFS($Y:$Y,$A:$A,$A54,$B:$B,"GWE")-SUMIFS($X:$X,$A:$A,$A54,$B:$B,"GWE"),IF($AI54="Water",SUMIFS($AA:$AA,$A:$A,$A54,$B:$B,"GWE")-SUMIFS($Z:$Z,$A:$A,$A54,$B:$B,"GWE"),""))),"")</f>
        <v/>
      </c>
      <c r="AN54" s="11">
        <f>IF(AND(AL54&lt;&gt;"",AM54&lt;&gt;""),AL54*AM54,"")</f>
        <v/>
      </c>
      <c r="AO54" s="13" t="n"/>
      <c r="AP54" s="11">
        <f>IF(AND(AN54&lt;&gt;"",AO54&lt;&gt;""),AN54*AO54,"")</f>
        <v/>
      </c>
      <c r="AQ54" s="11">
        <f>IF(AND(AN54&lt;&gt;"",AP54&lt;&gt;""),AN54+AP54,"")</f>
        <v/>
      </c>
    </row>
    <row r="55">
      <c r="D55" s="8">
        <f>IF(A55="","",VLOOKUP(A55,Lists!$A:$B,2,FALSE))</f>
        <v/>
      </c>
      <c r="E55" s="8">
        <f>IF(C55="","",VLOOKUP(C55,Lists!$C:$D,2,FALSE))</f>
        <v/>
      </c>
      <c r="F55" s="8" t="n"/>
      <c r="G55" s="8" t="n"/>
      <c r="J55" s="9">
        <f>IF(A55="","",IFERROR(VLOOKUP(A55,Lists!$A:$H,8,FALSE),0))</f>
        <v/>
      </c>
      <c r="L55" s="9">
        <f>IF(A55="","",IFERROR(VLOOKUP(A55,Lists!$A:$H,7,FALSE),0))</f>
        <v/>
      </c>
      <c r="M55" s="10" t="n">
        <v>0.21</v>
      </c>
      <c r="N55" s="11">
        <f>L55 * (1 + M55)</f>
        <v/>
      </c>
      <c r="O55" s="11">
        <f>IF(K55="Eigen Beheer",0,IF(AND(ISNUMBER(N55),I55&lt;&gt;"",H55&lt;&gt;""),ROUND((I55-H55)/Lists!$Q$2,2)*N55,0))</f>
        <v/>
      </c>
      <c r="R55" s="12">
        <f>IF(Q55="","",VLOOKUP(Q55,Lists!$E:$F,2,FALSE))</f>
        <v/>
      </c>
      <c r="AD55" s="9" t="n">
        <v>50</v>
      </c>
      <c r="AE55" s="11">
        <f>IF(AB55="","",IF(ISNUMBER(SEARCH("Basis",AB55)),(250/1.21)+MAX(0,AC55-5)*AD55,IF(ISNUMBER(SEARCH("Intensief",AB55)),(375/1.21)+MAX(0,AC55-7)*AD55,AC55*AD55)))</f>
        <v/>
      </c>
      <c r="AF55" s="13" t="n">
        <v>0.21</v>
      </c>
      <c r="AG55" s="11">
        <f>IF(AE55&lt;&gt;"",AE55*AF55,"")</f>
        <v/>
      </c>
      <c r="AH55" s="11">
        <f>IF(AE55&lt;&gt;"",AE55+AG55,"")</f>
        <v/>
      </c>
      <c r="AL55">
        <f>IF($B55="GWE_Item",IF($AI55="Elektra",SUMIFS($W:$W,$A:$A,$A55,$B:$B,"GWE")-SUMIFS($V:$V,$A:$A,$A55,$B:$B,"GWE"),IF($AI55="Gas",SUMIFS($Y:$Y,$A:$A,$A55,$B:$B,"GWE")-SUMIFS($X:$X,$A:$A,$A55,$B:$B,"GWE"),IF($AI55="Water",SUMIFS($AA:$AA,$A:$A,$A55,$B:$B,"GWE")-SUMIFS($Z:$Z,$A:$A,$A55,$B:$B,"GWE"),""))),"")</f>
        <v/>
      </c>
      <c r="AN55" s="11">
        <f>IF(AND(AL55&lt;&gt;"",AM55&lt;&gt;""),AL55*AM55,"")</f>
        <v/>
      </c>
      <c r="AO55" s="13" t="n"/>
      <c r="AP55" s="11">
        <f>IF(AND(AN55&lt;&gt;"",AO55&lt;&gt;""),AN55*AO55,"")</f>
        <v/>
      </c>
      <c r="AQ55" s="11">
        <f>IF(AND(AN55&lt;&gt;"",AP55&lt;&gt;""),AN55+AP55,"")</f>
        <v/>
      </c>
    </row>
    <row r="56">
      <c r="D56" s="8">
        <f>IF(A56="","",VLOOKUP(A56,Lists!$A:$B,2,FALSE))</f>
        <v/>
      </c>
      <c r="E56" s="8">
        <f>IF(C56="","",VLOOKUP(C56,Lists!$C:$D,2,FALSE))</f>
        <v/>
      </c>
      <c r="F56" s="8" t="n"/>
      <c r="G56" s="8" t="n"/>
      <c r="J56" s="9">
        <f>IF(A56="","",IFERROR(VLOOKUP(A56,Lists!$A:$H,8,FALSE),0))</f>
        <v/>
      </c>
      <c r="L56" s="9">
        <f>IF(A56="","",IFERROR(VLOOKUP(A56,Lists!$A:$H,7,FALSE),0))</f>
        <v/>
      </c>
      <c r="M56" s="10" t="n">
        <v>0.21</v>
      </c>
      <c r="N56" s="11">
        <f>L56 * (1 + M56)</f>
        <v/>
      </c>
      <c r="O56" s="11">
        <f>IF(K56="Eigen Beheer",0,IF(AND(ISNUMBER(N56),I56&lt;&gt;"",H56&lt;&gt;""),ROUND((I56-H56)/Lists!$Q$2,2)*N56,0))</f>
        <v/>
      </c>
      <c r="R56" s="12">
        <f>IF(Q56="","",VLOOKUP(Q56,Lists!$E:$F,2,FALSE))</f>
        <v/>
      </c>
      <c r="AD56" s="9" t="n">
        <v>50</v>
      </c>
      <c r="AE56" s="11">
        <f>IF(AB56="","",IF(ISNUMBER(SEARCH("Basis",AB56)),(250/1.21)+MAX(0,AC56-5)*AD56,IF(ISNUMBER(SEARCH("Intensief",AB56)),(375/1.21)+MAX(0,AC56-7)*AD56,AC56*AD56)))</f>
        <v/>
      </c>
      <c r="AF56" s="13" t="n">
        <v>0.21</v>
      </c>
      <c r="AG56" s="11">
        <f>IF(AE56&lt;&gt;"",AE56*AF56,"")</f>
        <v/>
      </c>
      <c r="AH56" s="11">
        <f>IF(AE56&lt;&gt;"",AE56+AG56,"")</f>
        <v/>
      </c>
      <c r="AL56">
        <f>IF($B56="GWE_Item",IF($AI56="Elektra",SUMIFS($W:$W,$A:$A,$A56,$B:$B,"GWE")-SUMIFS($V:$V,$A:$A,$A56,$B:$B,"GWE"),IF($AI56="Gas",SUMIFS($Y:$Y,$A:$A,$A56,$B:$B,"GWE")-SUMIFS($X:$X,$A:$A,$A56,$B:$B,"GWE"),IF($AI56="Water",SUMIFS($AA:$AA,$A:$A,$A56,$B:$B,"GWE")-SUMIFS($Z:$Z,$A:$A,$A56,$B:$B,"GWE"),""))),"")</f>
        <v/>
      </c>
      <c r="AN56" s="11">
        <f>IF(AND(AL56&lt;&gt;"",AM56&lt;&gt;""),AL56*AM56,"")</f>
        <v/>
      </c>
      <c r="AO56" s="13" t="n"/>
      <c r="AP56" s="11">
        <f>IF(AND(AN56&lt;&gt;"",AO56&lt;&gt;""),AN56*AO56,"")</f>
        <v/>
      </c>
      <c r="AQ56" s="11">
        <f>IF(AND(AN56&lt;&gt;"",AP56&lt;&gt;""),AN56+AP56,"")</f>
        <v/>
      </c>
    </row>
    <row r="57">
      <c r="D57" s="8">
        <f>IF(A57="","",VLOOKUP(A57,Lists!$A:$B,2,FALSE))</f>
        <v/>
      </c>
      <c r="E57" s="8">
        <f>IF(C57="","",VLOOKUP(C57,Lists!$C:$D,2,FALSE))</f>
        <v/>
      </c>
      <c r="F57" s="8" t="n"/>
      <c r="G57" s="8" t="n"/>
      <c r="J57" s="9">
        <f>IF(A57="","",IFERROR(VLOOKUP(A57,Lists!$A:$H,8,FALSE),0))</f>
        <v/>
      </c>
      <c r="L57" s="9">
        <f>IF(A57="","",IFERROR(VLOOKUP(A57,Lists!$A:$H,7,FALSE),0))</f>
        <v/>
      </c>
      <c r="M57" s="10" t="n">
        <v>0.21</v>
      </c>
      <c r="N57" s="11">
        <f>L57 * (1 + M57)</f>
        <v/>
      </c>
      <c r="O57" s="11">
        <f>IF(K57="Eigen Beheer",0,IF(AND(ISNUMBER(N57),I57&lt;&gt;"",H57&lt;&gt;""),ROUND((I57-H57)/Lists!$Q$2,2)*N57,0))</f>
        <v/>
      </c>
      <c r="R57" s="12">
        <f>IF(Q57="","",VLOOKUP(Q57,Lists!$E:$F,2,FALSE))</f>
        <v/>
      </c>
      <c r="AD57" s="9" t="n">
        <v>50</v>
      </c>
      <c r="AE57" s="11">
        <f>IF(AB57="","",IF(ISNUMBER(SEARCH("Basis",AB57)),(250/1.21)+MAX(0,AC57-5)*AD57,IF(ISNUMBER(SEARCH("Intensief",AB57)),(375/1.21)+MAX(0,AC57-7)*AD57,AC57*AD57)))</f>
        <v/>
      </c>
      <c r="AF57" s="13" t="n">
        <v>0.21</v>
      </c>
      <c r="AG57" s="11">
        <f>IF(AE57&lt;&gt;"",AE57*AF57,"")</f>
        <v/>
      </c>
      <c r="AH57" s="11">
        <f>IF(AE57&lt;&gt;"",AE57+AG57,"")</f>
        <v/>
      </c>
      <c r="AL57">
        <f>IF($B57="GWE_Item",IF($AI57="Elektra",SUMIFS($W:$W,$A:$A,$A57,$B:$B,"GWE")-SUMIFS($V:$V,$A:$A,$A57,$B:$B,"GWE"),IF($AI57="Gas",SUMIFS($Y:$Y,$A:$A,$A57,$B:$B,"GWE")-SUMIFS($X:$X,$A:$A,$A57,$B:$B,"GWE"),IF($AI57="Water",SUMIFS($AA:$AA,$A:$A,$A57,$B:$B,"GWE")-SUMIFS($Z:$Z,$A:$A,$A57,$B:$B,"GWE"),""))),"")</f>
        <v/>
      </c>
      <c r="AN57" s="11">
        <f>IF(AND(AL57&lt;&gt;"",AM57&lt;&gt;""),AL57*AM57,"")</f>
        <v/>
      </c>
      <c r="AO57" s="13" t="n"/>
      <c r="AP57" s="11">
        <f>IF(AND(AN57&lt;&gt;"",AO57&lt;&gt;""),AN57*AO57,"")</f>
        <v/>
      </c>
      <c r="AQ57" s="11">
        <f>IF(AND(AN57&lt;&gt;"",AP57&lt;&gt;""),AN57+AP57,"")</f>
        <v/>
      </c>
    </row>
    <row r="58">
      <c r="D58" s="8">
        <f>IF(A58="","",VLOOKUP(A58,Lists!$A:$B,2,FALSE))</f>
        <v/>
      </c>
      <c r="E58" s="8">
        <f>IF(C58="","",VLOOKUP(C58,Lists!$C:$D,2,FALSE))</f>
        <v/>
      </c>
      <c r="F58" s="8" t="n"/>
      <c r="G58" s="8" t="n"/>
      <c r="J58" s="9">
        <f>IF(A58="","",IFERROR(VLOOKUP(A58,Lists!$A:$H,8,FALSE),0))</f>
        <v/>
      </c>
      <c r="L58" s="9">
        <f>IF(A58="","",IFERROR(VLOOKUP(A58,Lists!$A:$H,7,FALSE),0))</f>
        <v/>
      </c>
      <c r="M58" s="10" t="n">
        <v>0.21</v>
      </c>
      <c r="N58" s="11">
        <f>L58 * (1 + M58)</f>
        <v/>
      </c>
      <c r="O58" s="11">
        <f>IF(K58="Eigen Beheer",0,IF(AND(ISNUMBER(N58),I58&lt;&gt;"",H58&lt;&gt;""),ROUND((I58-H58)/Lists!$Q$2,2)*N58,0))</f>
        <v/>
      </c>
      <c r="R58" s="12">
        <f>IF(Q58="","",VLOOKUP(Q58,Lists!$E:$F,2,FALSE))</f>
        <v/>
      </c>
      <c r="AD58" s="9" t="n">
        <v>50</v>
      </c>
      <c r="AE58" s="11">
        <f>IF(AB58="","",IF(ISNUMBER(SEARCH("Basis",AB58)),(250/1.21)+MAX(0,AC58-5)*AD58,IF(ISNUMBER(SEARCH("Intensief",AB58)),(375/1.21)+MAX(0,AC58-7)*AD58,AC58*AD58)))</f>
        <v/>
      </c>
      <c r="AF58" s="13" t="n">
        <v>0.21</v>
      </c>
      <c r="AG58" s="11">
        <f>IF(AE58&lt;&gt;"",AE58*AF58,"")</f>
        <v/>
      </c>
      <c r="AH58" s="11">
        <f>IF(AE58&lt;&gt;"",AE58+AG58,"")</f>
        <v/>
      </c>
      <c r="AL58">
        <f>IF($B58="GWE_Item",IF($AI58="Elektra",SUMIFS($W:$W,$A:$A,$A58,$B:$B,"GWE")-SUMIFS($V:$V,$A:$A,$A58,$B:$B,"GWE"),IF($AI58="Gas",SUMIFS($Y:$Y,$A:$A,$A58,$B:$B,"GWE")-SUMIFS($X:$X,$A:$A,$A58,$B:$B,"GWE"),IF($AI58="Water",SUMIFS($AA:$AA,$A:$A,$A58,$B:$B,"GWE")-SUMIFS($Z:$Z,$A:$A,$A58,$B:$B,"GWE"),""))),"")</f>
        <v/>
      </c>
      <c r="AN58" s="11">
        <f>IF(AND(AL58&lt;&gt;"",AM58&lt;&gt;""),AL58*AM58,"")</f>
        <v/>
      </c>
      <c r="AO58" s="13" t="n"/>
      <c r="AP58" s="11">
        <f>IF(AND(AN58&lt;&gt;"",AO58&lt;&gt;""),AN58*AO58,"")</f>
        <v/>
      </c>
      <c r="AQ58" s="11">
        <f>IF(AND(AN58&lt;&gt;"",AP58&lt;&gt;""),AN58+AP58,"")</f>
        <v/>
      </c>
    </row>
    <row r="59">
      <c r="D59" s="8">
        <f>IF(A59="","",VLOOKUP(A59,Lists!$A:$B,2,FALSE))</f>
        <v/>
      </c>
      <c r="E59" s="8">
        <f>IF(C59="","",VLOOKUP(C59,Lists!$C:$D,2,FALSE))</f>
        <v/>
      </c>
      <c r="F59" s="8" t="n"/>
      <c r="G59" s="8" t="n"/>
      <c r="J59" s="9">
        <f>IF(A59="","",IFERROR(VLOOKUP(A59,Lists!$A:$H,8,FALSE),0))</f>
        <v/>
      </c>
      <c r="L59" s="9">
        <f>IF(A59="","",IFERROR(VLOOKUP(A59,Lists!$A:$H,7,FALSE),0))</f>
        <v/>
      </c>
      <c r="M59" s="10" t="n">
        <v>0.21</v>
      </c>
      <c r="N59" s="11">
        <f>L59 * (1 + M59)</f>
        <v/>
      </c>
      <c r="O59" s="11">
        <f>IF(K59="Eigen Beheer",0,IF(AND(ISNUMBER(N59),I59&lt;&gt;"",H59&lt;&gt;""),ROUND((I59-H59)/Lists!$Q$2,2)*N59,0))</f>
        <v/>
      </c>
      <c r="R59" s="12">
        <f>IF(Q59="","",VLOOKUP(Q59,Lists!$E:$F,2,FALSE))</f>
        <v/>
      </c>
      <c r="AD59" s="9" t="n">
        <v>50</v>
      </c>
      <c r="AE59" s="11">
        <f>IF(AB59="","",IF(ISNUMBER(SEARCH("Basis",AB59)),(250/1.21)+MAX(0,AC59-5)*AD59,IF(ISNUMBER(SEARCH("Intensief",AB59)),(375/1.21)+MAX(0,AC59-7)*AD59,AC59*AD59)))</f>
        <v/>
      </c>
      <c r="AF59" s="13" t="n">
        <v>0.21</v>
      </c>
      <c r="AG59" s="11">
        <f>IF(AE59&lt;&gt;"",AE59*AF59,"")</f>
        <v/>
      </c>
      <c r="AH59" s="11">
        <f>IF(AE59&lt;&gt;"",AE59+AG59,"")</f>
        <v/>
      </c>
      <c r="AL59">
        <f>IF($B59="GWE_Item",IF($AI59="Elektra",SUMIFS($W:$W,$A:$A,$A59,$B:$B,"GWE")-SUMIFS($V:$V,$A:$A,$A59,$B:$B,"GWE"),IF($AI59="Gas",SUMIFS($Y:$Y,$A:$A,$A59,$B:$B,"GWE")-SUMIFS($X:$X,$A:$A,$A59,$B:$B,"GWE"),IF($AI59="Water",SUMIFS($AA:$AA,$A:$A,$A59,$B:$B,"GWE")-SUMIFS($Z:$Z,$A:$A,$A59,$B:$B,"GWE"),""))),"")</f>
        <v/>
      </c>
      <c r="AN59" s="11">
        <f>IF(AND(AL59&lt;&gt;"",AM59&lt;&gt;""),AL59*AM59,"")</f>
        <v/>
      </c>
      <c r="AO59" s="13" t="n"/>
      <c r="AP59" s="11">
        <f>IF(AND(AN59&lt;&gt;"",AO59&lt;&gt;""),AN59*AO59,"")</f>
        <v/>
      </c>
      <c r="AQ59" s="11">
        <f>IF(AND(AN59&lt;&gt;"",AP59&lt;&gt;""),AN59+AP59,"")</f>
        <v/>
      </c>
    </row>
    <row r="60">
      <c r="D60" s="8">
        <f>IF(A60="","",VLOOKUP(A60,Lists!$A:$B,2,FALSE))</f>
        <v/>
      </c>
      <c r="E60" s="8">
        <f>IF(C60="","",VLOOKUP(C60,Lists!$C:$D,2,FALSE))</f>
        <v/>
      </c>
      <c r="F60" s="8" t="n"/>
      <c r="G60" s="8" t="n"/>
      <c r="J60" s="9">
        <f>IF(A60="","",IFERROR(VLOOKUP(A60,Lists!$A:$H,8,FALSE),0))</f>
        <v/>
      </c>
      <c r="L60" s="9">
        <f>IF(A60="","",IFERROR(VLOOKUP(A60,Lists!$A:$H,7,FALSE),0))</f>
        <v/>
      </c>
      <c r="M60" s="10" t="n">
        <v>0.21</v>
      </c>
      <c r="N60" s="11">
        <f>L60 * (1 + M60)</f>
        <v/>
      </c>
      <c r="O60" s="11">
        <f>IF(K60="Eigen Beheer",0,IF(AND(ISNUMBER(N60),I60&lt;&gt;"",H60&lt;&gt;""),ROUND((I60-H60)/Lists!$Q$2,2)*N60,0))</f>
        <v/>
      </c>
      <c r="R60" s="12">
        <f>IF(Q60="","",VLOOKUP(Q60,Lists!$E:$F,2,FALSE))</f>
        <v/>
      </c>
      <c r="AD60" s="9" t="n">
        <v>50</v>
      </c>
      <c r="AE60" s="11">
        <f>IF(AB60="","",IF(ISNUMBER(SEARCH("Basis",AB60)),(250/1.21)+MAX(0,AC60-5)*AD60,IF(ISNUMBER(SEARCH("Intensief",AB60)),(375/1.21)+MAX(0,AC60-7)*AD60,AC60*AD60)))</f>
        <v/>
      </c>
      <c r="AF60" s="13" t="n">
        <v>0.21</v>
      </c>
      <c r="AG60" s="11">
        <f>IF(AE60&lt;&gt;"",AE60*AF60,"")</f>
        <v/>
      </c>
      <c r="AH60" s="11">
        <f>IF(AE60&lt;&gt;"",AE60+AG60,"")</f>
        <v/>
      </c>
      <c r="AL60">
        <f>IF($B60="GWE_Item",IF($AI60="Elektra",SUMIFS($W:$W,$A:$A,$A60,$B:$B,"GWE")-SUMIFS($V:$V,$A:$A,$A60,$B:$B,"GWE"),IF($AI60="Gas",SUMIFS($Y:$Y,$A:$A,$A60,$B:$B,"GWE")-SUMIFS($X:$X,$A:$A,$A60,$B:$B,"GWE"),IF($AI60="Water",SUMIFS($AA:$AA,$A:$A,$A60,$B:$B,"GWE")-SUMIFS($Z:$Z,$A:$A,$A60,$B:$B,"GWE"),""))),"")</f>
        <v/>
      </c>
      <c r="AN60" s="11">
        <f>IF(AND(AL60&lt;&gt;"",AM60&lt;&gt;""),AL60*AM60,"")</f>
        <v/>
      </c>
      <c r="AO60" s="13" t="n"/>
      <c r="AP60" s="11">
        <f>IF(AND(AN60&lt;&gt;"",AO60&lt;&gt;""),AN60*AO60,"")</f>
        <v/>
      </c>
      <c r="AQ60" s="11">
        <f>IF(AND(AN60&lt;&gt;"",AP60&lt;&gt;""),AN60+AP60,"")</f>
        <v/>
      </c>
    </row>
    <row r="61">
      <c r="D61" s="8">
        <f>IF(A61="","",VLOOKUP(A61,Lists!$A:$B,2,FALSE))</f>
        <v/>
      </c>
      <c r="E61" s="8">
        <f>IF(C61="","",VLOOKUP(C61,Lists!$C:$D,2,FALSE))</f>
        <v/>
      </c>
      <c r="F61" s="8" t="n"/>
      <c r="G61" s="8" t="n"/>
      <c r="J61" s="9">
        <f>IF(A61="","",IFERROR(VLOOKUP(A61,Lists!$A:$H,8,FALSE),0))</f>
        <v/>
      </c>
      <c r="L61" s="9">
        <f>IF(A61="","",IFERROR(VLOOKUP(A61,Lists!$A:$H,7,FALSE),0))</f>
        <v/>
      </c>
      <c r="M61" s="10" t="n">
        <v>0.21</v>
      </c>
      <c r="N61" s="11">
        <f>L61 * (1 + M61)</f>
        <v/>
      </c>
      <c r="O61" s="11">
        <f>IF(K61="Eigen Beheer",0,IF(AND(ISNUMBER(N61),I61&lt;&gt;"",H61&lt;&gt;""),ROUND((I61-H61)/Lists!$Q$2,2)*N61,0))</f>
        <v/>
      </c>
      <c r="R61" s="12">
        <f>IF(Q61="","",VLOOKUP(Q61,Lists!$E:$F,2,FALSE))</f>
        <v/>
      </c>
      <c r="AD61" s="9" t="n">
        <v>50</v>
      </c>
      <c r="AE61" s="11">
        <f>IF(AB61="","",IF(ISNUMBER(SEARCH("Basis",AB61)),(250/1.21)+MAX(0,AC61-5)*AD61,IF(ISNUMBER(SEARCH("Intensief",AB61)),(375/1.21)+MAX(0,AC61-7)*AD61,AC61*AD61)))</f>
        <v/>
      </c>
      <c r="AF61" s="13" t="n">
        <v>0.21</v>
      </c>
      <c r="AG61" s="11">
        <f>IF(AE61&lt;&gt;"",AE61*AF61,"")</f>
        <v/>
      </c>
      <c r="AH61" s="11">
        <f>IF(AE61&lt;&gt;"",AE61+AG61,"")</f>
        <v/>
      </c>
      <c r="AL61">
        <f>IF($B61="GWE_Item",IF($AI61="Elektra",SUMIFS($W:$W,$A:$A,$A61,$B:$B,"GWE")-SUMIFS($V:$V,$A:$A,$A61,$B:$B,"GWE"),IF($AI61="Gas",SUMIFS($Y:$Y,$A:$A,$A61,$B:$B,"GWE")-SUMIFS($X:$X,$A:$A,$A61,$B:$B,"GWE"),IF($AI61="Water",SUMIFS($AA:$AA,$A:$A,$A61,$B:$B,"GWE")-SUMIFS($Z:$Z,$A:$A,$A61,$B:$B,"GWE"),""))),"")</f>
        <v/>
      </c>
      <c r="AN61" s="11">
        <f>IF(AND(AL61&lt;&gt;"",AM61&lt;&gt;""),AL61*AM61,"")</f>
        <v/>
      </c>
      <c r="AO61" s="13" t="n"/>
      <c r="AP61" s="11">
        <f>IF(AND(AN61&lt;&gt;"",AO61&lt;&gt;""),AN61*AO61,"")</f>
        <v/>
      </c>
      <c r="AQ61" s="11">
        <f>IF(AND(AN61&lt;&gt;"",AP61&lt;&gt;""),AN61+AP61,"")</f>
        <v/>
      </c>
    </row>
    <row r="62">
      <c r="D62" s="8">
        <f>IF(A62="","",VLOOKUP(A62,Lists!$A:$B,2,FALSE))</f>
        <v/>
      </c>
      <c r="E62" s="8">
        <f>IF(C62="","",VLOOKUP(C62,Lists!$C:$D,2,FALSE))</f>
        <v/>
      </c>
      <c r="F62" s="8" t="n"/>
      <c r="G62" s="8" t="n"/>
      <c r="J62" s="9">
        <f>IF(A62="","",IFERROR(VLOOKUP(A62,Lists!$A:$H,8,FALSE),0))</f>
        <v/>
      </c>
      <c r="L62" s="9">
        <f>IF(A62="","",IFERROR(VLOOKUP(A62,Lists!$A:$H,7,FALSE),0))</f>
        <v/>
      </c>
      <c r="M62" s="10" t="n">
        <v>0.21</v>
      </c>
      <c r="N62" s="11">
        <f>L62 * (1 + M62)</f>
        <v/>
      </c>
      <c r="O62" s="11">
        <f>IF(K62="Eigen Beheer",0,IF(AND(ISNUMBER(N62),I62&lt;&gt;"",H62&lt;&gt;""),ROUND((I62-H62)/Lists!$Q$2,2)*N62,0))</f>
        <v/>
      </c>
      <c r="R62" s="12">
        <f>IF(Q62="","",VLOOKUP(Q62,Lists!$E:$F,2,FALSE))</f>
        <v/>
      </c>
      <c r="AD62" s="9" t="n">
        <v>50</v>
      </c>
      <c r="AE62" s="11">
        <f>IF(AB62="","",IF(ISNUMBER(SEARCH("Basis",AB62)),(250/1.21)+MAX(0,AC62-5)*AD62,IF(ISNUMBER(SEARCH("Intensief",AB62)),(375/1.21)+MAX(0,AC62-7)*AD62,AC62*AD62)))</f>
        <v/>
      </c>
      <c r="AF62" s="13" t="n">
        <v>0.21</v>
      </c>
      <c r="AG62" s="11">
        <f>IF(AE62&lt;&gt;"",AE62*AF62,"")</f>
        <v/>
      </c>
      <c r="AH62" s="11">
        <f>IF(AE62&lt;&gt;"",AE62+AG62,"")</f>
        <v/>
      </c>
      <c r="AL62">
        <f>IF($B62="GWE_Item",IF($AI62="Elektra",SUMIFS($W:$W,$A:$A,$A62,$B:$B,"GWE")-SUMIFS($V:$V,$A:$A,$A62,$B:$B,"GWE"),IF($AI62="Gas",SUMIFS($Y:$Y,$A:$A,$A62,$B:$B,"GWE")-SUMIFS($X:$X,$A:$A,$A62,$B:$B,"GWE"),IF($AI62="Water",SUMIFS($AA:$AA,$A:$A,$A62,$B:$B,"GWE")-SUMIFS($Z:$Z,$A:$A,$A62,$B:$B,"GWE"),""))),"")</f>
        <v/>
      </c>
      <c r="AN62" s="11">
        <f>IF(AND(AL62&lt;&gt;"",AM62&lt;&gt;""),AL62*AM62,"")</f>
        <v/>
      </c>
      <c r="AO62" s="13" t="n"/>
      <c r="AP62" s="11">
        <f>IF(AND(AN62&lt;&gt;"",AO62&lt;&gt;""),AN62*AO62,"")</f>
        <v/>
      </c>
      <c r="AQ62" s="11">
        <f>IF(AND(AN62&lt;&gt;"",AP62&lt;&gt;""),AN62+AP62,"")</f>
        <v/>
      </c>
    </row>
    <row r="63">
      <c r="D63" s="8">
        <f>IF(A63="","",VLOOKUP(A63,Lists!$A:$B,2,FALSE))</f>
        <v/>
      </c>
      <c r="E63" s="8">
        <f>IF(C63="","",VLOOKUP(C63,Lists!$C:$D,2,FALSE))</f>
        <v/>
      </c>
      <c r="F63" s="8" t="n"/>
      <c r="G63" s="8" t="n"/>
      <c r="J63" s="9">
        <f>IF(A63="","",IFERROR(VLOOKUP(A63,Lists!$A:$H,8,FALSE),0))</f>
        <v/>
      </c>
      <c r="L63" s="9">
        <f>IF(A63="","",IFERROR(VLOOKUP(A63,Lists!$A:$H,7,FALSE),0))</f>
        <v/>
      </c>
      <c r="M63" s="10" t="n">
        <v>0.21</v>
      </c>
      <c r="N63" s="11">
        <f>L63 * (1 + M63)</f>
        <v/>
      </c>
      <c r="O63" s="11">
        <f>IF(K63="Eigen Beheer",0,IF(AND(ISNUMBER(N63),I63&lt;&gt;"",H63&lt;&gt;""),ROUND((I63-H63)/Lists!$Q$2,2)*N63,0))</f>
        <v/>
      </c>
      <c r="R63" s="12">
        <f>IF(Q63="","",VLOOKUP(Q63,Lists!$E:$F,2,FALSE))</f>
        <v/>
      </c>
      <c r="AD63" s="9" t="n">
        <v>50</v>
      </c>
      <c r="AE63" s="11">
        <f>IF(AB63="","",IF(ISNUMBER(SEARCH("Basis",AB63)),(250/1.21)+MAX(0,AC63-5)*AD63,IF(ISNUMBER(SEARCH("Intensief",AB63)),(375/1.21)+MAX(0,AC63-7)*AD63,AC63*AD63)))</f>
        <v/>
      </c>
      <c r="AF63" s="13" t="n">
        <v>0.21</v>
      </c>
      <c r="AG63" s="11">
        <f>IF(AE63&lt;&gt;"",AE63*AF63,"")</f>
        <v/>
      </c>
      <c r="AH63" s="11">
        <f>IF(AE63&lt;&gt;"",AE63+AG63,"")</f>
        <v/>
      </c>
      <c r="AL63">
        <f>IF($B63="GWE_Item",IF($AI63="Elektra",SUMIFS($W:$W,$A:$A,$A63,$B:$B,"GWE")-SUMIFS($V:$V,$A:$A,$A63,$B:$B,"GWE"),IF($AI63="Gas",SUMIFS($Y:$Y,$A:$A,$A63,$B:$B,"GWE")-SUMIFS($X:$X,$A:$A,$A63,$B:$B,"GWE"),IF($AI63="Water",SUMIFS($AA:$AA,$A:$A,$A63,$B:$B,"GWE")-SUMIFS($Z:$Z,$A:$A,$A63,$B:$B,"GWE"),""))),"")</f>
        <v/>
      </c>
      <c r="AN63" s="11">
        <f>IF(AND(AL63&lt;&gt;"",AM63&lt;&gt;""),AL63*AM63,"")</f>
        <v/>
      </c>
      <c r="AO63" s="13" t="n"/>
      <c r="AP63" s="11">
        <f>IF(AND(AN63&lt;&gt;"",AO63&lt;&gt;""),AN63*AO63,"")</f>
        <v/>
      </c>
      <c r="AQ63" s="11">
        <f>IF(AND(AN63&lt;&gt;"",AP63&lt;&gt;""),AN63+AP63,"")</f>
        <v/>
      </c>
    </row>
    <row r="64">
      <c r="D64" s="8">
        <f>IF(A64="","",VLOOKUP(A64,Lists!$A:$B,2,FALSE))</f>
        <v/>
      </c>
      <c r="E64" s="8">
        <f>IF(C64="","",VLOOKUP(C64,Lists!$C:$D,2,FALSE))</f>
        <v/>
      </c>
      <c r="F64" s="8" t="n"/>
      <c r="G64" s="8" t="n"/>
      <c r="J64" s="9">
        <f>IF(A64="","",IFERROR(VLOOKUP(A64,Lists!$A:$H,8,FALSE),0))</f>
        <v/>
      </c>
      <c r="L64" s="9">
        <f>IF(A64="","",IFERROR(VLOOKUP(A64,Lists!$A:$H,7,FALSE),0))</f>
        <v/>
      </c>
      <c r="M64" s="10" t="n">
        <v>0.21</v>
      </c>
      <c r="N64" s="11">
        <f>L64 * (1 + M64)</f>
        <v/>
      </c>
      <c r="O64" s="11">
        <f>IF(K64="Eigen Beheer",0,IF(AND(ISNUMBER(N64),I64&lt;&gt;"",H64&lt;&gt;""),ROUND((I64-H64)/Lists!$Q$2,2)*N64,0))</f>
        <v/>
      </c>
      <c r="R64" s="12">
        <f>IF(Q64="","",VLOOKUP(Q64,Lists!$E:$F,2,FALSE))</f>
        <v/>
      </c>
      <c r="AD64" s="9" t="n">
        <v>50</v>
      </c>
      <c r="AE64" s="11">
        <f>IF(AB64="","",IF(ISNUMBER(SEARCH("Basis",AB64)),(250/1.21)+MAX(0,AC64-5)*AD64,IF(ISNUMBER(SEARCH("Intensief",AB64)),(375/1.21)+MAX(0,AC64-7)*AD64,AC64*AD64)))</f>
        <v/>
      </c>
      <c r="AF64" s="13" t="n">
        <v>0.21</v>
      </c>
      <c r="AG64" s="11">
        <f>IF(AE64&lt;&gt;"",AE64*AF64,"")</f>
        <v/>
      </c>
      <c r="AH64" s="11">
        <f>IF(AE64&lt;&gt;"",AE64+AG64,"")</f>
        <v/>
      </c>
      <c r="AL64">
        <f>IF($B64="GWE_Item",IF($AI64="Elektra",SUMIFS($W:$W,$A:$A,$A64,$B:$B,"GWE")-SUMIFS($V:$V,$A:$A,$A64,$B:$B,"GWE"),IF($AI64="Gas",SUMIFS($Y:$Y,$A:$A,$A64,$B:$B,"GWE")-SUMIFS($X:$X,$A:$A,$A64,$B:$B,"GWE"),IF($AI64="Water",SUMIFS($AA:$AA,$A:$A,$A64,$B:$B,"GWE")-SUMIFS($Z:$Z,$A:$A,$A64,$B:$B,"GWE"),""))),"")</f>
        <v/>
      </c>
      <c r="AN64" s="11">
        <f>IF(AND(AL64&lt;&gt;"",AM64&lt;&gt;""),AL64*AM64,"")</f>
        <v/>
      </c>
      <c r="AO64" s="13" t="n"/>
      <c r="AP64" s="11">
        <f>IF(AND(AN64&lt;&gt;"",AO64&lt;&gt;""),AN64*AO64,"")</f>
        <v/>
      </c>
      <c r="AQ64" s="11">
        <f>IF(AND(AN64&lt;&gt;"",AP64&lt;&gt;""),AN64+AP64,"")</f>
        <v/>
      </c>
    </row>
    <row r="65">
      <c r="D65" s="8">
        <f>IF(A65="","",VLOOKUP(A65,Lists!$A:$B,2,FALSE))</f>
        <v/>
      </c>
      <c r="E65" s="8">
        <f>IF(C65="","",VLOOKUP(C65,Lists!$C:$D,2,FALSE))</f>
        <v/>
      </c>
      <c r="F65" s="8" t="n"/>
      <c r="G65" s="8" t="n"/>
      <c r="J65" s="9">
        <f>IF(A65="","",IFERROR(VLOOKUP(A65,Lists!$A:$H,8,FALSE),0))</f>
        <v/>
      </c>
      <c r="L65" s="9">
        <f>IF(A65="","",IFERROR(VLOOKUP(A65,Lists!$A:$H,7,FALSE),0))</f>
        <v/>
      </c>
      <c r="M65" s="10" t="n">
        <v>0.21</v>
      </c>
      <c r="N65" s="11">
        <f>L65 * (1 + M65)</f>
        <v/>
      </c>
      <c r="O65" s="11">
        <f>IF(K65="Eigen Beheer",0,IF(AND(ISNUMBER(N65),I65&lt;&gt;"",H65&lt;&gt;""),ROUND((I65-H65)/Lists!$Q$2,2)*N65,0))</f>
        <v/>
      </c>
      <c r="R65" s="12">
        <f>IF(Q65="","",VLOOKUP(Q65,Lists!$E:$F,2,FALSE))</f>
        <v/>
      </c>
      <c r="AD65" s="9" t="n">
        <v>50</v>
      </c>
      <c r="AE65" s="11">
        <f>IF(AB65="","",IF(ISNUMBER(SEARCH("Basis",AB65)),(250/1.21)+MAX(0,AC65-5)*AD65,IF(ISNUMBER(SEARCH("Intensief",AB65)),(375/1.21)+MAX(0,AC65-7)*AD65,AC65*AD65)))</f>
        <v/>
      </c>
      <c r="AF65" s="13" t="n">
        <v>0.21</v>
      </c>
      <c r="AG65" s="11">
        <f>IF(AE65&lt;&gt;"",AE65*AF65,"")</f>
        <v/>
      </c>
      <c r="AH65" s="11">
        <f>IF(AE65&lt;&gt;"",AE65+AG65,"")</f>
        <v/>
      </c>
      <c r="AL65">
        <f>IF($B65="GWE_Item",IF($AI65="Elektra",SUMIFS($W:$W,$A:$A,$A65,$B:$B,"GWE")-SUMIFS($V:$V,$A:$A,$A65,$B:$B,"GWE"),IF($AI65="Gas",SUMIFS($Y:$Y,$A:$A,$A65,$B:$B,"GWE")-SUMIFS($X:$X,$A:$A,$A65,$B:$B,"GWE"),IF($AI65="Water",SUMIFS($AA:$AA,$A:$A,$A65,$B:$B,"GWE")-SUMIFS($Z:$Z,$A:$A,$A65,$B:$B,"GWE"),""))),"")</f>
        <v/>
      </c>
      <c r="AN65" s="11">
        <f>IF(AND(AL65&lt;&gt;"",AM65&lt;&gt;""),AL65*AM65,"")</f>
        <v/>
      </c>
      <c r="AO65" s="13" t="n"/>
      <c r="AP65" s="11">
        <f>IF(AND(AN65&lt;&gt;"",AO65&lt;&gt;""),AN65*AO65,"")</f>
        <v/>
      </c>
      <c r="AQ65" s="11">
        <f>IF(AND(AN65&lt;&gt;"",AP65&lt;&gt;""),AN65+AP65,"")</f>
        <v/>
      </c>
    </row>
    <row r="66">
      <c r="D66" s="8">
        <f>IF(A66="","",VLOOKUP(A66,Lists!$A:$B,2,FALSE))</f>
        <v/>
      </c>
      <c r="E66" s="8">
        <f>IF(C66="","",VLOOKUP(C66,Lists!$C:$D,2,FALSE))</f>
        <v/>
      </c>
      <c r="F66" s="8" t="n"/>
      <c r="G66" s="8" t="n"/>
      <c r="J66" s="9">
        <f>IF(A66="","",IFERROR(VLOOKUP(A66,Lists!$A:$H,8,FALSE),0))</f>
        <v/>
      </c>
      <c r="L66" s="9">
        <f>IF(A66="","",IFERROR(VLOOKUP(A66,Lists!$A:$H,7,FALSE),0))</f>
        <v/>
      </c>
      <c r="M66" s="10" t="n">
        <v>0.21</v>
      </c>
      <c r="N66" s="11">
        <f>L66 * (1 + M66)</f>
        <v/>
      </c>
      <c r="O66" s="11">
        <f>IF(K66="Eigen Beheer",0,IF(AND(ISNUMBER(N66),I66&lt;&gt;"",H66&lt;&gt;""),ROUND((I66-H66)/Lists!$Q$2,2)*N66,0))</f>
        <v/>
      </c>
      <c r="R66" s="12">
        <f>IF(Q66="","",VLOOKUP(Q66,Lists!$E:$F,2,FALSE))</f>
        <v/>
      </c>
      <c r="AD66" s="9" t="n">
        <v>50</v>
      </c>
      <c r="AE66" s="11">
        <f>IF(AB66="","",IF(ISNUMBER(SEARCH("Basis",AB66)),(250/1.21)+MAX(0,AC66-5)*AD66,IF(ISNUMBER(SEARCH("Intensief",AB66)),(375/1.21)+MAX(0,AC66-7)*AD66,AC66*AD66)))</f>
        <v/>
      </c>
      <c r="AF66" s="13" t="n">
        <v>0.21</v>
      </c>
      <c r="AG66" s="11">
        <f>IF(AE66&lt;&gt;"",AE66*AF66,"")</f>
        <v/>
      </c>
      <c r="AH66" s="11">
        <f>IF(AE66&lt;&gt;"",AE66+AG66,"")</f>
        <v/>
      </c>
      <c r="AL66">
        <f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>
        <f>IF(AND(AL66&lt;&gt;"",AM66&lt;&gt;""),AL66*AM66,"")</f>
        <v/>
      </c>
      <c r="AO66" s="13" t="n"/>
      <c r="AP66" s="11">
        <f>IF(AND(AN66&lt;&gt;"",AO66&lt;&gt;""),AN66*AO66,"")</f>
        <v/>
      </c>
      <c r="AQ66" s="11">
        <f>IF(AND(AN66&lt;&gt;"",AP66&lt;&gt;""),AN66+AP66,"")</f>
        <v/>
      </c>
    </row>
    <row r="67">
      <c r="D67" s="8">
        <f>IF(A67="","",VLOOKUP(A67,Lists!$A:$B,2,FALSE))</f>
        <v/>
      </c>
      <c r="E67" s="8">
        <f>IF(C67="","",VLOOKUP(C67,Lists!$C:$D,2,FALSE))</f>
        <v/>
      </c>
      <c r="F67" s="8" t="n"/>
      <c r="G67" s="8" t="n"/>
      <c r="J67" s="9">
        <f>IF(A67="","",IFERROR(VLOOKUP(A67,Lists!$A:$H,8,FALSE),0))</f>
        <v/>
      </c>
      <c r="L67" s="9">
        <f>IF(A67="","",IFERROR(VLOOKUP(A67,Lists!$A:$H,7,FALSE),0))</f>
        <v/>
      </c>
      <c r="M67" s="10" t="n">
        <v>0.21</v>
      </c>
      <c r="N67" s="11">
        <f>L67 * (1 + M67)</f>
        <v/>
      </c>
      <c r="O67" s="11">
        <f>IF(K67="Eigen Beheer",0,IF(AND(ISNUMBER(N67),I67&lt;&gt;"",H67&lt;&gt;""),ROUND((I67-H67)/Lists!$Q$2,2)*N67,0))</f>
        <v/>
      </c>
      <c r="R67" s="12">
        <f>IF(Q67="","",VLOOKUP(Q67,Lists!$E:$F,2,FALSE))</f>
        <v/>
      </c>
      <c r="AD67" s="9" t="n">
        <v>50</v>
      </c>
      <c r="AE67" s="11">
        <f>IF(AB67="","",IF(ISNUMBER(SEARCH("Basis",AB67)),(250/1.21)+MAX(0,AC67-5)*AD67,IF(ISNUMBER(SEARCH("Intensief",AB67)),(375/1.21)+MAX(0,AC67-7)*AD67,AC67*AD67)))</f>
        <v/>
      </c>
      <c r="AF67" s="13" t="n">
        <v>0.21</v>
      </c>
      <c r="AG67" s="11">
        <f>IF(AE67&lt;&gt;"",AE67*AF67,"")</f>
        <v/>
      </c>
      <c r="AH67" s="11">
        <f>IF(AE67&lt;&gt;"",AE67+AG67,"")</f>
        <v/>
      </c>
      <c r="AL67">
        <f>IF($B67="GWE_Item",IF($AI67="Elektra",SUMIFS($W:$W,$A:$A,$A67,$B:$B,"GWE")-SUMIFS($V:$V,$A:$A,$A67,$B:$B,"GWE"),IF($AI67="Gas",SUMIFS($Y:$Y,$A:$A,$A67,$B:$B,"GWE")-SUMIFS($X:$X,$A:$A,$A67,$B:$B,"GWE"),IF($AI67="Water",SUMIFS($AA:$AA,$A:$A,$A67,$B:$B,"GWE")-SUMIFS($Z:$Z,$A:$A,$A67,$B:$B,"GWE"),""))),"")</f>
        <v/>
      </c>
      <c r="AN67" s="11">
        <f>IF(AND(AL67&lt;&gt;"",AM67&lt;&gt;""),AL67*AM67,"")</f>
        <v/>
      </c>
      <c r="AO67" s="13" t="n"/>
      <c r="AP67" s="11">
        <f>IF(AND(AN67&lt;&gt;"",AO67&lt;&gt;""),AN67*AO67,"")</f>
        <v/>
      </c>
      <c r="AQ67" s="11">
        <f>IF(AND(AN67&lt;&gt;"",AP67&lt;&gt;""),AN67+AP67,"")</f>
        <v/>
      </c>
    </row>
    <row r="68">
      <c r="D68" s="8">
        <f>IF(A68="","",VLOOKUP(A68,Lists!$A:$B,2,FALSE))</f>
        <v/>
      </c>
      <c r="E68" s="8">
        <f>IF(C68="","",VLOOKUP(C68,Lists!$C:$D,2,FALSE))</f>
        <v/>
      </c>
      <c r="F68" s="8" t="n"/>
      <c r="G68" s="8" t="n"/>
      <c r="J68" s="9">
        <f>IF(A68="","",IFERROR(VLOOKUP(A68,Lists!$A:$H,8,FALSE),0))</f>
        <v/>
      </c>
      <c r="L68" s="9">
        <f>IF(A68="","",IFERROR(VLOOKUP(A68,Lists!$A:$H,7,FALSE),0))</f>
        <v/>
      </c>
      <c r="M68" s="10" t="n">
        <v>0.21</v>
      </c>
      <c r="N68" s="11">
        <f>L68 * (1 + M68)</f>
        <v/>
      </c>
      <c r="O68" s="11">
        <f>IF(K68="Eigen Beheer",0,IF(AND(ISNUMBER(N68),I68&lt;&gt;"",H68&lt;&gt;""),ROUND((I68-H68)/Lists!$Q$2,2)*N68,0))</f>
        <v/>
      </c>
      <c r="R68" s="12">
        <f>IF(Q68="","",VLOOKUP(Q68,Lists!$E:$F,2,FALSE))</f>
        <v/>
      </c>
      <c r="AD68" s="9" t="n">
        <v>50</v>
      </c>
      <c r="AE68" s="11">
        <f>IF(AB68="","",IF(ISNUMBER(SEARCH("Basis",AB68)),(250/1.21)+MAX(0,AC68-5)*AD68,IF(ISNUMBER(SEARCH("Intensief",AB68)),(375/1.21)+MAX(0,AC68-7)*AD68,AC68*AD68)))</f>
        <v/>
      </c>
      <c r="AF68" s="13" t="n">
        <v>0.21</v>
      </c>
      <c r="AG68" s="11">
        <f>IF(AE68&lt;&gt;"",AE68*AF68,"")</f>
        <v/>
      </c>
      <c r="AH68" s="11">
        <f>IF(AE68&lt;&gt;"",AE68+AG68,"")</f>
        <v/>
      </c>
      <c r="AL68">
        <f>IF($B68="GWE_Item",IF($AI68="Elektra",SUMIFS($W:$W,$A:$A,$A68,$B:$B,"GWE")-SUMIFS($V:$V,$A:$A,$A68,$B:$B,"GWE"),IF($AI68="Gas",SUMIFS($Y:$Y,$A:$A,$A68,$B:$B,"GWE")-SUMIFS($X:$X,$A:$A,$A68,$B:$B,"GWE"),IF($AI68="Water",SUMIFS($AA:$AA,$A:$A,$A68,$B:$B,"GWE")-SUMIFS($Z:$Z,$A:$A,$A68,$B:$B,"GWE"),""))),"")</f>
        <v/>
      </c>
      <c r="AN68" s="11">
        <f>IF(AND(AL68&lt;&gt;"",AM68&lt;&gt;""),AL68*AM68,"")</f>
        <v/>
      </c>
      <c r="AO68" s="13" t="n"/>
      <c r="AP68" s="11">
        <f>IF(AND(AN68&lt;&gt;"",AO68&lt;&gt;""),AN68*AO68,"")</f>
        <v/>
      </c>
      <c r="AQ68" s="11">
        <f>IF(AND(AN68&lt;&gt;"",AP68&lt;&gt;""),AN68+AP68,"")</f>
        <v/>
      </c>
    </row>
    <row r="69">
      <c r="D69" s="8">
        <f>IF(A69="","",VLOOKUP(A69,Lists!$A:$B,2,FALSE))</f>
        <v/>
      </c>
      <c r="E69" s="8">
        <f>IF(C69="","",VLOOKUP(C69,Lists!$C:$D,2,FALSE))</f>
        <v/>
      </c>
      <c r="F69" s="8" t="n"/>
      <c r="G69" s="8" t="n"/>
      <c r="J69" s="9">
        <f>IF(A69="","",IFERROR(VLOOKUP(A69,Lists!$A:$H,8,FALSE),0))</f>
        <v/>
      </c>
      <c r="L69" s="9">
        <f>IF(A69="","",IFERROR(VLOOKUP(A69,Lists!$A:$H,7,FALSE),0))</f>
        <v/>
      </c>
      <c r="M69" s="10" t="n">
        <v>0.21</v>
      </c>
      <c r="N69" s="11">
        <f>L69 * (1 + M69)</f>
        <v/>
      </c>
      <c r="O69" s="11">
        <f>IF(K69="Eigen Beheer",0,IF(AND(ISNUMBER(N69),I69&lt;&gt;"",H69&lt;&gt;""),ROUND((I69-H69)/Lists!$Q$2,2)*N69,0))</f>
        <v/>
      </c>
      <c r="R69" s="12">
        <f>IF(Q69="","",VLOOKUP(Q69,Lists!$E:$F,2,FALSE))</f>
        <v/>
      </c>
      <c r="AD69" s="9" t="n">
        <v>50</v>
      </c>
      <c r="AE69" s="11">
        <f>IF(AB69="","",IF(ISNUMBER(SEARCH("Basis",AB69)),(250/1.21)+MAX(0,AC69-5)*AD69,IF(ISNUMBER(SEARCH("Intensief",AB69)),(375/1.21)+MAX(0,AC69-7)*AD69,AC69*AD69)))</f>
        <v/>
      </c>
      <c r="AF69" s="13" t="n">
        <v>0.21</v>
      </c>
      <c r="AG69" s="11">
        <f>IF(AE69&lt;&gt;"",AE69*AF69,"")</f>
        <v/>
      </c>
      <c r="AH69" s="11">
        <f>IF(AE69&lt;&gt;"",AE69+AG69,"")</f>
        <v/>
      </c>
      <c r="AL69">
        <f>IF($B69="GWE_Item",IF($AI69="Elektra",SUMIFS($W:$W,$A:$A,$A69,$B:$B,"GWE")-SUMIFS($V:$V,$A:$A,$A69,$B:$B,"GWE"),IF($AI69="Gas",SUMIFS($Y:$Y,$A:$A,$A69,$B:$B,"GWE")-SUMIFS($X:$X,$A:$A,$A69,$B:$B,"GWE"),IF($AI69="Water",SUMIFS($AA:$AA,$A:$A,$A69,$B:$B,"GWE")-SUMIFS($Z:$Z,$A:$A,$A69,$B:$B,"GWE"),""))),"")</f>
        <v/>
      </c>
      <c r="AN69" s="11">
        <f>IF(AND(AL69&lt;&gt;"",AM69&lt;&gt;""),AL69*AM69,"")</f>
        <v/>
      </c>
      <c r="AO69" s="13" t="n"/>
      <c r="AP69" s="11">
        <f>IF(AND(AN69&lt;&gt;"",AO69&lt;&gt;""),AN69*AO69,"")</f>
        <v/>
      </c>
      <c r="AQ69" s="11">
        <f>IF(AND(AN69&lt;&gt;"",AP69&lt;&gt;""),AN69+AP69,"")</f>
        <v/>
      </c>
    </row>
    <row r="70">
      <c r="D70" s="8">
        <f>IF(A70="","",VLOOKUP(A70,Lists!$A:$B,2,FALSE))</f>
        <v/>
      </c>
      <c r="E70" s="8">
        <f>IF(C70="","",VLOOKUP(C70,Lists!$C:$D,2,FALSE))</f>
        <v/>
      </c>
      <c r="F70" s="8" t="n"/>
      <c r="G70" s="8" t="n"/>
      <c r="J70" s="9">
        <f>IF(A70="","",IFERROR(VLOOKUP(A70,Lists!$A:$H,8,FALSE),0))</f>
        <v/>
      </c>
      <c r="L70" s="9">
        <f>IF(A70="","",IFERROR(VLOOKUP(A70,Lists!$A:$H,7,FALSE),0))</f>
        <v/>
      </c>
      <c r="M70" s="10" t="n">
        <v>0.21</v>
      </c>
      <c r="N70" s="11">
        <f>L70 * (1 + M70)</f>
        <v/>
      </c>
      <c r="O70" s="11">
        <f>IF(K70="Eigen Beheer",0,IF(AND(ISNUMBER(N70),I70&lt;&gt;"",H70&lt;&gt;""),ROUND((I70-H70)/Lists!$Q$2,2)*N70,0))</f>
        <v/>
      </c>
      <c r="R70" s="12">
        <f>IF(Q70="","",VLOOKUP(Q70,Lists!$E:$F,2,FALSE))</f>
        <v/>
      </c>
      <c r="AD70" s="9" t="n">
        <v>50</v>
      </c>
      <c r="AE70" s="11">
        <f>IF(AB70="","",IF(ISNUMBER(SEARCH("Basis",AB70)),(250/1.21)+MAX(0,AC70-5)*AD70,IF(ISNUMBER(SEARCH("Intensief",AB70)),(375/1.21)+MAX(0,AC70-7)*AD70,AC70*AD70)))</f>
        <v/>
      </c>
      <c r="AF70" s="13" t="n">
        <v>0.21</v>
      </c>
      <c r="AG70" s="11">
        <f>IF(AE70&lt;&gt;"",AE70*AF70,"")</f>
        <v/>
      </c>
      <c r="AH70" s="11">
        <f>IF(AE70&lt;&gt;"",AE70+AG70,"")</f>
        <v/>
      </c>
      <c r="AL70">
        <f>IF($B70="GWE_Item",IF($AI70="Elektra",SUMIFS($W:$W,$A:$A,$A70,$B:$B,"GWE")-SUMIFS($V:$V,$A:$A,$A70,$B:$B,"GWE"),IF($AI70="Gas",SUMIFS($Y:$Y,$A:$A,$A70,$B:$B,"GWE")-SUMIFS($X:$X,$A:$A,$A70,$B:$B,"GWE"),IF($AI70="Water",SUMIFS($AA:$AA,$A:$A,$A70,$B:$B,"GWE")-SUMIFS($Z:$Z,$A:$A,$A70,$B:$B,"GWE"),""))),"")</f>
        <v/>
      </c>
      <c r="AN70" s="11">
        <f>IF(AND(AL70&lt;&gt;"",AM70&lt;&gt;""),AL70*AM70,"")</f>
        <v/>
      </c>
      <c r="AO70" s="13" t="n"/>
      <c r="AP70" s="11">
        <f>IF(AND(AN70&lt;&gt;"",AO70&lt;&gt;""),AN70*AO70,"")</f>
        <v/>
      </c>
      <c r="AQ70" s="11">
        <f>IF(AND(AN70&lt;&gt;"",AP70&lt;&gt;""),AN70+AP70,"")</f>
        <v/>
      </c>
    </row>
    <row r="71">
      <c r="D71" s="8">
        <f>IF(A71="","",VLOOKUP(A71,Lists!$A:$B,2,FALSE))</f>
        <v/>
      </c>
      <c r="E71" s="8">
        <f>IF(C71="","",VLOOKUP(C71,Lists!$C:$D,2,FALSE))</f>
        <v/>
      </c>
      <c r="F71" s="8" t="n"/>
      <c r="G71" s="8" t="n"/>
      <c r="J71" s="9">
        <f>IF(A71="","",IFERROR(VLOOKUP(A71,Lists!$A:$H,8,FALSE),0))</f>
        <v/>
      </c>
      <c r="L71" s="9">
        <f>IF(A71="","",IFERROR(VLOOKUP(A71,Lists!$A:$H,7,FALSE),0))</f>
        <v/>
      </c>
      <c r="M71" s="10" t="n">
        <v>0.21</v>
      </c>
      <c r="N71" s="11">
        <f>L71 * (1 + M71)</f>
        <v/>
      </c>
      <c r="O71" s="11">
        <f>IF(K71="Eigen Beheer",0,IF(AND(ISNUMBER(N71),I71&lt;&gt;"",H71&lt;&gt;""),ROUND((I71-H71)/Lists!$Q$2,2)*N71,0))</f>
        <v/>
      </c>
      <c r="R71" s="12">
        <f>IF(Q71="","",VLOOKUP(Q71,Lists!$E:$F,2,FALSE))</f>
        <v/>
      </c>
      <c r="AD71" s="9" t="n">
        <v>50</v>
      </c>
      <c r="AE71" s="11">
        <f>IF(AB71="","",IF(ISNUMBER(SEARCH("Basis",AB71)),(250/1.21)+MAX(0,AC71-5)*AD71,IF(ISNUMBER(SEARCH("Intensief",AB71)),(375/1.21)+MAX(0,AC71-7)*AD71,AC71*AD71)))</f>
        <v/>
      </c>
      <c r="AF71" s="13" t="n">
        <v>0.21</v>
      </c>
      <c r="AG71" s="11">
        <f>IF(AE71&lt;&gt;"",AE71*AF71,"")</f>
        <v/>
      </c>
      <c r="AH71" s="11">
        <f>IF(AE71&lt;&gt;"",AE71+AG71,"")</f>
        <v/>
      </c>
      <c r="AL71">
        <f>IF($B71="GWE_Item",IF($AI71="Elektra",SUMIFS($W:$W,$A:$A,$A71,$B:$B,"GWE")-SUMIFS($V:$V,$A:$A,$A71,$B:$B,"GWE"),IF($AI71="Gas",SUMIFS($Y:$Y,$A:$A,$A71,$B:$B,"GWE")-SUMIFS($X:$X,$A:$A,$A71,$B:$B,"GWE"),IF($AI71="Water",SUMIFS($AA:$AA,$A:$A,$A71,$B:$B,"GWE")-SUMIFS($Z:$Z,$A:$A,$A71,$B:$B,"GWE"),""))),"")</f>
        <v/>
      </c>
      <c r="AN71" s="11">
        <f>IF(AND(AL71&lt;&gt;"",AM71&lt;&gt;""),AL71*AM71,"")</f>
        <v/>
      </c>
      <c r="AO71" s="13" t="n"/>
      <c r="AP71" s="11">
        <f>IF(AND(AN71&lt;&gt;"",AO71&lt;&gt;""),AN71*AO71,"")</f>
        <v/>
      </c>
      <c r="AQ71" s="11">
        <f>IF(AND(AN71&lt;&gt;"",AP71&lt;&gt;""),AN71+AP71,"")</f>
        <v/>
      </c>
    </row>
    <row r="72">
      <c r="D72" s="8">
        <f>IF(A72="","",VLOOKUP(A72,Lists!$A:$B,2,FALSE))</f>
        <v/>
      </c>
      <c r="E72" s="8">
        <f>IF(C72="","",VLOOKUP(C72,Lists!$C:$D,2,FALSE))</f>
        <v/>
      </c>
      <c r="F72" s="8" t="n"/>
      <c r="G72" s="8" t="n"/>
      <c r="J72" s="9">
        <f>IF(A72="","",IFERROR(VLOOKUP(A72,Lists!$A:$H,8,FALSE),0))</f>
        <v/>
      </c>
      <c r="L72" s="9">
        <f>IF(A72="","",IFERROR(VLOOKUP(A72,Lists!$A:$H,7,FALSE),0))</f>
        <v/>
      </c>
      <c r="M72" s="10" t="n">
        <v>0.21</v>
      </c>
      <c r="N72" s="11">
        <f>L72 * (1 + M72)</f>
        <v/>
      </c>
      <c r="O72" s="11">
        <f>IF(K72="Eigen Beheer",0,IF(AND(ISNUMBER(N72),I72&lt;&gt;"",H72&lt;&gt;""),ROUND((I72-H72)/Lists!$Q$2,2)*N72,0))</f>
        <v/>
      </c>
      <c r="R72" s="12">
        <f>IF(Q72="","",VLOOKUP(Q72,Lists!$E:$F,2,FALSE))</f>
        <v/>
      </c>
      <c r="AD72" s="9" t="n">
        <v>50</v>
      </c>
      <c r="AE72" s="11">
        <f>IF(AB72="","",IF(ISNUMBER(SEARCH("Basis",AB72)),(250/1.21)+MAX(0,AC72-5)*AD72,IF(ISNUMBER(SEARCH("Intensief",AB72)),(375/1.21)+MAX(0,AC72-7)*AD72,AC72*AD72)))</f>
        <v/>
      </c>
      <c r="AF72" s="13" t="n">
        <v>0.21</v>
      </c>
      <c r="AG72" s="11">
        <f>IF(AE72&lt;&gt;"",AE72*AF72,"")</f>
        <v/>
      </c>
      <c r="AH72" s="11">
        <f>IF(AE72&lt;&gt;"",AE72+AG72,"")</f>
        <v/>
      </c>
      <c r="AL72">
        <f>IF($B72="GWE_Item",IF($AI72="Elektra",SUMIFS($W:$W,$A:$A,$A72,$B:$B,"GWE")-SUMIFS($V:$V,$A:$A,$A72,$B:$B,"GWE"),IF($AI72="Gas",SUMIFS($Y:$Y,$A:$A,$A72,$B:$B,"GWE")-SUMIFS($X:$X,$A:$A,$A72,$B:$B,"GWE"),IF($AI72="Water",SUMIFS($AA:$AA,$A:$A,$A72,$B:$B,"GWE")-SUMIFS($Z:$Z,$A:$A,$A72,$B:$B,"GWE"),""))),"")</f>
        <v/>
      </c>
      <c r="AN72" s="11">
        <f>IF(AND(AL72&lt;&gt;"",AM72&lt;&gt;""),AL72*AM72,"")</f>
        <v/>
      </c>
      <c r="AO72" s="13" t="n"/>
      <c r="AP72" s="11">
        <f>IF(AND(AN72&lt;&gt;"",AO72&lt;&gt;""),AN72*AO72,"")</f>
        <v/>
      </c>
      <c r="AQ72" s="11">
        <f>IF(AND(AN72&lt;&gt;"",AP72&lt;&gt;""),AN72+AP72,"")</f>
        <v/>
      </c>
    </row>
    <row r="73">
      <c r="D73" s="8">
        <f>IF(A73="","",VLOOKUP(A73,Lists!$A:$B,2,FALSE))</f>
        <v/>
      </c>
      <c r="E73" s="8">
        <f>IF(C73="","",VLOOKUP(C73,Lists!$C:$D,2,FALSE))</f>
        <v/>
      </c>
      <c r="F73" s="8" t="n"/>
      <c r="G73" s="8" t="n"/>
      <c r="J73" s="9">
        <f>IF(A73="","",IFERROR(VLOOKUP(A73,Lists!$A:$H,8,FALSE),0))</f>
        <v/>
      </c>
      <c r="L73" s="9">
        <f>IF(A73="","",IFERROR(VLOOKUP(A73,Lists!$A:$H,7,FALSE),0))</f>
        <v/>
      </c>
      <c r="M73" s="10" t="n">
        <v>0.21</v>
      </c>
      <c r="N73" s="11">
        <f>L73 * (1 + M73)</f>
        <v/>
      </c>
      <c r="O73" s="11">
        <f>IF(K73="Eigen Beheer",0,IF(AND(ISNUMBER(N73),I73&lt;&gt;"",H73&lt;&gt;""),ROUND((I73-H73)/Lists!$Q$2,2)*N73,0))</f>
        <v/>
      </c>
      <c r="R73" s="12">
        <f>IF(Q73="","",VLOOKUP(Q73,Lists!$E:$F,2,FALSE))</f>
        <v/>
      </c>
      <c r="AD73" s="9" t="n">
        <v>50</v>
      </c>
      <c r="AE73" s="11">
        <f>IF(AB73="","",IF(ISNUMBER(SEARCH("Basis",AB73)),(250/1.21)+MAX(0,AC73-5)*AD73,IF(ISNUMBER(SEARCH("Intensief",AB73)),(375/1.21)+MAX(0,AC73-7)*AD73,AC73*AD73)))</f>
        <v/>
      </c>
      <c r="AF73" s="13" t="n">
        <v>0.21</v>
      </c>
      <c r="AG73" s="11">
        <f>IF(AE73&lt;&gt;"",AE73*AF73,"")</f>
        <v/>
      </c>
      <c r="AH73" s="11">
        <f>IF(AE73&lt;&gt;"",AE73+AG73,"")</f>
        <v/>
      </c>
      <c r="AL73">
        <f>IF($B73="GWE_Item",IF($AI73="Elektra",SUMIFS($W:$W,$A:$A,$A73,$B:$B,"GWE")-SUMIFS($V:$V,$A:$A,$A73,$B:$B,"GWE"),IF($AI73="Gas",SUMIFS($Y:$Y,$A:$A,$A73,$B:$B,"GWE")-SUMIFS($X:$X,$A:$A,$A73,$B:$B,"GWE"),IF($AI73="Water",SUMIFS($AA:$AA,$A:$A,$A73,$B:$B,"GWE")-SUMIFS($Z:$Z,$A:$A,$A73,$B:$B,"GWE"),""))),"")</f>
        <v/>
      </c>
      <c r="AN73" s="11">
        <f>IF(AND(AL73&lt;&gt;"",AM73&lt;&gt;""),AL73*AM73,"")</f>
        <v/>
      </c>
      <c r="AO73" s="13" t="n"/>
      <c r="AP73" s="11">
        <f>IF(AND(AN73&lt;&gt;"",AO73&lt;&gt;""),AN73*AO73,"")</f>
        <v/>
      </c>
      <c r="AQ73" s="11">
        <f>IF(AND(AN73&lt;&gt;"",AP73&lt;&gt;""),AN73+AP73,"")</f>
        <v/>
      </c>
    </row>
    <row r="74">
      <c r="D74" s="8">
        <f>IF(A74="","",VLOOKUP(A74,Lists!$A:$B,2,FALSE))</f>
        <v/>
      </c>
      <c r="E74" s="8">
        <f>IF(C74="","",VLOOKUP(C74,Lists!$C:$D,2,FALSE))</f>
        <v/>
      </c>
      <c r="F74" s="8" t="n"/>
      <c r="G74" s="8" t="n"/>
      <c r="J74" s="9">
        <f>IF(A74="","",IFERROR(VLOOKUP(A74,Lists!$A:$H,8,FALSE),0))</f>
        <v/>
      </c>
      <c r="L74" s="9">
        <f>IF(A74="","",IFERROR(VLOOKUP(A74,Lists!$A:$H,7,FALSE),0))</f>
        <v/>
      </c>
      <c r="M74" s="10" t="n">
        <v>0.21</v>
      </c>
      <c r="N74" s="11">
        <f>L74 * (1 + M74)</f>
        <v/>
      </c>
      <c r="O74" s="11">
        <f>IF(K74="Eigen Beheer",0,IF(AND(ISNUMBER(N74),I74&lt;&gt;"",H74&lt;&gt;""),ROUND((I74-H74)/Lists!$Q$2,2)*N74,0))</f>
        <v/>
      </c>
      <c r="R74" s="12">
        <f>IF(Q74="","",VLOOKUP(Q74,Lists!$E:$F,2,FALSE))</f>
        <v/>
      </c>
      <c r="AD74" s="9" t="n">
        <v>50</v>
      </c>
      <c r="AE74" s="11">
        <f>IF(AB74="","",IF(ISNUMBER(SEARCH("Basis",AB74)),(250/1.21)+MAX(0,AC74-5)*AD74,IF(ISNUMBER(SEARCH("Intensief",AB74)),(375/1.21)+MAX(0,AC74-7)*AD74,AC74*AD74)))</f>
        <v/>
      </c>
      <c r="AF74" s="13" t="n">
        <v>0.21</v>
      </c>
      <c r="AG74" s="11">
        <f>IF(AE74&lt;&gt;"",AE74*AF74,"")</f>
        <v/>
      </c>
      <c r="AH74" s="11">
        <f>IF(AE74&lt;&gt;"",AE74+AG74,"")</f>
        <v/>
      </c>
      <c r="AL74">
        <f>IF($B74="GWE_Item",IF($AI74="Elektra",SUMIFS($W:$W,$A:$A,$A74,$B:$B,"GWE")-SUMIFS($V:$V,$A:$A,$A74,$B:$B,"GWE"),IF($AI74="Gas",SUMIFS($Y:$Y,$A:$A,$A74,$B:$B,"GWE")-SUMIFS($X:$X,$A:$A,$A74,$B:$B,"GWE"),IF($AI74="Water",SUMIFS($AA:$AA,$A:$A,$A74,$B:$B,"GWE")-SUMIFS($Z:$Z,$A:$A,$A74,$B:$B,"GWE"),""))),"")</f>
        <v/>
      </c>
      <c r="AN74" s="11">
        <f>IF(AND(AL74&lt;&gt;"",AM74&lt;&gt;""),AL74*AM74,"")</f>
        <v/>
      </c>
      <c r="AO74" s="13" t="n"/>
      <c r="AP74" s="11">
        <f>IF(AND(AN74&lt;&gt;"",AO74&lt;&gt;""),AN74*AO74,"")</f>
        <v/>
      </c>
      <c r="AQ74" s="11">
        <f>IF(AND(AN74&lt;&gt;"",AP74&lt;&gt;""),AN74+AP74,"")</f>
        <v/>
      </c>
    </row>
    <row r="75">
      <c r="D75" s="8">
        <f>IF(A75="","",VLOOKUP(A75,Lists!$A:$B,2,FALSE))</f>
        <v/>
      </c>
      <c r="E75" s="8">
        <f>IF(C75="","",VLOOKUP(C75,Lists!$C:$D,2,FALSE))</f>
        <v/>
      </c>
      <c r="F75" s="8" t="n"/>
      <c r="G75" s="8" t="n"/>
      <c r="J75" s="9">
        <f>IF(A75="","",IFERROR(VLOOKUP(A75,Lists!$A:$H,8,FALSE),0))</f>
        <v/>
      </c>
      <c r="L75" s="9">
        <f>IF(A75="","",IFERROR(VLOOKUP(A75,Lists!$A:$H,7,FALSE),0))</f>
        <v/>
      </c>
      <c r="M75" s="10" t="n">
        <v>0.21</v>
      </c>
      <c r="N75" s="11">
        <f>L75 * (1 + M75)</f>
        <v/>
      </c>
      <c r="O75" s="11">
        <f>IF(K75="Eigen Beheer",0,IF(AND(ISNUMBER(N75),I75&lt;&gt;"",H75&lt;&gt;""),ROUND((I75-H75)/Lists!$Q$2,2)*N75,0))</f>
        <v/>
      </c>
      <c r="R75" s="12">
        <f>IF(Q75="","",VLOOKUP(Q75,Lists!$E:$F,2,FALSE))</f>
        <v/>
      </c>
      <c r="AD75" s="9" t="n">
        <v>50</v>
      </c>
      <c r="AE75" s="11">
        <f>IF(AB75="","",IF(ISNUMBER(SEARCH("Basis",AB75)),(250/1.21)+MAX(0,AC75-5)*AD75,IF(ISNUMBER(SEARCH("Intensief",AB75)),(375/1.21)+MAX(0,AC75-7)*AD75,AC75*AD75)))</f>
        <v/>
      </c>
      <c r="AF75" s="13" t="n">
        <v>0.21</v>
      </c>
      <c r="AG75" s="11">
        <f>IF(AE75&lt;&gt;"",AE75*AF75,"")</f>
        <v/>
      </c>
      <c r="AH75" s="11">
        <f>IF(AE75&lt;&gt;"",AE75+AG75,"")</f>
        <v/>
      </c>
      <c r="AL75">
        <f>IF($B75="GWE_Item",IF($AI75="Elektra",SUMIFS($W:$W,$A:$A,$A75,$B:$B,"GWE")-SUMIFS($V:$V,$A:$A,$A75,$B:$B,"GWE"),IF($AI75="Gas",SUMIFS($Y:$Y,$A:$A,$A75,$B:$B,"GWE")-SUMIFS($X:$X,$A:$A,$A75,$B:$B,"GWE"),IF($AI75="Water",SUMIFS($AA:$AA,$A:$A,$A75,$B:$B,"GWE")-SUMIFS($Z:$Z,$A:$A,$A75,$B:$B,"GWE"),""))),"")</f>
        <v/>
      </c>
      <c r="AN75" s="11">
        <f>IF(AND(AL75&lt;&gt;"",AM75&lt;&gt;""),AL75*AM75,"")</f>
        <v/>
      </c>
      <c r="AO75" s="13" t="n"/>
      <c r="AP75" s="11">
        <f>IF(AND(AN75&lt;&gt;"",AO75&lt;&gt;""),AN75*AO75,"")</f>
        <v/>
      </c>
      <c r="AQ75" s="11">
        <f>IF(AND(AN75&lt;&gt;"",AP75&lt;&gt;""),AN75+AP75,"")</f>
        <v/>
      </c>
    </row>
    <row r="76">
      <c r="D76" s="8">
        <f>IF(A76="","",VLOOKUP(A76,Lists!$A:$B,2,FALSE))</f>
        <v/>
      </c>
      <c r="E76" s="8">
        <f>IF(C76="","",VLOOKUP(C76,Lists!$C:$D,2,FALSE))</f>
        <v/>
      </c>
      <c r="F76" s="8" t="n"/>
      <c r="G76" s="8" t="n"/>
      <c r="J76" s="9">
        <f>IF(A76="","",IFERROR(VLOOKUP(A76,Lists!$A:$H,8,FALSE),0))</f>
        <v/>
      </c>
      <c r="L76" s="9">
        <f>IF(A76="","",IFERROR(VLOOKUP(A76,Lists!$A:$H,7,FALSE),0))</f>
        <v/>
      </c>
      <c r="M76" s="10" t="n">
        <v>0.21</v>
      </c>
      <c r="N76" s="11">
        <f>L76 * (1 + M76)</f>
        <v/>
      </c>
      <c r="O76" s="11">
        <f>IF(K76="Eigen Beheer",0,IF(AND(ISNUMBER(N76),I76&lt;&gt;"",H76&lt;&gt;""),ROUND((I76-H76)/Lists!$Q$2,2)*N76,0))</f>
        <v/>
      </c>
      <c r="R76" s="12">
        <f>IF(Q76="","",VLOOKUP(Q76,Lists!$E:$F,2,FALSE))</f>
        <v/>
      </c>
      <c r="AD76" s="9" t="n">
        <v>50</v>
      </c>
      <c r="AE76" s="11">
        <f>IF(AB76="","",IF(ISNUMBER(SEARCH("Basis",AB76)),(250/1.21)+MAX(0,AC76-5)*AD76,IF(ISNUMBER(SEARCH("Intensief",AB76)),(375/1.21)+MAX(0,AC76-7)*AD76,AC76*AD76)))</f>
        <v/>
      </c>
      <c r="AF76" s="13" t="n">
        <v>0.21</v>
      </c>
      <c r="AG76" s="11">
        <f>IF(AE76&lt;&gt;"",AE76*AF76,"")</f>
        <v/>
      </c>
      <c r="AH76" s="11">
        <f>IF(AE76&lt;&gt;"",AE76+AG76,"")</f>
        <v/>
      </c>
      <c r="AL76">
        <f>IF($B76="GWE_Item",IF($AI76="Elektra",SUMIFS($W:$W,$A:$A,$A76,$B:$B,"GWE")-SUMIFS($V:$V,$A:$A,$A76,$B:$B,"GWE"),IF($AI76="Gas",SUMIFS($Y:$Y,$A:$A,$A76,$B:$B,"GWE")-SUMIFS($X:$X,$A:$A,$A76,$B:$B,"GWE"),IF($AI76="Water",SUMIFS($AA:$AA,$A:$A,$A76,$B:$B,"GWE")-SUMIFS($Z:$Z,$A:$A,$A76,$B:$B,"GWE"),""))),"")</f>
        <v/>
      </c>
      <c r="AN76" s="11">
        <f>IF(AND(AL76&lt;&gt;"",AM76&lt;&gt;""),AL76*AM76,"")</f>
        <v/>
      </c>
      <c r="AO76" s="13" t="n"/>
      <c r="AP76" s="11">
        <f>IF(AND(AN76&lt;&gt;"",AO76&lt;&gt;""),AN76*AO76,"")</f>
        <v/>
      </c>
      <c r="AQ76" s="11">
        <f>IF(AND(AN76&lt;&gt;"",AP76&lt;&gt;""),AN76+AP76,"")</f>
        <v/>
      </c>
    </row>
    <row r="77">
      <c r="D77" s="8">
        <f>IF(A77="","",VLOOKUP(A77,Lists!$A:$B,2,FALSE))</f>
        <v/>
      </c>
      <c r="E77" s="8">
        <f>IF(C77="","",VLOOKUP(C77,Lists!$C:$D,2,FALSE))</f>
        <v/>
      </c>
      <c r="F77" s="8" t="n"/>
      <c r="G77" s="8" t="n"/>
      <c r="J77" s="9">
        <f>IF(A77="","",IFERROR(VLOOKUP(A77,Lists!$A:$H,8,FALSE),0))</f>
        <v/>
      </c>
      <c r="L77" s="9">
        <f>IF(A77="","",IFERROR(VLOOKUP(A77,Lists!$A:$H,7,FALSE),0))</f>
        <v/>
      </c>
      <c r="M77" s="10" t="n">
        <v>0.21</v>
      </c>
      <c r="N77" s="11">
        <f>L77 * (1 + M77)</f>
        <v/>
      </c>
      <c r="O77" s="11">
        <f>IF(K77="Eigen Beheer",0,IF(AND(ISNUMBER(N77),I77&lt;&gt;"",H77&lt;&gt;""),ROUND((I77-H77)/Lists!$Q$2,2)*N77,0))</f>
        <v/>
      </c>
      <c r="R77" s="12">
        <f>IF(Q77="","",VLOOKUP(Q77,Lists!$E:$F,2,FALSE))</f>
        <v/>
      </c>
      <c r="AD77" s="9" t="n">
        <v>50</v>
      </c>
      <c r="AE77" s="11">
        <f>IF(AB77="","",IF(ISNUMBER(SEARCH("Basis",AB77)),(250/1.21)+MAX(0,AC77-5)*AD77,IF(ISNUMBER(SEARCH("Intensief",AB77)),(375/1.21)+MAX(0,AC77-7)*AD77,AC77*AD77)))</f>
        <v/>
      </c>
      <c r="AF77" s="13" t="n">
        <v>0.21</v>
      </c>
      <c r="AG77" s="11">
        <f>IF(AE77&lt;&gt;"",AE77*AF77,"")</f>
        <v/>
      </c>
      <c r="AH77" s="11">
        <f>IF(AE77&lt;&gt;"",AE77+AG77,"")</f>
        <v/>
      </c>
      <c r="AL77">
        <f>IF($B77="GWE_Item",IF($AI77="Elektra",SUMIFS($W:$W,$A:$A,$A77,$B:$B,"GWE")-SUMIFS($V:$V,$A:$A,$A77,$B:$B,"GWE"),IF($AI77="Gas",SUMIFS($Y:$Y,$A:$A,$A77,$B:$B,"GWE")-SUMIFS($X:$X,$A:$A,$A77,$B:$B,"GWE"),IF($AI77="Water",SUMIFS($AA:$AA,$A:$A,$A77,$B:$B,"GWE")-SUMIFS($Z:$Z,$A:$A,$A77,$B:$B,"GWE"),""))),"")</f>
        <v/>
      </c>
      <c r="AN77" s="11">
        <f>IF(AND(AL77&lt;&gt;"",AM77&lt;&gt;""),AL77*AM77,"")</f>
        <v/>
      </c>
      <c r="AO77" s="13" t="n"/>
      <c r="AP77" s="11">
        <f>IF(AND(AN77&lt;&gt;"",AO77&lt;&gt;""),AN77*AO77,"")</f>
        <v/>
      </c>
      <c r="AQ77" s="11">
        <f>IF(AND(AN77&lt;&gt;"",AP77&lt;&gt;""),AN77+AP77,"")</f>
        <v/>
      </c>
    </row>
    <row r="78">
      <c r="D78" s="8">
        <f>IF(A78="","",VLOOKUP(A78,Lists!$A:$B,2,FALSE))</f>
        <v/>
      </c>
      <c r="E78" s="8">
        <f>IF(C78="","",VLOOKUP(C78,Lists!$C:$D,2,FALSE))</f>
        <v/>
      </c>
      <c r="F78" s="8" t="n"/>
      <c r="G78" s="8" t="n"/>
      <c r="J78" s="9">
        <f>IF(A78="","",IFERROR(VLOOKUP(A78,Lists!$A:$H,8,FALSE),0))</f>
        <v/>
      </c>
      <c r="L78" s="9">
        <f>IF(A78="","",IFERROR(VLOOKUP(A78,Lists!$A:$H,7,FALSE),0))</f>
        <v/>
      </c>
      <c r="M78" s="10" t="n">
        <v>0.21</v>
      </c>
      <c r="N78" s="11">
        <f>L78 * (1 + M78)</f>
        <v/>
      </c>
      <c r="O78" s="11">
        <f>IF(K78="Eigen Beheer",0,IF(AND(ISNUMBER(N78),I78&lt;&gt;"",H78&lt;&gt;""),ROUND((I78-H78)/Lists!$Q$2,2)*N78,0))</f>
        <v/>
      </c>
      <c r="R78" s="12">
        <f>IF(Q78="","",VLOOKUP(Q78,Lists!$E:$F,2,FALSE))</f>
        <v/>
      </c>
      <c r="AD78" s="9" t="n">
        <v>50</v>
      </c>
      <c r="AE78" s="11">
        <f>IF(AB78="","",IF(ISNUMBER(SEARCH("Basis",AB78)),(250/1.21)+MAX(0,AC78-5)*AD78,IF(ISNUMBER(SEARCH("Intensief",AB78)),(375/1.21)+MAX(0,AC78-7)*AD78,AC78*AD78)))</f>
        <v/>
      </c>
      <c r="AF78" s="13" t="n">
        <v>0.21</v>
      </c>
      <c r="AG78" s="11">
        <f>IF(AE78&lt;&gt;"",AE78*AF78,"")</f>
        <v/>
      </c>
      <c r="AH78" s="11">
        <f>IF(AE78&lt;&gt;"",AE78+AG78,"")</f>
        <v/>
      </c>
      <c r="AL78">
        <f>IF($B78="GWE_Item",IF($AI78="Elektra",SUMIFS($W:$W,$A:$A,$A78,$B:$B,"GWE")-SUMIFS($V:$V,$A:$A,$A78,$B:$B,"GWE"),IF($AI78="Gas",SUMIFS($Y:$Y,$A:$A,$A78,$B:$B,"GWE")-SUMIFS($X:$X,$A:$A,$A78,$B:$B,"GWE"),IF($AI78="Water",SUMIFS($AA:$AA,$A:$A,$A78,$B:$B,"GWE")-SUMIFS($Z:$Z,$A:$A,$A78,$B:$B,"GWE"),""))),"")</f>
        <v/>
      </c>
      <c r="AN78" s="11">
        <f>IF(AND(AL78&lt;&gt;"",AM78&lt;&gt;""),AL78*AM78,"")</f>
        <v/>
      </c>
      <c r="AO78" s="13" t="n"/>
      <c r="AP78" s="11">
        <f>IF(AND(AN78&lt;&gt;"",AO78&lt;&gt;""),AN78*AO78,"")</f>
        <v/>
      </c>
      <c r="AQ78" s="11">
        <f>IF(AND(AN78&lt;&gt;"",AP78&lt;&gt;""),AN78+AP78,"")</f>
        <v/>
      </c>
    </row>
    <row r="79">
      <c r="D79" s="8">
        <f>IF(A79="","",VLOOKUP(A79,Lists!$A:$B,2,FALSE))</f>
        <v/>
      </c>
      <c r="E79" s="8">
        <f>IF(C79="","",VLOOKUP(C79,Lists!$C:$D,2,FALSE))</f>
        <v/>
      </c>
      <c r="F79" s="8" t="n"/>
      <c r="G79" s="8" t="n"/>
      <c r="J79" s="9">
        <f>IF(A79="","",IFERROR(VLOOKUP(A79,Lists!$A:$H,8,FALSE),0))</f>
        <v/>
      </c>
      <c r="L79" s="9">
        <f>IF(A79="","",IFERROR(VLOOKUP(A79,Lists!$A:$H,7,FALSE),0))</f>
        <v/>
      </c>
      <c r="M79" s="10" t="n">
        <v>0.21</v>
      </c>
      <c r="N79" s="11">
        <f>L79 * (1 + M79)</f>
        <v/>
      </c>
      <c r="O79" s="11">
        <f>IF(K79="Eigen Beheer",0,IF(AND(ISNUMBER(N79),I79&lt;&gt;"",H79&lt;&gt;""),ROUND((I79-H79)/Lists!$Q$2,2)*N79,0))</f>
        <v/>
      </c>
      <c r="R79" s="12">
        <f>IF(Q79="","",VLOOKUP(Q79,Lists!$E:$F,2,FALSE))</f>
        <v/>
      </c>
      <c r="AD79" s="9" t="n">
        <v>50</v>
      </c>
      <c r="AE79" s="11">
        <f>IF(AB79="","",IF(ISNUMBER(SEARCH("Basis",AB79)),(250/1.21)+MAX(0,AC79-5)*AD79,IF(ISNUMBER(SEARCH("Intensief",AB79)),(375/1.21)+MAX(0,AC79-7)*AD79,AC79*AD79)))</f>
        <v/>
      </c>
      <c r="AF79" s="13" t="n">
        <v>0.21</v>
      </c>
      <c r="AG79" s="11">
        <f>IF(AE79&lt;&gt;"",AE79*AF79,"")</f>
        <v/>
      </c>
      <c r="AH79" s="11">
        <f>IF(AE79&lt;&gt;"",AE79+AG79,"")</f>
        <v/>
      </c>
      <c r="AL79">
        <f>IF($B79="GWE_Item",IF($AI79="Elektra",SUMIFS($W:$W,$A:$A,$A79,$B:$B,"GWE")-SUMIFS($V:$V,$A:$A,$A79,$B:$B,"GWE"),IF($AI79="Gas",SUMIFS($Y:$Y,$A:$A,$A79,$B:$B,"GWE")-SUMIFS($X:$X,$A:$A,$A79,$B:$B,"GWE"),IF($AI79="Water",SUMIFS($AA:$AA,$A:$A,$A79,$B:$B,"GWE")-SUMIFS($Z:$Z,$A:$A,$A79,$B:$B,"GWE"),""))),"")</f>
        <v/>
      </c>
      <c r="AN79" s="11">
        <f>IF(AND(AL79&lt;&gt;"",AM79&lt;&gt;""),AL79*AM79,"")</f>
        <v/>
      </c>
      <c r="AO79" s="13" t="n"/>
      <c r="AP79" s="11">
        <f>IF(AND(AN79&lt;&gt;"",AO79&lt;&gt;""),AN79*AO79,"")</f>
        <v/>
      </c>
      <c r="AQ79" s="11">
        <f>IF(AND(AN79&lt;&gt;"",AP79&lt;&gt;""),AN79+AP79,"")</f>
        <v/>
      </c>
    </row>
    <row r="80">
      <c r="D80" s="8">
        <f>IF(A80="","",VLOOKUP(A80,Lists!$A:$B,2,FALSE))</f>
        <v/>
      </c>
      <c r="E80" s="8">
        <f>IF(C80="","",VLOOKUP(C80,Lists!$C:$D,2,FALSE))</f>
        <v/>
      </c>
      <c r="F80" s="8" t="n"/>
      <c r="G80" s="8" t="n"/>
      <c r="J80" s="9">
        <f>IF(A80="","",IFERROR(VLOOKUP(A80,Lists!$A:$H,8,FALSE),0))</f>
        <v/>
      </c>
      <c r="L80" s="9">
        <f>IF(A80="","",IFERROR(VLOOKUP(A80,Lists!$A:$H,7,FALSE),0))</f>
        <v/>
      </c>
      <c r="M80" s="10" t="n">
        <v>0.21</v>
      </c>
      <c r="N80" s="11">
        <f>L80 * (1 + M80)</f>
        <v/>
      </c>
      <c r="O80" s="11">
        <f>IF(K80="Eigen Beheer",0,IF(AND(ISNUMBER(N80),I80&lt;&gt;"",H80&lt;&gt;""),ROUND((I80-H80)/Lists!$Q$2,2)*N80,0))</f>
        <v/>
      </c>
      <c r="R80" s="12">
        <f>IF(Q80="","",VLOOKUP(Q80,Lists!$E:$F,2,FALSE))</f>
        <v/>
      </c>
      <c r="AD80" s="9" t="n">
        <v>50</v>
      </c>
      <c r="AE80" s="11">
        <f>IF(AB80="","",IF(ISNUMBER(SEARCH("Basis",AB80)),(250/1.21)+MAX(0,AC80-5)*AD80,IF(ISNUMBER(SEARCH("Intensief",AB80)),(375/1.21)+MAX(0,AC80-7)*AD80,AC80*AD80)))</f>
        <v/>
      </c>
      <c r="AF80" s="13" t="n">
        <v>0.21</v>
      </c>
      <c r="AG80" s="11">
        <f>IF(AE80&lt;&gt;"",AE80*AF80,"")</f>
        <v/>
      </c>
      <c r="AH80" s="11">
        <f>IF(AE80&lt;&gt;"",AE80+AG80,"")</f>
        <v/>
      </c>
      <c r="AL80">
        <f>IF($B80="GWE_Item",IF($AI80="Elektra",SUMIFS($W:$W,$A:$A,$A80,$B:$B,"GWE")-SUMIFS($V:$V,$A:$A,$A80,$B:$B,"GWE"),IF($AI80="Gas",SUMIFS($Y:$Y,$A:$A,$A80,$B:$B,"GWE")-SUMIFS($X:$X,$A:$A,$A80,$B:$B,"GWE"),IF($AI80="Water",SUMIFS($AA:$AA,$A:$A,$A80,$B:$B,"GWE")-SUMIFS($Z:$Z,$A:$A,$A80,$B:$B,"GWE"),""))),"")</f>
        <v/>
      </c>
      <c r="AN80" s="11">
        <f>IF(AND(AL80&lt;&gt;"",AM80&lt;&gt;""),AL80*AM80,"")</f>
        <v/>
      </c>
      <c r="AO80" s="13" t="n"/>
      <c r="AP80" s="11">
        <f>IF(AND(AN80&lt;&gt;"",AO80&lt;&gt;""),AN80*AO80,"")</f>
        <v/>
      </c>
      <c r="AQ80" s="11">
        <f>IF(AND(AN80&lt;&gt;"",AP80&lt;&gt;""),AN80+AP80,"")</f>
        <v/>
      </c>
    </row>
    <row r="81">
      <c r="D81" s="8">
        <f>IF(A81="","",VLOOKUP(A81,Lists!$A:$B,2,FALSE))</f>
        <v/>
      </c>
      <c r="E81" s="8">
        <f>IF(C81="","",VLOOKUP(C81,Lists!$C:$D,2,FALSE))</f>
        <v/>
      </c>
      <c r="F81" s="8" t="n"/>
      <c r="G81" s="8" t="n"/>
      <c r="J81" s="9">
        <f>IF(A81="","",IFERROR(VLOOKUP(A81,Lists!$A:$H,8,FALSE),0))</f>
        <v/>
      </c>
      <c r="L81" s="9">
        <f>IF(A81="","",IFERROR(VLOOKUP(A81,Lists!$A:$H,7,FALSE),0))</f>
        <v/>
      </c>
      <c r="M81" s="10" t="n">
        <v>0.21</v>
      </c>
      <c r="N81" s="11">
        <f>L81 * (1 + M81)</f>
        <v/>
      </c>
      <c r="O81" s="11">
        <f>IF(K81="Eigen Beheer",0,IF(AND(ISNUMBER(N81),I81&lt;&gt;"",H81&lt;&gt;""),ROUND((I81-H81)/Lists!$Q$2,2)*N81,0))</f>
        <v/>
      </c>
      <c r="R81" s="12">
        <f>IF(Q81="","",VLOOKUP(Q81,Lists!$E:$F,2,FALSE))</f>
        <v/>
      </c>
      <c r="AD81" s="9" t="n">
        <v>50</v>
      </c>
      <c r="AE81" s="11">
        <f>IF(AB81="","",IF(ISNUMBER(SEARCH("Basis",AB81)),(250/1.21)+MAX(0,AC81-5)*AD81,IF(ISNUMBER(SEARCH("Intensief",AB81)),(375/1.21)+MAX(0,AC81-7)*AD81,AC81*AD81)))</f>
        <v/>
      </c>
      <c r="AF81" s="13" t="n">
        <v>0.21</v>
      </c>
      <c r="AG81" s="11">
        <f>IF(AE81&lt;&gt;"",AE81*AF81,"")</f>
        <v/>
      </c>
      <c r="AH81" s="11">
        <f>IF(AE81&lt;&gt;"",AE81+AG81,"")</f>
        <v/>
      </c>
      <c r="AL81">
        <f>IF($B81="GWE_Item",IF($AI81="Elektra",SUMIFS($W:$W,$A:$A,$A81,$B:$B,"GWE")-SUMIFS($V:$V,$A:$A,$A81,$B:$B,"GWE"),IF($AI81="Gas",SUMIFS($Y:$Y,$A:$A,$A81,$B:$B,"GWE")-SUMIFS($X:$X,$A:$A,$A81,$B:$B,"GWE"),IF($AI81="Water",SUMIFS($AA:$AA,$A:$A,$A81,$B:$B,"GWE")-SUMIFS($Z:$Z,$A:$A,$A81,$B:$B,"GWE"),""))),"")</f>
        <v/>
      </c>
      <c r="AN81" s="11">
        <f>IF(AND(AL81&lt;&gt;"",AM81&lt;&gt;""),AL81*AM81,"")</f>
        <v/>
      </c>
      <c r="AO81" s="13" t="n"/>
      <c r="AP81" s="11">
        <f>IF(AND(AN81&lt;&gt;"",AO81&lt;&gt;""),AN81*AO81,"")</f>
        <v/>
      </c>
      <c r="AQ81" s="11">
        <f>IF(AND(AN81&lt;&gt;"",AP81&lt;&gt;""),AN81+AP81,"")</f>
        <v/>
      </c>
    </row>
    <row r="82">
      <c r="D82" s="8">
        <f>IF(A82="","",VLOOKUP(A82,Lists!$A:$B,2,FALSE))</f>
        <v/>
      </c>
      <c r="E82" s="8">
        <f>IF(C82="","",VLOOKUP(C82,Lists!$C:$D,2,FALSE))</f>
        <v/>
      </c>
      <c r="F82" s="8" t="n"/>
      <c r="G82" s="8" t="n"/>
      <c r="J82" s="9">
        <f>IF(A82="","",IFERROR(VLOOKUP(A82,Lists!$A:$H,8,FALSE),0))</f>
        <v/>
      </c>
      <c r="L82" s="9">
        <f>IF(A82="","",IFERROR(VLOOKUP(A82,Lists!$A:$H,7,FALSE),0))</f>
        <v/>
      </c>
      <c r="M82" s="10" t="n">
        <v>0.21</v>
      </c>
      <c r="N82" s="11">
        <f>L82 * (1 + M82)</f>
        <v/>
      </c>
      <c r="O82" s="11">
        <f>IF(K82="Eigen Beheer",0,IF(AND(ISNUMBER(N82),I82&lt;&gt;"",H82&lt;&gt;""),ROUND((I82-H82)/Lists!$Q$2,2)*N82,0))</f>
        <v/>
      </c>
      <c r="R82" s="12">
        <f>IF(Q82="","",VLOOKUP(Q82,Lists!$E:$F,2,FALSE))</f>
        <v/>
      </c>
      <c r="AD82" s="9" t="n">
        <v>50</v>
      </c>
      <c r="AE82" s="11">
        <f>IF(AB82="","",IF(ISNUMBER(SEARCH("Basis",AB82)),(250/1.21)+MAX(0,AC82-5)*AD82,IF(ISNUMBER(SEARCH("Intensief",AB82)),(375/1.21)+MAX(0,AC82-7)*AD82,AC82*AD82)))</f>
        <v/>
      </c>
      <c r="AF82" s="13" t="n">
        <v>0.21</v>
      </c>
      <c r="AG82" s="11">
        <f>IF(AE82&lt;&gt;"",AE82*AF82,"")</f>
        <v/>
      </c>
      <c r="AH82" s="11">
        <f>IF(AE82&lt;&gt;"",AE82+AG82,"")</f>
        <v/>
      </c>
      <c r="AL82">
        <f>IF($B82="GWE_Item",IF($AI82="Elektra",SUMIFS($W:$W,$A:$A,$A82,$B:$B,"GWE")-SUMIFS($V:$V,$A:$A,$A82,$B:$B,"GWE"),IF($AI82="Gas",SUMIFS($Y:$Y,$A:$A,$A82,$B:$B,"GWE")-SUMIFS($X:$X,$A:$A,$A82,$B:$B,"GWE"),IF($AI82="Water",SUMIFS($AA:$AA,$A:$A,$A82,$B:$B,"GWE")-SUMIFS($Z:$Z,$A:$A,$A82,$B:$B,"GWE"),""))),"")</f>
        <v/>
      </c>
      <c r="AN82" s="11">
        <f>IF(AND(AL82&lt;&gt;"",AM82&lt;&gt;""),AL82*AM82,"")</f>
        <v/>
      </c>
      <c r="AO82" s="13" t="n"/>
      <c r="AP82" s="11">
        <f>IF(AND(AN82&lt;&gt;"",AO82&lt;&gt;""),AN82*AO82,"")</f>
        <v/>
      </c>
      <c r="AQ82" s="11">
        <f>IF(AND(AN82&lt;&gt;"",AP82&lt;&gt;""),AN82+AP82,"")</f>
        <v/>
      </c>
    </row>
    <row r="83">
      <c r="D83" s="8">
        <f>IF(A83="","",VLOOKUP(A83,Lists!$A:$B,2,FALSE))</f>
        <v/>
      </c>
      <c r="E83" s="8">
        <f>IF(C83="","",VLOOKUP(C83,Lists!$C:$D,2,FALSE))</f>
        <v/>
      </c>
      <c r="F83" s="8" t="n"/>
      <c r="G83" s="8" t="n"/>
      <c r="J83" s="9">
        <f>IF(A83="","",IFERROR(VLOOKUP(A83,Lists!$A:$H,8,FALSE),0))</f>
        <v/>
      </c>
      <c r="L83" s="9">
        <f>IF(A83="","",IFERROR(VLOOKUP(A83,Lists!$A:$H,7,FALSE),0))</f>
        <v/>
      </c>
      <c r="M83" s="10" t="n">
        <v>0.21</v>
      </c>
      <c r="N83" s="11">
        <f>L83 * (1 + M83)</f>
        <v/>
      </c>
      <c r="O83" s="11">
        <f>IF(K83="Eigen Beheer",0,IF(AND(ISNUMBER(N83),I83&lt;&gt;"",H83&lt;&gt;""),ROUND((I83-H83)/Lists!$Q$2,2)*N83,0))</f>
        <v/>
      </c>
      <c r="R83" s="12">
        <f>IF(Q83="","",VLOOKUP(Q83,Lists!$E:$F,2,FALSE))</f>
        <v/>
      </c>
      <c r="AD83" s="9" t="n">
        <v>50</v>
      </c>
      <c r="AE83" s="11">
        <f>IF(AB83="","",IF(ISNUMBER(SEARCH("Basis",AB83)),(250/1.21)+MAX(0,AC83-5)*AD83,IF(ISNUMBER(SEARCH("Intensief",AB83)),(375/1.21)+MAX(0,AC83-7)*AD83,AC83*AD83)))</f>
        <v/>
      </c>
      <c r="AF83" s="13" t="n">
        <v>0.21</v>
      </c>
      <c r="AG83" s="11">
        <f>IF(AE83&lt;&gt;"",AE83*AF83,"")</f>
        <v/>
      </c>
      <c r="AH83" s="11">
        <f>IF(AE83&lt;&gt;"",AE83+AG83,"")</f>
        <v/>
      </c>
      <c r="AL83">
        <f>IF($B83="GWE_Item",IF($AI83="Elektra",SUMIFS($W:$W,$A:$A,$A83,$B:$B,"GWE")-SUMIFS($V:$V,$A:$A,$A83,$B:$B,"GWE"),IF($AI83="Gas",SUMIFS($Y:$Y,$A:$A,$A83,$B:$B,"GWE")-SUMIFS($X:$X,$A:$A,$A83,$B:$B,"GWE"),IF($AI83="Water",SUMIFS($AA:$AA,$A:$A,$A83,$B:$B,"GWE")-SUMIFS($Z:$Z,$A:$A,$A83,$B:$B,"GWE"),""))),"")</f>
        <v/>
      </c>
      <c r="AN83" s="11">
        <f>IF(AND(AL83&lt;&gt;"",AM83&lt;&gt;""),AL83*AM83,"")</f>
        <v/>
      </c>
      <c r="AO83" s="13" t="n"/>
      <c r="AP83" s="11">
        <f>IF(AND(AN83&lt;&gt;"",AO83&lt;&gt;""),AN83*AO83,"")</f>
        <v/>
      </c>
      <c r="AQ83" s="11">
        <f>IF(AND(AN83&lt;&gt;"",AP83&lt;&gt;""),AN83+AP83,"")</f>
        <v/>
      </c>
    </row>
    <row r="84">
      <c r="D84" s="8">
        <f>IF(A84="","",VLOOKUP(A84,Lists!$A:$B,2,FALSE))</f>
        <v/>
      </c>
      <c r="E84" s="8">
        <f>IF(C84="","",VLOOKUP(C84,Lists!$C:$D,2,FALSE))</f>
        <v/>
      </c>
      <c r="F84" s="8" t="n"/>
      <c r="G84" s="8" t="n"/>
      <c r="J84" s="9">
        <f>IF(A84="","",IFERROR(VLOOKUP(A84,Lists!$A:$H,8,FALSE),0))</f>
        <v/>
      </c>
      <c r="L84" s="9">
        <f>IF(A84="","",IFERROR(VLOOKUP(A84,Lists!$A:$H,7,FALSE),0))</f>
        <v/>
      </c>
      <c r="M84" s="10" t="n">
        <v>0.21</v>
      </c>
      <c r="N84" s="11">
        <f>L84 * (1 + M84)</f>
        <v/>
      </c>
      <c r="O84" s="11">
        <f>IF(K84="Eigen Beheer",0,IF(AND(ISNUMBER(N84),I84&lt;&gt;"",H84&lt;&gt;""),ROUND((I84-H84)/Lists!$Q$2,2)*N84,0))</f>
        <v/>
      </c>
      <c r="R84" s="12">
        <f>IF(Q84="","",VLOOKUP(Q84,Lists!$E:$F,2,FALSE))</f>
        <v/>
      </c>
      <c r="AD84" s="9" t="n">
        <v>50</v>
      </c>
      <c r="AE84" s="11">
        <f>IF(AB84="","",IF(ISNUMBER(SEARCH("Basis",AB84)),(250/1.21)+MAX(0,AC84-5)*AD84,IF(ISNUMBER(SEARCH("Intensief",AB84)),(375/1.21)+MAX(0,AC84-7)*AD84,AC84*AD84)))</f>
        <v/>
      </c>
      <c r="AF84" s="13" t="n">
        <v>0.21</v>
      </c>
      <c r="AG84" s="11">
        <f>IF(AE84&lt;&gt;"",AE84*AF84,"")</f>
        <v/>
      </c>
      <c r="AH84" s="11">
        <f>IF(AE84&lt;&gt;"",AE84+AG84,"")</f>
        <v/>
      </c>
      <c r="AL84">
        <f>IF($B84="GWE_Item",IF($AI84="Elektra",SUMIFS($W:$W,$A:$A,$A84,$B:$B,"GWE")-SUMIFS($V:$V,$A:$A,$A84,$B:$B,"GWE"),IF($AI84="Gas",SUMIFS($Y:$Y,$A:$A,$A84,$B:$B,"GWE")-SUMIFS($X:$X,$A:$A,$A84,$B:$B,"GWE"),IF($AI84="Water",SUMIFS($AA:$AA,$A:$A,$A84,$B:$B,"GWE")-SUMIFS($Z:$Z,$A:$A,$A84,$B:$B,"GWE"),""))),"")</f>
        <v/>
      </c>
      <c r="AN84" s="11">
        <f>IF(AND(AL84&lt;&gt;"",AM84&lt;&gt;""),AL84*AM84,"")</f>
        <v/>
      </c>
      <c r="AO84" s="13" t="n"/>
      <c r="AP84" s="11">
        <f>IF(AND(AN84&lt;&gt;"",AO84&lt;&gt;""),AN84*AO84,"")</f>
        <v/>
      </c>
      <c r="AQ84" s="11">
        <f>IF(AND(AN84&lt;&gt;"",AP84&lt;&gt;""),AN84+AP84,"")</f>
        <v/>
      </c>
    </row>
    <row r="85">
      <c r="D85" s="8">
        <f>IF(A85="","",VLOOKUP(A85,Lists!$A:$B,2,FALSE))</f>
        <v/>
      </c>
      <c r="E85" s="8">
        <f>IF(C85="","",VLOOKUP(C85,Lists!$C:$D,2,FALSE))</f>
        <v/>
      </c>
      <c r="F85" s="8" t="n"/>
      <c r="G85" s="8" t="n"/>
      <c r="J85" s="9">
        <f>IF(A85="","",IFERROR(VLOOKUP(A85,Lists!$A:$H,8,FALSE),0))</f>
        <v/>
      </c>
      <c r="L85" s="9">
        <f>IF(A85="","",IFERROR(VLOOKUP(A85,Lists!$A:$H,7,FALSE),0))</f>
        <v/>
      </c>
      <c r="M85" s="10" t="n">
        <v>0.21</v>
      </c>
      <c r="N85" s="11">
        <f>L85 * (1 + M85)</f>
        <v/>
      </c>
      <c r="O85" s="11">
        <f>IF(K85="Eigen Beheer",0,IF(AND(ISNUMBER(N85),I85&lt;&gt;"",H85&lt;&gt;""),ROUND((I85-H85)/Lists!$Q$2,2)*N85,0))</f>
        <v/>
      </c>
      <c r="R85" s="12">
        <f>IF(Q85="","",VLOOKUP(Q85,Lists!$E:$F,2,FALSE))</f>
        <v/>
      </c>
      <c r="AD85" s="9" t="n">
        <v>50</v>
      </c>
      <c r="AE85" s="11">
        <f>IF(AB85="","",IF(ISNUMBER(SEARCH("Basis",AB85)),(250/1.21)+MAX(0,AC85-5)*AD85,IF(ISNUMBER(SEARCH("Intensief",AB85)),(375/1.21)+MAX(0,AC85-7)*AD85,AC85*AD85)))</f>
        <v/>
      </c>
      <c r="AF85" s="13" t="n">
        <v>0.21</v>
      </c>
      <c r="AG85" s="11">
        <f>IF(AE85&lt;&gt;"",AE85*AF85,"")</f>
        <v/>
      </c>
      <c r="AH85" s="11">
        <f>IF(AE85&lt;&gt;"",AE85+AG85,"")</f>
        <v/>
      </c>
      <c r="AL85">
        <f>IF($B85="GWE_Item",IF($AI85="Elektra",SUMIFS($W:$W,$A:$A,$A85,$B:$B,"GWE")-SUMIFS($V:$V,$A:$A,$A85,$B:$B,"GWE"),IF($AI85="Gas",SUMIFS($Y:$Y,$A:$A,$A85,$B:$B,"GWE")-SUMIFS($X:$X,$A:$A,$A85,$B:$B,"GWE"),IF($AI85="Water",SUMIFS($AA:$AA,$A:$A,$A85,$B:$B,"GWE")-SUMIFS($Z:$Z,$A:$A,$A85,$B:$B,"GWE"),""))),"")</f>
        <v/>
      </c>
      <c r="AN85" s="11">
        <f>IF(AND(AL85&lt;&gt;"",AM85&lt;&gt;""),AL85*AM85,"")</f>
        <v/>
      </c>
      <c r="AO85" s="13" t="n"/>
      <c r="AP85" s="11">
        <f>IF(AND(AN85&lt;&gt;"",AO85&lt;&gt;""),AN85*AO85,"")</f>
        <v/>
      </c>
      <c r="AQ85" s="11">
        <f>IF(AND(AN85&lt;&gt;"",AP85&lt;&gt;""),AN85+AP85,"")</f>
        <v/>
      </c>
    </row>
    <row r="86">
      <c r="D86" s="8">
        <f>IF(A86="","",VLOOKUP(A86,Lists!$A:$B,2,FALSE))</f>
        <v/>
      </c>
      <c r="E86" s="8">
        <f>IF(C86="","",VLOOKUP(C86,Lists!$C:$D,2,FALSE))</f>
        <v/>
      </c>
      <c r="F86" s="8" t="n"/>
      <c r="G86" s="8" t="n"/>
      <c r="J86" s="9">
        <f>IF(A86="","",IFERROR(VLOOKUP(A86,Lists!$A:$H,8,FALSE),0))</f>
        <v/>
      </c>
      <c r="L86" s="9">
        <f>IF(A86="","",IFERROR(VLOOKUP(A86,Lists!$A:$H,7,FALSE),0))</f>
        <v/>
      </c>
      <c r="M86" s="10" t="n">
        <v>0.21</v>
      </c>
      <c r="N86" s="11">
        <f>L86 * (1 + M86)</f>
        <v/>
      </c>
      <c r="O86" s="11">
        <f>IF(K86="Eigen Beheer",0,IF(AND(ISNUMBER(N86),I86&lt;&gt;"",H86&lt;&gt;""),ROUND((I86-H86)/Lists!$Q$2,2)*N86,0))</f>
        <v/>
      </c>
      <c r="R86" s="12">
        <f>IF(Q86="","",VLOOKUP(Q86,Lists!$E:$F,2,FALSE))</f>
        <v/>
      </c>
      <c r="AD86" s="9" t="n">
        <v>50</v>
      </c>
      <c r="AE86" s="11">
        <f>IF(AB86="","",IF(ISNUMBER(SEARCH("Basis",AB86)),(250/1.21)+MAX(0,AC86-5)*AD86,IF(ISNUMBER(SEARCH("Intensief",AB86)),(375/1.21)+MAX(0,AC86-7)*AD86,AC86*AD86)))</f>
        <v/>
      </c>
      <c r="AF86" s="13" t="n">
        <v>0.21</v>
      </c>
      <c r="AG86" s="11">
        <f>IF(AE86&lt;&gt;"",AE86*AF86,"")</f>
        <v/>
      </c>
      <c r="AH86" s="11">
        <f>IF(AE86&lt;&gt;"",AE86+AG86,"")</f>
        <v/>
      </c>
      <c r="AL86">
        <f>IF($B86="GWE_Item",IF($AI86="Elektra",SUMIFS($W:$W,$A:$A,$A86,$B:$B,"GWE")-SUMIFS($V:$V,$A:$A,$A86,$B:$B,"GWE"),IF($AI86="Gas",SUMIFS($Y:$Y,$A:$A,$A86,$B:$B,"GWE")-SUMIFS($X:$X,$A:$A,$A86,$B:$B,"GWE"),IF($AI86="Water",SUMIFS($AA:$AA,$A:$A,$A86,$B:$B,"GWE")-SUMIFS($Z:$Z,$A:$A,$A86,$B:$B,"GWE"),""))),"")</f>
        <v/>
      </c>
      <c r="AN86" s="11">
        <f>IF(AND(AL86&lt;&gt;"",AM86&lt;&gt;""),AL86*AM86,"")</f>
        <v/>
      </c>
      <c r="AO86" s="13" t="n"/>
      <c r="AP86" s="11">
        <f>IF(AND(AN86&lt;&gt;"",AO86&lt;&gt;""),AN86*AO86,"")</f>
        <v/>
      </c>
      <c r="AQ86" s="11">
        <f>IF(AND(AN86&lt;&gt;"",AP86&lt;&gt;""),AN86+AP86,"")</f>
        <v/>
      </c>
    </row>
    <row r="87">
      <c r="D87" s="8">
        <f>IF(A87="","",VLOOKUP(A87,Lists!$A:$B,2,FALSE))</f>
        <v/>
      </c>
      <c r="E87" s="8">
        <f>IF(C87="","",VLOOKUP(C87,Lists!$C:$D,2,FALSE))</f>
        <v/>
      </c>
      <c r="F87" s="8" t="n"/>
      <c r="G87" s="8" t="n"/>
      <c r="J87" s="9">
        <f>IF(A87="","",IFERROR(VLOOKUP(A87,Lists!$A:$H,8,FALSE),0))</f>
        <v/>
      </c>
      <c r="L87" s="9">
        <f>IF(A87="","",IFERROR(VLOOKUP(A87,Lists!$A:$H,7,FALSE),0))</f>
        <v/>
      </c>
      <c r="M87" s="10" t="n">
        <v>0.21</v>
      </c>
      <c r="N87" s="11">
        <f>L87 * (1 + M87)</f>
        <v/>
      </c>
      <c r="O87" s="11">
        <f>IF(K87="Eigen Beheer",0,IF(AND(ISNUMBER(N87),I87&lt;&gt;"",H87&lt;&gt;""),ROUND((I87-H87)/Lists!$Q$2,2)*N87,0))</f>
        <v/>
      </c>
      <c r="R87" s="12">
        <f>IF(Q87="","",VLOOKUP(Q87,Lists!$E:$F,2,FALSE))</f>
        <v/>
      </c>
      <c r="AD87" s="9" t="n">
        <v>50</v>
      </c>
      <c r="AE87" s="11">
        <f>IF(AB87="","",IF(ISNUMBER(SEARCH("Basis",AB87)),(250/1.21)+MAX(0,AC87-5)*AD87,IF(ISNUMBER(SEARCH("Intensief",AB87)),(375/1.21)+MAX(0,AC87-7)*AD87,AC87*AD87)))</f>
        <v/>
      </c>
      <c r="AF87" s="13" t="n">
        <v>0.21</v>
      </c>
      <c r="AG87" s="11">
        <f>IF(AE87&lt;&gt;"",AE87*AF87,"")</f>
        <v/>
      </c>
      <c r="AH87" s="11">
        <f>IF(AE87&lt;&gt;"",AE87+AG87,"")</f>
        <v/>
      </c>
      <c r="AL87">
        <f>IF($B87="GWE_Item",IF($AI87="Elektra",SUMIFS($W:$W,$A:$A,$A87,$B:$B,"GWE")-SUMIFS($V:$V,$A:$A,$A87,$B:$B,"GWE"),IF($AI87="Gas",SUMIFS($Y:$Y,$A:$A,$A87,$B:$B,"GWE")-SUMIFS($X:$X,$A:$A,$A87,$B:$B,"GWE"),IF($AI87="Water",SUMIFS($AA:$AA,$A:$A,$A87,$B:$B,"GWE")-SUMIFS($Z:$Z,$A:$A,$A87,$B:$B,"GWE"),""))),"")</f>
        <v/>
      </c>
      <c r="AN87" s="11">
        <f>IF(AND(AL87&lt;&gt;"",AM87&lt;&gt;""),AL87*AM87,"")</f>
        <v/>
      </c>
      <c r="AO87" s="13" t="n"/>
      <c r="AP87" s="11">
        <f>IF(AND(AN87&lt;&gt;"",AO87&lt;&gt;""),AN87*AO87,"")</f>
        <v/>
      </c>
      <c r="AQ87" s="11">
        <f>IF(AND(AN87&lt;&gt;"",AP87&lt;&gt;""),AN87+AP87,"")</f>
        <v/>
      </c>
    </row>
    <row r="88">
      <c r="D88" s="8">
        <f>IF(A88="","",VLOOKUP(A88,Lists!$A:$B,2,FALSE))</f>
        <v/>
      </c>
      <c r="E88" s="8">
        <f>IF(C88="","",VLOOKUP(C88,Lists!$C:$D,2,FALSE))</f>
        <v/>
      </c>
      <c r="F88" s="8" t="n"/>
      <c r="G88" s="8" t="n"/>
      <c r="J88" s="9">
        <f>IF(A88="","",IFERROR(VLOOKUP(A88,Lists!$A:$H,8,FALSE),0))</f>
        <v/>
      </c>
      <c r="L88" s="9">
        <f>IF(A88="","",IFERROR(VLOOKUP(A88,Lists!$A:$H,7,FALSE),0))</f>
        <v/>
      </c>
      <c r="M88" s="10" t="n">
        <v>0.21</v>
      </c>
      <c r="N88" s="11">
        <f>L88 * (1 + M88)</f>
        <v/>
      </c>
      <c r="O88" s="11">
        <f>IF(K88="Eigen Beheer",0,IF(AND(ISNUMBER(N88),I88&lt;&gt;"",H88&lt;&gt;""),ROUND((I88-H88)/Lists!$Q$2,2)*N88,0))</f>
        <v/>
      </c>
      <c r="R88" s="12">
        <f>IF(Q88="","",VLOOKUP(Q88,Lists!$E:$F,2,FALSE))</f>
        <v/>
      </c>
      <c r="AD88" s="9" t="n">
        <v>50</v>
      </c>
      <c r="AE88" s="11">
        <f>IF(AB88="","",IF(ISNUMBER(SEARCH("Basis",AB88)),(250/1.21)+MAX(0,AC88-5)*AD88,IF(ISNUMBER(SEARCH("Intensief",AB88)),(375/1.21)+MAX(0,AC88-7)*AD88,AC88*AD88)))</f>
        <v/>
      </c>
      <c r="AF88" s="13" t="n">
        <v>0.21</v>
      </c>
      <c r="AG88" s="11">
        <f>IF(AE88&lt;&gt;"",AE88*AF88,"")</f>
        <v/>
      </c>
      <c r="AH88" s="11">
        <f>IF(AE88&lt;&gt;"",AE88+AG88,"")</f>
        <v/>
      </c>
      <c r="AL88">
        <f>IF($B88="GWE_Item",IF($AI88="Elektra",SUMIFS($W:$W,$A:$A,$A88,$B:$B,"GWE")-SUMIFS($V:$V,$A:$A,$A88,$B:$B,"GWE"),IF($AI88="Gas",SUMIFS($Y:$Y,$A:$A,$A88,$B:$B,"GWE")-SUMIFS($X:$X,$A:$A,$A88,$B:$B,"GWE"),IF($AI88="Water",SUMIFS($AA:$AA,$A:$A,$A88,$B:$B,"GWE")-SUMIFS($Z:$Z,$A:$A,$A88,$B:$B,"GWE"),""))),"")</f>
        <v/>
      </c>
      <c r="AN88" s="11">
        <f>IF(AND(AL88&lt;&gt;"",AM88&lt;&gt;""),AL88*AM88,"")</f>
        <v/>
      </c>
      <c r="AO88" s="13" t="n"/>
      <c r="AP88" s="11">
        <f>IF(AND(AN88&lt;&gt;"",AO88&lt;&gt;""),AN88*AO88,"")</f>
        <v/>
      </c>
      <c r="AQ88" s="11">
        <f>IF(AND(AN88&lt;&gt;"",AP88&lt;&gt;""),AN88+AP88,"")</f>
        <v/>
      </c>
    </row>
    <row r="89">
      <c r="D89" s="8">
        <f>IF(A89="","",VLOOKUP(A89,Lists!$A:$B,2,FALSE))</f>
        <v/>
      </c>
      <c r="E89" s="8">
        <f>IF(C89="","",VLOOKUP(C89,Lists!$C:$D,2,FALSE))</f>
        <v/>
      </c>
      <c r="F89" s="8" t="n"/>
      <c r="G89" s="8" t="n"/>
      <c r="J89" s="9">
        <f>IF(A89="","",IFERROR(VLOOKUP(A89,Lists!$A:$H,8,FALSE),0))</f>
        <v/>
      </c>
      <c r="L89" s="9">
        <f>IF(A89="","",IFERROR(VLOOKUP(A89,Lists!$A:$H,7,FALSE),0))</f>
        <v/>
      </c>
      <c r="M89" s="10" t="n">
        <v>0.21</v>
      </c>
      <c r="N89" s="11">
        <f>L89 * (1 + M89)</f>
        <v/>
      </c>
      <c r="O89" s="11">
        <f>IF(K89="Eigen Beheer",0,IF(AND(ISNUMBER(N89),I89&lt;&gt;"",H89&lt;&gt;""),ROUND((I89-H89)/Lists!$Q$2,2)*N89,0))</f>
        <v/>
      </c>
      <c r="R89" s="12">
        <f>IF(Q89="","",VLOOKUP(Q89,Lists!$E:$F,2,FALSE))</f>
        <v/>
      </c>
      <c r="AD89" s="9" t="n">
        <v>50</v>
      </c>
      <c r="AE89" s="11">
        <f>IF(AB89="","",IF(ISNUMBER(SEARCH("Basis",AB89)),(250/1.21)+MAX(0,AC89-5)*AD89,IF(ISNUMBER(SEARCH("Intensief",AB89)),(375/1.21)+MAX(0,AC89-7)*AD89,AC89*AD89)))</f>
        <v/>
      </c>
      <c r="AF89" s="13" t="n">
        <v>0.21</v>
      </c>
      <c r="AG89" s="11">
        <f>IF(AE89&lt;&gt;"",AE89*AF89,"")</f>
        <v/>
      </c>
      <c r="AH89" s="11">
        <f>IF(AE89&lt;&gt;"",AE89+AG89,"")</f>
        <v/>
      </c>
      <c r="AL89">
        <f>IF($B89="GWE_Item",IF($AI89="Elektra",SUMIFS($W:$W,$A:$A,$A89,$B:$B,"GWE")-SUMIFS($V:$V,$A:$A,$A89,$B:$B,"GWE"),IF($AI89="Gas",SUMIFS($Y:$Y,$A:$A,$A89,$B:$B,"GWE")-SUMIFS($X:$X,$A:$A,$A89,$B:$B,"GWE"),IF($AI89="Water",SUMIFS($AA:$AA,$A:$A,$A89,$B:$B,"GWE")-SUMIFS($Z:$Z,$A:$A,$A89,$B:$B,"GWE"),""))),"")</f>
        <v/>
      </c>
      <c r="AN89" s="11">
        <f>IF(AND(AL89&lt;&gt;"",AM89&lt;&gt;""),AL89*AM89,"")</f>
        <v/>
      </c>
      <c r="AO89" s="13" t="n"/>
      <c r="AP89" s="11">
        <f>IF(AND(AN89&lt;&gt;"",AO89&lt;&gt;""),AN89*AO89,"")</f>
        <v/>
      </c>
      <c r="AQ89" s="11">
        <f>IF(AND(AN89&lt;&gt;"",AP89&lt;&gt;""),AN89+AP89,"")</f>
        <v/>
      </c>
    </row>
    <row r="90">
      <c r="D90" s="8">
        <f>IF(A90="","",VLOOKUP(A90,Lists!$A:$B,2,FALSE))</f>
        <v/>
      </c>
      <c r="E90" s="8">
        <f>IF(C90="","",VLOOKUP(C90,Lists!$C:$D,2,FALSE))</f>
        <v/>
      </c>
      <c r="F90" s="8" t="n"/>
      <c r="G90" s="8" t="n"/>
      <c r="J90" s="9">
        <f>IF(A90="","",IFERROR(VLOOKUP(A90,Lists!$A:$H,8,FALSE),0))</f>
        <v/>
      </c>
      <c r="L90" s="9">
        <f>IF(A90="","",IFERROR(VLOOKUP(A90,Lists!$A:$H,7,FALSE),0))</f>
        <v/>
      </c>
      <c r="M90" s="10" t="n">
        <v>0.21</v>
      </c>
      <c r="N90" s="11">
        <f>L90 * (1 + M90)</f>
        <v/>
      </c>
      <c r="O90" s="11">
        <f>IF(K90="Eigen Beheer",0,IF(AND(ISNUMBER(N90),I90&lt;&gt;"",H90&lt;&gt;""),ROUND((I90-H90)/Lists!$Q$2,2)*N90,0))</f>
        <v/>
      </c>
      <c r="R90" s="12">
        <f>IF(Q90="","",VLOOKUP(Q90,Lists!$E:$F,2,FALSE))</f>
        <v/>
      </c>
      <c r="AD90" s="9" t="n">
        <v>50</v>
      </c>
      <c r="AE90" s="11">
        <f>IF(AB90="","",IF(ISNUMBER(SEARCH("Basis",AB90)),(250/1.21)+MAX(0,AC90-5)*AD90,IF(ISNUMBER(SEARCH("Intensief",AB90)),(375/1.21)+MAX(0,AC90-7)*AD90,AC90*AD90)))</f>
        <v/>
      </c>
      <c r="AF90" s="13" t="n">
        <v>0.21</v>
      </c>
      <c r="AG90" s="11">
        <f>IF(AE90&lt;&gt;"",AE90*AF90,"")</f>
        <v/>
      </c>
      <c r="AH90" s="11">
        <f>IF(AE90&lt;&gt;"",AE90+AG90,"")</f>
        <v/>
      </c>
      <c r="AL90">
        <f>IF($B90="GWE_Item",IF($AI90="Elektra",SUMIFS($W:$W,$A:$A,$A90,$B:$B,"GWE")-SUMIFS($V:$V,$A:$A,$A90,$B:$B,"GWE"),IF($AI90="Gas",SUMIFS($Y:$Y,$A:$A,$A90,$B:$B,"GWE")-SUMIFS($X:$X,$A:$A,$A90,$B:$B,"GWE"),IF($AI90="Water",SUMIFS($AA:$AA,$A:$A,$A90,$B:$B,"GWE")-SUMIFS($Z:$Z,$A:$A,$A90,$B:$B,"GWE"),""))),"")</f>
        <v/>
      </c>
      <c r="AN90" s="11">
        <f>IF(AND(AL90&lt;&gt;"",AM90&lt;&gt;""),AL90*AM90,"")</f>
        <v/>
      </c>
      <c r="AO90" s="13" t="n"/>
      <c r="AP90" s="11">
        <f>IF(AND(AN90&lt;&gt;"",AO90&lt;&gt;""),AN90*AO90,"")</f>
        <v/>
      </c>
      <c r="AQ90" s="11">
        <f>IF(AND(AN90&lt;&gt;"",AP90&lt;&gt;""),AN90+AP90,"")</f>
        <v/>
      </c>
    </row>
    <row r="91">
      <c r="D91" s="8">
        <f>IF(A91="","",VLOOKUP(A91,Lists!$A:$B,2,FALSE))</f>
        <v/>
      </c>
      <c r="E91" s="8">
        <f>IF(C91="","",VLOOKUP(C91,Lists!$C:$D,2,FALSE))</f>
        <v/>
      </c>
      <c r="F91" s="8" t="n"/>
      <c r="G91" s="8" t="n"/>
      <c r="J91" s="9">
        <f>IF(A91="","",IFERROR(VLOOKUP(A91,Lists!$A:$H,8,FALSE),0))</f>
        <v/>
      </c>
      <c r="L91" s="9">
        <f>IF(A91="","",IFERROR(VLOOKUP(A91,Lists!$A:$H,7,FALSE),0))</f>
        <v/>
      </c>
      <c r="M91" s="10" t="n">
        <v>0.21</v>
      </c>
      <c r="N91" s="11">
        <f>L91 * (1 + M91)</f>
        <v/>
      </c>
      <c r="O91" s="11">
        <f>IF(K91="Eigen Beheer",0,IF(AND(ISNUMBER(N91),I91&lt;&gt;"",H91&lt;&gt;""),ROUND((I91-H91)/Lists!$Q$2,2)*N91,0))</f>
        <v/>
      </c>
      <c r="R91" s="12">
        <f>IF(Q91="","",VLOOKUP(Q91,Lists!$E:$F,2,FALSE))</f>
        <v/>
      </c>
      <c r="AD91" s="9" t="n">
        <v>50</v>
      </c>
      <c r="AE91" s="11">
        <f>IF(AB91="","",IF(ISNUMBER(SEARCH("Basis",AB91)),(250/1.21)+MAX(0,AC91-5)*AD91,IF(ISNUMBER(SEARCH("Intensief",AB91)),(375/1.21)+MAX(0,AC91-7)*AD91,AC91*AD91)))</f>
        <v/>
      </c>
      <c r="AF91" s="13" t="n">
        <v>0.21</v>
      </c>
      <c r="AG91" s="11">
        <f>IF(AE91&lt;&gt;"",AE91*AF91,"")</f>
        <v/>
      </c>
      <c r="AH91" s="11">
        <f>IF(AE91&lt;&gt;"",AE91+AG91,"")</f>
        <v/>
      </c>
      <c r="AL91">
        <f>IF($B91="GWE_Item",IF($AI91="Elektra",SUMIFS($W:$W,$A:$A,$A91,$B:$B,"GWE")-SUMIFS($V:$V,$A:$A,$A91,$B:$B,"GWE"),IF($AI91="Gas",SUMIFS($Y:$Y,$A:$A,$A91,$B:$B,"GWE")-SUMIFS($X:$X,$A:$A,$A91,$B:$B,"GWE"),IF($AI91="Water",SUMIFS($AA:$AA,$A:$A,$A91,$B:$B,"GWE")-SUMIFS($Z:$Z,$A:$A,$A91,$B:$B,"GWE"),""))),"")</f>
        <v/>
      </c>
      <c r="AN91" s="11">
        <f>IF(AND(AL91&lt;&gt;"",AM91&lt;&gt;""),AL91*AM91,"")</f>
        <v/>
      </c>
      <c r="AO91" s="13" t="n"/>
      <c r="AP91" s="11">
        <f>IF(AND(AN91&lt;&gt;"",AO91&lt;&gt;""),AN91*AO91,"")</f>
        <v/>
      </c>
      <c r="AQ91" s="11">
        <f>IF(AND(AN91&lt;&gt;"",AP91&lt;&gt;""),AN91+AP91,"")</f>
        <v/>
      </c>
    </row>
    <row r="92">
      <c r="D92" s="8">
        <f>IF(A92="","",VLOOKUP(A92,Lists!$A:$B,2,FALSE))</f>
        <v/>
      </c>
      <c r="E92" s="8">
        <f>IF(C92="","",VLOOKUP(C92,Lists!$C:$D,2,FALSE))</f>
        <v/>
      </c>
      <c r="F92" s="8" t="n"/>
      <c r="G92" s="8" t="n"/>
      <c r="J92" s="9">
        <f>IF(A92="","",IFERROR(VLOOKUP(A92,Lists!$A:$H,8,FALSE),0))</f>
        <v/>
      </c>
      <c r="L92" s="9">
        <f>IF(A92="","",IFERROR(VLOOKUP(A92,Lists!$A:$H,7,FALSE),0))</f>
        <v/>
      </c>
      <c r="M92" s="10" t="n">
        <v>0.21</v>
      </c>
      <c r="N92" s="11">
        <f>L92 * (1 + M92)</f>
        <v/>
      </c>
      <c r="O92" s="11">
        <f>IF(K92="Eigen Beheer",0,IF(AND(ISNUMBER(N92),I92&lt;&gt;"",H92&lt;&gt;""),ROUND((I92-H92)/Lists!$Q$2,2)*N92,0))</f>
        <v/>
      </c>
      <c r="R92" s="12">
        <f>IF(Q92="","",VLOOKUP(Q92,Lists!$E:$F,2,FALSE))</f>
        <v/>
      </c>
      <c r="AD92" s="9" t="n">
        <v>50</v>
      </c>
      <c r="AE92" s="11">
        <f>IF(AB92="","",IF(ISNUMBER(SEARCH("Basis",AB92)),(250/1.21)+MAX(0,AC92-5)*AD92,IF(ISNUMBER(SEARCH("Intensief",AB92)),(375/1.21)+MAX(0,AC92-7)*AD92,AC92*AD92)))</f>
        <v/>
      </c>
      <c r="AF92" s="13" t="n">
        <v>0.21</v>
      </c>
      <c r="AG92" s="11">
        <f>IF(AE92&lt;&gt;"",AE92*AF92,"")</f>
        <v/>
      </c>
      <c r="AH92" s="11">
        <f>IF(AE92&lt;&gt;"",AE92+AG92,"")</f>
        <v/>
      </c>
      <c r="AL92">
        <f>IF($B92="GWE_Item",IF($AI92="Elektra",SUMIFS($W:$W,$A:$A,$A92,$B:$B,"GWE")-SUMIFS($V:$V,$A:$A,$A92,$B:$B,"GWE"),IF($AI92="Gas",SUMIFS($Y:$Y,$A:$A,$A92,$B:$B,"GWE")-SUMIFS($X:$X,$A:$A,$A92,$B:$B,"GWE"),IF($AI92="Water",SUMIFS($AA:$AA,$A:$A,$A92,$B:$B,"GWE")-SUMIFS($Z:$Z,$A:$A,$A92,$B:$B,"GWE"),""))),"")</f>
        <v/>
      </c>
      <c r="AN92" s="11">
        <f>IF(AND(AL92&lt;&gt;"",AM92&lt;&gt;""),AL92*AM92,"")</f>
        <v/>
      </c>
      <c r="AO92" s="13" t="n"/>
      <c r="AP92" s="11">
        <f>IF(AND(AN92&lt;&gt;"",AO92&lt;&gt;""),AN92*AO92,"")</f>
        <v/>
      </c>
      <c r="AQ92" s="11">
        <f>IF(AND(AN92&lt;&gt;"",AP92&lt;&gt;""),AN92+AP92,"")</f>
        <v/>
      </c>
    </row>
    <row r="93">
      <c r="D93" s="8">
        <f>IF(A93="","",VLOOKUP(A93,Lists!$A:$B,2,FALSE))</f>
        <v/>
      </c>
      <c r="E93" s="8">
        <f>IF(C93="","",VLOOKUP(C93,Lists!$C:$D,2,FALSE))</f>
        <v/>
      </c>
      <c r="F93" s="8" t="n"/>
      <c r="G93" s="8" t="n"/>
      <c r="J93" s="9">
        <f>IF(A93="","",IFERROR(VLOOKUP(A93,Lists!$A:$H,8,FALSE),0))</f>
        <v/>
      </c>
      <c r="L93" s="9">
        <f>IF(A93="","",IFERROR(VLOOKUP(A93,Lists!$A:$H,7,FALSE),0))</f>
        <v/>
      </c>
      <c r="M93" s="10" t="n">
        <v>0.21</v>
      </c>
      <c r="N93" s="11">
        <f>L93 * (1 + M93)</f>
        <v/>
      </c>
      <c r="O93" s="11">
        <f>IF(K93="Eigen Beheer",0,IF(AND(ISNUMBER(N93),I93&lt;&gt;"",H93&lt;&gt;""),ROUND((I93-H93)/Lists!$Q$2,2)*N93,0))</f>
        <v/>
      </c>
      <c r="R93" s="12">
        <f>IF(Q93="","",VLOOKUP(Q93,Lists!$E:$F,2,FALSE))</f>
        <v/>
      </c>
      <c r="AD93" s="9" t="n">
        <v>50</v>
      </c>
      <c r="AE93" s="11">
        <f>IF(AB93="","",IF(ISNUMBER(SEARCH("Basis",AB93)),(250/1.21)+MAX(0,AC93-5)*AD93,IF(ISNUMBER(SEARCH("Intensief",AB93)),(375/1.21)+MAX(0,AC93-7)*AD93,AC93*AD93)))</f>
        <v/>
      </c>
      <c r="AF93" s="13" t="n">
        <v>0.21</v>
      </c>
      <c r="AG93" s="11">
        <f>IF(AE93&lt;&gt;"",AE93*AF93,"")</f>
        <v/>
      </c>
      <c r="AH93" s="11">
        <f>IF(AE93&lt;&gt;"",AE93+AG93,"")</f>
        <v/>
      </c>
      <c r="AL93">
        <f>IF($B93="GWE_Item",IF($AI93="Elektra",SUMIFS($W:$W,$A:$A,$A93,$B:$B,"GWE")-SUMIFS($V:$V,$A:$A,$A93,$B:$B,"GWE"),IF($AI93="Gas",SUMIFS($Y:$Y,$A:$A,$A93,$B:$B,"GWE")-SUMIFS($X:$X,$A:$A,$A93,$B:$B,"GWE"),IF($AI93="Water",SUMIFS($AA:$AA,$A:$A,$A93,$B:$B,"GWE")-SUMIFS($Z:$Z,$A:$A,$A93,$B:$B,"GWE"),""))),"")</f>
        <v/>
      </c>
      <c r="AN93" s="11">
        <f>IF(AND(AL93&lt;&gt;"",AM93&lt;&gt;""),AL93*AM93,"")</f>
        <v/>
      </c>
      <c r="AO93" s="13" t="n"/>
      <c r="AP93" s="11">
        <f>IF(AND(AN93&lt;&gt;"",AO93&lt;&gt;""),AN93*AO93,"")</f>
        <v/>
      </c>
      <c r="AQ93" s="11">
        <f>IF(AND(AN93&lt;&gt;"",AP93&lt;&gt;""),AN93+AP93,"")</f>
        <v/>
      </c>
    </row>
    <row r="94">
      <c r="D94" s="8">
        <f>IF(A94="","",VLOOKUP(A94,Lists!$A:$B,2,FALSE))</f>
        <v/>
      </c>
      <c r="E94" s="8">
        <f>IF(C94="","",VLOOKUP(C94,Lists!$C:$D,2,FALSE))</f>
        <v/>
      </c>
      <c r="F94" s="8" t="n"/>
      <c r="G94" s="8" t="n"/>
      <c r="J94" s="9">
        <f>IF(A94="","",IFERROR(VLOOKUP(A94,Lists!$A:$H,8,FALSE),0))</f>
        <v/>
      </c>
      <c r="L94" s="9">
        <f>IF(A94="","",IFERROR(VLOOKUP(A94,Lists!$A:$H,7,FALSE),0))</f>
        <v/>
      </c>
      <c r="M94" s="10" t="n">
        <v>0.21</v>
      </c>
      <c r="N94" s="11">
        <f>L94 * (1 + M94)</f>
        <v/>
      </c>
      <c r="O94" s="11">
        <f>IF(K94="Eigen Beheer",0,IF(AND(ISNUMBER(N94),I94&lt;&gt;"",H94&lt;&gt;""),ROUND((I94-H94)/Lists!$Q$2,2)*N94,0))</f>
        <v/>
      </c>
      <c r="R94" s="12">
        <f>IF(Q94="","",VLOOKUP(Q94,Lists!$E:$F,2,FALSE))</f>
        <v/>
      </c>
      <c r="AD94" s="9" t="n">
        <v>50</v>
      </c>
      <c r="AE94" s="11">
        <f>IF(AB94="","",IF(ISNUMBER(SEARCH("Basis",AB94)),(250/1.21)+MAX(0,AC94-5)*AD94,IF(ISNUMBER(SEARCH("Intensief",AB94)),(375/1.21)+MAX(0,AC94-7)*AD94,AC94*AD94)))</f>
        <v/>
      </c>
      <c r="AF94" s="13" t="n">
        <v>0.21</v>
      </c>
      <c r="AG94" s="11">
        <f>IF(AE94&lt;&gt;"",AE94*AF94,"")</f>
        <v/>
      </c>
      <c r="AH94" s="11">
        <f>IF(AE94&lt;&gt;"",AE94+AG94,"")</f>
        <v/>
      </c>
      <c r="AL94">
        <f>IF($B94="GWE_Item",IF($AI94="Elektra",SUMIFS($W:$W,$A:$A,$A94,$B:$B,"GWE")-SUMIFS($V:$V,$A:$A,$A94,$B:$B,"GWE"),IF($AI94="Gas",SUMIFS($Y:$Y,$A:$A,$A94,$B:$B,"GWE")-SUMIFS($X:$X,$A:$A,$A94,$B:$B,"GWE"),IF($AI94="Water",SUMIFS($AA:$AA,$A:$A,$A94,$B:$B,"GWE")-SUMIFS($Z:$Z,$A:$A,$A94,$B:$B,"GWE"),""))),"")</f>
        <v/>
      </c>
      <c r="AN94" s="11">
        <f>IF(AND(AL94&lt;&gt;"",AM94&lt;&gt;""),AL94*AM94,"")</f>
        <v/>
      </c>
      <c r="AO94" s="13" t="n"/>
      <c r="AP94" s="11">
        <f>IF(AND(AN94&lt;&gt;"",AO94&lt;&gt;""),AN94*AO94,"")</f>
        <v/>
      </c>
      <c r="AQ94" s="11">
        <f>IF(AND(AN94&lt;&gt;"",AP94&lt;&gt;""),AN94+AP94,"")</f>
        <v/>
      </c>
    </row>
    <row r="95">
      <c r="D95" s="8">
        <f>IF(A95="","",VLOOKUP(A95,Lists!$A:$B,2,FALSE))</f>
        <v/>
      </c>
      <c r="E95" s="8">
        <f>IF(C95="","",VLOOKUP(C95,Lists!$C:$D,2,FALSE))</f>
        <v/>
      </c>
      <c r="F95" s="8" t="n"/>
      <c r="G95" s="8" t="n"/>
      <c r="J95" s="9">
        <f>IF(A95="","",IFERROR(VLOOKUP(A95,Lists!$A:$H,8,FALSE),0))</f>
        <v/>
      </c>
      <c r="L95" s="9">
        <f>IF(A95="","",IFERROR(VLOOKUP(A95,Lists!$A:$H,7,FALSE),0))</f>
        <v/>
      </c>
      <c r="M95" s="10" t="n">
        <v>0.21</v>
      </c>
      <c r="N95" s="11">
        <f>L95 * (1 + M95)</f>
        <v/>
      </c>
      <c r="O95" s="11">
        <f>IF(K95="Eigen Beheer",0,IF(AND(ISNUMBER(N95),I95&lt;&gt;"",H95&lt;&gt;""),ROUND((I95-H95)/Lists!$Q$2,2)*N95,0))</f>
        <v/>
      </c>
      <c r="R95" s="12">
        <f>IF(Q95="","",VLOOKUP(Q95,Lists!$E:$F,2,FALSE))</f>
        <v/>
      </c>
      <c r="AD95" s="9" t="n">
        <v>50</v>
      </c>
      <c r="AE95" s="11">
        <f>IF(AB95="","",IF(ISNUMBER(SEARCH("Basis",AB95)),(250/1.21)+MAX(0,AC95-5)*AD95,IF(ISNUMBER(SEARCH("Intensief",AB95)),(375/1.21)+MAX(0,AC95-7)*AD95,AC95*AD95)))</f>
        <v/>
      </c>
      <c r="AF95" s="13" t="n">
        <v>0.21</v>
      </c>
      <c r="AG95" s="11">
        <f>IF(AE95&lt;&gt;"",AE95*AF95,"")</f>
        <v/>
      </c>
      <c r="AH95" s="11">
        <f>IF(AE95&lt;&gt;"",AE95+AG95,"")</f>
        <v/>
      </c>
      <c r="AL95">
        <f>IF($B95="GWE_Item",IF($AI95="Elektra",SUMIFS($W:$W,$A:$A,$A95,$B:$B,"GWE")-SUMIFS($V:$V,$A:$A,$A95,$B:$B,"GWE"),IF($AI95="Gas",SUMIFS($Y:$Y,$A:$A,$A95,$B:$B,"GWE")-SUMIFS($X:$X,$A:$A,$A95,$B:$B,"GWE"),IF($AI95="Water",SUMIFS($AA:$AA,$A:$A,$A95,$B:$B,"GWE")-SUMIFS($Z:$Z,$A:$A,$A95,$B:$B,"GWE"),""))),"")</f>
        <v/>
      </c>
      <c r="AN95" s="11">
        <f>IF(AND(AL95&lt;&gt;"",AM95&lt;&gt;""),AL95*AM95,"")</f>
        <v/>
      </c>
      <c r="AO95" s="13" t="n"/>
      <c r="AP95" s="11">
        <f>IF(AND(AN95&lt;&gt;"",AO95&lt;&gt;""),AN95*AO95,"")</f>
        <v/>
      </c>
      <c r="AQ95" s="11">
        <f>IF(AND(AN95&lt;&gt;"",AP95&lt;&gt;""),AN95+AP95,"")</f>
        <v/>
      </c>
    </row>
    <row r="96">
      <c r="D96" s="8">
        <f>IF(A96="","",VLOOKUP(A96,Lists!$A:$B,2,FALSE))</f>
        <v/>
      </c>
      <c r="E96" s="8">
        <f>IF(C96="","",VLOOKUP(C96,Lists!$C:$D,2,FALSE))</f>
        <v/>
      </c>
      <c r="F96" s="8" t="n"/>
      <c r="G96" s="8" t="n"/>
      <c r="J96" s="9">
        <f>IF(A96="","",IFERROR(VLOOKUP(A96,Lists!$A:$H,8,FALSE),0))</f>
        <v/>
      </c>
      <c r="L96" s="9">
        <f>IF(A96="","",IFERROR(VLOOKUP(A96,Lists!$A:$H,7,FALSE),0))</f>
        <v/>
      </c>
      <c r="M96" s="10" t="n">
        <v>0.21</v>
      </c>
      <c r="N96" s="11">
        <f>L96 * (1 + M96)</f>
        <v/>
      </c>
      <c r="O96" s="11">
        <f>IF(K96="Eigen Beheer",0,IF(AND(ISNUMBER(N96),I96&lt;&gt;"",H96&lt;&gt;""),ROUND((I96-H96)/Lists!$Q$2,2)*N96,0))</f>
        <v/>
      </c>
      <c r="R96" s="12">
        <f>IF(Q96="","",VLOOKUP(Q96,Lists!$E:$F,2,FALSE))</f>
        <v/>
      </c>
      <c r="AD96" s="9" t="n">
        <v>50</v>
      </c>
      <c r="AE96" s="11">
        <f>IF(AB96="","",IF(ISNUMBER(SEARCH("Basis",AB96)),(250/1.21)+MAX(0,AC96-5)*AD96,IF(ISNUMBER(SEARCH("Intensief",AB96)),(375/1.21)+MAX(0,AC96-7)*AD96,AC96*AD96)))</f>
        <v/>
      </c>
      <c r="AF96" s="13" t="n">
        <v>0.21</v>
      </c>
      <c r="AG96" s="11">
        <f>IF(AE96&lt;&gt;"",AE96*AF96,"")</f>
        <v/>
      </c>
      <c r="AH96" s="11">
        <f>IF(AE96&lt;&gt;"",AE96+AG96,"")</f>
        <v/>
      </c>
      <c r="AL96">
        <f>IF($B96="GWE_Item",IF($AI96="Elektra",SUMIFS($W:$W,$A:$A,$A96,$B:$B,"GWE")-SUMIFS($V:$V,$A:$A,$A96,$B:$B,"GWE"),IF($AI96="Gas",SUMIFS($Y:$Y,$A:$A,$A96,$B:$B,"GWE")-SUMIFS($X:$X,$A:$A,$A96,$B:$B,"GWE"),IF($AI96="Water",SUMIFS($AA:$AA,$A:$A,$A96,$B:$B,"GWE")-SUMIFS($Z:$Z,$A:$A,$A96,$B:$B,"GWE"),""))),"")</f>
        <v/>
      </c>
      <c r="AN96" s="11">
        <f>IF(AND(AL96&lt;&gt;"",AM96&lt;&gt;""),AL96*AM96,"")</f>
        <v/>
      </c>
      <c r="AO96" s="13" t="n"/>
      <c r="AP96" s="11">
        <f>IF(AND(AN96&lt;&gt;"",AO96&lt;&gt;""),AN96*AO96,"")</f>
        <v/>
      </c>
      <c r="AQ96" s="11">
        <f>IF(AND(AN96&lt;&gt;"",AP96&lt;&gt;""),AN96+AP96,"")</f>
        <v/>
      </c>
    </row>
    <row r="97">
      <c r="D97" s="8">
        <f>IF(A97="","",VLOOKUP(A97,Lists!$A:$B,2,FALSE))</f>
        <v/>
      </c>
      <c r="E97" s="8">
        <f>IF(C97="","",VLOOKUP(C97,Lists!$C:$D,2,FALSE))</f>
        <v/>
      </c>
      <c r="F97" s="8" t="n"/>
      <c r="G97" s="8" t="n"/>
      <c r="J97" s="9">
        <f>IF(A97="","",IFERROR(VLOOKUP(A97,Lists!$A:$H,8,FALSE),0))</f>
        <v/>
      </c>
      <c r="L97" s="9">
        <f>IF(A97="","",IFERROR(VLOOKUP(A97,Lists!$A:$H,7,FALSE),0))</f>
        <v/>
      </c>
      <c r="M97" s="10" t="n">
        <v>0.21</v>
      </c>
      <c r="N97" s="11">
        <f>L97 * (1 + M97)</f>
        <v/>
      </c>
      <c r="O97" s="11">
        <f>IF(K97="Eigen Beheer",0,IF(AND(ISNUMBER(N97),I97&lt;&gt;"",H97&lt;&gt;""),ROUND((I97-H97)/Lists!$Q$2,2)*N97,0))</f>
        <v/>
      </c>
      <c r="R97" s="12">
        <f>IF(Q97="","",VLOOKUP(Q97,Lists!$E:$F,2,FALSE))</f>
        <v/>
      </c>
      <c r="AD97" s="9" t="n">
        <v>50</v>
      </c>
      <c r="AE97" s="11">
        <f>IF(AB97="","",IF(ISNUMBER(SEARCH("Basis",AB97)),(250/1.21)+MAX(0,AC97-5)*AD97,IF(ISNUMBER(SEARCH("Intensief",AB97)),(375/1.21)+MAX(0,AC97-7)*AD97,AC97*AD97)))</f>
        <v/>
      </c>
      <c r="AF97" s="13" t="n">
        <v>0.21</v>
      </c>
      <c r="AG97" s="11">
        <f>IF(AE97&lt;&gt;"",AE97*AF97,"")</f>
        <v/>
      </c>
      <c r="AH97" s="11">
        <f>IF(AE97&lt;&gt;"",AE97+AG97,"")</f>
        <v/>
      </c>
      <c r="AL97">
        <f>IF($B97="GWE_Item",IF($AI97="Elektra",SUMIFS($W:$W,$A:$A,$A97,$B:$B,"GWE")-SUMIFS($V:$V,$A:$A,$A97,$B:$B,"GWE"),IF($AI97="Gas",SUMIFS($Y:$Y,$A:$A,$A97,$B:$B,"GWE")-SUMIFS($X:$X,$A:$A,$A97,$B:$B,"GWE"),IF($AI97="Water",SUMIFS($AA:$AA,$A:$A,$A97,$B:$B,"GWE")-SUMIFS($Z:$Z,$A:$A,$A97,$B:$B,"GWE"),""))),"")</f>
        <v/>
      </c>
      <c r="AN97" s="11">
        <f>IF(AND(AL97&lt;&gt;"",AM97&lt;&gt;""),AL97*AM97,"")</f>
        <v/>
      </c>
      <c r="AO97" s="13" t="n"/>
      <c r="AP97" s="11">
        <f>IF(AND(AN97&lt;&gt;"",AO97&lt;&gt;""),AN97*AO97,"")</f>
        <v/>
      </c>
      <c r="AQ97" s="11">
        <f>IF(AND(AN97&lt;&gt;"",AP97&lt;&gt;""),AN97+AP97,"")</f>
        <v/>
      </c>
    </row>
    <row r="98">
      <c r="D98" s="8">
        <f>IF(A98="","",VLOOKUP(A98,Lists!$A:$B,2,FALSE))</f>
        <v/>
      </c>
      <c r="E98" s="8">
        <f>IF(C98="","",VLOOKUP(C98,Lists!$C:$D,2,FALSE))</f>
        <v/>
      </c>
      <c r="F98" s="8" t="n"/>
      <c r="G98" s="8" t="n"/>
      <c r="J98" s="9">
        <f>IF(A98="","",IFERROR(VLOOKUP(A98,Lists!$A:$H,8,FALSE),0))</f>
        <v/>
      </c>
      <c r="L98" s="9">
        <f>IF(A98="","",IFERROR(VLOOKUP(A98,Lists!$A:$H,7,FALSE),0))</f>
        <v/>
      </c>
      <c r="M98" s="10" t="n">
        <v>0.21</v>
      </c>
      <c r="N98" s="11">
        <f>L98 * (1 + M98)</f>
        <v/>
      </c>
      <c r="O98" s="11">
        <f>IF(K98="Eigen Beheer",0,IF(AND(ISNUMBER(N98),I98&lt;&gt;"",H98&lt;&gt;""),ROUND((I98-H98)/Lists!$Q$2,2)*N98,0))</f>
        <v/>
      </c>
      <c r="R98" s="12">
        <f>IF(Q98="","",VLOOKUP(Q98,Lists!$E:$F,2,FALSE))</f>
        <v/>
      </c>
      <c r="AD98" s="9" t="n">
        <v>50</v>
      </c>
      <c r="AE98" s="11">
        <f>IF(AB98="","",IF(ISNUMBER(SEARCH("Basis",AB98)),(250/1.21)+MAX(0,AC98-5)*AD98,IF(ISNUMBER(SEARCH("Intensief",AB98)),(375/1.21)+MAX(0,AC98-7)*AD98,AC98*AD98)))</f>
        <v/>
      </c>
      <c r="AF98" s="13" t="n">
        <v>0.21</v>
      </c>
      <c r="AG98" s="11">
        <f>IF(AE98&lt;&gt;"",AE98*AF98,"")</f>
        <v/>
      </c>
      <c r="AH98" s="11">
        <f>IF(AE98&lt;&gt;"",AE98+AG98,"")</f>
        <v/>
      </c>
      <c r="AL98">
        <f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>
        <f>IF(AND(AL98&lt;&gt;"",AM98&lt;&gt;""),AL98*AM98,"")</f>
        <v/>
      </c>
      <c r="AO98" s="13" t="n"/>
      <c r="AP98" s="11">
        <f>IF(AND(AN98&lt;&gt;"",AO98&lt;&gt;""),AN98*AO98,"")</f>
        <v/>
      </c>
      <c r="AQ98" s="11">
        <f>IF(AND(AN98&lt;&gt;"",AP98&lt;&gt;""),AN98+AP98,"")</f>
        <v/>
      </c>
    </row>
    <row r="99">
      <c r="D99" s="8">
        <f>IF(A99="","",VLOOKUP(A99,Lists!$A:$B,2,FALSE))</f>
        <v/>
      </c>
      <c r="E99" s="8">
        <f>IF(C99="","",VLOOKUP(C99,Lists!$C:$D,2,FALSE))</f>
        <v/>
      </c>
      <c r="F99" s="8" t="n"/>
      <c r="G99" s="8" t="n"/>
      <c r="J99" s="9">
        <f>IF(A99="","",IFERROR(VLOOKUP(A99,Lists!$A:$H,8,FALSE),0))</f>
        <v/>
      </c>
      <c r="L99" s="9">
        <f>IF(A99="","",IFERROR(VLOOKUP(A99,Lists!$A:$H,7,FALSE),0))</f>
        <v/>
      </c>
      <c r="M99" s="10" t="n">
        <v>0.21</v>
      </c>
      <c r="N99" s="11">
        <f>L99 * (1 + M99)</f>
        <v/>
      </c>
      <c r="O99" s="11">
        <f>IF(K99="Eigen Beheer",0,IF(AND(ISNUMBER(N99),I99&lt;&gt;"",H99&lt;&gt;""),ROUND((I99-H99)/Lists!$Q$2,2)*N99,0))</f>
        <v/>
      </c>
      <c r="R99" s="12">
        <f>IF(Q99="","",VLOOKUP(Q99,Lists!$E:$F,2,FALSE))</f>
        <v/>
      </c>
      <c r="AD99" s="9" t="n">
        <v>50</v>
      </c>
      <c r="AE99" s="11">
        <f>IF(AB99="","",IF(ISNUMBER(SEARCH("Basis",AB99)),(250/1.21)+MAX(0,AC99-5)*AD99,IF(ISNUMBER(SEARCH("Intensief",AB99)),(375/1.21)+MAX(0,AC99-7)*AD99,AC99*AD99)))</f>
        <v/>
      </c>
      <c r="AF99" s="13" t="n">
        <v>0.21</v>
      </c>
      <c r="AG99" s="11">
        <f>IF(AE99&lt;&gt;"",AE99*AF99,"")</f>
        <v/>
      </c>
      <c r="AH99" s="11">
        <f>IF(AE99&lt;&gt;"",AE99+AG99,"")</f>
        <v/>
      </c>
      <c r="AL99">
        <f>IF($B99="GWE_Item",IF($AI99="Elektra",SUMIFS($W:$W,$A:$A,$A99,$B:$B,"GWE")-SUMIFS($V:$V,$A:$A,$A99,$B:$B,"GWE"),IF($AI99="Gas",SUMIFS($Y:$Y,$A:$A,$A99,$B:$B,"GWE")-SUMIFS($X:$X,$A:$A,$A99,$B:$B,"GWE"),IF($AI99="Water",SUMIFS($AA:$AA,$A:$A,$A99,$B:$B,"GWE")-SUMIFS($Z:$Z,$A:$A,$A99,$B:$B,"GWE"),""))),"")</f>
        <v/>
      </c>
      <c r="AN99" s="11">
        <f>IF(AND(AL99&lt;&gt;"",AM99&lt;&gt;""),AL99*AM99,"")</f>
        <v/>
      </c>
      <c r="AO99" s="13" t="n"/>
      <c r="AP99" s="11">
        <f>IF(AND(AN99&lt;&gt;"",AO99&lt;&gt;""),AN99*AO99,"")</f>
        <v/>
      </c>
      <c r="AQ99" s="11">
        <f>IF(AND(AN99&lt;&gt;"",AP99&lt;&gt;""),AN99+AP99,"")</f>
        <v/>
      </c>
    </row>
    <row r="100">
      <c r="D100" s="8">
        <f>IF(A100="","",VLOOKUP(A100,Lists!$A:$B,2,FALSE))</f>
        <v/>
      </c>
      <c r="E100" s="8">
        <f>IF(C100="","",VLOOKUP(C100,Lists!$C:$D,2,FALSE))</f>
        <v/>
      </c>
      <c r="F100" s="8" t="n"/>
      <c r="G100" s="8" t="n"/>
      <c r="J100" s="9">
        <f>IF(A100="","",IFERROR(VLOOKUP(A100,Lists!$A:$H,8,FALSE),0))</f>
        <v/>
      </c>
      <c r="L100" s="9">
        <f>IF(A100="","",IFERROR(VLOOKUP(A100,Lists!$A:$H,7,FALSE),0))</f>
        <v/>
      </c>
      <c r="M100" s="10" t="n">
        <v>0.21</v>
      </c>
      <c r="N100" s="11">
        <f>L100 * (1 + M100)</f>
        <v/>
      </c>
      <c r="O100" s="11">
        <f>IF(K100="Eigen Beheer",0,IF(AND(ISNUMBER(N100),I100&lt;&gt;"",H100&lt;&gt;""),ROUND((I100-H100)/Lists!$Q$2,2)*N100,0))</f>
        <v/>
      </c>
      <c r="R100" s="12">
        <f>IF(Q100="","",VLOOKUP(Q100,Lists!$E:$F,2,FALSE))</f>
        <v/>
      </c>
      <c r="AD100" s="9" t="n">
        <v>50</v>
      </c>
      <c r="AE100" s="11">
        <f>IF(AB100="","",IF(ISNUMBER(SEARCH("Basis",AB100)),(250/1.21)+MAX(0,AC100-5)*AD100,IF(ISNUMBER(SEARCH("Intensief",AB100)),(375/1.21)+MAX(0,AC100-7)*AD100,AC100*AD100)))</f>
        <v/>
      </c>
      <c r="AF100" s="13" t="n">
        <v>0.21</v>
      </c>
      <c r="AG100" s="11">
        <f>IF(AE100&lt;&gt;"",AE100*AF100,"")</f>
        <v/>
      </c>
      <c r="AH100" s="11">
        <f>IF(AE100&lt;&gt;"",AE100+AG100,"")</f>
        <v/>
      </c>
      <c r="AL100">
        <f>IF($B100="GWE_Item",IF($AI100="Elektra",SUMIFS($W:$W,$A:$A,$A100,$B:$B,"GWE")-SUMIFS($V:$V,$A:$A,$A100,$B:$B,"GWE"),IF($AI100="Gas",SUMIFS($Y:$Y,$A:$A,$A100,$B:$B,"GWE")-SUMIFS($X:$X,$A:$A,$A100,$B:$B,"GWE"),IF($AI100="Water",SUMIFS($AA:$AA,$A:$A,$A100,$B:$B,"GWE")-SUMIFS($Z:$Z,$A:$A,$A100,$B:$B,"GWE"),""))),"")</f>
        <v/>
      </c>
      <c r="AN100" s="11">
        <f>IF(AND(AL100&lt;&gt;"",AM100&lt;&gt;""),AL100*AM100,"")</f>
        <v/>
      </c>
      <c r="AO100" s="13" t="n"/>
      <c r="AP100" s="11">
        <f>IF(AND(AN100&lt;&gt;"",AO100&lt;&gt;""),AN100*AO100,"")</f>
        <v/>
      </c>
      <c r="AQ100" s="11">
        <f>IF(AND(AN100&lt;&gt;"",AP100&lt;&gt;""),AN100+AP100,"")</f>
        <v/>
      </c>
    </row>
    <row r="101">
      <c r="D101" s="8">
        <f>IF(A101="","",VLOOKUP(A101,Lists!$A:$B,2,FALSE))</f>
        <v/>
      </c>
      <c r="E101" s="8">
        <f>IF(C101="","",VLOOKUP(C101,Lists!$C:$D,2,FALSE))</f>
        <v/>
      </c>
      <c r="F101" s="8" t="n"/>
      <c r="G101" s="8" t="n"/>
      <c r="J101" s="9">
        <f>IF(A101="","",IFERROR(VLOOKUP(A101,Lists!$A:$H,8,FALSE),0))</f>
        <v/>
      </c>
      <c r="L101" s="9">
        <f>IF(A101="","",IFERROR(VLOOKUP(A101,Lists!$A:$H,7,FALSE),0))</f>
        <v/>
      </c>
      <c r="M101" s="10" t="n">
        <v>0.21</v>
      </c>
      <c r="N101" s="11">
        <f>L101 * (1 + M101)</f>
        <v/>
      </c>
      <c r="O101" s="11">
        <f>IF(K101="Eigen Beheer",0,IF(AND(ISNUMBER(N101),I101&lt;&gt;"",H101&lt;&gt;""),ROUND((I101-H101)/Lists!$Q$2,2)*N101,0))</f>
        <v/>
      </c>
      <c r="R101" s="12">
        <f>IF(Q101="","",VLOOKUP(Q101,Lists!$E:$F,2,FALSE))</f>
        <v/>
      </c>
      <c r="AD101" s="9" t="n">
        <v>50</v>
      </c>
      <c r="AE101" s="11">
        <f>IF(AB101="","",IF(ISNUMBER(SEARCH("Basis",AB101)),(250/1.21)+MAX(0,AC101-5)*AD101,IF(ISNUMBER(SEARCH("Intensief",AB101)),(375/1.21)+MAX(0,AC101-7)*AD101,AC101*AD101)))</f>
        <v/>
      </c>
      <c r="AF101" s="13" t="n">
        <v>0.21</v>
      </c>
      <c r="AG101" s="11">
        <f>IF(AE101&lt;&gt;"",AE101*AF101,"")</f>
        <v/>
      </c>
      <c r="AH101" s="11">
        <f>IF(AE101&lt;&gt;"",AE101+AG101,"")</f>
        <v/>
      </c>
      <c r="AL101">
        <f>IF($B101="GWE_Item",IF($AI101="Elektra",SUMIFS($W:$W,$A:$A,$A101,$B:$B,"GWE")-SUMIFS($V:$V,$A:$A,$A101,$B:$B,"GWE"),IF($AI101="Gas",SUMIFS($Y:$Y,$A:$A,$A101,$B:$B,"GWE")-SUMIFS($X:$X,$A:$A,$A101,$B:$B,"GWE"),IF($AI101="Water",SUMIFS($AA:$AA,$A:$A,$A101,$B:$B,"GWE")-SUMIFS($Z:$Z,$A:$A,$A101,$B:$B,"GWE"),""))),"")</f>
        <v/>
      </c>
      <c r="AN101" s="11">
        <f>IF(AND(AL101&lt;&gt;"",AM101&lt;&gt;""),AL101*AM101,"")</f>
        <v/>
      </c>
      <c r="AO101" s="13" t="n"/>
      <c r="AP101" s="11">
        <f>IF(AND(AN101&lt;&gt;"",AO101&lt;&gt;""),AN101*AO101,"")</f>
        <v/>
      </c>
      <c r="AQ101" s="11">
        <f>IF(AND(AN101&lt;&gt;"",AP101&lt;&gt;""),AN101+AP101,"")</f>
        <v/>
      </c>
    </row>
    <row r="102">
      <c r="D102" s="8">
        <f>IF(A102="","",VLOOKUP(A102,Lists!$A:$B,2,FALSE))</f>
        <v/>
      </c>
      <c r="E102" s="8">
        <f>IF(C102="","",VLOOKUP(C102,Lists!$C:$D,2,FALSE))</f>
        <v/>
      </c>
      <c r="F102" s="8" t="n"/>
      <c r="G102" s="8" t="n"/>
      <c r="J102" s="9">
        <f>IF(A102="","",IFERROR(VLOOKUP(A102,Lists!$A:$H,8,FALSE),0))</f>
        <v/>
      </c>
      <c r="L102" s="9">
        <f>IF(A102="","",IFERROR(VLOOKUP(A102,Lists!$A:$H,7,FALSE),0))</f>
        <v/>
      </c>
      <c r="M102" s="10" t="n">
        <v>0.21</v>
      </c>
      <c r="N102" s="11">
        <f>L102 * (1 + M102)</f>
        <v/>
      </c>
      <c r="O102" s="11">
        <f>IF(K102="Eigen Beheer",0,IF(AND(ISNUMBER(N102),I102&lt;&gt;"",H102&lt;&gt;""),ROUND((I102-H102)/Lists!$Q$2,2)*N102,0))</f>
        <v/>
      </c>
      <c r="R102" s="12">
        <f>IF(Q102="","",VLOOKUP(Q102,Lists!$E:$F,2,FALSE))</f>
        <v/>
      </c>
      <c r="AD102" s="9" t="n">
        <v>50</v>
      </c>
      <c r="AE102" s="11">
        <f>IF(AB102="","",IF(ISNUMBER(SEARCH("Basis",AB102)),(250/1.21)+MAX(0,AC102-5)*AD102,IF(ISNUMBER(SEARCH("Intensief",AB102)),(375/1.21)+MAX(0,AC102-7)*AD102,AC102*AD102)))</f>
        <v/>
      </c>
      <c r="AF102" s="13" t="n">
        <v>0.21</v>
      </c>
      <c r="AG102" s="11">
        <f>IF(AE102&lt;&gt;"",AE102*AF102,"")</f>
        <v/>
      </c>
      <c r="AH102" s="11">
        <f>IF(AE102&lt;&gt;"",AE102+AG102,"")</f>
        <v/>
      </c>
      <c r="AL102">
        <f>IF($B102="GWE_Item",IF($AI102="Elektra",SUMIFS($W:$W,$A:$A,$A102,$B:$B,"GWE")-SUMIFS($V:$V,$A:$A,$A102,$B:$B,"GWE"),IF($AI102="Gas",SUMIFS($Y:$Y,$A:$A,$A102,$B:$B,"GWE")-SUMIFS($X:$X,$A:$A,$A102,$B:$B,"GWE"),IF($AI102="Water",SUMIFS($AA:$AA,$A:$A,$A102,$B:$B,"GWE")-SUMIFS($Z:$Z,$A:$A,$A102,$B:$B,"GWE"),""))),"")</f>
        <v/>
      </c>
      <c r="AN102" s="11">
        <f>IF(AND(AL102&lt;&gt;"",AM102&lt;&gt;""),AL102*AM102,"")</f>
        <v/>
      </c>
      <c r="AO102" s="13" t="n"/>
      <c r="AP102" s="11">
        <f>IF(AND(AN102&lt;&gt;"",AO102&lt;&gt;""),AN102*AO102,"")</f>
        <v/>
      </c>
      <c r="AQ102" s="11">
        <f>IF(AND(AN102&lt;&gt;"",AP102&lt;&gt;""),AN102+AP102,"")</f>
        <v/>
      </c>
    </row>
    <row r="103">
      <c r="D103" s="8">
        <f>IF(A103="","",VLOOKUP(A103,Lists!$A:$B,2,FALSE))</f>
        <v/>
      </c>
      <c r="E103" s="8">
        <f>IF(C103="","",VLOOKUP(C103,Lists!$C:$D,2,FALSE))</f>
        <v/>
      </c>
      <c r="F103" s="8" t="n"/>
      <c r="G103" s="8" t="n"/>
      <c r="J103" s="9">
        <f>IF(A103="","",IFERROR(VLOOKUP(A103,Lists!$A:$H,8,FALSE),0))</f>
        <v/>
      </c>
      <c r="L103" s="9">
        <f>IF(A103="","",IFERROR(VLOOKUP(A103,Lists!$A:$H,7,FALSE),0))</f>
        <v/>
      </c>
      <c r="M103" s="10" t="n">
        <v>0.21</v>
      </c>
      <c r="N103" s="11">
        <f>L103 * (1 + M103)</f>
        <v/>
      </c>
      <c r="O103" s="11">
        <f>IF(K103="Eigen Beheer",0,IF(AND(ISNUMBER(N103),I103&lt;&gt;"",H103&lt;&gt;""),ROUND((I103-H103)/Lists!$Q$2,2)*N103,0))</f>
        <v/>
      </c>
      <c r="R103" s="12">
        <f>IF(Q103="","",VLOOKUP(Q103,Lists!$E:$F,2,FALSE))</f>
        <v/>
      </c>
      <c r="AD103" s="9" t="n">
        <v>50</v>
      </c>
      <c r="AE103" s="11">
        <f>IF(AB103="","",IF(ISNUMBER(SEARCH("Basis",AB103)),(250/1.21)+MAX(0,AC103-5)*AD103,IF(ISNUMBER(SEARCH("Intensief",AB103)),(375/1.21)+MAX(0,AC103-7)*AD103,AC103*AD103)))</f>
        <v/>
      </c>
      <c r="AF103" s="13" t="n">
        <v>0.21</v>
      </c>
      <c r="AG103" s="11">
        <f>IF(AE103&lt;&gt;"",AE103*AF103,"")</f>
        <v/>
      </c>
      <c r="AH103" s="11">
        <f>IF(AE103&lt;&gt;"",AE103+AG103,"")</f>
        <v/>
      </c>
      <c r="AL103">
        <f>IF($B103="GWE_Item",IF($AI103="Elektra",SUMIFS($W:$W,$A:$A,$A103,$B:$B,"GWE")-SUMIFS($V:$V,$A:$A,$A103,$B:$B,"GWE"),IF($AI103="Gas",SUMIFS($Y:$Y,$A:$A,$A103,$B:$B,"GWE")-SUMIFS($X:$X,$A:$A,$A103,$B:$B,"GWE"),IF($AI103="Water",SUMIFS($AA:$AA,$A:$A,$A103,$B:$B,"GWE")-SUMIFS($Z:$Z,$A:$A,$A103,$B:$B,"GWE"),""))),"")</f>
        <v/>
      </c>
      <c r="AN103" s="11">
        <f>IF(AND(AL103&lt;&gt;"",AM103&lt;&gt;""),AL103*AM103,"")</f>
        <v/>
      </c>
      <c r="AO103" s="13" t="n"/>
      <c r="AP103" s="11">
        <f>IF(AND(AN103&lt;&gt;"",AO103&lt;&gt;""),AN103*AO103,"")</f>
        <v/>
      </c>
      <c r="AQ103" s="11">
        <f>IF(AND(AN103&lt;&gt;"",AP103&lt;&gt;""),AN103+AP103,"")</f>
        <v/>
      </c>
    </row>
    <row r="104">
      <c r="D104" s="8">
        <f>IF(A104="","",VLOOKUP(A104,Lists!$A:$B,2,FALSE))</f>
        <v/>
      </c>
      <c r="E104" s="8">
        <f>IF(C104="","",VLOOKUP(C104,Lists!$C:$D,2,FALSE))</f>
        <v/>
      </c>
      <c r="F104" s="8" t="n"/>
      <c r="G104" s="8" t="n"/>
      <c r="J104" s="9">
        <f>IF(A104="","",IFERROR(VLOOKUP(A104,Lists!$A:$H,8,FALSE),0))</f>
        <v/>
      </c>
      <c r="L104" s="9">
        <f>IF(A104="","",IFERROR(VLOOKUP(A104,Lists!$A:$H,7,FALSE),0))</f>
        <v/>
      </c>
      <c r="M104" s="10" t="n">
        <v>0.21</v>
      </c>
      <c r="N104" s="11">
        <f>L104 * (1 + M104)</f>
        <v/>
      </c>
      <c r="O104" s="11">
        <f>IF(K104="Eigen Beheer",0,IF(AND(ISNUMBER(N104),I104&lt;&gt;"",H104&lt;&gt;""),ROUND((I104-H104)/Lists!$Q$2,2)*N104,0))</f>
        <v/>
      </c>
      <c r="R104" s="12">
        <f>IF(Q104="","",VLOOKUP(Q104,Lists!$E:$F,2,FALSE))</f>
        <v/>
      </c>
      <c r="AD104" s="9" t="n">
        <v>50</v>
      </c>
      <c r="AE104" s="11">
        <f>IF(AB104="","",IF(ISNUMBER(SEARCH("Basis",AB104)),(250/1.21)+MAX(0,AC104-5)*AD104,IF(ISNUMBER(SEARCH("Intensief",AB104)),(375/1.21)+MAX(0,AC104-7)*AD104,AC104*AD104)))</f>
        <v/>
      </c>
      <c r="AF104" s="13" t="n">
        <v>0.21</v>
      </c>
      <c r="AG104" s="11">
        <f>IF(AE104&lt;&gt;"",AE104*AF104,"")</f>
        <v/>
      </c>
      <c r="AH104" s="11">
        <f>IF(AE104&lt;&gt;"",AE104+AG104,"")</f>
        <v/>
      </c>
      <c r="AL104">
        <f>IF($B104="GWE_Item",IF($AI104="Elektra",SUMIFS($W:$W,$A:$A,$A104,$B:$B,"GWE")-SUMIFS($V:$V,$A:$A,$A104,$B:$B,"GWE"),IF($AI104="Gas",SUMIFS($Y:$Y,$A:$A,$A104,$B:$B,"GWE")-SUMIFS($X:$X,$A:$A,$A104,$B:$B,"GWE"),IF($AI104="Water",SUMIFS($AA:$AA,$A:$A,$A104,$B:$B,"GWE")-SUMIFS($Z:$Z,$A:$A,$A104,$B:$B,"GWE"),""))),"")</f>
        <v/>
      </c>
      <c r="AN104" s="11">
        <f>IF(AND(AL104&lt;&gt;"",AM104&lt;&gt;""),AL104*AM104,"")</f>
        <v/>
      </c>
      <c r="AO104" s="13" t="n"/>
      <c r="AP104" s="11">
        <f>IF(AND(AN104&lt;&gt;"",AO104&lt;&gt;""),AN104*AO104,"")</f>
        <v/>
      </c>
      <c r="AQ104" s="11">
        <f>IF(AND(AN104&lt;&gt;"",AP104&lt;&gt;""),AN104+AP104,"")</f>
        <v/>
      </c>
    </row>
    <row r="105">
      <c r="D105" s="8">
        <f>IF(A105="","",VLOOKUP(A105,Lists!$A:$B,2,FALSE))</f>
        <v/>
      </c>
      <c r="E105" s="8">
        <f>IF(C105="","",VLOOKUP(C105,Lists!$C:$D,2,FALSE))</f>
        <v/>
      </c>
      <c r="F105" s="8" t="n"/>
      <c r="G105" s="8" t="n"/>
      <c r="J105" s="9">
        <f>IF(A105="","",IFERROR(VLOOKUP(A105,Lists!$A:$H,8,FALSE),0))</f>
        <v/>
      </c>
      <c r="L105" s="9">
        <f>IF(A105="","",IFERROR(VLOOKUP(A105,Lists!$A:$H,7,FALSE),0))</f>
        <v/>
      </c>
      <c r="M105" s="10" t="n">
        <v>0.21</v>
      </c>
      <c r="N105" s="11">
        <f>L105 * (1 + M105)</f>
        <v/>
      </c>
      <c r="O105" s="11">
        <f>IF(K105="Eigen Beheer",0,IF(AND(ISNUMBER(N105),I105&lt;&gt;"",H105&lt;&gt;""),ROUND((I105-H105)/Lists!$Q$2,2)*N105,0))</f>
        <v/>
      </c>
      <c r="R105" s="12">
        <f>IF(Q105="","",VLOOKUP(Q105,Lists!$E:$F,2,FALSE))</f>
        <v/>
      </c>
      <c r="AD105" s="9" t="n">
        <v>50</v>
      </c>
      <c r="AE105" s="11">
        <f>IF(AB105="","",IF(ISNUMBER(SEARCH("Basis",AB105)),(250/1.21)+MAX(0,AC105-5)*AD105,IF(ISNUMBER(SEARCH("Intensief",AB105)),(375/1.21)+MAX(0,AC105-7)*AD105,AC105*AD105)))</f>
        <v/>
      </c>
      <c r="AF105" s="13" t="n">
        <v>0.21</v>
      </c>
      <c r="AG105" s="11">
        <f>IF(AE105&lt;&gt;"",AE105*AF105,"")</f>
        <v/>
      </c>
      <c r="AH105" s="11">
        <f>IF(AE105&lt;&gt;"",AE105+AG105,"")</f>
        <v/>
      </c>
      <c r="AL105">
        <f>IF($B105="GWE_Item",IF($AI105="Elektra",SUMIFS($W:$W,$A:$A,$A105,$B:$B,"GWE")-SUMIFS($V:$V,$A:$A,$A105,$B:$B,"GWE"),IF($AI105="Gas",SUMIFS($Y:$Y,$A:$A,$A105,$B:$B,"GWE")-SUMIFS($X:$X,$A:$A,$A105,$B:$B,"GWE"),IF($AI105="Water",SUMIFS($AA:$AA,$A:$A,$A105,$B:$B,"GWE")-SUMIFS($Z:$Z,$A:$A,$A105,$B:$B,"GWE"),""))),"")</f>
        <v/>
      </c>
      <c r="AN105" s="11">
        <f>IF(AND(AL105&lt;&gt;"",AM105&lt;&gt;""),AL105*AM105,"")</f>
        <v/>
      </c>
      <c r="AO105" s="13" t="n"/>
      <c r="AP105" s="11">
        <f>IF(AND(AN105&lt;&gt;"",AO105&lt;&gt;""),AN105*AO105,"")</f>
        <v/>
      </c>
      <c r="AQ105" s="11">
        <f>IF(AND(AN105&lt;&gt;"",AP105&lt;&gt;""),AN105+AP105,"")</f>
        <v/>
      </c>
    </row>
    <row r="106">
      <c r="D106" s="8">
        <f>IF(A106="","",VLOOKUP(A106,Lists!$A:$B,2,FALSE))</f>
        <v/>
      </c>
      <c r="E106" s="8">
        <f>IF(C106="","",VLOOKUP(C106,Lists!$C:$D,2,FALSE))</f>
        <v/>
      </c>
      <c r="F106" s="8" t="n"/>
      <c r="G106" s="8" t="n"/>
      <c r="J106" s="9">
        <f>IF(A106="","",IFERROR(VLOOKUP(A106,Lists!$A:$H,8,FALSE),0))</f>
        <v/>
      </c>
      <c r="L106" s="9">
        <f>IF(A106="","",IFERROR(VLOOKUP(A106,Lists!$A:$H,7,FALSE),0))</f>
        <v/>
      </c>
      <c r="M106" s="10" t="n">
        <v>0.21</v>
      </c>
      <c r="N106" s="11">
        <f>L106 * (1 + M106)</f>
        <v/>
      </c>
      <c r="O106" s="11">
        <f>IF(K106="Eigen Beheer",0,IF(AND(ISNUMBER(N106),I106&lt;&gt;"",H106&lt;&gt;""),ROUND((I106-H106)/Lists!$Q$2,2)*N106,0))</f>
        <v/>
      </c>
      <c r="R106" s="12">
        <f>IF(Q106="","",VLOOKUP(Q106,Lists!$E:$F,2,FALSE))</f>
        <v/>
      </c>
      <c r="AD106" s="9" t="n">
        <v>50</v>
      </c>
      <c r="AE106" s="11">
        <f>IF(AB106="","",IF(ISNUMBER(SEARCH("Basis",AB106)),(250/1.21)+MAX(0,AC106-5)*AD106,IF(ISNUMBER(SEARCH("Intensief",AB106)),(375/1.21)+MAX(0,AC106-7)*AD106,AC106*AD106)))</f>
        <v/>
      </c>
      <c r="AF106" s="13" t="n">
        <v>0.21</v>
      </c>
      <c r="AG106" s="11">
        <f>IF(AE106&lt;&gt;"",AE106*AF106,"")</f>
        <v/>
      </c>
      <c r="AH106" s="11">
        <f>IF(AE106&lt;&gt;"",AE106+AG106,"")</f>
        <v/>
      </c>
      <c r="AL106">
        <f>IF($B106="GWE_Item",IF($AI106="Elektra",SUMIFS($W:$W,$A:$A,$A106,$B:$B,"GWE")-SUMIFS($V:$V,$A:$A,$A106,$B:$B,"GWE"),IF($AI106="Gas",SUMIFS($Y:$Y,$A:$A,$A106,$B:$B,"GWE")-SUMIFS($X:$X,$A:$A,$A106,$B:$B,"GWE"),IF($AI106="Water",SUMIFS($AA:$AA,$A:$A,$A106,$B:$B,"GWE")-SUMIFS($Z:$Z,$A:$A,$A106,$B:$B,"GWE"),""))),"")</f>
        <v/>
      </c>
      <c r="AN106" s="11">
        <f>IF(AND(AL106&lt;&gt;"",AM106&lt;&gt;""),AL106*AM106,"")</f>
        <v/>
      </c>
      <c r="AO106" s="13" t="n"/>
      <c r="AP106" s="11">
        <f>IF(AND(AN106&lt;&gt;"",AO106&lt;&gt;""),AN106*AO106,"")</f>
        <v/>
      </c>
      <c r="AQ106" s="11">
        <f>IF(AND(AN106&lt;&gt;"",AP106&lt;&gt;""),AN106+AP106,"")</f>
        <v/>
      </c>
    </row>
    <row r="107">
      <c r="D107" s="8">
        <f>IF(A107="","",VLOOKUP(A107,Lists!$A:$B,2,FALSE))</f>
        <v/>
      </c>
      <c r="E107" s="8">
        <f>IF(C107="","",VLOOKUP(C107,Lists!$C:$D,2,FALSE))</f>
        <v/>
      </c>
      <c r="F107" s="8" t="n"/>
      <c r="G107" s="8" t="n"/>
      <c r="J107" s="9">
        <f>IF(A107="","",IFERROR(VLOOKUP(A107,Lists!$A:$H,8,FALSE),0))</f>
        <v/>
      </c>
      <c r="L107" s="9">
        <f>IF(A107="","",IFERROR(VLOOKUP(A107,Lists!$A:$H,7,FALSE),0))</f>
        <v/>
      </c>
      <c r="M107" s="10" t="n">
        <v>0.21</v>
      </c>
      <c r="N107" s="11">
        <f>L107 * (1 + M107)</f>
        <v/>
      </c>
      <c r="O107" s="11">
        <f>IF(K107="Eigen Beheer",0,IF(AND(ISNUMBER(N107),I107&lt;&gt;"",H107&lt;&gt;""),ROUND((I107-H107)/Lists!$Q$2,2)*N107,0))</f>
        <v/>
      </c>
      <c r="R107" s="12">
        <f>IF(Q107="","",VLOOKUP(Q107,Lists!$E:$F,2,FALSE))</f>
        <v/>
      </c>
      <c r="AD107" s="9" t="n">
        <v>50</v>
      </c>
      <c r="AE107" s="11">
        <f>IF(AB107="","",IF(ISNUMBER(SEARCH("Basis",AB107)),(250/1.21)+MAX(0,AC107-5)*AD107,IF(ISNUMBER(SEARCH("Intensief",AB107)),(375/1.21)+MAX(0,AC107-7)*AD107,AC107*AD107)))</f>
        <v/>
      </c>
      <c r="AF107" s="13" t="n">
        <v>0.21</v>
      </c>
      <c r="AG107" s="11">
        <f>IF(AE107&lt;&gt;"",AE107*AF107,"")</f>
        <v/>
      </c>
      <c r="AH107" s="11">
        <f>IF(AE107&lt;&gt;"",AE107+AG107,"")</f>
        <v/>
      </c>
      <c r="AL107">
        <f>IF($B107="GWE_Item",IF($AI107="Elektra",SUMIFS($W:$W,$A:$A,$A107,$B:$B,"GWE")-SUMIFS($V:$V,$A:$A,$A107,$B:$B,"GWE"),IF($AI107="Gas",SUMIFS($Y:$Y,$A:$A,$A107,$B:$B,"GWE")-SUMIFS($X:$X,$A:$A,$A107,$B:$B,"GWE"),IF($AI107="Water",SUMIFS($AA:$AA,$A:$A,$A107,$B:$B,"GWE")-SUMIFS($Z:$Z,$A:$A,$A107,$B:$B,"GWE"),""))),"")</f>
        <v/>
      </c>
      <c r="AN107" s="11">
        <f>IF(AND(AL107&lt;&gt;"",AM107&lt;&gt;""),AL107*AM107,"")</f>
        <v/>
      </c>
      <c r="AO107" s="13" t="n"/>
      <c r="AP107" s="11">
        <f>IF(AND(AN107&lt;&gt;"",AO107&lt;&gt;""),AN107*AO107,"")</f>
        <v/>
      </c>
      <c r="AQ107" s="11">
        <f>IF(AND(AN107&lt;&gt;"",AP107&lt;&gt;""),AN107+AP107,"")</f>
        <v/>
      </c>
    </row>
    <row r="108">
      <c r="D108" s="8">
        <f>IF(A108="","",VLOOKUP(A108,Lists!$A:$B,2,FALSE))</f>
        <v/>
      </c>
      <c r="E108" s="8">
        <f>IF(C108="","",VLOOKUP(C108,Lists!$C:$D,2,FALSE))</f>
        <v/>
      </c>
      <c r="F108" s="8" t="n"/>
      <c r="G108" s="8" t="n"/>
      <c r="J108" s="9">
        <f>IF(A108="","",IFERROR(VLOOKUP(A108,Lists!$A:$H,8,FALSE),0))</f>
        <v/>
      </c>
      <c r="L108" s="9">
        <f>IF(A108="","",IFERROR(VLOOKUP(A108,Lists!$A:$H,7,FALSE),0))</f>
        <v/>
      </c>
      <c r="M108" s="10" t="n">
        <v>0.21</v>
      </c>
      <c r="N108" s="11">
        <f>L108 * (1 + M108)</f>
        <v/>
      </c>
      <c r="O108" s="11">
        <f>IF(K108="Eigen Beheer",0,IF(AND(ISNUMBER(N108),I108&lt;&gt;"",H108&lt;&gt;""),ROUND((I108-H108)/Lists!$Q$2,2)*N108,0))</f>
        <v/>
      </c>
      <c r="R108" s="12">
        <f>IF(Q108="","",VLOOKUP(Q108,Lists!$E:$F,2,FALSE))</f>
        <v/>
      </c>
      <c r="AD108" s="9" t="n">
        <v>50</v>
      </c>
      <c r="AE108" s="11">
        <f>IF(AB108="","",IF(ISNUMBER(SEARCH("Basis",AB108)),(250/1.21)+MAX(0,AC108-5)*AD108,IF(ISNUMBER(SEARCH("Intensief",AB108)),(375/1.21)+MAX(0,AC108-7)*AD108,AC108*AD108)))</f>
        <v/>
      </c>
      <c r="AF108" s="13" t="n">
        <v>0.21</v>
      </c>
      <c r="AG108" s="11">
        <f>IF(AE108&lt;&gt;"",AE108*AF108,"")</f>
        <v/>
      </c>
      <c r="AH108" s="11">
        <f>IF(AE108&lt;&gt;"",AE108+AG108,"")</f>
        <v/>
      </c>
      <c r="AL108">
        <f>IF($B108="GWE_Item",IF($AI108="Elektra",SUMIFS($W:$W,$A:$A,$A108,$B:$B,"GWE")-SUMIFS($V:$V,$A:$A,$A108,$B:$B,"GWE"),IF($AI108="Gas",SUMIFS($Y:$Y,$A:$A,$A108,$B:$B,"GWE")-SUMIFS($X:$X,$A:$A,$A108,$B:$B,"GWE"),IF($AI108="Water",SUMIFS($AA:$AA,$A:$A,$A108,$B:$B,"GWE")-SUMIFS($Z:$Z,$A:$A,$A108,$B:$B,"GWE"),""))),"")</f>
        <v/>
      </c>
      <c r="AN108" s="11">
        <f>IF(AND(AL108&lt;&gt;"",AM108&lt;&gt;""),AL108*AM108,"")</f>
        <v/>
      </c>
      <c r="AO108" s="13" t="n"/>
      <c r="AP108" s="11">
        <f>IF(AND(AN108&lt;&gt;"",AO108&lt;&gt;""),AN108*AO108,"")</f>
        <v/>
      </c>
      <c r="AQ108" s="11">
        <f>IF(AND(AN108&lt;&gt;"",AP108&lt;&gt;""),AN108+AP108,"")</f>
        <v/>
      </c>
    </row>
    <row r="109">
      <c r="D109" s="8">
        <f>IF(A109="","",VLOOKUP(A109,Lists!$A:$B,2,FALSE))</f>
        <v/>
      </c>
      <c r="E109" s="8">
        <f>IF(C109="","",VLOOKUP(C109,Lists!$C:$D,2,FALSE))</f>
        <v/>
      </c>
      <c r="F109" s="8" t="n"/>
      <c r="G109" s="8" t="n"/>
      <c r="J109" s="9">
        <f>IF(A109="","",IFERROR(VLOOKUP(A109,Lists!$A:$H,8,FALSE),0))</f>
        <v/>
      </c>
      <c r="L109" s="9">
        <f>IF(A109="","",IFERROR(VLOOKUP(A109,Lists!$A:$H,7,FALSE),0))</f>
        <v/>
      </c>
      <c r="M109" s="10" t="n">
        <v>0.21</v>
      </c>
      <c r="N109" s="11">
        <f>L109 * (1 + M109)</f>
        <v/>
      </c>
      <c r="O109" s="11">
        <f>IF(K109="Eigen Beheer",0,IF(AND(ISNUMBER(N109),I109&lt;&gt;"",H109&lt;&gt;""),ROUND((I109-H109)/Lists!$Q$2,2)*N109,0))</f>
        <v/>
      </c>
      <c r="R109" s="12">
        <f>IF(Q109="","",VLOOKUP(Q109,Lists!$E:$F,2,FALSE))</f>
        <v/>
      </c>
      <c r="AD109" s="9" t="n">
        <v>50</v>
      </c>
      <c r="AE109" s="11">
        <f>IF(AB109="","",IF(ISNUMBER(SEARCH("Basis",AB109)),(250/1.21)+MAX(0,AC109-5)*AD109,IF(ISNUMBER(SEARCH("Intensief",AB109)),(375/1.21)+MAX(0,AC109-7)*AD109,AC109*AD109)))</f>
        <v/>
      </c>
      <c r="AF109" s="13" t="n">
        <v>0.21</v>
      </c>
      <c r="AG109" s="11">
        <f>IF(AE109&lt;&gt;"",AE109*AF109,"")</f>
        <v/>
      </c>
      <c r="AH109" s="11">
        <f>IF(AE109&lt;&gt;"",AE109+AG109,"")</f>
        <v/>
      </c>
      <c r="AL109">
        <f>IF($B109="GWE_Item",IF($AI109="Elektra",SUMIFS($W:$W,$A:$A,$A109,$B:$B,"GWE")-SUMIFS($V:$V,$A:$A,$A109,$B:$B,"GWE"),IF($AI109="Gas",SUMIFS($Y:$Y,$A:$A,$A109,$B:$B,"GWE")-SUMIFS($X:$X,$A:$A,$A109,$B:$B,"GWE"),IF($AI109="Water",SUMIFS($AA:$AA,$A:$A,$A109,$B:$B,"GWE")-SUMIFS($Z:$Z,$A:$A,$A109,$B:$B,"GWE"),""))),"")</f>
        <v/>
      </c>
      <c r="AN109" s="11">
        <f>IF(AND(AL109&lt;&gt;"",AM109&lt;&gt;""),AL109*AM109,"")</f>
        <v/>
      </c>
      <c r="AO109" s="13" t="n"/>
      <c r="AP109" s="11">
        <f>IF(AND(AN109&lt;&gt;"",AO109&lt;&gt;""),AN109*AO109,"")</f>
        <v/>
      </c>
      <c r="AQ109" s="11">
        <f>IF(AND(AN109&lt;&gt;"",AP109&lt;&gt;""),AN109+AP109,"")</f>
        <v/>
      </c>
    </row>
    <row r="110">
      <c r="D110" s="8">
        <f>IF(A110="","",VLOOKUP(A110,Lists!$A:$B,2,FALSE))</f>
        <v/>
      </c>
      <c r="E110" s="8">
        <f>IF(C110="","",VLOOKUP(C110,Lists!$C:$D,2,FALSE))</f>
        <v/>
      </c>
      <c r="F110" s="8" t="n"/>
      <c r="G110" s="8" t="n"/>
      <c r="J110" s="9">
        <f>IF(A110="","",IFERROR(VLOOKUP(A110,Lists!$A:$H,8,FALSE),0))</f>
        <v/>
      </c>
      <c r="L110" s="9">
        <f>IF(A110="","",IFERROR(VLOOKUP(A110,Lists!$A:$H,7,FALSE),0))</f>
        <v/>
      </c>
      <c r="M110" s="10" t="n">
        <v>0.21</v>
      </c>
      <c r="N110" s="11">
        <f>L110 * (1 + M110)</f>
        <v/>
      </c>
      <c r="O110" s="11">
        <f>IF(K110="Eigen Beheer",0,IF(AND(ISNUMBER(N110),I110&lt;&gt;"",H110&lt;&gt;""),ROUND((I110-H110)/Lists!$Q$2,2)*N110,0))</f>
        <v/>
      </c>
      <c r="R110" s="12">
        <f>IF(Q110="","",VLOOKUP(Q110,Lists!$E:$F,2,FALSE))</f>
        <v/>
      </c>
      <c r="AD110" s="9" t="n">
        <v>50</v>
      </c>
      <c r="AE110" s="11">
        <f>IF(AB110="","",IF(ISNUMBER(SEARCH("Basis",AB110)),(250/1.21)+MAX(0,AC110-5)*AD110,IF(ISNUMBER(SEARCH("Intensief",AB110)),(375/1.21)+MAX(0,AC110-7)*AD110,AC110*AD110)))</f>
        <v/>
      </c>
      <c r="AF110" s="13" t="n">
        <v>0.21</v>
      </c>
      <c r="AG110" s="11">
        <f>IF(AE110&lt;&gt;"",AE110*AF110,"")</f>
        <v/>
      </c>
      <c r="AH110" s="11">
        <f>IF(AE110&lt;&gt;"",AE110+AG110,"")</f>
        <v/>
      </c>
      <c r="AL110">
        <f>IF($B110="GWE_Item",IF($AI110="Elektra",SUMIFS($W:$W,$A:$A,$A110,$B:$B,"GWE")-SUMIFS($V:$V,$A:$A,$A110,$B:$B,"GWE"),IF($AI110="Gas",SUMIFS($Y:$Y,$A:$A,$A110,$B:$B,"GWE")-SUMIFS($X:$X,$A:$A,$A110,$B:$B,"GWE"),IF($AI110="Water",SUMIFS($AA:$AA,$A:$A,$A110,$B:$B,"GWE")-SUMIFS($Z:$Z,$A:$A,$A110,$B:$B,"GWE"),""))),"")</f>
        <v/>
      </c>
      <c r="AN110" s="11">
        <f>IF(AND(AL110&lt;&gt;"",AM110&lt;&gt;""),AL110*AM110,"")</f>
        <v/>
      </c>
      <c r="AO110" s="13" t="n"/>
      <c r="AP110" s="11">
        <f>IF(AND(AN110&lt;&gt;"",AO110&lt;&gt;""),AN110*AO110,"")</f>
        <v/>
      </c>
      <c r="AQ110" s="11">
        <f>IF(AND(AN110&lt;&gt;"",AP110&lt;&gt;""),AN110+AP110,"")</f>
        <v/>
      </c>
    </row>
    <row r="111">
      <c r="D111" s="8">
        <f>IF(A111="","",VLOOKUP(A111,Lists!$A:$B,2,FALSE))</f>
        <v/>
      </c>
      <c r="E111" s="8">
        <f>IF(C111="","",VLOOKUP(C111,Lists!$C:$D,2,FALSE))</f>
        <v/>
      </c>
      <c r="F111" s="8" t="n"/>
      <c r="G111" s="8" t="n"/>
      <c r="J111" s="9">
        <f>IF(A111="","",IFERROR(VLOOKUP(A111,Lists!$A:$H,8,FALSE),0))</f>
        <v/>
      </c>
      <c r="L111" s="9">
        <f>IF(A111="","",IFERROR(VLOOKUP(A111,Lists!$A:$H,7,FALSE),0))</f>
        <v/>
      </c>
      <c r="M111" s="10" t="n">
        <v>0.21</v>
      </c>
      <c r="N111" s="11">
        <f>L111 * (1 + M111)</f>
        <v/>
      </c>
      <c r="O111" s="11">
        <f>IF(K111="Eigen Beheer",0,IF(AND(ISNUMBER(N111),I111&lt;&gt;"",H111&lt;&gt;""),ROUND((I111-H111)/Lists!$Q$2,2)*N111,0))</f>
        <v/>
      </c>
      <c r="R111" s="12">
        <f>IF(Q111="","",VLOOKUP(Q111,Lists!$E:$F,2,FALSE))</f>
        <v/>
      </c>
      <c r="AD111" s="9" t="n">
        <v>50</v>
      </c>
      <c r="AE111" s="11">
        <f>IF(AB111="","",IF(ISNUMBER(SEARCH("Basis",AB111)),(250/1.21)+MAX(0,AC111-5)*AD111,IF(ISNUMBER(SEARCH("Intensief",AB111)),(375/1.21)+MAX(0,AC111-7)*AD111,AC111*AD111)))</f>
        <v/>
      </c>
      <c r="AF111" s="13" t="n">
        <v>0.21</v>
      </c>
      <c r="AG111" s="11">
        <f>IF(AE111&lt;&gt;"",AE111*AF111,"")</f>
        <v/>
      </c>
      <c r="AH111" s="11">
        <f>IF(AE111&lt;&gt;"",AE111+AG111,"")</f>
        <v/>
      </c>
      <c r="AL111">
        <f>IF($B111="GWE_Item",IF($AI111="Elektra",SUMIFS($W:$W,$A:$A,$A111,$B:$B,"GWE")-SUMIFS($V:$V,$A:$A,$A111,$B:$B,"GWE"),IF($AI111="Gas",SUMIFS($Y:$Y,$A:$A,$A111,$B:$B,"GWE")-SUMIFS($X:$X,$A:$A,$A111,$B:$B,"GWE"),IF($AI111="Water",SUMIFS($AA:$AA,$A:$A,$A111,$B:$B,"GWE")-SUMIFS($Z:$Z,$A:$A,$A111,$B:$B,"GWE"),""))),"")</f>
        <v/>
      </c>
      <c r="AN111" s="11">
        <f>IF(AND(AL111&lt;&gt;"",AM111&lt;&gt;""),AL111*AM111,"")</f>
        <v/>
      </c>
      <c r="AO111" s="13" t="n"/>
      <c r="AP111" s="11">
        <f>IF(AND(AN111&lt;&gt;"",AO111&lt;&gt;""),AN111*AO111,"")</f>
        <v/>
      </c>
      <c r="AQ111" s="11">
        <f>IF(AND(AN111&lt;&gt;"",AP111&lt;&gt;""),AN111+AP111,"")</f>
        <v/>
      </c>
    </row>
    <row r="112">
      <c r="D112" s="8">
        <f>IF(A112="","",VLOOKUP(A112,Lists!$A:$B,2,FALSE))</f>
        <v/>
      </c>
      <c r="E112" s="8">
        <f>IF(C112="","",VLOOKUP(C112,Lists!$C:$D,2,FALSE))</f>
        <v/>
      </c>
      <c r="F112" s="8" t="n"/>
      <c r="G112" s="8" t="n"/>
      <c r="J112" s="9">
        <f>IF(A112="","",IFERROR(VLOOKUP(A112,Lists!$A:$H,8,FALSE),0))</f>
        <v/>
      </c>
      <c r="L112" s="9">
        <f>IF(A112="","",IFERROR(VLOOKUP(A112,Lists!$A:$H,7,FALSE),0))</f>
        <v/>
      </c>
      <c r="M112" s="10" t="n">
        <v>0.21</v>
      </c>
      <c r="N112" s="11">
        <f>L112 * (1 + M112)</f>
        <v/>
      </c>
      <c r="O112" s="11">
        <f>IF(K112="Eigen Beheer",0,IF(AND(ISNUMBER(N112),I112&lt;&gt;"",H112&lt;&gt;""),ROUND((I112-H112)/Lists!$Q$2,2)*N112,0))</f>
        <v/>
      </c>
      <c r="R112" s="12">
        <f>IF(Q112="","",VLOOKUP(Q112,Lists!$E:$F,2,FALSE))</f>
        <v/>
      </c>
      <c r="AD112" s="9" t="n">
        <v>50</v>
      </c>
      <c r="AE112" s="11">
        <f>IF(AB112="","",IF(ISNUMBER(SEARCH("Basis",AB112)),(250/1.21)+MAX(0,AC112-5)*AD112,IF(ISNUMBER(SEARCH("Intensief",AB112)),(375/1.21)+MAX(0,AC112-7)*AD112,AC112*AD112)))</f>
        <v/>
      </c>
      <c r="AF112" s="13" t="n">
        <v>0.21</v>
      </c>
      <c r="AG112" s="11">
        <f>IF(AE112&lt;&gt;"",AE112*AF112,"")</f>
        <v/>
      </c>
      <c r="AH112" s="11">
        <f>IF(AE112&lt;&gt;"",AE112+AG112,"")</f>
        <v/>
      </c>
      <c r="AL112">
        <f>IF($B112="GWE_Item",IF($AI112="Elektra",SUMIFS($W:$W,$A:$A,$A112,$B:$B,"GWE")-SUMIFS($V:$V,$A:$A,$A112,$B:$B,"GWE"),IF($AI112="Gas",SUMIFS($Y:$Y,$A:$A,$A112,$B:$B,"GWE")-SUMIFS($X:$X,$A:$A,$A112,$B:$B,"GWE"),IF($AI112="Water",SUMIFS($AA:$AA,$A:$A,$A112,$B:$B,"GWE")-SUMIFS($Z:$Z,$A:$A,$A112,$B:$B,"GWE"),""))),"")</f>
        <v/>
      </c>
      <c r="AN112" s="11">
        <f>IF(AND(AL112&lt;&gt;"",AM112&lt;&gt;""),AL112*AM112,"")</f>
        <v/>
      </c>
      <c r="AO112" s="13" t="n"/>
      <c r="AP112" s="11">
        <f>IF(AND(AN112&lt;&gt;"",AO112&lt;&gt;""),AN112*AO112,"")</f>
        <v/>
      </c>
      <c r="AQ112" s="11">
        <f>IF(AND(AN112&lt;&gt;"",AP112&lt;&gt;""),AN112+AP112,"")</f>
        <v/>
      </c>
    </row>
    <row r="113">
      <c r="D113" s="8">
        <f>IF(A113="","",VLOOKUP(A113,Lists!$A:$B,2,FALSE))</f>
        <v/>
      </c>
      <c r="E113" s="8">
        <f>IF(C113="","",VLOOKUP(C113,Lists!$C:$D,2,FALSE))</f>
        <v/>
      </c>
      <c r="F113" s="8" t="n"/>
      <c r="G113" s="8" t="n"/>
      <c r="J113" s="9">
        <f>IF(A113="","",IFERROR(VLOOKUP(A113,Lists!$A:$H,8,FALSE),0))</f>
        <v/>
      </c>
      <c r="L113" s="9">
        <f>IF(A113="","",IFERROR(VLOOKUP(A113,Lists!$A:$H,7,FALSE),0))</f>
        <v/>
      </c>
      <c r="M113" s="10" t="n">
        <v>0.21</v>
      </c>
      <c r="N113" s="11">
        <f>L113 * (1 + M113)</f>
        <v/>
      </c>
      <c r="O113" s="11">
        <f>IF(K113="Eigen Beheer",0,IF(AND(ISNUMBER(N113),I113&lt;&gt;"",H113&lt;&gt;""),ROUND((I113-H113)/Lists!$Q$2,2)*N113,0))</f>
        <v/>
      </c>
      <c r="R113" s="12">
        <f>IF(Q113="","",VLOOKUP(Q113,Lists!$E:$F,2,FALSE))</f>
        <v/>
      </c>
      <c r="AD113" s="9" t="n">
        <v>50</v>
      </c>
      <c r="AE113" s="11">
        <f>IF(AB113="","",IF(ISNUMBER(SEARCH("Basis",AB113)),(250/1.21)+MAX(0,AC113-5)*AD113,IF(ISNUMBER(SEARCH("Intensief",AB113)),(375/1.21)+MAX(0,AC113-7)*AD113,AC113*AD113)))</f>
        <v/>
      </c>
      <c r="AF113" s="13" t="n">
        <v>0.21</v>
      </c>
      <c r="AG113" s="11">
        <f>IF(AE113&lt;&gt;"",AE113*AF113,"")</f>
        <v/>
      </c>
      <c r="AH113" s="11">
        <f>IF(AE113&lt;&gt;"",AE113+AG113,"")</f>
        <v/>
      </c>
      <c r="AL113">
        <f>IF($B113="GWE_Item",IF($AI113="Elektra",SUMIFS($W:$W,$A:$A,$A113,$B:$B,"GWE")-SUMIFS($V:$V,$A:$A,$A113,$B:$B,"GWE"),IF($AI113="Gas",SUMIFS($Y:$Y,$A:$A,$A113,$B:$B,"GWE")-SUMIFS($X:$X,$A:$A,$A113,$B:$B,"GWE"),IF($AI113="Water",SUMIFS($AA:$AA,$A:$A,$A113,$B:$B,"GWE")-SUMIFS($Z:$Z,$A:$A,$A113,$B:$B,"GWE"),""))),"")</f>
        <v/>
      </c>
      <c r="AN113" s="11">
        <f>IF(AND(AL113&lt;&gt;"",AM113&lt;&gt;""),AL113*AM113,"")</f>
        <v/>
      </c>
      <c r="AO113" s="13" t="n"/>
      <c r="AP113" s="11">
        <f>IF(AND(AN113&lt;&gt;"",AO113&lt;&gt;""),AN113*AO113,"")</f>
        <v/>
      </c>
      <c r="AQ113" s="11">
        <f>IF(AND(AN113&lt;&gt;"",AP113&lt;&gt;""),AN113+AP113,"")</f>
        <v/>
      </c>
    </row>
    <row r="114">
      <c r="D114" s="8">
        <f>IF(A114="","",VLOOKUP(A114,Lists!$A:$B,2,FALSE))</f>
        <v/>
      </c>
      <c r="E114" s="8">
        <f>IF(C114="","",VLOOKUP(C114,Lists!$C:$D,2,FALSE))</f>
        <v/>
      </c>
      <c r="F114" s="8" t="n"/>
      <c r="G114" s="8" t="n"/>
      <c r="J114" s="9">
        <f>IF(A114="","",IFERROR(VLOOKUP(A114,Lists!$A:$H,8,FALSE),0))</f>
        <v/>
      </c>
      <c r="L114" s="9">
        <f>IF(A114="","",IFERROR(VLOOKUP(A114,Lists!$A:$H,7,FALSE),0))</f>
        <v/>
      </c>
      <c r="M114" s="10" t="n">
        <v>0.21</v>
      </c>
      <c r="N114" s="11">
        <f>L114 * (1 + M114)</f>
        <v/>
      </c>
      <c r="O114" s="11">
        <f>IF(K114="Eigen Beheer",0,IF(AND(ISNUMBER(N114),I114&lt;&gt;"",H114&lt;&gt;""),ROUND((I114-H114)/Lists!$Q$2,2)*N114,0))</f>
        <v/>
      </c>
      <c r="R114" s="12">
        <f>IF(Q114="","",VLOOKUP(Q114,Lists!$E:$F,2,FALSE))</f>
        <v/>
      </c>
      <c r="AD114" s="9" t="n">
        <v>50</v>
      </c>
      <c r="AE114" s="11">
        <f>IF(AB114="","",IF(ISNUMBER(SEARCH("Basis",AB114)),(250/1.21)+MAX(0,AC114-5)*AD114,IF(ISNUMBER(SEARCH("Intensief",AB114)),(375/1.21)+MAX(0,AC114-7)*AD114,AC114*AD114)))</f>
        <v/>
      </c>
      <c r="AF114" s="13" t="n">
        <v>0.21</v>
      </c>
      <c r="AG114" s="11">
        <f>IF(AE114&lt;&gt;"",AE114*AF114,"")</f>
        <v/>
      </c>
      <c r="AH114" s="11">
        <f>IF(AE114&lt;&gt;"",AE114+AG114,"")</f>
        <v/>
      </c>
      <c r="AL114">
        <f>IF($B114="GWE_Item",IF($AI114="Elektra",SUMIFS($W:$W,$A:$A,$A114,$B:$B,"GWE")-SUMIFS($V:$V,$A:$A,$A114,$B:$B,"GWE"),IF($AI114="Gas",SUMIFS($Y:$Y,$A:$A,$A114,$B:$B,"GWE")-SUMIFS($X:$X,$A:$A,$A114,$B:$B,"GWE"),IF($AI114="Water",SUMIFS($AA:$AA,$A:$A,$A114,$B:$B,"GWE")-SUMIFS($Z:$Z,$A:$A,$A114,$B:$B,"GWE"),""))),"")</f>
        <v/>
      </c>
      <c r="AN114" s="11">
        <f>IF(AND(AL114&lt;&gt;"",AM114&lt;&gt;""),AL114*AM114,"")</f>
        <v/>
      </c>
      <c r="AO114" s="13" t="n"/>
      <c r="AP114" s="11">
        <f>IF(AND(AN114&lt;&gt;"",AO114&lt;&gt;""),AN114*AO114,"")</f>
        <v/>
      </c>
      <c r="AQ114" s="11">
        <f>IF(AND(AN114&lt;&gt;"",AP114&lt;&gt;""),AN114+AP114,"")</f>
        <v/>
      </c>
    </row>
    <row r="115">
      <c r="D115" s="8">
        <f>IF(A115="","",VLOOKUP(A115,Lists!$A:$B,2,FALSE))</f>
        <v/>
      </c>
      <c r="E115" s="8">
        <f>IF(C115="","",VLOOKUP(C115,Lists!$C:$D,2,FALSE))</f>
        <v/>
      </c>
      <c r="F115" s="8" t="n"/>
      <c r="G115" s="8" t="n"/>
      <c r="J115" s="9">
        <f>IF(A115="","",IFERROR(VLOOKUP(A115,Lists!$A:$H,8,FALSE),0))</f>
        <v/>
      </c>
      <c r="L115" s="9">
        <f>IF(A115="","",IFERROR(VLOOKUP(A115,Lists!$A:$H,7,FALSE),0))</f>
        <v/>
      </c>
      <c r="M115" s="10" t="n">
        <v>0.21</v>
      </c>
      <c r="N115" s="11">
        <f>L115 * (1 + M115)</f>
        <v/>
      </c>
      <c r="O115" s="11">
        <f>IF(K115="Eigen Beheer",0,IF(AND(ISNUMBER(N115),I115&lt;&gt;"",H115&lt;&gt;""),ROUND((I115-H115)/Lists!$Q$2,2)*N115,0))</f>
        <v/>
      </c>
      <c r="R115" s="12">
        <f>IF(Q115="","",VLOOKUP(Q115,Lists!$E:$F,2,FALSE))</f>
        <v/>
      </c>
      <c r="AD115" s="9" t="n">
        <v>50</v>
      </c>
      <c r="AE115" s="11">
        <f>IF(AB115="","",IF(ISNUMBER(SEARCH("Basis",AB115)),(250/1.21)+MAX(0,AC115-5)*AD115,IF(ISNUMBER(SEARCH("Intensief",AB115)),(375/1.21)+MAX(0,AC115-7)*AD115,AC115*AD115)))</f>
        <v/>
      </c>
      <c r="AF115" s="13" t="n">
        <v>0.21</v>
      </c>
      <c r="AG115" s="11">
        <f>IF(AE115&lt;&gt;"",AE115*AF115,"")</f>
        <v/>
      </c>
      <c r="AH115" s="11">
        <f>IF(AE115&lt;&gt;"",AE115+AG115,"")</f>
        <v/>
      </c>
      <c r="AL115">
        <f>IF($B115="GWE_Item",IF($AI115="Elektra",SUMIFS($W:$W,$A:$A,$A115,$B:$B,"GWE")-SUMIFS($V:$V,$A:$A,$A115,$B:$B,"GWE"),IF($AI115="Gas",SUMIFS($Y:$Y,$A:$A,$A115,$B:$B,"GWE")-SUMIFS($X:$X,$A:$A,$A115,$B:$B,"GWE"),IF($AI115="Water",SUMIFS($AA:$AA,$A:$A,$A115,$B:$B,"GWE")-SUMIFS($Z:$Z,$A:$A,$A115,$B:$B,"GWE"),""))),"")</f>
        <v/>
      </c>
      <c r="AN115" s="11">
        <f>IF(AND(AL115&lt;&gt;"",AM115&lt;&gt;""),AL115*AM115,"")</f>
        <v/>
      </c>
      <c r="AO115" s="13" t="n"/>
      <c r="AP115" s="11">
        <f>IF(AND(AN115&lt;&gt;"",AO115&lt;&gt;""),AN115*AO115,"")</f>
        <v/>
      </c>
      <c r="AQ115" s="11">
        <f>IF(AND(AN115&lt;&gt;"",AP115&lt;&gt;""),AN115+AP115,"")</f>
        <v/>
      </c>
    </row>
    <row r="116">
      <c r="D116" s="8">
        <f>IF(A116="","",VLOOKUP(A116,Lists!$A:$B,2,FALSE))</f>
        <v/>
      </c>
      <c r="E116" s="8">
        <f>IF(C116="","",VLOOKUP(C116,Lists!$C:$D,2,FALSE))</f>
        <v/>
      </c>
      <c r="F116" s="8" t="n"/>
      <c r="G116" s="8" t="n"/>
      <c r="J116" s="9">
        <f>IF(A116="","",IFERROR(VLOOKUP(A116,Lists!$A:$H,8,FALSE),0))</f>
        <v/>
      </c>
      <c r="L116" s="9">
        <f>IF(A116="","",IFERROR(VLOOKUP(A116,Lists!$A:$H,7,FALSE),0))</f>
        <v/>
      </c>
      <c r="M116" s="10" t="n">
        <v>0.21</v>
      </c>
      <c r="N116" s="11">
        <f>L116 * (1 + M116)</f>
        <v/>
      </c>
      <c r="O116" s="11">
        <f>IF(K116="Eigen Beheer",0,IF(AND(ISNUMBER(N116),I116&lt;&gt;"",H116&lt;&gt;""),ROUND((I116-H116)/Lists!$Q$2,2)*N116,0))</f>
        <v/>
      </c>
      <c r="R116" s="12">
        <f>IF(Q116="","",VLOOKUP(Q116,Lists!$E:$F,2,FALSE))</f>
        <v/>
      </c>
      <c r="AD116" s="9" t="n">
        <v>50</v>
      </c>
      <c r="AE116" s="11">
        <f>IF(AB116="","",IF(ISNUMBER(SEARCH("Basis",AB116)),(250/1.21)+MAX(0,AC116-5)*AD116,IF(ISNUMBER(SEARCH("Intensief",AB116)),(375/1.21)+MAX(0,AC116-7)*AD116,AC116*AD116)))</f>
        <v/>
      </c>
      <c r="AF116" s="13" t="n">
        <v>0.21</v>
      </c>
      <c r="AG116" s="11">
        <f>IF(AE116&lt;&gt;"",AE116*AF116,"")</f>
        <v/>
      </c>
      <c r="AH116" s="11">
        <f>IF(AE116&lt;&gt;"",AE116+AG116,"")</f>
        <v/>
      </c>
      <c r="AL116">
        <f>IF($B116="GWE_Item",IF($AI116="Elektra",SUMIFS($W:$W,$A:$A,$A116,$B:$B,"GWE")-SUMIFS($V:$V,$A:$A,$A116,$B:$B,"GWE"),IF($AI116="Gas",SUMIFS($Y:$Y,$A:$A,$A116,$B:$B,"GWE")-SUMIFS($X:$X,$A:$A,$A116,$B:$B,"GWE"),IF($AI116="Water",SUMIFS($AA:$AA,$A:$A,$A116,$B:$B,"GWE")-SUMIFS($Z:$Z,$A:$A,$A116,$B:$B,"GWE"),""))),"")</f>
        <v/>
      </c>
      <c r="AN116" s="11">
        <f>IF(AND(AL116&lt;&gt;"",AM116&lt;&gt;""),AL116*AM116,"")</f>
        <v/>
      </c>
      <c r="AO116" s="13" t="n"/>
      <c r="AP116" s="11">
        <f>IF(AND(AN116&lt;&gt;"",AO116&lt;&gt;""),AN116*AO116,"")</f>
        <v/>
      </c>
      <c r="AQ116" s="11">
        <f>IF(AND(AN116&lt;&gt;"",AP116&lt;&gt;""),AN116+AP116,"")</f>
        <v/>
      </c>
    </row>
    <row r="117">
      <c r="D117" s="8">
        <f>IF(A117="","",VLOOKUP(A117,Lists!$A:$B,2,FALSE))</f>
        <v/>
      </c>
      <c r="E117" s="8">
        <f>IF(C117="","",VLOOKUP(C117,Lists!$C:$D,2,FALSE))</f>
        <v/>
      </c>
      <c r="F117" s="8" t="n"/>
      <c r="G117" s="8" t="n"/>
      <c r="J117" s="9">
        <f>IF(A117="","",IFERROR(VLOOKUP(A117,Lists!$A:$H,8,FALSE),0))</f>
        <v/>
      </c>
      <c r="L117" s="9">
        <f>IF(A117="","",IFERROR(VLOOKUP(A117,Lists!$A:$H,7,FALSE),0))</f>
        <v/>
      </c>
      <c r="M117" s="10" t="n">
        <v>0.21</v>
      </c>
      <c r="N117" s="11">
        <f>L117 * (1 + M117)</f>
        <v/>
      </c>
      <c r="O117" s="11">
        <f>IF(K117="Eigen Beheer",0,IF(AND(ISNUMBER(N117),I117&lt;&gt;"",H117&lt;&gt;""),ROUND((I117-H117)/Lists!$Q$2,2)*N117,0))</f>
        <v/>
      </c>
      <c r="R117" s="12">
        <f>IF(Q117="","",VLOOKUP(Q117,Lists!$E:$F,2,FALSE))</f>
        <v/>
      </c>
      <c r="AD117" s="9" t="n">
        <v>50</v>
      </c>
      <c r="AE117" s="11">
        <f>IF(AB117="","",IF(ISNUMBER(SEARCH("Basis",AB117)),(250/1.21)+MAX(0,AC117-5)*AD117,IF(ISNUMBER(SEARCH("Intensief",AB117)),(375/1.21)+MAX(0,AC117-7)*AD117,AC117*AD117)))</f>
        <v/>
      </c>
      <c r="AF117" s="13" t="n">
        <v>0.21</v>
      </c>
      <c r="AG117" s="11">
        <f>IF(AE117&lt;&gt;"",AE117*AF117,"")</f>
        <v/>
      </c>
      <c r="AH117" s="11">
        <f>IF(AE117&lt;&gt;"",AE117+AG117,"")</f>
        <v/>
      </c>
      <c r="AL117">
        <f>IF($B117="GWE_Item",IF($AI117="Elektra",SUMIFS($W:$W,$A:$A,$A117,$B:$B,"GWE")-SUMIFS($V:$V,$A:$A,$A117,$B:$B,"GWE"),IF($AI117="Gas",SUMIFS($Y:$Y,$A:$A,$A117,$B:$B,"GWE")-SUMIFS($X:$X,$A:$A,$A117,$B:$B,"GWE"),IF($AI117="Water",SUMIFS($AA:$AA,$A:$A,$A117,$B:$B,"GWE")-SUMIFS($Z:$Z,$A:$A,$A117,$B:$B,"GWE"),""))),"")</f>
        <v/>
      </c>
      <c r="AN117" s="11">
        <f>IF(AND(AL117&lt;&gt;"",AM117&lt;&gt;""),AL117*AM117,"")</f>
        <v/>
      </c>
      <c r="AO117" s="13" t="n"/>
      <c r="AP117" s="11">
        <f>IF(AND(AN117&lt;&gt;"",AO117&lt;&gt;""),AN117*AO117,"")</f>
        <v/>
      </c>
      <c r="AQ117" s="11">
        <f>IF(AND(AN117&lt;&gt;"",AP117&lt;&gt;""),AN117+AP117,"")</f>
        <v/>
      </c>
    </row>
    <row r="118">
      <c r="D118" s="8">
        <f>IF(A118="","",VLOOKUP(A118,Lists!$A:$B,2,FALSE))</f>
        <v/>
      </c>
      <c r="E118" s="8">
        <f>IF(C118="","",VLOOKUP(C118,Lists!$C:$D,2,FALSE))</f>
        <v/>
      </c>
      <c r="F118" s="8" t="n"/>
      <c r="G118" s="8" t="n"/>
      <c r="J118" s="9">
        <f>IF(A118="","",IFERROR(VLOOKUP(A118,Lists!$A:$H,8,FALSE),0))</f>
        <v/>
      </c>
      <c r="L118" s="9">
        <f>IF(A118="","",IFERROR(VLOOKUP(A118,Lists!$A:$H,7,FALSE),0))</f>
        <v/>
      </c>
      <c r="M118" s="10" t="n">
        <v>0.21</v>
      </c>
      <c r="N118" s="11">
        <f>L118 * (1 + M118)</f>
        <v/>
      </c>
      <c r="O118" s="11">
        <f>IF(K118="Eigen Beheer",0,IF(AND(ISNUMBER(N118),I118&lt;&gt;"",H118&lt;&gt;""),ROUND((I118-H118)/Lists!$Q$2,2)*N118,0))</f>
        <v/>
      </c>
      <c r="R118" s="12">
        <f>IF(Q118="","",VLOOKUP(Q118,Lists!$E:$F,2,FALSE))</f>
        <v/>
      </c>
      <c r="AD118" s="9" t="n">
        <v>50</v>
      </c>
      <c r="AE118" s="11">
        <f>IF(AB118="","",IF(ISNUMBER(SEARCH("Basis",AB118)),(250/1.21)+MAX(0,AC118-5)*AD118,IF(ISNUMBER(SEARCH("Intensief",AB118)),(375/1.21)+MAX(0,AC118-7)*AD118,AC118*AD118)))</f>
        <v/>
      </c>
      <c r="AF118" s="13" t="n">
        <v>0.21</v>
      </c>
      <c r="AG118" s="11">
        <f>IF(AE118&lt;&gt;"",AE118*AF118,"")</f>
        <v/>
      </c>
      <c r="AH118" s="11">
        <f>IF(AE118&lt;&gt;"",AE118+AG118,"")</f>
        <v/>
      </c>
      <c r="AL118">
        <f>IF($B118="GWE_Item",IF($AI118="Elektra",SUMIFS($W:$W,$A:$A,$A118,$B:$B,"GWE")-SUMIFS($V:$V,$A:$A,$A118,$B:$B,"GWE"),IF($AI118="Gas",SUMIFS($Y:$Y,$A:$A,$A118,$B:$B,"GWE")-SUMIFS($X:$X,$A:$A,$A118,$B:$B,"GWE"),IF($AI118="Water",SUMIFS($AA:$AA,$A:$A,$A118,$B:$B,"GWE")-SUMIFS($Z:$Z,$A:$A,$A118,$B:$B,"GWE"),""))),"")</f>
        <v/>
      </c>
      <c r="AN118" s="11">
        <f>IF(AND(AL118&lt;&gt;"",AM118&lt;&gt;""),AL118*AM118,"")</f>
        <v/>
      </c>
      <c r="AO118" s="13" t="n"/>
      <c r="AP118" s="11">
        <f>IF(AND(AN118&lt;&gt;"",AO118&lt;&gt;""),AN118*AO118,"")</f>
        <v/>
      </c>
      <c r="AQ118" s="11">
        <f>IF(AND(AN118&lt;&gt;"",AP118&lt;&gt;""),AN118+AP118,"")</f>
        <v/>
      </c>
    </row>
    <row r="119">
      <c r="D119" s="8">
        <f>IF(A119="","",VLOOKUP(A119,Lists!$A:$B,2,FALSE))</f>
        <v/>
      </c>
      <c r="E119" s="8">
        <f>IF(C119="","",VLOOKUP(C119,Lists!$C:$D,2,FALSE))</f>
        <v/>
      </c>
      <c r="F119" s="8" t="n"/>
      <c r="G119" s="8" t="n"/>
      <c r="J119" s="9">
        <f>IF(A119="","",IFERROR(VLOOKUP(A119,Lists!$A:$H,8,FALSE),0))</f>
        <v/>
      </c>
      <c r="L119" s="9">
        <f>IF(A119="","",IFERROR(VLOOKUP(A119,Lists!$A:$H,7,FALSE),0))</f>
        <v/>
      </c>
      <c r="M119" s="10" t="n">
        <v>0.21</v>
      </c>
      <c r="N119" s="11">
        <f>L119 * (1 + M119)</f>
        <v/>
      </c>
      <c r="O119" s="11">
        <f>IF(K119="Eigen Beheer",0,IF(AND(ISNUMBER(N119),I119&lt;&gt;"",H119&lt;&gt;""),ROUND((I119-H119)/Lists!$Q$2,2)*N119,0))</f>
        <v/>
      </c>
      <c r="R119" s="12">
        <f>IF(Q119="","",VLOOKUP(Q119,Lists!$E:$F,2,FALSE))</f>
        <v/>
      </c>
      <c r="AD119" s="9" t="n">
        <v>50</v>
      </c>
      <c r="AE119" s="11">
        <f>IF(AB119="","",IF(ISNUMBER(SEARCH("Basis",AB119)),(250/1.21)+MAX(0,AC119-5)*AD119,IF(ISNUMBER(SEARCH("Intensief",AB119)),(375/1.21)+MAX(0,AC119-7)*AD119,AC119*AD119)))</f>
        <v/>
      </c>
      <c r="AF119" s="13" t="n">
        <v>0.21</v>
      </c>
      <c r="AG119" s="11">
        <f>IF(AE119&lt;&gt;"",AE119*AF119,"")</f>
        <v/>
      </c>
      <c r="AH119" s="11">
        <f>IF(AE119&lt;&gt;"",AE119+AG119,"")</f>
        <v/>
      </c>
      <c r="AL119">
        <f>IF($B119="GWE_Item",IF($AI119="Elektra",SUMIFS($W:$W,$A:$A,$A119,$B:$B,"GWE")-SUMIFS($V:$V,$A:$A,$A119,$B:$B,"GWE"),IF($AI119="Gas",SUMIFS($Y:$Y,$A:$A,$A119,$B:$B,"GWE")-SUMIFS($X:$X,$A:$A,$A119,$B:$B,"GWE"),IF($AI119="Water",SUMIFS($AA:$AA,$A:$A,$A119,$B:$B,"GWE")-SUMIFS($Z:$Z,$A:$A,$A119,$B:$B,"GWE"),""))),"")</f>
        <v/>
      </c>
      <c r="AN119" s="11">
        <f>IF(AND(AL119&lt;&gt;"",AM119&lt;&gt;""),AL119*AM119,"")</f>
        <v/>
      </c>
      <c r="AO119" s="13" t="n"/>
      <c r="AP119" s="11">
        <f>IF(AND(AN119&lt;&gt;"",AO119&lt;&gt;""),AN119*AO119,"")</f>
        <v/>
      </c>
      <c r="AQ119" s="11">
        <f>IF(AND(AN119&lt;&gt;"",AP119&lt;&gt;""),AN119+AP119,"")</f>
        <v/>
      </c>
    </row>
    <row r="120">
      <c r="D120" s="8">
        <f>IF(A120="","",VLOOKUP(A120,Lists!$A:$B,2,FALSE))</f>
        <v/>
      </c>
      <c r="E120" s="8">
        <f>IF(C120="","",VLOOKUP(C120,Lists!$C:$D,2,FALSE))</f>
        <v/>
      </c>
      <c r="F120" s="8" t="n"/>
      <c r="G120" s="8" t="n"/>
      <c r="J120" s="9">
        <f>IF(A120="","",IFERROR(VLOOKUP(A120,Lists!$A:$H,8,FALSE),0))</f>
        <v/>
      </c>
      <c r="L120" s="9">
        <f>IF(A120="","",IFERROR(VLOOKUP(A120,Lists!$A:$H,7,FALSE),0))</f>
        <v/>
      </c>
      <c r="M120" s="10" t="n">
        <v>0.21</v>
      </c>
      <c r="N120" s="11">
        <f>L120 * (1 + M120)</f>
        <v/>
      </c>
      <c r="O120" s="11">
        <f>IF(K120="Eigen Beheer",0,IF(AND(ISNUMBER(N120),I120&lt;&gt;"",H120&lt;&gt;""),ROUND((I120-H120)/Lists!$Q$2,2)*N120,0))</f>
        <v/>
      </c>
      <c r="R120" s="12">
        <f>IF(Q120="","",VLOOKUP(Q120,Lists!$E:$F,2,FALSE))</f>
        <v/>
      </c>
      <c r="AD120" s="9" t="n">
        <v>50</v>
      </c>
      <c r="AE120" s="11">
        <f>IF(AB120="","",IF(ISNUMBER(SEARCH("Basis",AB120)),(250/1.21)+MAX(0,AC120-5)*AD120,IF(ISNUMBER(SEARCH("Intensief",AB120)),(375/1.21)+MAX(0,AC120-7)*AD120,AC120*AD120)))</f>
        <v/>
      </c>
      <c r="AF120" s="13" t="n">
        <v>0.21</v>
      </c>
      <c r="AG120" s="11">
        <f>IF(AE120&lt;&gt;"",AE120*AF120,"")</f>
        <v/>
      </c>
      <c r="AH120" s="11">
        <f>IF(AE120&lt;&gt;"",AE120+AG120,"")</f>
        <v/>
      </c>
      <c r="AL120">
        <f>IF($B120="GWE_Item",IF($AI120="Elektra",SUMIFS($W:$W,$A:$A,$A120,$B:$B,"GWE")-SUMIFS($V:$V,$A:$A,$A120,$B:$B,"GWE"),IF($AI120="Gas",SUMIFS($Y:$Y,$A:$A,$A120,$B:$B,"GWE")-SUMIFS($X:$X,$A:$A,$A120,$B:$B,"GWE"),IF($AI120="Water",SUMIFS($AA:$AA,$A:$A,$A120,$B:$B,"GWE")-SUMIFS($Z:$Z,$A:$A,$A120,$B:$B,"GWE"),""))),"")</f>
        <v/>
      </c>
      <c r="AN120" s="11">
        <f>IF(AND(AL120&lt;&gt;"",AM120&lt;&gt;""),AL120*AM120,"")</f>
        <v/>
      </c>
      <c r="AO120" s="13" t="n"/>
      <c r="AP120" s="11">
        <f>IF(AND(AN120&lt;&gt;"",AO120&lt;&gt;""),AN120*AO120,"")</f>
        <v/>
      </c>
      <c r="AQ120" s="11">
        <f>IF(AND(AN120&lt;&gt;"",AP120&lt;&gt;""),AN120+AP120,"")</f>
        <v/>
      </c>
    </row>
    <row r="121">
      <c r="D121" s="8">
        <f>IF(A121="","",VLOOKUP(A121,Lists!$A:$B,2,FALSE))</f>
        <v/>
      </c>
      <c r="E121" s="8">
        <f>IF(C121="","",VLOOKUP(C121,Lists!$C:$D,2,FALSE))</f>
        <v/>
      </c>
      <c r="F121" s="8" t="n"/>
      <c r="G121" s="8" t="n"/>
      <c r="J121" s="9">
        <f>IF(A121="","",IFERROR(VLOOKUP(A121,Lists!$A:$H,8,FALSE),0))</f>
        <v/>
      </c>
      <c r="L121" s="9">
        <f>IF(A121="","",IFERROR(VLOOKUP(A121,Lists!$A:$H,7,FALSE),0))</f>
        <v/>
      </c>
      <c r="M121" s="10" t="n">
        <v>0.21</v>
      </c>
      <c r="N121" s="11">
        <f>L121 * (1 + M121)</f>
        <v/>
      </c>
      <c r="O121" s="11">
        <f>IF(K121="Eigen Beheer",0,IF(AND(ISNUMBER(N121),I121&lt;&gt;"",H121&lt;&gt;""),ROUND((I121-H121)/Lists!$Q$2,2)*N121,0))</f>
        <v/>
      </c>
      <c r="R121" s="12">
        <f>IF(Q121="","",VLOOKUP(Q121,Lists!$E:$F,2,FALSE))</f>
        <v/>
      </c>
      <c r="AD121" s="9" t="n">
        <v>50</v>
      </c>
      <c r="AE121" s="11">
        <f>IF(AB121="","",IF(ISNUMBER(SEARCH("Basis",AB121)),(250/1.21)+MAX(0,AC121-5)*AD121,IF(ISNUMBER(SEARCH("Intensief",AB121)),(375/1.21)+MAX(0,AC121-7)*AD121,AC121*AD121)))</f>
        <v/>
      </c>
      <c r="AF121" s="13" t="n">
        <v>0.21</v>
      </c>
      <c r="AG121" s="11">
        <f>IF(AE121&lt;&gt;"",AE121*AF121,"")</f>
        <v/>
      </c>
      <c r="AH121" s="11">
        <f>IF(AE121&lt;&gt;"",AE121+AG121,"")</f>
        <v/>
      </c>
      <c r="AL121">
        <f>IF($B121="GWE_Item",IF($AI121="Elektra",SUMIFS($W:$W,$A:$A,$A121,$B:$B,"GWE")-SUMIFS($V:$V,$A:$A,$A121,$B:$B,"GWE"),IF($AI121="Gas",SUMIFS($Y:$Y,$A:$A,$A121,$B:$B,"GWE")-SUMIFS($X:$X,$A:$A,$A121,$B:$B,"GWE"),IF($AI121="Water",SUMIFS($AA:$AA,$A:$A,$A121,$B:$B,"GWE")-SUMIFS($Z:$Z,$A:$A,$A121,$B:$B,"GWE"),""))),"")</f>
        <v/>
      </c>
      <c r="AN121" s="11">
        <f>IF(AND(AL121&lt;&gt;"",AM121&lt;&gt;""),AL121*AM121,"")</f>
        <v/>
      </c>
      <c r="AO121" s="13" t="n"/>
      <c r="AP121" s="11">
        <f>IF(AND(AN121&lt;&gt;"",AO121&lt;&gt;""),AN121*AO121,"")</f>
        <v/>
      </c>
      <c r="AQ121" s="11">
        <f>IF(AND(AN121&lt;&gt;"",AP121&lt;&gt;""),AN121+AP121,"")</f>
        <v/>
      </c>
    </row>
    <row r="122">
      <c r="D122" s="8">
        <f>IF(A122="","",VLOOKUP(A122,Lists!$A:$B,2,FALSE))</f>
        <v/>
      </c>
      <c r="E122" s="8">
        <f>IF(C122="","",VLOOKUP(C122,Lists!$C:$D,2,FALSE))</f>
        <v/>
      </c>
      <c r="F122" s="8" t="n"/>
      <c r="G122" s="8" t="n"/>
      <c r="J122" s="9">
        <f>IF(A122="","",IFERROR(VLOOKUP(A122,Lists!$A:$H,8,FALSE),0))</f>
        <v/>
      </c>
      <c r="L122" s="9">
        <f>IF(A122="","",IFERROR(VLOOKUP(A122,Lists!$A:$H,7,FALSE),0))</f>
        <v/>
      </c>
      <c r="M122" s="10" t="n">
        <v>0.21</v>
      </c>
      <c r="N122" s="11">
        <f>L122 * (1 + M122)</f>
        <v/>
      </c>
      <c r="O122" s="11">
        <f>IF(K122="Eigen Beheer",0,IF(AND(ISNUMBER(N122),I122&lt;&gt;"",H122&lt;&gt;""),ROUND((I122-H122)/Lists!$Q$2,2)*N122,0))</f>
        <v/>
      </c>
      <c r="R122" s="12">
        <f>IF(Q122="","",VLOOKUP(Q122,Lists!$E:$F,2,FALSE))</f>
        <v/>
      </c>
      <c r="AD122" s="9" t="n">
        <v>50</v>
      </c>
      <c r="AE122" s="11">
        <f>IF(AB122="","",IF(ISNUMBER(SEARCH("Basis",AB122)),(250/1.21)+MAX(0,AC122-5)*AD122,IF(ISNUMBER(SEARCH("Intensief",AB122)),(375/1.21)+MAX(0,AC122-7)*AD122,AC122*AD122)))</f>
        <v/>
      </c>
      <c r="AF122" s="13" t="n">
        <v>0.21</v>
      </c>
      <c r="AG122" s="11">
        <f>IF(AE122&lt;&gt;"",AE122*AF122,"")</f>
        <v/>
      </c>
      <c r="AH122" s="11">
        <f>IF(AE122&lt;&gt;"",AE122+AG122,"")</f>
        <v/>
      </c>
      <c r="AL122">
        <f>IF($B122="GWE_Item",IF($AI122="Elektra",SUMIFS($W:$W,$A:$A,$A122,$B:$B,"GWE")-SUMIFS($V:$V,$A:$A,$A122,$B:$B,"GWE"),IF($AI122="Gas",SUMIFS($Y:$Y,$A:$A,$A122,$B:$B,"GWE")-SUMIFS($X:$X,$A:$A,$A122,$B:$B,"GWE"),IF($AI122="Water",SUMIFS($AA:$AA,$A:$A,$A122,$B:$B,"GWE")-SUMIFS($Z:$Z,$A:$A,$A122,$B:$B,"GWE"),""))),"")</f>
        <v/>
      </c>
      <c r="AN122" s="11">
        <f>IF(AND(AL122&lt;&gt;"",AM122&lt;&gt;""),AL122*AM122,"")</f>
        <v/>
      </c>
      <c r="AO122" s="13" t="n"/>
      <c r="AP122" s="11">
        <f>IF(AND(AN122&lt;&gt;"",AO122&lt;&gt;""),AN122*AO122,"")</f>
        <v/>
      </c>
      <c r="AQ122" s="11">
        <f>IF(AND(AN122&lt;&gt;"",AP122&lt;&gt;""),AN122+AP122,"")</f>
        <v/>
      </c>
    </row>
    <row r="123">
      <c r="D123" s="8">
        <f>IF(A123="","",VLOOKUP(A123,Lists!$A:$B,2,FALSE))</f>
        <v/>
      </c>
      <c r="E123" s="8">
        <f>IF(C123="","",VLOOKUP(C123,Lists!$C:$D,2,FALSE))</f>
        <v/>
      </c>
      <c r="F123" s="8" t="n"/>
      <c r="G123" s="8" t="n"/>
      <c r="J123" s="9">
        <f>IF(A123="","",IFERROR(VLOOKUP(A123,Lists!$A:$H,8,FALSE),0))</f>
        <v/>
      </c>
      <c r="L123" s="9">
        <f>IF(A123="","",IFERROR(VLOOKUP(A123,Lists!$A:$H,7,FALSE),0))</f>
        <v/>
      </c>
      <c r="M123" s="10" t="n">
        <v>0.21</v>
      </c>
      <c r="N123" s="11">
        <f>L123 * (1 + M123)</f>
        <v/>
      </c>
      <c r="O123" s="11">
        <f>IF(K123="Eigen Beheer",0,IF(AND(ISNUMBER(N123),I123&lt;&gt;"",H123&lt;&gt;""),ROUND((I123-H123)/Lists!$Q$2,2)*N123,0))</f>
        <v/>
      </c>
      <c r="R123" s="12">
        <f>IF(Q123="","",VLOOKUP(Q123,Lists!$E:$F,2,FALSE))</f>
        <v/>
      </c>
      <c r="AD123" s="9" t="n">
        <v>50</v>
      </c>
      <c r="AE123" s="11">
        <f>IF(AB123="","",IF(ISNUMBER(SEARCH("Basis",AB123)),(250/1.21)+MAX(0,AC123-5)*AD123,IF(ISNUMBER(SEARCH("Intensief",AB123)),(375/1.21)+MAX(0,AC123-7)*AD123,AC123*AD123)))</f>
        <v/>
      </c>
      <c r="AF123" s="13" t="n">
        <v>0.21</v>
      </c>
      <c r="AG123" s="11">
        <f>IF(AE123&lt;&gt;"",AE123*AF123,"")</f>
        <v/>
      </c>
      <c r="AH123" s="11">
        <f>IF(AE123&lt;&gt;"",AE123+AG123,"")</f>
        <v/>
      </c>
      <c r="AL123">
        <f>IF($B123="GWE_Item",IF($AI123="Elektra",SUMIFS($W:$W,$A:$A,$A123,$B:$B,"GWE")-SUMIFS($V:$V,$A:$A,$A123,$B:$B,"GWE"),IF($AI123="Gas",SUMIFS($Y:$Y,$A:$A,$A123,$B:$B,"GWE")-SUMIFS($X:$X,$A:$A,$A123,$B:$B,"GWE"),IF($AI123="Water",SUMIFS($AA:$AA,$A:$A,$A123,$B:$B,"GWE")-SUMIFS($Z:$Z,$A:$A,$A123,$B:$B,"GWE"),""))),"")</f>
        <v/>
      </c>
      <c r="AN123" s="11">
        <f>IF(AND(AL123&lt;&gt;"",AM123&lt;&gt;""),AL123*AM123,"")</f>
        <v/>
      </c>
      <c r="AO123" s="13" t="n"/>
      <c r="AP123" s="11">
        <f>IF(AND(AN123&lt;&gt;"",AO123&lt;&gt;""),AN123*AO123,"")</f>
        <v/>
      </c>
      <c r="AQ123" s="11">
        <f>IF(AND(AN123&lt;&gt;"",AP123&lt;&gt;""),AN123+AP123,"")</f>
        <v/>
      </c>
    </row>
    <row r="124">
      <c r="D124" s="8">
        <f>IF(A124="","",VLOOKUP(A124,Lists!$A:$B,2,FALSE))</f>
        <v/>
      </c>
      <c r="E124" s="8">
        <f>IF(C124="","",VLOOKUP(C124,Lists!$C:$D,2,FALSE))</f>
        <v/>
      </c>
      <c r="F124" s="8" t="n"/>
      <c r="G124" s="8" t="n"/>
      <c r="J124" s="9">
        <f>IF(A124="","",IFERROR(VLOOKUP(A124,Lists!$A:$H,8,FALSE),0))</f>
        <v/>
      </c>
      <c r="L124" s="9">
        <f>IF(A124="","",IFERROR(VLOOKUP(A124,Lists!$A:$H,7,FALSE),0))</f>
        <v/>
      </c>
      <c r="M124" s="10" t="n">
        <v>0.21</v>
      </c>
      <c r="N124" s="11">
        <f>L124 * (1 + M124)</f>
        <v/>
      </c>
      <c r="O124" s="11">
        <f>IF(K124="Eigen Beheer",0,IF(AND(ISNUMBER(N124),I124&lt;&gt;"",H124&lt;&gt;""),ROUND((I124-H124)/Lists!$Q$2,2)*N124,0))</f>
        <v/>
      </c>
      <c r="R124" s="12">
        <f>IF(Q124="","",VLOOKUP(Q124,Lists!$E:$F,2,FALSE))</f>
        <v/>
      </c>
      <c r="AD124" s="9" t="n">
        <v>50</v>
      </c>
      <c r="AE124" s="11">
        <f>IF(AB124="","",IF(ISNUMBER(SEARCH("Basis",AB124)),(250/1.21)+MAX(0,AC124-5)*AD124,IF(ISNUMBER(SEARCH("Intensief",AB124)),(375/1.21)+MAX(0,AC124-7)*AD124,AC124*AD124)))</f>
        <v/>
      </c>
      <c r="AF124" s="13" t="n">
        <v>0.21</v>
      </c>
      <c r="AG124" s="11">
        <f>IF(AE124&lt;&gt;"",AE124*AF124,"")</f>
        <v/>
      </c>
      <c r="AH124" s="11">
        <f>IF(AE124&lt;&gt;"",AE124+AG124,"")</f>
        <v/>
      </c>
      <c r="AL124">
        <f>IF($B124="GWE_Item",IF($AI124="Elektra",SUMIFS($W:$W,$A:$A,$A124,$B:$B,"GWE")-SUMIFS($V:$V,$A:$A,$A124,$B:$B,"GWE"),IF($AI124="Gas",SUMIFS($Y:$Y,$A:$A,$A124,$B:$B,"GWE")-SUMIFS($X:$X,$A:$A,$A124,$B:$B,"GWE"),IF($AI124="Water",SUMIFS($AA:$AA,$A:$A,$A124,$B:$B,"GWE")-SUMIFS($Z:$Z,$A:$A,$A124,$B:$B,"GWE"),""))),"")</f>
        <v/>
      </c>
      <c r="AN124" s="11">
        <f>IF(AND(AL124&lt;&gt;"",AM124&lt;&gt;""),AL124*AM124,"")</f>
        <v/>
      </c>
      <c r="AO124" s="13" t="n"/>
      <c r="AP124" s="11">
        <f>IF(AND(AN124&lt;&gt;"",AO124&lt;&gt;""),AN124*AO124,"")</f>
        <v/>
      </c>
      <c r="AQ124" s="11">
        <f>IF(AND(AN124&lt;&gt;"",AP124&lt;&gt;""),AN124+AP124,"")</f>
        <v/>
      </c>
    </row>
    <row r="125">
      <c r="D125" s="8">
        <f>IF(A125="","",VLOOKUP(A125,Lists!$A:$B,2,FALSE))</f>
        <v/>
      </c>
      <c r="E125" s="8">
        <f>IF(C125="","",VLOOKUP(C125,Lists!$C:$D,2,FALSE))</f>
        <v/>
      </c>
      <c r="F125" s="8" t="n"/>
      <c r="G125" s="8" t="n"/>
      <c r="J125" s="9">
        <f>IF(A125="","",IFERROR(VLOOKUP(A125,Lists!$A:$H,8,FALSE),0))</f>
        <v/>
      </c>
      <c r="L125" s="9">
        <f>IF(A125="","",IFERROR(VLOOKUP(A125,Lists!$A:$H,7,FALSE),0))</f>
        <v/>
      </c>
      <c r="M125" s="10" t="n">
        <v>0.21</v>
      </c>
      <c r="N125" s="11">
        <f>L125 * (1 + M125)</f>
        <v/>
      </c>
      <c r="O125" s="11">
        <f>IF(K125="Eigen Beheer",0,IF(AND(ISNUMBER(N125),I125&lt;&gt;"",H125&lt;&gt;""),ROUND((I125-H125)/Lists!$Q$2,2)*N125,0))</f>
        <v/>
      </c>
      <c r="R125" s="12">
        <f>IF(Q125="","",VLOOKUP(Q125,Lists!$E:$F,2,FALSE))</f>
        <v/>
      </c>
      <c r="AD125" s="9" t="n">
        <v>50</v>
      </c>
      <c r="AE125" s="11">
        <f>IF(AB125="","",IF(ISNUMBER(SEARCH("Basis",AB125)),(250/1.21)+MAX(0,AC125-5)*AD125,IF(ISNUMBER(SEARCH("Intensief",AB125)),(375/1.21)+MAX(0,AC125-7)*AD125,AC125*AD125)))</f>
        <v/>
      </c>
      <c r="AF125" s="13" t="n">
        <v>0.21</v>
      </c>
      <c r="AG125" s="11">
        <f>IF(AE125&lt;&gt;"",AE125*AF125,"")</f>
        <v/>
      </c>
      <c r="AH125" s="11">
        <f>IF(AE125&lt;&gt;"",AE125+AG125,"")</f>
        <v/>
      </c>
      <c r="AL125">
        <f>IF($B125="GWE_Item",IF($AI125="Elektra",SUMIFS($W:$W,$A:$A,$A125,$B:$B,"GWE")-SUMIFS($V:$V,$A:$A,$A125,$B:$B,"GWE"),IF($AI125="Gas",SUMIFS($Y:$Y,$A:$A,$A125,$B:$B,"GWE")-SUMIFS($X:$X,$A:$A,$A125,$B:$B,"GWE"),IF($AI125="Water",SUMIFS($AA:$AA,$A:$A,$A125,$B:$B,"GWE")-SUMIFS($Z:$Z,$A:$A,$A125,$B:$B,"GWE"),""))),"")</f>
        <v/>
      </c>
      <c r="AN125" s="11">
        <f>IF(AND(AL125&lt;&gt;"",AM125&lt;&gt;""),AL125*AM125,"")</f>
        <v/>
      </c>
      <c r="AO125" s="13" t="n"/>
      <c r="AP125" s="11">
        <f>IF(AND(AN125&lt;&gt;"",AO125&lt;&gt;""),AN125*AO125,"")</f>
        <v/>
      </c>
      <c r="AQ125" s="11">
        <f>IF(AND(AN125&lt;&gt;"",AP125&lt;&gt;""),AN125+AP125,"")</f>
        <v/>
      </c>
    </row>
    <row r="126">
      <c r="D126" s="8">
        <f>IF(A126="","",VLOOKUP(A126,Lists!$A:$B,2,FALSE))</f>
        <v/>
      </c>
      <c r="E126" s="8">
        <f>IF(C126="","",VLOOKUP(C126,Lists!$C:$D,2,FALSE))</f>
        <v/>
      </c>
      <c r="F126" s="8" t="n"/>
      <c r="G126" s="8" t="n"/>
      <c r="J126" s="9">
        <f>IF(A126="","",IFERROR(VLOOKUP(A126,Lists!$A:$H,8,FALSE),0))</f>
        <v/>
      </c>
      <c r="L126" s="9">
        <f>IF(A126="","",IFERROR(VLOOKUP(A126,Lists!$A:$H,7,FALSE),0))</f>
        <v/>
      </c>
      <c r="M126" s="10" t="n">
        <v>0.21</v>
      </c>
      <c r="N126" s="11">
        <f>L126 * (1 + M126)</f>
        <v/>
      </c>
      <c r="O126" s="11">
        <f>IF(K126="Eigen Beheer",0,IF(AND(ISNUMBER(N126),I126&lt;&gt;"",H126&lt;&gt;""),ROUND((I126-H126)/Lists!$Q$2,2)*N126,0))</f>
        <v/>
      </c>
      <c r="R126" s="12">
        <f>IF(Q126="","",VLOOKUP(Q126,Lists!$E:$F,2,FALSE))</f>
        <v/>
      </c>
      <c r="AD126" s="9" t="n">
        <v>50</v>
      </c>
      <c r="AE126" s="11">
        <f>IF(AB126="","",IF(ISNUMBER(SEARCH("Basis",AB126)),(250/1.21)+MAX(0,AC126-5)*AD126,IF(ISNUMBER(SEARCH("Intensief",AB126)),(375/1.21)+MAX(0,AC126-7)*AD126,AC126*AD126)))</f>
        <v/>
      </c>
      <c r="AF126" s="13" t="n">
        <v>0.21</v>
      </c>
      <c r="AG126" s="11">
        <f>IF(AE126&lt;&gt;"",AE126*AF126,"")</f>
        <v/>
      </c>
      <c r="AH126" s="11">
        <f>IF(AE126&lt;&gt;"",AE126+AG126,"")</f>
        <v/>
      </c>
      <c r="AL126">
        <f>IF($B126="GWE_Item",IF($AI126="Elektra",SUMIFS($W:$W,$A:$A,$A126,$B:$B,"GWE")-SUMIFS($V:$V,$A:$A,$A126,$B:$B,"GWE"),IF($AI126="Gas",SUMIFS($Y:$Y,$A:$A,$A126,$B:$B,"GWE")-SUMIFS($X:$X,$A:$A,$A126,$B:$B,"GWE"),IF($AI126="Water",SUMIFS($AA:$AA,$A:$A,$A126,$B:$B,"GWE")-SUMIFS($Z:$Z,$A:$A,$A126,$B:$B,"GWE"),""))),"")</f>
        <v/>
      </c>
      <c r="AN126" s="11">
        <f>IF(AND(AL126&lt;&gt;"",AM126&lt;&gt;""),AL126*AM126,"")</f>
        <v/>
      </c>
      <c r="AO126" s="13" t="n"/>
      <c r="AP126" s="11">
        <f>IF(AND(AN126&lt;&gt;"",AO126&lt;&gt;""),AN126*AO126,"")</f>
        <v/>
      </c>
      <c r="AQ126" s="11">
        <f>IF(AND(AN126&lt;&gt;"",AP126&lt;&gt;""),AN126+AP126,"")</f>
        <v/>
      </c>
    </row>
    <row r="127">
      <c r="D127" s="8">
        <f>IF(A127="","",VLOOKUP(A127,Lists!$A:$B,2,FALSE))</f>
        <v/>
      </c>
      <c r="E127" s="8">
        <f>IF(C127="","",VLOOKUP(C127,Lists!$C:$D,2,FALSE))</f>
        <v/>
      </c>
      <c r="F127" s="8" t="n"/>
      <c r="G127" s="8" t="n"/>
      <c r="J127" s="9">
        <f>IF(A127="","",IFERROR(VLOOKUP(A127,Lists!$A:$H,8,FALSE),0))</f>
        <v/>
      </c>
      <c r="L127" s="9">
        <f>IF(A127="","",IFERROR(VLOOKUP(A127,Lists!$A:$H,7,FALSE),0))</f>
        <v/>
      </c>
      <c r="M127" s="10" t="n">
        <v>0.21</v>
      </c>
      <c r="N127" s="11">
        <f>L127 * (1 + M127)</f>
        <v/>
      </c>
      <c r="O127" s="11">
        <f>IF(K127="Eigen Beheer",0,IF(AND(ISNUMBER(N127),I127&lt;&gt;"",H127&lt;&gt;""),ROUND((I127-H127)/Lists!$Q$2,2)*N127,0))</f>
        <v/>
      </c>
      <c r="R127" s="12">
        <f>IF(Q127="","",VLOOKUP(Q127,Lists!$E:$F,2,FALSE))</f>
        <v/>
      </c>
      <c r="AD127" s="9" t="n">
        <v>50</v>
      </c>
      <c r="AE127" s="11">
        <f>IF(AB127="","",IF(ISNUMBER(SEARCH("Basis",AB127)),(250/1.21)+MAX(0,AC127-5)*AD127,IF(ISNUMBER(SEARCH("Intensief",AB127)),(375/1.21)+MAX(0,AC127-7)*AD127,AC127*AD127)))</f>
        <v/>
      </c>
      <c r="AF127" s="13" t="n">
        <v>0.21</v>
      </c>
      <c r="AG127" s="11">
        <f>IF(AE127&lt;&gt;"",AE127*AF127,"")</f>
        <v/>
      </c>
      <c r="AH127" s="11">
        <f>IF(AE127&lt;&gt;"",AE127+AG127,"")</f>
        <v/>
      </c>
      <c r="AL127">
        <f>IF($B127="GWE_Item",IF($AI127="Elektra",SUMIFS($W:$W,$A:$A,$A127,$B:$B,"GWE")-SUMIFS($V:$V,$A:$A,$A127,$B:$B,"GWE"),IF($AI127="Gas",SUMIFS($Y:$Y,$A:$A,$A127,$B:$B,"GWE")-SUMIFS($X:$X,$A:$A,$A127,$B:$B,"GWE"),IF($AI127="Water",SUMIFS($AA:$AA,$A:$A,$A127,$B:$B,"GWE")-SUMIFS($Z:$Z,$A:$A,$A127,$B:$B,"GWE"),""))),"")</f>
        <v/>
      </c>
      <c r="AN127" s="11">
        <f>IF(AND(AL127&lt;&gt;"",AM127&lt;&gt;""),AL127*AM127,"")</f>
        <v/>
      </c>
      <c r="AO127" s="13" t="n"/>
      <c r="AP127" s="11">
        <f>IF(AND(AN127&lt;&gt;"",AO127&lt;&gt;""),AN127*AO127,"")</f>
        <v/>
      </c>
      <c r="AQ127" s="11">
        <f>IF(AND(AN127&lt;&gt;"",AP127&lt;&gt;""),AN127+AP127,"")</f>
        <v/>
      </c>
    </row>
    <row r="128">
      <c r="D128" s="8">
        <f>IF(A128="","",VLOOKUP(A128,Lists!$A:$B,2,FALSE))</f>
        <v/>
      </c>
      <c r="E128" s="8">
        <f>IF(C128="","",VLOOKUP(C128,Lists!$C:$D,2,FALSE))</f>
        <v/>
      </c>
      <c r="F128" s="8" t="n"/>
      <c r="G128" s="8" t="n"/>
      <c r="J128" s="9">
        <f>IF(A128="","",IFERROR(VLOOKUP(A128,Lists!$A:$H,8,FALSE),0))</f>
        <v/>
      </c>
      <c r="L128" s="9">
        <f>IF(A128="","",IFERROR(VLOOKUP(A128,Lists!$A:$H,7,FALSE),0))</f>
        <v/>
      </c>
      <c r="M128" s="10" t="n">
        <v>0.21</v>
      </c>
      <c r="N128" s="11">
        <f>L128 * (1 + M128)</f>
        <v/>
      </c>
      <c r="O128" s="11">
        <f>IF(K128="Eigen Beheer",0,IF(AND(ISNUMBER(N128),I128&lt;&gt;"",H128&lt;&gt;""),ROUND((I128-H128)/Lists!$Q$2,2)*N128,0))</f>
        <v/>
      </c>
      <c r="R128" s="12">
        <f>IF(Q128="","",VLOOKUP(Q128,Lists!$E:$F,2,FALSE))</f>
        <v/>
      </c>
      <c r="AD128" s="9" t="n">
        <v>50</v>
      </c>
      <c r="AE128" s="11">
        <f>IF(AB128="","",IF(ISNUMBER(SEARCH("Basis",AB128)),(250/1.21)+MAX(0,AC128-5)*AD128,IF(ISNUMBER(SEARCH("Intensief",AB128)),(375/1.21)+MAX(0,AC128-7)*AD128,AC128*AD128)))</f>
        <v/>
      </c>
      <c r="AF128" s="13" t="n">
        <v>0.21</v>
      </c>
      <c r="AG128" s="11">
        <f>IF(AE128&lt;&gt;"",AE128*AF128,"")</f>
        <v/>
      </c>
      <c r="AH128" s="11">
        <f>IF(AE128&lt;&gt;"",AE128+AG128,"")</f>
        <v/>
      </c>
      <c r="AL128">
        <f>IF($B128="GWE_Item",IF($AI128="Elektra",SUMIFS($W:$W,$A:$A,$A128,$B:$B,"GWE")-SUMIFS($V:$V,$A:$A,$A128,$B:$B,"GWE"),IF($AI128="Gas",SUMIFS($Y:$Y,$A:$A,$A128,$B:$B,"GWE")-SUMIFS($X:$X,$A:$A,$A128,$B:$B,"GWE"),IF($AI128="Water",SUMIFS($AA:$AA,$A:$A,$A128,$B:$B,"GWE")-SUMIFS($Z:$Z,$A:$A,$A128,$B:$B,"GWE"),""))),"")</f>
        <v/>
      </c>
      <c r="AN128" s="11">
        <f>IF(AND(AL128&lt;&gt;"",AM128&lt;&gt;""),AL128*AM128,"")</f>
        <v/>
      </c>
      <c r="AO128" s="13" t="n"/>
      <c r="AP128" s="11">
        <f>IF(AND(AN128&lt;&gt;"",AO128&lt;&gt;""),AN128*AO128,"")</f>
        <v/>
      </c>
      <c r="AQ128" s="11">
        <f>IF(AND(AN128&lt;&gt;"",AP128&lt;&gt;""),AN128+AP128,"")</f>
        <v/>
      </c>
    </row>
    <row r="129">
      <c r="D129" s="8">
        <f>IF(A129="","",VLOOKUP(A129,Lists!$A:$B,2,FALSE))</f>
        <v/>
      </c>
      <c r="E129" s="8">
        <f>IF(C129="","",VLOOKUP(C129,Lists!$C:$D,2,FALSE))</f>
        <v/>
      </c>
      <c r="F129" s="8" t="n"/>
      <c r="G129" s="8" t="n"/>
      <c r="J129" s="9">
        <f>IF(A129="","",IFERROR(VLOOKUP(A129,Lists!$A:$H,8,FALSE),0))</f>
        <v/>
      </c>
      <c r="L129" s="9">
        <f>IF(A129="","",IFERROR(VLOOKUP(A129,Lists!$A:$H,7,FALSE),0))</f>
        <v/>
      </c>
      <c r="M129" s="10" t="n">
        <v>0.21</v>
      </c>
      <c r="N129" s="11">
        <f>L129 * (1 + M129)</f>
        <v/>
      </c>
      <c r="O129" s="11">
        <f>IF(K129="Eigen Beheer",0,IF(AND(ISNUMBER(N129),I129&lt;&gt;"",H129&lt;&gt;""),ROUND((I129-H129)/Lists!$Q$2,2)*N129,0))</f>
        <v/>
      </c>
      <c r="R129" s="12">
        <f>IF(Q129="","",VLOOKUP(Q129,Lists!$E:$F,2,FALSE))</f>
        <v/>
      </c>
      <c r="AD129" s="9" t="n">
        <v>50</v>
      </c>
      <c r="AE129" s="11">
        <f>IF(AB129="","",IF(ISNUMBER(SEARCH("Basis",AB129)),(250/1.21)+MAX(0,AC129-5)*AD129,IF(ISNUMBER(SEARCH("Intensief",AB129)),(375/1.21)+MAX(0,AC129-7)*AD129,AC129*AD129)))</f>
        <v/>
      </c>
      <c r="AF129" s="13" t="n">
        <v>0.21</v>
      </c>
      <c r="AG129" s="11">
        <f>IF(AE129&lt;&gt;"",AE129*AF129,"")</f>
        <v/>
      </c>
      <c r="AH129" s="11">
        <f>IF(AE129&lt;&gt;"",AE129+AG129,"")</f>
        <v/>
      </c>
      <c r="AL129">
        <f>IF($B129="GWE_Item",IF($AI129="Elektra",SUMIFS($W:$W,$A:$A,$A129,$B:$B,"GWE")-SUMIFS($V:$V,$A:$A,$A129,$B:$B,"GWE"),IF($AI129="Gas",SUMIFS($Y:$Y,$A:$A,$A129,$B:$B,"GWE")-SUMIFS($X:$X,$A:$A,$A129,$B:$B,"GWE"),IF($AI129="Water",SUMIFS($AA:$AA,$A:$A,$A129,$B:$B,"GWE")-SUMIFS($Z:$Z,$A:$A,$A129,$B:$B,"GWE"),""))),"")</f>
        <v/>
      </c>
      <c r="AN129" s="11">
        <f>IF(AND(AL129&lt;&gt;"",AM129&lt;&gt;""),AL129*AM129,"")</f>
        <v/>
      </c>
      <c r="AO129" s="13" t="n"/>
      <c r="AP129" s="11">
        <f>IF(AND(AN129&lt;&gt;"",AO129&lt;&gt;""),AN129*AO129,"")</f>
        <v/>
      </c>
      <c r="AQ129" s="11">
        <f>IF(AND(AN129&lt;&gt;"",AP129&lt;&gt;""),AN129+AP129,"")</f>
        <v/>
      </c>
    </row>
    <row r="130">
      <c r="D130" s="8">
        <f>IF(A130="","",VLOOKUP(A130,Lists!$A:$B,2,FALSE))</f>
        <v/>
      </c>
      <c r="E130" s="8">
        <f>IF(C130="","",VLOOKUP(C130,Lists!$C:$D,2,FALSE))</f>
        <v/>
      </c>
      <c r="F130" s="8" t="n"/>
      <c r="G130" s="8" t="n"/>
      <c r="J130" s="9">
        <f>IF(A130="","",IFERROR(VLOOKUP(A130,Lists!$A:$H,8,FALSE),0))</f>
        <v/>
      </c>
      <c r="L130" s="9">
        <f>IF(A130="","",IFERROR(VLOOKUP(A130,Lists!$A:$H,7,FALSE),0))</f>
        <v/>
      </c>
      <c r="M130" s="10" t="n">
        <v>0.21</v>
      </c>
      <c r="N130" s="11">
        <f>L130 * (1 + M130)</f>
        <v/>
      </c>
      <c r="O130" s="11">
        <f>IF(K130="Eigen Beheer",0,IF(AND(ISNUMBER(N130),I130&lt;&gt;"",H130&lt;&gt;""),ROUND((I130-H130)/Lists!$Q$2,2)*N130,0))</f>
        <v/>
      </c>
      <c r="R130" s="12">
        <f>IF(Q130="","",VLOOKUP(Q130,Lists!$E:$F,2,FALSE))</f>
        <v/>
      </c>
      <c r="AD130" s="9" t="n">
        <v>50</v>
      </c>
      <c r="AE130" s="11">
        <f>IF(AB130="","",IF(ISNUMBER(SEARCH("Basis",AB130)),(250/1.21)+MAX(0,AC130-5)*AD130,IF(ISNUMBER(SEARCH("Intensief",AB130)),(375/1.21)+MAX(0,AC130-7)*AD130,AC130*AD130)))</f>
        <v/>
      </c>
      <c r="AF130" s="13" t="n">
        <v>0.21</v>
      </c>
      <c r="AG130" s="11">
        <f>IF(AE130&lt;&gt;"",AE130*AF130,"")</f>
        <v/>
      </c>
      <c r="AH130" s="11">
        <f>IF(AE130&lt;&gt;"",AE130+AG130,"")</f>
        <v/>
      </c>
      <c r="AL130">
        <f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>
        <f>IF(AND(AL130&lt;&gt;"",AM130&lt;&gt;""),AL130*AM130,"")</f>
        <v/>
      </c>
      <c r="AO130" s="13" t="n"/>
      <c r="AP130" s="11">
        <f>IF(AND(AN130&lt;&gt;"",AO130&lt;&gt;""),AN130*AO130,"")</f>
        <v/>
      </c>
      <c r="AQ130" s="11">
        <f>IF(AND(AN130&lt;&gt;"",AP130&lt;&gt;""),AN130+AP130,"")</f>
        <v/>
      </c>
    </row>
    <row r="131">
      <c r="D131" s="8">
        <f>IF(A131="","",VLOOKUP(A131,Lists!$A:$B,2,FALSE))</f>
        <v/>
      </c>
      <c r="E131" s="8">
        <f>IF(C131="","",VLOOKUP(C131,Lists!$C:$D,2,FALSE))</f>
        <v/>
      </c>
      <c r="F131" s="8" t="n"/>
      <c r="G131" s="8" t="n"/>
      <c r="J131" s="9">
        <f>IF(A131="","",IFERROR(VLOOKUP(A131,Lists!$A:$H,8,FALSE),0))</f>
        <v/>
      </c>
      <c r="L131" s="9">
        <f>IF(A131="","",IFERROR(VLOOKUP(A131,Lists!$A:$H,7,FALSE),0))</f>
        <v/>
      </c>
      <c r="M131" s="10" t="n">
        <v>0.21</v>
      </c>
      <c r="N131" s="11">
        <f>L131 * (1 + M131)</f>
        <v/>
      </c>
      <c r="O131" s="11">
        <f>IF(K131="Eigen Beheer",0,IF(AND(ISNUMBER(N131),I131&lt;&gt;"",H131&lt;&gt;""),ROUND((I131-H131)/Lists!$Q$2,2)*N131,0))</f>
        <v/>
      </c>
      <c r="R131" s="12">
        <f>IF(Q131="","",VLOOKUP(Q131,Lists!$E:$F,2,FALSE))</f>
        <v/>
      </c>
      <c r="AD131" s="9" t="n">
        <v>50</v>
      </c>
      <c r="AE131" s="11">
        <f>IF(AB131="","",IF(ISNUMBER(SEARCH("Basis",AB131)),(250/1.21)+MAX(0,AC131-5)*AD131,IF(ISNUMBER(SEARCH("Intensief",AB131)),(375/1.21)+MAX(0,AC131-7)*AD131,AC131*AD131)))</f>
        <v/>
      </c>
      <c r="AF131" s="13" t="n">
        <v>0.21</v>
      </c>
      <c r="AG131" s="11">
        <f>IF(AE131&lt;&gt;"",AE131*AF131,"")</f>
        <v/>
      </c>
      <c r="AH131" s="11">
        <f>IF(AE131&lt;&gt;"",AE131+AG131,"")</f>
        <v/>
      </c>
      <c r="AL131">
        <f>IF($B131="GWE_Item",IF($AI131="Elektra",SUMIFS($W:$W,$A:$A,$A131,$B:$B,"GWE")-SUMIFS($V:$V,$A:$A,$A131,$B:$B,"GWE"),IF($AI131="Gas",SUMIFS($Y:$Y,$A:$A,$A131,$B:$B,"GWE")-SUMIFS($X:$X,$A:$A,$A131,$B:$B,"GWE"),IF($AI131="Water",SUMIFS($AA:$AA,$A:$A,$A131,$B:$B,"GWE")-SUMIFS($Z:$Z,$A:$A,$A131,$B:$B,"GWE"),""))),"")</f>
        <v/>
      </c>
      <c r="AN131" s="11">
        <f>IF(AND(AL131&lt;&gt;"",AM131&lt;&gt;""),AL131*AM131,"")</f>
        <v/>
      </c>
      <c r="AO131" s="13" t="n"/>
      <c r="AP131" s="11">
        <f>IF(AND(AN131&lt;&gt;"",AO131&lt;&gt;""),AN131*AO131,"")</f>
        <v/>
      </c>
      <c r="AQ131" s="11">
        <f>IF(AND(AN131&lt;&gt;"",AP131&lt;&gt;""),AN131+AP131,"")</f>
        <v/>
      </c>
    </row>
    <row r="132">
      <c r="D132" s="8">
        <f>IF(A132="","",VLOOKUP(A132,Lists!$A:$B,2,FALSE))</f>
        <v/>
      </c>
      <c r="E132" s="8">
        <f>IF(C132="","",VLOOKUP(C132,Lists!$C:$D,2,FALSE))</f>
        <v/>
      </c>
      <c r="F132" s="8" t="n"/>
      <c r="G132" s="8" t="n"/>
      <c r="J132" s="9">
        <f>IF(A132="","",IFERROR(VLOOKUP(A132,Lists!$A:$H,8,FALSE),0))</f>
        <v/>
      </c>
      <c r="L132" s="9">
        <f>IF(A132="","",IFERROR(VLOOKUP(A132,Lists!$A:$H,7,FALSE),0))</f>
        <v/>
      </c>
      <c r="M132" s="10" t="n">
        <v>0.21</v>
      </c>
      <c r="N132" s="11">
        <f>L132 * (1 + M132)</f>
        <v/>
      </c>
      <c r="O132" s="11">
        <f>IF(K132="Eigen Beheer",0,IF(AND(ISNUMBER(N132),I132&lt;&gt;"",H132&lt;&gt;""),ROUND((I132-H132)/Lists!$Q$2,2)*N132,0))</f>
        <v/>
      </c>
      <c r="R132" s="12">
        <f>IF(Q132="","",VLOOKUP(Q132,Lists!$E:$F,2,FALSE))</f>
        <v/>
      </c>
      <c r="AD132" s="9" t="n">
        <v>50</v>
      </c>
      <c r="AE132" s="11">
        <f>IF(AB132="","",IF(ISNUMBER(SEARCH("Basis",AB132)),(250/1.21)+MAX(0,AC132-5)*AD132,IF(ISNUMBER(SEARCH("Intensief",AB132)),(375/1.21)+MAX(0,AC132-7)*AD132,AC132*AD132)))</f>
        <v/>
      </c>
      <c r="AF132" s="13" t="n">
        <v>0.21</v>
      </c>
      <c r="AG132" s="11">
        <f>IF(AE132&lt;&gt;"",AE132*AF132,"")</f>
        <v/>
      </c>
      <c r="AH132" s="11">
        <f>IF(AE132&lt;&gt;"",AE132+AG132,"")</f>
        <v/>
      </c>
      <c r="AL132">
        <f>IF($B132="GWE_Item",IF($AI132="Elektra",SUMIFS($W:$W,$A:$A,$A132,$B:$B,"GWE")-SUMIFS($V:$V,$A:$A,$A132,$B:$B,"GWE"),IF($AI132="Gas",SUMIFS($Y:$Y,$A:$A,$A132,$B:$B,"GWE")-SUMIFS($X:$X,$A:$A,$A132,$B:$B,"GWE"),IF($AI132="Water",SUMIFS($AA:$AA,$A:$A,$A132,$B:$B,"GWE")-SUMIFS($Z:$Z,$A:$A,$A132,$B:$B,"GWE"),""))),"")</f>
        <v/>
      </c>
      <c r="AN132" s="11">
        <f>IF(AND(AL132&lt;&gt;"",AM132&lt;&gt;""),AL132*AM132,"")</f>
        <v/>
      </c>
      <c r="AO132" s="13" t="n"/>
      <c r="AP132" s="11">
        <f>IF(AND(AN132&lt;&gt;"",AO132&lt;&gt;""),AN132*AO132,"")</f>
        <v/>
      </c>
      <c r="AQ132" s="11">
        <f>IF(AND(AN132&lt;&gt;"",AP132&lt;&gt;""),AN132+AP132,"")</f>
        <v/>
      </c>
    </row>
    <row r="133">
      <c r="D133" s="8">
        <f>IF(A133="","",VLOOKUP(A133,Lists!$A:$B,2,FALSE))</f>
        <v/>
      </c>
      <c r="E133" s="8">
        <f>IF(C133="","",VLOOKUP(C133,Lists!$C:$D,2,FALSE))</f>
        <v/>
      </c>
      <c r="F133" s="8" t="n"/>
      <c r="G133" s="8" t="n"/>
      <c r="J133" s="9">
        <f>IF(A133="","",IFERROR(VLOOKUP(A133,Lists!$A:$H,8,FALSE),0))</f>
        <v/>
      </c>
      <c r="L133" s="9">
        <f>IF(A133="","",IFERROR(VLOOKUP(A133,Lists!$A:$H,7,FALSE),0))</f>
        <v/>
      </c>
      <c r="M133" s="10" t="n">
        <v>0.21</v>
      </c>
      <c r="N133" s="11">
        <f>L133 * (1 + M133)</f>
        <v/>
      </c>
      <c r="O133" s="11">
        <f>IF(K133="Eigen Beheer",0,IF(AND(ISNUMBER(N133),I133&lt;&gt;"",H133&lt;&gt;""),ROUND((I133-H133)/Lists!$Q$2,2)*N133,0))</f>
        <v/>
      </c>
      <c r="R133" s="12">
        <f>IF(Q133="","",VLOOKUP(Q133,Lists!$E:$F,2,FALSE))</f>
        <v/>
      </c>
      <c r="AD133" s="9" t="n">
        <v>50</v>
      </c>
      <c r="AE133" s="11">
        <f>IF(AB133="","",IF(ISNUMBER(SEARCH("Basis",AB133)),(250/1.21)+MAX(0,AC133-5)*AD133,IF(ISNUMBER(SEARCH("Intensief",AB133)),(375/1.21)+MAX(0,AC133-7)*AD133,AC133*AD133)))</f>
        <v/>
      </c>
      <c r="AF133" s="13" t="n">
        <v>0.21</v>
      </c>
      <c r="AG133" s="11">
        <f>IF(AE133&lt;&gt;"",AE133*AF133,"")</f>
        <v/>
      </c>
      <c r="AH133" s="11">
        <f>IF(AE133&lt;&gt;"",AE133+AG133,"")</f>
        <v/>
      </c>
      <c r="AL133">
        <f>IF($B133="GWE_Item",IF($AI133="Elektra",SUMIFS($W:$W,$A:$A,$A133,$B:$B,"GWE")-SUMIFS($V:$V,$A:$A,$A133,$B:$B,"GWE"),IF($AI133="Gas",SUMIFS($Y:$Y,$A:$A,$A133,$B:$B,"GWE")-SUMIFS($X:$X,$A:$A,$A133,$B:$B,"GWE"),IF($AI133="Water",SUMIFS($AA:$AA,$A:$A,$A133,$B:$B,"GWE")-SUMIFS($Z:$Z,$A:$A,$A133,$B:$B,"GWE"),""))),"")</f>
        <v/>
      </c>
      <c r="AN133" s="11">
        <f>IF(AND(AL133&lt;&gt;"",AM133&lt;&gt;""),AL133*AM133,"")</f>
        <v/>
      </c>
      <c r="AO133" s="13" t="n"/>
      <c r="AP133" s="11">
        <f>IF(AND(AN133&lt;&gt;"",AO133&lt;&gt;""),AN133*AO133,"")</f>
        <v/>
      </c>
      <c r="AQ133" s="11">
        <f>IF(AND(AN133&lt;&gt;"",AP133&lt;&gt;""),AN133+AP133,"")</f>
        <v/>
      </c>
    </row>
    <row r="134">
      <c r="D134" s="8">
        <f>IF(A134="","",VLOOKUP(A134,Lists!$A:$B,2,FALSE))</f>
        <v/>
      </c>
      <c r="E134" s="8">
        <f>IF(C134="","",VLOOKUP(C134,Lists!$C:$D,2,FALSE))</f>
        <v/>
      </c>
      <c r="F134" s="8" t="n"/>
      <c r="G134" s="8" t="n"/>
      <c r="J134" s="9">
        <f>IF(A134="","",IFERROR(VLOOKUP(A134,Lists!$A:$H,8,FALSE),0))</f>
        <v/>
      </c>
      <c r="L134" s="9">
        <f>IF(A134="","",IFERROR(VLOOKUP(A134,Lists!$A:$H,7,FALSE),0))</f>
        <v/>
      </c>
      <c r="M134" s="10" t="n">
        <v>0.21</v>
      </c>
      <c r="N134" s="11">
        <f>L134 * (1 + M134)</f>
        <v/>
      </c>
      <c r="O134" s="11">
        <f>IF(K134="Eigen Beheer",0,IF(AND(ISNUMBER(N134),I134&lt;&gt;"",H134&lt;&gt;""),ROUND((I134-H134)/Lists!$Q$2,2)*N134,0))</f>
        <v/>
      </c>
      <c r="R134" s="12">
        <f>IF(Q134="","",VLOOKUP(Q134,Lists!$E:$F,2,FALSE))</f>
        <v/>
      </c>
      <c r="AD134" s="9" t="n">
        <v>50</v>
      </c>
      <c r="AE134" s="11">
        <f>IF(AB134="","",IF(ISNUMBER(SEARCH("Basis",AB134)),(250/1.21)+MAX(0,AC134-5)*AD134,IF(ISNUMBER(SEARCH("Intensief",AB134)),(375/1.21)+MAX(0,AC134-7)*AD134,AC134*AD134)))</f>
        <v/>
      </c>
      <c r="AF134" s="13" t="n">
        <v>0.21</v>
      </c>
      <c r="AG134" s="11">
        <f>IF(AE134&lt;&gt;"",AE134*AF134,"")</f>
        <v/>
      </c>
      <c r="AH134" s="11">
        <f>IF(AE134&lt;&gt;"",AE134+AG134,"")</f>
        <v/>
      </c>
      <c r="AL134">
        <f>IF($B134="GWE_Item",IF($AI134="Elektra",SUMIFS($W:$W,$A:$A,$A134,$B:$B,"GWE")-SUMIFS($V:$V,$A:$A,$A134,$B:$B,"GWE"),IF($AI134="Gas",SUMIFS($Y:$Y,$A:$A,$A134,$B:$B,"GWE")-SUMIFS($X:$X,$A:$A,$A134,$B:$B,"GWE"),IF($AI134="Water",SUMIFS($AA:$AA,$A:$A,$A134,$B:$B,"GWE")-SUMIFS($Z:$Z,$A:$A,$A134,$B:$B,"GWE"),""))),"")</f>
        <v/>
      </c>
      <c r="AN134" s="11">
        <f>IF(AND(AL134&lt;&gt;"",AM134&lt;&gt;""),AL134*AM134,"")</f>
        <v/>
      </c>
      <c r="AO134" s="13" t="n"/>
      <c r="AP134" s="11">
        <f>IF(AND(AN134&lt;&gt;"",AO134&lt;&gt;""),AN134*AO134,"")</f>
        <v/>
      </c>
      <c r="AQ134" s="11">
        <f>IF(AND(AN134&lt;&gt;"",AP134&lt;&gt;""),AN134+AP134,"")</f>
        <v/>
      </c>
    </row>
    <row r="135">
      <c r="D135" s="8">
        <f>IF(A135="","",VLOOKUP(A135,Lists!$A:$B,2,FALSE))</f>
        <v/>
      </c>
      <c r="E135" s="8">
        <f>IF(C135="","",VLOOKUP(C135,Lists!$C:$D,2,FALSE))</f>
        <v/>
      </c>
      <c r="F135" s="8" t="n"/>
      <c r="G135" s="8" t="n"/>
      <c r="J135" s="9">
        <f>IF(A135="","",IFERROR(VLOOKUP(A135,Lists!$A:$H,8,FALSE),0))</f>
        <v/>
      </c>
      <c r="L135" s="9">
        <f>IF(A135="","",IFERROR(VLOOKUP(A135,Lists!$A:$H,7,FALSE),0))</f>
        <v/>
      </c>
      <c r="M135" s="10" t="n">
        <v>0.21</v>
      </c>
      <c r="N135" s="11">
        <f>L135 * (1 + M135)</f>
        <v/>
      </c>
      <c r="O135" s="11">
        <f>IF(K135="Eigen Beheer",0,IF(AND(ISNUMBER(N135),I135&lt;&gt;"",H135&lt;&gt;""),ROUND((I135-H135)/Lists!$Q$2,2)*N135,0))</f>
        <v/>
      </c>
      <c r="R135" s="12">
        <f>IF(Q135="","",VLOOKUP(Q135,Lists!$E:$F,2,FALSE))</f>
        <v/>
      </c>
      <c r="AD135" s="9" t="n">
        <v>50</v>
      </c>
      <c r="AE135" s="11">
        <f>IF(AB135="","",IF(ISNUMBER(SEARCH("Basis",AB135)),(250/1.21)+MAX(0,AC135-5)*AD135,IF(ISNUMBER(SEARCH("Intensief",AB135)),(375/1.21)+MAX(0,AC135-7)*AD135,AC135*AD135)))</f>
        <v/>
      </c>
      <c r="AF135" s="13" t="n">
        <v>0.21</v>
      </c>
      <c r="AG135" s="11">
        <f>IF(AE135&lt;&gt;"",AE135*AF135,"")</f>
        <v/>
      </c>
      <c r="AH135" s="11">
        <f>IF(AE135&lt;&gt;"",AE135+AG135,"")</f>
        <v/>
      </c>
      <c r="AL135">
        <f>IF($B135="GWE_Item",IF($AI135="Elektra",SUMIFS($W:$W,$A:$A,$A135,$B:$B,"GWE")-SUMIFS($V:$V,$A:$A,$A135,$B:$B,"GWE"),IF($AI135="Gas",SUMIFS($Y:$Y,$A:$A,$A135,$B:$B,"GWE")-SUMIFS($X:$X,$A:$A,$A135,$B:$B,"GWE"),IF($AI135="Water",SUMIFS($AA:$AA,$A:$A,$A135,$B:$B,"GWE")-SUMIFS($Z:$Z,$A:$A,$A135,$B:$B,"GWE"),""))),"")</f>
        <v/>
      </c>
      <c r="AN135" s="11">
        <f>IF(AND(AL135&lt;&gt;"",AM135&lt;&gt;""),AL135*AM135,"")</f>
        <v/>
      </c>
      <c r="AO135" s="13" t="n"/>
      <c r="AP135" s="11">
        <f>IF(AND(AN135&lt;&gt;"",AO135&lt;&gt;""),AN135*AO135,"")</f>
        <v/>
      </c>
      <c r="AQ135" s="11">
        <f>IF(AND(AN135&lt;&gt;"",AP135&lt;&gt;""),AN135+AP135,"")</f>
        <v/>
      </c>
    </row>
    <row r="136">
      <c r="D136" s="8">
        <f>IF(A136="","",VLOOKUP(A136,Lists!$A:$B,2,FALSE))</f>
        <v/>
      </c>
      <c r="E136" s="8">
        <f>IF(C136="","",VLOOKUP(C136,Lists!$C:$D,2,FALSE))</f>
        <v/>
      </c>
      <c r="F136" s="8" t="n"/>
      <c r="G136" s="8" t="n"/>
      <c r="J136" s="9">
        <f>IF(A136="","",IFERROR(VLOOKUP(A136,Lists!$A:$H,8,FALSE),0))</f>
        <v/>
      </c>
      <c r="L136" s="9">
        <f>IF(A136="","",IFERROR(VLOOKUP(A136,Lists!$A:$H,7,FALSE),0))</f>
        <v/>
      </c>
      <c r="M136" s="10" t="n">
        <v>0.21</v>
      </c>
      <c r="N136" s="11">
        <f>L136 * (1 + M136)</f>
        <v/>
      </c>
      <c r="O136" s="11">
        <f>IF(K136="Eigen Beheer",0,IF(AND(ISNUMBER(N136),I136&lt;&gt;"",H136&lt;&gt;""),ROUND((I136-H136)/Lists!$Q$2,2)*N136,0))</f>
        <v/>
      </c>
      <c r="R136" s="12">
        <f>IF(Q136="","",VLOOKUP(Q136,Lists!$E:$F,2,FALSE))</f>
        <v/>
      </c>
      <c r="AD136" s="9" t="n">
        <v>50</v>
      </c>
      <c r="AE136" s="11">
        <f>IF(AB136="","",IF(ISNUMBER(SEARCH("Basis",AB136)),(250/1.21)+MAX(0,AC136-5)*AD136,IF(ISNUMBER(SEARCH("Intensief",AB136)),(375/1.21)+MAX(0,AC136-7)*AD136,AC136*AD136)))</f>
        <v/>
      </c>
      <c r="AF136" s="13" t="n">
        <v>0.21</v>
      </c>
      <c r="AG136" s="11">
        <f>IF(AE136&lt;&gt;"",AE136*AF136,"")</f>
        <v/>
      </c>
      <c r="AH136" s="11">
        <f>IF(AE136&lt;&gt;"",AE136+AG136,"")</f>
        <v/>
      </c>
      <c r="AL136">
        <f>IF($B136="GWE_Item",IF($AI136="Elektra",SUMIFS($W:$W,$A:$A,$A136,$B:$B,"GWE")-SUMIFS($V:$V,$A:$A,$A136,$B:$B,"GWE"),IF($AI136="Gas",SUMIFS($Y:$Y,$A:$A,$A136,$B:$B,"GWE")-SUMIFS($X:$X,$A:$A,$A136,$B:$B,"GWE"),IF($AI136="Water",SUMIFS($AA:$AA,$A:$A,$A136,$B:$B,"GWE")-SUMIFS($Z:$Z,$A:$A,$A136,$B:$B,"GWE"),""))),"")</f>
        <v/>
      </c>
      <c r="AN136" s="11">
        <f>IF(AND(AL136&lt;&gt;"",AM136&lt;&gt;""),AL136*AM136,"")</f>
        <v/>
      </c>
      <c r="AO136" s="13" t="n"/>
      <c r="AP136" s="11">
        <f>IF(AND(AN136&lt;&gt;"",AO136&lt;&gt;""),AN136*AO136,"")</f>
        <v/>
      </c>
      <c r="AQ136" s="11">
        <f>IF(AND(AN136&lt;&gt;"",AP136&lt;&gt;""),AN136+AP136,"")</f>
        <v/>
      </c>
    </row>
    <row r="137">
      <c r="D137" s="8">
        <f>IF(A137="","",VLOOKUP(A137,Lists!$A:$B,2,FALSE))</f>
        <v/>
      </c>
      <c r="E137" s="8">
        <f>IF(C137="","",VLOOKUP(C137,Lists!$C:$D,2,FALSE))</f>
        <v/>
      </c>
      <c r="F137" s="8" t="n"/>
      <c r="G137" s="8" t="n"/>
      <c r="J137" s="9">
        <f>IF(A137="","",IFERROR(VLOOKUP(A137,Lists!$A:$H,8,FALSE),0))</f>
        <v/>
      </c>
      <c r="L137" s="9">
        <f>IF(A137="","",IFERROR(VLOOKUP(A137,Lists!$A:$H,7,FALSE),0))</f>
        <v/>
      </c>
      <c r="M137" s="10" t="n">
        <v>0.21</v>
      </c>
      <c r="N137" s="11">
        <f>L137 * (1 + M137)</f>
        <v/>
      </c>
      <c r="O137" s="11">
        <f>IF(K137="Eigen Beheer",0,IF(AND(ISNUMBER(N137),I137&lt;&gt;"",H137&lt;&gt;""),ROUND((I137-H137)/Lists!$Q$2,2)*N137,0))</f>
        <v/>
      </c>
      <c r="R137" s="12">
        <f>IF(Q137="","",VLOOKUP(Q137,Lists!$E:$F,2,FALSE))</f>
        <v/>
      </c>
      <c r="AD137" s="9" t="n">
        <v>50</v>
      </c>
      <c r="AE137" s="11">
        <f>IF(AB137="","",IF(ISNUMBER(SEARCH("Basis",AB137)),(250/1.21)+MAX(0,AC137-5)*AD137,IF(ISNUMBER(SEARCH("Intensief",AB137)),(375/1.21)+MAX(0,AC137-7)*AD137,AC137*AD137)))</f>
        <v/>
      </c>
      <c r="AF137" s="13" t="n">
        <v>0.21</v>
      </c>
      <c r="AG137" s="11">
        <f>IF(AE137&lt;&gt;"",AE137*AF137,"")</f>
        <v/>
      </c>
      <c r="AH137" s="11">
        <f>IF(AE137&lt;&gt;"",AE137+AG137,"")</f>
        <v/>
      </c>
      <c r="AL137">
        <f>IF($B137="GWE_Item",IF($AI137="Elektra",SUMIFS($W:$W,$A:$A,$A137,$B:$B,"GWE")-SUMIFS($V:$V,$A:$A,$A137,$B:$B,"GWE"),IF($AI137="Gas",SUMIFS($Y:$Y,$A:$A,$A137,$B:$B,"GWE")-SUMIFS($X:$X,$A:$A,$A137,$B:$B,"GWE"),IF($AI137="Water",SUMIFS($AA:$AA,$A:$A,$A137,$B:$B,"GWE")-SUMIFS($Z:$Z,$A:$A,$A137,$B:$B,"GWE"),""))),"")</f>
        <v/>
      </c>
      <c r="AN137" s="11">
        <f>IF(AND(AL137&lt;&gt;"",AM137&lt;&gt;""),AL137*AM137,"")</f>
        <v/>
      </c>
      <c r="AO137" s="13" t="n"/>
      <c r="AP137" s="11">
        <f>IF(AND(AN137&lt;&gt;"",AO137&lt;&gt;""),AN137*AO137,"")</f>
        <v/>
      </c>
      <c r="AQ137" s="11">
        <f>IF(AND(AN137&lt;&gt;"",AP137&lt;&gt;""),AN137+AP137,"")</f>
        <v/>
      </c>
    </row>
    <row r="138">
      <c r="D138" s="8">
        <f>IF(A138="","",VLOOKUP(A138,Lists!$A:$B,2,FALSE))</f>
        <v/>
      </c>
      <c r="E138" s="8">
        <f>IF(C138="","",VLOOKUP(C138,Lists!$C:$D,2,FALSE))</f>
        <v/>
      </c>
      <c r="F138" s="8" t="n"/>
      <c r="G138" s="8" t="n"/>
      <c r="J138" s="9">
        <f>IF(A138="","",IFERROR(VLOOKUP(A138,Lists!$A:$H,8,FALSE),0))</f>
        <v/>
      </c>
      <c r="L138" s="9">
        <f>IF(A138="","",IFERROR(VLOOKUP(A138,Lists!$A:$H,7,FALSE),0))</f>
        <v/>
      </c>
      <c r="M138" s="10" t="n">
        <v>0.21</v>
      </c>
      <c r="N138" s="11">
        <f>L138 * (1 + M138)</f>
        <v/>
      </c>
      <c r="O138" s="11">
        <f>IF(K138="Eigen Beheer",0,IF(AND(ISNUMBER(N138),I138&lt;&gt;"",H138&lt;&gt;""),ROUND((I138-H138)/Lists!$Q$2,2)*N138,0))</f>
        <v/>
      </c>
      <c r="R138" s="12">
        <f>IF(Q138="","",VLOOKUP(Q138,Lists!$E:$F,2,FALSE))</f>
        <v/>
      </c>
      <c r="AD138" s="9" t="n">
        <v>50</v>
      </c>
      <c r="AE138" s="11">
        <f>IF(AB138="","",IF(ISNUMBER(SEARCH("Basis",AB138)),(250/1.21)+MAX(0,AC138-5)*AD138,IF(ISNUMBER(SEARCH("Intensief",AB138)),(375/1.21)+MAX(0,AC138-7)*AD138,AC138*AD138)))</f>
        <v/>
      </c>
      <c r="AF138" s="13" t="n">
        <v>0.21</v>
      </c>
      <c r="AG138" s="11">
        <f>IF(AE138&lt;&gt;"",AE138*AF138,"")</f>
        <v/>
      </c>
      <c r="AH138" s="11">
        <f>IF(AE138&lt;&gt;"",AE138+AG138,"")</f>
        <v/>
      </c>
      <c r="AL138">
        <f>IF($B138="GWE_Item",IF($AI138="Elektra",SUMIFS($W:$W,$A:$A,$A138,$B:$B,"GWE")-SUMIFS($V:$V,$A:$A,$A138,$B:$B,"GWE"),IF($AI138="Gas",SUMIFS($Y:$Y,$A:$A,$A138,$B:$B,"GWE")-SUMIFS($X:$X,$A:$A,$A138,$B:$B,"GWE"),IF($AI138="Water",SUMIFS($AA:$AA,$A:$A,$A138,$B:$B,"GWE")-SUMIFS($Z:$Z,$A:$A,$A138,$B:$B,"GWE"),""))),"")</f>
        <v/>
      </c>
      <c r="AN138" s="11">
        <f>IF(AND(AL138&lt;&gt;"",AM138&lt;&gt;""),AL138*AM138,"")</f>
        <v/>
      </c>
      <c r="AO138" s="13" t="n"/>
      <c r="AP138" s="11">
        <f>IF(AND(AN138&lt;&gt;"",AO138&lt;&gt;""),AN138*AO138,"")</f>
        <v/>
      </c>
      <c r="AQ138" s="11">
        <f>IF(AND(AN138&lt;&gt;"",AP138&lt;&gt;""),AN138+AP138,"")</f>
        <v/>
      </c>
    </row>
    <row r="139">
      <c r="D139" s="8">
        <f>IF(A139="","",VLOOKUP(A139,Lists!$A:$B,2,FALSE))</f>
        <v/>
      </c>
      <c r="E139" s="8">
        <f>IF(C139="","",VLOOKUP(C139,Lists!$C:$D,2,FALSE))</f>
        <v/>
      </c>
      <c r="F139" s="8" t="n"/>
      <c r="G139" s="8" t="n"/>
      <c r="J139" s="9">
        <f>IF(A139="","",IFERROR(VLOOKUP(A139,Lists!$A:$H,8,FALSE),0))</f>
        <v/>
      </c>
      <c r="L139" s="9">
        <f>IF(A139="","",IFERROR(VLOOKUP(A139,Lists!$A:$H,7,FALSE),0))</f>
        <v/>
      </c>
      <c r="M139" s="10" t="n">
        <v>0.21</v>
      </c>
      <c r="N139" s="11">
        <f>L139 * (1 + M139)</f>
        <v/>
      </c>
      <c r="O139" s="11">
        <f>IF(K139="Eigen Beheer",0,IF(AND(ISNUMBER(N139),I139&lt;&gt;"",H139&lt;&gt;""),ROUND((I139-H139)/Lists!$Q$2,2)*N139,0))</f>
        <v/>
      </c>
      <c r="R139" s="12">
        <f>IF(Q139="","",VLOOKUP(Q139,Lists!$E:$F,2,FALSE))</f>
        <v/>
      </c>
      <c r="AD139" s="9" t="n">
        <v>50</v>
      </c>
      <c r="AE139" s="11">
        <f>IF(AB139="","",IF(ISNUMBER(SEARCH("Basis",AB139)),(250/1.21)+MAX(0,AC139-5)*AD139,IF(ISNUMBER(SEARCH("Intensief",AB139)),(375/1.21)+MAX(0,AC139-7)*AD139,AC139*AD139)))</f>
        <v/>
      </c>
      <c r="AF139" s="13" t="n">
        <v>0.21</v>
      </c>
      <c r="AG139" s="11">
        <f>IF(AE139&lt;&gt;"",AE139*AF139,"")</f>
        <v/>
      </c>
      <c r="AH139" s="11">
        <f>IF(AE139&lt;&gt;"",AE139+AG139,"")</f>
        <v/>
      </c>
      <c r="AL139">
        <f>IF($B139="GWE_Item",IF($AI139="Elektra",SUMIFS($W:$W,$A:$A,$A139,$B:$B,"GWE")-SUMIFS($V:$V,$A:$A,$A139,$B:$B,"GWE"),IF($AI139="Gas",SUMIFS($Y:$Y,$A:$A,$A139,$B:$B,"GWE")-SUMIFS($X:$X,$A:$A,$A139,$B:$B,"GWE"),IF($AI139="Water",SUMIFS($AA:$AA,$A:$A,$A139,$B:$B,"GWE")-SUMIFS($Z:$Z,$A:$A,$A139,$B:$B,"GWE"),""))),"")</f>
        <v/>
      </c>
      <c r="AN139" s="11">
        <f>IF(AND(AL139&lt;&gt;"",AM139&lt;&gt;""),AL139*AM139,"")</f>
        <v/>
      </c>
      <c r="AO139" s="13" t="n"/>
      <c r="AP139" s="11">
        <f>IF(AND(AN139&lt;&gt;"",AO139&lt;&gt;""),AN139*AO139,"")</f>
        <v/>
      </c>
      <c r="AQ139" s="11">
        <f>IF(AND(AN139&lt;&gt;"",AP139&lt;&gt;""),AN139+AP139,"")</f>
        <v/>
      </c>
    </row>
    <row r="140">
      <c r="D140" s="8">
        <f>IF(A140="","",VLOOKUP(A140,Lists!$A:$B,2,FALSE))</f>
        <v/>
      </c>
      <c r="E140" s="8">
        <f>IF(C140="","",VLOOKUP(C140,Lists!$C:$D,2,FALSE))</f>
        <v/>
      </c>
      <c r="F140" s="8" t="n"/>
      <c r="G140" s="8" t="n"/>
      <c r="J140" s="9">
        <f>IF(A140="","",IFERROR(VLOOKUP(A140,Lists!$A:$H,8,FALSE),0))</f>
        <v/>
      </c>
      <c r="L140" s="9">
        <f>IF(A140="","",IFERROR(VLOOKUP(A140,Lists!$A:$H,7,FALSE),0))</f>
        <v/>
      </c>
      <c r="M140" s="10" t="n">
        <v>0.21</v>
      </c>
      <c r="N140" s="11">
        <f>L140 * (1 + M140)</f>
        <v/>
      </c>
      <c r="O140" s="11">
        <f>IF(K140="Eigen Beheer",0,IF(AND(ISNUMBER(N140),I140&lt;&gt;"",H140&lt;&gt;""),ROUND((I140-H140)/Lists!$Q$2,2)*N140,0))</f>
        <v/>
      </c>
      <c r="R140" s="12">
        <f>IF(Q140="","",VLOOKUP(Q140,Lists!$E:$F,2,FALSE))</f>
        <v/>
      </c>
      <c r="AD140" s="9" t="n">
        <v>50</v>
      </c>
      <c r="AE140" s="11">
        <f>IF(AB140="","",IF(ISNUMBER(SEARCH("Basis",AB140)),(250/1.21)+MAX(0,AC140-5)*AD140,IF(ISNUMBER(SEARCH("Intensief",AB140)),(375/1.21)+MAX(0,AC140-7)*AD140,AC140*AD140)))</f>
        <v/>
      </c>
      <c r="AF140" s="13" t="n">
        <v>0.21</v>
      </c>
      <c r="AG140" s="11">
        <f>IF(AE140&lt;&gt;"",AE140*AF140,"")</f>
        <v/>
      </c>
      <c r="AH140" s="11">
        <f>IF(AE140&lt;&gt;"",AE140+AG140,"")</f>
        <v/>
      </c>
      <c r="AL140">
        <f>IF($B140="GWE_Item",IF($AI140="Elektra",SUMIFS($W:$W,$A:$A,$A140,$B:$B,"GWE")-SUMIFS($V:$V,$A:$A,$A140,$B:$B,"GWE"),IF($AI140="Gas",SUMIFS($Y:$Y,$A:$A,$A140,$B:$B,"GWE")-SUMIFS($X:$X,$A:$A,$A140,$B:$B,"GWE"),IF($AI140="Water",SUMIFS($AA:$AA,$A:$A,$A140,$B:$B,"GWE")-SUMIFS($Z:$Z,$A:$A,$A140,$B:$B,"GWE"),""))),"")</f>
        <v/>
      </c>
      <c r="AN140" s="11">
        <f>IF(AND(AL140&lt;&gt;"",AM140&lt;&gt;""),AL140*AM140,"")</f>
        <v/>
      </c>
      <c r="AO140" s="13" t="n"/>
      <c r="AP140" s="11">
        <f>IF(AND(AN140&lt;&gt;"",AO140&lt;&gt;""),AN140*AO140,"")</f>
        <v/>
      </c>
      <c r="AQ140" s="11">
        <f>IF(AND(AN140&lt;&gt;"",AP140&lt;&gt;""),AN140+AP140,"")</f>
        <v/>
      </c>
    </row>
    <row r="141">
      <c r="D141" s="8">
        <f>IF(A141="","",VLOOKUP(A141,Lists!$A:$B,2,FALSE))</f>
        <v/>
      </c>
      <c r="E141" s="8">
        <f>IF(C141="","",VLOOKUP(C141,Lists!$C:$D,2,FALSE))</f>
        <v/>
      </c>
      <c r="F141" s="8" t="n"/>
      <c r="G141" s="8" t="n"/>
      <c r="J141" s="9">
        <f>IF(A141="","",IFERROR(VLOOKUP(A141,Lists!$A:$H,8,FALSE),0))</f>
        <v/>
      </c>
      <c r="L141" s="9">
        <f>IF(A141="","",IFERROR(VLOOKUP(A141,Lists!$A:$H,7,FALSE),0))</f>
        <v/>
      </c>
      <c r="M141" s="10" t="n">
        <v>0.21</v>
      </c>
      <c r="N141" s="11">
        <f>L141 * (1 + M141)</f>
        <v/>
      </c>
      <c r="O141" s="11">
        <f>IF(K141="Eigen Beheer",0,IF(AND(ISNUMBER(N141),I141&lt;&gt;"",H141&lt;&gt;""),ROUND((I141-H141)/Lists!$Q$2,2)*N141,0))</f>
        <v/>
      </c>
      <c r="R141" s="12">
        <f>IF(Q141="","",VLOOKUP(Q141,Lists!$E:$F,2,FALSE))</f>
        <v/>
      </c>
      <c r="AD141" s="9" t="n">
        <v>50</v>
      </c>
      <c r="AE141" s="11">
        <f>IF(AB141="","",IF(ISNUMBER(SEARCH("Basis",AB141)),(250/1.21)+MAX(0,AC141-5)*AD141,IF(ISNUMBER(SEARCH("Intensief",AB141)),(375/1.21)+MAX(0,AC141-7)*AD141,AC141*AD141)))</f>
        <v/>
      </c>
      <c r="AF141" s="13" t="n">
        <v>0.21</v>
      </c>
      <c r="AG141" s="11">
        <f>IF(AE141&lt;&gt;"",AE141*AF141,"")</f>
        <v/>
      </c>
      <c r="AH141" s="11">
        <f>IF(AE141&lt;&gt;"",AE141+AG141,"")</f>
        <v/>
      </c>
      <c r="AL141">
        <f>IF($B141="GWE_Item",IF($AI141="Elektra",SUMIFS($W:$W,$A:$A,$A141,$B:$B,"GWE")-SUMIFS($V:$V,$A:$A,$A141,$B:$B,"GWE"),IF($AI141="Gas",SUMIFS($Y:$Y,$A:$A,$A141,$B:$B,"GWE")-SUMIFS($X:$X,$A:$A,$A141,$B:$B,"GWE"),IF($AI141="Water",SUMIFS($AA:$AA,$A:$A,$A141,$B:$B,"GWE")-SUMIFS($Z:$Z,$A:$A,$A141,$B:$B,"GWE"),""))),"")</f>
        <v/>
      </c>
      <c r="AN141" s="11">
        <f>IF(AND(AL141&lt;&gt;"",AM141&lt;&gt;""),AL141*AM141,"")</f>
        <v/>
      </c>
      <c r="AO141" s="13" t="n"/>
      <c r="AP141" s="11">
        <f>IF(AND(AN141&lt;&gt;"",AO141&lt;&gt;""),AN141*AO141,"")</f>
        <v/>
      </c>
      <c r="AQ141" s="11">
        <f>IF(AND(AN141&lt;&gt;"",AP141&lt;&gt;""),AN141+AP141,"")</f>
        <v/>
      </c>
    </row>
    <row r="142">
      <c r="D142" s="8">
        <f>IF(A142="","",VLOOKUP(A142,Lists!$A:$B,2,FALSE))</f>
        <v/>
      </c>
      <c r="E142" s="8">
        <f>IF(C142="","",VLOOKUP(C142,Lists!$C:$D,2,FALSE))</f>
        <v/>
      </c>
      <c r="F142" s="8" t="n"/>
      <c r="G142" s="8" t="n"/>
      <c r="J142" s="9">
        <f>IF(A142="","",IFERROR(VLOOKUP(A142,Lists!$A:$H,8,FALSE),0))</f>
        <v/>
      </c>
      <c r="L142" s="9">
        <f>IF(A142="","",IFERROR(VLOOKUP(A142,Lists!$A:$H,7,FALSE),0))</f>
        <v/>
      </c>
      <c r="M142" s="10" t="n">
        <v>0.21</v>
      </c>
      <c r="N142" s="11">
        <f>L142 * (1 + M142)</f>
        <v/>
      </c>
      <c r="O142" s="11">
        <f>IF(K142="Eigen Beheer",0,IF(AND(ISNUMBER(N142),I142&lt;&gt;"",H142&lt;&gt;""),ROUND((I142-H142)/Lists!$Q$2,2)*N142,0))</f>
        <v/>
      </c>
      <c r="R142" s="12">
        <f>IF(Q142="","",VLOOKUP(Q142,Lists!$E:$F,2,FALSE))</f>
        <v/>
      </c>
      <c r="AD142" s="9" t="n">
        <v>50</v>
      </c>
      <c r="AE142" s="11">
        <f>IF(AB142="","",IF(ISNUMBER(SEARCH("Basis",AB142)),(250/1.21)+MAX(0,AC142-5)*AD142,IF(ISNUMBER(SEARCH("Intensief",AB142)),(375/1.21)+MAX(0,AC142-7)*AD142,AC142*AD142)))</f>
        <v/>
      </c>
      <c r="AF142" s="13" t="n">
        <v>0.21</v>
      </c>
      <c r="AG142" s="11">
        <f>IF(AE142&lt;&gt;"",AE142*AF142,"")</f>
        <v/>
      </c>
      <c r="AH142" s="11">
        <f>IF(AE142&lt;&gt;"",AE142+AG142,"")</f>
        <v/>
      </c>
      <c r="AL142">
        <f>IF($B142="GWE_Item",IF($AI142="Elektra",SUMIFS($W:$W,$A:$A,$A142,$B:$B,"GWE")-SUMIFS($V:$V,$A:$A,$A142,$B:$B,"GWE"),IF($AI142="Gas",SUMIFS($Y:$Y,$A:$A,$A142,$B:$B,"GWE")-SUMIFS($X:$X,$A:$A,$A142,$B:$B,"GWE"),IF($AI142="Water",SUMIFS($AA:$AA,$A:$A,$A142,$B:$B,"GWE")-SUMIFS($Z:$Z,$A:$A,$A142,$B:$B,"GWE"),""))),"")</f>
        <v/>
      </c>
      <c r="AN142" s="11">
        <f>IF(AND(AL142&lt;&gt;"",AM142&lt;&gt;""),AL142*AM142,"")</f>
        <v/>
      </c>
      <c r="AO142" s="13" t="n"/>
      <c r="AP142" s="11">
        <f>IF(AND(AN142&lt;&gt;"",AO142&lt;&gt;""),AN142*AO142,"")</f>
        <v/>
      </c>
      <c r="AQ142" s="11">
        <f>IF(AND(AN142&lt;&gt;"",AP142&lt;&gt;""),AN142+AP142,"")</f>
        <v/>
      </c>
    </row>
    <row r="143">
      <c r="D143" s="8">
        <f>IF(A143="","",VLOOKUP(A143,Lists!$A:$B,2,FALSE))</f>
        <v/>
      </c>
      <c r="E143" s="8">
        <f>IF(C143="","",VLOOKUP(C143,Lists!$C:$D,2,FALSE))</f>
        <v/>
      </c>
      <c r="F143" s="8" t="n"/>
      <c r="G143" s="8" t="n"/>
      <c r="J143" s="9">
        <f>IF(A143="","",IFERROR(VLOOKUP(A143,Lists!$A:$H,8,FALSE),0))</f>
        <v/>
      </c>
      <c r="L143" s="9">
        <f>IF(A143="","",IFERROR(VLOOKUP(A143,Lists!$A:$H,7,FALSE),0))</f>
        <v/>
      </c>
      <c r="M143" s="10" t="n">
        <v>0.21</v>
      </c>
      <c r="N143" s="11">
        <f>L143 * (1 + M143)</f>
        <v/>
      </c>
      <c r="O143" s="11">
        <f>IF(K143="Eigen Beheer",0,IF(AND(ISNUMBER(N143),I143&lt;&gt;"",H143&lt;&gt;""),ROUND((I143-H143)/Lists!$Q$2,2)*N143,0))</f>
        <v/>
      </c>
      <c r="R143" s="12">
        <f>IF(Q143="","",VLOOKUP(Q143,Lists!$E:$F,2,FALSE))</f>
        <v/>
      </c>
      <c r="AD143" s="9" t="n">
        <v>50</v>
      </c>
      <c r="AE143" s="11">
        <f>IF(AB143="","",IF(ISNUMBER(SEARCH("Basis",AB143)),(250/1.21)+MAX(0,AC143-5)*AD143,IF(ISNUMBER(SEARCH("Intensief",AB143)),(375/1.21)+MAX(0,AC143-7)*AD143,AC143*AD143)))</f>
        <v/>
      </c>
      <c r="AF143" s="13" t="n">
        <v>0.21</v>
      </c>
      <c r="AG143" s="11">
        <f>IF(AE143&lt;&gt;"",AE143*AF143,"")</f>
        <v/>
      </c>
      <c r="AH143" s="11">
        <f>IF(AE143&lt;&gt;"",AE143+AG143,"")</f>
        <v/>
      </c>
      <c r="AL143">
        <f>IF($B143="GWE_Item",IF($AI143="Elektra",SUMIFS($W:$W,$A:$A,$A143,$B:$B,"GWE")-SUMIFS($V:$V,$A:$A,$A143,$B:$B,"GWE"),IF($AI143="Gas",SUMIFS($Y:$Y,$A:$A,$A143,$B:$B,"GWE")-SUMIFS($X:$X,$A:$A,$A143,$B:$B,"GWE"),IF($AI143="Water",SUMIFS($AA:$AA,$A:$A,$A143,$B:$B,"GWE")-SUMIFS($Z:$Z,$A:$A,$A143,$B:$B,"GWE"),""))),"")</f>
        <v/>
      </c>
      <c r="AN143" s="11">
        <f>IF(AND(AL143&lt;&gt;"",AM143&lt;&gt;""),AL143*AM143,"")</f>
        <v/>
      </c>
      <c r="AO143" s="13" t="n"/>
      <c r="AP143" s="11">
        <f>IF(AND(AN143&lt;&gt;"",AO143&lt;&gt;""),AN143*AO143,"")</f>
        <v/>
      </c>
      <c r="AQ143" s="11">
        <f>IF(AND(AN143&lt;&gt;"",AP143&lt;&gt;""),AN143+AP143,"")</f>
        <v/>
      </c>
    </row>
    <row r="144">
      <c r="D144" s="8">
        <f>IF(A144="","",VLOOKUP(A144,Lists!$A:$B,2,FALSE))</f>
        <v/>
      </c>
      <c r="E144" s="8">
        <f>IF(C144="","",VLOOKUP(C144,Lists!$C:$D,2,FALSE))</f>
        <v/>
      </c>
      <c r="F144" s="8" t="n"/>
      <c r="G144" s="8" t="n"/>
      <c r="J144" s="9">
        <f>IF(A144="","",IFERROR(VLOOKUP(A144,Lists!$A:$H,8,FALSE),0))</f>
        <v/>
      </c>
      <c r="L144" s="9">
        <f>IF(A144="","",IFERROR(VLOOKUP(A144,Lists!$A:$H,7,FALSE),0))</f>
        <v/>
      </c>
      <c r="M144" s="10" t="n">
        <v>0.21</v>
      </c>
      <c r="N144" s="11">
        <f>L144 * (1 + M144)</f>
        <v/>
      </c>
      <c r="O144" s="11">
        <f>IF(K144="Eigen Beheer",0,IF(AND(ISNUMBER(N144),I144&lt;&gt;"",H144&lt;&gt;""),ROUND((I144-H144)/Lists!$Q$2,2)*N144,0))</f>
        <v/>
      </c>
      <c r="R144" s="12">
        <f>IF(Q144="","",VLOOKUP(Q144,Lists!$E:$F,2,FALSE))</f>
        <v/>
      </c>
      <c r="AD144" s="9" t="n">
        <v>50</v>
      </c>
      <c r="AE144" s="11">
        <f>IF(AB144="","",IF(ISNUMBER(SEARCH("Basis",AB144)),(250/1.21)+MAX(0,AC144-5)*AD144,IF(ISNUMBER(SEARCH("Intensief",AB144)),(375/1.21)+MAX(0,AC144-7)*AD144,AC144*AD144)))</f>
        <v/>
      </c>
      <c r="AF144" s="13" t="n">
        <v>0.21</v>
      </c>
      <c r="AG144" s="11">
        <f>IF(AE144&lt;&gt;"",AE144*AF144,"")</f>
        <v/>
      </c>
      <c r="AH144" s="11">
        <f>IF(AE144&lt;&gt;"",AE144+AG144,"")</f>
        <v/>
      </c>
      <c r="AL144">
        <f>IF($B144="GWE_Item",IF($AI144="Elektra",SUMIFS($W:$W,$A:$A,$A144,$B:$B,"GWE")-SUMIFS($V:$V,$A:$A,$A144,$B:$B,"GWE"),IF($AI144="Gas",SUMIFS($Y:$Y,$A:$A,$A144,$B:$B,"GWE")-SUMIFS($X:$X,$A:$A,$A144,$B:$B,"GWE"),IF($AI144="Water",SUMIFS($AA:$AA,$A:$A,$A144,$B:$B,"GWE")-SUMIFS($Z:$Z,$A:$A,$A144,$B:$B,"GWE"),""))),"")</f>
        <v/>
      </c>
      <c r="AN144" s="11">
        <f>IF(AND(AL144&lt;&gt;"",AM144&lt;&gt;""),AL144*AM144,"")</f>
        <v/>
      </c>
      <c r="AO144" s="13" t="n"/>
      <c r="AP144" s="11">
        <f>IF(AND(AN144&lt;&gt;"",AO144&lt;&gt;""),AN144*AO144,"")</f>
        <v/>
      </c>
      <c r="AQ144" s="11">
        <f>IF(AND(AN144&lt;&gt;"",AP144&lt;&gt;""),AN144+AP144,"")</f>
        <v/>
      </c>
    </row>
    <row r="145">
      <c r="D145" s="8">
        <f>IF(A145="","",VLOOKUP(A145,Lists!$A:$B,2,FALSE))</f>
        <v/>
      </c>
      <c r="E145" s="8">
        <f>IF(C145="","",VLOOKUP(C145,Lists!$C:$D,2,FALSE))</f>
        <v/>
      </c>
      <c r="F145" s="8" t="n"/>
      <c r="G145" s="8" t="n"/>
      <c r="J145" s="9">
        <f>IF(A145="","",IFERROR(VLOOKUP(A145,Lists!$A:$H,8,FALSE),0))</f>
        <v/>
      </c>
      <c r="L145" s="9">
        <f>IF(A145="","",IFERROR(VLOOKUP(A145,Lists!$A:$H,7,FALSE),0))</f>
        <v/>
      </c>
      <c r="M145" s="10" t="n">
        <v>0.21</v>
      </c>
      <c r="N145" s="11">
        <f>L145 * (1 + M145)</f>
        <v/>
      </c>
      <c r="O145" s="11">
        <f>IF(K145="Eigen Beheer",0,IF(AND(ISNUMBER(N145),I145&lt;&gt;"",H145&lt;&gt;""),ROUND((I145-H145)/Lists!$Q$2,2)*N145,0))</f>
        <v/>
      </c>
      <c r="R145" s="12">
        <f>IF(Q145="","",VLOOKUP(Q145,Lists!$E:$F,2,FALSE))</f>
        <v/>
      </c>
      <c r="AD145" s="9" t="n">
        <v>50</v>
      </c>
      <c r="AE145" s="11">
        <f>IF(AB145="","",IF(ISNUMBER(SEARCH("Basis",AB145)),(250/1.21)+MAX(0,AC145-5)*AD145,IF(ISNUMBER(SEARCH("Intensief",AB145)),(375/1.21)+MAX(0,AC145-7)*AD145,AC145*AD145)))</f>
        <v/>
      </c>
      <c r="AF145" s="13" t="n">
        <v>0.21</v>
      </c>
      <c r="AG145" s="11">
        <f>IF(AE145&lt;&gt;"",AE145*AF145,"")</f>
        <v/>
      </c>
      <c r="AH145" s="11">
        <f>IF(AE145&lt;&gt;"",AE145+AG145,"")</f>
        <v/>
      </c>
      <c r="AL145">
        <f>IF($B145="GWE_Item",IF($AI145="Elektra",SUMIFS($W:$W,$A:$A,$A145,$B:$B,"GWE")-SUMIFS($V:$V,$A:$A,$A145,$B:$B,"GWE"),IF($AI145="Gas",SUMIFS($Y:$Y,$A:$A,$A145,$B:$B,"GWE")-SUMIFS($X:$X,$A:$A,$A145,$B:$B,"GWE"),IF($AI145="Water",SUMIFS($AA:$AA,$A:$A,$A145,$B:$B,"GWE")-SUMIFS($Z:$Z,$A:$A,$A145,$B:$B,"GWE"),""))),"")</f>
        <v/>
      </c>
      <c r="AN145" s="11">
        <f>IF(AND(AL145&lt;&gt;"",AM145&lt;&gt;""),AL145*AM145,"")</f>
        <v/>
      </c>
      <c r="AO145" s="13" t="n"/>
      <c r="AP145" s="11">
        <f>IF(AND(AN145&lt;&gt;"",AO145&lt;&gt;""),AN145*AO145,"")</f>
        <v/>
      </c>
      <c r="AQ145" s="11">
        <f>IF(AND(AN145&lt;&gt;"",AP145&lt;&gt;""),AN145+AP145,"")</f>
        <v/>
      </c>
    </row>
    <row r="146">
      <c r="D146" s="8">
        <f>IF(A146="","",VLOOKUP(A146,Lists!$A:$B,2,FALSE))</f>
        <v/>
      </c>
      <c r="E146" s="8">
        <f>IF(C146="","",VLOOKUP(C146,Lists!$C:$D,2,FALSE))</f>
        <v/>
      </c>
      <c r="F146" s="8" t="n"/>
      <c r="G146" s="8" t="n"/>
      <c r="J146" s="9">
        <f>IF(A146="","",IFERROR(VLOOKUP(A146,Lists!$A:$H,8,FALSE),0))</f>
        <v/>
      </c>
      <c r="L146" s="9">
        <f>IF(A146="","",IFERROR(VLOOKUP(A146,Lists!$A:$H,7,FALSE),0))</f>
        <v/>
      </c>
      <c r="M146" s="10" t="n">
        <v>0.21</v>
      </c>
      <c r="N146" s="11">
        <f>L146 * (1 + M146)</f>
        <v/>
      </c>
      <c r="O146" s="11">
        <f>IF(K146="Eigen Beheer",0,IF(AND(ISNUMBER(N146),I146&lt;&gt;"",H146&lt;&gt;""),ROUND((I146-H146)/Lists!$Q$2,2)*N146,0))</f>
        <v/>
      </c>
      <c r="R146" s="12">
        <f>IF(Q146="","",VLOOKUP(Q146,Lists!$E:$F,2,FALSE))</f>
        <v/>
      </c>
      <c r="AD146" s="9" t="n">
        <v>50</v>
      </c>
      <c r="AE146" s="11">
        <f>IF(AB146="","",IF(ISNUMBER(SEARCH("Basis",AB146)),(250/1.21)+MAX(0,AC146-5)*AD146,IF(ISNUMBER(SEARCH("Intensief",AB146)),(375/1.21)+MAX(0,AC146-7)*AD146,AC146*AD146)))</f>
        <v/>
      </c>
      <c r="AF146" s="13" t="n">
        <v>0.21</v>
      </c>
      <c r="AG146" s="11">
        <f>IF(AE146&lt;&gt;"",AE146*AF146,"")</f>
        <v/>
      </c>
      <c r="AH146" s="11">
        <f>IF(AE146&lt;&gt;"",AE146+AG146,"")</f>
        <v/>
      </c>
      <c r="AL146">
        <f>IF($B146="GWE_Item",IF($AI146="Elektra",SUMIFS($W:$W,$A:$A,$A146,$B:$B,"GWE")-SUMIFS($V:$V,$A:$A,$A146,$B:$B,"GWE"),IF($AI146="Gas",SUMIFS($Y:$Y,$A:$A,$A146,$B:$B,"GWE")-SUMIFS($X:$X,$A:$A,$A146,$B:$B,"GWE"),IF($AI146="Water",SUMIFS($AA:$AA,$A:$A,$A146,$B:$B,"GWE")-SUMIFS($Z:$Z,$A:$A,$A146,$B:$B,"GWE"),""))),"")</f>
        <v/>
      </c>
      <c r="AN146" s="11">
        <f>IF(AND(AL146&lt;&gt;"",AM146&lt;&gt;""),AL146*AM146,"")</f>
        <v/>
      </c>
      <c r="AO146" s="13" t="n"/>
      <c r="AP146" s="11">
        <f>IF(AND(AN146&lt;&gt;"",AO146&lt;&gt;""),AN146*AO146,"")</f>
        <v/>
      </c>
      <c r="AQ146" s="11">
        <f>IF(AND(AN146&lt;&gt;"",AP146&lt;&gt;""),AN146+AP146,"")</f>
        <v/>
      </c>
    </row>
    <row r="147">
      <c r="D147" s="8">
        <f>IF(A147="","",VLOOKUP(A147,Lists!$A:$B,2,FALSE))</f>
        <v/>
      </c>
      <c r="E147" s="8">
        <f>IF(C147="","",VLOOKUP(C147,Lists!$C:$D,2,FALSE))</f>
        <v/>
      </c>
      <c r="F147" s="8" t="n"/>
      <c r="G147" s="8" t="n"/>
      <c r="J147" s="9">
        <f>IF(A147="","",IFERROR(VLOOKUP(A147,Lists!$A:$H,8,FALSE),0))</f>
        <v/>
      </c>
      <c r="L147" s="9">
        <f>IF(A147="","",IFERROR(VLOOKUP(A147,Lists!$A:$H,7,FALSE),0))</f>
        <v/>
      </c>
      <c r="M147" s="10" t="n">
        <v>0.21</v>
      </c>
      <c r="N147" s="11">
        <f>L147 * (1 + M147)</f>
        <v/>
      </c>
      <c r="O147" s="11">
        <f>IF(K147="Eigen Beheer",0,IF(AND(ISNUMBER(N147),I147&lt;&gt;"",H147&lt;&gt;""),ROUND((I147-H147)/Lists!$Q$2,2)*N147,0))</f>
        <v/>
      </c>
      <c r="R147" s="12">
        <f>IF(Q147="","",VLOOKUP(Q147,Lists!$E:$F,2,FALSE))</f>
        <v/>
      </c>
      <c r="AD147" s="9" t="n">
        <v>50</v>
      </c>
      <c r="AE147" s="11">
        <f>IF(AB147="","",IF(ISNUMBER(SEARCH("Basis",AB147)),(250/1.21)+MAX(0,AC147-5)*AD147,IF(ISNUMBER(SEARCH("Intensief",AB147)),(375/1.21)+MAX(0,AC147-7)*AD147,AC147*AD147)))</f>
        <v/>
      </c>
      <c r="AF147" s="13" t="n">
        <v>0.21</v>
      </c>
      <c r="AG147" s="11">
        <f>IF(AE147&lt;&gt;"",AE147*AF147,"")</f>
        <v/>
      </c>
      <c r="AH147" s="11">
        <f>IF(AE147&lt;&gt;"",AE147+AG147,"")</f>
        <v/>
      </c>
      <c r="AL147">
        <f>IF($B147="GWE_Item",IF($AI147="Elektra",SUMIFS($W:$W,$A:$A,$A147,$B:$B,"GWE")-SUMIFS($V:$V,$A:$A,$A147,$B:$B,"GWE"),IF($AI147="Gas",SUMIFS($Y:$Y,$A:$A,$A147,$B:$B,"GWE")-SUMIFS($X:$X,$A:$A,$A147,$B:$B,"GWE"),IF($AI147="Water",SUMIFS($AA:$AA,$A:$A,$A147,$B:$B,"GWE")-SUMIFS($Z:$Z,$A:$A,$A147,$B:$B,"GWE"),""))),"")</f>
        <v/>
      </c>
      <c r="AN147" s="11">
        <f>IF(AND(AL147&lt;&gt;"",AM147&lt;&gt;""),AL147*AM147,"")</f>
        <v/>
      </c>
      <c r="AO147" s="13" t="n"/>
      <c r="AP147" s="11">
        <f>IF(AND(AN147&lt;&gt;"",AO147&lt;&gt;""),AN147*AO147,"")</f>
        <v/>
      </c>
      <c r="AQ147" s="11">
        <f>IF(AND(AN147&lt;&gt;"",AP147&lt;&gt;""),AN147+AP147,"")</f>
        <v/>
      </c>
    </row>
    <row r="148">
      <c r="D148" s="8">
        <f>IF(A148="","",VLOOKUP(A148,Lists!$A:$B,2,FALSE))</f>
        <v/>
      </c>
      <c r="E148" s="8">
        <f>IF(C148="","",VLOOKUP(C148,Lists!$C:$D,2,FALSE))</f>
        <v/>
      </c>
      <c r="F148" s="8" t="n"/>
      <c r="G148" s="8" t="n"/>
      <c r="J148" s="9">
        <f>IF(A148="","",IFERROR(VLOOKUP(A148,Lists!$A:$H,8,FALSE),0))</f>
        <v/>
      </c>
      <c r="L148" s="9">
        <f>IF(A148="","",IFERROR(VLOOKUP(A148,Lists!$A:$H,7,FALSE),0))</f>
        <v/>
      </c>
      <c r="M148" s="10" t="n">
        <v>0.21</v>
      </c>
      <c r="N148" s="11">
        <f>L148 * (1 + M148)</f>
        <v/>
      </c>
      <c r="O148" s="11">
        <f>IF(K148="Eigen Beheer",0,IF(AND(ISNUMBER(N148),I148&lt;&gt;"",H148&lt;&gt;""),ROUND((I148-H148)/Lists!$Q$2,2)*N148,0))</f>
        <v/>
      </c>
      <c r="R148" s="12">
        <f>IF(Q148="","",VLOOKUP(Q148,Lists!$E:$F,2,FALSE))</f>
        <v/>
      </c>
      <c r="AD148" s="9" t="n">
        <v>50</v>
      </c>
      <c r="AE148" s="11">
        <f>IF(AB148="","",IF(ISNUMBER(SEARCH("Basis",AB148)),(250/1.21)+MAX(0,AC148-5)*AD148,IF(ISNUMBER(SEARCH("Intensief",AB148)),(375/1.21)+MAX(0,AC148-7)*AD148,AC148*AD148)))</f>
        <v/>
      </c>
      <c r="AF148" s="13" t="n">
        <v>0.21</v>
      </c>
      <c r="AG148" s="11">
        <f>IF(AE148&lt;&gt;"",AE148*AF148,"")</f>
        <v/>
      </c>
      <c r="AH148" s="11">
        <f>IF(AE148&lt;&gt;"",AE148+AG148,"")</f>
        <v/>
      </c>
      <c r="AL148">
        <f>IF($B148="GWE_Item",IF($AI148="Elektra",SUMIFS($W:$W,$A:$A,$A148,$B:$B,"GWE")-SUMIFS($V:$V,$A:$A,$A148,$B:$B,"GWE"),IF($AI148="Gas",SUMIFS($Y:$Y,$A:$A,$A148,$B:$B,"GWE")-SUMIFS($X:$X,$A:$A,$A148,$B:$B,"GWE"),IF($AI148="Water",SUMIFS($AA:$AA,$A:$A,$A148,$B:$B,"GWE")-SUMIFS($Z:$Z,$A:$A,$A148,$B:$B,"GWE"),""))),"")</f>
        <v/>
      </c>
      <c r="AN148" s="11">
        <f>IF(AND(AL148&lt;&gt;"",AM148&lt;&gt;""),AL148*AM148,"")</f>
        <v/>
      </c>
      <c r="AO148" s="13" t="n"/>
      <c r="AP148" s="11">
        <f>IF(AND(AN148&lt;&gt;"",AO148&lt;&gt;""),AN148*AO148,"")</f>
        <v/>
      </c>
      <c r="AQ148" s="11">
        <f>IF(AND(AN148&lt;&gt;"",AP148&lt;&gt;""),AN148+AP148,"")</f>
        <v/>
      </c>
    </row>
    <row r="149">
      <c r="D149" s="8">
        <f>IF(A149="","",VLOOKUP(A149,Lists!$A:$B,2,FALSE))</f>
        <v/>
      </c>
      <c r="E149" s="8">
        <f>IF(C149="","",VLOOKUP(C149,Lists!$C:$D,2,FALSE))</f>
        <v/>
      </c>
      <c r="F149" s="8" t="n"/>
      <c r="G149" s="8" t="n"/>
      <c r="J149" s="9">
        <f>IF(A149="","",IFERROR(VLOOKUP(A149,Lists!$A:$H,8,FALSE),0))</f>
        <v/>
      </c>
      <c r="L149" s="9">
        <f>IF(A149="","",IFERROR(VLOOKUP(A149,Lists!$A:$H,7,FALSE),0))</f>
        <v/>
      </c>
      <c r="M149" s="10" t="n">
        <v>0.21</v>
      </c>
      <c r="N149" s="11">
        <f>L149 * (1 + M149)</f>
        <v/>
      </c>
      <c r="O149" s="11">
        <f>IF(K149="Eigen Beheer",0,IF(AND(ISNUMBER(N149),I149&lt;&gt;"",H149&lt;&gt;""),ROUND((I149-H149)/Lists!$Q$2,2)*N149,0))</f>
        <v/>
      </c>
      <c r="R149" s="12">
        <f>IF(Q149="","",VLOOKUP(Q149,Lists!$E:$F,2,FALSE))</f>
        <v/>
      </c>
      <c r="AD149" s="9" t="n">
        <v>50</v>
      </c>
      <c r="AE149" s="11">
        <f>IF(AB149="","",IF(ISNUMBER(SEARCH("Basis",AB149)),(250/1.21)+MAX(0,AC149-5)*AD149,IF(ISNUMBER(SEARCH("Intensief",AB149)),(375/1.21)+MAX(0,AC149-7)*AD149,AC149*AD149)))</f>
        <v/>
      </c>
      <c r="AF149" s="13" t="n">
        <v>0.21</v>
      </c>
      <c r="AG149" s="11">
        <f>IF(AE149&lt;&gt;"",AE149*AF149,"")</f>
        <v/>
      </c>
      <c r="AH149" s="11">
        <f>IF(AE149&lt;&gt;"",AE149+AG149,"")</f>
        <v/>
      </c>
      <c r="AL149">
        <f>IF($B149="GWE_Item",IF($AI149="Elektra",SUMIFS($W:$W,$A:$A,$A149,$B:$B,"GWE")-SUMIFS($V:$V,$A:$A,$A149,$B:$B,"GWE"),IF($AI149="Gas",SUMIFS($Y:$Y,$A:$A,$A149,$B:$B,"GWE")-SUMIFS($X:$X,$A:$A,$A149,$B:$B,"GWE"),IF($AI149="Water",SUMIFS($AA:$AA,$A:$A,$A149,$B:$B,"GWE")-SUMIFS($Z:$Z,$A:$A,$A149,$B:$B,"GWE"),""))),"")</f>
        <v/>
      </c>
      <c r="AN149" s="11">
        <f>IF(AND(AL149&lt;&gt;"",AM149&lt;&gt;""),AL149*AM149,"")</f>
        <v/>
      </c>
      <c r="AO149" s="13" t="n"/>
      <c r="AP149" s="11">
        <f>IF(AND(AN149&lt;&gt;"",AO149&lt;&gt;""),AN149*AO149,"")</f>
        <v/>
      </c>
      <c r="AQ149" s="11">
        <f>IF(AND(AN149&lt;&gt;"",AP149&lt;&gt;""),AN149+AP149,"")</f>
        <v/>
      </c>
    </row>
    <row r="150">
      <c r="D150" s="8">
        <f>IF(A150="","",VLOOKUP(A150,Lists!$A:$B,2,FALSE))</f>
        <v/>
      </c>
      <c r="E150" s="8">
        <f>IF(C150="","",VLOOKUP(C150,Lists!$C:$D,2,FALSE))</f>
        <v/>
      </c>
      <c r="F150" s="8" t="n"/>
      <c r="G150" s="8" t="n"/>
      <c r="J150" s="9">
        <f>IF(A150="","",IFERROR(VLOOKUP(A150,Lists!$A:$H,8,FALSE),0))</f>
        <v/>
      </c>
      <c r="L150" s="9">
        <f>IF(A150="","",IFERROR(VLOOKUP(A150,Lists!$A:$H,7,FALSE),0))</f>
        <v/>
      </c>
      <c r="M150" s="10" t="n">
        <v>0.21</v>
      </c>
      <c r="N150" s="11">
        <f>L150 * (1 + M150)</f>
        <v/>
      </c>
      <c r="O150" s="11">
        <f>IF(K150="Eigen Beheer",0,IF(AND(ISNUMBER(N150),I150&lt;&gt;"",H150&lt;&gt;""),ROUND((I150-H150)/Lists!$Q$2,2)*N150,0))</f>
        <v/>
      </c>
      <c r="R150" s="12">
        <f>IF(Q150="","",VLOOKUP(Q150,Lists!$E:$F,2,FALSE))</f>
        <v/>
      </c>
      <c r="AD150" s="9" t="n">
        <v>50</v>
      </c>
      <c r="AE150" s="11">
        <f>IF(AB150="","",IF(ISNUMBER(SEARCH("Basis",AB150)),(250/1.21)+MAX(0,AC150-5)*AD150,IF(ISNUMBER(SEARCH("Intensief",AB150)),(375/1.21)+MAX(0,AC150-7)*AD150,AC150*AD150)))</f>
        <v/>
      </c>
      <c r="AF150" s="13" t="n">
        <v>0.21</v>
      </c>
      <c r="AG150" s="11">
        <f>IF(AE150&lt;&gt;"",AE150*AF150,"")</f>
        <v/>
      </c>
      <c r="AH150" s="11">
        <f>IF(AE150&lt;&gt;"",AE150+AG150,"")</f>
        <v/>
      </c>
      <c r="AL150">
        <f>IF($B150="GWE_Item",IF($AI150="Elektra",SUMIFS($W:$W,$A:$A,$A150,$B:$B,"GWE")-SUMIFS($V:$V,$A:$A,$A150,$B:$B,"GWE"),IF($AI150="Gas",SUMIFS($Y:$Y,$A:$A,$A150,$B:$B,"GWE")-SUMIFS($X:$X,$A:$A,$A150,$B:$B,"GWE"),IF($AI150="Water",SUMIFS($AA:$AA,$A:$A,$A150,$B:$B,"GWE")-SUMIFS($Z:$Z,$A:$A,$A150,$B:$B,"GWE"),""))),"")</f>
        <v/>
      </c>
      <c r="AN150" s="11">
        <f>IF(AND(AL150&lt;&gt;"",AM150&lt;&gt;""),AL150*AM150,"")</f>
        <v/>
      </c>
      <c r="AO150" s="13" t="n"/>
      <c r="AP150" s="11">
        <f>IF(AND(AN150&lt;&gt;"",AO150&lt;&gt;""),AN150*AO150,"")</f>
        <v/>
      </c>
      <c r="AQ150" s="11">
        <f>IF(AND(AN150&lt;&gt;"",AP150&lt;&gt;""),AN150+AP150,"")</f>
        <v/>
      </c>
    </row>
    <row r="151">
      <c r="D151" s="8">
        <f>IF(A151="","",VLOOKUP(A151,Lists!$A:$B,2,FALSE))</f>
        <v/>
      </c>
      <c r="E151" s="8">
        <f>IF(C151="","",VLOOKUP(C151,Lists!$C:$D,2,FALSE))</f>
        <v/>
      </c>
      <c r="F151" s="8" t="n"/>
      <c r="G151" s="8" t="n"/>
      <c r="J151" s="9">
        <f>IF(A151="","",IFERROR(VLOOKUP(A151,Lists!$A:$H,8,FALSE),0))</f>
        <v/>
      </c>
      <c r="L151" s="9">
        <f>IF(A151="","",IFERROR(VLOOKUP(A151,Lists!$A:$H,7,FALSE),0))</f>
        <v/>
      </c>
      <c r="M151" s="10" t="n">
        <v>0.21</v>
      </c>
      <c r="N151" s="11">
        <f>L151 * (1 + M151)</f>
        <v/>
      </c>
      <c r="O151" s="11">
        <f>IF(K151="Eigen Beheer",0,IF(AND(ISNUMBER(N151),I151&lt;&gt;"",H151&lt;&gt;""),ROUND((I151-H151)/Lists!$Q$2,2)*N151,0))</f>
        <v/>
      </c>
      <c r="R151" s="12">
        <f>IF(Q151="","",VLOOKUP(Q151,Lists!$E:$F,2,FALSE))</f>
        <v/>
      </c>
      <c r="AD151" s="9" t="n">
        <v>50</v>
      </c>
      <c r="AE151" s="11">
        <f>IF(AB151="","",IF(ISNUMBER(SEARCH("Basis",AB151)),(250/1.21)+MAX(0,AC151-5)*AD151,IF(ISNUMBER(SEARCH("Intensief",AB151)),(375/1.21)+MAX(0,AC151-7)*AD151,AC151*AD151)))</f>
        <v/>
      </c>
      <c r="AF151" s="13" t="n">
        <v>0.21</v>
      </c>
      <c r="AG151" s="11">
        <f>IF(AE151&lt;&gt;"",AE151*AF151,"")</f>
        <v/>
      </c>
      <c r="AH151" s="11">
        <f>IF(AE151&lt;&gt;"",AE151+AG151,"")</f>
        <v/>
      </c>
      <c r="AL151">
        <f>IF($B151="GWE_Item",IF($AI151="Elektra",SUMIFS($W:$W,$A:$A,$A151,$B:$B,"GWE")-SUMIFS($V:$V,$A:$A,$A151,$B:$B,"GWE"),IF($AI151="Gas",SUMIFS($Y:$Y,$A:$A,$A151,$B:$B,"GWE")-SUMIFS($X:$X,$A:$A,$A151,$B:$B,"GWE"),IF($AI151="Water",SUMIFS($AA:$AA,$A:$A,$A151,$B:$B,"GWE")-SUMIFS($Z:$Z,$A:$A,$A151,$B:$B,"GWE"),""))),"")</f>
        <v/>
      </c>
      <c r="AN151" s="11">
        <f>IF(AND(AL151&lt;&gt;"",AM151&lt;&gt;""),AL151*AM151,"")</f>
        <v/>
      </c>
      <c r="AO151" s="13" t="n"/>
      <c r="AP151" s="11">
        <f>IF(AND(AN151&lt;&gt;"",AO151&lt;&gt;""),AN151*AO151,"")</f>
        <v/>
      </c>
      <c r="AQ151" s="11">
        <f>IF(AND(AN151&lt;&gt;"",AP151&lt;&gt;""),AN151+AP151,"")</f>
        <v/>
      </c>
    </row>
    <row r="152">
      <c r="D152" s="8">
        <f>IF(A152="","",VLOOKUP(A152,Lists!$A:$B,2,FALSE))</f>
        <v/>
      </c>
      <c r="E152" s="8">
        <f>IF(C152="","",VLOOKUP(C152,Lists!$C:$D,2,FALSE))</f>
        <v/>
      </c>
      <c r="F152" s="8" t="n"/>
      <c r="G152" s="8" t="n"/>
      <c r="J152" s="9">
        <f>IF(A152="","",IFERROR(VLOOKUP(A152,Lists!$A:$H,8,FALSE),0))</f>
        <v/>
      </c>
      <c r="L152" s="9">
        <f>IF(A152="","",IFERROR(VLOOKUP(A152,Lists!$A:$H,7,FALSE),0))</f>
        <v/>
      </c>
      <c r="M152" s="10" t="n">
        <v>0.21</v>
      </c>
      <c r="N152" s="11">
        <f>L152 * (1 + M152)</f>
        <v/>
      </c>
      <c r="O152" s="11">
        <f>IF(K152="Eigen Beheer",0,IF(AND(ISNUMBER(N152),I152&lt;&gt;"",H152&lt;&gt;""),ROUND((I152-H152)/Lists!$Q$2,2)*N152,0))</f>
        <v/>
      </c>
      <c r="R152" s="12">
        <f>IF(Q152="","",VLOOKUP(Q152,Lists!$E:$F,2,FALSE))</f>
        <v/>
      </c>
      <c r="AD152" s="9" t="n">
        <v>50</v>
      </c>
      <c r="AE152" s="11">
        <f>IF(AB152="","",IF(ISNUMBER(SEARCH("Basis",AB152)),(250/1.21)+MAX(0,AC152-5)*AD152,IF(ISNUMBER(SEARCH("Intensief",AB152)),(375/1.21)+MAX(0,AC152-7)*AD152,AC152*AD152)))</f>
        <v/>
      </c>
      <c r="AF152" s="13" t="n">
        <v>0.21</v>
      </c>
      <c r="AG152" s="11">
        <f>IF(AE152&lt;&gt;"",AE152*AF152,"")</f>
        <v/>
      </c>
      <c r="AH152" s="11">
        <f>IF(AE152&lt;&gt;"",AE152+AG152,"")</f>
        <v/>
      </c>
      <c r="AL152">
        <f>IF($B152="GWE_Item",IF($AI152="Elektra",SUMIFS($W:$W,$A:$A,$A152,$B:$B,"GWE")-SUMIFS($V:$V,$A:$A,$A152,$B:$B,"GWE"),IF($AI152="Gas",SUMIFS($Y:$Y,$A:$A,$A152,$B:$B,"GWE")-SUMIFS($X:$X,$A:$A,$A152,$B:$B,"GWE"),IF($AI152="Water",SUMIFS($AA:$AA,$A:$A,$A152,$B:$B,"GWE")-SUMIFS($Z:$Z,$A:$A,$A152,$B:$B,"GWE"),""))),"")</f>
        <v/>
      </c>
      <c r="AN152" s="11">
        <f>IF(AND(AL152&lt;&gt;"",AM152&lt;&gt;""),AL152*AM152,"")</f>
        <v/>
      </c>
      <c r="AO152" s="13" t="n"/>
      <c r="AP152" s="11">
        <f>IF(AND(AN152&lt;&gt;"",AO152&lt;&gt;""),AN152*AO152,"")</f>
        <v/>
      </c>
      <c r="AQ152" s="11">
        <f>IF(AND(AN152&lt;&gt;"",AP152&lt;&gt;""),AN152+AP152,"")</f>
        <v/>
      </c>
    </row>
    <row r="153">
      <c r="D153" s="8">
        <f>IF(A153="","",VLOOKUP(A153,Lists!$A:$B,2,FALSE))</f>
        <v/>
      </c>
      <c r="E153" s="8">
        <f>IF(C153="","",VLOOKUP(C153,Lists!$C:$D,2,FALSE))</f>
        <v/>
      </c>
      <c r="F153" s="8" t="n"/>
      <c r="G153" s="8" t="n"/>
      <c r="J153" s="9">
        <f>IF(A153="","",IFERROR(VLOOKUP(A153,Lists!$A:$H,8,FALSE),0))</f>
        <v/>
      </c>
      <c r="L153" s="9">
        <f>IF(A153="","",IFERROR(VLOOKUP(A153,Lists!$A:$H,7,FALSE),0))</f>
        <v/>
      </c>
      <c r="M153" s="10" t="n">
        <v>0.21</v>
      </c>
      <c r="N153" s="11">
        <f>L153 * (1 + M153)</f>
        <v/>
      </c>
      <c r="O153" s="11">
        <f>IF(K153="Eigen Beheer",0,IF(AND(ISNUMBER(N153),I153&lt;&gt;"",H153&lt;&gt;""),ROUND((I153-H153)/Lists!$Q$2,2)*N153,0))</f>
        <v/>
      </c>
      <c r="R153" s="12">
        <f>IF(Q153="","",VLOOKUP(Q153,Lists!$E:$F,2,FALSE))</f>
        <v/>
      </c>
      <c r="AD153" s="9" t="n">
        <v>50</v>
      </c>
      <c r="AE153" s="11">
        <f>IF(AB153="","",IF(ISNUMBER(SEARCH("Basis",AB153)),(250/1.21)+MAX(0,AC153-5)*AD153,IF(ISNUMBER(SEARCH("Intensief",AB153)),(375/1.21)+MAX(0,AC153-7)*AD153,AC153*AD153)))</f>
        <v/>
      </c>
      <c r="AF153" s="13" t="n">
        <v>0.21</v>
      </c>
      <c r="AG153" s="11">
        <f>IF(AE153&lt;&gt;"",AE153*AF153,"")</f>
        <v/>
      </c>
      <c r="AH153" s="11">
        <f>IF(AE153&lt;&gt;"",AE153+AG153,"")</f>
        <v/>
      </c>
      <c r="AL153">
        <f>IF($B153="GWE_Item",IF($AI153="Elektra",SUMIFS($W:$W,$A:$A,$A153,$B:$B,"GWE")-SUMIFS($V:$V,$A:$A,$A153,$B:$B,"GWE"),IF($AI153="Gas",SUMIFS($Y:$Y,$A:$A,$A153,$B:$B,"GWE")-SUMIFS($X:$X,$A:$A,$A153,$B:$B,"GWE"),IF($AI153="Water",SUMIFS($AA:$AA,$A:$A,$A153,$B:$B,"GWE")-SUMIFS($Z:$Z,$A:$A,$A153,$B:$B,"GWE"),""))),"")</f>
        <v/>
      </c>
      <c r="AN153" s="11">
        <f>IF(AND(AL153&lt;&gt;"",AM153&lt;&gt;""),AL153*AM153,"")</f>
        <v/>
      </c>
      <c r="AO153" s="13" t="n"/>
      <c r="AP153" s="11">
        <f>IF(AND(AN153&lt;&gt;"",AO153&lt;&gt;""),AN153*AO153,"")</f>
        <v/>
      </c>
      <c r="AQ153" s="11">
        <f>IF(AND(AN153&lt;&gt;"",AP153&lt;&gt;""),AN153+AP153,"")</f>
        <v/>
      </c>
    </row>
    <row r="154">
      <c r="D154" s="8">
        <f>IF(A154="","",VLOOKUP(A154,Lists!$A:$B,2,FALSE))</f>
        <v/>
      </c>
      <c r="E154" s="8">
        <f>IF(C154="","",VLOOKUP(C154,Lists!$C:$D,2,FALSE))</f>
        <v/>
      </c>
      <c r="F154" s="8" t="n"/>
      <c r="G154" s="8" t="n"/>
      <c r="J154" s="9">
        <f>IF(A154="","",IFERROR(VLOOKUP(A154,Lists!$A:$H,8,FALSE),0))</f>
        <v/>
      </c>
      <c r="L154" s="9">
        <f>IF(A154="","",IFERROR(VLOOKUP(A154,Lists!$A:$H,7,FALSE),0))</f>
        <v/>
      </c>
      <c r="M154" s="10" t="n">
        <v>0.21</v>
      </c>
      <c r="N154" s="11">
        <f>L154 * (1 + M154)</f>
        <v/>
      </c>
      <c r="O154" s="11">
        <f>IF(K154="Eigen Beheer",0,IF(AND(ISNUMBER(N154),I154&lt;&gt;"",H154&lt;&gt;""),ROUND((I154-H154)/Lists!$Q$2,2)*N154,0))</f>
        <v/>
      </c>
      <c r="R154" s="12">
        <f>IF(Q154="","",VLOOKUP(Q154,Lists!$E:$F,2,FALSE))</f>
        <v/>
      </c>
      <c r="AD154" s="9" t="n">
        <v>50</v>
      </c>
      <c r="AE154" s="11">
        <f>IF(AB154="","",IF(ISNUMBER(SEARCH("Basis",AB154)),(250/1.21)+MAX(0,AC154-5)*AD154,IF(ISNUMBER(SEARCH("Intensief",AB154)),(375/1.21)+MAX(0,AC154-7)*AD154,AC154*AD154)))</f>
        <v/>
      </c>
      <c r="AF154" s="13" t="n">
        <v>0.21</v>
      </c>
      <c r="AG154" s="11">
        <f>IF(AE154&lt;&gt;"",AE154*AF154,"")</f>
        <v/>
      </c>
      <c r="AH154" s="11">
        <f>IF(AE154&lt;&gt;"",AE154+AG154,"")</f>
        <v/>
      </c>
      <c r="AL154">
        <f>IF($B154="GWE_Item",IF($AI154="Elektra",SUMIFS($W:$W,$A:$A,$A154,$B:$B,"GWE")-SUMIFS($V:$V,$A:$A,$A154,$B:$B,"GWE"),IF($AI154="Gas",SUMIFS($Y:$Y,$A:$A,$A154,$B:$B,"GWE")-SUMIFS($X:$X,$A:$A,$A154,$B:$B,"GWE"),IF($AI154="Water",SUMIFS($AA:$AA,$A:$A,$A154,$B:$B,"GWE")-SUMIFS($Z:$Z,$A:$A,$A154,$B:$B,"GWE"),""))),"")</f>
        <v/>
      </c>
      <c r="AN154" s="11">
        <f>IF(AND(AL154&lt;&gt;"",AM154&lt;&gt;""),AL154*AM154,"")</f>
        <v/>
      </c>
      <c r="AO154" s="13" t="n"/>
      <c r="AP154" s="11">
        <f>IF(AND(AN154&lt;&gt;"",AO154&lt;&gt;""),AN154*AO154,"")</f>
        <v/>
      </c>
      <c r="AQ154" s="11">
        <f>IF(AND(AN154&lt;&gt;"",AP154&lt;&gt;""),AN154+AP154,"")</f>
        <v/>
      </c>
    </row>
    <row r="155">
      <c r="D155" s="8">
        <f>IF(A155="","",VLOOKUP(A155,Lists!$A:$B,2,FALSE))</f>
        <v/>
      </c>
      <c r="E155" s="8">
        <f>IF(C155="","",VLOOKUP(C155,Lists!$C:$D,2,FALSE))</f>
        <v/>
      </c>
      <c r="F155" s="8" t="n"/>
      <c r="G155" s="8" t="n"/>
      <c r="J155" s="9">
        <f>IF(A155="","",IFERROR(VLOOKUP(A155,Lists!$A:$H,8,FALSE),0))</f>
        <v/>
      </c>
      <c r="L155" s="9">
        <f>IF(A155="","",IFERROR(VLOOKUP(A155,Lists!$A:$H,7,FALSE),0))</f>
        <v/>
      </c>
      <c r="M155" s="10" t="n">
        <v>0.21</v>
      </c>
      <c r="N155" s="11">
        <f>L155 * (1 + M155)</f>
        <v/>
      </c>
      <c r="O155" s="11">
        <f>IF(K155="Eigen Beheer",0,IF(AND(ISNUMBER(N155),I155&lt;&gt;"",H155&lt;&gt;""),ROUND((I155-H155)/Lists!$Q$2,2)*N155,0))</f>
        <v/>
      </c>
      <c r="R155" s="12">
        <f>IF(Q155="","",VLOOKUP(Q155,Lists!$E:$F,2,FALSE))</f>
        <v/>
      </c>
      <c r="AD155" s="9" t="n">
        <v>50</v>
      </c>
      <c r="AE155" s="11">
        <f>IF(AB155="","",IF(ISNUMBER(SEARCH("Basis",AB155)),(250/1.21)+MAX(0,AC155-5)*AD155,IF(ISNUMBER(SEARCH("Intensief",AB155)),(375/1.21)+MAX(0,AC155-7)*AD155,AC155*AD155)))</f>
        <v/>
      </c>
      <c r="AF155" s="13" t="n">
        <v>0.21</v>
      </c>
      <c r="AG155" s="11">
        <f>IF(AE155&lt;&gt;"",AE155*AF155,"")</f>
        <v/>
      </c>
      <c r="AH155" s="11">
        <f>IF(AE155&lt;&gt;"",AE155+AG155,"")</f>
        <v/>
      </c>
      <c r="AL155">
        <f>IF($B155="GWE_Item",IF($AI155="Elektra",SUMIFS($W:$W,$A:$A,$A155,$B:$B,"GWE")-SUMIFS($V:$V,$A:$A,$A155,$B:$B,"GWE"),IF($AI155="Gas",SUMIFS($Y:$Y,$A:$A,$A155,$B:$B,"GWE")-SUMIFS($X:$X,$A:$A,$A155,$B:$B,"GWE"),IF($AI155="Water",SUMIFS($AA:$AA,$A:$A,$A155,$B:$B,"GWE")-SUMIFS($Z:$Z,$A:$A,$A155,$B:$B,"GWE"),""))),"")</f>
        <v/>
      </c>
      <c r="AN155" s="11">
        <f>IF(AND(AL155&lt;&gt;"",AM155&lt;&gt;""),AL155*AM155,"")</f>
        <v/>
      </c>
      <c r="AO155" s="13" t="n"/>
      <c r="AP155" s="11">
        <f>IF(AND(AN155&lt;&gt;"",AO155&lt;&gt;""),AN155*AO155,"")</f>
        <v/>
      </c>
      <c r="AQ155" s="11">
        <f>IF(AND(AN155&lt;&gt;"",AP155&lt;&gt;""),AN155+AP155,"")</f>
        <v/>
      </c>
    </row>
    <row r="156">
      <c r="D156" s="8">
        <f>IF(A156="","",VLOOKUP(A156,Lists!$A:$B,2,FALSE))</f>
        <v/>
      </c>
      <c r="E156" s="8">
        <f>IF(C156="","",VLOOKUP(C156,Lists!$C:$D,2,FALSE))</f>
        <v/>
      </c>
      <c r="F156" s="8" t="n"/>
      <c r="G156" s="8" t="n"/>
      <c r="J156" s="9">
        <f>IF(A156="","",IFERROR(VLOOKUP(A156,Lists!$A:$H,8,FALSE),0))</f>
        <v/>
      </c>
      <c r="L156" s="9">
        <f>IF(A156="","",IFERROR(VLOOKUP(A156,Lists!$A:$H,7,FALSE),0))</f>
        <v/>
      </c>
      <c r="M156" s="10" t="n">
        <v>0.21</v>
      </c>
      <c r="N156" s="11">
        <f>L156 * (1 + M156)</f>
        <v/>
      </c>
      <c r="O156" s="11">
        <f>IF(K156="Eigen Beheer",0,IF(AND(ISNUMBER(N156),I156&lt;&gt;"",H156&lt;&gt;""),ROUND((I156-H156)/Lists!$Q$2,2)*N156,0))</f>
        <v/>
      </c>
      <c r="R156" s="12">
        <f>IF(Q156="","",VLOOKUP(Q156,Lists!$E:$F,2,FALSE))</f>
        <v/>
      </c>
      <c r="AD156" s="9" t="n">
        <v>50</v>
      </c>
      <c r="AE156" s="11">
        <f>IF(AB156="","",IF(ISNUMBER(SEARCH("Basis",AB156)),(250/1.21)+MAX(0,AC156-5)*AD156,IF(ISNUMBER(SEARCH("Intensief",AB156)),(375/1.21)+MAX(0,AC156-7)*AD156,AC156*AD156)))</f>
        <v/>
      </c>
      <c r="AF156" s="13" t="n">
        <v>0.21</v>
      </c>
      <c r="AG156" s="11">
        <f>IF(AE156&lt;&gt;"",AE156*AF156,"")</f>
        <v/>
      </c>
      <c r="AH156" s="11">
        <f>IF(AE156&lt;&gt;"",AE156+AG156,"")</f>
        <v/>
      </c>
      <c r="AL156">
        <f>IF($B156="GWE_Item",IF($AI156="Elektra",SUMIFS($W:$W,$A:$A,$A156,$B:$B,"GWE")-SUMIFS($V:$V,$A:$A,$A156,$B:$B,"GWE"),IF($AI156="Gas",SUMIFS($Y:$Y,$A:$A,$A156,$B:$B,"GWE")-SUMIFS($X:$X,$A:$A,$A156,$B:$B,"GWE"),IF($AI156="Water",SUMIFS($AA:$AA,$A:$A,$A156,$B:$B,"GWE")-SUMIFS($Z:$Z,$A:$A,$A156,$B:$B,"GWE"),""))),"")</f>
        <v/>
      </c>
      <c r="AN156" s="11">
        <f>IF(AND(AL156&lt;&gt;"",AM156&lt;&gt;""),AL156*AM156,"")</f>
        <v/>
      </c>
      <c r="AO156" s="13" t="n"/>
      <c r="AP156" s="11">
        <f>IF(AND(AN156&lt;&gt;"",AO156&lt;&gt;""),AN156*AO156,"")</f>
        <v/>
      </c>
      <c r="AQ156" s="11">
        <f>IF(AND(AN156&lt;&gt;"",AP156&lt;&gt;""),AN156+AP156,"")</f>
        <v/>
      </c>
    </row>
    <row r="157">
      <c r="D157" s="8">
        <f>IF(A157="","",VLOOKUP(A157,Lists!$A:$B,2,FALSE))</f>
        <v/>
      </c>
      <c r="E157" s="8">
        <f>IF(C157="","",VLOOKUP(C157,Lists!$C:$D,2,FALSE))</f>
        <v/>
      </c>
      <c r="F157" s="8" t="n"/>
      <c r="G157" s="8" t="n"/>
      <c r="J157" s="9">
        <f>IF(A157="","",IFERROR(VLOOKUP(A157,Lists!$A:$H,8,FALSE),0))</f>
        <v/>
      </c>
      <c r="L157" s="9">
        <f>IF(A157="","",IFERROR(VLOOKUP(A157,Lists!$A:$H,7,FALSE),0))</f>
        <v/>
      </c>
      <c r="M157" s="10" t="n">
        <v>0.21</v>
      </c>
      <c r="N157" s="11">
        <f>L157 * (1 + M157)</f>
        <v/>
      </c>
      <c r="O157" s="11">
        <f>IF(K157="Eigen Beheer",0,IF(AND(ISNUMBER(N157),I157&lt;&gt;"",H157&lt;&gt;""),ROUND((I157-H157)/Lists!$Q$2,2)*N157,0))</f>
        <v/>
      </c>
      <c r="R157" s="12">
        <f>IF(Q157="","",VLOOKUP(Q157,Lists!$E:$F,2,FALSE))</f>
        <v/>
      </c>
      <c r="AD157" s="9" t="n">
        <v>50</v>
      </c>
      <c r="AE157" s="11">
        <f>IF(AB157="","",IF(ISNUMBER(SEARCH("Basis",AB157)),(250/1.21)+MAX(0,AC157-5)*AD157,IF(ISNUMBER(SEARCH("Intensief",AB157)),(375/1.21)+MAX(0,AC157-7)*AD157,AC157*AD157)))</f>
        <v/>
      </c>
      <c r="AF157" s="13" t="n">
        <v>0.21</v>
      </c>
      <c r="AG157" s="11">
        <f>IF(AE157&lt;&gt;"",AE157*AF157,"")</f>
        <v/>
      </c>
      <c r="AH157" s="11">
        <f>IF(AE157&lt;&gt;"",AE157+AG157,"")</f>
        <v/>
      </c>
      <c r="AL157">
        <f>IF($B157="GWE_Item",IF($AI157="Elektra",SUMIFS($W:$W,$A:$A,$A157,$B:$B,"GWE")-SUMIFS($V:$V,$A:$A,$A157,$B:$B,"GWE"),IF($AI157="Gas",SUMIFS($Y:$Y,$A:$A,$A157,$B:$B,"GWE")-SUMIFS($X:$X,$A:$A,$A157,$B:$B,"GWE"),IF($AI157="Water",SUMIFS($AA:$AA,$A:$A,$A157,$B:$B,"GWE")-SUMIFS($Z:$Z,$A:$A,$A157,$B:$B,"GWE"),""))),"")</f>
        <v/>
      </c>
      <c r="AN157" s="11">
        <f>IF(AND(AL157&lt;&gt;"",AM157&lt;&gt;""),AL157*AM157,"")</f>
        <v/>
      </c>
      <c r="AO157" s="13" t="n"/>
      <c r="AP157" s="11">
        <f>IF(AND(AN157&lt;&gt;"",AO157&lt;&gt;""),AN157*AO157,"")</f>
        <v/>
      </c>
      <c r="AQ157" s="11">
        <f>IF(AND(AN157&lt;&gt;"",AP157&lt;&gt;""),AN157+AP157,"")</f>
        <v/>
      </c>
    </row>
    <row r="158">
      <c r="D158" s="8">
        <f>IF(A158="","",VLOOKUP(A158,Lists!$A:$B,2,FALSE))</f>
        <v/>
      </c>
      <c r="E158" s="8">
        <f>IF(C158="","",VLOOKUP(C158,Lists!$C:$D,2,FALSE))</f>
        <v/>
      </c>
      <c r="F158" s="8" t="n"/>
      <c r="G158" s="8" t="n"/>
      <c r="J158" s="9">
        <f>IF(A158="","",IFERROR(VLOOKUP(A158,Lists!$A:$H,8,FALSE),0))</f>
        <v/>
      </c>
      <c r="L158" s="9">
        <f>IF(A158="","",IFERROR(VLOOKUP(A158,Lists!$A:$H,7,FALSE),0))</f>
        <v/>
      </c>
      <c r="M158" s="10" t="n">
        <v>0.21</v>
      </c>
      <c r="N158" s="11">
        <f>L158 * (1 + M158)</f>
        <v/>
      </c>
      <c r="O158" s="11">
        <f>IF(K158="Eigen Beheer",0,IF(AND(ISNUMBER(N158),I158&lt;&gt;"",H158&lt;&gt;""),ROUND((I158-H158)/Lists!$Q$2,2)*N158,0))</f>
        <v/>
      </c>
      <c r="R158" s="12">
        <f>IF(Q158="","",VLOOKUP(Q158,Lists!$E:$F,2,FALSE))</f>
        <v/>
      </c>
      <c r="AD158" s="9" t="n">
        <v>50</v>
      </c>
      <c r="AE158" s="11">
        <f>IF(AB158="","",IF(ISNUMBER(SEARCH("Basis",AB158)),(250/1.21)+MAX(0,AC158-5)*AD158,IF(ISNUMBER(SEARCH("Intensief",AB158)),(375/1.21)+MAX(0,AC158-7)*AD158,AC158*AD158)))</f>
        <v/>
      </c>
      <c r="AF158" s="13" t="n">
        <v>0.21</v>
      </c>
      <c r="AG158" s="11">
        <f>IF(AE158&lt;&gt;"",AE158*AF158,"")</f>
        <v/>
      </c>
      <c r="AH158" s="11">
        <f>IF(AE158&lt;&gt;"",AE158+AG158,"")</f>
        <v/>
      </c>
      <c r="AL158">
        <f>IF($B158="GWE_Item",IF($AI158="Elektra",SUMIFS($W:$W,$A:$A,$A158,$B:$B,"GWE")-SUMIFS($V:$V,$A:$A,$A158,$B:$B,"GWE"),IF($AI158="Gas",SUMIFS($Y:$Y,$A:$A,$A158,$B:$B,"GWE")-SUMIFS($X:$X,$A:$A,$A158,$B:$B,"GWE"),IF($AI158="Water",SUMIFS($AA:$AA,$A:$A,$A158,$B:$B,"GWE")-SUMIFS($Z:$Z,$A:$A,$A158,$B:$B,"GWE"),""))),"")</f>
        <v/>
      </c>
      <c r="AN158" s="11">
        <f>IF(AND(AL158&lt;&gt;"",AM158&lt;&gt;""),AL158*AM158,"")</f>
        <v/>
      </c>
      <c r="AO158" s="13" t="n"/>
      <c r="AP158" s="11">
        <f>IF(AND(AN158&lt;&gt;"",AO158&lt;&gt;""),AN158*AO158,"")</f>
        <v/>
      </c>
      <c r="AQ158" s="11">
        <f>IF(AND(AN158&lt;&gt;"",AP158&lt;&gt;""),AN158+AP158,"")</f>
        <v/>
      </c>
    </row>
    <row r="159">
      <c r="D159" s="8">
        <f>IF(A159="","",VLOOKUP(A159,Lists!$A:$B,2,FALSE))</f>
        <v/>
      </c>
      <c r="E159" s="8">
        <f>IF(C159="","",VLOOKUP(C159,Lists!$C:$D,2,FALSE))</f>
        <v/>
      </c>
      <c r="F159" s="8" t="n"/>
      <c r="G159" s="8" t="n"/>
      <c r="J159" s="9">
        <f>IF(A159="","",IFERROR(VLOOKUP(A159,Lists!$A:$H,8,FALSE),0))</f>
        <v/>
      </c>
      <c r="L159" s="9">
        <f>IF(A159="","",IFERROR(VLOOKUP(A159,Lists!$A:$H,7,FALSE),0))</f>
        <v/>
      </c>
      <c r="M159" s="10" t="n">
        <v>0.21</v>
      </c>
      <c r="N159" s="11">
        <f>L159 * (1 + M159)</f>
        <v/>
      </c>
      <c r="O159" s="11">
        <f>IF(K159="Eigen Beheer",0,IF(AND(ISNUMBER(N159),I159&lt;&gt;"",H159&lt;&gt;""),ROUND((I159-H159)/Lists!$Q$2,2)*N159,0))</f>
        <v/>
      </c>
      <c r="R159" s="12">
        <f>IF(Q159="","",VLOOKUP(Q159,Lists!$E:$F,2,FALSE))</f>
        <v/>
      </c>
      <c r="AD159" s="9" t="n">
        <v>50</v>
      </c>
      <c r="AE159" s="11">
        <f>IF(AB159="","",IF(ISNUMBER(SEARCH("Basis",AB159)),(250/1.21)+MAX(0,AC159-5)*AD159,IF(ISNUMBER(SEARCH("Intensief",AB159)),(375/1.21)+MAX(0,AC159-7)*AD159,AC159*AD159)))</f>
        <v/>
      </c>
      <c r="AF159" s="13" t="n">
        <v>0.21</v>
      </c>
      <c r="AG159" s="11">
        <f>IF(AE159&lt;&gt;"",AE159*AF159,"")</f>
        <v/>
      </c>
      <c r="AH159" s="11">
        <f>IF(AE159&lt;&gt;"",AE159+AG159,"")</f>
        <v/>
      </c>
      <c r="AL159">
        <f>IF($B159="GWE_Item",IF($AI159="Elektra",SUMIFS($W:$W,$A:$A,$A159,$B:$B,"GWE")-SUMIFS($V:$V,$A:$A,$A159,$B:$B,"GWE"),IF($AI159="Gas",SUMIFS($Y:$Y,$A:$A,$A159,$B:$B,"GWE")-SUMIFS($X:$X,$A:$A,$A159,$B:$B,"GWE"),IF($AI159="Water",SUMIFS($AA:$AA,$A:$A,$A159,$B:$B,"GWE")-SUMIFS($Z:$Z,$A:$A,$A159,$B:$B,"GWE"),""))),"")</f>
        <v/>
      </c>
      <c r="AN159" s="11">
        <f>IF(AND(AL159&lt;&gt;"",AM159&lt;&gt;""),AL159*AM159,"")</f>
        <v/>
      </c>
      <c r="AO159" s="13" t="n"/>
      <c r="AP159" s="11">
        <f>IF(AND(AN159&lt;&gt;"",AO159&lt;&gt;""),AN159*AO159,"")</f>
        <v/>
      </c>
      <c r="AQ159" s="11">
        <f>IF(AND(AN159&lt;&gt;"",AP159&lt;&gt;""),AN159+AP159,"")</f>
        <v/>
      </c>
    </row>
    <row r="160">
      <c r="D160" s="8">
        <f>IF(A160="","",VLOOKUP(A160,Lists!$A:$B,2,FALSE))</f>
        <v/>
      </c>
      <c r="E160" s="8">
        <f>IF(C160="","",VLOOKUP(C160,Lists!$C:$D,2,FALSE))</f>
        <v/>
      </c>
      <c r="F160" s="8" t="n"/>
      <c r="G160" s="8" t="n"/>
      <c r="J160" s="9">
        <f>IF(A160="","",IFERROR(VLOOKUP(A160,Lists!$A:$H,8,FALSE),0))</f>
        <v/>
      </c>
      <c r="L160" s="9">
        <f>IF(A160="","",IFERROR(VLOOKUP(A160,Lists!$A:$H,7,FALSE),0))</f>
        <v/>
      </c>
      <c r="M160" s="10" t="n">
        <v>0.21</v>
      </c>
      <c r="N160" s="11">
        <f>L160 * (1 + M160)</f>
        <v/>
      </c>
      <c r="O160" s="11">
        <f>IF(K160="Eigen Beheer",0,IF(AND(ISNUMBER(N160),I160&lt;&gt;"",H160&lt;&gt;""),ROUND((I160-H160)/Lists!$Q$2,2)*N160,0))</f>
        <v/>
      </c>
      <c r="R160" s="12">
        <f>IF(Q160="","",VLOOKUP(Q160,Lists!$E:$F,2,FALSE))</f>
        <v/>
      </c>
      <c r="AD160" s="9" t="n">
        <v>50</v>
      </c>
      <c r="AE160" s="11">
        <f>IF(AB160="","",IF(ISNUMBER(SEARCH("Basis",AB160)),(250/1.21)+MAX(0,AC160-5)*AD160,IF(ISNUMBER(SEARCH("Intensief",AB160)),(375/1.21)+MAX(0,AC160-7)*AD160,AC160*AD160)))</f>
        <v/>
      </c>
      <c r="AF160" s="13" t="n">
        <v>0.21</v>
      </c>
      <c r="AG160" s="11">
        <f>IF(AE160&lt;&gt;"",AE160*AF160,"")</f>
        <v/>
      </c>
      <c r="AH160" s="11">
        <f>IF(AE160&lt;&gt;"",AE160+AG160,"")</f>
        <v/>
      </c>
      <c r="AL160">
        <f>IF($B160="GWE_Item",IF($AI160="Elektra",SUMIFS($W:$W,$A:$A,$A160,$B:$B,"GWE")-SUMIFS($V:$V,$A:$A,$A160,$B:$B,"GWE"),IF($AI160="Gas",SUMIFS($Y:$Y,$A:$A,$A160,$B:$B,"GWE")-SUMIFS($X:$X,$A:$A,$A160,$B:$B,"GWE"),IF($AI160="Water",SUMIFS($AA:$AA,$A:$A,$A160,$B:$B,"GWE")-SUMIFS($Z:$Z,$A:$A,$A160,$B:$B,"GWE"),""))),"")</f>
        <v/>
      </c>
      <c r="AN160" s="11">
        <f>IF(AND(AL160&lt;&gt;"",AM160&lt;&gt;""),AL160*AM160,"")</f>
        <v/>
      </c>
      <c r="AO160" s="13" t="n"/>
      <c r="AP160" s="11">
        <f>IF(AND(AN160&lt;&gt;"",AO160&lt;&gt;""),AN160*AO160,"")</f>
        <v/>
      </c>
      <c r="AQ160" s="11">
        <f>IF(AND(AN160&lt;&gt;"",AP160&lt;&gt;""),AN160+AP160,"")</f>
        <v/>
      </c>
    </row>
    <row r="161">
      <c r="D161" s="8">
        <f>IF(A161="","",VLOOKUP(A161,Lists!$A:$B,2,FALSE))</f>
        <v/>
      </c>
      <c r="E161" s="8">
        <f>IF(C161="","",VLOOKUP(C161,Lists!$C:$D,2,FALSE))</f>
        <v/>
      </c>
      <c r="F161" s="8" t="n"/>
      <c r="G161" s="8" t="n"/>
      <c r="J161" s="9">
        <f>IF(A161="","",IFERROR(VLOOKUP(A161,Lists!$A:$H,8,FALSE),0))</f>
        <v/>
      </c>
      <c r="L161" s="9">
        <f>IF(A161="","",IFERROR(VLOOKUP(A161,Lists!$A:$H,7,FALSE),0))</f>
        <v/>
      </c>
      <c r="M161" s="10" t="n">
        <v>0.21</v>
      </c>
      <c r="N161" s="11">
        <f>L161 * (1 + M161)</f>
        <v/>
      </c>
      <c r="O161" s="11">
        <f>IF(K161="Eigen Beheer",0,IF(AND(ISNUMBER(N161),I161&lt;&gt;"",H161&lt;&gt;""),ROUND((I161-H161)/Lists!$Q$2,2)*N161,0))</f>
        <v/>
      </c>
      <c r="R161" s="12">
        <f>IF(Q161="","",VLOOKUP(Q161,Lists!$E:$F,2,FALSE))</f>
        <v/>
      </c>
      <c r="AD161" s="9" t="n">
        <v>50</v>
      </c>
      <c r="AE161" s="11">
        <f>IF(AB161="","",IF(ISNUMBER(SEARCH("Basis",AB161)),(250/1.21)+MAX(0,AC161-5)*AD161,IF(ISNUMBER(SEARCH("Intensief",AB161)),(375/1.21)+MAX(0,AC161-7)*AD161,AC161*AD161)))</f>
        <v/>
      </c>
      <c r="AF161" s="13" t="n">
        <v>0.21</v>
      </c>
      <c r="AG161" s="11">
        <f>IF(AE161&lt;&gt;"",AE161*AF161,"")</f>
        <v/>
      </c>
      <c r="AH161" s="11">
        <f>IF(AE161&lt;&gt;"",AE161+AG161,"")</f>
        <v/>
      </c>
      <c r="AL161">
        <f>IF($B161="GWE_Item",IF($AI161="Elektra",SUMIFS($W:$W,$A:$A,$A161,$B:$B,"GWE")-SUMIFS($V:$V,$A:$A,$A161,$B:$B,"GWE"),IF($AI161="Gas",SUMIFS($Y:$Y,$A:$A,$A161,$B:$B,"GWE")-SUMIFS($X:$X,$A:$A,$A161,$B:$B,"GWE"),IF($AI161="Water",SUMIFS($AA:$AA,$A:$A,$A161,$B:$B,"GWE")-SUMIFS($Z:$Z,$A:$A,$A161,$B:$B,"GWE"),""))),"")</f>
        <v/>
      </c>
      <c r="AN161" s="11">
        <f>IF(AND(AL161&lt;&gt;"",AM161&lt;&gt;""),AL161*AM161,"")</f>
        <v/>
      </c>
      <c r="AO161" s="13" t="n"/>
      <c r="AP161" s="11">
        <f>IF(AND(AN161&lt;&gt;"",AO161&lt;&gt;""),AN161*AO161,"")</f>
        <v/>
      </c>
      <c r="AQ161" s="11">
        <f>IF(AND(AN161&lt;&gt;"",AP161&lt;&gt;""),AN161+AP161,"")</f>
        <v/>
      </c>
    </row>
    <row r="162">
      <c r="D162" s="8">
        <f>IF(A162="","",VLOOKUP(A162,Lists!$A:$B,2,FALSE))</f>
        <v/>
      </c>
      <c r="E162" s="8">
        <f>IF(C162="","",VLOOKUP(C162,Lists!$C:$D,2,FALSE))</f>
        <v/>
      </c>
      <c r="F162" s="8" t="n"/>
      <c r="G162" s="8" t="n"/>
      <c r="J162" s="9">
        <f>IF(A162="","",IFERROR(VLOOKUP(A162,Lists!$A:$H,8,FALSE),0))</f>
        <v/>
      </c>
      <c r="L162" s="9">
        <f>IF(A162="","",IFERROR(VLOOKUP(A162,Lists!$A:$H,7,FALSE),0))</f>
        <v/>
      </c>
      <c r="M162" s="10" t="n">
        <v>0.21</v>
      </c>
      <c r="N162" s="11">
        <f>L162 * (1 + M162)</f>
        <v/>
      </c>
      <c r="O162" s="11">
        <f>IF(K162="Eigen Beheer",0,IF(AND(ISNUMBER(N162),I162&lt;&gt;"",H162&lt;&gt;""),ROUND((I162-H162)/Lists!$Q$2,2)*N162,0))</f>
        <v/>
      </c>
      <c r="R162" s="12">
        <f>IF(Q162="","",VLOOKUP(Q162,Lists!$E:$F,2,FALSE))</f>
        <v/>
      </c>
      <c r="AD162" s="9" t="n">
        <v>50</v>
      </c>
      <c r="AE162" s="11">
        <f>IF(AB162="","",IF(ISNUMBER(SEARCH("Basis",AB162)),(250/1.21)+MAX(0,AC162-5)*AD162,IF(ISNUMBER(SEARCH("Intensief",AB162)),(375/1.21)+MAX(0,AC162-7)*AD162,AC162*AD162)))</f>
        <v/>
      </c>
      <c r="AF162" s="13" t="n">
        <v>0.21</v>
      </c>
      <c r="AG162" s="11">
        <f>IF(AE162&lt;&gt;"",AE162*AF162,"")</f>
        <v/>
      </c>
      <c r="AH162" s="11">
        <f>IF(AE162&lt;&gt;"",AE162+AG162,"")</f>
        <v/>
      </c>
      <c r="AL162">
        <f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>
        <f>IF(AND(AL162&lt;&gt;"",AM162&lt;&gt;""),AL162*AM162,"")</f>
        <v/>
      </c>
      <c r="AO162" s="13" t="n"/>
      <c r="AP162" s="11">
        <f>IF(AND(AN162&lt;&gt;"",AO162&lt;&gt;""),AN162*AO162,"")</f>
        <v/>
      </c>
      <c r="AQ162" s="11">
        <f>IF(AND(AN162&lt;&gt;"",AP162&lt;&gt;""),AN162+AP162,"")</f>
        <v/>
      </c>
    </row>
    <row r="163">
      <c r="D163" s="8">
        <f>IF(A163="","",VLOOKUP(A163,Lists!$A:$B,2,FALSE))</f>
        <v/>
      </c>
      <c r="E163" s="8">
        <f>IF(C163="","",VLOOKUP(C163,Lists!$C:$D,2,FALSE))</f>
        <v/>
      </c>
      <c r="F163" s="8" t="n"/>
      <c r="G163" s="8" t="n"/>
      <c r="J163" s="9">
        <f>IF(A163="","",IFERROR(VLOOKUP(A163,Lists!$A:$H,8,FALSE),0))</f>
        <v/>
      </c>
      <c r="L163" s="9">
        <f>IF(A163="","",IFERROR(VLOOKUP(A163,Lists!$A:$H,7,FALSE),0))</f>
        <v/>
      </c>
      <c r="M163" s="10" t="n">
        <v>0.21</v>
      </c>
      <c r="N163" s="11">
        <f>L163 * (1 + M163)</f>
        <v/>
      </c>
      <c r="O163" s="11">
        <f>IF(K163="Eigen Beheer",0,IF(AND(ISNUMBER(N163),I163&lt;&gt;"",H163&lt;&gt;""),ROUND((I163-H163)/Lists!$Q$2,2)*N163,0))</f>
        <v/>
      </c>
      <c r="R163" s="12">
        <f>IF(Q163="","",VLOOKUP(Q163,Lists!$E:$F,2,FALSE))</f>
        <v/>
      </c>
      <c r="AD163" s="9" t="n">
        <v>50</v>
      </c>
      <c r="AE163" s="11">
        <f>IF(AB163="","",IF(ISNUMBER(SEARCH("Basis",AB163)),(250/1.21)+MAX(0,AC163-5)*AD163,IF(ISNUMBER(SEARCH("Intensief",AB163)),(375/1.21)+MAX(0,AC163-7)*AD163,AC163*AD163)))</f>
        <v/>
      </c>
      <c r="AF163" s="13" t="n">
        <v>0.21</v>
      </c>
      <c r="AG163" s="11">
        <f>IF(AE163&lt;&gt;"",AE163*AF163,"")</f>
        <v/>
      </c>
      <c r="AH163" s="11">
        <f>IF(AE163&lt;&gt;"",AE163+AG163,"")</f>
        <v/>
      </c>
      <c r="AL163">
        <f>IF($B163="GWE_Item",IF($AI163="Elektra",SUMIFS($W:$W,$A:$A,$A163,$B:$B,"GWE")-SUMIFS($V:$V,$A:$A,$A163,$B:$B,"GWE"),IF($AI163="Gas",SUMIFS($Y:$Y,$A:$A,$A163,$B:$B,"GWE")-SUMIFS($X:$X,$A:$A,$A163,$B:$B,"GWE"),IF($AI163="Water",SUMIFS($AA:$AA,$A:$A,$A163,$B:$B,"GWE")-SUMIFS($Z:$Z,$A:$A,$A163,$B:$B,"GWE"),""))),"")</f>
        <v/>
      </c>
      <c r="AN163" s="11">
        <f>IF(AND(AL163&lt;&gt;"",AM163&lt;&gt;""),AL163*AM163,"")</f>
        <v/>
      </c>
      <c r="AO163" s="13" t="n"/>
      <c r="AP163" s="11">
        <f>IF(AND(AN163&lt;&gt;"",AO163&lt;&gt;""),AN163*AO163,"")</f>
        <v/>
      </c>
      <c r="AQ163" s="11">
        <f>IF(AND(AN163&lt;&gt;"",AP163&lt;&gt;""),AN163+AP163,"")</f>
        <v/>
      </c>
    </row>
    <row r="164">
      <c r="D164" s="8">
        <f>IF(A164="","",VLOOKUP(A164,Lists!$A:$B,2,FALSE))</f>
        <v/>
      </c>
      <c r="E164" s="8">
        <f>IF(C164="","",VLOOKUP(C164,Lists!$C:$D,2,FALSE))</f>
        <v/>
      </c>
      <c r="F164" s="8" t="n"/>
      <c r="G164" s="8" t="n"/>
      <c r="J164" s="9">
        <f>IF(A164="","",IFERROR(VLOOKUP(A164,Lists!$A:$H,8,FALSE),0))</f>
        <v/>
      </c>
      <c r="L164" s="9">
        <f>IF(A164="","",IFERROR(VLOOKUP(A164,Lists!$A:$H,7,FALSE),0))</f>
        <v/>
      </c>
      <c r="M164" s="10" t="n">
        <v>0.21</v>
      </c>
      <c r="N164" s="11">
        <f>L164 * (1 + M164)</f>
        <v/>
      </c>
      <c r="O164" s="11">
        <f>IF(K164="Eigen Beheer",0,IF(AND(ISNUMBER(N164),I164&lt;&gt;"",H164&lt;&gt;""),ROUND((I164-H164)/Lists!$Q$2,2)*N164,0))</f>
        <v/>
      </c>
      <c r="R164" s="12">
        <f>IF(Q164="","",VLOOKUP(Q164,Lists!$E:$F,2,FALSE))</f>
        <v/>
      </c>
      <c r="AD164" s="9" t="n">
        <v>50</v>
      </c>
      <c r="AE164" s="11">
        <f>IF(AB164="","",IF(ISNUMBER(SEARCH("Basis",AB164)),(250/1.21)+MAX(0,AC164-5)*AD164,IF(ISNUMBER(SEARCH("Intensief",AB164)),(375/1.21)+MAX(0,AC164-7)*AD164,AC164*AD164)))</f>
        <v/>
      </c>
      <c r="AF164" s="13" t="n">
        <v>0.21</v>
      </c>
      <c r="AG164" s="11">
        <f>IF(AE164&lt;&gt;"",AE164*AF164,"")</f>
        <v/>
      </c>
      <c r="AH164" s="11">
        <f>IF(AE164&lt;&gt;"",AE164+AG164,"")</f>
        <v/>
      </c>
      <c r="AL164">
        <f>IF($B164="GWE_Item",IF($AI164="Elektra",SUMIFS($W:$W,$A:$A,$A164,$B:$B,"GWE")-SUMIFS($V:$V,$A:$A,$A164,$B:$B,"GWE"),IF($AI164="Gas",SUMIFS($Y:$Y,$A:$A,$A164,$B:$B,"GWE")-SUMIFS($X:$X,$A:$A,$A164,$B:$B,"GWE"),IF($AI164="Water",SUMIFS($AA:$AA,$A:$A,$A164,$B:$B,"GWE")-SUMIFS($Z:$Z,$A:$A,$A164,$B:$B,"GWE"),""))),"")</f>
        <v/>
      </c>
      <c r="AN164" s="11">
        <f>IF(AND(AL164&lt;&gt;"",AM164&lt;&gt;""),AL164*AM164,"")</f>
        <v/>
      </c>
      <c r="AO164" s="13" t="n"/>
      <c r="AP164" s="11">
        <f>IF(AND(AN164&lt;&gt;"",AO164&lt;&gt;""),AN164*AO164,"")</f>
        <v/>
      </c>
      <c r="AQ164" s="11">
        <f>IF(AND(AN164&lt;&gt;"",AP164&lt;&gt;""),AN164+AP164,"")</f>
        <v/>
      </c>
    </row>
    <row r="165">
      <c r="D165" s="8">
        <f>IF(A165="","",VLOOKUP(A165,Lists!$A:$B,2,FALSE))</f>
        <v/>
      </c>
      <c r="E165" s="8">
        <f>IF(C165="","",VLOOKUP(C165,Lists!$C:$D,2,FALSE))</f>
        <v/>
      </c>
      <c r="F165" s="8" t="n"/>
      <c r="G165" s="8" t="n"/>
      <c r="J165" s="9">
        <f>IF(A165="","",IFERROR(VLOOKUP(A165,Lists!$A:$H,8,FALSE),0))</f>
        <v/>
      </c>
      <c r="L165" s="9">
        <f>IF(A165="","",IFERROR(VLOOKUP(A165,Lists!$A:$H,7,FALSE),0))</f>
        <v/>
      </c>
      <c r="M165" s="10" t="n">
        <v>0.21</v>
      </c>
      <c r="N165" s="11">
        <f>L165 * (1 + M165)</f>
        <v/>
      </c>
      <c r="O165" s="11">
        <f>IF(K165="Eigen Beheer",0,IF(AND(ISNUMBER(N165),I165&lt;&gt;"",H165&lt;&gt;""),ROUND((I165-H165)/Lists!$Q$2,2)*N165,0))</f>
        <v/>
      </c>
      <c r="R165" s="12">
        <f>IF(Q165="","",VLOOKUP(Q165,Lists!$E:$F,2,FALSE))</f>
        <v/>
      </c>
      <c r="AD165" s="9" t="n">
        <v>50</v>
      </c>
      <c r="AE165" s="11">
        <f>IF(AB165="","",IF(ISNUMBER(SEARCH("Basis",AB165)),(250/1.21)+MAX(0,AC165-5)*AD165,IF(ISNUMBER(SEARCH("Intensief",AB165)),(375/1.21)+MAX(0,AC165-7)*AD165,AC165*AD165)))</f>
        <v/>
      </c>
      <c r="AF165" s="13" t="n">
        <v>0.21</v>
      </c>
      <c r="AG165" s="11">
        <f>IF(AE165&lt;&gt;"",AE165*AF165,"")</f>
        <v/>
      </c>
      <c r="AH165" s="11">
        <f>IF(AE165&lt;&gt;"",AE165+AG165,"")</f>
        <v/>
      </c>
      <c r="AL165">
        <f>IF($B165="GWE_Item",IF($AI165="Elektra",SUMIFS($W:$W,$A:$A,$A165,$B:$B,"GWE")-SUMIFS($V:$V,$A:$A,$A165,$B:$B,"GWE"),IF($AI165="Gas",SUMIFS($Y:$Y,$A:$A,$A165,$B:$B,"GWE")-SUMIFS($X:$X,$A:$A,$A165,$B:$B,"GWE"),IF($AI165="Water",SUMIFS($AA:$AA,$A:$A,$A165,$B:$B,"GWE")-SUMIFS($Z:$Z,$A:$A,$A165,$B:$B,"GWE"),""))),"")</f>
        <v/>
      </c>
      <c r="AN165" s="11">
        <f>IF(AND(AL165&lt;&gt;"",AM165&lt;&gt;""),AL165*AM165,"")</f>
        <v/>
      </c>
      <c r="AO165" s="13" t="n"/>
      <c r="AP165" s="11">
        <f>IF(AND(AN165&lt;&gt;"",AO165&lt;&gt;""),AN165*AO165,"")</f>
        <v/>
      </c>
      <c r="AQ165" s="11">
        <f>IF(AND(AN165&lt;&gt;"",AP165&lt;&gt;""),AN165+AP165,"")</f>
        <v/>
      </c>
    </row>
    <row r="166">
      <c r="D166" s="8">
        <f>IF(A166="","",VLOOKUP(A166,Lists!$A:$B,2,FALSE))</f>
        <v/>
      </c>
      <c r="E166" s="8">
        <f>IF(C166="","",VLOOKUP(C166,Lists!$C:$D,2,FALSE))</f>
        <v/>
      </c>
      <c r="F166" s="8" t="n"/>
      <c r="G166" s="8" t="n"/>
      <c r="J166" s="9">
        <f>IF(A166="","",IFERROR(VLOOKUP(A166,Lists!$A:$H,8,FALSE),0))</f>
        <v/>
      </c>
      <c r="L166" s="9">
        <f>IF(A166="","",IFERROR(VLOOKUP(A166,Lists!$A:$H,7,FALSE),0))</f>
        <v/>
      </c>
      <c r="M166" s="10" t="n">
        <v>0.21</v>
      </c>
      <c r="N166" s="11">
        <f>L166 * (1 + M166)</f>
        <v/>
      </c>
      <c r="O166" s="11">
        <f>IF(K166="Eigen Beheer",0,IF(AND(ISNUMBER(N166),I166&lt;&gt;"",H166&lt;&gt;""),ROUND((I166-H166)/Lists!$Q$2,2)*N166,0))</f>
        <v/>
      </c>
      <c r="R166" s="12">
        <f>IF(Q166="","",VLOOKUP(Q166,Lists!$E:$F,2,FALSE))</f>
        <v/>
      </c>
      <c r="AD166" s="9" t="n">
        <v>50</v>
      </c>
      <c r="AE166" s="11">
        <f>IF(AB166="","",IF(ISNUMBER(SEARCH("Basis",AB166)),(250/1.21)+MAX(0,AC166-5)*AD166,IF(ISNUMBER(SEARCH("Intensief",AB166)),(375/1.21)+MAX(0,AC166-7)*AD166,AC166*AD166)))</f>
        <v/>
      </c>
      <c r="AF166" s="13" t="n">
        <v>0.21</v>
      </c>
      <c r="AG166" s="11">
        <f>IF(AE166&lt;&gt;"",AE166*AF166,"")</f>
        <v/>
      </c>
      <c r="AH166" s="11">
        <f>IF(AE166&lt;&gt;"",AE166+AG166,"")</f>
        <v/>
      </c>
      <c r="AL166">
        <f>IF($B166="GWE_Item",IF($AI166="Elektra",SUMIFS($W:$W,$A:$A,$A166,$B:$B,"GWE")-SUMIFS($V:$V,$A:$A,$A166,$B:$B,"GWE"),IF($AI166="Gas",SUMIFS($Y:$Y,$A:$A,$A166,$B:$B,"GWE")-SUMIFS($X:$X,$A:$A,$A166,$B:$B,"GWE"),IF($AI166="Water",SUMIFS($AA:$AA,$A:$A,$A166,$B:$B,"GWE")-SUMIFS($Z:$Z,$A:$A,$A166,$B:$B,"GWE"),""))),"")</f>
        <v/>
      </c>
      <c r="AN166" s="11">
        <f>IF(AND(AL166&lt;&gt;"",AM166&lt;&gt;""),AL166*AM166,"")</f>
        <v/>
      </c>
      <c r="AO166" s="13" t="n"/>
      <c r="AP166" s="11">
        <f>IF(AND(AN166&lt;&gt;"",AO166&lt;&gt;""),AN166*AO166,"")</f>
        <v/>
      </c>
      <c r="AQ166" s="11">
        <f>IF(AND(AN166&lt;&gt;"",AP166&lt;&gt;""),AN166+AP166,"")</f>
        <v/>
      </c>
    </row>
    <row r="167">
      <c r="D167" s="8">
        <f>IF(A167="","",VLOOKUP(A167,Lists!$A:$B,2,FALSE))</f>
        <v/>
      </c>
      <c r="E167" s="8">
        <f>IF(C167="","",VLOOKUP(C167,Lists!$C:$D,2,FALSE))</f>
        <v/>
      </c>
      <c r="F167" s="8" t="n"/>
      <c r="G167" s="8" t="n"/>
      <c r="J167" s="9">
        <f>IF(A167="","",IFERROR(VLOOKUP(A167,Lists!$A:$H,8,FALSE),0))</f>
        <v/>
      </c>
      <c r="L167" s="9">
        <f>IF(A167="","",IFERROR(VLOOKUP(A167,Lists!$A:$H,7,FALSE),0))</f>
        <v/>
      </c>
      <c r="M167" s="10" t="n">
        <v>0.21</v>
      </c>
      <c r="N167" s="11">
        <f>L167 * (1 + M167)</f>
        <v/>
      </c>
      <c r="O167" s="11">
        <f>IF(K167="Eigen Beheer",0,IF(AND(ISNUMBER(N167),I167&lt;&gt;"",H167&lt;&gt;""),ROUND((I167-H167)/Lists!$Q$2,2)*N167,0))</f>
        <v/>
      </c>
      <c r="R167" s="12">
        <f>IF(Q167="","",VLOOKUP(Q167,Lists!$E:$F,2,FALSE))</f>
        <v/>
      </c>
      <c r="AD167" s="9" t="n">
        <v>50</v>
      </c>
      <c r="AE167" s="11">
        <f>IF(AB167="","",IF(ISNUMBER(SEARCH("Basis",AB167)),(250/1.21)+MAX(0,AC167-5)*AD167,IF(ISNUMBER(SEARCH("Intensief",AB167)),(375/1.21)+MAX(0,AC167-7)*AD167,AC167*AD167)))</f>
        <v/>
      </c>
      <c r="AF167" s="13" t="n">
        <v>0.21</v>
      </c>
      <c r="AG167" s="11">
        <f>IF(AE167&lt;&gt;"",AE167*AF167,"")</f>
        <v/>
      </c>
      <c r="AH167" s="11">
        <f>IF(AE167&lt;&gt;"",AE167+AG167,"")</f>
        <v/>
      </c>
      <c r="AL167">
        <f>IF($B167="GWE_Item",IF($AI167="Elektra",SUMIFS($W:$W,$A:$A,$A167,$B:$B,"GWE")-SUMIFS($V:$V,$A:$A,$A167,$B:$B,"GWE"),IF($AI167="Gas",SUMIFS($Y:$Y,$A:$A,$A167,$B:$B,"GWE")-SUMIFS($X:$X,$A:$A,$A167,$B:$B,"GWE"),IF($AI167="Water",SUMIFS($AA:$AA,$A:$A,$A167,$B:$B,"GWE")-SUMIFS($Z:$Z,$A:$A,$A167,$B:$B,"GWE"),""))),"")</f>
        <v/>
      </c>
      <c r="AN167" s="11">
        <f>IF(AND(AL167&lt;&gt;"",AM167&lt;&gt;""),AL167*AM167,"")</f>
        <v/>
      </c>
      <c r="AO167" s="13" t="n"/>
      <c r="AP167" s="11">
        <f>IF(AND(AN167&lt;&gt;"",AO167&lt;&gt;""),AN167*AO167,"")</f>
        <v/>
      </c>
      <c r="AQ167" s="11">
        <f>IF(AND(AN167&lt;&gt;"",AP167&lt;&gt;""),AN167+AP167,"")</f>
        <v/>
      </c>
    </row>
    <row r="168">
      <c r="D168" s="8">
        <f>IF(A168="","",VLOOKUP(A168,Lists!$A:$B,2,FALSE))</f>
        <v/>
      </c>
      <c r="E168" s="8">
        <f>IF(C168="","",VLOOKUP(C168,Lists!$C:$D,2,FALSE))</f>
        <v/>
      </c>
      <c r="F168" s="8" t="n"/>
      <c r="G168" s="8" t="n"/>
      <c r="J168" s="9">
        <f>IF(A168="","",IFERROR(VLOOKUP(A168,Lists!$A:$H,8,FALSE),0))</f>
        <v/>
      </c>
      <c r="L168" s="9">
        <f>IF(A168="","",IFERROR(VLOOKUP(A168,Lists!$A:$H,7,FALSE),0))</f>
        <v/>
      </c>
      <c r="M168" s="10" t="n">
        <v>0.21</v>
      </c>
      <c r="N168" s="11">
        <f>L168 * (1 + M168)</f>
        <v/>
      </c>
      <c r="O168" s="11">
        <f>IF(K168="Eigen Beheer",0,IF(AND(ISNUMBER(N168),I168&lt;&gt;"",H168&lt;&gt;""),ROUND((I168-H168)/Lists!$Q$2,2)*N168,0))</f>
        <v/>
      </c>
      <c r="R168" s="12">
        <f>IF(Q168="","",VLOOKUP(Q168,Lists!$E:$F,2,FALSE))</f>
        <v/>
      </c>
      <c r="AD168" s="9" t="n">
        <v>50</v>
      </c>
      <c r="AE168" s="11">
        <f>IF(AB168="","",IF(ISNUMBER(SEARCH("Basis",AB168)),(250/1.21)+MAX(0,AC168-5)*AD168,IF(ISNUMBER(SEARCH("Intensief",AB168)),(375/1.21)+MAX(0,AC168-7)*AD168,AC168*AD168)))</f>
        <v/>
      </c>
      <c r="AF168" s="13" t="n">
        <v>0.21</v>
      </c>
      <c r="AG168" s="11">
        <f>IF(AE168&lt;&gt;"",AE168*AF168,"")</f>
        <v/>
      </c>
      <c r="AH168" s="11">
        <f>IF(AE168&lt;&gt;"",AE168+AG168,"")</f>
        <v/>
      </c>
      <c r="AL168">
        <f>IF($B168="GWE_Item",IF($AI168="Elektra",SUMIFS($W:$W,$A:$A,$A168,$B:$B,"GWE")-SUMIFS($V:$V,$A:$A,$A168,$B:$B,"GWE"),IF($AI168="Gas",SUMIFS($Y:$Y,$A:$A,$A168,$B:$B,"GWE")-SUMIFS($X:$X,$A:$A,$A168,$B:$B,"GWE"),IF($AI168="Water",SUMIFS($AA:$AA,$A:$A,$A168,$B:$B,"GWE")-SUMIFS($Z:$Z,$A:$A,$A168,$B:$B,"GWE"),""))),"")</f>
        <v/>
      </c>
      <c r="AN168" s="11">
        <f>IF(AND(AL168&lt;&gt;"",AM168&lt;&gt;""),AL168*AM168,"")</f>
        <v/>
      </c>
      <c r="AO168" s="13" t="n"/>
      <c r="AP168" s="11">
        <f>IF(AND(AN168&lt;&gt;"",AO168&lt;&gt;""),AN168*AO168,"")</f>
        <v/>
      </c>
      <c r="AQ168" s="11">
        <f>IF(AND(AN168&lt;&gt;"",AP168&lt;&gt;""),AN168+AP168,"")</f>
        <v/>
      </c>
    </row>
    <row r="169">
      <c r="D169" s="8">
        <f>IF(A169="","",VLOOKUP(A169,Lists!$A:$B,2,FALSE))</f>
        <v/>
      </c>
      <c r="E169" s="8">
        <f>IF(C169="","",VLOOKUP(C169,Lists!$C:$D,2,FALSE))</f>
        <v/>
      </c>
      <c r="F169" s="8" t="n"/>
      <c r="G169" s="8" t="n"/>
      <c r="J169" s="9">
        <f>IF(A169="","",IFERROR(VLOOKUP(A169,Lists!$A:$H,8,FALSE),0))</f>
        <v/>
      </c>
      <c r="L169" s="9">
        <f>IF(A169="","",IFERROR(VLOOKUP(A169,Lists!$A:$H,7,FALSE),0))</f>
        <v/>
      </c>
      <c r="M169" s="10" t="n">
        <v>0.21</v>
      </c>
      <c r="N169" s="11">
        <f>L169 * (1 + M169)</f>
        <v/>
      </c>
      <c r="O169" s="11">
        <f>IF(K169="Eigen Beheer",0,IF(AND(ISNUMBER(N169),I169&lt;&gt;"",H169&lt;&gt;""),ROUND((I169-H169)/Lists!$Q$2,2)*N169,0))</f>
        <v/>
      </c>
      <c r="R169" s="12">
        <f>IF(Q169="","",VLOOKUP(Q169,Lists!$E:$F,2,FALSE))</f>
        <v/>
      </c>
      <c r="AD169" s="9" t="n">
        <v>50</v>
      </c>
      <c r="AE169" s="11">
        <f>IF(AB169="","",IF(ISNUMBER(SEARCH("Basis",AB169)),(250/1.21)+MAX(0,AC169-5)*AD169,IF(ISNUMBER(SEARCH("Intensief",AB169)),(375/1.21)+MAX(0,AC169-7)*AD169,AC169*AD169)))</f>
        <v/>
      </c>
      <c r="AF169" s="13" t="n">
        <v>0.21</v>
      </c>
      <c r="AG169" s="11">
        <f>IF(AE169&lt;&gt;"",AE169*AF169,"")</f>
        <v/>
      </c>
      <c r="AH169" s="11">
        <f>IF(AE169&lt;&gt;"",AE169+AG169,"")</f>
        <v/>
      </c>
      <c r="AL169">
        <f>IF($B169="GWE_Item",IF($AI169="Elektra",SUMIFS($W:$W,$A:$A,$A169,$B:$B,"GWE")-SUMIFS($V:$V,$A:$A,$A169,$B:$B,"GWE"),IF($AI169="Gas",SUMIFS($Y:$Y,$A:$A,$A169,$B:$B,"GWE")-SUMIFS($X:$X,$A:$A,$A169,$B:$B,"GWE"),IF($AI169="Water",SUMIFS($AA:$AA,$A:$A,$A169,$B:$B,"GWE")-SUMIFS($Z:$Z,$A:$A,$A169,$B:$B,"GWE"),""))),"")</f>
        <v/>
      </c>
      <c r="AN169" s="11">
        <f>IF(AND(AL169&lt;&gt;"",AM169&lt;&gt;""),AL169*AM169,"")</f>
        <v/>
      </c>
      <c r="AO169" s="13" t="n"/>
      <c r="AP169" s="11">
        <f>IF(AND(AN169&lt;&gt;"",AO169&lt;&gt;""),AN169*AO169,"")</f>
        <v/>
      </c>
      <c r="AQ169" s="11">
        <f>IF(AND(AN169&lt;&gt;"",AP169&lt;&gt;""),AN169+AP169,"")</f>
        <v/>
      </c>
    </row>
    <row r="170">
      <c r="D170" s="8">
        <f>IF(A170="","",VLOOKUP(A170,Lists!$A:$B,2,FALSE))</f>
        <v/>
      </c>
      <c r="E170" s="8">
        <f>IF(C170="","",VLOOKUP(C170,Lists!$C:$D,2,FALSE))</f>
        <v/>
      </c>
      <c r="F170" s="8" t="n"/>
      <c r="G170" s="8" t="n"/>
      <c r="J170" s="9">
        <f>IF(A170="","",IFERROR(VLOOKUP(A170,Lists!$A:$H,8,FALSE),0))</f>
        <v/>
      </c>
      <c r="L170" s="9">
        <f>IF(A170="","",IFERROR(VLOOKUP(A170,Lists!$A:$H,7,FALSE),0))</f>
        <v/>
      </c>
      <c r="M170" s="10" t="n">
        <v>0.21</v>
      </c>
      <c r="N170" s="11">
        <f>L170 * (1 + M170)</f>
        <v/>
      </c>
      <c r="O170" s="11">
        <f>IF(K170="Eigen Beheer",0,IF(AND(ISNUMBER(N170),I170&lt;&gt;"",H170&lt;&gt;""),ROUND((I170-H170)/Lists!$Q$2,2)*N170,0))</f>
        <v/>
      </c>
      <c r="R170" s="12">
        <f>IF(Q170="","",VLOOKUP(Q170,Lists!$E:$F,2,FALSE))</f>
        <v/>
      </c>
      <c r="AD170" s="9" t="n">
        <v>50</v>
      </c>
      <c r="AE170" s="11">
        <f>IF(AB170="","",IF(ISNUMBER(SEARCH("Basis",AB170)),(250/1.21)+MAX(0,AC170-5)*AD170,IF(ISNUMBER(SEARCH("Intensief",AB170)),(375/1.21)+MAX(0,AC170-7)*AD170,AC170*AD170)))</f>
        <v/>
      </c>
      <c r="AF170" s="13" t="n">
        <v>0.21</v>
      </c>
      <c r="AG170" s="11">
        <f>IF(AE170&lt;&gt;"",AE170*AF170,"")</f>
        <v/>
      </c>
      <c r="AH170" s="11">
        <f>IF(AE170&lt;&gt;"",AE170+AG170,"")</f>
        <v/>
      </c>
      <c r="AL170">
        <f>IF($B170="GWE_Item",IF($AI170="Elektra",SUMIFS($W:$W,$A:$A,$A170,$B:$B,"GWE")-SUMIFS($V:$V,$A:$A,$A170,$B:$B,"GWE"),IF($AI170="Gas",SUMIFS($Y:$Y,$A:$A,$A170,$B:$B,"GWE")-SUMIFS($X:$X,$A:$A,$A170,$B:$B,"GWE"),IF($AI170="Water",SUMIFS($AA:$AA,$A:$A,$A170,$B:$B,"GWE")-SUMIFS($Z:$Z,$A:$A,$A170,$B:$B,"GWE"),""))),"")</f>
        <v/>
      </c>
      <c r="AN170" s="11">
        <f>IF(AND(AL170&lt;&gt;"",AM170&lt;&gt;""),AL170*AM170,"")</f>
        <v/>
      </c>
      <c r="AO170" s="13" t="n"/>
      <c r="AP170" s="11">
        <f>IF(AND(AN170&lt;&gt;"",AO170&lt;&gt;""),AN170*AO170,"")</f>
        <v/>
      </c>
      <c r="AQ170" s="11">
        <f>IF(AND(AN170&lt;&gt;"",AP170&lt;&gt;""),AN170+AP170,"")</f>
        <v/>
      </c>
    </row>
    <row r="171">
      <c r="D171" s="8">
        <f>IF(A171="","",VLOOKUP(A171,Lists!$A:$B,2,FALSE))</f>
        <v/>
      </c>
      <c r="E171" s="8">
        <f>IF(C171="","",VLOOKUP(C171,Lists!$C:$D,2,FALSE))</f>
        <v/>
      </c>
      <c r="F171" s="8" t="n"/>
      <c r="G171" s="8" t="n"/>
      <c r="J171" s="9">
        <f>IF(A171="","",IFERROR(VLOOKUP(A171,Lists!$A:$H,8,FALSE),0))</f>
        <v/>
      </c>
      <c r="L171" s="9">
        <f>IF(A171="","",IFERROR(VLOOKUP(A171,Lists!$A:$H,7,FALSE),0))</f>
        <v/>
      </c>
      <c r="M171" s="10" t="n">
        <v>0.21</v>
      </c>
      <c r="N171" s="11">
        <f>L171 * (1 + M171)</f>
        <v/>
      </c>
      <c r="O171" s="11">
        <f>IF(K171="Eigen Beheer",0,IF(AND(ISNUMBER(N171),I171&lt;&gt;"",H171&lt;&gt;""),ROUND((I171-H171)/Lists!$Q$2,2)*N171,0))</f>
        <v/>
      </c>
      <c r="R171" s="12">
        <f>IF(Q171="","",VLOOKUP(Q171,Lists!$E:$F,2,FALSE))</f>
        <v/>
      </c>
      <c r="AD171" s="9" t="n">
        <v>50</v>
      </c>
      <c r="AE171" s="11">
        <f>IF(AB171="","",IF(ISNUMBER(SEARCH("Basis",AB171)),(250/1.21)+MAX(0,AC171-5)*AD171,IF(ISNUMBER(SEARCH("Intensief",AB171)),(375/1.21)+MAX(0,AC171-7)*AD171,AC171*AD171)))</f>
        <v/>
      </c>
      <c r="AF171" s="13" t="n">
        <v>0.21</v>
      </c>
      <c r="AG171" s="11">
        <f>IF(AE171&lt;&gt;"",AE171*AF171,"")</f>
        <v/>
      </c>
      <c r="AH171" s="11">
        <f>IF(AE171&lt;&gt;"",AE171+AG171,"")</f>
        <v/>
      </c>
      <c r="AL171">
        <f>IF($B171="GWE_Item",IF($AI171="Elektra",SUMIFS($W:$W,$A:$A,$A171,$B:$B,"GWE")-SUMIFS($V:$V,$A:$A,$A171,$B:$B,"GWE"),IF($AI171="Gas",SUMIFS($Y:$Y,$A:$A,$A171,$B:$B,"GWE")-SUMIFS($X:$X,$A:$A,$A171,$B:$B,"GWE"),IF($AI171="Water",SUMIFS($AA:$AA,$A:$A,$A171,$B:$B,"GWE")-SUMIFS($Z:$Z,$A:$A,$A171,$B:$B,"GWE"),""))),"")</f>
        <v/>
      </c>
      <c r="AN171" s="11">
        <f>IF(AND(AL171&lt;&gt;"",AM171&lt;&gt;""),AL171*AM171,"")</f>
        <v/>
      </c>
      <c r="AO171" s="13" t="n"/>
      <c r="AP171" s="11">
        <f>IF(AND(AN171&lt;&gt;"",AO171&lt;&gt;""),AN171*AO171,"")</f>
        <v/>
      </c>
      <c r="AQ171" s="11">
        <f>IF(AND(AN171&lt;&gt;"",AP171&lt;&gt;""),AN171+AP171,"")</f>
        <v/>
      </c>
    </row>
    <row r="172">
      <c r="D172" s="8">
        <f>IF(A172="","",VLOOKUP(A172,Lists!$A:$B,2,FALSE))</f>
        <v/>
      </c>
      <c r="E172" s="8">
        <f>IF(C172="","",VLOOKUP(C172,Lists!$C:$D,2,FALSE))</f>
        <v/>
      </c>
      <c r="F172" s="8" t="n"/>
      <c r="G172" s="8" t="n"/>
      <c r="J172" s="9">
        <f>IF(A172="","",IFERROR(VLOOKUP(A172,Lists!$A:$H,8,FALSE),0))</f>
        <v/>
      </c>
      <c r="L172" s="9">
        <f>IF(A172="","",IFERROR(VLOOKUP(A172,Lists!$A:$H,7,FALSE),0))</f>
        <v/>
      </c>
      <c r="M172" s="10" t="n">
        <v>0.21</v>
      </c>
      <c r="N172" s="11">
        <f>L172 * (1 + M172)</f>
        <v/>
      </c>
      <c r="O172" s="11">
        <f>IF(K172="Eigen Beheer",0,IF(AND(ISNUMBER(N172),I172&lt;&gt;"",H172&lt;&gt;""),ROUND((I172-H172)/Lists!$Q$2,2)*N172,0))</f>
        <v/>
      </c>
      <c r="R172" s="12">
        <f>IF(Q172="","",VLOOKUP(Q172,Lists!$E:$F,2,FALSE))</f>
        <v/>
      </c>
      <c r="AD172" s="9" t="n">
        <v>50</v>
      </c>
      <c r="AE172" s="11">
        <f>IF(AB172="","",IF(ISNUMBER(SEARCH("Basis",AB172)),(250/1.21)+MAX(0,AC172-5)*AD172,IF(ISNUMBER(SEARCH("Intensief",AB172)),(375/1.21)+MAX(0,AC172-7)*AD172,AC172*AD172)))</f>
        <v/>
      </c>
      <c r="AF172" s="13" t="n">
        <v>0.21</v>
      </c>
      <c r="AG172" s="11">
        <f>IF(AE172&lt;&gt;"",AE172*AF172,"")</f>
        <v/>
      </c>
      <c r="AH172" s="11">
        <f>IF(AE172&lt;&gt;"",AE172+AG172,"")</f>
        <v/>
      </c>
      <c r="AL172">
        <f>IF($B172="GWE_Item",IF($AI172="Elektra",SUMIFS($W:$W,$A:$A,$A172,$B:$B,"GWE")-SUMIFS($V:$V,$A:$A,$A172,$B:$B,"GWE"),IF($AI172="Gas",SUMIFS($Y:$Y,$A:$A,$A172,$B:$B,"GWE")-SUMIFS($X:$X,$A:$A,$A172,$B:$B,"GWE"),IF($AI172="Water",SUMIFS($AA:$AA,$A:$A,$A172,$B:$B,"GWE")-SUMIFS($Z:$Z,$A:$A,$A172,$B:$B,"GWE"),""))),"")</f>
        <v/>
      </c>
      <c r="AN172" s="11">
        <f>IF(AND(AL172&lt;&gt;"",AM172&lt;&gt;""),AL172*AM172,"")</f>
        <v/>
      </c>
      <c r="AO172" s="13" t="n"/>
      <c r="AP172" s="11">
        <f>IF(AND(AN172&lt;&gt;"",AO172&lt;&gt;""),AN172*AO172,"")</f>
        <v/>
      </c>
      <c r="AQ172" s="11">
        <f>IF(AND(AN172&lt;&gt;"",AP172&lt;&gt;""),AN172+AP172,"")</f>
        <v/>
      </c>
    </row>
    <row r="173">
      <c r="D173" s="8">
        <f>IF(A173="","",VLOOKUP(A173,Lists!$A:$B,2,FALSE))</f>
        <v/>
      </c>
      <c r="E173" s="8">
        <f>IF(C173="","",VLOOKUP(C173,Lists!$C:$D,2,FALSE))</f>
        <v/>
      </c>
      <c r="F173" s="8" t="n"/>
      <c r="G173" s="8" t="n"/>
      <c r="J173" s="9">
        <f>IF(A173="","",IFERROR(VLOOKUP(A173,Lists!$A:$H,8,FALSE),0))</f>
        <v/>
      </c>
      <c r="L173" s="9">
        <f>IF(A173="","",IFERROR(VLOOKUP(A173,Lists!$A:$H,7,FALSE),0))</f>
        <v/>
      </c>
      <c r="M173" s="10" t="n">
        <v>0.21</v>
      </c>
      <c r="N173" s="11">
        <f>L173 * (1 + M173)</f>
        <v/>
      </c>
      <c r="O173" s="11">
        <f>IF(K173="Eigen Beheer",0,IF(AND(ISNUMBER(N173),I173&lt;&gt;"",H173&lt;&gt;""),ROUND((I173-H173)/Lists!$Q$2,2)*N173,0))</f>
        <v/>
      </c>
      <c r="R173" s="12">
        <f>IF(Q173="","",VLOOKUP(Q173,Lists!$E:$F,2,FALSE))</f>
        <v/>
      </c>
      <c r="AD173" s="9" t="n">
        <v>50</v>
      </c>
      <c r="AE173" s="11">
        <f>IF(AB173="","",IF(ISNUMBER(SEARCH("Basis",AB173)),(250/1.21)+MAX(0,AC173-5)*AD173,IF(ISNUMBER(SEARCH("Intensief",AB173)),(375/1.21)+MAX(0,AC173-7)*AD173,AC173*AD173)))</f>
        <v/>
      </c>
      <c r="AF173" s="13" t="n">
        <v>0.21</v>
      </c>
      <c r="AG173" s="11">
        <f>IF(AE173&lt;&gt;"",AE173*AF173,"")</f>
        <v/>
      </c>
      <c r="AH173" s="11">
        <f>IF(AE173&lt;&gt;"",AE173+AG173,"")</f>
        <v/>
      </c>
      <c r="AL173">
        <f>IF($B173="GWE_Item",IF($AI173="Elektra",SUMIFS($W:$W,$A:$A,$A173,$B:$B,"GWE")-SUMIFS($V:$V,$A:$A,$A173,$B:$B,"GWE"),IF($AI173="Gas",SUMIFS($Y:$Y,$A:$A,$A173,$B:$B,"GWE")-SUMIFS($X:$X,$A:$A,$A173,$B:$B,"GWE"),IF($AI173="Water",SUMIFS($AA:$AA,$A:$A,$A173,$B:$B,"GWE")-SUMIFS($Z:$Z,$A:$A,$A173,$B:$B,"GWE"),""))),"")</f>
        <v/>
      </c>
      <c r="AN173" s="11">
        <f>IF(AND(AL173&lt;&gt;"",AM173&lt;&gt;""),AL173*AM173,"")</f>
        <v/>
      </c>
      <c r="AO173" s="13" t="n"/>
      <c r="AP173" s="11">
        <f>IF(AND(AN173&lt;&gt;"",AO173&lt;&gt;""),AN173*AO173,"")</f>
        <v/>
      </c>
      <c r="AQ173" s="11">
        <f>IF(AND(AN173&lt;&gt;"",AP173&lt;&gt;""),AN173+AP173,"")</f>
        <v/>
      </c>
    </row>
    <row r="174">
      <c r="D174" s="8">
        <f>IF(A174="","",VLOOKUP(A174,Lists!$A:$B,2,FALSE))</f>
        <v/>
      </c>
      <c r="E174" s="8">
        <f>IF(C174="","",VLOOKUP(C174,Lists!$C:$D,2,FALSE))</f>
        <v/>
      </c>
      <c r="F174" s="8" t="n"/>
      <c r="G174" s="8" t="n"/>
      <c r="J174" s="9">
        <f>IF(A174="","",IFERROR(VLOOKUP(A174,Lists!$A:$H,8,FALSE),0))</f>
        <v/>
      </c>
      <c r="L174" s="9">
        <f>IF(A174="","",IFERROR(VLOOKUP(A174,Lists!$A:$H,7,FALSE),0))</f>
        <v/>
      </c>
      <c r="M174" s="10" t="n">
        <v>0.21</v>
      </c>
      <c r="N174" s="11">
        <f>L174 * (1 + M174)</f>
        <v/>
      </c>
      <c r="O174" s="11">
        <f>IF(K174="Eigen Beheer",0,IF(AND(ISNUMBER(N174),I174&lt;&gt;"",H174&lt;&gt;""),ROUND((I174-H174)/Lists!$Q$2,2)*N174,0))</f>
        <v/>
      </c>
      <c r="R174" s="12">
        <f>IF(Q174="","",VLOOKUP(Q174,Lists!$E:$F,2,FALSE))</f>
        <v/>
      </c>
      <c r="AD174" s="9" t="n">
        <v>50</v>
      </c>
      <c r="AE174" s="11">
        <f>IF(AB174="","",IF(ISNUMBER(SEARCH("Basis",AB174)),(250/1.21)+MAX(0,AC174-5)*AD174,IF(ISNUMBER(SEARCH("Intensief",AB174)),(375/1.21)+MAX(0,AC174-7)*AD174,AC174*AD174)))</f>
        <v/>
      </c>
      <c r="AF174" s="13" t="n">
        <v>0.21</v>
      </c>
      <c r="AG174" s="11">
        <f>IF(AE174&lt;&gt;"",AE174*AF174,"")</f>
        <v/>
      </c>
      <c r="AH174" s="11">
        <f>IF(AE174&lt;&gt;"",AE174+AG174,"")</f>
        <v/>
      </c>
      <c r="AL174">
        <f>IF($B174="GWE_Item",IF($AI174="Elektra",SUMIFS($W:$W,$A:$A,$A174,$B:$B,"GWE")-SUMIFS($V:$V,$A:$A,$A174,$B:$B,"GWE"),IF($AI174="Gas",SUMIFS($Y:$Y,$A:$A,$A174,$B:$B,"GWE")-SUMIFS($X:$X,$A:$A,$A174,$B:$B,"GWE"),IF($AI174="Water",SUMIFS($AA:$AA,$A:$A,$A174,$B:$B,"GWE")-SUMIFS($Z:$Z,$A:$A,$A174,$B:$B,"GWE"),""))),"")</f>
        <v/>
      </c>
      <c r="AN174" s="11">
        <f>IF(AND(AL174&lt;&gt;"",AM174&lt;&gt;""),AL174*AM174,"")</f>
        <v/>
      </c>
      <c r="AO174" s="13" t="n"/>
      <c r="AP174" s="11">
        <f>IF(AND(AN174&lt;&gt;"",AO174&lt;&gt;""),AN174*AO174,"")</f>
        <v/>
      </c>
      <c r="AQ174" s="11">
        <f>IF(AND(AN174&lt;&gt;"",AP174&lt;&gt;""),AN174+AP174,"")</f>
        <v/>
      </c>
    </row>
    <row r="175">
      <c r="D175" s="8">
        <f>IF(A175="","",VLOOKUP(A175,Lists!$A:$B,2,FALSE))</f>
        <v/>
      </c>
      <c r="E175" s="8">
        <f>IF(C175="","",VLOOKUP(C175,Lists!$C:$D,2,FALSE))</f>
        <v/>
      </c>
      <c r="F175" s="8" t="n"/>
      <c r="G175" s="8" t="n"/>
      <c r="J175" s="9">
        <f>IF(A175="","",IFERROR(VLOOKUP(A175,Lists!$A:$H,8,FALSE),0))</f>
        <v/>
      </c>
      <c r="L175" s="9">
        <f>IF(A175="","",IFERROR(VLOOKUP(A175,Lists!$A:$H,7,FALSE),0))</f>
        <v/>
      </c>
      <c r="M175" s="10" t="n">
        <v>0.21</v>
      </c>
      <c r="N175" s="11">
        <f>L175 * (1 + M175)</f>
        <v/>
      </c>
      <c r="O175" s="11">
        <f>IF(K175="Eigen Beheer",0,IF(AND(ISNUMBER(N175),I175&lt;&gt;"",H175&lt;&gt;""),ROUND((I175-H175)/Lists!$Q$2,2)*N175,0))</f>
        <v/>
      </c>
      <c r="R175" s="12">
        <f>IF(Q175="","",VLOOKUP(Q175,Lists!$E:$F,2,FALSE))</f>
        <v/>
      </c>
      <c r="AD175" s="9" t="n">
        <v>50</v>
      </c>
      <c r="AE175" s="11">
        <f>IF(AB175="","",IF(ISNUMBER(SEARCH("Basis",AB175)),(250/1.21)+MAX(0,AC175-5)*AD175,IF(ISNUMBER(SEARCH("Intensief",AB175)),(375/1.21)+MAX(0,AC175-7)*AD175,AC175*AD175)))</f>
        <v/>
      </c>
      <c r="AF175" s="13" t="n">
        <v>0.21</v>
      </c>
      <c r="AG175" s="11">
        <f>IF(AE175&lt;&gt;"",AE175*AF175,"")</f>
        <v/>
      </c>
      <c r="AH175" s="11">
        <f>IF(AE175&lt;&gt;"",AE175+AG175,"")</f>
        <v/>
      </c>
      <c r="AL175">
        <f>IF($B175="GWE_Item",IF($AI175="Elektra",SUMIFS($W:$W,$A:$A,$A175,$B:$B,"GWE")-SUMIFS($V:$V,$A:$A,$A175,$B:$B,"GWE"),IF($AI175="Gas",SUMIFS($Y:$Y,$A:$A,$A175,$B:$B,"GWE")-SUMIFS($X:$X,$A:$A,$A175,$B:$B,"GWE"),IF($AI175="Water",SUMIFS($AA:$AA,$A:$A,$A175,$B:$B,"GWE")-SUMIFS($Z:$Z,$A:$A,$A175,$B:$B,"GWE"),""))),"")</f>
        <v/>
      </c>
      <c r="AN175" s="11">
        <f>IF(AND(AL175&lt;&gt;"",AM175&lt;&gt;""),AL175*AM175,"")</f>
        <v/>
      </c>
      <c r="AO175" s="13" t="n"/>
      <c r="AP175" s="11">
        <f>IF(AND(AN175&lt;&gt;"",AO175&lt;&gt;""),AN175*AO175,"")</f>
        <v/>
      </c>
      <c r="AQ175" s="11">
        <f>IF(AND(AN175&lt;&gt;"",AP175&lt;&gt;""),AN175+AP175,"")</f>
        <v/>
      </c>
    </row>
    <row r="176">
      <c r="D176" s="8">
        <f>IF(A176="","",VLOOKUP(A176,Lists!$A:$B,2,FALSE))</f>
        <v/>
      </c>
      <c r="E176" s="8">
        <f>IF(C176="","",VLOOKUP(C176,Lists!$C:$D,2,FALSE))</f>
        <v/>
      </c>
      <c r="F176" s="8" t="n"/>
      <c r="G176" s="8" t="n"/>
      <c r="J176" s="9">
        <f>IF(A176="","",IFERROR(VLOOKUP(A176,Lists!$A:$H,8,FALSE),0))</f>
        <v/>
      </c>
      <c r="L176" s="9">
        <f>IF(A176="","",IFERROR(VLOOKUP(A176,Lists!$A:$H,7,FALSE),0))</f>
        <v/>
      </c>
      <c r="M176" s="10" t="n">
        <v>0.21</v>
      </c>
      <c r="N176" s="11">
        <f>L176 * (1 + M176)</f>
        <v/>
      </c>
      <c r="O176" s="11">
        <f>IF(K176="Eigen Beheer",0,IF(AND(ISNUMBER(N176),I176&lt;&gt;"",H176&lt;&gt;""),ROUND((I176-H176)/Lists!$Q$2,2)*N176,0))</f>
        <v/>
      </c>
      <c r="R176" s="12">
        <f>IF(Q176="","",VLOOKUP(Q176,Lists!$E:$F,2,FALSE))</f>
        <v/>
      </c>
      <c r="AD176" s="9" t="n">
        <v>50</v>
      </c>
      <c r="AE176" s="11">
        <f>IF(AB176="","",IF(ISNUMBER(SEARCH("Basis",AB176)),(250/1.21)+MAX(0,AC176-5)*AD176,IF(ISNUMBER(SEARCH("Intensief",AB176)),(375/1.21)+MAX(0,AC176-7)*AD176,AC176*AD176)))</f>
        <v/>
      </c>
      <c r="AF176" s="13" t="n">
        <v>0.21</v>
      </c>
      <c r="AG176" s="11">
        <f>IF(AE176&lt;&gt;"",AE176*AF176,"")</f>
        <v/>
      </c>
      <c r="AH176" s="11">
        <f>IF(AE176&lt;&gt;"",AE176+AG176,"")</f>
        <v/>
      </c>
      <c r="AL176">
        <f>IF($B176="GWE_Item",IF($AI176="Elektra",SUMIFS($W:$W,$A:$A,$A176,$B:$B,"GWE")-SUMIFS($V:$V,$A:$A,$A176,$B:$B,"GWE"),IF($AI176="Gas",SUMIFS($Y:$Y,$A:$A,$A176,$B:$B,"GWE")-SUMIFS($X:$X,$A:$A,$A176,$B:$B,"GWE"),IF($AI176="Water",SUMIFS($AA:$AA,$A:$A,$A176,$B:$B,"GWE")-SUMIFS($Z:$Z,$A:$A,$A176,$B:$B,"GWE"),""))),"")</f>
        <v/>
      </c>
      <c r="AN176" s="11">
        <f>IF(AND(AL176&lt;&gt;"",AM176&lt;&gt;""),AL176*AM176,"")</f>
        <v/>
      </c>
      <c r="AO176" s="13" t="n"/>
      <c r="AP176" s="11">
        <f>IF(AND(AN176&lt;&gt;"",AO176&lt;&gt;""),AN176*AO176,"")</f>
        <v/>
      </c>
      <c r="AQ176" s="11">
        <f>IF(AND(AN176&lt;&gt;"",AP176&lt;&gt;""),AN176+AP176,"")</f>
        <v/>
      </c>
    </row>
    <row r="177">
      <c r="D177" s="8">
        <f>IF(A177="","",VLOOKUP(A177,Lists!$A:$B,2,FALSE))</f>
        <v/>
      </c>
      <c r="E177" s="8">
        <f>IF(C177="","",VLOOKUP(C177,Lists!$C:$D,2,FALSE))</f>
        <v/>
      </c>
      <c r="F177" s="8" t="n"/>
      <c r="G177" s="8" t="n"/>
      <c r="J177" s="9">
        <f>IF(A177="","",IFERROR(VLOOKUP(A177,Lists!$A:$H,8,FALSE),0))</f>
        <v/>
      </c>
      <c r="L177" s="9">
        <f>IF(A177="","",IFERROR(VLOOKUP(A177,Lists!$A:$H,7,FALSE),0))</f>
        <v/>
      </c>
      <c r="M177" s="10" t="n">
        <v>0.21</v>
      </c>
      <c r="N177" s="11">
        <f>L177 * (1 + M177)</f>
        <v/>
      </c>
      <c r="O177" s="11">
        <f>IF(K177="Eigen Beheer",0,IF(AND(ISNUMBER(N177),I177&lt;&gt;"",H177&lt;&gt;""),ROUND((I177-H177)/Lists!$Q$2,2)*N177,0))</f>
        <v/>
      </c>
      <c r="R177" s="12">
        <f>IF(Q177="","",VLOOKUP(Q177,Lists!$E:$F,2,FALSE))</f>
        <v/>
      </c>
      <c r="AD177" s="9" t="n">
        <v>50</v>
      </c>
      <c r="AE177" s="11">
        <f>IF(AB177="","",IF(ISNUMBER(SEARCH("Basis",AB177)),(250/1.21)+MAX(0,AC177-5)*AD177,IF(ISNUMBER(SEARCH("Intensief",AB177)),(375/1.21)+MAX(0,AC177-7)*AD177,AC177*AD177)))</f>
        <v/>
      </c>
      <c r="AF177" s="13" t="n">
        <v>0.21</v>
      </c>
      <c r="AG177" s="11">
        <f>IF(AE177&lt;&gt;"",AE177*AF177,"")</f>
        <v/>
      </c>
      <c r="AH177" s="11">
        <f>IF(AE177&lt;&gt;"",AE177+AG177,"")</f>
        <v/>
      </c>
      <c r="AL177">
        <f>IF($B177="GWE_Item",IF($AI177="Elektra",SUMIFS($W:$W,$A:$A,$A177,$B:$B,"GWE")-SUMIFS($V:$V,$A:$A,$A177,$B:$B,"GWE"),IF($AI177="Gas",SUMIFS($Y:$Y,$A:$A,$A177,$B:$B,"GWE")-SUMIFS($X:$X,$A:$A,$A177,$B:$B,"GWE"),IF($AI177="Water",SUMIFS($AA:$AA,$A:$A,$A177,$B:$B,"GWE")-SUMIFS($Z:$Z,$A:$A,$A177,$B:$B,"GWE"),""))),"")</f>
        <v/>
      </c>
      <c r="AN177" s="11">
        <f>IF(AND(AL177&lt;&gt;"",AM177&lt;&gt;""),AL177*AM177,"")</f>
        <v/>
      </c>
      <c r="AO177" s="13" t="n"/>
      <c r="AP177" s="11">
        <f>IF(AND(AN177&lt;&gt;"",AO177&lt;&gt;""),AN177*AO177,"")</f>
        <v/>
      </c>
      <c r="AQ177" s="11">
        <f>IF(AND(AN177&lt;&gt;"",AP177&lt;&gt;""),AN177+AP177,"")</f>
        <v/>
      </c>
    </row>
    <row r="178">
      <c r="D178" s="8">
        <f>IF(A178="","",VLOOKUP(A178,Lists!$A:$B,2,FALSE))</f>
        <v/>
      </c>
      <c r="E178" s="8">
        <f>IF(C178="","",VLOOKUP(C178,Lists!$C:$D,2,FALSE))</f>
        <v/>
      </c>
      <c r="F178" s="8" t="n"/>
      <c r="G178" s="8" t="n"/>
      <c r="J178" s="9">
        <f>IF(A178="","",IFERROR(VLOOKUP(A178,Lists!$A:$H,8,FALSE),0))</f>
        <v/>
      </c>
      <c r="L178" s="9">
        <f>IF(A178="","",IFERROR(VLOOKUP(A178,Lists!$A:$H,7,FALSE),0))</f>
        <v/>
      </c>
      <c r="M178" s="10" t="n">
        <v>0.21</v>
      </c>
      <c r="N178" s="11">
        <f>L178 * (1 + M178)</f>
        <v/>
      </c>
      <c r="O178" s="11">
        <f>IF(K178="Eigen Beheer",0,IF(AND(ISNUMBER(N178),I178&lt;&gt;"",H178&lt;&gt;""),ROUND((I178-H178)/Lists!$Q$2,2)*N178,0))</f>
        <v/>
      </c>
      <c r="R178" s="12">
        <f>IF(Q178="","",VLOOKUP(Q178,Lists!$E:$F,2,FALSE))</f>
        <v/>
      </c>
      <c r="AD178" s="9" t="n">
        <v>50</v>
      </c>
      <c r="AE178" s="11">
        <f>IF(AB178="","",IF(ISNUMBER(SEARCH("Basis",AB178)),(250/1.21)+MAX(0,AC178-5)*AD178,IF(ISNUMBER(SEARCH("Intensief",AB178)),(375/1.21)+MAX(0,AC178-7)*AD178,AC178*AD178)))</f>
        <v/>
      </c>
      <c r="AF178" s="13" t="n">
        <v>0.21</v>
      </c>
      <c r="AG178" s="11">
        <f>IF(AE178&lt;&gt;"",AE178*AF178,"")</f>
        <v/>
      </c>
      <c r="AH178" s="11">
        <f>IF(AE178&lt;&gt;"",AE178+AG178,"")</f>
        <v/>
      </c>
      <c r="AL178">
        <f>IF($B178="GWE_Item",IF($AI178="Elektra",SUMIFS($W:$W,$A:$A,$A178,$B:$B,"GWE")-SUMIFS($V:$V,$A:$A,$A178,$B:$B,"GWE"),IF($AI178="Gas",SUMIFS($Y:$Y,$A:$A,$A178,$B:$B,"GWE")-SUMIFS($X:$X,$A:$A,$A178,$B:$B,"GWE"),IF($AI178="Water",SUMIFS($AA:$AA,$A:$A,$A178,$B:$B,"GWE")-SUMIFS($Z:$Z,$A:$A,$A178,$B:$B,"GWE"),""))),"")</f>
        <v/>
      </c>
      <c r="AN178" s="11">
        <f>IF(AND(AL178&lt;&gt;"",AM178&lt;&gt;""),AL178*AM178,"")</f>
        <v/>
      </c>
      <c r="AO178" s="13" t="n"/>
      <c r="AP178" s="11">
        <f>IF(AND(AN178&lt;&gt;"",AO178&lt;&gt;""),AN178*AO178,"")</f>
        <v/>
      </c>
      <c r="AQ178" s="11">
        <f>IF(AND(AN178&lt;&gt;"",AP178&lt;&gt;""),AN178+AP178,"")</f>
        <v/>
      </c>
    </row>
    <row r="179">
      <c r="D179" s="8">
        <f>IF(A179="","",VLOOKUP(A179,Lists!$A:$B,2,FALSE))</f>
        <v/>
      </c>
      <c r="E179" s="8">
        <f>IF(C179="","",VLOOKUP(C179,Lists!$C:$D,2,FALSE))</f>
        <v/>
      </c>
      <c r="F179" s="8" t="n"/>
      <c r="G179" s="8" t="n"/>
      <c r="J179" s="9">
        <f>IF(A179="","",IFERROR(VLOOKUP(A179,Lists!$A:$H,8,FALSE),0))</f>
        <v/>
      </c>
      <c r="L179" s="9">
        <f>IF(A179="","",IFERROR(VLOOKUP(A179,Lists!$A:$H,7,FALSE),0))</f>
        <v/>
      </c>
      <c r="M179" s="10" t="n">
        <v>0.21</v>
      </c>
      <c r="N179" s="11">
        <f>L179 * (1 + M179)</f>
        <v/>
      </c>
      <c r="O179" s="11">
        <f>IF(K179="Eigen Beheer",0,IF(AND(ISNUMBER(N179),I179&lt;&gt;"",H179&lt;&gt;""),ROUND((I179-H179)/Lists!$Q$2,2)*N179,0))</f>
        <v/>
      </c>
      <c r="R179" s="12">
        <f>IF(Q179="","",VLOOKUP(Q179,Lists!$E:$F,2,FALSE))</f>
        <v/>
      </c>
      <c r="AD179" s="9" t="n">
        <v>50</v>
      </c>
      <c r="AE179" s="11">
        <f>IF(AB179="","",IF(ISNUMBER(SEARCH("Basis",AB179)),(250/1.21)+MAX(0,AC179-5)*AD179,IF(ISNUMBER(SEARCH("Intensief",AB179)),(375/1.21)+MAX(0,AC179-7)*AD179,AC179*AD179)))</f>
        <v/>
      </c>
      <c r="AF179" s="13" t="n">
        <v>0.21</v>
      </c>
      <c r="AG179" s="11">
        <f>IF(AE179&lt;&gt;"",AE179*AF179,"")</f>
        <v/>
      </c>
      <c r="AH179" s="11">
        <f>IF(AE179&lt;&gt;"",AE179+AG179,"")</f>
        <v/>
      </c>
      <c r="AL179">
        <f>IF($B179="GWE_Item",IF($AI179="Elektra",SUMIFS($W:$W,$A:$A,$A179,$B:$B,"GWE")-SUMIFS($V:$V,$A:$A,$A179,$B:$B,"GWE"),IF($AI179="Gas",SUMIFS($Y:$Y,$A:$A,$A179,$B:$B,"GWE")-SUMIFS($X:$X,$A:$A,$A179,$B:$B,"GWE"),IF($AI179="Water",SUMIFS($AA:$AA,$A:$A,$A179,$B:$B,"GWE")-SUMIFS($Z:$Z,$A:$A,$A179,$B:$B,"GWE"),""))),"")</f>
        <v/>
      </c>
      <c r="AN179" s="11">
        <f>IF(AND(AL179&lt;&gt;"",AM179&lt;&gt;""),AL179*AM179,"")</f>
        <v/>
      </c>
      <c r="AO179" s="13" t="n"/>
      <c r="AP179" s="11">
        <f>IF(AND(AN179&lt;&gt;"",AO179&lt;&gt;""),AN179*AO179,"")</f>
        <v/>
      </c>
      <c r="AQ179" s="11">
        <f>IF(AND(AN179&lt;&gt;"",AP179&lt;&gt;""),AN179+AP179,"")</f>
        <v/>
      </c>
    </row>
    <row r="180">
      <c r="D180" s="8">
        <f>IF(A180="","",VLOOKUP(A180,Lists!$A:$B,2,FALSE))</f>
        <v/>
      </c>
      <c r="E180" s="8">
        <f>IF(C180="","",VLOOKUP(C180,Lists!$C:$D,2,FALSE))</f>
        <v/>
      </c>
      <c r="F180" s="8" t="n"/>
      <c r="G180" s="8" t="n"/>
      <c r="J180" s="9">
        <f>IF(A180="","",IFERROR(VLOOKUP(A180,Lists!$A:$H,8,FALSE),0))</f>
        <v/>
      </c>
      <c r="L180" s="9">
        <f>IF(A180="","",IFERROR(VLOOKUP(A180,Lists!$A:$H,7,FALSE),0))</f>
        <v/>
      </c>
      <c r="M180" s="10" t="n">
        <v>0.21</v>
      </c>
      <c r="N180" s="11">
        <f>L180 * (1 + M180)</f>
        <v/>
      </c>
      <c r="O180" s="11">
        <f>IF(K180="Eigen Beheer",0,IF(AND(ISNUMBER(N180),I180&lt;&gt;"",H180&lt;&gt;""),ROUND((I180-H180)/Lists!$Q$2,2)*N180,0))</f>
        <v/>
      </c>
      <c r="R180" s="12">
        <f>IF(Q180="","",VLOOKUP(Q180,Lists!$E:$F,2,FALSE))</f>
        <v/>
      </c>
      <c r="AD180" s="9" t="n">
        <v>50</v>
      </c>
      <c r="AE180" s="11">
        <f>IF(AB180="","",IF(ISNUMBER(SEARCH("Basis",AB180)),(250/1.21)+MAX(0,AC180-5)*AD180,IF(ISNUMBER(SEARCH("Intensief",AB180)),(375/1.21)+MAX(0,AC180-7)*AD180,AC180*AD180)))</f>
        <v/>
      </c>
      <c r="AF180" s="13" t="n">
        <v>0.21</v>
      </c>
      <c r="AG180" s="11">
        <f>IF(AE180&lt;&gt;"",AE180*AF180,"")</f>
        <v/>
      </c>
      <c r="AH180" s="11">
        <f>IF(AE180&lt;&gt;"",AE180+AG180,"")</f>
        <v/>
      </c>
      <c r="AL180">
        <f>IF($B180="GWE_Item",IF($AI180="Elektra",SUMIFS($W:$W,$A:$A,$A180,$B:$B,"GWE")-SUMIFS($V:$V,$A:$A,$A180,$B:$B,"GWE"),IF($AI180="Gas",SUMIFS($Y:$Y,$A:$A,$A180,$B:$B,"GWE")-SUMIFS($X:$X,$A:$A,$A180,$B:$B,"GWE"),IF($AI180="Water",SUMIFS($AA:$AA,$A:$A,$A180,$B:$B,"GWE")-SUMIFS($Z:$Z,$A:$A,$A180,$B:$B,"GWE"),""))),"")</f>
        <v/>
      </c>
      <c r="AN180" s="11">
        <f>IF(AND(AL180&lt;&gt;"",AM180&lt;&gt;""),AL180*AM180,"")</f>
        <v/>
      </c>
      <c r="AO180" s="13" t="n"/>
      <c r="AP180" s="11">
        <f>IF(AND(AN180&lt;&gt;"",AO180&lt;&gt;""),AN180*AO180,"")</f>
        <v/>
      </c>
      <c r="AQ180" s="11">
        <f>IF(AND(AN180&lt;&gt;"",AP180&lt;&gt;""),AN180+AP180,"")</f>
        <v/>
      </c>
    </row>
    <row r="181">
      <c r="D181" s="8">
        <f>IF(A181="","",VLOOKUP(A181,Lists!$A:$B,2,FALSE))</f>
        <v/>
      </c>
      <c r="E181" s="8">
        <f>IF(C181="","",VLOOKUP(C181,Lists!$C:$D,2,FALSE))</f>
        <v/>
      </c>
      <c r="F181" s="8" t="n"/>
      <c r="G181" s="8" t="n"/>
      <c r="J181" s="9">
        <f>IF(A181="","",IFERROR(VLOOKUP(A181,Lists!$A:$H,8,FALSE),0))</f>
        <v/>
      </c>
      <c r="L181" s="9">
        <f>IF(A181="","",IFERROR(VLOOKUP(A181,Lists!$A:$H,7,FALSE),0))</f>
        <v/>
      </c>
      <c r="M181" s="10" t="n">
        <v>0.21</v>
      </c>
      <c r="N181" s="11">
        <f>L181 * (1 + M181)</f>
        <v/>
      </c>
      <c r="O181" s="11">
        <f>IF(K181="Eigen Beheer",0,IF(AND(ISNUMBER(N181),I181&lt;&gt;"",H181&lt;&gt;""),ROUND((I181-H181)/Lists!$Q$2,2)*N181,0))</f>
        <v/>
      </c>
      <c r="R181" s="12">
        <f>IF(Q181="","",VLOOKUP(Q181,Lists!$E:$F,2,FALSE))</f>
        <v/>
      </c>
      <c r="AD181" s="9" t="n">
        <v>50</v>
      </c>
      <c r="AE181" s="11">
        <f>IF(AB181="","",IF(ISNUMBER(SEARCH("Basis",AB181)),(250/1.21)+MAX(0,AC181-5)*AD181,IF(ISNUMBER(SEARCH("Intensief",AB181)),(375/1.21)+MAX(0,AC181-7)*AD181,AC181*AD181)))</f>
        <v/>
      </c>
      <c r="AF181" s="13" t="n">
        <v>0.21</v>
      </c>
      <c r="AG181" s="11">
        <f>IF(AE181&lt;&gt;"",AE181*AF181,"")</f>
        <v/>
      </c>
      <c r="AH181" s="11">
        <f>IF(AE181&lt;&gt;"",AE181+AG181,"")</f>
        <v/>
      </c>
      <c r="AL181">
        <f>IF($B181="GWE_Item",IF($AI181="Elektra",SUMIFS($W:$W,$A:$A,$A181,$B:$B,"GWE")-SUMIFS($V:$V,$A:$A,$A181,$B:$B,"GWE"),IF($AI181="Gas",SUMIFS($Y:$Y,$A:$A,$A181,$B:$B,"GWE")-SUMIFS($X:$X,$A:$A,$A181,$B:$B,"GWE"),IF($AI181="Water",SUMIFS($AA:$AA,$A:$A,$A181,$B:$B,"GWE")-SUMIFS($Z:$Z,$A:$A,$A181,$B:$B,"GWE"),""))),"")</f>
        <v/>
      </c>
      <c r="AN181" s="11">
        <f>IF(AND(AL181&lt;&gt;"",AM181&lt;&gt;""),AL181*AM181,"")</f>
        <v/>
      </c>
      <c r="AO181" s="13" t="n"/>
      <c r="AP181" s="11">
        <f>IF(AND(AN181&lt;&gt;"",AO181&lt;&gt;""),AN181*AO181,"")</f>
        <v/>
      </c>
      <c r="AQ181" s="11">
        <f>IF(AND(AN181&lt;&gt;"",AP181&lt;&gt;""),AN181+AP181,"")</f>
        <v/>
      </c>
    </row>
    <row r="182">
      <c r="D182" s="8">
        <f>IF(A182="","",VLOOKUP(A182,Lists!$A:$B,2,FALSE))</f>
        <v/>
      </c>
      <c r="E182" s="8">
        <f>IF(C182="","",VLOOKUP(C182,Lists!$C:$D,2,FALSE))</f>
        <v/>
      </c>
      <c r="F182" s="8" t="n"/>
      <c r="G182" s="8" t="n"/>
      <c r="J182" s="9">
        <f>IF(A182="","",IFERROR(VLOOKUP(A182,Lists!$A:$H,8,FALSE),0))</f>
        <v/>
      </c>
      <c r="L182" s="9">
        <f>IF(A182="","",IFERROR(VLOOKUP(A182,Lists!$A:$H,7,FALSE),0))</f>
        <v/>
      </c>
      <c r="M182" s="10" t="n">
        <v>0.21</v>
      </c>
      <c r="N182" s="11">
        <f>L182 * (1 + M182)</f>
        <v/>
      </c>
      <c r="O182" s="11">
        <f>IF(K182="Eigen Beheer",0,IF(AND(ISNUMBER(N182),I182&lt;&gt;"",H182&lt;&gt;""),ROUND((I182-H182)/Lists!$Q$2,2)*N182,0))</f>
        <v/>
      </c>
      <c r="R182" s="12">
        <f>IF(Q182="","",VLOOKUP(Q182,Lists!$E:$F,2,FALSE))</f>
        <v/>
      </c>
      <c r="AD182" s="9" t="n">
        <v>50</v>
      </c>
      <c r="AE182" s="11">
        <f>IF(AB182="","",IF(ISNUMBER(SEARCH("Basis",AB182)),(250/1.21)+MAX(0,AC182-5)*AD182,IF(ISNUMBER(SEARCH("Intensief",AB182)),(375/1.21)+MAX(0,AC182-7)*AD182,AC182*AD182)))</f>
        <v/>
      </c>
      <c r="AF182" s="13" t="n">
        <v>0.21</v>
      </c>
      <c r="AG182" s="11">
        <f>IF(AE182&lt;&gt;"",AE182*AF182,"")</f>
        <v/>
      </c>
      <c r="AH182" s="11">
        <f>IF(AE182&lt;&gt;"",AE182+AG182,"")</f>
        <v/>
      </c>
      <c r="AL182">
        <f>IF($B182="GWE_Item",IF($AI182="Elektra",SUMIFS($W:$W,$A:$A,$A182,$B:$B,"GWE")-SUMIFS($V:$V,$A:$A,$A182,$B:$B,"GWE"),IF($AI182="Gas",SUMIFS($Y:$Y,$A:$A,$A182,$B:$B,"GWE")-SUMIFS($X:$X,$A:$A,$A182,$B:$B,"GWE"),IF($AI182="Water",SUMIFS($AA:$AA,$A:$A,$A182,$B:$B,"GWE")-SUMIFS($Z:$Z,$A:$A,$A182,$B:$B,"GWE"),""))),"")</f>
        <v/>
      </c>
      <c r="AN182" s="11">
        <f>IF(AND(AL182&lt;&gt;"",AM182&lt;&gt;""),AL182*AM182,"")</f>
        <v/>
      </c>
      <c r="AO182" s="13" t="n"/>
      <c r="AP182" s="11">
        <f>IF(AND(AN182&lt;&gt;"",AO182&lt;&gt;""),AN182*AO182,"")</f>
        <v/>
      </c>
      <c r="AQ182" s="11">
        <f>IF(AND(AN182&lt;&gt;"",AP182&lt;&gt;""),AN182+AP182,"")</f>
        <v/>
      </c>
    </row>
    <row r="183">
      <c r="D183" s="8">
        <f>IF(A183="","",VLOOKUP(A183,Lists!$A:$B,2,FALSE))</f>
        <v/>
      </c>
      <c r="E183" s="8">
        <f>IF(C183="","",VLOOKUP(C183,Lists!$C:$D,2,FALSE))</f>
        <v/>
      </c>
      <c r="F183" s="8" t="n"/>
      <c r="G183" s="8" t="n"/>
      <c r="J183" s="9">
        <f>IF(A183="","",IFERROR(VLOOKUP(A183,Lists!$A:$H,8,FALSE),0))</f>
        <v/>
      </c>
      <c r="L183" s="9">
        <f>IF(A183="","",IFERROR(VLOOKUP(A183,Lists!$A:$H,7,FALSE),0))</f>
        <v/>
      </c>
      <c r="M183" s="10" t="n">
        <v>0.21</v>
      </c>
      <c r="N183" s="11">
        <f>L183 * (1 + M183)</f>
        <v/>
      </c>
      <c r="O183" s="11">
        <f>IF(K183="Eigen Beheer",0,IF(AND(ISNUMBER(N183),I183&lt;&gt;"",H183&lt;&gt;""),ROUND((I183-H183)/Lists!$Q$2,2)*N183,0))</f>
        <v/>
      </c>
      <c r="R183" s="12">
        <f>IF(Q183="","",VLOOKUP(Q183,Lists!$E:$F,2,FALSE))</f>
        <v/>
      </c>
      <c r="AD183" s="9" t="n">
        <v>50</v>
      </c>
      <c r="AE183" s="11">
        <f>IF(AB183="","",IF(ISNUMBER(SEARCH("Basis",AB183)),(250/1.21)+MAX(0,AC183-5)*AD183,IF(ISNUMBER(SEARCH("Intensief",AB183)),(375/1.21)+MAX(0,AC183-7)*AD183,AC183*AD183)))</f>
        <v/>
      </c>
      <c r="AF183" s="13" t="n">
        <v>0.21</v>
      </c>
      <c r="AG183" s="11">
        <f>IF(AE183&lt;&gt;"",AE183*AF183,"")</f>
        <v/>
      </c>
      <c r="AH183" s="11">
        <f>IF(AE183&lt;&gt;"",AE183+AG183,"")</f>
        <v/>
      </c>
      <c r="AL183">
        <f>IF($B183="GWE_Item",IF($AI183="Elektra",SUMIFS($W:$W,$A:$A,$A183,$B:$B,"GWE")-SUMIFS($V:$V,$A:$A,$A183,$B:$B,"GWE"),IF($AI183="Gas",SUMIFS($Y:$Y,$A:$A,$A183,$B:$B,"GWE")-SUMIFS($X:$X,$A:$A,$A183,$B:$B,"GWE"),IF($AI183="Water",SUMIFS($AA:$AA,$A:$A,$A183,$B:$B,"GWE")-SUMIFS($Z:$Z,$A:$A,$A183,$B:$B,"GWE"),""))),"")</f>
        <v/>
      </c>
      <c r="AN183" s="11">
        <f>IF(AND(AL183&lt;&gt;"",AM183&lt;&gt;""),AL183*AM183,"")</f>
        <v/>
      </c>
      <c r="AO183" s="13" t="n"/>
      <c r="AP183" s="11">
        <f>IF(AND(AN183&lt;&gt;"",AO183&lt;&gt;""),AN183*AO183,"")</f>
        <v/>
      </c>
      <c r="AQ183" s="11">
        <f>IF(AND(AN183&lt;&gt;"",AP183&lt;&gt;""),AN183+AP183,"")</f>
        <v/>
      </c>
    </row>
    <row r="184">
      <c r="D184" s="8">
        <f>IF(A184="","",VLOOKUP(A184,Lists!$A:$B,2,FALSE))</f>
        <v/>
      </c>
      <c r="E184" s="8">
        <f>IF(C184="","",VLOOKUP(C184,Lists!$C:$D,2,FALSE))</f>
        <v/>
      </c>
      <c r="F184" s="8" t="n"/>
      <c r="G184" s="8" t="n"/>
      <c r="J184" s="9">
        <f>IF(A184="","",IFERROR(VLOOKUP(A184,Lists!$A:$H,8,FALSE),0))</f>
        <v/>
      </c>
      <c r="L184" s="9">
        <f>IF(A184="","",IFERROR(VLOOKUP(A184,Lists!$A:$H,7,FALSE),0))</f>
        <v/>
      </c>
      <c r="M184" s="10" t="n">
        <v>0.21</v>
      </c>
      <c r="N184" s="11">
        <f>L184 * (1 + M184)</f>
        <v/>
      </c>
      <c r="O184" s="11">
        <f>IF(K184="Eigen Beheer",0,IF(AND(ISNUMBER(N184),I184&lt;&gt;"",H184&lt;&gt;""),ROUND((I184-H184)/Lists!$Q$2,2)*N184,0))</f>
        <v/>
      </c>
      <c r="R184" s="12">
        <f>IF(Q184="","",VLOOKUP(Q184,Lists!$E:$F,2,FALSE))</f>
        <v/>
      </c>
      <c r="AD184" s="9" t="n">
        <v>50</v>
      </c>
      <c r="AE184" s="11">
        <f>IF(AB184="","",IF(ISNUMBER(SEARCH("Basis",AB184)),(250/1.21)+MAX(0,AC184-5)*AD184,IF(ISNUMBER(SEARCH("Intensief",AB184)),(375/1.21)+MAX(0,AC184-7)*AD184,AC184*AD184)))</f>
        <v/>
      </c>
      <c r="AF184" s="13" t="n">
        <v>0.21</v>
      </c>
      <c r="AG184" s="11">
        <f>IF(AE184&lt;&gt;"",AE184*AF184,"")</f>
        <v/>
      </c>
      <c r="AH184" s="11">
        <f>IF(AE184&lt;&gt;"",AE184+AG184,"")</f>
        <v/>
      </c>
      <c r="AL184">
        <f>IF($B184="GWE_Item",IF($AI184="Elektra",SUMIFS($W:$W,$A:$A,$A184,$B:$B,"GWE")-SUMIFS($V:$V,$A:$A,$A184,$B:$B,"GWE"),IF($AI184="Gas",SUMIFS($Y:$Y,$A:$A,$A184,$B:$B,"GWE")-SUMIFS($X:$X,$A:$A,$A184,$B:$B,"GWE"),IF($AI184="Water",SUMIFS($AA:$AA,$A:$A,$A184,$B:$B,"GWE")-SUMIFS($Z:$Z,$A:$A,$A184,$B:$B,"GWE"),""))),"")</f>
        <v/>
      </c>
      <c r="AN184" s="11">
        <f>IF(AND(AL184&lt;&gt;"",AM184&lt;&gt;""),AL184*AM184,"")</f>
        <v/>
      </c>
      <c r="AO184" s="13" t="n"/>
      <c r="AP184" s="11">
        <f>IF(AND(AN184&lt;&gt;"",AO184&lt;&gt;""),AN184*AO184,"")</f>
        <v/>
      </c>
      <c r="AQ184" s="11">
        <f>IF(AND(AN184&lt;&gt;"",AP184&lt;&gt;""),AN184+AP184,"")</f>
        <v/>
      </c>
    </row>
    <row r="185">
      <c r="D185" s="8">
        <f>IF(A185="","",VLOOKUP(A185,Lists!$A:$B,2,FALSE))</f>
        <v/>
      </c>
      <c r="E185" s="8">
        <f>IF(C185="","",VLOOKUP(C185,Lists!$C:$D,2,FALSE))</f>
        <v/>
      </c>
      <c r="F185" s="8" t="n"/>
      <c r="G185" s="8" t="n"/>
      <c r="J185" s="9">
        <f>IF(A185="","",IFERROR(VLOOKUP(A185,Lists!$A:$H,8,FALSE),0))</f>
        <v/>
      </c>
      <c r="L185" s="9">
        <f>IF(A185="","",IFERROR(VLOOKUP(A185,Lists!$A:$H,7,FALSE),0))</f>
        <v/>
      </c>
      <c r="M185" s="10" t="n">
        <v>0.21</v>
      </c>
      <c r="N185" s="11">
        <f>L185 * (1 + M185)</f>
        <v/>
      </c>
      <c r="O185" s="11">
        <f>IF(K185="Eigen Beheer",0,IF(AND(ISNUMBER(N185),I185&lt;&gt;"",H185&lt;&gt;""),ROUND((I185-H185)/Lists!$Q$2,2)*N185,0))</f>
        <v/>
      </c>
      <c r="R185" s="12">
        <f>IF(Q185="","",VLOOKUP(Q185,Lists!$E:$F,2,FALSE))</f>
        <v/>
      </c>
      <c r="AD185" s="9" t="n">
        <v>50</v>
      </c>
      <c r="AE185" s="11">
        <f>IF(AB185="","",IF(ISNUMBER(SEARCH("Basis",AB185)),(250/1.21)+MAX(0,AC185-5)*AD185,IF(ISNUMBER(SEARCH("Intensief",AB185)),(375/1.21)+MAX(0,AC185-7)*AD185,AC185*AD185)))</f>
        <v/>
      </c>
      <c r="AF185" s="13" t="n">
        <v>0.21</v>
      </c>
      <c r="AG185" s="11">
        <f>IF(AE185&lt;&gt;"",AE185*AF185,"")</f>
        <v/>
      </c>
      <c r="AH185" s="11">
        <f>IF(AE185&lt;&gt;"",AE185+AG185,"")</f>
        <v/>
      </c>
      <c r="AL185">
        <f>IF($B185="GWE_Item",IF($AI185="Elektra",SUMIFS($W:$W,$A:$A,$A185,$B:$B,"GWE")-SUMIFS($V:$V,$A:$A,$A185,$B:$B,"GWE"),IF($AI185="Gas",SUMIFS($Y:$Y,$A:$A,$A185,$B:$B,"GWE")-SUMIFS($X:$X,$A:$A,$A185,$B:$B,"GWE"),IF($AI185="Water",SUMIFS($AA:$AA,$A:$A,$A185,$B:$B,"GWE")-SUMIFS($Z:$Z,$A:$A,$A185,$B:$B,"GWE"),""))),"")</f>
        <v/>
      </c>
      <c r="AN185" s="11">
        <f>IF(AND(AL185&lt;&gt;"",AM185&lt;&gt;""),AL185*AM185,"")</f>
        <v/>
      </c>
      <c r="AO185" s="13" t="n"/>
      <c r="AP185" s="11">
        <f>IF(AND(AN185&lt;&gt;"",AO185&lt;&gt;""),AN185*AO185,"")</f>
        <v/>
      </c>
      <c r="AQ185" s="11">
        <f>IF(AND(AN185&lt;&gt;"",AP185&lt;&gt;""),AN185+AP185,"")</f>
        <v/>
      </c>
    </row>
    <row r="186">
      <c r="D186" s="8">
        <f>IF(A186="","",VLOOKUP(A186,Lists!$A:$B,2,FALSE))</f>
        <v/>
      </c>
      <c r="E186" s="8">
        <f>IF(C186="","",VLOOKUP(C186,Lists!$C:$D,2,FALSE))</f>
        <v/>
      </c>
      <c r="F186" s="8" t="n"/>
      <c r="G186" s="8" t="n"/>
      <c r="J186" s="9">
        <f>IF(A186="","",IFERROR(VLOOKUP(A186,Lists!$A:$H,8,FALSE),0))</f>
        <v/>
      </c>
      <c r="L186" s="9">
        <f>IF(A186="","",IFERROR(VLOOKUP(A186,Lists!$A:$H,7,FALSE),0))</f>
        <v/>
      </c>
      <c r="M186" s="10" t="n">
        <v>0.21</v>
      </c>
      <c r="N186" s="11">
        <f>L186 * (1 + M186)</f>
        <v/>
      </c>
      <c r="O186" s="11">
        <f>IF(K186="Eigen Beheer",0,IF(AND(ISNUMBER(N186),I186&lt;&gt;"",H186&lt;&gt;""),ROUND((I186-H186)/Lists!$Q$2,2)*N186,0))</f>
        <v/>
      </c>
      <c r="R186" s="12">
        <f>IF(Q186="","",VLOOKUP(Q186,Lists!$E:$F,2,FALSE))</f>
        <v/>
      </c>
      <c r="AD186" s="9" t="n">
        <v>50</v>
      </c>
      <c r="AE186" s="11">
        <f>IF(AB186="","",IF(ISNUMBER(SEARCH("Basis",AB186)),(250/1.21)+MAX(0,AC186-5)*AD186,IF(ISNUMBER(SEARCH("Intensief",AB186)),(375/1.21)+MAX(0,AC186-7)*AD186,AC186*AD186)))</f>
        <v/>
      </c>
      <c r="AF186" s="13" t="n">
        <v>0.21</v>
      </c>
      <c r="AG186" s="11">
        <f>IF(AE186&lt;&gt;"",AE186*AF186,"")</f>
        <v/>
      </c>
      <c r="AH186" s="11">
        <f>IF(AE186&lt;&gt;"",AE186+AG186,"")</f>
        <v/>
      </c>
      <c r="AL186">
        <f>IF($B186="GWE_Item",IF($AI186="Elektra",SUMIFS($W:$W,$A:$A,$A186,$B:$B,"GWE")-SUMIFS($V:$V,$A:$A,$A186,$B:$B,"GWE"),IF($AI186="Gas",SUMIFS($Y:$Y,$A:$A,$A186,$B:$B,"GWE")-SUMIFS($X:$X,$A:$A,$A186,$B:$B,"GWE"),IF($AI186="Water",SUMIFS($AA:$AA,$A:$A,$A186,$B:$B,"GWE")-SUMIFS($Z:$Z,$A:$A,$A186,$B:$B,"GWE"),""))),"")</f>
        <v/>
      </c>
      <c r="AN186" s="11">
        <f>IF(AND(AL186&lt;&gt;"",AM186&lt;&gt;""),AL186*AM186,"")</f>
        <v/>
      </c>
      <c r="AO186" s="13" t="n"/>
      <c r="AP186" s="11">
        <f>IF(AND(AN186&lt;&gt;"",AO186&lt;&gt;""),AN186*AO186,"")</f>
        <v/>
      </c>
      <c r="AQ186" s="11">
        <f>IF(AND(AN186&lt;&gt;"",AP186&lt;&gt;""),AN186+AP186,"")</f>
        <v/>
      </c>
    </row>
    <row r="187">
      <c r="D187" s="8">
        <f>IF(A187="","",VLOOKUP(A187,Lists!$A:$B,2,FALSE))</f>
        <v/>
      </c>
      <c r="E187" s="8">
        <f>IF(C187="","",VLOOKUP(C187,Lists!$C:$D,2,FALSE))</f>
        <v/>
      </c>
      <c r="F187" s="8" t="n"/>
      <c r="G187" s="8" t="n"/>
      <c r="J187" s="9">
        <f>IF(A187="","",IFERROR(VLOOKUP(A187,Lists!$A:$H,8,FALSE),0))</f>
        <v/>
      </c>
      <c r="L187" s="9">
        <f>IF(A187="","",IFERROR(VLOOKUP(A187,Lists!$A:$H,7,FALSE),0))</f>
        <v/>
      </c>
      <c r="M187" s="10" t="n">
        <v>0.21</v>
      </c>
      <c r="N187" s="11">
        <f>L187 * (1 + M187)</f>
        <v/>
      </c>
      <c r="O187" s="11">
        <f>IF(K187="Eigen Beheer",0,IF(AND(ISNUMBER(N187),I187&lt;&gt;"",H187&lt;&gt;""),ROUND((I187-H187)/Lists!$Q$2,2)*N187,0))</f>
        <v/>
      </c>
      <c r="R187" s="12">
        <f>IF(Q187="","",VLOOKUP(Q187,Lists!$E:$F,2,FALSE))</f>
        <v/>
      </c>
      <c r="AD187" s="9" t="n">
        <v>50</v>
      </c>
      <c r="AE187" s="11">
        <f>IF(AB187="","",IF(ISNUMBER(SEARCH("Basis",AB187)),(250/1.21)+MAX(0,AC187-5)*AD187,IF(ISNUMBER(SEARCH("Intensief",AB187)),(375/1.21)+MAX(0,AC187-7)*AD187,AC187*AD187)))</f>
        <v/>
      </c>
      <c r="AF187" s="13" t="n">
        <v>0.21</v>
      </c>
      <c r="AG187" s="11">
        <f>IF(AE187&lt;&gt;"",AE187*AF187,"")</f>
        <v/>
      </c>
      <c r="AH187" s="11">
        <f>IF(AE187&lt;&gt;"",AE187+AG187,"")</f>
        <v/>
      </c>
      <c r="AL187">
        <f>IF($B187="GWE_Item",IF($AI187="Elektra",SUMIFS($W:$W,$A:$A,$A187,$B:$B,"GWE")-SUMIFS($V:$V,$A:$A,$A187,$B:$B,"GWE"),IF($AI187="Gas",SUMIFS($Y:$Y,$A:$A,$A187,$B:$B,"GWE")-SUMIFS($X:$X,$A:$A,$A187,$B:$B,"GWE"),IF($AI187="Water",SUMIFS($AA:$AA,$A:$A,$A187,$B:$B,"GWE")-SUMIFS($Z:$Z,$A:$A,$A187,$B:$B,"GWE"),""))),"")</f>
        <v/>
      </c>
      <c r="AN187" s="11">
        <f>IF(AND(AL187&lt;&gt;"",AM187&lt;&gt;""),AL187*AM187,"")</f>
        <v/>
      </c>
      <c r="AO187" s="13" t="n"/>
      <c r="AP187" s="11">
        <f>IF(AND(AN187&lt;&gt;"",AO187&lt;&gt;""),AN187*AO187,"")</f>
        <v/>
      </c>
      <c r="AQ187" s="11">
        <f>IF(AND(AN187&lt;&gt;"",AP187&lt;&gt;""),AN187+AP187,"")</f>
        <v/>
      </c>
    </row>
    <row r="188">
      <c r="D188" s="8">
        <f>IF(A188="","",VLOOKUP(A188,Lists!$A:$B,2,FALSE))</f>
        <v/>
      </c>
      <c r="E188" s="8">
        <f>IF(C188="","",VLOOKUP(C188,Lists!$C:$D,2,FALSE))</f>
        <v/>
      </c>
      <c r="F188" s="8" t="n"/>
      <c r="G188" s="8" t="n"/>
      <c r="J188" s="9">
        <f>IF(A188="","",IFERROR(VLOOKUP(A188,Lists!$A:$H,8,FALSE),0))</f>
        <v/>
      </c>
      <c r="L188" s="9">
        <f>IF(A188="","",IFERROR(VLOOKUP(A188,Lists!$A:$H,7,FALSE),0))</f>
        <v/>
      </c>
      <c r="M188" s="10" t="n">
        <v>0.21</v>
      </c>
      <c r="N188" s="11">
        <f>L188 * (1 + M188)</f>
        <v/>
      </c>
      <c r="O188" s="11">
        <f>IF(K188="Eigen Beheer",0,IF(AND(ISNUMBER(N188),I188&lt;&gt;"",H188&lt;&gt;""),ROUND((I188-H188)/Lists!$Q$2,2)*N188,0))</f>
        <v/>
      </c>
      <c r="R188" s="12">
        <f>IF(Q188="","",VLOOKUP(Q188,Lists!$E:$F,2,FALSE))</f>
        <v/>
      </c>
      <c r="AD188" s="9" t="n">
        <v>50</v>
      </c>
      <c r="AE188" s="11">
        <f>IF(AB188="","",IF(ISNUMBER(SEARCH("Basis",AB188)),(250/1.21)+MAX(0,AC188-5)*AD188,IF(ISNUMBER(SEARCH("Intensief",AB188)),(375/1.21)+MAX(0,AC188-7)*AD188,AC188*AD188)))</f>
        <v/>
      </c>
      <c r="AF188" s="13" t="n">
        <v>0.21</v>
      </c>
      <c r="AG188" s="11">
        <f>IF(AE188&lt;&gt;"",AE188*AF188,"")</f>
        <v/>
      </c>
      <c r="AH188" s="11">
        <f>IF(AE188&lt;&gt;"",AE188+AG188,"")</f>
        <v/>
      </c>
      <c r="AL188">
        <f>IF($B188="GWE_Item",IF($AI188="Elektra",SUMIFS($W:$W,$A:$A,$A188,$B:$B,"GWE")-SUMIFS($V:$V,$A:$A,$A188,$B:$B,"GWE"),IF($AI188="Gas",SUMIFS($Y:$Y,$A:$A,$A188,$B:$B,"GWE")-SUMIFS($X:$X,$A:$A,$A188,$B:$B,"GWE"),IF($AI188="Water",SUMIFS($AA:$AA,$A:$A,$A188,$B:$B,"GWE")-SUMIFS($Z:$Z,$A:$A,$A188,$B:$B,"GWE"),""))),"")</f>
        <v/>
      </c>
      <c r="AN188" s="11">
        <f>IF(AND(AL188&lt;&gt;"",AM188&lt;&gt;""),AL188*AM188,"")</f>
        <v/>
      </c>
      <c r="AO188" s="13" t="n"/>
      <c r="AP188" s="11">
        <f>IF(AND(AN188&lt;&gt;"",AO188&lt;&gt;""),AN188*AO188,"")</f>
        <v/>
      </c>
      <c r="AQ188" s="11">
        <f>IF(AND(AN188&lt;&gt;"",AP188&lt;&gt;""),AN188+AP188,"")</f>
        <v/>
      </c>
    </row>
    <row r="189">
      <c r="D189" s="8">
        <f>IF(A189="","",VLOOKUP(A189,Lists!$A:$B,2,FALSE))</f>
        <v/>
      </c>
      <c r="E189" s="8">
        <f>IF(C189="","",VLOOKUP(C189,Lists!$C:$D,2,FALSE))</f>
        <v/>
      </c>
      <c r="F189" s="8" t="n"/>
      <c r="G189" s="8" t="n"/>
      <c r="J189" s="9">
        <f>IF(A189="","",IFERROR(VLOOKUP(A189,Lists!$A:$H,8,FALSE),0))</f>
        <v/>
      </c>
      <c r="L189" s="9">
        <f>IF(A189="","",IFERROR(VLOOKUP(A189,Lists!$A:$H,7,FALSE),0))</f>
        <v/>
      </c>
      <c r="M189" s="10" t="n">
        <v>0.21</v>
      </c>
      <c r="N189" s="11">
        <f>L189 * (1 + M189)</f>
        <v/>
      </c>
      <c r="O189" s="11">
        <f>IF(K189="Eigen Beheer",0,IF(AND(ISNUMBER(N189),I189&lt;&gt;"",H189&lt;&gt;""),ROUND((I189-H189)/Lists!$Q$2,2)*N189,0))</f>
        <v/>
      </c>
      <c r="R189" s="12">
        <f>IF(Q189="","",VLOOKUP(Q189,Lists!$E:$F,2,FALSE))</f>
        <v/>
      </c>
      <c r="AD189" s="9" t="n">
        <v>50</v>
      </c>
      <c r="AE189" s="11">
        <f>IF(AB189="","",IF(ISNUMBER(SEARCH("Basis",AB189)),(250/1.21)+MAX(0,AC189-5)*AD189,IF(ISNUMBER(SEARCH("Intensief",AB189)),(375/1.21)+MAX(0,AC189-7)*AD189,AC189*AD189)))</f>
        <v/>
      </c>
      <c r="AF189" s="13" t="n">
        <v>0.21</v>
      </c>
      <c r="AG189" s="11">
        <f>IF(AE189&lt;&gt;"",AE189*AF189,"")</f>
        <v/>
      </c>
      <c r="AH189" s="11">
        <f>IF(AE189&lt;&gt;"",AE189+AG189,"")</f>
        <v/>
      </c>
      <c r="AL189">
        <f>IF($B189="GWE_Item",IF($AI189="Elektra",SUMIFS($W:$W,$A:$A,$A189,$B:$B,"GWE")-SUMIFS($V:$V,$A:$A,$A189,$B:$B,"GWE"),IF($AI189="Gas",SUMIFS($Y:$Y,$A:$A,$A189,$B:$B,"GWE")-SUMIFS($X:$X,$A:$A,$A189,$B:$B,"GWE"),IF($AI189="Water",SUMIFS($AA:$AA,$A:$A,$A189,$B:$B,"GWE")-SUMIFS($Z:$Z,$A:$A,$A189,$B:$B,"GWE"),""))),"")</f>
        <v/>
      </c>
      <c r="AN189" s="11">
        <f>IF(AND(AL189&lt;&gt;"",AM189&lt;&gt;""),AL189*AM189,"")</f>
        <v/>
      </c>
      <c r="AO189" s="13" t="n"/>
      <c r="AP189" s="11">
        <f>IF(AND(AN189&lt;&gt;"",AO189&lt;&gt;""),AN189*AO189,"")</f>
        <v/>
      </c>
      <c r="AQ189" s="11">
        <f>IF(AND(AN189&lt;&gt;"",AP189&lt;&gt;""),AN189+AP189,"")</f>
        <v/>
      </c>
    </row>
    <row r="190">
      <c r="D190" s="8">
        <f>IF(A190="","",VLOOKUP(A190,Lists!$A:$B,2,FALSE))</f>
        <v/>
      </c>
      <c r="E190" s="8">
        <f>IF(C190="","",VLOOKUP(C190,Lists!$C:$D,2,FALSE))</f>
        <v/>
      </c>
      <c r="F190" s="8" t="n"/>
      <c r="G190" s="8" t="n"/>
      <c r="J190" s="9">
        <f>IF(A190="","",IFERROR(VLOOKUP(A190,Lists!$A:$H,8,FALSE),0))</f>
        <v/>
      </c>
      <c r="L190" s="9">
        <f>IF(A190="","",IFERROR(VLOOKUP(A190,Lists!$A:$H,7,FALSE),0))</f>
        <v/>
      </c>
      <c r="M190" s="10" t="n">
        <v>0.21</v>
      </c>
      <c r="N190" s="11">
        <f>L190 * (1 + M190)</f>
        <v/>
      </c>
      <c r="O190" s="11">
        <f>IF(K190="Eigen Beheer",0,IF(AND(ISNUMBER(N190),I190&lt;&gt;"",H190&lt;&gt;""),ROUND((I190-H190)/Lists!$Q$2,2)*N190,0))</f>
        <v/>
      </c>
      <c r="R190" s="12">
        <f>IF(Q190="","",VLOOKUP(Q190,Lists!$E:$F,2,FALSE))</f>
        <v/>
      </c>
      <c r="AD190" s="9" t="n">
        <v>50</v>
      </c>
      <c r="AE190" s="11">
        <f>IF(AB190="","",IF(ISNUMBER(SEARCH("Basis",AB190)),(250/1.21)+MAX(0,AC190-5)*AD190,IF(ISNUMBER(SEARCH("Intensief",AB190)),(375/1.21)+MAX(0,AC190-7)*AD190,AC190*AD190)))</f>
        <v/>
      </c>
      <c r="AF190" s="13" t="n">
        <v>0.21</v>
      </c>
      <c r="AG190" s="11">
        <f>IF(AE190&lt;&gt;"",AE190*AF190,"")</f>
        <v/>
      </c>
      <c r="AH190" s="11">
        <f>IF(AE190&lt;&gt;"",AE190+AG190,"")</f>
        <v/>
      </c>
      <c r="AL190">
        <f>IF($B190="GWE_Item",IF($AI190="Elektra",SUMIFS($W:$W,$A:$A,$A190,$B:$B,"GWE")-SUMIFS($V:$V,$A:$A,$A190,$B:$B,"GWE"),IF($AI190="Gas",SUMIFS($Y:$Y,$A:$A,$A190,$B:$B,"GWE")-SUMIFS($X:$X,$A:$A,$A190,$B:$B,"GWE"),IF($AI190="Water",SUMIFS($AA:$AA,$A:$A,$A190,$B:$B,"GWE")-SUMIFS($Z:$Z,$A:$A,$A190,$B:$B,"GWE"),""))),"")</f>
        <v/>
      </c>
      <c r="AN190" s="11">
        <f>IF(AND(AL190&lt;&gt;"",AM190&lt;&gt;""),AL190*AM190,"")</f>
        <v/>
      </c>
      <c r="AO190" s="13" t="n"/>
      <c r="AP190" s="11">
        <f>IF(AND(AN190&lt;&gt;"",AO190&lt;&gt;""),AN190*AO190,"")</f>
        <v/>
      </c>
      <c r="AQ190" s="11">
        <f>IF(AND(AN190&lt;&gt;"",AP190&lt;&gt;""),AN190+AP190,"")</f>
        <v/>
      </c>
    </row>
    <row r="191">
      <c r="D191" s="8">
        <f>IF(A191="","",VLOOKUP(A191,Lists!$A:$B,2,FALSE))</f>
        <v/>
      </c>
      <c r="E191" s="8">
        <f>IF(C191="","",VLOOKUP(C191,Lists!$C:$D,2,FALSE))</f>
        <v/>
      </c>
      <c r="F191" s="8" t="n"/>
      <c r="G191" s="8" t="n"/>
      <c r="J191" s="9">
        <f>IF(A191="","",IFERROR(VLOOKUP(A191,Lists!$A:$H,8,FALSE),0))</f>
        <v/>
      </c>
      <c r="L191" s="9">
        <f>IF(A191="","",IFERROR(VLOOKUP(A191,Lists!$A:$H,7,FALSE),0))</f>
        <v/>
      </c>
      <c r="M191" s="10" t="n">
        <v>0.21</v>
      </c>
      <c r="N191" s="11">
        <f>L191 * (1 + M191)</f>
        <v/>
      </c>
      <c r="O191" s="11">
        <f>IF(K191="Eigen Beheer",0,IF(AND(ISNUMBER(N191),I191&lt;&gt;"",H191&lt;&gt;""),ROUND((I191-H191)/Lists!$Q$2,2)*N191,0))</f>
        <v/>
      </c>
      <c r="R191" s="12">
        <f>IF(Q191="","",VLOOKUP(Q191,Lists!$E:$F,2,FALSE))</f>
        <v/>
      </c>
      <c r="AD191" s="9" t="n">
        <v>50</v>
      </c>
      <c r="AE191" s="11">
        <f>IF(AB191="","",IF(ISNUMBER(SEARCH("Basis",AB191)),(250/1.21)+MAX(0,AC191-5)*AD191,IF(ISNUMBER(SEARCH("Intensief",AB191)),(375/1.21)+MAX(0,AC191-7)*AD191,AC191*AD191)))</f>
        <v/>
      </c>
      <c r="AF191" s="13" t="n">
        <v>0.21</v>
      </c>
      <c r="AG191" s="11">
        <f>IF(AE191&lt;&gt;"",AE191*AF191,"")</f>
        <v/>
      </c>
      <c r="AH191" s="11">
        <f>IF(AE191&lt;&gt;"",AE191+AG191,"")</f>
        <v/>
      </c>
      <c r="AL191">
        <f>IF($B191="GWE_Item",IF($AI191="Elektra",SUMIFS($W:$W,$A:$A,$A191,$B:$B,"GWE")-SUMIFS($V:$V,$A:$A,$A191,$B:$B,"GWE"),IF($AI191="Gas",SUMIFS($Y:$Y,$A:$A,$A191,$B:$B,"GWE")-SUMIFS($X:$X,$A:$A,$A191,$B:$B,"GWE"),IF($AI191="Water",SUMIFS($AA:$AA,$A:$A,$A191,$B:$B,"GWE")-SUMIFS($Z:$Z,$A:$A,$A191,$B:$B,"GWE"),""))),"")</f>
        <v/>
      </c>
      <c r="AN191" s="11">
        <f>IF(AND(AL191&lt;&gt;"",AM191&lt;&gt;""),AL191*AM191,"")</f>
        <v/>
      </c>
      <c r="AO191" s="13" t="n"/>
      <c r="AP191" s="11">
        <f>IF(AND(AN191&lt;&gt;"",AO191&lt;&gt;""),AN191*AO191,"")</f>
        <v/>
      </c>
      <c r="AQ191" s="11">
        <f>IF(AND(AN191&lt;&gt;"",AP191&lt;&gt;""),AN191+AP191,"")</f>
        <v/>
      </c>
    </row>
    <row r="192">
      <c r="D192" s="8">
        <f>IF(A192="","",VLOOKUP(A192,Lists!$A:$B,2,FALSE))</f>
        <v/>
      </c>
      <c r="E192" s="8">
        <f>IF(C192="","",VLOOKUP(C192,Lists!$C:$D,2,FALSE))</f>
        <v/>
      </c>
      <c r="F192" s="8" t="n"/>
      <c r="G192" s="8" t="n"/>
      <c r="J192" s="9">
        <f>IF(A192="","",IFERROR(VLOOKUP(A192,Lists!$A:$H,8,FALSE),0))</f>
        <v/>
      </c>
      <c r="L192" s="9">
        <f>IF(A192="","",IFERROR(VLOOKUP(A192,Lists!$A:$H,7,FALSE),0))</f>
        <v/>
      </c>
      <c r="M192" s="10" t="n">
        <v>0.21</v>
      </c>
      <c r="N192" s="11">
        <f>L192 * (1 + M192)</f>
        <v/>
      </c>
      <c r="O192" s="11">
        <f>IF(K192="Eigen Beheer",0,IF(AND(ISNUMBER(N192),I192&lt;&gt;"",H192&lt;&gt;""),ROUND((I192-H192)/Lists!$Q$2,2)*N192,0))</f>
        <v/>
      </c>
      <c r="R192" s="12">
        <f>IF(Q192="","",VLOOKUP(Q192,Lists!$E:$F,2,FALSE))</f>
        <v/>
      </c>
      <c r="AD192" s="9" t="n">
        <v>50</v>
      </c>
      <c r="AE192" s="11">
        <f>IF(AB192="","",IF(ISNUMBER(SEARCH("Basis",AB192)),(250/1.21)+MAX(0,AC192-5)*AD192,IF(ISNUMBER(SEARCH("Intensief",AB192)),(375/1.21)+MAX(0,AC192-7)*AD192,AC192*AD192)))</f>
        <v/>
      </c>
      <c r="AF192" s="13" t="n">
        <v>0.21</v>
      </c>
      <c r="AG192" s="11">
        <f>IF(AE192&lt;&gt;"",AE192*AF192,"")</f>
        <v/>
      </c>
      <c r="AH192" s="11">
        <f>IF(AE192&lt;&gt;"",AE192+AG192,"")</f>
        <v/>
      </c>
      <c r="AL192">
        <f>IF($B192="GWE_Item",IF($AI192="Elektra",SUMIFS($W:$W,$A:$A,$A192,$B:$B,"GWE")-SUMIFS($V:$V,$A:$A,$A192,$B:$B,"GWE"),IF($AI192="Gas",SUMIFS($Y:$Y,$A:$A,$A192,$B:$B,"GWE")-SUMIFS($X:$X,$A:$A,$A192,$B:$B,"GWE"),IF($AI192="Water",SUMIFS($AA:$AA,$A:$A,$A192,$B:$B,"GWE")-SUMIFS($Z:$Z,$A:$A,$A192,$B:$B,"GWE"),""))),"")</f>
        <v/>
      </c>
      <c r="AN192" s="11">
        <f>IF(AND(AL192&lt;&gt;"",AM192&lt;&gt;""),AL192*AM192,"")</f>
        <v/>
      </c>
      <c r="AO192" s="13" t="n"/>
      <c r="AP192" s="11">
        <f>IF(AND(AN192&lt;&gt;"",AO192&lt;&gt;""),AN192*AO192,"")</f>
        <v/>
      </c>
      <c r="AQ192" s="11">
        <f>IF(AND(AN192&lt;&gt;"",AP192&lt;&gt;""),AN192+AP192,"")</f>
        <v/>
      </c>
    </row>
    <row r="193">
      <c r="D193" s="8">
        <f>IF(A193="","",VLOOKUP(A193,Lists!$A:$B,2,FALSE))</f>
        <v/>
      </c>
      <c r="E193" s="8">
        <f>IF(C193="","",VLOOKUP(C193,Lists!$C:$D,2,FALSE))</f>
        <v/>
      </c>
      <c r="F193" s="8" t="n"/>
      <c r="G193" s="8" t="n"/>
      <c r="J193" s="9">
        <f>IF(A193="","",IFERROR(VLOOKUP(A193,Lists!$A:$H,8,FALSE),0))</f>
        <v/>
      </c>
      <c r="L193" s="9">
        <f>IF(A193="","",IFERROR(VLOOKUP(A193,Lists!$A:$H,7,FALSE),0))</f>
        <v/>
      </c>
      <c r="M193" s="10" t="n">
        <v>0.21</v>
      </c>
      <c r="N193" s="11">
        <f>L193 * (1 + M193)</f>
        <v/>
      </c>
      <c r="O193" s="11">
        <f>IF(K193="Eigen Beheer",0,IF(AND(ISNUMBER(N193),I193&lt;&gt;"",H193&lt;&gt;""),ROUND((I193-H193)/Lists!$Q$2,2)*N193,0))</f>
        <v/>
      </c>
      <c r="R193" s="12">
        <f>IF(Q193="","",VLOOKUP(Q193,Lists!$E:$F,2,FALSE))</f>
        <v/>
      </c>
      <c r="AD193" s="9" t="n">
        <v>50</v>
      </c>
      <c r="AE193" s="11">
        <f>IF(AB193="","",IF(ISNUMBER(SEARCH("Basis",AB193)),(250/1.21)+MAX(0,AC193-5)*AD193,IF(ISNUMBER(SEARCH("Intensief",AB193)),(375/1.21)+MAX(0,AC193-7)*AD193,AC193*AD193)))</f>
        <v/>
      </c>
      <c r="AF193" s="13" t="n">
        <v>0.21</v>
      </c>
      <c r="AG193" s="11">
        <f>IF(AE193&lt;&gt;"",AE193*AF193,"")</f>
        <v/>
      </c>
      <c r="AH193" s="11">
        <f>IF(AE193&lt;&gt;"",AE193+AG193,"")</f>
        <v/>
      </c>
      <c r="AL193">
        <f>IF($B193="GWE_Item",IF($AI193="Elektra",SUMIFS($W:$W,$A:$A,$A193,$B:$B,"GWE")-SUMIFS($V:$V,$A:$A,$A193,$B:$B,"GWE"),IF($AI193="Gas",SUMIFS($Y:$Y,$A:$A,$A193,$B:$B,"GWE")-SUMIFS($X:$X,$A:$A,$A193,$B:$B,"GWE"),IF($AI193="Water",SUMIFS($AA:$AA,$A:$A,$A193,$B:$B,"GWE")-SUMIFS($Z:$Z,$A:$A,$A193,$B:$B,"GWE"),""))),"")</f>
        <v/>
      </c>
      <c r="AN193" s="11">
        <f>IF(AND(AL193&lt;&gt;"",AM193&lt;&gt;""),AL193*AM193,"")</f>
        <v/>
      </c>
      <c r="AO193" s="13" t="n"/>
      <c r="AP193" s="11">
        <f>IF(AND(AN193&lt;&gt;"",AO193&lt;&gt;""),AN193*AO193,"")</f>
        <v/>
      </c>
      <c r="AQ193" s="11">
        <f>IF(AND(AN193&lt;&gt;"",AP193&lt;&gt;""),AN193+AP193,"")</f>
        <v/>
      </c>
    </row>
    <row r="194">
      <c r="D194" s="8">
        <f>IF(A194="","",VLOOKUP(A194,Lists!$A:$B,2,FALSE))</f>
        <v/>
      </c>
      <c r="E194" s="8">
        <f>IF(C194="","",VLOOKUP(C194,Lists!$C:$D,2,FALSE))</f>
        <v/>
      </c>
      <c r="F194" s="8" t="n"/>
      <c r="G194" s="8" t="n"/>
      <c r="J194" s="9">
        <f>IF(A194="","",IFERROR(VLOOKUP(A194,Lists!$A:$H,8,FALSE),0))</f>
        <v/>
      </c>
      <c r="L194" s="9">
        <f>IF(A194="","",IFERROR(VLOOKUP(A194,Lists!$A:$H,7,FALSE),0))</f>
        <v/>
      </c>
      <c r="M194" s="10" t="n">
        <v>0.21</v>
      </c>
      <c r="N194" s="11">
        <f>L194 * (1 + M194)</f>
        <v/>
      </c>
      <c r="O194" s="11">
        <f>IF(K194="Eigen Beheer",0,IF(AND(ISNUMBER(N194),I194&lt;&gt;"",H194&lt;&gt;""),ROUND((I194-H194)/Lists!$Q$2,2)*N194,0))</f>
        <v/>
      </c>
      <c r="R194" s="12">
        <f>IF(Q194="","",VLOOKUP(Q194,Lists!$E:$F,2,FALSE))</f>
        <v/>
      </c>
      <c r="AD194" s="9" t="n">
        <v>50</v>
      </c>
      <c r="AE194" s="11">
        <f>IF(AB194="","",IF(ISNUMBER(SEARCH("Basis",AB194)),(250/1.21)+MAX(0,AC194-5)*AD194,IF(ISNUMBER(SEARCH("Intensief",AB194)),(375/1.21)+MAX(0,AC194-7)*AD194,AC194*AD194)))</f>
        <v/>
      </c>
      <c r="AF194" s="13" t="n">
        <v>0.21</v>
      </c>
      <c r="AG194" s="11">
        <f>IF(AE194&lt;&gt;"",AE194*AF194,"")</f>
        <v/>
      </c>
      <c r="AH194" s="11">
        <f>IF(AE194&lt;&gt;"",AE194+AG194,"")</f>
        <v/>
      </c>
      <c r="AL194">
        <f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>
        <f>IF(AND(AL194&lt;&gt;"",AM194&lt;&gt;""),AL194*AM194,"")</f>
        <v/>
      </c>
      <c r="AO194" s="13" t="n"/>
      <c r="AP194" s="11">
        <f>IF(AND(AN194&lt;&gt;"",AO194&lt;&gt;""),AN194*AO194,"")</f>
        <v/>
      </c>
      <c r="AQ194" s="11">
        <f>IF(AND(AN194&lt;&gt;"",AP194&lt;&gt;""),AN194+AP194,"")</f>
        <v/>
      </c>
    </row>
    <row r="195">
      <c r="D195" s="8">
        <f>IF(A195="","",VLOOKUP(A195,Lists!$A:$B,2,FALSE))</f>
        <v/>
      </c>
      <c r="E195" s="8">
        <f>IF(C195="","",VLOOKUP(C195,Lists!$C:$D,2,FALSE))</f>
        <v/>
      </c>
      <c r="F195" s="8" t="n"/>
      <c r="G195" s="8" t="n"/>
      <c r="J195" s="9">
        <f>IF(A195="","",IFERROR(VLOOKUP(A195,Lists!$A:$H,8,FALSE),0))</f>
        <v/>
      </c>
      <c r="L195" s="9">
        <f>IF(A195="","",IFERROR(VLOOKUP(A195,Lists!$A:$H,7,FALSE),0))</f>
        <v/>
      </c>
      <c r="M195" s="10" t="n">
        <v>0.21</v>
      </c>
      <c r="N195" s="11">
        <f>L195 * (1 + M195)</f>
        <v/>
      </c>
      <c r="O195" s="11">
        <f>IF(K195="Eigen Beheer",0,IF(AND(ISNUMBER(N195),I195&lt;&gt;"",H195&lt;&gt;""),ROUND((I195-H195)/Lists!$Q$2,2)*N195,0))</f>
        <v/>
      </c>
      <c r="R195" s="12">
        <f>IF(Q195="","",VLOOKUP(Q195,Lists!$E:$F,2,FALSE))</f>
        <v/>
      </c>
      <c r="AD195" s="9" t="n">
        <v>50</v>
      </c>
      <c r="AE195" s="11">
        <f>IF(AB195="","",IF(ISNUMBER(SEARCH("Basis",AB195)),(250/1.21)+MAX(0,AC195-5)*AD195,IF(ISNUMBER(SEARCH("Intensief",AB195)),(375/1.21)+MAX(0,AC195-7)*AD195,AC195*AD195)))</f>
        <v/>
      </c>
      <c r="AF195" s="13" t="n">
        <v>0.21</v>
      </c>
      <c r="AG195" s="11">
        <f>IF(AE195&lt;&gt;"",AE195*AF195,"")</f>
        <v/>
      </c>
      <c r="AH195" s="11">
        <f>IF(AE195&lt;&gt;"",AE195+AG195,"")</f>
        <v/>
      </c>
      <c r="AL195">
        <f>IF($B195="GWE_Item",IF($AI195="Elektra",SUMIFS($W:$W,$A:$A,$A195,$B:$B,"GWE")-SUMIFS($V:$V,$A:$A,$A195,$B:$B,"GWE"),IF($AI195="Gas",SUMIFS($Y:$Y,$A:$A,$A195,$B:$B,"GWE")-SUMIFS($X:$X,$A:$A,$A195,$B:$B,"GWE"),IF($AI195="Water",SUMIFS($AA:$AA,$A:$A,$A195,$B:$B,"GWE")-SUMIFS($Z:$Z,$A:$A,$A195,$B:$B,"GWE"),""))),"")</f>
        <v/>
      </c>
      <c r="AN195" s="11">
        <f>IF(AND(AL195&lt;&gt;"",AM195&lt;&gt;""),AL195*AM195,"")</f>
        <v/>
      </c>
      <c r="AO195" s="13" t="n"/>
      <c r="AP195" s="11">
        <f>IF(AND(AN195&lt;&gt;"",AO195&lt;&gt;""),AN195*AO195,"")</f>
        <v/>
      </c>
      <c r="AQ195" s="11">
        <f>IF(AND(AN195&lt;&gt;"",AP195&lt;&gt;""),AN195+AP195,"")</f>
        <v/>
      </c>
    </row>
    <row r="196">
      <c r="D196" s="8">
        <f>IF(A196="","",VLOOKUP(A196,Lists!$A:$B,2,FALSE))</f>
        <v/>
      </c>
      <c r="E196" s="8">
        <f>IF(C196="","",VLOOKUP(C196,Lists!$C:$D,2,FALSE))</f>
        <v/>
      </c>
      <c r="F196" s="8" t="n"/>
      <c r="G196" s="8" t="n"/>
      <c r="J196" s="9">
        <f>IF(A196="","",IFERROR(VLOOKUP(A196,Lists!$A:$H,8,FALSE),0))</f>
        <v/>
      </c>
      <c r="L196" s="9">
        <f>IF(A196="","",IFERROR(VLOOKUP(A196,Lists!$A:$H,7,FALSE),0))</f>
        <v/>
      </c>
      <c r="M196" s="10" t="n">
        <v>0.21</v>
      </c>
      <c r="N196" s="11">
        <f>L196 * (1 + M196)</f>
        <v/>
      </c>
      <c r="O196" s="11">
        <f>IF(K196="Eigen Beheer",0,IF(AND(ISNUMBER(N196),I196&lt;&gt;"",H196&lt;&gt;""),ROUND((I196-H196)/Lists!$Q$2,2)*N196,0))</f>
        <v/>
      </c>
      <c r="R196" s="12">
        <f>IF(Q196="","",VLOOKUP(Q196,Lists!$E:$F,2,FALSE))</f>
        <v/>
      </c>
      <c r="AD196" s="9" t="n">
        <v>50</v>
      </c>
      <c r="AE196" s="11">
        <f>IF(AB196="","",IF(ISNUMBER(SEARCH("Basis",AB196)),(250/1.21)+MAX(0,AC196-5)*AD196,IF(ISNUMBER(SEARCH("Intensief",AB196)),(375/1.21)+MAX(0,AC196-7)*AD196,AC196*AD196)))</f>
        <v/>
      </c>
      <c r="AF196" s="13" t="n">
        <v>0.21</v>
      </c>
      <c r="AG196" s="11">
        <f>IF(AE196&lt;&gt;"",AE196*AF196,"")</f>
        <v/>
      </c>
      <c r="AH196" s="11">
        <f>IF(AE196&lt;&gt;"",AE196+AG196,"")</f>
        <v/>
      </c>
      <c r="AL196">
        <f>IF($B196="GWE_Item",IF($AI196="Elektra",SUMIFS($W:$W,$A:$A,$A196,$B:$B,"GWE")-SUMIFS($V:$V,$A:$A,$A196,$B:$B,"GWE"),IF($AI196="Gas",SUMIFS($Y:$Y,$A:$A,$A196,$B:$B,"GWE")-SUMIFS($X:$X,$A:$A,$A196,$B:$B,"GWE"),IF($AI196="Water",SUMIFS($AA:$AA,$A:$A,$A196,$B:$B,"GWE")-SUMIFS($Z:$Z,$A:$A,$A196,$B:$B,"GWE"),""))),"")</f>
        <v/>
      </c>
      <c r="AN196" s="11">
        <f>IF(AND(AL196&lt;&gt;"",AM196&lt;&gt;""),AL196*AM196,"")</f>
        <v/>
      </c>
      <c r="AO196" s="13" t="n"/>
      <c r="AP196" s="11">
        <f>IF(AND(AN196&lt;&gt;"",AO196&lt;&gt;""),AN196*AO196,"")</f>
        <v/>
      </c>
      <c r="AQ196" s="11">
        <f>IF(AND(AN196&lt;&gt;"",AP196&lt;&gt;""),AN196+AP196,"")</f>
        <v/>
      </c>
    </row>
    <row r="197">
      <c r="D197" s="8">
        <f>IF(A197="","",VLOOKUP(A197,Lists!$A:$B,2,FALSE))</f>
        <v/>
      </c>
      <c r="E197" s="8">
        <f>IF(C197="","",VLOOKUP(C197,Lists!$C:$D,2,FALSE))</f>
        <v/>
      </c>
      <c r="F197" s="8" t="n"/>
      <c r="G197" s="8" t="n"/>
      <c r="J197" s="9">
        <f>IF(A197="","",IFERROR(VLOOKUP(A197,Lists!$A:$H,8,FALSE),0))</f>
        <v/>
      </c>
      <c r="L197" s="9">
        <f>IF(A197="","",IFERROR(VLOOKUP(A197,Lists!$A:$H,7,FALSE),0))</f>
        <v/>
      </c>
      <c r="M197" s="10" t="n">
        <v>0.21</v>
      </c>
      <c r="N197" s="11">
        <f>L197 * (1 + M197)</f>
        <v/>
      </c>
      <c r="O197" s="11">
        <f>IF(K197="Eigen Beheer",0,IF(AND(ISNUMBER(N197),I197&lt;&gt;"",H197&lt;&gt;""),ROUND((I197-H197)/Lists!$Q$2,2)*N197,0))</f>
        <v/>
      </c>
      <c r="R197" s="12">
        <f>IF(Q197="","",VLOOKUP(Q197,Lists!$E:$F,2,FALSE))</f>
        <v/>
      </c>
      <c r="AD197" s="9" t="n">
        <v>50</v>
      </c>
      <c r="AE197" s="11">
        <f>IF(AB197="","",IF(ISNUMBER(SEARCH("Basis",AB197)),(250/1.21)+MAX(0,AC197-5)*AD197,IF(ISNUMBER(SEARCH("Intensief",AB197)),(375/1.21)+MAX(0,AC197-7)*AD197,AC197*AD197)))</f>
        <v/>
      </c>
      <c r="AF197" s="13" t="n">
        <v>0.21</v>
      </c>
      <c r="AG197" s="11">
        <f>IF(AE197&lt;&gt;"",AE197*AF197,"")</f>
        <v/>
      </c>
      <c r="AH197" s="11">
        <f>IF(AE197&lt;&gt;"",AE197+AG197,"")</f>
        <v/>
      </c>
      <c r="AL197">
        <f>IF($B197="GWE_Item",IF($AI197="Elektra",SUMIFS($W:$W,$A:$A,$A197,$B:$B,"GWE")-SUMIFS($V:$V,$A:$A,$A197,$B:$B,"GWE"),IF($AI197="Gas",SUMIFS($Y:$Y,$A:$A,$A197,$B:$B,"GWE")-SUMIFS($X:$X,$A:$A,$A197,$B:$B,"GWE"),IF($AI197="Water",SUMIFS($AA:$AA,$A:$A,$A197,$B:$B,"GWE")-SUMIFS($Z:$Z,$A:$A,$A197,$B:$B,"GWE"),""))),"")</f>
        <v/>
      </c>
      <c r="AN197" s="11">
        <f>IF(AND(AL197&lt;&gt;"",AM197&lt;&gt;""),AL197*AM197,"")</f>
        <v/>
      </c>
      <c r="AO197" s="13" t="n"/>
      <c r="AP197" s="11">
        <f>IF(AND(AN197&lt;&gt;"",AO197&lt;&gt;""),AN197*AO197,"")</f>
        <v/>
      </c>
      <c r="AQ197" s="11">
        <f>IF(AND(AN197&lt;&gt;"",AP197&lt;&gt;""),AN197+AP197,"")</f>
        <v/>
      </c>
    </row>
    <row r="198">
      <c r="D198" s="8">
        <f>IF(A198="","",VLOOKUP(A198,Lists!$A:$B,2,FALSE))</f>
        <v/>
      </c>
      <c r="E198" s="8">
        <f>IF(C198="","",VLOOKUP(C198,Lists!$C:$D,2,FALSE))</f>
        <v/>
      </c>
      <c r="F198" s="8" t="n"/>
      <c r="G198" s="8" t="n"/>
      <c r="J198" s="9">
        <f>IF(A198="","",IFERROR(VLOOKUP(A198,Lists!$A:$H,8,FALSE),0))</f>
        <v/>
      </c>
      <c r="L198" s="9">
        <f>IF(A198="","",IFERROR(VLOOKUP(A198,Lists!$A:$H,7,FALSE),0))</f>
        <v/>
      </c>
      <c r="M198" s="10" t="n">
        <v>0.21</v>
      </c>
      <c r="N198" s="11">
        <f>L198 * (1 + M198)</f>
        <v/>
      </c>
      <c r="O198" s="11">
        <f>IF(K198="Eigen Beheer",0,IF(AND(ISNUMBER(N198),I198&lt;&gt;"",H198&lt;&gt;""),ROUND((I198-H198)/Lists!$Q$2,2)*N198,0))</f>
        <v/>
      </c>
      <c r="R198" s="12">
        <f>IF(Q198="","",VLOOKUP(Q198,Lists!$E:$F,2,FALSE))</f>
        <v/>
      </c>
      <c r="AD198" s="9" t="n">
        <v>50</v>
      </c>
      <c r="AE198" s="11">
        <f>IF(AB198="","",IF(ISNUMBER(SEARCH("Basis",AB198)),(250/1.21)+MAX(0,AC198-5)*AD198,IF(ISNUMBER(SEARCH("Intensief",AB198)),(375/1.21)+MAX(0,AC198-7)*AD198,AC198*AD198)))</f>
        <v/>
      </c>
      <c r="AF198" s="13" t="n">
        <v>0.21</v>
      </c>
      <c r="AG198" s="11">
        <f>IF(AE198&lt;&gt;"",AE198*AF198,"")</f>
        <v/>
      </c>
      <c r="AH198" s="11">
        <f>IF(AE198&lt;&gt;"",AE198+AG198,"")</f>
        <v/>
      </c>
      <c r="AL198">
        <f>IF($B198="GWE_Item",IF($AI198="Elektra",SUMIFS($W:$W,$A:$A,$A198,$B:$B,"GWE")-SUMIFS($V:$V,$A:$A,$A198,$B:$B,"GWE"),IF($AI198="Gas",SUMIFS($Y:$Y,$A:$A,$A198,$B:$B,"GWE")-SUMIFS($X:$X,$A:$A,$A198,$B:$B,"GWE"),IF($AI198="Water",SUMIFS($AA:$AA,$A:$A,$A198,$B:$B,"GWE")-SUMIFS($Z:$Z,$A:$A,$A198,$B:$B,"GWE"),""))),"")</f>
        <v/>
      </c>
      <c r="AN198" s="11">
        <f>IF(AND(AL198&lt;&gt;"",AM198&lt;&gt;""),AL198*AM198,"")</f>
        <v/>
      </c>
      <c r="AO198" s="13" t="n"/>
      <c r="AP198" s="11">
        <f>IF(AND(AN198&lt;&gt;"",AO198&lt;&gt;""),AN198*AO198,"")</f>
        <v/>
      </c>
      <c r="AQ198" s="11">
        <f>IF(AND(AN198&lt;&gt;"",AP198&lt;&gt;""),AN198+AP198,"")</f>
        <v/>
      </c>
    </row>
    <row r="199">
      <c r="D199" s="8">
        <f>IF(A199="","",VLOOKUP(A199,Lists!$A:$B,2,FALSE))</f>
        <v/>
      </c>
      <c r="E199" s="8">
        <f>IF(C199="","",VLOOKUP(C199,Lists!$C:$D,2,FALSE))</f>
        <v/>
      </c>
      <c r="F199" s="8" t="n"/>
      <c r="G199" s="8" t="n"/>
      <c r="J199" s="9">
        <f>IF(A199="","",IFERROR(VLOOKUP(A199,Lists!$A:$H,8,FALSE),0))</f>
        <v/>
      </c>
      <c r="L199" s="9">
        <f>IF(A199="","",IFERROR(VLOOKUP(A199,Lists!$A:$H,7,FALSE),0))</f>
        <v/>
      </c>
      <c r="M199" s="10" t="n">
        <v>0.21</v>
      </c>
      <c r="N199" s="11">
        <f>L199 * (1 + M199)</f>
        <v/>
      </c>
      <c r="O199" s="11">
        <f>IF(K199="Eigen Beheer",0,IF(AND(ISNUMBER(N199),I199&lt;&gt;"",H199&lt;&gt;""),ROUND((I199-H199)/Lists!$Q$2,2)*N199,0))</f>
        <v/>
      </c>
      <c r="R199" s="12">
        <f>IF(Q199="","",VLOOKUP(Q199,Lists!$E:$F,2,FALSE))</f>
        <v/>
      </c>
      <c r="AD199" s="9" t="n">
        <v>50</v>
      </c>
      <c r="AE199" s="11">
        <f>IF(AB199="","",IF(ISNUMBER(SEARCH("Basis",AB199)),(250/1.21)+MAX(0,AC199-5)*AD199,IF(ISNUMBER(SEARCH("Intensief",AB199)),(375/1.21)+MAX(0,AC199-7)*AD199,AC199*AD199)))</f>
        <v/>
      </c>
      <c r="AF199" s="13" t="n">
        <v>0.21</v>
      </c>
      <c r="AG199" s="11">
        <f>IF(AE199&lt;&gt;"",AE199*AF199,"")</f>
        <v/>
      </c>
      <c r="AH199" s="11">
        <f>IF(AE199&lt;&gt;"",AE199+AG199,"")</f>
        <v/>
      </c>
      <c r="AL199">
        <f>IF($B199="GWE_Item",IF($AI199="Elektra",SUMIFS($W:$W,$A:$A,$A199,$B:$B,"GWE")-SUMIFS($V:$V,$A:$A,$A199,$B:$B,"GWE"),IF($AI199="Gas",SUMIFS($Y:$Y,$A:$A,$A199,$B:$B,"GWE")-SUMIFS($X:$X,$A:$A,$A199,$B:$B,"GWE"),IF($AI199="Water",SUMIFS($AA:$AA,$A:$A,$A199,$B:$B,"GWE")-SUMIFS($Z:$Z,$A:$A,$A199,$B:$B,"GWE"),""))),"")</f>
        <v/>
      </c>
      <c r="AN199" s="11">
        <f>IF(AND(AL199&lt;&gt;"",AM199&lt;&gt;""),AL199*AM199,"")</f>
        <v/>
      </c>
      <c r="AO199" s="13" t="n"/>
      <c r="AP199" s="11">
        <f>IF(AND(AN199&lt;&gt;"",AO199&lt;&gt;""),AN199*AO199,"")</f>
        <v/>
      </c>
      <c r="AQ199" s="11">
        <f>IF(AND(AN199&lt;&gt;"",AP199&lt;&gt;""),AN199+AP199,"")</f>
        <v/>
      </c>
    </row>
    <row r="200">
      <c r="D200" s="8">
        <f>IF(A200="","",VLOOKUP(A200,Lists!$A:$B,2,FALSE))</f>
        <v/>
      </c>
      <c r="E200" s="8">
        <f>IF(C200="","",VLOOKUP(C200,Lists!$C:$D,2,FALSE))</f>
        <v/>
      </c>
      <c r="F200" s="8" t="n"/>
      <c r="G200" s="8" t="n"/>
      <c r="J200" s="9">
        <f>IF(A200="","",IFERROR(VLOOKUP(A200,Lists!$A:$H,8,FALSE),0))</f>
        <v/>
      </c>
      <c r="L200" s="9">
        <f>IF(A200="","",IFERROR(VLOOKUP(A200,Lists!$A:$H,7,FALSE),0))</f>
        <v/>
      </c>
      <c r="M200" s="10" t="n">
        <v>0.21</v>
      </c>
      <c r="N200" s="11">
        <f>L200 * (1 + M200)</f>
        <v/>
      </c>
      <c r="O200" s="11">
        <f>IF(K200="Eigen Beheer",0,IF(AND(ISNUMBER(N200),I200&lt;&gt;"",H200&lt;&gt;""),ROUND((I200-H200)/Lists!$Q$2,2)*N200,0))</f>
        <v/>
      </c>
      <c r="R200" s="12">
        <f>IF(Q200="","",VLOOKUP(Q200,Lists!$E:$F,2,FALSE))</f>
        <v/>
      </c>
      <c r="AD200" s="9" t="n">
        <v>50</v>
      </c>
      <c r="AE200" s="11">
        <f>IF(AB200="","",IF(ISNUMBER(SEARCH("Basis",AB200)),(250/1.21)+MAX(0,AC200-5)*AD200,IF(ISNUMBER(SEARCH("Intensief",AB200)),(375/1.21)+MAX(0,AC200-7)*AD200,AC200*AD200)))</f>
        <v/>
      </c>
      <c r="AF200" s="13" t="n">
        <v>0.21</v>
      </c>
      <c r="AG200" s="11">
        <f>IF(AE200&lt;&gt;"",AE200*AF200,"")</f>
        <v/>
      </c>
      <c r="AH200" s="11">
        <f>IF(AE200&lt;&gt;"",AE200+AG200,"")</f>
        <v/>
      </c>
      <c r="AL200">
        <f>IF($B200="GWE_Item",IF($AI200="Elektra",SUMIFS($W:$W,$A:$A,$A200,$B:$B,"GWE")-SUMIFS($V:$V,$A:$A,$A200,$B:$B,"GWE"),IF($AI200="Gas",SUMIFS($Y:$Y,$A:$A,$A200,$B:$B,"GWE")-SUMIFS($X:$X,$A:$A,$A200,$B:$B,"GWE"),IF($AI200="Water",SUMIFS($AA:$AA,$A:$A,$A200,$B:$B,"GWE")-SUMIFS($Z:$Z,$A:$A,$A200,$B:$B,"GWE"),""))),"")</f>
        <v/>
      </c>
      <c r="AN200" s="11">
        <f>IF(AND(AL200&lt;&gt;"",AM200&lt;&gt;""),AL200*AM200,"")</f>
        <v/>
      </c>
      <c r="AO200" s="13" t="n"/>
      <c r="AP200" s="11">
        <f>IF(AND(AN200&lt;&gt;"",AO200&lt;&gt;""),AN200*AO200,"")</f>
        <v/>
      </c>
      <c r="AQ200" s="11">
        <f>IF(AND(AN200&lt;&gt;"",AP200&lt;&gt;""),AN200+AP200,"")</f>
        <v/>
      </c>
    </row>
    <row r="201">
      <c r="D201" s="8">
        <f>IF(A201="","",VLOOKUP(A201,Lists!$A:$B,2,FALSE))</f>
        <v/>
      </c>
      <c r="E201" s="8">
        <f>IF(C201="","",VLOOKUP(C201,Lists!$C:$D,2,FALSE))</f>
        <v/>
      </c>
      <c r="F201" s="8" t="n"/>
      <c r="G201" s="8" t="n"/>
      <c r="J201" s="9">
        <f>IF(A201="","",IFERROR(VLOOKUP(A201,Lists!$A:$H,8,FALSE),0))</f>
        <v/>
      </c>
      <c r="L201" s="9">
        <f>IF(A201="","",IFERROR(VLOOKUP(A201,Lists!$A:$H,7,FALSE),0))</f>
        <v/>
      </c>
      <c r="M201" s="10" t="n">
        <v>0.21</v>
      </c>
      <c r="N201" s="11">
        <f>L201 * (1 + M201)</f>
        <v/>
      </c>
      <c r="O201" s="11">
        <f>IF(K201="Eigen Beheer",0,IF(AND(ISNUMBER(N201),I201&lt;&gt;"",H201&lt;&gt;""),ROUND((I201-H201)/Lists!$Q$2,2)*N201,0))</f>
        <v/>
      </c>
      <c r="R201" s="12">
        <f>IF(Q201="","",VLOOKUP(Q201,Lists!$E:$F,2,FALSE))</f>
        <v/>
      </c>
      <c r="AD201" s="9" t="n">
        <v>50</v>
      </c>
      <c r="AE201" s="11">
        <f>IF(AB201="","",IF(ISNUMBER(SEARCH("Basis",AB201)),(250/1.21)+MAX(0,AC201-5)*AD201,IF(ISNUMBER(SEARCH("Intensief",AB201)),(375/1.21)+MAX(0,AC201-7)*AD201,AC201*AD201)))</f>
        <v/>
      </c>
      <c r="AF201" s="13" t="n">
        <v>0.21</v>
      </c>
      <c r="AG201" s="11">
        <f>IF(AE201&lt;&gt;"",AE201*AF201,"")</f>
        <v/>
      </c>
      <c r="AH201" s="11">
        <f>IF(AE201&lt;&gt;"",AE201+AG201,"")</f>
        <v/>
      </c>
      <c r="AL201">
        <f>IF($B201="GWE_Item",IF($AI201="Elektra",SUMIFS($W:$W,$A:$A,$A201,$B:$B,"GWE")-SUMIFS($V:$V,$A:$A,$A201,$B:$B,"GWE"),IF($AI201="Gas",SUMIFS($Y:$Y,$A:$A,$A201,$B:$B,"GWE")-SUMIFS($X:$X,$A:$A,$A201,$B:$B,"GWE"),IF($AI201="Water",SUMIFS($AA:$AA,$A:$A,$A201,$B:$B,"GWE")-SUMIFS($Z:$Z,$A:$A,$A201,$B:$B,"GWE"),""))),"")</f>
        <v/>
      </c>
      <c r="AN201" s="11">
        <f>IF(AND(AL201&lt;&gt;"",AM201&lt;&gt;""),AL201*AM201,"")</f>
        <v/>
      </c>
      <c r="AO201" s="13" t="n"/>
      <c r="AP201" s="11">
        <f>IF(AND(AN201&lt;&gt;"",AO201&lt;&gt;""),AN201*AO201,"")</f>
        <v/>
      </c>
      <c r="AQ201" s="11">
        <f>IF(AND(AN201&lt;&gt;"",AP201&lt;&gt;""),AN201+AP201,"")</f>
        <v/>
      </c>
    </row>
  </sheetData>
  <conditionalFormatting sqref="D2:U5000">
    <cfRule type="expression" priority="1" dxfId="2" stopIfTrue="1">
      <formula>$B2&lt;&gt;"Basis"</formula>
    </cfRule>
  </conditionalFormatting>
  <conditionalFormatting sqref="V2:AA5000">
    <cfRule type="expression" priority="2" dxfId="2" stopIfTrue="1">
      <formula>$B2&lt;&gt;"GWE"</formula>
    </cfRule>
  </conditionalFormatting>
  <conditionalFormatting sqref="AB2:AH5000">
    <cfRule type="expression" priority="3" dxfId="2" stopIfTrue="1">
      <formula>$B2&lt;&gt;"Schoonmaak"</formula>
    </cfRule>
  </conditionalFormatting>
  <conditionalFormatting sqref="AI2:AQ5000">
    <cfRule type="expression" priority="4" dxfId="2" stopIfTrue="1">
      <formula>AND($B2&lt;&gt;"Schade",$B2&lt;&gt;"Extra",$B2&lt;&gt;"GWE_Item")</formula>
    </cfRule>
  </conditionalFormatting>
  <dataValidations count="8">
    <dataValidation sqref="B2:B5000" showDropDown="0" showInputMessage="0" showErrorMessage="0" allowBlank="0" type="list">
      <formula1>"Basis,GWE,GWE_Item,Schoonmaak,Schade,Extra"</formula1>
    </dataValidation>
    <dataValidation sqref="A2:A5000" showDropDown="0" showInputMessage="0" showErrorMessage="0" allowBlank="1" type="list">
      <formula1>=Lists!$A$2:$A$5000</formula1>
    </dataValidation>
    <dataValidation sqref="C2:C5000" showDropDown="0" showInputMessage="0" showErrorMessage="0" allowBlank="1" type="list">
      <formula1>=Lists!$C$2:$C$5000</formula1>
    </dataValidation>
    <dataValidation sqref="K2:K5000" showDropDown="0" showInputMessage="0" showErrorMessage="0" allowBlank="1" type="list">
      <formula1>=Lists!$K$2:$K$3</formula1>
    </dataValidation>
    <dataValidation sqref="P2:P5000" showDropDown="0" showInputMessage="0" showErrorMessage="0" allowBlank="1" type="list">
      <formula1>=Lists!$I$2:$I$5</formula1>
    </dataValidation>
    <dataValidation sqref="Q2:Q5000" showDropDown="0" showInputMessage="0" showErrorMessage="0" allowBlank="1" type="list">
      <formula1>=Lists!$E$2:$E$100</formula1>
    </dataValidation>
    <dataValidation sqref="AB2:AB5000" showDropDown="0" showInputMessage="0" showErrorMessage="0" allowBlank="1" type="list">
      <formula1>=Lists!$M$2:$M$6</formula1>
    </dataValidation>
    <dataValidation sqref="AI2:AI5000" showDropDown="0" showInputMessage="0" showErrorMessage="0" allowBlank="1" type="list">
      <formula1>=Lists!$O$2:$O$5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 (Name)</t>
        </is>
      </c>
      <c r="D1" t="inlineStr">
        <is>
          <t>Clients (ID)</t>
        </is>
      </c>
      <c r="E1" t="inlineStr">
        <is>
          <t>Leveranciers (Name)</t>
        </is>
      </c>
      <c r="F1" t="inlineStr">
        <is>
          <t>Leveranciers (ID)</t>
        </is>
      </c>
      <c r="G1" t="inlineStr">
        <is>
          <t>GWE Voorschot (Default)</t>
        </is>
      </c>
      <c r="H1" t="inlineStr">
        <is>
          <t>Borg (Default)</t>
        </is>
      </c>
      <c r="I1" s="14" t="inlineStr">
        <is>
          <t>Meterbeheerder</t>
        </is>
      </c>
      <c r="K1" s="14" t="inlineStr">
        <is>
          <t>GWE Beheer</t>
        </is>
      </c>
      <c r="M1" s="14" t="inlineStr">
        <is>
          <t>Schoonmaak Pakket</t>
        </is>
      </c>
      <c r="O1" s="14" t="inlineStr">
        <is>
          <t>Kosten Type</t>
        </is>
      </c>
      <c r="Q1" s="14" t="inlineStr">
        <is>
          <t>Dagen per Maand</t>
        </is>
      </c>
    </row>
    <row r="2">
      <c r="A2" t="inlineStr">
        <is>
          <t>1e Middellandstraat 104A</t>
        </is>
      </c>
      <c r="B2" t="inlineStr">
        <is>
          <t>0388</t>
        </is>
      </c>
      <c r="C2" t="inlineStr">
        <is>
          <t>'t Werkt B.V.</t>
        </is>
      </c>
      <c r="D2" t="n">
        <v>173</v>
      </c>
      <c r="E2" t="inlineStr">
        <is>
          <t>123Wonen Vastgoedbeheer B.V.</t>
        </is>
      </c>
      <c r="F2" t="n">
        <v>203</v>
      </c>
      <c r="G2" t="n">
        <v>200</v>
      </c>
      <c r="H2" t="n">
        <v>0</v>
      </c>
      <c r="I2" t="inlineStr">
        <is>
          <t>Stedin</t>
        </is>
      </c>
      <c r="K2" t="inlineStr">
        <is>
          <t>Via RyanRent</t>
        </is>
      </c>
      <c r="M2" t="inlineStr">
        <is>
          <t>Basis Schoonmaak</t>
        </is>
      </c>
      <c r="O2" t="inlineStr">
        <is>
          <t>Elektra</t>
        </is>
      </c>
      <c r="Q2">
        <f>365.25/12</f>
        <v/>
      </c>
    </row>
    <row r="3">
      <c r="A3" t="inlineStr">
        <is>
          <t>1e Verdeligsweg 6 - 537</t>
        </is>
      </c>
      <c r="B3" t="inlineStr">
        <is>
          <t>0431</t>
        </is>
      </c>
      <c r="C3" t="inlineStr">
        <is>
          <t>24/7 drive</t>
        </is>
      </c>
      <c r="D3" t="n">
        <v>174</v>
      </c>
      <c r="E3" t="inlineStr">
        <is>
          <t>123wonen Bergen op Zoom</t>
        </is>
      </c>
      <c r="F3" t="n">
        <v>165</v>
      </c>
      <c r="G3" t="n">
        <v>0</v>
      </c>
      <c r="H3" t="n">
        <v>0</v>
      </c>
      <c r="I3" t="inlineStr">
        <is>
          <t>Liander</t>
        </is>
      </c>
      <c r="K3" t="inlineStr">
        <is>
          <t>Eigen Beheer</t>
        </is>
      </c>
      <c r="M3" t="inlineStr">
        <is>
          <t>Intensief Schoonmaak</t>
        </is>
      </c>
      <c r="O3" t="inlineStr">
        <is>
          <t>Gas</t>
        </is>
      </c>
    </row>
    <row r="4">
      <c r="A4" t="inlineStr">
        <is>
          <t>1e Verdeligsweg 6 - 821</t>
        </is>
      </c>
      <c r="B4" t="inlineStr">
        <is>
          <t>0432</t>
        </is>
      </c>
      <c r="C4" t="inlineStr">
        <is>
          <t>4 Homes B.V.</t>
        </is>
      </c>
      <c r="D4" t="n">
        <v>85</v>
      </c>
      <c r="E4" t="inlineStr">
        <is>
          <t>4 Homes</t>
        </is>
      </c>
      <c r="F4" t="n">
        <v>332</v>
      </c>
      <c r="G4" t="n">
        <v>0</v>
      </c>
      <c r="H4" t="n">
        <v>0</v>
      </c>
      <c r="I4" t="inlineStr">
        <is>
          <t>Enexis</t>
        </is>
      </c>
      <c r="M4" t="inlineStr">
        <is>
          <t>Geen Schoonmaak</t>
        </is>
      </c>
      <c r="O4" t="inlineStr">
        <is>
          <t>Water</t>
        </is>
      </c>
    </row>
    <row r="5">
      <c r="A5" t="inlineStr">
        <is>
          <t>1e Verdeligsweg 6 - 822</t>
        </is>
      </c>
      <c r="B5" t="inlineStr">
        <is>
          <t>0433</t>
        </is>
      </c>
      <c r="C5" t="inlineStr">
        <is>
          <t>A. Blaszcak</t>
        </is>
      </c>
      <c r="D5" t="n">
        <v>118</v>
      </c>
      <c r="E5" t="inlineStr">
        <is>
          <t>A. Blaszcak</t>
        </is>
      </c>
      <c r="F5" t="n">
        <v>170</v>
      </c>
      <c r="G5" t="n">
        <v>0</v>
      </c>
      <c r="H5" t="n">
        <v>0</v>
      </c>
      <c r="I5" t="inlineStr">
        <is>
          <t>Westland Infra</t>
        </is>
      </c>
      <c r="M5" t="inlineStr">
        <is>
          <t>Achteraf Betaald</t>
        </is>
      </c>
      <c r="O5" t="inlineStr">
        <is>
          <t>Overig</t>
        </is>
      </c>
    </row>
    <row r="6">
      <c r="A6" t="inlineStr">
        <is>
          <t>2e Maasbosstraat 2 a</t>
        </is>
      </c>
      <c r="B6" t="inlineStr">
        <is>
          <t>0148</t>
        </is>
      </c>
      <c r="C6" t="inlineStr">
        <is>
          <t>A. Brouwers en S. Brouwers- van Weert</t>
        </is>
      </c>
      <c r="D6" t="n">
        <v>267</v>
      </c>
      <c r="E6" t="inlineStr">
        <is>
          <t>A. Brouwers en S. Brouwers- van Weert</t>
        </is>
      </c>
      <c r="F6" t="n">
        <v>347</v>
      </c>
      <c r="G6" t="n">
        <v>69.48</v>
      </c>
      <c r="H6" t="n">
        <v>0</v>
      </c>
      <c r="M6" t="inlineStr">
        <is>
          <t>Op Maat</t>
        </is>
      </c>
    </row>
    <row r="7">
      <c r="A7" t="inlineStr">
        <is>
          <t>2e Maasbosstraat 2 b</t>
        </is>
      </c>
      <c r="B7" t="inlineStr">
        <is>
          <t>0149</t>
        </is>
      </c>
      <c r="C7" t="inlineStr">
        <is>
          <t>A. Dzaka</t>
        </is>
      </c>
      <c r="D7" t="n">
        <v>69</v>
      </c>
      <c r="E7" t="inlineStr">
        <is>
          <t>A. Ghali</t>
        </is>
      </c>
      <c r="F7" t="n">
        <v>167</v>
      </c>
      <c r="G7" t="n">
        <v>52.12</v>
      </c>
      <c r="H7" t="n">
        <v>3300</v>
      </c>
    </row>
    <row r="8">
      <c r="A8" t="inlineStr">
        <is>
          <t>2e Maasbosstraat 2 c</t>
        </is>
      </c>
      <c r="B8" t="inlineStr">
        <is>
          <t>0150</t>
        </is>
      </c>
      <c r="C8" t="inlineStr">
        <is>
          <t>A. Ghali</t>
        </is>
      </c>
      <c r="D8" t="n">
        <v>115</v>
      </c>
      <c r="E8" t="inlineStr">
        <is>
          <t>A.H.S. Willemsen</t>
        </is>
      </c>
      <c r="F8" t="n">
        <v>396</v>
      </c>
      <c r="G8" t="n">
        <v>44.04</v>
      </c>
      <c r="H8" t="n">
        <v>2550</v>
      </c>
    </row>
    <row r="9">
      <c r="A9" t="inlineStr">
        <is>
          <t>2e van Leydengaelstraat 6</t>
        </is>
      </c>
      <c r="B9" t="inlineStr">
        <is>
          <t>0022</t>
        </is>
      </c>
      <c r="C9" t="inlineStr">
        <is>
          <t>A. Verschueren</t>
        </is>
      </c>
      <c r="D9" t="n">
        <v>67</v>
      </c>
      <c r="E9" t="inlineStr">
        <is>
          <t>A.I.G. Lukkien</t>
        </is>
      </c>
      <c r="F9" t="n">
        <v>199</v>
      </c>
      <c r="G9" t="n">
        <v>0</v>
      </c>
      <c r="H9" t="n">
        <v>2271.76</v>
      </c>
    </row>
    <row r="10">
      <c r="A10" t="inlineStr">
        <is>
          <t>Abelenlaan 143</t>
        </is>
      </c>
      <c r="B10" t="inlineStr">
        <is>
          <t>0014</t>
        </is>
      </c>
      <c r="C10" t="inlineStr">
        <is>
          <t>A.H.S. Willemsen</t>
        </is>
      </c>
      <c r="D10" t="n">
        <v>302</v>
      </c>
      <c r="E10" t="inlineStr">
        <is>
          <t>A.P.W. Koedooder</t>
        </is>
      </c>
      <c r="F10" t="n">
        <v>48</v>
      </c>
      <c r="G10" t="n">
        <v>0</v>
      </c>
      <c r="H10" t="n">
        <v>1940</v>
      </c>
    </row>
    <row r="11">
      <c r="A11" t="inlineStr">
        <is>
          <t>Acacia 2</t>
        </is>
      </c>
      <c r="B11" t="inlineStr">
        <is>
          <t>0003</t>
        </is>
      </c>
      <c r="C11" t="inlineStr">
        <is>
          <t>A.I.G. Lukkien</t>
        </is>
      </c>
      <c r="D11" t="n">
        <v>150</v>
      </c>
      <c r="E11" t="inlineStr">
        <is>
          <t>ANWB</t>
        </is>
      </c>
      <c r="F11" t="n">
        <v>377</v>
      </c>
      <c r="G11" t="n">
        <v>0</v>
      </c>
      <c r="H11" t="n">
        <v>2022.35</v>
      </c>
    </row>
    <row r="12">
      <c r="A12" t="inlineStr">
        <is>
          <t>Acacialaan 9</t>
        </is>
      </c>
      <c r="B12" t="inlineStr">
        <is>
          <t>0223</t>
        </is>
      </c>
      <c r="C12" t="inlineStr">
        <is>
          <t>A.P.W. Koedooder</t>
        </is>
      </c>
      <c r="D12" t="n">
        <v>77</v>
      </c>
      <c r="E12" t="inlineStr">
        <is>
          <t>Advocatenkantoor de Boorder</t>
        </is>
      </c>
      <c r="F12" t="n">
        <v>52</v>
      </c>
      <c r="G12" t="n">
        <v>112.25</v>
      </c>
      <c r="H12" t="n">
        <v>2300</v>
      </c>
    </row>
    <row r="13">
      <c r="A13" t="inlineStr">
        <is>
          <t>Achterdijk 47a</t>
        </is>
      </c>
      <c r="B13" t="inlineStr">
        <is>
          <t>0190</t>
        </is>
      </c>
      <c r="C13" t="inlineStr">
        <is>
          <t>A.W.N. Alkemade</t>
        </is>
      </c>
      <c r="D13" t="n">
        <v>40</v>
      </c>
      <c r="E13" t="inlineStr">
        <is>
          <t>Alis Vastgoed B.V.</t>
        </is>
      </c>
      <c r="F13" t="n">
        <v>18</v>
      </c>
      <c r="G13" t="n">
        <v>500</v>
      </c>
      <c r="H13" t="n">
        <v>2255</v>
      </c>
    </row>
    <row r="14">
      <c r="A14" t="inlineStr">
        <is>
          <t>Admiraliteitskade 80-02</t>
        </is>
      </c>
      <c r="B14" t="inlineStr">
        <is>
          <t>0478</t>
        </is>
      </c>
      <c r="C14" t="inlineStr">
        <is>
          <t>A.Y. Nicolai</t>
        </is>
      </c>
      <c r="D14" t="n">
        <v>59</v>
      </c>
      <c r="E14" t="inlineStr">
        <is>
          <t>All Safety</t>
        </is>
      </c>
      <c r="F14" t="n">
        <v>304</v>
      </c>
      <c r="G14" t="n">
        <v>0</v>
      </c>
      <c r="H14" t="n">
        <v>0</v>
      </c>
    </row>
    <row r="15">
      <c r="A15" t="inlineStr">
        <is>
          <t>Adriaan Baasstraat 34</t>
        </is>
      </c>
      <c r="B15" t="inlineStr">
        <is>
          <t>0007</t>
        </is>
      </c>
      <c r="C15" t="inlineStr">
        <is>
          <t>ABC Bedrijfsservice B.V</t>
        </is>
      </c>
      <c r="D15" t="n">
        <v>250</v>
      </c>
      <c r="E15" t="inlineStr">
        <is>
          <t>Alpha Housing B.V.</t>
        </is>
      </c>
      <c r="F15" t="n">
        <v>257</v>
      </c>
      <c r="G15" t="n">
        <v>250</v>
      </c>
      <c r="H15" t="n">
        <v>2594.12</v>
      </c>
    </row>
    <row r="16">
      <c r="A16" t="inlineStr">
        <is>
          <t>Akkerweg 41 [016]</t>
        </is>
      </c>
      <c r="B16" t="inlineStr">
        <is>
          <t>0342</t>
        </is>
      </c>
      <c r="C16" t="inlineStr">
        <is>
          <t>AKRION ADMINISTRATION</t>
        </is>
      </c>
      <c r="D16" t="n">
        <v>242</v>
      </c>
      <c r="E16" t="inlineStr">
        <is>
          <t>Alpha Star Finance</t>
        </is>
      </c>
      <c r="F16" t="n">
        <v>149</v>
      </c>
      <c r="G16" t="n">
        <v>0</v>
      </c>
      <c r="H16" t="n">
        <v>0</v>
      </c>
    </row>
    <row r="17">
      <c r="A17" t="inlineStr">
        <is>
          <t>Akkerweg 41 [018]</t>
        </is>
      </c>
      <c r="B17" t="inlineStr">
        <is>
          <t>0295</t>
        </is>
      </c>
      <c r="C17" t="inlineStr">
        <is>
          <t>AKT Autoschade</t>
        </is>
      </c>
      <c r="D17" t="n">
        <v>237</v>
      </c>
      <c r="E17" t="inlineStr">
        <is>
          <t>Aluxa Vastgoed B.V.</t>
        </is>
      </c>
      <c r="F17" t="n">
        <v>209</v>
      </c>
      <c r="G17" t="n">
        <v>400</v>
      </c>
      <c r="H17" t="n">
        <v>3200</v>
      </c>
    </row>
    <row r="18">
      <c r="A18" t="inlineStr">
        <is>
          <t>Akkerweg 41 [019]</t>
        </is>
      </c>
      <c r="B18" t="inlineStr">
        <is>
          <t>0343</t>
        </is>
      </c>
      <c r="C18" t="inlineStr">
        <is>
          <t>Adecco Group</t>
        </is>
      </c>
      <c r="D18" t="n">
        <v>249</v>
      </c>
      <c r="E18" t="inlineStr">
        <is>
          <t>Alvast Antikraak</t>
        </is>
      </c>
      <c r="F18" t="n">
        <v>490</v>
      </c>
      <c r="G18" t="n">
        <v>0</v>
      </c>
      <c r="H18" t="n">
        <v>0</v>
      </c>
    </row>
    <row r="19">
      <c r="A19" t="inlineStr">
        <is>
          <t>Akkerweg 41 [022]</t>
        </is>
      </c>
      <c r="B19" t="inlineStr">
        <is>
          <t>0296</t>
        </is>
      </c>
      <c r="C19" t="inlineStr">
        <is>
          <t>Aelbers Flexibele Personeels Diensten B.V.</t>
        </is>
      </c>
      <c r="D19" t="n">
        <v>247</v>
      </c>
      <c r="E19" t="inlineStr">
        <is>
          <t>AmDor Projecten B.V.</t>
        </is>
      </c>
      <c r="F19" t="n">
        <v>179</v>
      </c>
      <c r="G19" t="n">
        <v>0</v>
      </c>
      <c r="H19" t="n">
        <v>0</v>
      </c>
    </row>
    <row r="20">
      <c r="A20" t="inlineStr">
        <is>
          <t>Akkerweg 41 [031]</t>
        </is>
      </c>
      <c r="B20" t="inlineStr">
        <is>
          <t>0298</t>
        </is>
      </c>
      <c r="C20" t="inlineStr">
        <is>
          <t>Alis Vastgoed B.V.</t>
        </is>
      </c>
      <c r="D20" t="n">
        <v>28</v>
      </c>
      <c r="E20" t="inlineStr">
        <is>
          <t>Aperta Estate Management</t>
        </is>
      </c>
      <c r="F20" t="n">
        <v>453</v>
      </c>
      <c r="G20" t="n">
        <v>0</v>
      </c>
      <c r="H20" t="n">
        <v>0</v>
      </c>
    </row>
    <row r="21">
      <c r="A21" t="inlineStr">
        <is>
          <t>Akkerweg 41 [038]</t>
        </is>
      </c>
      <c r="B21" t="inlineStr">
        <is>
          <t>0357</t>
        </is>
      </c>
      <c r="C21" t="inlineStr">
        <is>
          <t>Alpha Workforce Aps</t>
        </is>
      </c>
      <c r="D21" t="n">
        <v>214</v>
      </c>
      <c r="E21" t="inlineStr">
        <is>
          <t>Arbo centrum</t>
        </is>
      </c>
      <c r="F21" t="n">
        <v>504</v>
      </c>
      <c r="G21" t="n">
        <v>0</v>
      </c>
      <c r="H21" t="n">
        <v>0</v>
      </c>
    </row>
    <row r="22">
      <c r="A22" t="inlineStr">
        <is>
          <t>Akkerweg 41 [059]</t>
        </is>
      </c>
      <c r="B22" t="inlineStr">
        <is>
          <t>0306</t>
        </is>
      </c>
      <c r="C22" t="inlineStr">
        <is>
          <t>AmDor Projecten B.V.</t>
        </is>
      </c>
      <c r="D22" t="n">
        <v>124</v>
      </c>
      <c r="E22" t="inlineStr">
        <is>
          <t>Arjan de Wit</t>
        </is>
      </c>
      <c r="F22" t="n">
        <v>423</v>
      </c>
      <c r="G22" t="n">
        <v>0</v>
      </c>
      <c r="H22" t="n">
        <v>0</v>
      </c>
    </row>
    <row r="23">
      <c r="A23" t="inlineStr">
        <is>
          <t>Akkerweg 41 [068]</t>
        </is>
      </c>
      <c r="B23" t="inlineStr">
        <is>
          <t>0326</t>
        </is>
      </c>
      <c r="C23" t="inlineStr">
        <is>
          <t>Autobedrijf Voorne</t>
        </is>
      </c>
      <c r="D23" t="n">
        <v>223</v>
      </c>
      <c r="E23" t="inlineStr">
        <is>
          <t>Arval</t>
        </is>
      </c>
      <c r="F23" t="n">
        <v>53</v>
      </c>
      <c r="G23" t="n">
        <v>0</v>
      </c>
      <c r="H23" t="n">
        <v>0</v>
      </c>
    </row>
    <row r="24">
      <c r="A24" t="inlineStr">
        <is>
          <t>Akkerweg 41 [074]</t>
        </is>
      </c>
      <c r="B24" t="inlineStr">
        <is>
          <t>0379</t>
        </is>
      </c>
      <c r="C24" t="inlineStr">
        <is>
          <t>Autobedrijf W. Bronder</t>
        </is>
      </c>
      <c r="D24" t="n">
        <v>91</v>
      </c>
      <c r="E24" t="inlineStr">
        <is>
          <t>Athlon Beheer Nederland B.V.</t>
        </is>
      </c>
      <c r="F24" t="n">
        <v>54</v>
      </c>
      <c r="G24" t="n">
        <v>0</v>
      </c>
      <c r="H24" t="n">
        <v>0</v>
      </c>
    </row>
    <row r="25">
      <c r="A25" t="inlineStr">
        <is>
          <t xml:space="preserve">Akkerweg 41 [huis 10] </t>
        </is>
      </c>
      <c r="B25" t="inlineStr">
        <is>
          <t>0341</t>
        </is>
      </c>
      <c r="C25" t="inlineStr">
        <is>
          <t>Autodaxx B.V.</t>
        </is>
      </c>
      <c r="D25" t="n">
        <v>140</v>
      </c>
      <c r="E25" t="inlineStr">
        <is>
          <t>Atta Zaken</t>
        </is>
      </c>
      <c r="F25" t="n">
        <v>497</v>
      </c>
      <c r="G25" t="n">
        <v>0</v>
      </c>
      <c r="H25" t="n">
        <v>0</v>
      </c>
    </row>
    <row r="26">
      <c r="A26" t="inlineStr">
        <is>
          <t xml:space="preserve">Akkerweg 41 [huis 11] </t>
        </is>
      </c>
      <c r="B26" t="inlineStr">
        <is>
          <t>0372</t>
        </is>
      </c>
      <c r="C26" t="inlineStr">
        <is>
          <t>B. Bosch</t>
        </is>
      </c>
      <c r="D26" t="n">
        <v>135</v>
      </c>
      <c r="E26" t="inlineStr">
        <is>
          <t>Auto Center Oostvoorne</t>
        </is>
      </c>
      <c r="F26" t="n">
        <v>55</v>
      </c>
      <c r="G26" t="n">
        <v>350</v>
      </c>
      <c r="H26" t="n">
        <v>0</v>
      </c>
    </row>
    <row r="27">
      <c r="A27" t="inlineStr">
        <is>
          <t>Akkerweg 41 [huis 14]</t>
        </is>
      </c>
      <c r="B27" t="inlineStr">
        <is>
          <t>0293</t>
        </is>
      </c>
      <c r="C27" t="inlineStr">
        <is>
          <t>B. van Abeelen</t>
        </is>
      </c>
      <c r="D27" t="n">
        <v>375</v>
      </c>
      <c r="E27" t="inlineStr">
        <is>
          <t>Auto Raggers</t>
        </is>
      </c>
      <c r="F27" t="n">
        <v>57</v>
      </c>
      <c r="G27" t="n">
        <v>400</v>
      </c>
      <c r="H27" t="n">
        <v>0</v>
      </c>
    </row>
    <row r="28">
      <c r="A28" t="inlineStr">
        <is>
          <t xml:space="preserve">Akkerweg 41 [huis 15] </t>
        </is>
      </c>
      <c r="B28" t="inlineStr">
        <is>
          <t>0294</t>
        </is>
      </c>
      <c r="C28" t="inlineStr">
        <is>
          <t>BBTS (Vastgoed Spijkenisse)</t>
        </is>
      </c>
      <c r="D28" t="n">
        <v>190</v>
      </c>
      <c r="E28" t="inlineStr">
        <is>
          <t>Auto de Boer</t>
        </is>
      </c>
      <c r="F28" t="n">
        <v>56</v>
      </c>
      <c r="G28" t="n">
        <v>300</v>
      </c>
      <c r="H28" t="n">
        <v>0</v>
      </c>
    </row>
    <row r="29">
      <c r="A29" t="inlineStr">
        <is>
          <t>Akkerweg 41 [huis 17]</t>
        </is>
      </c>
      <c r="B29" t="inlineStr">
        <is>
          <t>0373</t>
        </is>
      </c>
      <c r="C29" t="inlineStr">
        <is>
          <t>BDR Uitzendbureau B.V.</t>
        </is>
      </c>
      <c r="D29" t="n">
        <v>192</v>
      </c>
      <c r="E29" t="inlineStr">
        <is>
          <t>Autobedrijf Voorne</t>
        </is>
      </c>
      <c r="F29" t="n">
        <v>296</v>
      </c>
      <c r="G29" t="n">
        <v>300</v>
      </c>
      <c r="H29" t="n">
        <v>0</v>
      </c>
    </row>
    <row r="30">
      <c r="A30" t="inlineStr">
        <is>
          <t xml:space="preserve">Akkerweg 41 [huis 20] </t>
        </is>
      </c>
      <c r="B30" t="inlineStr">
        <is>
          <t>0383</t>
        </is>
      </c>
      <c r="C30" t="inlineStr">
        <is>
          <t>BJ Bakker</t>
        </is>
      </c>
      <c r="D30" t="n">
        <v>241</v>
      </c>
      <c r="E30" t="inlineStr">
        <is>
          <t>Autobedrijf W. Bronder</t>
        </is>
      </c>
      <c r="F30" t="n">
        <v>58</v>
      </c>
      <c r="G30" t="n">
        <v>450</v>
      </c>
      <c r="H30" t="n">
        <v>2176.47</v>
      </c>
    </row>
    <row r="31">
      <c r="A31" t="inlineStr">
        <is>
          <t xml:space="preserve">Akkerweg 41 [huis 26] </t>
        </is>
      </c>
      <c r="B31" t="inlineStr">
        <is>
          <t>0297</t>
        </is>
      </c>
      <c r="C31" t="inlineStr">
        <is>
          <t>Bator V.O.F.</t>
        </is>
      </c>
      <c r="D31" t="n">
        <v>105</v>
      </c>
      <c r="E31" t="inlineStr">
        <is>
          <t>Autoschadebedrijf Carpoort</t>
        </is>
      </c>
      <c r="F31" t="n">
        <v>292</v>
      </c>
      <c r="G31" t="n">
        <v>200</v>
      </c>
      <c r="H31" t="n">
        <v>0</v>
      </c>
    </row>
    <row r="32">
      <c r="A32" t="inlineStr">
        <is>
          <t xml:space="preserve">Akkerweg 41 [huis 35] </t>
        </is>
      </c>
      <c r="B32" t="inlineStr">
        <is>
          <t>0350</t>
        </is>
      </c>
      <c r="C32" t="inlineStr">
        <is>
          <t>Best@Work B.V.</t>
        </is>
      </c>
      <c r="D32" t="n">
        <v>35</v>
      </c>
      <c r="E32" t="inlineStr">
        <is>
          <t>Autoschoonmaakbedrijf Total Clean</t>
        </is>
      </c>
      <c r="F32" t="n">
        <v>59</v>
      </c>
      <c r="G32" t="n">
        <v>250</v>
      </c>
      <c r="H32" t="n">
        <v>0</v>
      </c>
    </row>
    <row r="33">
      <c r="A33" t="inlineStr">
        <is>
          <t>Akkerweg 41 [huis 36]</t>
        </is>
      </c>
      <c r="B33" t="inlineStr">
        <is>
          <t>0356</t>
        </is>
      </c>
      <c r="C33" t="inlineStr">
        <is>
          <t>Betterway BV</t>
        </is>
      </c>
      <c r="D33" t="n">
        <v>265</v>
      </c>
      <c r="E33" t="inlineStr">
        <is>
          <t>B Renkema</t>
        </is>
      </c>
      <c r="F33" t="n">
        <v>333</v>
      </c>
      <c r="G33" t="n">
        <v>250</v>
      </c>
      <c r="H33" t="n">
        <v>0</v>
      </c>
    </row>
    <row r="34">
      <c r="A34" t="inlineStr">
        <is>
          <t xml:space="preserve">Akkerweg 41 [huis 37] </t>
        </is>
      </c>
      <c r="B34" t="inlineStr">
        <is>
          <t>0299</t>
        </is>
      </c>
      <c r="C34" t="inlineStr">
        <is>
          <t>Bosch B Dhr (Scheepjesbrug 814 Meerkerk)</t>
        </is>
      </c>
      <c r="D34" t="n">
        <v>226</v>
      </c>
      <c r="E34" t="inlineStr">
        <is>
          <t>B Verstegen en K Maas</t>
        </is>
      </c>
      <c r="F34" t="n">
        <v>350</v>
      </c>
      <c r="G34" t="n">
        <v>300</v>
      </c>
      <c r="H34" t="n">
        <v>0</v>
      </c>
    </row>
    <row r="35">
      <c r="A35" t="inlineStr">
        <is>
          <t xml:space="preserve">Akkerweg 41 [huis 40] </t>
        </is>
      </c>
      <c r="B35" t="inlineStr">
        <is>
          <t>0300</t>
        </is>
      </c>
      <c r="C35" t="inlineStr">
        <is>
          <t>Bouius</t>
        </is>
      </c>
      <c r="D35" t="n">
        <v>272</v>
      </c>
      <c r="E35" t="inlineStr">
        <is>
          <t>B. van Abeelen</t>
        </is>
      </c>
      <c r="F35" t="n">
        <v>505</v>
      </c>
      <c r="G35" t="n">
        <v>600</v>
      </c>
      <c r="H35" t="n">
        <v>0</v>
      </c>
    </row>
    <row r="36">
      <c r="A36" t="inlineStr">
        <is>
          <t xml:space="preserve">Akkerweg 41 [huis 41] </t>
        </is>
      </c>
      <c r="B36" t="inlineStr">
        <is>
          <t>0301</t>
        </is>
      </c>
      <c r="C36" t="inlineStr">
        <is>
          <t>Bouw Service International B.V.</t>
        </is>
      </c>
      <c r="D36" t="n">
        <v>194</v>
      </c>
      <c r="E36" t="inlineStr">
        <is>
          <t>B.A.D. Loodgietersbedrijf B.V.</t>
        </is>
      </c>
      <c r="F36" t="n">
        <v>171</v>
      </c>
      <c r="G36" t="n">
        <v>600</v>
      </c>
      <c r="H36" t="n">
        <v>0</v>
      </c>
    </row>
    <row r="37">
      <c r="A37" t="inlineStr">
        <is>
          <t>Akkerweg 41 [huis 42]</t>
        </is>
      </c>
      <c r="B37" t="inlineStr">
        <is>
          <t>0302</t>
        </is>
      </c>
      <c r="C37" t="inlineStr">
        <is>
          <t>Bright Home Rentals B.V.</t>
        </is>
      </c>
      <c r="D37" t="n">
        <v>2</v>
      </c>
      <c r="E37" t="inlineStr">
        <is>
          <t>B2Mobility</t>
        </is>
      </c>
      <c r="F37" t="n">
        <v>314</v>
      </c>
      <c r="G37" t="n">
        <v>450</v>
      </c>
      <c r="H37" t="n">
        <v>0</v>
      </c>
    </row>
    <row r="38">
      <c r="A38" t="inlineStr">
        <is>
          <t xml:space="preserve">Akkerweg 41 [huis 55] </t>
        </is>
      </c>
      <c r="B38" t="inlineStr">
        <is>
          <t>0303</t>
        </is>
      </c>
      <c r="C38" t="inlineStr">
        <is>
          <t>Business Housing</t>
        </is>
      </c>
      <c r="D38" t="n">
        <v>53</v>
      </c>
      <c r="E38" t="inlineStr">
        <is>
          <t>BCC Elektro-speciaalzaken B.V.</t>
        </is>
      </c>
      <c r="F38" t="n">
        <v>267</v>
      </c>
      <c r="G38" t="n">
        <v>0</v>
      </c>
      <c r="H38" t="n">
        <v>0</v>
      </c>
    </row>
    <row r="39">
      <c r="A39" t="inlineStr">
        <is>
          <t>Akkerweg 41 [huis 56]</t>
        </is>
      </c>
      <c r="B39" t="inlineStr">
        <is>
          <t>0304</t>
        </is>
      </c>
      <c r="C39" t="inlineStr">
        <is>
          <t>Buurman Vastgoed E B.V.</t>
        </is>
      </c>
      <c r="D39" t="n">
        <v>346</v>
      </c>
      <c r="E39" t="inlineStr">
        <is>
          <t>BFW B.V.</t>
        </is>
      </c>
      <c r="F39" t="n">
        <v>61</v>
      </c>
      <c r="G39" t="n">
        <v>0</v>
      </c>
      <c r="H39" t="n">
        <v>0</v>
      </c>
    </row>
    <row r="40">
      <c r="A40" t="inlineStr">
        <is>
          <t>Akkerweg 41 [huis 57]</t>
        </is>
      </c>
      <c r="B40" t="inlineStr">
        <is>
          <t>0305</t>
        </is>
      </c>
      <c r="C40" t="inlineStr">
        <is>
          <t>Bw-engineering</t>
        </is>
      </c>
      <c r="D40" t="n">
        <v>342</v>
      </c>
      <c r="E40" t="inlineStr">
        <is>
          <t>BFW B.V.</t>
        </is>
      </c>
      <c r="F40" t="n">
        <v>161</v>
      </c>
      <c r="G40" t="n">
        <v>250</v>
      </c>
      <c r="H40" t="n">
        <v>0</v>
      </c>
    </row>
    <row r="41">
      <c r="A41" t="inlineStr">
        <is>
          <t>Akkerweg 41 [huis 58]</t>
        </is>
      </c>
      <c r="B41" t="inlineStr">
        <is>
          <t>0384</t>
        </is>
      </c>
      <c r="C41" t="inlineStr">
        <is>
          <t>C-Flex B.V.</t>
        </is>
      </c>
      <c r="D41" t="n">
        <v>288</v>
      </c>
      <c r="E41" t="inlineStr">
        <is>
          <t>BICT Groep</t>
        </is>
      </c>
      <c r="F41" t="n">
        <v>352</v>
      </c>
      <c r="G41" t="n">
        <v>0</v>
      </c>
      <c r="H41" t="n">
        <v>0</v>
      </c>
    </row>
    <row r="42">
      <c r="A42" t="inlineStr">
        <is>
          <t>Akkerweg 41 [huis 75]</t>
        </is>
      </c>
      <c r="B42" t="inlineStr">
        <is>
          <t>0307</t>
        </is>
      </c>
      <c r="C42" t="inlineStr">
        <is>
          <t>C. van Winsen</t>
        </is>
      </c>
      <c r="D42" t="n">
        <v>366</v>
      </c>
      <c r="E42" t="inlineStr">
        <is>
          <t>BJ Bakker</t>
        </is>
      </c>
      <c r="F42" t="n">
        <v>288</v>
      </c>
      <c r="G42" t="n">
        <v>300</v>
      </c>
      <c r="H42" t="n">
        <v>0</v>
      </c>
    </row>
    <row r="43">
      <c r="A43" t="inlineStr">
        <is>
          <t>Allard Piersonlaan 142</t>
        </is>
      </c>
      <c r="B43" t="inlineStr">
        <is>
          <t>0002</t>
        </is>
      </c>
      <c r="C43" t="inlineStr">
        <is>
          <t>CASS Construction and Steel Structures Sp. z o.o</t>
        </is>
      </c>
      <c r="D43" t="n">
        <v>351</v>
      </c>
      <c r="E43" t="inlineStr">
        <is>
          <t>BNP Paribas Leasing Solutions N.V.</t>
        </is>
      </c>
      <c r="F43" t="n">
        <v>62</v>
      </c>
      <c r="G43" t="n">
        <v>0</v>
      </c>
      <c r="H43" t="n">
        <v>1929.41</v>
      </c>
    </row>
    <row r="44">
      <c r="A44" t="inlineStr">
        <is>
          <t>Amberberg 14</t>
        </is>
      </c>
      <c r="B44" t="inlineStr">
        <is>
          <t>0201</t>
        </is>
      </c>
      <c r="C44" t="inlineStr">
        <is>
          <t>CB Construction UAB</t>
        </is>
      </c>
      <c r="D44" t="n">
        <v>352</v>
      </c>
      <c r="E44" t="inlineStr">
        <is>
          <t>BO-Rent B.V.</t>
        </is>
      </c>
      <c r="F44" t="n">
        <v>245</v>
      </c>
      <c r="G44" t="n">
        <v>0</v>
      </c>
      <c r="H44" t="n">
        <v>1821.75</v>
      </c>
    </row>
    <row r="45">
      <c r="A45" t="inlineStr">
        <is>
          <t>Amperelaan 23</t>
        </is>
      </c>
      <c r="B45" t="inlineStr">
        <is>
          <t>0043</t>
        </is>
      </c>
      <c r="C45" t="inlineStr">
        <is>
          <t>CB-Homes B.V.</t>
        </is>
      </c>
      <c r="D45" t="n">
        <v>121</v>
      </c>
      <c r="E45" t="inlineStr">
        <is>
          <t>Barry Elektrotechniek B.V. (Oosterhout)</t>
        </is>
      </c>
      <c r="F45" t="n">
        <v>454</v>
      </c>
      <c r="G45" t="n">
        <v>0</v>
      </c>
      <c r="H45" t="n">
        <v>2275.29</v>
      </c>
    </row>
    <row r="46">
      <c r="A46" t="inlineStr">
        <is>
          <t>Amperestraat 36A</t>
        </is>
      </c>
      <c r="B46" t="inlineStr">
        <is>
          <t>0135</t>
        </is>
      </c>
      <c r="C46" t="inlineStr">
        <is>
          <t>Central Job Facilities B.V.</t>
        </is>
      </c>
      <c r="D46" t="n">
        <v>171</v>
      </c>
      <c r="E46" t="inlineStr">
        <is>
          <t>Barstarz BV</t>
        </is>
      </c>
      <c r="F46" t="n">
        <v>303</v>
      </c>
      <c r="G46" t="n">
        <v>331.67</v>
      </c>
      <c r="H46" t="n">
        <v>1691.63</v>
      </c>
    </row>
    <row r="47">
      <c r="A47" t="inlineStr">
        <is>
          <t>Archimedesstraat 6B</t>
        </is>
      </c>
      <c r="B47" t="inlineStr">
        <is>
          <t>0353</t>
        </is>
      </c>
      <c r="C47" t="inlineStr">
        <is>
          <t>City Estate B.V.</t>
        </is>
      </c>
      <c r="D47" t="n">
        <v>58</v>
      </c>
      <c r="E47" t="inlineStr">
        <is>
          <t>Bas Eefting</t>
        </is>
      </c>
      <c r="F47" t="n">
        <v>277</v>
      </c>
      <c r="G47" t="n">
        <v>174.24</v>
      </c>
      <c r="H47" t="n">
        <v>1623.96</v>
      </c>
    </row>
    <row r="48">
      <c r="A48" t="inlineStr">
        <is>
          <t>Arkelse Onderweg 24a</t>
        </is>
      </c>
      <c r="B48" t="inlineStr">
        <is>
          <t>0008</t>
        </is>
      </c>
      <c r="C48" t="inlineStr">
        <is>
          <t>Crown Uitzendgroep</t>
        </is>
      </c>
      <c r="D48" t="n">
        <v>82</v>
      </c>
      <c r="E48" t="inlineStr">
        <is>
          <t>Bator V.O.F.</t>
        </is>
      </c>
      <c r="F48" t="n">
        <v>145</v>
      </c>
      <c r="G48" t="n">
        <v>0</v>
      </c>
      <c r="H48" t="n">
        <v>1780</v>
      </c>
    </row>
    <row r="49">
      <c r="A49" t="inlineStr">
        <is>
          <t>Baanhoek 137</t>
        </is>
      </c>
      <c r="B49" t="inlineStr">
        <is>
          <t>0367</t>
        </is>
      </c>
      <c r="C49" t="inlineStr">
        <is>
          <t>D Blommers</t>
        </is>
      </c>
      <c r="D49" t="n">
        <v>187</v>
      </c>
      <c r="E49" t="inlineStr">
        <is>
          <t>Belastingdienst</t>
        </is>
      </c>
      <c r="F49" t="n">
        <v>158</v>
      </c>
      <c r="G49" t="n">
        <v>0</v>
      </c>
      <c r="H49" t="n">
        <v>0</v>
      </c>
    </row>
    <row r="50">
      <c r="A50" t="inlineStr">
        <is>
          <t>Baanhoek 139</t>
        </is>
      </c>
      <c r="B50" t="inlineStr">
        <is>
          <t>0055</t>
        </is>
      </c>
      <c r="C50" t="inlineStr">
        <is>
          <t>D Kleijweg</t>
        </is>
      </c>
      <c r="D50" t="n">
        <v>251</v>
      </c>
      <c r="E50" t="inlineStr">
        <is>
          <t>Belastingsamenwerking West-Brabant</t>
        </is>
      </c>
      <c r="F50" t="n">
        <v>501</v>
      </c>
      <c r="G50" t="n">
        <v>250</v>
      </c>
      <c r="H50" t="n">
        <v>2314.12</v>
      </c>
    </row>
    <row r="51">
      <c r="A51" t="inlineStr">
        <is>
          <t>Baarlelaan 27</t>
        </is>
      </c>
      <c r="B51" t="inlineStr">
        <is>
          <t>0012</t>
        </is>
      </c>
      <c r="C51" t="inlineStr">
        <is>
          <t>D. Walma</t>
        </is>
      </c>
      <c r="D51" t="n">
        <v>133</v>
      </c>
      <c r="E51" t="inlineStr">
        <is>
          <t>BeursBulletin Alerts B.V.</t>
        </is>
      </c>
      <c r="F51" t="n">
        <v>60</v>
      </c>
      <c r="G51" t="n">
        <v>0</v>
      </c>
      <c r="H51" t="n">
        <v>1965.88</v>
      </c>
    </row>
    <row r="52">
      <c r="A52" t="inlineStr">
        <is>
          <t>Baarsveen 197</t>
        </is>
      </c>
      <c r="B52" t="inlineStr">
        <is>
          <t>0013</t>
        </is>
      </c>
      <c r="C52" t="inlineStr">
        <is>
          <t>DB Beheer B.V.</t>
        </is>
      </c>
      <c r="D52" t="n">
        <v>116</v>
      </c>
      <c r="E52" t="inlineStr">
        <is>
          <t>Blok Interrek B.V.</t>
        </is>
      </c>
      <c r="F52" t="n">
        <v>374</v>
      </c>
      <c r="G52" t="n">
        <v>325</v>
      </c>
      <c r="H52" t="n">
        <v>1864.71</v>
      </c>
    </row>
    <row r="53">
      <c r="A53" t="inlineStr">
        <is>
          <t>Beatrixstraat 3</t>
        </is>
      </c>
      <c r="B53" t="inlineStr">
        <is>
          <t>0040</t>
        </is>
      </c>
      <c r="C53" t="inlineStr">
        <is>
          <t>DB woonruimtebemiddeling</t>
        </is>
      </c>
      <c r="D53" t="n">
        <v>137</v>
      </c>
      <c r="E53" t="inlineStr">
        <is>
          <t>Blue 10 B.V.</t>
        </is>
      </c>
      <c r="F53" t="n">
        <v>306</v>
      </c>
      <c r="G53" t="n">
        <v>250</v>
      </c>
      <c r="H53" t="n">
        <v>2507.06</v>
      </c>
    </row>
    <row r="54">
      <c r="A54" t="inlineStr">
        <is>
          <t>Beeklaan 294</t>
        </is>
      </c>
      <c r="B54" t="inlineStr">
        <is>
          <t>0152</t>
        </is>
      </c>
      <c r="C54" t="inlineStr">
        <is>
          <t>DIT en Larex Vakpersoneel B.V.</t>
        </is>
      </c>
      <c r="D54" t="n">
        <v>210</v>
      </c>
      <c r="E54" t="inlineStr">
        <is>
          <t>Bol.com</t>
        </is>
      </c>
      <c r="F54" t="n">
        <v>157</v>
      </c>
      <c r="G54" t="n">
        <v>158.71</v>
      </c>
      <c r="H54" t="n">
        <v>4600</v>
      </c>
    </row>
    <row r="55">
      <c r="A55" t="inlineStr">
        <is>
          <t>Besterdring 6</t>
        </is>
      </c>
      <c r="B55" t="inlineStr">
        <is>
          <t>0060</t>
        </is>
      </c>
      <c r="C55" t="inlineStr">
        <is>
          <t>DNACC B.V. / Rolbakkie</t>
        </is>
      </c>
      <c r="D55" t="n">
        <v>92</v>
      </c>
      <c r="E55" t="inlineStr">
        <is>
          <t>BookThat Solutions B.V.</t>
        </is>
      </c>
      <c r="F55" t="n">
        <v>264</v>
      </c>
      <c r="G55" t="n">
        <v>0</v>
      </c>
      <c r="H55" t="n">
        <v>0</v>
      </c>
    </row>
    <row r="56">
      <c r="A56" t="inlineStr">
        <is>
          <t>Bettingeslag 10</t>
        </is>
      </c>
      <c r="B56" t="inlineStr">
        <is>
          <t>0322</t>
        </is>
      </c>
      <c r="C56" t="inlineStr">
        <is>
          <t>DS People B.V.</t>
        </is>
      </c>
      <c r="D56" t="n">
        <v>157</v>
      </c>
      <c r="E56" t="inlineStr">
        <is>
          <t>Born Management en Beheer</t>
        </is>
      </c>
      <c r="F56" t="n">
        <v>395</v>
      </c>
      <c r="G56" t="n">
        <v>250</v>
      </c>
      <c r="H56" t="n">
        <v>1900</v>
      </c>
    </row>
    <row r="57">
      <c r="A57" t="inlineStr">
        <is>
          <t>Beukenlaan 53</t>
        </is>
      </c>
      <c r="B57" t="inlineStr">
        <is>
          <t>0346</t>
        </is>
      </c>
      <c r="C57" t="inlineStr">
        <is>
          <t>De Borgmeren B.V.</t>
        </is>
      </c>
      <c r="D57" t="n">
        <v>51</v>
      </c>
      <c r="E57" t="inlineStr">
        <is>
          <t>Bosch</t>
        </is>
      </c>
      <c r="F57" t="n">
        <v>357</v>
      </c>
      <c r="G57" t="n">
        <v>300</v>
      </c>
      <c r="H57" t="n">
        <v>3860</v>
      </c>
    </row>
    <row r="58">
      <c r="A58" t="inlineStr">
        <is>
          <t>Bisschopstraat 68</t>
        </is>
      </c>
      <c r="B58" t="inlineStr">
        <is>
          <t>0047</t>
        </is>
      </c>
      <c r="C58" t="inlineStr">
        <is>
          <t>De Pagter Vastgoed B.V.</t>
        </is>
      </c>
      <c r="D58" t="n">
        <v>43</v>
      </c>
      <c r="E58" t="inlineStr">
        <is>
          <t>Bosch B Dhr (Scheepjesbrug 814 Meerkerk)</t>
        </is>
      </c>
      <c r="F58" t="n">
        <v>269</v>
      </c>
      <c r="G58" t="n">
        <v>0</v>
      </c>
      <c r="H58" t="n">
        <v>2295.29</v>
      </c>
    </row>
    <row r="59">
      <c r="A59" t="inlineStr">
        <is>
          <t>Bliek 41</t>
        </is>
      </c>
      <c r="B59" t="inlineStr">
        <is>
          <t>0048</t>
        </is>
      </c>
      <c r="C59" t="inlineStr">
        <is>
          <t>De Uitlener B.V.</t>
        </is>
      </c>
      <c r="D59" t="n">
        <v>219</v>
      </c>
      <c r="E59" t="inlineStr">
        <is>
          <t>Bouius</t>
        </is>
      </c>
      <c r="F59" t="n">
        <v>358</v>
      </c>
      <c r="G59" t="n">
        <v>400</v>
      </c>
      <c r="H59" t="n">
        <v>2356.47</v>
      </c>
    </row>
    <row r="60">
      <c r="A60" t="inlineStr">
        <is>
          <t>Boogertstraat 5A</t>
        </is>
      </c>
      <c r="B60" t="inlineStr">
        <is>
          <t>0397</t>
        </is>
      </c>
      <c r="C60" t="inlineStr">
        <is>
          <t>De Witte Brigade B.V.</t>
        </is>
      </c>
      <c r="D60" t="n">
        <v>166</v>
      </c>
      <c r="E60" t="inlineStr">
        <is>
          <t>Brabant Water NV</t>
        </is>
      </c>
      <c r="F60" t="n">
        <v>376</v>
      </c>
      <c r="G60" t="n">
        <v>0</v>
      </c>
      <c r="H60" t="n">
        <v>0</v>
      </c>
    </row>
    <row r="61">
      <c r="A61" t="inlineStr">
        <is>
          <t>Boogertstraat 7A</t>
        </is>
      </c>
      <c r="B61" t="inlineStr">
        <is>
          <t>0398</t>
        </is>
      </c>
      <c r="C61" t="inlineStr">
        <is>
          <t>Demeter BV</t>
        </is>
      </c>
      <c r="D61" t="n">
        <v>354</v>
      </c>
      <c r="E61" t="inlineStr">
        <is>
          <t>Bright Home Rentals B.V.</t>
        </is>
      </c>
      <c r="F61" t="n">
        <v>1</v>
      </c>
      <c r="G61" t="n">
        <v>0</v>
      </c>
      <c r="H61" t="n">
        <v>0</v>
      </c>
    </row>
    <row r="62">
      <c r="A62" t="inlineStr">
        <is>
          <t>Bornerbroeksestraat 129A</t>
        </is>
      </c>
      <c r="B62" t="inlineStr">
        <is>
          <t>0049</t>
        </is>
      </c>
      <c r="C62" t="inlineStr">
        <is>
          <t>Desa Construction NL BV</t>
        </is>
      </c>
      <c r="D62" t="n">
        <v>275</v>
      </c>
      <c r="E62" t="inlineStr">
        <is>
          <t>Brixx Metafoor Vastgoed en Software B.V.</t>
        </is>
      </c>
      <c r="F62" t="n">
        <v>63</v>
      </c>
      <c r="G62" t="n">
        <v>250</v>
      </c>
      <c r="H62" t="n">
        <v>1714.12</v>
      </c>
    </row>
    <row r="63">
      <c r="A63" t="inlineStr">
        <is>
          <t>Boswoning 11</t>
        </is>
      </c>
      <c r="B63" t="inlineStr">
        <is>
          <t>0490</t>
        </is>
      </c>
      <c r="C63" t="inlineStr">
        <is>
          <t>Detaconcept Services B.V.</t>
        </is>
      </c>
      <c r="D63" t="n">
        <v>179</v>
      </c>
      <c r="E63" t="inlineStr">
        <is>
          <t>Brother International (Nederland) B.V.</t>
        </is>
      </c>
      <c r="F63" t="n">
        <v>64</v>
      </c>
      <c r="G63" t="n">
        <v>0</v>
      </c>
      <c r="H63" t="n">
        <v>0</v>
      </c>
    </row>
    <row r="64">
      <c r="A64" t="inlineStr">
        <is>
          <t>Bovendijk 59</t>
        </is>
      </c>
      <c r="B64" t="inlineStr">
        <is>
          <t>0280</t>
        </is>
      </c>
      <c r="C64" t="inlineStr">
        <is>
          <t>Detaconcept Uitzendgroep B.V.</t>
        </is>
      </c>
      <c r="D64" t="n">
        <v>178</v>
      </c>
      <c r="E64" t="inlineStr">
        <is>
          <t>Bureau Cicero B.V.</t>
        </is>
      </c>
      <c r="F64" t="n">
        <v>191</v>
      </c>
      <c r="G64" t="n">
        <v>122.42</v>
      </c>
      <c r="H64" t="n">
        <v>0</v>
      </c>
    </row>
    <row r="65">
      <c r="A65" t="inlineStr">
        <is>
          <t>Bovendijk 61</t>
        </is>
      </c>
      <c r="B65" t="inlineStr">
        <is>
          <t>0281</t>
        </is>
      </c>
      <c r="C65" t="inlineStr">
        <is>
          <t>Dhr D. Pronk en Mw y. Pronk - Dijkhuizen</t>
        </is>
      </c>
      <c r="D65" t="n">
        <v>197</v>
      </c>
      <c r="E65" t="inlineStr">
        <is>
          <t>Business Housing</t>
        </is>
      </c>
      <c r="F65" t="n">
        <v>32</v>
      </c>
      <c r="G65" t="n">
        <v>261.87</v>
      </c>
      <c r="H65" t="n">
        <v>0</v>
      </c>
    </row>
    <row r="66">
      <c r="A66" t="inlineStr">
        <is>
          <t>Broekweg 166B</t>
        </is>
      </c>
      <c r="B66" t="inlineStr">
        <is>
          <t>0422</t>
        </is>
      </c>
      <c r="C66" t="inlineStr">
        <is>
          <t>Dhr I.B. Stefan</t>
        </is>
      </c>
      <c r="D66" t="n">
        <v>224</v>
      </c>
      <c r="E66" t="inlineStr">
        <is>
          <t>Business Software Haaglanden B.V.</t>
        </is>
      </c>
      <c r="F66" t="n">
        <v>65</v>
      </c>
      <c r="G66" t="n">
        <v>40.37</v>
      </c>
      <c r="H66" t="n">
        <v>0</v>
      </c>
    </row>
    <row r="67">
      <c r="A67" t="inlineStr">
        <is>
          <t>Broekweg 25</t>
        </is>
      </c>
      <c r="B67" t="inlineStr">
        <is>
          <t>0004</t>
        </is>
      </c>
      <c r="C67" t="inlineStr">
        <is>
          <t>Dhr. A. Dorin</t>
        </is>
      </c>
      <c r="D67" t="n">
        <v>188</v>
      </c>
      <c r="E67" t="inlineStr">
        <is>
          <t>Buwalda Multiservice Nederland B.V.</t>
        </is>
      </c>
      <c r="F67" t="n">
        <v>154</v>
      </c>
      <c r="G67" t="n">
        <v>260.15</v>
      </c>
      <c r="H67" t="n">
        <v>2111.76</v>
      </c>
    </row>
    <row r="68">
      <c r="A68" t="inlineStr">
        <is>
          <t>Broekweg 26</t>
        </is>
      </c>
      <c r="B68" t="inlineStr">
        <is>
          <t>0475</t>
        </is>
      </c>
      <c r="C68" t="inlineStr">
        <is>
          <t>Dhr. A. Ros</t>
        </is>
      </c>
      <c r="D68" t="n">
        <v>158</v>
      </c>
      <c r="E68" t="inlineStr">
        <is>
          <t>Byfin bv</t>
        </is>
      </c>
      <c r="F68" t="n">
        <v>363</v>
      </c>
      <c r="G68" t="n">
        <v>0</v>
      </c>
      <c r="H68" t="n">
        <v>0</v>
      </c>
    </row>
    <row r="69">
      <c r="A69" t="inlineStr">
        <is>
          <t>Broersveld 150A</t>
        </is>
      </c>
      <c r="B69" t="inlineStr">
        <is>
          <t>0155</t>
        </is>
      </c>
      <c r="C69" t="inlineStr">
        <is>
          <t>Dhr. B. Vlastuin</t>
        </is>
      </c>
      <c r="D69" t="n">
        <v>161</v>
      </c>
      <c r="E69" t="inlineStr">
        <is>
          <t>C. van Winsen</t>
        </is>
      </c>
      <c r="F69" t="n">
        <v>488</v>
      </c>
      <c r="G69" t="n">
        <v>0</v>
      </c>
      <c r="H69" t="n">
        <v>2810.7</v>
      </c>
    </row>
    <row r="70">
      <c r="A70" t="inlineStr">
        <is>
          <t>Broersveld 150B</t>
        </is>
      </c>
      <c r="B70" t="inlineStr">
        <is>
          <t>0402</t>
        </is>
      </c>
      <c r="C70" t="inlineStr">
        <is>
          <t>Dhr. J.L. Meerding</t>
        </is>
      </c>
      <c r="D70" t="n">
        <v>175</v>
      </c>
      <c r="E70" t="inlineStr">
        <is>
          <t>CB-Homes B.V.</t>
        </is>
      </c>
      <c r="F70" t="n">
        <v>174</v>
      </c>
      <c r="G70" t="n">
        <v>50.28</v>
      </c>
      <c r="H70" t="n">
        <v>0</v>
      </c>
    </row>
    <row r="71">
      <c r="A71" t="inlineStr">
        <is>
          <t>Broersvest 74 c</t>
        </is>
      </c>
      <c r="B71" t="inlineStr">
        <is>
          <t>0156</t>
        </is>
      </c>
      <c r="C71" t="inlineStr">
        <is>
          <t>Dhr. J.M.R. Boringa</t>
        </is>
      </c>
      <c r="D71" t="n">
        <v>176</v>
      </c>
      <c r="E71" t="inlineStr">
        <is>
          <t>CBR</t>
        </is>
      </c>
      <c r="F71" t="n">
        <v>66</v>
      </c>
      <c r="G71" t="n">
        <v>91.65000000000001</v>
      </c>
      <c r="H71" t="n">
        <v>2498.54</v>
      </c>
    </row>
    <row r="72">
      <c r="A72" t="inlineStr">
        <is>
          <t>Broersvest 74c</t>
        </is>
      </c>
      <c r="B72" t="inlineStr">
        <is>
          <t>0435</t>
        </is>
      </c>
      <c r="C72" t="inlineStr">
        <is>
          <t>Dhr. M. Moeilijker</t>
        </is>
      </c>
      <c r="D72" t="n">
        <v>184</v>
      </c>
      <c r="E72" t="inlineStr">
        <is>
          <t>CH Brandbeveiliging BV</t>
        </is>
      </c>
      <c r="F72" t="n">
        <v>218</v>
      </c>
      <c r="G72" t="n">
        <v>165.62</v>
      </c>
      <c r="H72" t="n">
        <v>0</v>
      </c>
    </row>
    <row r="73">
      <c r="A73" t="inlineStr">
        <is>
          <t>Buizerdstraat 210</t>
        </is>
      </c>
      <c r="B73" t="inlineStr">
        <is>
          <t>0027</t>
        </is>
      </c>
      <c r="C73" t="inlineStr">
        <is>
          <t>Dhr. R Verspui</t>
        </is>
      </c>
      <c r="D73" t="n">
        <v>186</v>
      </c>
      <c r="E73" t="inlineStr">
        <is>
          <t>CR Valk</t>
        </is>
      </c>
      <c r="F73" t="n">
        <v>451</v>
      </c>
      <c r="G73" t="n">
        <v>142.75</v>
      </c>
      <c r="H73" t="n">
        <v>1442.35</v>
      </c>
    </row>
    <row r="74">
      <c r="A74" t="inlineStr">
        <is>
          <t>Burchstraat 16A</t>
        </is>
      </c>
      <c r="B74" t="inlineStr">
        <is>
          <t>0097</t>
        </is>
      </c>
      <c r="C74" t="inlineStr">
        <is>
          <t>Dhr. R. Bekken</t>
        </is>
      </c>
      <c r="D74" t="n">
        <v>164</v>
      </c>
      <c r="E74" t="inlineStr">
        <is>
          <t>CS Vastgoedbeheer B.V.</t>
        </is>
      </c>
      <c r="F74" t="n">
        <v>26</v>
      </c>
      <c r="G74" t="n">
        <v>450</v>
      </c>
      <c r="H74" t="n">
        <v>0</v>
      </c>
    </row>
    <row r="75">
      <c r="A75" t="inlineStr">
        <is>
          <t>Burg. Knappertlaan 176A</t>
        </is>
      </c>
      <c r="B75" t="inlineStr">
        <is>
          <t>0418</t>
        </is>
      </c>
      <c r="C75" t="inlineStr">
        <is>
          <t>Dhr. R. J. Beking</t>
        </is>
      </c>
      <c r="D75" t="n">
        <v>185</v>
      </c>
      <c r="E75" t="inlineStr">
        <is>
          <t>Campos Bouw</t>
        </is>
      </c>
      <c r="F75" t="n">
        <v>479</v>
      </c>
      <c r="G75" t="n">
        <v>0</v>
      </c>
      <c r="H75" t="n">
        <v>0</v>
      </c>
    </row>
    <row r="76">
      <c r="A76" t="inlineStr">
        <is>
          <t>Burgemeester Baumannlaan 175H</t>
        </is>
      </c>
      <c r="B76" t="inlineStr">
        <is>
          <t>0392</t>
        </is>
      </c>
      <c r="C76" t="inlineStr">
        <is>
          <t>Dhr. SWJ Colpaert en Mevr. J. Michielsen</t>
        </is>
      </c>
      <c r="D76" t="n">
        <v>162</v>
      </c>
      <c r="E76" t="inlineStr">
        <is>
          <t>Centraal Beheer</t>
        </is>
      </c>
      <c r="F76" t="n">
        <v>432</v>
      </c>
      <c r="G76" t="n">
        <v>130</v>
      </c>
      <c r="H76" t="n">
        <v>0</v>
      </c>
    </row>
    <row r="77">
      <c r="A77" t="inlineStr">
        <is>
          <t>Burgemeester Cramerlaan 82</t>
        </is>
      </c>
      <c r="B77" t="inlineStr">
        <is>
          <t>0276</t>
        </is>
      </c>
      <c r="C77" t="inlineStr">
        <is>
          <t>Dhr. T. Roestenberg en Mw. Roestenberg - Hustinx</t>
        </is>
      </c>
      <c r="D77" t="n">
        <v>206</v>
      </c>
      <c r="E77" t="inlineStr">
        <is>
          <t>Centraal Justitieel Incassobureau</t>
        </is>
      </c>
      <c r="F77" t="n">
        <v>150</v>
      </c>
      <c r="G77" t="n">
        <v>589.59</v>
      </c>
      <c r="H77" t="n">
        <v>1200</v>
      </c>
    </row>
    <row r="78">
      <c r="A78" t="inlineStr">
        <is>
          <t>Burgemeester Crezeelaan 76</t>
        </is>
      </c>
      <c r="B78" t="inlineStr">
        <is>
          <t>0275</t>
        </is>
      </c>
      <c r="C78" t="inlineStr">
        <is>
          <t>Direct Rendement B.V.</t>
        </is>
      </c>
      <c r="D78" t="n">
        <v>31</v>
      </c>
      <c r="E78" t="inlineStr">
        <is>
          <t>Chaletpark de Wierde</t>
        </is>
      </c>
      <c r="F78" t="n">
        <v>311</v>
      </c>
      <c r="G78" t="n">
        <v>902.34</v>
      </c>
      <c r="H78" t="n">
        <v>2300</v>
      </c>
    </row>
    <row r="79">
      <c r="A79" t="inlineStr">
        <is>
          <t>Burgemeester Stulemeijerlaan 71</t>
        </is>
      </c>
      <c r="B79" t="inlineStr">
        <is>
          <t>0292</t>
        </is>
      </c>
      <c r="C79" t="inlineStr">
        <is>
          <t>Duijndam Personeelsdiensten B.V.</t>
        </is>
      </c>
      <c r="D79" t="n">
        <v>360</v>
      </c>
      <c r="E79" t="inlineStr">
        <is>
          <t>City Estate B.V.</t>
        </is>
      </c>
      <c r="F79" t="n">
        <v>34</v>
      </c>
      <c r="G79" t="n">
        <v>47.03</v>
      </c>
      <c r="H79" t="n">
        <v>0</v>
      </c>
    </row>
    <row r="80">
      <c r="A80" t="inlineStr">
        <is>
          <t>Chopinstraat 33C</t>
        </is>
      </c>
      <c r="B80" t="inlineStr">
        <is>
          <t>0160</t>
        </is>
      </c>
      <c r="C80" t="inlineStr">
        <is>
          <t>Dumanli</t>
        </is>
      </c>
      <c r="D80" t="n">
        <v>256</v>
      </c>
      <c r="E80" t="inlineStr">
        <is>
          <t>Co. Elektro</t>
        </is>
      </c>
      <c r="F80" t="n">
        <v>160</v>
      </c>
      <c r="G80" t="n">
        <v>230.16</v>
      </c>
      <c r="H80" t="n">
        <v>2909.6</v>
      </c>
    </row>
    <row r="81">
      <c r="A81" t="inlineStr">
        <is>
          <t>Chopinstraat 35A</t>
        </is>
      </c>
      <c r="B81" t="inlineStr">
        <is>
          <t>0131</t>
        </is>
      </c>
      <c r="C81" t="inlineStr">
        <is>
          <t>Dunaj Projekty SRO</t>
        </is>
      </c>
      <c r="D81" t="n">
        <v>278</v>
      </c>
      <c r="E81" t="inlineStr">
        <is>
          <t>Colors@Home Budding</t>
        </is>
      </c>
      <c r="F81" t="n">
        <v>219</v>
      </c>
      <c r="G81" t="n">
        <v>146.31</v>
      </c>
      <c r="H81" t="n">
        <v>2165.26</v>
      </c>
    </row>
    <row r="82">
      <c r="A82" t="inlineStr">
        <is>
          <t>Chopinstraat 39C</t>
        </is>
      </c>
      <c r="B82" t="inlineStr">
        <is>
          <t>0026</t>
        </is>
      </c>
      <c r="C82" t="inlineStr">
        <is>
          <t>Dutch Ink</t>
        </is>
      </c>
      <c r="D82" t="n">
        <v>318</v>
      </c>
      <c r="E82" t="inlineStr">
        <is>
          <t>D Blommers</t>
        </is>
      </c>
      <c r="F82" t="n">
        <v>239</v>
      </c>
      <c r="G82" t="n">
        <v>255.59</v>
      </c>
      <c r="H82" t="n">
        <v>1763.53</v>
      </c>
    </row>
    <row r="83">
      <c r="A83" t="inlineStr">
        <is>
          <t>Cloosterstraat 23a</t>
        </is>
      </c>
      <c r="B83" t="inlineStr">
        <is>
          <t>0370</t>
        </is>
      </c>
      <c r="C83" t="inlineStr">
        <is>
          <t>Dutch Shipyard B.V.</t>
        </is>
      </c>
      <c r="D83" t="n">
        <v>151</v>
      </c>
      <c r="E83" t="inlineStr">
        <is>
          <t>D Kleijweg</t>
        </is>
      </c>
      <c r="F83" t="n">
        <v>310</v>
      </c>
      <c r="G83" t="n">
        <v>48.82</v>
      </c>
      <c r="H83" t="n">
        <v>2850</v>
      </c>
    </row>
    <row r="84">
      <c r="A84" t="inlineStr">
        <is>
          <t>Coehoorn van Scheltingaweg 12</t>
        </is>
      </c>
      <c r="B84" t="inlineStr">
        <is>
          <t>0051</t>
        </is>
      </c>
      <c r="C84" t="inlineStr">
        <is>
          <t>Dynalinx B.V.</t>
        </is>
      </c>
      <c r="D84" t="n">
        <v>93</v>
      </c>
      <c r="E84" t="inlineStr">
        <is>
          <t>DBR Bouw</t>
        </is>
      </c>
      <c r="F84" t="n">
        <v>465</v>
      </c>
      <c r="G84" t="n">
        <v>0</v>
      </c>
      <c r="H84" t="n">
        <v>2143.53</v>
      </c>
    </row>
    <row r="85">
      <c r="A85" t="inlineStr">
        <is>
          <t>Coehoorn van Scheltingaweg 66</t>
        </is>
      </c>
      <c r="B85" t="inlineStr">
        <is>
          <t>0052</t>
        </is>
      </c>
      <c r="C85" t="inlineStr">
        <is>
          <t>E Rebel</t>
        </is>
      </c>
      <c r="D85" t="n">
        <v>317</v>
      </c>
      <c r="E85" t="inlineStr">
        <is>
          <t>DEEZ BV</t>
        </is>
      </c>
      <c r="F85" t="n">
        <v>463</v>
      </c>
      <c r="G85" t="n">
        <v>0</v>
      </c>
      <c r="H85" t="n">
        <v>2509.41</v>
      </c>
    </row>
    <row r="86">
      <c r="A86" t="inlineStr">
        <is>
          <t>Compierekade 15</t>
        </is>
      </c>
      <c r="B86" t="inlineStr">
        <is>
          <t>0345</t>
        </is>
      </c>
      <c r="C86" t="inlineStr">
        <is>
          <t>E.C. Koornneef</t>
        </is>
      </c>
      <c r="D86" t="n">
        <v>364</v>
      </c>
      <c r="E86" t="inlineStr">
        <is>
          <t>DELTA Fiber Nederland B.V.</t>
        </is>
      </c>
      <c r="F86" t="n">
        <v>224</v>
      </c>
      <c r="G86" t="n">
        <v>0</v>
      </c>
      <c r="H86" t="n">
        <v>0</v>
      </c>
    </row>
    <row r="87">
      <c r="A87" t="inlineStr">
        <is>
          <t xml:space="preserve">Coornhertstraat 95 </t>
        </is>
      </c>
      <c r="B87" t="inlineStr">
        <is>
          <t>0162</t>
        </is>
      </c>
      <c r="C87" t="inlineStr">
        <is>
          <t>E.C. Laus (Landsteinerhof 68)</t>
        </is>
      </c>
      <c r="D87" t="n">
        <v>148</v>
      </c>
      <c r="E87" t="inlineStr">
        <is>
          <t>DH Service en Onderhoud</t>
        </is>
      </c>
      <c r="F87" t="n">
        <v>351</v>
      </c>
      <c r="G87" t="n">
        <v>223.96</v>
      </c>
      <c r="H87" t="n">
        <v>1552.29</v>
      </c>
    </row>
    <row r="88">
      <c r="A88" t="inlineStr">
        <is>
          <t>Cubalaan 25</t>
        </is>
      </c>
      <c r="B88" t="inlineStr">
        <is>
          <t>0375</t>
        </is>
      </c>
      <c r="C88" t="inlineStr">
        <is>
          <t>E.C. Laus / K. van Elk Landsteinerhof</t>
        </is>
      </c>
      <c r="D88" t="n">
        <v>183</v>
      </c>
      <c r="E88" t="inlineStr">
        <is>
          <t>DIT en Larex Vakpersoneel B.V.</t>
        </is>
      </c>
      <c r="F88" t="n">
        <v>262</v>
      </c>
      <c r="G88" t="n">
        <v>450</v>
      </c>
      <c r="H88" t="n">
        <v>4850</v>
      </c>
    </row>
    <row r="89">
      <c r="A89" t="inlineStr">
        <is>
          <t>Curacaolaan 24</t>
        </is>
      </c>
      <c r="B89" t="inlineStr">
        <is>
          <t>0163</t>
        </is>
      </c>
      <c r="C89" t="inlineStr">
        <is>
          <t>EG Facility &amp; Services BV</t>
        </is>
      </c>
      <c r="D89" t="n">
        <v>276</v>
      </c>
      <c r="E89" t="inlineStr">
        <is>
          <t>DNACC B.V. / Rolbakkie</t>
        </is>
      </c>
      <c r="F89" t="n">
        <v>68</v>
      </c>
      <c r="G89" t="n">
        <v>406.25</v>
      </c>
      <c r="H89" t="n">
        <v>2498.54</v>
      </c>
    </row>
    <row r="90">
      <c r="A90" t="inlineStr">
        <is>
          <t>Curacaolaan 88</t>
        </is>
      </c>
      <c r="B90" t="inlineStr">
        <is>
          <t>0030</t>
        </is>
      </c>
      <c r="C90" t="inlineStr">
        <is>
          <t>ERGO Construction doo</t>
        </is>
      </c>
      <c r="D90" t="n">
        <v>113</v>
      </c>
      <c r="E90" t="inlineStr">
        <is>
          <t>Daan Advies en Installatiebedrijf</t>
        </is>
      </c>
      <c r="F90" t="n">
        <v>240</v>
      </c>
      <c r="G90" t="n">
        <v>297.55</v>
      </c>
      <c r="H90" t="n">
        <v>2054.12</v>
      </c>
    </row>
    <row r="91">
      <c r="A91" t="inlineStr">
        <is>
          <t xml:space="preserve">Curcumastraat 39 </t>
        </is>
      </c>
      <c r="B91" t="inlineStr">
        <is>
          <t>0053</t>
        </is>
      </c>
      <c r="C91" t="inlineStr">
        <is>
          <t>EU Facility Services</t>
        </is>
      </c>
      <c r="D91" t="n">
        <v>126</v>
      </c>
      <c r="E91" t="inlineStr">
        <is>
          <t>Daem Renovaties B.V.</t>
        </is>
      </c>
      <c r="F91" t="n">
        <v>461</v>
      </c>
      <c r="G91" t="n">
        <v>250</v>
      </c>
      <c r="H91" t="n">
        <v>1700</v>
      </c>
    </row>
    <row r="92">
      <c r="A92" t="inlineStr">
        <is>
          <t>Datheenstraat 255</t>
        </is>
      </c>
      <c r="B92" t="inlineStr">
        <is>
          <t>0151</t>
        </is>
      </c>
      <c r="C92" t="inlineStr">
        <is>
          <t>EWLIT Sp.Z.O.O.SP.K</t>
        </is>
      </c>
      <c r="D92" t="n">
        <v>281</v>
      </c>
      <c r="E92" t="inlineStr">
        <is>
          <t>Dar klusbedrijf</t>
        </is>
      </c>
      <c r="F92" t="n">
        <v>452</v>
      </c>
      <c r="G92" t="n">
        <v>0</v>
      </c>
      <c r="H92" t="n">
        <v>2841.93</v>
      </c>
    </row>
    <row r="93">
      <c r="A93" t="inlineStr">
        <is>
          <t>De Driesprong 17</t>
        </is>
      </c>
      <c r="B93" t="inlineStr">
        <is>
          <t>0165</t>
        </is>
      </c>
      <c r="C93" t="inlineStr">
        <is>
          <t>Eastmen</t>
        </is>
      </c>
      <c r="D93" t="n">
        <v>86</v>
      </c>
      <c r="E93" t="inlineStr">
        <is>
          <t>De Borgmeren B.V.</t>
        </is>
      </c>
      <c r="F93" t="n">
        <v>31</v>
      </c>
      <c r="G93" t="n">
        <v>902.75</v>
      </c>
      <c r="H93" t="n">
        <v>3608.79</v>
      </c>
    </row>
    <row r="94">
      <c r="A94" t="inlineStr">
        <is>
          <t>De Gasperistraat 11</t>
        </is>
      </c>
      <c r="B94" t="inlineStr">
        <is>
          <t>0054</t>
        </is>
      </c>
      <c r="C94" t="inlineStr">
        <is>
          <t>Eastmen Human Resources B.V.</t>
        </is>
      </c>
      <c r="D94" t="n">
        <v>170</v>
      </c>
      <c r="E94" t="inlineStr">
        <is>
          <t>De Griekse Makelaar</t>
        </is>
      </c>
      <c r="F94" t="n">
        <v>258</v>
      </c>
      <c r="G94" t="n">
        <v>0</v>
      </c>
      <c r="H94" t="n">
        <v>1580</v>
      </c>
    </row>
    <row r="95">
      <c r="A95" t="inlineStr">
        <is>
          <t>De Haak, Zekkenstraat 31A</t>
        </is>
      </c>
      <c r="B95" t="inlineStr">
        <is>
          <t>0288</t>
        </is>
      </c>
      <c r="C95" t="inlineStr">
        <is>
          <t>Easyjob People</t>
        </is>
      </c>
      <c r="D95" t="n">
        <v>142</v>
      </c>
      <c r="E95" t="inlineStr">
        <is>
          <t>De Haij van der Wende</t>
        </is>
      </c>
      <c r="F95" t="n">
        <v>480</v>
      </c>
      <c r="G95" t="n">
        <v>48.21</v>
      </c>
      <c r="H95" t="n">
        <v>1648.24</v>
      </c>
    </row>
    <row r="96">
      <c r="A96" t="inlineStr">
        <is>
          <t>De Haak, Zekkenstraat 31B</t>
        </is>
      </c>
      <c r="B96" t="inlineStr">
        <is>
          <t>0289</t>
        </is>
      </c>
      <c r="C96" t="inlineStr">
        <is>
          <t>Edy Comert BV</t>
        </is>
      </c>
      <c r="D96" t="n">
        <v>14</v>
      </c>
      <c r="E96" t="inlineStr">
        <is>
          <t>De Pagter Vastgoed B.V.</t>
        </is>
      </c>
      <c r="F96" t="n">
        <v>28</v>
      </c>
      <c r="G96" t="n">
        <v>0</v>
      </c>
      <c r="H96" t="n">
        <v>2157.65</v>
      </c>
    </row>
    <row r="97">
      <c r="A97" t="inlineStr">
        <is>
          <t>De Haak, Zekkenstraat 56</t>
        </is>
      </c>
      <c r="B97" t="inlineStr">
        <is>
          <t>0290</t>
        </is>
      </c>
      <c r="C97" t="inlineStr">
        <is>
          <t>Edy Comert SRL</t>
        </is>
      </c>
      <c r="D97" t="n">
        <v>74</v>
      </c>
      <c r="E97" t="inlineStr">
        <is>
          <t>De Ramentinter</t>
        </is>
      </c>
      <c r="F97" t="n">
        <v>431</v>
      </c>
      <c r="G97" t="n">
        <v>0</v>
      </c>
      <c r="H97" t="n">
        <v>0</v>
      </c>
    </row>
    <row r="98">
      <c r="A98" t="inlineStr">
        <is>
          <t>De Hooidollen 606</t>
        </is>
      </c>
      <c r="B98" t="inlineStr">
        <is>
          <t>0056</t>
        </is>
      </c>
      <c r="C98" t="inlineStr">
        <is>
          <t>Eemsdelta Housing B.V.</t>
        </is>
      </c>
      <c r="D98" t="n">
        <v>218</v>
      </c>
      <c r="E98" t="inlineStr">
        <is>
          <t>Detron</t>
        </is>
      </c>
      <c r="F98" t="n">
        <v>325</v>
      </c>
      <c r="G98" t="n">
        <v>0</v>
      </c>
      <c r="H98" t="n">
        <v>1768.24</v>
      </c>
    </row>
    <row r="99">
      <c r="A99" t="inlineStr">
        <is>
          <t>De Zwingel 8B</t>
        </is>
      </c>
      <c r="B99" t="inlineStr">
        <is>
          <t>0371</t>
        </is>
      </c>
      <c r="C99" t="inlineStr">
        <is>
          <t>Eigenaren van Dieptol 63</t>
        </is>
      </c>
      <c r="D99" t="n">
        <v>202</v>
      </c>
      <c r="E99" t="inlineStr">
        <is>
          <t>Dhr D. Pronk en Mw y. Pronk - Dijkhuizen</t>
        </is>
      </c>
      <c r="F99" t="n">
        <v>248</v>
      </c>
      <c r="G99" t="n">
        <v>0</v>
      </c>
      <c r="H99" t="n">
        <v>0</v>
      </c>
    </row>
    <row r="100">
      <c r="A100" t="inlineStr">
        <is>
          <t>Deensestraat 6A2</t>
        </is>
      </c>
      <c r="B100" t="inlineStr">
        <is>
          <t>0153</t>
        </is>
      </c>
      <c r="C100" t="inlineStr">
        <is>
          <t>Eizema Heerenveen Vastgoed b.v.</t>
        </is>
      </c>
      <c r="D100" t="n">
        <v>144</v>
      </c>
      <c r="E100" t="inlineStr">
        <is>
          <t>Dhr. B. Vlastuin</t>
        </is>
      </c>
      <c r="F100" t="n">
        <v>211</v>
      </c>
      <c r="G100" t="n">
        <v>0</v>
      </c>
      <c r="H100" t="n">
        <v>3789.24</v>
      </c>
    </row>
    <row r="101">
      <c r="A101" t="inlineStr">
        <is>
          <t>Deensestraat 91A</t>
        </is>
      </c>
      <c r="B101" t="inlineStr">
        <is>
          <t>0417</t>
        </is>
      </c>
      <c r="C101" t="inlineStr">
        <is>
          <t>Employ</t>
        </is>
      </c>
      <c r="D101" t="n">
        <v>34</v>
      </c>
      <c r="E101" t="inlineStr">
        <is>
          <t>Dhr. J.L. Meerding</t>
        </is>
      </c>
      <c r="F101" t="n">
        <v>221</v>
      </c>
      <c r="G101" t="n">
        <v>0</v>
      </c>
      <c r="H101" t="n">
        <v>0</v>
      </c>
    </row>
    <row r="102">
      <c r="A102" t="inlineStr">
        <is>
          <t>Desiree Geerartstraat 1B</t>
        </is>
      </c>
      <c r="B102" t="inlineStr">
        <is>
          <t>0023</t>
        </is>
      </c>
      <c r="C102" t="inlineStr">
        <is>
          <t>Employ Facilitair B.V.</t>
        </is>
      </c>
      <c r="D102" t="n">
        <v>213</v>
      </c>
      <c r="E102" t="inlineStr">
        <is>
          <t>Dhr. J.M.R. Boringa</t>
        </is>
      </c>
      <c r="F102" t="n">
        <v>222</v>
      </c>
      <c r="G102" t="n">
        <v>0</v>
      </c>
      <c r="H102" t="n">
        <v>2018.82</v>
      </c>
    </row>
    <row r="103">
      <c r="A103" t="inlineStr">
        <is>
          <t>Desiree Geerartstraat 1C</t>
        </is>
      </c>
      <c r="B103" t="inlineStr">
        <is>
          <t>0024</t>
        </is>
      </c>
      <c r="C103" t="inlineStr">
        <is>
          <t>Estra Logistics Systems B.V.</t>
        </is>
      </c>
      <c r="D103" t="n">
        <v>320</v>
      </c>
      <c r="E103" t="inlineStr">
        <is>
          <t>Dhr. M. Moeilijker</t>
        </is>
      </c>
      <c r="F103" t="n">
        <v>230</v>
      </c>
      <c r="G103" t="n">
        <v>0</v>
      </c>
      <c r="H103" t="n">
        <v>2510.59</v>
      </c>
    </row>
    <row r="104">
      <c r="A104" t="inlineStr">
        <is>
          <t>Deugenweerd 18</t>
        </is>
      </c>
      <c r="B104" t="inlineStr">
        <is>
          <t>0058</t>
        </is>
      </c>
      <c r="C104" t="inlineStr">
        <is>
          <t>Euromontur Asemblies SL.</t>
        </is>
      </c>
      <c r="D104" t="n">
        <v>201</v>
      </c>
      <c r="E104" t="inlineStr">
        <is>
          <t>Dhr. R Verspui</t>
        </is>
      </c>
      <c r="F104" t="n">
        <v>236</v>
      </c>
      <c r="G104" t="n">
        <v>0</v>
      </c>
      <c r="H104" t="n">
        <v>2750</v>
      </c>
    </row>
    <row r="105">
      <c r="A105" t="inlineStr">
        <is>
          <t>Dieptol 63</t>
        </is>
      </c>
      <c r="B105" t="inlineStr">
        <is>
          <t>0059</t>
        </is>
      </c>
      <c r="C105" t="inlineStr">
        <is>
          <t>Europe-jobs B.V.</t>
        </is>
      </c>
      <c r="D105" t="n">
        <v>308</v>
      </c>
      <c r="E105" t="inlineStr">
        <is>
          <t>Dhr. R. Bekken</t>
        </is>
      </c>
      <c r="F105" t="n">
        <v>213</v>
      </c>
      <c r="G105" t="n">
        <v>400</v>
      </c>
      <c r="H105" t="n">
        <v>3300</v>
      </c>
    </row>
    <row r="106">
      <c r="A106" t="inlineStr">
        <is>
          <t>Dirk Schaferplein 140</t>
        </is>
      </c>
      <c r="B106" t="inlineStr">
        <is>
          <t>0484</t>
        </is>
      </c>
      <c r="C106" t="inlineStr">
        <is>
          <t>European Business Brokers</t>
        </is>
      </c>
      <c r="D106" t="n">
        <v>46</v>
      </c>
      <c r="E106" t="inlineStr">
        <is>
          <t>Dhr. R. J. Beking</t>
        </is>
      </c>
      <c r="F106" t="n">
        <v>235</v>
      </c>
      <c r="G106" t="n">
        <v>0</v>
      </c>
      <c r="H106" t="n">
        <v>0</v>
      </c>
    </row>
    <row r="107">
      <c r="A107" t="inlineStr">
        <is>
          <t>Donze Visserstraat 13</t>
        </is>
      </c>
      <c r="B107" t="inlineStr">
        <is>
          <t>0393</t>
        </is>
      </c>
      <c r="C107" t="inlineStr">
        <is>
          <t>F. Veurink en P. Neleman</t>
        </is>
      </c>
      <c r="D107" t="n">
        <v>168</v>
      </c>
      <c r="E107" t="inlineStr">
        <is>
          <t>Dhr. SWJ Colpaert en Mevr. J. Michielsen</t>
        </is>
      </c>
      <c r="F107" t="n">
        <v>212</v>
      </c>
      <c r="G107" t="n">
        <v>0</v>
      </c>
      <c r="H107" t="n">
        <v>0</v>
      </c>
    </row>
    <row r="108">
      <c r="A108" t="inlineStr">
        <is>
          <t>Dorpsstraat 48</t>
        </is>
      </c>
      <c r="B108" t="inlineStr">
        <is>
          <t>0354</t>
        </is>
      </c>
      <c r="C108" t="inlineStr">
        <is>
          <t>FGM Solar Renewable S.R.L.</t>
        </is>
      </c>
      <c r="D108" t="n">
        <v>325</v>
      </c>
      <c r="E108" t="inlineStr">
        <is>
          <t>Dhr. T. Roestenberg en Mw. Roestenberg - Hustinx</t>
        </is>
      </c>
      <c r="F108" t="n">
        <v>253</v>
      </c>
      <c r="G108" t="n">
        <v>118.94</v>
      </c>
      <c r="H108" t="n">
        <v>0</v>
      </c>
    </row>
    <row r="109">
      <c r="A109" t="inlineStr">
        <is>
          <t>Dorpsstraat 73</t>
        </is>
      </c>
      <c r="B109" t="inlineStr">
        <is>
          <t>0066</t>
        </is>
      </c>
      <c r="C109" t="inlineStr">
        <is>
          <t>FISSH B.V.</t>
        </is>
      </c>
      <c r="D109" t="n">
        <v>347</v>
      </c>
      <c r="E109" t="inlineStr">
        <is>
          <t>Digidentity</t>
        </is>
      </c>
      <c r="F109" t="n">
        <v>392</v>
      </c>
      <c r="G109" t="n">
        <v>400</v>
      </c>
      <c r="H109" t="n">
        <v>6140.29</v>
      </c>
    </row>
    <row r="110">
      <c r="A110" t="inlineStr">
        <is>
          <t>Dorpstraat 27</t>
        </is>
      </c>
      <c r="B110" t="inlineStr">
        <is>
          <t>0437</t>
        </is>
      </c>
      <c r="C110" t="inlineStr">
        <is>
          <t>Facili Flex BV</t>
        </is>
      </c>
      <c r="D110" t="n">
        <v>253</v>
      </c>
      <c r="E110" t="inlineStr">
        <is>
          <t>Digital Revolution B.V.</t>
        </is>
      </c>
      <c r="F110" t="n">
        <v>67</v>
      </c>
      <c r="G110" t="n">
        <v>0</v>
      </c>
      <c r="H110" t="n">
        <v>0</v>
      </c>
    </row>
    <row r="111">
      <c r="A111" t="inlineStr">
        <is>
          <t>Dorpstraat 46</t>
        </is>
      </c>
      <c r="B111" t="inlineStr">
        <is>
          <t>0410</t>
        </is>
      </c>
      <c r="C111" t="inlineStr">
        <is>
          <t>Fam. Derwig</t>
        </is>
      </c>
      <c r="D111" t="n">
        <v>146</v>
      </c>
      <c r="E111" t="inlineStr">
        <is>
          <t>Digo Real Estate BV</t>
        </is>
      </c>
      <c r="F111" t="n">
        <v>349</v>
      </c>
      <c r="G111" t="n">
        <v>161.51</v>
      </c>
      <c r="H111" t="n">
        <v>0</v>
      </c>
    </row>
    <row r="112">
      <c r="A112" t="inlineStr">
        <is>
          <t>Dorpstraat 48</t>
        </is>
      </c>
      <c r="B112" t="inlineStr">
        <is>
          <t>0203</t>
        </is>
      </c>
      <c r="C112" t="inlineStr">
        <is>
          <t>Fareon Z Nederland</t>
        </is>
      </c>
      <c r="D112" t="n">
        <v>321</v>
      </c>
      <c r="E112" t="inlineStr">
        <is>
          <t>Direct Rendement B.V.</t>
        </is>
      </c>
      <c r="F112" t="n">
        <v>21</v>
      </c>
      <c r="G112" t="n">
        <v>180.1</v>
      </c>
      <c r="H112" t="n">
        <v>1734.98</v>
      </c>
    </row>
    <row r="113">
      <c r="A113" t="inlineStr">
        <is>
          <t xml:space="preserve">Dwarsweg 44 </t>
        </is>
      </c>
      <c r="B113" t="inlineStr">
        <is>
          <t>0061</t>
        </is>
      </c>
      <c r="C113" t="inlineStr">
        <is>
          <t>Fasttravel Taxi</t>
        </is>
      </c>
      <c r="D113" t="n">
        <v>339</v>
      </c>
      <c r="E113" t="inlineStr">
        <is>
          <t>Dumanli</t>
        </is>
      </c>
      <c r="F113" t="n">
        <v>323</v>
      </c>
      <c r="G113" t="n">
        <v>200</v>
      </c>
      <c r="H113" t="n">
        <v>0</v>
      </c>
    </row>
    <row r="114">
      <c r="A114" t="inlineStr">
        <is>
          <t>Eendrachtstraat 22</t>
        </is>
      </c>
      <c r="B114" t="inlineStr">
        <is>
          <t>0062</t>
        </is>
      </c>
      <c r="C114" t="inlineStr">
        <is>
          <t>Feel Flex B.V.</t>
        </is>
      </c>
      <c r="D114" t="n">
        <v>262</v>
      </c>
      <c r="E114" t="inlineStr">
        <is>
          <t>Dunea</t>
        </is>
      </c>
      <c r="F114" t="n">
        <v>404</v>
      </c>
      <c r="G114" t="n">
        <v>0</v>
      </c>
      <c r="H114" t="n">
        <v>6140.29</v>
      </c>
    </row>
    <row r="115">
      <c r="A115" t="inlineStr">
        <is>
          <t>Elisadonk 220</t>
        </is>
      </c>
      <c r="B115" t="inlineStr">
        <is>
          <t>0136</t>
        </is>
      </c>
      <c r="C115" t="inlineStr">
        <is>
          <t>Finest Housing B.V.</t>
        </is>
      </c>
      <c r="D115" t="n">
        <v>11</v>
      </c>
      <c r="E115" t="inlineStr">
        <is>
          <t>Dynalinx B.V.</t>
        </is>
      </c>
      <c r="F115" t="n">
        <v>69</v>
      </c>
      <c r="G115" t="n">
        <v>0</v>
      </c>
      <c r="H115" t="n">
        <v>2446.35</v>
      </c>
    </row>
    <row r="116">
      <c r="A116" t="inlineStr">
        <is>
          <t>Energieweg 40</t>
        </is>
      </c>
      <c r="B116" t="inlineStr">
        <is>
          <t>0063</t>
        </is>
      </c>
      <c r="C116" t="inlineStr">
        <is>
          <t>Finishing De Luxe GmbH</t>
        </is>
      </c>
      <c r="D116" t="n">
        <v>54</v>
      </c>
      <c r="E116" t="inlineStr">
        <is>
          <t>E Beukema</t>
        </is>
      </c>
      <c r="F116" t="n">
        <v>450</v>
      </c>
      <c r="G116" t="n">
        <v>266.49</v>
      </c>
      <c r="H116" t="n">
        <v>4755.44</v>
      </c>
    </row>
    <row r="117">
      <c r="A117" t="inlineStr">
        <is>
          <t>Engelsestraat 16L1</t>
        </is>
      </c>
      <c r="B117" t="inlineStr">
        <is>
          <t>0168</t>
        </is>
      </c>
      <c r="C117" t="inlineStr">
        <is>
          <t>Fix Personeelsdiensten</t>
        </is>
      </c>
      <c r="D117" t="n">
        <v>204</v>
      </c>
      <c r="E117" t="inlineStr">
        <is>
          <t>E Rebel</t>
        </is>
      </c>
      <c r="F117" t="n">
        <v>419</v>
      </c>
      <c r="G117" t="n">
        <v>22.94</v>
      </c>
      <c r="H117" t="n">
        <v>1723.44</v>
      </c>
    </row>
    <row r="118">
      <c r="A118" t="inlineStr">
        <is>
          <t>Engelsestraat 16L3</t>
        </is>
      </c>
      <c r="B118" t="inlineStr">
        <is>
          <t>0095</t>
        </is>
      </c>
      <c r="C118" t="inlineStr">
        <is>
          <t>Flex House Renting B.V.</t>
        </is>
      </c>
      <c r="D118" t="n">
        <v>80</v>
      </c>
      <c r="E118" t="inlineStr">
        <is>
          <t>E.C. Laus (Landsteinerhof 68)</t>
        </is>
      </c>
      <c r="F118" t="n">
        <v>197</v>
      </c>
      <c r="G118" t="n">
        <v>58.43</v>
      </c>
      <c r="H118" t="n">
        <v>1993.32</v>
      </c>
    </row>
    <row r="119">
      <c r="A119" t="inlineStr">
        <is>
          <t>Enk 6</t>
        </is>
      </c>
      <c r="B119" t="inlineStr">
        <is>
          <t>0064</t>
        </is>
      </c>
      <c r="C119" t="inlineStr">
        <is>
          <t>Flex Pons B.V.</t>
        </is>
      </c>
      <c r="D119" t="n">
        <v>114</v>
      </c>
      <c r="E119" t="inlineStr">
        <is>
          <t>E.C. Laus / K. van Elk Landsteinerhof</t>
        </is>
      </c>
      <c r="F119" t="n">
        <v>229</v>
      </c>
      <c r="G119" t="n">
        <v>0</v>
      </c>
      <c r="H119" t="n">
        <v>2253.77</v>
      </c>
    </row>
    <row r="120">
      <c r="A120" t="inlineStr">
        <is>
          <t>Enschotsestraat 163</t>
        </is>
      </c>
      <c r="B120" t="inlineStr">
        <is>
          <t>0006</t>
        </is>
      </c>
      <c r="C120" t="inlineStr">
        <is>
          <t>FlexState B.V.</t>
        </is>
      </c>
      <c r="D120" t="n">
        <v>232</v>
      </c>
      <c r="E120" t="inlineStr">
        <is>
          <t>ECE Brand- en Inbraakbeveiliging B.V.</t>
        </is>
      </c>
      <c r="F120" t="n">
        <v>238</v>
      </c>
      <c r="G120" t="n">
        <v>0</v>
      </c>
      <c r="H120" t="n">
        <v>2192.94</v>
      </c>
    </row>
    <row r="121">
      <c r="A121" t="inlineStr">
        <is>
          <t xml:space="preserve">Esdoornlaan 68 </t>
        </is>
      </c>
      <c r="B121" t="inlineStr">
        <is>
          <t>0065</t>
        </is>
      </c>
      <c r="C121" t="inlineStr">
        <is>
          <t>Flexbo B.V.</t>
        </is>
      </c>
      <c r="D121" t="n">
        <v>341</v>
      </c>
      <c r="E121" t="inlineStr">
        <is>
          <t>EG Facility &amp; Services BV</t>
        </is>
      </c>
      <c r="F121" t="n">
        <v>366</v>
      </c>
      <c r="G121" t="n">
        <v>300</v>
      </c>
      <c r="H121" t="n">
        <v>2446.35</v>
      </c>
    </row>
    <row r="122">
      <c r="A122" t="inlineStr">
        <is>
          <t>Europalaan 50</t>
        </is>
      </c>
      <c r="B122" t="inlineStr">
        <is>
          <t>0404</t>
        </is>
      </c>
      <c r="C122" t="inlineStr">
        <is>
          <t>Flexcraft SSC BV</t>
        </is>
      </c>
      <c r="D122" t="n">
        <v>15</v>
      </c>
      <c r="E122" t="inlineStr">
        <is>
          <t>EP Paardekooper holding B.V.</t>
        </is>
      </c>
      <c r="F122" t="n">
        <v>420</v>
      </c>
      <c r="G122" t="n">
        <v>61.87</v>
      </c>
      <c r="H122" t="n">
        <v>0</v>
      </c>
    </row>
    <row r="123">
      <c r="A123" t="inlineStr">
        <is>
          <t>F.Erensstraat 21</t>
        </is>
      </c>
      <c r="B123" t="inlineStr">
        <is>
          <t>0068</t>
        </is>
      </c>
      <c r="C123" t="inlineStr">
        <is>
          <t>Flextalent4u Uitzenden B.V.</t>
        </is>
      </c>
      <c r="D123" t="n">
        <v>266</v>
      </c>
      <c r="E123" t="inlineStr">
        <is>
          <t>EU Facility Services</t>
        </is>
      </c>
      <c r="F123" t="n">
        <v>181</v>
      </c>
      <c r="G123" t="n">
        <v>0</v>
      </c>
      <c r="H123" t="n">
        <v>2253.77</v>
      </c>
    </row>
    <row r="124">
      <c r="A124" t="inlineStr">
        <is>
          <t>Fabristraat 34A</t>
        </is>
      </c>
      <c r="B124" t="inlineStr">
        <is>
          <t>0093</t>
        </is>
      </c>
      <c r="C124" t="inlineStr">
        <is>
          <t>Flexvesting B.V.</t>
        </is>
      </c>
      <c r="D124" t="n">
        <v>172</v>
      </c>
      <c r="E124" t="inlineStr">
        <is>
          <t>Easyjob People</t>
        </is>
      </c>
      <c r="F124" t="n">
        <v>189</v>
      </c>
      <c r="G124" t="n">
        <v>0</v>
      </c>
      <c r="H124" t="n">
        <v>2602.5</v>
      </c>
    </row>
    <row r="125">
      <c r="A125" t="inlineStr">
        <is>
          <t>Fabristraat 34B</t>
        </is>
      </c>
      <c r="B125" t="inlineStr">
        <is>
          <t>0094</t>
        </is>
      </c>
      <c r="C125" t="inlineStr">
        <is>
          <t>Flowerhill B.V.</t>
        </is>
      </c>
      <c r="D125" t="n">
        <v>37</v>
      </c>
      <c r="E125" t="inlineStr">
        <is>
          <t>Easypark</t>
        </is>
      </c>
      <c r="F125" t="n">
        <v>380</v>
      </c>
      <c r="G125" t="n">
        <v>0</v>
      </c>
      <c r="H125" t="n">
        <v>3426.56</v>
      </c>
    </row>
    <row r="126">
      <c r="A126" t="inlineStr">
        <is>
          <t>Fenacoliuslaan 56B</t>
        </is>
      </c>
      <c r="B126" t="inlineStr">
        <is>
          <t>0273</t>
        </is>
      </c>
      <c r="C126" t="inlineStr">
        <is>
          <t>Focuzop-eu</t>
        </is>
      </c>
      <c r="D126" t="n">
        <v>290</v>
      </c>
      <c r="E126" t="inlineStr">
        <is>
          <t>Edward Bosch</t>
        </is>
      </c>
      <c r="F126" t="n">
        <v>455</v>
      </c>
      <c r="G126" t="n">
        <v>388.9</v>
      </c>
      <c r="H126" t="n">
        <v>2150</v>
      </c>
    </row>
    <row r="127">
      <c r="A127" t="inlineStr">
        <is>
          <t>Flankstraat 11</t>
        </is>
      </c>
      <c r="B127" t="inlineStr">
        <is>
          <t>0331</t>
        </is>
      </c>
      <c r="C127" t="inlineStr">
        <is>
          <t>Fryslân Homes</t>
        </is>
      </c>
      <c r="D127" t="n">
        <v>75</v>
      </c>
      <c r="E127" t="inlineStr">
        <is>
          <t>Eigenaren van Dieptol 63</t>
        </is>
      </c>
      <c r="F127" t="n">
        <v>250</v>
      </c>
      <c r="G127" t="n">
        <v>300</v>
      </c>
      <c r="H127" t="n">
        <v>2450</v>
      </c>
    </row>
    <row r="128">
      <c r="A128" t="inlineStr">
        <is>
          <t>Franselaan 273-B</t>
        </is>
      </c>
      <c r="B128" t="inlineStr">
        <is>
          <t>0438</t>
        </is>
      </c>
      <c r="C128" t="inlineStr">
        <is>
          <t>Furniture Lease</t>
        </is>
      </c>
      <c r="D128" t="n">
        <v>94</v>
      </c>
      <c r="E128" t="inlineStr">
        <is>
          <t>Eizema Heerenveen Vastgoed b.v.</t>
        </is>
      </c>
      <c r="F128" t="n">
        <v>192</v>
      </c>
      <c r="G128" t="n">
        <v>272.56</v>
      </c>
      <c r="H128" t="n">
        <v>0</v>
      </c>
    </row>
    <row r="129">
      <c r="A129" t="inlineStr">
        <is>
          <t>Franselaan 273B</t>
        </is>
      </c>
      <c r="B129" t="inlineStr">
        <is>
          <t>0019</t>
        </is>
      </c>
      <c r="C129" t="inlineStr">
        <is>
          <t>G.D. Dijkstra</t>
        </is>
      </c>
      <c r="D129" t="n">
        <v>134</v>
      </c>
      <c r="E129" t="inlineStr">
        <is>
          <t>Elabo B.V.</t>
        </is>
      </c>
      <c r="F129" t="n">
        <v>188</v>
      </c>
      <c r="G129" t="n">
        <v>39.24</v>
      </c>
      <c r="H129" t="n">
        <v>2052.94</v>
      </c>
    </row>
    <row r="130">
      <c r="A130" t="inlineStr">
        <is>
          <t>Franz Liszstraat 5</t>
        </is>
      </c>
      <c r="B130" t="inlineStr">
        <is>
          <t>0067</t>
        </is>
      </c>
      <c r="C130" t="inlineStr">
        <is>
          <t>G.K. Stoel</t>
        </is>
      </c>
      <c r="D130" t="n">
        <v>314</v>
      </c>
      <c r="E130" t="inlineStr">
        <is>
          <t>Enexis Netbeheer BV</t>
        </is>
      </c>
      <c r="F130" t="n">
        <v>379</v>
      </c>
      <c r="G130" t="n">
        <v>631.65</v>
      </c>
      <c r="H130" t="n">
        <v>3643.5</v>
      </c>
    </row>
    <row r="131">
      <c r="A131" t="inlineStr">
        <is>
          <t>G.A. Brederolaan 75B</t>
        </is>
      </c>
      <c r="B131" t="inlineStr">
        <is>
          <t>0017</t>
        </is>
      </c>
      <c r="C131" t="inlineStr">
        <is>
          <t>GAP Costruzioni S.r.l.</t>
        </is>
      </c>
      <c r="D131" t="n">
        <v>374</v>
      </c>
      <c r="E131" t="inlineStr">
        <is>
          <t>Essent Retail Energie B.V.</t>
        </is>
      </c>
      <c r="F131" t="n">
        <v>70</v>
      </c>
      <c r="G131" t="n">
        <v>208.85</v>
      </c>
      <c r="H131" t="n">
        <v>1702.35</v>
      </c>
    </row>
    <row r="132">
      <c r="A132" t="inlineStr">
        <is>
          <t>Gaffelaar 3</t>
        </is>
      </c>
      <c r="B132" t="inlineStr">
        <is>
          <t>0069</t>
        </is>
      </c>
      <c r="C132" t="inlineStr">
        <is>
          <t>GMC KOVI Global Metal Construction</t>
        </is>
      </c>
      <c r="D132" t="n">
        <v>279</v>
      </c>
      <c r="E132" t="inlineStr">
        <is>
          <t>Europlan</t>
        </is>
      </c>
      <c r="F132" t="n">
        <v>435</v>
      </c>
      <c r="G132" t="n">
        <v>0</v>
      </c>
      <c r="H132" t="n">
        <v>4575</v>
      </c>
    </row>
    <row r="133">
      <c r="A133" t="inlineStr">
        <is>
          <t>Galgeweg 48-A</t>
        </is>
      </c>
      <c r="B133" t="inlineStr">
        <is>
          <t>0009</t>
        </is>
      </c>
      <c r="C133" t="inlineStr">
        <is>
          <t>GOTI Verhuur B.V.</t>
        </is>
      </c>
      <c r="D133" t="n">
        <v>6</v>
      </c>
      <c r="E133" t="inlineStr">
        <is>
          <t>Evides Waterbedrijf</t>
        </is>
      </c>
      <c r="F133" t="n">
        <v>71</v>
      </c>
      <c r="G133" t="n">
        <v>95.2</v>
      </c>
      <c r="H133" t="n">
        <v>2058.82</v>
      </c>
    </row>
    <row r="134">
      <c r="A134" t="inlineStr">
        <is>
          <t>Galgeweg 48A</t>
        </is>
      </c>
      <c r="B134" t="inlineStr">
        <is>
          <t>0439</t>
        </is>
      </c>
      <c r="C134" t="inlineStr">
        <is>
          <t>GSI B.V.</t>
        </is>
      </c>
      <c r="D134" t="n">
        <v>274</v>
      </c>
      <c r="E134" t="inlineStr">
        <is>
          <t>Evo Vastgoedonderhoud</t>
        </is>
      </c>
      <c r="F134" t="n">
        <v>360</v>
      </c>
      <c r="G134" t="n">
        <v>0</v>
      </c>
      <c r="H134" t="n">
        <v>0</v>
      </c>
    </row>
    <row r="135">
      <c r="A135" t="inlineStr">
        <is>
          <t>Geldersestraat 91</t>
        </is>
      </c>
      <c r="B135" t="inlineStr">
        <is>
          <t>0109</t>
        </is>
      </c>
      <c r="C135" t="inlineStr">
        <is>
          <t>Gap Costruzioni Dutch Branch</t>
        </is>
      </c>
      <c r="D135" t="n">
        <v>259</v>
      </c>
      <c r="E135" t="inlineStr">
        <is>
          <t>Exact Netherlands B.V.</t>
        </is>
      </c>
      <c r="F135" t="n">
        <v>72</v>
      </c>
      <c r="G135" t="n">
        <v>500</v>
      </c>
      <c r="H135" t="n">
        <v>4372.2</v>
      </c>
    </row>
    <row r="136">
      <c r="A136" t="inlineStr">
        <is>
          <t>Geleenstraat 1</t>
        </is>
      </c>
      <c r="B136" t="inlineStr">
        <is>
          <t>0070</t>
        </is>
      </c>
      <c r="C136" t="inlineStr">
        <is>
          <t>Gastvrijaanzee.nl</t>
        </is>
      </c>
      <c r="D136" t="n">
        <v>283</v>
      </c>
      <c r="E136" t="inlineStr">
        <is>
          <t>Expert</t>
        </is>
      </c>
      <c r="F136" t="n">
        <v>73</v>
      </c>
      <c r="G136" t="n">
        <v>200</v>
      </c>
      <c r="H136" t="n">
        <v>3239.85</v>
      </c>
    </row>
    <row r="137">
      <c r="A137" t="inlineStr">
        <is>
          <t>Genestestraat 32</t>
        </is>
      </c>
      <c r="B137" t="inlineStr">
        <is>
          <t>0440</t>
        </is>
      </c>
      <c r="C137" t="inlineStr">
        <is>
          <t>Gemeente Waadhoeke</t>
        </is>
      </c>
      <c r="D137" t="n">
        <v>191</v>
      </c>
      <c r="E137" t="inlineStr">
        <is>
          <t>F. Veurink en P. Neleman</t>
        </is>
      </c>
      <c r="F137" t="n">
        <v>217</v>
      </c>
      <c r="G137" t="n">
        <v>0</v>
      </c>
      <c r="H137" t="n">
        <v>0</v>
      </c>
    </row>
    <row r="138">
      <c r="A138" t="inlineStr">
        <is>
          <t>Gerberalaan 113</t>
        </is>
      </c>
      <c r="B138" t="inlineStr">
        <is>
          <t>0277</t>
        </is>
      </c>
      <c r="C138" t="inlineStr">
        <is>
          <t>Global Accomodation Solutions (Incassobureau)</t>
        </is>
      </c>
      <c r="D138" t="n">
        <v>27</v>
      </c>
      <c r="E138" t="inlineStr">
        <is>
          <t>FD Cursus</t>
        </is>
      </c>
      <c r="F138" t="n">
        <v>369</v>
      </c>
      <c r="G138" t="n">
        <v>0</v>
      </c>
      <c r="H138" t="n">
        <v>0</v>
      </c>
    </row>
    <row r="139">
      <c r="A139" t="inlineStr">
        <is>
          <t>Goudestein 30</t>
        </is>
      </c>
      <c r="B139" t="inlineStr">
        <is>
          <t>0170</t>
        </is>
      </c>
      <c r="C139" t="inlineStr">
        <is>
          <t>Global Expatriate Services SL</t>
        </is>
      </c>
      <c r="D139" t="n">
        <v>47</v>
      </c>
      <c r="E139" t="inlineStr">
        <is>
          <t>Facili Flex BV</t>
        </is>
      </c>
      <c r="F139" t="n">
        <v>316</v>
      </c>
      <c r="G139" t="n">
        <v>2374.49</v>
      </c>
      <c r="H139" t="n">
        <v>2100</v>
      </c>
    </row>
    <row r="140">
      <c r="A140" t="inlineStr">
        <is>
          <t>Grimbergen 19</t>
        </is>
      </c>
      <c r="B140" t="inlineStr">
        <is>
          <t>0441</t>
        </is>
      </c>
      <c r="C140" t="inlineStr">
        <is>
          <t>Gridin's Group LT</t>
        </is>
      </c>
      <c r="D140" t="n">
        <v>78</v>
      </c>
      <c r="E140" t="inlineStr">
        <is>
          <t>Fam. Derwig</t>
        </is>
      </c>
      <c r="F140" t="n">
        <v>195</v>
      </c>
      <c r="G140" t="n">
        <v>0</v>
      </c>
      <c r="H140" t="n">
        <v>0</v>
      </c>
    </row>
    <row r="141">
      <c r="A141" t="inlineStr">
        <is>
          <t>Groenelaan 30B</t>
        </is>
      </c>
      <c r="B141" t="inlineStr">
        <is>
          <t>0025</t>
        </is>
      </c>
      <c r="C141" t="inlineStr">
        <is>
          <t>Groene Hart Service Detachering B.V.</t>
        </is>
      </c>
      <c r="D141" t="n">
        <v>19</v>
      </c>
      <c r="E141" t="inlineStr">
        <is>
          <t>Fastgoed makelaars</t>
        </is>
      </c>
      <c r="F141" t="n">
        <v>319</v>
      </c>
      <c r="G141" t="n">
        <v>190.22</v>
      </c>
      <c r="H141" t="n">
        <v>2165.88</v>
      </c>
    </row>
    <row r="142">
      <c r="A142" t="inlineStr">
        <is>
          <t>Groenelaan 35</t>
        </is>
      </c>
      <c r="B142" t="inlineStr">
        <is>
          <t>0413</t>
        </is>
      </c>
      <c r="C142" t="inlineStr">
        <is>
          <t>H. Molla Farajzadeh</t>
        </is>
      </c>
      <c r="D142" t="n">
        <v>141</v>
      </c>
      <c r="E142" t="inlineStr">
        <is>
          <t>Financial Lease.NL</t>
        </is>
      </c>
      <c r="F142" t="n">
        <v>74</v>
      </c>
      <c r="G142" t="n">
        <v>34.12</v>
      </c>
      <c r="H142" t="n">
        <v>0</v>
      </c>
    </row>
    <row r="143">
      <c r="A143" t="inlineStr">
        <is>
          <t>Groeneweg 127</t>
        </is>
      </c>
      <c r="B143" t="inlineStr">
        <is>
          <t>0172</t>
        </is>
      </c>
      <c r="C143" t="inlineStr">
        <is>
          <t>H. van den Berg</t>
        </is>
      </c>
      <c r="D143" t="n">
        <v>231</v>
      </c>
      <c r="E143" t="inlineStr">
        <is>
          <t>Finest Housing B.V.</t>
        </is>
      </c>
      <c r="F143" t="n">
        <v>10</v>
      </c>
      <c r="G143" t="n">
        <v>711.47</v>
      </c>
      <c r="H143" t="n">
        <v>2186.1</v>
      </c>
    </row>
    <row r="144">
      <c r="A144" t="inlineStr">
        <is>
          <t xml:space="preserve">Groeneweg 71 </t>
        </is>
      </c>
      <c r="B144" t="inlineStr">
        <is>
          <t>0173</t>
        </is>
      </c>
      <c r="C144" t="inlineStr">
        <is>
          <t>H.A. Samsom &amp; M.E.P. Knaap</t>
        </is>
      </c>
      <c r="D144" t="n">
        <v>167</v>
      </c>
      <c r="E144" t="inlineStr">
        <is>
          <t>Flake</t>
        </is>
      </c>
      <c r="F144" t="n">
        <v>430</v>
      </c>
      <c r="G144" t="n">
        <v>424.43</v>
      </c>
      <c r="H144" t="n">
        <v>2169.06</v>
      </c>
    </row>
    <row r="145">
      <c r="A145" t="inlineStr">
        <is>
          <t>Groeneweg 74</t>
        </is>
      </c>
      <c r="B145" t="inlineStr">
        <is>
          <t>0174</t>
        </is>
      </c>
      <c r="C145" t="inlineStr">
        <is>
          <t>H.C. van Os - Remeeus</t>
        </is>
      </c>
      <c r="D145" t="n">
        <v>9</v>
      </c>
      <c r="E145" t="inlineStr">
        <is>
          <t>Flex Pons B.V.</t>
        </is>
      </c>
      <c r="F145" t="n">
        <v>166</v>
      </c>
      <c r="G145" t="n">
        <v>200</v>
      </c>
      <c r="H145" t="n">
        <v>1750</v>
      </c>
    </row>
    <row r="146">
      <c r="A146" t="inlineStr">
        <is>
          <t>Grote Markt 41</t>
        </is>
      </c>
      <c r="B146" t="inlineStr">
        <is>
          <t>0485</t>
        </is>
      </c>
      <c r="C146" t="inlineStr">
        <is>
          <t>H.T.C. Facility Services B.V.</t>
        </is>
      </c>
      <c r="D146" t="n">
        <v>136</v>
      </c>
      <c r="E146" t="inlineStr">
        <is>
          <t>Flexvesting B.V.</t>
        </is>
      </c>
      <c r="F146" t="n">
        <v>220</v>
      </c>
      <c r="G146" t="n">
        <v>0</v>
      </c>
      <c r="H146" t="n">
        <v>0</v>
      </c>
    </row>
    <row r="147">
      <c r="A147" t="inlineStr">
        <is>
          <t>H. Algraplein 25</t>
        </is>
      </c>
      <c r="B147" t="inlineStr">
        <is>
          <t>0071</t>
        </is>
      </c>
      <c r="C147" t="inlineStr">
        <is>
          <t>HBBwonen.nu B.V.</t>
        </is>
      </c>
      <c r="D147" t="n">
        <v>41</v>
      </c>
      <c r="E147" t="inlineStr">
        <is>
          <t>Franks Kluus Service FP van der Hooft</t>
        </is>
      </c>
      <c r="F147" t="n">
        <v>391</v>
      </c>
      <c r="G147" t="n">
        <v>250</v>
      </c>
      <c r="H147" t="n">
        <v>2575</v>
      </c>
    </row>
    <row r="148">
      <c r="A148" t="inlineStr">
        <is>
          <t>Haagkamp 11</t>
        </is>
      </c>
      <c r="B148" t="inlineStr">
        <is>
          <t>0279</t>
        </is>
      </c>
      <c r="C148" t="inlineStr">
        <is>
          <t>HJC Service</t>
        </is>
      </c>
      <c r="D148" t="n">
        <v>71</v>
      </c>
      <c r="E148" t="inlineStr">
        <is>
          <t>Fransen Vastgoed / Holland Huisvesting B.V.</t>
        </is>
      </c>
      <c r="F148" t="n">
        <v>476</v>
      </c>
      <c r="G148" t="n">
        <v>429.36</v>
      </c>
      <c r="H148" t="n">
        <v>0</v>
      </c>
    </row>
    <row r="149">
      <c r="A149" t="inlineStr">
        <is>
          <t>Hagastraat 8</t>
        </is>
      </c>
      <c r="B149" t="inlineStr">
        <is>
          <t>0175</t>
        </is>
      </c>
      <c r="C149" t="inlineStr">
        <is>
          <t>Habroko B.V.</t>
        </is>
      </c>
      <c r="D149" t="n">
        <v>165</v>
      </c>
      <c r="E149" t="inlineStr">
        <is>
          <t>Fryslân Homes</t>
        </is>
      </c>
      <c r="F149" t="n">
        <v>47</v>
      </c>
      <c r="G149" t="n">
        <v>208.34</v>
      </c>
      <c r="H149" t="n">
        <v>1750</v>
      </c>
    </row>
    <row r="150">
      <c r="A150" t="inlineStr">
        <is>
          <t>Haven 24</t>
        </is>
      </c>
      <c r="B150" t="inlineStr">
        <is>
          <t>0396</t>
        </is>
      </c>
      <c r="C150" t="inlineStr">
        <is>
          <t>Head Vastgoed B.V.</t>
        </is>
      </c>
      <c r="D150" t="n">
        <v>261</v>
      </c>
      <c r="E150" t="inlineStr">
        <is>
          <t>Furniture Lease</t>
        </is>
      </c>
      <c r="F150" t="n">
        <v>75</v>
      </c>
      <c r="G150" t="n">
        <v>0</v>
      </c>
      <c r="H150" t="n">
        <v>0</v>
      </c>
    </row>
    <row r="151">
      <c r="A151" t="inlineStr">
        <is>
          <t>Heemskerkstraat 19</t>
        </is>
      </c>
      <c r="B151" t="inlineStr">
        <is>
          <t>0072</t>
        </is>
      </c>
      <c r="C151" t="inlineStr">
        <is>
          <t>Heijdra Dhr. H.M.</t>
        </is>
      </c>
      <c r="D151" t="n">
        <v>228</v>
      </c>
      <c r="E151" t="inlineStr">
        <is>
          <t>GGN van Mastrigt &amp; Partners</t>
        </is>
      </c>
      <c r="F151" t="n">
        <v>77</v>
      </c>
      <c r="G151" t="n">
        <v>250</v>
      </c>
      <c r="H151" t="n">
        <v>2250</v>
      </c>
    </row>
    <row r="152">
      <c r="A152" t="inlineStr">
        <is>
          <t>Hendrik Deddenstraat 26</t>
        </is>
      </c>
      <c r="B152" t="inlineStr">
        <is>
          <t>0073</t>
        </is>
      </c>
      <c r="C152" t="inlineStr">
        <is>
          <t>Hiltermann Lease B.V.</t>
        </is>
      </c>
      <c r="D152" t="n">
        <v>95</v>
      </c>
      <c r="E152" t="inlineStr">
        <is>
          <t>GJ Bergwerff</t>
        </is>
      </c>
      <c r="F152" t="n">
        <v>362</v>
      </c>
      <c r="G152" t="n">
        <v>0</v>
      </c>
      <c r="H152" t="n">
        <v>0</v>
      </c>
    </row>
    <row r="153">
      <c r="A153" t="inlineStr">
        <is>
          <t>Hendriklaan 49</t>
        </is>
      </c>
      <c r="B153" t="inlineStr">
        <is>
          <t>0325</t>
        </is>
      </c>
      <c r="C153" t="inlineStr">
        <is>
          <t>Hiway Operational Company B.V.</t>
        </is>
      </c>
      <c r="D153" t="n">
        <v>215</v>
      </c>
      <c r="E153" t="inlineStr">
        <is>
          <t>GOTI Verhuur B.V.</t>
        </is>
      </c>
      <c r="F153" t="n">
        <v>5</v>
      </c>
      <c r="G153" t="n">
        <v>450</v>
      </c>
      <c r="H153" t="n">
        <v>5500</v>
      </c>
    </row>
    <row r="154">
      <c r="A154" t="inlineStr">
        <is>
          <t xml:space="preserve">Herautpad 22 </t>
        </is>
      </c>
      <c r="B154" t="inlineStr">
        <is>
          <t>0176</t>
        </is>
      </c>
      <c r="C154" t="inlineStr">
        <is>
          <t>Holland Chalet Park</t>
        </is>
      </c>
      <c r="D154" t="n">
        <v>307</v>
      </c>
      <c r="E154" t="inlineStr">
        <is>
          <t>Gastvrijaanzee.nl</t>
        </is>
      </c>
      <c r="F154" t="n">
        <v>370</v>
      </c>
      <c r="G154" t="n">
        <v>116.38</v>
      </c>
      <c r="H154" t="n">
        <v>1750</v>
      </c>
    </row>
    <row r="155">
      <c r="A155" t="inlineStr">
        <is>
          <t>Herenpad 20 B</t>
        </is>
      </c>
      <c r="B155" t="inlineStr">
        <is>
          <t>0134</t>
        </is>
      </c>
      <c r="C155" t="inlineStr">
        <is>
          <t>Homekeur B.V.</t>
        </is>
      </c>
      <c r="D155" t="n">
        <v>106</v>
      </c>
      <c r="E155" t="inlineStr">
        <is>
          <t>Gelecon Schoonmaak</t>
        </is>
      </c>
      <c r="F155" t="n">
        <v>390</v>
      </c>
      <c r="G155" t="n">
        <v>0</v>
      </c>
      <c r="H155" t="n">
        <v>2363.07</v>
      </c>
    </row>
    <row r="156">
      <c r="A156" t="inlineStr">
        <is>
          <t>Herenpad 20A</t>
        </is>
      </c>
      <c r="B156" t="inlineStr">
        <is>
          <t>0133</t>
        </is>
      </c>
      <c r="C156" t="inlineStr">
        <is>
          <t>Homescout21 B.V.</t>
        </is>
      </c>
      <c r="D156" t="n">
        <v>211</v>
      </c>
      <c r="E156" t="inlineStr">
        <is>
          <t>Gem Rotterdam</t>
        </is>
      </c>
      <c r="F156" t="n">
        <v>76</v>
      </c>
      <c r="G156" t="n">
        <v>234.76</v>
      </c>
      <c r="H156" t="n">
        <v>3409.28</v>
      </c>
    </row>
    <row r="157">
      <c r="A157" t="inlineStr">
        <is>
          <t>Herenpad 20B</t>
        </is>
      </c>
      <c r="B157" t="inlineStr">
        <is>
          <t>0442</t>
        </is>
      </c>
      <c r="C157" t="inlineStr">
        <is>
          <t>Horus Team Sp. Z.o.o.</t>
        </is>
      </c>
      <c r="D157" t="n">
        <v>322</v>
      </c>
      <c r="E157" t="inlineStr">
        <is>
          <t>Gemeente Nissewaard</t>
        </is>
      </c>
      <c r="F157" t="n">
        <v>444</v>
      </c>
      <c r="G157" t="n">
        <v>0</v>
      </c>
      <c r="H157" t="n">
        <v>0</v>
      </c>
    </row>
    <row r="158">
      <c r="A158" t="inlineStr">
        <is>
          <t>Hoefslag 8</t>
        </is>
      </c>
      <c r="B158" t="inlineStr">
        <is>
          <t>0107</t>
        </is>
      </c>
      <c r="C158" t="inlineStr">
        <is>
          <t>Houses2Rent</t>
        </is>
      </c>
      <c r="D158" t="n">
        <v>271</v>
      </c>
      <c r="E158" t="inlineStr">
        <is>
          <t>Gemeente Voorne aan Zee</t>
        </is>
      </c>
      <c r="F158" t="n">
        <v>337</v>
      </c>
      <c r="G158" t="n">
        <v>250</v>
      </c>
      <c r="H158" t="n">
        <v>2446.35</v>
      </c>
    </row>
    <row r="159">
      <c r="A159" t="inlineStr">
        <is>
          <t>Hof van zeeland 2</t>
        </is>
      </c>
      <c r="B159" t="inlineStr">
        <is>
          <t>0334</t>
        </is>
      </c>
      <c r="C159" t="inlineStr">
        <is>
          <t>Housing en Transport Facilities BV</t>
        </is>
      </c>
      <c r="D159" t="n">
        <v>88</v>
      </c>
      <c r="E159" t="inlineStr">
        <is>
          <t>Gemeente Waadhoeke</t>
        </is>
      </c>
      <c r="F159" t="n">
        <v>242</v>
      </c>
      <c r="G159" t="n">
        <v>0</v>
      </c>
      <c r="H159" t="n">
        <v>0</v>
      </c>
    </row>
    <row r="160">
      <c r="A160" t="inlineStr">
        <is>
          <t>Hoge Noordweg 26A</t>
        </is>
      </c>
      <c r="B160" t="inlineStr">
        <is>
          <t>0401</t>
        </is>
      </c>
      <c r="C160" t="inlineStr">
        <is>
          <t>HousingWell B.V.</t>
        </is>
      </c>
      <c r="D160" t="n">
        <v>310</v>
      </c>
      <c r="E160" t="inlineStr">
        <is>
          <t>Glasservice en Timmerwerken D.Stukje</t>
        </is>
      </c>
      <c r="F160" t="n">
        <v>241</v>
      </c>
      <c r="G160" t="n">
        <v>665.09</v>
      </c>
      <c r="H160" t="n">
        <v>0</v>
      </c>
    </row>
    <row r="161">
      <c r="A161" t="inlineStr">
        <is>
          <t>Hoge Noordweg 27A</t>
        </is>
      </c>
      <c r="B161" t="inlineStr">
        <is>
          <t>0406</t>
        </is>
      </c>
      <c r="C161" t="inlineStr">
        <is>
          <t>Houvast Estates B.V.</t>
        </is>
      </c>
      <c r="D161" t="n">
        <v>227</v>
      </c>
      <c r="E161" t="inlineStr">
        <is>
          <t>Global Expatriate Services SL</t>
        </is>
      </c>
      <c r="F161" t="n">
        <v>30</v>
      </c>
      <c r="G161" t="n">
        <v>430</v>
      </c>
      <c r="H161" t="n">
        <v>0</v>
      </c>
    </row>
    <row r="162">
      <c r="A162" t="inlineStr">
        <is>
          <t>Hoge Noordweg 27B</t>
        </is>
      </c>
      <c r="B162" t="inlineStr">
        <is>
          <t>0177</t>
        </is>
      </c>
      <c r="C162" t="inlineStr">
        <is>
          <t>Hugo Vastgoed B.V.</t>
        </is>
      </c>
      <c r="D162" t="n">
        <v>111</v>
      </c>
      <c r="E162" t="inlineStr">
        <is>
          <t>Goed In Vastgoed Belegging B.V.</t>
        </is>
      </c>
      <c r="F162" t="n">
        <v>177</v>
      </c>
      <c r="G162" t="n">
        <v>1144</v>
      </c>
      <c r="H162" t="n">
        <v>1829.53</v>
      </c>
    </row>
    <row r="163">
      <c r="A163" t="inlineStr">
        <is>
          <t>Hoge Noordweg 28</t>
        </is>
      </c>
      <c r="B163" t="inlineStr">
        <is>
          <t>0178</t>
        </is>
      </c>
      <c r="C163" t="inlineStr">
        <is>
          <t>I.I. Bhaggoe</t>
        </is>
      </c>
      <c r="D163" t="n">
        <v>50</v>
      </c>
      <c r="E163" t="inlineStr">
        <is>
          <t>Goed in Vastgoedbeleggingen</t>
        </is>
      </c>
      <c r="F163" t="n">
        <v>78</v>
      </c>
      <c r="G163" t="n">
        <v>11040.15</v>
      </c>
      <c r="H163" t="n">
        <v>0</v>
      </c>
    </row>
    <row r="164">
      <c r="A164" t="inlineStr">
        <is>
          <t>Hogenbanweg 331</t>
        </is>
      </c>
      <c r="B164" t="inlineStr">
        <is>
          <t>0031</t>
        </is>
      </c>
      <c r="C164" t="inlineStr">
        <is>
          <t>I.T.S. SR.L. (INDUSTRIAL TECHNICAL SERVICES), BRAN</t>
        </is>
      </c>
      <c r="D164" t="n">
        <v>299</v>
      </c>
      <c r="E164" t="inlineStr">
        <is>
          <t>Gravis Beheer BV</t>
        </is>
      </c>
      <c r="F164" t="n">
        <v>459</v>
      </c>
      <c r="G164" t="n">
        <v>195.97</v>
      </c>
      <c r="H164" t="n">
        <v>1974.12</v>
      </c>
    </row>
    <row r="165">
      <c r="A165" t="inlineStr">
        <is>
          <t>Homeflex Park</t>
        </is>
      </c>
      <c r="B165" t="inlineStr">
        <is>
          <t>0411</t>
        </is>
      </c>
      <c r="C165" t="inlineStr">
        <is>
          <t>IC Idea Complex Sp. Z.o.o.</t>
        </is>
      </c>
      <c r="D165" t="n">
        <v>138</v>
      </c>
      <c r="E165" t="inlineStr">
        <is>
          <t>Groen Holding BV</t>
        </is>
      </c>
      <c r="F165" t="n">
        <v>367</v>
      </c>
      <c r="G165" t="n">
        <v>0</v>
      </c>
      <c r="H165" t="n">
        <v>0</v>
      </c>
    </row>
    <row r="166">
      <c r="A166" t="inlineStr">
        <is>
          <t>Honselaarsdijk 27</t>
        </is>
      </c>
      <c r="B166" t="inlineStr">
        <is>
          <t>0474</t>
        </is>
      </c>
      <c r="C166" t="inlineStr">
        <is>
          <t>ICS Impianti S.R.L.</t>
        </is>
      </c>
      <c r="D166" t="n">
        <v>216</v>
      </c>
      <c r="E166" t="inlineStr">
        <is>
          <t>Groene Hart Service Detachering B.V.</t>
        </is>
      </c>
      <c r="F166" t="n">
        <v>14</v>
      </c>
      <c r="G166" t="n">
        <v>0</v>
      </c>
      <c r="H166" t="n">
        <v>0</v>
      </c>
    </row>
    <row r="167">
      <c r="A167" t="inlineStr">
        <is>
          <t>Hontenissestraat 124</t>
        </is>
      </c>
      <c r="B167" t="inlineStr">
        <is>
          <t>0181</t>
        </is>
      </c>
      <c r="C167" t="inlineStr">
        <is>
          <t>IFC B.V.</t>
        </is>
      </c>
      <c r="D167" t="n">
        <v>127</v>
      </c>
      <c r="E167" t="inlineStr">
        <is>
          <t>Groenedag Installaties</t>
        </is>
      </c>
      <c r="F167" t="n">
        <v>498</v>
      </c>
      <c r="G167" t="n">
        <v>250</v>
      </c>
      <c r="H167" t="n">
        <v>2240.44</v>
      </c>
    </row>
    <row r="168">
      <c r="A168" t="inlineStr">
        <is>
          <t>Hontenissestraat 124A</t>
        </is>
      </c>
      <c r="B168" t="inlineStr">
        <is>
          <t>0403</t>
        </is>
      </c>
      <c r="C168" t="inlineStr">
        <is>
          <t>IPS Industrial Plant Solutions Kft.</t>
        </is>
      </c>
      <c r="D168" t="n">
        <v>319</v>
      </c>
      <c r="E168" t="inlineStr">
        <is>
          <t>H. Molla Farajzadeh</t>
        </is>
      </c>
      <c r="F168" t="n">
        <v>187</v>
      </c>
      <c r="G168" t="n">
        <v>385.02</v>
      </c>
      <c r="H168" t="n">
        <v>0</v>
      </c>
    </row>
    <row r="169">
      <c r="A169" t="inlineStr">
        <is>
          <t>Hontenissestraat 162</t>
        </is>
      </c>
      <c r="B169" t="inlineStr">
        <is>
          <t>0412</t>
        </is>
      </c>
      <c r="C169" t="inlineStr">
        <is>
          <t>Impes Service S.p.A.</t>
        </is>
      </c>
      <c r="D169" t="n">
        <v>220</v>
      </c>
      <c r="E169" t="inlineStr">
        <is>
          <t>H. van den Berg</t>
        </is>
      </c>
      <c r="F169" t="n">
        <v>273</v>
      </c>
      <c r="G169" t="n">
        <v>380</v>
      </c>
      <c r="H169" t="n">
        <v>0</v>
      </c>
    </row>
    <row r="170">
      <c r="A170" t="inlineStr">
        <is>
          <t>Hoofdstraat 110</t>
        </is>
      </c>
      <c r="B170" t="inlineStr">
        <is>
          <t>0075</t>
        </is>
      </c>
      <c r="C170" t="inlineStr">
        <is>
          <t>Impianti Industriala S.P.A. NEDERLAND BRANCH</t>
        </is>
      </c>
      <c r="D170" t="n">
        <v>240</v>
      </c>
      <c r="E170" t="inlineStr">
        <is>
          <t>H.A. Samsom &amp; M.E.P. Knaap</t>
        </is>
      </c>
      <c r="F170" t="n">
        <v>216</v>
      </c>
      <c r="G170" t="n">
        <v>0</v>
      </c>
      <c r="H170" t="n">
        <v>2342.25</v>
      </c>
    </row>
    <row r="171">
      <c r="A171" t="inlineStr">
        <is>
          <t>Hooizolder 6</t>
        </is>
      </c>
      <c r="B171" t="inlineStr">
        <is>
          <t>0078</t>
        </is>
      </c>
      <c r="C171" t="inlineStr">
        <is>
          <t>In Stijl Totaalbouw BV</t>
        </is>
      </c>
      <c r="D171" t="n">
        <v>295</v>
      </c>
      <c r="E171" t="inlineStr">
        <is>
          <t>H.C. van Os - Remeeus</t>
        </is>
      </c>
      <c r="F171" t="n">
        <v>9</v>
      </c>
      <c r="G171" t="n">
        <v>250</v>
      </c>
      <c r="H171" t="n">
        <v>2602.5</v>
      </c>
    </row>
    <row r="172">
      <c r="A172" t="inlineStr">
        <is>
          <t>Hotel de Sluiskop</t>
        </is>
      </c>
      <c r="B172" t="inlineStr">
        <is>
          <t>0477</t>
        </is>
      </c>
      <c r="C172" t="inlineStr">
        <is>
          <t>InAxtion Vastgoed B.V.</t>
        </is>
      </c>
      <c r="D172" t="n">
        <v>154</v>
      </c>
      <c r="E172" t="inlineStr">
        <is>
          <t>HB Housing</t>
        </is>
      </c>
      <c r="F172" t="n">
        <v>153</v>
      </c>
      <c r="G172" t="n">
        <v>0</v>
      </c>
      <c r="H172" t="n">
        <v>0</v>
      </c>
    </row>
    <row r="173">
      <c r="A173" t="inlineStr">
        <is>
          <t>Hugo de Grootstraat 72A&amp;B</t>
        </is>
      </c>
      <c r="B173" t="inlineStr">
        <is>
          <t>0147</t>
        </is>
      </c>
      <c r="C173" t="inlineStr">
        <is>
          <t>Industrial Technical Services Srl</t>
        </is>
      </c>
      <c r="D173" t="n">
        <v>87</v>
      </c>
      <c r="E173" t="inlineStr">
        <is>
          <t>HBBwonen.nu B.V.</t>
        </is>
      </c>
      <c r="F173" t="n">
        <v>25</v>
      </c>
      <c r="G173" t="n">
        <v>0</v>
      </c>
      <c r="H173" t="n">
        <v>1977.9</v>
      </c>
    </row>
    <row r="174">
      <c r="A174" t="inlineStr">
        <is>
          <t xml:space="preserve">Hugo de Vriesstraat 54 </t>
        </is>
      </c>
      <c r="B174" t="inlineStr">
        <is>
          <t>0183</t>
        </is>
      </c>
      <c r="C174" t="inlineStr">
        <is>
          <t>Interim Jobs B.V.</t>
        </is>
      </c>
      <c r="D174" t="n">
        <v>32</v>
      </c>
      <c r="E174" t="inlineStr">
        <is>
          <t>HBM Machines B.V.</t>
        </is>
      </c>
      <c r="F174" t="n">
        <v>399</v>
      </c>
      <c r="G174" t="n">
        <v>189.37</v>
      </c>
      <c r="H174" t="n">
        <v>2082</v>
      </c>
    </row>
    <row r="175">
      <c r="A175" t="inlineStr">
        <is>
          <t>Ida Gerhardtplein 10</t>
        </is>
      </c>
      <c r="B175" t="inlineStr">
        <is>
          <t>0443</t>
        </is>
      </c>
      <c r="C175" t="inlineStr">
        <is>
          <t>Interwel Oost B.V.</t>
        </is>
      </c>
      <c r="D175" t="n">
        <v>122</v>
      </c>
      <c r="E175" t="inlineStr">
        <is>
          <t>HD logistics</t>
        </is>
      </c>
      <c r="F175" t="n">
        <v>80</v>
      </c>
      <c r="G175" t="n">
        <v>0</v>
      </c>
      <c r="H175" t="n">
        <v>0</v>
      </c>
    </row>
    <row r="176">
      <c r="A176" t="inlineStr">
        <is>
          <t>Industriestraat 9</t>
        </is>
      </c>
      <c r="B176" t="inlineStr">
        <is>
          <t>0391</t>
        </is>
      </c>
      <c r="C176" t="inlineStr">
        <is>
          <t>I–Housing Vastgoed Beheer B.V.</t>
        </is>
      </c>
      <c r="D176" t="n">
        <v>358</v>
      </c>
      <c r="E176" t="inlineStr">
        <is>
          <t>HJC Service</t>
        </is>
      </c>
      <c r="F176" t="n">
        <v>40</v>
      </c>
      <c r="G176" t="n">
        <v>0</v>
      </c>
      <c r="H176" t="n">
        <v>0</v>
      </c>
    </row>
    <row r="177">
      <c r="A177" t="inlineStr">
        <is>
          <t>Inundatiestraat 3</t>
        </is>
      </c>
      <c r="B177" t="inlineStr">
        <is>
          <t>0039</t>
        </is>
      </c>
      <c r="C177" t="inlineStr">
        <is>
          <t>J. Hermans</t>
        </is>
      </c>
      <c r="D177" t="n">
        <v>22</v>
      </c>
      <c r="E177" t="inlineStr">
        <is>
          <t>Habroko B.V.</t>
        </is>
      </c>
      <c r="F177" t="n">
        <v>215</v>
      </c>
      <c r="G177" t="n">
        <v>250</v>
      </c>
      <c r="H177" t="n">
        <v>2315.29</v>
      </c>
    </row>
    <row r="178">
      <c r="A178" t="inlineStr">
        <is>
          <t>J. van Lennepstraat 13A</t>
        </is>
      </c>
      <c r="B178" t="inlineStr">
        <is>
          <t>0444</t>
        </is>
      </c>
      <c r="C178" t="inlineStr">
        <is>
          <t>J. Hogervorst</t>
        </is>
      </c>
      <c r="D178" t="n">
        <v>255</v>
      </c>
      <c r="E178" t="inlineStr">
        <is>
          <t>Handmatige crediteuren</t>
        </is>
      </c>
      <c r="F178" t="n">
        <v>202</v>
      </c>
      <c r="G178" t="n">
        <v>273.62</v>
      </c>
      <c r="H178" t="n">
        <v>0</v>
      </c>
    </row>
    <row r="179">
      <c r="A179" t="inlineStr">
        <is>
          <t>J. van Lennepstraat 13B</t>
        </is>
      </c>
      <c r="B179" t="inlineStr">
        <is>
          <t>0445</t>
        </is>
      </c>
      <c r="C179" t="inlineStr">
        <is>
          <t>J. J. van Veen</t>
        </is>
      </c>
      <c r="D179" t="n">
        <v>177</v>
      </c>
      <c r="E179" t="inlineStr">
        <is>
          <t>Heijdra Dhr. H.M.</t>
        </is>
      </c>
      <c r="F179" t="n">
        <v>271</v>
      </c>
      <c r="G179" t="n">
        <v>482.46</v>
      </c>
      <c r="H179" t="n">
        <v>0</v>
      </c>
    </row>
    <row r="180">
      <c r="A180" t="inlineStr">
        <is>
          <t>J. van Lennepstraat 34</t>
        </is>
      </c>
      <c r="B180" t="inlineStr">
        <is>
          <t>0446</t>
        </is>
      </c>
      <c r="C180" t="inlineStr">
        <is>
          <t>J. Kuipers</t>
        </is>
      </c>
      <c r="D180" t="n">
        <v>131</v>
      </c>
      <c r="E180" t="inlineStr">
        <is>
          <t>Helden van . Nu B.V.</t>
        </is>
      </c>
      <c r="F180" t="n">
        <v>214</v>
      </c>
      <c r="G180" t="n">
        <v>2472.37</v>
      </c>
      <c r="H180" t="n">
        <v>0</v>
      </c>
    </row>
    <row r="181">
      <c r="A181" t="inlineStr">
        <is>
          <t>Jacob van Lennepstraat 13 A</t>
        </is>
      </c>
      <c r="B181" t="inlineStr">
        <is>
          <t>0187</t>
        </is>
      </c>
      <c r="C181" t="inlineStr">
        <is>
          <t>J. Luijsterburg</t>
        </is>
      </c>
      <c r="D181" t="n">
        <v>129</v>
      </c>
      <c r="E181" t="inlineStr">
        <is>
          <t>Hiltermann Lease B.V.</t>
        </is>
      </c>
      <c r="F181" t="n">
        <v>82</v>
      </c>
      <c r="G181" t="n">
        <v>59.36</v>
      </c>
      <c r="H181" t="n">
        <v>1503.32</v>
      </c>
    </row>
    <row r="182">
      <c r="A182" t="inlineStr">
        <is>
          <t>Jacob van Lennepstraat 13 B</t>
        </is>
      </c>
      <c r="B182" t="inlineStr">
        <is>
          <t>0188</t>
        </is>
      </c>
      <c r="C182" t="inlineStr">
        <is>
          <t>J. van Heeswijk</t>
        </is>
      </c>
      <c r="D182" t="n">
        <v>63</v>
      </c>
      <c r="E182" t="inlineStr">
        <is>
          <t>Holiday Chaletpark</t>
        </is>
      </c>
      <c r="F182" t="n">
        <v>346</v>
      </c>
      <c r="G182" t="n">
        <v>22.02</v>
      </c>
      <c r="H182" t="n">
        <v>1503.32</v>
      </c>
    </row>
    <row r="183">
      <c r="A183" t="inlineStr">
        <is>
          <t>Jacob van Lennepstraat 34</t>
        </is>
      </c>
      <c r="B183" t="inlineStr">
        <is>
          <t>0189</t>
        </is>
      </c>
      <c r="C183" t="inlineStr">
        <is>
          <t>J.D. Jongsma</t>
        </is>
      </c>
      <c r="D183" t="n">
        <v>38</v>
      </c>
      <c r="E183" t="inlineStr">
        <is>
          <t>Holland Chalet Park</t>
        </is>
      </c>
      <c r="F183" t="n">
        <v>402</v>
      </c>
      <c r="G183" t="n">
        <v>47.42</v>
      </c>
      <c r="H183" t="n">
        <v>1503.32</v>
      </c>
    </row>
    <row r="184">
      <c r="A184" t="inlineStr">
        <is>
          <t>Jacob van Ruijsdaelstraat 28</t>
        </is>
      </c>
      <c r="B184" t="inlineStr">
        <is>
          <t>0416</t>
        </is>
      </c>
      <c r="C184" t="inlineStr">
        <is>
          <t>JC Kemp</t>
        </is>
      </c>
      <c r="D184" t="n">
        <v>297</v>
      </c>
      <c r="E184" t="inlineStr">
        <is>
          <t>Holland Housing</t>
        </is>
      </c>
      <c r="F184" t="n">
        <v>295</v>
      </c>
      <c r="G184" t="n">
        <v>24.77</v>
      </c>
      <c r="H184" t="n">
        <v>0</v>
      </c>
    </row>
    <row r="185">
      <c r="A185" t="inlineStr">
        <is>
          <t>Jacob van offwegenlaan 26</t>
        </is>
      </c>
      <c r="B185" t="inlineStr">
        <is>
          <t>0032</t>
        </is>
      </c>
      <c r="C185" t="inlineStr">
        <is>
          <t>JES Funding &amp; Beheer B.V.</t>
        </is>
      </c>
      <c r="D185" t="n">
        <v>300</v>
      </c>
      <c r="E185" t="inlineStr">
        <is>
          <t>Holland Warmte Verwarming</t>
        </is>
      </c>
      <c r="F185" t="n">
        <v>385</v>
      </c>
      <c r="G185" t="n">
        <v>0</v>
      </c>
      <c r="H185" t="n">
        <v>2065.88</v>
      </c>
    </row>
    <row r="186">
      <c r="A186" t="inlineStr">
        <is>
          <t>Jan van Arkelstraat 118</t>
        </is>
      </c>
      <c r="B186" t="inlineStr">
        <is>
          <t>0191</t>
        </is>
      </c>
      <c r="C186" t="inlineStr">
        <is>
          <t>JJM Personeel B.V.</t>
        </is>
      </c>
      <c r="D186" t="n">
        <v>303</v>
      </c>
      <c r="E186" t="inlineStr">
        <is>
          <t>Home Rentals Groep B.V.</t>
        </is>
      </c>
      <c r="F186" t="n">
        <v>207</v>
      </c>
      <c r="G186" t="n">
        <v>203.11</v>
      </c>
      <c r="H186" t="n">
        <v>2255</v>
      </c>
    </row>
    <row r="187">
      <c r="A187" t="inlineStr">
        <is>
          <t>Jasmijnring 37</t>
        </is>
      </c>
      <c r="B187" t="inlineStr">
        <is>
          <t>0087</t>
        </is>
      </c>
      <c r="C187" t="inlineStr">
        <is>
          <t>JPJ Stoel</t>
        </is>
      </c>
      <c r="D187" t="n">
        <v>273</v>
      </c>
      <c r="E187" t="inlineStr">
        <is>
          <t>Homekeur B.V.</t>
        </is>
      </c>
      <c r="F187" t="n">
        <v>146</v>
      </c>
      <c r="G187" t="n">
        <v>350</v>
      </c>
      <c r="H187" t="n">
        <v>0</v>
      </c>
    </row>
    <row r="188">
      <c r="A188" t="inlineStr">
        <is>
          <t>Johan Willen Frisostraat 36</t>
        </is>
      </c>
      <c r="B188" t="inlineStr">
        <is>
          <t>0146</t>
        </is>
      </c>
      <c r="C188" t="inlineStr">
        <is>
          <t>JT Glazenwasserij en Schoonmaakdiensten</t>
        </is>
      </c>
      <c r="D188" t="n">
        <v>369</v>
      </c>
      <c r="E188" t="inlineStr">
        <is>
          <t>Homescout21 B.V.</t>
        </is>
      </c>
      <c r="F188" t="n">
        <v>263</v>
      </c>
      <c r="G188" t="n">
        <v>300</v>
      </c>
      <c r="H188" t="n">
        <v>0</v>
      </c>
    </row>
    <row r="189">
      <c r="A189" t="inlineStr">
        <is>
          <t xml:space="preserve">Kaapsebos 11 </t>
        </is>
      </c>
      <c r="B189" t="inlineStr">
        <is>
          <t>0192</t>
        </is>
      </c>
      <c r="C189" t="inlineStr">
        <is>
          <t>Jacco Maat</t>
        </is>
      </c>
      <c r="D189" t="n">
        <v>306</v>
      </c>
      <c r="E189" t="inlineStr">
        <is>
          <t>Hopmans Flexstay</t>
        </is>
      </c>
      <c r="F189" t="n">
        <v>290</v>
      </c>
      <c r="G189" t="n">
        <v>927</v>
      </c>
      <c r="H189" t="n">
        <v>2255</v>
      </c>
    </row>
    <row r="190">
      <c r="A190" t="inlineStr">
        <is>
          <t>Kanaal van Steenenhoek Z.Z. 10</t>
        </is>
      </c>
      <c r="B190" t="inlineStr">
        <is>
          <t>0082</t>
        </is>
      </c>
      <c r="C190" t="inlineStr">
        <is>
          <t>Jan Luijsterburg Beheer B.V.</t>
        </is>
      </c>
      <c r="D190" t="n">
        <v>130</v>
      </c>
      <c r="E190" t="inlineStr">
        <is>
          <t>Hotel aan de Linge</t>
        </is>
      </c>
      <c r="F190" t="n">
        <v>502</v>
      </c>
      <c r="G190" t="n">
        <v>350</v>
      </c>
      <c r="H190" t="n">
        <v>2575</v>
      </c>
    </row>
    <row r="191">
      <c r="A191" t="inlineStr">
        <is>
          <t>Kapershoek 11</t>
        </is>
      </c>
      <c r="B191" t="inlineStr">
        <is>
          <t>0193</t>
        </is>
      </c>
      <c r="C191" t="inlineStr">
        <is>
          <t>Johan van der Burg</t>
        </is>
      </c>
      <c r="D191" t="n">
        <v>291</v>
      </c>
      <c r="E191" t="inlineStr">
        <is>
          <t>Houses2Rent</t>
        </is>
      </c>
      <c r="F191" t="n">
        <v>354</v>
      </c>
      <c r="G191" t="n">
        <v>190.11</v>
      </c>
      <c r="H191" t="n">
        <v>2255</v>
      </c>
    </row>
    <row r="192">
      <c r="A192" t="inlineStr">
        <is>
          <t>Karel Doormanlaan 21A</t>
        </is>
      </c>
      <c r="B192" t="inlineStr">
        <is>
          <t>0274</t>
        </is>
      </c>
      <c r="C192" t="inlineStr">
        <is>
          <t>Jong de SAW Dhr</t>
        </is>
      </c>
      <c r="D192" t="n">
        <v>225</v>
      </c>
      <c r="E192" t="inlineStr">
        <is>
          <t>Housing Solutions</t>
        </is>
      </c>
      <c r="F192" t="n">
        <v>477</v>
      </c>
      <c r="G192" t="n">
        <v>0</v>
      </c>
      <c r="H192" t="n">
        <v>1000</v>
      </c>
    </row>
    <row r="193">
      <c r="A193" t="inlineStr">
        <is>
          <t>Kastanjelaan 232</t>
        </is>
      </c>
      <c r="B193" t="inlineStr">
        <is>
          <t>0159</t>
        </is>
      </c>
      <c r="C193" t="inlineStr">
        <is>
          <t>Joost de Jong Holding B.V.</t>
        </is>
      </c>
      <c r="D193" t="n">
        <v>8</v>
      </c>
      <c r="E193" t="inlineStr">
        <is>
          <t>Hoveniersbedrijf Tichelaar</t>
        </is>
      </c>
      <c r="F193" t="n">
        <v>484</v>
      </c>
      <c r="G193" t="n">
        <v>250</v>
      </c>
      <c r="H193" t="n">
        <v>2500</v>
      </c>
    </row>
    <row r="194">
      <c r="A194" t="inlineStr">
        <is>
          <t>Keesomstraat 22</t>
        </is>
      </c>
      <c r="B194" t="inlineStr">
        <is>
          <t>0194</t>
        </is>
      </c>
      <c r="C194" t="inlineStr">
        <is>
          <t>Joyce Bakker Advies</t>
        </is>
      </c>
      <c r="D194" t="n">
        <v>163</v>
      </c>
      <c r="E194" t="inlineStr">
        <is>
          <t>Hubo Oud-Beijerland</t>
        </is>
      </c>
      <c r="F194" t="n">
        <v>486</v>
      </c>
      <c r="G194" t="n">
        <v>971.97</v>
      </c>
      <c r="H194" t="n">
        <v>1503.32</v>
      </c>
    </row>
    <row r="195">
      <c r="A195" t="inlineStr">
        <is>
          <t xml:space="preserve">Keesomstraat 50 </t>
        </is>
      </c>
      <c r="B195" t="inlineStr">
        <is>
          <t>0195</t>
        </is>
      </c>
      <c r="C195" t="inlineStr">
        <is>
          <t>K-Power Netherlands Kft</t>
        </is>
      </c>
      <c r="D195" t="n">
        <v>76</v>
      </c>
      <c r="E195" t="inlineStr">
        <is>
          <t>Hugo Vastgoed B.V.</t>
        </is>
      </c>
      <c r="F195" t="n">
        <v>163</v>
      </c>
      <c r="G195" t="n">
        <v>236.33</v>
      </c>
      <c r="H195" t="n">
        <v>2300</v>
      </c>
    </row>
    <row r="196">
      <c r="A196" t="inlineStr">
        <is>
          <t>Keesomstraat 54</t>
        </is>
      </c>
      <c r="B196" t="inlineStr">
        <is>
          <t>0196</t>
        </is>
      </c>
      <c r="C196" t="inlineStr">
        <is>
          <t>KODE Staffhousing B.V.</t>
        </is>
      </c>
      <c r="D196" t="n">
        <v>209</v>
      </c>
      <c r="E196" t="inlineStr">
        <is>
          <t>Hureninvlissingen.nl Lampert</t>
        </is>
      </c>
      <c r="F196" t="n">
        <v>443</v>
      </c>
      <c r="G196" t="n">
        <v>276.32</v>
      </c>
      <c r="H196" t="n">
        <v>2255</v>
      </c>
    </row>
    <row r="197">
      <c r="A197" t="inlineStr">
        <is>
          <t>Kerkdreef 42</t>
        </is>
      </c>
      <c r="B197" t="inlineStr">
        <is>
          <t>0084</t>
        </is>
      </c>
      <c r="C197" t="inlineStr">
        <is>
          <t>Kadaster</t>
        </is>
      </c>
      <c r="D197" t="n">
        <v>96</v>
      </c>
      <c r="E197" t="inlineStr">
        <is>
          <t>Huurwoning in Rotterdam VOF</t>
        </is>
      </c>
      <c r="F197" t="n">
        <v>440</v>
      </c>
      <c r="G197" t="n">
        <v>0</v>
      </c>
      <c r="H197" t="n">
        <v>2250</v>
      </c>
    </row>
    <row r="198">
      <c r="A198" t="inlineStr">
        <is>
          <t>Kerklaan 74</t>
        </is>
      </c>
      <c r="B198" t="inlineStr">
        <is>
          <t>0447</t>
        </is>
      </c>
      <c r="C198" t="inlineStr">
        <is>
          <t>Kajuit</t>
        </is>
      </c>
      <c r="D198" t="n">
        <v>368</v>
      </c>
      <c r="E198" t="inlineStr">
        <is>
          <t>I. Verbeek</t>
        </is>
      </c>
      <c r="F198" t="n">
        <v>383</v>
      </c>
      <c r="G198" t="n">
        <v>0</v>
      </c>
      <c r="H198" t="n">
        <v>0</v>
      </c>
    </row>
    <row r="199">
      <c r="A199" t="inlineStr">
        <is>
          <t>Kerklaan 80</t>
        </is>
      </c>
      <c r="B199" t="inlineStr">
        <is>
          <t>0448</t>
        </is>
      </c>
      <c r="C199" t="inlineStr">
        <is>
          <t>Kapitan Workers Sp. Z.o.o.</t>
        </is>
      </c>
      <c r="D199" t="n">
        <v>367</v>
      </c>
      <c r="E199" t="inlineStr">
        <is>
          <t>I.C.Y. BV</t>
        </is>
      </c>
      <c r="F199" t="n">
        <v>437</v>
      </c>
      <c r="G199" t="n">
        <v>0</v>
      </c>
      <c r="H199" t="n">
        <v>0</v>
      </c>
    </row>
    <row r="200">
      <c r="A200" t="inlineStr">
        <is>
          <t>Kerkweg 9a [huis 135]</t>
        </is>
      </c>
      <c r="B200" t="inlineStr">
        <is>
          <t>0308</t>
        </is>
      </c>
      <c r="C200" t="inlineStr">
        <is>
          <t>Kapitein &amp; Personeel B.V</t>
        </is>
      </c>
      <c r="D200" t="n">
        <v>365</v>
      </c>
      <c r="E200" t="inlineStr">
        <is>
          <t>IKEA B.V.</t>
        </is>
      </c>
      <c r="F200" t="n">
        <v>83</v>
      </c>
      <c r="G200" t="n">
        <v>200</v>
      </c>
      <c r="H200" t="n">
        <v>1642.35</v>
      </c>
    </row>
    <row r="201">
      <c r="A201" t="inlineStr">
        <is>
          <t>Kerkweg 9a [huis 137]</t>
        </is>
      </c>
      <c r="B201" t="inlineStr">
        <is>
          <t>0309</t>
        </is>
      </c>
      <c r="C201" t="inlineStr">
        <is>
          <t>Karadeniz Diensten</t>
        </is>
      </c>
      <c r="D201" t="n">
        <v>248</v>
      </c>
      <c r="E201" t="inlineStr">
        <is>
          <t>In Control</t>
        </is>
      </c>
      <c r="F201" t="n">
        <v>410</v>
      </c>
      <c r="G201" t="n">
        <v>200</v>
      </c>
      <c r="H201" t="n">
        <v>1978.82</v>
      </c>
    </row>
    <row r="202">
      <c r="A202" t="inlineStr">
        <is>
          <t>Kerkweg 9a [huis 210]</t>
        </is>
      </c>
      <c r="B202" t="inlineStr">
        <is>
          <t>0310</t>
        </is>
      </c>
      <c r="C202" t="inlineStr">
        <is>
          <t>Key4work B.V.</t>
        </is>
      </c>
      <c r="D202" t="n">
        <v>350</v>
      </c>
      <c r="E202" t="inlineStr">
        <is>
          <t>Inquar</t>
        </is>
      </c>
      <c r="F202" t="n">
        <v>84</v>
      </c>
      <c r="G202" t="n">
        <v>250</v>
      </c>
      <c r="H202" t="n">
        <v>1772.94</v>
      </c>
    </row>
    <row r="203">
      <c r="A203" t="inlineStr">
        <is>
          <t>Kerkweg 9a [huis 269]</t>
        </is>
      </c>
      <c r="B203" t="inlineStr">
        <is>
          <t>0311</t>
        </is>
      </c>
      <c r="C203" t="inlineStr">
        <is>
          <t>Keypro B.V.</t>
        </is>
      </c>
      <c r="D203" t="n">
        <v>97</v>
      </c>
      <c r="E203" t="inlineStr">
        <is>
          <t>Installatie Service Robert ISR</t>
        </is>
      </c>
      <c r="F203" t="n">
        <v>421</v>
      </c>
      <c r="G203" t="n">
        <v>250</v>
      </c>
      <c r="H203" t="n">
        <v>1795.29</v>
      </c>
    </row>
    <row r="204">
      <c r="A204" t="inlineStr">
        <is>
          <t>Kerkweg 9a [huis 333]</t>
        </is>
      </c>
      <c r="B204" t="inlineStr">
        <is>
          <t>0312</t>
        </is>
      </c>
      <c r="C204" t="inlineStr">
        <is>
          <t>Kiose Yacht Finishing</t>
        </is>
      </c>
      <c r="D204" t="n">
        <v>45</v>
      </c>
      <c r="E204" t="inlineStr">
        <is>
          <t>Installatiebedrijf Jonkers BV</t>
        </is>
      </c>
      <c r="F204" t="n">
        <v>278</v>
      </c>
      <c r="G204" t="n">
        <v>300</v>
      </c>
      <c r="H204" t="n">
        <v>1683.53</v>
      </c>
    </row>
    <row r="205">
      <c r="A205" t="inlineStr">
        <is>
          <t>Kerkweg 9a [huis 334]</t>
        </is>
      </c>
      <c r="B205" t="inlineStr">
        <is>
          <t>0313</t>
        </is>
      </c>
      <c r="C205" t="inlineStr">
        <is>
          <t>Klaas Bos</t>
        </is>
      </c>
      <c r="D205" t="n">
        <v>10</v>
      </c>
      <c r="E205" t="inlineStr">
        <is>
          <t>Installatiebureau Kon</t>
        </is>
      </c>
      <c r="F205" t="n">
        <v>85</v>
      </c>
      <c r="G205" t="n">
        <v>300</v>
      </c>
      <c r="H205" t="n">
        <v>2422.35</v>
      </c>
    </row>
    <row r="206">
      <c r="A206" t="inlineStr">
        <is>
          <t>Kerkweg 9a [huis 338]</t>
        </is>
      </c>
      <c r="B206" t="inlineStr">
        <is>
          <t>0314</t>
        </is>
      </c>
      <c r="C206" t="inlineStr">
        <is>
          <t>Kleijweg projects</t>
        </is>
      </c>
      <c r="D206" t="n">
        <v>323</v>
      </c>
      <c r="E206" t="inlineStr">
        <is>
          <t>Installatieprofi</t>
        </is>
      </c>
      <c r="F206" t="n">
        <v>231</v>
      </c>
      <c r="G206" t="n">
        <v>300</v>
      </c>
      <c r="H206" t="n">
        <v>2284.71</v>
      </c>
    </row>
    <row r="207">
      <c r="A207" t="inlineStr">
        <is>
          <t>Kerkweg 9a [huis 340]</t>
        </is>
      </c>
      <c r="B207" t="inlineStr">
        <is>
          <t>0332</t>
        </is>
      </c>
      <c r="C207" t="inlineStr">
        <is>
          <t>Koens T. Dhr.</t>
        </is>
      </c>
      <c r="D207" t="n">
        <v>203</v>
      </c>
      <c r="E207" t="inlineStr">
        <is>
          <t>Interim Jobs B.V.</t>
        </is>
      </c>
      <c r="F207" t="n">
        <v>22</v>
      </c>
      <c r="G207" t="n">
        <v>350</v>
      </c>
      <c r="H207" t="n">
        <v>1735.29</v>
      </c>
    </row>
    <row r="208">
      <c r="A208" t="inlineStr">
        <is>
          <t>Kerkweg 9a [huis 342]</t>
        </is>
      </c>
      <c r="B208" t="inlineStr">
        <is>
          <t>0315</t>
        </is>
      </c>
      <c r="C208" t="inlineStr">
        <is>
          <t>Kwekerij Stef Kleijweg</t>
        </is>
      </c>
      <c r="D208" t="n">
        <v>359</v>
      </c>
      <c r="E208" t="inlineStr">
        <is>
          <t>I–Housing Vastgoed Beheer B.V.</t>
        </is>
      </c>
      <c r="F208" t="n">
        <v>478</v>
      </c>
      <c r="G208" t="n">
        <v>350</v>
      </c>
      <c r="H208" t="n">
        <v>1884.71</v>
      </c>
    </row>
    <row r="209">
      <c r="A209" t="inlineStr">
        <is>
          <t>Kerkweg 9a [huis 346]</t>
        </is>
      </c>
      <c r="B209" t="inlineStr">
        <is>
          <t>0316</t>
        </is>
      </c>
      <c r="C209" t="inlineStr">
        <is>
          <t>L. Keizer</t>
        </is>
      </c>
      <c r="D209" t="n">
        <v>79</v>
      </c>
      <c r="E209" t="inlineStr">
        <is>
          <t>J. Hogervorst</t>
        </is>
      </c>
      <c r="F209" t="n">
        <v>321</v>
      </c>
      <c r="G209" t="n">
        <v>300</v>
      </c>
      <c r="H209" t="n">
        <v>2196.47</v>
      </c>
    </row>
    <row r="210">
      <c r="A210" t="inlineStr">
        <is>
          <t>Kerkweg 9a [huis 347]</t>
        </is>
      </c>
      <c r="B210" t="inlineStr">
        <is>
          <t>0317</t>
        </is>
      </c>
      <c r="C210" t="inlineStr">
        <is>
          <t>L.M. Schilstra</t>
        </is>
      </c>
      <c r="D210" t="n">
        <v>33</v>
      </c>
      <c r="E210" t="inlineStr">
        <is>
          <t>J. Luijsterburg</t>
        </is>
      </c>
      <c r="F210" t="n">
        <v>182</v>
      </c>
      <c r="G210" t="n">
        <v>300</v>
      </c>
      <c r="H210" t="n">
        <v>1855.29</v>
      </c>
    </row>
    <row r="211">
      <c r="A211" t="inlineStr">
        <is>
          <t>Kerkweg 9a [huis 348]</t>
        </is>
      </c>
      <c r="B211" t="inlineStr">
        <is>
          <t>0338</t>
        </is>
      </c>
      <c r="C211" t="inlineStr">
        <is>
          <t>LZ Auto- en Motorservice B.V.</t>
        </is>
      </c>
      <c r="D211" t="n">
        <v>102</v>
      </c>
      <c r="E211" t="inlineStr">
        <is>
          <t>J. Schoemaker</t>
        </is>
      </c>
      <c r="F211" t="n">
        <v>164</v>
      </c>
      <c r="G211" t="n">
        <v>400</v>
      </c>
      <c r="H211" t="n">
        <v>2283.53</v>
      </c>
    </row>
    <row r="212">
      <c r="A212" t="inlineStr">
        <is>
          <t>Kerkweg 9a [huis 349]</t>
        </is>
      </c>
      <c r="B212" t="inlineStr">
        <is>
          <t>0318</t>
        </is>
      </c>
      <c r="C212" t="inlineStr">
        <is>
          <t>Labour Housing BV</t>
        </is>
      </c>
      <c r="D212" t="n">
        <v>234</v>
      </c>
      <c r="E212" t="inlineStr">
        <is>
          <t>J. van der Linde</t>
        </is>
      </c>
      <c r="F212" t="n">
        <v>398</v>
      </c>
      <c r="G212" t="n">
        <v>400</v>
      </c>
      <c r="H212" t="n">
        <v>2028.24</v>
      </c>
    </row>
    <row r="213">
      <c r="A213" t="inlineStr">
        <is>
          <t>Kerkweg 9a [huis 356]</t>
        </is>
      </c>
      <c r="B213" t="inlineStr">
        <is>
          <t>0319</t>
        </is>
      </c>
      <c r="C213" t="inlineStr">
        <is>
          <t>Lago Personeelshuisvesting B.V.</t>
        </is>
      </c>
      <c r="D213" t="n">
        <v>98</v>
      </c>
      <c r="E213" t="inlineStr">
        <is>
          <t>J.G. van Pieterson</t>
        </is>
      </c>
      <c r="F213" t="n">
        <v>414</v>
      </c>
      <c r="G213" t="n">
        <v>300</v>
      </c>
      <c r="H213" t="n">
        <v>2361.18</v>
      </c>
    </row>
    <row r="214">
      <c r="A214" t="inlineStr">
        <is>
          <t>Kerkweg 9a [huis 357]</t>
        </is>
      </c>
      <c r="B214" t="inlineStr">
        <is>
          <t>0339</t>
        </is>
      </c>
      <c r="C214" t="inlineStr">
        <is>
          <t>Langweer Vastgoed B.V.</t>
        </is>
      </c>
      <c r="D214" t="n">
        <v>68</v>
      </c>
      <c r="E214" t="inlineStr">
        <is>
          <t>JC Kemp</t>
        </is>
      </c>
      <c r="F214" t="n">
        <v>389</v>
      </c>
      <c r="G214" t="n">
        <v>200</v>
      </c>
      <c r="H214" t="n">
        <v>1818.82</v>
      </c>
    </row>
    <row r="215">
      <c r="A215" t="inlineStr">
        <is>
          <t>Kerkweg 9a [huis 359]</t>
        </is>
      </c>
      <c r="B215" t="inlineStr">
        <is>
          <t>0320</t>
        </is>
      </c>
      <c r="C215" t="inlineStr">
        <is>
          <t>Leen Bakker Nederland B.V.</t>
        </is>
      </c>
      <c r="D215" t="n">
        <v>230</v>
      </c>
      <c r="E215" t="inlineStr">
        <is>
          <t>JES Funding &amp; Beheer B.V.</t>
        </is>
      </c>
      <c r="F215" t="n">
        <v>394</v>
      </c>
      <c r="G215" t="n">
        <v>300</v>
      </c>
      <c r="H215" t="n">
        <v>1902.35</v>
      </c>
    </row>
    <row r="216">
      <c r="A216" t="inlineStr">
        <is>
          <t>Kerkweg 9a [huis 453]</t>
        </is>
      </c>
      <c r="B216" t="inlineStr">
        <is>
          <t>0321</t>
        </is>
      </c>
      <c r="C216" t="inlineStr">
        <is>
          <t>Level 5 Assetmanagement B.V.</t>
        </is>
      </c>
      <c r="D216" t="n">
        <v>119</v>
      </c>
      <c r="E216" t="inlineStr">
        <is>
          <t>JInniy Tel</t>
        </is>
      </c>
      <c r="F216" t="n">
        <v>86</v>
      </c>
      <c r="G216" t="n">
        <v>400</v>
      </c>
      <c r="H216" t="n">
        <v>2516.47</v>
      </c>
    </row>
    <row r="217">
      <c r="A217" t="inlineStr">
        <is>
          <t>Kerkwervesingel 127</t>
        </is>
      </c>
      <c r="B217" t="inlineStr">
        <is>
          <t>0225</t>
        </is>
      </c>
      <c r="C217" t="inlineStr">
        <is>
          <t>Lievaart B.V.</t>
        </is>
      </c>
      <c r="D217" t="n">
        <v>257</v>
      </c>
      <c r="E217" t="inlineStr">
        <is>
          <t>JPJ Stoel</t>
        </is>
      </c>
      <c r="F217" t="n">
        <v>359</v>
      </c>
      <c r="G217" t="n">
        <v>70.04000000000001</v>
      </c>
      <c r="H217" t="n">
        <v>4164</v>
      </c>
    </row>
    <row r="218">
      <c r="A218" t="inlineStr">
        <is>
          <t>Kerstendijk 125</t>
        </is>
      </c>
      <c r="B218" t="inlineStr">
        <is>
          <t>0199</t>
        </is>
      </c>
      <c r="C218" t="inlineStr">
        <is>
          <t>Light Personeelsdiensten</t>
        </is>
      </c>
      <c r="D218" t="n">
        <v>48</v>
      </c>
      <c r="E218" t="inlineStr">
        <is>
          <t>JT Glazenwasserij en Schoonmaakdiensten</t>
        </is>
      </c>
      <c r="F218" t="n">
        <v>491</v>
      </c>
      <c r="G218" t="n">
        <v>519.95</v>
      </c>
      <c r="H218" t="n">
        <v>2841.93</v>
      </c>
    </row>
    <row r="219">
      <c r="A219" t="inlineStr">
        <is>
          <t>Kethelweg 1B</t>
        </is>
      </c>
      <c r="B219" t="inlineStr">
        <is>
          <t>0010</t>
        </is>
      </c>
      <c r="C219" t="inlineStr">
        <is>
          <t>Light Personeelsdiensten BV</t>
        </is>
      </c>
      <c r="D219" t="n">
        <v>331</v>
      </c>
      <c r="E219" t="inlineStr">
        <is>
          <t>Jan Luijsterburg Beheer BV</t>
        </is>
      </c>
      <c r="F219" t="n">
        <v>397</v>
      </c>
      <c r="G219" t="n">
        <v>85.23999999999999</v>
      </c>
      <c r="H219" t="n">
        <v>2444.71</v>
      </c>
    </row>
    <row r="220">
      <c r="A220" t="inlineStr">
        <is>
          <t>Kethelweg 1C</t>
        </is>
      </c>
      <c r="B220" t="inlineStr">
        <is>
          <t>0011</t>
        </is>
      </c>
      <c r="C220" t="inlineStr">
        <is>
          <t>Lilit Home Makelaardij</t>
        </is>
      </c>
      <c r="D220" t="n">
        <v>334</v>
      </c>
      <c r="E220" t="inlineStr">
        <is>
          <t>Jef van Mierop</t>
        </is>
      </c>
      <c r="F220" t="n">
        <v>372</v>
      </c>
      <c r="G220" t="n">
        <v>32.11</v>
      </c>
      <c r="H220" t="n">
        <v>1769.41</v>
      </c>
    </row>
    <row r="221">
      <c r="A221" t="inlineStr">
        <is>
          <t>Kethelweg 60</t>
        </is>
      </c>
      <c r="B221" t="inlineStr">
        <is>
          <t>0420</t>
        </is>
      </c>
      <c r="C221" t="inlineStr">
        <is>
          <t>Lion Trading</t>
        </is>
      </c>
      <c r="D221" t="n">
        <v>169</v>
      </c>
      <c r="E221" t="inlineStr">
        <is>
          <t>Johan van der Burg</t>
        </is>
      </c>
      <c r="F221" t="n">
        <v>373</v>
      </c>
      <c r="G221" t="n">
        <v>49.54</v>
      </c>
      <c r="H221" t="n">
        <v>0</v>
      </c>
    </row>
    <row r="222">
      <c r="A222" t="inlineStr">
        <is>
          <t>Kethelweg 66A</t>
        </is>
      </c>
      <c r="B222" t="inlineStr">
        <is>
          <t>0088</t>
        </is>
      </c>
      <c r="C222" t="inlineStr">
        <is>
          <t>LogIQ Barendrecht B.V.</t>
        </is>
      </c>
      <c r="D222" t="n">
        <v>355</v>
      </c>
      <c r="E222" t="inlineStr">
        <is>
          <t>Jong de SAW Dhr</t>
        </is>
      </c>
      <c r="F222" t="n">
        <v>268</v>
      </c>
      <c r="G222" t="n">
        <v>151.41</v>
      </c>
      <c r="H222" t="n">
        <v>2593.81</v>
      </c>
    </row>
    <row r="223">
      <c r="A223" t="inlineStr">
        <is>
          <t>Kethelweg 66B</t>
        </is>
      </c>
      <c r="B223" t="inlineStr">
        <is>
          <t>0122</t>
        </is>
      </c>
      <c r="C223" t="inlineStr">
        <is>
          <t>Looije Facilities B.V.</t>
        </is>
      </c>
      <c r="D223" t="n">
        <v>260</v>
      </c>
      <c r="E223" t="inlineStr">
        <is>
          <t>Joop Kuipers Riool ontstopping</t>
        </is>
      </c>
      <c r="F223" t="n">
        <v>417</v>
      </c>
      <c r="G223" t="n">
        <v>329.99</v>
      </c>
      <c r="H223" t="n">
        <v>2593.81</v>
      </c>
    </row>
    <row r="224">
      <c r="A224" t="inlineStr">
        <is>
          <t>Kethelweg 66C</t>
        </is>
      </c>
      <c r="B224" t="inlineStr">
        <is>
          <t>0033</t>
        </is>
      </c>
      <c r="C224" t="inlineStr">
        <is>
          <t>M van den Berg e/o H van den Berg</t>
        </is>
      </c>
      <c r="D224" t="n">
        <v>239</v>
      </c>
      <c r="E224" t="inlineStr">
        <is>
          <t>Joop Leeuwis</t>
        </is>
      </c>
      <c r="F224" t="n">
        <v>287</v>
      </c>
      <c r="G224" t="n">
        <v>370.02</v>
      </c>
      <c r="H224" t="n">
        <v>2444.71</v>
      </c>
    </row>
    <row r="225">
      <c r="A225" t="inlineStr">
        <is>
          <t>Kethelweg 66D</t>
        </is>
      </c>
      <c r="B225" t="inlineStr">
        <is>
          <t>0333</t>
        </is>
      </c>
      <c r="C225" t="inlineStr">
        <is>
          <t>M. Poel</t>
        </is>
      </c>
      <c r="D225" t="n">
        <v>60</v>
      </c>
      <c r="E225" t="inlineStr">
        <is>
          <t>Joost de Jong Beheer</t>
        </is>
      </c>
      <c r="F225" t="n">
        <v>418</v>
      </c>
      <c r="G225" t="n">
        <v>0</v>
      </c>
      <c r="H225" t="n">
        <v>0</v>
      </c>
    </row>
    <row r="226">
      <c r="A226" t="inlineStr">
        <is>
          <t>Kethelweg 68A</t>
        </is>
      </c>
      <c r="B226" t="inlineStr">
        <is>
          <t>0034</t>
        </is>
      </c>
      <c r="C226" t="inlineStr">
        <is>
          <t>M.A. Pronk</t>
        </is>
      </c>
      <c r="D226" t="n">
        <v>70</v>
      </c>
      <c r="E226" t="inlineStr">
        <is>
          <t>Joost de Jong Holding B.V.</t>
        </is>
      </c>
      <c r="F226" t="n">
        <v>8</v>
      </c>
      <c r="G226" t="n">
        <v>491.73</v>
      </c>
      <c r="H226" t="n">
        <v>2108.7</v>
      </c>
    </row>
    <row r="227">
      <c r="A227" t="inlineStr">
        <is>
          <t>Kierkegaardhof 54</t>
        </is>
      </c>
      <c r="B227" t="inlineStr">
        <is>
          <t>0085</t>
        </is>
      </c>
      <c r="C227" t="inlineStr">
        <is>
          <t>M.C. Claassen</t>
        </is>
      </c>
      <c r="D227" t="n">
        <v>1</v>
      </c>
      <c r="E227" t="inlineStr">
        <is>
          <t>KGV B.V.</t>
        </is>
      </c>
      <c r="F227" t="n">
        <v>91</v>
      </c>
      <c r="G227" t="n">
        <v>200</v>
      </c>
      <c r="H227" t="n">
        <v>2400</v>
      </c>
    </row>
    <row r="228">
      <c r="A228" t="inlineStr">
        <is>
          <t>Kimbrenoord 15</t>
        </is>
      </c>
      <c r="B228" t="inlineStr">
        <is>
          <t>0202</t>
        </is>
      </c>
      <c r="C228" t="inlineStr">
        <is>
          <t>M.J. van Os</t>
        </is>
      </c>
      <c r="D228" t="n">
        <v>12</v>
      </c>
      <c r="E228" t="inlineStr">
        <is>
          <t>KIV-Noord B.V.</t>
        </is>
      </c>
      <c r="F228" t="n">
        <v>194</v>
      </c>
      <c r="G228" t="n">
        <v>210.1</v>
      </c>
      <c r="H228" t="n">
        <v>2650</v>
      </c>
    </row>
    <row r="229">
      <c r="A229" t="inlineStr">
        <is>
          <t>Kimbrenoord 49</t>
        </is>
      </c>
      <c r="B229" t="inlineStr">
        <is>
          <t>0359</t>
        </is>
      </c>
      <c r="C229" t="inlineStr">
        <is>
          <t>M@tchm@kers International B.V.</t>
        </is>
      </c>
      <c r="D229" t="n">
        <v>208</v>
      </c>
      <c r="E229" t="inlineStr">
        <is>
          <t>KODE Staffhousing B.V.</t>
        </is>
      </c>
      <c r="F229" t="n">
        <v>259</v>
      </c>
      <c r="G229" t="n">
        <v>27.03</v>
      </c>
      <c r="H229" t="n">
        <v>2250</v>
      </c>
    </row>
    <row r="230">
      <c r="A230" t="inlineStr">
        <is>
          <t>Kleine Beer 60</t>
        </is>
      </c>
      <c r="B230" t="inlineStr">
        <is>
          <t>0086</t>
        </is>
      </c>
      <c r="C230" t="inlineStr">
        <is>
          <t>MB Kewal</t>
        </is>
      </c>
      <c r="D230" t="n">
        <v>335</v>
      </c>
      <c r="E230" t="inlineStr">
        <is>
          <t>KOK GLAS</t>
        </is>
      </c>
      <c r="F230" t="n">
        <v>92</v>
      </c>
      <c r="G230" t="n">
        <v>550</v>
      </c>
      <c r="H230" t="n">
        <v>4000</v>
      </c>
    </row>
    <row r="231">
      <c r="A231" t="inlineStr">
        <is>
          <t>Knuttelstraat 17</t>
        </is>
      </c>
      <c r="B231" t="inlineStr">
        <is>
          <t>0421</t>
        </is>
      </c>
      <c r="C231" t="inlineStr">
        <is>
          <t>MBS Services B.V.</t>
        </is>
      </c>
      <c r="D231" t="n">
        <v>189</v>
      </c>
      <c r="E231" t="inlineStr">
        <is>
          <t>Kaarten en Atlassen</t>
        </is>
      </c>
      <c r="F231" t="n">
        <v>87</v>
      </c>
      <c r="G231" t="n">
        <v>558.91</v>
      </c>
      <c r="H231" t="n">
        <v>0</v>
      </c>
    </row>
    <row r="232">
      <c r="A232" t="inlineStr">
        <is>
          <t>Koningin Julianastraat 27</t>
        </is>
      </c>
      <c r="B232" t="inlineStr">
        <is>
          <t>0119</t>
        </is>
      </c>
      <c r="C232" t="inlineStr">
        <is>
          <t>MC Mostert prive</t>
        </is>
      </c>
      <c r="D232" t="n">
        <v>264</v>
      </c>
      <c r="E232" t="inlineStr">
        <is>
          <t>Kadaster</t>
        </is>
      </c>
      <c r="F232" t="n">
        <v>88</v>
      </c>
      <c r="G232" t="n">
        <v>300</v>
      </c>
      <c r="H232" t="n">
        <v>3775</v>
      </c>
    </row>
    <row r="233">
      <c r="A233" t="inlineStr">
        <is>
          <t>Koperwerf 28</t>
        </is>
      </c>
      <c r="B233" t="inlineStr">
        <is>
          <t>0291</t>
        </is>
      </c>
      <c r="C233" t="inlineStr">
        <is>
          <t>MDI Techniek B.V.</t>
        </is>
      </c>
      <c r="D233" t="n">
        <v>296</v>
      </c>
      <c r="E233" t="inlineStr">
        <is>
          <t>Kamer van Koophandel</t>
        </is>
      </c>
      <c r="F233" t="n">
        <v>266</v>
      </c>
      <c r="G233" t="n">
        <v>0</v>
      </c>
      <c r="H233" t="n">
        <v>0</v>
      </c>
    </row>
    <row r="234">
      <c r="A234" t="inlineStr">
        <is>
          <t>Korhaanstraat 6</t>
        </is>
      </c>
      <c r="B234" t="inlineStr">
        <is>
          <t>0449</t>
        </is>
      </c>
      <c r="C234" t="inlineStr">
        <is>
          <t>MK Contracting BV</t>
        </is>
      </c>
      <c r="D234" t="n">
        <v>337</v>
      </c>
      <c r="E234" t="inlineStr">
        <is>
          <t>Kaplan</t>
        </is>
      </c>
      <c r="F234" t="n">
        <v>384</v>
      </c>
      <c r="G234" t="n">
        <v>0</v>
      </c>
      <c r="H234" t="n">
        <v>0</v>
      </c>
    </row>
    <row r="235">
      <c r="A235" t="inlineStr">
        <is>
          <t>Korte Singelstraat 21-2</t>
        </is>
      </c>
      <c r="B235" t="inlineStr">
        <is>
          <t>0126</t>
        </is>
      </c>
      <c r="C235" t="inlineStr">
        <is>
          <t>MNA Proud Facilities B.V.</t>
        </is>
      </c>
      <c r="D235" t="n">
        <v>348</v>
      </c>
      <c r="E235" t="inlineStr">
        <is>
          <t>Keizer Hoveniersbedrijf</t>
        </is>
      </c>
      <c r="F235" t="n">
        <v>89</v>
      </c>
      <c r="G235" t="n">
        <v>150</v>
      </c>
      <c r="H235" t="n">
        <v>2363.07</v>
      </c>
    </row>
    <row r="236">
      <c r="A236" t="inlineStr">
        <is>
          <t>Korte Singelstraat 21-3</t>
        </is>
      </c>
      <c r="B236" t="inlineStr">
        <is>
          <t>0125</t>
        </is>
      </c>
      <c r="C236" t="inlineStr">
        <is>
          <t>MPC Energy B.V.</t>
        </is>
      </c>
      <c r="D236" t="n">
        <v>238</v>
      </c>
      <c r="E236" t="inlineStr">
        <is>
          <t>Kempers en Koppenol</t>
        </is>
      </c>
      <c r="F236" t="n">
        <v>299</v>
      </c>
      <c r="G236" t="n">
        <v>100</v>
      </c>
      <c r="H236" t="n">
        <v>1610.06</v>
      </c>
    </row>
    <row r="237">
      <c r="A237" t="inlineStr">
        <is>
          <t>Kortlandstraat 8</t>
        </is>
      </c>
      <c r="B237" t="inlineStr">
        <is>
          <t>0486</t>
        </is>
      </c>
      <c r="C237" t="inlineStr">
        <is>
          <t>Maatschap J.W. Meershoek &amp; W.M. Meershoek</t>
        </is>
      </c>
      <c r="D237" t="n">
        <v>7</v>
      </c>
      <c r="E237" t="inlineStr">
        <is>
          <t>Keypro B.V.</t>
        </is>
      </c>
      <c r="F237" t="n">
        <v>90</v>
      </c>
      <c r="G237" t="n">
        <v>0</v>
      </c>
      <c r="H237" t="n">
        <v>0</v>
      </c>
    </row>
    <row r="238">
      <c r="A238" t="inlineStr">
        <is>
          <t>Krabbendijkestraat 429</t>
        </is>
      </c>
      <c r="B238" t="inlineStr">
        <is>
          <t>0430</t>
        </is>
      </c>
      <c r="C238" t="inlineStr">
        <is>
          <t>Maatschap Van Driel - Vd Vlist</t>
        </is>
      </c>
      <c r="D238" t="n">
        <v>229</v>
      </c>
      <c r="E238" t="inlineStr">
        <is>
          <t>Klusman Simon</t>
        </is>
      </c>
      <c r="F238" t="n">
        <v>378</v>
      </c>
      <c r="G238" t="n">
        <v>0</v>
      </c>
      <c r="H238" t="n">
        <v>0</v>
      </c>
    </row>
    <row r="239">
      <c r="A239" t="inlineStr">
        <is>
          <t>Krabbendijkestraat 456</t>
        </is>
      </c>
      <c r="B239" t="inlineStr">
        <is>
          <t>0198</t>
        </is>
      </c>
      <c r="C239" t="inlineStr">
        <is>
          <t>Marco is Vastgoed B.V.</t>
        </is>
      </c>
      <c r="D239" t="n">
        <v>44</v>
      </c>
      <c r="E239" t="inlineStr">
        <is>
          <t>Ko-Tech Kozijntechniek BV</t>
        </is>
      </c>
      <c r="F239" t="n">
        <v>411</v>
      </c>
      <c r="G239" t="n">
        <v>0</v>
      </c>
      <c r="H239" t="n">
        <v>1867.66</v>
      </c>
    </row>
    <row r="240">
      <c r="A240" t="inlineStr">
        <is>
          <t>Kreekrug 1</t>
        </is>
      </c>
      <c r="B240" t="inlineStr">
        <is>
          <t>0205</t>
        </is>
      </c>
      <c r="C240" t="inlineStr">
        <is>
          <t>Marco van Beek B.V.</t>
        </is>
      </c>
      <c r="D240" t="n">
        <v>200</v>
      </c>
      <c r="E240" t="inlineStr">
        <is>
          <t>Koens T. Dhr.</t>
        </is>
      </c>
      <c r="F240" t="n">
        <v>252</v>
      </c>
      <c r="G240" t="n">
        <v>475</v>
      </c>
      <c r="H240" t="n">
        <v>0</v>
      </c>
    </row>
    <row r="241">
      <c r="A241" t="inlineStr">
        <is>
          <t>Kritostraat 54</t>
        </is>
      </c>
      <c r="B241" t="inlineStr">
        <is>
          <t>0389</t>
        </is>
      </c>
      <c r="C241" t="inlineStr">
        <is>
          <t>Maria</t>
        </is>
      </c>
      <c r="D241" t="n">
        <v>294</v>
      </c>
      <c r="E241" t="inlineStr">
        <is>
          <t>Kozijn Service Nederland</t>
        </is>
      </c>
      <c r="F241" t="n">
        <v>294</v>
      </c>
      <c r="G241" t="n">
        <v>200</v>
      </c>
      <c r="H241" t="n">
        <v>2350</v>
      </c>
    </row>
    <row r="242">
      <c r="A242" t="inlineStr">
        <is>
          <t>Kruiningenstraat 152</t>
        </is>
      </c>
      <c r="B242" t="inlineStr">
        <is>
          <t>0206</t>
        </is>
      </c>
      <c r="C242" t="inlineStr">
        <is>
          <t>Marseille Bax Van Maanen Rotterdamse account.</t>
        </is>
      </c>
      <c r="D242" t="n">
        <v>90</v>
      </c>
      <c r="E242" t="inlineStr">
        <is>
          <t>Kpn</t>
        </is>
      </c>
      <c r="F242" t="n">
        <v>93</v>
      </c>
      <c r="G242" t="n">
        <v>240.59</v>
      </c>
      <c r="H242" t="n">
        <v>2400</v>
      </c>
    </row>
    <row r="243">
      <c r="A243" t="inlineStr">
        <is>
          <t>Kruiningenstraat 185</t>
        </is>
      </c>
      <c r="B243" t="inlineStr">
        <is>
          <t>0360</t>
        </is>
      </c>
      <c r="C243" t="inlineStr">
        <is>
          <t>Mavi Vastgoed</t>
        </is>
      </c>
      <c r="D243" t="n">
        <v>282</v>
      </c>
      <c r="E243" t="inlineStr">
        <is>
          <t>Kuwait Petroleum</t>
        </is>
      </c>
      <c r="F243" t="n">
        <v>94</v>
      </c>
      <c r="G243" t="n">
        <v>19.39</v>
      </c>
      <c r="H243" t="n">
        <v>2500</v>
      </c>
    </row>
    <row r="244">
      <c r="A244" t="inlineStr">
        <is>
          <t>Kruisweg 16</t>
        </is>
      </c>
      <c r="B244" t="inlineStr">
        <is>
          <t>0337</t>
        </is>
      </c>
      <c r="C244" t="inlineStr">
        <is>
          <t>Maytree Invest</t>
        </is>
      </c>
      <c r="D244" t="n">
        <v>252</v>
      </c>
      <c r="E244" t="inlineStr">
        <is>
          <t>L&amp;T B.V.</t>
        </is>
      </c>
      <c r="F244" t="n">
        <v>449</v>
      </c>
      <c r="G244" t="n">
        <v>600</v>
      </c>
      <c r="H244" t="n">
        <v>4750</v>
      </c>
    </row>
    <row r="245">
      <c r="A245" t="inlineStr">
        <is>
          <t>Kuipers-Rietbergpad 15</t>
        </is>
      </c>
      <c r="B245" t="inlineStr">
        <is>
          <t>0157</t>
        </is>
      </c>
      <c r="C245" t="inlineStr">
        <is>
          <t>Mediterranean Careers Netherlands B.V.</t>
        </is>
      </c>
      <c r="D245" t="n">
        <v>292</v>
      </c>
      <c r="E245" t="inlineStr">
        <is>
          <t>L. Keizer</t>
        </is>
      </c>
      <c r="F245" t="n">
        <v>49</v>
      </c>
      <c r="G245" t="n">
        <v>0</v>
      </c>
      <c r="H245" t="n">
        <v>2737.83</v>
      </c>
    </row>
    <row r="246">
      <c r="A246" t="inlineStr">
        <is>
          <t xml:space="preserve">Kwekerslaan 7 </t>
        </is>
      </c>
      <c r="B246" t="inlineStr">
        <is>
          <t>0382</t>
        </is>
      </c>
      <c r="C246" t="inlineStr">
        <is>
          <t>Meerdervoort Queda Real B.V.</t>
        </is>
      </c>
      <c r="D246" t="n">
        <v>152</v>
      </c>
      <c r="E246" t="inlineStr">
        <is>
          <t>L.M. Schilstra</t>
        </is>
      </c>
      <c r="F246" t="n">
        <v>23</v>
      </c>
      <c r="G246" t="n">
        <v>450</v>
      </c>
      <c r="H246" t="n">
        <v>0</v>
      </c>
    </row>
    <row r="247">
      <c r="A247" t="inlineStr">
        <is>
          <t>Kwikstaartweg 45</t>
        </is>
      </c>
      <c r="B247" t="inlineStr">
        <is>
          <t>0207</t>
        </is>
      </c>
      <c r="C247" t="inlineStr">
        <is>
          <t>Milieu Service Brabant</t>
        </is>
      </c>
      <c r="D247" t="n">
        <v>362</v>
      </c>
      <c r="E247" t="inlineStr">
        <is>
          <t>L.M.J.D. B.V.</t>
        </is>
      </c>
      <c r="F247" t="n">
        <v>175</v>
      </c>
      <c r="G247" t="n">
        <v>350.03</v>
      </c>
      <c r="H247" t="n">
        <v>1436.58</v>
      </c>
    </row>
    <row r="248">
      <c r="A248" t="inlineStr">
        <is>
          <t>Laan op zuid 949</t>
        </is>
      </c>
      <c r="B248" t="inlineStr">
        <is>
          <t>0365</t>
        </is>
      </c>
      <c r="C248" t="inlineStr">
        <is>
          <t>Mooswijk T.R. &amp; Plugers R.</t>
        </is>
      </c>
      <c r="D248" t="n">
        <v>195</v>
      </c>
      <c r="E248" t="inlineStr">
        <is>
          <t>La Marina</t>
        </is>
      </c>
      <c r="F248" t="n">
        <v>95</v>
      </c>
      <c r="G248" t="n">
        <v>250</v>
      </c>
      <c r="H248" t="n">
        <v>0</v>
      </c>
    </row>
    <row r="249">
      <c r="A249" t="inlineStr">
        <is>
          <t>Laan van Adrichem 12</t>
        </is>
      </c>
      <c r="B249" t="inlineStr">
        <is>
          <t>0209</t>
        </is>
      </c>
      <c r="C249" t="inlineStr">
        <is>
          <t>Multiservizi Romania SRL</t>
        </is>
      </c>
      <c r="D249" t="n">
        <v>324</v>
      </c>
      <c r="E249" t="inlineStr">
        <is>
          <t>Laadkompas</t>
        </is>
      </c>
      <c r="F249" t="n">
        <v>481</v>
      </c>
      <c r="G249" t="n">
        <v>692.92</v>
      </c>
      <c r="H249" t="n">
        <v>1436.58</v>
      </c>
    </row>
    <row r="250">
      <c r="A250" t="inlineStr">
        <is>
          <t>Laan van Nieuw Blankenburg 278</t>
        </is>
      </c>
      <c r="B250" t="inlineStr">
        <is>
          <t>0090</t>
        </is>
      </c>
      <c r="C250" t="inlineStr">
        <is>
          <t>Multiserwis SP z o.o.</t>
        </is>
      </c>
      <c r="D250" t="n">
        <v>39</v>
      </c>
      <c r="E250" t="inlineStr">
        <is>
          <t>Lago Personeelshuisvesting B.V.</t>
        </is>
      </c>
      <c r="F250" t="n">
        <v>96</v>
      </c>
      <c r="G250" t="n">
        <v>200</v>
      </c>
      <c r="H250" t="n">
        <v>2855.46</v>
      </c>
    </row>
    <row r="251">
      <c r="A251" t="inlineStr">
        <is>
          <t>Laan van Nieuw Blankenburg 328</t>
        </is>
      </c>
      <c r="B251" t="inlineStr">
        <is>
          <t>0185</t>
        </is>
      </c>
      <c r="C251" t="inlineStr">
        <is>
          <t>MvB Services</t>
        </is>
      </c>
      <c r="D251" t="n">
        <v>56</v>
      </c>
      <c r="E251" t="inlineStr">
        <is>
          <t>Langweer Vastgoed B.V.</t>
        </is>
      </c>
      <c r="F251" t="n">
        <v>39</v>
      </c>
      <c r="G251" t="n">
        <v>200</v>
      </c>
      <c r="H251" t="n">
        <v>2853.27</v>
      </c>
    </row>
    <row r="252">
      <c r="A252" t="inlineStr">
        <is>
          <t>Laan van Zuid 949</t>
        </is>
      </c>
      <c r="B252" t="inlineStr">
        <is>
          <t>0450</t>
        </is>
      </c>
      <c r="C252" t="inlineStr">
        <is>
          <t>Mw. M. Hyllested Poulsen en Dhr. S. Crull</t>
        </is>
      </c>
      <c r="D252" t="n">
        <v>180</v>
      </c>
      <c r="E252" t="inlineStr">
        <is>
          <t>LeasePlan Nederland N.V.</t>
        </is>
      </c>
      <c r="F252" t="n">
        <v>97</v>
      </c>
      <c r="G252" t="n">
        <v>159</v>
      </c>
      <c r="H252" t="n">
        <v>0</v>
      </c>
    </row>
    <row r="253">
      <c r="A253" t="inlineStr">
        <is>
          <t>Landsteinerhof 68</t>
        </is>
      </c>
      <c r="B253" t="inlineStr">
        <is>
          <t>0091</t>
        </is>
      </c>
      <c r="C253" t="inlineStr">
        <is>
          <t>N2people B.V.</t>
        </is>
      </c>
      <c r="D253" t="n">
        <v>372</v>
      </c>
      <c r="E253" t="inlineStr">
        <is>
          <t>Leen Bakker Nederland B.V.</t>
        </is>
      </c>
      <c r="F253" t="n">
        <v>272</v>
      </c>
      <c r="G253" t="n">
        <v>0</v>
      </c>
      <c r="H253" t="n">
        <v>2914.8</v>
      </c>
    </row>
    <row r="254">
      <c r="A254" t="inlineStr">
        <is>
          <t>Lange Brink 3</t>
        </is>
      </c>
      <c r="B254" t="inlineStr">
        <is>
          <t>0092</t>
        </is>
      </c>
      <c r="C254" t="inlineStr">
        <is>
          <t>NL Realty B.V.</t>
        </is>
      </c>
      <c r="D254" t="n">
        <v>236</v>
      </c>
      <c r="E254" t="inlineStr">
        <is>
          <t>Lekdetectiecentrale</t>
        </is>
      </c>
      <c r="F254" t="n">
        <v>281</v>
      </c>
      <c r="G254" t="n">
        <v>0</v>
      </c>
      <c r="H254" t="n">
        <v>3643.5</v>
      </c>
    </row>
    <row r="255">
      <c r="A255" t="inlineStr">
        <is>
          <t>Lange Broekweg 46</t>
        </is>
      </c>
      <c r="B255" t="inlineStr">
        <is>
          <t>0278</t>
        </is>
      </c>
      <c r="C255" t="inlineStr">
        <is>
          <t>Nerom Flex B.V.</t>
        </is>
      </c>
      <c r="D255" t="n">
        <v>193</v>
      </c>
      <c r="E255" t="inlineStr">
        <is>
          <t>Liander</t>
        </is>
      </c>
      <c r="F255" t="n">
        <v>365</v>
      </c>
      <c r="G255" t="n">
        <v>0</v>
      </c>
      <c r="H255" t="n">
        <v>1750</v>
      </c>
    </row>
    <row r="256">
      <c r="A256" t="inlineStr">
        <is>
          <t>Lange kruisweg 12</t>
        </is>
      </c>
      <c r="B256" t="inlineStr">
        <is>
          <t>0028</t>
        </is>
      </c>
      <c r="C256" t="inlineStr">
        <is>
          <t>Nerom Industrial Flex B.V.</t>
        </is>
      </c>
      <c r="D256" t="n">
        <v>153</v>
      </c>
      <c r="E256" t="inlineStr">
        <is>
          <t>Lidl</t>
        </is>
      </c>
      <c r="F256" t="n">
        <v>98</v>
      </c>
      <c r="G256" t="n">
        <v>272.64</v>
      </c>
      <c r="H256" t="n">
        <v>1954.12</v>
      </c>
    </row>
    <row r="257">
      <c r="A257" t="inlineStr">
        <is>
          <t>Lauwersmeer 4</t>
        </is>
      </c>
      <c r="B257" t="inlineStr">
        <is>
          <t>0408</t>
        </is>
      </c>
      <c r="C257" t="inlineStr">
        <is>
          <t>O.J.P Soc Construções</t>
        </is>
      </c>
      <c r="D257" t="n">
        <v>25</v>
      </c>
      <c r="E257" t="inlineStr">
        <is>
          <t>Lievaart B.V.</t>
        </is>
      </c>
      <c r="F257" t="n">
        <v>324</v>
      </c>
      <c r="G257" t="n">
        <v>394</v>
      </c>
      <c r="H257" t="n">
        <v>0</v>
      </c>
    </row>
    <row r="258">
      <c r="A258" t="inlineStr">
        <is>
          <t>Lavendelpad 6</t>
        </is>
      </c>
      <c r="B258" t="inlineStr">
        <is>
          <t>0385</t>
        </is>
      </c>
      <c r="C258" t="inlineStr">
        <is>
          <t>O.P.H. Verhuur B.V. / Eigenaar.nl</t>
        </is>
      </c>
      <c r="D258" t="n">
        <v>160</v>
      </c>
      <c r="E258" t="inlineStr">
        <is>
          <t>LogiQ Barendrecht BV</t>
        </is>
      </c>
      <c r="F258" t="n">
        <v>496</v>
      </c>
      <c r="G258" t="n">
        <v>0</v>
      </c>
      <c r="H258" t="n">
        <v>0</v>
      </c>
    </row>
    <row r="259">
      <c r="A259" t="inlineStr">
        <is>
          <t>Leidinglaan 64+66</t>
        </is>
      </c>
      <c r="B259" t="inlineStr">
        <is>
          <t>0451</t>
        </is>
      </c>
      <c r="C259" t="inlineStr">
        <is>
          <t>O.Vasiutina</t>
        </is>
      </c>
      <c r="D259" t="n">
        <v>159</v>
      </c>
      <c r="E259" t="inlineStr">
        <is>
          <t>Luxury Floors</t>
        </is>
      </c>
      <c r="F259" t="n">
        <v>99</v>
      </c>
      <c r="G259" t="n">
        <v>0</v>
      </c>
      <c r="H259" t="n">
        <v>0</v>
      </c>
    </row>
    <row r="260">
      <c r="A260" t="inlineStr">
        <is>
          <t>Lekdijk 14</t>
        </is>
      </c>
      <c r="B260" t="inlineStr">
        <is>
          <t>0366</t>
        </is>
      </c>
      <c r="C260" t="inlineStr">
        <is>
          <t>OGSS BV</t>
        </is>
      </c>
      <c r="D260" t="n">
        <v>104</v>
      </c>
      <c r="E260" t="inlineStr">
        <is>
          <t>M Kathiravelu</t>
        </is>
      </c>
      <c r="F260" t="n">
        <v>425</v>
      </c>
      <c r="G260" t="n">
        <v>0</v>
      </c>
      <c r="H260" t="n">
        <v>0</v>
      </c>
    </row>
    <row r="261">
      <c r="A261" t="inlineStr">
        <is>
          <t>Liesveld 100</t>
        </is>
      </c>
      <c r="B261" t="inlineStr">
        <is>
          <t>0180</t>
        </is>
      </c>
      <c r="C261" t="inlineStr">
        <is>
          <t>OJP B.V.</t>
        </is>
      </c>
      <c r="D261" t="n">
        <v>123</v>
      </c>
      <c r="E261" t="inlineStr">
        <is>
          <t>M en M Hendriks</t>
        </is>
      </c>
      <c r="F261" t="n">
        <v>371</v>
      </c>
      <c r="G261" t="n">
        <v>336.51</v>
      </c>
      <c r="H261" t="n">
        <v>0</v>
      </c>
    </row>
    <row r="262">
      <c r="A262" t="inlineStr">
        <is>
          <t>Loggerstraat 3</t>
        </is>
      </c>
      <c r="B262" t="inlineStr">
        <is>
          <t>0096</t>
        </is>
      </c>
      <c r="C262" t="inlineStr">
        <is>
          <t>Odido Netherlands</t>
        </is>
      </c>
      <c r="D262" t="n">
        <v>370</v>
      </c>
      <c r="E262" t="inlineStr">
        <is>
          <t>M van den Berg e/o H van den Berg</t>
        </is>
      </c>
      <c r="F262" t="n">
        <v>286</v>
      </c>
      <c r="G262" t="n">
        <v>0</v>
      </c>
      <c r="H262" t="n">
        <v>2375</v>
      </c>
    </row>
    <row r="263">
      <c r="A263" t="inlineStr">
        <is>
          <t>Lorentzstraat 73</t>
        </is>
      </c>
      <c r="B263" t="inlineStr">
        <is>
          <t>0210</t>
        </is>
      </c>
      <c r="C263" t="inlineStr">
        <is>
          <t>Oostkracht Bemiddeling B.V.</t>
        </is>
      </c>
      <c r="D263" t="n">
        <v>356</v>
      </c>
      <c r="E263" t="inlineStr">
        <is>
          <t>M. Poel</t>
        </is>
      </c>
      <c r="F263" t="n">
        <v>35</v>
      </c>
      <c r="G263" t="n">
        <v>345.28</v>
      </c>
      <c r="H263" t="n">
        <v>2750</v>
      </c>
    </row>
    <row r="264">
      <c r="A264" t="inlineStr">
        <is>
          <t>Maasdijk 206</t>
        </is>
      </c>
      <c r="B264" t="inlineStr">
        <is>
          <t>0211</t>
        </is>
      </c>
      <c r="C264" t="inlineStr">
        <is>
          <t>Optima Uitzendbureau B.V.</t>
        </is>
      </c>
      <c r="D264" t="n">
        <v>353</v>
      </c>
      <c r="E264" t="inlineStr">
        <is>
          <t>M. van Happen Transport B.V.</t>
        </is>
      </c>
      <c r="F264" t="n">
        <v>162</v>
      </c>
      <c r="G264" t="n">
        <v>602.67</v>
      </c>
      <c r="H264" t="n">
        <v>2300</v>
      </c>
    </row>
    <row r="265">
      <c r="A265" t="inlineStr">
        <is>
          <t>Maasdijk 67</t>
        </is>
      </c>
      <c r="B265" t="inlineStr">
        <is>
          <t>0399</t>
        </is>
      </c>
      <c r="C265" t="inlineStr">
        <is>
          <t>Orange Investments Group</t>
        </is>
      </c>
      <c r="D265" t="n">
        <v>84</v>
      </c>
      <c r="E265" t="inlineStr">
        <is>
          <t>M@tchm@kers International B.V.</t>
        </is>
      </c>
      <c r="F265" t="n">
        <v>255</v>
      </c>
      <c r="G265" t="n">
        <v>193.05</v>
      </c>
      <c r="H265" t="n">
        <v>0</v>
      </c>
    </row>
    <row r="266">
      <c r="A266" t="inlineStr">
        <is>
          <t xml:space="preserve">Maasdijk 69 </t>
        </is>
      </c>
      <c r="B266" t="inlineStr">
        <is>
          <t>0015</t>
        </is>
      </c>
      <c r="C266" t="inlineStr">
        <is>
          <t>Orange Investments Group B.V.</t>
        </is>
      </c>
      <c r="D266" t="n">
        <v>263</v>
      </c>
      <c r="E266" t="inlineStr">
        <is>
          <t>MB Kewal</t>
        </is>
      </c>
      <c r="F266" t="n">
        <v>441</v>
      </c>
      <c r="G266" t="n">
        <v>2470.8</v>
      </c>
      <c r="H266" t="n">
        <v>1934.12</v>
      </c>
    </row>
    <row r="267">
      <c r="A267" t="inlineStr">
        <is>
          <t>Madeliefstraat 46C</t>
        </is>
      </c>
      <c r="B267" t="inlineStr">
        <is>
          <t>0029</t>
        </is>
      </c>
      <c r="C267" t="inlineStr">
        <is>
          <t>Oranjegroep Vastgoed B.V.</t>
        </is>
      </c>
      <c r="D267" t="n">
        <v>285</v>
      </c>
      <c r="E267" t="inlineStr">
        <is>
          <t>MC Mostert prive</t>
        </is>
      </c>
      <c r="F267" t="n">
        <v>343</v>
      </c>
      <c r="G267" t="n">
        <v>200</v>
      </c>
      <c r="H267" t="n">
        <v>1877.65</v>
      </c>
    </row>
    <row r="268">
      <c r="A268" t="inlineStr">
        <is>
          <t>Madeweg 25C</t>
        </is>
      </c>
      <c r="B268" t="inlineStr">
        <is>
          <t>0282</t>
        </is>
      </c>
      <c r="C268" t="inlineStr">
        <is>
          <t>Oxrooms</t>
        </is>
      </c>
      <c r="D268" t="n">
        <v>109</v>
      </c>
      <c r="E268" t="inlineStr">
        <is>
          <t>MIB Verwarmingsbedrijf</t>
        </is>
      </c>
      <c r="F268" t="n">
        <v>104</v>
      </c>
      <c r="G268" t="n">
        <v>0</v>
      </c>
      <c r="H268" t="n">
        <v>0</v>
      </c>
    </row>
    <row r="269">
      <c r="A269" t="inlineStr">
        <is>
          <t>Madeweg 35A</t>
        </is>
      </c>
      <c r="B269" t="inlineStr">
        <is>
          <t>0283</t>
        </is>
      </c>
      <c r="C269" t="inlineStr">
        <is>
          <t>P. Gryspeerdt</t>
        </is>
      </c>
      <c r="D269" t="n">
        <v>66</v>
      </c>
      <c r="E269" t="inlineStr">
        <is>
          <t>MOVE-IZI</t>
        </is>
      </c>
      <c r="F269" t="n">
        <v>500</v>
      </c>
      <c r="G269" t="n">
        <v>632.87</v>
      </c>
      <c r="H269" t="n">
        <v>0</v>
      </c>
    </row>
    <row r="270">
      <c r="A270" t="inlineStr">
        <is>
          <t>Malzwin 34</t>
        </is>
      </c>
      <c r="B270" t="inlineStr">
        <is>
          <t>0182</t>
        </is>
      </c>
      <c r="C270" t="inlineStr">
        <is>
          <t>P. Nederstigt</t>
        </is>
      </c>
      <c r="D270" t="n">
        <v>311</v>
      </c>
      <c r="E270" t="inlineStr">
        <is>
          <t>MWT Loodgieters</t>
        </is>
      </c>
      <c r="F270" t="n">
        <v>439</v>
      </c>
      <c r="G270" t="n">
        <v>0</v>
      </c>
      <c r="H270" t="n">
        <v>2082</v>
      </c>
    </row>
    <row r="271">
      <c r="A271" t="inlineStr">
        <is>
          <t>Marathonlaan 26</t>
        </is>
      </c>
      <c r="B271" t="inlineStr">
        <is>
          <t>0118</t>
        </is>
      </c>
      <c r="C271" t="inlineStr">
        <is>
          <t>P. Ter Haar-Ros</t>
        </is>
      </c>
      <c r="D271" t="n">
        <v>373</v>
      </c>
      <c r="E271" t="inlineStr">
        <is>
          <t>Maatschap J.W. Meershoek &amp; W.M. Meershoek</t>
        </is>
      </c>
      <c r="F271" t="n">
        <v>6</v>
      </c>
      <c r="G271" t="n">
        <v>300</v>
      </c>
      <c r="H271" t="n">
        <v>3300</v>
      </c>
    </row>
    <row r="272">
      <c r="A272" t="inlineStr">
        <is>
          <t xml:space="preserve">Markt 5 </t>
        </is>
      </c>
      <c r="B272" t="inlineStr">
        <is>
          <t>0057</t>
        </is>
      </c>
      <c r="C272" t="inlineStr">
        <is>
          <t>PMM Workforce Management Ltd</t>
        </is>
      </c>
      <c r="D272" t="n">
        <v>277</v>
      </c>
      <c r="E272" t="inlineStr">
        <is>
          <t>Maatschap van Driel vd Vlist</t>
        </is>
      </c>
      <c r="F272" t="n">
        <v>276</v>
      </c>
      <c r="G272" t="n">
        <v>395.02</v>
      </c>
      <c r="H272" t="n">
        <v>4033.88</v>
      </c>
    </row>
    <row r="273">
      <c r="A273" t="inlineStr">
        <is>
          <t>Marnixstraat 32</t>
        </is>
      </c>
      <c r="B273" t="inlineStr">
        <is>
          <t>0323</t>
        </is>
      </c>
      <c r="C273" t="inlineStr">
        <is>
          <t>PRP Solutions Flex Sp. Z.O.O</t>
        </is>
      </c>
      <c r="D273" t="n">
        <v>336</v>
      </c>
      <c r="E273" t="inlineStr">
        <is>
          <t>Maatschap vd Vlist Teuben</t>
        </is>
      </c>
      <c r="F273" t="n">
        <v>400</v>
      </c>
      <c r="G273" t="n">
        <v>300</v>
      </c>
      <c r="H273" t="n">
        <v>2550</v>
      </c>
    </row>
    <row r="274">
      <c r="A274" t="inlineStr">
        <is>
          <t>Mathenesserdijk 261 C03</t>
        </is>
      </c>
      <c r="B274" t="inlineStr">
        <is>
          <t>0184</t>
        </is>
      </c>
      <c r="C274" t="inlineStr">
        <is>
          <t>Parkwonen</t>
        </is>
      </c>
      <c r="D274" t="n">
        <v>258</v>
      </c>
      <c r="E274" t="inlineStr">
        <is>
          <t>Maeva Services</t>
        </is>
      </c>
      <c r="F274" t="n">
        <v>201</v>
      </c>
      <c r="G274" t="n">
        <v>200</v>
      </c>
      <c r="H274" t="n">
        <v>3600</v>
      </c>
    </row>
    <row r="275">
      <c r="A275" t="inlineStr">
        <is>
          <t>Meester G. Groen van Prinsterlaan 313</t>
        </is>
      </c>
      <c r="B275" t="inlineStr">
        <is>
          <t>0018</t>
        </is>
      </c>
      <c r="C275" t="inlineStr">
        <is>
          <t>People21 Services BV</t>
        </is>
      </c>
      <c r="D275" t="n">
        <v>268</v>
      </c>
      <c r="E275" t="inlineStr">
        <is>
          <t>Marco is Vastgoed B.V.</t>
        </is>
      </c>
      <c r="F275" t="n">
        <v>29</v>
      </c>
      <c r="G275" t="n">
        <v>200</v>
      </c>
      <c r="H275" t="n">
        <v>1861.18</v>
      </c>
    </row>
    <row r="276">
      <c r="A276" t="inlineStr">
        <is>
          <t>Melis Stokezijde 94</t>
        </is>
      </c>
      <c r="B276" t="inlineStr">
        <is>
          <t>0098</t>
        </is>
      </c>
      <c r="C276" t="inlineStr">
        <is>
          <t>PersoneelDirectFriesland</t>
        </is>
      </c>
      <c r="D276" t="n">
        <v>222</v>
      </c>
      <c r="E276" t="inlineStr">
        <is>
          <t>Marseille Bax Van Maanen Rotterdamse account.</t>
        </is>
      </c>
      <c r="F276" t="n">
        <v>51</v>
      </c>
      <c r="G276" t="n">
        <v>200</v>
      </c>
      <c r="H276" t="n">
        <v>3250</v>
      </c>
    </row>
    <row r="277">
      <c r="A277" t="inlineStr">
        <is>
          <t>Mendelssohnplein 10C</t>
        </is>
      </c>
      <c r="B277" t="inlineStr">
        <is>
          <t>0215</t>
        </is>
      </c>
      <c r="C277" t="inlineStr">
        <is>
          <t>Plural Albufeira S.R.L.</t>
        </is>
      </c>
      <c r="D277" t="n">
        <v>112</v>
      </c>
      <c r="E277" t="inlineStr">
        <is>
          <t>Mast Allround</t>
        </is>
      </c>
      <c r="F277" t="n">
        <v>401</v>
      </c>
      <c r="G277" t="n">
        <v>75.67</v>
      </c>
      <c r="H277" t="n">
        <v>5710.93</v>
      </c>
    </row>
    <row r="278">
      <c r="A278" t="inlineStr">
        <is>
          <t>Mendelssohnplein 13D</t>
        </is>
      </c>
      <c r="B278" t="inlineStr">
        <is>
          <t>0214</t>
        </is>
      </c>
      <c r="C278" t="inlineStr">
        <is>
          <t>Pol Flex B.V.</t>
        </is>
      </c>
      <c r="D278" t="n">
        <v>49</v>
      </c>
      <c r="E278" t="inlineStr">
        <is>
          <t>Matex Trading B.V.</t>
        </is>
      </c>
      <c r="F278" t="n">
        <v>265</v>
      </c>
      <c r="G278" t="n">
        <v>96.38</v>
      </c>
      <c r="H278" t="n">
        <v>2350</v>
      </c>
    </row>
    <row r="279">
      <c r="A279" t="inlineStr">
        <is>
          <t>Mendelssohnplein 46a</t>
        </is>
      </c>
      <c r="B279" t="inlineStr">
        <is>
          <t>0216</t>
        </is>
      </c>
      <c r="C279" t="inlineStr">
        <is>
          <t>Profectus Staffing Solutions</t>
        </is>
      </c>
      <c r="D279" t="n">
        <v>128</v>
      </c>
      <c r="E279" t="inlineStr">
        <is>
          <t>Maxaro BV</t>
        </is>
      </c>
      <c r="F279" t="n">
        <v>416</v>
      </c>
      <c r="G279" t="n">
        <v>569.98</v>
      </c>
      <c r="H279" t="n">
        <v>2053.74</v>
      </c>
    </row>
    <row r="280">
      <c r="A280" t="inlineStr">
        <is>
          <t>Messchaertplein 36 Bovenwoning</t>
        </is>
      </c>
      <c r="B280" t="inlineStr">
        <is>
          <t>0429</t>
        </is>
      </c>
      <c r="C280" t="inlineStr">
        <is>
          <t>Quality Home Rentals</t>
        </is>
      </c>
      <c r="D280" t="n">
        <v>65</v>
      </c>
      <c r="E280" t="inlineStr">
        <is>
          <t>Maxd'Oro B.V.</t>
        </is>
      </c>
      <c r="F280" t="n">
        <v>101</v>
      </c>
      <c r="G280" t="n">
        <v>0</v>
      </c>
      <c r="H280" t="n">
        <v>0</v>
      </c>
    </row>
    <row r="281">
      <c r="A281" t="inlineStr">
        <is>
          <t>Messchaertplein 39</t>
        </is>
      </c>
      <c r="B281" t="inlineStr">
        <is>
          <t>0035</t>
        </is>
      </c>
      <c r="C281" t="inlineStr">
        <is>
          <t>R&amp;E Services</t>
        </is>
      </c>
      <c r="D281" t="n">
        <v>221</v>
      </c>
      <c r="E281" t="inlineStr">
        <is>
          <t>Maxx Aanhuurmakelaars Leeuwarden</t>
        </is>
      </c>
      <c r="F281" t="n">
        <v>169</v>
      </c>
      <c r="G281" t="n">
        <v>160.42</v>
      </c>
      <c r="H281" t="n">
        <v>2160</v>
      </c>
    </row>
    <row r="282">
      <c r="A282" t="inlineStr">
        <is>
          <t>Messchaertplein 40</t>
        </is>
      </c>
      <c r="B282" t="inlineStr">
        <is>
          <t>0036</t>
        </is>
      </c>
      <c r="C282" t="inlineStr">
        <is>
          <t>R. Bassil</t>
        </is>
      </c>
      <c r="D282" t="n">
        <v>371</v>
      </c>
      <c r="E282" t="inlineStr">
        <is>
          <t>Maxx Leeuwarden</t>
        </is>
      </c>
      <c r="F282" t="n">
        <v>43</v>
      </c>
      <c r="G282" t="n">
        <v>332.55</v>
      </c>
      <c r="H282" t="n">
        <v>2149.41</v>
      </c>
    </row>
    <row r="283">
      <c r="A283" t="inlineStr">
        <is>
          <t>Mgr. W.M. Bekkerslaan 34</t>
        </is>
      </c>
      <c r="B283" t="inlineStr">
        <is>
          <t>0074</t>
        </is>
      </c>
      <c r="C283" t="inlineStr">
        <is>
          <t>RNDV Industries</t>
        </is>
      </c>
      <c r="D283" t="n">
        <v>329</v>
      </c>
      <c r="E283" t="inlineStr">
        <is>
          <t>Maxxy Vastgoed</t>
        </is>
      </c>
      <c r="F283" t="n">
        <v>388</v>
      </c>
      <c r="G283" t="n">
        <v>68.19</v>
      </c>
      <c r="H283" t="n">
        <v>2450</v>
      </c>
    </row>
    <row r="284">
      <c r="A284" t="inlineStr">
        <is>
          <t>Middelrode 8</t>
        </is>
      </c>
      <c r="B284" t="inlineStr">
        <is>
          <t>0217</t>
        </is>
      </c>
      <c r="C284" t="inlineStr">
        <is>
          <t>RNVD Industries</t>
        </is>
      </c>
      <c r="D284" t="n">
        <v>340</v>
      </c>
      <c r="E284" t="inlineStr">
        <is>
          <t>Maytree Invest</t>
        </is>
      </c>
      <c r="F284" t="n">
        <v>313</v>
      </c>
      <c r="G284" t="n">
        <v>91.33</v>
      </c>
      <c r="H284" t="n">
        <v>2250</v>
      </c>
    </row>
    <row r="285">
      <c r="A285" t="inlineStr">
        <is>
          <t>Middenbaan Noord 18A</t>
        </is>
      </c>
      <c r="B285" t="inlineStr">
        <is>
          <t>0251</t>
        </is>
      </c>
      <c r="C285" t="inlineStr">
        <is>
          <t>Randstad Wonen</t>
        </is>
      </c>
      <c r="D285" t="n">
        <v>4</v>
      </c>
      <c r="E285" t="inlineStr">
        <is>
          <t>Mediamarkt</t>
        </is>
      </c>
      <c r="F285" t="n">
        <v>102</v>
      </c>
      <c r="G285" t="n">
        <v>250</v>
      </c>
      <c r="H285" t="n">
        <v>3325</v>
      </c>
    </row>
    <row r="286">
      <c r="A286" t="inlineStr">
        <is>
          <t xml:space="preserve">Middenbaan Noord 18B </t>
        </is>
      </c>
      <c r="B286" t="inlineStr">
        <is>
          <t>0252</t>
        </is>
      </c>
      <c r="C286" t="inlineStr">
        <is>
          <t>Ras R.A. Dhr.</t>
        </is>
      </c>
      <c r="D286" t="n">
        <v>233</v>
      </c>
      <c r="E286" t="inlineStr">
        <is>
          <t>Meubelzorg B.V.</t>
        </is>
      </c>
      <c r="F286" t="n">
        <v>103</v>
      </c>
      <c r="G286" t="n">
        <v>100</v>
      </c>
      <c r="H286" t="n">
        <v>2196.51</v>
      </c>
    </row>
    <row r="287">
      <c r="A287" t="inlineStr">
        <is>
          <t>Middenbaan Noord 18C</t>
        </is>
      </c>
      <c r="B287" t="inlineStr">
        <is>
          <t>0253</t>
        </is>
      </c>
      <c r="C287" t="inlineStr">
        <is>
          <t>Reham Verhuur B.V.</t>
        </is>
      </c>
      <c r="D287" t="n">
        <v>107</v>
      </c>
      <c r="E287" t="inlineStr">
        <is>
          <t>Mevr V de Kovel</t>
        </is>
      </c>
      <c r="F287" t="n">
        <v>289</v>
      </c>
      <c r="G287" t="n">
        <v>100</v>
      </c>
      <c r="H287" t="n">
        <v>2737.83</v>
      </c>
    </row>
    <row r="288">
      <c r="A288" t="inlineStr">
        <is>
          <t>Middenbaan Noord 20A</t>
        </is>
      </c>
      <c r="B288" t="inlineStr">
        <is>
          <t>0254</t>
        </is>
      </c>
      <c r="C288" t="inlineStr">
        <is>
          <t>Resource One B.V.</t>
        </is>
      </c>
      <c r="D288" t="n">
        <v>29</v>
      </c>
      <c r="E288" t="inlineStr">
        <is>
          <t>Milieu Service Brabant</t>
        </is>
      </c>
      <c r="F288" t="n">
        <v>483</v>
      </c>
      <c r="G288" t="n">
        <v>250</v>
      </c>
      <c r="H288" t="n">
        <v>2351.76</v>
      </c>
    </row>
    <row r="289">
      <c r="A289" t="inlineStr">
        <is>
          <t>Middenbaan Noord 20B</t>
        </is>
      </c>
      <c r="B289" t="inlineStr">
        <is>
          <t>0255</t>
        </is>
      </c>
      <c r="C289" t="inlineStr">
        <is>
          <t>Robert L.P. de Jonge</t>
        </is>
      </c>
      <c r="D289" t="n">
        <v>143</v>
      </c>
      <c r="E289" t="inlineStr">
        <is>
          <t>Mooswijk T.R. &amp; Plugers R.</t>
        </is>
      </c>
      <c r="F289" t="n">
        <v>246</v>
      </c>
      <c r="G289" t="n">
        <v>250</v>
      </c>
      <c r="H289" t="n">
        <v>2909.6</v>
      </c>
    </row>
    <row r="290">
      <c r="A290" t="inlineStr">
        <is>
          <t>Middenbaan Noord 20C</t>
        </is>
      </c>
      <c r="B290" t="inlineStr">
        <is>
          <t>0256</t>
        </is>
      </c>
      <c r="C290" t="inlineStr">
        <is>
          <t>Royal DS Personeel-service</t>
        </is>
      </c>
      <c r="D290" t="n">
        <v>304</v>
      </c>
      <c r="E290" t="inlineStr">
        <is>
          <t>Motoport</t>
        </is>
      </c>
      <c r="F290" t="n">
        <v>105</v>
      </c>
      <c r="G290" t="n">
        <v>250</v>
      </c>
      <c r="H290" t="n">
        <v>2909.6</v>
      </c>
    </row>
    <row r="291">
      <c r="A291" t="inlineStr">
        <is>
          <t>Middenbaan Noord 22A</t>
        </is>
      </c>
      <c r="B291" t="inlineStr">
        <is>
          <t>0257</t>
        </is>
      </c>
      <c r="C291" t="inlineStr">
        <is>
          <t>Ruva Vastgoed B.V.</t>
        </is>
      </c>
      <c r="D291" t="n">
        <v>5</v>
      </c>
      <c r="E291" t="inlineStr">
        <is>
          <t>Multiservice bedrijf Sandra</t>
        </is>
      </c>
      <c r="F291" t="n">
        <v>200</v>
      </c>
      <c r="G291" t="n">
        <v>200</v>
      </c>
      <c r="H291" t="n">
        <v>3157.68</v>
      </c>
    </row>
    <row r="292">
      <c r="A292" t="inlineStr">
        <is>
          <t>Middenbaan Noord 22B</t>
        </is>
      </c>
      <c r="B292" t="inlineStr">
        <is>
          <t>0258</t>
        </is>
      </c>
      <c r="C292" t="inlineStr">
        <is>
          <t>RyanRent B.V.</t>
        </is>
      </c>
      <c r="D292" t="n">
        <v>198</v>
      </c>
      <c r="E292" t="inlineStr">
        <is>
          <t>Murat Dogan</t>
        </is>
      </c>
      <c r="F292" t="n">
        <v>318</v>
      </c>
      <c r="G292" t="n">
        <v>250</v>
      </c>
      <c r="H292" t="n">
        <v>2498.54</v>
      </c>
    </row>
    <row r="293">
      <c r="A293" t="inlineStr">
        <is>
          <t xml:space="preserve">Middenbaan Noord 22C </t>
        </is>
      </c>
      <c r="B293" t="inlineStr">
        <is>
          <t>0259</t>
        </is>
      </c>
      <c r="C293" t="inlineStr">
        <is>
          <t>S Kleijweg</t>
        </is>
      </c>
      <c r="D293" t="n">
        <v>361</v>
      </c>
      <c r="E293" t="inlineStr">
        <is>
          <t>MvB Services</t>
        </is>
      </c>
      <c r="F293" t="n">
        <v>33</v>
      </c>
      <c r="G293" t="n">
        <v>250</v>
      </c>
      <c r="H293" t="n">
        <v>2394.3</v>
      </c>
    </row>
    <row r="294">
      <c r="A294" t="inlineStr">
        <is>
          <t>Middenscheepvaartstraat 30</t>
        </is>
      </c>
      <c r="B294" t="inlineStr">
        <is>
          <t>0426</t>
        </is>
      </c>
      <c r="C294" t="inlineStr">
        <is>
          <t>S. Bakker OPH Verhuur</t>
        </is>
      </c>
      <c r="D294" t="n">
        <v>23</v>
      </c>
      <c r="E294" t="inlineStr">
        <is>
          <t>Mw. M. Hyllested Poulsen en Dhr. S. Crull</t>
        </is>
      </c>
      <c r="F294" t="n">
        <v>225</v>
      </c>
      <c r="G294" t="n">
        <v>0</v>
      </c>
      <c r="H294" t="n">
        <v>0</v>
      </c>
    </row>
    <row r="295">
      <c r="A295" t="inlineStr">
        <is>
          <t>Miltonstraat 55</t>
        </is>
      </c>
      <c r="B295" t="inlineStr">
        <is>
          <t>0219</t>
        </is>
      </c>
      <c r="C295" t="inlineStr">
        <is>
          <t>S. Dolstra</t>
        </is>
      </c>
      <c r="D295" t="n">
        <v>20</v>
      </c>
      <c r="E295" t="inlineStr">
        <is>
          <t>Mw. M. Hyllested Poulsen en Dhr. S. Crull</t>
        </is>
      </c>
      <c r="F295" t="n">
        <v>226</v>
      </c>
      <c r="G295" t="n">
        <v>88.84</v>
      </c>
      <c r="H295" t="n">
        <v>1450</v>
      </c>
    </row>
    <row r="296">
      <c r="A296" t="inlineStr">
        <is>
          <t>Miltonstraat 85</t>
        </is>
      </c>
      <c r="B296" t="inlineStr">
        <is>
          <t>0220</t>
        </is>
      </c>
      <c r="C296" t="inlineStr">
        <is>
          <t>S. Kleiren</t>
        </is>
      </c>
      <c r="D296" t="n">
        <v>326</v>
      </c>
      <c r="E296" t="inlineStr">
        <is>
          <t>N.van Dijk Bouwservice</t>
        </is>
      </c>
      <c r="F296" t="n">
        <v>152</v>
      </c>
      <c r="G296" t="n">
        <v>25.69</v>
      </c>
      <c r="H296" t="n">
        <v>2500</v>
      </c>
    </row>
    <row r="297">
      <c r="A297" t="inlineStr">
        <is>
          <t>Molendijk 4</t>
        </is>
      </c>
      <c r="B297" t="inlineStr">
        <is>
          <t>0076</t>
        </is>
      </c>
      <c r="C297" t="inlineStr">
        <is>
          <t>S. Marinus (zie 50200)</t>
        </is>
      </c>
      <c r="D297" t="n">
        <v>62</v>
      </c>
      <c r="E297" t="inlineStr">
        <is>
          <t>NL Housing B.V.</t>
        </is>
      </c>
      <c r="F297" t="n">
        <v>11</v>
      </c>
      <c r="G297" t="n">
        <v>260</v>
      </c>
      <c r="H297" t="n">
        <v>3608.79</v>
      </c>
    </row>
    <row r="298">
      <c r="A298" t="inlineStr">
        <is>
          <t>Molenstraat 10</t>
        </is>
      </c>
      <c r="B298" t="inlineStr">
        <is>
          <t>0221</t>
        </is>
      </c>
      <c r="C298" t="inlineStr">
        <is>
          <t>S. Meijer</t>
        </is>
      </c>
      <c r="D298" t="n">
        <v>42</v>
      </c>
      <c r="E298" t="inlineStr">
        <is>
          <t>NMI Techniek</t>
        </is>
      </c>
      <c r="F298" t="n">
        <v>469</v>
      </c>
      <c r="G298" t="n">
        <v>1600</v>
      </c>
      <c r="H298" t="n">
        <v>3800</v>
      </c>
    </row>
    <row r="299">
      <c r="A299" t="inlineStr">
        <is>
          <t>Molenstraat 23</t>
        </is>
      </c>
      <c r="B299" t="inlineStr">
        <is>
          <t>0222</t>
        </is>
      </c>
      <c r="C299" t="inlineStr">
        <is>
          <t>SHGJ Ribbink</t>
        </is>
      </c>
      <c r="D299" t="n">
        <v>343</v>
      </c>
      <c r="E299" t="inlineStr">
        <is>
          <t>Nespresso</t>
        </is>
      </c>
      <c r="F299" t="n">
        <v>106</v>
      </c>
      <c r="G299" t="n">
        <v>477.68</v>
      </c>
      <c r="H299" t="n">
        <v>2498.4</v>
      </c>
    </row>
    <row r="300">
      <c r="A300" t="inlineStr">
        <is>
          <t>Molenweg 135</t>
        </is>
      </c>
      <c r="B300" t="inlineStr">
        <is>
          <t>0100</t>
        </is>
      </c>
      <c r="C300" t="inlineStr">
        <is>
          <t>SS Kara Yacht Painters LLP</t>
        </is>
      </c>
      <c r="D300" t="n">
        <v>316</v>
      </c>
      <c r="E300" t="inlineStr">
        <is>
          <t>Normec VRO</t>
        </is>
      </c>
      <c r="F300" t="n">
        <v>415</v>
      </c>
      <c r="G300" t="n">
        <v>300</v>
      </c>
      <c r="H300" t="n">
        <v>2932.13</v>
      </c>
    </row>
    <row r="301">
      <c r="A301" t="inlineStr">
        <is>
          <t>Molenweg 3A</t>
        </is>
      </c>
      <c r="B301" t="inlineStr">
        <is>
          <t>0284</t>
        </is>
      </c>
      <c r="C301" t="inlineStr">
        <is>
          <t>STANA d.o.o.</t>
        </is>
      </c>
      <c r="D301" t="n">
        <v>196</v>
      </c>
      <c r="E301" t="inlineStr">
        <is>
          <t>Notariskant Zuijdgeest BV</t>
        </is>
      </c>
      <c r="F301" t="n">
        <v>107</v>
      </c>
      <c r="G301" t="n">
        <v>609.67</v>
      </c>
      <c r="H301" t="n">
        <v>0</v>
      </c>
    </row>
    <row r="302">
      <c r="A302" t="inlineStr">
        <is>
          <t>Molenweg 3B</t>
        </is>
      </c>
      <c r="B302" t="inlineStr">
        <is>
          <t>0335</t>
        </is>
      </c>
      <c r="C302" t="inlineStr">
        <is>
          <t>Sagius Uitzenders B.V.</t>
        </is>
      </c>
      <c r="D302" t="n">
        <v>18</v>
      </c>
      <c r="E302" t="inlineStr">
        <is>
          <t>O. van Eldert</t>
        </is>
      </c>
      <c r="F302" t="n">
        <v>492</v>
      </c>
      <c r="G302" t="n">
        <v>200</v>
      </c>
      <c r="H302" t="n">
        <v>3600</v>
      </c>
    </row>
    <row r="303">
      <c r="A303" t="inlineStr">
        <is>
          <t>Monsterseweg 26A</t>
        </is>
      </c>
      <c r="B303" t="inlineStr">
        <is>
          <t>0358</t>
        </is>
      </c>
      <c r="C303" t="inlineStr">
        <is>
          <t>Showtuin Nederland B.V.</t>
        </is>
      </c>
      <c r="D303" t="n">
        <v>345</v>
      </c>
      <c r="E303" t="inlineStr">
        <is>
          <t>O.P.H. Verhuur B.V. / Eigenaar.nl</t>
        </is>
      </c>
      <c r="F303" t="n">
        <v>210</v>
      </c>
      <c r="G303" t="n">
        <v>0</v>
      </c>
      <c r="H303" t="n">
        <v>0</v>
      </c>
    </row>
    <row r="304">
      <c r="A304" t="inlineStr">
        <is>
          <t>Moureauveld 8</t>
        </is>
      </c>
      <c r="B304" t="inlineStr">
        <is>
          <t>0101</t>
        </is>
      </c>
      <c r="C304" t="inlineStr">
        <is>
          <t>Shtan Vitaliy</t>
        </is>
      </c>
      <c r="D304" t="n">
        <v>349</v>
      </c>
      <c r="E304" t="inlineStr">
        <is>
          <t>O.Vasiutina</t>
        </is>
      </c>
      <c r="F304" t="n">
        <v>208</v>
      </c>
      <c r="G304" t="n">
        <v>250</v>
      </c>
      <c r="H304" t="n">
        <v>2800</v>
      </c>
    </row>
    <row r="305">
      <c r="A305" t="inlineStr">
        <is>
          <t>Mr. L.A. Kesperweg 31A</t>
        </is>
      </c>
      <c r="B305" t="inlineStr">
        <is>
          <t>0208</t>
        </is>
      </c>
      <c r="C305" t="inlineStr">
        <is>
          <t>Soul inn B.B B.V</t>
        </is>
      </c>
      <c r="D305" t="n">
        <v>293</v>
      </c>
      <c r="E305" t="inlineStr">
        <is>
          <t>OBC Winters</t>
        </is>
      </c>
      <c r="F305" t="n">
        <v>237</v>
      </c>
      <c r="G305" t="n">
        <v>189.37</v>
      </c>
      <c r="H305" t="n">
        <v>1436.58</v>
      </c>
    </row>
    <row r="306">
      <c r="A306" t="inlineStr">
        <is>
          <t>Mr. Troelstrastraat 11</t>
        </is>
      </c>
      <c r="B306" t="inlineStr">
        <is>
          <t>0213</t>
        </is>
      </c>
      <c r="C306" t="inlineStr">
        <is>
          <t>Space4U B.V.</t>
        </is>
      </c>
      <c r="D306" t="n">
        <v>61</v>
      </c>
      <c r="E306" t="inlineStr">
        <is>
          <t>OJP B.V.</t>
        </is>
      </c>
      <c r="F306" t="n">
        <v>176</v>
      </c>
      <c r="G306" t="n">
        <v>283.56</v>
      </c>
      <c r="H306" t="n">
        <v>0</v>
      </c>
    </row>
    <row r="307">
      <c r="A307" t="inlineStr">
        <is>
          <t>Mr. Troelstrastraat 37</t>
        </is>
      </c>
      <c r="B307" t="inlineStr">
        <is>
          <t>0020</t>
        </is>
      </c>
      <c r="C307" t="inlineStr">
        <is>
          <t>St. Zakelijke Beh.rek. Dijkstra Vastgoedbeh.</t>
        </is>
      </c>
      <c r="D307" t="n">
        <v>156</v>
      </c>
      <c r="E307" t="inlineStr">
        <is>
          <t>Odido Netherlands</t>
        </is>
      </c>
      <c r="F307" t="n">
        <v>493</v>
      </c>
      <c r="G307" t="n">
        <v>181.36</v>
      </c>
      <c r="H307" t="n">
        <v>1783.53</v>
      </c>
    </row>
    <row r="308">
      <c r="A308" t="inlineStr">
        <is>
          <t>Narcissenstraat 23</t>
        </is>
      </c>
      <c r="B308" t="inlineStr">
        <is>
          <t>0103</t>
        </is>
      </c>
      <c r="C308" t="inlineStr">
        <is>
          <t>Stay21</t>
        </is>
      </c>
      <c r="D308" t="n">
        <v>89</v>
      </c>
      <c r="E308" t="inlineStr">
        <is>
          <t>Ok Gas B.V.</t>
        </is>
      </c>
      <c r="F308" t="n">
        <v>474</v>
      </c>
      <c r="G308" t="n">
        <v>250</v>
      </c>
      <c r="H308" t="n">
        <v>1700</v>
      </c>
    </row>
    <row r="309">
      <c r="A309" t="inlineStr">
        <is>
          <t>Narcissenstraat 37</t>
        </is>
      </c>
      <c r="B309" t="inlineStr">
        <is>
          <t>0104</t>
        </is>
      </c>
      <c r="C309" t="inlineStr">
        <is>
          <t>StayProjects Group Netherlands B.V.</t>
        </is>
      </c>
      <c r="D309" t="n">
        <v>72</v>
      </c>
      <c r="E309" t="inlineStr">
        <is>
          <t>Onderhoudsbedrijf AG Wolters</t>
        </is>
      </c>
      <c r="F309" t="n">
        <v>341</v>
      </c>
      <c r="G309" t="n">
        <v>375</v>
      </c>
      <c r="H309" t="n">
        <v>1850</v>
      </c>
    </row>
    <row r="310">
      <c r="A310" t="inlineStr">
        <is>
          <t>Narcissenstraat 9</t>
        </is>
      </c>
      <c r="B310" t="inlineStr">
        <is>
          <t>0102</t>
        </is>
      </c>
      <c r="C310" t="inlineStr">
        <is>
          <t>Stichting Bewaring PRMD</t>
        </is>
      </c>
      <c r="D310" t="n">
        <v>120</v>
      </c>
      <c r="E310" t="inlineStr">
        <is>
          <t>Ongedierte Bestrijding Westland (Naaldwijk)</t>
        </is>
      </c>
      <c r="F310" t="n">
        <v>464</v>
      </c>
      <c r="G310" t="n">
        <v>300</v>
      </c>
      <c r="H310" t="n">
        <v>2250</v>
      </c>
    </row>
    <row r="311">
      <c r="A311" t="inlineStr">
        <is>
          <t>Nic. Beetsstraat 29</t>
        </is>
      </c>
      <c r="B311" t="inlineStr">
        <is>
          <t>0452</t>
        </is>
      </c>
      <c r="C311" t="inlineStr">
        <is>
          <t>Suricare B.V.</t>
        </is>
      </c>
      <c r="D311" t="n">
        <v>217</v>
      </c>
      <c r="E311" t="inlineStr">
        <is>
          <t>Open Guard</t>
        </is>
      </c>
      <c r="F311" t="n">
        <v>108</v>
      </c>
      <c r="G311" t="n">
        <v>202.99</v>
      </c>
      <c r="H311" t="n">
        <v>0</v>
      </c>
    </row>
    <row r="312">
      <c r="A312" t="inlineStr">
        <is>
          <t>Nicolaas Beetsstraat 29</t>
        </is>
      </c>
      <c r="B312" t="inlineStr">
        <is>
          <t>0224</t>
        </is>
      </c>
      <c r="C312" t="inlineStr">
        <is>
          <t>T. Hoolhorst</t>
        </is>
      </c>
      <c r="D312" t="n">
        <v>147</v>
      </c>
      <c r="E312" t="inlineStr">
        <is>
          <t>Orange Investments Group B.V.</t>
        </is>
      </c>
      <c r="F312" t="n">
        <v>342</v>
      </c>
      <c r="G312" t="n">
        <v>39.31</v>
      </c>
      <c r="H312" t="n">
        <v>0</v>
      </c>
    </row>
    <row r="313">
      <c r="A313" t="inlineStr">
        <is>
          <t>Nieuwe Zeedijk 1K 308</t>
        </is>
      </c>
      <c r="B313" t="inlineStr">
        <is>
          <t>0108</t>
        </is>
      </c>
      <c r="C313" t="inlineStr">
        <is>
          <t>T. van de Moosdijk</t>
        </is>
      </c>
      <c r="D313" t="n">
        <v>132</v>
      </c>
      <c r="E313" t="inlineStr">
        <is>
          <t>Oscar van Ham</t>
        </is>
      </c>
      <c r="F313" t="n">
        <v>434</v>
      </c>
      <c r="G313" t="n">
        <v>0</v>
      </c>
      <c r="H313" t="n">
        <v>3275</v>
      </c>
    </row>
    <row r="314">
      <c r="A314" t="inlineStr">
        <is>
          <t>Nieuwenhoornstraat 46B</t>
        </is>
      </c>
      <c r="B314" t="inlineStr">
        <is>
          <t>0046</t>
        </is>
      </c>
      <c r="C314" t="inlineStr">
        <is>
          <t>T.A. Middelkoop</t>
        </is>
      </c>
      <c r="D314" t="n">
        <v>81</v>
      </c>
      <c r="E314" t="inlineStr">
        <is>
          <t>Ouwendijk Service Bouwmarkt</t>
        </is>
      </c>
      <c r="F314" t="n">
        <v>109</v>
      </c>
      <c r="G314" t="n">
        <v>200</v>
      </c>
      <c r="H314" t="n">
        <v>1957.65</v>
      </c>
    </row>
    <row r="315">
      <c r="A315" t="inlineStr">
        <is>
          <t>Nieuwkerkstraat 78</t>
        </is>
      </c>
      <c r="B315" t="inlineStr">
        <is>
          <t>0166</t>
        </is>
      </c>
      <c r="C315" t="inlineStr">
        <is>
          <t>T.A. van der Burg</t>
        </is>
      </c>
      <c r="D315" t="n">
        <v>3</v>
      </c>
      <c r="E315" t="inlineStr">
        <is>
          <t>Oxigo B.V.</t>
        </is>
      </c>
      <c r="F315" t="n">
        <v>110</v>
      </c>
      <c r="G315" t="n">
        <v>300</v>
      </c>
      <c r="H315" t="n">
        <v>2169.06</v>
      </c>
    </row>
    <row r="316">
      <c r="A316" t="inlineStr">
        <is>
          <t>Nijverheidstraat 26a, Studio 201</t>
        </is>
      </c>
      <c r="B316" t="inlineStr">
        <is>
          <t>0453</t>
        </is>
      </c>
      <c r="C316" t="inlineStr">
        <is>
          <t>THS EU B.V.</t>
        </is>
      </c>
      <c r="D316" t="n">
        <v>235</v>
      </c>
      <c r="E316" t="inlineStr">
        <is>
          <t>Oxrooms</t>
        </is>
      </c>
      <c r="F316" t="n">
        <v>159</v>
      </c>
      <c r="G316" t="n">
        <v>0</v>
      </c>
      <c r="H316" t="n">
        <v>0</v>
      </c>
    </row>
    <row r="317">
      <c r="A317" t="inlineStr">
        <is>
          <t>Noordmolenstraat 34</t>
        </is>
      </c>
      <c r="B317" t="inlineStr">
        <is>
          <t>0482</t>
        </is>
      </c>
      <c r="C317" t="inlineStr">
        <is>
          <t>TNM Vastgoed B.V.</t>
        </is>
      </c>
      <c r="D317" t="n">
        <v>155</v>
      </c>
      <c r="E317" t="inlineStr">
        <is>
          <t>P. Nederstigt</t>
        </is>
      </c>
      <c r="F317" t="n">
        <v>412</v>
      </c>
      <c r="G317" t="n">
        <v>0</v>
      </c>
      <c r="H317" t="n">
        <v>0</v>
      </c>
    </row>
    <row r="318">
      <c r="A318" t="inlineStr">
        <is>
          <t>Noordmolenstraat 36A</t>
        </is>
      </c>
      <c r="B318" t="inlineStr">
        <is>
          <t>0328</t>
        </is>
      </c>
      <c r="C318" t="inlineStr">
        <is>
          <t>TOTAL Nederland N.V.</t>
        </is>
      </c>
      <c r="D318" t="n">
        <v>99</v>
      </c>
      <c r="E318" t="inlineStr">
        <is>
          <t>P.M.F. Otten Deurwaarder Heerlen B.V.</t>
        </is>
      </c>
      <c r="F318" t="n">
        <v>111</v>
      </c>
      <c r="G318" t="n">
        <v>200</v>
      </c>
      <c r="H318" t="n">
        <v>0</v>
      </c>
    </row>
    <row r="319">
      <c r="A319" t="inlineStr">
        <is>
          <t>Noordmolenstraat 36B</t>
        </is>
      </c>
      <c r="B319" t="inlineStr">
        <is>
          <t>0329</t>
        </is>
      </c>
      <c r="C319" t="inlineStr">
        <is>
          <t>Team Home Rentals B.V.</t>
        </is>
      </c>
      <c r="D319" t="n">
        <v>30</v>
      </c>
      <c r="E319" t="inlineStr">
        <is>
          <t>PFw Jaspers</t>
        </is>
      </c>
      <c r="F319" t="n">
        <v>320</v>
      </c>
      <c r="G319" t="n">
        <v>200</v>
      </c>
      <c r="H319" t="n">
        <v>0</v>
      </c>
    </row>
    <row r="320">
      <c r="A320" t="inlineStr">
        <is>
          <t>Noordmolenstraat 36C</t>
        </is>
      </c>
      <c r="B320" t="inlineStr">
        <is>
          <t>0330</t>
        </is>
      </c>
      <c r="C320" t="inlineStr">
        <is>
          <t>Team Technical Services BV</t>
        </is>
      </c>
      <c r="D320" t="n">
        <v>280</v>
      </c>
      <c r="E320" t="inlineStr">
        <is>
          <t>PJAJ Verhoef</t>
        </is>
      </c>
      <c r="F320" t="n">
        <v>456</v>
      </c>
      <c r="G320" t="n">
        <v>200</v>
      </c>
      <c r="H320" t="n">
        <v>0</v>
      </c>
    </row>
    <row r="321">
      <c r="A321" t="inlineStr">
        <is>
          <t>Noordmolenstraat 38A</t>
        </is>
      </c>
      <c r="B321" t="inlineStr">
        <is>
          <t>0480</t>
        </is>
      </c>
      <c r="C321" t="inlineStr">
        <is>
          <t>Team Unica B.V.</t>
        </is>
      </c>
      <c r="D321" t="n">
        <v>286</v>
      </c>
      <c r="E321" t="inlineStr">
        <is>
          <t>PPP diensten</t>
        </is>
      </c>
      <c r="F321" t="n">
        <v>327</v>
      </c>
      <c r="G321" t="n">
        <v>0</v>
      </c>
      <c r="H321" t="n">
        <v>0</v>
      </c>
    </row>
    <row r="322">
      <c r="A322" t="inlineStr">
        <is>
          <t>Noordmolenstraat 38B</t>
        </is>
      </c>
      <c r="B322" t="inlineStr">
        <is>
          <t>0481</t>
        </is>
      </c>
      <c r="C322" t="inlineStr">
        <is>
          <t>TecFlex B.V.</t>
        </is>
      </c>
      <c r="D322" t="n">
        <v>212</v>
      </c>
      <c r="E322" t="inlineStr">
        <is>
          <t>PWN Waterleidingbedrijf Noord-Holland</t>
        </is>
      </c>
      <c r="F322" t="n">
        <v>507</v>
      </c>
      <c r="G322" t="n">
        <v>0</v>
      </c>
      <c r="H322" t="n">
        <v>0</v>
      </c>
    </row>
    <row r="323">
      <c r="A323" t="inlineStr">
        <is>
          <t>Noordstraat 26</t>
        </is>
      </c>
      <c r="B323" t="inlineStr">
        <is>
          <t>0409</t>
        </is>
      </c>
      <c r="C323" t="inlineStr">
        <is>
          <t>Techvisie Personeelsdiensten Centraal B.V.</t>
        </is>
      </c>
      <c r="D323" t="n">
        <v>243</v>
      </c>
      <c r="E323" t="inlineStr">
        <is>
          <t>Paalman</t>
        </is>
      </c>
      <c r="F323" t="n">
        <v>447</v>
      </c>
      <c r="G323" t="n">
        <v>20</v>
      </c>
      <c r="H323" t="n">
        <v>0</v>
      </c>
    </row>
    <row r="324">
      <c r="A324" t="inlineStr">
        <is>
          <t>Nunspeetlaan 14</t>
        </is>
      </c>
      <c r="B324" t="inlineStr">
        <is>
          <t>0001</t>
        </is>
      </c>
      <c r="C324" t="inlineStr">
        <is>
          <t>Tempsteel B.V.</t>
        </is>
      </c>
      <c r="D324" t="n">
        <v>199</v>
      </c>
      <c r="E324" t="inlineStr">
        <is>
          <t>Parc Merwede / Miven BV</t>
        </is>
      </c>
      <c r="F324" t="n">
        <v>426</v>
      </c>
      <c r="G324" t="n">
        <v>0</v>
      </c>
      <c r="H324" t="n">
        <v>1816.47</v>
      </c>
    </row>
    <row r="325">
      <c r="A325" t="inlineStr">
        <is>
          <t>Nunspeetlaan 53</t>
        </is>
      </c>
      <c r="B325" t="inlineStr">
        <is>
          <t>0041</t>
        </is>
      </c>
      <c r="C325" t="inlineStr">
        <is>
          <t>The Housing Guild B.V.</t>
        </is>
      </c>
      <c r="D325" t="n">
        <v>21</v>
      </c>
      <c r="E325" t="inlineStr">
        <is>
          <t>Parfumerie Douglas</t>
        </is>
      </c>
      <c r="F325" t="n">
        <v>112</v>
      </c>
      <c r="G325" t="n">
        <v>0</v>
      </c>
      <c r="H325" t="n">
        <v>1834.12</v>
      </c>
    </row>
    <row r="326">
      <c r="A326" t="inlineStr">
        <is>
          <t>Ofwegen 1A</t>
        </is>
      </c>
      <c r="B326" t="inlineStr">
        <is>
          <t>0336</t>
        </is>
      </c>
      <c r="C326" t="inlineStr">
        <is>
          <t>Thuisvesting B.V.</t>
        </is>
      </c>
      <c r="D326" t="n">
        <v>301</v>
      </c>
      <c r="E326" t="inlineStr">
        <is>
          <t>Parkwonen</t>
        </is>
      </c>
      <c r="F326" t="n">
        <v>329</v>
      </c>
      <c r="G326" t="n">
        <v>350</v>
      </c>
      <c r="H326" t="n">
        <v>2900</v>
      </c>
    </row>
    <row r="327">
      <c r="A327" t="inlineStr">
        <is>
          <t>Oostduinlaan 14</t>
        </is>
      </c>
      <c r="B327" t="inlineStr">
        <is>
          <t>0483</t>
        </is>
      </c>
      <c r="C327" t="inlineStr">
        <is>
          <t>Timing Uitzendteam BV</t>
        </is>
      </c>
      <c r="D327" t="n">
        <v>315</v>
      </c>
      <c r="E327" t="inlineStr">
        <is>
          <t>Pens.com</t>
        </is>
      </c>
      <c r="F327" t="n">
        <v>393</v>
      </c>
      <c r="G327" t="n">
        <v>0</v>
      </c>
      <c r="H327" t="n">
        <v>0</v>
      </c>
    </row>
    <row r="328">
      <c r="A328" t="inlineStr">
        <is>
          <t>Oostene 23</t>
        </is>
      </c>
      <c r="B328" t="inlineStr">
        <is>
          <t>0454</t>
        </is>
      </c>
      <c r="C328" t="inlineStr">
        <is>
          <t>Tradiro Services B.V.</t>
        </is>
      </c>
      <c r="D328" t="n">
        <v>17</v>
      </c>
      <c r="E328" t="inlineStr">
        <is>
          <t>Pestec Ongediertebestrijding</t>
        </is>
      </c>
      <c r="F328" t="n">
        <v>381</v>
      </c>
      <c r="G328" t="n">
        <v>0</v>
      </c>
      <c r="H328" t="n">
        <v>0</v>
      </c>
    </row>
    <row r="329">
      <c r="A329" t="inlineStr">
        <is>
          <t>Oosterstraat 89</t>
        </is>
      </c>
      <c r="B329" t="inlineStr">
        <is>
          <t>0111</t>
        </is>
      </c>
      <c r="C329" t="inlineStr">
        <is>
          <t>Transport People B.V.</t>
        </is>
      </c>
      <c r="D329" t="n">
        <v>254</v>
      </c>
      <c r="E329" t="inlineStr">
        <is>
          <t>PickThisUp B.V.</t>
        </is>
      </c>
      <c r="F329" t="n">
        <v>113</v>
      </c>
      <c r="G329" t="n">
        <v>315.48</v>
      </c>
      <c r="H329" t="n">
        <v>3275</v>
      </c>
    </row>
    <row r="330">
      <c r="A330" t="inlineStr">
        <is>
          <t>Oosthavenkade 39</t>
        </is>
      </c>
      <c r="B330" t="inlineStr">
        <is>
          <t>0405</t>
        </is>
      </c>
      <c r="C330" t="inlineStr">
        <is>
          <t>Twins BV</t>
        </is>
      </c>
      <c r="D330" t="n">
        <v>328</v>
      </c>
      <c r="E330" t="inlineStr">
        <is>
          <t>Pinbetalingen/I-deal</t>
        </is>
      </c>
      <c r="F330" t="n">
        <v>50</v>
      </c>
      <c r="G330" t="n">
        <v>807.23</v>
      </c>
      <c r="H330" t="n">
        <v>0</v>
      </c>
    </row>
    <row r="331">
      <c r="A331" t="inlineStr">
        <is>
          <t xml:space="preserve">Oostlaan 3 </t>
        </is>
      </c>
      <c r="B331" t="inlineStr">
        <is>
          <t>0227</t>
        </is>
      </c>
      <c r="C331" t="inlineStr">
        <is>
          <t>UAB Baltic Contracting Group</t>
        </is>
      </c>
      <c r="D331" t="n">
        <v>244</v>
      </c>
      <c r="E331" t="inlineStr">
        <is>
          <t>Pluimakers eo Eenshuistra</t>
        </is>
      </c>
      <c r="F331" t="n">
        <v>326</v>
      </c>
      <c r="G331" t="n">
        <v>463.53</v>
      </c>
      <c r="H331" t="n">
        <v>2663.43</v>
      </c>
    </row>
    <row r="332">
      <c r="A332" t="inlineStr">
        <is>
          <t>Opaal 9</t>
        </is>
      </c>
      <c r="B332" t="inlineStr">
        <is>
          <t>0110</t>
        </is>
      </c>
      <c r="C332" t="inlineStr">
        <is>
          <t>UAB Techsome</t>
        </is>
      </c>
      <c r="D332" t="n">
        <v>330</v>
      </c>
      <c r="E332" t="inlineStr">
        <is>
          <t>Plus Oostvoorne</t>
        </is>
      </c>
      <c r="F332" t="n">
        <v>261</v>
      </c>
      <c r="G332" t="n">
        <v>300</v>
      </c>
      <c r="H332" t="n">
        <v>3250</v>
      </c>
    </row>
    <row r="333">
      <c r="A333" t="inlineStr">
        <is>
          <t>Oranjestraat 63</t>
        </is>
      </c>
      <c r="B333" t="inlineStr">
        <is>
          <t>0369</t>
        </is>
      </c>
      <c r="C333" t="inlineStr">
        <is>
          <t>UAB Toromega</t>
        </is>
      </c>
      <c r="D333" t="n">
        <v>83</v>
      </c>
      <c r="E333" t="inlineStr">
        <is>
          <t>Polmai Brandbeveiliging B.V.</t>
        </is>
      </c>
      <c r="F333" t="n">
        <v>185</v>
      </c>
      <c r="G333" t="n">
        <v>150</v>
      </c>
      <c r="H333" t="n">
        <v>1600</v>
      </c>
    </row>
    <row r="334">
      <c r="A334" t="inlineStr">
        <is>
          <t>Oudcamp 14</t>
        </is>
      </c>
      <c r="B334" t="inlineStr">
        <is>
          <t>0424</t>
        </is>
      </c>
      <c r="C334" t="inlineStr">
        <is>
          <t>UAB „Laivsta“/ JSC „Laivsta“, Part of Litana Group</t>
        </is>
      </c>
      <c r="D334" t="n">
        <v>245</v>
      </c>
      <c r="E334" t="inlineStr">
        <is>
          <t>Power Home Rentals</t>
        </is>
      </c>
      <c r="F334" t="n">
        <v>233</v>
      </c>
      <c r="G334" t="n">
        <v>-607.33</v>
      </c>
      <c r="H334" t="n">
        <v>0</v>
      </c>
    </row>
    <row r="335">
      <c r="A335" t="inlineStr">
        <is>
          <t>Oudewerfslaan 84</t>
        </is>
      </c>
      <c r="B335" t="inlineStr">
        <is>
          <t>0112</t>
        </is>
      </c>
      <c r="C335" t="inlineStr">
        <is>
          <t>Uitzendbureau Bakker B.V.</t>
        </is>
      </c>
      <c r="D335" t="n">
        <v>298</v>
      </c>
      <c r="E335" t="inlineStr">
        <is>
          <t>PreZero Nederland</t>
        </is>
      </c>
      <c r="F335" t="n">
        <v>247</v>
      </c>
      <c r="G335" t="n">
        <v>250</v>
      </c>
      <c r="H335" t="n">
        <v>2082</v>
      </c>
    </row>
    <row r="336">
      <c r="A336" t="inlineStr">
        <is>
          <t>P.F. Catsstraat 8</t>
        </is>
      </c>
      <c r="B336" t="inlineStr">
        <is>
          <t>0218</t>
        </is>
      </c>
      <c r="C336" t="inlineStr">
        <is>
          <t>Uitzendwerk B.V.</t>
        </is>
      </c>
      <c r="D336" t="n">
        <v>344</v>
      </c>
      <c r="E336" t="inlineStr">
        <is>
          <t>Profoma B.V.</t>
        </is>
      </c>
      <c r="F336" t="n">
        <v>446</v>
      </c>
      <c r="G336" t="n">
        <v>0</v>
      </c>
      <c r="H336" t="n">
        <v>3500</v>
      </c>
    </row>
    <row r="337">
      <c r="A337" t="inlineStr">
        <is>
          <t>P.J. Troelstraweg 2 a</t>
        </is>
      </c>
      <c r="B337" t="inlineStr">
        <is>
          <t>0491</t>
        </is>
      </c>
      <c r="C337" t="inlineStr">
        <is>
          <t>United Homes B.V.</t>
        </is>
      </c>
      <c r="D337" t="n">
        <v>13</v>
      </c>
      <c r="E337" t="inlineStr">
        <is>
          <t>Proviced Holding B.V.</t>
        </is>
      </c>
      <c r="F337" t="n">
        <v>114</v>
      </c>
      <c r="G337" t="n">
        <v>0</v>
      </c>
      <c r="H337" t="n">
        <v>0</v>
      </c>
    </row>
    <row r="338">
      <c r="A338" t="inlineStr">
        <is>
          <t>Papsouwselaan 138</t>
        </is>
      </c>
      <c r="B338" t="inlineStr">
        <is>
          <t>0463</t>
        </is>
      </c>
      <c r="C338" t="inlineStr">
        <is>
          <t>United Homes Inhouse B.V.</t>
        </is>
      </c>
      <c r="D338" t="n">
        <v>117</v>
      </c>
      <c r="E338" t="inlineStr">
        <is>
          <t>Quadrant Vastgoed B.V.</t>
        </is>
      </c>
      <c r="F338" t="n">
        <v>322</v>
      </c>
      <c r="G338" t="n">
        <v>0</v>
      </c>
      <c r="H338" t="n">
        <v>0</v>
      </c>
    </row>
    <row r="339">
      <c r="A339" t="inlineStr">
        <is>
          <t>Papsouwselaan 178</t>
        </is>
      </c>
      <c r="B339" t="inlineStr">
        <is>
          <t>0464</t>
        </is>
      </c>
      <c r="C339" t="inlineStr">
        <is>
          <t>V.B.A. Beheer B.V.</t>
        </is>
      </c>
      <c r="D339" t="n">
        <v>64</v>
      </c>
      <c r="E339" t="inlineStr">
        <is>
          <t>Quality Home Rentals</t>
        </is>
      </c>
      <c r="F339" t="n">
        <v>38</v>
      </c>
      <c r="G339" t="n">
        <v>0</v>
      </c>
      <c r="H339" t="n">
        <v>0</v>
      </c>
    </row>
    <row r="340">
      <c r="A340" t="inlineStr">
        <is>
          <t>Papsouwselaan 30</t>
        </is>
      </c>
      <c r="B340" t="inlineStr">
        <is>
          <t>0455</t>
        </is>
      </c>
      <c r="C340" t="inlineStr">
        <is>
          <t>V.O.F. Groepsaccommodaties Drenthe</t>
        </is>
      </c>
      <c r="D340" t="n">
        <v>24</v>
      </c>
      <c r="E340" t="inlineStr">
        <is>
          <t>Quality Home Solutions</t>
        </is>
      </c>
      <c r="F340" t="n">
        <v>232</v>
      </c>
      <c r="G340" t="n">
        <v>0</v>
      </c>
      <c r="H340" t="n">
        <v>0</v>
      </c>
    </row>
    <row r="341">
      <c r="A341" t="inlineStr">
        <is>
          <t>Papsouwselaan 32</t>
        </is>
      </c>
      <c r="B341" t="inlineStr">
        <is>
          <t>0456</t>
        </is>
      </c>
      <c r="C341" t="inlineStr">
        <is>
          <t>VALO Facilities B.V.</t>
        </is>
      </c>
      <c r="D341" t="n">
        <v>305</v>
      </c>
      <c r="E341" t="inlineStr">
        <is>
          <t>R Stoel</t>
        </is>
      </c>
      <c r="F341" t="n">
        <v>403</v>
      </c>
      <c r="G341" t="n">
        <v>0</v>
      </c>
      <c r="H341" t="n">
        <v>0</v>
      </c>
    </row>
    <row r="342">
      <c r="A342" t="inlineStr">
        <is>
          <t>Papsouwselaan 34</t>
        </is>
      </c>
      <c r="B342" t="inlineStr">
        <is>
          <t>0457</t>
        </is>
      </c>
      <c r="C342" t="inlineStr">
        <is>
          <t>Vaktec BV</t>
        </is>
      </c>
      <c r="D342" t="n">
        <v>16</v>
      </c>
      <c r="E342" t="inlineStr">
        <is>
          <t>R. Bassil</t>
        </is>
      </c>
      <c r="F342" t="n">
        <v>494</v>
      </c>
      <c r="G342" t="n">
        <v>0</v>
      </c>
      <c r="H342" t="n">
        <v>0</v>
      </c>
    </row>
    <row r="343">
      <c r="A343" t="inlineStr">
        <is>
          <t>Papsouwselaan 44</t>
        </is>
      </c>
      <c r="B343" t="inlineStr">
        <is>
          <t>0458</t>
        </is>
      </c>
      <c r="C343" t="inlineStr">
        <is>
          <t>Valkenet Vastgoed B.V.</t>
        </is>
      </c>
      <c r="D343" t="n">
        <v>207</v>
      </c>
      <c r="E343" t="inlineStr">
        <is>
          <t>RAS</t>
        </is>
      </c>
      <c r="F343" t="n">
        <v>115</v>
      </c>
      <c r="G343" t="n">
        <v>0</v>
      </c>
      <c r="H343" t="n">
        <v>0</v>
      </c>
    </row>
    <row r="344">
      <c r="A344" t="inlineStr">
        <is>
          <t>Papsouwselaan 52</t>
        </is>
      </c>
      <c r="B344" t="inlineStr">
        <is>
          <t>0459</t>
        </is>
      </c>
      <c r="C344" t="inlineStr">
        <is>
          <t>Van Bergen Personeelsdiensten B.V.</t>
        </is>
      </c>
      <c r="D344" t="n">
        <v>284</v>
      </c>
      <c r="E344" t="inlineStr">
        <is>
          <t>RBZ Rioolreiniging VOF</t>
        </is>
      </c>
      <c r="F344" t="n">
        <v>487</v>
      </c>
      <c r="G344" t="n">
        <v>0</v>
      </c>
      <c r="H344" t="n">
        <v>0</v>
      </c>
    </row>
    <row r="345">
      <c r="A345" t="inlineStr">
        <is>
          <t>Papsouwselaan 58</t>
        </is>
      </c>
      <c r="B345" t="inlineStr">
        <is>
          <t>0460</t>
        </is>
      </c>
      <c r="C345" t="inlineStr">
        <is>
          <t>Van Mossel Rotterdam</t>
        </is>
      </c>
      <c r="D345" t="n">
        <v>332</v>
      </c>
      <c r="E345" t="inlineStr">
        <is>
          <t>RM Coatings B.V.</t>
        </is>
      </c>
      <c r="F345" t="n">
        <v>467</v>
      </c>
      <c r="G345" t="n">
        <v>0</v>
      </c>
      <c r="H345" t="n">
        <v>0</v>
      </c>
    </row>
    <row r="346">
      <c r="A346" t="inlineStr">
        <is>
          <t>Papsouwselaan 68</t>
        </is>
      </c>
      <c r="B346" t="inlineStr">
        <is>
          <t>0461</t>
        </is>
      </c>
      <c r="C346" t="inlineStr">
        <is>
          <t>Van der Wal Bedrijfshuisvesting B.V.</t>
        </is>
      </c>
      <c r="D346" t="n">
        <v>100</v>
      </c>
      <c r="E346" t="inlineStr">
        <is>
          <t>RNR Riooltechniek</t>
        </is>
      </c>
      <c r="F346" t="n">
        <v>458</v>
      </c>
      <c r="G346" t="n">
        <v>0</v>
      </c>
      <c r="H346" t="n">
        <v>0</v>
      </c>
    </row>
    <row r="347">
      <c r="A347" t="inlineStr">
        <is>
          <t>Papsouwselaan 86</t>
        </is>
      </c>
      <c r="B347" t="inlineStr">
        <is>
          <t>0462</t>
        </is>
      </c>
      <c r="C347" t="inlineStr">
        <is>
          <t>Vast-PS Housing</t>
        </is>
      </c>
      <c r="D347" t="n">
        <v>73</v>
      </c>
      <c r="E347" t="inlineStr">
        <is>
          <t>RRS Nederland BV</t>
        </is>
      </c>
      <c r="F347" t="n">
        <v>285</v>
      </c>
      <c r="G347" t="n">
        <v>0</v>
      </c>
      <c r="H347" t="n">
        <v>0</v>
      </c>
    </row>
    <row r="348">
      <c r="A348" t="inlineStr">
        <is>
          <t>Parallelweg 110A</t>
        </is>
      </c>
      <c r="B348" t="inlineStr">
        <is>
          <t>0042</t>
        </is>
      </c>
      <c r="C348" t="inlineStr">
        <is>
          <t>Verhuur en onderhoudsbedrijf Hilaard</t>
        </is>
      </c>
      <c r="D348" t="n">
        <v>108</v>
      </c>
      <c r="E348" t="inlineStr">
        <is>
          <t>RX Group</t>
        </is>
      </c>
      <c r="F348" t="n">
        <v>499</v>
      </c>
      <c r="G348" t="n">
        <v>0</v>
      </c>
      <c r="H348" t="n">
        <v>2056.47</v>
      </c>
    </row>
    <row r="349">
      <c r="A349" t="inlineStr">
        <is>
          <t>Parallelweg 112D</t>
        </is>
      </c>
      <c r="B349" t="inlineStr">
        <is>
          <t>0479</t>
        </is>
      </c>
      <c r="C349" t="inlineStr">
        <is>
          <t>Verkeersschool Nobel</t>
        </is>
      </c>
      <c r="D349" t="n">
        <v>103</v>
      </c>
      <c r="E349" t="inlineStr">
        <is>
          <t>Ras R.A. Dhr.</t>
        </is>
      </c>
      <c r="F349" t="n">
        <v>274</v>
      </c>
      <c r="G349" t="n">
        <v>0</v>
      </c>
      <c r="H349" t="n">
        <v>0</v>
      </c>
    </row>
    <row r="350">
      <c r="A350" t="inlineStr">
        <is>
          <t>Parallelweg 114C</t>
        </is>
      </c>
      <c r="B350" t="inlineStr">
        <is>
          <t>0380</t>
        </is>
      </c>
      <c r="C350" t="inlineStr">
        <is>
          <t>Verlangen Finance BV</t>
        </is>
      </c>
      <c r="D350" t="n">
        <v>313</v>
      </c>
      <c r="E350" t="inlineStr">
        <is>
          <t>RefurnZ B.V.</t>
        </is>
      </c>
      <c r="F350" t="n">
        <v>198</v>
      </c>
      <c r="G350" t="n">
        <v>250</v>
      </c>
      <c r="H350" t="n">
        <v>0</v>
      </c>
    </row>
    <row r="351">
      <c r="A351" t="inlineStr">
        <is>
          <t xml:space="preserve">Parallelweg 122A </t>
        </is>
      </c>
      <c r="B351" t="inlineStr">
        <is>
          <t>0228</t>
        </is>
      </c>
      <c r="C351" t="inlineStr">
        <is>
          <t>Vivir Wonen</t>
        </is>
      </c>
      <c r="D351" t="n">
        <v>26</v>
      </c>
      <c r="E351" t="inlineStr">
        <is>
          <t>Reham Verhuur B.V.</t>
        </is>
      </c>
      <c r="F351" t="n">
        <v>147</v>
      </c>
      <c r="G351" t="n">
        <v>381.26</v>
      </c>
      <c r="H351" t="n">
        <v>0</v>
      </c>
    </row>
    <row r="352">
      <c r="A352" t="inlineStr">
        <is>
          <t>Parallelweg 132B</t>
        </is>
      </c>
      <c r="B352" t="inlineStr">
        <is>
          <t>0487</t>
        </is>
      </c>
      <c r="C352" t="inlineStr">
        <is>
          <t>Vleesbewerking van der Pijl B.V.</t>
        </is>
      </c>
      <c r="D352" t="n">
        <v>57</v>
      </c>
      <c r="E352" t="inlineStr">
        <is>
          <t>Rekad BV</t>
        </is>
      </c>
      <c r="F352" t="n">
        <v>368</v>
      </c>
      <c r="G352" t="n">
        <v>0</v>
      </c>
      <c r="H352" t="n">
        <v>0</v>
      </c>
    </row>
    <row r="353">
      <c r="A353" t="inlineStr">
        <is>
          <t>Parallelweg 134B</t>
        </is>
      </c>
      <c r="B353" t="inlineStr">
        <is>
          <t>0381</t>
        </is>
      </c>
      <c r="C353" t="inlineStr">
        <is>
          <t>Vlot Vastgoed B.V.</t>
        </is>
      </c>
      <c r="D353" t="n">
        <v>181</v>
      </c>
      <c r="E353" t="inlineStr">
        <is>
          <t>Renewi Nederland B.V.</t>
        </is>
      </c>
      <c r="F353" t="n">
        <v>116</v>
      </c>
      <c r="G353" t="n">
        <v>250</v>
      </c>
      <c r="H353" t="n">
        <v>0</v>
      </c>
    </row>
    <row r="354">
      <c r="A354" t="inlineStr">
        <is>
          <t>Parallelweg 98B</t>
        </is>
      </c>
      <c r="B354" t="inlineStr">
        <is>
          <t>0229</t>
        </is>
      </c>
      <c r="C354" t="inlineStr">
        <is>
          <t>Vondellaan Vastgoed Beheer B.V.</t>
        </is>
      </c>
      <c r="D354" t="n">
        <v>125</v>
      </c>
      <c r="E354" t="inlineStr">
        <is>
          <t>Rentokill Initial</t>
        </is>
      </c>
      <c r="F354" t="n">
        <v>339</v>
      </c>
      <c r="G354" t="n">
        <v>167.62</v>
      </c>
      <c r="H354" t="n">
        <v>2663.43</v>
      </c>
    </row>
    <row r="355">
      <c r="A355" t="inlineStr">
        <is>
          <t>Pasteursingel 61</t>
        </is>
      </c>
      <c r="B355" t="inlineStr">
        <is>
          <t>0230</t>
        </is>
      </c>
      <c r="C355" t="inlineStr">
        <is>
          <t>W.T. Bosgraaf en E. Stam</t>
        </is>
      </c>
      <c r="D355" t="n">
        <v>139</v>
      </c>
      <c r="E355" t="inlineStr">
        <is>
          <t>Reshift Digital B.V.</t>
        </is>
      </c>
      <c r="F355" t="n">
        <v>117</v>
      </c>
      <c r="G355" t="n">
        <v>450</v>
      </c>
      <c r="H355" t="n">
        <v>3383.25</v>
      </c>
    </row>
    <row r="356">
      <c r="A356" t="inlineStr">
        <is>
          <t>Pastoor Gilisstraat 81-A</t>
        </is>
      </c>
      <c r="B356" t="inlineStr">
        <is>
          <t>0344</t>
        </is>
      </c>
      <c r="C356" t="inlineStr">
        <is>
          <t>WIL International B.V.</t>
        </is>
      </c>
      <c r="D356" t="n">
        <v>309</v>
      </c>
      <c r="E356" t="inlineStr">
        <is>
          <t>Resource One B.V.</t>
        </is>
      </c>
      <c r="F356" t="n">
        <v>19</v>
      </c>
      <c r="G356" t="n">
        <v>400</v>
      </c>
      <c r="H356" t="n">
        <v>0</v>
      </c>
    </row>
    <row r="357">
      <c r="A357" t="inlineStr">
        <is>
          <t>Pastoriedijk 325</t>
        </is>
      </c>
      <c r="B357" t="inlineStr">
        <is>
          <t>0395</t>
        </is>
      </c>
      <c r="C357" t="inlineStr">
        <is>
          <t>WILL Vakkrachten B. V.</t>
        </is>
      </c>
      <c r="D357" t="n">
        <v>270</v>
      </c>
      <c r="E357" t="inlineStr">
        <is>
          <t>Rijnaarts</t>
        </is>
      </c>
      <c r="F357" t="n">
        <v>148</v>
      </c>
      <c r="G357" t="n">
        <v>0</v>
      </c>
      <c r="H357" t="n">
        <v>0</v>
      </c>
    </row>
    <row r="358">
      <c r="A358" t="inlineStr">
        <is>
          <t>Pastoriedijk 89</t>
        </is>
      </c>
      <c r="B358" t="inlineStr">
        <is>
          <t>0083</t>
        </is>
      </c>
      <c r="C358" t="inlineStr">
        <is>
          <t>WS Detachering BV</t>
        </is>
      </c>
      <c r="D358" t="n">
        <v>36</v>
      </c>
      <c r="E358" t="inlineStr">
        <is>
          <t>Riofix</t>
        </is>
      </c>
      <c r="F358" t="n">
        <v>353</v>
      </c>
      <c r="G358" t="n">
        <v>0</v>
      </c>
      <c r="H358" t="n">
        <v>2250</v>
      </c>
    </row>
    <row r="359">
      <c r="A359" t="inlineStr">
        <is>
          <t>Patrijsstraat 39</t>
        </is>
      </c>
      <c r="B359" t="inlineStr">
        <is>
          <t>0081</t>
        </is>
      </c>
      <c r="C359" t="inlineStr">
        <is>
          <t>Welcome Housing B.V.</t>
        </is>
      </c>
      <c r="D359" t="n">
        <v>312</v>
      </c>
      <c r="E359" t="inlineStr">
        <is>
          <t>Risa Beheer B.V.</t>
        </is>
      </c>
      <c r="F359" t="n">
        <v>328</v>
      </c>
      <c r="G359" t="n">
        <v>250</v>
      </c>
      <c r="H359" t="n">
        <v>2394.3</v>
      </c>
    </row>
    <row r="360">
      <c r="A360" t="inlineStr">
        <is>
          <t>Persoonsdam 176</t>
        </is>
      </c>
      <c r="B360" t="inlineStr">
        <is>
          <t>0260</t>
        </is>
      </c>
      <c r="C360" t="inlineStr">
        <is>
          <t>Werckpost Service B.V.</t>
        </is>
      </c>
      <c r="D360" t="n">
        <v>149</v>
      </c>
      <c r="E360" t="inlineStr">
        <is>
          <t>Robert L.P. de Jonge</t>
        </is>
      </c>
      <c r="F360" t="n">
        <v>190</v>
      </c>
      <c r="G360" t="n">
        <v>100</v>
      </c>
      <c r="H360" t="n">
        <v>1503.32</v>
      </c>
    </row>
    <row r="361">
      <c r="A361" t="inlineStr">
        <is>
          <t>Persoonsdam 177</t>
        </is>
      </c>
      <c r="B361" t="inlineStr">
        <is>
          <t>0261</t>
        </is>
      </c>
      <c r="C361" t="inlineStr">
        <is>
          <t>Workforce Housing Holland B.V.</t>
        </is>
      </c>
      <c r="D361" t="n">
        <v>338</v>
      </c>
      <c r="E361" t="inlineStr">
        <is>
          <t>Roegiers Glas</t>
        </is>
      </c>
      <c r="F361" t="n">
        <v>424</v>
      </c>
      <c r="G361" t="n">
        <v>100</v>
      </c>
      <c r="H361" t="n">
        <v>1503.32</v>
      </c>
    </row>
    <row r="362">
      <c r="A362" t="inlineStr">
        <is>
          <t>Persoonsdam 178</t>
        </is>
      </c>
      <c r="B362" t="inlineStr">
        <is>
          <t>0262</t>
        </is>
      </c>
      <c r="C362" t="inlineStr">
        <is>
          <t>Workforce Housing International B.V</t>
        </is>
      </c>
      <c r="D362" t="n">
        <v>363</v>
      </c>
      <c r="E362" t="inlineStr">
        <is>
          <t>Rowork</t>
        </is>
      </c>
      <c r="F362" t="n">
        <v>24</v>
      </c>
      <c r="G362" t="n">
        <v>100</v>
      </c>
      <c r="H362" t="n">
        <v>1503.32</v>
      </c>
    </row>
    <row r="363">
      <c r="A363" t="inlineStr">
        <is>
          <t>Persoonsdam 179</t>
        </is>
      </c>
      <c r="B363" t="inlineStr">
        <is>
          <t>0263</t>
        </is>
      </c>
      <c r="C363" t="inlineStr">
        <is>
          <t>Works Personeelsdiensten</t>
        </is>
      </c>
      <c r="D363" t="n">
        <v>269</v>
      </c>
      <c r="E363" t="inlineStr">
        <is>
          <t>Royal Safety</t>
        </is>
      </c>
      <c r="F363" t="n">
        <v>309</v>
      </c>
      <c r="G363" t="n">
        <v>150</v>
      </c>
      <c r="H363" t="n">
        <v>2255</v>
      </c>
    </row>
    <row r="364">
      <c r="A364" t="inlineStr">
        <is>
          <t>Persoonsdam 180</t>
        </is>
      </c>
      <c r="B364" t="inlineStr">
        <is>
          <t>0264</t>
        </is>
      </c>
      <c r="C364" t="inlineStr">
        <is>
          <t>Y. K. Bos</t>
        </is>
      </c>
      <c r="D364" t="n">
        <v>182</v>
      </c>
      <c r="E364" t="inlineStr">
        <is>
          <t>Ruva Vastgoed B.V.</t>
        </is>
      </c>
      <c r="F364" t="n">
        <v>4</v>
      </c>
      <c r="G364" t="n">
        <v>150</v>
      </c>
      <c r="H364" t="n">
        <v>2255</v>
      </c>
    </row>
    <row r="365">
      <c r="A365" t="inlineStr">
        <is>
          <t>Persoonsdam 181</t>
        </is>
      </c>
      <c r="B365" t="inlineStr">
        <is>
          <t>0265</t>
        </is>
      </c>
      <c r="C365" t="inlineStr">
        <is>
          <t>YaY</t>
        </is>
      </c>
      <c r="D365" t="n">
        <v>101</v>
      </c>
      <c r="E365" t="inlineStr">
        <is>
          <t>RyanRent B.V.</t>
        </is>
      </c>
      <c r="F365" t="n">
        <v>249</v>
      </c>
      <c r="G365" t="n">
        <v>150</v>
      </c>
      <c r="H365" t="n">
        <v>2255</v>
      </c>
    </row>
    <row r="366">
      <c r="A366" t="inlineStr">
        <is>
          <t>Persoonsdam 182</t>
        </is>
      </c>
      <c r="B366" t="inlineStr">
        <is>
          <t>0266</t>
        </is>
      </c>
      <c r="C366" t="inlineStr">
        <is>
          <t>Z Yilmaz</t>
        </is>
      </c>
      <c r="D366" t="n">
        <v>357</v>
      </c>
      <c r="E366" t="inlineStr">
        <is>
          <t>S Isaku</t>
        </is>
      </c>
      <c r="F366" t="n">
        <v>460</v>
      </c>
      <c r="G366" t="n">
        <v>150</v>
      </c>
      <c r="H366" t="n">
        <v>2255</v>
      </c>
    </row>
    <row r="367">
      <c r="A367" t="inlineStr">
        <is>
          <t>Persoonsdam 194</t>
        </is>
      </c>
      <c r="B367" t="inlineStr">
        <is>
          <t>0267</t>
        </is>
      </c>
      <c r="C367" t="inlineStr">
        <is>
          <t>ZaMens R.I.A. B.V.</t>
        </is>
      </c>
      <c r="D367" t="n">
        <v>205</v>
      </c>
      <c r="E367" t="inlineStr">
        <is>
          <t>S Kleijweg</t>
        </is>
      </c>
      <c r="F367" t="n">
        <v>482</v>
      </c>
      <c r="G367" t="n">
        <v>100</v>
      </c>
      <c r="H367" t="n">
        <v>1503.32</v>
      </c>
    </row>
    <row r="368">
      <c r="A368" t="inlineStr">
        <is>
          <t>Persoonsdam 196</t>
        </is>
      </c>
      <c r="B368" t="inlineStr">
        <is>
          <t>0349</t>
        </is>
      </c>
      <c r="C368" t="inlineStr">
        <is>
          <t>Zeeland Housing Facility B.V.</t>
        </is>
      </c>
      <c r="D368" t="n">
        <v>55</v>
      </c>
      <c r="E368" t="inlineStr">
        <is>
          <t>S. Bakker OPH Verhuur</t>
        </is>
      </c>
      <c r="F368" t="n">
        <v>16</v>
      </c>
      <c r="G368" t="n">
        <v>150</v>
      </c>
      <c r="H368" t="n">
        <v>2300</v>
      </c>
    </row>
    <row r="369">
      <c r="A369" t="inlineStr">
        <is>
          <t>Persoonsdam 198</t>
        </is>
      </c>
      <c r="B369" t="inlineStr">
        <is>
          <t>0268</t>
        </is>
      </c>
      <c r="C369" t="inlineStr">
        <is>
          <t>dockHolland Huisvesting B.V.</t>
        </is>
      </c>
      <c r="D369" t="n">
        <v>145</v>
      </c>
      <c r="E369" t="inlineStr">
        <is>
          <t>S. Dolstra</t>
        </is>
      </c>
      <c r="F369" t="n">
        <v>15</v>
      </c>
      <c r="G369" t="n">
        <v>150</v>
      </c>
      <c r="H369" t="n">
        <v>2255</v>
      </c>
    </row>
    <row r="370">
      <c r="A370" t="inlineStr">
        <is>
          <t>Peursumseweg 119A</t>
        </is>
      </c>
      <c r="B370" t="inlineStr">
        <is>
          <t>0113</t>
        </is>
      </c>
      <c r="C370" t="inlineStr">
        <is>
          <t>house of work</t>
        </is>
      </c>
      <c r="D370" t="n">
        <v>289</v>
      </c>
      <c r="E370" t="inlineStr">
        <is>
          <t>S. Kleiren</t>
        </is>
      </c>
      <c r="F370" t="n">
        <v>428</v>
      </c>
      <c r="G370" t="n">
        <v>0</v>
      </c>
      <c r="H370" t="n">
        <v>3275</v>
      </c>
    </row>
    <row r="371">
      <c r="A371" t="inlineStr">
        <is>
          <t>Piersonstraat 8</t>
        </is>
      </c>
      <c r="B371" t="inlineStr">
        <is>
          <t>0114</t>
        </is>
      </c>
      <c r="C371" t="inlineStr">
        <is>
          <t>van Heeswijk</t>
        </is>
      </c>
      <c r="D371" t="n">
        <v>52</v>
      </c>
      <c r="E371" t="inlineStr">
        <is>
          <t>S. Meijer</t>
        </is>
      </c>
      <c r="F371" t="n">
        <v>27</v>
      </c>
      <c r="G371" t="n">
        <v>200</v>
      </c>
      <c r="H371" t="n">
        <v>3500</v>
      </c>
    </row>
    <row r="372">
      <c r="A372" t="inlineStr">
        <is>
          <t>Plaats 10</t>
        </is>
      </c>
      <c r="B372" t="inlineStr">
        <is>
          <t>0120</t>
        </is>
      </c>
      <c r="E372" t="inlineStr">
        <is>
          <t>S. de Gooijer</t>
        </is>
      </c>
      <c r="F372" t="n">
        <v>44</v>
      </c>
      <c r="G372" t="n">
        <v>250</v>
      </c>
      <c r="H372" t="n">
        <v>2850</v>
      </c>
    </row>
    <row r="373">
      <c r="A373" t="inlineStr">
        <is>
          <t>Platostraat 38</t>
        </is>
      </c>
      <c r="B373" t="inlineStr">
        <is>
          <t>0414</t>
        </is>
      </c>
      <c r="E373" t="inlineStr">
        <is>
          <t>SB Electronics B.V.</t>
        </is>
      </c>
      <c r="F373" t="n">
        <v>473</v>
      </c>
      <c r="G373" t="n">
        <v>4.67</v>
      </c>
      <c r="H373" t="n">
        <v>0</v>
      </c>
    </row>
    <row r="374">
      <c r="A374" t="inlineStr">
        <is>
          <t>Platostraat 80</t>
        </is>
      </c>
      <c r="B374" t="inlineStr">
        <is>
          <t>0231</t>
        </is>
      </c>
      <c r="E374" t="inlineStr">
        <is>
          <t>SKDC</t>
        </is>
      </c>
      <c r="F374" t="n">
        <v>118</v>
      </c>
      <c r="G374" t="n">
        <v>266.32</v>
      </c>
      <c r="H374" t="n">
        <v>2516.83</v>
      </c>
    </row>
    <row r="375">
      <c r="A375" t="inlineStr">
        <is>
          <t>Pleinweg 101a</t>
        </is>
      </c>
      <c r="B375" t="inlineStr">
        <is>
          <t>0044</t>
        </is>
      </c>
      <c r="E375" t="inlineStr">
        <is>
          <t>SKG-IKOB Certificatie B.V.</t>
        </is>
      </c>
      <c r="F375" t="n">
        <v>156</v>
      </c>
      <c r="G375" t="n">
        <v>200</v>
      </c>
      <c r="H375" t="n">
        <v>2040</v>
      </c>
    </row>
    <row r="376">
      <c r="A376" t="inlineStr">
        <is>
          <t>Pleinweg 101b</t>
        </is>
      </c>
      <c r="B376" t="inlineStr">
        <is>
          <t>0045</t>
        </is>
      </c>
      <c r="E376" t="inlineStr">
        <is>
          <t>SS Rotterdam</t>
        </is>
      </c>
      <c r="F376" t="n">
        <v>438</v>
      </c>
      <c r="G376" t="n">
        <v>200</v>
      </c>
      <c r="H376" t="n">
        <v>2175.29</v>
      </c>
    </row>
    <row r="377">
      <c r="A377" t="inlineStr">
        <is>
          <t>Ploegstraat 2a</t>
        </is>
      </c>
      <c r="B377" t="inlineStr">
        <is>
          <t>0079</t>
        </is>
      </c>
      <c r="E377" t="inlineStr">
        <is>
          <t>SVHW</t>
        </is>
      </c>
      <c r="F377" t="n">
        <v>123</v>
      </c>
      <c r="G377" t="n">
        <v>107.58</v>
      </c>
      <c r="H377" t="n">
        <v>0</v>
      </c>
    </row>
    <row r="378">
      <c r="A378" t="inlineStr">
        <is>
          <t>Poeldijkseweg 27</t>
        </is>
      </c>
      <c r="B378" t="inlineStr">
        <is>
          <t>0285</t>
        </is>
      </c>
      <c r="E378" t="inlineStr">
        <is>
          <t>Sabewa Zeeland</t>
        </is>
      </c>
      <c r="F378" t="n">
        <v>361</v>
      </c>
      <c r="G378" t="n">
        <v>0</v>
      </c>
      <c r="H378" t="n">
        <v>0</v>
      </c>
    </row>
    <row r="379">
      <c r="A379" t="inlineStr">
        <is>
          <t>Poeldijkseweg 29</t>
        </is>
      </c>
      <c r="B379" t="inlineStr">
        <is>
          <t>0378</t>
        </is>
      </c>
      <c r="E379" t="inlineStr">
        <is>
          <t>Samson Airconditioning</t>
        </is>
      </c>
      <c r="F379" t="n">
        <v>302</v>
      </c>
      <c r="G379" t="n">
        <v>0</v>
      </c>
      <c r="H379" t="n">
        <v>0</v>
      </c>
    </row>
    <row r="380">
      <c r="A380" t="inlineStr">
        <is>
          <t>Poolsestraat 29a</t>
        </is>
      </c>
      <c r="B380" t="inlineStr">
        <is>
          <t>0386</t>
        </is>
      </c>
      <c r="E380" t="inlineStr">
        <is>
          <t>Sancus Bouw en infro</t>
        </is>
      </c>
      <c r="F380" t="n">
        <v>386</v>
      </c>
      <c r="G380" t="n">
        <v>300</v>
      </c>
      <c r="H380" t="n">
        <v>2950</v>
      </c>
    </row>
    <row r="381">
      <c r="A381" t="inlineStr">
        <is>
          <t>Poppestraat 59</t>
        </is>
      </c>
      <c r="B381" t="inlineStr">
        <is>
          <t>0115</t>
        </is>
      </c>
      <c r="E381" t="inlineStr">
        <is>
          <t>SchadeNet</t>
        </is>
      </c>
      <c r="F381" t="n">
        <v>355</v>
      </c>
      <c r="G381" t="n">
        <v>0</v>
      </c>
      <c r="H381" t="n">
        <v>3275</v>
      </c>
    </row>
    <row r="382">
      <c r="A382" t="inlineStr">
        <is>
          <t>Prins Bernhardstraat 40</t>
        </is>
      </c>
      <c r="B382" t="inlineStr">
        <is>
          <t>0116</t>
        </is>
      </c>
      <c r="E382" t="inlineStr">
        <is>
          <t>Sebrechts</t>
        </is>
      </c>
      <c r="F382" t="n">
        <v>293</v>
      </c>
      <c r="G382" t="n">
        <v>0</v>
      </c>
      <c r="H382" t="n">
        <v>3250</v>
      </c>
    </row>
    <row r="383">
      <c r="A383" t="inlineStr">
        <is>
          <t>Prins Willemweg 2</t>
        </is>
      </c>
      <c r="B383" t="inlineStr">
        <is>
          <t>0287</t>
        </is>
      </c>
      <c r="E383" t="inlineStr">
        <is>
          <t>Service en Zo</t>
        </is>
      </c>
      <c r="F383" t="n">
        <v>297</v>
      </c>
      <c r="G383" t="n">
        <v>0</v>
      </c>
      <c r="H383" t="n">
        <v>0</v>
      </c>
    </row>
    <row r="384">
      <c r="A384" t="inlineStr">
        <is>
          <t>Prinses Wilhelminastraat 9</t>
        </is>
      </c>
      <c r="B384" t="inlineStr">
        <is>
          <t>0106</t>
        </is>
      </c>
      <c r="E384" t="inlineStr">
        <is>
          <t>Shahin Bouw (Leeuwarden)</t>
        </is>
      </c>
      <c r="F384" t="n">
        <v>462</v>
      </c>
      <c r="G384" t="n">
        <v>300.05</v>
      </c>
      <c r="H384" t="n">
        <v>2275</v>
      </c>
    </row>
    <row r="385">
      <c r="A385" t="inlineStr">
        <is>
          <t>Professor Kamerlingh Onneslaan 134A</t>
        </is>
      </c>
      <c r="B385" t="inlineStr">
        <is>
          <t>0269</t>
        </is>
      </c>
      <c r="E385" t="inlineStr">
        <is>
          <t>Shortstay Facilities B.V.</t>
        </is>
      </c>
      <c r="F385" t="n">
        <v>244</v>
      </c>
      <c r="G385" t="n">
        <v>150</v>
      </c>
      <c r="H385" t="n">
        <v>0</v>
      </c>
    </row>
    <row r="386">
      <c r="A386" t="inlineStr">
        <is>
          <t>Professor Kamerlingh Onneslaan 134B1</t>
        </is>
      </c>
      <c r="B386" t="inlineStr">
        <is>
          <t>0270</t>
        </is>
      </c>
      <c r="E386" t="inlineStr">
        <is>
          <t>Slotenzaak.nl</t>
        </is>
      </c>
      <c r="F386" t="n">
        <v>280</v>
      </c>
      <c r="G386" t="n">
        <v>150</v>
      </c>
      <c r="H386" t="n">
        <v>0</v>
      </c>
    </row>
    <row r="387">
      <c r="A387" t="inlineStr">
        <is>
          <t>Professor Kamerlingh Onneslaan 134B2</t>
        </is>
      </c>
      <c r="B387" t="inlineStr">
        <is>
          <t>0271</t>
        </is>
      </c>
      <c r="E387" t="inlineStr">
        <is>
          <t>Space4U B.V.</t>
        </is>
      </c>
      <c r="F387" t="n">
        <v>36</v>
      </c>
      <c r="G387" t="n">
        <v>150</v>
      </c>
      <c r="H387" t="n">
        <v>0</v>
      </c>
    </row>
    <row r="388">
      <c r="A388" t="inlineStr">
        <is>
          <t>Professor Kamerlingh Onneslaan 134B3</t>
        </is>
      </c>
      <c r="B388" t="inlineStr">
        <is>
          <t>0272</t>
        </is>
      </c>
      <c r="E388" t="inlineStr">
        <is>
          <t>St. Zakelijke Beh.rek. Dijkstra Vastgoedbeh.</t>
        </is>
      </c>
      <c r="F388" t="n">
        <v>205</v>
      </c>
      <c r="G388" t="n">
        <v>150</v>
      </c>
      <c r="H388" t="n">
        <v>0</v>
      </c>
    </row>
    <row r="389">
      <c r="A389" t="inlineStr">
        <is>
          <t>Professor Kamerlingh Onneslaan 98A</t>
        </is>
      </c>
      <c r="B389" t="inlineStr">
        <is>
          <t>0407</t>
        </is>
      </c>
      <c r="E389" t="inlineStr">
        <is>
          <t>St.BTPF v.h. Schoonmaak- en Glazenwassersbedr</t>
        </is>
      </c>
      <c r="F389" t="n">
        <v>119</v>
      </c>
      <c r="G389" t="n">
        <v>26.62</v>
      </c>
      <c r="H389" t="n">
        <v>0</v>
      </c>
    </row>
    <row r="390">
      <c r="A390" t="inlineStr">
        <is>
          <t>Professor Poelslaan 58C</t>
        </is>
      </c>
      <c r="B390" t="inlineStr">
        <is>
          <t>0340</t>
        </is>
      </c>
      <c r="E390" t="inlineStr">
        <is>
          <t>Start Home Rentals</t>
        </is>
      </c>
      <c r="F390" t="n">
        <v>120</v>
      </c>
      <c r="G390" t="n">
        <v>224.26</v>
      </c>
      <c r="H390" t="n">
        <v>0</v>
      </c>
    </row>
    <row r="391">
      <c r="A391" t="inlineStr">
        <is>
          <t>Prunuslaan 36</t>
        </is>
      </c>
      <c r="B391" t="inlineStr">
        <is>
          <t>0117</t>
        </is>
      </c>
      <c r="E391" t="inlineStr">
        <is>
          <t>StayProjects Group Netherlands B.V.</t>
        </is>
      </c>
      <c r="F391" t="n">
        <v>41</v>
      </c>
      <c r="G391" t="n">
        <v>250</v>
      </c>
      <c r="H391" t="n">
        <v>2300</v>
      </c>
    </row>
    <row r="392">
      <c r="A392" t="inlineStr">
        <is>
          <t>Punter 22 34</t>
        </is>
      </c>
      <c r="B392" t="inlineStr">
        <is>
          <t>0204</t>
        </is>
      </c>
      <c r="E392" t="inlineStr">
        <is>
          <t>Stedin Netbeheer BV</t>
        </is>
      </c>
      <c r="F392" t="n">
        <v>405</v>
      </c>
      <c r="G392" t="n">
        <v>300</v>
      </c>
      <c r="H392" t="n">
        <v>2855.46</v>
      </c>
    </row>
    <row r="393">
      <c r="A393" t="inlineStr">
        <is>
          <t>Putsebocht 136 B01</t>
        </is>
      </c>
      <c r="B393" t="inlineStr">
        <is>
          <t>0361</t>
        </is>
      </c>
      <c r="E393" t="inlineStr">
        <is>
          <t>Steneker Verhuur</t>
        </is>
      </c>
      <c r="F393" t="n">
        <v>7</v>
      </c>
      <c r="G393" t="n">
        <v>112.58</v>
      </c>
      <c r="H393" t="n">
        <v>0</v>
      </c>
    </row>
    <row r="394">
      <c r="A394" t="inlineStr">
        <is>
          <t>Putter 42</t>
        </is>
      </c>
      <c r="B394" t="inlineStr">
        <is>
          <t>0327</t>
        </is>
      </c>
      <c r="E394" t="inlineStr">
        <is>
          <t>Stichting 123inkt-huismerk Klanten</t>
        </is>
      </c>
      <c r="F394" t="n">
        <v>243</v>
      </c>
      <c r="G394" t="n">
        <v>250</v>
      </c>
      <c r="H394" t="n">
        <v>2350</v>
      </c>
    </row>
    <row r="395">
      <c r="A395" t="inlineStr">
        <is>
          <t>Ranaholm 3</t>
        </is>
      </c>
      <c r="B395" t="inlineStr">
        <is>
          <t>0400</t>
        </is>
      </c>
      <c r="E395" t="inlineStr">
        <is>
          <t>Stichting Bewaring PRMD</t>
        </is>
      </c>
      <c r="F395" t="n">
        <v>172</v>
      </c>
      <c r="G395" t="n">
        <v>159.39</v>
      </c>
      <c r="H395" t="n">
        <v>0</v>
      </c>
    </row>
    <row r="396">
      <c r="A396" t="inlineStr">
        <is>
          <t>Rembrandtstraat 20B</t>
        </is>
      </c>
      <c r="B396" t="inlineStr">
        <is>
          <t>0233</t>
        </is>
      </c>
      <c r="E396" t="inlineStr">
        <is>
          <t>Stichting Normering Flexwonen</t>
        </is>
      </c>
      <c r="F396" t="n">
        <v>155</v>
      </c>
      <c r="G396" t="n">
        <v>2877.7</v>
      </c>
      <c r="H396" t="n">
        <v>2150</v>
      </c>
    </row>
    <row r="397">
      <c r="A397" t="inlineStr">
        <is>
          <t>Rietdijkstraat 56A</t>
        </is>
      </c>
      <c r="B397" t="inlineStr">
        <is>
          <t>0363</t>
        </is>
      </c>
      <c r="E397" t="inlineStr">
        <is>
          <t>Stichting Normering Flexwonen</t>
        </is>
      </c>
      <c r="F397" t="n">
        <v>251</v>
      </c>
      <c r="G397" t="n">
        <v>6.7</v>
      </c>
      <c r="H397" t="n">
        <v>1300</v>
      </c>
    </row>
    <row r="398">
      <c r="A398" t="inlineStr">
        <is>
          <t>Rietdijkstraat 56B</t>
        </is>
      </c>
      <c r="B398" t="inlineStr">
        <is>
          <t>0364</t>
        </is>
      </c>
      <c r="E398" t="inlineStr">
        <is>
          <t>Stofzuigzakken.nu</t>
        </is>
      </c>
      <c r="F398" t="n">
        <v>121</v>
      </c>
      <c r="G398" t="n">
        <v>6.7</v>
      </c>
      <c r="H398" t="n">
        <v>1950</v>
      </c>
    </row>
    <row r="399">
      <c r="A399" t="inlineStr">
        <is>
          <t>Rijpstraat 24</t>
        </is>
      </c>
      <c r="B399" t="inlineStr">
        <is>
          <t>0377</t>
        </is>
      </c>
      <c r="E399" t="inlineStr">
        <is>
          <t>Stomerij Mauriks CohousingNL</t>
        </is>
      </c>
      <c r="F399" t="n">
        <v>100</v>
      </c>
      <c r="G399" t="n">
        <v>0</v>
      </c>
      <c r="H399" t="n">
        <v>0</v>
      </c>
    </row>
    <row r="400">
      <c r="A400" t="inlineStr">
        <is>
          <t>Ringbaan Oost 327</t>
        </is>
      </c>
      <c r="B400" t="inlineStr">
        <is>
          <t>0005</t>
        </is>
      </c>
      <c r="E400" t="inlineStr">
        <is>
          <t>Straetus Incasso Friesland B.V.</t>
        </is>
      </c>
      <c r="F400" t="n">
        <v>122</v>
      </c>
      <c r="G400" t="n">
        <v>500</v>
      </c>
      <c r="H400" t="n">
        <v>2076.47</v>
      </c>
    </row>
    <row r="401">
      <c r="A401" t="inlineStr">
        <is>
          <t>Rivierdijk 793</t>
        </is>
      </c>
      <c r="B401" t="inlineStr">
        <is>
          <t>0226</t>
        </is>
      </c>
      <c r="E401" t="inlineStr">
        <is>
          <t>Strijbosch</t>
        </is>
      </c>
      <c r="F401" t="n">
        <v>307</v>
      </c>
      <c r="G401" t="n">
        <v>0</v>
      </c>
      <c r="H401" t="n">
        <v>2053.74</v>
      </c>
    </row>
    <row r="402">
      <c r="A402" t="inlineStr">
        <is>
          <t>Rivierdijk 794</t>
        </is>
      </c>
      <c r="B402" t="inlineStr">
        <is>
          <t>0121</t>
        </is>
      </c>
      <c r="E402" t="inlineStr">
        <is>
          <t>Student Housing Holland B.V.</t>
        </is>
      </c>
      <c r="F402" t="n">
        <v>413</v>
      </c>
      <c r="G402" t="n">
        <v>0</v>
      </c>
      <c r="H402" t="n">
        <v>0</v>
      </c>
    </row>
    <row r="403">
      <c r="A403" t="inlineStr">
        <is>
          <t>Roerdompstraat 4B</t>
        </is>
      </c>
      <c r="B403" t="inlineStr">
        <is>
          <t>0390</t>
        </is>
      </c>
      <c r="E403" t="inlineStr">
        <is>
          <t>Synofit Europe B.V.</t>
        </is>
      </c>
      <c r="F403" t="n">
        <v>124</v>
      </c>
      <c r="G403" t="n">
        <v>0</v>
      </c>
      <c r="H403" t="n">
        <v>6282.85</v>
      </c>
    </row>
    <row r="404">
      <c r="A404" t="inlineStr">
        <is>
          <t>Rooseveltlaan 185</t>
        </is>
      </c>
      <c r="B404" t="inlineStr">
        <is>
          <t>0179</t>
        </is>
      </c>
      <c r="E404" t="inlineStr">
        <is>
          <t>T van der Pols Machineverhuur BV</t>
        </is>
      </c>
      <c r="F404" t="n">
        <v>315</v>
      </c>
      <c r="G404" t="n">
        <v>300</v>
      </c>
      <c r="H404" t="n">
        <v>3100</v>
      </c>
    </row>
    <row r="405">
      <c r="A405" t="inlineStr">
        <is>
          <t>Rotterdamsedijk 104a2</t>
        </is>
      </c>
      <c r="B405" t="inlineStr">
        <is>
          <t>0415</t>
        </is>
      </c>
      <c r="E405" t="inlineStr">
        <is>
          <t>T. Hoolhorst</t>
        </is>
      </c>
      <c r="F405" t="n">
        <v>196</v>
      </c>
      <c r="G405" t="n">
        <v>452.17</v>
      </c>
      <c r="H405" t="n">
        <v>0</v>
      </c>
    </row>
    <row r="406">
      <c r="A406" t="inlineStr">
        <is>
          <t>Rotterdamsedijk 154B</t>
        </is>
      </c>
      <c r="B406" t="inlineStr">
        <is>
          <t>0234</t>
        </is>
      </c>
      <c r="E406" t="inlineStr">
        <is>
          <t>T. van de Moosdijk</t>
        </is>
      </c>
      <c r="F406" t="n">
        <v>184</v>
      </c>
      <c r="G406" t="n">
        <v>718.97</v>
      </c>
      <c r="H406" t="n">
        <v>3123</v>
      </c>
    </row>
    <row r="407">
      <c r="A407" t="inlineStr">
        <is>
          <t>Rubensplein 3 B</t>
        </is>
      </c>
      <c r="B407" t="inlineStr">
        <is>
          <t>0235</t>
        </is>
      </c>
      <c r="E407" t="inlineStr">
        <is>
          <t>T.A. Middelkoop</t>
        </is>
      </c>
      <c r="F407" t="n">
        <v>173</v>
      </c>
      <c r="G407" t="n">
        <v>27.52</v>
      </c>
      <c r="H407" t="n">
        <v>1830.43</v>
      </c>
    </row>
    <row r="408">
      <c r="A408" t="inlineStr">
        <is>
          <t>Rubensplein 3b</t>
        </is>
      </c>
      <c r="B408" t="inlineStr">
        <is>
          <t>0465</t>
        </is>
      </c>
      <c r="E408" t="inlineStr">
        <is>
          <t>T.A. van der Burg</t>
        </is>
      </c>
      <c r="F408" t="n">
        <v>3</v>
      </c>
      <c r="G408" t="n">
        <v>117.03</v>
      </c>
      <c r="H408" t="n">
        <v>0</v>
      </c>
    </row>
    <row r="409">
      <c r="A409" t="inlineStr">
        <is>
          <t>Rubensplein 6B3</t>
        </is>
      </c>
      <c r="B409" t="inlineStr">
        <is>
          <t>0154</t>
        </is>
      </c>
      <c r="E409" t="inlineStr">
        <is>
          <t>TH. Mungroop</t>
        </is>
      </c>
      <c r="F409" t="n">
        <v>445</v>
      </c>
      <c r="G409" t="n">
        <v>200</v>
      </c>
      <c r="H409" t="n">
        <v>1784.67</v>
      </c>
    </row>
    <row r="410">
      <c r="A410" t="inlineStr">
        <is>
          <t>Ruigenhoek 69</t>
        </is>
      </c>
      <c r="B410" t="inlineStr">
        <is>
          <t>0362</t>
        </is>
      </c>
      <c r="E410" t="inlineStr">
        <is>
          <t>TM Hendriks - van Balen</t>
        </is>
      </c>
      <c r="F410" t="n">
        <v>2</v>
      </c>
      <c r="G410" t="n">
        <v>15.65</v>
      </c>
      <c r="H410" t="n">
        <v>2500</v>
      </c>
    </row>
    <row r="411">
      <c r="A411" t="inlineStr">
        <is>
          <t>Schalkeroord 16</t>
        </is>
      </c>
      <c r="B411" t="inlineStr">
        <is>
          <t>0423</t>
        </is>
      </c>
      <c r="E411" t="inlineStr">
        <is>
          <t>TNM Vastgoed B.V.</t>
        </is>
      </c>
      <c r="F411" t="n">
        <v>204</v>
      </c>
      <c r="G411" t="n">
        <v>0</v>
      </c>
      <c r="H411" t="n">
        <v>0</v>
      </c>
    </row>
    <row r="412">
      <c r="A412" t="inlineStr">
        <is>
          <t>Schalkeroord 389</t>
        </is>
      </c>
      <c r="B412" t="inlineStr">
        <is>
          <t>0236</t>
        </is>
      </c>
      <c r="E412" t="inlineStr">
        <is>
          <t>TOP Schoonmaakartikelen</t>
        </is>
      </c>
      <c r="F412" t="n">
        <v>127</v>
      </c>
      <c r="G412" t="n">
        <v>462</v>
      </c>
      <c r="H412" t="n">
        <v>0</v>
      </c>
    </row>
    <row r="413">
      <c r="A413" t="inlineStr">
        <is>
          <t>Scheepjesbrug 433</t>
        </is>
      </c>
      <c r="B413" t="inlineStr">
        <is>
          <t>0144</t>
        </is>
      </c>
      <c r="E413" t="inlineStr">
        <is>
          <t>TOTAL Nederland N.V.</t>
        </is>
      </c>
      <c r="F413" t="n">
        <v>128</v>
      </c>
      <c r="G413" t="n">
        <v>400</v>
      </c>
      <c r="H413" t="n">
        <v>3800</v>
      </c>
    </row>
    <row r="414">
      <c r="A414" t="inlineStr">
        <is>
          <t>Scheepjesbrug 814</t>
        </is>
      </c>
      <c r="B414" t="inlineStr">
        <is>
          <t>0197</t>
        </is>
      </c>
      <c r="E414" t="inlineStr">
        <is>
          <t>TOW Ontstopping</t>
        </is>
      </c>
      <c r="F414" t="n">
        <v>422</v>
      </c>
      <c r="G414" t="n">
        <v>250</v>
      </c>
      <c r="H414" t="n">
        <v>2498.4</v>
      </c>
    </row>
    <row r="415">
      <c r="A415" t="inlineStr">
        <is>
          <t>Schere 238</t>
        </is>
      </c>
      <c r="B415" t="inlineStr">
        <is>
          <t>0237</t>
        </is>
      </c>
      <c r="E415" t="inlineStr">
        <is>
          <t>TS Onderhoud</t>
        </is>
      </c>
      <c r="F415" t="n">
        <v>433</v>
      </c>
      <c r="G415" t="n">
        <v>43.23</v>
      </c>
      <c r="H415" t="n">
        <v>2234.29</v>
      </c>
    </row>
    <row r="416">
      <c r="A416" t="inlineStr">
        <is>
          <t>Schiedamseweg 260c</t>
        </is>
      </c>
      <c r="B416" t="inlineStr">
        <is>
          <t>0427</t>
        </is>
      </c>
      <c r="E416" t="inlineStr">
        <is>
          <t>Team Home Rentals B.V.</t>
        </is>
      </c>
      <c r="F416" t="n">
        <v>20</v>
      </c>
      <c r="G416" t="n">
        <v>0</v>
      </c>
      <c r="H416" t="n">
        <v>0</v>
      </c>
    </row>
    <row r="417">
      <c r="A417" t="inlineStr">
        <is>
          <t>Schoonegge 110</t>
        </is>
      </c>
      <c r="B417" t="inlineStr">
        <is>
          <t>0239</t>
        </is>
      </c>
      <c r="E417" t="inlineStr">
        <is>
          <t>Tecline</t>
        </is>
      </c>
      <c r="F417" t="n">
        <v>387</v>
      </c>
      <c r="G417" t="n">
        <v>5320.3</v>
      </c>
      <c r="H417" t="n">
        <v>2300</v>
      </c>
    </row>
    <row r="418">
      <c r="A418" t="inlineStr">
        <is>
          <t>Schoonegge 84</t>
        </is>
      </c>
      <c r="B418" t="inlineStr">
        <is>
          <t>0240</t>
        </is>
      </c>
      <c r="E418" t="inlineStr">
        <is>
          <t>Tetering en Martens</t>
        </is>
      </c>
      <c r="F418" t="n">
        <v>457</v>
      </c>
      <c r="G418" t="n">
        <v>2198.99</v>
      </c>
      <c r="H418" t="n">
        <v>1560</v>
      </c>
    </row>
    <row r="419">
      <c r="A419" t="inlineStr">
        <is>
          <t>Singelweg 95</t>
        </is>
      </c>
      <c r="B419" t="inlineStr">
        <is>
          <t>0466</t>
        </is>
      </c>
      <c r="E419" t="inlineStr">
        <is>
          <t>The Happy Company (Apeldoorn)</t>
        </is>
      </c>
      <c r="F419" t="n">
        <v>468</v>
      </c>
      <c r="G419" t="n">
        <v>0</v>
      </c>
      <c r="H419" t="n">
        <v>0</v>
      </c>
    </row>
    <row r="420">
      <c r="A420" t="inlineStr">
        <is>
          <t>Sint Jorispad 4</t>
        </is>
      </c>
      <c r="B420" t="inlineStr">
        <is>
          <t>0425</t>
        </is>
      </c>
      <c r="E420" t="inlineStr">
        <is>
          <t>The Voip Company</t>
        </is>
      </c>
      <c r="F420" t="n">
        <v>183</v>
      </c>
      <c r="G420" t="n">
        <v>56.08</v>
      </c>
      <c r="H420" t="n">
        <v>0</v>
      </c>
    </row>
    <row r="421">
      <c r="A421" t="inlineStr">
        <is>
          <t>Sint Josephstraat 61</t>
        </is>
      </c>
      <c r="B421" t="inlineStr">
        <is>
          <t>0050</t>
        </is>
      </c>
      <c r="E421" t="inlineStr">
        <is>
          <t>Threeforce</t>
        </is>
      </c>
      <c r="F421" t="n">
        <v>125</v>
      </c>
      <c r="G421" t="n">
        <v>400</v>
      </c>
      <c r="H421" t="n">
        <v>1710.59</v>
      </c>
    </row>
    <row r="422">
      <c r="A422" t="inlineStr">
        <is>
          <t>Sint Liduinastraat 76 A</t>
        </is>
      </c>
      <c r="B422" t="inlineStr">
        <is>
          <t>0242</t>
        </is>
      </c>
      <c r="E422" t="inlineStr">
        <is>
          <t>Tinke Assurantiën B.V.</t>
        </is>
      </c>
      <c r="F422" t="n">
        <v>126</v>
      </c>
      <c r="G422" t="n">
        <v>55.44</v>
      </c>
      <c r="H422" t="n">
        <v>2364.3</v>
      </c>
    </row>
    <row r="423">
      <c r="A423" t="inlineStr">
        <is>
          <t>Sint Liduinastraat 80A</t>
        </is>
      </c>
      <c r="B423" t="inlineStr">
        <is>
          <t>0243</t>
        </is>
      </c>
      <c r="E423" t="inlineStr">
        <is>
          <t>Tonen</t>
        </is>
      </c>
      <c r="F423" t="n">
        <v>344</v>
      </c>
      <c r="G423" t="n">
        <v>31.19</v>
      </c>
      <c r="H423" t="n">
        <v>2100</v>
      </c>
    </row>
    <row r="424">
      <c r="A424" t="inlineStr">
        <is>
          <t>Sint Liduinastraat 80B</t>
        </is>
      </c>
      <c r="B424" t="inlineStr">
        <is>
          <t>0244</t>
        </is>
      </c>
      <c r="E424" t="inlineStr">
        <is>
          <t>Toussaint + Van Wijk woning - bedrijfsmak.</t>
        </is>
      </c>
      <c r="F424" t="n">
        <v>45</v>
      </c>
      <c r="G424" t="n">
        <v>0</v>
      </c>
      <c r="H424" t="n">
        <v>2449.11</v>
      </c>
    </row>
    <row r="425">
      <c r="A425" t="inlineStr">
        <is>
          <t>Sint-Annalandstraat 116</t>
        </is>
      </c>
      <c r="B425" t="inlineStr">
        <is>
          <t>0164</t>
        </is>
      </c>
      <c r="E425" t="inlineStr">
        <is>
          <t>Tradiro Services B.V.</t>
        </is>
      </c>
      <c r="F425" t="n">
        <v>13</v>
      </c>
      <c r="G425" t="n">
        <v>33.03</v>
      </c>
      <c r="H425" t="n">
        <v>2498.54</v>
      </c>
    </row>
    <row r="426">
      <c r="A426" t="inlineStr">
        <is>
          <t>Snecanusstraat 12</t>
        </is>
      </c>
      <c r="B426" t="inlineStr">
        <is>
          <t>0123</t>
        </is>
      </c>
      <c r="E426" t="inlineStr">
        <is>
          <t>Transformatiehaven B.V.</t>
        </is>
      </c>
      <c r="F426" t="n">
        <v>317</v>
      </c>
      <c r="G426" t="n">
        <v>300</v>
      </c>
      <c r="H426" t="n">
        <v>2650</v>
      </c>
    </row>
    <row r="427">
      <c r="A427" t="inlineStr">
        <is>
          <t>Snoekenveen 242</t>
        </is>
      </c>
      <c r="B427" t="inlineStr">
        <is>
          <t>0124</t>
        </is>
      </c>
      <c r="E427" t="inlineStr">
        <is>
          <t>Turien &amp; Co. Assuradeuren B.V.</t>
        </is>
      </c>
      <c r="F427" t="n">
        <v>129</v>
      </c>
      <c r="G427" t="n">
        <v>250</v>
      </c>
      <c r="H427" t="n">
        <v>2593.81</v>
      </c>
    </row>
    <row r="428">
      <c r="A428" t="inlineStr">
        <is>
          <t>Socratesstraat 168</t>
        </is>
      </c>
      <c r="B428" t="inlineStr">
        <is>
          <t>0246</t>
        </is>
      </c>
      <c r="E428" t="inlineStr">
        <is>
          <t>Twins BV</t>
        </is>
      </c>
      <c r="F428" t="n">
        <v>429</v>
      </c>
      <c r="G428" t="n">
        <v>265.08</v>
      </c>
      <c r="H428" t="n">
        <v>2449.11</v>
      </c>
    </row>
    <row r="429">
      <c r="A429" t="inlineStr">
        <is>
          <t>Spoorsingel 154b</t>
        </is>
      </c>
      <c r="B429" t="inlineStr">
        <is>
          <t>0247</t>
        </is>
      </c>
      <c r="E429" t="inlineStr">
        <is>
          <t>TÜV Nederland QA B.V.</t>
        </is>
      </c>
      <c r="F429" t="n">
        <v>223</v>
      </c>
      <c r="G429" t="n">
        <v>0</v>
      </c>
      <c r="H429" t="n">
        <v>3608.8</v>
      </c>
    </row>
    <row r="430">
      <c r="A430" t="inlineStr">
        <is>
          <t>St. Annalandstraat 116</t>
        </is>
      </c>
      <c r="B430" t="inlineStr">
        <is>
          <t>0467</t>
        </is>
      </c>
      <c r="E430" t="inlineStr">
        <is>
          <t>Uitzendburo Tradiro B.V.</t>
        </is>
      </c>
      <c r="F430" t="n">
        <v>427</v>
      </c>
      <c r="G430" t="n">
        <v>273.81</v>
      </c>
      <c r="H430" t="n">
        <v>0</v>
      </c>
    </row>
    <row r="431">
      <c r="A431" t="inlineStr">
        <is>
          <t>Stal 355</t>
        </is>
      </c>
      <c r="B431" t="inlineStr">
        <is>
          <t>0200</t>
        </is>
      </c>
      <c r="E431" t="inlineStr">
        <is>
          <t>United Homes B.V.</t>
        </is>
      </c>
      <c r="F431" t="n">
        <v>12</v>
      </c>
      <c r="G431" t="n">
        <v>260</v>
      </c>
      <c r="H431" t="n">
        <v>2663.43</v>
      </c>
    </row>
    <row r="432">
      <c r="A432" t="inlineStr">
        <is>
          <t>Steenen Dijck 87</t>
        </is>
      </c>
      <c r="B432" t="inlineStr">
        <is>
          <t>0099</t>
        </is>
      </c>
      <c r="E432" t="inlineStr">
        <is>
          <t>United Homes Inhouse B.V.</t>
        </is>
      </c>
      <c r="F432" t="n">
        <v>168</v>
      </c>
      <c r="G432" t="n">
        <v>503.72</v>
      </c>
      <c r="H432" t="n">
        <v>3383.25</v>
      </c>
    </row>
    <row r="433">
      <c r="A433" t="inlineStr">
        <is>
          <t>Stroodorpe 1</t>
        </is>
      </c>
      <c r="B433" t="inlineStr">
        <is>
          <t>0492</t>
        </is>
      </c>
      <c r="E433" t="inlineStr">
        <is>
          <t>United Parcel Service Nederland B.V.</t>
        </is>
      </c>
      <c r="F433" t="n">
        <v>130</v>
      </c>
      <c r="G433" t="n">
        <v>0</v>
      </c>
      <c r="H433" t="n">
        <v>0</v>
      </c>
    </row>
    <row r="434">
      <c r="A434" t="inlineStr">
        <is>
          <t>Struitenweg 19b</t>
        </is>
      </c>
      <c r="B434" t="inlineStr">
        <is>
          <t>0127</t>
        </is>
      </c>
      <c r="E434" t="inlineStr">
        <is>
          <t>V.B.A. Beheer B.V.</t>
        </is>
      </c>
      <c r="F434" t="n">
        <v>37</v>
      </c>
      <c r="G434" t="n">
        <v>375</v>
      </c>
      <c r="H434" t="n">
        <v>2491.65</v>
      </c>
    </row>
    <row r="435">
      <c r="A435" t="inlineStr">
        <is>
          <t>Stuifkenszand 2c-4e</t>
        </is>
      </c>
      <c r="B435" t="inlineStr">
        <is>
          <t>0476</t>
        </is>
      </c>
      <c r="E435" t="inlineStr">
        <is>
          <t>VTM Services</t>
        </is>
      </c>
      <c r="F435" t="n">
        <v>345</v>
      </c>
      <c r="G435" t="n">
        <v>0</v>
      </c>
      <c r="H435" t="n">
        <v>0</v>
      </c>
    </row>
    <row r="436">
      <c r="A436" t="inlineStr">
        <is>
          <t>Sweelinckstraat 32</t>
        </is>
      </c>
      <c r="B436" t="inlineStr">
        <is>
          <t>0468</t>
        </is>
      </c>
      <c r="E436" t="inlineStr">
        <is>
          <t>Valkenet Vastgoed B.V.</t>
        </is>
      </c>
      <c r="F436" t="n">
        <v>254</v>
      </c>
      <c r="G436" t="n">
        <v>0</v>
      </c>
      <c r="H436" t="n">
        <v>0</v>
      </c>
    </row>
    <row r="437">
      <c r="A437" t="inlineStr">
        <is>
          <t>Tesselschadelaan 45</t>
        </is>
      </c>
      <c r="B437" t="inlineStr">
        <is>
          <t>0128</t>
        </is>
      </c>
      <c r="E437" t="inlineStr">
        <is>
          <t>Van A tot Z</t>
        </is>
      </c>
      <c r="F437" t="n">
        <v>275</v>
      </c>
      <c r="G437" t="n">
        <v>0</v>
      </c>
      <c r="H437" t="n">
        <v>2316.23</v>
      </c>
    </row>
    <row r="438">
      <c r="A438" t="inlineStr">
        <is>
          <t>Tholenstraat 114</t>
        </is>
      </c>
      <c r="B438" t="inlineStr">
        <is>
          <t>0249</t>
        </is>
      </c>
      <c r="E438" t="inlineStr">
        <is>
          <t>Van Bergen Personeelsdiensten BV</t>
        </is>
      </c>
      <c r="F438" t="n">
        <v>382</v>
      </c>
      <c r="G438" t="n">
        <v>260.59</v>
      </c>
      <c r="H438" t="n">
        <v>2150</v>
      </c>
    </row>
    <row r="439">
      <c r="A439" t="inlineStr">
        <is>
          <t>Tulpenstraat 45</t>
        </is>
      </c>
      <c r="B439" t="inlineStr">
        <is>
          <t>0469</t>
        </is>
      </c>
      <c r="E439" t="inlineStr">
        <is>
          <t>Van Delft Beveiligingen B.V.</t>
        </is>
      </c>
      <c r="F439" t="n">
        <v>466</v>
      </c>
      <c r="G439" t="n">
        <v>0</v>
      </c>
      <c r="H439" t="n">
        <v>0</v>
      </c>
    </row>
    <row r="440">
      <c r="A440" t="inlineStr">
        <is>
          <t xml:space="preserve">Utrechtse straatweg 7 </t>
        </is>
      </c>
      <c r="B440" t="inlineStr">
        <is>
          <t>0129</t>
        </is>
      </c>
      <c r="E440" t="inlineStr">
        <is>
          <t>Van Dijk Wijnhandel</t>
        </is>
      </c>
      <c r="F440" t="n">
        <v>348</v>
      </c>
      <c r="G440" t="n">
        <v>0</v>
      </c>
      <c r="H440" t="n">
        <v>2400</v>
      </c>
    </row>
    <row r="441">
      <c r="A441" t="inlineStr">
        <is>
          <t>Vaartweg 106C</t>
        </is>
      </c>
      <c r="B441" t="inlineStr">
        <is>
          <t>0021</t>
        </is>
      </c>
      <c r="E441" t="inlineStr">
        <is>
          <t>Van Houwelingen Gerechtsdeurwaarders</t>
        </is>
      </c>
      <c r="F441" t="n">
        <v>503</v>
      </c>
      <c r="G441" t="n">
        <v>256.89</v>
      </c>
      <c r="H441" t="n">
        <v>2016.47</v>
      </c>
    </row>
    <row r="442">
      <c r="A442" t="inlineStr">
        <is>
          <t>Van Goghlaan 36</t>
        </is>
      </c>
      <c r="B442" t="inlineStr">
        <is>
          <t>0488</t>
        </is>
      </c>
      <c r="E442" t="inlineStr">
        <is>
          <t>Van Mossel Bedijfwagencentrum</t>
        </is>
      </c>
      <c r="F442" t="n">
        <v>335</v>
      </c>
      <c r="G442" t="n">
        <v>0</v>
      </c>
      <c r="H442" t="n">
        <v>0</v>
      </c>
    </row>
    <row r="443">
      <c r="A443" t="inlineStr">
        <is>
          <t>Van Hogendorplaan 1641</t>
        </is>
      </c>
      <c r="B443" t="inlineStr">
        <is>
          <t>0428</t>
        </is>
      </c>
      <c r="E443" t="inlineStr">
        <is>
          <t>Van Mossel Car Solutions</t>
        </is>
      </c>
      <c r="F443" t="n">
        <v>356</v>
      </c>
      <c r="G443" t="n">
        <v>0</v>
      </c>
      <c r="H443" t="n">
        <v>0</v>
      </c>
    </row>
    <row r="444">
      <c r="A444" t="inlineStr">
        <is>
          <t>Van Hoofsweg 4</t>
        </is>
      </c>
      <c r="B444" t="inlineStr">
        <is>
          <t>0355</t>
        </is>
      </c>
      <c r="E444" t="inlineStr">
        <is>
          <t>Van Mossel MB Vans en Trucks BV</t>
        </is>
      </c>
      <c r="F444" t="n">
        <v>406</v>
      </c>
      <c r="G444" t="n">
        <v>0</v>
      </c>
      <c r="H444" t="n">
        <v>0</v>
      </c>
    </row>
    <row r="445">
      <c r="A445" t="inlineStr">
        <is>
          <t>Van Langedonckstraat 80</t>
        </is>
      </c>
      <c r="B445" t="inlineStr">
        <is>
          <t>0130</t>
        </is>
      </c>
      <c r="E445" t="inlineStr">
        <is>
          <t>Van Mossel Nissan Amsterdam (Amsterdam)</t>
        </is>
      </c>
      <c r="F445" t="n">
        <v>470</v>
      </c>
      <c r="G445" t="n">
        <v>0</v>
      </c>
      <c r="H445" t="n">
        <v>2650</v>
      </c>
    </row>
    <row r="446">
      <c r="A446" t="inlineStr">
        <is>
          <t>Van Maanenstraat 14A</t>
        </is>
      </c>
      <c r="B446" t="inlineStr">
        <is>
          <t>0089</t>
        </is>
      </c>
      <c r="E446" t="inlineStr">
        <is>
          <t>Van Mossel Renault Dacia Rotterdam</t>
        </is>
      </c>
      <c r="F446" t="n">
        <v>485</v>
      </c>
      <c r="G446" t="n">
        <v>120</v>
      </c>
      <c r="H446" t="n">
        <v>0</v>
      </c>
    </row>
    <row r="447">
      <c r="A447" t="inlineStr">
        <is>
          <t>Van Ruijsdaellaan 72A</t>
        </is>
      </c>
      <c r="B447" t="inlineStr">
        <is>
          <t>0347</t>
        </is>
      </c>
      <c r="E447" t="inlineStr">
        <is>
          <t>Van der Wal Bedrijfshuisvesting B.V.</t>
        </is>
      </c>
      <c r="F447" t="n">
        <v>131</v>
      </c>
      <c r="G447" t="n">
        <v>95.67</v>
      </c>
      <c r="H447" t="n">
        <v>1560</v>
      </c>
    </row>
    <row r="448">
      <c r="A448" t="inlineStr">
        <is>
          <t>Van Ruijsdaellaan 72B</t>
        </is>
      </c>
      <c r="B448" t="inlineStr">
        <is>
          <t>0351</t>
        </is>
      </c>
      <c r="E448" t="inlineStr">
        <is>
          <t>Vast-PS Housing</t>
        </is>
      </c>
      <c r="F448" t="n">
        <v>42</v>
      </c>
      <c r="G448" t="n">
        <v>134.4</v>
      </c>
      <c r="H448" t="n">
        <v>0</v>
      </c>
    </row>
    <row r="449">
      <c r="A449" t="inlineStr">
        <is>
          <t>Van Ruijsdaellaan 72C</t>
        </is>
      </c>
      <c r="B449" t="inlineStr">
        <is>
          <t>0352</t>
        </is>
      </c>
      <c r="E449" t="inlineStr">
        <is>
          <t>Vast-ps Cleaning B.V.</t>
        </is>
      </c>
      <c r="F449" t="n">
        <v>132</v>
      </c>
      <c r="G449" t="n">
        <v>153.15</v>
      </c>
      <c r="H449" t="n">
        <v>0</v>
      </c>
    </row>
    <row r="450">
      <c r="A450" t="inlineStr">
        <is>
          <t>Van Swinderenstraat 21</t>
        </is>
      </c>
      <c r="B450" t="inlineStr">
        <is>
          <t>0324</t>
        </is>
      </c>
      <c r="E450" t="inlineStr">
        <is>
          <t>Vastgoed Beheer Zuid.</t>
        </is>
      </c>
      <c r="F450" t="n">
        <v>442</v>
      </c>
      <c r="G450" t="n">
        <v>250</v>
      </c>
      <c r="H450" t="n">
        <v>2100</v>
      </c>
    </row>
    <row r="451">
      <c r="A451" t="inlineStr">
        <is>
          <t xml:space="preserve">Van der Werffstraat 370 </t>
        </is>
      </c>
      <c r="B451" t="inlineStr">
        <is>
          <t>0238</t>
        </is>
      </c>
      <c r="E451" t="inlineStr">
        <is>
          <t>Vattenfall</t>
        </is>
      </c>
      <c r="F451" t="n">
        <v>270</v>
      </c>
      <c r="G451" t="n">
        <v>231.94</v>
      </c>
      <c r="H451" t="n">
        <v>1650</v>
      </c>
    </row>
    <row r="452">
      <c r="A452" t="inlineStr">
        <is>
          <t>Venkelstraat 29A</t>
        </is>
      </c>
      <c r="B452" t="inlineStr">
        <is>
          <t>0137</t>
        </is>
      </c>
      <c r="E452" t="inlineStr">
        <is>
          <t>Vegter Installatietechniek</t>
        </is>
      </c>
      <c r="F452" t="n">
        <v>206</v>
      </c>
      <c r="G452" t="n">
        <v>0</v>
      </c>
      <c r="H452" t="n">
        <v>2500</v>
      </c>
    </row>
    <row r="453">
      <c r="A453" t="inlineStr">
        <is>
          <t xml:space="preserve">Verschansing 21 </t>
        </is>
      </c>
      <c r="B453" t="inlineStr">
        <is>
          <t>0387</t>
        </is>
      </c>
      <c r="E453" t="inlineStr">
        <is>
          <t>Verjong Vastgoed</t>
        </is>
      </c>
      <c r="F453" t="n">
        <v>495</v>
      </c>
      <c r="G453" t="n">
        <v>350</v>
      </c>
      <c r="H453" t="n">
        <v>0</v>
      </c>
    </row>
    <row r="454">
      <c r="A454" t="inlineStr">
        <is>
          <t>Vierambachtsstraat 32-B01</t>
        </is>
      </c>
      <c r="B454" t="inlineStr">
        <is>
          <t>0374</t>
        </is>
      </c>
      <c r="E454" t="inlineStr">
        <is>
          <t>Verkeersschool Nobel</t>
        </is>
      </c>
      <c r="F454" t="n">
        <v>144</v>
      </c>
      <c r="G454" t="n">
        <v>200</v>
      </c>
      <c r="H454" t="n">
        <v>2000</v>
      </c>
    </row>
    <row r="455">
      <c r="A455" t="inlineStr">
        <is>
          <t>Visartstraat 31</t>
        </is>
      </c>
      <c r="B455" t="inlineStr">
        <is>
          <t>0158</t>
        </is>
      </c>
      <c r="E455" t="inlineStr">
        <is>
          <t>Verknocht</t>
        </is>
      </c>
      <c r="F455" t="n">
        <v>330</v>
      </c>
      <c r="G455" t="n">
        <v>200</v>
      </c>
      <c r="H455" t="n">
        <v>2737.83</v>
      </c>
    </row>
    <row r="456">
      <c r="A456" t="inlineStr">
        <is>
          <t>Voeghoutenstraat 236</t>
        </is>
      </c>
      <c r="B456" t="inlineStr">
        <is>
          <t>0132</t>
        </is>
      </c>
      <c r="E456" t="inlineStr">
        <is>
          <t>Verkocht</t>
        </is>
      </c>
      <c r="F456" t="n">
        <v>331</v>
      </c>
      <c r="G456" t="n">
        <v>0</v>
      </c>
      <c r="H456" t="n">
        <v>4000</v>
      </c>
    </row>
    <row r="457">
      <c r="A457" t="inlineStr">
        <is>
          <t>Vogelschorstraat 24</t>
        </is>
      </c>
      <c r="B457" t="inlineStr">
        <is>
          <t>0167</t>
        </is>
      </c>
      <c r="E457" t="inlineStr">
        <is>
          <t>Versteeg Schoenmakerij</t>
        </is>
      </c>
      <c r="F457" t="n">
        <v>256</v>
      </c>
      <c r="G457" t="n">
        <v>200</v>
      </c>
      <c r="H457" t="n">
        <v>2449.11</v>
      </c>
    </row>
    <row r="458">
      <c r="A458" t="inlineStr">
        <is>
          <t>Voorstraat 10</t>
        </is>
      </c>
      <c r="B458" t="inlineStr">
        <is>
          <t>0077</t>
        </is>
      </c>
      <c r="E458" t="inlineStr">
        <is>
          <t>Visma</t>
        </is>
      </c>
      <c r="F458" t="n">
        <v>133</v>
      </c>
      <c r="G458" t="n">
        <v>260</v>
      </c>
      <c r="H458" t="n">
        <v>3608.8</v>
      </c>
    </row>
    <row r="459">
      <c r="A459" t="inlineStr">
        <is>
          <t>Voorstraat 25</t>
        </is>
      </c>
      <c r="B459" t="inlineStr">
        <is>
          <t>0080</t>
        </is>
      </c>
      <c r="E459" t="inlineStr">
        <is>
          <t>Vitens N.V.</t>
        </is>
      </c>
      <c r="F459" t="n">
        <v>134</v>
      </c>
      <c r="G459" t="n">
        <v>553.95</v>
      </c>
      <c r="H459" t="n">
        <v>2170</v>
      </c>
    </row>
    <row r="460">
      <c r="A460" t="inlineStr">
        <is>
          <t>Waellandweg 12</t>
        </is>
      </c>
      <c r="B460" t="inlineStr">
        <is>
          <t>0286</t>
        </is>
      </c>
      <c r="E460" t="inlineStr">
        <is>
          <t>Vivir Wonen</t>
        </is>
      </c>
      <c r="F460" t="n">
        <v>17</v>
      </c>
      <c r="G460" t="n">
        <v>633.76</v>
      </c>
      <c r="H460" t="n">
        <v>1400</v>
      </c>
    </row>
    <row r="461">
      <c r="A461" t="inlineStr">
        <is>
          <t>Wagenstraat 70</t>
        </is>
      </c>
      <c r="B461" t="inlineStr">
        <is>
          <t>0348</t>
        </is>
      </c>
      <c r="E461" t="inlineStr">
        <is>
          <t>Vlot Vastgoed B.V.</t>
        </is>
      </c>
      <c r="F461" t="n">
        <v>227</v>
      </c>
      <c r="G461" t="n">
        <v>750</v>
      </c>
      <c r="H461" t="n">
        <v>0</v>
      </c>
    </row>
    <row r="462">
      <c r="A462" t="inlineStr">
        <is>
          <t>Wedderweg 3A</t>
        </is>
      </c>
      <c r="B462" t="inlineStr">
        <is>
          <t>0368</t>
        </is>
      </c>
      <c r="E462" t="inlineStr">
        <is>
          <t>VoipLinX</t>
        </is>
      </c>
      <c r="F462" t="n">
        <v>135</v>
      </c>
      <c r="G462" t="n">
        <v>250</v>
      </c>
      <c r="H462" t="n">
        <v>0</v>
      </c>
    </row>
    <row r="463">
      <c r="A463" t="inlineStr">
        <is>
          <t>Westercluft</t>
        </is>
      </c>
      <c r="B463" t="inlineStr">
        <is>
          <t>0138</t>
        </is>
      </c>
      <c r="E463" t="inlineStr">
        <is>
          <t>Vondellaan Vastgoed Beheer B.V.</t>
        </is>
      </c>
      <c r="F463" t="n">
        <v>180</v>
      </c>
      <c r="G463" t="n">
        <v>350</v>
      </c>
      <c r="H463" t="n">
        <v>4750</v>
      </c>
    </row>
    <row r="464">
      <c r="A464" t="inlineStr">
        <is>
          <t>Westfrankelandsestraat 106</t>
        </is>
      </c>
      <c r="B464" t="inlineStr">
        <is>
          <t>0419</t>
        </is>
      </c>
      <c r="E464" t="inlineStr">
        <is>
          <t>Voys B.V.</t>
        </is>
      </c>
      <c r="F464" t="n">
        <v>178</v>
      </c>
      <c r="G464" t="n">
        <v>0</v>
      </c>
      <c r="H464" t="n">
        <v>0</v>
      </c>
    </row>
    <row r="465">
      <c r="A465" t="inlineStr">
        <is>
          <t>Westfrankelandsestraat 108</t>
        </is>
      </c>
      <c r="B465" t="inlineStr">
        <is>
          <t>0038</t>
        </is>
      </c>
      <c r="E465" t="inlineStr">
        <is>
          <t>Vroegh &amp; Hobbel B.V.</t>
        </is>
      </c>
      <c r="F465" t="n">
        <v>136</v>
      </c>
      <c r="G465" t="n">
        <v>30.28</v>
      </c>
      <c r="H465" t="n">
        <v>2202.35</v>
      </c>
    </row>
    <row r="466">
      <c r="A466" t="inlineStr">
        <is>
          <t>Westfrankelandsestraat 108B</t>
        </is>
      </c>
      <c r="B466" t="inlineStr">
        <is>
          <t>0037</t>
        </is>
      </c>
      <c r="E466" t="inlineStr">
        <is>
          <t>W van Straalen</t>
        </is>
      </c>
      <c r="F466" t="n">
        <v>334</v>
      </c>
      <c r="G466" t="n">
        <v>350</v>
      </c>
      <c r="H466" t="n">
        <v>1937.65</v>
      </c>
    </row>
    <row r="467">
      <c r="A467" t="inlineStr">
        <is>
          <t>Westlandse Langeweg 14</t>
        </is>
      </c>
      <c r="B467" t="inlineStr">
        <is>
          <t>0472</t>
        </is>
      </c>
      <c r="E467" t="inlineStr">
        <is>
          <t>W.H. Lagendijk Onderhoudsbedrijf</t>
        </is>
      </c>
      <c r="F467" t="n">
        <v>137</v>
      </c>
      <c r="G467" t="n">
        <v>0</v>
      </c>
      <c r="H467" t="n">
        <v>0</v>
      </c>
    </row>
    <row r="468">
      <c r="A468" t="inlineStr">
        <is>
          <t>Wieldraaierstraat 39</t>
        </is>
      </c>
      <c r="B468" t="inlineStr">
        <is>
          <t>0105</t>
        </is>
      </c>
      <c r="E468" t="inlineStr">
        <is>
          <t>W.T. Bosgraaf en E. Stam</t>
        </is>
      </c>
      <c r="F468" t="n">
        <v>186</v>
      </c>
      <c r="G468" t="n">
        <v>150</v>
      </c>
      <c r="H468" t="n">
        <v>2888.78</v>
      </c>
    </row>
    <row r="469">
      <c r="A469" t="inlineStr">
        <is>
          <t>Wijdstraat 13</t>
        </is>
      </c>
      <c r="B469" t="inlineStr">
        <is>
          <t>0171</t>
        </is>
      </c>
      <c r="E469" t="inlineStr">
        <is>
          <t>WML Waterlieding Maatschappij Limburg</t>
        </is>
      </c>
      <c r="F469" t="n">
        <v>375</v>
      </c>
      <c r="G469" t="n">
        <v>500</v>
      </c>
      <c r="H469" t="n">
        <v>5361.15</v>
      </c>
    </row>
    <row r="470">
      <c r="A470" t="inlineStr">
        <is>
          <t>Wijngaard 66</t>
        </is>
      </c>
      <c r="B470" t="inlineStr">
        <is>
          <t>0212</t>
        </is>
      </c>
      <c r="E470" t="inlineStr">
        <is>
          <t>WP Advocaten</t>
        </is>
      </c>
      <c r="F470" t="n">
        <v>140</v>
      </c>
      <c r="G470" t="n">
        <v>250</v>
      </c>
      <c r="H470" t="n">
        <v>2750</v>
      </c>
    </row>
    <row r="471">
      <c r="A471" t="inlineStr">
        <is>
          <t xml:space="preserve">Wilgensingel 63 </t>
        </is>
      </c>
      <c r="B471" t="inlineStr">
        <is>
          <t>0139</t>
        </is>
      </c>
      <c r="E471" t="inlineStr">
        <is>
          <t>Wasco</t>
        </is>
      </c>
      <c r="F471" t="n">
        <v>472</v>
      </c>
      <c r="G471" t="n">
        <v>275.99</v>
      </c>
      <c r="H471" t="n">
        <v>0</v>
      </c>
    </row>
    <row r="472">
      <c r="A472" t="inlineStr">
        <is>
          <t>Wilgenstraat 37</t>
        </is>
      </c>
      <c r="B472" t="inlineStr">
        <is>
          <t>0140</t>
        </is>
      </c>
      <c r="E472" t="inlineStr">
        <is>
          <t>Wasgoed.com</t>
        </is>
      </c>
      <c r="F472" t="n">
        <v>138</v>
      </c>
      <c r="G472" t="n">
        <v>300</v>
      </c>
      <c r="H472" t="n">
        <v>3955.8</v>
      </c>
    </row>
    <row r="473">
      <c r="A473" t="inlineStr">
        <is>
          <t>Wilhelmina Druckerstraat 68</t>
        </is>
      </c>
      <c r="B473" t="inlineStr">
        <is>
          <t>0142</t>
        </is>
      </c>
      <c r="E473" t="inlineStr">
        <is>
          <t>Waterbedrijf Groningen</t>
        </is>
      </c>
      <c r="F473" t="n">
        <v>489</v>
      </c>
      <c r="G473" t="n">
        <v>350</v>
      </c>
      <c r="H473" t="n">
        <v>2394.3</v>
      </c>
    </row>
    <row r="474">
      <c r="A474" t="inlineStr">
        <is>
          <t>Wilhelminastraat 8</t>
        </is>
      </c>
      <c r="B474" t="inlineStr">
        <is>
          <t>0141</t>
        </is>
      </c>
      <c r="E474" t="inlineStr">
        <is>
          <t>Webciters</t>
        </is>
      </c>
      <c r="F474" t="n">
        <v>336</v>
      </c>
      <c r="G474" t="n">
        <v>300</v>
      </c>
      <c r="H474" t="n">
        <v>2700</v>
      </c>
    </row>
    <row r="475">
      <c r="A475" t="inlineStr">
        <is>
          <t>Willem Lodewijkstraat 8</t>
        </is>
      </c>
      <c r="B475" t="inlineStr">
        <is>
          <t>0143</t>
        </is>
      </c>
      <c r="E475" t="inlineStr">
        <is>
          <t>Wensing Meubelen BV</t>
        </is>
      </c>
      <c r="F475" t="n">
        <v>409</v>
      </c>
      <c r="G475" t="n">
        <v>200</v>
      </c>
      <c r="H475" t="n">
        <v>2000</v>
      </c>
    </row>
    <row r="476">
      <c r="A476" t="inlineStr">
        <is>
          <t>Willem de Rijkelaan 134</t>
        </is>
      </c>
      <c r="B476" t="inlineStr">
        <is>
          <t>0161</t>
        </is>
      </c>
      <c r="E476" t="inlineStr">
        <is>
          <t>Westhavendomein BV</t>
        </is>
      </c>
      <c r="F476" t="n">
        <v>364</v>
      </c>
      <c r="G476" t="n">
        <v>0</v>
      </c>
      <c r="H476" t="n">
        <v>2909.6</v>
      </c>
    </row>
    <row r="477">
      <c r="A477" t="inlineStr">
        <is>
          <t>Woudseweg 146</t>
        </is>
      </c>
      <c r="B477" t="inlineStr">
        <is>
          <t>0489</t>
        </is>
      </c>
      <c r="E477" t="inlineStr">
        <is>
          <t>Westland Autoschade (De Lier)</t>
        </is>
      </c>
      <c r="F477" t="n">
        <v>471</v>
      </c>
      <c r="G477" t="n">
        <v>0</v>
      </c>
      <c r="H477" t="n">
        <v>0</v>
      </c>
    </row>
    <row r="478">
      <c r="A478" t="inlineStr">
        <is>
          <t>Woutersweg 20</t>
        </is>
      </c>
      <c r="B478" t="inlineStr">
        <is>
          <t>0186</t>
        </is>
      </c>
      <c r="E478" t="inlineStr">
        <is>
          <t>Why not NL?!</t>
        </is>
      </c>
      <c r="F478" t="n">
        <v>151</v>
      </c>
      <c r="G478" t="n">
        <v>1888.57</v>
      </c>
      <c r="H478" t="n">
        <v>2394.3</v>
      </c>
    </row>
    <row r="479">
      <c r="A479" t="inlineStr">
        <is>
          <t>Wouwbaan 230</t>
        </is>
      </c>
      <c r="B479" t="inlineStr">
        <is>
          <t>0145</t>
        </is>
      </c>
      <c r="E479" t="inlineStr">
        <is>
          <t>Witgoed Hellevoetsluis</t>
        </is>
      </c>
      <c r="F479" t="n">
        <v>139</v>
      </c>
      <c r="G479" t="n">
        <v>0</v>
      </c>
      <c r="H479" t="n">
        <v>2928.69</v>
      </c>
    </row>
    <row r="480">
      <c r="A480" t="inlineStr">
        <is>
          <t>Wouwsestraat 65</t>
        </is>
      </c>
      <c r="B480" t="inlineStr">
        <is>
          <t>0473</t>
        </is>
      </c>
      <c r="E480" t="inlineStr">
        <is>
          <t>WitteWoning Makelaars</t>
        </is>
      </c>
      <c r="F480" t="n">
        <v>46</v>
      </c>
      <c r="G480" t="n">
        <v>0</v>
      </c>
      <c r="H480" t="n">
        <v>0</v>
      </c>
    </row>
    <row r="481">
      <c r="A481" t="inlineStr">
        <is>
          <t>Zegwaardseweg 54</t>
        </is>
      </c>
      <c r="B481" t="inlineStr">
        <is>
          <t>0394</t>
        </is>
      </c>
      <c r="E481" t="inlineStr">
        <is>
          <t>Wittkamp Trading</t>
        </is>
      </c>
      <c r="F481" t="n">
        <v>312</v>
      </c>
      <c r="G481" t="n">
        <v>0</v>
      </c>
      <c r="H481" t="n">
        <v>0</v>
      </c>
    </row>
    <row r="482">
      <c r="A482" t="inlineStr">
        <is>
          <t>Zuidhoek 209D</t>
        </is>
      </c>
      <c r="B482" t="inlineStr">
        <is>
          <t>0232</t>
        </is>
      </c>
      <c r="E482" t="inlineStr">
        <is>
          <t>Wooninq</t>
        </is>
      </c>
      <c r="F482" t="n">
        <v>338</v>
      </c>
      <c r="G482" t="n">
        <v>95.59999999999999</v>
      </c>
      <c r="H482" t="n">
        <v>2316.23</v>
      </c>
    </row>
    <row r="483">
      <c r="A483" t="inlineStr">
        <is>
          <t>Zwethkade Zuid 30A</t>
        </is>
      </c>
      <c r="B483" t="inlineStr">
        <is>
          <t>0376</t>
        </is>
      </c>
      <c r="E483" t="inlineStr">
        <is>
          <t>XS4ALL Internet B.V.</t>
        </is>
      </c>
      <c r="F483" t="n">
        <v>141</v>
      </c>
      <c r="G483" t="n">
        <v>390</v>
      </c>
      <c r="H483" t="n">
        <v>0</v>
      </c>
    </row>
    <row r="484">
      <c r="A484" t="inlineStr">
        <is>
          <t>de Genestetstraat 32</t>
        </is>
      </c>
      <c r="B484" t="inlineStr">
        <is>
          <t>0169</t>
        </is>
      </c>
      <c r="E484" t="inlineStr">
        <is>
          <t>Y. K. Bos</t>
        </is>
      </c>
      <c r="F484" t="n">
        <v>228</v>
      </c>
      <c r="G484" t="n">
        <v>0</v>
      </c>
      <c r="H484" t="n">
        <v>1700</v>
      </c>
    </row>
    <row r="485">
      <c r="A485" t="inlineStr">
        <is>
          <t>de Lus 16 ap28</t>
        </is>
      </c>
      <c r="B485" t="inlineStr">
        <is>
          <t>0436</t>
        </is>
      </c>
      <c r="E485" t="inlineStr">
        <is>
          <t>YaY</t>
        </is>
      </c>
      <c r="F485" t="n">
        <v>142</v>
      </c>
      <c r="G485" t="n">
        <v>0</v>
      </c>
      <c r="H485" t="n">
        <v>0</v>
      </c>
    </row>
    <row r="486">
      <c r="A486" t="inlineStr">
        <is>
          <t>v.d. Waalstraat 16</t>
        </is>
      </c>
      <c r="B486" t="inlineStr">
        <is>
          <t>0470</t>
        </is>
      </c>
      <c r="E486" t="inlineStr">
        <is>
          <t>Yearth Academy</t>
        </is>
      </c>
      <c r="F486" t="n">
        <v>407</v>
      </c>
      <c r="G486" t="n">
        <v>411.41</v>
      </c>
      <c r="H486" t="n">
        <v>0</v>
      </c>
    </row>
    <row r="487">
      <c r="A487" t="inlineStr">
        <is>
          <t>van Scorelstraat 73</t>
        </is>
      </c>
      <c r="B487" t="inlineStr">
        <is>
          <t>0016</t>
        </is>
      </c>
      <c r="E487" t="inlineStr">
        <is>
          <t>Yellowbrick</t>
        </is>
      </c>
      <c r="F487" t="n">
        <v>143</v>
      </c>
      <c r="G487" t="n">
        <v>218.11</v>
      </c>
      <c r="H487" t="n">
        <v>2224.71</v>
      </c>
    </row>
    <row r="488">
      <c r="A488" t="inlineStr">
        <is>
          <t>van der Waalsstraat 16</t>
        </is>
      </c>
      <c r="B488" t="inlineStr">
        <is>
          <t>0248</t>
        </is>
      </c>
      <c r="E488" t="inlineStr">
        <is>
          <t>Yur Advocaten B.V.</t>
        </is>
      </c>
      <c r="F488" t="n">
        <v>305</v>
      </c>
      <c r="G488" t="n">
        <v>70.76000000000001</v>
      </c>
      <c r="H488" t="n">
        <v>2170</v>
      </c>
    </row>
    <row r="489">
      <c r="A489" t="inlineStr">
        <is>
          <t>van der Waalsstraat 70</t>
        </is>
      </c>
      <c r="B489" t="inlineStr">
        <is>
          <t>0250</t>
        </is>
      </c>
      <c r="E489" t="inlineStr">
        <is>
          <t>Z Yilmaz</t>
        </is>
      </c>
      <c r="F489" t="n">
        <v>475</v>
      </c>
      <c r="G489" t="n">
        <v>411.41</v>
      </c>
      <c r="H489" t="n">
        <v>0</v>
      </c>
    </row>
    <row r="490">
      <c r="A490" t="inlineStr">
        <is>
          <t>van der Werffstraat 166</t>
        </is>
      </c>
      <c r="B490" t="inlineStr">
        <is>
          <t>0241</t>
        </is>
      </c>
      <c r="E490" t="inlineStr">
        <is>
          <t>ZILXX</t>
        </is>
      </c>
      <c r="F490" t="n">
        <v>436</v>
      </c>
      <c r="G490" t="n">
        <v>35.88</v>
      </c>
      <c r="H490" t="n">
        <v>1560</v>
      </c>
    </row>
    <row r="491">
      <c r="A491" t="inlineStr">
        <is>
          <t>van der Werffstraat 240</t>
        </is>
      </c>
      <c r="B491" t="inlineStr">
        <is>
          <t>0245</t>
        </is>
      </c>
      <c r="E491" t="inlineStr">
        <is>
          <t>Zien! B.V.</t>
        </is>
      </c>
      <c r="F491" t="n">
        <v>234</v>
      </c>
      <c r="G491" t="n">
        <v>186.36</v>
      </c>
      <c r="H491" t="n">
        <v>0</v>
      </c>
    </row>
    <row r="492">
      <c r="E492" t="inlineStr">
        <is>
          <t>Ziggo Services B.V.</t>
        </is>
      </c>
      <c r="F492" t="n">
        <v>260</v>
      </c>
    </row>
    <row r="493">
      <c r="E493" t="inlineStr">
        <is>
          <t>de Verhuurder vastgoedbemiddeling</t>
        </is>
      </c>
      <c r="F493" t="n">
        <v>340</v>
      </c>
    </row>
    <row r="494">
      <c r="E494" t="inlineStr">
        <is>
          <t>dockHolland Huisvesting B.V.</t>
        </is>
      </c>
      <c r="F494" t="n">
        <v>193</v>
      </c>
    </row>
    <row r="495">
      <c r="E495" t="inlineStr">
        <is>
          <t>flexcraft</t>
        </is>
      </c>
      <c r="F495" t="n">
        <v>301</v>
      </c>
    </row>
    <row r="496">
      <c r="E496" t="inlineStr">
        <is>
          <t>gbtwente</t>
        </is>
      </c>
      <c r="F496" t="n">
        <v>282</v>
      </c>
    </row>
    <row r="497">
      <c r="E497" t="inlineStr">
        <is>
          <t>hallo,</t>
        </is>
      </c>
      <c r="F497" t="n">
        <v>79</v>
      </c>
    </row>
    <row r="498">
      <c r="E498" t="inlineStr">
        <is>
          <t>hemdvoorhem.nl B.V.</t>
        </is>
      </c>
      <c r="F498" t="n">
        <v>81</v>
      </c>
    </row>
    <row r="499">
      <c r="E499" t="inlineStr">
        <is>
          <t>hotel Rozenburg</t>
        </is>
      </c>
      <c r="F499" t="n">
        <v>291</v>
      </c>
    </row>
    <row r="500">
      <c r="E500" t="inlineStr">
        <is>
          <t>kerstpakkettenplaza.nl</t>
        </is>
      </c>
      <c r="F500" t="n">
        <v>506</v>
      </c>
    </row>
    <row r="501">
      <c r="E501" t="inlineStr">
        <is>
          <t>marc de vries</t>
        </is>
      </c>
      <c r="F501" t="n">
        <v>284</v>
      </c>
    </row>
    <row r="502">
      <c r="E502" t="inlineStr">
        <is>
          <t>oasen nv</t>
        </is>
      </c>
      <c r="F502" t="n">
        <v>279</v>
      </c>
    </row>
    <row r="503">
      <c r="E503" t="inlineStr">
        <is>
          <t>reedijk wheels and tyres</t>
        </is>
      </c>
      <c r="F503" t="n">
        <v>298</v>
      </c>
    </row>
    <row r="504">
      <c r="E504" t="inlineStr">
        <is>
          <t>spaa materials</t>
        </is>
      </c>
      <c r="F504" t="n">
        <v>300</v>
      </c>
    </row>
    <row r="505">
      <c r="E505" t="inlineStr">
        <is>
          <t>value+</t>
        </is>
      </c>
      <c r="F505" t="n">
        <v>408</v>
      </c>
    </row>
    <row r="506">
      <c r="E506" t="inlineStr">
        <is>
          <t>van Gastel Notarissen</t>
        </is>
      </c>
      <c r="F506" t="n">
        <v>308</v>
      </c>
    </row>
    <row r="507">
      <c r="E507" t="inlineStr">
        <is>
          <t>van der Meij Interieurs</t>
        </is>
      </c>
      <c r="F507" t="n">
        <v>448</v>
      </c>
    </row>
    <row r="508">
      <c r="E508" t="inlineStr">
        <is>
          <t>wmd water</t>
        </is>
      </c>
      <c r="F508" t="n">
        <v>283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684B1BF-C186-4DA5-99DD-8666992377DD}"/>
</file>

<file path=customXml/itemProps2.xml><?xml version="1.0" encoding="utf-8"?>
<ds:datastoreItem xmlns:ds="http://schemas.openxmlformats.org/officeDocument/2006/customXml" ds:itemID="{3399D8CE-CCD6-441C-BA94-C41D8080DE73}"/>
</file>

<file path=customXml/itemProps3.xml><?xml version="1.0" encoding="utf-8"?>
<ds:datastoreItem xmlns:ds="http://schemas.openxmlformats.org/officeDocument/2006/customXml" ds:itemID="{512A0E55-55CE-43C8-8D50-D2BB5523B7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2026-01-20T15:27:40Z</dcterms:created>
  <dcterms:modified xsi:type="dcterms:W3CDTF">2026-01-20T15:27:40Z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