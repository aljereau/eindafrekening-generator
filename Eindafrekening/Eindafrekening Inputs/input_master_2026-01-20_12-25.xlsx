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Eindafrekening Inputs/"/>
    </mc:Choice>
  </mc:AlternateContent>
  <xr:revisionPtr revIDLastSave="4" documentId="11_EB55194F2FFDC364882944B4AAC1AAFC9C21F1FB" xr6:coauthVersionLast="47" xr6:coauthVersionMax="47" xr10:uidLastSave="{E31AD585-E2FB-014A-AF26-206CCA967719}"/>
  <bookViews>
    <workbookView xWindow="0" yWindow="760" windowWidth="34560" windowHeight="20360" activeTab="2" xr2:uid="{00000000-000D-0000-FFFF-FFFF00000000}"/>
  </bookViews>
  <sheets>
    <sheet name="Dashboard" sheetId="1" r:id="rId1"/>
    <sheet name="Input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01" i="2" l="1"/>
  <c r="AN201" i="2" s="1"/>
  <c r="AE201" i="2"/>
  <c r="AH201" i="2" s="1"/>
  <c r="R201" i="2"/>
  <c r="L201" i="2"/>
  <c r="N201" i="2" s="1"/>
  <c r="O201" i="2" s="1"/>
  <c r="J201" i="2"/>
  <c r="E201" i="2"/>
  <c r="D201" i="2"/>
  <c r="AL200" i="2"/>
  <c r="AN200" i="2" s="1"/>
  <c r="AH200" i="2"/>
  <c r="AG200" i="2"/>
  <c r="AE200" i="2"/>
  <c r="R200" i="2"/>
  <c r="N200" i="2"/>
  <c r="O200" i="2" s="1"/>
  <c r="L200" i="2"/>
  <c r="J200" i="2"/>
  <c r="E200" i="2"/>
  <c r="D200" i="2"/>
  <c r="AL199" i="2"/>
  <c r="AN199" i="2" s="1"/>
  <c r="AH199" i="2"/>
  <c r="AG199" i="2"/>
  <c r="AE199" i="2"/>
  <c r="R199" i="2"/>
  <c r="N199" i="2"/>
  <c r="O199" i="2" s="1"/>
  <c r="L199" i="2"/>
  <c r="J199" i="2"/>
  <c r="E199" i="2"/>
  <c r="D199" i="2"/>
  <c r="AL198" i="2"/>
  <c r="AN198" i="2" s="1"/>
  <c r="AH198" i="2"/>
  <c r="AG198" i="2"/>
  <c r="AE198" i="2"/>
  <c r="R198" i="2"/>
  <c r="N198" i="2"/>
  <c r="O198" i="2" s="1"/>
  <c r="L198" i="2"/>
  <c r="J198" i="2"/>
  <c r="E198" i="2"/>
  <c r="D198" i="2"/>
  <c r="AL197" i="2"/>
  <c r="AN197" i="2" s="1"/>
  <c r="AH197" i="2"/>
  <c r="AG197" i="2"/>
  <c r="AE197" i="2"/>
  <c r="R197" i="2"/>
  <c r="O197" i="2"/>
  <c r="N197" i="2"/>
  <c r="L197" i="2"/>
  <c r="J197" i="2"/>
  <c r="E197" i="2"/>
  <c r="D197" i="2"/>
  <c r="AL196" i="2"/>
  <c r="AN196" i="2" s="1"/>
  <c r="AH196" i="2"/>
  <c r="AG196" i="2"/>
  <c r="AE196" i="2"/>
  <c r="R196" i="2"/>
  <c r="N196" i="2"/>
  <c r="O196" i="2" s="1"/>
  <c r="L196" i="2"/>
  <c r="J196" i="2"/>
  <c r="E196" i="2"/>
  <c r="D196" i="2"/>
  <c r="AL195" i="2"/>
  <c r="AN195" i="2" s="1"/>
  <c r="AH195" i="2"/>
  <c r="AG195" i="2"/>
  <c r="AE195" i="2"/>
  <c r="R195" i="2"/>
  <c r="N195" i="2"/>
  <c r="O195" i="2" s="1"/>
  <c r="L195" i="2"/>
  <c r="J195" i="2"/>
  <c r="E195" i="2"/>
  <c r="D195" i="2"/>
  <c r="AL194" i="2"/>
  <c r="AN194" i="2" s="1"/>
  <c r="AH194" i="2"/>
  <c r="AG194" i="2"/>
  <c r="AE194" i="2"/>
  <c r="R194" i="2"/>
  <c r="O194" i="2"/>
  <c r="N194" i="2"/>
  <c r="L194" i="2"/>
  <c r="J194" i="2"/>
  <c r="E194" i="2"/>
  <c r="D194" i="2"/>
  <c r="AL193" i="2"/>
  <c r="AN193" i="2" s="1"/>
  <c r="AH193" i="2"/>
  <c r="AG193" i="2"/>
  <c r="AE193" i="2"/>
  <c r="R193" i="2"/>
  <c r="N193" i="2"/>
  <c r="O193" i="2" s="1"/>
  <c r="L193" i="2"/>
  <c r="J193" i="2"/>
  <c r="E193" i="2"/>
  <c r="D193" i="2"/>
  <c r="AL192" i="2"/>
  <c r="AN192" i="2" s="1"/>
  <c r="AH192" i="2"/>
  <c r="AG192" i="2"/>
  <c r="AE192" i="2"/>
  <c r="R192" i="2"/>
  <c r="N192" i="2"/>
  <c r="O192" i="2" s="1"/>
  <c r="L192" i="2"/>
  <c r="J192" i="2"/>
  <c r="E192" i="2"/>
  <c r="D192" i="2"/>
  <c r="AL191" i="2"/>
  <c r="AN191" i="2" s="1"/>
  <c r="AH191" i="2"/>
  <c r="AG191" i="2"/>
  <c r="AE191" i="2"/>
  <c r="R191" i="2"/>
  <c r="N191" i="2"/>
  <c r="O191" i="2" s="1"/>
  <c r="L191" i="2"/>
  <c r="J191" i="2"/>
  <c r="E191" i="2"/>
  <c r="D191" i="2"/>
  <c r="AL190" i="2"/>
  <c r="AN190" i="2" s="1"/>
  <c r="AH190" i="2"/>
  <c r="AG190" i="2"/>
  <c r="AE190" i="2"/>
  <c r="R190" i="2"/>
  <c r="O190" i="2"/>
  <c r="N190" i="2"/>
  <c r="L190" i="2"/>
  <c r="J190" i="2"/>
  <c r="E190" i="2"/>
  <c r="D190" i="2"/>
  <c r="AL189" i="2"/>
  <c r="AN189" i="2" s="1"/>
  <c r="AH189" i="2"/>
  <c r="AG189" i="2"/>
  <c r="AE189" i="2"/>
  <c r="R189" i="2"/>
  <c r="N189" i="2"/>
  <c r="O189" i="2" s="1"/>
  <c r="L189" i="2"/>
  <c r="J189" i="2"/>
  <c r="E189" i="2"/>
  <c r="D189" i="2"/>
  <c r="AL188" i="2"/>
  <c r="AN188" i="2" s="1"/>
  <c r="AH188" i="2"/>
  <c r="AG188" i="2"/>
  <c r="AE188" i="2"/>
  <c r="R188" i="2"/>
  <c r="N188" i="2"/>
  <c r="O188" i="2" s="1"/>
  <c r="L188" i="2"/>
  <c r="J188" i="2"/>
  <c r="E188" i="2"/>
  <c r="D188" i="2"/>
  <c r="AL187" i="2"/>
  <c r="AN187" i="2" s="1"/>
  <c r="AH187" i="2"/>
  <c r="AG187" i="2"/>
  <c r="AE187" i="2"/>
  <c r="R187" i="2"/>
  <c r="O187" i="2"/>
  <c r="N187" i="2"/>
  <c r="L187" i="2"/>
  <c r="J187" i="2"/>
  <c r="E187" i="2"/>
  <c r="D187" i="2"/>
  <c r="AL186" i="2"/>
  <c r="AN186" i="2" s="1"/>
  <c r="AH186" i="2"/>
  <c r="AG186" i="2"/>
  <c r="AE186" i="2"/>
  <c r="R186" i="2"/>
  <c r="N186" i="2"/>
  <c r="O186" i="2" s="1"/>
  <c r="L186" i="2"/>
  <c r="J186" i="2"/>
  <c r="E186" i="2"/>
  <c r="D186" i="2"/>
  <c r="AL185" i="2"/>
  <c r="AN185" i="2" s="1"/>
  <c r="AH185" i="2"/>
  <c r="AG185" i="2"/>
  <c r="AE185" i="2"/>
  <c r="R185" i="2"/>
  <c r="N185" i="2"/>
  <c r="O185" i="2" s="1"/>
  <c r="L185" i="2"/>
  <c r="J185" i="2"/>
  <c r="E185" i="2"/>
  <c r="D185" i="2"/>
  <c r="AL184" i="2"/>
  <c r="AN184" i="2" s="1"/>
  <c r="AH184" i="2"/>
  <c r="AG184" i="2"/>
  <c r="AE184" i="2"/>
  <c r="R184" i="2"/>
  <c r="O184" i="2"/>
  <c r="N184" i="2"/>
  <c r="L184" i="2"/>
  <c r="J184" i="2"/>
  <c r="E184" i="2"/>
  <c r="D184" i="2"/>
  <c r="AL183" i="2"/>
  <c r="AN183" i="2" s="1"/>
  <c r="AH183" i="2"/>
  <c r="AG183" i="2"/>
  <c r="AE183" i="2"/>
  <c r="R183" i="2"/>
  <c r="O183" i="2"/>
  <c r="N183" i="2"/>
  <c r="L183" i="2"/>
  <c r="J183" i="2"/>
  <c r="E183" i="2"/>
  <c r="D183" i="2"/>
  <c r="AL182" i="2"/>
  <c r="AN182" i="2" s="1"/>
  <c r="AH182" i="2"/>
  <c r="AG182" i="2"/>
  <c r="AE182" i="2"/>
  <c r="R182" i="2"/>
  <c r="N182" i="2"/>
  <c r="O182" i="2" s="1"/>
  <c r="L182" i="2"/>
  <c r="J182" i="2"/>
  <c r="E182" i="2"/>
  <c r="D182" i="2"/>
  <c r="AL181" i="2"/>
  <c r="AN181" i="2" s="1"/>
  <c r="AH181" i="2"/>
  <c r="AG181" i="2"/>
  <c r="AE181" i="2"/>
  <c r="R181" i="2"/>
  <c r="N181" i="2"/>
  <c r="O181" i="2" s="1"/>
  <c r="L181" i="2"/>
  <c r="J181" i="2"/>
  <c r="E181" i="2"/>
  <c r="D181" i="2"/>
  <c r="AL180" i="2"/>
  <c r="AN180" i="2" s="1"/>
  <c r="AH180" i="2"/>
  <c r="AG180" i="2"/>
  <c r="AE180" i="2"/>
  <c r="R180" i="2"/>
  <c r="O180" i="2"/>
  <c r="N180" i="2"/>
  <c r="L180" i="2"/>
  <c r="J180" i="2"/>
  <c r="E180" i="2"/>
  <c r="D180" i="2"/>
  <c r="AL179" i="2"/>
  <c r="AN179" i="2" s="1"/>
  <c r="AH179" i="2"/>
  <c r="AG179" i="2"/>
  <c r="AE179" i="2"/>
  <c r="R179" i="2"/>
  <c r="N179" i="2"/>
  <c r="O179" i="2" s="1"/>
  <c r="L179" i="2"/>
  <c r="J179" i="2"/>
  <c r="E179" i="2"/>
  <c r="D179" i="2"/>
  <c r="AL178" i="2"/>
  <c r="AN178" i="2" s="1"/>
  <c r="AH178" i="2"/>
  <c r="AG178" i="2"/>
  <c r="AE178" i="2"/>
  <c r="R178" i="2"/>
  <c r="N178" i="2"/>
  <c r="O178" i="2" s="1"/>
  <c r="L178" i="2"/>
  <c r="J178" i="2"/>
  <c r="E178" i="2"/>
  <c r="D178" i="2"/>
  <c r="AL177" i="2"/>
  <c r="AN177" i="2" s="1"/>
  <c r="AH177" i="2"/>
  <c r="AG177" i="2"/>
  <c r="AE177" i="2"/>
  <c r="R177" i="2"/>
  <c r="N177" i="2"/>
  <c r="O177" i="2" s="1"/>
  <c r="L177" i="2"/>
  <c r="J177" i="2"/>
  <c r="E177" i="2"/>
  <c r="D177" i="2"/>
  <c r="AL176" i="2"/>
  <c r="AN176" i="2" s="1"/>
  <c r="AH176" i="2"/>
  <c r="AG176" i="2"/>
  <c r="AE176" i="2"/>
  <c r="R176" i="2"/>
  <c r="O176" i="2"/>
  <c r="N176" i="2"/>
  <c r="L176" i="2"/>
  <c r="J176" i="2"/>
  <c r="E176" i="2"/>
  <c r="D176" i="2"/>
  <c r="AL175" i="2"/>
  <c r="AN175" i="2" s="1"/>
  <c r="AH175" i="2"/>
  <c r="AG175" i="2"/>
  <c r="AE175" i="2"/>
  <c r="R175" i="2"/>
  <c r="N175" i="2"/>
  <c r="O175" i="2" s="1"/>
  <c r="L175" i="2"/>
  <c r="J175" i="2"/>
  <c r="E175" i="2"/>
  <c r="D175" i="2"/>
  <c r="AL174" i="2"/>
  <c r="AN174" i="2" s="1"/>
  <c r="AH174" i="2"/>
  <c r="AG174" i="2"/>
  <c r="AE174" i="2"/>
  <c r="R174" i="2"/>
  <c r="N174" i="2"/>
  <c r="O174" i="2" s="1"/>
  <c r="L174" i="2"/>
  <c r="J174" i="2"/>
  <c r="E174" i="2"/>
  <c r="D174" i="2"/>
  <c r="AL173" i="2"/>
  <c r="AN173" i="2" s="1"/>
  <c r="AH173" i="2"/>
  <c r="AG173" i="2"/>
  <c r="AE173" i="2"/>
  <c r="R173" i="2"/>
  <c r="O173" i="2"/>
  <c r="N173" i="2"/>
  <c r="L173" i="2"/>
  <c r="J173" i="2"/>
  <c r="E173" i="2"/>
  <c r="D173" i="2"/>
  <c r="AL172" i="2"/>
  <c r="AN172" i="2" s="1"/>
  <c r="AH172" i="2"/>
  <c r="AG172" i="2"/>
  <c r="AE172" i="2"/>
  <c r="R172" i="2"/>
  <c r="N172" i="2"/>
  <c r="O172" i="2" s="1"/>
  <c r="L172" i="2"/>
  <c r="J172" i="2"/>
  <c r="E172" i="2"/>
  <c r="D172" i="2"/>
  <c r="AL171" i="2"/>
  <c r="AN171" i="2" s="1"/>
  <c r="AH171" i="2"/>
  <c r="AG171" i="2"/>
  <c r="AE171" i="2"/>
  <c r="R171" i="2"/>
  <c r="N171" i="2"/>
  <c r="O171" i="2" s="1"/>
  <c r="L171" i="2"/>
  <c r="J171" i="2"/>
  <c r="E171" i="2"/>
  <c r="D171" i="2"/>
  <c r="AL170" i="2"/>
  <c r="AN170" i="2" s="1"/>
  <c r="AH170" i="2"/>
  <c r="AG170" i="2"/>
  <c r="AE170" i="2"/>
  <c r="R170" i="2"/>
  <c r="N170" i="2"/>
  <c r="O170" i="2" s="1"/>
  <c r="L170" i="2"/>
  <c r="J170" i="2"/>
  <c r="E170" i="2"/>
  <c r="D170" i="2"/>
  <c r="AL169" i="2"/>
  <c r="AN169" i="2" s="1"/>
  <c r="AH169" i="2"/>
  <c r="AG169" i="2"/>
  <c r="AE169" i="2"/>
  <c r="R169" i="2"/>
  <c r="O169" i="2"/>
  <c r="N169" i="2"/>
  <c r="L169" i="2"/>
  <c r="J169" i="2"/>
  <c r="E169" i="2"/>
  <c r="D169" i="2"/>
  <c r="AL168" i="2"/>
  <c r="AN168" i="2" s="1"/>
  <c r="AH168" i="2"/>
  <c r="AG168" i="2"/>
  <c r="AE168" i="2"/>
  <c r="R168" i="2"/>
  <c r="N168" i="2"/>
  <c r="O168" i="2" s="1"/>
  <c r="L168" i="2"/>
  <c r="J168" i="2"/>
  <c r="E168" i="2"/>
  <c r="D168" i="2"/>
  <c r="AL167" i="2"/>
  <c r="AN167" i="2" s="1"/>
  <c r="AH167" i="2"/>
  <c r="AG167" i="2"/>
  <c r="AE167" i="2"/>
  <c r="R167" i="2"/>
  <c r="N167" i="2"/>
  <c r="O167" i="2" s="1"/>
  <c r="L167" i="2"/>
  <c r="J167" i="2"/>
  <c r="E167" i="2"/>
  <c r="D167" i="2"/>
  <c r="AL166" i="2"/>
  <c r="AN166" i="2" s="1"/>
  <c r="AH166" i="2"/>
  <c r="AG166" i="2"/>
  <c r="AE166" i="2"/>
  <c r="R166" i="2"/>
  <c r="O166" i="2"/>
  <c r="N166" i="2"/>
  <c r="L166" i="2"/>
  <c r="J166" i="2"/>
  <c r="E166" i="2"/>
  <c r="D166" i="2"/>
  <c r="AL165" i="2"/>
  <c r="AN165" i="2" s="1"/>
  <c r="AH165" i="2"/>
  <c r="AG165" i="2"/>
  <c r="AE165" i="2"/>
  <c r="R165" i="2"/>
  <c r="N165" i="2"/>
  <c r="O165" i="2" s="1"/>
  <c r="L165" i="2"/>
  <c r="J165" i="2"/>
  <c r="E165" i="2"/>
  <c r="D165" i="2"/>
  <c r="AL164" i="2"/>
  <c r="AN164" i="2" s="1"/>
  <c r="AH164" i="2"/>
  <c r="AG164" i="2"/>
  <c r="AE164" i="2"/>
  <c r="R164" i="2"/>
  <c r="N164" i="2"/>
  <c r="O164" i="2" s="1"/>
  <c r="L164" i="2"/>
  <c r="J164" i="2"/>
  <c r="E164" i="2"/>
  <c r="D164" i="2"/>
  <c r="AL163" i="2"/>
  <c r="AN163" i="2" s="1"/>
  <c r="AH163" i="2"/>
  <c r="AG163" i="2"/>
  <c r="AE163" i="2"/>
  <c r="R163" i="2"/>
  <c r="N163" i="2"/>
  <c r="O163" i="2" s="1"/>
  <c r="L163" i="2"/>
  <c r="J163" i="2"/>
  <c r="E163" i="2"/>
  <c r="D163" i="2"/>
  <c r="AL162" i="2"/>
  <c r="AN162" i="2" s="1"/>
  <c r="AH162" i="2"/>
  <c r="AG162" i="2"/>
  <c r="AE162" i="2"/>
  <c r="R162" i="2"/>
  <c r="O162" i="2"/>
  <c r="N162" i="2"/>
  <c r="L162" i="2"/>
  <c r="J162" i="2"/>
  <c r="E162" i="2"/>
  <c r="D162" i="2"/>
  <c r="AL161" i="2"/>
  <c r="AN161" i="2" s="1"/>
  <c r="AH161" i="2"/>
  <c r="AG161" i="2"/>
  <c r="AE161" i="2"/>
  <c r="R161" i="2"/>
  <c r="N161" i="2"/>
  <c r="O161" i="2" s="1"/>
  <c r="L161" i="2"/>
  <c r="J161" i="2"/>
  <c r="E161" i="2"/>
  <c r="D161" i="2"/>
  <c r="AL160" i="2"/>
  <c r="AN160" i="2" s="1"/>
  <c r="AH160" i="2"/>
  <c r="AG160" i="2"/>
  <c r="AE160" i="2"/>
  <c r="R160" i="2"/>
  <c r="N160" i="2"/>
  <c r="O160" i="2" s="1"/>
  <c r="L160" i="2"/>
  <c r="J160" i="2"/>
  <c r="E160" i="2"/>
  <c r="D160" i="2"/>
  <c r="AL159" i="2"/>
  <c r="AN159" i="2" s="1"/>
  <c r="AH159" i="2"/>
  <c r="AG159" i="2"/>
  <c r="AE159" i="2"/>
  <c r="R159" i="2"/>
  <c r="O159" i="2"/>
  <c r="N159" i="2"/>
  <c r="L159" i="2"/>
  <c r="J159" i="2"/>
  <c r="E159" i="2"/>
  <c r="D159" i="2"/>
  <c r="AL158" i="2"/>
  <c r="AN158" i="2" s="1"/>
  <c r="AH158" i="2"/>
  <c r="AG158" i="2"/>
  <c r="AE158" i="2"/>
  <c r="R158" i="2"/>
  <c r="N158" i="2"/>
  <c r="O158" i="2" s="1"/>
  <c r="L158" i="2"/>
  <c r="J158" i="2"/>
  <c r="E158" i="2"/>
  <c r="D158" i="2"/>
  <c r="AL157" i="2"/>
  <c r="AN157" i="2" s="1"/>
  <c r="AH157" i="2"/>
  <c r="AG157" i="2"/>
  <c r="AE157" i="2"/>
  <c r="R157" i="2"/>
  <c r="N157" i="2"/>
  <c r="O157" i="2" s="1"/>
  <c r="L157" i="2"/>
  <c r="J157" i="2"/>
  <c r="E157" i="2"/>
  <c r="D157" i="2"/>
  <c r="AL156" i="2"/>
  <c r="AN156" i="2" s="1"/>
  <c r="AH156" i="2"/>
  <c r="AG156" i="2"/>
  <c r="AE156" i="2"/>
  <c r="R156" i="2"/>
  <c r="N156" i="2"/>
  <c r="O156" i="2" s="1"/>
  <c r="L156" i="2"/>
  <c r="J156" i="2"/>
  <c r="E156" i="2"/>
  <c r="D156" i="2"/>
  <c r="AL155" i="2"/>
  <c r="AN155" i="2" s="1"/>
  <c r="AH155" i="2"/>
  <c r="AG155" i="2"/>
  <c r="AE155" i="2"/>
  <c r="R155" i="2"/>
  <c r="O155" i="2"/>
  <c r="N155" i="2"/>
  <c r="L155" i="2"/>
  <c r="J155" i="2"/>
  <c r="E155" i="2"/>
  <c r="D155" i="2"/>
  <c r="AL154" i="2"/>
  <c r="AN154" i="2" s="1"/>
  <c r="AH154" i="2"/>
  <c r="AG154" i="2"/>
  <c r="AE154" i="2"/>
  <c r="R154" i="2"/>
  <c r="N154" i="2"/>
  <c r="O154" i="2" s="1"/>
  <c r="L154" i="2"/>
  <c r="J154" i="2"/>
  <c r="E154" i="2"/>
  <c r="D154" i="2"/>
  <c r="AL153" i="2"/>
  <c r="AN153" i="2" s="1"/>
  <c r="AH153" i="2"/>
  <c r="AG153" i="2"/>
  <c r="AE153" i="2"/>
  <c r="R153" i="2"/>
  <c r="N153" i="2"/>
  <c r="O153" i="2" s="1"/>
  <c r="L153" i="2"/>
  <c r="J153" i="2"/>
  <c r="E153" i="2"/>
  <c r="D153" i="2"/>
  <c r="AL152" i="2"/>
  <c r="AN152" i="2" s="1"/>
  <c r="AH152" i="2"/>
  <c r="AG152" i="2"/>
  <c r="AE152" i="2"/>
  <c r="R152" i="2"/>
  <c r="O152" i="2"/>
  <c r="N152" i="2"/>
  <c r="L152" i="2"/>
  <c r="J152" i="2"/>
  <c r="E152" i="2"/>
  <c r="D152" i="2"/>
  <c r="AL151" i="2"/>
  <c r="AN151" i="2" s="1"/>
  <c r="AH151" i="2"/>
  <c r="AG151" i="2"/>
  <c r="AE151" i="2"/>
  <c r="R151" i="2"/>
  <c r="N151" i="2"/>
  <c r="O151" i="2" s="1"/>
  <c r="L151" i="2"/>
  <c r="J151" i="2"/>
  <c r="E151" i="2"/>
  <c r="D151" i="2"/>
  <c r="AL150" i="2"/>
  <c r="AN150" i="2" s="1"/>
  <c r="AH150" i="2"/>
  <c r="AG150" i="2"/>
  <c r="AE150" i="2"/>
  <c r="R150" i="2"/>
  <c r="N150" i="2"/>
  <c r="O150" i="2" s="1"/>
  <c r="L150" i="2"/>
  <c r="J150" i="2"/>
  <c r="E150" i="2"/>
  <c r="D150" i="2"/>
  <c r="AL149" i="2"/>
  <c r="AN149" i="2" s="1"/>
  <c r="AH149" i="2"/>
  <c r="AG149" i="2"/>
  <c r="AE149" i="2"/>
  <c r="R149" i="2"/>
  <c r="N149" i="2"/>
  <c r="O149" i="2" s="1"/>
  <c r="L149" i="2"/>
  <c r="J149" i="2"/>
  <c r="E149" i="2"/>
  <c r="D149" i="2"/>
  <c r="AL148" i="2"/>
  <c r="AN148" i="2" s="1"/>
  <c r="AH148" i="2"/>
  <c r="AG148" i="2"/>
  <c r="AE148" i="2"/>
  <c r="R148" i="2"/>
  <c r="O148" i="2"/>
  <c r="N148" i="2"/>
  <c r="L148" i="2"/>
  <c r="J148" i="2"/>
  <c r="E148" i="2"/>
  <c r="D148" i="2"/>
  <c r="AL147" i="2"/>
  <c r="AN147" i="2" s="1"/>
  <c r="AH147" i="2"/>
  <c r="AG147" i="2"/>
  <c r="AE147" i="2"/>
  <c r="R147" i="2"/>
  <c r="N147" i="2"/>
  <c r="O147" i="2" s="1"/>
  <c r="L147" i="2"/>
  <c r="J147" i="2"/>
  <c r="E147" i="2"/>
  <c r="D147" i="2"/>
  <c r="AL146" i="2"/>
  <c r="AN146" i="2" s="1"/>
  <c r="AH146" i="2"/>
  <c r="AG146" i="2"/>
  <c r="AE146" i="2"/>
  <c r="R146" i="2"/>
  <c r="N146" i="2"/>
  <c r="O146" i="2" s="1"/>
  <c r="L146" i="2"/>
  <c r="J146" i="2"/>
  <c r="E146" i="2"/>
  <c r="D146" i="2"/>
  <c r="AL145" i="2"/>
  <c r="AN145" i="2" s="1"/>
  <c r="AH145" i="2"/>
  <c r="AG145" i="2"/>
  <c r="AE145" i="2"/>
  <c r="R145" i="2"/>
  <c r="O145" i="2"/>
  <c r="N145" i="2"/>
  <c r="L145" i="2"/>
  <c r="J145" i="2"/>
  <c r="E145" i="2"/>
  <c r="D145" i="2"/>
  <c r="AL144" i="2"/>
  <c r="AN144" i="2" s="1"/>
  <c r="AH144" i="2"/>
  <c r="AG144" i="2"/>
  <c r="AE144" i="2"/>
  <c r="R144" i="2"/>
  <c r="N144" i="2"/>
  <c r="O144" i="2" s="1"/>
  <c r="L144" i="2"/>
  <c r="J144" i="2"/>
  <c r="E144" i="2"/>
  <c r="D144" i="2"/>
  <c r="AL143" i="2"/>
  <c r="AN143" i="2" s="1"/>
  <c r="AH143" i="2"/>
  <c r="AG143" i="2"/>
  <c r="AE143" i="2"/>
  <c r="R143" i="2"/>
  <c r="N143" i="2"/>
  <c r="O143" i="2" s="1"/>
  <c r="L143" i="2"/>
  <c r="J143" i="2"/>
  <c r="E143" i="2"/>
  <c r="D143" i="2"/>
  <c r="AL142" i="2"/>
  <c r="AN142" i="2" s="1"/>
  <c r="AH142" i="2"/>
  <c r="AG142" i="2"/>
  <c r="AE142" i="2"/>
  <c r="R142" i="2"/>
  <c r="N142" i="2"/>
  <c r="O142" i="2" s="1"/>
  <c r="L142" i="2"/>
  <c r="J142" i="2"/>
  <c r="E142" i="2"/>
  <c r="D142" i="2"/>
  <c r="AL141" i="2"/>
  <c r="AN141" i="2" s="1"/>
  <c r="AH141" i="2"/>
  <c r="AG141" i="2"/>
  <c r="AE141" i="2"/>
  <c r="R141" i="2"/>
  <c r="O141" i="2"/>
  <c r="N141" i="2"/>
  <c r="L141" i="2"/>
  <c r="J141" i="2"/>
  <c r="E141" i="2"/>
  <c r="D141" i="2"/>
  <c r="AL140" i="2"/>
  <c r="AN140" i="2" s="1"/>
  <c r="AH140" i="2"/>
  <c r="AG140" i="2"/>
  <c r="AE140" i="2"/>
  <c r="R140" i="2"/>
  <c r="N140" i="2"/>
  <c r="O140" i="2" s="1"/>
  <c r="L140" i="2"/>
  <c r="J140" i="2"/>
  <c r="E140" i="2"/>
  <c r="D140" i="2"/>
  <c r="AL139" i="2"/>
  <c r="AN139" i="2" s="1"/>
  <c r="AH139" i="2"/>
  <c r="AG139" i="2"/>
  <c r="AE139" i="2"/>
  <c r="R139" i="2"/>
  <c r="N139" i="2"/>
  <c r="O139" i="2" s="1"/>
  <c r="L139" i="2"/>
  <c r="J139" i="2"/>
  <c r="E139" i="2"/>
  <c r="D139" i="2"/>
  <c r="AL138" i="2"/>
  <c r="AN138" i="2" s="1"/>
  <c r="AH138" i="2"/>
  <c r="AG138" i="2"/>
  <c r="AE138" i="2"/>
  <c r="R138" i="2"/>
  <c r="O138" i="2"/>
  <c r="N138" i="2"/>
  <c r="L138" i="2"/>
  <c r="J138" i="2"/>
  <c r="E138" i="2"/>
  <c r="D138" i="2"/>
  <c r="AL137" i="2"/>
  <c r="AN137" i="2" s="1"/>
  <c r="AH137" i="2"/>
  <c r="AG137" i="2"/>
  <c r="AE137" i="2"/>
  <c r="R137" i="2"/>
  <c r="N137" i="2"/>
  <c r="O137" i="2" s="1"/>
  <c r="L137" i="2"/>
  <c r="J137" i="2"/>
  <c r="E137" i="2"/>
  <c r="D137" i="2"/>
  <c r="AL136" i="2"/>
  <c r="AN136" i="2" s="1"/>
  <c r="AH136" i="2"/>
  <c r="AG136" i="2"/>
  <c r="AE136" i="2"/>
  <c r="R136" i="2"/>
  <c r="N136" i="2"/>
  <c r="O136" i="2" s="1"/>
  <c r="L136" i="2"/>
  <c r="J136" i="2"/>
  <c r="E136" i="2"/>
  <c r="D136" i="2"/>
  <c r="AL135" i="2"/>
  <c r="AN135" i="2" s="1"/>
  <c r="AH135" i="2"/>
  <c r="AG135" i="2"/>
  <c r="AE135" i="2"/>
  <c r="R135" i="2"/>
  <c r="N135" i="2"/>
  <c r="O135" i="2" s="1"/>
  <c r="L135" i="2"/>
  <c r="J135" i="2"/>
  <c r="E135" i="2"/>
  <c r="D135" i="2"/>
  <c r="AL134" i="2"/>
  <c r="AN134" i="2" s="1"/>
  <c r="AH134" i="2"/>
  <c r="AG134" i="2"/>
  <c r="AE134" i="2"/>
  <c r="R134" i="2"/>
  <c r="O134" i="2"/>
  <c r="N134" i="2"/>
  <c r="L134" i="2"/>
  <c r="J134" i="2"/>
  <c r="E134" i="2"/>
  <c r="D134" i="2"/>
  <c r="AL133" i="2"/>
  <c r="AN133" i="2" s="1"/>
  <c r="AH133" i="2"/>
  <c r="AG133" i="2"/>
  <c r="AE133" i="2"/>
  <c r="R133" i="2"/>
  <c r="O133" i="2"/>
  <c r="N133" i="2"/>
  <c r="L133" i="2"/>
  <c r="J133" i="2"/>
  <c r="E133" i="2"/>
  <c r="D133" i="2"/>
  <c r="AL132" i="2"/>
  <c r="AN132" i="2" s="1"/>
  <c r="AH132" i="2"/>
  <c r="AG132" i="2"/>
  <c r="AE132" i="2"/>
  <c r="R132" i="2"/>
  <c r="N132" i="2"/>
  <c r="O132" i="2" s="1"/>
  <c r="L132" i="2"/>
  <c r="J132" i="2"/>
  <c r="E132" i="2"/>
  <c r="D132" i="2"/>
  <c r="AL131" i="2"/>
  <c r="AN131" i="2" s="1"/>
  <c r="AH131" i="2"/>
  <c r="AG131" i="2"/>
  <c r="AE131" i="2"/>
  <c r="R131" i="2"/>
  <c r="O131" i="2"/>
  <c r="N131" i="2"/>
  <c r="L131" i="2"/>
  <c r="J131" i="2"/>
  <c r="E131" i="2"/>
  <c r="D131" i="2"/>
  <c r="AL130" i="2"/>
  <c r="AN130" i="2" s="1"/>
  <c r="AH130" i="2"/>
  <c r="AG130" i="2"/>
  <c r="AE130" i="2"/>
  <c r="R130" i="2"/>
  <c r="N130" i="2"/>
  <c r="O130" i="2" s="1"/>
  <c r="L130" i="2"/>
  <c r="J130" i="2"/>
  <c r="E130" i="2"/>
  <c r="D130" i="2"/>
  <c r="AL129" i="2"/>
  <c r="AN129" i="2" s="1"/>
  <c r="AH129" i="2"/>
  <c r="AG129" i="2"/>
  <c r="AE129" i="2"/>
  <c r="R129" i="2"/>
  <c r="N129" i="2"/>
  <c r="O129" i="2" s="1"/>
  <c r="L129" i="2"/>
  <c r="J129" i="2"/>
  <c r="E129" i="2"/>
  <c r="D129" i="2"/>
  <c r="AL128" i="2"/>
  <c r="AN128" i="2" s="1"/>
  <c r="AH128" i="2"/>
  <c r="AG128" i="2"/>
  <c r="AE128" i="2"/>
  <c r="R128" i="2"/>
  <c r="N128" i="2"/>
  <c r="O128" i="2" s="1"/>
  <c r="L128" i="2"/>
  <c r="J128" i="2"/>
  <c r="E128" i="2"/>
  <c r="D128" i="2"/>
  <c r="AL127" i="2"/>
  <c r="AN127" i="2" s="1"/>
  <c r="AH127" i="2"/>
  <c r="AG127" i="2"/>
  <c r="AE127" i="2"/>
  <c r="R127" i="2"/>
  <c r="O127" i="2"/>
  <c r="N127" i="2"/>
  <c r="L127" i="2"/>
  <c r="J127" i="2"/>
  <c r="E127" i="2"/>
  <c r="D127" i="2"/>
  <c r="AN126" i="2"/>
  <c r="AL126" i="2"/>
  <c r="AH126" i="2"/>
  <c r="AG126" i="2"/>
  <c r="AE126" i="2"/>
  <c r="R126" i="2"/>
  <c r="O126" i="2"/>
  <c r="N126" i="2"/>
  <c r="L126" i="2"/>
  <c r="J126" i="2"/>
  <c r="E126" i="2"/>
  <c r="D126" i="2"/>
  <c r="AL125" i="2"/>
  <c r="AN125" i="2" s="1"/>
  <c r="AH125" i="2"/>
  <c r="AG125" i="2"/>
  <c r="AE125" i="2"/>
  <c r="R125" i="2"/>
  <c r="N125" i="2"/>
  <c r="O125" i="2" s="1"/>
  <c r="L125" i="2"/>
  <c r="J125" i="2"/>
  <c r="E125" i="2"/>
  <c r="D125" i="2"/>
  <c r="AL124" i="2"/>
  <c r="AN124" i="2" s="1"/>
  <c r="AH124" i="2"/>
  <c r="AG124" i="2"/>
  <c r="AE124" i="2"/>
  <c r="R124" i="2"/>
  <c r="O124" i="2"/>
  <c r="N124" i="2"/>
  <c r="L124" i="2"/>
  <c r="J124" i="2"/>
  <c r="E124" i="2"/>
  <c r="D124" i="2"/>
  <c r="AL123" i="2"/>
  <c r="AN123" i="2" s="1"/>
  <c r="AH123" i="2"/>
  <c r="AG123" i="2"/>
  <c r="AE123" i="2"/>
  <c r="R123" i="2"/>
  <c r="N123" i="2"/>
  <c r="O123" i="2" s="1"/>
  <c r="L123" i="2"/>
  <c r="J123" i="2"/>
  <c r="E123" i="2"/>
  <c r="D123" i="2"/>
  <c r="AL122" i="2"/>
  <c r="AN122" i="2" s="1"/>
  <c r="AH122" i="2"/>
  <c r="AG122" i="2"/>
  <c r="AE122" i="2"/>
  <c r="R122" i="2"/>
  <c r="O122" i="2"/>
  <c r="N122" i="2"/>
  <c r="L122" i="2"/>
  <c r="J122" i="2"/>
  <c r="E122" i="2"/>
  <c r="D122" i="2"/>
  <c r="AL121" i="2"/>
  <c r="AN121" i="2" s="1"/>
  <c r="AH121" i="2"/>
  <c r="AG121" i="2"/>
  <c r="AE121" i="2"/>
  <c r="R121" i="2"/>
  <c r="N121" i="2"/>
  <c r="O121" i="2" s="1"/>
  <c r="L121" i="2"/>
  <c r="J121" i="2"/>
  <c r="E121" i="2"/>
  <c r="D121" i="2"/>
  <c r="AL120" i="2"/>
  <c r="AN120" i="2" s="1"/>
  <c r="AH120" i="2"/>
  <c r="AG120" i="2"/>
  <c r="AE120" i="2"/>
  <c r="R120" i="2"/>
  <c r="O120" i="2"/>
  <c r="N120" i="2"/>
  <c r="L120" i="2"/>
  <c r="J120" i="2"/>
  <c r="E120" i="2"/>
  <c r="D120" i="2"/>
  <c r="AL119" i="2"/>
  <c r="AN119" i="2" s="1"/>
  <c r="AH119" i="2"/>
  <c r="AG119" i="2"/>
  <c r="AE119" i="2"/>
  <c r="R119" i="2"/>
  <c r="O119" i="2"/>
  <c r="N119" i="2"/>
  <c r="L119" i="2"/>
  <c r="J119" i="2"/>
  <c r="E119" i="2"/>
  <c r="D119" i="2"/>
  <c r="AL118" i="2"/>
  <c r="AN118" i="2" s="1"/>
  <c r="AH118" i="2"/>
  <c r="AG118" i="2"/>
  <c r="AE118" i="2"/>
  <c r="R118" i="2"/>
  <c r="N118" i="2"/>
  <c r="O118" i="2" s="1"/>
  <c r="L118" i="2"/>
  <c r="J118" i="2"/>
  <c r="E118" i="2"/>
  <c r="D118" i="2"/>
  <c r="AL117" i="2"/>
  <c r="AN117" i="2" s="1"/>
  <c r="AH117" i="2"/>
  <c r="AG117" i="2"/>
  <c r="AE117" i="2"/>
  <c r="R117" i="2"/>
  <c r="O117" i="2"/>
  <c r="N117" i="2"/>
  <c r="L117" i="2"/>
  <c r="J117" i="2"/>
  <c r="E117" i="2"/>
  <c r="D117" i="2"/>
  <c r="AN116" i="2"/>
  <c r="AP116" i="2" s="1"/>
  <c r="AL116" i="2"/>
  <c r="AH116" i="2"/>
  <c r="AG116" i="2"/>
  <c r="AE116" i="2"/>
  <c r="R116" i="2"/>
  <c r="N116" i="2"/>
  <c r="O116" i="2" s="1"/>
  <c r="L116" i="2"/>
  <c r="J116" i="2"/>
  <c r="E116" i="2"/>
  <c r="D116" i="2"/>
  <c r="AL115" i="2"/>
  <c r="AN115" i="2" s="1"/>
  <c r="AP115" i="2" s="1"/>
  <c r="AH115" i="2"/>
  <c r="AG115" i="2"/>
  <c r="AE115" i="2"/>
  <c r="R115" i="2"/>
  <c r="N115" i="2"/>
  <c r="O115" i="2" s="1"/>
  <c r="L115" i="2"/>
  <c r="J115" i="2"/>
  <c r="E115" i="2"/>
  <c r="D115" i="2"/>
  <c r="AL114" i="2"/>
  <c r="AN114" i="2" s="1"/>
  <c r="AP114" i="2" s="1"/>
  <c r="AH114" i="2"/>
  <c r="AG114" i="2"/>
  <c r="AE114" i="2"/>
  <c r="R114" i="2"/>
  <c r="N114" i="2"/>
  <c r="O114" i="2" s="1"/>
  <c r="L114" i="2"/>
  <c r="J114" i="2"/>
  <c r="E114" i="2"/>
  <c r="D114" i="2"/>
  <c r="AL113" i="2"/>
  <c r="AN113" i="2" s="1"/>
  <c r="AP113" i="2" s="1"/>
  <c r="AH113" i="2"/>
  <c r="AG113" i="2"/>
  <c r="AE113" i="2"/>
  <c r="R113" i="2"/>
  <c r="N113" i="2"/>
  <c r="O113" i="2" s="1"/>
  <c r="L113" i="2"/>
  <c r="J113" i="2"/>
  <c r="E113" i="2"/>
  <c r="D113" i="2"/>
  <c r="AN112" i="2"/>
  <c r="AP112" i="2" s="1"/>
  <c r="AQ112" i="2" s="1"/>
  <c r="AL112" i="2"/>
  <c r="AH112" i="2"/>
  <c r="AG112" i="2"/>
  <c r="AE112" i="2"/>
  <c r="R112" i="2"/>
  <c r="N112" i="2"/>
  <c r="O112" i="2" s="1"/>
  <c r="L112" i="2"/>
  <c r="J112" i="2"/>
  <c r="E112" i="2"/>
  <c r="D112" i="2"/>
  <c r="AL111" i="2"/>
  <c r="AN111" i="2" s="1"/>
  <c r="AP111" i="2" s="1"/>
  <c r="AQ111" i="2" s="1"/>
  <c r="AH111" i="2"/>
  <c r="AG111" i="2"/>
  <c r="AE111" i="2"/>
  <c r="R111" i="2"/>
  <c r="N111" i="2"/>
  <c r="O111" i="2" s="1"/>
  <c r="L111" i="2"/>
  <c r="J111" i="2"/>
  <c r="E111" i="2"/>
  <c r="D111" i="2"/>
  <c r="AL110" i="2"/>
  <c r="AN110" i="2" s="1"/>
  <c r="AP110" i="2" s="1"/>
  <c r="AQ110" i="2" s="1"/>
  <c r="AH110" i="2"/>
  <c r="AG110" i="2"/>
  <c r="AE110" i="2"/>
  <c r="R110" i="2"/>
  <c r="N110" i="2"/>
  <c r="O110" i="2" s="1"/>
  <c r="L110" i="2"/>
  <c r="J110" i="2"/>
  <c r="E110" i="2"/>
  <c r="D110" i="2"/>
  <c r="AL109" i="2"/>
  <c r="AN109" i="2" s="1"/>
  <c r="AP109" i="2" s="1"/>
  <c r="AQ109" i="2" s="1"/>
  <c r="AH109" i="2"/>
  <c r="AG109" i="2"/>
  <c r="AE109" i="2"/>
  <c r="R109" i="2"/>
  <c r="N109" i="2"/>
  <c r="O109" i="2" s="1"/>
  <c r="L109" i="2"/>
  <c r="J109" i="2"/>
  <c r="E109" i="2"/>
  <c r="D109" i="2"/>
  <c r="AL108" i="2"/>
  <c r="AN108" i="2" s="1"/>
  <c r="AP108" i="2" s="1"/>
  <c r="AQ108" i="2" s="1"/>
  <c r="AH108" i="2"/>
  <c r="AG108" i="2"/>
  <c r="AE108" i="2"/>
  <c r="R108" i="2"/>
  <c r="N108" i="2"/>
  <c r="O108" i="2" s="1"/>
  <c r="L108" i="2"/>
  <c r="J108" i="2"/>
  <c r="E108" i="2"/>
  <c r="D108" i="2"/>
  <c r="AL107" i="2"/>
  <c r="AN107" i="2" s="1"/>
  <c r="AP107" i="2" s="1"/>
  <c r="AQ107" i="2" s="1"/>
  <c r="AH107" i="2"/>
  <c r="AG107" i="2"/>
  <c r="AE107" i="2"/>
  <c r="R107" i="2"/>
  <c r="N107" i="2"/>
  <c r="O107" i="2" s="1"/>
  <c r="L107" i="2"/>
  <c r="J107" i="2"/>
  <c r="E107" i="2"/>
  <c r="D107" i="2"/>
  <c r="AL106" i="2"/>
  <c r="AN106" i="2" s="1"/>
  <c r="AP106" i="2" s="1"/>
  <c r="AQ106" i="2" s="1"/>
  <c r="AH106" i="2"/>
  <c r="AG106" i="2"/>
  <c r="AE106" i="2"/>
  <c r="R106" i="2"/>
  <c r="N106" i="2"/>
  <c r="O106" i="2" s="1"/>
  <c r="L106" i="2"/>
  <c r="J106" i="2"/>
  <c r="E106" i="2"/>
  <c r="D106" i="2"/>
  <c r="AN105" i="2"/>
  <c r="AP105" i="2" s="1"/>
  <c r="AQ105" i="2" s="1"/>
  <c r="AL105" i="2"/>
  <c r="AH105" i="2"/>
  <c r="AG105" i="2"/>
  <c r="AE105" i="2"/>
  <c r="R105" i="2"/>
  <c r="N105" i="2"/>
  <c r="O105" i="2" s="1"/>
  <c r="L105" i="2"/>
  <c r="J105" i="2"/>
  <c r="E105" i="2"/>
  <c r="D105" i="2"/>
  <c r="AL104" i="2"/>
  <c r="AN104" i="2" s="1"/>
  <c r="AP104" i="2" s="1"/>
  <c r="AQ104" i="2" s="1"/>
  <c r="AH104" i="2"/>
  <c r="AG104" i="2"/>
  <c r="AE104" i="2"/>
  <c r="R104" i="2"/>
  <c r="N104" i="2"/>
  <c r="O104" i="2" s="1"/>
  <c r="L104" i="2"/>
  <c r="J104" i="2"/>
  <c r="E104" i="2"/>
  <c r="D104" i="2"/>
  <c r="AL103" i="2"/>
  <c r="AN103" i="2" s="1"/>
  <c r="AP103" i="2" s="1"/>
  <c r="AQ103" i="2" s="1"/>
  <c r="AH103" i="2"/>
  <c r="AG103" i="2"/>
  <c r="AE103" i="2"/>
  <c r="R103" i="2"/>
  <c r="N103" i="2"/>
  <c r="O103" i="2" s="1"/>
  <c r="L103" i="2"/>
  <c r="J103" i="2"/>
  <c r="E103" i="2"/>
  <c r="D103" i="2"/>
  <c r="AL102" i="2"/>
  <c r="AN102" i="2" s="1"/>
  <c r="AP102" i="2" s="1"/>
  <c r="AQ102" i="2" s="1"/>
  <c r="AH102" i="2"/>
  <c r="AG102" i="2"/>
  <c r="AE102" i="2"/>
  <c r="R102" i="2"/>
  <c r="N102" i="2"/>
  <c r="O102" i="2" s="1"/>
  <c r="L102" i="2"/>
  <c r="J102" i="2"/>
  <c r="E102" i="2"/>
  <c r="D102" i="2"/>
  <c r="AL101" i="2"/>
  <c r="AN101" i="2" s="1"/>
  <c r="AP101" i="2" s="1"/>
  <c r="AQ101" i="2" s="1"/>
  <c r="AH101" i="2"/>
  <c r="AG101" i="2"/>
  <c r="AE101" i="2"/>
  <c r="R101" i="2"/>
  <c r="N101" i="2"/>
  <c r="O101" i="2" s="1"/>
  <c r="L101" i="2"/>
  <c r="J101" i="2"/>
  <c r="E101" i="2"/>
  <c r="D101" i="2"/>
  <c r="AL100" i="2"/>
  <c r="AN100" i="2" s="1"/>
  <c r="AP100" i="2" s="1"/>
  <c r="AQ100" i="2" s="1"/>
  <c r="AH100" i="2"/>
  <c r="AG100" i="2"/>
  <c r="AE100" i="2"/>
  <c r="R100" i="2"/>
  <c r="N100" i="2"/>
  <c r="O100" i="2" s="1"/>
  <c r="L100" i="2"/>
  <c r="J100" i="2"/>
  <c r="E100" i="2"/>
  <c r="D100" i="2"/>
  <c r="AL99" i="2"/>
  <c r="AN99" i="2" s="1"/>
  <c r="AP99" i="2" s="1"/>
  <c r="AQ99" i="2" s="1"/>
  <c r="AH99" i="2"/>
  <c r="AG99" i="2"/>
  <c r="AE99" i="2"/>
  <c r="R99" i="2"/>
  <c r="N99" i="2"/>
  <c r="O99" i="2" s="1"/>
  <c r="L99" i="2"/>
  <c r="J99" i="2"/>
  <c r="E99" i="2"/>
  <c r="D99" i="2"/>
  <c r="AN98" i="2"/>
  <c r="AP98" i="2" s="1"/>
  <c r="AQ98" i="2" s="1"/>
  <c r="AL98" i="2"/>
  <c r="AH98" i="2"/>
  <c r="AG98" i="2"/>
  <c r="AE98" i="2"/>
  <c r="R98" i="2"/>
  <c r="N98" i="2"/>
  <c r="O98" i="2" s="1"/>
  <c r="L98" i="2"/>
  <c r="J98" i="2"/>
  <c r="E98" i="2"/>
  <c r="D98" i="2"/>
  <c r="AL97" i="2"/>
  <c r="AN97" i="2" s="1"/>
  <c r="AP97" i="2" s="1"/>
  <c r="AQ97" i="2" s="1"/>
  <c r="AH97" i="2"/>
  <c r="AG97" i="2"/>
  <c r="AE97" i="2"/>
  <c r="R97" i="2"/>
  <c r="N97" i="2"/>
  <c r="O97" i="2" s="1"/>
  <c r="L97" i="2"/>
  <c r="J97" i="2"/>
  <c r="E97" i="2"/>
  <c r="D97" i="2"/>
  <c r="AL96" i="2"/>
  <c r="AN96" i="2" s="1"/>
  <c r="AP96" i="2" s="1"/>
  <c r="AQ96" i="2" s="1"/>
  <c r="AH96" i="2"/>
  <c r="AG96" i="2"/>
  <c r="AE96" i="2"/>
  <c r="R96" i="2"/>
  <c r="N96" i="2"/>
  <c r="O96" i="2" s="1"/>
  <c r="L96" i="2"/>
  <c r="J96" i="2"/>
  <c r="E96" i="2"/>
  <c r="D96" i="2"/>
  <c r="AL95" i="2"/>
  <c r="AN95" i="2" s="1"/>
  <c r="AP95" i="2" s="1"/>
  <c r="AQ95" i="2" s="1"/>
  <c r="AH95" i="2"/>
  <c r="AG95" i="2"/>
  <c r="AE95" i="2"/>
  <c r="R95" i="2"/>
  <c r="N95" i="2"/>
  <c r="O95" i="2" s="1"/>
  <c r="L95" i="2"/>
  <c r="J95" i="2"/>
  <c r="E95" i="2"/>
  <c r="D95" i="2"/>
  <c r="AL94" i="2"/>
  <c r="AN94" i="2" s="1"/>
  <c r="AP94" i="2" s="1"/>
  <c r="AQ94" i="2" s="1"/>
  <c r="AH94" i="2"/>
  <c r="AG94" i="2"/>
  <c r="AE94" i="2"/>
  <c r="R94" i="2"/>
  <c r="N94" i="2"/>
  <c r="O94" i="2" s="1"/>
  <c r="L94" i="2"/>
  <c r="J94" i="2"/>
  <c r="E94" i="2"/>
  <c r="D94" i="2"/>
  <c r="AL93" i="2"/>
  <c r="AN93" i="2" s="1"/>
  <c r="AP93" i="2" s="1"/>
  <c r="AQ93" i="2" s="1"/>
  <c r="AH93" i="2"/>
  <c r="AG93" i="2"/>
  <c r="AE93" i="2"/>
  <c r="R93" i="2"/>
  <c r="N93" i="2"/>
  <c r="O93" i="2" s="1"/>
  <c r="L93" i="2"/>
  <c r="J93" i="2"/>
  <c r="E93" i="2"/>
  <c r="D93" i="2"/>
  <c r="AL92" i="2"/>
  <c r="AN92" i="2" s="1"/>
  <c r="AP92" i="2" s="1"/>
  <c r="AQ92" i="2" s="1"/>
  <c r="AH92" i="2"/>
  <c r="AG92" i="2"/>
  <c r="AE92" i="2"/>
  <c r="R92" i="2"/>
  <c r="N92" i="2"/>
  <c r="O92" i="2" s="1"/>
  <c r="L92" i="2"/>
  <c r="J92" i="2"/>
  <c r="E92" i="2"/>
  <c r="D92" i="2"/>
  <c r="AL91" i="2"/>
  <c r="AN91" i="2" s="1"/>
  <c r="AP91" i="2" s="1"/>
  <c r="AQ91" i="2" s="1"/>
  <c r="AH91" i="2"/>
  <c r="AG91" i="2"/>
  <c r="AE91" i="2"/>
  <c r="R91" i="2"/>
  <c r="N91" i="2"/>
  <c r="O91" i="2" s="1"/>
  <c r="L91" i="2"/>
  <c r="J91" i="2"/>
  <c r="E91" i="2"/>
  <c r="D91" i="2"/>
  <c r="AL90" i="2"/>
  <c r="AN90" i="2" s="1"/>
  <c r="AP90" i="2" s="1"/>
  <c r="AQ90" i="2" s="1"/>
  <c r="AH90" i="2"/>
  <c r="AG90" i="2"/>
  <c r="AE90" i="2"/>
  <c r="R90" i="2"/>
  <c r="N90" i="2"/>
  <c r="O90" i="2" s="1"/>
  <c r="L90" i="2"/>
  <c r="J90" i="2"/>
  <c r="E90" i="2"/>
  <c r="D90" i="2"/>
  <c r="AL89" i="2"/>
  <c r="AN89" i="2" s="1"/>
  <c r="AP89" i="2" s="1"/>
  <c r="AQ89" i="2" s="1"/>
  <c r="AH89" i="2"/>
  <c r="AG89" i="2"/>
  <c r="AE89" i="2"/>
  <c r="R89" i="2"/>
  <c r="N89" i="2"/>
  <c r="O89" i="2" s="1"/>
  <c r="L89" i="2"/>
  <c r="J89" i="2"/>
  <c r="E89" i="2"/>
  <c r="D89" i="2"/>
  <c r="AL88" i="2"/>
  <c r="AN88" i="2" s="1"/>
  <c r="AP88" i="2" s="1"/>
  <c r="AQ88" i="2" s="1"/>
  <c r="AH88" i="2"/>
  <c r="AG88" i="2"/>
  <c r="AE88" i="2"/>
  <c r="R88" i="2"/>
  <c r="N88" i="2"/>
  <c r="O88" i="2" s="1"/>
  <c r="L88" i="2"/>
  <c r="J88" i="2"/>
  <c r="E88" i="2"/>
  <c r="D88" i="2"/>
  <c r="AL87" i="2"/>
  <c r="AN87" i="2" s="1"/>
  <c r="AP87" i="2" s="1"/>
  <c r="AQ87" i="2" s="1"/>
  <c r="AH87" i="2"/>
  <c r="AG87" i="2"/>
  <c r="AE87" i="2"/>
  <c r="R87" i="2"/>
  <c r="N87" i="2"/>
  <c r="O87" i="2" s="1"/>
  <c r="L87" i="2"/>
  <c r="J87" i="2"/>
  <c r="E87" i="2"/>
  <c r="D87" i="2"/>
  <c r="AL86" i="2"/>
  <c r="AN86" i="2" s="1"/>
  <c r="AP86" i="2" s="1"/>
  <c r="AQ86" i="2" s="1"/>
  <c r="AH86" i="2"/>
  <c r="AG86" i="2"/>
  <c r="AE86" i="2"/>
  <c r="R86" i="2"/>
  <c r="N86" i="2"/>
  <c r="O86" i="2" s="1"/>
  <c r="L86" i="2"/>
  <c r="J86" i="2"/>
  <c r="E86" i="2"/>
  <c r="D86" i="2"/>
  <c r="AL85" i="2"/>
  <c r="AN85" i="2" s="1"/>
  <c r="AP85" i="2" s="1"/>
  <c r="AQ85" i="2" s="1"/>
  <c r="AH85" i="2"/>
  <c r="AG85" i="2"/>
  <c r="AE85" i="2"/>
  <c r="R85" i="2"/>
  <c r="N85" i="2"/>
  <c r="O85" i="2" s="1"/>
  <c r="L85" i="2"/>
  <c r="J85" i="2"/>
  <c r="E85" i="2"/>
  <c r="D85" i="2"/>
  <c r="AL84" i="2"/>
  <c r="AN84" i="2" s="1"/>
  <c r="AP84" i="2" s="1"/>
  <c r="AQ84" i="2" s="1"/>
  <c r="AH84" i="2"/>
  <c r="AG84" i="2"/>
  <c r="AE84" i="2"/>
  <c r="R84" i="2"/>
  <c r="N84" i="2"/>
  <c r="O84" i="2" s="1"/>
  <c r="L84" i="2"/>
  <c r="J84" i="2"/>
  <c r="E84" i="2"/>
  <c r="D84" i="2"/>
  <c r="AL83" i="2"/>
  <c r="AN83" i="2" s="1"/>
  <c r="AP83" i="2" s="1"/>
  <c r="AQ83" i="2" s="1"/>
  <c r="AH83" i="2"/>
  <c r="AG83" i="2"/>
  <c r="AE83" i="2"/>
  <c r="R83" i="2"/>
  <c r="N83" i="2"/>
  <c r="O83" i="2" s="1"/>
  <c r="L83" i="2"/>
  <c r="J83" i="2"/>
  <c r="E83" i="2"/>
  <c r="D83" i="2"/>
  <c r="AL82" i="2"/>
  <c r="AN82" i="2" s="1"/>
  <c r="AP82" i="2" s="1"/>
  <c r="AQ82" i="2" s="1"/>
  <c r="AH82" i="2"/>
  <c r="AG82" i="2"/>
  <c r="AE82" i="2"/>
  <c r="R82" i="2"/>
  <c r="N82" i="2"/>
  <c r="O82" i="2" s="1"/>
  <c r="L82" i="2"/>
  <c r="J82" i="2"/>
  <c r="E82" i="2"/>
  <c r="D82" i="2"/>
  <c r="AL81" i="2"/>
  <c r="AN81" i="2" s="1"/>
  <c r="AP81" i="2" s="1"/>
  <c r="AQ81" i="2" s="1"/>
  <c r="AH81" i="2"/>
  <c r="AG81" i="2"/>
  <c r="AE81" i="2"/>
  <c r="R81" i="2"/>
  <c r="N81" i="2"/>
  <c r="O81" i="2" s="1"/>
  <c r="L81" i="2"/>
  <c r="J81" i="2"/>
  <c r="E81" i="2"/>
  <c r="D81" i="2"/>
  <c r="AL80" i="2"/>
  <c r="AN80" i="2" s="1"/>
  <c r="AP80" i="2" s="1"/>
  <c r="AQ80" i="2" s="1"/>
  <c r="AH80" i="2"/>
  <c r="AG80" i="2"/>
  <c r="AE80" i="2"/>
  <c r="R80" i="2"/>
  <c r="N80" i="2"/>
  <c r="O80" i="2" s="1"/>
  <c r="L80" i="2"/>
  <c r="J80" i="2"/>
  <c r="E80" i="2"/>
  <c r="D80" i="2"/>
  <c r="AL79" i="2"/>
  <c r="AN79" i="2" s="1"/>
  <c r="AP79" i="2" s="1"/>
  <c r="AQ79" i="2" s="1"/>
  <c r="AH79" i="2"/>
  <c r="AG79" i="2"/>
  <c r="AE79" i="2"/>
  <c r="R79" i="2"/>
  <c r="N79" i="2"/>
  <c r="O79" i="2" s="1"/>
  <c r="L79" i="2"/>
  <c r="J79" i="2"/>
  <c r="E79" i="2"/>
  <c r="D79" i="2"/>
  <c r="AL78" i="2"/>
  <c r="AN78" i="2" s="1"/>
  <c r="AP78" i="2" s="1"/>
  <c r="AQ78" i="2" s="1"/>
  <c r="AH78" i="2"/>
  <c r="AG78" i="2"/>
  <c r="AE78" i="2"/>
  <c r="R78" i="2"/>
  <c r="N78" i="2"/>
  <c r="O78" i="2" s="1"/>
  <c r="L78" i="2"/>
  <c r="J78" i="2"/>
  <c r="E78" i="2"/>
  <c r="D78" i="2"/>
  <c r="AL77" i="2"/>
  <c r="AN77" i="2" s="1"/>
  <c r="AP77" i="2" s="1"/>
  <c r="AQ77" i="2" s="1"/>
  <c r="AH77" i="2"/>
  <c r="AG77" i="2"/>
  <c r="AE77" i="2"/>
  <c r="R77" i="2"/>
  <c r="N77" i="2"/>
  <c r="O77" i="2" s="1"/>
  <c r="L77" i="2"/>
  <c r="J77" i="2"/>
  <c r="E77" i="2"/>
  <c r="D77" i="2"/>
  <c r="AL76" i="2"/>
  <c r="AN76" i="2" s="1"/>
  <c r="AP76" i="2" s="1"/>
  <c r="AQ76" i="2" s="1"/>
  <c r="AH76" i="2"/>
  <c r="AG76" i="2"/>
  <c r="AE76" i="2"/>
  <c r="R76" i="2"/>
  <c r="N76" i="2"/>
  <c r="O76" i="2" s="1"/>
  <c r="L76" i="2"/>
  <c r="J76" i="2"/>
  <c r="E76" i="2"/>
  <c r="D76" i="2"/>
  <c r="AL75" i="2"/>
  <c r="AN75" i="2" s="1"/>
  <c r="AP75" i="2" s="1"/>
  <c r="AQ75" i="2" s="1"/>
  <c r="AH75" i="2"/>
  <c r="AG75" i="2"/>
  <c r="AE75" i="2"/>
  <c r="R75" i="2"/>
  <c r="N75" i="2"/>
  <c r="O75" i="2" s="1"/>
  <c r="L75" i="2"/>
  <c r="J75" i="2"/>
  <c r="E75" i="2"/>
  <c r="D75" i="2"/>
  <c r="AL74" i="2"/>
  <c r="AN74" i="2" s="1"/>
  <c r="AP74" i="2" s="1"/>
  <c r="AQ74" i="2" s="1"/>
  <c r="AH74" i="2"/>
  <c r="AG74" i="2"/>
  <c r="AE74" i="2"/>
  <c r="R74" i="2"/>
  <c r="N74" i="2"/>
  <c r="O74" i="2" s="1"/>
  <c r="L74" i="2"/>
  <c r="J74" i="2"/>
  <c r="E74" i="2"/>
  <c r="D74" i="2"/>
  <c r="AL73" i="2"/>
  <c r="AN73" i="2" s="1"/>
  <c r="AP73" i="2" s="1"/>
  <c r="AQ73" i="2" s="1"/>
  <c r="AH73" i="2"/>
  <c r="AG73" i="2"/>
  <c r="AE73" i="2"/>
  <c r="R73" i="2"/>
  <c r="N73" i="2"/>
  <c r="O73" i="2" s="1"/>
  <c r="L73" i="2"/>
  <c r="J73" i="2"/>
  <c r="E73" i="2"/>
  <c r="D73" i="2"/>
  <c r="AL72" i="2"/>
  <c r="AN72" i="2" s="1"/>
  <c r="AP72" i="2" s="1"/>
  <c r="AQ72" i="2" s="1"/>
  <c r="AH72" i="2"/>
  <c r="AG72" i="2"/>
  <c r="AE72" i="2"/>
  <c r="R72" i="2"/>
  <c r="N72" i="2"/>
  <c r="O72" i="2" s="1"/>
  <c r="L72" i="2"/>
  <c r="J72" i="2"/>
  <c r="E72" i="2"/>
  <c r="D72" i="2"/>
  <c r="AL71" i="2"/>
  <c r="AN71" i="2" s="1"/>
  <c r="AP71" i="2" s="1"/>
  <c r="AQ71" i="2" s="1"/>
  <c r="AH71" i="2"/>
  <c r="AG71" i="2"/>
  <c r="AE71" i="2"/>
  <c r="R71" i="2"/>
  <c r="N71" i="2"/>
  <c r="O71" i="2" s="1"/>
  <c r="L71" i="2"/>
  <c r="J71" i="2"/>
  <c r="E71" i="2"/>
  <c r="D71" i="2"/>
  <c r="AL70" i="2"/>
  <c r="AN70" i="2" s="1"/>
  <c r="AP70" i="2" s="1"/>
  <c r="AQ70" i="2" s="1"/>
  <c r="AH70" i="2"/>
  <c r="AG70" i="2"/>
  <c r="AE70" i="2"/>
  <c r="R70" i="2"/>
  <c r="N70" i="2"/>
  <c r="O70" i="2" s="1"/>
  <c r="L70" i="2"/>
  <c r="J70" i="2"/>
  <c r="E70" i="2"/>
  <c r="D70" i="2"/>
  <c r="AL69" i="2"/>
  <c r="AN69" i="2" s="1"/>
  <c r="AP69" i="2" s="1"/>
  <c r="AQ69" i="2" s="1"/>
  <c r="AH69" i="2"/>
  <c r="AG69" i="2"/>
  <c r="AE69" i="2"/>
  <c r="R69" i="2"/>
  <c r="N69" i="2"/>
  <c r="O69" i="2" s="1"/>
  <c r="L69" i="2"/>
  <c r="J69" i="2"/>
  <c r="E69" i="2"/>
  <c r="D69" i="2"/>
  <c r="AL68" i="2"/>
  <c r="AN68" i="2" s="1"/>
  <c r="AP68" i="2" s="1"/>
  <c r="AQ68" i="2" s="1"/>
  <c r="AH68" i="2"/>
  <c r="AG68" i="2"/>
  <c r="AE68" i="2"/>
  <c r="R68" i="2"/>
  <c r="N68" i="2"/>
  <c r="O68" i="2" s="1"/>
  <c r="L68" i="2"/>
  <c r="J68" i="2"/>
  <c r="E68" i="2"/>
  <c r="D68" i="2"/>
  <c r="AL67" i="2"/>
  <c r="AN67" i="2" s="1"/>
  <c r="AP67" i="2" s="1"/>
  <c r="AQ67" i="2" s="1"/>
  <c r="AH67" i="2"/>
  <c r="AG67" i="2"/>
  <c r="AE67" i="2"/>
  <c r="R67" i="2"/>
  <c r="N67" i="2"/>
  <c r="O67" i="2" s="1"/>
  <c r="L67" i="2"/>
  <c r="J67" i="2"/>
  <c r="E67" i="2"/>
  <c r="D67" i="2"/>
  <c r="AL66" i="2"/>
  <c r="AN66" i="2" s="1"/>
  <c r="AP66" i="2" s="1"/>
  <c r="AQ66" i="2" s="1"/>
  <c r="AH66" i="2"/>
  <c r="AG66" i="2"/>
  <c r="AE66" i="2"/>
  <c r="R66" i="2"/>
  <c r="N66" i="2"/>
  <c r="O66" i="2" s="1"/>
  <c r="L66" i="2"/>
  <c r="J66" i="2"/>
  <c r="E66" i="2"/>
  <c r="D66" i="2"/>
  <c r="AL65" i="2"/>
  <c r="AN65" i="2" s="1"/>
  <c r="AP65" i="2" s="1"/>
  <c r="AQ65" i="2" s="1"/>
  <c r="AH65" i="2"/>
  <c r="AG65" i="2"/>
  <c r="AE65" i="2"/>
  <c r="R65" i="2"/>
  <c r="N65" i="2"/>
  <c r="O65" i="2" s="1"/>
  <c r="L65" i="2"/>
  <c r="J65" i="2"/>
  <c r="E65" i="2"/>
  <c r="D65" i="2"/>
  <c r="AL64" i="2"/>
  <c r="AN64" i="2" s="1"/>
  <c r="AP64" i="2" s="1"/>
  <c r="AQ64" i="2" s="1"/>
  <c r="AH64" i="2"/>
  <c r="AG64" i="2"/>
  <c r="AE64" i="2"/>
  <c r="R64" i="2"/>
  <c r="N64" i="2"/>
  <c r="O64" i="2" s="1"/>
  <c r="L64" i="2"/>
  <c r="J64" i="2"/>
  <c r="E64" i="2"/>
  <c r="D64" i="2"/>
  <c r="AN63" i="2"/>
  <c r="AP63" i="2" s="1"/>
  <c r="AQ63" i="2" s="1"/>
  <c r="AL63" i="2"/>
  <c r="AH63" i="2"/>
  <c r="AG63" i="2"/>
  <c r="AE63" i="2"/>
  <c r="R63" i="2"/>
  <c r="N63" i="2"/>
  <c r="O63" i="2" s="1"/>
  <c r="L63" i="2"/>
  <c r="J63" i="2"/>
  <c r="E63" i="2"/>
  <c r="D63" i="2"/>
  <c r="AL62" i="2"/>
  <c r="AN62" i="2" s="1"/>
  <c r="AP62" i="2" s="1"/>
  <c r="AQ62" i="2" s="1"/>
  <c r="AH62" i="2"/>
  <c r="AG62" i="2"/>
  <c r="AE62" i="2"/>
  <c r="R62" i="2"/>
  <c r="N62" i="2"/>
  <c r="O62" i="2" s="1"/>
  <c r="L62" i="2"/>
  <c r="J62" i="2"/>
  <c r="E62" i="2"/>
  <c r="D62" i="2"/>
  <c r="AL61" i="2"/>
  <c r="AN61" i="2" s="1"/>
  <c r="AP61" i="2" s="1"/>
  <c r="AQ61" i="2" s="1"/>
  <c r="AH61" i="2"/>
  <c r="AG61" i="2"/>
  <c r="AE61" i="2"/>
  <c r="R61" i="2"/>
  <c r="N61" i="2"/>
  <c r="O61" i="2" s="1"/>
  <c r="L61" i="2"/>
  <c r="J61" i="2"/>
  <c r="E61" i="2"/>
  <c r="D61" i="2"/>
  <c r="AL60" i="2"/>
  <c r="AN60" i="2" s="1"/>
  <c r="AP60" i="2" s="1"/>
  <c r="AQ60" i="2" s="1"/>
  <c r="AH60" i="2"/>
  <c r="AG60" i="2"/>
  <c r="AE60" i="2"/>
  <c r="R60" i="2"/>
  <c r="N60" i="2"/>
  <c r="O60" i="2" s="1"/>
  <c r="L60" i="2"/>
  <c r="J60" i="2"/>
  <c r="E60" i="2"/>
  <c r="D60" i="2"/>
  <c r="AL59" i="2"/>
  <c r="AN59" i="2" s="1"/>
  <c r="AP59" i="2" s="1"/>
  <c r="AQ59" i="2" s="1"/>
  <c r="AH59" i="2"/>
  <c r="AG59" i="2"/>
  <c r="AE59" i="2"/>
  <c r="R59" i="2"/>
  <c r="N59" i="2"/>
  <c r="O59" i="2" s="1"/>
  <c r="L59" i="2"/>
  <c r="J59" i="2"/>
  <c r="E59" i="2"/>
  <c r="D59" i="2"/>
  <c r="AN58" i="2"/>
  <c r="AP58" i="2" s="1"/>
  <c r="AQ58" i="2" s="1"/>
  <c r="AL58" i="2"/>
  <c r="AH58" i="2"/>
  <c r="AG58" i="2"/>
  <c r="AE58" i="2"/>
  <c r="R58" i="2"/>
  <c r="N58" i="2"/>
  <c r="O58" i="2" s="1"/>
  <c r="L58" i="2"/>
  <c r="J58" i="2"/>
  <c r="E58" i="2"/>
  <c r="D58" i="2"/>
  <c r="AL57" i="2"/>
  <c r="AN57" i="2" s="1"/>
  <c r="AP57" i="2" s="1"/>
  <c r="AQ57" i="2" s="1"/>
  <c r="AH57" i="2"/>
  <c r="AG57" i="2"/>
  <c r="AE57" i="2"/>
  <c r="R57" i="2"/>
  <c r="N57" i="2"/>
  <c r="O57" i="2" s="1"/>
  <c r="L57" i="2"/>
  <c r="J57" i="2"/>
  <c r="E57" i="2"/>
  <c r="D57" i="2"/>
  <c r="AL56" i="2"/>
  <c r="AN56" i="2" s="1"/>
  <c r="AP56" i="2" s="1"/>
  <c r="AQ56" i="2" s="1"/>
  <c r="AH56" i="2"/>
  <c r="AG56" i="2"/>
  <c r="AE56" i="2"/>
  <c r="R56" i="2"/>
  <c r="N56" i="2"/>
  <c r="O56" i="2" s="1"/>
  <c r="L56" i="2"/>
  <c r="J56" i="2"/>
  <c r="E56" i="2"/>
  <c r="D56" i="2"/>
  <c r="AL55" i="2"/>
  <c r="AN55" i="2" s="1"/>
  <c r="AP55" i="2" s="1"/>
  <c r="AQ55" i="2" s="1"/>
  <c r="AH55" i="2"/>
  <c r="AG55" i="2"/>
  <c r="AE55" i="2"/>
  <c r="R55" i="2"/>
  <c r="N55" i="2"/>
  <c r="O55" i="2" s="1"/>
  <c r="L55" i="2"/>
  <c r="J55" i="2"/>
  <c r="E55" i="2"/>
  <c r="D55" i="2"/>
  <c r="AL54" i="2"/>
  <c r="AN54" i="2" s="1"/>
  <c r="AP54" i="2" s="1"/>
  <c r="AQ54" i="2" s="1"/>
  <c r="AH54" i="2"/>
  <c r="AG54" i="2"/>
  <c r="AE54" i="2"/>
  <c r="R54" i="2"/>
  <c r="N54" i="2"/>
  <c r="O54" i="2" s="1"/>
  <c r="L54" i="2"/>
  <c r="J54" i="2"/>
  <c r="E54" i="2"/>
  <c r="D54" i="2"/>
  <c r="AL53" i="2"/>
  <c r="AN53" i="2" s="1"/>
  <c r="AP53" i="2" s="1"/>
  <c r="AQ53" i="2" s="1"/>
  <c r="AH53" i="2"/>
  <c r="AG53" i="2"/>
  <c r="AE53" i="2"/>
  <c r="R53" i="2"/>
  <c r="N53" i="2"/>
  <c r="O53" i="2" s="1"/>
  <c r="L53" i="2"/>
  <c r="J53" i="2"/>
  <c r="E53" i="2"/>
  <c r="D53" i="2"/>
  <c r="AL52" i="2"/>
  <c r="AN52" i="2" s="1"/>
  <c r="AP52" i="2" s="1"/>
  <c r="AQ52" i="2" s="1"/>
  <c r="AH52" i="2"/>
  <c r="AG52" i="2"/>
  <c r="AE52" i="2"/>
  <c r="R52" i="2"/>
  <c r="N52" i="2"/>
  <c r="O52" i="2" s="1"/>
  <c r="L52" i="2"/>
  <c r="J52" i="2"/>
  <c r="E52" i="2"/>
  <c r="D52" i="2"/>
  <c r="AL51" i="2"/>
  <c r="AN51" i="2" s="1"/>
  <c r="AP51" i="2" s="1"/>
  <c r="AQ51" i="2" s="1"/>
  <c r="AH51" i="2"/>
  <c r="AG51" i="2"/>
  <c r="AE51" i="2"/>
  <c r="R51" i="2"/>
  <c r="N51" i="2"/>
  <c r="O51" i="2" s="1"/>
  <c r="L51" i="2"/>
  <c r="J51" i="2"/>
  <c r="E51" i="2"/>
  <c r="D51" i="2"/>
  <c r="AL50" i="2"/>
  <c r="AN50" i="2" s="1"/>
  <c r="AP50" i="2" s="1"/>
  <c r="AQ50" i="2" s="1"/>
  <c r="AH50" i="2"/>
  <c r="AG50" i="2"/>
  <c r="AE50" i="2"/>
  <c r="R50" i="2"/>
  <c r="N50" i="2"/>
  <c r="O50" i="2" s="1"/>
  <c r="L50" i="2"/>
  <c r="J50" i="2"/>
  <c r="E50" i="2"/>
  <c r="D50" i="2"/>
  <c r="AL49" i="2"/>
  <c r="AN49" i="2" s="1"/>
  <c r="AP49" i="2" s="1"/>
  <c r="AQ49" i="2" s="1"/>
  <c r="AH49" i="2"/>
  <c r="AG49" i="2"/>
  <c r="AE49" i="2"/>
  <c r="R49" i="2"/>
  <c r="N49" i="2"/>
  <c r="O49" i="2" s="1"/>
  <c r="L49" i="2"/>
  <c r="J49" i="2"/>
  <c r="E49" i="2"/>
  <c r="D49" i="2"/>
  <c r="AL48" i="2"/>
  <c r="AN48" i="2" s="1"/>
  <c r="AP48" i="2" s="1"/>
  <c r="AQ48" i="2" s="1"/>
  <c r="AH48" i="2"/>
  <c r="AG48" i="2"/>
  <c r="AE48" i="2"/>
  <c r="R48" i="2"/>
  <c r="N48" i="2"/>
  <c r="O48" i="2" s="1"/>
  <c r="L48" i="2"/>
  <c r="J48" i="2"/>
  <c r="E48" i="2"/>
  <c r="D48" i="2"/>
  <c r="AL47" i="2"/>
  <c r="AN47" i="2" s="1"/>
  <c r="AP47" i="2" s="1"/>
  <c r="AQ47" i="2" s="1"/>
  <c r="AH47" i="2"/>
  <c r="AG47" i="2"/>
  <c r="AE47" i="2"/>
  <c r="R47" i="2"/>
  <c r="N47" i="2"/>
  <c r="O47" i="2" s="1"/>
  <c r="L47" i="2"/>
  <c r="J47" i="2"/>
  <c r="E47" i="2"/>
  <c r="D47" i="2"/>
  <c r="AL46" i="2"/>
  <c r="AN46" i="2" s="1"/>
  <c r="AP46" i="2" s="1"/>
  <c r="AQ46" i="2" s="1"/>
  <c r="AH46" i="2"/>
  <c r="AG46" i="2"/>
  <c r="AE46" i="2"/>
  <c r="R46" i="2"/>
  <c r="N46" i="2"/>
  <c r="O46" i="2" s="1"/>
  <c r="L46" i="2"/>
  <c r="J46" i="2"/>
  <c r="E46" i="2"/>
  <c r="D46" i="2"/>
  <c r="AL45" i="2"/>
  <c r="AN45" i="2" s="1"/>
  <c r="AP45" i="2" s="1"/>
  <c r="AQ45" i="2" s="1"/>
  <c r="AH45" i="2"/>
  <c r="AG45" i="2"/>
  <c r="AE45" i="2"/>
  <c r="R45" i="2"/>
  <c r="N45" i="2"/>
  <c r="O45" i="2" s="1"/>
  <c r="L45" i="2"/>
  <c r="J45" i="2"/>
  <c r="E45" i="2"/>
  <c r="D45" i="2"/>
  <c r="AL44" i="2"/>
  <c r="AN44" i="2" s="1"/>
  <c r="AP44" i="2" s="1"/>
  <c r="AQ44" i="2" s="1"/>
  <c r="AH44" i="2"/>
  <c r="AG44" i="2"/>
  <c r="AE44" i="2"/>
  <c r="R44" i="2"/>
  <c r="N44" i="2"/>
  <c r="O44" i="2" s="1"/>
  <c r="L44" i="2"/>
  <c r="J44" i="2"/>
  <c r="E44" i="2"/>
  <c r="D44" i="2"/>
  <c r="AL43" i="2"/>
  <c r="AN43" i="2" s="1"/>
  <c r="AP43" i="2" s="1"/>
  <c r="AQ43" i="2" s="1"/>
  <c r="AH43" i="2"/>
  <c r="AG43" i="2"/>
  <c r="AE43" i="2"/>
  <c r="R43" i="2"/>
  <c r="N43" i="2"/>
  <c r="O43" i="2" s="1"/>
  <c r="L43" i="2"/>
  <c r="J43" i="2"/>
  <c r="E43" i="2"/>
  <c r="D43" i="2"/>
  <c r="AL42" i="2"/>
  <c r="AN42" i="2" s="1"/>
  <c r="AP42" i="2" s="1"/>
  <c r="AQ42" i="2" s="1"/>
  <c r="AH42" i="2"/>
  <c r="AG42" i="2"/>
  <c r="AE42" i="2"/>
  <c r="R42" i="2"/>
  <c r="N42" i="2"/>
  <c r="O42" i="2" s="1"/>
  <c r="L42" i="2"/>
  <c r="J42" i="2"/>
  <c r="E42" i="2"/>
  <c r="D42" i="2"/>
  <c r="AL41" i="2"/>
  <c r="AN41" i="2" s="1"/>
  <c r="AP41" i="2" s="1"/>
  <c r="AQ41" i="2" s="1"/>
  <c r="AH41" i="2"/>
  <c r="AG41" i="2"/>
  <c r="AE41" i="2"/>
  <c r="R41" i="2"/>
  <c r="N41" i="2"/>
  <c r="O41" i="2" s="1"/>
  <c r="L41" i="2"/>
  <c r="J41" i="2"/>
  <c r="E41" i="2"/>
  <c r="D41" i="2"/>
  <c r="AL40" i="2"/>
  <c r="AN40" i="2" s="1"/>
  <c r="AP40" i="2" s="1"/>
  <c r="AQ40" i="2" s="1"/>
  <c r="AH40" i="2"/>
  <c r="AG40" i="2"/>
  <c r="AE40" i="2"/>
  <c r="R40" i="2"/>
  <c r="N40" i="2"/>
  <c r="O40" i="2" s="1"/>
  <c r="L40" i="2"/>
  <c r="J40" i="2"/>
  <c r="E40" i="2"/>
  <c r="D40" i="2"/>
  <c r="AL39" i="2"/>
  <c r="AN39" i="2" s="1"/>
  <c r="AP39" i="2" s="1"/>
  <c r="AQ39" i="2" s="1"/>
  <c r="AH39" i="2"/>
  <c r="AG39" i="2"/>
  <c r="AE39" i="2"/>
  <c r="R39" i="2"/>
  <c r="N39" i="2"/>
  <c r="O39" i="2" s="1"/>
  <c r="L39" i="2"/>
  <c r="J39" i="2"/>
  <c r="E39" i="2"/>
  <c r="D39" i="2"/>
  <c r="AL38" i="2"/>
  <c r="AN38" i="2" s="1"/>
  <c r="AP38" i="2" s="1"/>
  <c r="AQ38" i="2" s="1"/>
  <c r="AH38" i="2"/>
  <c r="AG38" i="2"/>
  <c r="AE38" i="2"/>
  <c r="R38" i="2"/>
  <c r="N38" i="2"/>
  <c r="O38" i="2" s="1"/>
  <c r="L38" i="2"/>
  <c r="J38" i="2"/>
  <c r="E38" i="2"/>
  <c r="D38" i="2"/>
  <c r="AL37" i="2"/>
  <c r="AN37" i="2" s="1"/>
  <c r="AP37" i="2" s="1"/>
  <c r="AQ37" i="2" s="1"/>
  <c r="AH37" i="2"/>
  <c r="AG37" i="2"/>
  <c r="AE37" i="2"/>
  <c r="R37" i="2"/>
  <c r="N37" i="2"/>
  <c r="O37" i="2" s="1"/>
  <c r="L37" i="2"/>
  <c r="J37" i="2"/>
  <c r="E37" i="2"/>
  <c r="D37" i="2"/>
  <c r="AL36" i="2"/>
  <c r="AN36" i="2" s="1"/>
  <c r="AP36" i="2" s="1"/>
  <c r="AQ36" i="2" s="1"/>
  <c r="AH36" i="2"/>
  <c r="AG36" i="2"/>
  <c r="AE36" i="2"/>
  <c r="R36" i="2"/>
  <c r="N36" i="2"/>
  <c r="O36" i="2" s="1"/>
  <c r="L36" i="2"/>
  <c r="J36" i="2"/>
  <c r="E36" i="2"/>
  <c r="D36" i="2"/>
  <c r="AL35" i="2"/>
  <c r="AN35" i="2" s="1"/>
  <c r="AP35" i="2" s="1"/>
  <c r="AQ35" i="2" s="1"/>
  <c r="AH35" i="2"/>
  <c r="AG35" i="2"/>
  <c r="AE35" i="2"/>
  <c r="R35" i="2"/>
  <c r="N35" i="2"/>
  <c r="O35" i="2" s="1"/>
  <c r="L35" i="2"/>
  <c r="J35" i="2"/>
  <c r="E35" i="2"/>
  <c r="D35" i="2"/>
  <c r="AL34" i="2"/>
  <c r="AN34" i="2" s="1"/>
  <c r="AP34" i="2" s="1"/>
  <c r="AQ34" i="2" s="1"/>
  <c r="AH34" i="2"/>
  <c r="AG34" i="2"/>
  <c r="AE34" i="2"/>
  <c r="R34" i="2"/>
  <c r="N34" i="2"/>
  <c r="O34" i="2" s="1"/>
  <c r="L34" i="2"/>
  <c r="J34" i="2"/>
  <c r="E34" i="2"/>
  <c r="D34" i="2"/>
  <c r="AL33" i="2"/>
  <c r="AN33" i="2" s="1"/>
  <c r="AP33" i="2" s="1"/>
  <c r="AQ33" i="2" s="1"/>
  <c r="AH33" i="2"/>
  <c r="AG33" i="2"/>
  <c r="AE33" i="2"/>
  <c r="R33" i="2"/>
  <c r="N33" i="2"/>
  <c r="O33" i="2" s="1"/>
  <c r="L33" i="2"/>
  <c r="J33" i="2"/>
  <c r="E33" i="2"/>
  <c r="D33" i="2"/>
  <c r="AL32" i="2"/>
  <c r="AN32" i="2" s="1"/>
  <c r="AP32" i="2" s="1"/>
  <c r="AQ32" i="2" s="1"/>
  <c r="AH32" i="2"/>
  <c r="AG32" i="2"/>
  <c r="AE32" i="2"/>
  <c r="R32" i="2"/>
  <c r="N32" i="2"/>
  <c r="O32" i="2" s="1"/>
  <c r="L32" i="2"/>
  <c r="J32" i="2"/>
  <c r="E32" i="2"/>
  <c r="D32" i="2"/>
  <c r="AL31" i="2"/>
  <c r="AN31" i="2" s="1"/>
  <c r="AP31" i="2" s="1"/>
  <c r="AQ31" i="2" s="1"/>
  <c r="AH31" i="2"/>
  <c r="AG31" i="2"/>
  <c r="AE31" i="2"/>
  <c r="R31" i="2"/>
  <c r="N31" i="2"/>
  <c r="O31" i="2" s="1"/>
  <c r="L31" i="2"/>
  <c r="J31" i="2"/>
  <c r="E31" i="2"/>
  <c r="D31" i="2"/>
  <c r="AL30" i="2"/>
  <c r="AN30" i="2" s="1"/>
  <c r="AP30" i="2" s="1"/>
  <c r="AQ30" i="2" s="1"/>
  <c r="AH30" i="2"/>
  <c r="AG30" i="2"/>
  <c r="AE30" i="2"/>
  <c r="R30" i="2"/>
  <c r="N30" i="2"/>
  <c r="O30" i="2" s="1"/>
  <c r="L30" i="2"/>
  <c r="J30" i="2"/>
  <c r="E30" i="2"/>
  <c r="D30" i="2"/>
  <c r="AL29" i="2"/>
  <c r="AN29" i="2" s="1"/>
  <c r="AP29" i="2" s="1"/>
  <c r="AQ29" i="2" s="1"/>
  <c r="AH29" i="2"/>
  <c r="AG29" i="2"/>
  <c r="AE29" i="2"/>
  <c r="R29" i="2"/>
  <c r="N29" i="2"/>
  <c r="O29" i="2" s="1"/>
  <c r="L29" i="2"/>
  <c r="J29" i="2"/>
  <c r="E29" i="2"/>
  <c r="D29" i="2"/>
  <c r="AL28" i="2"/>
  <c r="AN28" i="2" s="1"/>
  <c r="AP28" i="2" s="1"/>
  <c r="AQ28" i="2" s="1"/>
  <c r="AH28" i="2"/>
  <c r="AG28" i="2"/>
  <c r="AE28" i="2"/>
  <c r="R28" i="2"/>
  <c r="N28" i="2"/>
  <c r="O28" i="2" s="1"/>
  <c r="L28" i="2"/>
  <c r="J28" i="2"/>
  <c r="E28" i="2"/>
  <c r="D28" i="2"/>
  <c r="AL27" i="2"/>
  <c r="AN27" i="2" s="1"/>
  <c r="AP27" i="2" s="1"/>
  <c r="AQ27" i="2" s="1"/>
  <c r="AH27" i="2"/>
  <c r="AG27" i="2"/>
  <c r="AE27" i="2"/>
  <c r="R27" i="2"/>
  <c r="N27" i="2"/>
  <c r="O27" i="2" s="1"/>
  <c r="L27" i="2"/>
  <c r="J27" i="2"/>
  <c r="E27" i="2"/>
  <c r="D27" i="2"/>
  <c r="AL26" i="2"/>
  <c r="AN26" i="2" s="1"/>
  <c r="AP26" i="2" s="1"/>
  <c r="AQ26" i="2" s="1"/>
  <c r="AH26" i="2"/>
  <c r="AG26" i="2"/>
  <c r="AE26" i="2"/>
  <c r="R26" i="2"/>
  <c r="N26" i="2"/>
  <c r="O26" i="2" s="1"/>
  <c r="L26" i="2"/>
  <c r="J26" i="2"/>
  <c r="E26" i="2"/>
  <c r="D26" i="2"/>
  <c r="AL25" i="2"/>
  <c r="AN25" i="2" s="1"/>
  <c r="AP25" i="2" s="1"/>
  <c r="AQ25" i="2" s="1"/>
  <c r="AH25" i="2"/>
  <c r="AG25" i="2"/>
  <c r="AE25" i="2"/>
  <c r="R25" i="2"/>
  <c r="N25" i="2"/>
  <c r="O25" i="2" s="1"/>
  <c r="L25" i="2"/>
  <c r="J25" i="2"/>
  <c r="E25" i="2"/>
  <c r="D25" i="2"/>
  <c r="AL24" i="2"/>
  <c r="AN24" i="2" s="1"/>
  <c r="AP24" i="2" s="1"/>
  <c r="AQ24" i="2" s="1"/>
  <c r="AH24" i="2"/>
  <c r="AG24" i="2"/>
  <c r="AE24" i="2"/>
  <c r="R24" i="2"/>
  <c r="N24" i="2"/>
  <c r="O24" i="2" s="1"/>
  <c r="L24" i="2"/>
  <c r="J24" i="2"/>
  <c r="E24" i="2"/>
  <c r="D24" i="2"/>
  <c r="AL23" i="2"/>
  <c r="AN23" i="2" s="1"/>
  <c r="AP23" i="2" s="1"/>
  <c r="AQ23" i="2" s="1"/>
  <c r="AH23" i="2"/>
  <c r="AG23" i="2"/>
  <c r="AE23" i="2"/>
  <c r="R23" i="2"/>
  <c r="N23" i="2"/>
  <c r="O23" i="2" s="1"/>
  <c r="L23" i="2"/>
  <c r="J23" i="2"/>
  <c r="E23" i="2"/>
  <c r="D23" i="2"/>
  <c r="AL22" i="2"/>
  <c r="AN22" i="2" s="1"/>
  <c r="AP22" i="2" s="1"/>
  <c r="AQ22" i="2" s="1"/>
  <c r="AH22" i="2"/>
  <c r="AG22" i="2"/>
  <c r="AE22" i="2"/>
  <c r="R22" i="2"/>
  <c r="N22" i="2"/>
  <c r="O22" i="2" s="1"/>
  <c r="L22" i="2"/>
  <c r="J22" i="2"/>
  <c r="E22" i="2"/>
  <c r="D22" i="2"/>
  <c r="AL21" i="2"/>
  <c r="AN21" i="2" s="1"/>
  <c r="AP21" i="2" s="1"/>
  <c r="AQ21" i="2" s="1"/>
  <c r="AH21" i="2"/>
  <c r="AG21" i="2"/>
  <c r="AE21" i="2"/>
  <c r="R21" i="2"/>
  <c r="N21" i="2"/>
  <c r="O21" i="2" s="1"/>
  <c r="L21" i="2"/>
  <c r="J21" i="2"/>
  <c r="E21" i="2"/>
  <c r="D21" i="2"/>
  <c r="AL20" i="2"/>
  <c r="AN20" i="2" s="1"/>
  <c r="AP20" i="2" s="1"/>
  <c r="AQ20" i="2" s="1"/>
  <c r="AH20" i="2"/>
  <c r="AG20" i="2"/>
  <c r="AE20" i="2"/>
  <c r="R20" i="2"/>
  <c r="N20" i="2"/>
  <c r="O20" i="2" s="1"/>
  <c r="L20" i="2"/>
  <c r="J20" i="2"/>
  <c r="E20" i="2"/>
  <c r="D20" i="2"/>
  <c r="AL19" i="2"/>
  <c r="AN19" i="2" s="1"/>
  <c r="AP19" i="2" s="1"/>
  <c r="AQ19" i="2" s="1"/>
  <c r="AH19" i="2"/>
  <c r="AG19" i="2"/>
  <c r="AE19" i="2"/>
  <c r="R19" i="2"/>
  <c r="N19" i="2"/>
  <c r="O19" i="2" s="1"/>
  <c r="L19" i="2"/>
  <c r="J19" i="2"/>
  <c r="E19" i="2"/>
  <c r="D19" i="2"/>
  <c r="AL18" i="2"/>
  <c r="AN18" i="2" s="1"/>
  <c r="AP18" i="2" s="1"/>
  <c r="AQ18" i="2" s="1"/>
  <c r="AH18" i="2"/>
  <c r="AG18" i="2"/>
  <c r="AE18" i="2"/>
  <c r="R18" i="2"/>
  <c r="N18" i="2"/>
  <c r="O18" i="2" s="1"/>
  <c r="L18" i="2"/>
  <c r="J18" i="2"/>
  <c r="E18" i="2"/>
  <c r="D18" i="2"/>
  <c r="AL17" i="2"/>
  <c r="AN17" i="2" s="1"/>
  <c r="AP17" i="2" s="1"/>
  <c r="AQ17" i="2" s="1"/>
  <c r="AH17" i="2"/>
  <c r="AG17" i="2"/>
  <c r="AE17" i="2"/>
  <c r="R17" i="2"/>
  <c r="L17" i="2"/>
  <c r="N17" i="2" s="1"/>
  <c r="O17" i="2" s="1"/>
  <c r="J17" i="2"/>
  <c r="E17" i="2"/>
  <c r="D17" i="2"/>
  <c r="AL16" i="2"/>
  <c r="AN16" i="2" s="1"/>
  <c r="AP16" i="2" s="1"/>
  <c r="AQ16" i="2" s="1"/>
  <c r="AH16" i="2"/>
  <c r="AG16" i="2"/>
  <c r="AE16" i="2"/>
  <c r="R16" i="2"/>
  <c r="L16" i="2"/>
  <c r="N16" i="2" s="1"/>
  <c r="O16" i="2" s="1"/>
  <c r="J16" i="2"/>
  <c r="E16" i="2"/>
  <c r="D16" i="2"/>
  <c r="AL15" i="2"/>
  <c r="AN15" i="2" s="1"/>
  <c r="AP15" i="2" s="1"/>
  <c r="AQ15" i="2" s="1"/>
  <c r="AH15" i="2"/>
  <c r="AG15" i="2"/>
  <c r="AE15" i="2"/>
  <c r="R15" i="2"/>
  <c r="L15" i="2"/>
  <c r="N15" i="2" s="1"/>
  <c r="O15" i="2" s="1"/>
  <c r="J15" i="2"/>
  <c r="E15" i="2"/>
  <c r="D15" i="2"/>
  <c r="AL14" i="2"/>
  <c r="AN14" i="2" s="1"/>
  <c r="AP14" i="2" s="1"/>
  <c r="AQ14" i="2" s="1"/>
  <c r="AH14" i="2"/>
  <c r="AG14" i="2"/>
  <c r="AE14" i="2"/>
  <c r="R14" i="2"/>
  <c r="L14" i="2"/>
  <c r="N14" i="2" s="1"/>
  <c r="O14" i="2" s="1"/>
  <c r="J14" i="2"/>
  <c r="E14" i="2"/>
  <c r="D14" i="2"/>
  <c r="AL13" i="2"/>
  <c r="AN13" i="2" s="1"/>
  <c r="AP13" i="2" s="1"/>
  <c r="AQ13" i="2" s="1"/>
  <c r="AH13" i="2"/>
  <c r="AG13" i="2"/>
  <c r="AE13" i="2"/>
  <c r="R13" i="2"/>
  <c r="L13" i="2"/>
  <c r="N13" i="2" s="1"/>
  <c r="O13" i="2" s="1"/>
  <c r="J13" i="2"/>
  <c r="E13" i="2"/>
  <c r="D13" i="2"/>
  <c r="AL12" i="2"/>
  <c r="AN12" i="2" s="1"/>
  <c r="AP12" i="2" s="1"/>
  <c r="AQ12" i="2" s="1"/>
  <c r="AH12" i="2"/>
  <c r="AG12" i="2"/>
  <c r="AE12" i="2"/>
  <c r="R12" i="2"/>
  <c r="L12" i="2"/>
  <c r="N12" i="2" s="1"/>
  <c r="O12" i="2" s="1"/>
  <c r="J12" i="2"/>
  <c r="E12" i="2"/>
  <c r="D12" i="2"/>
  <c r="AL11" i="2"/>
  <c r="AN11" i="2" s="1"/>
  <c r="AP11" i="2" s="1"/>
  <c r="AQ11" i="2" s="1"/>
  <c r="AH11" i="2"/>
  <c r="AG11" i="2"/>
  <c r="AE11" i="2"/>
  <c r="R11" i="2"/>
  <c r="L11" i="2"/>
  <c r="N11" i="2" s="1"/>
  <c r="O11" i="2" s="1"/>
  <c r="J11" i="2"/>
  <c r="E11" i="2"/>
  <c r="D11" i="2"/>
  <c r="AN10" i="2"/>
  <c r="AP10" i="2" s="1"/>
  <c r="AQ10" i="2" s="1"/>
  <c r="AL10" i="2"/>
  <c r="AH10" i="2"/>
  <c r="AG10" i="2"/>
  <c r="AE10" i="2"/>
  <c r="R10" i="2"/>
  <c r="L10" i="2"/>
  <c r="N10" i="2" s="1"/>
  <c r="O10" i="2" s="1"/>
  <c r="J10" i="2"/>
  <c r="E10" i="2"/>
  <c r="D10" i="2"/>
  <c r="AL9" i="2"/>
  <c r="AN9" i="2" s="1"/>
  <c r="AP9" i="2" s="1"/>
  <c r="AQ9" i="2" s="1"/>
  <c r="AH9" i="2"/>
  <c r="AG9" i="2"/>
  <c r="AE9" i="2"/>
  <c r="R9" i="2"/>
  <c r="L9" i="2"/>
  <c r="N9" i="2" s="1"/>
  <c r="O9" i="2" s="1"/>
  <c r="J9" i="2"/>
  <c r="E9" i="2"/>
  <c r="D9" i="2"/>
  <c r="AL8" i="2"/>
  <c r="AN8" i="2" s="1"/>
  <c r="AP8" i="2" s="1"/>
  <c r="AQ8" i="2" s="1"/>
  <c r="AH8" i="2"/>
  <c r="AG8" i="2"/>
  <c r="AE8" i="2"/>
  <c r="R8" i="2"/>
  <c r="L8" i="2"/>
  <c r="N8" i="2" s="1"/>
  <c r="O8" i="2" s="1"/>
  <c r="J8" i="2"/>
  <c r="E8" i="2"/>
  <c r="D8" i="2"/>
  <c r="AL7" i="2"/>
  <c r="AN7" i="2" s="1"/>
  <c r="AP7" i="2" s="1"/>
  <c r="AQ7" i="2" s="1"/>
  <c r="AH7" i="2"/>
  <c r="AG7" i="2"/>
  <c r="AE7" i="2"/>
  <c r="R7" i="2"/>
  <c r="L7" i="2"/>
  <c r="N7" i="2" s="1"/>
  <c r="O7" i="2" s="1"/>
  <c r="J7" i="2"/>
  <c r="E7" i="2"/>
  <c r="D7" i="2"/>
  <c r="AL6" i="2"/>
  <c r="AN6" i="2" s="1"/>
  <c r="AP6" i="2" s="1"/>
  <c r="AQ6" i="2" s="1"/>
  <c r="AH6" i="2"/>
  <c r="AG6" i="2"/>
  <c r="AE6" i="2"/>
  <c r="R6" i="2"/>
  <c r="L6" i="2"/>
  <c r="N6" i="2" s="1"/>
  <c r="O6" i="2" s="1"/>
  <c r="J6" i="2"/>
  <c r="E6" i="2"/>
  <c r="D6" i="2"/>
  <c r="AL5" i="2"/>
  <c r="AN5" i="2" s="1"/>
  <c r="AP5" i="2" s="1"/>
  <c r="AQ5" i="2" s="1"/>
  <c r="AH5" i="2"/>
  <c r="AG5" i="2"/>
  <c r="AE5" i="2"/>
  <c r="R5" i="2"/>
  <c r="L5" i="2"/>
  <c r="N5" i="2" s="1"/>
  <c r="O5" i="2" s="1"/>
  <c r="J5" i="2"/>
  <c r="E5" i="2"/>
  <c r="D5" i="2"/>
  <c r="AL4" i="2"/>
  <c r="AN4" i="2" s="1"/>
  <c r="AP4" i="2" s="1"/>
  <c r="AQ4" i="2" s="1"/>
  <c r="AH4" i="2"/>
  <c r="AG4" i="2"/>
  <c r="AE4" i="2"/>
  <c r="R4" i="2"/>
  <c r="L4" i="2"/>
  <c r="N4" i="2" s="1"/>
  <c r="O4" i="2" s="1"/>
  <c r="J4" i="2"/>
  <c r="E4" i="2"/>
  <c r="D4" i="2"/>
  <c r="AL3" i="2"/>
  <c r="AN3" i="2" s="1"/>
  <c r="AP3" i="2" s="1"/>
  <c r="AQ3" i="2" s="1"/>
  <c r="AH3" i="2"/>
  <c r="AG3" i="2"/>
  <c r="AE3" i="2"/>
  <c r="R3" i="2"/>
  <c r="N3" i="2"/>
  <c r="O3" i="2" s="1"/>
  <c r="L3" i="2"/>
  <c r="J3" i="2"/>
  <c r="E3" i="2"/>
  <c r="D3" i="2"/>
  <c r="AL2" i="2"/>
  <c r="AN2" i="2" s="1"/>
  <c r="AP2" i="2" s="1"/>
  <c r="AQ2" i="2" s="1"/>
  <c r="AH2" i="2"/>
  <c r="AG2" i="2"/>
  <c r="AE2" i="2"/>
  <c r="R2" i="2"/>
  <c r="L2" i="2"/>
  <c r="N2" i="2" s="1"/>
  <c r="O2" i="2" s="1"/>
  <c r="J2" i="2"/>
  <c r="E2" i="2"/>
  <c r="D2" i="2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A4" i="1"/>
  <c r="B4" i="1" s="1"/>
  <c r="AP141" i="2" l="1"/>
  <c r="AQ141" i="2"/>
  <c r="AP155" i="2"/>
  <c r="AQ155" i="2"/>
  <c r="AP162" i="2"/>
  <c r="AQ162" i="2"/>
  <c r="AP183" i="2"/>
  <c r="AQ183" i="2"/>
  <c r="AP119" i="2"/>
  <c r="AQ119" i="2"/>
  <c r="AP126" i="2"/>
  <c r="AQ126" i="2"/>
  <c r="AP133" i="2"/>
  <c r="AQ133" i="2"/>
  <c r="AP140" i="2"/>
  <c r="AQ140" i="2"/>
  <c r="AP147" i="2"/>
  <c r="AQ147" i="2"/>
  <c r="AP154" i="2"/>
  <c r="AQ154" i="2"/>
  <c r="AP161" i="2"/>
  <c r="AQ161" i="2"/>
  <c r="AP168" i="2"/>
  <c r="AQ168" i="2"/>
  <c r="AP175" i="2"/>
  <c r="AQ175" i="2"/>
  <c r="AP182" i="2"/>
  <c r="AQ182" i="2"/>
  <c r="AP189" i="2"/>
  <c r="AQ189" i="2"/>
  <c r="AP196" i="2"/>
  <c r="AQ196" i="2"/>
  <c r="AP153" i="2"/>
  <c r="AQ153" i="2"/>
  <c r="AP160" i="2"/>
  <c r="AQ160" i="2"/>
  <c r="AP167" i="2"/>
  <c r="AQ167" i="2"/>
  <c r="AP174" i="2"/>
  <c r="AQ174" i="2"/>
  <c r="AP181" i="2"/>
  <c r="AQ181" i="2"/>
  <c r="AP188" i="2"/>
  <c r="AQ188" i="2"/>
  <c r="AP195" i="2"/>
  <c r="AQ195" i="2"/>
  <c r="AP118" i="2"/>
  <c r="AQ118" i="2"/>
  <c r="AP120" i="2"/>
  <c r="AQ120" i="2"/>
  <c r="AP134" i="2"/>
  <c r="AQ134" i="2"/>
  <c r="AP148" i="2"/>
  <c r="AQ148" i="2"/>
  <c r="AP169" i="2"/>
  <c r="AQ169" i="2"/>
  <c r="AP125" i="2"/>
  <c r="AQ125" i="2"/>
  <c r="AP132" i="2"/>
  <c r="AQ132" i="2"/>
  <c r="AP139" i="2"/>
  <c r="AQ139" i="2"/>
  <c r="AP146" i="2"/>
  <c r="AQ146" i="2"/>
  <c r="AP117" i="2"/>
  <c r="AQ117" i="2"/>
  <c r="AP124" i="2"/>
  <c r="AQ124" i="2"/>
  <c r="AP131" i="2"/>
  <c r="AQ131" i="2"/>
  <c r="AP138" i="2"/>
  <c r="AQ138" i="2" s="1"/>
  <c r="AP145" i="2"/>
  <c r="AQ145" i="2" s="1"/>
  <c r="AP152" i="2"/>
  <c r="AQ152" i="2" s="1"/>
  <c r="AP159" i="2"/>
  <c r="AQ159" i="2"/>
  <c r="AP166" i="2"/>
  <c r="AQ166" i="2"/>
  <c r="AP173" i="2"/>
  <c r="AQ173" i="2"/>
  <c r="AP180" i="2"/>
  <c r="AQ180" i="2"/>
  <c r="AP187" i="2"/>
  <c r="AQ187" i="2" s="1"/>
  <c r="AP194" i="2"/>
  <c r="AQ194" i="2"/>
  <c r="AP200" i="2"/>
  <c r="AQ200" i="2"/>
  <c r="AQ116" i="2"/>
  <c r="AQ114" i="2"/>
  <c r="AP199" i="2"/>
  <c r="AQ199" i="2"/>
  <c r="AQ115" i="2"/>
  <c r="AP123" i="2"/>
  <c r="AQ123" i="2"/>
  <c r="AP130" i="2"/>
  <c r="AQ130" i="2" s="1"/>
  <c r="AP137" i="2"/>
  <c r="AQ137" i="2" s="1"/>
  <c r="AP144" i="2"/>
  <c r="AQ144" i="2" s="1"/>
  <c r="AP151" i="2"/>
  <c r="AQ151" i="2" s="1"/>
  <c r="AP158" i="2"/>
  <c r="AQ158" i="2"/>
  <c r="AP165" i="2"/>
  <c r="AQ165" i="2"/>
  <c r="AP172" i="2"/>
  <c r="AQ172" i="2" s="1"/>
  <c r="AP179" i="2"/>
  <c r="AQ179" i="2" s="1"/>
  <c r="AP186" i="2"/>
  <c r="AQ186" i="2" s="1"/>
  <c r="AP193" i="2"/>
  <c r="AQ193" i="2" s="1"/>
  <c r="C4" i="1"/>
  <c r="E4" i="1" s="1"/>
  <c r="AQ113" i="2"/>
  <c r="AP122" i="2"/>
  <c r="AQ122" i="2"/>
  <c r="AP129" i="2"/>
  <c r="AQ129" i="2"/>
  <c r="AP136" i="2"/>
  <c r="AQ136" i="2"/>
  <c r="AP143" i="2"/>
  <c r="AQ143" i="2" s="1"/>
  <c r="AP150" i="2"/>
  <c r="AQ150" i="2"/>
  <c r="AP157" i="2"/>
  <c r="AQ157" i="2" s="1"/>
  <c r="AP164" i="2"/>
  <c r="AQ164" i="2" s="1"/>
  <c r="AP171" i="2"/>
  <c r="AQ171" i="2"/>
  <c r="AP178" i="2"/>
  <c r="AQ178" i="2" s="1"/>
  <c r="AP185" i="2"/>
  <c r="AQ185" i="2"/>
  <c r="AP192" i="2"/>
  <c r="AQ192" i="2" s="1"/>
  <c r="D4" i="1"/>
  <c r="AP121" i="2"/>
  <c r="AQ121" i="2" s="1"/>
  <c r="AP128" i="2"/>
  <c r="AQ128" i="2"/>
  <c r="AP135" i="2"/>
  <c r="AQ135" i="2"/>
  <c r="AP142" i="2"/>
  <c r="AQ142" i="2"/>
  <c r="AP149" i="2"/>
  <c r="AQ149" i="2"/>
  <c r="AP156" i="2"/>
  <c r="AQ156" i="2" s="1"/>
  <c r="AP163" i="2"/>
  <c r="AQ163" i="2"/>
  <c r="AP170" i="2"/>
  <c r="AQ170" i="2"/>
  <c r="AP177" i="2"/>
  <c r="AQ177" i="2" s="1"/>
  <c r="AP184" i="2"/>
  <c r="AQ184" i="2"/>
  <c r="AP191" i="2"/>
  <c r="AQ191" i="2"/>
  <c r="AP198" i="2"/>
  <c r="AQ198" i="2"/>
  <c r="AP127" i="2"/>
  <c r="AQ127" i="2" s="1"/>
  <c r="AP176" i="2"/>
  <c r="AQ176" i="2" s="1"/>
  <c r="AP190" i="2"/>
  <c r="AQ190" i="2"/>
  <c r="AP197" i="2"/>
  <c r="AQ197" i="2" s="1"/>
  <c r="AP201" i="2"/>
  <c r="AQ201" i="2" s="1"/>
  <c r="AG201" i="2"/>
</calcChain>
</file>

<file path=xl/sharedStrings.xml><?xml version="1.0" encoding="utf-8"?>
<sst xmlns="http://schemas.openxmlformats.org/spreadsheetml/2006/main" count="61" uniqueCount="53">
  <si>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</si>
  <si>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</si>
  <si>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</si>
  <si>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</si>
  <si>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</si>
  <si>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</si>
  <si>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</si>
  <si>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</si>
  <si>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</si>
  <si>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</si>
  <si>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</si>
  <si>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</si>
  <si>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</si>
  <si>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</si>
  <si>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</si>
  <si>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</si>
  <si>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</si>
  <si>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BTW %</t>
  </si>
  <si>
    <t>Voorschot GWE (Incl)</t>
  </si>
  <si>
    <t>Totaal Voorschot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</si>
  <si>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</si>
  <si>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</si>
  <si>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</si>
  <si>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</si>
  <si>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</si>
  <si>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</si>
  <si>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</si>
  <si>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</si>
  <si>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</si>
  <si>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</si>
  <si>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</si>
  <si>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</si>
  <si>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</si>
  <si>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</si>
  <si>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</si>
  <si>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</si>
  <si>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</si>
  <si>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</si>
  <si>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</si>
  <si>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</si>
  <si>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</si>
  <si>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</si>
  <si>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</si>
  <si>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</si>
  <si>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</si>
  <si>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</si>
  <si>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</si>
  <si>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</si>
  <si>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</si>
  <si>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</si>
  <si>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Test Address 1</t>
  </si>
  <si>
    <t>OBJ-001</t>
  </si>
  <si>
    <t>Test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</si>
</sst>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8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9" fontId="0" fillId="7" borderId="0" xfId="0" applyNumberFormat="1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8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"/>
  <sheetViews>
    <sheetView workbookViewId="0"/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>
        <f>_xlfn.UNIQUE(_xlfn._xlws.FILTER(Input!A2:A5000, Input!A2:A5000&lt;&gt;""))</f>
        <v>Test Address 1</v>
      </c>
      <c r="B4" t="str">
        <f>IF(A4="","",IF(COUNTIFS(Input!$A:$A, A4, Input!$B:$B, "Basis")&gt;0, "OK", "MISSING"))</f>
        <v>MISSING</v>
      </c>
      <c r="C4" t="str">
        <f>IF(A4="","",IF(COUNTIFS(Input!$A:$A, A4, Input!$B:$B, "GWE")&gt;0, "OK", "MISSING"))</f>
        <v>MISSING</v>
      </c>
      <c r="D4" t="str">
        <f>IF(A4="","",IF(COUNTIFS(Input!$A:$A, A4, Input!$B:$B, "Schoonmaak")&gt;0, "OK", "MISSING"))</f>
        <v>MISSING</v>
      </c>
      <c r="E4" t="str">
        <f t="shared" ref="E4:E35" si="0">IF(A4="","",IF(AND(B4="OK",C4="OK",D4="OK"), "✅ READY", "⚠️ INCOMPLETE"))</f>
        <v>⚠️ INCOMPLETE</v>
      </c>
    </row>
    <row r="5" spans="1:5" x14ac:dyDescent="0.2">
      <c r="B5" t="str">
        <f>IF(A5="","",IF(COUNTIFS(Input!$A:$A, A5, Input!$B:$B, "Basis")&gt;0, "OK", "MISSING"))</f>
        <v/>
      </c>
      <c r="C5" t="str">
        <f>IF(A5="","",IF(COUNTIFS(Input!$A:$A, A5, Input!$B:$B, "GWE")&gt;0, "OK", "MISSING"))</f>
        <v/>
      </c>
      <c r="D5" t="str">
        <f>IF(A5="","",IF(COUNTIFS(Input!$A:$A, A5, Input!$B:$B, "Schoonmaak")&gt;0, "OK", "MISSING"))</f>
        <v/>
      </c>
      <c r="E5" t="str">
        <f t="shared" si="0"/>
        <v/>
      </c>
    </row>
    <row r="6" spans="1:5" x14ac:dyDescent="0.2">
      <c r="B6" t="str">
        <f>IF(A6="","",IF(COUNTIFS(Input!$A:$A, A6, Input!$B:$B, "Basis")&gt;0, "OK", "MISSING"))</f>
        <v/>
      </c>
      <c r="C6" t="str">
        <f>IF(A6="","",IF(COUNTIFS(Input!$A:$A, A6, Input!$B:$B, "GWE")&gt;0, "OK", "MISSING"))</f>
        <v/>
      </c>
      <c r="D6" t="str">
        <f>IF(A6="","",IF(COUNTIFS(Input!$A:$A, A6, Input!$B:$B, "Schoonmaak")&gt;0, "OK", "MISSING"))</f>
        <v/>
      </c>
      <c r="E6" t="str">
        <f t="shared" si="0"/>
        <v/>
      </c>
    </row>
    <row r="7" spans="1:5" x14ac:dyDescent="0.2">
      <c r="B7" t="str">
        <f>IF(A7="","",IF(COUNTIFS(Input!$A:$A, A7, Input!$B:$B, "Basis")&gt;0, "OK", "MISSING"))</f>
        <v/>
      </c>
      <c r="C7" t="str">
        <f>IF(A7="","",IF(COUNTIFS(Input!$A:$A, A7, Input!$B:$B, "GWE")&gt;0, "OK", "MISSING"))</f>
        <v/>
      </c>
      <c r="D7" t="str">
        <f>IF(A7="","",IF(COUNTIFS(Input!$A:$A, A7, Input!$B:$B, "Schoonmaak")&gt;0, "OK", "MISSING"))</f>
        <v/>
      </c>
      <c r="E7" t="str">
        <f t="shared" si="0"/>
        <v/>
      </c>
    </row>
    <row r="8" spans="1:5" x14ac:dyDescent="0.2">
      <c r="B8" t="str">
        <f>IF(A8="","",IF(COUNTIFS(Input!$A:$A, A8, Input!$B:$B, "Basis")&gt;0, "OK", "MISSING"))</f>
        <v/>
      </c>
      <c r="C8" t="str">
        <f>IF(A8="","",IF(COUNTIFS(Input!$A:$A, A8, Input!$B:$B, "GWE")&gt;0, "OK", "MISSING"))</f>
        <v/>
      </c>
      <c r="D8" t="str">
        <f>IF(A8="","",IF(COUNTIFS(Input!$A:$A, A8, Input!$B:$B, "Schoonmaak")&gt;0, "OK", "MISSING"))</f>
        <v/>
      </c>
      <c r="E8" t="str">
        <f t="shared" si="0"/>
        <v/>
      </c>
    </row>
    <row r="9" spans="1:5" x14ac:dyDescent="0.2">
      <c r="B9" t="str">
        <f>IF(A9="","",IF(COUNTIFS(Input!$A:$A, A9, Input!$B:$B, "Basis")&gt;0, "OK", "MISSING"))</f>
        <v/>
      </c>
      <c r="C9" t="str">
        <f>IF(A9="","",IF(COUNTIFS(Input!$A:$A, A9, Input!$B:$B, "GWE")&gt;0, "OK", "MISSING"))</f>
        <v/>
      </c>
      <c r="D9" t="str">
        <f>IF(A9="","",IF(COUNTIFS(Input!$A:$A, A9, Input!$B:$B, "Schoonmaak")&gt;0, "OK", "MISSING"))</f>
        <v/>
      </c>
      <c r="E9" t="str">
        <f t="shared" si="0"/>
        <v/>
      </c>
    </row>
    <row r="10" spans="1:5" x14ac:dyDescent="0.2">
      <c r="B10" t="str">
        <f>IF(A10="","",IF(COUNTIFS(Input!$A:$A, A10, Input!$B:$B, "Basis")&gt;0, "OK", "MISSING"))</f>
        <v/>
      </c>
      <c r="C10" t="str">
        <f>IF(A10="","",IF(COUNTIFS(Input!$A:$A, A10, Input!$B:$B, "GWE")&gt;0, "OK", "MISSING"))</f>
        <v/>
      </c>
      <c r="D10" t="str">
        <f>IF(A10="","",IF(COUNTIFS(Input!$A:$A, A10, Input!$B:$B, "Schoonmaak")&gt;0, "OK", "MISSING"))</f>
        <v/>
      </c>
      <c r="E10" t="str">
        <f t="shared" si="0"/>
        <v/>
      </c>
    </row>
    <row r="11" spans="1:5" x14ac:dyDescent="0.2">
      <c r="B11" t="str">
        <f>IF(A11="","",IF(COUNTIFS(Input!$A:$A, A11, Input!$B:$B, "Basis")&gt;0, "OK", "MISSING"))</f>
        <v/>
      </c>
      <c r="C11" t="str">
        <f>IF(A11="","",IF(COUNTIFS(Input!$A:$A, A11, Input!$B:$B, "GWE")&gt;0, "OK", "MISSING"))</f>
        <v/>
      </c>
      <c r="D11" t="str">
        <f>IF(A11="","",IF(COUNTIFS(Input!$A:$A, A11, Input!$B:$B, "Schoonmaak")&gt;0, "OK", "MISSING"))</f>
        <v/>
      </c>
      <c r="E11" t="str">
        <f t="shared" si="0"/>
        <v/>
      </c>
    </row>
    <row r="12" spans="1:5" x14ac:dyDescent="0.2">
      <c r="B12" t="str">
        <f>IF(A12="","",IF(COUNTIFS(Input!$A:$A, A12, Input!$B:$B, "Basis")&gt;0, "OK", "MISSING"))</f>
        <v/>
      </c>
      <c r="C12" t="str">
        <f>IF(A12="","",IF(COUNTIFS(Input!$A:$A, A12, Input!$B:$B, "GWE")&gt;0, "OK", "MISSING"))</f>
        <v/>
      </c>
      <c r="D12" t="str">
        <f>IF(A12="","",IF(COUNTIFS(Input!$A:$A, A12, Input!$B:$B, "Schoonmaak")&gt;0, "OK", "MISSING"))</f>
        <v/>
      </c>
      <c r="E12" t="str">
        <f t="shared" si="0"/>
        <v/>
      </c>
    </row>
    <row r="13" spans="1:5" x14ac:dyDescent="0.2">
      <c r="B13" t="str">
        <f>IF(A13="","",IF(COUNTIFS(Input!$A:$A, A13, Input!$B:$B, "Basis")&gt;0, "OK", "MISSING"))</f>
        <v/>
      </c>
      <c r="C13" t="str">
        <f>IF(A13="","",IF(COUNTIFS(Input!$A:$A, A13, Input!$B:$B, "GWE")&gt;0, "OK", "MISSING"))</f>
        <v/>
      </c>
      <c r="D13" t="str">
        <f>IF(A13="","",IF(COUNTIFS(Input!$A:$A, A13, Input!$B:$B, "Schoonmaak")&gt;0, "OK", "MISSING"))</f>
        <v/>
      </c>
      <c r="E13" t="str">
        <f t="shared" si="0"/>
        <v/>
      </c>
    </row>
    <row r="14" spans="1:5" x14ac:dyDescent="0.2">
      <c r="B14" t="str">
        <f>IF(A14="","",IF(COUNTIFS(Input!$A:$A, A14, Input!$B:$B, "Basis")&gt;0, "OK", "MISSING"))</f>
        <v/>
      </c>
      <c r="C14" t="str">
        <f>IF(A14="","",IF(COUNTIFS(Input!$A:$A, A14, Input!$B:$B, "GWE")&gt;0, "OK", "MISSING"))</f>
        <v/>
      </c>
      <c r="D14" t="str">
        <f>IF(A14="","",IF(COUNTIFS(Input!$A:$A, A14, Input!$B:$B, "Schoonmaak")&gt;0, "OK", "MISSING"))</f>
        <v/>
      </c>
      <c r="E14" t="str">
        <f t="shared" si="0"/>
        <v/>
      </c>
    </row>
    <row r="15" spans="1:5" x14ac:dyDescent="0.2">
      <c r="B15" t="str">
        <f>IF(A15="","",IF(COUNTIFS(Input!$A:$A, A15, Input!$B:$B, "Basis")&gt;0, "OK", "MISSING"))</f>
        <v/>
      </c>
      <c r="C15" t="str">
        <f>IF(A15="","",IF(COUNTIFS(Input!$A:$A, A15, Input!$B:$B, "GWE")&gt;0, "OK", "MISSING"))</f>
        <v/>
      </c>
      <c r="D15" t="str">
        <f>IF(A15="","",IF(COUNTIFS(Input!$A:$A, A15, Input!$B:$B, "Schoonmaak")&gt;0, "OK", "MISSING"))</f>
        <v/>
      </c>
      <c r="E15" t="str">
        <f t="shared" si="0"/>
        <v/>
      </c>
    </row>
    <row r="16" spans="1:5" x14ac:dyDescent="0.2">
      <c r="B16" t="str">
        <f>IF(A16="","",IF(COUNTIFS(Input!$A:$A, A16, Input!$B:$B, "Basis")&gt;0, "OK", "MISSING"))</f>
        <v/>
      </c>
      <c r="C16" t="str">
        <f>IF(A16="","",IF(COUNTIFS(Input!$A:$A, A16, Input!$B:$B, "GWE")&gt;0, "OK", "MISSING"))</f>
        <v/>
      </c>
      <c r="D16" t="str">
        <f>IF(A16="","",IF(COUNTIFS(Input!$A:$A, A16, Input!$B:$B, "Schoonmaak")&gt;0, "OK", "MISSING"))</f>
        <v/>
      </c>
      <c r="E16" t="str">
        <f t="shared" si="0"/>
        <v/>
      </c>
    </row>
    <row r="17" spans="2:5" x14ac:dyDescent="0.2">
      <c r="B17" t="str">
        <f>IF(A17="","",IF(COUNTIFS(Input!$A:$A, A17, Input!$B:$B, "Basis")&gt;0, "OK", "MISSING"))</f>
        <v/>
      </c>
      <c r="C17" t="str">
        <f>IF(A17="","",IF(COUNTIFS(Input!$A:$A, A17, Input!$B:$B, "GWE")&gt;0, "OK", "MISSING"))</f>
        <v/>
      </c>
      <c r="D17" t="str">
        <f>IF(A17="","",IF(COUNTIFS(Input!$A:$A, A17, Input!$B:$B, "Schoonmaak")&gt;0, "OK", "MISSING"))</f>
        <v/>
      </c>
      <c r="E17" t="str">
        <f t="shared" si="0"/>
        <v/>
      </c>
    </row>
    <row r="18" spans="2:5" x14ac:dyDescent="0.2">
      <c r="B18" t="str">
        <f>IF(A18="","",IF(COUNTIFS(Input!$A:$A, A18, Input!$B:$B, "Basis")&gt;0, "OK", "MISSING"))</f>
        <v/>
      </c>
      <c r="C18" t="str">
        <f>IF(A18="","",IF(COUNTIFS(Input!$A:$A, A18, Input!$B:$B, "GWE")&gt;0, "OK", "MISSING"))</f>
        <v/>
      </c>
      <c r="D18" t="str">
        <f>IF(A18="","",IF(COUNTIFS(Input!$A:$A, A18, Input!$B:$B, "Schoonmaak")&gt;0, "OK", "MISSING"))</f>
        <v/>
      </c>
      <c r="E18" t="str">
        <f t="shared" si="0"/>
        <v/>
      </c>
    </row>
    <row r="19" spans="2:5" x14ac:dyDescent="0.2">
      <c r="B19" t="str">
        <f>IF(A19="","",IF(COUNTIFS(Input!$A:$A, A19, Input!$B:$B, "Basis")&gt;0, "OK", "MISSING"))</f>
        <v/>
      </c>
      <c r="C19" t="str">
        <f>IF(A19="","",IF(COUNTIFS(Input!$A:$A, A19, Input!$B:$B, "GWE")&gt;0, "OK", "MISSING"))</f>
        <v/>
      </c>
      <c r="D19" t="str">
        <f>IF(A19="","",IF(COUNTIFS(Input!$A:$A, A19, Input!$B:$B, "Schoonmaak")&gt;0, "OK", "MISSING"))</f>
        <v/>
      </c>
      <c r="E19" t="str">
        <f t="shared" si="0"/>
        <v/>
      </c>
    </row>
    <row r="20" spans="2:5" x14ac:dyDescent="0.2">
      <c r="B20" t="str">
        <f>IF(A20="","",IF(COUNTIFS(Input!$A:$A, A20, Input!$B:$B, "Basis")&gt;0, "OK", "MISSING"))</f>
        <v/>
      </c>
      <c r="C20" t="str">
        <f>IF(A20="","",IF(COUNTIFS(Input!$A:$A, A20, Input!$B:$B, "GWE")&gt;0, "OK", "MISSING"))</f>
        <v/>
      </c>
      <c r="D20" t="str">
        <f>IF(A20="","",IF(COUNTIFS(Input!$A:$A, A20, Input!$B:$B, "Schoonmaak")&gt;0, "OK", "MISSING"))</f>
        <v/>
      </c>
      <c r="E20" t="str">
        <f t="shared" si="0"/>
        <v/>
      </c>
    </row>
    <row r="21" spans="2:5" x14ac:dyDescent="0.2">
      <c r="B21" t="str">
        <f>IF(A21="","",IF(COUNTIFS(Input!$A:$A, A21, Input!$B:$B, "Basis")&gt;0, "OK", "MISSING"))</f>
        <v/>
      </c>
      <c r="C21" t="str">
        <f>IF(A21="","",IF(COUNTIFS(Input!$A:$A, A21, Input!$B:$B, "GWE")&gt;0, "OK", "MISSING"))</f>
        <v/>
      </c>
      <c r="D21" t="str">
        <f>IF(A21="","",IF(COUNTIFS(Input!$A:$A, A21, Input!$B:$B, "Schoonmaak")&gt;0, "OK", "MISSING"))</f>
        <v/>
      </c>
      <c r="E21" t="str">
        <f t="shared" si="0"/>
        <v/>
      </c>
    </row>
    <row r="22" spans="2:5" x14ac:dyDescent="0.2">
      <c r="B22" t="str">
        <f>IF(A22="","",IF(COUNTIFS(Input!$A:$A, A22, Input!$B:$B, "Basis")&gt;0, "OK", "MISSING"))</f>
        <v/>
      </c>
      <c r="C22" t="str">
        <f>IF(A22="","",IF(COUNTIFS(Input!$A:$A, A22, Input!$B:$B, "GWE")&gt;0, "OK", "MISSING"))</f>
        <v/>
      </c>
      <c r="D22" t="str">
        <f>IF(A22="","",IF(COUNTIFS(Input!$A:$A, A22, Input!$B:$B, "Schoonmaak")&gt;0, "OK", "MISSING"))</f>
        <v/>
      </c>
      <c r="E22" t="str">
        <f t="shared" si="0"/>
        <v/>
      </c>
    </row>
    <row r="23" spans="2:5" x14ac:dyDescent="0.2">
      <c r="B23" t="str">
        <f>IF(A23="","",IF(COUNTIFS(Input!$A:$A, A23, Input!$B:$B, "Basis")&gt;0, "OK", "MISSING"))</f>
        <v/>
      </c>
      <c r="C23" t="str">
        <f>IF(A23="","",IF(COUNTIFS(Input!$A:$A, A23, Input!$B:$B, "GWE")&gt;0, "OK", "MISSING"))</f>
        <v/>
      </c>
      <c r="D23" t="str">
        <f>IF(A23="","",IF(COUNTIFS(Input!$A:$A, A23, Input!$B:$B, "Schoonmaak")&gt;0, "OK", "MISSING"))</f>
        <v/>
      </c>
      <c r="E23" t="str">
        <f t="shared" si="0"/>
        <v/>
      </c>
    </row>
    <row r="24" spans="2:5" x14ac:dyDescent="0.2">
      <c r="B24" t="str">
        <f>IF(A24="","",IF(COUNTIFS(Input!$A:$A, A24, Input!$B:$B, "Basis")&gt;0, "OK", "MISSING"))</f>
        <v/>
      </c>
      <c r="C24" t="str">
        <f>IF(A24="","",IF(COUNTIFS(Input!$A:$A, A24, Input!$B:$B, "GWE")&gt;0, "OK", "MISSING"))</f>
        <v/>
      </c>
      <c r="D24" t="str">
        <f>IF(A24="","",IF(COUNTIFS(Input!$A:$A, A24, Input!$B:$B, "Schoonmaak")&gt;0, "OK", "MISSING"))</f>
        <v/>
      </c>
      <c r="E24" t="str">
        <f t="shared" si="0"/>
        <v/>
      </c>
    </row>
    <row r="25" spans="2:5" x14ac:dyDescent="0.2">
      <c r="B25" t="str">
        <f>IF(A25="","",IF(COUNTIFS(Input!$A:$A, A25, Input!$B:$B, "Basis")&gt;0, "OK", "MISSING"))</f>
        <v/>
      </c>
      <c r="C25" t="str">
        <f>IF(A25="","",IF(COUNTIFS(Input!$A:$A, A25, Input!$B:$B, "GWE")&gt;0, "OK", "MISSING"))</f>
        <v/>
      </c>
      <c r="D25" t="str">
        <f>IF(A25="","",IF(COUNTIFS(Input!$A:$A, A25, Input!$B:$B, "Schoonmaak")&gt;0, "OK", "MISSING"))</f>
        <v/>
      </c>
      <c r="E25" t="str">
        <f t="shared" si="0"/>
        <v/>
      </c>
    </row>
    <row r="26" spans="2:5" x14ac:dyDescent="0.2">
      <c r="B26" t="str">
        <f>IF(A26="","",IF(COUNTIFS(Input!$A:$A, A26, Input!$B:$B, "Basis")&gt;0, "OK", "MISSING"))</f>
        <v/>
      </c>
      <c r="C26" t="str">
        <f>IF(A26="","",IF(COUNTIFS(Input!$A:$A, A26, Input!$B:$B, "GWE")&gt;0, "OK", "MISSING"))</f>
        <v/>
      </c>
      <c r="D26" t="str">
        <f>IF(A26="","",IF(COUNTIFS(Input!$A:$A, A26, Input!$B:$B, "Schoonmaak")&gt;0, "OK", "MISSING"))</f>
        <v/>
      </c>
      <c r="E26" t="str">
        <f t="shared" si="0"/>
        <v/>
      </c>
    </row>
    <row r="27" spans="2:5" x14ac:dyDescent="0.2">
      <c r="B27" t="str">
        <f>IF(A27="","",IF(COUNTIFS(Input!$A:$A, A27, Input!$B:$B, "Basis")&gt;0, "OK", "MISSING"))</f>
        <v/>
      </c>
      <c r="C27" t="str">
        <f>IF(A27="","",IF(COUNTIFS(Input!$A:$A, A27, Input!$B:$B, "GWE")&gt;0, "OK", "MISSING"))</f>
        <v/>
      </c>
      <c r="D27" t="str">
        <f>IF(A27="","",IF(COUNTIFS(Input!$A:$A, A27, Input!$B:$B, "Schoonmaak")&gt;0, "OK", "MISSING"))</f>
        <v/>
      </c>
      <c r="E27" t="str">
        <f t="shared" si="0"/>
        <v/>
      </c>
    </row>
    <row r="28" spans="2:5" x14ac:dyDescent="0.2">
      <c r="B28" t="str">
        <f>IF(A28="","",IF(COUNTIFS(Input!$A:$A, A28, Input!$B:$B, "Basis")&gt;0, "OK", "MISSING"))</f>
        <v/>
      </c>
      <c r="C28" t="str">
        <f>IF(A28="","",IF(COUNTIFS(Input!$A:$A, A28, Input!$B:$B, "GWE")&gt;0, "OK", "MISSING"))</f>
        <v/>
      </c>
      <c r="D28" t="str">
        <f>IF(A28="","",IF(COUNTIFS(Input!$A:$A, A28, Input!$B:$B, "Schoonmaak")&gt;0, "OK", "MISSING"))</f>
        <v/>
      </c>
      <c r="E28" t="str">
        <f t="shared" si="0"/>
        <v/>
      </c>
    </row>
    <row r="29" spans="2:5" x14ac:dyDescent="0.2">
      <c r="B29" t="str">
        <f>IF(A29="","",IF(COUNTIFS(Input!$A:$A, A29, Input!$B:$B, "Basis")&gt;0, "OK", "MISSING"))</f>
        <v/>
      </c>
      <c r="C29" t="str">
        <f>IF(A29="","",IF(COUNTIFS(Input!$A:$A, A29, Input!$B:$B, "GWE")&gt;0, "OK", "MISSING"))</f>
        <v/>
      </c>
      <c r="D29" t="str">
        <f>IF(A29="","",IF(COUNTIFS(Input!$A:$A, A29, Input!$B:$B, "Schoonmaak")&gt;0, "OK", "MISSING"))</f>
        <v/>
      </c>
      <c r="E29" t="str">
        <f t="shared" si="0"/>
        <v/>
      </c>
    </row>
    <row r="30" spans="2:5" x14ac:dyDescent="0.2">
      <c r="B30" t="str">
        <f>IF(A30="","",IF(COUNTIFS(Input!$A:$A, A30, Input!$B:$B, "Basis")&gt;0, "OK", "MISSING"))</f>
        <v/>
      </c>
      <c r="C30" t="str">
        <f>IF(A30="","",IF(COUNTIFS(Input!$A:$A, A30, Input!$B:$B, "GWE")&gt;0, "OK", "MISSING"))</f>
        <v/>
      </c>
      <c r="D30" t="str">
        <f>IF(A30="","",IF(COUNTIFS(Input!$A:$A, A30, Input!$B:$B, "Schoonmaak")&gt;0, "OK", "MISSING"))</f>
        <v/>
      </c>
      <c r="E30" t="str">
        <f t="shared" si="0"/>
        <v/>
      </c>
    </row>
    <row r="31" spans="2:5" x14ac:dyDescent="0.2">
      <c r="B31" t="str">
        <f>IF(A31="","",IF(COUNTIFS(Input!$A:$A, A31, Input!$B:$B, "Basis")&gt;0, "OK", "MISSING"))</f>
        <v/>
      </c>
      <c r="C31" t="str">
        <f>IF(A31="","",IF(COUNTIFS(Input!$A:$A, A31, Input!$B:$B, "GWE")&gt;0, "OK", "MISSING"))</f>
        <v/>
      </c>
      <c r="D31" t="str">
        <f>IF(A31="","",IF(COUNTIFS(Input!$A:$A, A31, Input!$B:$B, "Schoonmaak")&gt;0, "OK", "MISSING"))</f>
        <v/>
      </c>
      <c r="E31" t="str">
        <f t="shared" si="0"/>
        <v/>
      </c>
    </row>
    <row r="32" spans="2:5" x14ac:dyDescent="0.2">
      <c r="B32" t="str">
        <f>IF(A32="","",IF(COUNTIFS(Input!$A:$A, A32, Input!$B:$B, "Basis")&gt;0, "OK", "MISSING"))</f>
        <v/>
      </c>
      <c r="C32" t="str">
        <f>IF(A32="","",IF(COUNTIFS(Input!$A:$A, A32, Input!$B:$B, "GWE")&gt;0, "OK", "MISSING"))</f>
        <v/>
      </c>
      <c r="D32" t="str">
        <f>IF(A32="","",IF(COUNTIFS(Input!$A:$A, A32, Input!$B:$B, "Schoonmaak")&gt;0, "OK", "MISSING"))</f>
        <v/>
      </c>
      <c r="E32" t="str">
        <f t="shared" si="0"/>
        <v/>
      </c>
    </row>
    <row r="33" spans="2:5" x14ac:dyDescent="0.2">
      <c r="B33" t="str">
        <f>IF(A33="","",IF(COUNTIFS(Input!$A:$A, A33, Input!$B:$B, "Basis")&gt;0, "OK", "MISSING"))</f>
        <v/>
      </c>
      <c r="C33" t="str">
        <f>IF(A33="","",IF(COUNTIFS(Input!$A:$A, A33, Input!$B:$B, "GWE")&gt;0, "OK", "MISSING"))</f>
        <v/>
      </c>
      <c r="D33" t="str">
        <f>IF(A33="","",IF(COUNTIFS(Input!$A:$A, A33, Input!$B:$B, "Schoonmaak")&gt;0, "OK", "MISSING"))</f>
        <v/>
      </c>
      <c r="E33" t="str">
        <f t="shared" si="0"/>
        <v/>
      </c>
    </row>
    <row r="34" spans="2:5" x14ac:dyDescent="0.2">
      <c r="B34" t="str">
        <f>IF(A34="","",IF(COUNTIFS(Input!$A:$A, A34, Input!$B:$B, "Basis")&gt;0, "OK", "MISSING"))</f>
        <v/>
      </c>
      <c r="C34" t="str">
        <f>IF(A34="","",IF(COUNTIFS(Input!$A:$A, A34, Input!$B:$B, "GWE")&gt;0, "OK", "MISSING"))</f>
        <v/>
      </c>
      <c r="D34" t="str">
        <f>IF(A34="","",IF(COUNTIFS(Input!$A:$A, A34, Input!$B:$B, "Schoonmaak")&gt;0, "OK", "MISSING"))</f>
        <v/>
      </c>
      <c r="E34" t="str">
        <f t="shared" si="0"/>
        <v/>
      </c>
    </row>
    <row r="35" spans="2:5" x14ac:dyDescent="0.2">
      <c r="B35" t="str">
        <f>IF(A35="","",IF(COUNTIFS(Input!$A:$A, A35, Input!$B:$B, "Basis")&gt;0, "OK", "MISSING"))</f>
        <v/>
      </c>
      <c r="C35" t="str">
        <f>IF(A35="","",IF(COUNTIFS(Input!$A:$A, A35, Input!$B:$B, "GWE")&gt;0, "OK", "MISSING"))</f>
        <v/>
      </c>
      <c r="D35" t="str">
        <f>IF(A35="","",IF(COUNTIFS(Input!$A:$A, A35, Input!$B:$B, "Schoonmaak")&gt;0, "OK", "MISSING"))</f>
        <v/>
      </c>
      <c r="E35" t="str">
        <f t="shared" si="0"/>
        <v/>
      </c>
    </row>
    <row r="36" spans="2:5" x14ac:dyDescent="0.2">
      <c r="B36" t="str">
        <f>IF(A36="","",IF(COUNTIFS(Input!$A:$A, A36, Input!$B:$B, "Basis")&gt;0, "OK", "MISSING"))</f>
        <v/>
      </c>
      <c r="C36" t="str">
        <f>IF(A36="","",IF(COUNTIFS(Input!$A:$A, A36, Input!$B:$B, "GWE")&gt;0, "OK", "MISSING"))</f>
        <v/>
      </c>
      <c r="D36" t="str">
        <f>IF(A36="","",IF(COUNTIFS(Input!$A:$A, A36, Input!$B:$B, "Schoonmaak")&gt;0, "OK", "MISSING"))</f>
        <v/>
      </c>
      <c r="E36" t="str">
        <f t="shared" ref="E36:E67" si="1">IF(A36="","",IF(AND(B36="OK",C36="OK",D36="OK"), "✅ READY", "⚠️ INCOMPLETE"))</f>
        <v/>
      </c>
    </row>
    <row r="37" spans="2:5" x14ac:dyDescent="0.2">
      <c r="B37" t="str">
        <f>IF(A37="","",IF(COUNTIFS(Input!$A:$A, A37, Input!$B:$B, "Basis")&gt;0, "OK", "MISSING"))</f>
        <v/>
      </c>
      <c r="C37" t="str">
        <f>IF(A37="","",IF(COUNTIFS(Input!$A:$A, A37, Input!$B:$B, "GWE")&gt;0, "OK", "MISSING"))</f>
        <v/>
      </c>
      <c r="D37" t="str">
        <f>IF(A37="","",IF(COUNTIFS(Input!$A:$A, A37, Input!$B:$B, "Schoonmaak")&gt;0, "OK", "MISSING"))</f>
        <v/>
      </c>
      <c r="E37" t="str">
        <f t="shared" si="1"/>
        <v/>
      </c>
    </row>
    <row r="38" spans="2:5" x14ac:dyDescent="0.2">
      <c r="B38" t="str">
        <f>IF(A38="","",IF(COUNTIFS(Input!$A:$A, A38, Input!$B:$B, "Basis")&gt;0, "OK", "MISSING"))</f>
        <v/>
      </c>
      <c r="C38" t="str">
        <f>IF(A38="","",IF(COUNTIFS(Input!$A:$A, A38, Input!$B:$B, "GWE")&gt;0, "OK", "MISSING"))</f>
        <v/>
      </c>
      <c r="D38" t="str">
        <f>IF(A38="","",IF(COUNTIFS(Input!$A:$A, A38, Input!$B:$B, "Schoonmaak")&gt;0, "OK", "MISSING"))</f>
        <v/>
      </c>
      <c r="E38" t="str">
        <f t="shared" si="1"/>
        <v/>
      </c>
    </row>
    <row r="39" spans="2:5" x14ac:dyDescent="0.2">
      <c r="B39" t="str">
        <f>IF(A39="","",IF(COUNTIFS(Input!$A:$A, A39, Input!$B:$B, "Basis")&gt;0, "OK", "MISSING"))</f>
        <v/>
      </c>
      <c r="C39" t="str">
        <f>IF(A39="","",IF(COUNTIFS(Input!$A:$A, A39, Input!$B:$B, "GWE")&gt;0, "OK", "MISSING"))</f>
        <v/>
      </c>
      <c r="D39" t="str">
        <f>IF(A39="","",IF(COUNTIFS(Input!$A:$A, A39, Input!$B:$B, "Schoonmaak")&gt;0, "OK", "MISSING"))</f>
        <v/>
      </c>
      <c r="E39" t="str">
        <f t="shared" si="1"/>
        <v/>
      </c>
    </row>
    <row r="40" spans="2:5" x14ac:dyDescent="0.2">
      <c r="B40" t="str">
        <f>IF(A40="","",IF(COUNTIFS(Input!$A:$A, A40, Input!$B:$B, "Basis")&gt;0, "OK", "MISSING"))</f>
        <v/>
      </c>
      <c r="C40" t="str">
        <f>IF(A40="","",IF(COUNTIFS(Input!$A:$A, A40, Input!$B:$B, "GWE")&gt;0, "OK", "MISSING"))</f>
        <v/>
      </c>
      <c r="D40" t="str">
        <f>IF(A40="","",IF(COUNTIFS(Input!$A:$A, A40, Input!$B:$B, "Schoonmaak")&gt;0, "OK", "MISSING"))</f>
        <v/>
      </c>
      <c r="E40" t="str">
        <f t="shared" si="1"/>
        <v/>
      </c>
    </row>
    <row r="41" spans="2:5" x14ac:dyDescent="0.2">
      <c r="B41" t="str">
        <f>IF(A41="","",IF(COUNTIFS(Input!$A:$A, A41, Input!$B:$B, "Basis")&gt;0, "OK", "MISSING"))</f>
        <v/>
      </c>
      <c r="C41" t="str">
        <f>IF(A41="","",IF(COUNTIFS(Input!$A:$A, A41, Input!$B:$B, "GWE")&gt;0, "OK", "MISSING"))</f>
        <v/>
      </c>
      <c r="D41" t="str">
        <f>IF(A41="","",IF(COUNTIFS(Input!$A:$A, A41, Input!$B:$B, "Schoonmaak")&gt;0, "OK", "MISSING"))</f>
        <v/>
      </c>
      <c r="E41" t="str">
        <f t="shared" si="1"/>
        <v/>
      </c>
    </row>
    <row r="42" spans="2:5" x14ac:dyDescent="0.2">
      <c r="B42" t="str">
        <f>IF(A42="","",IF(COUNTIFS(Input!$A:$A, A42, Input!$B:$B, "Basis")&gt;0, "OK", "MISSING"))</f>
        <v/>
      </c>
      <c r="C42" t="str">
        <f>IF(A42="","",IF(COUNTIFS(Input!$A:$A, A42, Input!$B:$B, "GWE")&gt;0, "OK", "MISSING"))</f>
        <v/>
      </c>
      <c r="D42" t="str">
        <f>IF(A42="","",IF(COUNTIFS(Input!$A:$A, A42, Input!$B:$B, "Schoonmaak")&gt;0, "OK", "MISSING"))</f>
        <v/>
      </c>
      <c r="E42" t="str">
        <f t="shared" si="1"/>
        <v/>
      </c>
    </row>
    <row r="43" spans="2:5" x14ac:dyDescent="0.2">
      <c r="B43" t="str">
        <f>IF(A43="","",IF(COUNTIFS(Input!$A:$A, A43, Input!$B:$B, "Basis")&gt;0, "OK", "MISSING"))</f>
        <v/>
      </c>
      <c r="C43" t="str">
        <f>IF(A43="","",IF(COUNTIFS(Input!$A:$A, A43, Input!$B:$B, "GWE")&gt;0, "OK", "MISSING"))</f>
        <v/>
      </c>
      <c r="D43" t="str">
        <f>IF(A43="","",IF(COUNTIFS(Input!$A:$A, A43, Input!$B:$B, "Schoonmaak")&gt;0, "OK", "MISSING"))</f>
        <v/>
      </c>
      <c r="E43" t="str">
        <f t="shared" si="1"/>
        <v/>
      </c>
    </row>
    <row r="44" spans="2:5" x14ac:dyDescent="0.2">
      <c r="B44" t="str">
        <f>IF(A44="","",IF(COUNTIFS(Input!$A:$A, A44, Input!$B:$B, "Basis")&gt;0, "OK", "MISSING"))</f>
        <v/>
      </c>
      <c r="C44" t="str">
        <f>IF(A44="","",IF(COUNTIFS(Input!$A:$A, A44, Input!$B:$B, "GWE")&gt;0, "OK", "MISSING"))</f>
        <v/>
      </c>
      <c r="D44" t="str">
        <f>IF(A44="","",IF(COUNTIFS(Input!$A:$A, A44, Input!$B:$B, "Schoonmaak")&gt;0, "OK", "MISSING"))</f>
        <v/>
      </c>
      <c r="E44" t="str">
        <f t="shared" si="1"/>
        <v/>
      </c>
    </row>
    <row r="45" spans="2:5" x14ac:dyDescent="0.2">
      <c r="B45" t="str">
        <f>IF(A45="","",IF(COUNTIFS(Input!$A:$A, A45, Input!$B:$B, "Basis")&gt;0, "OK", "MISSING"))</f>
        <v/>
      </c>
      <c r="C45" t="str">
        <f>IF(A45="","",IF(COUNTIFS(Input!$A:$A, A45, Input!$B:$B, "GWE")&gt;0, "OK", "MISSING"))</f>
        <v/>
      </c>
      <c r="D45" t="str">
        <f>IF(A45="","",IF(COUNTIFS(Input!$A:$A, A45, Input!$B:$B, "Schoonmaak")&gt;0, "OK", "MISSING"))</f>
        <v/>
      </c>
      <c r="E45" t="str">
        <f t="shared" si="1"/>
        <v/>
      </c>
    </row>
    <row r="46" spans="2:5" x14ac:dyDescent="0.2">
      <c r="B46" t="str">
        <f>IF(A46="","",IF(COUNTIFS(Input!$A:$A, A46, Input!$B:$B, "Basis")&gt;0, "OK", "MISSING"))</f>
        <v/>
      </c>
      <c r="C46" t="str">
        <f>IF(A46="","",IF(COUNTIFS(Input!$A:$A, A46, Input!$B:$B, "GWE")&gt;0, "OK", "MISSING"))</f>
        <v/>
      </c>
      <c r="D46" t="str">
        <f>IF(A46="","",IF(COUNTIFS(Input!$A:$A, A46, Input!$B:$B, "Schoonmaak")&gt;0, "OK", "MISSING"))</f>
        <v/>
      </c>
      <c r="E46" t="str">
        <f t="shared" si="1"/>
        <v/>
      </c>
    </row>
    <row r="47" spans="2:5" x14ac:dyDescent="0.2">
      <c r="B47" t="str">
        <f>IF(A47="","",IF(COUNTIFS(Input!$A:$A, A47, Input!$B:$B, "Basis")&gt;0, "OK", "MISSING"))</f>
        <v/>
      </c>
      <c r="C47" t="str">
        <f>IF(A47="","",IF(COUNTIFS(Input!$A:$A, A47, Input!$B:$B, "GWE")&gt;0, "OK", "MISSING"))</f>
        <v/>
      </c>
      <c r="D47" t="str">
        <f>IF(A47="","",IF(COUNTIFS(Input!$A:$A, A47, Input!$B:$B, "Schoonmaak")&gt;0, "OK", "MISSING"))</f>
        <v/>
      </c>
      <c r="E47" t="str">
        <f t="shared" si="1"/>
        <v/>
      </c>
    </row>
    <row r="48" spans="2:5" x14ac:dyDescent="0.2">
      <c r="B48" t="str">
        <f>IF(A48="","",IF(COUNTIFS(Input!$A:$A, A48, Input!$B:$B, "Basis")&gt;0, "OK", "MISSING"))</f>
        <v/>
      </c>
      <c r="C48" t="str">
        <f>IF(A48="","",IF(COUNTIFS(Input!$A:$A, A48, Input!$B:$B, "GWE")&gt;0, "OK", "MISSING"))</f>
        <v/>
      </c>
      <c r="D48" t="str">
        <f>IF(A48="","",IF(COUNTIFS(Input!$A:$A, A48, Input!$B:$B, "Schoonmaak")&gt;0, "OK", "MISSING"))</f>
        <v/>
      </c>
      <c r="E48" t="str">
        <f t="shared" si="1"/>
        <v/>
      </c>
    </row>
    <row r="49" spans="2:5" x14ac:dyDescent="0.2">
      <c r="B49" t="str">
        <f>IF(A49="","",IF(COUNTIFS(Input!$A:$A, A49, Input!$B:$B, "Basis")&gt;0, "OK", "MISSING"))</f>
        <v/>
      </c>
      <c r="C49" t="str">
        <f>IF(A49="","",IF(COUNTIFS(Input!$A:$A, A49, Input!$B:$B, "GWE")&gt;0, "OK", "MISSING"))</f>
        <v/>
      </c>
      <c r="D49" t="str">
        <f>IF(A49="","",IF(COUNTIFS(Input!$A:$A, A49, Input!$B:$B, "Schoonmaak")&gt;0, "OK", "MISSING"))</f>
        <v/>
      </c>
      <c r="E49" t="str">
        <f t="shared" si="1"/>
        <v/>
      </c>
    </row>
    <row r="50" spans="2:5" x14ac:dyDescent="0.2">
      <c r="B50" t="str">
        <f>IF(A50="","",IF(COUNTIFS(Input!$A:$A, A50, Input!$B:$B, "Basis")&gt;0, "OK", "MISSING"))</f>
        <v/>
      </c>
      <c r="C50" t="str">
        <f>IF(A50="","",IF(COUNTIFS(Input!$A:$A, A50, Input!$B:$B, "GWE")&gt;0, "OK", "MISSING"))</f>
        <v/>
      </c>
      <c r="D50" t="str">
        <f>IF(A50="","",IF(COUNTIFS(Input!$A:$A, A50, Input!$B:$B, "Schoonmaak")&gt;0, "OK", "MISSING"))</f>
        <v/>
      </c>
      <c r="E50" t="str">
        <f t="shared" si="1"/>
        <v/>
      </c>
    </row>
    <row r="51" spans="2:5" x14ac:dyDescent="0.2">
      <c r="B51" t="str">
        <f>IF(A51="","",IF(COUNTIFS(Input!$A:$A, A51, Input!$B:$B, "Basis")&gt;0, "OK", "MISSING"))</f>
        <v/>
      </c>
      <c r="C51" t="str">
        <f>IF(A51="","",IF(COUNTIFS(Input!$A:$A, A51, Input!$B:$B, "GWE")&gt;0, "OK", "MISSING"))</f>
        <v/>
      </c>
      <c r="D51" t="str">
        <f>IF(A51="","",IF(COUNTIFS(Input!$A:$A, A51, Input!$B:$B, "Schoonmaak")&gt;0, "OK", "MISSING"))</f>
        <v/>
      </c>
      <c r="E51" t="str">
        <f t="shared" si="1"/>
        <v/>
      </c>
    </row>
    <row r="52" spans="2:5" x14ac:dyDescent="0.2">
      <c r="B52" t="str">
        <f>IF(A52="","",IF(COUNTIFS(Input!$A:$A, A52, Input!$B:$B, "Basis")&gt;0, "OK", "MISSING"))</f>
        <v/>
      </c>
      <c r="C52" t="str">
        <f>IF(A52="","",IF(COUNTIFS(Input!$A:$A, A52, Input!$B:$B, "GWE")&gt;0, "OK", "MISSING"))</f>
        <v/>
      </c>
      <c r="D52" t="str">
        <f>IF(A52="","",IF(COUNTIFS(Input!$A:$A, A52, Input!$B:$B, "Schoonmaak")&gt;0, "OK", "MISSING"))</f>
        <v/>
      </c>
      <c r="E52" t="str">
        <f t="shared" si="1"/>
        <v/>
      </c>
    </row>
    <row r="53" spans="2:5" x14ac:dyDescent="0.2">
      <c r="B53" t="str">
        <f>IF(A53="","",IF(COUNTIFS(Input!$A:$A, A53, Input!$B:$B, "Basis")&gt;0, "OK", "MISSING"))</f>
        <v/>
      </c>
      <c r="C53" t="str">
        <f>IF(A53="","",IF(COUNTIFS(Input!$A:$A, A53, Input!$B:$B, "GWE")&gt;0, "OK", "MISSING"))</f>
        <v/>
      </c>
      <c r="D53" t="str">
        <f>IF(A53="","",IF(COUNTIFS(Input!$A:$A, A53, Input!$B:$B, "Schoonmaak")&gt;0, "OK", "MISSING"))</f>
        <v/>
      </c>
      <c r="E53" t="str">
        <f t="shared" si="1"/>
        <v/>
      </c>
    </row>
  </sheetData>
  <conditionalFormatting sqref="B4:D54">
    <cfRule type="expression" dxfId="7" priority="3" stopIfTrue="1">
      <formula>B4="MISSING"</formula>
    </cfRule>
    <cfRule type="expression" dxfId="6" priority="4" stopIfTrue="1">
      <formula>B4="OK"</formula>
    </cfRule>
  </conditionalFormatting>
  <conditionalFormatting sqref="E4:E54">
    <cfRule type="expression" dxfId="5" priority="1" stopIfTrue="1">
      <formula>E4="✅ READY"</formula>
    </cfRule>
    <cfRule type="expression" dxfId="4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01"/>
  <sheetViews>
    <sheetView workbookViewId="0">
      <pane ySplit="1" topLeftCell="A2" activePane="bottomLeft" state="frozen"/>
      <selection pane="bottomLeft" activeCell="H29" sqref="H29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20" width="15" customWidth="1"/>
    <col min="21" max="21" width="30" customWidth="1"/>
    <col min="22" max="36" width="15" customWidth="1"/>
    <col min="37" max="37" width="30" customWidth="1"/>
    <col min="38" max="43" width="15" customWidth="1"/>
  </cols>
  <sheetData>
    <row r="1" spans="1:43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17</v>
      </c>
      <c r="AG1" s="6" t="s">
        <v>36</v>
      </c>
      <c r="AH1" s="6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35</v>
      </c>
      <c r="AO1" s="7" t="s">
        <v>17</v>
      </c>
      <c r="AP1" s="7" t="s">
        <v>36</v>
      </c>
      <c r="AQ1" s="7" t="s">
        <v>37</v>
      </c>
    </row>
    <row r="2" spans="1:43" x14ac:dyDescent="0.2">
      <c r="A2" t="s">
        <v>50</v>
      </c>
      <c r="D2" s="8" t="str">
        <f>IF(A2="","",VLOOKUP(A2,Lists!$A:$B,2,FALSE))</f>
        <v>OBJ-001</v>
      </c>
      <c r="E2" s="8" t="str">
        <f>IF(C2="","",VLOOKUP(C2,Lists!$C:$D,2,FALSE))</f>
        <v/>
      </c>
      <c r="F2" s="8"/>
      <c r="G2" s="8"/>
      <c r="J2" s="9">
        <f>IF(A2="","",IFERROR(VLOOKUP(A2,Lists!$A:$H,8,FALSE),0))</f>
        <v>500</v>
      </c>
      <c r="L2" s="9">
        <f>IF(A2="","",IFERROR(VLOOKUP(A2,Lists!$A:$H,7,FALSE),0))</f>
        <v>50</v>
      </c>
      <c r="M2" s="10">
        <v>0.21</v>
      </c>
      <c r="N2" s="11">
        <f t="shared" ref="N2:N33" si="0">L2 * (1 + M2)</f>
        <v>60.5</v>
      </c>
      <c r="O2" s="11">
        <f>IF(K2="Eigen Beheer",0,IF(AND(ISNUMBER(N2),I2&lt;&gt;"",H2&lt;&gt;""),ROUND((I2-H2)/Lists!$Q$2,2)*N2,0))</f>
        <v>0</v>
      </c>
      <c r="R2" s="12" t="str">
        <f>IF(Q2="","",VLOOKUP(Q2,Lists!$E:$F,2,FALSE))</f>
        <v/>
      </c>
      <c r="AD2" s="9">
        <v>50</v>
      </c>
      <c r="AE2" s="11" t="str">
        <f t="shared" ref="AE2:AE33" si="1">IF(AB2="","",IF(ISNUMBER(SEARCH("Basis",AB2)),(250/1.21)+MAX(0,AC2-5)*AD2,IF(ISNUMBER(SEARCH("Intensief",AB2)),(375/1.21)+MAX(0,AC2-7)*AD2,AC2*AD2)))</f>
        <v/>
      </c>
      <c r="AF2" s="13">
        <v>0.21</v>
      </c>
      <c r="AG2" s="11" t="str">
        <f t="shared" ref="AG2:AG33" si="2">IF(AE2&lt;&gt;"",AE2*AF2,"")</f>
        <v/>
      </c>
      <c r="AH2" s="11" t="str">
        <f t="shared" ref="AH2:AH33" si="3">IF(AE2&lt;&gt;"",AE2+AG2,"")</f>
        <v/>
      </c>
      <c r="AL2" t="str">
        <f t="shared" ref="AL2:AL33" si="4"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 t="str">
        <f t="shared" ref="AN2:AN33" si="5">IF(AND(AL2&lt;&gt;"",AM2&lt;&gt;""),AL2*AM2,"")</f>
        <v/>
      </c>
      <c r="AO2" s="13"/>
      <c r="AP2" s="11" t="str">
        <f t="shared" ref="AP2:AP33" si="6">IF(AND(AN2&lt;&gt;"",AO2&lt;&gt;""),AN2*AO2,"")</f>
        <v/>
      </c>
      <c r="AQ2" s="11" t="str">
        <f t="shared" ref="AQ2:AQ33" si="7">IF(AND(AN2&lt;&gt;"",AP2&lt;&gt;""),AN2+AP2,"")</f>
        <v/>
      </c>
    </row>
    <row r="3" spans="1:43" x14ac:dyDescent="0.2">
      <c r="D3" s="8" t="str">
        <f>IF(A3="","",VLOOKUP(A3,Lists!$A:$B,2,FALSE))</f>
        <v/>
      </c>
      <c r="E3" s="8" t="str">
        <f>IF(C3="","",VLOOKUP(C3,Lists!$C:$D,2,FALSE))</f>
        <v/>
      </c>
      <c r="F3" s="8"/>
      <c r="G3" s="8"/>
      <c r="J3" s="9" t="str">
        <f>IF(A3="","",IFERROR(VLOOKUP(A3,Lists!$A:$H,8,FALSE),0))</f>
        <v/>
      </c>
      <c r="L3" s="9" t="str">
        <f>IF(A3="","",IFERROR(VLOOKUP(A3,Lists!$A:$H,7,FALSE),0))</f>
        <v/>
      </c>
      <c r="M3" s="10">
        <v>0.21</v>
      </c>
      <c r="N3" s="11" t="e">
        <f t="shared" si="0"/>
        <v>#VALUE!</v>
      </c>
      <c r="O3" s="11">
        <f>IF(K3="Eigen Beheer",0,IF(AND(ISNUMBER(N3),I3&lt;&gt;"",H3&lt;&gt;""),ROUND((I3-H3)/Lists!$Q$2,2)*N3,0))</f>
        <v>0</v>
      </c>
      <c r="R3" s="12" t="str">
        <f>IF(Q3="","",VLOOKUP(Q3,Lists!$E:$F,2,FALSE))</f>
        <v/>
      </c>
      <c r="AD3" s="9">
        <v>50</v>
      </c>
      <c r="AE3" s="11" t="str">
        <f t="shared" si="1"/>
        <v/>
      </c>
      <c r="AF3" s="13">
        <v>0.21</v>
      </c>
      <c r="AG3" s="11" t="str">
        <f t="shared" si="2"/>
        <v/>
      </c>
      <c r="AH3" s="11" t="str">
        <f t="shared" si="3"/>
        <v/>
      </c>
      <c r="AL3" t="str">
        <f t="shared" si="4"/>
        <v/>
      </c>
      <c r="AN3" s="11" t="str">
        <f t="shared" si="5"/>
        <v/>
      </c>
      <c r="AO3" s="13"/>
      <c r="AP3" s="11" t="str">
        <f t="shared" si="6"/>
        <v/>
      </c>
      <c r="AQ3" s="11" t="str">
        <f t="shared" si="7"/>
        <v/>
      </c>
    </row>
    <row r="4" spans="1:43" x14ac:dyDescent="0.2">
      <c r="D4" s="8" t="str">
        <f>IF(A4="","",VLOOKUP(A4,Lists!$A:$B,2,FALSE))</f>
        <v/>
      </c>
      <c r="E4" s="8" t="str">
        <f>IF(C4="","",VLOOKUP(C4,Lists!$C:$D,2,FALSE))</f>
        <v/>
      </c>
      <c r="F4" s="8"/>
      <c r="G4" s="8"/>
      <c r="J4" s="9" t="str">
        <f>IF(A4="","",IFERROR(VLOOKUP(A4,Lists!$A:$H,8,FALSE),0))</f>
        <v/>
      </c>
      <c r="L4" s="9" t="str">
        <f>IF(A4="","",IFERROR(VLOOKUP(A4,Lists!$A:$H,7,FALSE),0))</f>
        <v/>
      </c>
      <c r="M4" s="10">
        <v>0.21</v>
      </c>
      <c r="N4" s="11" t="e">
        <f t="shared" si="0"/>
        <v>#VALUE!</v>
      </c>
      <c r="O4" s="11">
        <f>IF(K4="Eigen Beheer",0,IF(AND(ISNUMBER(N4),I4&lt;&gt;"",H4&lt;&gt;""),ROUND((I4-H4)/Lists!$Q$2,2)*N4,0))</f>
        <v>0</v>
      </c>
      <c r="R4" s="12" t="str">
        <f>IF(Q4="","",VLOOKUP(Q4,Lists!$E:$F,2,FALSE))</f>
        <v/>
      </c>
      <c r="AD4" s="9">
        <v>50</v>
      </c>
      <c r="AE4" s="11" t="str">
        <f t="shared" si="1"/>
        <v/>
      </c>
      <c r="AF4" s="13">
        <v>0.21</v>
      </c>
      <c r="AG4" s="11" t="str">
        <f t="shared" si="2"/>
        <v/>
      </c>
      <c r="AH4" s="11" t="str">
        <f t="shared" si="3"/>
        <v/>
      </c>
      <c r="AL4" t="str">
        <f t="shared" si="4"/>
        <v/>
      </c>
      <c r="AN4" s="11" t="str">
        <f t="shared" si="5"/>
        <v/>
      </c>
      <c r="AO4" s="13"/>
      <c r="AP4" s="11" t="str">
        <f t="shared" si="6"/>
        <v/>
      </c>
      <c r="AQ4" s="11" t="str">
        <f t="shared" si="7"/>
        <v/>
      </c>
    </row>
    <row r="5" spans="1:43" x14ac:dyDescent="0.2">
      <c r="D5" s="8" t="str">
        <f>IF(A5="","",VLOOKUP(A5,Lists!$A:$B,2,FALSE))</f>
        <v/>
      </c>
      <c r="E5" s="8" t="str">
        <f>IF(C5="","",VLOOKUP(C5,Lists!$C:$D,2,FALSE))</f>
        <v/>
      </c>
      <c r="F5" s="8"/>
      <c r="G5" s="8"/>
      <c r="J5" s="9" t="str">
        <f>IF(A5="","",IFERROR(VLOOKUP(A5,Lists!$A:$H,8,FALSE),0))</f>
        <v/>
      </c>
      <c r="L5" s="9" t="str">
        <f>IF(A5="","",IFERROR(VLOOKUP(A5,Lists!$A:$H,7,FALSE),0))</f>
        <v/>
      </c>
      <c r="M5" s="10">
        <v>0.21</v>
      </c>
      <c r="N5" s="11" t="e">
        <f t="shared" si="0"/>
        <v>#VALUE!</v>
      </c>
      <c r="O5" s="11">
        <f>IF(K5="Eigen Beheer",0,IF(AND(ISNUMBER(N5),I5&lt;&gt;"",H5&lt;&gt;""),ROUND((I5-H5)/Lists!$Q$2,2)*N5,0))</f>
        <v>0</v>
      </c>
      <c r="R5" s="12" t="str">
        <f>IF(Q5="","",VLOOKUP(Q5,Lists!$E:$F,2,FALSE))</f>
        <v/>
      </c>
      <c r="AD5" s="9">
        <v>50</v>
      </c>
      <c r="AE5" s="11" t="str">
        <f t="shared" si="1"/>
        <v/>
      </c>
      <c r="AF5" s="13">
        <v>0.21</v>
      </c>
      <c r="AG5" s="11" t="str">
        <f t="shared" si="2"/>
        <v/>
      </c>
      <c r="AH5" s="11" t="str">
        <f t="shared" si="3"/>
        <v/>
      </c>
      <c r="AL5" t="str">
        <f t="shared" si="4"/>
        <v/>
      </c>
      <c r="AN5" s="11" t="str">
        <f t="shared" si="5"/>
        <v/>
      </c>
      <c r="AO5" s="13"/>
      <c r="AP5" s="11" t="str">
        <f t="shared" si="6"/>
        <v/>
      </c>
      <c r="AQ5" s="11" t="str">
        <f t="shared" si="7"/>
        <v/>
      </c>
    </row>
    <row r="6" spans="1:43" x14ac:dyDescent="0.2">
      <c r="D6" s="8" t="str">
        <f>IF(A6="","",VLOOKUP(A6,Lists!$A:$B,2,FALSE))</f>
        <v/>
      </c>
      <c r="E6" s="8" t="str">
        <f>IF(C6="","",VLOOKUP(C6,Lists!$C:$D,2,FALSE))</f>
        <v/>
      </c>
      <c r="F6" s="8"/>
      <c r="G6" s="8"/>
      <c r="J6" s="9" t="str">
        <f>IF(A6="","",IFERROR(VLOOKUP(A6,Lists!$A:$H,8,FALSE),0))</f>
        <v/>
      </c>
      <c r="L6" s="9" t="str">
        <f>IF(A6="","",IFERROR(VLOOKUP(A6,Lists!$A:$H,7,FALSE),0))</f>
        <v/>
      </c>
      <c r="M6" s="10">
        <v>0.21</v>
      </c>
      <c r="N6" s="11" t="e">
        <f t="shared" si="0"/>
        <v>#VALUE!</v>
      </c>
      <c r="O6" s="11">
        <f>IF(K6="Eigen Beheer",0,IF(AND(ISNUMBER(N6),I6&lt;&gt;"",H6&lt;&gt;""),ROUND((I6-H6)/Lists!$Q$2,2)*N6,0))</f>
        <v>0</v>
      </c>
      <c r="R6" s="12" t="str">
        <f>IF(Q6="","",VLOOKUP(Q6,Lists!$E:$F,2,FALSE))</f>
        <v/>
      </c>
      <c r="AD6" s="9">
        <v>50</v>
      </c>
      <c r="AE6" s="11" t="str">
        <f t="shared" si="1"/>
        <v/>
      </c>
      <c r="AF6" s="13">
        <v>0.21</v>
      </c>
      <c r="AG6" s="11" t="str">
        <f t="shared" si="2"/>
        <v/>
      </c>
      <c r="AH6" s="11" t="str">
        <f t="shared" si="3"/>
        <v/>
      </c>
      <c r="AL6" t="str">
        <f t="shared" si="4"/>
        <v/>
      </c>
      <c r="AN6" s="11" t="str">
        <f t="shared" si="5"/>
        <v/>
      </c>
      <c r="AO6" s="13"/>
      <c r="AP6" s="11" t="str">
        <f t="shared" si="6"/>
        <v/>
      </c>
      <c r="AQ6" s="11" t="str">
        <f t="shared" si="7"/>
        <v/>
      </c>
    </row>
    <row r="7" spans="1:43" x14ac:dyDescent="0.2">
      <c r="D7" s="8" t="str">
        <f>IF(A7="","",VLOOKUP(A7,Lists!$A:$B,2,FALSE))</f>
        <v/>
      </c>
      <c r="E7" s="8" t="str">
        <f>IF(C7="","",VLOOKUP(C7,Lists!$C:$D,2,FALSE))</f>
        <v/>
      </c>
      <c r="F7" s="8"/>
      <c r="G7" s="8"/>
      <c r="J7" s="9" t="str">
        <f>IF(A7="","",IFERROR(VLOOKUP(A7,Lists!$A:$H,8,FALSE),0))</f>
        <v/>
      </c>
      <c r="L7" s="9" t="str">
        <f>IF(A7="","",IFERROR(VLOOKUP(A7,Lists!$A:$H,7,FALSE),0))</f>
        <v/>
      </c>
      <c r="M7" s="10">
        <v>0.21</v>
      </c>
      <c r="N7" s="11" t="e">
        <f t="shared" si="0"/>
        <v>#VALUE!</v>
      </c>
      <c r="O7" s="11">
        <f>IF(K7="Eigen Beheer",0,IF(AND(ISNUMBER(N7),I7&lt;&gt;"",H7&lt;&gt;""),ROUND((I7-H7)/Lists!$Q$2,2)*N7,0))</f>
        <v>0</v>
      </c>
      <c r="R7" s="12" t="str">
        <f>IF(Q7="","",VLOOKUP(Q7,Lists!$E:$F,2,FALSE))</f>
        <v/>
      </c>
      <c r="AD7" s="9">
        <v>50</v>
      </c>
      <c r="AE7" s="11" t="str">
        <f t="shared" si="1"/>
        <v/>
      </c>
      <c r="AF7" s="13">
        <v>0.21</v>
      </c>
      <c r="AG7" s="11" t="str">
        <f t="shared" si="2"/>
        <v/>
      </c>
      <c r="AH7" s="11" t="str">
        <f t="shared" si="3"/>
        <v/>
      </c>
      <c r="AL7" t="str">
        <f t="shared" si="4"/>
        <v/>
      </c>
      <c r="AN7" s="11" t="str">
        <f t="shared" si="5"/>
        <v/>
      </c>
      <c r="AO7" s="13"/>
      <c r="AP7" s="11" t="str">
        <f t="shared" si="6"/>
        <v/>
      </c>
      <c r="AQ7" s="11" t="str">
        <f t="shared" si="7"/>
        <v/>
      </c>
    </row>
    <row r="8" spans="1:43" x14ac:dyDescent="0.2">
      <c r="D8" s="8" t="str">
        <f>IF(A8="","",VLOOKUP(A8,Lists!$A:$B,2,FALSE))</f>
        <v/>
      </c>
      <c r="E8" s="8" t="str">
        <f>IF(C8="","",VLOOKUP(C8,Lists!$C:$D,2,FALSE))</f>
        <v/>
      </c>
      <c r="F8" s="8"/>
      <c r="G8" s="8"/>
      <c r="J8" s="9" t="str">
        <f>IF(A8="","",IFERROR(VLOOKUP(A8,Lists!$A:$H,8,FALSE),0))</f>
        <v/>
      </c>
      <c r="L8" s="9" t="str">
        <f>IF(A8="","",IFERROR(VLOOKUP(A8,Lists!$A:$H,7,FALSE),0))</f>
        <v/>
      </c>
      <c r="M8" s="10">
        <v>0.21</v>
      </c>
      <c r="N8" s="11" t="e">
        <f t="shared" si="0"/>
        <v>#VALUE!</v>
      </c>
      <c r="O8" s="11">
        <f>IF(K8="Eigen Beheer",0,IF(AND(ISNUMBER(N8),I8&lt;&gt;"",H8&lt;&gt;""),ROUND((I8-H8)/Lists!$Q$2,2)*N8,0))</f>
        <v>0</v>
      </c>
      <c r="R8" s="12" t="str">
        <f>IF(Q8="","",VLOOKUP(Q8,Lists!$E:$F,2,FALSE))</f>
        <v/>
      </c>
      <c r="AD8" s="9">
        <v>50</v>
      </c>
      <c r="AE8" s="11" t="str">
        <f t="shared" si="1"/>
        <v/>
      </c>
      <c r="AF8" s="13">
        <v>0.21</v>
      </c>
      <c r="AG8" s="11" t="str">
        <f t="shared" si="2"/>
        <v/>
      </c>
      <c r="AH8" s="11" t="str">
        <f t="shared" si="3"/>
        <v/>
      </c>
      <c r="AL8" t="str">
        <f t="shared" si="4"/>
        <v/>
      </c>
      <c r="AN8" s="11" t="str">
        <f t="shared" si="5"/>
        <v/>
      </c>
      <c r="AO8" s="13"/>
      <c r="AP8" s="11" t="str">
        <f t="shared" si="6"/>
        <v/>
      </c>
      <c r="AQ8" s="11" t="str">
        <f t="shared" si="7"/>
        <v/>
      </c>
    </row>
    <row r="9" spans="1:43" x14ac:dyDescent="0.2">
      <c r="D9" s="8" t="str">
        <f>IF(A9="","",VLOOKUP(A9,Lists!$A:$B,2,FALSE))</f>
        <v/>
      </c>
      <c r="E9" s="8" t="str">
        <f>IF(C9="","",VLOOKUP(C9,Lists!$C:$D,2,FALSE))</f>
        <v/>
      </c>
      <c r="F9" s="8"/>
      <c r="G9" s="8"/>
      <c r="J9" s="9" t="str">
        <f>IF(A9="","",IFERROR(VLOOKUP(A9,Lists!$A:$H,8,FALSE),0))</f>
        <v/>
      </c>
      <c r="L9" s="9" t="str">
        <f>IF(A9="","",IFERROR(VLOOKUP(A9,Lists!$A:$H,7,FALSE),0))</f>
        <v/>
      </c>
      <c r="M9" s="10">
        <v>0.21</v>
      </c>
      <c r="N9" s="11" t="e">
        <f t="shared" si="0"/>
        <v>#VALUE!</v>
      </c>
      <c r="O9" s="11">
        <f>IF(K9="Eigen Beheer",0,IF(AND(ISNUMBER(N9),I9&lt;&gt;"",H9&lt;&gt;""),ROUND((I9-H9)/Lists!$Q$2,2)*N9,0))</f>
        <v>0</v>
      </c>
      <c r="R9" s="12" t="str">
        <f>IF(Q9="","",VLOOKUP(Q9,Lists!$E:$F,2,FALSE))</f>
        <v/>
      </c>
      <c r="AD9" s="9">
        <v>50</v>
      </c>
      <c r="AE9" s="11" t="str">
        <f t="shared" si="1"/>
        <v/>
      </c>
      <c r="AF9" s="13">
        <v>0.21</v>
      </c>
      <c r="AG9" s="11" t="str">
        <f t="shared" si="2"/>
        <v/>
      </c>
      <c r="AH9" s="11" t="str">
        <f t="shared" si="3"/>
        <v/>
      </c>
      <c r="AL9" t="str">
        <f t="shared" si="4"/>
        <v/>
      </c>
      <c r="AN9" s="11" t="str">
        <f t="shared" si="5"/>
        <v/>
      </c>
      <c r="AO9" s="13"/>
      <c r="AP9" s="11" t="str">
        <f t="shared" si="6"/>
        <v/>
      </c>
      <c r="AQ9" s="11" t="str">
        <f t="shared" si="7"/>
        <v/>
      </c>
    </row>
    <row r="10" spans="1:43" x14ac:dyDescent="0.2">
      <c r="D10" s="8" t="str">
        <f>IF(A10="","",VLOOKUP(A10,Lists!$A:$B,2,FALSE))</f>
        <v/>
      </c>
      <c r="E10" s="8" t="str">
        <f>IF(C10="","",VLOOKUP(C10,Lists!$C:$D,2,FALSE))</f>
        <v/>
      </c>
      <c r="F10" s="8"/>
      <c r="G10" s="8"/>
      <c r="J10" s="9" t="str">
        <f>IF(A10="","",IFERROR(VLOOKUP(A10,Lists!$A:$H,8,FALSE),0))</f>
        <v/>
      </c>
      <c r="L10" s="9" t="str">
        <f>IF(A10="","",IFERROR(VLOOKUP(A10,Lists!$A:$H,7,FALSE),0))</f>
        <v/>
      </c>
      <c r="M10" s="10">
        <v>0.21</v>
      </c>
      <c r="N10" s="11" t="e">
        <f t="shared" si="0"/>
        <v>#VALUE!</v>
      </c>
      <c r="O10" s="11">
        <f>IF(K10="Eigen Beheer",0,IF(AND(ISNUMBER(N10),I10&lt;&gt;"",H10&lt;&gt;""),ROUND((I10-H10)/Lists!$Q$2,2)*N10,0))</f>
        <v>0</v>
      </c>
      <c r="R10" s="12" t="str">
        <f>IF(Q10="","",VLOOKUP(Q10,Lists!$E:$F,2,FALSE))</f>
        <v/>
      </c>
      <c r="AD10" s="9">
        <v>50</v>
      </c>
      <c r="AE10" s="11" t="str">
        <f t="shared" si="1"/>
        <v/>
      </c>
      <c r="AF10" s="13">
        <v>0.21</v>
      </c>
      <c r="AG10" s="11" t="str">
        <f t="shared" si="2"/>
        <v/>
      </c>
      <c r="AH10" s="11" t="str">
        <f t="shared" si="3"/>
        <v/>
      </c>
      <c r="AL10" t="str">
        <f t="shared" si="4"/>
        <v/>
      </c>
      <c r="AN10" s="11" t="str">
        <f t="shared" si="5"/>
        <v/>
      </c>
      <c r="AO10" s="13"/>
      <c r="AP10" s="11" t="str">
        <f t="shared" si="6"/>
        <v/>
      </c>
      <c r="AQ10" s="11" t="str">
        <f t="shared" si="7"/>
        <v/>
      </c>
    </row>
    <row r="11" spans="1:43" x14ac:dyDescent="0.2">
      <c r="D11" s="8" t="str">
        <f>IF(A11="","",VLOOKUP(A11,Lists!$A:$B,2,FALSE))</f>
        <v/>
      </c>
      <c r="E11" s="8" t="str">
        <f>IF(C11="","",VLOOKUP(C11,Lists!$C:$D,2,FALSE))</f>
        <v/>
      </c>
      <c r="F11" s="8"/>
      <c r="G11" s="8"/>
      <c r="J11" s="9" t="str">
        <f>IF(A11="","",IFERROR(VLOOKUP(A11,Lists!$A:$H,8,FALSE),0))</f>
        <v/>
      </c>
      <c r="L11" s="9" t="str">
        <f>IF(A11="","",IFERROR(VLOOKUP(A11,Lists!$A:$H,7,FALSE),0))</f>
        <v/>
      </c>
      <c r="M11" s="10">
        <v>0.21</v>
      </c>
      <c r="N11" s="11" t="e">
        <f t="shared" si="0"/>
        <v>#VALUE!</v>
      </c>
      <c r="O11" s="11">
        <f>IF(K11="Eigen Beheer",0,IF(AND(ISNUMBER(N11),I11&lt;&gt;"",H11&lt;&gt;""),ROUND((I11-H11)/Lists!$Q$2,2)*N11,0))</f>
        <v>0</v>
      </c>
      <c r="R11" s="12" t="str">
        <f>IF(Q11="","",VLOOKUP(Q11,Lists!$E:$F,2,FALSE))</f>
        <v/>
      </c>
      <c r="AD11" s="9">
        <v>50</v>
      </c>
      <c r="AE11" s="11" t="str">
        <f t="shared" si="1"/>
        <v/>
      </c>
      <c r="AF11" s="13">
        <v>0.21</v>
      </c>
      <c r="AG11" s="11" t="str">
        <f t="shared" si="2"/>
        <v/>
      </c>
      <c r="AH11" s="11" t="str">
        <f t="shared" si="3"/>
        <v/>
      </c>
      <c r="AL11" t="str">
        <f t="shared" si="4"/>
        <v/>
      </c>
      <c r="AN11" s="11" t="str">
        <f t="shared" si="5"/>
        <v/>
      </c>
      <c r="AO11" s="13"/>
      <c r="AP11" s="11" t="str">
        <f t="shared" si="6"/>
        <v/>
      </c>
      <c r="AQ11" s="11" t="str">
        <f t="shared" si="7"/>
        <v/>
      </c>
    </row>
    <row r="12" spans="1:43" x14ac:dyDescent="0.2">
      <c r="D12" s="8" t="str">
        <f>IF(A12="","",VLOOKUP(A12,Lists!$A:$B,2,FALSE))</f>
        <v/>
      </c>
      <c r="E12" s="8" t="str">
        <f>IF(C12="","",VLOOKUP(C12,Lists!$C:$D,2,FALSE))</f>
        <v/>
      </c>
      <c r="F12" s="8"/>
      <c r="G12" s="8"/>
      <c r="J12" s="9" t="str">
        <f>IF(A12="","",IFERROR(VLOOKUP(A12,Lists!$A:$H,8,FALSE),0))</f>
        <v/>
      </c>
      <c r="L12" s="9" t="str">
        <f>IF(A12="","",IFERROR(VLOOKUP(A12,Lists!$A:$H,7,FALSE),0))</f>
        <v/>
      </c>
      <c r="M12" s="10">
        <v>0.21</v>
      </c>
      <c r="N12" s="11" t="e">
        <f t="shared" si="0"/>
        <v>#VALUE!</v>
      </c>
      <c r="O12" s="11">
        <f>IF(K12="Eigen Beheer",0,IF(AND(ISNUMBER(N12),I12&lt;&gt;"",H12&lt;&gt;""),ROUND((I12-H12)/Lists!$Q$2,2)*N12,0))</f>
        <v>0</v>
      </c>
      <c r="R12" s="12" t="str">
        <f>IF(Q12="","",VLOOKUP(Q12,Lists!$E:$F,2,FALSE))</f>
        <v/>
      </c>
      <c r="AD12" s="9">
        <v>50</v>
      </c>
      <c r="AE12" s="11" t="str">
        <f t="shared" si="1"/>
        <v/>
      </c>
      <c r="AF12" s="13">
        <v>0.21</v>
      </c>
      <c r="AG12" s="11" t="str">
        <f t="shared" si="2"/>
        <v/>
      </c>
      <c r="AH12" s="11" t="str">
        <f t="shared" si="3"/>
        <v/>
      </c>
      <c r="AL12" t="str">
        <f t="shared" si="4"/>
        <v/>
      </c>
      <c r="AN12" s="11" t="str">
        <f t="shared" si="5"/>
        <v/>
      </c>
      <c r="AO12" s="13"/>
      <c r="AP12" s="11" t="str">
        <f t="shared" si="6"/>
        <v/>
      </c>
      <c r="AQ12" s="11" t="str">
        <f t="shared" si="7"/>
        <v/>
      </c>
    </row>
    <row r="13" spans="1:43" x14ac:dyDescent="0.2">
      <c r="D13" s="8" t="str">
        <f>IF(A13="","",VLOOKUP(A13,Lists!$A:$B,2,FALSE))</f>
        <v/>
      </c>
      <c r="E13" s="8" t="str">
        <f>IF(C13="","",VLOOKUP(C13,Lists!$C:$D,2,FALSE))</f>
        <v/>
      </c>
      <c r="F13" s="8"/>
      <c r="G13" s="8"/>
      <c r="J13" s="9" t="str">
        <f>IF(A13="","",IFERROR(VLOOKUP(A13,Lists!$A:$H,8,FALSE),0))</f>
        <v/>
      </c>
      <c r="L13" s="9" t="str">
        <f>IF(A13="","",IFERROR(VLOOKUP(A13,Lists!$A:$H,7,FALSE),0))</f>
        <v/>
      </c>
      <c r="M13" s="10">
        <v>0.21</v>
      </c>
      <c r="N13" s="11" t="e">
        <f t="shared" si="0"/>
        <v>#VALUE!</v>
      </c>
      <c r="O13" s="11">
        <f>IF(K13="Eigen Beheer",0,IF(AND(ISNUMBER(N13),I13&lt;&gt;"",H13&lt;&gt;""),ROUND((I13-H13)/Lists!$Q$2,2)*N13,0))</f>
        <v>0</v>
      </c>
      <c r="R13" s="12" t="str">
        <f>IF(Q13="","",VLOOKUP(Q13,Lists!$E:$F,2,FALSE))</f>
        <v/>
      </c>
      <c r="AD13" s="9">
        <v>50</v>
      </c>
      <c r="AE13" s="11" t="str">
        <f t="shared" si="1"/>
        <v/>
      </c>
      <c r="AF13" s="13">
        <v>0.21</v>
      </c>
      <c r="AG13" s="11" t="str">
        <f t="shared" si="2"/>
        <v/>
      </c>
      <c r="AH13" s="11" t="str">
        <f t="shared" si="3"/>
        <v/>
      </c>
      <c r="AL13" t="str">
        <f t="shared" si="4"/>
        <v/>
      </c>
      <c r="AN13" s="11" t="str">
        <f t="shared" si="5"/>
        <v/>
      </c>
      <c r="AO13" s="13"/>
      <c r="AP13" s="11" t="str">
        <f t="shared" si="6"/>
        <v/>
      </c>
      <c r="AQ13" s="11" t="str">
        <f t="shared" si="7"/>
        <v/>
      </c>
    </row>
    <row r="14" spans="1:43" x14ac:dyDescent="0.2">
      <c r="D14" s="8" t="str">
        <f>IF(A14="","",VLOOKUP(A14,Lists!$A:$B,2,FALSE))</f>
        <v/>
      </c>
      <c r="E14" s="8" t="str">
        <f>IF(C14="","",VLOOKUP(C14,Lists!$C:$D,2,FALSE))</f>
        <v/>
      </c>
      <c r="F14" s="8"/>
      <c r="G14" s="8"/>
      <c r="J14" s="9" t="str">
        <f>IF(A14="","",IFERROR(VLOOKUP(A14,Lists!$A:$H,8,FALSE),0))</f>
        <v/>
      </c>
      <c r="L14" s="9" t="str">
        <f>IF(A14="","",IFERROR(VLOOKUP(A14,Lists!$A:$H,7,FALSE),0))</f>
        <v/>
      </c>
      <c r="M14" s="10">
        <v>0.21</v>
      </c>
      <c r="N14" s="11" t="e">
        <f t="shared" si="0"/>
        <v>#VALUE!</v>
      </c>
      <c r="O14" s="11">
        <f>IF(K14="Eigen Beheer",0,IF(AND(ISNUMBER(N14),I14&lt;&gt;"",H14&lt;&gt;""),ROUND((I14-H14)/Lists!$Q$2,2)*N14,0))</f>
        <v>0</v>
      </c>
      <c r="R14" s="12" t="str">
        <f>IF(Q14="","",VLOOKUP(Q14,Lists!$E:$F,2,FALSE))</f>
        <v/>
      </c>
      <c r="AD14" s="9">
        <v>50</v>
      </c>
      <c r="AE14" s="11" t="str">
        <f t="shared" si="1"/>
        <v/>
      </c>
      <c r="AF14" s="13">
        <v>0.21</v>
      </c>
      <c r="AG14" s="11" t="str">
        <f t="shared" si="2"/>
        <v/>
      </c>
      <c r="AH14" s="11" t="str">
        <f t="shared" si="3"/>
        <v/>
      </c>
      <c r="AL14" t="str">
        <f t="shared" si="4"/>
        <v/>
      </c>
      <c r="AN14" s="11" t="str">
        <f t="shared" si="5"/>
        <v/>
      </c>
      <c r="AO14" s="13"/>
      <c r="AP14" s="11" t="str">
        <f t="shared" si="6"/>
        <v/>
      </c>
      <c r="AQ14" s="11" t="str">
        <f t="shared" si="7"/>
        <v/>
      </c>
    </row>
    <row r="15" spans="1:43" x14ac:dyDescent="0.2">
      <c r="D15" s="8" t="str">
        <f>IF(A15="","",VLOOKUP(A15,Lists!$A:$B,2,FALSE))</f>
        <v/>
      </c>
      <c r="E15" s="8" t="str">
        <f>IF(C15="","",VLOOKUP(C15,Lists!$C:$D,2,FALSE))</f>
        <v/>
      </c>
      <c r="F15" s="8"/>
      <c r="G15" s="8"/>
      <c r="J15" s="9" t="str">
        <f>IF(A15="","",IFERROR(VLOOKUP(A15,Lists!$A:$H,8,FALSE),0))</f>
        <v/>
      </c>
      <c r="L15" s="9" t="str">
        <f>IF(A15="","",IFERROR(VLOOKUP(A15,Lists!$A:$H,7,FALSE),0))</f>
        <v/>
      </c>
      <c r="M15" s="10">
        <v>0.21</v>
      </c>
      <c r="N15" s="11" t="e">
        <f t="shared" si="0"/>
        <v>#VALUE!</v>
      </c>
      <c r="O15" s="11">
        <f>IF(K15="Eigen Beheer",0,IF(AND(ISNUMBER(N15),I15&lt;&gt;"",H15&lt;&gt;""),ROUND((I15-H15)/Lists!$Q$2,2)*N15,0))</f>
        <v>0</v>
      </c>
      <c r="R15" s="12" t="str">
        <f>IF(Q15="","",VLOOKUP(Q15,Lists!$E:$F,2,FALSE))</f>
        <v/>
      </c>
      <c r="AD15" s="9">
        <v>50</v>
      </c>
      <c r="AE15" s="11" t="str">
        <f t="shared" si="1"/>
        <v/>
      </c>
      <c r="AF15" s="13">
        <v>0.21</v>
      </c>
      <c r="AG15" s="11" t="str">
        <f t="shared" si="2"/>
        <v/>
      </c>
      <c r="AH15" s="11" t="str">
        <f t="shared" si="3"/>
        <v/>
      </c>
      <c r="AL15" t="str">
        <f t="shared" si="4"/>
        <v/>
      </c>
      <c r="AN15" s="11" t="str">
        <f t="shared" si="5"/>
        <v/>
      </c>
      <c r="AO15" s="13"/>
      <c r="AP15" s="11" t="str">
        <f t="shared" si="6"/>
        <v/>
      </c>
      <c r="AQ15" s="11" t="str">
        <f t="shared" si="7"/>
        <v/>
      </c>
    </row>
    <row r="16" spans="1:43" x14ac:dyDescent="0.2">
      <c r="D16" s="8" t="str">
        <f>IF(A16="","",VLOOKUP(A16,Lists!$A:$B,2,FALSE))</f>
        <v/>
      </c>
      <c r="E16" s="8" t="str">
        <f>IF(C16="","",VLOOKUP(C16,Lists!$C:$D,2,FALSE))</f>
        <v/>
      </c>
      <c r="F16" s="8"/>
      <c r="G16" s="8"/>
      <c r="J16" s="9" t="str">
        <f>IF(A16="","",IFERROR(VLOOKUP(A16,Lists!$A:$H,8,FALSE),0))</f>
        <v/>
      </c>
      <c r="L16" s="9" t="str">
        <f>IF(A16="","",IFERROR(VLOOKUP(A16,Lists!$A:$H,7,FALSE),0))</f>
        <v/>
      </c>
      <c r="M16" s="10">
        <v>0.21</v>
      </c>
      <c r="N16" s="11" t="e">
        <f t="shared" si="0"/>
        <v>#VALUE!</v>
      </c>
      <c r="O16" s="11">
        <f>IF(K16="Eigen Beheer",0,IF(AND(ISNUMBER(N16),I16&lt;&gt;"",H16&lt;&gt;""),ROUND((I16-H16)/Lists!$Q$2,2)*N16,0))</f>
        <v>0</v>
      </c>
      <c r="R16" s="12" t="str">
        <f>IF(Q16="","",VLOOKUP(Q16,Lists!$E:$F,2,FALSE))</f>
        <v/>
      </c>
      <c r="AD16" s="9">
        <v>50</v>
      </c>
      <c r="AE16" s="11" t="str">
        <f t="shared" si="1"/>
        <v/>
      </c>
      <c r="AF16" s="13">
        <v>0.21</v>
      </c>
      <c r="AG16" s="11" t="str">
        <f t="shared" si="2"/>
        <v/>
      </c>
      <c r="AH16" s="11" t="str">
        <f t="shared" si="3"/>
        <v/>
      </c>
      <c r="AL16" t="str">
        <f t="shared" si="4"/>
        <v/>
      </c>
      <c r="AN16" s="11" t="str">
        <f t="shared" si="5"/>
        <v/>
      </c>
      <c r="AO16" s="13"/>
      <c r="AP16" s="11" t="str">
        <f t="shared" si="6"/>
        <v/>
      </c>
      <c r="AQ16" s="11" t="str">
        <f t="shared" si="7"/>
        <v/>
      </c>
    </row>
    <row r="17" spans="4:43" x14ac:dyDescent="0.2">
      <c r="D17" s="8" t="str">
        <f>IF(A17="","",VLOOKUP(A17,Lists!$A:$B,2,FALSE))</f>
        <v/>
      </c>
      <c r="E17" s="8" t="str">
        <f>IF(C17="","",VLOOKUP(C17,Lists!$C:$D,2,FALSE))</f>
        <v/>
      </c>
      <c r="F17" s="8"/>
      <c r="G17" s="8"/>
      <c r="J17" s="9" t="str">
        <f>IF(A17="","",IFERROR(VLOOKUP(A17,Lists!$A:$H,8,FALSE),0))</f>
        <v/>
      </c>
      <c r="L17" s="9" t="str">
        <f>IF(A17="","",IFERROR(VLOOKUP(A17,Lists!$A:$H,7,FALSE),0))</f>
        <v/>
      </c>
      <c r="M17" s="10">
        <v>0.21</v>
      </c>
      <c r="N17" s="11" t="e">
        <f t="shared" si="0"/>
        <v>#VALUE!</v>
      </c>
      <c r="O17" s="11">
        <f>IF(K17="Eigen Beheer",0,IF(AND(ISNUMBER(N17),I17&lt;&gt;"",H17&lt;&gt;""),ROUND((I17-H17)/Lists!$Q$2,2)*N17,0))</f>
        <v>0</v>
      </c>
      <c r="R17" s="12" t="str">
        <f>IF(Q17="","",VLOOKUP(Q17,Lists!$E:$F,2,FALSE))</f>
        <v/>
      </c>
      <c r="AD17" s="9">
        <v>50</v>
      </c>
      <c r="AE17" s="11" t="str">
        <f t="shared" si="1"/>
        <v/>
      </c>
      <c r="AF17" s="13">
        <v>0.21</v>
      </c>
      <c r="AG17" s="11" t="str">
        <f t="shared" si="2"/>
        <v/>
      </c>
      <c r="AH17" s="11" t="str">
        <f t="shared" si="3"/>
        <v/>
      </c>
      <c r="AL17" t="str">
        <f t="shared" si="4"/>
        <v/>
      </c>
      <c r="AN17" s="11" t="str">
        <f t="shared" si="5"/>
        <v/>
      </c>
      <c r="AO17" s="13"/>
      <c r="AP17" s="11" t="str">
        <f t="shared" si="6"/>
        <v/>
      </c>
      <c r="AQ17" s="11" t="str">
        <f t="shared" si="7"/>
        <v/>
      </c>
    </row>
    <row r="18" spans="4:43" x14ac:dyDescent="0.2">
      <c r="D18" s="8" t="str">
        <f>IF(A18="","",VLOOKUP(A18,Lists!$A:$B,2,FALSE))</f>
        <v/>
      </c>
      <c r="E18" s="8" t="str">
        <f>IF(C18="","",VLOOKUP(C18,Lists!$C:$D,2,FALSE))</f>
        <v/>
      </c>
      <c r="F18" s="8"/>
      <c r="G18" s="8"/>
      <c r="J18" s="9" t="str">
        <f>IF(A18="","",IFERROR(VLOOKUP(A18,Lists!$A:$H,8,FALSE),0))</f>
        <v/>
      </c>
      <c r="L18" s="9" t="str">
        <f>IF(A18="","",IFERROR(VLOOKUP(A18,Lists!$A:$H,7,FALSE),0))</f>
        <v/>
      </c>
      <c r="M18" s="10">
        <v>0.21</v>
      </c>
      <c r="N18" s="11" t="e">
        <f t="shared" si="0"/>
        <v>#VALUE!</v>
      </c>
      <c r="O18" s="11">
        <f>IF(K18="Eigen Beheer",0,IF(AND(ISNUMBER(N18),I18&lt;&gt;"",H18&lt;&gt;""),ROUND((I18-H18)/Lists!$Q$2,2)*N18,0))</f>
        <v>0</v>
      </c>
      <c r="R18" s="12" t="str">
        <f>IF(Q18="","",VLOOKUP(Q18,Lists!$E:$F,2,FALSE))</f>
        <v/>
      </c>
      <c r="AD18" s="9">
        <v>50</v>
      </c>
      <c r="AE18" s="11" t="str">
        <f t="shared" si="1"/>
        <v/>
      </c>
      <c r="AF18" s="13">
        <v>0.21</v>
      </c>
      <c r="AG18" s="11" t="str">
        <f t="shared" si="2"/>
        <v/>
      </c>
      <c r="AH18" s="11" t="str">
        <f t="shared" si="3"/>
        <v/>
      </c>
      <c r="AL18" t="str">
        <f t="shared" si="4"/>
        <v/>
      </c>
      <c r="AN18" s="11" t="str">
        <f t="shared" si="5"/>
        <v/>
      </c>
      <c r="AO18" s="13"/>
      <c r="AP18" s="11" t="str">
        <f t="shared" si="6"/>
        <v/>
      </c>
      <c r="AQ18" s="11" t="str">
        <f t="shared" si="7"/>
        <v/>
      </c>
    </row>
    <row r="19" spans="4:43" x14ac:dyDescent="0.2">
      <c r="D19" s="8" t="str">
        <f>IF(A19="","",VLOOKUP(A19,Lists!$A:$B,2,FALSE))</f>
        <v/>
      </c>
      <c r="E19" s="8" t="str">
        <f>IF(C19="","",VLOOKUP(C19,Lists!$C:$D,2,FALSE))</f>
        <v/>
      </c>
      <c r="F19" s="8"/>
      <c r="G19" s="8"/>
      <c r="J19" s="9" t="str">
        <f>IF(A19="","",IFERROR(VLOOKUP(A19,Lists!$A:$H,8,FALSE),0))</f>
        <v/>
      </c>
      <c r="L19" s="9" t="str">
        <f>IF(A19="","",IFERROR(VLOOKUP(A19,Lists!$A:$H,7,FALSE),0))</f>
        <v/>
      </c>
      <c r="M19" s="10">
        <v>0.21</v>
      </c>
      <c r="N19" s="11" t="e">
        <f t="shared" si="0"/>
        <v>#VALUE!</v>
      </c>
      <c r="O19" s="11">
        <f>IF(K19="Eigen Beheer",0,IF(AND(ISNUMBER(N19),I19&lt;&gt;"",H19&lt;&gt;""),ROUND((I19-H19)/Lists!$Q$2,2)*N19,0))</f>
        <v>0</v>
      </c>
      <c r="R19" s="12" t="str">
        <f>IF(Q19="","",VLOOKUP(Q19,Lists!$E:$F,2,FALSE))</f>
        <v/>
      </c>
      <c r="AD19" s="9">
        <v>50</v>
      </c>
      <c r="AE19" s="11" t="str">
        <f t="shared" si="1"/>
        <v/>
      </c>
      <c r="AF19" s="13">
        <v>0.21</v>
      </c>
      <c r="AG19" s="11" t="str">
        <f t="shared" si="2"/>
        <v/>
      </c>
      <c r="AH19" s="11" t="str">
        <f t="shared" si="3"/>
        <v/>
      </c>
      <c r="AL19" t="str">
        <f t="shared" si="4"/>
        <v/>
      </c>
      <c r="AN19" s="11" t="str">
        <f t="shared" si="5"/>
        <v/>
      </c>
      <c r="AO19" s="13"/>
      <c r="AP19" s="11" t="str">
        <f t="shared" si="6"/>
        <v/>
      </c>
      <c r="AQ19" s="11" t="str">
        <f t="shared" si="7"/>
        <v/>
      </c>
    </row>
    <row r="20" spans="4:43" x14ac:dyDescent="0.2">
      <c r="D20" s="8" t="str">
        <f>IF(A20="","",VLOOKUP(A20,Lists!$A:$B,2,FALSE))</f>
        <v/>
      </c>
      <c r="E20" s="8" t="str">
        <f>IF(C20="","",VLOOKUP(C20,Lists!$C:$D,2,FALSE))</f>
        <v/>
      </c>
      <c r="F20" s="8"/>
      <c r="G20" s="8"/>
      <c r="J20" s="9" t="str">
        <f>IF(A20="","",IFERROR(VLOOKUP(A20,Lists!$A:$H,8,FALSE),0))</f>
        <v/>
      </c>
      <c r="L20" s="9" t="str">
        <f>IF(A20="","",IFERROR(VLOOKUP(A20,Lists!$A:$H,7,FALSE),0))</f>
        <v/>
      </c>
      <c r="M20" s="10">
        <v>0.21</v>
      </c>
      <c r="N20" s="11" t="e">
        <f t="shared" si="0"/>
        <v>#VALUE!</v>
      </c>
      <c r="O20" s="11">
        <f>IF(K20="Eigen Beheer",0,IF(AND(ISNUMBER(N20),I20&lt;&gt;"",H20&lt;&gt;""),ROUND((I20-H20)/Lists!$Q$2,2)*N20,0))</f>
        <v>0</v>
      </c>
      <c r="R20" s="12" t="str">
        <f>IF(Q20="","",VLOOKUP(Q20,Lists!$E:$F,2,FALSE))</f>
        <v/>
      </c>
      <c r="AD20" s="9">
        <v>50</v>
      </c>
      <c r="AE20" s="11" t="str">
        <f t="shared" si="1"/>
        <v/>
      </c>
      <c r="AF20" s="13">
        <v>0.21</v>
      </c>
      <c r="AG20" s="11" t="str">
        <f t="shared" si="2"/>
        <v/>
      </c>
      <c r="AH20" s="11" t="str">
        <f t="shared" si="3"/>
        <v/>
      </c>
      <c r="AL20" t="str">
        <f t="shared" si="4"/>
        <v/>
      </c>
      <c r="AN20" s="11" t="str">
        <f t="shared" si="5"/>
        <v/>
      </c>
      <c r="AO20" s="13"/>
      <c r="AP20" s="11" t="str">
        <f t="shared" si="6"/>
        <v/>
      </c>
      <c r="AQ20" s="11" t="str">
        <f t="shared" si="7"/>
        <v/>
      </c>
    </row>
    <row r="21" spans="4:43" x14ac:dyDescent="0.2">
      <c r="D21" s="8" t="str">
        <f>IF(A21="","",VLOOKUP(A21,Lists!$A:$B,2,FALSE))</f>
        <v/>
      </c>
      <c r="E21" s="8" t="str">
        <f>IF(C21="","",VLOOKUP(C21,Lists!$C:$D,2,FALSE))</f>
        <v/>
      </c>
      <c r="F21" s="8"/>
      <c r="G21" s="8"/>
      <c r="J21" s="9" t="str">
        <f>IF(A21="","",IFERROR(VLOOKUP(A21,Lists!$A:$H,8,FALSE),0))</f>
        <v/>
      </c>
      <c r="L21" s="9" t="str">
        <f>IF(A21="","",IFERROR(VLOOKUP(A21,Lists!$A:$H,7,FALSE),0))</f>
        <v/>
      </c>
      <c r="M21" s="10">
        <v>0.21</v>
      </c>
      <c r="N21" s="11" t="e">
        <f t="shared" si="0"/>
        <v>#VALUE!</v>
      </c>
      <c r="O21" s="11">
        <f>IF(K21="Eigen Beheer",0,IF(AND(ISNUMBER(N21),I21&lt;&gt;"",H21&lt;&gt;""),ROUND((I21-H21)/Lists!$Q$2,2)*N21,0))</f>
        <v>0</v>
      </c>
      <c r="R21" s="12" t="str">
        <f>IF(Q21="","",VLOOKUP(Q21,Lists!$E:$F,2,FALSE))</f>
        <v/>
      </c>
      <c r="AD21" s="9">
        <v>50</v>
      </c>
      <c r="AE21" s="11" t="str">
        <f t="shared" si="1"/>
        <v/>
      </c>
      <c r="AF21" s="13">
        <v>0.21</v>
      </c>
      <c r="AG21" s="11" t="str">
        <f t="shared" si="2"/>
        <v/>
      </c>
      <c r="AH21" s="11" t="str">
        <f t="shared" si="3"/>
        <v/>
      </c>
      <c r="AL21" t="str">
        <f t="shared" si="4"/>
        <v/>
      </c>
      <c r="AN21" s="11" t="str">
        <f t="shared" si="5"/>
        <v/>
      </c>
      <c r="AO21" s="13"/>
      <c r="AP21" s="11" t="str">
        <f t="shared" si="6"/>
        <v/>
      </c>
      <c r="AQ21" s="11" t="str">
        <f t="shared" si="7"/>
        <v/>
      </c>
    </row>
    <row r="22" spans="4:43" x14ac:dyDescent="0.2">
      <c r="D22" s="8" t="str">
        <f>IF(A22="","",VLOOKUP(A22,Lists!$A:$B,2,FALSE))</f>
        <v/>
      </c>
      <c r="E22" s="8" t="str">
        <f>IF(C22="","",VLOOKUP(C22,Lists!$C:$D,2,FALSE))</f>
        <v/>
      </c>
      <c r="F22" s="8"/>
      <c r="G22" s="8"/>
      <c r="J22" s="9" t="str">
        <f>IF(A22="","",IFERROR(VLOOKUP(A22,Lists!$A:$H,8,FALSE),0))</f>
        <v/>
      </c>
      <c r="L22" s="9" t="str">
        <f>IF(A22="","",IFERROR(VLOOKUP(A22,Lists!$A:$H,7,FALSE),0))</f>
        <v/>
      </c>
      <c r="M22" s="10">
        <v>0.21</v>
      </c>
      <c r="N22" s="11" t="e">
        <f t="shared" si="0"/>
        <v>#VALUE!</v>
      </c>
      <c r="O22" s="11">
        <f>IF(K22="Eigen Beheer",0,IF(AND(ISNUMBER(N22),I22&lt;&gt;"",H22&lt;&gt;""),ROUND((I22-H22)/Lists!$Q$2,2)*N22,0))</f>
        <v>0</v>
      </c>
      <c r="R22" s="12" t="str">
        <f>IF(Q22="","",VLOOKUP(Q22,Lists!$E:$F,2,FALSE))</f>
        <v/>
      </c>
      <c r="AD22" s="9">
        <v>50</v>
      </c>
      <c r="AE22" s="11" t="str">
        <f t="shared" si="1"/>
        <v/>
      </c>
      <c r="AF22" s="13">
        <v>0.21</v>
      </c>
      <c r="AG22" s="11" t="str">
        <f t="shared" si="2"/>
        <v/>
      </c>
      <c r="AH22" s="11" t="str">
        <f t="shared" si="3"/>
        <v/>
      </c>
      <c r="AL22" t="str">
        <f t="shared" si="4"/>
        <v/>
      </c>
      <c r="AN22" s="11" t="str">
        <f t="shared" si="5"/>
        <v/>
      </c>
      <c r="AO22" s="13"/>
      <c r="AP22" s="11" t="str">
        <f t="shared" si="6"/>
        <v/>
      </c>
      <c r="AQ22" s="11" t="str">
        <f t="shared" si="7"/>
        <v/>
      </c>
    </row>
    <row r="23" spans="4:43" x14ac:dyDescent="0.2">
      <c r="D23" s="8" t="str">
        <f>IF(A23="","",VLOOKUP(A23,Lists!$A:$B,2,FALSE))</f>
        <v/>
      </c>
      <c r="E23" s="8" t="str">
        <f>IF(C23="","",VLOOKUP(C23,Lists!$C:$D,2,FALSE))</f>
        <v/>
      </c>
      <c r="F23" s="8"/>
      <c r="G23" s="8"/>
      <c r="J23" s="9" t="str">
        <f>IF(A23="","",IFERROR(VLOOKUP(A23,Lists!$A:$H,8,FALSE),0))</f>
        <v/>
      </c>
      <c r="L23" s="9" t="str">
        <f>IF(A23="","",IFERROR(VLOOKUP(A23,Lists!$A:$H,7,FALSE),0))</f>
        <v/>
      </c>
      <c r="M23" s="10">
        <v>0.21</v>
      </c>
      <c r="N23" s="11" t="e">
        <f t="shared" si="0"/>
        <v>#VALUE!</v>
      </c>
      <c r="O23" s="11">
        <f>IF(K23="Eigen Beheer",0,IF(AND(ISNUMBER(N23),I23&lt;&gt;"",H23&lt;&gt;""),ROUND((I23-H23)/Lists!$Q$2,2)*N23,0))</f>
        <v>0</v>
      </c>
      <c r="R23" s="12" t="str">
        <f>IF(Q23="","",VLOOKUP(Q23,Lists!$E:$F,2,FALSE))</f>
        <v/>
      </c>
      <c r="AD23" s="9">
        <v>50</v>
      </c>
      <c r="AE23" s="11" t="str">
        <f t="shared" si="1"/>
        <v/>
      </c>
      <c r="AF23" s="13">
        <v>0.21</v>
      </c>
      <c r="AG23" s="11" t="str">
        <f t="shared" si="2"/>
        <v/>
      </c>
      <c r="AH23" s="11" t="str">
        <f t="shared" si="3"/>
        <v/>
      </c>
      <c r="AL23" t="str">
        <f t="shared" si="4"/>
        <v/>
      </c>
      <c r="AN23" s="11" t="str">
        <f t="shared" si="5"/>
        <v/>
      </c>
      <c r="AO23" s="13"/>
      <c r="AP23" s="11" t="str">
        <f t="shared" si="6"/>
        <v/>
      </c>
      <c r="AQ23" s="11" t="str">
        <f t="shared" si="7"/>
        <v/>
      </c>
    </row>
    <row r="24" spans="4:43" x14ac:dyDescent="0.2">
      <c r="D24" s="8" t="str">
        <f>IF(A24="","",VLOOKUP(A24,Lists!$A:$B,2,FALSE))</f>
        <v/>
      </c>
      <c r="E24" s="8" t="str">
        <f>IF(C24="","",VLOOKUP(C24,Lists!$C:$D,2,FALSE))</f>
        <v/>
      </c>
      <c r="F24" s="8"/>
      <c r="G24" s="8"/>
      <c r="J24" s="9" t="str">
        <f>IF(A24="","",IFERROR(VLOOKUP(A24,Lists!$A:$H,8,FALSE),0))</f>
        <v/>
      </c>
      <c r="L24" s="9" t="str">
        <f>IF(A24="","",IFERROR(VLOOKUP(A24,Lists!$A:$H,7,FALSE),0))</f>
        <v/>
      </c>
      <c r="M24" s="10">
        <v>0.21</v>
      </c>
      <c r="N24" s="11" t="e">
        <f t="shared" si="0"/>
        <v>#VALUE!</v>
      </c>
      <c r="O24" s="11">
        <f>IF(K24="Eigen Beheer",0,IF(AND(ISNUMBER(N24),I24&lt;&gt;"",H24&lt;&gt;""),ROUND((I24-H24)/Lists!$Q$2,2)*N24,0))</f>
        <v>0</v>
      </c>
      <c r="R24" s="12" t="str">
        <f>IF(Q24="","",VLOOKUP(Q24,Lists!$E:$F,2,FALSE))</f>
        <v/>
      </c>
      <c r="AD24" s="9">
        <v>50</v>
      </c>
      <c r="AE24" s="11" t="str">
        <f t="shared" si="1"/>
        <v/>
      </c>
      <c r="AF24" s="13">
        <v>0.21</v>
      </c>
      <c r="AG24" s="11" t="str">
        <f t="shared" si="2"/>
        <v/>
      </c>
      <c r="AH24" s="11" t="str">
        <f t="shared" si="3"/>
        <v/>
      </c>
      <c r="AL24" t="str">
        <f t="shared" si="4"/>
        <v/>
      </c>
      <c r="AN24" s="11" t="str">
        <f t="shared" si="5"/>
        <v/>
      </c>
      <c r="AO24" s="13"/>
      <c r="AP24" s="11" t="str">
        <f t="shared" si="6"/>
        <v/>
      </c>
      <c r="AQ24" s="11" t="str">
        <f t="shared" si="7"/>
        <v/>
      </c>
    </row>
    <row r="25" spans="4:43" x14ac:dyDescent="0.2">
      <c r="D25" s="8" t="str">
        <f>IF(A25="","",VLOOKUP(A25,Lists!$A:$B,2,FALSE))</f>
        <v/>
      </c>
      <c r="E25" s="8" t="str">
        <f>IF(C25="","",VLOOKUP(C25,Lists!$C:$D,2,FALSE))</f>
        <v/>
      </c>
      <c r="F25" s="8"/>
      <c r="G25" s="8"/>
      <c r="J25" s="9" t="str">
        <f>IF(A25="","",IFERROR(VLOOKUP(A25,Lists!$A:$H,8,FALSE),0))</f>
        <v/>
      </c>
      <c r="L25" s="9" t="str">
        <f>IF(A25="","",IFERROR(VLOOKUP(A25,Lists!$A:$H,7,FALSE),0))</f>
        <v/>
      </c>
      <c r="M25" s="10">
        <v>0.21</v>
      </c>
      <c r="N25" s="11" t="e">
        <f t="shared" si="0"/>
        <v>#VALUE!</v>
      </c>
      <c r="O25" s="11">
        <f>IF(K25="Eigen Beheer",0,IF(AND(ISNUMBER(N25),I25&lt;&gt;"",H25&lt;&gt;""),ROUND((I25-H25)/Lists!$Q$2,2)*N25,0))</f>
        <v>0</v>
      </c>
      <c r="R25" s="12" t="str">
        <f>IF(Q25="","",VLOOKUP(Q25,Lists!$E:$F,2,FALSE))</f>
        <v/>
      </c>
      <c r="AD25" s="9">
        <v>50</v>
      </c>
      <c r="AE25" s="11" t="str">
        <f t="shared" si="1"/>
        <v/>
      </c>
      <c r="AF25" s="13">
        <v>0.21</v>
      </c>
      <c r="AG25" s="11" t="str">
        <f t="shared" si="2"/>
        <v/>
      </c>
      <c r="AH25" s="11" t="str">
        <f t="shared" si="3"/>
        <v/>
      </c>
      <c r="AL25" t="str">
        <f t="shared" si="4"/>
        <v/>
      </c>
      <c r="AN25" s="11" t="str">
        <f t="shared" si="5"/>
        <v/>
      </c>
      <c r="AO25" s="13"/>
      <c r="AP25" s="11" t="str">
        <f t="shared" si="6"/>
        <v/>
      </c>
      <c r="AQ25" s="11" t="str">
        <f t="shared" si="7"/>
        <v/>
      </c>
    </row>
    <row r="26" spans="4:43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v>0.21</v>
      </c>
      <c r="N26" s="11" t="e">
        <f t="shared" si="0"/>
        <v>#VALUE!</v>
      </c>
      <c r="O26" s="11">
        <f>IF(K26="Eigen Beheer",0,IF(AND(ISNUMBER(N26),I26&lt;&gt;"",H26&lt;&gt;""),ROUND((I26-H26)/Lists!$Q$2,2)*N26,0))</f>
        <v>0</v>
      </c>
      <c r="R26" s="12" t="str">
        <f>IF(Q26="","",VLOOKUP(Q26,Lists!$E:$F,2,FALSE))</f>
        <v/>
      </c>
      <c r="AD26" s="9">
        <v>50</v>
      </c>
      <c r="AE26" s="11" t="str">
        <f t="shared" si="1"/>
        <v/>
      </c>
      <c r="AF26" s="13">
        <v>0.21</v>
      </c>
      <c r="AG26" s="11" t="str">
        <f t="shared" si="2"/>
        <v/>
      </c>
      <c r="AH26" s="11" t="str">
        <f t="shared" si="3"/>
        <v/>
      </c>
      <c r="AL26" t="str">
        <f t="shared" si="4"/>
        <v/>
      </c>
      <c r="AN26" s="11" t="str">
        <f t="shared" si="5"/>
        <v/>
      </c>
      <c r="AO26" s="13"/>
      <c r="AP26" s="11" t="str">
        <f t="shared" si="6"/>
        <v/>
      </c>
      <c r="AQ26" s="11" t="str">
        <f t="shared" si="7"/>
        <v/>
      </c>
    </row>
    <row r="27" spans="4:43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v>0.21</v>
      </c>
      <c r="N27" s="11" t="e">
        <f t="shared" si="0"/>
        <v>#VALUE!</v>
      </c>
      <c r="O27" s="11">
        <f>IF(K27="Eigen Beheer",0,IF(AND(ISNUMBER(N27),I27&lt;&gt;"",H27&lt;&gt;""),ROUND((I27-H27)/Lists!$Q$2,2)*N27,0))</f>
        <v>0</v>
      </c>
      <c r="R27" s="12" t="str">
        <f>IF(Q27="","",VLOOKUP(Q27,Lists!$E:$F,2,FALSE))</f>
        <v/>
      </c>
      <c r="AD27" s="9">
        <v>50</v>
      </c>
      <c r="AE27" s="11" t="str">
        <f t="shared" si="1"/>
        <v/>
      </c>
      <c r="AF27" s="13">
        <v>0.21</v>
      </c>
      <c r="AG27" s="11" t="str">
        <f t="shared" si="2"/>
        <v/>
      </c>
      <c r="AH27" s="11" t="str">
        <f t="shared" si="3"/>
        <v/>
      </c>
      <c r="AL27" t="str">
        <f t="shared" si="4"/>
        <v/>
      </c>
      <c r="AN27" s="11" t="str">
        <f t="shared" si="5"/>
        <v/>
      </c>
      <c r="AO27" s="13"/>
      <c r="AP27" s="11" t="str">
        <f t="shared" si="6"/>
        <v/>
      </c>
      <c r="AQ27" s="11" t="str">
        <f t="shared" si="7"/>
        <v/>
      </c>
    </row>
    <row r="28" spans="4:43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v>0.21</v>
      </c>
      <c r="N28" s="11" t="e">
        <f t="shared" si="0"/>
        <v>#VALUE!</v>
      </c>
      <c r="O28" s="11">
        <f>IF(K28="Eigen Beheer",0,IF(AND(ISNUMBER(N28),I28&lt;&gt;"",H28&lt;&gt;""),ROUND((I28-H28)/Lists!$Q$2,2)*N28,0))</f>
        <v>0</v>
      </c>
      <c r="R28" s="12" t="str">
        <f>IF(Q28="","",VLOOKUP(Q28,Lists!$E:$F,2,FALSE))</f>
        <v/>
      </c>
      <c r="AD28" s="9">
        <v>50</v>
      </c>
      <c r="AE28" s="11" t="str">
        <f t="shared" si="1"/>
        <v/>
      </c>
      <c r="AF28" s="13">
        <v>0.21</v>
      </c>
      <c r="AG28" s="11" t="str">
        <f t="shared" si="2"/>
        <v/>
      </c>
      <c r="AH28" s="11" t="str">
        <f t="shared" si="3"/>
        <v/>
      </c>
      <c r="AL28" t="str">
        <f t="shared" si="4"/>
        <v/>
      </c>
      <c r="AN28" s="11" t="str">
        <f t="shared" si="5"/>
        <v/>
      </c>
      <c r="AO28" s="13"/>
      <c r="AP28" s="11" t="str">
        <f t="shared" si="6"/>
        <v/>
      </c>
      <c r="AQ28" s="11" t="str">
        <f t="shared" si="7"/>
        <v/>
      </c>
    </row>
    <row r="29" spans="4:43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v>0.21</v>
      </c>
      <c r="N29" s="11" t="e">
        <f t="shared" si="0"/>
        <v>#VALUE!</v>
      </c>
      <c r="O29" s="11">
        <f>IF(K29="Eigen Beheer",0,IF(AND(ISNUMBER(N29),I29&lt;&gt;"",H29&lt;&gt;""),ROUND((I29-H29)/Lists!$Q$2,2)*N29,0))</f>
        <v>0</v>
      </c>
      <c r="R29" s="12" t="str">
        <f>IF(Q29="","",VLOOKUP(Q29,Lists!$E:$F,2,FALSE))</f>
        <v/>
      </c>
      <c r="AD29" s="9">
        <v>50</v>
      </c>
      <c r="AE29" s="11" t="str">
        <f t="shared" si="1"/>
        <v/>
      </c>
      <c r="AF29" s="13">
        <v>0.21</v>
      </c>
      <c r="AG29" s="11" t="str">
        <f t="shared" si="2"/>
        <v/>
      </c>
      <c r="AH29" s="11" t="str">
        <f t="shared" si="3"/>
        <v/>
      </c>
      <c r="AL29" t="str">
        <f t="shared" si="4"/>
        <v/>
      </c>
      <c r="AN29" s="11" t="str">
        <f t="shared" si="5"/>
        <v/>
      </c>
      <c r="AO29" s="13"/>
      <c r="AP29" s="11" t="str">
        <f t="shared" si="6"/>
        <v/>
      </c>
      <c r="AQ29" s="11" t="str">
        <f t="shared" si="7"/>
        <v/>
      </c>
    </row>
    <row r="30" spans="4:43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v>0.21</v>
      </c>
      <c r="N30" s="11" t="e">
        <f t="shared" si="0"/>
        <v>#VALUE!</v>
      </c>
      <c r="O30" s="11">
        <f>IF(K30="Eigen Beheer",0,IF(AND(ISNUMBER(N30),I30&lt;&gt;"",H30&lt;&gt;""),ROUND((I30-H30)/Lists!$Q$2,2)*N30,0))</f>
        <v>0</v>
      </c>
      <c r="R30" s="12" t="str">
        <f>IF(Q30="","",VLOOKUP(Q30,Lists!$E:$F,2,FALSE))</f>
        <v/>
      </c>
      <c r="AD30" s="9">
        <v>50</v>
      </c>
      <c r="AE30" s="11" t="str">
        <f t="shared" si="1"/>
        <v/>
      </c>
      <c r="AF30" s="13">
        <v>0.21</v>
      </c>
      <c r="AG30" s="11" t="str">
        <f t="shared" si="2"/>
        <v/>
      </c>
      <c r="AH30" s="11" t="str">
        <f t="shared" si="3"/>
        <v/>
      </c>
      <c r="AL30" t="str">
        <f t="shared" si="4"/>
        <v/>
      </c>
      <c r="AN30" s="11" t="str">
        <f t="shared" si="5"/>
        <v/>
      </c>
      <c r="AO30" s="13"/>
      <c r="AP30" s="11" t="str">
        <f t="shared" si="6"/>
        <v/>
      </c>
      <c r="AQ30" s="11" t="str">
        <f t="shared" si="7"/>
        <v/>
      </c>
    </row>
    <row r="31" spans="4:43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v>0.21</v>
      </c>
      <c r="N31" s="11" t="e">
        <f t="shared" si="0"/>
        <v>#VALUE!</v>
      </c>
      <c r="O31" s="11">
        <f>IF(K31="Eigen Beheer",0,IF(AND(ISNUMBER(N31),I31&lt;&gt;"",H31&lt;&gt;""),ROUND((I31-H31)/Lists!$Q$2,2)*N31,0))</f>
        <v>0</v>
      </c>
      <c r="R31" s="12" t="str">
        <f>IF(Q31="","",VLOOKUP(Q31,Lists!$E:$F,2,FALSE))</f>
        <v/>
      </c>
      <c r="AD31" s="9">
        <v>50</v>
      </c>
      <c r="AE31" s="11" t="str">
        <f t="shared" si="1"/>
        <v/>
      </c>
      <c r="AF31" s="13">
        <v>0.21</v>
      </c>
      <c r="AG31" s="11" t="str">
        <f t="shared" si="2"/>
        <v/>
      </c>
      <c r="AH31" s="11" t="str">
        <f t="shared" si="3"/>
        <v/>
      </c>
      <c r="AL31" t="str">
        <f t="shared" si="4"/>
        <v/>
      </c>
      <c r="AN31" s="11" t="str">
        <f t="shared" si="5"/>
        <v/>
      </c>
      <c r="AO31" s="13"/>
      <c r="AP31" s="11" t="str">
        <f t="shared" si="6"/>
        <v/>
      </c>
      <c r="AQ31" s="11" t="str">
        <f t="shared" si="7"/>
        <v/>
      </c>
    </row>
    <row r="32" spans="4:43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v>0.21</v>
      </c>
      <c r="N32" s="11" t="e">
        <f t="shared" si="0"/>
        <v>#VALUE!</v>
      </c>
      <c r="O32" s="11">
        <f>IF(K32="Eigen Beheer",0,IF(AND(ISNUMBER(N32),I32&lt;&gt;"",H32&lt;&gt;""),ROUND((I32-H32)/Lists!$Q$2,2)*N32,0))</f>
        <v>0</v>
      </c>
      <c r="R32" s="12" t="str">
        <f>IF(Q32="","",VLOOKUP(Q32,Lists!$E:$F,2,FALSE))</f>
        <v/>
      </c>
      <c r="AD32" s="9">
        <v>50</v>
      </c>
      <c r="AE32" s="11" t="str">
        <f t="shared" si="1"/>
        <v/>
      </c>
      <c r="AF32" s="13">
        <v>0.21</v>
      </c>
      <c r="AG32" s="11" t="str">
        <f t="shared" si="2"/>
        <v/>
      </c>
      <c r="AH32" s="11" t="str">
        <f t="shared" si="3"/>
        <v/>
      </c>
      <c r="AL32" t="str">
        <f t="shared" si="4"/>
        <v/>
      </c>
      <c r="AN32" s="11" t="str">
        <f t="shared" si="5"/>
        <v/>
      </c>
      <c r="AO32" s="13"/>
      <c r="AP32" s="11" t="str">
        <f t="shared" si="6"/>
        <v/>
      </c>
      <c r="AQ32" s="11" t="str">
        <f t="shared" si="7"/>
        <v/>
      </c>
    </row>
    <row r="33" spans="4:43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v>0.21</v>
      </c>
      <c r="N33" s="11" t="e">
        <f t="shared" si="0"/>
        <v>#VALUE!</v>
      </c>
      <c r="O33" s="11">
        <f>IF(K33="Eigen Beheer",0,IF(AND(ISNUMBER(N33),I33&lt;&gt;"",H33&lt;&gt;""),ROUND((I33-H33)/Lists!$Q$2,2)*N33,0))</f>
        <v>0</v>
      </c>
      <c r="R33" s="12" t="str">
        <f>IF(Q33="","",VLOOKUP(Q33,Lists!$E:$F,2,FALSE))</f>
        <v/>
      </c>
      <c r="AD33" s="9">
        <v>50</v>
      </c>
      <c r="AE33" s="11" t="str">
        <f t="shared" si="1"/>
        <v/>
      </c>
      <c r="AF33" s="13">
        <v>0.21</v>
      </c>
      <c r="AG33" s="11" t="str">
        <f t="shared" si="2"/>
        <v/>
      </c>
      <c r="AH33" s="11" t="str">
        <f t="shared" si="3"/>
        <v/>
      </c>
      <c r="AL33" t="str">
        <f t="shared" si="4"/>
        <v/>
      </c>
      <c r="AN33" s="11" t="str">
        <f t="shared" si="5"/>
        <v/>
      </c>
      <c r="AO33" s="13"/>
      <c r="AP33" s="11" t="str">
        <f t="shared" si="6"/>
        <v/>
      </c>
      <c r="AQ33" s="11" t="str">
        <f t="shared" si="7"/>
        <v/>
      </c>
    </row>
    <row r="34" spans="4:43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v>0.21</v>
      </c>
      <c r="N34" s="11" t="e">
        <f t="shared" ref="N34:N65" si="8">L34 * (1 + M34)</f>
        <v>#VALUE!</v>
      </c>
      <c r="O34" s="11">
        <f>IF(K34="Eigen Beheer",0,IF(AND(ISNUMBER(N34),I34&lt;&gt;"",H34&lt;&gt;""),ROUND((I34-H34)/Lists!$Q$2,2)*N34,0))</f>
        <v>0</v>
      </c>
      <c r="R34" s="12" t="str">
        <f>IF(Q34="","",VLOOKUP(Q34,Lists!$E:$F,2,FALSE))</f>
        <v/>
      </c>
      <c r="AD34" s="9">
        <v>50</v>
      </c>
      <c r="AE34" s="11" t="str">
        <f t="shared" ref="AE34:AE65" si="9">IF(AB34="","",IF(ISNUMBER(SEARCH("Basis",AB34)),(250/1.21)+MAX(0,AC34-5)*AD34,IF(ISNUMBER(SEARCH("Intensief",AB34)),(375/1.21)+MAX(0,AC34-7)*AD34,AC34*AD34)))</f>
        <v/>
      </c>
      <c r="AF34" s="13">
        <v>0.21</v>
      </c>
      <c r="AG34" s="11" t="str">
        <f t="shared" ref="AG34:AG65" si="10">IF(AE34&lt;&gt;"",AE34*AF34,"")</f>
        <v/>
      </c>
      <c r="AH34" s="11" t="str">
        <f t="shared" ref="AH34:AH65" si="11">IF(AE34&lt;&gt;"",AE34+AG34,"")</f>
        <v/>
      </c>
      <c r="AL34" t="str">
        <f t="shared" ref="AL34:AL65" si="12"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 t="str">
        <f t="shared" ref="AN34:AN65" si="13">IF(AND(AL34&lt;&gt;"",AM34&lt;&gt;""),AL34*AM34,"")</f>
        <v/>
      </c>
      <c r="AO34" s="13"/>
      <c r="AP34" s="11" t="str">
        <f t="shared" ref="AP34:AP65" si="14">IF(AND(AN34&lt;&gt;"",AO34&lt;&gt;""),AN34*AO34,"")</f>
        <v/>
      </c>
      <c r="AQ34" s="11" t="str">
        <f t="shared" ref="AQ34:AQ65" si="15">IF(AND(AN34&lt;&gt;"",AP34&lt;&gt;""),AN34+AP34,"")</f>
        <v/>
      </c>
    </row>
    <row r="35" spans="4:43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v>0.21</v>
      </c>
      <c r="N35" s="11" t="e">
        <f t="shared" si="8"/>
        <v>#VALUE!</v>
      </c>
      <c r="O35" s="11">
        <f>IF(K35="Eigen Beheer",0,IF(AND(ISNUMBER(N35),I35&lt;&gt;"",H35&lt;&gt;""),ROUND((I35-H35)/Lists!$Q$2,2)*N35,0))</f>
        <v>0</v>
      </c>
      <c r="R35" s="12" t="str">
        <f>IF(Q35="","",VLOOKUP(Q35,Lists!$E:$F,2,FALSE))</f>
        <v/>
      </c>
      <c r="AD35" s="9">
        <v>50</v>
      </c>
      <c r="AE35" s="11" t="str">
        <f t="shared" si="9"/>
        <v/>
      </c>
      <c r="AF35" s="13">
        <v>0.21</v>
      </c>
      <c r="AG35" s="11" t="str">
        <f t="shared" si="10"/>
        <v/>
      </c>
      <c r="AH35" s="11" t="str">
        <f t="shared" si="11"/>
        <v/>
      </c>
      <c r="AL35" t="str">
        <f t="shared" si="12"/>
        <v/>
      </c>
      <c r="AN35" s="11" t="str">
        <f t="shared" si="13"/>
        <v/>
      </c>
      <c r="AO35" s="13"/>
      <c r="AP35" s="11" t="str">
        <f t="shared" si="14"/>
        <v/>
      </c>
      <c r="AQ35" s="11" t="str">
        <f t="shared" si="15"/>
        <v/>
      </c>
    </row>
    <row r="36" spans="4:43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v>0.21</v>
      </c>
      <c r="N36" s="11" t="e">
        <f t="shared" si="8"/>
        <v>#VALUE!</v>
      </c>
      <c r="O36" s="11">
        <f>IF(K36="Eigen Beheer",0,IF(AND(ISNUMBER(N36),I36&lt;&gt;"",H36&lt;&gt;""),ROUND((I36-H36)/Lists!$Q$2,2)*N36,0))</f>
        <v>0</v>
      </c>
      <c r="R36" s="12" t="str">
        <f>IF(Q36="","",VLOOKUP(Q36,Lists!$E:$F,2,FALSE))</f>
        <v/>
      </c>
      <c r="AD36" s="9">
        <v>50</v>
      </c>
      <c r="AE36" s="11" t="str">
        <f t="shared" si="9"/>
        <v/>
      </c>
      <c r="AF36" s="13">
        <v>0.21</v>
      </c>
      <c r="AG36" s="11" t="str">
        <f t="shared" si="10"/>
        <v/>
      </c>
      <c r="AH36" s="11" t="str">
        <f t="shared" si="11"/>
        <v/>
      </c>
      <c r="AL36" t="str">
        <f t="shared" si="12"/>
        <v/>
      </c>
      <c r="AN36" s="11" t="str">
        <f t="shared" si="13"/>
        <v/>
      </c>
      <c r="AO36" s="13"/>
      <c r="AP36" s="11" t="str">
        <f t="shared" si="14"/>
        <v/>
      </c>
      <c r="AQ36" s="11" t="str">
        <f t="shared" si="15"/>
        <v/>
      </c>
    </row>
    <row r="37" spans="4:43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v>0.21</v>
      </c>
      <c r="N37" s="11" t="e">
        <f t="shared" si="8"/>
        <v>#VALUE!</v>
      </c>
      <c r="O37" s="11">
        <f>IF(K37="Eigen Beheer",0,IF(AND(ISNUMBER(N37),I37&lt;&gt;"",H37&lt;&gt;""),ROUND((I37-H37)/Lists!$Q$2,2)*N37,0))</f>
        <v>0</v>
      </c>
      <c r="R37" s="12" t="str">
        <f>IF(Q37="","",VLOOKUP(Q37,Lists!$E:$F,2,FALSE))</f>
        <v/>
      </c>
      <c r="AD37" s="9">
        <v>50</v>
      </c>
      <c r="AE37" s="11" t="str">
        <f t="shared" si="9"/>
        <v/>
      </c>
      <c r="AF37" s="13">
        <v>0.21</v>
      </c>
      <c r="AG37" s="11" t="str">
        <f t="shared" si="10"/>
        <v/>
      </c>
      <c r="AH37" s="11" t="str">
        <f t="shared" si="11"/>
        <v/>
      </c>
      <c r="AL37" t="str">
        <f t="shared" si="12"/>
        <v/>
      </c>
      <c r="AN37" s="11" t="str">
        <f t="shared" si="13"/>
        <v/>
      </c>
      <c r="AO37" s="13"/>
      <c r="AP37" s="11" t="str">
        <f t="shared" si="14"/>
        <v/>
      </c>
      <c r="AQ37" s="11" t="str">
        <f t="shared" si="15"/>
        <v/>
      </c>
    </row>
    <row r="38" spans="4:43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v>0.21</v>
      </c>
      <c r="N38" s="11" t="e">
        <f t="shared" si="8"/>
        <v>#VALUE!</v>
      </c>
      <c r="O38" s="11">
        <f>IF(K38="Eigen Beheer",0,IF(AND(ISNUMBER(N38),I38&lt;&gt;"",H38&lt;&gt;""),ROUND((I38-H38)/Lists!$Q$2,2)*N38,0))</f>
        <v>0</v>
      </c>
      <c r="R38" s="12" t="str">
        <f>IF(Q38="","",VLOOKUP(Q38,Lists!$E:$F,2,FALSE))</f>
        <v/>
      </c>
      <c r="AD38" s="9">
        <v>50</v>
      </c>
      <c r="AE38" s="11" t="str">
        <f t="shared" si="9"/>
        <v/>
      </c>
      <c r="AF38" s="13">
        <v>0.21</v>
      </c>
      <c r="AG38" s="11" t="str">
        <f t="shared" si="10"/>
        <v/>
      </c>
      <c r="AH38" s="11" t="str">
        <f t="shared" si="11"/>
        <v/>
      </c>
      <c r="AL38" t="str">
        <f t="shared" si="12"/>
        <v/>
      </c>
      <c r="AN38" s="11" t="str">
        <f t="shared" si="13"/>
        <v/>
      </c>
      <c r="AO38" s="13"/>
      <c r="AP38" s="11" t="str">
        <f t="shared" si="14"/>
        <v/>
      </c>
      <c r="AQ38" s="11" t="str">
        <f t="shared" si="15"/>
        <v/>
      </c>
    </row>
    <row r="39" spans="4:43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v>0.21</v>
      </c>
      <c r="N39" s="11" t="e">
        <f t="shared" si="8"/>
        <v>#VALUE!</v>
      </c>
      <c r="O39" s="11">
        <f>IF(K39="Eigen Beheer",0,IF(AND(ISNUMBER(N39),I39&lt;&gt;"",H39&lt;&gt;""),ROUND((I39-H39)/Lists!$Q$2,2)*N39,0))</f>
        <v>0</v>
      </c>
      <c r="R39" s="12" t="str">
        <f>IF(Q39="","",VLOOKUP(Q39,Lists!$E:$F,2,FALSE))</f>
        <v/>
      </c>
      <c r="AD39" s="9">
        <v>50</v>
      </c>
      <c r="AE39" s="11" t="str">
        <f t="shared" si="9"/>
        <v/>
      </c>
      <c r="AF39" s="13">
        <v>0.21</v>
      </c>
      <c r="AG39" s="11" t="str">
        <f t="shared" si="10"/>
        <v/>
      </c>
      <c r="AH39" s="11" t="str">
        <f t="shared" si="11"/>
        <v/>
      </c>
      <c r="AL39" t="str">
        <f t="shared" si="12"/>
        <v/>
      </c>
      <c r="AN39" s="11" t="str">
        <f t="shared" si="13"/>
        <v/>
      </c>
      <c r="AO39" s="13"/>
      <c r="AP39" s="11" t="str">
        <f t="shared" si="14"/>
        <v/>
      </c>
      <c r="AQ39" s="11" t="str">
        <f t="shared" si="15"/>
        <v/>
      </c>
    </row>
    <row r="40" spans="4:43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v>0.21</v>
      </c>
      <c r="N40" s="11" t="e">
        <f t="shared" si="8"/>
        <v>#VALUE!</v>
      </c>
      <c r="O40" s="11">
        <f>IF(K40="Eigen Beheer",0,IF(AND(ISNUMBER(N40),I40&lt;&gt;"",H40&lt;&gt;""),ROUND((I40-H40)/Lists!$Q$2,2)*N40,0))</f>
        <v>0</v>
      </c>
      <c r="R40" s="12" t="str">
        <f>IF(Q40="","",VLOOKUP(Q40,Lists!$E:$F,2,FALSE))</f>
        <v/>
      </c>
      <c r="AD40" s="9">
        <v>50</v>
      </c>
      <c r="AE40" s="11" t="str">
        <f t="shared" si="9"/>
        <v/>
      </c>
      <c r="AF40" s="13">
        <v>0.21</v>
      </c>
      <c r="AG40" s="11" t="str">
        <f t="shared" si="10"/>
        <v/>
      </c>
      <c r="AH40" s="11" t="str">
        <f t="shared" si="11"/>
        <v/>
      </c>
      <c r="AL40" t="str">
        <f t="shared" si="12"/>
        <v/>
      </c>
      <c r="AN40" s="11" t="str">
        <f t="shared" si="13"/>
        <v/>
      </c>
      <c r="AO40" s="13"/>
      <c r="AP40" s="11" t="str">
        <f t="shared" si="14"/>
        <v/>
      </c>
      <c r="AQ40" s="11" t="str">
        <f t="shared" si="15"/>
        <v/>
      </c>
    </row>
    <row r="41" spans="4:43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v>0.21</v>
      </c>
      <c r="N41" s="11" t="e">
        <f t="shared" si="8"/>
        <v>#VALUE!</v>
      </c>
      <c r="O41" s="11">
        <f>IF(K41="Eigen Beheer",0,IF(AND(ISNUMBER(N41),I41&lt;&gt;"",H41&lt;&gt;""),ROUND((I41-H41)/Lists!$Q$2,2)*N41,0))</f>
        <v>0</v>
      </c>
      <c r="R41" s="12" t="str">
        <f>IF(Q41="","",VLOOKUP(Q41,Lists!$E:$F,2,FALSE))</f>
        <v/>
      </c>
      <c r="AD41" s="9">
        <v>50</v>
      </c>
      <c r="AE41" s="11" t="str">
        <f t="shared" si="9"/>
        <v/>
      </c>
      <c r="AF41" s="13">
        <v>0.21</v>
      </c>
      <c r="AG41" s="11" t="str">
        <f t="shared" si="10"/>
        <v/>
      </c>
      <c r="AH41" s="11" t="str">
        <f t="shared" si="11"/>
        <v/>
      </c>
      <c r="AL41" t="str">
        <f t="shared" si="12"/>
        <v/>
      </c>
      <c r="AN41" s="11" t="str">
        <f t="shared" si="13"/>
        <v/>
      </c>
      <c r="AO41" s="13"/>
      <c r="AP41" s="11" t="str">
        <f t="shared" si="14"/>
        <v/>
      </c>
      <c r="AQ41" s="11" t="str">
        <f t="shared" si="15"/>
        <v/>
      </c>
    </row>
    <row r="42" spans="4:43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v>0.21</v>
      </c>
      <c r="N42" s="11" t="e">
        <f t="shared" si="8"/>
        <v>#VALUE!</v>
      </c>
      <c r="O42" s="11">
        <f>IF(K42="Eigen Beheer",0,IF(AND(ISNUMBER(N42),I42&lt;&gt;"",H42&lt;&gt;""),ROUND((I42-H42)/Lists!$Q$2,2)*N42,0))</f>
        <v>0</v>
      </c>
      <c r="R42" s="12" t="str">
        <f>IF(Q42="","",VLOOKUP(Q42,Lists!$E:$F,2,FALSE))</f>
        <v/>
      </c>
      <c r="AD42" s="9">
        <v>50</v>
      </c>
      <c r="AE42" s="11" t="str">
        <f t="shared" si="9"/>
        <v/>
      </c>
      <c r="AF42" s="13">
        <v>0.21</v>
      </c>
      <c r="AG42" s="11" t="str">
        <f t="shared" si="10"/>
        <v/>
      </c>
      <c r="AH42" s="11" t="str">
        <f t="shared" si="11"/>
        <v/>
      </c>
      <c r="AL42" t="str">
        <f t="shared" si="12"/>
        <v/>
      </c>
      <c r="AN42" s="11" t="str">
        <f t="shared" si="13"/>
        <v/>
      </c>
      <c r="AO42" s="13"/>
      <c r="AP42" s="11" t="str">
        <f t="shared" si="14"/>
        <v/>
      </c>
      <c r="AQ42" s="11" t="str">
        <f t="shared" si="15"/>
        <v/>
      </c>
    </row>
    <row r="43" spans="4:43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v>0.21</v>
      </c>
      <c r="N43" s="11" t="e">
        <f t="shared" si="8"/>
        <v>#VALUE!</v>
      </c>
      <c r="O43" s="11">
        <f>IF(K43="Eigen Beheer",0,IF(AND(ISNUMBER(N43),I43&lt;&gt;"",H43&lt;&gt;""),ROUND((I43-H43)/Lists!$Q$2,2)*N43,0))</f>
        <v>0</v>
      </c>
      <c r="R43" s="12" t="str">
        <f>IF(Q43="","",VLOOKUP(Q43,Lists!$E:$F,2,FALSE))</f>
        <v/>
      </c>
      <c r="AD43" s="9">
        <v>50</v>
      </c>
      <c r="AE43" s="11" t="str">
        <f t="shared" si="9"/>
        <v/>
      </c>
      <c r="AF43" s="13">
        <v>0.21</v>
      </c>
      <c r="AG43" s="11" t="str">
        <f t="shared" si="10"/>
        <v/>
      </c>
      <c r="AH43" s="11" t="str">
        <f t="shared" si="11"/>
        <v/>
      </c>
      <c r="AL43" t="str">
        <f t="shared" si="12"/>
        <v/>
      </c>
      <c r="AN43" s="11" t="str">
        <f t="shared" si="13"/>
        <v/>
      </c>
      <c r="AO43" s="13"/>
      <c r="AP43" s="11" t="str">
        <f t="shared" si="14"/>
        <v/>
      </c>
      <c r="AQ43" s="11" t="str">
        <f t="shared" si="15"/>
        <v/>
      </c>
    </row>
    <row r="44" spans="4:43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v>0.21</v>
      </c>
      <c r="N44" s="11" t="e">
        <f t="shared" si="8"/>
        <v>#VALUE!</v>
      </c>
      <c r="O44" s="11">
        <f>IF(K44="Eigen Beheer",0,IF(AND(ISNUMBER(N44),I44&lt;&gt;"",H44&lt;&gt;""),ROUND((I44-H44)/Lists!$Q$2,2)*N44,0))</f>
        <v>0</v>
      </c>
      <c r="R44" s="12" t="str">
        <f>IF(Q44="","",VLOOKUP(Q44,Lists!$E:$F,2,FALSE))</f>
        <v/>
      </c>
      <c r="AD44" s="9">
        <v>50</v>
      </c>
      <c r="AE44" s="11" t="str">
        <f t="shared" si="9"/>
        <v/>
      </c>
      <c r="AF44" s="13">
        <v>0.21</v>
      </c>
      <c r="AG44" s="11" t="str">
        <f t="shared" si="10"/>
        <v/>
      </c>
      <c r="AH44" s="11" t="str">
        <f t="shared" si="11"/>
        <v/>
      </c>
      <c r="AL44" t="str">
        <f t="shared" si="12"/>
        <v/>
      </c>
      <c r="AN44" s="11" t="str">
        <f t="shared" si="13"/>
        <v/>
      </c>
      <c r="AO44" s="13"/>
      <c r="AP44" s="11" t="str">
        <f t="shared" si="14"/>
        <v/>
      </c>
      <c r="AQ44" s="11" t="str">
        <f t="shared" si="15"/>
        <v/>
      </c>
    </row>
    <row r="45" spans="4:43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v>0.21</v>
      </c>
      <c r="N45" s="11" t="e">
        <f t="shared" si="8"/>
        <v>#VALUE!</v>
      </c>
      <c r="O45" s="11">
        <f>IF(K45="Eigen Beheer",0,IF(AND(ISNUMBER(N45),I45&lt;&gt;"",H45&lt;&gt;""),ROUND((I45-H45)/Lists!$Q$2,2)*N45,0))</f>
        <v>0</v>
      </c>
      <c r="R45" s="12" t="str">
        <f>IF(Q45="","",VLOOKUP(Q45,Lists!$E:$F,2,FALSE))</f>
        <v/>
      </c>
      <c r="AD45" s="9">
        <v>50</v>
      </c>
      <c r="AE45" s="11" t="str">
        <f t="shared" si="9"/>
        <v/>
      </c>
      <c r="AF45" s="13">
        <v>0.21</v>
      </c>
      <c r="AG45" s="11" t="str">
        <f t="shared" si="10"/>
        <v/>
      </c>
      <c r="AH45" s="11" t="str">
        <f t="shared" si="11"/>
        <v/>
      </c>
      <c r="AL45" t="str">
        <f t="shared" si="12"/>
        <v/>
      </c>
      <c r="AN45" s="11" t="str">
        <f t="shared" si="13"/>
        <v/>
      </c>
      <c r="AO45" s="13"/>
      <c r="AP45" s="11" t="str">
        <f t="shared" si="14"/>
        <v/>
      </c>
      <c r="AQ45" s="11" t="str">
        <f t="shared" si="15"/>
        <v/>
      </c>
    </row>
    <row r="46" spans="4:43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v>0.21</v>
      </c>
      <c r="N46" s="11" t="e">
        <f t="shared" si="8"/>
        <v>#VALUE!</v>
      </c>
      <c r="O46" s="11">
        <f>IF(K46="Eigen Beheer",0,IF(AND(ISNUMBER(N46),I46&lt;&gt;"",H46&lt;&gt;""),ROUND((I46-H46)/Lists!$Q$2,2)*N46,0))</f>
        <v>0</v>
      </c>
      <c r="R46" s="12" t="str">
        <f>IF(Q46="","",VLOOKUP(Q46,Lists!$E:$F,2,FALSE))</f>
        <v/>
      </c>
      <c r="AD46" s="9">
        <v>50</v>
      </c>
      <c r="AE46" s="11" t="str">
        <f t="shared" si="9"/>
        <v/>
      </c>
      <c r="AF46" s="13">
        <v>0.21</v>
      </c>
      <c r="AG46" s="11" t="str">
        <f t="shared" si="10"/>
        <v/>
      </c>
      <c r="AH46" s="11" t="str">
        <f t="shared" si="11"/>
        <v/>
      </c>
      <c r="AL46" t="str">
        <f t="shared" si="12"/>
        <v/>
      </c>
      <c r="AN46" s="11" t="str">
        <f t="shared" si="13"/>
        <v/>
      </c>
      <c r="AO46" s="13"/>
      <c r="AP46" s="11" t="str">
        <f t="shared" si="14"/>
        <v/>
      </c>
      <c r="AQ46" s="11" t="str">
        <f t="shared" si="15"/>
        <v/>
      </c>
    </row>
    <row r="47" spans="4:43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v>0.21</v>
      </c>
      <c r="N47" s="11" t="e">
        <f t="shared" si="8"/>
        <v>#VALUE!</v>
      </c>
      <c r="O47" s="11">
        <f>IF(K47="Eigen Beheer",0,IF(AND(ISNUMBER(N47),I47&lt;&gt;"",H47&lt;&gt;""),ROUND((I47-H47)/Lists!$Q$2,2)*N47,0))</f>
        <v>0</v>
      </c>
      <c r="R47" s="12" t="str">
        <f>IF(Q47="","",VLOOKUP(Q47,Lists!$E:$F,2,FALSE))</f>
        <v/>
      </c>
      <c r="AD47" s="9">
        <v>50</v>
      </c>
      <c r="AE47" s="11" t="str">
        <f t="shared" si="9"/>
        <v/>
      </c>
      <c r="AF47" s="13">
        <v>0.21</v>
      </c>
      <c r="AG47" s="11" t="str">
        <f t="shared" si="10"/>
        <v/>
      </c>
      <c r="AH47" s="11" t="str">
        <f t="shared" si="11"/>
        <v/>
      </c>
      <c r="AL47" t="str">
        <f t="shared" si="12"/>
        <v/>
      </c>
      <c r="AN47" s="11" t="str">
        <f t="shared" si="13"/>
        <v/>
      </c>
      <c r="AO47" s="13"/>
      <c r="AP47" s="11" t="str">
        <f t="shared" si="14"/>
        <v/>
      </c>
      <c r="AQ47" s="11" t="str">
        <f t="shared" si="15"/>
        <v/>
      </c>
    </row>
    <row r="48" spans="4:43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v>0.21</v>
      </c>
      <c r="N48" s="11" t="e">
        <f t="shared" si="8"/>
        <v>#VALUE!</v>
      </c>
      <c r="O48" s="11">
        <f>IF(K48="Eigen Beheer",0,IF(AND(ISNUMBER(N48),I48&lt;&gt;"",H48&lt;&gt;""),ROUND((I48-H48)/Lists!$Q$2,2)*N48,0))</f>
        <v>0</v>
      </c>
      <c r="R48" s="12" t="str">
        <f>IF(Q48="","",VLOOKUP(Q48,Lists!$E:$F,2,FALSE))</f>
        <v/>
      </c>
      <c r="AD48" s="9">
        <v>50</v>
      </c>
      <c r="AE48" s="11" t="str">
        <f t="shared" si="9"/>
        <v/>
      </c>
      <c r="AF48" s="13">
        <v>0.21</v>
      </c>
      <c r="AG48" s="11" t="str">
        <f t="shared" si="10"/>
        <v/>
      </c>
      <c r="AH48" s="11" t="str">
        <f t="shared" si="11"/>
        <v/>
      </c>
      <c r="AL48" t="str">
        <f t="shared" si="12"/>
        <v/>
      </c>
      <c r="AN48" s="11" t="str">
        <f t="shared" si="13"/>
        <v/>
      </c>
      <c r="AO48" s="13"/>
      <c r="AP48" s="11" t="str">
        <f t="shared" si="14"/>
        <v/>
      </c>
      <c r="AQ48" s="11" t="str">
        <f t="shared" si="15"/>
        <v/>
      </c>
    </row>
    <row r="49" spans="4:43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v>0.21</v>
      </c>
      <c r="N49" s="11" t="e">
        <f t="shared" si="8"/>
        <v>#VALUE!</v>
      </c>
      <c r="O49" s="11">
        <f>IF(K49="Eigen Beheer",0,IF(AND(ISNUMBER(N49),I49&lt;&gt;"",H49&lt;&gt;""),ROUND((I49-H49)/Lists!$Q$2,2)*N49,0))</f>
        <v>0</v>
      </c>
      <c r="R49" s="12" t="str">
        <f>IF(Q49="","",VLOOKUP(Q49,Lists!$E:$F,2,FALSE))</f>
        <v/>
      </c>
      <c r="AD49" s="9">
        <v>50</v>
      </c>
      <c r="AE49" s="11" t="str">
        <f t="shared" si="9"/>
        <v/>
      </c>
      <c r="AF49" s="13">
        <v>0.21</v>
      </c>
      <c r="AG49" s="11" t="str">
        <f t="shared" si="10"/>
        <v/>
      </c>
      <c r="AH49" s="11" t="str">
        <f t="shared" si="11"/>
        <v/>
      </c>
      <c r="AL49" t="str">
        <f t="shared" si="12"/>
        <v/>
      </c>
      <c r="AN49" s="11" t="str">
        <f t="shared" si="13"/>
        <v/>
      </c>
      <c r="AO49" s="13"/>
      <c r="AP49" s="11" t="str">
        <f t="shared" si="14"/>
        <v/>
      </c>
      <c r="AQ49" s="11" t="str">
        <f t="shared" si="15"/>
        <v/>
      </c>
    </row>
    <row r="50" spans="4:43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v>0.21</v>
      </c>
      <c r="N50" s="11" t="e">
        <f t="shared" si="8"/>
        <v>#VALUE!</v>
      </c>
      <c r="O50" s="11">
        <f>IF(K50="Eigen Beheer",0,IF(AND(ISNUMBER(N50),I50&lt;&gt;"",H50&lt;&gt;""),ROUND((I50-H50)/Lists!$Q$2,2)*N50,0))</f>
        <v>0</v>
      </c>
      <c r="R50" s="12" t="str">
        <f>IF(Q50="","",VLOOKUP(Q50,Lists!$E:$F,2,FALSE))</f>
        <v/>
      </c>
      <c r="AD50" s="9">
        <v>50</v>
      </c>
      <c r="AE50" s="11" t="str">
        <f t="shared" si="9"/>
        <v/>
      </c>
      <c r="AF50" s="13">
        <v>0.21</v>
      </c>
      <c r="AG50" s="11" t="str">
        <f t="shared" si="10"/>
        <v/>
      </c>
      <c r="AH50" s="11" t="str">
        <f t="shared" si="11"/>
        <v/>
      </c>
      <c r="AL50" t="str">
        <f t="shared" si="12"/>
        <v/>
      </c>
      <c r="AN50" s="11" t="str">
        <f t="shared" si="13"/>
        <v/>
      </c>
      <c r="AO50" s="13"/>
      <c r="AP50" s="11" t="str">
        <f t="shared" si="14"/>
        <v/>
      </c>
      <c r="AQ50" s="11" t="str">
        <f t="shared" si="15"/>
        <v/>
      </c>
    </row>
    <row r="51" spans="4:43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v>0.21</v>
      </c>
      <c r="N51" s="11" t="e">
        <f t="shared" si="8"/>
        <v>#VALUE!</v>
      </c>
      <c r="O51" s="11">
        <f>IF(K51="Eigen Beheer",0,IF(AND(ISNUMBER(N51),I51&lt;&gt;"",H51&lt;&gt;""),ROUND((I51-H51)/Lists!$Q$2,2)*N51,0))</f>
        <v>0</v>
      </c>
      <c r="R51" s="12" t="str">
        <f>IF(Q51="","",VLOOKUP(Q51,Lists!$E:$F,2,FALSE))</f>
        <v/>
      </c>
      <c r="AD51" s="9">
        <v>50</v>
      </c>
      <c r="AE51" s="11" t="str">
        <f t="shared" si="9"/>
        <v/>
      </c>
      <c r="AF51" s="13">
        <v>0.21</v>
      </c>
      <c r="AG51" s="11" t="str">
        <f t="shared" si="10"/>
        <v/>
      </c>
      <c r="AH51" s="11" t="str">
        <f t="shared" si="11"/>
        <v/>
      </c>
      <c r="AL51" t="str">
        <f t="shared" si="12"/>
        <v/>
      </c>
      <c r="AN51" s="11" t="str">
        <f t="shared" si="13"/>
        <v/>
      </c>
      <c r="AO51" s="13"/>
      <c r="AP51" s="11" t="str">
        <f t="shared" si="14"/>
        <v/>
      </c>
      <c r="AQ51" s="11" t="str">
        <f t="shared" si="15"/>
        <v/>
      </c>
    </row>
    <row r="52" spans="4:43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v>0.21</v>
      </c>
      <c r="N52" s="11" t="e">
        <f t="shared" si="8"/>
        <v>#VALUE!</v>
      </c>
      <c r="O52" s="11">
        <f>IF(K52="Eigen Beheer",0,IF(AND(ISNUMBER(N52),I52&lt;&gt;"",H52&lt;&gt;""),ROUND((I52-H52)/Lists!$Q$2,2)*N52,0))</f>
        <v>0</v>
      </c>
      <c r="R52" s="12" t="str">
        <f>IF(Q52="","",VLOOKUP(Q52,Lists!$E:$F,2,FALSE))</f>
        <v/>
      </c>
      <c r="AD52" s="9">
        <v>50</v>
      </c>
      <c r="AE52" s="11" t="str">
        <f t="shared" si="9"/>
        <v/>
      </c>
      <c r="AF52" s="13">
        <v>0.21</v>
      </c>
      <c r="AG52" s="11" t="str">
        <f t="shared" si="10"/>
        <v/>
      </c>
      <c r="AH52" s="11" t="str">
        <f t="shared" si="11"/>
        <v/>
      </c>
      <c r="AL52" t="str">
        <f t="shared" si="12"/>
        <v/>
      </c>
      <c r="AN52" s="11" t="str">
        <f t="shared" si="13"/>
        <v/>
      </c>
      <c r="AO52" s="13"/>
      <c r="AP52" s="11" t="str">
        <f t="shared" si="14"/>
        <v/>
      </c>
      <c r="AQ52" s="11" t="str">
        <f t="shared" si="15"/>
        <v/>
      </c>
    </row>
    <row r="53" spans="4:43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v>0.21</v>
      </c>
      <c r="N53" s="11" t="e">
        <f t="shared" si="8"/>
        <v>#VALUE!</v>
      </c>
      <c r="O53" s="11">
        <f>IF(K53="Eigen Beheer",0,IF(AND(ISNUMBER(N53),I53&lt;&gt;"",H53&lt;&gt;""),ROUND((I53-H53)/Lists!$Q$2,2)*N53,0))</f>
        <v>0</v>
      </c>
      <c r="R53" s="12" t="str">
        <f>IF(Q53="","",VLOOKUP(Q53,Lists!$E:$F,2,FALSE))</f>
        <v/>
      </c>
      <c r="AD53" s="9">
        <v>50</v>
      </c>
      <c r="AE53" s="11" t="str">
        <f t="shared" si="9"/>
        <v/>
      </c>
      <c r="AF53" s="13">
        <v>0.21</v>
      </c>
      <c r="AG53" s="11" t="str">
        <f t="shared" si="10"/>
        <v/>
      </c>
      <c r="AH53" s="11" t="str">
        <f t="shared" si="11"/>
        <v/>
      </c>
      <c r="AL53" t="str">
        <f t="shared" si="12"/>
        <v/>
      </c>
      <c r="AN53" s="11" t="str">
        <f t="shared" si="13"/>
        <v/>
      </c>
      <c r="AO53" s="13"/>
      <c r="AP53" s="11" t="str">
        <f t="shared" si="14"/>
        <v/>
      </c>
      <c r="AQ53" s="11" t="str">
        <f t="shared" si="15"/>
        <v/>
      </c>
    </row>
    <row r="54" spans="4:43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v>0.21</v>
      </c>
      <c r="N54" s="11" t="e">
        <f t="shared" si="8"/>
        <v>#VALUE!</v>
      </c>
      <c r="O54" s="11">
        <f>IF(K54="Eigen Beheer",0,IF(AND(ISNUMBER(N54),I54&lt;&gt;"",H54&lt;&gt;""),ROUND((I54-H54)/Lists!$Q$2,2)*N54,0))</f>
        <v>0</v>
      </c>
      <c r="R54" s="12" t="str">
        <f>IF(Q54="","",VLOOKUP(Q54,Lists!$E:$F,2,FALSE))</f>
        <v/>
      </c>
      <c r="AD54" s="9">
        <v>50</v>
      </c>
      <c r="AE54" s="11" t="str">
        <f t="shared" si="9"/>
        <v/>
      </c>
      <c r="AF54" s="13">
        <v>0.21</v>
      </c>
      <c r="AG54" s="11" t="str">
        <f t="shared" si="10"/>
        <v/>
      </c>
      <c r="AH54" s="11" t="str">
        <f t="shared" si="11"/>
        <v/>
      </c>
      <c r="AL54" t="str">
        <f t="shared" si="12"/>
        <v/>
      </c>
      <c r="AN54" s="11" t="str">
        <f t="shared" si="13"/>
        <v/>
      </c>
      <c r="AO54" s="13"/>
      <c r="AP54" s="11" t="str">
        <f t="shared" si="14"/>
        <v/>
      </c>
      <c r="AQ54" s="11" t="str">
        <f t="shared" si="15"/>
        <v/>
      </c>
    </row>
    <row r="55" spans="4:43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v>0.21</v>
      </c>
      <c r="N55" s="11" t="e">
        <f t="shared" si="8"/>
        <v>#VALUE!</v>
      </c>
      <c r="O55" s="11">
        <f>IF(K55="Eigen Beheer",0,IF(AND(ISNUMBER(N55),I55&lt;&gt;"",H55&lt;&gt;""),ROUND((I55-H55)/Lists!$Q$2,2)*N55,0))</f>
        <v>0</v>
      </c>
      <c r="R55" s="12" t="str">
        <f>IF(Q55="","",VLOOKUP(Q55,Lists!$E:$F,2,FALSE))</f>
        <v/>
      </c>
      <c r="AD55" s="9">
        <v>50</v>
      </c>
      <c r="AE55" s="11" t="str">
        <f t="shared" si="9"/>
        <v/>
      </c>
      <c r="AF55" s="13">
        <v>0.21</v>
      </c>
      <c r="AG55" s="11" t="str">
        <f t="shared" si="10"/>
        <v/>
      </c>
      <c r="AH55" s="11" t="str">
        <f t="shared" si="11"/>
        <v/>
      </c>
      <c r="AL55" t="str">
        <f t="shared" si="12"/>
        <v/>
      </c>
      <c r="AN55" s="11" t="str">
        <f t="shared" si="13"/>
        <v/>
      </c>
      <c r="AO55" s="13"/>
      <c r="AP55" s="11" t="str">
        <f t="shared" si="14"/>
        <v/>
      </c>
      <c r="AQ55" s="11" t="str">
        <f t="shared" si="15"/>
        <v/>
      </c>
    </row>
    <row r="56" spans="4:43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v>0.21</v>
      </c>
      <c r="N56" s="11" t="e">
        <f t="shared" si="8"/>
        <v>#VALUE!</v>
      </c>
      <c r="O56" s="11">
        <f>IF(K56="Eigen Beheer",0,IF(AND(ISNUMBER(N56),I56&lt;&gt;"",H56&lt;&gt;""),ROUND((I56-H56)/Lists!$Q$2,2)*N56,0))</f>
        <v>0</v>
      </c>
      <c r="R56" s="12" t="str">
        <f>IF(Q56="","",VLOOKUP(Q56,Lists!$E:$F,2,FALSE))</f>
        <v/>
      </c>
      <c r="AD56" s="9">
        <v>50</v>
      </c>
      <c r="AE56" s="11" t="str">
        <f t="shared" si="9"/>
        <v/>
      </c>
      <c r="AF56" s="13">
        <v>0.21</v>
      </c>
      <c r="AG56" s="11" t="str">
        <f t="shared" si="10"/>
        <v/>
      </c>
      <c r="AH56" s="11" t="str">
        <f t="shared" si="11"/>
        <v/>
      </c>
      <c r="AL56" t="str">
        <f t="shared" si="12"/>
        <v/>
      </c>
      <c r="AN56" s="11" t="str">
        <f t="shared" si="13"/>
        <v/>
      </c>
      <c r="AO56" s="13"/>
      <c r="AP56" s="11" t="str">
        <f t="shared" si="14"/>
        <v/>
      </c>
      <c r="AQ56" s="11" t="str">
        <f t="shared" si="15"/>
        <v/>
      </c>
    </row>
    <row r="57" spans="4:43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v>0.21</v>
      </c>
      <c r="N57" s="11" t="e">
        <f t="shared" si="8"/>
        <v>#VALUE!</v>
      </c>
      <c r="O57" s="11">
        <f>IF(K57="Eigen Beheer",0,IF(AND(ISNUMBER(N57),I57&lt;&gt;"",H57&lt;&gt;""),ROUND((I57-H57)/Lists!$Q$2,2)*N57,0))</f>
        <v>0</v>
      </c>
      <c r="R57" s="12" t="str">
        <f>IF(Q57="","",VLOOKUP(Q57,Lists!$E:$F,2,FALSE))</f>
        <v/>
      </c>
      <c r="AD57" s="9">
        <v>50</v>
      </c>
      <c r="AE57" s="11" t="str">
        <f t="shared" si="9"/>
        <v/>
      </c>
      <c r="AF57" s="13">
        <v>0.21</v>
      </c>
      <c r="AG57" s="11" t="str">
        <f t="shared" si="10"/>
        <v/>
      </c>
      <c r="AH57" s="11" t="str">
        <f t="shared" si="11"/>
        <v/>
      </c>
      <c r="AL57" t="str">
        <f t="shared" si="12"/>
        <v/>
      </c>
      <c r="AN57" s="11" t="str">
        <f t="shared" si="13"/>
        <v/>
      </c>
      <c r="AO57" s="13"/>
      <c r="AP57" s="11" t="str">
        <f t="shared" si="14"/>
        <v/>
      </c>
      <c r="AQ57" s="11" t="str">
        <f t="shared" si="15"/>
        <v/>
      </c>
    </row>
    <row r="58" spans="4:43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v>0.21</v>
      </c>
      <c r="N58" s="11" t="e">
        <f t="shared" si="8"/>
        <v>#VALUE!</v>
      </c>
      <c r="O58" s="11">
        <f>IF(K58="Eigen Beheer",0,IF(AND(ISNUMBER(N58),I58&lt;&gt;"",H58&lt;&gt;""),ROUND((I58-H58)/Lists!$Q$2,2)*N58,0))</f>
        <v>0</v>
      </c>
      <c r="R58" s="12" t="str">
        <f>IF(Q58="","",VLOOKUP(Q58,Lists!$E:$F,2,FALSE))</f>
        <v/>
      </c>
      <c r="AD58" s="9">
        <v>50</v>
      </c>
      <c r="AE58" s="11" t="str">
        <f t="shared" si="9"/>
        <v/>
      </c>
      <c r="AF58" s="13">
        <v>0.21</v>
      </c>
      <c r="AG58" s="11" t="str">
        <f t="shared" si="10"/>
        <v/>
      </c>
      <c r="AH58" s="11" t="str">
        <f t="shared" si="11"/>
        <v/>
      </c>
      <c r="AL58" t="str">
        <f t="shared" si="12"/>
        <v/>
      </c>
      <c r="AN58" s="11" t="str">
        <f t="shared" si="13"/>
        <v/>
      </c>
      <c r="AO58" s="13"/>
      <c r="AP58" s="11" t="str">
        <f t="shared" si="14"/>
        <v/>
      </c>
      <c r="AQ58" s="11" t="str">
        <f t="shared" si="15"/>
        <v/>
      </c>
    </row>
    <row r="59" spans="4:43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v>0.21</v>
      </c>
      <c r="N59" s="11" t="e">
        <f t="shared" si="8"/>
        <v>#VALUE!</v>
      </c>
      <c r="O59" s="11">
        <f>IF(K59="Eigen Beheer",0,IF(AND(ISNUMBER(N59),I59&lt;&gt;"",H59&lt;&gt;""),ROUND((I59-H59)/Lists!$Q$2,2)*N59,0))</f>
        <v>0</v>
      </c>
      <c r="R59" s="12" t="str">
        <f>IF(Q59="","",VLOOKUP(Q59,Lists!$E:$F,2,FALSE))</f>
        <v/>
      </c>
      <c r="AD59" s="9">
        <v>50</v>
      </c>
      <c r="AE59" s="11" t="str">
        <f t="shared" si="9"/>
        <v/>
      </c>
      <c r="AF59" s="13">
        <v>0.21</v>
      </c>
      <c r="AG59" s="11" t="str">
        <f t="shared" si="10"/>
        <v/>
      </c>
      <c r="AH59" s="11" t="str">
        <f t="shared" si="11"/>
        <v/>
      </c>
      <c r="AL59" t="str">
        <f t="shared" si="12"/>
        <v/>
      </c>
      <c r="AN59" s="11" t="str">
        <f t="shared" si="13"/>
        <v/>
      </c>
      <c r="AO59" s="13"/>
      <c r="AP59" s="11" t="str">
        <f t="shared" si="14"/>
        <v/>
      </c>
      <c r="AQ59" s="11" t="str">
        <f t="shared" si="15"/>
        <v/>
      </c>
    </row>
    <row r="60" spans="4:43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v>0.21</v>
      </c>
      <c r="N60" s="11" t="e">
        <f t="shared" si="8"/>
        <v>#VALUE!</v>
      </c>
      <c r="O60" s="11">
        <f>IF(K60="Eigen Beheer",0,IF(AND(ISNUMBER(N60),I60&lt;&gt;"",H60&lt;&gt;""),ROUND((I60-H60)/Lists!$Q$2,2)*N60,0))</f>
        <v>0</v>
      </c>
      <c r="R60" s="12" t="str">
        <f>IF(Q60="","",VLOOKUP(Q60,Lists!$E:$F,2,FALSE))</f>
        <v/>
      </c>
      <c r="AD60" s="9">
        <v>50</v>
      </c>
      <c r="AE60" s="11" t="str">
        <f t="shared" si="9"/>
        <v/>
      </c>
      <c r="AF60" s="13">
        <v>0.21</v>
      </c>
      <c r="AG60" s="11" t="str">
        <f t="shared" si="10"/>
        <v/>
      </c>
      <c r="AH60" s="11" t="str">
        <f t="shared" si="11"/>
        <v/>
      </c>
      <c r="AL60" t="str">
        <f t="shared" si="12"/>
        <v/>
      </c>
      <c r="AN60" s="11" t="str">
        <f t="shared" si="13"/>
        <v/>
      </c>
      <c r="AO60" s="13"/>
      <c r="AP60" s="11" t="str">
        <f t="shared" si="14"/>
        <v/>
      </c>
      <c r="AQ60" s="11" t="str">
        <f t="shared" si="15"/>
        <v/>
      </c>
    </row>
    <row r="61" spans="4:43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v>0.21</v>
      </c>
      <c r="N61" s="11" t="e">
        <f t="shared" si="8"/>
        <v>#VALUE!</v>
      </c>
      <c r="O61" s="11">
        <f>IF(K61="Eigen Beheer",0,IF(AND(ISNUMBER(N61),I61&lt;&gt;"",H61&lt;&gt;""),ROUND((I61-H61)/Lists!$Q$2,2)*N61,0))</f>
        <v>0</v>
      </c>
      <c r="R61" s="12" t="str">
        <f>IF(Q61="","",VLOOKUP(Q61,Lists!$E:$F,2,FALSE))</f>
        <v/>
      </c>
      <c r="AD61" s="9">
        <v>50</v>
      </c>
      <c r="AE61" s="11" t="str">
        <f t="shared" si="9"/>
        <v/>
      </c>
      <c r="AF61" s="13">
        <v>0.21</v>
      </c>
      <c r="AG61" s="11" t="str">
        <f t="shared" si="10"/>
        <v/>
      </c>
      <c r="AH61" s="11" t="str">
        <f t="shared" si="11"/>
        <v/>
      </c>
      <c r="AL61" t="str">
        <f t="shared" si="12"/>
        <v/>
      </c>
      <c r="AN61" s="11" t="str">
        <f t="shared" si="13"/>
        <v/>
      </c>
      <c r="AO61" s="13"/>
      <c r="AP61" s="11" t="str">
        <f t="shared" si="14"/>
        <v/>
      </c>
      <c r="AQ61" s="11" t="str">
        <f t="shared" si="15"/>
        <v/>
      </c>
    </row>
    <row r="62" spans="4:43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v>0.21</v>
      </c>
      <c r="N62" s="11" t="e">
        <f t="shared" si="8"/>
        <v>#VALUE!</v>
      </c>
      <c r="O62" s="11">
        <f>IF(K62="Eigen Beheer",0,IF(AND(ISNUMBER(N62),I62&lt;&gt;"",H62&lt;&gt;""),ROUND((I62-H62)/Lists!$Q$2,2)*N62,0))</f>
        <v>0</v>
      </c>
      <c r="R62" s="12" t="str">
        <f>IF(Q62="","",VLOOKUP(Q62,Lists!$E:$F,2,FALSE))</f>
        <v/>
      </c>
      <c r="AD62" s="9">
        <v>50</v>
      </c>
      <c r="AE62" s="11" t="str">
        <f t="shared" si="9"/>
        <v/>
      </c>
      <c r="AF62" s="13">
        <v>0.21</v>
      </c>
      <c r="AG62" s="11" t="str">
        <f t="shared" si="10"/>
        <v/>
      </c>
      <c r="AH62" s="11" t="str">
        <f t="shared" si="11"/>
        <v/>
      </c>
      <c r="AL62" t="str">
        <f t="shared" si="12"/>
        <v/>
      </c>
      <c r="AN62" s="11" t="str">
        <f t="shared" si="13"/>
        <v/>
      </c>
      <c r="AO62" s="13"/>
      <c r="AP62" s="11" t="str">
        <f t="shared" si="14"/>
        <v/>
      </c>
      <c r="AQ62" s="11" t="str">
        <f t="shared" si="15"/>
        <v/>
      </c>
    </row>
    <row r="63" spans="4:43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v>0.21</v>
      </c>
      <c r="N63" s="11" t="e">
        <f t="shared" si="8"/>
        <v>#VALUE!</v>
      </c>
      <c r="O63" s="11">
        <f>IF(K63="Eigen Beheer",0,IF(AND(ISNUMBER(N63),I63&lt;&gt;"",H63&lt;&gt;""),ROUND((I63-H63)/Lists!$Q$2,2)*N63,0))</f>
        <v>0</v>
      </c>
      <c r="R63" s="12" t="str">
        <f>IF(Q63="","",VLOOKUP(Q63,Lists!$E:$F,2,FALSE))</f>
        <v/>
      </c>
      <c r="AD63" s="9">
        <v>50</v>
      </c>
      <c r="AE63" s="11" t="str">
        <f t="shared" si="9"/>
        <v/>
      </c>
      <c r="AF63" s="13">
        <v>0.21</v>
      </c>
      <c r="AG63" s="11" t="str">
        <f t="shared" si="10"/>
        <v/>
      </c>
      <c r="AH63" s="11" t="str">
        <f t="shared" si="11"/>
        <v/>
      </c>
      <c r="AL63" t="str">
        <f t="shared" si="12"/>
        <v/>
      </c>
      <c r="AN63" s="11" t="str">
        <f t="shared" si="13"/>
        <v/>
      </c>
      <c r="AO63" s="13"/>
      <c r="AP63" s="11" t="str">
        <f t="shared" si="14"/>
        <v/>
      </c>
      <c r="AQ63" s="11" t="str">
        <f t="shared" si="15"/>
        <v/>
      </c>
    </row>
    <row r="64" spans="4:43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v>0.21</v>
      </c>
      <c r="N64" s="11" t="e">
        <f t="shared" si="8"/>
        <v>#VALUE!</v>
      </c>
      <c r="O64" s="11">
        <f>IF(K64="Eigen Beheer",0,IF(AND(ISNUMBER(N64),I64&lt;&gt;"",H64&lt;&gt;""),ROUND((I64-H64)/Lists!$Q$2,2)*N64,0))</f>
        <v>0</v>
      </c>
      <c r="R64" s="12" t="str">
        <f>IF(Q64="","",VLOOKUP(Q64,Lists!$E:$F,2,FALSE))</f>
        <v/>
      </c>
      <c r="AD64" s="9">
        <v>50</v>
      </c>
      <c r="AE64" s="11" t="str">
        <f t="shared" si="9"/>
        <v/>
      </c>
      <c r="AF64" s="13">
        <v>0.21</v>
      </c>
      <c r="AG64" s="11" t="str">
        <f t="shared" si="10"/>
        <v/>
      </c>
      <c r="AH64" s="11" t="str">
        <f t="shared" si="11"/>
        <v/>
      </c>
      <c r="AL64" t="str">
        <f t="shared" si="12"/>
        <v/>
      </c>
      <c r="AN64" s="11" t="str">
        <f t="shared" si="13"/>
        <v/>
      </c>
      <c r="AO64" s="13"/>
      <c r="AP64" s="11" t="str">
        <f t="shared" si="14"/>
        <v/>
      </c>
      <c r="AQ64" s="11" t="str">
        <f t="shared" si="15"/>
        <v/>
      </c>
    </row>
    <row r="65" spans="4:43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v>0.21</v>
      </c>
      <c r="N65" s="11" t="e">
        <f t="shared" si="8"/>
        <v>#VALUE!</v>
      </c>
      <c r="O65" s="11">
        <f>IF(K65="Eigen Beheer",0,IF(AND(ISNUMBER(N65),I65&lt;&gt;"",H65&lt;&gt;""),ROUND((I65-H65)/Lists!$Q$2,2)*N65,0))</f>
        <v>0</v>
      </c>
      <c r="R65" s="12" t="str">
        <f>IF(Q65="","",VLOOKUP(Q65,Lists!$E:$F,2,FALSE))</f>
        <v/>
      </c>
      <c r="AD65" s="9">
        <v>50</v>
      </c>
      <c r="AE65" s="11" t="str">
        <f t="shared" si="9"/>
        <v/>
      </c>
      <c r="AF65" s="13">
        <v>0.21</v>
      </c>
      <c r="AG65" s="11" t="str">
        <f t="shared" si="10"/>
        <v/>
      </c>
      <c r="AH65" s="11" t="str">
        <f t="shared" si="11"/>
        <v/>
      </c>
      <c r="AL65" t="str">
        <f t="shared" si="12"/>
        <v/>
      </c>
      <c r="AN65" s="11" t="str">
        <f t="shared" si="13"/>
        <v/>
      </c>
      <c r="AO65" s="13"/>
      <c r="AP65" s="11" t="str">
        <f t="shared" si="14"/>
        <v/>
      </c>
      <c r="AQ65" s="11" t="str">
        <f t="shared" si="15"/>
        <v/>
      </c>
    </row>
    <row r="66" spans="4:43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v>0.21</v>
      </c>
      <c r="N66" s="11" t="e">
        <f t="shared" ref="N66:N97" si="16">L66 * (1 + M66)</f>
        <v>#VALUE!</v>
      </c>
      <c r="O66" s="11">
        <f>IF(K66="Eigen Beheer",0,IF(AND(ISNUMBER(N66),I66&lt;&gt;"",H66&lt;&gt;""),ROUND((I66-H66)/Lists!$Q$2,2)*N66,0))</f>
        <v>0</v>
      </c>
      <c r="R66" s="12" t="str">
        <f>IF(Q66="","",VLOOKUP(Q66,Lists!$E:$F,2,FALSE))</f>
        <v/>
      </c>
      <c r="AD66" s="9">
        <v>50</v>
      </c>
      <c r="AE66" s="11" t="str">
        <f t="shared" ref="AE66:AE97" si="17">IF(AB66="","",IF(ISNUMBER(SEARCH("Basis",AB66)),(250/1.21)+MAX(0,AC66-5)*AD66,IF(ISNUMBER(SEARCH("Intensief",AB66)),(375/1.21)+MAX(0,AC66-7)*AD66,AC66*AD66)))</f>
        <v/>
      </c>
      <c r="AF66" s="13">
        <v>0.21</v>
      </c>
      <c r="AG66" s="11" t="str">
        <f t="shared" ref="AG66:AG97" si="18">IF(AE66&lt;&gt;"",AE66*AF66,"")</f>
        <v/>
      </c>
      <c r="AH66" s="11" t="str">
        <f t="shared" ref="AH66:AH97" si="19">IF(AE66&lt;&gt;"",AE66+AG66,"")</f>
        <v/>
      </c>
      <c r="AL66" t="str">
        <f t="shared" ref="AL66:AL97" si="20"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 t="str">
        <f t="shared" ref="AN66:AN97" si="21">IF(AND(AL66&lt;&gt;"",AM66&lt;&gt;""),AL66*AM66,"")</f>
        <v/>
      </c>
      <c r="AO66" s="13"/>
      <c r="AP66" s="11" t="str">
        <f t="shared" ref="AP66:AP97" si="22">IF(AND(AN66&lt;&gt;"",AO66&lt;&gt;""),AN66*AO66,"")</f>
        <v/>
      </c>
      <c r="AQ66" s="11" t="str">
        <f t="shared" ref="AQ66:AQ97" si="23">IF(AND(AN66&lt;&gt;"",AP66&lt;&gt;""),AN66+AP66,"")</f>
        <v/>
      </c>
    </row>
    <row r="67" spans="4:43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v>0.21</v>
      </c>
      <c r="N67" s="11" t="e">
        <f t="shared" si="16"/>
        <v>#VALUE!</v>
      </c>
      <c r="O67" s="11">
        <f>IF(K67="Eigen Beheer",0,IF(AND(ISNUMBER(N67),I67&lt;&gt;"",H67&lt;&gt;""),ROUND((I67-H67)/Lists!$Q$2,2)*N67,0))</f>
        <v>0</v>
      </c>
      <c r="R67" s="12" t="str">
        <f>IF(Q67="","",VLOOKUP(Q67,Lists!$E:$F,2,FALSE))</f>
        <v/>
      </c>
      <c r="AD67" s="9">
        <v>50</v>
      </c>
      <c r="AE67" s="11" t="str">
        <f t="shared" si="17"/>
        <v/>
      </c>
      <c r="AF67" s="13">
        <v>0.21</v>
      </c>
      <c r="AG67" s="11" t="str">
        <f t="shared" si="18"/>
        <v/>
      </c>
      <c r="AH67" s="11" t="str">
        <f t="shared" si="19"/>
        <v/>
      </c>
      <c r="AL67" t="str">
        <f t="shared" si="20"/>
        <v/>
      </c>
      <c r="AN67" s="11" t="str">
        <f t="shared" si="21"/>
        <v/>
      </c>
      <c r="AO67" s="13"/>
      <c r="AP67" s="11" t="str">
        <f t="shared" si="22"/>
        <v/>
      </c>
      <c r="AQ67" s="11" t="str">
        <f t="shared" si="23"/>
        <v/>
      </c>
    </row>
    <row r="68" spans="4:43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v>0.21</v>
      </c>
      <c r="N68" s="11" t="e">
        <f t="shared" si="16"/>
        <v>#VALUE!</v>
      </c>
      <c r="O68" s="11">
        <f>IF(K68="Eigen Beheer",0,IF(AND(ISNUMBER(N68),I68&lt;&gt;"",H68&lt;&gt;""),ROUND((I68-H68)/Lists!$Q$2,2)*N68,0))</f>
        <v>0</v>
      </c>
      <c r="R68" s="12" t="str">
        <f>IF(Q68="","",VLOOKUP(Q68,Lists!$E:$F,2,FALSE))</f>
        <v/>
      </c>
      <c r="AD68" s="9">
        <v>50</v>
      </c>
      <c r="AE68" s="11" t="str">
        <f t="shared" si="17"/>
        <v/>
      </c>
      <c r="AF68" s="13">
        <v>0.21</v>
      </c>
      <c r="AG68" s="11" t="str">
        <f t="shared" si="18"/>
        <v/>
      </c>
      <c r="AH68" s="11" t="str">
        <f t="shared" si="19"/>
        <v/>
      </c>
      <c r="AL68" t="str">
        <f t="shared" si="20"/>
        <v/>
      </c>
      <c r="AN68" s="11" t="str">
        <f t="shared" si="21"/>
        <v/>
      </c>
      <c r="AO68" s="13"/>
      <c r="AP68" s="11" t="str">
        <f t="shared" si="22"/>
        <v/>
      </c>
      <c r="AQ68" s="11" t="str">
        <f t="shared" si="23"/>
        <v/>
      </c>
    </row>
    <row r="69" spans="4:43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v>0.21</v>
      </c>
      <c r="N69" s="11" t="e">
        <f t="shared" si="16"/>
        <v>#VALUE!</v>
      </c>
      <c r="O69" s="11">
        <f>IF(K69="Eigen Beheer",0,IF(AND(ISNUMBER(N69),I69&lt;&gt;"",H69&lt;&gt;""),ROUND((I69-H69)/Lists!$Q$2,2)*N69,0))</f>
        <v>0</v>
      </c>
      <c r="R69" s="12" t="str">
        <f>IF(Q69="","",VLOOKUP(Q69,Lists!$E:$F,2,FALSE))</f>
        <v/>
      </c>
      <c r="AD69" s="9">
        <v>50</v>
      </c>
      <c r="AE69" s="11" t="str">
        <f t="shared" si="17"/>
        <v/>
      </c>
      <c r="AF69" s="13">
        <v>0.21</v>
      </c>
      <c r="AG69" s="11" t="str">
        <f t="shared" si="18"/>
        <v/>
      </c>
      <c r="AH69" s="11" t="str">
        <f t="shared" si="19"/>
        <v/>
      </c>
      <c r="AL69" t="str">
        <f t="shared" si="20"/>
        <v/>
      </c>
      <c r="AN69" s="11" t="str">
        <f t="shared" si="21"/>
        <v/>
      </c>
      <c r="AO69" s="13"/>
      <c r="AP69" s="11" t="str">
        <f t="shared" si="22"/>
        <v/>
      </c>
      <c r="AQ69" s="11" t="str">
        <f t="shared" si="23"/>
        <v/>
      </c>
    </row>
    <row r="70" spans="4:43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v>0.21</v>
      </c>
      <c r="N70" s="11" t="e">
        <f t="shared" si="16"/>
        <v>#VALUE!</v>
      </c>
      <c r="O70" s="11">
        <f>IF(K70="Eigen Beheer",0,IF(AND(ISNUMBER(N70),I70&lt;&gt;"",H70&lt;&gt;""),ROUND((I70-H70)/Lists!$Q$2,2)*N70,0))</f>
        <v>0</v>
      </c>
      <c r="R70" s="12" t="str">
        <f>IF(Q70="","",VLOOKUP(Q70,Lists!$E:$F,2,FALSE))</f>
        <v/>
      </c>
      <c r="AD70" s="9">
        <v>50</v>
      </c>
      <c r="AE70" s="11" t="str">
        <f t="shared" si="17"/>
        <v/>
      </c>
      <c r="AF70" s="13">
        <v>0.21</v>
      </c>
      <c r="AG70" s="11" t="str">
        <f t="shared" si="18"/>
        <v/>
      </c>
      <c r="AH70" s="11" t="str">
        <f t="shared" si="19"/>
        <v/>
      </c>
      <c r="AL70" t="str">
        <f t="shared" si="20"/>
        <v/>
      </c>
      <c r="AN70" s="11" t="str">
        <f t="shared" si="21"/>
        <v/>
      </c>
      <c r="AO70" s="13"/>
      <c r="AP70" s="11" t="str">
        <f t="shared" si="22"/>
        <v/>
      </c>
      <c r="AQ70" s="11" t="str">
        <f t="shared" si="23"/>
        <v/>
      </c>
    </row>
    <row r="71" spans="4:43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v>0.21</v>
      </c>
      <c r="N71" s="11" t="e">
        <f t="shared" si="16"/>
        <v>#VALUE!</v>
      </c>
      <c r="O71" s="11">
        <f>IF(K71="Eigen Beheer",0,IF(AND(ISNUMBER(N71),I71&lt;&gt;"",H71&lt;&gt;""),ROUND((I71-H71)/Lists!$Q$2,2)*N71,0))</f>
        <v>0</v>
      </c>
      <c r="R71" s="12" t="str">
        <f>IF(Q71="","",VLOOKUP(Q71,Lists!$E:$F,2,FALSE))</f>
        <v/>
      </c>
      <c r="AD71" s="9">
        <v>50</v>
      </c>
      <c r="AE71" s="11" t="str">
        <f t="shared" si="17"/>
        <v/>
      </c>
      <c r="AF71" s="13">
        <v>0.21</v>
      </c>
      <c r="AG71" s="11" t="str">
        <f t="shared" si="18"/>
        <v/>
      </c>
      <c r="AH71" s="11" t="str">
        <f t="shared" si="19"/>
        <v/>
      </c>
      <c r="AL71" t="str">
        <f t="shared" si="20"/>
        <v/>
      </c>
      <c r="AN71" s="11" t="str">
        <f t="shared" si="21"/>
        <v/>
      </c>
      <c r="AO71" s="13"/>
      <c r="AP71" s="11" t="str">
        <f t="shared" si="22"/>
        <v/>
      </c>
      <c r="AQ71" s="11" t="str">
        <f t="shared" si="23"/>
        <v/>
      </c>
    </row>
    <row r="72" spans="4:43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v>0.21</v>
      </c>
      <c r="N72" s="11" t="e">
        <f t="shared" si="16"/>
        <v>#VALUE!</v>
      </c>
      <c r="O72" s="11">
        <f>IF(K72="Eigen Beheer",0,IF(AND(ISNUMBER(N72),I72&lt;&gt;"",H72&lt;&gt;""),ROUND((I72-H72)/Lists!$Q$2,2)*N72,0))</f>
        <v>0</v>
      </c>
      <c r="R72" s="12" t="str">
        <f>IF(Q72="","",VLOOKUP(Q72,Lists!$E:$F,2,FALSE))</f>
        <v/>
      </c>
      <c r="AD72" s="9">
        <v>50</v>
      </c>
      <c r="AE72" s="11" t="str">
        <f t="shared" si="17"/>
        <v/>
      </c>
      <c r="AF72" s="13">
        <v>0.21</v>
      </c>
      <c r="AG72" s="11" t="str">
        <f t="shared" si="18"/>
        <v/>
      </c>
      <c r="AH72" s="11" t="str">
        <f t="shared" si="19"/>
        <v/>
      </c>
      <c r="AL72" t="str">
        <f t="shared" si="20"/>
        <v/>
      </c>
      <c r="AN72" s="11" t="str">
        <f t="shared" si="21"/>
        <v/>
      </c>
      <c r="AO72" s="13"/>
      <c r="AP72" s="11" t="str">
        <f t="shared" si="22"/>
        <v/>
      </c>
      <c r="AQ72" s="11" t="str">
        <f t="shared" si="23"/>
        <v/>
      </c>
    </row>
    <row r="73" spans="4:43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v>0.21</v>
      </c>
      <c r="N73" s="11" t="e">
        <f t="shared" si="16"/>
        <v>#VALUE!</v>
      </c>
      <c r="O73" s="11">
        <f>IF(K73="Eigen Beheer",0,IF(AND(ISNUMBER(N73),I73&lt;&gt;"",H73&lt;&gt;""),ROUND((I73-H73)/Lists!$Q$2,2)*N73,0))</f>
        <v>0</v>
      </c>
      <c r="R73" s="12" t="str">
        <f>IF(Q73="","",VLOOKUP(Q73,Lists!$E:$F,2,FALSE))</f>
        <v/>
      </c>
      <c r="AD73" s="9">
        <v>50</v>
      </c>
      <c r="AE73" s="11" t="str">
        <f t="shared" si="17"/>
        <v/>
      </c>
      <c r="AF73" s="13">
        <v>0.21</v>
      </c>
      <c r="AG73" s="11" t="str">
        <f t="shared" si="18"/>
        <v/>
      </c>
      <c r="AH73" s="11" t="str">
        <f t="shared" si="19"/>
        <v/>
      </c>
      <c r="AL73" t="str">
        <f t="shared" si="20"/>
        <v/>
      </c>
      <c r="AN73" s="11" t="str">
        <f t="shared" si="21"/>
        <v/>
      </c>
      <c r="AO73" s="13"/>
      <c r="AP73" s="11" t="str">
        <f t="shared" si="22"/>
        <v/>
      </c>
      <c r="AQ73" s="11" t="str">
        <f t="shared" si="23"/>
        <v/>
      </c>
    </row>
    <row r="74" spans="4:43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v>0.21</v>
      </c>
      <c r="N74" s="11" t="e">
        <f t="shared" si="16"/>
        <v>#VALUE!</v>
      </c>
      <c r="O74" s="11">
        <f>IF(K74="Eigen Beheer",0,IF(AND(ISNUMBER(N74),I74&lt;&gt;"",H74&lt;&gt;""),ROUND((I74-H74)/Lists!$Q$2,2)*N74,0))</f>
        <v>0</v>
      </c>
      <c r="R74" s="12" t="str">
        <f>IF(Q74="","",VLOOKUP(Q74,Lists!$E:$F,2,FALSE))</f>
        <v/>
      </c>
      <c r="AD74" s="9">
        <v>50</v>
      </c>
      <c r="AE74" s="11" t="str">
        <f t="shared" si="17"/>
        <v/>
      </c>
      <c r="AF74" s="13">
        <v>0.21</v>
      </c>
      <c r="AG74" s="11" t="str">
        <f t="shared" si="18"/>
        <v/>
      </c>
      <c r="AH74" s="11" t="str">
        <f t="shared" si="19"/>
        <v/>
      </c>
      <c r="AL74" t="str">
        <f t="shared" si="20"/>
        <v/>
      </c>
      <c r="AN74" s="11" t="str">
        <f t="shared" si="21"/>
        <v/>
      </c>
      <c r="AO74" s="13"/>
      <c r="AP74" s="11" t="str">
        <f t="shared" si="22"/>
        <v/>
      </c>
      <c r="AQ74" s="11" t="str">
        <f t="shared" si="23"/>
        <v/>
      </c>
    </row>
    <row r="75" spans="4:43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v>0.21</v>
      </c>
      <c r="N75" s="11" t="e">
        <f t="shared" si="16"/>
        <v>#VALUE!</v>
      </c>
      <c r="O75" s="11">
        <f>IF(K75="Eigen Beheer",0,IF(AND(ISNUMBER(N75),I75&lt;&gt;"",H75&lt;&gt;""),ROUND((I75-H75)/Lists!$Q$2,2)*N75,0))</f>
        <v>0</v>
      </c>
      <c r="R75" s="12" t="str">
        <f>IF(Q75="","",VLOOKUP(Q75,Lists!$E:$F,2,FALSE))</f>
        <v/>
      </c>
      <c r="AD75" s="9">
        <v>50</v>
      </c>
      <c r="AE75" s="11" t="str">
        <f t="shared" si="17"/>
        <v/>
      </c>
      <c r="AF75" s="13">
        <v>0.21</v>
      </c>
      <c r="AG75" s="11" t="str">
        <f t="shared" si="18"/>
        <v/>
      </c>
      <c r="AH75" s="11" t="str">
        <f t="shared" si="19"/>
        <v/>
      </c>
      <c r="AL75" t="str">
        <f t="shared" si="20"/>
        <v/>
      </c>
      <c r="AN75" s="11" t="str">
        <f t="shared" si="21"/>
        <v/>
      </c>
      <c r="AO75" s="13"/>
      <c r="AP75" s="11" t="str">
        <f t="shared" si="22"/>
        <v/>
      </c>
      <c r="AQ75" s="11" t="str">
        <f t="shared" si="23"/>
        <v/>
      </c>
    </row>
    <row r="76" spans="4:43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v>0.21</v>
      </c>
      <c r="N76" s="11" t="e">
        <f t="shared" si="16"/>
        <v>#VALUE!</v>
      </c>
      <c r="O76" s="11">
        <f>IF(K76="Eigen Beheer",0,IF(AND(ISNUMBER(N76),I76&lt;&gt;"",H76&lt;&gt;""),ROUND((I76-H76)/Lists!$Q$2,2)*N76,0))</f>
        <v>0</v>
      </c>
      <c r="R76" s="12" t="str">
        <f>IF(Q76="","",VLOOKUP(Q76,Lists!$E:$F,2,FALSE))</f>
        <v/>
      </c>
      <c r="AD76" s="9">
        <v>50</v>
      </c>
      <c r="AE76" s="11" t="str">
        <f t="shared" si="17"/>
        <v/>
      </c>
      <c r="AF76" s="13">
        <v>0.21</v>
      </c>
      <c r="AG76" s="11" t="str">
        <f t="shared" si="18"/>
        <v/>
      </c>
      <c r="AH76" s="11" t="str">
        <f t="shared" si="19"/>
        <v/>
      </c>
      <c r="AL76" t="str">
        <f t="shared" si="20"/>
        <v/>
      </c>
      <c r="AN76" s="11" t="str">
        <f t="shared" si="21"/>
        <v/>
      </c>
      <c r="AO76" s="13"/>
      <c r="AP76" s="11" t="str">
        <f t="shared" si="22"/>
        <v/>
      </c>
      <c r="AQ76" s="11" t="str">
        <f t="shared" si="23"/>
        <v/>
      </c>
    </row>
    <row r="77" spans="4:43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v>0.21</v>
      </c>
      <c r="N77" s="11" t="e">
        <f t="shared" si="16"/>
        <v>#VALUE!</v>
      </c>
      <c r="O77" s="11">
        <f>IF(K77="Eigen Beheer",0,IF(AND(ISNUMBER(N77),I77&lt;&gt;"",H77&lt;&gt;""),ROUND((I77-H77)/Lists!$Q$2,2)*N77,0))</f>
        <v>0</v>
      </c>
      <c r="R77" s="12" t="str">
        <f>IF(Q77="","",VLOOKUP(Q77,Lists!$E:$F,2,FALSE))</f>
        <v/>
      </c>
      <c r="AD77" s="9">
        <v>50</v>
      </c>
      <c r="AE77" s="11" t="str">
        <f t="shared" si="17"/>
        <v/>
      </c>
      <c r="AF77" s="13">
        <v>0.21</v>
      </c>
      <c r="AG77" s="11" t="str">
        <f t="shared" si="18"/>
        <v/>
      </c>
      <c r="AH77" s="11" t="str">
        <f t="shared" si="19"/>
        <v/>
      </c>
      <c r="AL77" t="str">
        <f t="shared" si="20"/>
        <v/>
      </c>
      <c r="AN77" s="11" t="str">
        <f t="shared" si="21"/>
        <v/>
      </c>
      <c r="AO77" s="13"/>
      <c r="AP77" s="11" t="str">
        <f t="shared" si="22"/>
        <v/>
      </c>
      <c r="AQ77" s="11" t="str">
        <f t="shared" si="23"/>
        <v/>
      </c>
    </row>
    <row r="78" spans="4:43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v>0.21</v>
      </c>
      <c r="N78" s="11" t="e">
        <f t="shared" si="16"/>
        <v>#VALUE!</v>
      </c>
      <c r="O78" s="11">
        <f>IF(K78="Eigen Beheer",0,IF(AND(ISNUMBER(N78),I78&lt;&gt;"",H78&lt;&gt;""),ROUND((I78-H78)/Lists!$Q$2,2)*N78,0))</f>
        <v>0</v>
      </c>
      <c r="R78" s="12" t="str">
        <f>IF(Q78="","",VLOOKUP(Q78,Lists!$E:$F,2,FALSE))</f>
        <v/>
      </c>
      <c r="AD78" s="9">
        <v>50</v>
      </c>
      <c r="AE78" s="11" t="str">
        <f t="shared" si="17"/>
        <v/>
      </c>
      <c r="AF78" s="13">
        <v>0.21</v>
      </c>
      <c r="AG78" s="11" t="str">
        <f t="shared" si="18"/>
        <v/>
      </c>
      <c r="AH78" s="11" t="str">
        <f t="shared" si="19"/>
        <v/>
      </c>
      <c r="AL78" t="str">
        <f t="shared" si="20"/>
        <v/>
      </c>
      <c r="AN78" s="11" t="str">
        <f t="shared" si="21"/>
        <v/>
      </c>
      <c r="AO78" s="13"/>
      <c r="AP78" s="11" t="str">
        <f t="shared" si="22"/>
        <v/>
      </c>
      <c r="AQ78" s="11" t="str">
        <f t="shared" si="23"/>
        <v/>
      </c>
    </row>
    <row r="79" spans="4:43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v>0.21</v>
      </c>
      <c r="N79" s="11" t="e">
        <f t="shared" si="16"/>
        <v>#VALUE!</v>
      </c>
      <c r="O79" s="11">
        <f>IF(K79="Eigen Beheer",0,IF(AND(ISNUMBER(N79),I79&lt;&gt;"",H79&lt;&gt;""),ROUND((I79-H79)/Lists!$Q$2,2)*N79,0))</f>
        <v>0</v>
      </c>
      <c r="R79" s="12" t="str">
        <f>IF(Q79="","",VLOOKUP(Q79,Lists!$E:$F,2,FALSE))</f>
        <v/>
      </c>
      <c r="AD79" s="9">
        <v>50</v>
      </c>
      <c r="AE79" s="11" t="str">
        <f t="shared" si="17"/>
        <v/>
      </c>
      <c r="AF79" s="13">
        <v>0.21</v>
      </c>
      <c r="AG79" s="11" t="str">
        <f t="shared" si="18"/>
        <v/>
      </c>
      <c r="AH79" s="11" t="str">
        <f t="shared" si="19"/>
        <v/>
      </c>
      <c r="AL79" t="str">
        <f t="shared" si="20"/>
        <v/>
      </c>
      <c r="AN79" s="11" t="str">
        <f t="shared" si="21"/>
        <v/>
      </c>
      <c r="AO79" s="13"/>
      <c r="AP79" s="11" t="str">
        <f t="shared" si="22"/>
        <v/>
      </c>
      <c r="AQ79" s="11" t="str">
        <f t="shared" si="23"/>
        <v/>
      </c>
    </row>
    <row r="80" spans="4:43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v>0.21</v>
      </c>
      <c r="N80" s="11" t="e">
        <f t="shared" si="16"/>
        <v>#VALUE!</v>
      </c>
      <c r="O80" s="11">
        <f>IF(K80="Eigen Beheer",0,IF(AND(ISNUMBER(N80),I80&lt;&gt;"",H80&lt;&gt;""),ROUND((I80-H80)/Lists!$Q$2,2)*N80,0))</f>
        <v>0</v>
      </c>
      <c r="R80" s="12" t="str">
        <f>IF(Q80="","",VLOOKUP(Q80,Lists!$E:$F,2,FALSE))</f>
        <v/>
      </c>
      <c r="AD80" s="9">
        <v>50</v>
      </c>
      <c r="AE80" s="11" t="str">
        <f t="shared" si="17"/>
        <v/>
      </c>
      <c r="AF80" s="13">
        <v>0.21</v>
      </c>
      <c r="AG80" s="11" t="str">
        <f t="shared" si="18"/>
        <v/>
      </c>
      <c r="AH80" s="11" t="str">
        <f t="shared" si="19"/>
        <v/>
      </c>
      <c r="AL80" t="str">
        <f t="shared" si="20"/>
        <v/>
      </c>
      <c r="AN80" s="11" t="str">
        <f t="shared" si="21"/>
        <v/>
      </c>
      <c r="AO80" s="13"/>
      <c r="AP80" s="11" t="str">
        <f t="shared" si="22"/>
        <v/>
      </c>
      <c r="AQ80" s="11" t="str">
        <f t="shared" si="23"/>
        <v/>
      </c>
    </row>
    <row r="81" spans="4:43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v>0.21</v>
      </c>
      <c r="N81" s="11" t="e">
        <f t="shared" si="16"/>
        <v>#VALUE!</v>
      </c>
      <c r="O81" s="11">
        <f>IF(K81="Eigen Beheer",0,IF(AND(ISNUMBER(N81),I81&lt;&gt;"",H81&lt;&gt;""),ROUND((I81-H81)/Lists!$Q$2,2)*N81,0))</f>
        <v>0</v>
      </c>
      <c r="R81" s="12" t="str">
        <f>IF(Q81="","",VLOOKUP(Q81,Lists!$E:$F,2,FALSE))</f>
        <v/>
      </c>
      <c r="AD81" s="9">
        <v>50</v>
      </c>
      <c r="AE81" s="11" t="str">
        <f t="shared" si="17"/>
        <v/>
      </c>
      <c r="AF81" s="13">
        <v>0.21</v>
      </c>
      <c r="AG81" s="11" t="str">
        <f t="shared" si="18"/>
        <v/>
      </c>
      <c r="AH81" s="11" t="str">
        <f t="shared" si="19"/>
        <v/>
      </c>
      <c r="AL81" t="str">
        <f t="shared" si="20"/>
        <v/>
      </c>
      <c r="AN81" s="11" t="str">
        <f t="shared" si="21"/>
        <v/>
      </c>
      <c r="AO81" s="13"/>
      <c r="AP81" s="11" t="str">
        <f t="shared" si="22"/>
        <v/>
      </c>
      <c r="AQ81" s="11" t="str">
        <f t="shared" si="23"/>
        <v/>
      </c>
    </row>
    <row r="82" spans="4:43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v>0.21</v>
      </c>
      <c r="N82" s="11" t="e">
        <f t="shared" si="16"/>
        <v>#VALUE!</v>
      </c>
      <c r="O82" s="11">
        <f>IF(K82="Eigen Beheer",0,IF(AND(ISNUMBER(N82),I82&lt;&gt;"",H82&lt;&gt;""),ROUND((I82-H82)/Lists!$Q$2,2)*N82,0))</f>
        <v>0</v>
      </c>
      <c r="R82" s="12" t="str">
        <f>IF(Q82="","",VLOOKUP(Q82,Lists!$E:$F,2,FALSE))</f>
        <v/>
      </c>
      <c r="AD82" s="9">
        <v>50</v>
      </c>
      <c r="AE82" s="11" t="str">
        <f t="shared" si="17"/>
        <v/>
      </c>
      <c r="AF82" s="13">
        <v>0.21</v>
      </c>
      <c r="AG82" s="11" t="str">
        <f t="shared" si="18"/>
        <v/>
      </c>
      <c r="AH82" s="11" t="str">
        <f t="shared" si="19"/>
        <v/>
      </c>
      <c r="AL82" t="str">
        <f t="shared" si="20"/>
        <v/>
      </c>
      <c r="AN82" s="11" t="str">
        <f t="shared" si="21"/>
        <v/>
      </c>
      <c r="AO82" s="13"/>
      <c r="AP82" s="11" t="str">
        <f t="shared" si="22"/>
        <v/>
      </c>
      <c r="AQ82" s="11" t="str">
        <f t="shared" si="23"/>
        <v/>
      </c>
    </row>
    <row r="83" spans="4:43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v>0.21</v>
      </c>
      <c r="N83" s="11" t="e">
        <f t="shared" si="16"/>
        <v>#VALUE!</v>
      </c>
      <c r="O83" s="11">
        <f>IF(K83="Eigen Beheer",0,IF(AND(ISNUMBER(N83),I83&lt;&gt;"",H83&lt;&gt;""),ROUND((I83-H83)/Lists!$Q$2,2)*N83,0))</f>
        <v>0</v>
      </c>
      <c r="R83" s="12" t="str">
        <f>IF(Q83="","",VLOOKUP(Q83,Lists!$E:$F,2,FALSE))</f>
        <v/>
      </c>
      <c r="AD83" s="9">
        <v>50</v>
      </c>
      <c r="AE83" s="11" t="str">
        <f t="shared" si="17"/>
        <v/>
      </c>
      <c r="AF83" s="13">
        <v>0.21</v>
      </c>
      <c r="AG83" s="11" t="str">
        <f t="shared" si="18"/>
        <v/>
      </c>
      <c r="AH83" s="11" t="str">
        <f t="shared" si="19"/>
        <v/>
      </c>
      <c r="AL83" t="str">
        <f t="shared" si="20"/>
        <v/>
      </c>
      <c r="AN83" s="11" t="str">
        <f t="shared" si="21"/>
        <v/>
      </c>
      <c r="AO83" s="13"/>
      <c r="AP83" s="11" t="str">
        <f t="shared" si="22"/>
        <v/>
      </c>
      <c r="AQ83" s="11" t="str">
        <f t="shared" si="23"/>
        <v/>
      </c>
    </row>
    <row r="84" spans="4:43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v>0.21</v>
      </c>
      <c r="N84" s="11" t="e">
        <f t="shared" si="16"/>
        <v>#VALUE!</v>
      </c>
      <c r="O84" s="11">
        <f>IF(K84="Eigen Beheer",0,IF(AND(ISNUMBER(N84),I84&lt;&gt;"",H84&lt;&gt;""),ROUND((I84-H84)/Lists!$Q$2,2)*N84,0))</f>
        <v>0</v>
      </c>
      <c r="R84" s="12" t="str">
        <f>IF(Q84="","",VLOOKUP(Q84,Lists!$E:$F,2,FALSE))</f>
        <v/>
      </c>
      <c r="AD84" s="9">
        <v>50</v>
      </c>
      <c r="AE84" s="11" t="str">
        <f t="shared" si="17"/>
        <v/>
      </c>
      <c r="AF84" s="13">
        <v>0.21</v>
      </c>
      <c r="AG84" s="11" t="str">
        <f t="shared" si="18"/>
        <v/>
      </c>
      <c r="AH84" s="11" t="str">
        <f t="shared" si="19"/>
        <v/>
      </c>
      <c r="AL84" t="str">
        <f t="shared" si="20"/>
        <v/>
      </c>
      <c r="AN84" s="11" t="str">
        <f t="shared" si="21"/>
        <v/>
      </c>
      <c r="AO84" s="13"/>
      <c r="AP84" s="11" t="str">
        <f t="shared" si="22"/>
        <v/>
      </c>
      <c r="AQ84" s="11" t="str">
        <f t="shared" si="23"/>
        <v/>
      </c>
    </row>
    <row r="85" spans="4:43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v>0.21</v>
      </c>
      <c r="N85" s="11" t="e">
        <f t="shared" si="16"/>
        <v>#VALUE!</v>
      </c>
      <c r="O85" s="11">
        <f>IF(K85="Eigen Beheer",0,IF(AND(ISNUMBER(N85),I85&lt;&gt;"",H85&lt;&gt;""),ROUND((I85-H85)/Lists!$Q$2,2)*N85,0))</f>
        <v>0</v>
      </c>
      <c r="R85" s="12" t="str">
        <f>IF(Q85="","",VLOOKUP(Q85,Lists!$E:$F,2,FALSE))</f>
        <v/>
      </c>
      <c r="AD85" s="9">
        <v>50</v>
      </c>
      <c r="AE85" s="11" t="str">
        <f t="shared" si="17"/>
        <v/>
      </c>
      <c r="AF85" s="13">
        <v>0.21</v>
      </c>
      <c r="AG85" s="11" t="str">
        <f t="shared" si="18"/>
        <v/>
      </c>
      <c r="AH85" s="11" t="str">
        <f t="shared" si="19"/>
        <v/>
      </c>
      <c r="AL85" t="str">
        <f t="shared" si="20"/>
        <v/>
      </c>
      <c r="AN85" s="11" t="str">
        <f t="shared" si="21"/>
        <v/>
      </c>
      <c r="AO85" s="13"/>
      <c r="AP85" s="11" t="str">
        <f t="shared" si="22"/>
        <v/>
      </c>
      <c r="AQ85" s="11" t="str">
        <f t="shared" si="23"/>
        <v/>
      </c>
    </row>
    <row r="86" spans="4:43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v>0.21</v>
      </c>
      <c r="N86" s="11" t="e">
        <f t="shared" si="16"/>
        <v>#VALUE!</v>
      </c>
      <c r="O86" s="11">
        <f>IF(K86="Eigen Beheer",0,IF(AND(ISNUMBER(N86),I86&lt;&gt;"",H86&lt;&gt;""),ROUND((I86-H86)/Lists!$Q$2,2)*N86,0))</f>
        <v>0</v>
      </c>
      <c r="R86" s="12" t="str">
        <f>IF(Q86="","",VLOOKUP(Q86,Lists!$E:$F,2,FALSE))</f>
        <v/>
      </c>
      <c r="AD86" s="9">
        <v>50</v>
      </c>
      <c r="AE86" s="11" t="str">
        <f t="shared" si="17"/>
        <v/>
      </c>
      <c r="AF86" s="13">
        <v>0.21</v>
      </c>
      <c r="AG86" s="11" t="str">
        <f t="shared" si="18"/>
        <v/>
      </c>
      <c r="AH86" s="11" t="str">
        <f t="shared" si="19"/>
        <v/>
      </c>
      <c r="AL86" t="str">
        <f t="shared" si="20"/>
        <v/>
      </c>
      <c r="AN86" s="11" t="str">
        <f t="shared" si="21"/>
        <v/>
      </c>
      <c r="AO86" s="13"/>
      <c r="AP86" s="11" t="str">
        <f t="shared" si="22"/>
        <v/>
      </c>
      <c r="AQ86" s="11" t="str">
        <f t="shared" si="23"/>
        <v/>
      </c>
    </row>
    <row r="87" spans="4:43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v>0.21</v>
      </c>
      <c r="N87" s="11" t="e">
        <f t="shared" si="16"/>
        <v>#VALUE!</v>
      </c>
      <c r="O87" s="11">
        <f>IF(K87="Eigen Beheer",0,IF(AND(ISNUMBER(N87),I87&lt;&gt;"",H87&lt;&gt;""),ROUND((I87-H87)/Lists!$Q$2,2)*N87,0))</f>
        <v>0</v>
      </c>
      <c r="R87" s="12" t="str">
        <f>IF(Q87="","",VLOOKUP(Q87,Lists!$E:$F,2,FALSE))</f>
        <v/>
      </c>
      <c r="AD87" s="9">
        <v>50</v>
      </c>
      <c r="AE87" s="11" t="str">
        <f t="shared" si="17"/>
        <v/>
      </c>
      <c r="AF87" s="13">
        <v>0.21</v>
      </c>
      <c r="AG87" s="11" t="str">
        <f t="shared" si="18"/>
        <v/>
      </c>
      <c r="AH87" s="11" t="str">
        <f t="shared" si="19"/>
        <v/>
      </c>
      <c r="AL87" t="str">
        <f t="shared" si="20"/>
        <v/>
      </c>
      <c r="AN87" s="11" t="str">
        <f t="shared" si="21"/>
        <v/>
      </c>
      <c r="AO87" s="13"/>
      <c r="AP87" s="11" t="str">
        <f t="shared" si="22"/>
        <v/>
      </c>
      <c r="AQ87" s="11" t="str">
        <f t="shared" si="23"/>
        <v/>
      </c>
    </row>
    <row r="88" spans="4:43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v>0.21</v>
      </c>
      <c r="N88" s="11" t="e">
        <f t="shared" si="16"/>
        <v>#VALUE!</v>
      </c>
      <c r="O88" s="11">
        <f>IF(K88="Eigen Beheer",0,IF(AND(ISNUMBER(N88),I88&lt;&gt;"",H88&lt;&gt;""),ROUND((I88-H88)/Lists!$Q$2,2)*N88,0))</f>
        <v>0</v>
      </c>
      <c r="R88" s="12" t="str">
        <f>IF(Q88="","",VLOOKUP(Q88,Lists!$E:$F,2,FALSE))</f>
        <v/>
      </c>
      <c r="AD88" s="9">
        <v>50</v>
      </c>
      <c r="AE88" s="11" t="str">
        <f t="shared" si="17"/>
        <v/>
      </c>
      <c r="AF88" s="13">
        <v>0.21</v>
      </c>
      <c r="AG88" s="11" t="str">
        <f t="shared" si="18"/>
        <v/>
      </c>
      <c r="AH88" s="11" t="str">
        <f t="shared" si="19"/>
        <v/>
      </c>
      <c r="AL88" t="str">
        <f t="shared" si="20"/>
        <v/>
      </c>
      <c r="AN88" s="11" t="str">
        <f t="shared" si="21"/>
        <v/>
      </c>
      <c r="AO88" s="13"/>
      <c r="AP88" s="11" t="str">
        <f t="shared" si="22"/>
        <v/>
      </c>
      <c r="AQ88" s="11" t="str">
        <f t="shared" si="23"/>
        <v/>
      </c>
    </row>
    <row r="89" spans="4:43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v>0.21</v>
      </c>
      <c r="N89" s="11" t="e">
        <f t="shared" si="16"/>
        <v>#VALUE!</v>
      </c>
      <c r="O89" s="11">
        <f>IF(K89="Eigen Beheer",0,IF(AND(ISNUMBER(N89),I89&lt;&gt;"",H89&lt;&gt;""),ROUND((I89-H89)/Lists!$Q$2,2)*N89,0))</f>
        <v>0</v>
      </c>
      <c r="R89" s="12" t="str">
        <f>IF(Q89="","",VLOOKUP(Q89,Lists!$E:$F,2,FALSE))</f>
        <v/>
      </c>
      <c r="AD89" s="9">
        <v>50</v>
      </c>
      <c r="AE89" s="11" t="str">
        <f t="shared" si="17"/>
        <v/>
      </c>
      <c r="AF89" s="13">
        <v>0.21</v>
      </c>
      <c r="AG89" s="11" t="str">
        <f t="shared" si="18"/>
        <v/>
      </c>
      <c r="AH89" s="11" t="str">
        <f t="shared" si="19"/>
        <v/>
      </c>
      <c r="AL89" t="str">
        <f t="shared" si="20"/>
        <v/>
      </c>
      <c r="AN89" s="11" t="str">
        <f t="shared" si="21"/>
        <v/>
      </c>
      <c r="AO89" s="13"/>
      <c r="AP89" s="11" t="str">
        <f t="shared" si="22"/>
        <v/>
      </c>
      <c r="AQ89" s="11" t="str">
        <f t="shared" si="23"/>
        <v/>
      </c>
    </row>
    <row r="90" spans="4:43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v>0.21</v>
      </c>
      <c r="N90" s="11" t="e">
        <f t="shared" si="16"/>
        <v>#VALUE!</v>
      </c>
      <c r="O90" s="11">
        <f>IF(K90="Eigen Beheer",0,IF(AND(ISNUMBER(N90),I90&lt;&gt;"",H90&lt;&gt;""),ROUND((I90-H90)/Lists!$Q$2,2)*N90,0))</f>
        <v>0</v>
      </c>
      <c r="R90" s="12" t="str">
        <f>IF(Q90="","",VLOOKUP(Q90,Lists!$E:$F,2,FALSE))</f>
        <v/>
      </c>
      <c r="AD90" s="9">
        <v>50</v>
      </c>
      <c r="AE90" s="11" t="str">
        <f t="shared" si="17"/>
        <v/>
      </c>
      <c r="AF90" s="13">
        <v>0.21</v>
      </c>
      <c r="AG90" s="11" t="str">
        <f t="shared" si="18"/>
        <v/>
      </c>
      <c r="AH90" s="11" t="str">
        <f t="shared" si="19"/>
        <v/>
      </c>
      <c r="AL90" t="str">
        <f t="shared" si="20"/>
        <v/>
      </c>
      <c r="AN90" s="11" t="str">
        <f t="shared" si="21"/>
        <v/>
      </c>
      <c r="AO90" s="13"/>
      <c r="AP90" s="11" t="str">
        <f t="shared" si="22"/>
        <v/>
      </c>
      <c r="AQ90" s="11" t="str">
        <f t="shared" si="23"/>
        <v/>
      </c>
    </row>
    <row r="91" spans="4:43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v>0.21</v>
      </c>
      <c r="N91" s="11" t="e">
        <f t="shared" si="16"/>
        <v>#VALUE!</v>
      </c>
      <c r="O91" s="11">
        <f>IF(K91="Eigen Beheer",0,IF(AND(ISNUMBER(N91),I91&lt;&gt;"",H91&lt;&gt;""),ROUND((I91-H91)/Lists!$Q$2,2)*N91,0))</f>
        <v>0</v>
      </c>
      <c r="R91" s="12" t="str">
        <f>IF(Q91="","",VLOOKUP(Q91,Lists!$E:$F,2,FALSE))</f>
        <v/>
      </c>
      <c r="AD91" s="9">
        <v>50</v>
      </c>
      <c r="AE91" s="11" t="str">
        <f t="shared" si="17"/>
        <v/>
      </c>
      <c r="AF91" s="13">
        <v>0.21</v>
      </c>
      <c r="AG91" s="11" t="str">
        <f t="shared" si="18"/>
        <v/>
      </c>
      <c r="AH91" s="11" t="str">
        <f t="shared" si="19"/>
        <v/>
      </c>
      <c r="AL91" t="str">
        <f t="shared" si="20"/>
        <v/>
      </c>
      <c r="AN91" s="11" t="str">
        <f t="shared" si="21"/>
        <v/>
      </c>
      <c r="AO91" s="13"/>
      <c r="AP91" s="11" t="str">
        <f t="shared" si="22"/>
        <v/>
      </c>
      <c r="AQ91" s="11" t="str">
        <f t="shared" si="23"/>
        <v/>
      </c>
    </row>
    <row r="92" spans="4:43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v>0.21</v>
      </c>
      <c r="N92" s="11" t="e">
        <f t="shared" si="16"/>
        <v>#VALUE!</v>
      </c>
      <c r="O92" s="11">
        <f>IF(K92="Eigen Beheer",0,IF(AND(ISNUMBER(N92),I92&lt;&gt;"",H92&lt;&gt;""),ROUND((I92-H92)/Lists!$Q$2,2)*N92,0))</f>
        <v>0</v>
      </c>
      <c r="R92" s="12" t="str">
        <f>IF(Q92="","",VLOOKUP(Q92,Lists!$E:$F,2,FALSE))</f>
        <v/>
      </c>
      <c r="AD92" s="9">
        <v>50</v>
      </c>
      <c r="AE92" s="11" t="str">
        <f t="shared" si="17"/>
        <v/>
      </c>
      <c r="AF92" s="13">
        <v>0.21</v>
      </c>
      <c r="AG92" s="11" t="str">
        <f t="shared" si="18"/>
        <v/>
      </c>
      <c r="AH92" s="11" t="str">
        <f t="shared" si="19"/>
        <v/>
      </c>
      <c r="AL92" t="str">
        <f t="shared" si="20"/>
        <v/>
      </c>
      <c r="AN92" s="11" t="str">
        <f t="shared" si="21"/>
        <v/>
      </c>
      <c r="AO92" s="13"/>
      <c r="AP92" s="11" t="str">
        <f t="shared" si="22"/>
        <v/>
      </c>
      <c r="AQ92" s="11" t="str">
        <f t="shared" si="23"/>
        <v/>
      </c>
    </row>
    <row r="93" spans="4:43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v>0.21</v>
      </c>
      <c r="N93" s="11" t="e">
        <f t="shared" si="16"/>
        <v>#VALUE!</v>
      </c>
      <c r="O93" s="11">
        <f>IF(K93="Eigen Beheer",0,IF(AND(ISNUMBER(N93),I93&lt;&gt;"",H93&lt;&gt;""),ROUND((I93-H93)/Lists!$Q$2,2)*N93,0))</f>
        <v>0</v>
      </c>
      <c r="R93" s="12" t="str">
        <f>IF(Q93="","",VLOOKUP(Q93,Lists!$E:$F,2,FALSE))</f>
        <v/>
      </c>
      <c r="AD93" s="9">
        <v>50</v>
      </c>
      <c r="AE93" s="11" t="str">
        <f t="shared" si="17"/>
        <v/>
      </c>
      <c r="AF93" s="13">
        <v>0.21</v>
      </c>
      <c r="AG93" s="11" t="str">
        <f t="shared" si="18"/>
        <v/>
      </c>
      <c r="AH93" s="11" t="str">
        <f t="shared" si="19"/>
        <v/>
      </c>
      <c r="AL93" t="str">
        <f t="shared" si="20"/>
        <v/>
      </c>
      <c r="AN93" s="11" t="str">
        <f t="shared" si="21"/>
        <v/>
      </c>
      <c r="AO93" s="13"/>
      <c r="AP93" s="11" t="str">
        <f t="shared" si="22"/>
        <v/>
      </c>
      <c r="AQ93" s="11" t="str">
        <f t="shared" si="23"/>
        <v/>
      </c>
    </row>
    <row r="94" spans="4:43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v>0.21</v>
      </c>
      <c r="N94" s="11" t="e">
        <f t="shared" si="16"/>
        <v>#VALUE!</v>
      </c>
      <c r="O94" s="11">
        <f>IF(K94="Eigen Beheer",0,IF(AND(ISNUMBER(N94),I94&lt;&gt;"",H94&lt;&gt;""),ROUND((I94-H94)/Lists!$Q$2,2)*N94,0))</f>
        <v>0</v>
      </c>
      <c r="R94" s="12" t="str">
        <f>IF(Q94="","",VLOOKUP(Q94,Lists!$E:$F,2,FALSE))</f>
        <v/>
      </c>
      <c r="AD94" s="9">
        <v>50</v>
      </c>
      <c r="AE94" s="11" t="str">
        <f t="shared" si="17"/>
        <v/>
      </c>
      <c r="AF94" s="13">
        <v>0.21</v>
      </c>
      <c r="AG94" s="11" t="str">
        <f t="shared" si="18"/>
        <v/>
      </c>
      <c r="AH94" s="11" t="str">
        <f t="shared" si="19"/>
        <v/>
      </c>
      <c r="AL94" t="str">
        <f t="shared" si="20"/>
        <v/>
      </c>
      <c r="AN94" s="11" t="str">
        <f t="shared" si="21"/>
        <v/>
      </c>
      <c r="AO94" s="13"/>
      <c r="AP94" s="11" t="str">
        <f t="shared" si="22"/>
        <v/>
      </c>
      <c r="AQ94" s="11" t="str">
        <f t="shared" si="23"/>
        <v/>
      </c>
    </row>
    <row r="95" spans="4:43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v>0.21</v>
      </c>
      <c r="N95" s="11" t="e">
        <f t="shared" si="16"/>
        <v>#VALUE!</v>
      </c>
      <c r="O95" s="11">
        <f>IF(K95="Eigen Beheer",0,IF(AND(ISNUMBER(N95),I95&lt;&gt;"",H95&lt;&gt;""),ROUND((I95-H95)/Lists!$Q$2,2)*N95,0))</f>
        <v>0</v>
      </c>
      <c r="R95" s="12" t="str">
        <f>IF(Q95="","",VLOOKUP(Q95,Lists!$E:$F,2,FALSE))</f>
        <v/>
      </c>
      <c r="AD95" s="9">
        <v>50</v>
      </c>
      <c r="AE95" s="11" t="str">
        <f t="shared" si="17"/>
        <v/>
      </c>
      <c r="AF95" s="13">
        <v>0.21</v>
      </c>
      <c r="AG95" s="11" t="str">
        <f t="shared" si="18"/>
        <v/>
      </c>
      <c r="AH95" s="11" t="str">
        <f t="shared" si="19"/>
        <v/>
      </c>
      <c r="AL95" t="str">
        <f t="shared" si="20"/>
        <v/>
      </c>
      <c r="AN95" s="11" t="str">
        <f t="shared" si="21"/>
        <v/>
      </c>
      <c r="AO95" s="13"/>
      <c r="AP95" s="11" t="str">
        <f t="shared" si="22"/>
        <v/>
      </c>
      <c r="AQ95" s="11" t="str">
        <f t="shared" si="23"/>
        <v/>
      </c>
    </row>
    <row r="96" spans="4:43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v>0.21</v>
      </c>
      <c r="N96" s="11" t="e">
        <f t="shared" si="16"/>
        <v>#VALUE!</v>
      </c>
      <c r="O96" s="11">
        <f>IF(K96="Eigen Beheer",0,IF(AND(ISNUMBER(N96),I96&lt;&gt;"",H96&lt;&gt;""),ROUND((I96-H96)/Lists!$Q$2,2)*N96,0))</f>
        <v>0</v>
      </c>
      <c r="R96" s="12" t="str">
        <f>IF(Q96="","",VLOOKUP(Q96,Lists!$E:$F,2,FALSE))</f>
        <v/>
      </c>
      <c r="AD96" s="9">
        <v>50</v>
      </c>
      <c r="AE96" s="11" t="str">
        <f t="shared" si="17"/>
        <v/>
      </c>
      <c r="AF96" s="13">
        <v>0.21</v>
      </c>
      <c r="AG96" s="11" t="str">
        <f t="shared" si="18"/>
        <v/>
      </c>
      <c r="AH96" s="11" t="str">
        <f t="shared" si="19"/>
        <v/>
      </c>
      <c r="AL96" t="str">
        <f t="shared" si="20"/>
        <v/>
      </c>
      <c r="AN96" s="11" t="str">
        <f t="shared" si="21"/>
        <v/>
      </c>
      <c r="AO96" s="13"/>
      <c r="AP96" s="11" t="str">
        <f t="shared" si="22"/>
        <v/>
      </c>
      <c r="AQ96" s="11" t="str">
        <f t="shared" si="23"/>
        <v/>
      </c>
    </row>
    <row r="97" spans="4:43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v>0.21</v>
      </c>
      <c r="N97" s="11" t="e">
        <f t="shared" si="16"/>
        <v>#VALUE!</v>
      </c>
      <c r="O97" s="11">
        <f>IF(K97="Eigen Beheer",0,IF(AND(ISNUMBER(N97),I97&lt;&gt;"",H97&lt;&gt;""),ROUND((I97-H97)/Lists!$Q$2,2)*N97,0))</f>
        <v>0</v>
      </c>
      <c r="R97" s="12" t="str">
        <f>IF(Q97="","",VLOOKUP(Q97,Lists!$E:$F,2,FALSE))</f>
        <v/>
      </c>
      <c r="AD97" s="9">
        <v>50</v>
      </c>
      <c r="AE97" s="11" t="str">
        <f t="shared" si="17"/>
        <v/>
      </c>
      <c r="AF97" s="13">
        <v>0.21</v>
      </c>
      <c r="AG97" s="11" t="str">
        <f t="shared" si="18"/>
        <v/>
      </c>
      <c r="AH97" s="11" t="str">
        <f t="shared" si="19"/>
        <v/>
      </c>
      <c r="AL97" t="str">
        <f t="shared" si="20"/>
        <v/>
      </c>
      <c r="AN97" s="11" t="str">
        <f t="shared" si="21"/>
        <v/>
      </c>
      <c r="AO97" s="13"/>
      <c r="AP97" s="11" t="str">
        <f t="shared" si="22"/>
        <v/>
      </c>
      <c r="AQ97" s="11" t="str">
        <f t="shared" si="23"/>
        <v/>
      </c>
    </row>
    <row r="98" spans="4:43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v>0.21</v>
      </c>
      <c r="N98" s="11" t="e">
        <f t="shared" ref="N98:N129" si="24">L98 * (1 + M98)</f>
        <v>#VALUE!</v>
      </c>
      <c r="O98" s="11">
        <f>IF(K98="Eigen Beheer",0,IF(AND(ISNUMBER(N98),I98&lt;&gt;"",H98&lt;&gt;""),ROUND((I98-H98)/Lists!$Q$2,2)*N98,0))</f>
        <v>0</v>
      </c>
      <c r="R98" s="12" t="str">
        <f>IF(Q98="","",VLOOKUP(Q98,Lists!$E:$F,2,FALSE))</f>
        <v/>
      </c>
      <c r="AD98" s="9">
        <v>50</v>
      </c>
      <c r="AE98" s="11" t="str">
        <f t="shared" ref="AE98:AE129" si="25">IF(AB98="","",IF(ISNUMBER(SEARCH("Basis",AB98)),(250/1.21)+MAX(0,AC98-5)*AD98,IF(ISNUMBER(SEARCH("Intensief",AB98)),(375/1.21)+MAX(0,AC98-7)*AD98,AC98*AD98)))</f>
        <v/>
      </c>
      <c r="AF98" s="13">
        <v>0.21</v>
      </c>
      <c r="AG98" s="11" t="str">
        <f t="shared" ref="AG98:AG129" si="26">IF(AE98&lt;&gt;"",AE98*AF98,"")</f>
        <v/>
      </c>
      <c r="AH98" s="11" t="str">
        <f t="shared" ref="AH98:AH129" si="27">IF(AE98&lt;&gt;"",AE98+AG98,"")</f>
        <v/>
      </c>
      <c r="AL98" t="str">
        <f t="shared" ref="AL98:AL129" si="28"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 t="str">
        <f t="shared" ref="AN98:AN129" si="29">IF(AND(AL98&lt;&gt;"",AM98&lt;&gt;""),AL98*AM98,"")</f>
        <v/>
      </c>
      <c r="AO98" s="13"/>
      <c r="AP98" s="11" t="str">
        <f t="shared" ref="AP98:AP129" si="30">IF(AND(AN98&lt;&gt;"",AO98&lt;&gt;""),AN98*AO98,"")</f>
        <v/>
      </c>
      <c r="AQ98" s="11" t="str">
        <f t="shared" ref="AQ98:AQ129" si="31">IF(AND(AN98&lt;&gt;"",AP98&lt;&gt;""),AN98+AP98,"")</f>
        <v/>
      </c>
    </row>
    <row r="99" spans="4:43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v>0.21</v>
      </c>
      <c r="N99" s="11" t="e">
        <f t="shared" si="24"/>
        <v>#VALUE!</v>
      </c>
      <c r="O99" s="11">
        <f>IF(K99="Eigen Beheer",0,IF(AND(ISNUMBER(N99),I99&lt;&gt;"",H99&lt;&gt;""),ROUND((I99-H99)/Lists!$Q$2,2)*N99,0))</f>
        <v>0</v>
      </c>
      <c r="R99" s="12" t="str">
        <f>IF(Q99="","",VLOOKUP(Q99,Lists!$E:$F,2,FALSE))</f>
        <v/>
      </c>
      <c r="AD99" s="9">
        <v>50</v>
      </c>
      <c r="AE99" s="11" t="str">
        <f t="shared" si="25"/>
        <v/>
      </c>
      <c r="AF99" s="13">
        <v>0.21</v>
      </c>
      <c r="AG99" s="11" t="str">
        <f t="shared" si="26"/>
        <v/>
      </c>
      <c r="AH99" s="11" t="str">
        <f t="shared" si="27"/>
        <v/>
      </c>
      <c r="AL99" t="str">
        <f t="shared" si="28"/>
        <v/>
      </c>
      <c r="AN99" s="11" t="str">
        <f t="shared" si="29"/>
        <v/>
      </c>
      <c r="AO99" s="13"/>
      <c r="AP99" s="11" t="str">
        <f t="shared" si="30"/>
        <v/>
      </c>
      <c r="AQ99" s="11" t="str">
        <f t="shared" si="31"/>
        <v/>
      </c>
    </row>
    <row r="100" spans="4:43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v>0.21</v>
      </c>
      <c r="N100" s="11" t="e">
        <f t="shared" si="24"/>
        <v>#VALUE!</v>
      </c>
      <c r="O100" s="11">
        <f>IF(K100="Eigen Beheer",0,IF(AND(ISNUMBER(N100),I100&lt;&gt;"",H100&lt;&gt;""),ROUND((I100-H100)/Lists!$Q$2,2)*N100,0))</f>
        <v>0</v>
      </c>
      <c r="R100" s="12" t="str">
        <f>IF(Q100="","",VLOOKUP(Q100,Lists!$E:$F,2,FALSE))</f>
        <v/>
      </c>
      <c r="AD100" s="9">
        <v>50</v>
      </c>
      <c r="AE100" s="11" t="str">
        <f t="shared" si="25"/>
        <v/>
      </c>
      <c r="AF100" s="13">
        <v>0.21</v>
      </c>
      <c r="AG100" s="11" t="str">
        <f t="shared" si="26"/>
        <v/>
      </c>
      <c r="AH100" s="11" t="str">
        <f t="shared" si="27"/>
        <v/>
      </c>
      <c r="AL100" t="str">
        <f t="shared" si="28"/>
        <v/>
      </c>
      <c r="AN100" s="11" t="str">
        <f t="shared" si="29"/>
        <v/>
      </c>
      <c r="AO100" s="13"/>
      <c r="AP100" s="11" t="str">
        <f t="shared" si="30"/>
        <v/>
      </c>
      <c r="AQ100" s="11" t="str">
        <f t="shared" si="31"/>
        <v/>
      </c>
    </row>
    <row r="101" spans="4:43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v>0.21</v>
      </c>
      <c r="N101" s="11" t="e">
        <f t="shared" si="24"/>
        <v>#VALUE!</v>
      </c>
      <c r="O101" s="11">
        <f>IF(K101="Eigen Beheer",0,IF(AND(ISNUMBER(N101),I101&lt;&gt;"",H101&lt;&gt;""),ROUND((I101-H101)/Lists!$Q$2,2)*N101,0))</f>
        <v>0</v>
      </c>
      <c r="R101" s="12" t="str">
        <f>IF(Q101="","",VLOOKUP(Q101,Lists!$E:$F,2,FALSE))</f>
        <v/>
      </c>
      <c r="AD101" s="9">
        <v>50</v>
      </c>
      <c r="AE101" s="11" t="str">
        <f t="shared" si="25"/>
        <v/>
      </c>
      <c r="AF101" s="13">
        <v>0.21</v>
      </c>
      <c r="AG101" s="11" t="str">
        <f t="shared" si="26"/>
        <v/>
      </c>
      <c r="AH101" s="11" t="str">
        <f t="shared" si="27"/>
        <v/>
      </c>
      <c r="AL101" t="str">
        <f t="shared" si="28"/>
        <v/>
      </c>
      <c r="AN101" s="11" t="str">
        <f t="shared" si="29"/>
        <v/>
      </c>
      <c r="AO101" s="13"/>
      <c r="AP101" s="11" t="str">
        <f t="shared" si="30"/>
        <v/>
      </c>
      <c r="AQ101" s="11" t="str">
        <f t="shared" si="31"/>
        <v/>
      </c>
    </row>
    <row r="102" spans="4:43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v>0.21</v>
      </c>
      <c r="N102" s="11" t="e">
        <f t="shared" si="24"/>
        <v>#VALUE!</v>
      </c>
      <c r="O102" s="11">
        <f>IF(K102="Eigen Beheer",0,IF(AND(ISNUMBER(N102),I102&lt;&gt;"",H102&lt;&gt;""),ROUND((I102-H102)/Lists!$Q$2,2)*N102,0))</f>
        <v>0</v>
      </c>
      <c r="R102" s="12" t="str">
        <f>IF(Q102="","",VLOOKUP(Q102,Lists!$E:$F,2,FALSE))</f>
        <v/>
      </c>
      <c r="AD102" s="9">
        <v>50</v>
      </c>
      <c r="AE102" s="11" t="str">
        <f t="shared" si="25"/>
        <v/>
      </c>
      <c r="AF102" s="13">
        <v>0.21</v>
      </c>
      <c r="AG102" s="11" t="str">
        <f t="shared" si="26"/>
        <v/>
      </c>
      <c r="AH102" s="11" t="str">
        <f t="shared" si="27"/>
        <v/>
      </c>
      <c r="AL102" t="str">
        <f t="shared" si="28"/>
        <v/>
      </c>
      <c r="AN102" s="11" t="str">
        <f t="shared" si="29"/>
        <v/>
      </c>
      <c r="AO102" s="13"/>
      <c r="AP102" s="11" t="str">
        <f t="shared" si="30"/>
        <v/>
      </c>
      <c r="AQ102" s="11" t="str">
        <f t="shared" si="31"/>
        <v/>
      </c>
    </row>
    <row r="103" spans="4:43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v>0.21</v>
      </c>
      <c r="N103" s="11" t="e">
        <f t="shared" si="24"/>
        <v>#VALUE!</v>
      </c>
      <c r="O103" s="11">
        <f>IF(K103="Eigen Beheer",0,IF(AND(ISNUMBER(N103),I103&lt;&gt;"",H103&lt;&gt;""),ROUND((I103-H103)/Lists!$Q$2,2)*N103,0))</f>
        <v>0</v>
      </c>
      <c r="R103" s="12" t="str">
        <f>IF(Q103="","",VLOOKUP(Q103,Lists!$E:$F,2,FALSE))</f>
        <v/>
      </c>
      <c r="AD103" s="9">
        <v>50</v>
      </c>
      <c r="AE103" s="11" t="str">
        <f t="shared" si="25"/>
        <v/>
      </c>
      <c r="AF103" s="13">
        <v>0.21</v>
      </c>
      <c r="AG103" s="11" t="str">
        <f t="shared" si="26"/>
        <v/>
      </c>
      <c r="AH103" s="11" t="str">
        <f t="shared" si="27"/>
        <v/>
      </c>
      <c r="AL103" t="str">
        <f t="shared" si="28"/>
        <v/>
      </c>
      <c r="AN103" s="11" t="str">
        <f t="shared" si="29"/>
        <v/>
      </c>
      <c r="AO103" s="13"/>
      <c r="AP103" s="11" t="str">
        <f t="shared" si="30"/>
        <v/>
      </c>
      <c r="AQ103" s="11" t="str">
        <f t="shared" si="31"/>
        <v/>
      </c>
    </row>
    <row r="104" spans="4:43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v>0.21</v>
      </c>
      <c r="N104" s="11" t="e">
        <f t="shared" si="24"/>
        <v>#VALUE!</v>
      </c>
      <c r="O104" s="11">
        <f>IF(K104="Eigen Beheer",0,IF(AND(ISNUMBER(N104),I104&lt;&gt;"",H104&lt;&gt;""),ROUND((I104-H104)/Lists!$Q$2,2)*N104,0))</f>
        <v>0</v>
      </c>
      <c r="R104" s="12" t="str">
        <f>IF(Q104="","",VLOOKUP(Q104,Lists!$E:$F,2,FALSE))</f>
        <v/>
      </c>
      <c r="AD104" s="9">
        <v>50</v>
      </c>
      <c r="AE104" s="11" t="str">
        <f t="shared" si="25"/>
        <v/>
      </c>
      <c r="AF104" s="13">
        <v>0.21</v>
      </c>
      <c r="AG104" s="11" t="str">
        <f t="shared" si="26"/>
        <v/>
      </c>
      <c r="AH104" s="11" t="str">
        <f t="shared" si="27"/>
        <v/>
      </c>
      <c r="AL104" t="str">
        <f t="shared" si="28"/>
        <v/>
      </c>
      <c r="AN104" s="11" t="str">
        <f t="shared" si="29"/>
        <v/>
      </c>
      <c r="AO104" s="13"/>
      <c r="AP104" s="11" t="str">
        <f t="shared" si="30"/>
        <v/>
      </c>
      <c r="AQ104" s="11" t="str">
        <f t="shared" si="31"/>
        <v/>
      </c>
    </row>
    <row r="105" spans="4:43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v>0.21</v>
      </c>
      <c r="N105" s="11" t="e">
        <f t="shared" si="24"/>
        <v>#VALUE!</v>
      </c>
      <c r="O105" s="11">
        <f>IF(K105="Eigen Beheer",0,IF(AND(ISNUMBER(N105),I105&lt;&gt;"",H105&lt;&gt;""),ROUND((I105-H105)/Lists!$Q$2,2)*N105,0))</f>
        <v>0</v>
      </c>
      <c r="R105" s="12" t="str">
        <f>IF(Q105="","",VLOOKUP(Q105,Lists!$E:$F,2,FALSE))</f>
        <v/>
      </c>
      <c r="AD105" s="9">
        <v>50</v>
      </c>
      <c r="AE105" s="11" t="str">
        <f t="shared" si="25"/>
        <v/>
      </c>
      <c r="AF105" s="13">
        <v>0.21</v>
      </c>
      <c r="AG105" s="11" t="str">
        <f t="shared" si="26"/>
        <v/>
      </c>
      <c r="AH105" s="11" t="str">
        <f t="shared" si="27"/>
        <v/>
      </c>
      <c r="AL105" t="str">
        <f t="shared" si="28"/>
        <v/>
      </c>
      <c r="AN105" s="11" t="str">
        <f t="shared" si="29"/>
        <v/>
      </c>
      <c r="AO105" s="13"/>
      <c r="AP105" s="11" t="str">
        <f t="shared" si="30"/>
        <v/>
      </c>
      <c r="AQ105" s="11" t="str">
        <f t="shared" si="31"/>
        <v/>
      </c>
    </row>
    <row r="106" spans="4:43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v>0.21</v>
      </c>
      <c r="N106" s="11" t="e">
        <f t="shared" si="24"/>
        <v>#VALUE!</v>
      </c>
      <c r="O106" s="11">
        <f>IF(K106="Eigen Beheer",0,IF(AND(ISNUMBER(N106),I106&lt;&gt;"",H106&lt;&gt;""),ROUND((I106-H106)/Lists!$Q$2,2)*N106,0))</f>
        <v>0</v>
      </c>
      <c r="R106" s="12" t="str">
        <f>IF(Q106="","",VLOOKUP(Q106,Lists!$E:$F,2,FALSE))</f>
        <v/>
      </c>
      <c r="AD106" s="9">
        <v>50</v>
      </c>
      <c r="AE106" s="11" t="str">
        <f t="shared" si="25"/>
        <v/>
      </c>
      <c r="AF106" s="13">
        <v>0.21</v>
      </c>
      <c r="AG106" s="11" t="str">
        <f t="shared" si="26"/>
        <v/>
      </c>
      <c r="AH106" s="11" t="str">
        <f t="shared" si="27"/>
        <v/>
      </c>
      <c r="AL106" t="str">
        <f t="shared" si="28"/>
        <v/>
      </c>
      <c r="AN106" s="11" t="str">
        <f t="shared" si="29"/>
        <v/>
      </c>
      <c r="AO106" s="13"/>
      <c r="AP106" s="11" t="str">
        <f t="shared" si="30"/>
        <v/>
      </c>
      <c r="AQ106" s="11" t="str">
        <f t="shared" si="31"/>
        <v/>
      </c>
    </row>
    <row r="107" spans="4:43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v>0.21</v>
      </c>
      <c r="N107" s="11" t="e">
        <f t="shared" si="24"/>
        <v>#VALUE!</v>
      </c>
      <c r="O107" s="11">
        <f>IF(K107="Eigen Beheer",0,IF(AND(ISNUMBER(N107),I107&lt;&gt;"",H107&lt;&gt;""),ROUND((I107-H107)/Lists!$Q$2,2)*N107,0))</f>
        <v>0</v>
      </c>
      <c r="R107" s="12" t="str">
        <f>IF(Q107="","",VLOOKUP(Q107,Lists!$E:$F,2,FALSE))</f>
        <v/>
      </c>
      <c r="AD107" s="9">
        <v>50</v>
      </c>
      <c r="AE107" s="11" t="str">
        <f t="shared" si="25"/>
        <v/>
      </c>
      <c r="AF107" s="13">
        <v>0.21</v>
      </c>
      <c r="AG107" s="11" t="str">
        <f t="shared" si="26"/>
        <v/>
      </c>
      <c r="AH107" s="11" t="str">
        <f t="shared" si="27"/>
        <v/>
      </c>
      <c r="AL107" t="str">
        <f t="shared" si="28"/>
        <v/>
      </c>
      <c r="AN107" s="11" t="str">
        <f t="shared" si="29"/>
        <v/>
      </c>
      <c r="AO107" s="13"/>
      <c r="AP107" s="11" t="str">
        <f t="shared" si="30"/>
        <v/>
      </c>
      <c r="AQ107" s="11" t="str">
        <f t="shared" si="31"/>
        <v/>
      </c>
    </row>
    <row r="108" spans="4:43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v>0.21</v>
      </c>
      <c r="N108" s="11" t="e">
        <f t="shared" si="24"/>
        <v>#VALUE!</v>
      </c>
      <c r="O108" s="11">
        <f>IF(K108="Eigen Beheer",0,IF(AND(ISNUMBER(N108),I108&lt;&gt;"",H108&lt;&gt;""),ROUND((I108-H108)/Lists!$Q$2,2)*N108,0))</f>
        <v>0</v>
      </c>
      <c r="R108" s="12" t="str">
        <f>IF(Q108="","",VLOOKUP(Q108,Lists!$E:$F,2,FALSE))</f>
        <v/>
      </c>
      <c r="AD108" s="9">
        <v>50</v>
      </c>
      <c r="AE108" s="11" t="str">
        <f t="shared" si="25"/>
        <v/>
      </c>
      <c r="AF108" s="13">
        <v>0.21</v>
      </c>
      <c r="AG108" s="11" t="str">
        <f t="shared" si="26"/>
        <v/>
      </c>
      <c r="AH108" s="11" t="str">
        <f t="shared" si="27"/>
        <v/>
      </c>
      <c r="AL108" t="str">
        <f t="shared" si="28"/>
        <v/>
      </c>
      <c r="AN108" s="11" t="str">
        <f t="shared" si="29"/>
        <v/>
      </c>
      <c r="AO108" s="13"/>
      <c r="AP108" s="11" t="str">
        <f t="shared" si="30"/>
        <v/>
      </c>
      <c r="AQ108" s="11" t="str">
        <f t="shared" si="31"/>
        <v/>
      </c>
    </row>
    <row r="109" spans="4:43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v>0.21</v>
      </c>
      <c r="N109" s="11" t="e">
        <f t="shared" si="24"/>
        <v>#VALUE!</v>
      </c>
      <c r="O109" s="11">
        <f>IF(K109="Eigen Beheer",0,IF(AND(ISNUMBER(N109),I109&lt;&gt;"",H109&lt;&gt;""),ROUND((I109-H109)/Lists!$Q$2,2)*N109,0))</f>
        <v>0</v>
      </c>
      <c r="R109" s="12" t="str">
        <f>IF(Q109="","",VLOOKUP(Q109,Lists!$E:$F,2,FALSE))</f>
        <v/>
      </c>
      <c r="AD109" s="9">
        <v>50</v>
      </c>
      <c r="AE109" s="11" t="str">
        <f t="shared" si="25"/>
        <v/>
      </c>
      <c r="AF109" s="13">
        <v>0.21</v>
      </c>
      <c r="AG109" s="11" t="str">
        <f t="shared" si="26"/>
        <v/>
      </c>
      <c r="AH109" s="11" t="str">
        <f t="shared" si="27"/>
        <v/>
      </c>
      <c r="AL109" t="str">
        <f t="shared" si="28"/>
        <v/>
      </c>
      <c r="AN109" s="11" t="str">
        <f t="shared" si="29"/>
        <v/>
      </c>
      <c r="AO109" s="13"/>
      <c r="AP109" s="11" t="str">
        <f t="shared" si="30"/>
        <v/>
      </c>
      <c r="AQ109" s="11" t="str">
        <f t="shared" si="31"/>
        <v/>
      </c>
    </row>
    <row r="110" spans="4:43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v>0.21</v>
      </c>
      <c r="N110" s="11" t="e">
        <f t="shared" si="24"/>
        <v>#VALUE!</v>
      </c>
      <c r="O110" s="11">
        <f>IF(K110="Eigen Beheer",0,IF(AND(ISNUMBER(N110),I110&lt;&gt;"",H110&lt;&gt;""),ROUND((I110-H110)/Lists!$Q$2,2)*N110,0))</f>
        <v>0</v>
      </c>
      <c r="R110" s="12" t="str">
        <f>IF(Q110="","",VLOOKUP(Q110,Lists!$E:$F,2,FALSE))</f>
        <v/>
      </c>
      <c r="AD110" s="9">
        <v>50</v>
      </c>
      <c r="AE110" s="11" t="str">
        <f t="shared" si="25"/>
        <v/>
      </c>
      <c r="AF110" s="13">
        <v>0.21</v>
      </c>
      <c r="AG110" s="11" t="str">
        <f t="shared" si="26"/>
        <v/>
      </c>
      <c r="AH110" s="11" t="str">
        <f t="shared" si="27"/>
        <v/>
      </c>
      <c r="AL110" t="str">
        <f t="shared" si="28"/>
        <v/>
      </c>
      <c r="AN110" s="11" t="str">
        <f t="shared" si="29"/>
        <v/>
      </c>
      <c r="AO110" s="13"/>
      <c r="AP110" s="11" t="str">
        <f t="shared" si="30"/>
        <v/>
      </c>
      <c r="AQ110" s="11" t="str">
        <f t="shared" si="31"/>
        <v/>
      </c>
    </row>
    <row r="111" spans="4:43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v>0.21</v>
      </c>
      <c r="N111" s="11" t="e">
        <f t="shared" si="24"/>
        <v>#VALUE!</v>
      </c>
      <c r="O111" s="11">
        <f>IF(K111="Eigen Beheer",0,IF(AND(ISNUMBER(N111),I111&lt;&gt;"",H111&lt;&gt;""),ROUND((I111-H111)/Lists!$Q$2,2)*N111,0))</f>
        <v>0</v>
      </c>
      <c r="R111" s="12" t="str">
        <f>IF(Q111="","",VLOOKUP(Q111,Lists!$E:$F,2,FALSE))</f>
        <v/>
      </c>
      <c r="AD111" s="9">
        <v>50</v>
      </c>
      <c r="AE111" s="11" t="str">
        <f t="shared" si="25"/>
        <v/>
      </c>
      <c r="AF111" s="13">
        <v>0.21</v>
      </c>
      <c r="AG111" s="11" t="str">
        <f t="shared" si="26"/>
        <v/>
      </c>
      <c r="AH111" s="11" t="str">
        <f t="shared" si="27"/>
        <v/>
      </c>
      <c r="AL111" t="str">
        <f t="shared" si="28"/>
        <v/>
      </c>
      <c r="AN111" s="11" t="str">
        <f t="shared" si="29"/>
        <v/>
      </c>
      <c r="AO111" s="13"/>
      <c r="AP111" s="11" t="str">
        <f t="shared" si="30"/>
        <v/>
      </c>
      <c r="AQ111" s="11" t="str">
        <f t="shared" si="31"/>
        <v/>
      </c>
    </row>
    <row r="112" spans="4:43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v>0.21</v>
      </c>
      <c r="N112" s="11" t="e">
        <f t="shared" si="24"/>
        <v>#VALUE!</v>
      </c>
      <c r="O112" s="11">
        <f>IF(K112="Eigen Beheer",0,IF(AND(ISNUMBER(N112),I112&lt;&gt;"",H112&lt;&gt;""),ROUND((I112-H112)/Lists!$Q$2,2)*N112,0))</f>
        <v>0</v>
      </c>
      <c r="R112" s="12" t="str">
        <f>IF(Q112="","",VLOOKUP(Q112,Lists!$E:$F,2,FALSE))</f>
        <v/>
      </c>
      <c r="AD112" s="9">
        <v>50</v>
      </c>
      <c r="AE112" s="11" t="str">
        <f t="shared" si="25"/>
        <v/>
      </c>
      <c r="AF112" s="13">
        <v>0.21</v>
      </c>
      <c r="AG112" s="11" t="str">
        <f t="shared" si="26"/>
        <v/>
      </c>
      <c r="AH112" s="11" t="str">
        <f t="shared" si="27"/>
        <v/>
      </c>
      <c r="AL112" t="str">
        <f t="shared" si="28"/>
        <v/>
      </c>
      <c r="AN112" s="11" t="str">
        <f t="shared" si="29"/>
        <v/>
      </c>
      <c r="AO112" s="13"/>
      <c r="AP112" s="11" t="str">
        <f t="shared" si="30"/>
        <v/>
      </c>
      <c r="AQ112" s="11" t="str">
        <f t="shared" si="31"/>
        <v/>
      </c>
    </row>
    <row r="113" spans="4:43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v>0.21</v>
      </c>
      <c r="N113" s="11" t="e">
        <f t="shared" si="24"/>
        <v>#VALUE!</v>
      </c>
      <c r="O113" s="11">
        <f>IF(K113="Eigen Beheer",0,IF(AND(ISNUMBER(N113),I113&lt;&gt;"",H113&lt;&gt;""),ROUND((I113-H113)/Lists!$Q$2,2)*N113,0))</f>
        <v>0</v>
      </c>
      <c r="R113" s="12" t="str">
        <f>IF(Q113="","",VLOOKUP(Q113,Lists!$E:$F,2,FALSE))</f>
        <v/>
      </c>
      <c r="AD113" s="9">
        <v>50</v>
      </c>
      <c r="AE113" s="11" t="str">
        <f t="shared" si="25"/>
        <v/>
      </c>
      <c r="AF113" s="13">
        <v>0.21</v>
      </c>
      <c r="AG113" s="11" t="str">
        <f t="shared" si="26"/>
        <v/>
      </c>
      <c r="AH113" s="11" t="str">
        <f t="shared" si="27"/>
        <v/>
      </c>
      <c r="AL113" t="str">
        <f t="shared" si="28"/>
        <v/>
      </c>
      <c r="AN113" s="11" t="str">
        <f t="shared" si="29"/>
        <v/>
      </c>
      <c r="AO113" s="13"/>
      <c r="AP113" s="11" t="str">
        <f t="shared" si="30"/>
        <v/>
      </c>
      <c r="AQ113" s="11" t="str">
        <f t="shared" si="31"/>
        <v/>
      </c>
    </row>
    <row r="114" spans="4:43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v>0.21</v>
      </c>
      <c r="N114" s="11" t="e">
        <f t="shared" si="24"/>
        <v>#VALUE!</v>
      </c>
      <c r="O114" s="11">
        <f>IF(K114="Eigen Beheer",0,IF(AND(ISNUMBER(N114),I114&lt;&gt;"",H114&lt;&gt;""),ROUND((I114-H114)/Lists!$Q$2,2)*N114,0))</f>
        <v>0</v>
      </c>
      <c r="R114" s="12" t="str">
        <f>IF(Q114="","",VLOOKUP(Q114,Lists!$E:$F,2,FALSE))</f>
        <v/>
      </c>
      <c r="AD114" s="9">
        <v>50</v>
      </c>
      <c r="AE114" s="11" t="str">
        <f t="shared" si="25"/>
        <v/>
      </c>
      <c r="AF114" s="13">
        <v>0.21</v>
      </c>
      <c r="AG114" s="11" t="str">
        <f t="shared" si="26"/>
        <v/>
      </c>
      <c r="AH114" s="11" t="str">
        <f t="shared" si="27"/>
        <v/>
      </c>
      <c r="AL114" t="str">
        <f t="shared" si="28"/>
        <v/>
      </c>
      <c r="AN114" s="11" t="str">
        <f t="shared" si="29"/>
        <v/>
      </c>
      <c r="AO114" s="13"/>
      <c r="AP114" s="11" t="str">
        <f t="shared" si="30"/>
        <v/>
      </c>
      <c r="AQ114" s="11" t="str">
        <f t="shared" si="31"/>
        <v/>
      </c>
    </row>
    <row r="115" spans="4:43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v>0.21</v>
      </c>
      <c r="N115" s="11" t="e">
        <f t="shared" si="24"/>
        <v>#VALUE!</v>
      </c>
      <c r="O115" s="11">
        <f>IF(K115="Eigen Beheer",0,IF(AND(ISNUMBER(N115),I115&lt;&gt;"",H115&lt;&gt;""),ROUND((I115-H115)/Lists!$Q$2,2)*N115,0))</f>
        <v>0</v>
      </c>
      <c r="R115" s="12" t="str">
        <f>IF(Q115="","",VLOOKUP(Q115,Lists!$E:$F,2,FALSE))</f>
        <v/>
      </c>
      <c r="AD115" s="9">
        <v>50</v>
      </c>
      <c r="AE115" s="11" t="str">
        <f t="shared" si="25"/>
        <v/>
      </c>
      <c r="AF115" s="13">
        <v>0.21</v>
      </c>
      <c r="AG115" s="11" t="str">
        <f t="shared" si="26"/>
        <v/>
      </c>
      <c r="AH115" s="11" t="str">
        <f t="shared" si="27"/>
        <v/>
      </c>
      <c r="AL115" t="str">
        <f t="shared" si="28"/>
        <v/>
      </c>
      <c r="AN115" s="11" t="str">
        <f t="shared" si="29"/>
        <v/>
      </c>
      <c r="AO115" s="13"/>
      <c r="AP115" s="11" t="str">
        <f t="shared" si="30"/>
        <v/>
      </c>
      <c r="AQ115" s="11" t="str">
        <f t="shared" si="31"/>
        <v/>
      </c>
    </row>
    <row r="116" spans="4:43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v>0.21</v>
      </c>
      <c r="N116" s="11" t="e">
        <f t="shared" si="24"/>
        <v>#VALUE!</v>
      </c>
      <c r="O116" s="11">
        <f>IF(K116="Eigen Beheer",0,IF(AND(ISNUMBER(N116),I116&lt;&gt;"",H116&lt;&gt;""),ROUND((I116-H116)/Lists!$Q$2,2)*N116,0))</f>
        <v>0</v>
      </c>
      <c r="R116" s="12" t="str">
        <f>IF(Q116="","",VLOOKUP(Q116,Lists!$E:$F,2,FALSE))</f>
        <v/>
      </c>
      <c r="AD116" s="9">
        <v>50</v>
      </c>
      <c r="AE116" s="11" t="str">
        <f t="shared" si="25"/>
        <v/>
      </c>
      <c r="AF116" s="13">
        <v>0.21</v>
      </c>
      <c r="AG116" s="11" t="str">
        <f t="shared" si="26"/>
        <v/>
      </c>
      <c r="AH116" s="11" t="str">
        <f t="shared" si="27"/>
        <v/>
      </c>
      <c r="AL116" t="str">
        <f t="shared" si="28"/>
        <v/>
      </c>
      <c r="AN116" s="11" t="str">
        <f t="shared" si="29"/>
        <v/>
      </c>
      <c r="AO116" s="13"/>
      <c r="AP116" s="11" t="str">
        <f t="shared" si="30"/>
        <v/>
      </c>
      <c r="AQ116" s="11" t="str">
        <f t="shared" si="31"/>
        <v/>
      </c>
    </row>
    <row r="117" spans="4:43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v>0.21</v>
      </c>
      <c r="N117" s="11" t="e">
        <f t="shared" si="24"/>
        <v>#VALUE!</v>
      </c>
      <c r="O117" s="11">
        <f>IF(K117="Eigen Beheer",0,IF(AND(ISNUMBER(N117),I117&lt;&gt;"",H117&lt;&gt;""),ROUND((I117-H117)/Lists!$Q$2,2)*N117,0))</f>
        <v>0</v>
      </c>
      <c r="R117" s="12" t="str">
        <f>IF(Q117="","",VLOOKUP(Q117,Lists!$E:$F,2,FALSE))</f>
        <v/>
      </c>
      <c r="AD117" s="9">
        <v>50</v>
      </c>
      <c r="AE117" s="11" t="str">
        <f t="shared" si="25"/>
        <v/>
      </c>
      <c r="AF117" s="13">
        <v>0.21</v>
      </c>
      <c r="AG117" s="11" t="str">
        <f t="shared" si="26"/>
        <v/>
      </c>
      <c r="AH117" s="11" t="str">
        <f t="shared" si="27"/>
        <v/>
      </c>
      <c r="AL117" t="str">
        <f t="shared" si="28"/>
        <v/>
      </c>
      <c r="AN117" s="11" t="str">
        <f t="shared" si="29"/>
        <v/>
      </c>
      <c r="AO117" s="13"/>
      <c r="AP117" s="11" t="str">
        <f t="shared" si="30"/>
        <v/>
      </c>
      <c r="AQ117" s="11" t="str">
        <f t="shared" si="31"/>
        <v/>
      </c>
    </row>
    <row r="118" spans="4:43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v>0.21</v>
      </c>
      <c r="N118" s="11" t="e">
        <f t="shared" si="24"/>
        <v>#VALUE!</v>
      </c>
      <c r="O118" s="11">
        <f>IF(K118="Eigen Beheer",0,IF(AND(ISNUMBER(N118),I118&lt;&gt;"",H118&lt;&gt;""),ROUND((I118-H118)/Lists!$Q$2,2)*N118,0))</f>
        <v>0</v>
      </c>
      <c r="R118" s="12" t="str">
        <f>IF(Q118="","",VLOOKUP(Q118,Lists!$E:$F,2,FALSE))</f>
        <v/>
      </c>
      <c r="AD118" s="9">
        <v>50</v>
      </c>
      <c r="AE118" s="11" t="str">
        <f t="shared" si="25"/>
        <v/>
      </c>
      <c r="AF118" s="13">
        <v>0.21</v>
      </c>
      <c r="AG118" s="11" t="str">
        <f t="shared" si="26"/>
        <v/>
      </c>
      <c r="AH118" s="11" t="str">
        <f t="shared" si="27"/>
        <v/>
      </c>
      <c r="AL118" t="str">
        <f t="shared" si="28"/>
        <v/>
      </c>
      <c r="AN118" s="11" t="str">
        <f t="shared" si="29"/>
        <v/>
      </c>
      <c r="AO118" s="13"/>
      <c r="AP118" s="11" t="str">
        <f t="shared" si="30"/>
        <v/>
      </c>
      <c r="AQ118" s="11" t="str">
        <f t="shared" si="31"/>
        <v/>
      </c>
    </row>
    <row r="119" spans="4:43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v>0.21</v>
      </c>
      <c r="N119" s="11" t="e">
        <f t="shared" si="24"/>
        <v>#VALUE!</v>
      </c>
      <c r="O119" s="11">
        <f>IF(K119="Eigen Beheer",0,IF(AND(ISNUMBER(N119),I119&lt;&gt;"",H119&lt;&gt;""),ROUND((I119-H119)/Lists!$Q$2,2)*N119,0))</f>
        <v>0</v>
      </c>
      <c r="R119" s="12" t="str">
        <f>IF(Q119="","",VLOOKUP(Q119,Lists!$E:$F,2,FALSE))</f>
        <v/>
      </c>
      <c r="AD119" s="9">
        <v>50</v>
      </c>
      <c r="AE119" s="11" t="str">
        <f t="shared" si="25"/>
        <v/>
      </c>
      <c r="AF119" s="13">
        <v>0.21</v>
      </c>
      <c r="AG119" s="11" t="str">
        <f t="shared" si="26"/>
        <v/>
      </c>
      <c r="AH119" s="11" t="str">
        <f t="shared" si="27"/>
        <v/>
      </c>
      <c r="AL119" t="str">
        <f t="shared" si="28"/>
        <v/>
      </c>
      <c r="AN119" s="11" t="str">
        <f t="shared" si="29"/>
        <v/>
      </c>
      <c r="AO119" s="13"/>
      <c r="AP119" s="11" t="str">
        <f t="shared" si="30"/>
        <v/>
      </c>
      <c r="AQ119" s="11" t="str">
        <f t="shared" si="31"/>
        <v/>
      </c>
    </row>
    <row r="120" spans="4:43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v>0.21</v>
      </c>
      <c r="N120" s="11" t="e">
        <f t="shared" si="24"/>
        <v>#VALUE!</v>
      </c>
      <c r="O120" s="11">
        <f>IF(K120="Eigen Beheer",0,IF(AND(ISNUMBER(N120),I120&lt;&gt;"",H120&lt;&gt;""),ROUND((I120-H120)/Lists!$Q$2,2)*N120,0))</f>
        <v>0</v>
      </c>
      <c r="R120" s="12" t="str">
        <f>IF(Q120="","",VLOOKUP(Q120,Lists!$E:$F,2,FALSE))</f>
        <v/>
      </c>
      <c r="AD120" s="9">
        <v>50</v>
      </c>
      <c r="AE120" s="11" t="str">
        <f t="shared" si="25"/>
        <v/>
      </c>
      <c r="AF120" s="13">
        <v>0.21</v>
      </c>
      <c r="AG120" s="11" t="str">
        <f t="shared" si="26"/>
        <v/>
      </c>
      <c r="AH120" s="11" t="str">
        <f t="shared" si="27"/>
        <v/>
      </c>
      <c r="AL120" t="str">
        <f t="shared" si="28"/>
        <v/>
      </c>
      <c r="AN120" s="11" t="str">
        <f t="shared" si="29"/>
        <v/>
      </c>
      <c r="AO120" s="13"/>
      <c r="AP120" s="11" t="str">
        <f t="shared" si="30"/>
        <v/>
      </c>
      <c r="AQ120" s="11" t="str">
        <f t="shared" si="31"/>
        <v/>
      </c>
    </row>
    <row r="121" spans="4:43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v>0.21</v>
      </c>
      <c r="N121" s="11" t="e">
        <f t="shared" si="24"/>
        <v>#VALUE!</v>
      </c>
      <c r="O121" s="11">
        <f>IF(K121="Eigen Beheer",0,IF(AND(ISNUMBER(N121),I121&lt;&gt;"",H121&lt;&gt;""),ROUND((I121-H121)/Lists!$Q$2,2)*N121,0))</f>
        <v>0</v>
      </c>
      <c r="R121" s="12" t="str">
        <f>IF(Q121="","",VLOOKUP(Q121,Lists!$E:$F,2,FALSE))</f>
        <v/>
      </c>
      <c r="AD121" s="9">
        <v>50</v>
      </c>
      <c r="AE121" s="11" t="str">
        <f t="shared" si="25"/>
        <v/>
      </c>
      <c r="AF121" s="13">
        <v>0.21</v>
      </c>
      <c r="AG121" s="11" t="str">
        <f t="shared" si="26"/>
        <v/>
      </c>
      <c r="AH121" s="11" t="str">
        <f t="shared" si="27"/>
        <v/>
      </c>
      <c r="AL121" t="str">
        <f t="shared" si="28"/>
        <v/>
      </c>
      <c r="AN121" s="11" t="str">
        <f t="shared" si="29"/>
        <v/>
      </c>
      <c r="AO121" s="13"/>
      <c r="AP121" s="11" t="str">
        <f t="shared" si="30"/>
        <v/>
      </c>
      <c r="AQ121" s="11" t="str">
        <f t="shared" si="31"/>
        <v/>
      </c>
    </row>
    <row r="122" spans="4:43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v>0.21</v>
      </c>
      <c r="N122" s="11" t="e">
        <f t="shared" si="24"/>
        <v>#VALUE!</v>
      </c>
      <c r="O122" s="11">
        <f>IF(K122="Eigen Beheer",0,IF(AND(ISNUMBER(N122),I122&lt;&gt;"",H122&lt;&gt;""),ROUND((I122-H122)/Lists!$Q$2,2)*N122,0))</f>
        <v>0</v>
      </c>
      <c r="R122" s="12" t="str">
        <f>IF(Q122="","",VLOOKUP(Q122,Lists!$E:$F,2,FALSE))</f>
        <v/>
      </c>
      <c r="AD122" s="9">
        <v>50</v>
      </c>
      <c r="AE122" s="11" t="str">
        <f t="shared" si="25"/>
        <v/>
      </c>
      <c r="AF122" s="13">
        <v>0.21</v>
      </c>
      <c r="AG122" s="11" t="str">
        <f t="shared" si="26"/>
        <v/>
      </c>
      <c r="AH122" s="11" t="str">
        <f t="shared" si="27"/>
        <v/>
      </c>
      <c r="AL122" t="str">
        <f t="shared" si="28"/>
        <v/>
      </c>
      <c r="AN122" s="11" t="str">
        <f t="shared" si="29"/>
        <v/>
      </c>
      <c r="AO122" s="13"/>
      <c r="AP122" s="11" t="str">
        <f t="shared" si="30"/>
        <v/>
      </c>
      <c r="AQ122" s="11" t="str">
        <f t="shared" si="31"/>
        <v/>
      </c>
    </row>
    <row r="123" spans="4:43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v>0.21</v>
      </c>
      <c r="N123" s="11" t="e">
        <f t="shared" si="24"/>
        <v>#VALUE!</v>
      </c>
      <c r="O123" s="11">
        <f>IF(K123="Eigen Beheer",0,IF(AND(ISNUMBER(N123),I123&lt;&gt;"",H123&lt;&gt;""),ROUND((I123-H123)/Lists!$Q$2,2)*N123,0))</f>
        <v>0</v>
      </c>
      <c r="R123" s="12" t="str">
        <f>IF(Q123="","",VLOOKUP(Q123,Lists!$E:$F,2,FALSE))</f>
        <v/>
      </c>
      <c r="AD123" s="9">
        <v>50</v>
      </c>
      <c r="AE123" s="11" t="str">
        <f t="shared" si="25"/>
        <v/>
      </c>
      <c r="AF123" s="13">
        <v>0.21</v>
      </c>
      <c r="AG123" s="11" t="str">
        <f t="shared" si="26"/>
        <v/>
      </c>
      <c r="AH123" s="11" t="str">
        <f t="shared" si="27"/>
        <v/>
      </c>
      <c r="AL123" t="str">
        <f t="shared" si="28"/>
        <v/>
      </c>
      <c r="AN123" s="11" t="str">
        <f t="shared" si="29"/>
        <v/>
      </c>
      <c r="AO123" s="13"/>
      <c r="AP123" s="11" t="str">
        <f t="shared" si="30"/>
        <v/>
      </c>
      <c r="AQ123" s="11" t="str">
        <f t="shared" si="31"/>
        <v/>
      </c>
    </row>
    <row r="124" spans="4:43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v>0.21</v>
      </c>
      <c r="N124" s="11" t="e">
        <f t="shared" si="24"/>
        <v>#VALUE!</v>
      </c>
      <c r="O124" s="11">
        <f>IF(K124="Eigen Beheer",0,IF(AND(ISNUMBER(N124),I124&lt;&gt;"",H124&lt;&gt;""),ROUND((I124-H124)/Lists!$Q$2,2)*N124,0))</f>
        <v>0</v>
      </c>
      <c r="R124" s="12" t="str">
        <f>IF(Q124="","",VLOOKUP(Q124,Lists!$E:$F,2,FALSE))</f>
        <v/>
      </c>
      <c r="AD124" s="9">
        <v>50</v>
      </c>
      <c r="AE124" s="11" t="str">
        <f t="shared" si="25"/>
        <v/>
      </c>
      <c r="AF124" s="13">
        <v>0.21</v>
      </c>
      <c r="AG124" s="11" t="str">
        <f t="shared" si="26"/>
        <v/>
      </c>
      <c r="AH124" s="11" t="str">
        <f t="shared" si="27"/>
        <v/>
      </c>
      <c r="AL124" t="str">
        <f t="shared" si="28"/>
        <v/>
      </c>
      <c r="AN124" s="11" t="str">
        <f t="shared" si="29"/>
        <v/>
      </c>
      <c r="AO124" s="13"/>
      <c r="AP124" s="11" t="str">
        <f t="shared" si="30"/>
        <v/>
      </c>
      <c r="AQ124" s="11" t="str">
        <f t="shared" si="31"/>
        <v/>
      </c>
    </row>
    <row r="125" spans="4:43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v>0.21</v>
      </c>
      <c r="N125" s="11" t="e">
        <f t="shared" si="24"/>
        <v>#VALUE!</v>
      </c>
      <c r="O125" s="11">
        <f>IF(K125="Eigen Beheer",0,IF(AND(ISNUMBER(N125),I125&lt;&gt;"",H125&lt;&gt;""),ROUND((I125-H125)/Lists!$Q$2,2)*N125,0))</f>
        <v>0</v>
      </c>
      <c r="R125" s="12" t="str">
        <f>IF(Q125="","",VLOOKUP(Q125,Lists!$E:$F,2,FALSE))</f>
        <v/>
      </c>
      <c r="AD125" s="9">
        <v>50</v>
      </c>
      <c r="AE125" s="11" t="str">
        <f t="shared" si="25"/>
        <v/>
      </c>
      <c r="AF125" s="13">
        <v>0.21</v>
      </c>
      <c r="AG125" s="11" t="str">
        <f t="shared" si="26"/>
        <v/>
      </c>
      <c r="AH125" s="11" t="str">
        <f t="shared" si="27"/>
        <v/>
      </c>
      <c r="AL125" t="str">
        <f t="shared" si="28"/>
        <v/>
      </c>
      <c r="AN125" s="11" t="str">
        <f t="shared" si="29"/>
        <v/>
      </c>
      <c r="AO125" s="13"/>
      <c r="AP125" s="11" t="str">
        <f t="shared" si="30"/>
        <v/>
      </c>
      <c r="AQ125" s="11" t="str">
        <f t="shared" si="31"/>
        <v/>
      </c>
    </row>
    <row r="126" spans="4:43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v>0.21</v>
      </c>
      <c r="N126" s="11" t="e">
        <f t="shared" si="24"/>
        <v>#VALUE!</v>
      </c>
      <c r="O126" s="11">
        <f>IF(K126="Eigen Beheer",0,IF(AND(ISNUMBER(N126),I126&lt;&gt;"",H126&lt;&gt;""),ROUND((I126-H126)/Lists!$Q$2,2)*N126,0))</f>
        <v>0</v>
      </c>
      <c r="R126" s="12" t="str">
        <f>IF(Q126="","",VLOOKUP(Q126,Lists!$E:$F,2,FALSE))</f>
        <v/>
      </c>
      <c r="AD126" s="9">
        <v>50</v>
      </c>
      <c r="AE126" s="11" t="str">
        <f t="shared" si="25"/>
        <v/>
      </c>
      <c r="AF126" s="13">
        <v>0.21</v>
      </c>
      <c r="AG126" s="11" t="str">
        <f t="shared" si="26"/>
        <v/>
      </c>
      <c r="AH126" s="11" t="str">
        <f t="shared" si="27"/>
        <v/>
      </c>
      <c r="AL126" t="str">
        <f t="shared" si="28"/>
        <v/>
      </c>
      <c r="AN126" s="11" t="str">
        <f t="shared" si="29"/>
        <v/>
      </c>
      <c r="AO126" s="13"/>
      <c r="AP126" s="11" t="str">
        <f t="shared" si="30"/>
        <v/>
      </c>
      <c r="AQ126" s="11" t="str">
        <f t="shared" si="31"/>
        <v/>
      </c>
    </row>
    <row r="127" spans="4:43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v>0.21</v>
      </c>
      <c r="N127" s="11" t="e">
        <f t="shared" si="24"/>
        <v>#VALUE!</v>
      </c>
      <c r="O127" s="11">
        <f>IF(K127="Eigen Beheer",0,IF(AND(ISNUMBER(N127),I127&lt;&gt;"",H127&lt;&gt;""),ROUND((I127-H127)/Lists!$Q$2,2)*N127,0))</f>
        <v>0</v>
      </c>
      <c r="R127" s="12" t="str">
        <f>IF(Q127="","",VLOOKUP(Q127,Lists!$E:$F,2,FALSE))</f>
        <v/>
      </c>
      <c r="AD127" s="9">
        <v>50</v>
      </c>
      <c r="AE127" s="11" t="str">
        <f t="shared" si="25"/>
        <v/>
      </c>
      <c r="AF127" s="13">
        <v>0.21</v>
      </c>
      <c r="AG127" s="11" t="str">
        <f t="shared" si="26"/>
        <v/>
      </c>
      <c r="AH127" s="11" t="str">
        <f t="shared" si="27"/>
        <v/>
      </c>
      <c r="AL127" t="str">
        <f t="shared" si="28"/>
        <v/>
      </c>
      <c r="AN127" s="11" t="str">
        <f t="shared" si="29"/>
        <v/>
      </c>
      <c r="AO127" s="13"/>
      <c r="AP127" s="11" t="str">
        <f t="shared" si="30"/>
        <v/>
      </c>
      <c r="AQ127" s="11" t="str">
        <f t="shared" si="31"/>
        <v/>
      </c>
    </row>
    <row r="128" spans="4:43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v>0.21</v>
      </c>
      <c r="N128" s="11" t="e">
        <f t="shared" si="24"/>
        <v>#VALUE!</v>
      </c>
      <c r="O128" s="11">
        <f>IF(K128="Eigen Beheer",0,IF(AND(ISNUMBER(N128),I128&lt;&gt;"",H128&lt;&gt;""),ROUND((I128-H128)/Lists!$Q$2,2)*N128,0))</f>
        <v>0</v>
      </c>
      <c r="R128" s="12" t="str">
        <f>IF(Q128="","",VLOOKUP(Q128,Lists!$E:$F,2,FALSE))</f>
        <v/>
      </c>
      <c r="AD128" s="9">
        <v>50</v>
      </c>
      <c r="AE128" s="11" t="str">
        <f t="shared" si="25"/>
        <v/>
      </c>
      <c r="AF128" s="13">
        <v>0.21</v>
      </c>
      <c r="AG128" s="11" t="str">
        <f t="shared" si="26"/>
        <v/>
      </c>
      <c r="AH128" s="11" t="str">
        <f t="shared" si="27"/>
        <v/>
      </c>
      <c r="AL128" t="str">
        <f t="shared" si="28"/>
        <v/>
      </c>
      <c r="AN128" s="11" t="str">
        <f t="shared" si="29"/>
        <v/>
      </c>
      <c r="AO128" s="13"/>
      <c r="AP128" s="11" t="str">
        <f t="shared" si="30"/>
        <v/>
      </c>
      <c r="AQ128" s="11" t="str">
        <f t="shared" si="31"/>
        <v/>
      </c>
    </row>
    <row r="129" spans="4:43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v>0.21</v>
      </c>
      <c r="N129" s="11" t="e">
        <f t="shared" si="24"/>
        <v>#VALUE!</v>
      </c>
      <c r="O129" s="11">
        <f>IF(K129="Eigen Beheer",0,IF(AND(ISNUMBER(N129),I129&lt;&gt;"",H129&lt;&gt;""),ROUND((I129-H129)/Lists!$Q$2,2)*N129,0))</f>
        <v>0</v>
      </c>
      <c r="R129" s="12" t="str">
        <f>IF(Q129="","",VLOOKUP(Q129,Lists!$E:$F,2,FALSE))</f>
        <v/>
      </c>
      <c r="AD129" s="9">
        <v>50</v>
      </c>
      <c r="AE129" s="11" t="str">
        <f t="shared" si="25"/>
        <v/>
      </c>
      <c r="AF129" s="13">
        <v>0.21</v>
      </c>
      <c r="AG129" s="11" t="str">
        <f t="shared" si="26"/>
        <v/>
      </c>
      <c r="AH129" s="11" t="str">
        <f t="shared" si="27"/>
        <v/>
      </c>
      <c r="AL129" t="str">
        <f t="shared" si="28"/>
        <v/>
      </c>
      <c r="AN129" s="11" t="str">
        <f t="shared" si="29"/>
        <v/>
      </c>
      <c r="AO129" s="13"/>
      <c r="AP129" s="11" t="str">
        <f t="shared" si="30"/>
        <v/>
      </c>
      <c r="AQ129" s="11" t="str">
        <f t="shared" si="31"/>
        <v/>
      </c>
    </row>
    <row r="130" spans="4:43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v>0.21</v>
      </c>
      <c r="N130" s="11" t="e">
        <f t="shared" ref="N130:N161" si="32">L130 * (1 + M130)</f>
        <v>#VALUE!</v>
      </c>
      <c r="O130" s="11">
        <f>IF(K130="Eigen Beheer",0,IF(AND(ISNUMBER(N130),I130&lt;&gt;"",H130&lt;&gt;""),ROUND((I130-H130)/Lists!$Q$2,2)*N130,0))</f>
        <v>0</v>
      </c>
      <c r="R130" s="12" t="str">
        <f>IF(Q130="","",VLOOKUP(Q130,Lists!$E:$F,2,FALSE))</f>
        <v/>
      </c>
      <c r="AD130" s="9">
        <v>50</v>
      </c>
      <c r="AE130" s="11" t="str">
        <f t="shared" ref="AE130:AE161" si="33">IF(AB130="","",IF(ISNUMBER(SEARCH("Basis",AB130)),(250/1.21)+MAX(0,AC130-5)*AD130,IF(ISNUMBER(SEARCH("Intensief",AB130)),(375/1.21)+MAX(0,AC130-7)*AD130,AC130*AD130)))</f>
        <v/>
      </c>
      <c r="AF130" s="13">
        <v>0.21</v>
      </c>
      <c r="AG130" s="11" t="str">
        <f t="shared" ref="AG130:AG161" si="34">IF(AE130&lt;&gt;"",AE130*AF130,"")</f>
        <v/>
      </c>
      <c r="AH130" s="11" t="str">
        <f t="shared" ref="AH130:AH161" si="35">IF(AE130&lt;&gt;"",AE130+AG130,"")</f>
        <v/>
      </c>
      <c r="AL130" t="str">
        <f t="shared" ref="AL130:AL161" si="36"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 t="str">
        <f t="shared" ref="AN130:AN161" si="37">IF(AND(AL130&lt;&gt;"",AM130&lt;&gt;""),AL130*AM130,"")</f>
        <v/>
      </c>
      <c r="AO130" s="13"/>
      <c r="AP130" s="11" t="str">
        <f t="shared" ref="AP130:AP161" si="38">IF(AND(AN130&lt;&gt;"",AO130&lt;&gt;""),AN130*AO130,"")</f>
        <v/>
      </c>
      <c r="AQ130" s="11" t="str">
        <f t="shared" ref="AQ130:AQ161" si="39">IF(AND(AN130&lt;&gt;"",AP130&lt;&gt;""),AN130+AP130,"")</f>
        <v/>
      </c>
    </row>
    <row r="131" spans="4:43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v>0.21</v>
      </c>
      <c r="N131" s="11" t="e">
        <f t="shared" si="32"/>
        <v>#VALUE!</v>
      </c>
      <c r="O131" s="11">
        <f>IF(K131="Eigen Beheer",0,IF(AND(ISNUMBER(N131),I131&lt;&gt;"",H131&lt;&gt;""),ROUND((I131-H131)/Lists!$Q$2,2)*N131,0))</f>
        <v>0</v>
      </c>
      <c r="R131" s="12" t="str">
        <f>IF(Q131="","",VLOOKUP(Q131,Lists!$E:$F,2,FALSE))</f>
        <v/>
      </c>
      <c r="AD131" s="9">
        <v>50</v>
      </c>
      <c r="AE131" s="11" t="str">
        <f t="shared" si="33"/>
        <v/>
      </c>
      <c r="AF131" s="13">
        <v>0.21</v>
      </c>
      <c r="AG131" s="11" t="str">
        <f t="shared" si="34"/>
        <v/>
      </c>
      <c r="AH131" s="11" t="str">
        <f t="shared" si="35"/>
        <v/>
      </c>
      <c r="AL131" t="str">
        <f t="shared" si="36"/>
        <v/>
      </c>
      <c r="AN131" s="11" t="str">
        <f t="shared" si="37"/>
        <v/>
      </c>
      <c r="AO131" s="13"/>
      <c r="AP131" s="11" t="str">
        <f t="shared" si="38"/>
        <v/>
      </c>
      <c r="AQ131" s="11" t="str">
        <f t="shared" si="39"/>
        <v/>
      </c>
    </row>
    <row r="132" spans="4:43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v>0.21</v>
      </c>
      <c r="N132" s="11" t="e">
        <f t="shared" si="32"/>
        <v>#VALUE!</v>
      </c>
      <c r="O132" s="11">
        <f>IF(K132="Eigen Beheer",0,IF(AND(ISNUMBER(N132),I132&lt;&gt;"",H132&lt;&gt;""),ROUND((I132-H132)/Lists!$Q$2,2)*N132,0))</f>
        <v>0</v>
      </c>
      <c r="R132" s="12" t="str">
        <f>IF(Q132="","",VLOOKUP(Q132,Lists!$E:$F,2,FALSE))</f>
        <v/>
      </c>
      <c r="AD132" s="9">
        <v>50</v>
      </c>
      <c r="AE132" s="11" t="str">
        <f t="shared" si="33"/>
        <v/>
      </c>
      <c r="AF132" s="13">
        <v>0.21</v>
      </c>
      <c r="AG132" s="11" t="str">
        <f t="shared" si="34"/>
        <v/>
      </c>
      <c r="AH132" s="11" t="str">
        <f t="shared" si="35"/>
        <v/>
      </c>
      <c r="AL132" t="str">
        <f t="shared" si="36"/>
        <v/>
      </c>
      <c r="AN132" s="11" t="str">
        <f t="shared" si="37"/>
        <v/>
      </c>
      <c r="AO132" s="13"/>
      <c r="AP132" s="11" t="str">
        <f t="shared" si="38"/>
        <v/>
      </c>
      <c r="AQ132" s="11" t="str">
        <f t="shared" si="39"/>
        <v/>
      </c>
    </row>
    <row r="133" spans="4:43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v>0.21</v>
      </c>
      <c r="N133" s="11" t="e">
        <f t="shared" si="32"/>
        <v>#VALUE!</v>
      </c>
      <c r="O133" s="11">
        <f>IF(K133="Eigen Beheer",0,IF(AND(ISNUMBER(N133),I133&lt;&gt;"",H133&lt;&gt;""),ROUND((I133-H133)/Lists!$Q$2,2)*N133,0))</f>
        <v>0</v>
      </c>
      <c r="R133" s="12" t="str">
        <f>IF(Q133="","",VLOOKUP(Q133,Lists!$E:$F,2,FALSE))</f>
        <v/>
      </c>
      <c r="AD133" s="9">
        <v>50</v>
      </c>
      <c r="AE133" s="11" t="str">
        <f t="shared" si="33"/>
        <v/>
      </c>
      <c r="AF133" s="13">
        <v>0.21</v>
      </c>
      <c r="AG133" s="11" t="str">
        <f t="shared" si="34"/>
        <v/>
      </c>
      <c r="AH133" s="11" t="str">
        <f t="shared" si="35"/>
        <v/>
      </c>
      <c r="AL133" t="str">
        <f t="shared" si="36"/>
        <v/>
      </c>
      <c r="AN133" s="11" t="str">
        <f t="shared" si="37"/>
        <v/>
      </c>
      <c r="AO133" s="13"/>
      <c r="AP133" s="11" t="str">
        <f t="shared" si="38"/>
        <v/>
      </c>
      <c r="AQ133" s="11" t="str">
        <f t="shared" si="39"/>
        <v/>
      </c>
    </row>
    <row r="134" spans="4:43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v>0.21</v>
      </c>
      <c r="N134" s="11" t="e">
        <f t="shared" si="32"/>
        <v>#VALUE!</v>
      </c>
      <c r="O134" s="11">
        <f>IF(K134="Eigen Beheer",0,IF(AND(ISNUMBER(N134),I134&lt;&gt;"",H134&lt;&gt;""),ROUND((I134-H134)/Lists!$Q$2,2)*N134,0))</f>
        <v>0</v>
      </c>
      <c r="R134" s="12" t="str">
        <f>IF(Q134="","",VLOOKUP(Q134,Lists!$E:$F,2,FALSE))</f>
        <v/>
      </c>
      <c r="AD134" s="9">
        <v>50</v>
      </c>
      <c r="AE134" s="11" t="str">
        <f t="shared" si="33"/>
        <v/>
      </c>
      <c r="AF134" s="13">
        <v>0.21</v>
      </c>
      <c r="AG134" s="11" t="str">
        <f t="shared" si="34"/>
        <v/>
      </c>
      <c r="AH134" s="11" t="str">
        <f t="shared" si="35"/>
        <v/>
      </c>
      <c r="AL134" t="str">
        <f t="shared" si="36"/>
        <v/>
      </c>
      <c r="AN134" s="11" t="str">
        <f t="shared" si="37"/>
        <v/>
      </c>
      <c r="AO134" s="13"/>
      <c r="AP134" s="11" t="str">
        <f t="shared" si="38"/>
        <v/>
      </c>
      <c r="AQ134" s="11" t="str">
        <f t="shared" si="39"/>
        <v/>
      </c>
    </row>
    <row r="135" spans="4:43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v>0.21</v>
      </c>
      <c r="N135" s="11" t="e">
        <f t="shared" si="32"/>
        <v>#VALUE!</v>
      </c>
      <c r="O135" s="11">
        <f>IF(K135="Eigen Beheer",0,IF(AND(ISNUMBER(N135),I135&lt;&gt;"",H135&lt;&gt;""),ROUND((I135-H135)/Lists!$Q$2,2)*N135,0))</f>
        <v>0</v>
      </c>
      <c r="R135" s="12" t="str">
        <f>IF(Q135="","",VLOOKUP(Q135,Lists!$E:$F,2,FALSE))</f>
        <v/>
      </c>
      <c r="AD135" s="9">
        <v>50</v>
      </c>
      <c r="AE135" s="11" t="str">
        <f t="shared" si="33"/>
        <v/>
      </c>
      <c r="AF135" s="13">
        <v>0.21</v>
      </c>
      <c r="AG135" s="11" t="str">
        <f t="shared" si="34"/>
        <v/>
      </c>
      <c r="AH135" s="11" t="str">
        <f t="shared" si="35"/>
        <v/>
      </c>
      <c r="AL135" t="str">
        <f t="shared" si="36"/>
        <v/>
      </c>
      <c r="AN135" s="11" t="str">
        <f t="shared" si="37"/>
        <v/>
      </c>
      <c r="AO135" s="13"/>
      <c r="AP135" s="11" t="str">
        <f t="shared" si="38"/>
        <v/>
      </c>
      <c r="AQ135" s="11" t="str">
        <f t="shared" si="39"/>
        <v/>
      </c>
    </row>
    <row r="136" spans="4:43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v>0.21</v>
      </c>
      <c r="N136" s="11" t="e">
        <f t="shared" si="32"/>
        <v>#VALUE!</v>
      </c>
      <c r="O136" s="11">
        <f>IF(K136="Eigen Beheer",0,IF(AND(ISNUMBER(N136),I136&lt;&gt;"",H136&lt;&gt;""),ROUND((I136-H136)/Lists!$Q$2,2)*N136,0))</f>
        <v>0</v>
      </c>
      <c r="R136" s="12" t="str">
        <f>IF(Q136="","",VLOOKUP(Q136,Lists!$E:$F,2,FALSE))</f>
        <v/>
      </c>
      <c r="AD136" s="9">
        <v>50</v>
      </c>
      <c r="AE136" s="11" t="str">
        <f t="shared" si="33"/>
        <v/>
      </c>
      <c r="AF136" s="13">
        <v>0.21</v>
      </c>
      <c r="AG136" s="11" t="str">
        <f t="shared" si="34"/>
        <v/>
      </c>
      <c r="AH136" s="11" t="str">
        <f t="shared" si="35"/>
        <v/>
      </c>
      <c r="AL136" t="str">
        <f t="shared" si="36"/>
        <v/>
      </c>
      <c r="AN136" s="11" t="str">
        <f t="shared" si="37"/>
        <v/>
      </c>
      <c r="AO136" s="13"/>
      <c r="AP136" s="11" t="str">
        <f t="shared" si="38"/>
        <v/>
      </c>
      <c r="AQ136" s="11" t="str">
        <f t="shared" si="39"/>
        <v/>
      </c>
    </row>
    <row r="137" spans="4:43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v>0.21</v>
      </c>
      <c r="N137" s="11" t="e">
        <f t="shared" si="32"/>
        <v>#VALUE!</v>
      </c>
      <c r="O137" s="11">
        <f>IF(K137="Eigen Beheer",0,IF(AND(ISNUMBER(N137),I137&lt;&gt;"",H137&lt;&gt;""),ROUND((I137-H137)/Lists!$Q$2,2)*N137,0))</f>
        <v>0</v>
      </c>
      <c r="R137" s="12" t="str">
        <f>IF(Q137="","",VLOOKUP(Q137,Lists!$E:$F,2,FALSE))</f>
        <v/>
      </c>
      <c r="AD137" s="9">
        <v>50</v>
      </c>
      <c r="AE137" s="11" t="str">
        <f t="shared" si="33"/>
        <v/>
      </c>
      <c r="AF137" s="13">
        <v>0.21</v>
      </c>
      <c r="AG137" s="11" t="str">
        <f t="shared" si="34"/>
        <v/>
      </c>
      <c r="AH137" s="11" t="str">
        <f t="shared" si="35"/>
        <v/>
      </c>
      <c r="AL137" t="str">
        <f t="shared" si="36"/>
        <v/>
      </c>
      <c r="AN137" s="11" t="str">
        <f t="shared" si="37"/>
        <v/>
      </c>
      <c r="AO137" s="13"/>
      <c r="AP137" s="11" t="str">
        <f t="shared" si="38"/>
        <v/>
      </c>
      <c r="AQ137" s="11" t="str">
        <f t="shared" si="39"/>
        <v/>
      </c>
    </row>
    <row r="138" spans="4:43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v>0.21</v>
      </c>
      <c r="N138" s="11" t="e">
        <f t="shared" si="32"/>
        <v>#VALUE!</v>
      </c>
      <c r="O138" s="11">
        <f>IF(K138="Eigen Beheer",0,IF(AND(ISNUMBER(N138),I138&lt;&gt;"",H138&lt;&gt;""),ROUND((I138-H138)/Lists!$Q$2,2)*N138,0))</f>
        <v>0</v>
      </c>
      <c r="R138" s="12" t="str">
        <f>IF(Q138="","",VLOOKUP(Q138,Lists!$E:$F,2,FALSE))</f>
        <v/>
      </c>
      <c r="AD138" s="9">
        <v>50</v>
      </c>
      <c r="AE138" s="11" t="str">
        <f t="shared" si="33"/>
        <v/>
      </c>
      <c r="AF138" s="13">
        <v>0.21</v>
      </c>
      <c r="AG138" s="11" t="str">
        <f t="shared" si="34"/>
        <v/>
      </c>
      <c r="AH138" s="11" t="str">
        <f t="shared" si="35"/>
        <v/>
      </c>
      <c r="AL138" t="str">
        <f t="shared" si="36"/>
        <v/>
      </c>
      <c r="AN138" s="11" t="str">
        <f t="shared" si="37"/>
        <v/>
      </c>
      <c r="AO138" s="13"/>
      <c r="AP138" s="11" t="str">
        <f t="shared" si="38"/>
        <v/>
      </c>
      <c r="AQ138" s="11" t="str">
        <f t="shared" si="39"/>
        <v/>
      </c>
    </row>
    <row r="139" spans="4:43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v>0.21</v>
      </c>
      <c r="N139" s="11" t="e">
        <f t="shared" si="32"/>
        <v>#VALUE!</v>
      </c>
      <c r="O139" s="11">
        <f>IF(K139="Eigen Beheer",0,IF(AND(ISNUMBER(N139),I139&lt;&gt;"",H139&lt;&gt;""),ROUND((I139-H139)/Lists!$Q$2,2)*N139,0))</f>
        <v>0</v>
      </c>
      <c r="R139" s="12" t="str">
        <f>IF(Q139="","",VLOOKUP(Q139,Lists!$E:$F,2,FALSE))</f>
        <v/>
      </c>
      <c r="AD139" s="9">
        <v>50</v>
      </c>
      <c r="AE139" s="11" t="str">
        <f t="shared" si="33"/>
        <v/>
      </c>
      <c r="AF139" s="13">
        <v>0.21</v>
      </c>
      <c r="AG139" s="11" t="str">
        <f t="shared" si="34"/>
        <v/>
      </c>
      <c r="AH139" s="11" t="str">
        <f t="shared" si="35"/>
        <v/>
      </c>
      <c r="AL139" t="str">
        <f t="shared" si="36"/>
        <v/>
      </c>
      <c r="AN139" s="11" t="str">
        <f t="shared" si="37"/>
        <v/>
      </c>
      <c r="AO139" s="13"/>
      <c r="AP139" s="11" t="str">
        <f t="shared" si="38"/>
        <v/>
      </c>
      <c r="AQ139" s="11" t="str">
        <f t="shared" si="39"/>
        <v/>
      </c>
    </row>
    <row r="140" spans="4:43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v>0.21</v>
      </c>
      <c r="N140" s="11" t="e">
        <f t="shared" si="32"/>
        <v>#VALUE!</v>
      </c>
      <c r="O140" s="11">
        <f>IF(K140="Eigen Beheer",0,IF(AND(ISNUMBER(N140),I140&lt;&gt;"",H140&lt;&gt;""),ROUND((I140-H140)/Lists!$Q$2,2)*N140,0))</f>
        <v>0</v>
      </c>
      <c r="R140" s="12" t="str">
        <f>IF(Q140="","",VLOOKUP(Q140,Lists!$E:$F,2,FALSE))</f>
        <v/>
      </c>
      <c r="AD140" s="9">
        <v>50</v>
      </c>
      <c r="AE140" s="11" t="str">
        <f t="shared" si="33"/>
        <v/>
      </c>
      <c r="AF140" s="13">
        <v>0.21</v>
      </c>
      <c r="AG140" s="11" t="str">
        <f t="shared" si="34"/>
        <v/>
      </c>
      <c r="AH140" s="11" t="str">
        <f t="shared" si="35"/>
        <v/>
      </c>
      <c r="AL140" t="str">
        <f t="shared" si="36"/>
        <v/>
      </c>
      <c r="AN140" s="11" t="str">
        <f t="shared" si="37"/>
        <v/>
      </c>
      <c r="AO140" s="13"/>
      <c r="AP140" s="11" t="str">
        <f t="shared" si="38"/>
        <v/>
      </c>
      <c r="AQ140" s="11" t="str">
        <f t="shared" si="39"/>
        <v/>
      </c>
    </row>
    <row r="141" spans="4:43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v>0.21</v>
      </c>
      <c r="N141" s="11" t="e">
        <f t="shared" si="32"/>
        <v>#VALUE!</v>
      </c>
      <c r="O141" s="11">
        <f>IF(K141="Eigen Beheer",0,IF(AND(ISNUMBER(N141),I141&lt;&gt;"",H141&lt;&gt;""),ROUND((I141-H141)/Lists!$Q$2,2)*N141,0))</f>
        <v>0</v>
      </c>
      <c r="R141" s="12" t="str">
        <f>IF(Q141="","",VLOOKUP(Q141,Lists!$E:$F,2,FALSE))</f>
        <v/>
      </c>
      <c r="AD141" s="9">
        <v>50</v>
      </c>
      <c r="AE141" s="11" t="str">
        <f t="shared" si="33"/>
        <v/>
      </c>
      <c r="AF141" s="13">
        <v>0.21</v>
      </c>
      <c r="AG141" s="11" t="str">
        <f t="shared" si="34"/>
        <v/>
      </c>
      <c r="AH141" s="11" t="str">
        <f t="shared" si="35"/>
        <v/>
      </c>
      <c r="AL141" t="str">
        <f t="shared" si="36"/>
        <v/>
      </c>
      <c r="AN141" s="11" t="str">
        <f t="shared" si="37"/>
        <v/>
      </c>
      <c r="AO141" s="13"/>
      <c r="AP141" s="11" t="str">
        <f t="shared" si="38"/>
        <v/>
      </c>
      <c r="AQ141" s="11" t="str">
        <f t="shared" si="39"/>
        <v/>
      </c>
    </row>
    <row r="142" spans="4:43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v>0.21</v>
      </c>
      <c r="N142" s="11" t="e">
        <f t="shared" si="32"/>
        <v>#VALUE!</v>
      </c>
      <c r="O142" s="11">
        <f>IF(K142="Eigen Beheer",0,IF(AND(ISNUMBER(N142),I142&lt;&gt;"",H142&lt;&gt;""),ROUND((I142-H142)/Lists!$Q$2,2)*N142,0))</f>
        <v>0</v>
      </c>
      <c r="R142" s="12" t="str">
        <f>IF(Q142="","",VLOOKUP(Q142,Lists!$E:$F,2,FALSE))</f>
        <v/>
      </c>
      <c r="AD142" s="9">
        <v>50</v>
      </c>
      <c r="AE142" s="11" t="str">
        <f t="shared" si="33"/>
        <v/>
      </c>
      <c r="AF142" s="13">
        <v>0.21</v>
      </c>
      <c r="AG142" s="11" t="str">
        <f t="shared" si="34"/>
        <v/>
      </c>
      <c r="AH142" s="11" t="str">
        <f t="shared" si="35"/>
        <v/>
      </c>
      <c r="AL142" t="str">
        <f t="shared" si="36"/>
        <v/>
      </c>
      <c r="AN142" s="11" t="str">
        <f t="shared" si="37"/>
        <v/>
      </c>
      <c r="AO142" s="13"/>
      <c r="AP142" s="11" t="str">
        <f t="shared" si="38"/>
        <v/>
      </c>
      <c r="AQ142" s="11" t="str">
        <f t="shared" si="39"/>
        <v/>
      </c>
    </row>
    <row r="143" spans="4:43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v>0.21</v>
      </c>
      <c r="N143" s="11" t="e">
        <f t="shared" si="32"/>
        <v>#VALUE!</v>
      </c>
      <c r="O143" s="11">
        <f>IF(K143="Eigen Beheer",0,IF(AND(ISNUMBER(N143),I143&lt;&gt;"",H143&lt;&gt;""),ROUND((I143-H143)/Lists!$Q$2,2)*N143,0))</f>
        <v>0</v>
      </c>
      <c r="R143" s="12" t="str">
        <f>IF(Q143="","",VLOOKUP(Q143,Lists!$E:$F,2,FALSE))</f>
        <v/>
      </c>
      <c r="AD143" s="9">
        <v>50</v>
      </c>
      <c r="AE143" s="11" t="str">
        <f t="shared" si="33"/>
        <v/>
      </c>
      <c r="AF143" s="13">
        <v>0.21</v>
      </c>
      <c r="AG143" s="11" t="str">
        <f t="shared" si="34"/>
        <v/>
      </c>
      <c r="AH143" s="11" t="str">
        <f t="shared" si="35"/>
        <v/>
      </c>
      <c r="AL143" t="str">
        <f t="shared" si="36"/>
        <v/>
      </c>
      <c r="AN143" s="11" t="str">
        <f t="shared" si="37"/>
        <v/>
      </c>
      <c r="AO143" s="13"/>
      <c r="AP143" s="11" t="str">
        <f t="shared" si="38"/>
        <v/>
      </c>
      <c r="AQ143" s="11" t="str">
        <f t="shared" si="39"/>
        <v/>
      </c>
    </row>
    <row r="144" spans="4:43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v>0.21</v>
      </c>
      <c r="N144" s="11" t="e">
        <f t="shared" si="32"/>
        <v>#VALUE!</v>
      </c>
      <c r="O144" s="11">
        <f>IF(K144="Eigen Beheer",0,IF(AND(ISNUMBER(N144),I144&lt;&gt;"",H144&lt;&gt;""),ROUND((I144-H144)/Lists!$Q$2,2)*N144,0))</f>
        <v>0</v>
      </c>
      <c r="R144" s="12" t="str">
        <f>IF(Q144="","",VLOOKUP(Q144,Lists!$E:$F,2,FALSE))</f>
        <v/>
      </c>
      <c r="AD144" s="9">
        <v>50</v>
      </c>
      <c r="AE144" s="11" t="str">
        <f t="shared" si="33"/>
        <v/>
      </c>
      <c r="AF144" s="13">
        <v>0.21</v>
      </c>
      <c r="AG144" s="11" t="str">
        <f t="shared" si="34"/>
        <v/>
      </c>
      <c r="AH144" s="11" t="str">
        <f t="shared" si="35"/>
        <v/>
      </c>
      <c r="AL144" t="str">
        <f t="shared" si="36"/>
        <v/>
      </c>
      <c r="AN144" s="11" t="str">
        <f t="shared" si="37"/>
        <v/>
      </c>
      <c r="AO144" s="13"/>
      <c r="AP144" s="11" t="str">
        <f t="shared" si="38"/>
        <v/>
      </c>
      <c r="AQ144" s="11" t="str">
        <f t="shared" si="39"/>
        <v/>
      </c>
    </row>
    <row r="145" spans="4:43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v>0.21</v>
      </c>
      <c r="N145" s="11" t="e">
        <f t="shared" si="32"/>
        <v>#VALUE!</v>
      </c>
      <c r="O145" s="11">
        <f>IF(K145="Eigen Beheer",0,IF(AND(ISNUMBER(N145),I145&lt;&gt;"",H145&lt;&gt;""),ROUND((I145-H145)/Lists!$Q$2,2)*N145,0))</f>
        <v>0</v>
      </c>
      <c r="R145" s="12" t="str">
        <f>IF(Q145="","",VLOOKUP(Q145,Lists!$E:$F,2,FALSE))</f>
        <v/>
      </c>
      <c r="AD145" s="9">
        <v>50</v>
      </c>
      <c r="AE145" s="11" t="str">
        <f t="shared" si="33"/>
        <v/>
      </c>
      <c r="AF145" s="13">
        <v>0.21</v>
      </c>
      <c r="AG145" s="11" t="str">
        <f t="shared" si="34"/>
        <v/>
      </c>
      <c r="AH145" s="11" t="str">
        <f t="shared" si="35"/>
        <v/>
      </c>
      <c r="AL145" t="str">
        <f t="shared" si="36"/>
        <v/>
      </c>
      <c r="AN145" s="11" t="str">
        <f t="shared" si="37"/>
        <v/>
      </c>
      <c r="AO145" s="13"/>
      <c r="AP145" s="11" t="str">
        <f t="shared" si="38"/>
        <v/>
      </c>
      <c r="AQ145" s="11" t="str">
        <f t="shared" si="39"/>
        <v/>
      </c>
    </row>
    <row r="146" spans="4:43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v>0.21</v>
      </c>
      <c r="N146" s="11" t="e">
        <f t="shared" si="32"/>
        <v>#VALUE!</v>
      </c>
      <c r="O146" s="11">
        <f>IF(K146="Eigen Beheer",0,IF(AND(ISNUMBER(N146),I146&lt;&gt;"",H146&lt;&gt;""),ROUND((I146-H146)/Lists!$Q$2,2)*N146,0))</f>
        <v>0</v>
      </c>
      <c r="R146" s="12" t="str">
        <f>IF(Q146="","",VLOOKUP(Q146,Lists!$E:$F,2,FALSE))</f>
        <v/>
      </c>
      <c r="AD146" s="9">
        <v>50</v>
      </c>
      <c r="AE146" s="11" t="str">
        <f t="shared" si="33"/>
        <v/>
      </c>
      <c r="AF146" s="13">
        <v>0.21</v>
      </c>
      <c r="AG146" s="11" t="str">
        <f t="shared" si="34"/>
        <v/>
      </c>
      <c r="AH146" s="11" t="str">
        <f t="shared" si="35"/>
        <v/>
      </c>
      <c r="AL146" t="str">
        <f t="shared" si="36"/>
        <v/>
      </c>
      <c r="AN146" s="11" t="str">
        <f t="shared" si="37"/>
        <v/>
      </c>
      <c r="AO146" s="13"/>
      <c r="AP146" s="11" t="str">
        <f t="shared" si="38"/>
        <v/>
      </c>
      <c r="AQ146" s="11" t="str">
        <f t="shared" si="39"/>
        <v/>
      </c>
    </row>
    <row r="147" spans="4:43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v>0.21</v>
      </c>
      <c r="N147" s="11" t="e">
        <f t="shared" si="32"/>
        <v>#VALUE!</v>
      </c>
      <c r="O147" s="11">
        <f>IF(K147="Eigen Beheer",0,IF(AND(ISNUMBER(N147),I147&lt;&gt;"",H147&lt;&gt;""),ROUND((I147-H147)/Lists!$Q$2,2)*N147,0))</f>
        <v>0</v>
      </c>
      <c r="R147" s="12" t="str">
        <f>IF(Q147="","",VLOOKUP(Q147,Lists!$E:$F,2,FALSE))</f>
        <v/>
      </c>
      <c r="AD147" s="9">
        <v>50</v>
      </c>
      <c r="AE147" s="11" t="str">
        <f t="shared" si="33"/>
        <v/>
      </c>
      <c r="AF147" s="13">
        <v>0.21</v>
      </c>
      <c r="AG147" s="11" t="str">
        <f t="shared" si="34"/>
        <v/>
      </c>
      <c r="AH147" s="11" t="str">
        <f t="shared" si="35"/>
        <v/>
      </c>
      <c r="AL147" t="str">
        <f t="shared" si="36"/>
        <v/>
      </c>
      <c r="AN147" s="11" t="str">
        <f t="shared" si="37"/>
        <v/>
      </c>
      <c r="AO147" s="13"/>
      <c r="AP147" s="11" t="str">
        <f t="shared" si="38"/>
        <v/>
      </c>
      <c r="AQ147" s="11" t="str">
        <f t="shared" si="39"/>
        <v/>
      </c>
    </row>
    <row r="148" spans="4:43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v>0.21</v>
      </c>
      <c r="N148" s="11" t="e">
        <f t="shared" si="32"/>
        <v>#VALUE!</v>
      </c>
      <c r="O148" s="11">
        <f>IF(K148="Eigen Beheer",0,IF(AND(ISNUMBER(N148),I148&lt;&gt;"",H148&lt;&gt;""),ROUND((I148-H148)/Lists!$Q$2,2)*N148,0))</f>
        <v>0</v>
      </c>
      <c r="R148" s="12" t="str">
        <f>IF(Q148="","",VLOOKUP(Q148,Lists!$E:$F,2,FALSE))</f>
        <v/>
      </c>
      <c r="AD148" s="9">
        <v>50</v>
      </c>
      <c r="AE148" s="11" t="str">
        <f t="shared" si="33"/>
        <v/>
      </c>
      <c r="AF148" s="13">
        <v>0.21</v>
      </c>
      <c r="AG148" s="11" t="str">
        <f t="shared" si="34"/>
        <v/>
      </c>
      <c r="AH148" s="11" t="str">
        <f t="shared" si="35"/>
        <v/>
      </c>
      <c r="AL148" t="str">
        <f t="shared" si="36"/>
        <v/>
      </c>
      <c r="AN148" s="11" t="str">
        <f t="shared" si="37"/>
        <v/>
      </c>
      <c r="AO148" s="13"/>
      <c r="AP148" s="11" t="str">
        <f t="shared" si="38"/>
        <v/>
      </c>
      <c r="AQ148" s="11" t="str">
        <f t="shared" si="39"/>
        <v/>
      </c>
    </row>
    <row r="149" spans="4:43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v>0.21</v>
      </c>
      <c r="N149" s="11" t="e">
        <f t="shared" si="32"/>
        <v>#VALUE!</v>
      </c>
      <c r="O149" s="11">
        <f>IF(K149="Eigen Beheer",0,IF(AND(ISNUMBER(N149),I149&lt;&gt;"",H149&lt;&gt;""),ROUND((I149-H149)/Lists!$Q$2,2)*N149,0))</f>
        <v>0</v>
      </c>
      <c r="R149" s="12" t="str">
        <f>IF(Q149="","",VLOOKUP(Q149,Lists!$E:$F,2,FALSE))</f>
        <v/>
      </c>
      <c r="AD149" s="9">
        <v>50</v>
      </c>
      <c r="AE149" s="11" t="str">
        <f t="shared" si="33"/>
        <v/>
      </c>
      <c r="AF149" s="13">
        <v>0.21</v>
      </c>
      <c r="AG149" s="11" t="str">
        <f t="shared" si="34"/>
        <v/>
      </c>
      <c r="AH149" s="11" t="str">
        <f t="shared" si="35"/>
        <v/>
      </c>
      <c r="AL149" t="str">
        <f t="shared" si="36"/>
        <v/>
      </c>
      <c r="AN149" s="11" t="str">
        <f t="shared" si="37"/>
        <v/>
      </c>
      <c r="AO149" s="13"/>
      <c r="AP149" s="11" t="str">
        <f t="shared" si="38"/>
        <v/>
      </c>
      <c r="AQ149" s="11" t="str">
        <f t="shared" si="39"/>
        <v/>
      </c>
    </row>
    <row r="150" spans="4:43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v>0.21</v>
      </c>
      <c r="N150" s="11" t="e">
        <f t="shared" si="32"/>
        <v>#VALUE!</v>
      </c>
      <c r="O150" s="11">
        <f>IF(K150="Eigen Beheer",0,IF(AND(ISNUMBER(N150),I150&lt;&gt;"",H150&lt;&gt;""),ROUND((I150-H150)/Lists!$Q$2,2)*N150,0))</f>
        <v>0</v>
      </c>
      <c r="R150" s="12" t="str">
        <f>IF(Q150="","",VLOOKUP(Q150,Lists!$E:$F,2,FALSE))</f>
        <v/>
      </c>
      <c r="AD150" s="9">
        <v>50</v>
      </c>
      <c r="AE150" s="11" t="str">
        <f t="shared" si="33"/>
        <v/>
      </c>
      <c r="AF150" s="13">
        <v>0.21</v>
      </c>
      <c r="AG150" s="11" t="str">
        <f t="shared" si="34"/>
        <v/>
      </c>
      <c r="AH150" s="11" t="str">
        <f t="shared" si="35"/>
        <v/>
      </c>
      <c r="AL150" t="str">
        <f t="shared" si="36"/>
        <v/>
      </c>
      <c r="AN150" s="11" t="str">
        <f t="shared" si="37"/>
        <v/>
      </c>
      <c r="AO150" s="13"/>
      <c r="AP150" s="11" t="str">
        <f t="shared" si="38"/>
        <v/>
      </c>
      <c r="AQ150" s="11" t="str">
        <f t="shared" si="39"/>
        <v/>
      </c>
    </row>
    <row r="151" spans="4:43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v>0.21</v>
      </c>
      <c r="N151" s="11" t="e">
        <f t="shared" si="32"/>
        <v>#VALUE!</v>
      </c>
      <c r="O151" s="11">
        <f>IF(K151="Eigen Beheer",0,IF(AND(ISNUMBER(N151),I151&lt;&gt;"",H151&lt;&gt;""),ROUND((I151-H151)/Lists!$Q$2,2)*N151,0))</f>
        <v>0</v>
      </c>
      <c r="R151" s="12" t="str">
        <f>IF(Q151="","",VLOOKUP(Q151,Lists!$E:$F,2,FALSE))</f>
        <v/>
      </c>
      <c r="AD151" s="9">
        <v>50</v>
      </c>
      <c r="AE151" s="11" t="str">
        <f t="shared" si="33"/>
        <v/>
      </c>
      <c r="AF151" s="13">
        <v>0.21</v>
      </c>
      <c r="AG151" s="11" t="str">
        <f t="shared" si="34"/>
        <v/>
      </c>
      <c r="AH151" s="11" t="str">
        <f t="shared" si="35"/>
        <v/>
      </c>
      <c r="AL151" t="str">
        <f t="shared" si="36"/>
        <v/>
      </c>
      <c r="AN151" s="11" t="str">
        <f t="shared" si="37"/>
        <v/>
      </c>
      <c r="AO151" s="13"/>
      <c r="AP151" s="11" t="str">
        <f t="shared" si="38"/>
        <v/>
      </c>
      <c r="AQ151" s="11" t="str">
        <f t="shared" si="39"/>
        <v/>
      </c>
    </row>
    <row r="152" spans="4:43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v>0.21</v>
      </c>
      <c r="N152" s="11" t="e">
        <f t="shared" si="32"/>
        <v>#VALUE!</v>
      </c>
      <c r="O152" s="11">
        <f>IF(K152="Eigen Beheer",0,IF(AND(ISNUMBER(N152),I152&lt;&gt;"",H152&lt;&gt;""),ROUND((I152-H152)/Lists!$Q$2,2)*N152,0))</f>
        <v>0</v>
      </c>
      <c r="R152" s="12" t="str">
        <f>IF(Q152="","",VLOOKUP(Q152,Lists!$E:$F,2,FALSE))</f>
        <v/>
      </c>
      <c r="AD152" s="9">
        <v>50</v>
      </c>
      <c r="AE152" s="11" t="str">
        <f t="shared" si="33"/>
        <v/>
      </c>
      <c r="AF152" s="13">
        <v>0.21</v>
      </c>
      <c r="AG152" s="11" t="str">
        <f t="shared" si="34"/>
        <v/>
      </c>
      <c r="AH152" s="11" t="str">
        <f t="shared" si="35"/>
        <v/>
      </c>
      <c r="AL152" t="str">
        <f t="shared" si="36"/>
        <v/>
      </c>
      <c r="AN152" s="11" t="str">
        <f t="shared" si="37"/>
        <v/>
      </c>
      <c r="AO152" s="13"/>
      <c r="AP152" s="11" t="str">
        <f t="shared" si="38"/>
        <v/>
      </c>
      <c r="AQ152" s="11" t="str">
        <f t="shared" si="39"/>
        <v/>
      </c>
    </row>
    <row r="153" spans="4:43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v>0.21</v>
      </c>
      <c r="N153" s="11" t="e">
        <f t="shared" si="32"/>
        <v>#VALUE!</v>
      </c>
      <c r="O153" s="11">
        <f>IF(K153="Eigen Beheer",0,IF(AND(ISNUMBER(N153),I153&lt;&gt;"",H153&lt;&gt;""),ROUND((I153-H153)/Lists!$Q$2,2)*N153,0))</f>
        <v>0</v>
      </c>
      <c r="R153" s="12" t="str">
        <f>IF(Q153="","",VLOOKUP(Q153,Lists!$E:$F,2,FALSE))</f>
        <v/>
      </c>
      <c r="AD153" s="9">
        <v>50</v>
      </c>
      <c r="AE153" s="11" t="str">
        <f t="shared" si="33"/>
        <v/>
      </c>
      <c r="AF153" s="13">
        <v>0.21</v>
      </c>
      <c r="AG153" s="11" t="str">
        <f t="shared" si="34"/>
        <v/>
      </c>
      <c r="AH153" s="11" t="str">
        <f t="shared" si="35"/>
        <v/>
      </c>
      <c r="AL153" t="str">
        <f t="shared" si="36"/>
        <v/>
      </c>
      <c r="AN153" s="11" t="str">
        <f t="shared" si="37"/>
        <v/>
      </c>
      <c r="AO153" s="13"/>
      <c r="AP153" s="11" t="str">
        <f t="shared" si="38"/>
        <v/>
      </c>
      <c r="AQ153" s="11" t="str">
        <f t="shared" si="39"/>
        <v/>
      </c>
    </row>
    <row r="154" spans="4:43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v>0.21</v>
      </c>
      <c r="N154" s="11" t="e">
        <f t="shared" si="32"/>
        <v>#VALUE!</v>
      </c>
      <c r="O154" s="11">
        <f>IF(K154="Eigen Beheer",0,IF(AND(ISNUMBER(N154),I154&lt;&gt;"",H154&lt;&gt;""),ROUND((I154-H154)/Lists!$Q$2,2)*N154,0))</f>
        <v>0</v>
      </c>
      <c r="R154" s="12" t="str">
        <f>IF(Q154="","",VLOOKUP(Q154,Lists!$E:$F,2,FALSE))</f>
        <v/>
      </c>
      <c r="AD154" s="9">
        <v>50</v>
      </c>
      <c r="AE154" s="11" t="str">
        <f t="shared" si="33"/>
        <v/>
      </c>
      <c r="AF154" s="13">
        <v>0.21</v>
      </c>
      <c r="AG154" s="11" t="str">
        <f t="shared" si="34"/>
        <v/>
      </c>
      <c r="AH154" s="11" t="str">
        <f t="shared" si="35"/>
        <v/>
      </c>
      <c r="AL154" t="str">
        <f t="shared" si="36"/>
        <v/>
      </c>
      <c r="AN154" s="11" t="str">
        <f t="shared" si="37"/>
        <v/>
      </c>
      <c r="AO154" s="13"/>
      <c r="AP154" s="11" t="str">
        <f t="shared" si="38"/>
        <v/>
      </c>
      <c r="AQ154" s="11" t="str">
        <f t="shared" si="39"/>
        <v/>
      </c>
    </row>
    <row r="155" spans="4:43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v>0.21</v>
      </c>
      <c r="N155" s="11" t="e">
        <f t="shared" si="32"/>
        <v>#VALUE!</v>
      </c>
      <c r="O155" s="11">
        <f>IF(K155="Eigen Beheer",0,IF(AND(ISNUMBER(N155),I155&lt;&gt;"",H155&lt;&gt;""),ROUND((I155-H155)/Lists!$Q$2,2)*N155,0))</f>
        <v>0</v>
      </c>
      <c r="R155" s="12" t="str">
        <f>IF(Q155="","",VLOOKUP(Q155,Lists!$E:$F,2,FALSE))</f>
        <v/>
      </c>
      <c r="AD155" s="9">
        <v>50</v>
      </c>
      <c r="AE155" s="11" t="str">
        <f t="shared" si="33"/>
        <v/>
      </c>
      <c r="AF155" s="13">
        <v>0.21</v>
      </c>
      <c r="AG155" s="11" t="str">
        <f t="shared" si="34"/>
        <v/>
      </c>
      <c r="AH155" s="11" t="str">
        <f t="shared" si="35"/>
        <v/>
      </c>
      <c r="AL155" t="str">
        <f t="shared" si="36"/>
        <v/>
      </c>
      <c r="AN155" s="11" t="str">
        <f t="shared" si="37"/>
        <v/>
      </c>
      <c r="AO155" s="13"/>
      <c r="AP155" s="11" t="str">
        <f t="shared" si="38"/>
        <v/>
      </c>
      <c r="AQ155" s="11" t="str">
        <f t="shared" si="39"/>
        <v/>
      </c>
    </row>
    <row r="156" spans="4:43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v>0.21</v>
      </c>
      <c r="N156" s="11" t="e">
        <f t="shared" si="32"/>
        <v>#VALUE!</v>
      </c>
      <c r="O156" s="11">
        <f>IF(K156="Eigen Beheer",0,IF(AND(ISNUMBER(N156),I156&lt;&gt;"",H156&lt;&gt;""),ROUND((I156-H156)/Lists!$Q$2,2)*N156,0))</f>
        <v>0</v>
      </c>
      <c r="R156" s="12" t="str">
        <f>IF(Q156="","",VLOOKUP(Q156,Lists!$E:$F,2,FALSE))</f>
        <v/>
      </c>
      <c r="AD156" s="9">
        <v>50</v>
      </c>
      <c r="AE156" s="11" t="str">
        <f t="shared" si="33"/>
        <v/>
      </c>
      <c r="AF156" s="13">
        <v>0.21</v>
      </c>
      <c r="AG156" s="11" t="str">
        <f t="shared" si="34"/>
        <v/>
      </c>
      <c r="AH156" s="11" t="str">
        <f t="shared" si="35"/>
        <v/>
      </c>
      <c r="AL156" t="str">
        <f t="shared" si="36"/>
        <v/>
      </c>
      <c r="AN156" s="11" t="str">
        <f t="shared" si="37"/>
        <v/>
      </c>
      <c r="AO156" s="13"/>
      <c r="AP156" s="11" t="str">
        <f t="shared" si="38"/>
        <v/>
      </c>
      <c r="AQ156" s="11" t="str">
        <f t="shared" si="39"/>
        <v/>
      </c>
    </row>
    <row r="157" spans="4:43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v>0.21</v>
      </c>
      <c r="N157" s="11" t="e">
        <f t="shared" si="32"/>
        <v>#VALUE!</v>
      </c>
      <c r="O157" s="11">
        <f>IF(K157="Eigen Beheer",0,IF(AND(ISNUMBER(N157),I157&lt;&gt;"",H157&lt;&gt;""),ROUND((I157-H157)/Lists!$Q$2,2)*N157,0))</f>
        <v>0</v>
      </c>
      <c r="R157" s="12" t="str">
        <f>IF(Q157="","",VLOOKUP(Q157,Lists!$E:$F,2,FALSE))</f>
        <v/>
      </c>
      <c r="AD157" s="9">
        <v>50</v>
      </c>
      <c r="AE157" s="11" t="str">
        <f t="shared" si="33"/>
        <v/>
      </c>
      <c r="AF157" s="13">
        <v>0.21</v>
      </c>
      <c r="AG157" s="11" t="str">
        <f t="shared" si="34"/>
        <v/>
      </c>
      <c r="AH157" s="11" t="str">
        <f t="shared" si="35"/>
        <v/>
      </c>
      <c r="AL157" t="str">
        <f t="shared" si="36"/>
        <v/>
      </c>
      <c r="AN157" s="11" t="str">
        <f t="shared" si="37"/>
        <v/>
      </c>
      <c r="AO157" s="13"/>
      <c r="AP157" s="11" t="str">
        <f t="shared" si="38"/>
        <v/>
      </c>
      <c r="AQ157" s="11" t="str">
        <f t="shared" si="39"/>
        <v/>
      </c>
    </row>
    <row r="158" spans="4:43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v>0.21</v>
      </c>
      <c r="N158" s="11" t="e">
        <f t="shared" si="32"/>
        <v>#VALUE!</v>
      </c>
      <c r="O158" s="11">
        <f>IF(K158="Eigen Beheer",0,IF(AND(ISNUMBER(N158),I158&lt;&gt;"",H158&lt;&gt;""),ROUND((I158-H158)/Lists!$Q$2,2)*N158,0))</f>
        <v>0</v>
      </c>
      <c r="R158" s="12" t="str">
        <f>IF(Q158="","",VLOOKUP(Q158,Lists!$E:$F,2,FALSE))</f>
        <v/>
      </c>
      <c r="AD158" s="9">
        <v>50</v>
      </c>
      <c r="AE158" s="11" t="str">
        <f t="shared" si="33"/>
        <v/>
      </c>
      <c r="AF158" s="13">
        <v>0.21</v>
      </c>
      <c r="AG158" s="11" t="str">
        <f t="shared" si="34"/>
        <v/>
      </c>
      <c r="AH158" s="11" t="str">
        <f t="shared" si="35"/>
        <v/>
      </c>
      <c r="AL158" t="str">
        <f t="shared" si="36"/>
        <v/>
      </c>
      <c r="AN158" s="11" t="str">
        <f t="shared" si="37"/>
        <v/>
      </c>
      <c r="AO158" s="13"/>
      <c r="AP158" s="11" t="str">
        <f t="shared" si="38"/>
        <v/>
      </c>
      <c r="AQ158" s="11" t="str">
        <f t="shared" si="39"/>
        <v/>
      </c>
    </row>
    <row r="159" spans="4:43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v>0.21</v>
      </c>
      <c r="N159" s="11" t="e">
        <f t="shared" si="32"/>
        <v>#VALUE!</v>
      </c>
      <c r="O159" s="11">
        <f>IF(K159="Eigen Beheer",0,IF(AND(ISNUMBER(N159),I159&lt;&gt;"",H159&lt;&gt;""),ROUND((I159-H159)/Lists!$Q$2,2)*N159,0))</f>
        <v>0</v>
      </c>
      <c r="R159" s="12" t="str">
        <f>IF(Q159="","",VLOOKUP(Q159,Lists!$E:$F,2,FALSE))</f>
        <v/>
      </c>
      <c r="AD159" s="9">
        <v>50</v>
      </c>
      <c r="AE159" s="11" t="str">
        <f t="shared" si="33"/>
        <v/>
      </c>
      <c r="AF159" s="13">
        <v>0.21</v>
      </c>
      <c r="AG159" s="11" t="str">
        <f t="shared" si="34"/>
        <v/>
      </c>
      <c r="AH159" s="11" t="str">
        <f t="shared" si="35"/>
        <v/>
      </c>
      <c r="AL159" t="str">
        <f t="shared" si="36"/>
        <v/>
      </c>
      <c r="AN159" s="11" t="str">
        <f t="shared" si="37"/>
        <v/>
      </c>
      <c r="AO159" s="13"/>
      <c r="AP159" s="11" t="str">
        <f t="shared" si="38"/>
        <v/>
      </c>
      <c r="AQ159" s="11" t="str">
        <f t="shared" si="39"/>
        <v/>
      </c>
    </row>
    <row r="160" spans="4:43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v>0.21</v>
      </c>
      <c r="N160" s="11" t="e">
        <f t="shared" si="32"/>
        <v>#VALUE!</v>
      </c>
      <c r="O160" s="11">
        <f>IF(K160="Eigen Beheer",0,IF(AND(ISNUMBER(N160),I160&lt;&gt;"",H160&lt;&gt;""),ROUND((I160-H160)/Lists!$Q$2,2)*N160,0))</f>
        <v>0</v>
      </c>
      <c r="R160" s="12" t="str">
        <f>IF(Q160="","",VLOOKUP(Q160,Lists!$E:$F,2,FALSE))</f>
        <v/>
      </c>
      <c r="AD160" s="9">
        <v>50</v>
      </c>
      <c r="AE160" s="11" t="str">
        <f t="shared" si="33"/>
        <v/>
      </c>
      <c r="AF160" s="13">
        <v>0.21</v>
      </c>
      <c r="AG160" s="11" t="str">
        <f t="shared" si="34"/>
        <v/>
      </c>
      <c r="AH160" s="11" t="str">
        <f t="shared" si="35"/>
        <v/>
      </c>
      <c r="AL160" t="str">
        <f t="shared" si="36"/>
        <v/>
      </c>
      <c r="AN160" s="11" t="str">
        <f t="shared" si="37"/>
        <v/>
      </c>
      <c r="AO160" s="13"/>
      <c r="AP160" s="11" t="str">
        <f t="shared" si="38"/>
        <v/>
      </c>
      <c r="AQ160" s="11" t="str">
        <f t="shared" si="39"/>
        <v/>
      </c>
    </row>
    <row r="161" spans="4:43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v>0.21</v>
      </c>
      <c r="N161" s="11" t="e">
        <f t="shared" si="32"/>
        <v>#VALUE!</v>
      </c>
      <c r="O161" s="11">
        <f>IF(K161="Eigen Beheer",0,IF(AND(ISNUMBER(N161),I161&lt;&gt;"",H161&lt;&gt;""),ROUND((I161-H161)/Lists!$Q$2,2)*N161,0))</f>
        <v>0</v>
      </c>
      <c r="R161" s="12" t="str">
        <f>IF(Q161="","",VLOOKUP(Q161,Lists!$E:$F,2,FALSE))</f>
        <v/>
      </c>
      <c r="AD161" s="9">
        <v>50</v>
      </c>
      <c r="AE161" s="11" t="str">
        <f t="shared" si="33"/>
        <v/>
      </c>
      <c r="AF161" s="13">
        <v>0.21</v>
      </c>
      <c r="AG161" s="11" t="str">
        <f t="shared" si="34"/>
        <v/>
      </c>
      <c r="AH161" s="11" t="str">
        <f t="shared" si="35"/>
        <v/>
      </c>
      <c r="AL161" t="str">
        <f t="shared" si="36"/>
        <v/>
      </c>
      <c r="AN161" s="11" t="str">
        <f t="shared" si="37"/>
        <v/>
      </c>
      <c r="AO161" s="13"/>
      <c r="AP161" s="11" t="str">
        <f t="shared" si="38"/>
        <v/>
      </c>
      <c r="AQ161" s="11" t="str">
        <f t="shared" si="39"/>
        <v/>
      </c>
    </row>
    <row r="162" spans="4:43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v>0.21</v>
      </c>
      <c r="N162" s="11" t="e">
        <f t="shared" ref="N162:N193" si="40">L162 * (1 + M162)</f>
        <v>#VALUE!</v>
      </c>
      <c r="O162" s="11">
        <f>IF(K162="Eigen Beheer",0,IF(AND(ISNUMBER(N162),I162&lt;&gt;"",H162&lt;&gt;""),ROUND((I162-H162)/Lists!$Q$2,2)*N162,0))</f>
        <v>0</v>
      </c>
      <c r="R162" s="12" t="str">
        <f>IF(Q162="","",VLOOKUP(Q162,Lists!$E:$F,2,FALSE))</f>
        <v/>
      </c>
      <c r="AD162" s="9">
        <v>50</v>
      </c>
      <c r="AE162" s="11" t="str">
        <f t="shared" ref="AE162:AE193" si="41">IF(AB162="","",IF(ISNUMBER(SEARCH("Basis",AB162)),(250/1.21)+MAX(0,AC162-5)*AD162,IF(ISNUMBER(SEARCH("Intensief",AB162)),(375/1.21)+MAX(0,AC162-7)*AD162,AC162*AD162)))</f>
        <v/>
      </c>
      <c r="AF162" s="13">
        <v>0.21</v>
      </c>
      <c r="AG162" s="11" t="str">
        <f t="shared" ref="AG162:AG193" si="42">IF(AE162&lt;&gt;"",AE162*AF162,"")</f>
        <v/>
      </c>
      <c r="AH162" s="11" t="str">
        <f t="shared" ref="AH162:AH193" si="43">IF(AE162&lt;&gt;"",AE162+AG162,"")</f>
        <v/>
      </c>
      <c r="AL162" t="str">
        <f t="shared" ref="AL162:AL193" si="44"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 t="str">
        <f t="shared" ref="AN162:AN193" si="45">IF(AND(AL162&lt;&gt;"",AM162&lt;&gt;""),AL162*AM162,"")</f>
        <v/>
      </c>
      <c r="AO162" s="13"/>
      <c r="AP162" s="11" t="str">
        <f t="shared" ref="AP162:AP193" si="46">IF(AND(AN162&lt;&gt;"",AO162&lt;&gt;""),AN162*AO162,"")</f>
        <v/>
      </c>
      <c r="AQ162" s="11" t="str">
        <f t="shared" ref="AQ162:AQ193" si="47">IF(AND(AN162&lt;&gt;"",AP162&lt;&gt;""),AN162+AP162,"")</f>
        <v/>
      </c>
    </row>
    <row r="163" spans="4:43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v>0.21</v>
      </c>
      <c r="N163" s="11" t="e">
        <f t="shared" si="40"/>
        <v>#VALUE!</v>
      </c>
      <c r="O163" s="11">
        <f>IF(K163="Eigen Beheer",0,IF(AND(ISNUMBER(N163),I163&lt;&gt;"",H163&lt;&gt;""),ROUND((I163-H163)/Lists!$Q$2,2)*N163,0))</f>
        <v>0</v>
      </c>
      <c r="R163" s="12" t="str">
        <f>IF(Q163="","",VLOOKUP(Q163,Lists!$E:$F,2,FALSE))</f>
        <v/>
      </c>
      <c r="AD163" s="9">
        <v>50</v>
      </c>
      <c r="AE163" s="11" t="str">
        <f t="shared" si="41"/>
        <v/>
      </c>
      <c r="AF163" s="13">
        <v>0.21</v>
      </c>
      <c r="AG163" s="11" t="str">
        <f t="shared" si="42"/>
        <v/>
      </c>
      <c r="AH163" s="11" t="str">
        <f t="shared" si="43"/>
        <v/>
      </c>
      <c r="AL163" t="str">
        <f t="shared" si="44"/>
        <v/>
      </c>
      <c r="AN163" s="11" t="str">
        <f t="shared" si="45"/>
        <v/>
      </c>
      <c r="AO163" s="13"/>
      <c r="AP163" s="11" t="str">
        <f t="shared" si="46"/>
        <v/>
      </c>
      <c r="AQ163" s="11" t="str">
        <f t="shared" si="47"/>
        <v/>
      </c>
    </row>
    <row r="164" spans="4:43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v>0.21</v>
      </c>
      <c r="N164" s="11" t="e">
        <f t="shared" si="40"/>
        <v>#VALUE!</v>
      </c>
      <c r="O164" s="11">
        <f>IF(K164="Eigen Beheer",0,IF(AND(ISNUMBER(N164),I164&lt;&gt;"",H164&lt;&gt;""),ROUND((I164-H164)/Lists!$Q$2,2)*N164,0))</f>
        <v>0</v>
      </c>
      <c r="R164" s="12" t="str">
        <f>IF(Q164="","",VLOOKUP(Q164,Lists!$E:$F,2,FALSE))</f>
        <v/>
      </c>
      <c r="AD164" s="9">
        <v>50</v>
      </c>
      <c r="AE164" s="11" t="str">
        <f t="shared" si="41"/>
        <v/>
      </c>
      <c r="AF164" s="13">
        <v>0.21</v>
      </c>
      <c r="AG164" s="11" t="str">
        <f t="shared" si="42"/>
        <v/>
      </c>
      <c r="AH164" s="11" t="str">
        <f t="shared" si="43"/>
        <v/>
      </c>
      <c r="AL164" t="str">
        <f t="shared" si="44"/>
        <v/>
      </c>
      <c r="AN164" s="11" t="str">
        <f t="shared" si="45"/>
        <v/>
      </c>
      <c r="AO164" s="13"/>
      <c r="AP164" s="11" t="str">
        <f t="shared" si="46"/>
        <v/>
      </c>
      <c r="AQ164" s="11" t="str">
        <f t="shared" si="47"/>
        <v/>
      </c>
    </row>
    <row r="165" spans="4:43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v>0.21</v>
      </c>
      <c r="N165" s="11" t="e">
        <f t="shared" si="40"/>
        <v>#VALUE!</v>
      </c>
      <c r="O165" s="11">
        <f>IF(K165="Eigen Beheer",0,IF(AND(ISNUMBER(N165),I165&lt;&gt;"",H165&lt;&gt;""),ROUND((I165-H165)/Lists!$Q$2,2)*N165,0))</f>
        <v>0</v>
      </c>
      <c r="R165" s="12" t="str">
        <f>IF(Q165="","",VLOOKUP(Q165,Lists!$E:$F,2,FALSE))</f>
        <v/>
      </c>
      <c r="AD165" s="9">
        <v>50</v>
      </c>
      <c r="AE165" s="11" t="str">
        <f t="shared" si="41"/>
        <v/>
      </c>
      <c r="AF165" s="13">
        <v>0.21</v>
      </c>
      <c r="AG165" s="11" t="str">
        <f t="shared" si="42"/>
        <v/>
      </c>
      <c r="AH165" s="11" t="str">
        <f t="shared" si="43"/>
        <v/>
      </c>
      <c r="AL165" t="str">
        <f t="shared" si="44"/>
        <v/>
      </c>
      <c r="AN165" s="11" t="str">
        <f t="shared" si="45"/>
        <v/>
      </c>
      <c r="AO165" s="13"/>
      <c r="AP165" s="11" t="str">
        <f t="shared" si="46"/>
        <v/>
      </c>
      <c r="AQ165" s="11" t="str">
        <f t="shared" si="47"/>
        <v/>
      </c>
    </row>
    <row r="166" spans="4:43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v>0.21</v>
      </c>
      <c r="N166" s="11" t="e">
        <f t="shared" si="40"/>
        <v>#VALUE!</v>
      </c>
      <c r="O166" s="11">
        <f>IF(K166="Eigen Beheer",0,IF(AND(ISNUMBER(N166),I166&lt;&gt;"",H166&lt;&gt;""),ROUND((I166-H166)/Lists!$Q$2,2)*N166,0))</f>
        <v>0</v>
      </c>
      <c r="R166" s="12" t="str">
        <f>IF(Q166="","",VLOOKUP(Q166,Lists!$E:$F,2,FALSE))</f>
        <v/>
      </c>
      <c r="AD166" s="9">
        <v>50</v>
      </c>
      <c r="AE166" s="11" t="str">
        <f t="shared" si="41"/>
        <v/>
      </c>
      <c r="AF166" s="13">
        <v>0.21</v>
      </c>
      <c r="AG166" s="11" t="str">
        <f t="shared" si="42"/>
        <v/>
      </c>
      <c r="AH166" s="11" t="str">
        <f t="shared" si="43"/>
        <v/>
      </c>
      <c r="AL166" t="str">
        <f t="shared" si="44"/>
        <v/>
      </c>
      <c r="AN166" s="11" t="str">
        <f t="shared" si="45"/>
        <v/>
      </c>
      <c r="AO166" s="13"/>
      <c r="AP166" s="11" t="str">
        <f t="shared" si="46"/>
        <v/>
      </c>
      <c r="AQ166" s="11" t="str">
        <f t="shared" si="47"/>
        <v/>
      </c>
    </row>
    <row r="167" spans="4:43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v>0.21</v>
      </c>
      <c r="N167" s="11" t="e">
        <f t="shared" si="40"/>
        <v>#VALUE!</v>
      </c>
      <c r="O167" s="11">
        <f>IF(K167="Eigen Beheer",0,IF(AND(ISNUMBER(N167),I167&lt;&gt;"",H167&lt;&gt;""),ROUND((I167-H167)/Lists!$Q$2,2)*N167,0))</f>
        <v>0</v>
      </c>
      <c r="R167" s="12" t="str">
        <f>IF(Q167="","",VLOOKUP(Q167,Lists!$E:$F,2,FALSE))</f>
        <v/>
      </c>
      <c r="AD167" s="9">
        <v>50</v>
      </c>
      <c r="AE167" s="11" t="str">
        <f t="shared" si="41"/>
        <v/>
      </c>
      <c r="AF167" s="13">
        <v>0.21</v>
      </c>
      <c r="AG167" s="11" t="str">
        <f t="shared" si="42"/>
        <v/>
      </c>
      <c r="AH167" s="11" t="str">
        <f t="shared" si="43"/>
        <v/>
      </c>
      <c r="AL167" t="str">
        <f t="shared" si="44"/>
        <v/>
      </c>
      <c r="AN167" s="11" t="str">
        <f t="shared" si="45"/>
        <v/>
      </c>
      <c r="AO167" s="13"/>
      <c r="AP167" s="11" t="str">
        <f t="shared" si="46"/>
        <v/>
      </c>
      <c r="AQ167" s="11" t="str">
        <f t="shared" si="47"/>
        <v/>
      </c>
    </row>
    <row r="168" spans="4:43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v>0.21</v>
      </c>
      <c r="N168" s="11" t="e">
        <f t="shared" si="40"/>
        <v>#VALUE!</v>
      </c>
      <c r="O168" s="11">
        <f>IF(K168="Eigen Beheer",0,IF(AND(ISNUMBER(N168),I168&lt;&gt;"",H168&lt;&gt;""),ROUND((I168-H168)/Lists!$Q$2,2)*N168,0))</f>
        <v>0</v>
      </c>
      <c r="R168" s="12" t="str">
        <f>IF(Q168="","",VLOOKUP(Q168,Lists!$E:$F,2,FALSE))</f>
        <v/>
      </c>
      <c r="AD168" s="9">
        <v>50</v>
      </c>
      <c r="AE168" s="11" t="str">
        <f t="shared" si="41"/>
        <v/>
      </c>
      <c r="AF168" s="13">
        <v>0.21</v>
      </c>
      <c r="AG168" s="11" t="str">
        <f t="shared" si="42"/>
        <v/>
      </c>
      <c r="AH168" s="11" t="str">
        <f t="shared" si="43"/>
        <v/>
      </c>
      <c r="AL168" t="str">
        <f t="shared" si="44"/>
        <v/>
      </c>
      <c r="AN168" s="11" t="str">
        <f t="shared" si="45"/>
        <v/>
      </c>
      <c r="AO168" s="13"/>
      <c r="AP168" s="11" t="str">
        <f t="shared" si="46"/>
        <v/>
      </c>
      <c r="AQ168" s="11" t="str">
        <f t="shared" si="47"/>
        <v/>
      </c>
    </row>
    <row r="169" spans="4:43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v>0.21</v>
      </c>
      <c r="N169" s="11" t="e">
        <f t="shared" si="40"/>
        <v>#VALUE!</v>
      </c>
      <c r="O169" s="11">
        <f>IF(K169="Eigen Beheer",0,IF(AND(ISNUMBER(N169),I169&lt;&gt;"",H169&lt;&gt;""),ROUND((I169-H169)/Lists!$Q$2,2)*N169,0))</f>
        <v>0</v>
      </c>
      <c r="R169" s="12" t="str">
        <f>IF(Q169="","",VLOOKUP(Q169,Lists!$E:$F,2,FALSE))</f>
        <v/>
      </c>
      <c r="AD169" s="9">
        <v>50</v>
      </c>
      <c r="AE169" s="11" t="str">
        <f t="shared" si="41"/>
        <v/>
      </c>
      <c r="AF169" s="13">
        <v>0.21</v>
      </c>
      <c r="AG169" s="11" t="str">
        <f t="shared" si="42"/>
        <v/>
      </c>
      <c r="AH169" s="11" t="str">
        <f t="shared" si="43"/>
        <v/>
      </c>
      <c r="AL169" t="str">
        <f t="shared" si="44"/>
        <v/>
      </c>
      <c r="AN169" s="11" t="str">
        <f t="shared" si="45"/>
        <v/>
      </c>
      <c r="AO169" s="13"/>
      <c r="AP169" s="11" t="str">
        <f t="shared" si="46"/>
        <v/>
      </c>
      <c r="AQ169" s="11" t="str">
        <f t="shared" si="47"/>
        <v/>
      </c>
    </row>
    <row r="170" spans="4:43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v>0.21</v>
      </c>
      <c r="N170" s="11" t="e">
        <f t="shared" si="40"/>
        <v>#VALUE!</v>
      </c>
      <c r="O170" s="11">
        <f>IF(K170="Eigen Beheer",0,IF(AND(ISNUMBER(N170),I170&lt;&gt;"",H170&lt;&gt;""),ROUND((I170-H170)/Lists!$Q$2,2)*N170,0))</f>
        <v>0</v>
      </c>
      <c r="R170" s="12" t="str">
        <f>IF(Q170="","",VLOOKUP(Q170,Lists!$E:$F,2,FALSE))</f>
        <v/>
      </c>
      <c r="AD170" s="9">
        <v>50</v>
      </c>
      <c r="AE170" s="11" t="str">
        <f t="shared" si="41"/>
        <v/>
      </c>
      <c r="AF170" s="13">
        <v>0.21</v>
      </c>
      <c r="AG170" s="11" t="str">
        <f t="shared" si="42"/>
        <v/>
      </c>
      <c r="AH170" s="11" t="str">
        <f t="shared" si="43"/>
        <v/>
      </c>
      <c r="AL170" t="str">
        <f t="shared" si="44"/>
        <v/>
      </c>
      <c r="AN170" s="11" t="str">
        <f t="shared" si="45"/>
        <v/>
      </c>
      <c r="AO170" s="13"/>
      <c r="AP170" s="11" t="str">
        <f t="shared" si="46"/>
        <v/>
      </c>
      <c r="AQ170" s="11" t="str">
        <f t="shared" si="47"/>
        <v/>
      </c>
    </row>
    <row r="171" spans="4:43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v>0.21</v>
      </c>
      <c r="N171" s="11" t="e">
        <f t="shared" si="40"/>
        <v>#VALUE!</v>
      </c>
      <c r="O171" s="11">
        <f>IF(K171="Eigen Beheer",0,IF(AND(ISNUMBER(N171),I171&lt;&gt;"",H171&lt;&gt;""),ROUND((I171-H171)/Lists!$Q$2,2)*N171,0))</f>
        <v>0</v>
      </c>
      <c r="R171" s="12" t="str">
        <f>IF(Q171="","",VLOOKUP(Q171,Lists!$E:$F,2,FALSE))</f>
        <v/>
      </c>
      <c r="AD171" s="9">
        <v>50</v>
      </c>
      <c r="AE171" s="11" t="str">
        <f t="shared" si="41"/>
        <v/>
      </c>
      <c r="AF171" s="13">
        <v>0.21</v>
      </c>
      <c r="AG171" s="11" t="str">
        <f t="shared" si="42"/>
        <v/>
      </c>
      <c r="AH171" s="11" t="str">
        <f t="shared" si="43"/>
        <v/>
      </c>
      <c r="AL171" t="str">
        <f t="shared" si="44"/>
        <v/>
      </c>
      <c r="AN171" s="11" t="str">
        <f t="shared" si="45"/>
        <v/>
      </c>
      <c r="AO171" s="13"/>
      <c r="AP171" s="11" t="str">
        <f t="shared" si="46"/>
        <v/>
      </c>
      <c r="AQ171" s="11" t="str">
        <f t="shared" si="47"/>
        <v/>
      </c>
    </row>
    <row r="172" spans="4:43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v>0.21</v>
      </c>
      <c r="N172" s="11" t="e">
        <f t="shared" si="40"/>
        <v>#VALUE!</v>
      </c>
      <c r="O172" s="11">
        <f>IF(K172="Eigen Beheer",0,IF(AND(ISNUMBER(N172),I172&lt;&gt;"",H172&lt;&gt;""),ROUND((I172-H172)/Lists!$Q$2,2)*N172,0))</f>
        <v>0</v>
      </c>
      <c r="R172" s="12" t="str">
        <f>IF(Q172="","",VLOOKUP(Q172,Lists!$E:$F,2,FALSE))</f>
        <v/>
      </c>
      <c r="AD172" s="9">
        <v>50</v>
      </c>
      <c r="AE172" s="11" t="str">
        <f t="shared" si="41"/>
        <v/>
      </c>
      <c r="AF172" s="13">
        <v>0.21</v>
      </c>
      <c r="AG172" s="11" t="str">
        <f t="shared" si="42"/>
        <v/>
      </c>
      <c r="AH172" s="11" t="str">
        <f t="shared" si="43"/>
        <v/>
      </c>
      <c r="AL172" t="str">
        <f t="shared" si="44"/>
        <v/>
      </c>
      <c r="AN172" s="11" t="str">
        <f t="shared" si="45"/>
        <v/>
      </c>
      <c r="AO172" s="13"/>
      <c r="AP172" s="11" t="str">
        <f t="shared" si="46"/>
        <v/>
      </c>
      <c r="AQ172" s="11" t="str">
        <f t="shared" si="47"/>
        <v/>
      </c>
    </row>
    <row r="173" spans="4:43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v>0.21</v>
      </c>
      <c r="N173" s="11" t="e">
        <f t="shared" si="40"/>
        <v>#VALUE!</v>
      </c>
      <c r="O173" s="11">
        <f>IF(K173="Eigen Beheer",0,IF(AND(ISNUMBER(N173),I173&lt;&gt;"",H173&lt;&gt;""),ROUND((I173-H173)/Lists!$Q$2,2)*N173,0))</f>
        <v>0</v>
      </c>
      <c r="R173" s="12" t="str">
        <f>IF(Q173="","",VLOOKUP(Q173,Lists!$E:$F,2,FALSE))</f>
        <v/>
      </c>
      <c r="AD173" s="9">
        <v>50</v>
      </c>
      <c r="AE173" s="11" t="str">
        <f t="shared" si="41"/>
        <v/>
      </c>
      <c r="AF173" s="13">
        <v>0.21</v>
      </c>
      <c r="AG173" s="11" t="str">
        <f t="shared" si="42"/>
        <v/>
      </c>
      <c r="AH173" s="11" t="str">
        <f t="shared" si="43"/>
        <v/>
      </c>
      <c r="AL173" t="str">
        <f t="shared" si="44"/>
        <v/>
      </c>
      <c r="AN173" s="11" t="str">
        <f t="shared" si="45"/>
        <v/>
      </c>
      <c r="AO173" s="13"/>
      <c r="AP173" s="11" t="str">
        <f t="shared" si="46"/>
        <v/>
      </c>
      <c r="AQ173" s="11" t="str">
        <f t="shared" si="47"/>
        <v/>
      </c>
    </row>
    <row r="174" spans="4:43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v>0.21</v>
      </c>
      <c r="N174" s="11" t="e">
        <f t="shared" si="40"/>
        <v>#VALUE!</v>
      </c>
      <c r="O174" s="11">
        <f>IF(K174="Eigen Beheer",0,IF(AND(ISNUMBER(N174),I174&lt;&gt;"",H174&lt;&gt;""),ROUND((I174-H174)/Lists!$Q$2,2)*N174,0))</f>
        <v>0</v>
      </c>
      <c r="R174" s="12" t="str">
        <f>IF(Q174="","",VLOOKUP(Q174,Lists!$E:$F,2,FALSE))</f>
        <v/>
      </c>
      <c r="AD174" s="9">
        <v>50</v>
      </c>
      <c r="AE174" s="11" t="str">
        <f t="shared" si="41"/>
        <v/>
      </c>
      <c r="AF174" s="13">
        <v>0.21</v>
      </c>
      <c r="AG174" s="11" t="str">
        <f t="shared" si="42"/>
        <v/>
      </c>
      <c r="AH174" s="11" t="str">
        <f t="shared" si="43"/>
        <v/>
      </c>
      <c r="AL174" t="str">
        <f t="shared" si="44"/>
        <v/>
      </c>
      <c r="AN174" s="11" t="str">
        <f t="shared" si="45"/>
        <v/>
      </c>
      <c r="AO174" s="13"/>
      <c r="AP174" s="11" t="str">
        <f t="shared" si="46"/>
        <v/>
      </c>
      <c r="AQ174" s="11" t="str">
        <f t="shared" si="47"/>
        <v/>
      </c>
    </row>
    <row r="175" spans="4:43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v>0.21</v>
      </c>
      <c r="N175" s="11" t="e">
        <f t="shared" si="40"/>
        <v>#VALUE!</v>
      </c>
      <c r="O175" s="11">
        <f>IF(K175="Eigen Beheer",0,IF(AND(ISNUMBER(N175),I175&lt;&gt;"",H175&lt;&gt;""),ROUND((I175-H175)/Lists!$Q$2,2)*N175,0))</f>
        <v>0</v>
      </c>
      <c r="R175" s="12" t="str">
        <f>IF(Q175="","",VLOOKUP(Q175,Lists!$E:$F,2,FALSE))</f>
        <v/>
      </c>
      <c r="AD175" s="9">
        <v>50</v>
      </c>
      <c r="AE175" s="11" t="str">
        <f t="shared" si="41"/>
        <v/>
      </c>
      <c r="AF175" s="13">
        <v>0.21</v>
      </c>
      <c r="AG175" s="11" t="str">
        <f t="shared" si="42"/>
        <v/>
      </c>
      <c r="AH175" s="11" t="str">
        <f t="shared" si="43"/>
        <v/>
      </c>
      <c r="AL175" t="str">
        <f t="shared" si="44"/>
        <v/>
      </c>
      <c r="AN175" s="11" t="str">
        <f t="shared" si="45"/>
        <v/>
      </c>
      <c r="AO175" s="13"/>
      <c r="AP175" s="11" t="str">
        <f t="shared" si="46"/>
        <v/>
      </c>
      <c r="AQ175" s="11" t="str">
        <f t="shared" si="47"/>
        <v/>
      </c>
    </row>
    <row r="176" spans="4:43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v>0.21</v>
      </c>
      <c r="N176" s="11" t="e">
        <f t="shared" si="40"/>
        <v>#VALUE!</v>
      </c>
      <c r="O176" s="11">
        <f>IF(K176="Eigen Beheer",0,IF(AND(ISNUMBER(N176),I176&lt;&gt;"",H176&lt;&gt;""),ROUND((I176-H176)/Lists!$Q$2,2)*N176,0))</f>
        <v>0</v>
      </c>
      <c r="R176" s="12" t="str">
        <f>IF(Q176="","",VLOOKUP(Q176,Lists!$E:$F,2,FALSE))</f>
        <v/>
      </c>
      <c r="AD176" s="9">
        <v>50</v>
      </c>
      <c r="AE176" s="11" t="str">
        <f t="shared" si="41"/>
        <v/>
      </c>
      <c r="AF176" s="13">
        <v>0.21</v>
      </c>
      <c r="AG176" s="11" t="str">
        <f t="shared" si="42"/>
        <v/>
      </c>
      <c r="AH176" s="11" t="str">
        <f t="shared" si="43"/>
        <v/>
      </c>
      <c r="AL176" t="str">
        <f t="shared" si="44"/>
        <v/>
      </c>
      <c r="AN176" s="11" t="str">
        <f t="shared" si="45"/>
        <v/>
      </c>
      <c r="AO176" s="13"/>
      <c r="AP176" s="11" t="str">
        <f t="shared" si="46"/>
        <v/>
      </c>
      <c r="AQ176" s="11" t="str">
        <f t="shared" si="47"/>
        <v/>
      </c>
    </row>
    <row r="177" spans="4:43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v>0.21</v>
      </c>
      <c r="N177" s="11" t="e">
        <f t="shared" si="40"/>
        <v>#VALUE!</v>
      </c>
      <c r="O177" s="11">
        <f>IF(K177="Eigen Beheer",0,IF(AND(ISNUMBER(N177),I177&lt;&gt;"",H177&lt;&gt;""),ROUND((I177-H177)/Lists!$Q$2,2)*N177,0))</f>
        <v>0</v>
      </c>
      <c r="R177" s="12" t="str">
        <f>IF(Q177="","",VLOOKUP(Q177,Lists!$E:$F,2,FALSE))</f>
        <v/>
      </c>
      <c r="AD177" s="9">
        <v>50</v>
      </c>
      <c r="AE177" s="11" t="str">
        <f t="shared" si="41"/>
        <v/>
      </c>
      <c r="AF177" s="13">
        <v>0.21</v>
      </c>
      <c r="AG177" s="11" t="str">
        <f t="shared" si="42"/>
        <v/>
      </c>
      <c r="AH177" s="11" t="str">
        <f t="shared" si="43"/>
        <v/>
      </c>
      <c r="AL177" t="str">
        <f t="shared" si="44"/>
        <v/>
      </c>
      <c r="AN177" s="11" t="str">
        <f t="shared" si="45"/>
        <v/>
      </c>
      <c r="AO177" s="13"/>
      <c r="AP177" s="11" t="str">
        <f t="shared" si="46"/>
        <v/>
      </c>
      <c r="AQ177" s="11" t="str">
        <f t="shared" si="47"/>
        <v/>
      </c>
    </row>
    <row r="178" spans="4:43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v>0.21</v>
      </c>
      <c r="N178" s="11" t="e">
        <f t="shared" si="40"/>
        <v>#VALUE!</v>
      </c>
      <c r="O178" s="11">
        <f>IF(K178="Eigen Beheer",0,IF(AND(ISNUMBER(N178),I178&lt;&gt;"",H178&lt;&gt;""),ROUND((I178-H178)/Lists!$Q$2,2)*N178,0))</f>
        <v>0</v>
      </c>
      <c r="R178" s="12" t="str">
        <f>IF(Q178="","",VLOOKUP(Q178,Lists!$E:$F,2,FALSE))</f>
        <v/>
      </c>
      <c r="AD178" s="9">
        <v>50</v>
      </c>
      <c r="AE178" s="11" t="str">
        <f t="shared" si="41"/>
        <v/>
      </c>
      <c r="AF178" s="13">
        <v>0.21</v>
      </c>
      <c r="AG178" s="11" t="str">
        <f t="shared" si="42"/>
        <v/>
      </c>
      <c r="AH178" s="11" t="str">
        <f t="shared" si="43"/>
        <v/>
      </c>
      <c r="AL178" t="str">
        <f t="shared" si="44"/>
        <v/>
      </c>
      <c r="AN178" s="11" t="str">
        <f t="shared" si="45"/>
        <v/>
      </c>
      <c r="AO178" s="13"/>
      <c r="AP178" s="11" t="str">
        <f t="shared" si="46"/>
        <v/>
      </c>
      <c r="AQ178" s="11" t="str">
        <f t="shared" si="47"/>
        <v/>
      </c>
    </row>
    <row r="179" spans="4:43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v>0.21</v>
      </c>
      <c r="N179" s="11" t="e">
        <f t="shared" si="40"/>
        <v>#VALUE!</v>
      </c>
      <c r="O179" s="11">
        <f>IF(K179="Eigen Beheer",0,IF(AND(ISNUMBER(N179),I179&lt;&gt;"",H179&lt;&gt;""),ROUND((I179-H179)/Lists!$Q$2,2)*N179,0))</f>
        <v>0</v>
      </c>
      <c r="R179" s="12" t="str">
        <f>IF(Q179="","",VLOOKUP(Q179,Lists!$E:$F,2,FALSE))</f>
        <v/>
      </c>
      <c r="AD179" s="9">
        <v>50</v>
      </c>
      <c r="AE179" s="11" t="str">
        <f t="shared" si="41"/>
        <v/>
      </c>
      <c r="AF179" s="13">
        <v>0.21</v>
      </c>
      <c r="AG179" s="11" t="str">
        <f t="shared" si="42"/>
        <v/>
      </c>
      <c r="AH179" s="11" t="str">
        <f t="shared" si="43"/>
        <v/>
      </c>
      <c r="AL179" t="str">
        <f t="shared" si="44"/>
        <v/>
      </c>
      <c r="AN179" s="11" t="str">
        <f t="shared" si="45"/>
        <v/>
      </c>
      <c r="AO179" s="13"/>
      <c r="AP179" s="11" t="str">
        <f t="shared" si="46"/>
        <v/>
      </c>
      <c r="AQ179" s="11" t="str">
        <f t="shared" si="47"/>
        <v/>
      </c>
    </row>
    <row r="180" spans="4:43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v>0.21</v>
      </c>
      <c r="N180" s="11" t="e">
        <f t="shared" si="40"/>
        <v>#VALUE!</v>
      </c>
      <c r="O180" s="11">
        <f>IF(K180="Eigen Beheer",0,IF(AND(ISNUMBER(N180),I180&lt;&gt;"",H180&lt;&gt;""),ROUND((I180-H180)/Lists!$Q$2,2)*N180,0))</f>
        <v>0</v>
      </c>
      <c r="R180" s="12" t="str">
        <f>IF(Q180="","",VLOOKUP(Q180,Lists!$E:$F,2,FALSE))</f>
        <v/>
      </c>
      <c r="AD180" s="9">
        <v>50</v>
      </c>
      <c r="AE180" s="11" t="str">
        <f t="shared" si="41"/>
        <v/>
      </c>
      <c r="AF180" s="13">
        <v>0.21</v>
      </c>
      <c r="AG180" s="11" t="str">
        <f t="shared" si="42"/>
        <v/>
      </c>
      <c r="AH180" s="11" t="str">
        <f t="shared" si="43"/>
        <v/>
      </c>
      <c r="AL180" t="str">
        <f t="shared" si="44"/>
        <v/>
      </c>
      <c r="AN180" s="11" t="str">
        <f t="shared" si="45"/>
        <v/>
      </c>
      <c r="AO180" s="13"/>
      <c r="AP180" s="11" t="str">
        <f t="shared" si="46"/>
        <v/>
      </c>
      <c r="AQ180" s="11" t="str">
        <f t="shared" si="47"/>
        <v/>
      </c>
    </row>
    <row r="181" spans="4:43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v>0.21</v>
      </c>
      <c r="N181" s="11" t="e">
        <f t="shared" si="40"/>
        <v>#VALUE!</v>
      </c>
      <c r="O181" s="11">
        <f>IF(K181="Eigen Beheer",0,IF(AND(ISNUMBER(N181),I181&lt;&gt;"",H181&lt;&gt;""),ROUND((I181-H181)/Lists!$Q$2,2)*N181,0))</f>
        <v>0</v>
      </c>
      <c r="R181" s="12" t="str">
        <f>IF(Q181="","",VLOOKUP(Q181,Lists!$E:$F,2,FALSE))</f>
        <v/>
      </c>
      <c r="AD181" s="9">
        <v>50</v>
      </c>
      <c r="AE181" s="11" t="str">
        <f t="shared" si="41"/>
        <v/>
      </c>
      <c r="AF181" s="13">
        <v>0.21</v>
      </c>
      <c r="AG181" s="11" t="str">
        <f t="shared" si="42"/>
        <v/>
      </c>
      <c r="AH181" s="11" t="str">
        <f t="shared" si="43"/>
        <v/>
      </c>
      <c r="AL181" t="str">
        <f t="shared" si="44"/>
        <v/>
      </c>
      <c r="AN181" s="11" t="str">
        <f t="shared" si="45"/>
        <v/>
      </c>
      <c r="AO181" s="13"/>
      <c r="AP181" s="11" t="str">
        <f t="shared" si="46"/>
        <v/>
      </c>
      <c r="AQ181" s="11" t="str">
        <f t="shared" si="47"/>
        <v/>
      </c>
    </row>
    <row r="182" spans="4:43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v>0.21</v>
      </c>
      <c r="N182" s="11" t="e">
        <f t="shared" si="40"/>
        <v>#VALUE!</v>
      </c>
      <c r="O182" s="11">
        <f>IF(K182="Eigen Beheer",0,IF(AND(ISNUMBER(N182),I182&lt;&gt;"",H182&lt;&gt;""),ROUND((I182-H182)/Lists!$Q$2,2)*N182,0))</f>
        <v>0</v>
      </c>
      <c r="R182" s="12" t="str">
        <f>IF(Q182="","",VLOOKUP(Q182,Lists!$E:$F,2,FALSE))</f>
        <v/>
      </c>
      <c r="AD182" s="9">
        <v>50</v>
      </c>
      <c r="AE182" s="11" t="str">
        <f t="shared" si="41"/>
        <v/>
      </c>
      <c r="AF182" s="13">
        <v>0.21</v>
      </c>
      <c r="AG182" s="11" t="str">
        <f t="shared" si="42"/>
        <v/>
      </c>
      <c r="AH182" s="11" t="str">
        <f t="shared" si="43"/>
        <v/>
      </c>
      <c r="AL182" t="str">
        <f t="shared" si="44"/>
        <v/>
      </c>
      <c r="AN182" s="11" t="str">
        <f t="shared" si="45"/>
        <v/>
      </c>
      <c r="AO182" s="13"/>
      <c r="AP182" s="11" t="str">
        <f t="shared" si="46"/>
        <v/>
      </c>
      <c r="AQ182" s="11" t="str">
        <f t="shared" si="47"/>
        <v/>
      </c>
    </row>
    <row r="183" spans="4:43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v>0.21</v>
      </c>
      <c r="N183" s="11" t="e">
        <f t="shared" si="40"/>
        <v>#VALUE!</v>
      </c>
      <c r="O183" s="11">
        <f>IF(K183="Eigen Beheer",0,IF(AND(ISNUMBER(N183),I183&lt;&gt;"",H183&lt;&gt;""),ROUND((I183-H183)/Lists!$Q$2,2)*N183,0))</f>
        <v>0</v>
      </c>
      <c r="R183" s="12" t="str">
        <f>IF(Q183="","",VLOOKUP(Q183,Lists!$E:$F,2,FALSE))</f>
        <v/>
      </c>
      <c r="AD183" s="9">
        <v>50</v>
      </c>
      <c r="AE183" s="11" t="str">
        <f t="shared" si="41"/>
        <v/>
      </c>
      <c r="AF183" s="13">
        <v>0.21</v>
      </c>
      <c r="AG183" s="11" t="str">
        <f t="shared" si="42"/>
        <v/>
      </c>
      <c r="AH183" s="11" t="str">
        <f t="shared" si="43"/>
        <v/>
      </c>
      <c r="AL183" t="str">
        <f t="shared" si="44"/>
        <v/>
      </c>
      <c r="AN183" s="11" t="str">
        <f t="shared" si="45"/>
        <v/>
      </c>
      <c r="AO183" s="13"/>
      <c r="AP183" s="11" t="str">
        <f t="shared" si="46"/>
        <v/>
      </c>
      <c r="AQ183" s="11" t="str">
        <f t="shared" si="47"/>
        <v/>
      </c>
    </row>
    <row r="184" spans="4:43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v>0.21</v>
      </c>
      <c r="N184" s="11" t="e">
        <f t="shared" si="40"/>
        <v>#VALUE!</v>
      </c>
      <c r="O184" s="11">
        <f>IF(K184="Eigen Beheer",0,IF(AND(ISNUMBER(N184),I184&lt;&gt;"",H184&lt;&gt;""),ROUND((I184-H184)/Lists!$Q$2,2)*N184,0))</f>
        <v>0</v>
      </c>
      <c r="R184" s="12" t="str">
        <f>IF(Q184="","",VLOOKUP(Q184,Lists!$E:$F,2,FALSE))</f>
        <v/>
      </c>
      <c r="AD184" s="9">
        <v>50</v>
      </c>
      <c r="AE184" s="11" t="str">
        <f t="shared" si="41"/>
        <v/>
      </c>
      <c r="AF184" s="13">
        <v>0.21</v>
      </c>
      <c r="AG184" s="11" t="str">
        <f t="shared" si="42"/>
        <v/>
      </c>
      <c r="AH184" s="11" t="str">
        <f t="shared" si="43"/>
        <v/>
      </c>
      <c r="AL184" t="str">
        <f t="shared" si="44"/>
        <v/>
      </c>
      <c r="AN184" s="11" t="str">
        <f t="shared" si="45"/>
        <v/>
      </c>
      <c r="AO184" s="13"/>
      <c r="AP184" s="11" t="str">
        <f t="shared" si="46"/>
        <v/>
      </c>
      <c r="AQ184" s="11" t="str">
        <f t="shared" si="47"/>
        <v/>
      </c>
    </row>
    <row r="185" spans="4:43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v>0.21</v>
      </c>
      <c r="N185" s="11" t="e">
        <f t="shared" si="40"/>
        <v>#VALUE!</v>
      </c>
      <c r="O185" s="11">
        <f>IF(K185="Eigen Beheer",0,IF(AND(ISNUMBER(N185),I185&lt;&gt;"",H185&lt;&gt;""),ROUND((I185-H185)/Lists!$Q$2,2)*N185,0))</f>
        <v>0</v>
      </c>
      <c r="R185" s="12" t="str">
        <f>IF(Q185="","",VLOOKUP(Q185,Lists!$E:$F,2,FALSE))</f>
        <v/>
      </c>
      <c r="AD185" s="9">
        <v>50</v>
      </c>
      <c r="AE185" s="11" t="str">
        <f t="shared" si="41"/>
        <v/>
      </c>
      <c r="AF185" s="13">
        <v>0.21</v>
      </c>
      <c r="AG185" s="11" t="str">
        <f t="shared" si="42"/>
        <v/>
      </c>
      <c r="AH185" s="11" t="str">
        <f t="shared" si="43"/>
        <v/>
      </c>
      <c r="AL185" t="str">
        <f t="shared" si="44"/>
        <v/>
      </c>
      <c r="AN185" s="11" t="str">
        <f t="shared" si="45"/>
        <v/>
      </c>
      <c r="AO185" s="13"/>
      <c r="AP185" s="11" t="str">
        <f t="shared" si="46"/>
        <v/>
      </c>
      <c r="AQ185" s="11" t="str">
        <f t="shared" si="47"/>
        <v/>
      </c>
    </row>
    <row r="186" spans="4:43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v>0.21</v>
      </c>
      <c r="N186" s="11" t="e">
        <f t="shared" si="40"/>
        <v>#VALUE!</v>
      </c>
      <c r="O186" s="11">
        <f>IF(K186="Eigen Beheer",0,IF(AND(ISNUMBER(N186),I186&lt;&gt;"",H186&lt;&gt;""),ROUND((I186-H186)/Lists!$Q$2,2)*N186,0))</f>
        <v>0</v>
      </c>
      <c r="R186" s="12" t="str">
        <f>IF(Q186="","",VLOOKUP(Q186,Lists!$E:$F,2,FALSE))</f>
        <v/>
      </c>
      <c r="AD186" s="9">
        <v>50</v>
      </c>
      <c r="AE186" s="11" t="str">
        <f t="shared" si="41"/>
        <v/>
      </c>
      <c r="AF186" s="13">
        <v>0.21</v>
      </c>
      <c r="AG186" s="11" t="str">
        <f t="shared" si="42"/>
        <v/>
      </c>
      <c r="AH186" s="11" t="str">
        <f t="shared" si="43"/>
        <v/>
      </c>
      <c r="AL186" t="str">
        <f t="shared" si="44"/>
        <v/>
      </c>
      <c r="AN186" s="11" t="str">
        <f t="shared" si="45"/>
        <v/>
      </c>
      <c r="AO186" s="13"/>
      <c r="AP186" s="11" t="str">
        <f t="shared" si="46"/>
        <v/>
      </c>
      <c r="AQ186" s="11" t="str">
        <f t="shared" si="47"/>
        <v/>
      </c>
    </row>
    <row r="187" spans="4:43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v>0.21</v>
      </c>
      <c r="N187" s="11" t="e">
        <f t="shared" si="40"/>
        <v>#VALUE!</v>
      </c>
      <c r="O187" s="11">
        <f>IF(K187="Eigen Beheer",0,IF(AND(ISNUMBER(N187),I187&lt;&gt;"",H187&lt;&gt;""),ROUND((I187-H187)/Lists!$Q$2,2)*N187,0))</f>
        <v>0</v>
      </c>
      <c r="R187" s="12" t="str">
        <f>IF(Q187="","",VLOOKUP(Q187,Lists!$E:$F,2,FALSE))</f>
        <v/>
      </c>
      <c r="AD187" s="9">
        <v>50</v>
      </c>
      <c r="AE187" s="11" t="str">
        <f t="shared" si="41"/>
        <v/>
      </c>
      <c r="AF187" s="13">
        <v>0.21</v>
      </c>
      <c r="AG187" s="11" t="str">
        <f t="shared" si="42"/>
        <v/>
      </c>
      <c r="AH187" s="11" t="str">
        <f t="shared" si="43"/>
        <v/>
      </c>
      <c r="AL187" t="str">
        <f t="shared" si="44"/>
        <v/>
      </c>
      <c r="AN187" s="11" t="str">
        <f t="shared" si="45"/>
        <v/>
      </c>
      <c r="AO187" s="13"/>
      <c r="AP187" s="11" t="str">
        <f t="shared" si="46"/>
        <v/>
      </c>
      <c r="AQ187" s="11" t="str">
        <f t="shared" si="47"/>
        <v/>
      </c>
    </row>
    <row r="188" spans="4:43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v>0.21</v>
      </c>
      <c r="N188" s="11" t="e">
        <f t="shared" si="40"/>
        <v>#VALUE!</v>
      </c>
      <c r="O188" s="11">
        <f>IF(K188="Eigen Beheer",0,IF(AND(ISNUMBER(N188),I188&lt;&gt;"",H188&lt;&gt;""),ROUND((I188-H188)/Lists!$Q$2,2)*N188,0))</f>
        <v>0</v>
      </c>
      <c r="R188" s="12" t="str">
        <f>IF(Q188="","",VLOOKUP(Q188,Lists!$E:$F,2,FALSE))</f>
        <v/>
      </c>
      <c r="AD188" s="9">
        <v>50</v>
      </c>
      <c r="AE188" s="11" t="str">
        <f t="shared" si="41"/>
        <v/>
      </c>
      <c r="AF188" s="13">
        <v>0.21</v>
      </c>
      <c r="AG188" s="11" t="str">
        <f t="shared" si="42"/>
        <v/>
      </c>
      <c r="AH188" s="11" t="str">
        <f t="shared" si="43"/>
        <v/>
      </c>
      <c r="AL188" t="str">
        <f t="shared" si="44"/>
        <v/>
      </c>
      <c r="AN188" s="11" t="str">
        <f t="shared" si="45"/>
        <v/>
      </c>
      <c r="AO188" s="13"/>
      <c r="AP188" s="11" t="str">
        <f t="shared" si="46"/>
        <v/>
      </c>
      <c r="AQ188" s="11" t="str">
        <f t="shared" si="47"/>
        <v/>
      </c>
    </row>
    <row r="189" spans="4:43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v>0.21</v>
      </c>
      <c r="N189" s="11" t="e">
        <f t="shared" si="40"/>
        <v>#VALUE!</v>
      </c>
      <c r="O189" s="11">
        <f>IF(K189="Eigen Beheer",0,IF(AND(ISNUMBER(N189),I189&lt;&gt;"",H189&lt;&gt;""),ROUND((I189-H189)/Lists!$Q$2,2)*N189,0))</f>
        <v>0</v>
      </c>
      <c r="R189" s="12" t="str">
        <f>IF(Q189="","",VLOOKUP(Q189,Lists!$E:$F,2,FALSE))</f>
        <v/>
      </c>
      <c r="AD189" s="9">
        <v>50</v>
      </c>
      <c r="AE189" s="11" t="str">
        <f t="shared" si="41"/>
        <v/>
      </c>
      <c r="AF189" s="13">
        <v>0.21</v>
      </c>
      <c r="AG189" s="11" t="str">
        <f t="shared" si="42"/>
        <v/>
      </c>
      <c r="AH189" s="11" t="str">
        <f t="shared" si="43"/>
        <v/>
      </c>
      <c r="AL189" t="str">
        <f t="shared" si="44"/>
        <v/>
      </c>
      <c r="AN189" s="11" t="str">
        <f t="shared" si="45"/>
        <v/>
      </c>
      <c r="AO189" s="13"/>
      <c r="AP189" s="11" t="str">
        <f t="shared" si="46"/>
        <v/>
      </c>
      <c r="AQ189" s="11" t="str">
        <f t="shared" si="47"/>
        <v/>
      </c>
    </row>
    <row r="190" spans="4:43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v>0.21</v>
      </c>
      <c r="N190" s="11" t="e">
        <f t="shared" si="40"/>
        <v>#VALUE!</v>
      </c>
      <c r="O190" s="11">
        <f>IF(K190="Eigen Beheer",0,IF(AND(ISNUMBER(N190),I190&lt;&gt;"",H190&lt;&gt;""),ROUND((I190-H190)/Lists!$Q$2,2)*N190,0))</f>
        <v>0</v>
      </c>
      <c r="R190" s="12" t="str">
        <f>IF(Q190="","",VLOOKUP(Q190,Lists!$E:$F,2,FALSE))</f>
        <v/>
      </c>
      <c r="AD190" s="9">
        <v>50</v>
      </c>
      <c r="AE190" s="11" t="str">
        <f t="shared" si="41"/>
        <v/>
      </c>
      <c r="AF190" s="13">
        <v>0.21</v>
      </c>
      <c r="AG190" s="11" t="str">
        <f t="shared" si="42"/>
        <v/>
      </c>
      <c r="AH190" s="11" t="str">
        <f t="shared" si="43"/>
        <v/>
      </c>
      <c r="AL190" t="str">
        <f t="shared" si="44"/>
        <v/>
      </c>
      <c r="AN190" s="11" t="str">
        <f t="shared" si="45"/>
        <v/>
      </c>
      <c r="AO190" s="13"/>
      <c r="AP190" s="11" t="str">
        <f t="shared" si="46"/>
        <v/>
      </c>
      <c r="AQ190" s="11" t="str">
        <f t="shared" si="47"/>
        <v/>
      </c>
    </row>
    <row r="191" spans="4:43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v>0.21</v>
      </c>
      <c r="N191" s="11" t="e">
        <f t="shared" si="40"/>
        <v>#VALUE!</v>
      </c>
      <c r="O191" s="11">
        <f>IF(K191="Eigen Beheer",0,IF(AND(ISNUMBER(N191),I191&lt;&gt;"",H191&lt;&gt;""),ROUND((I191-H191)/Lists!$Q$2,2)*N191,0))</f>
        <v>0</v>
      </c>
      <c r="R191" s="12" t="str">
        <f>IF(Q191="","",VLOOKUP(Q191,Lists!$E:$F,2,FALSE))</f>
        <v/>
      </c>
      <c r="AD191" s="9">
        <v>50</v>
      </c>
      <c r="AE191" s="11" t="str">
        <f t="shared" si="41"/>
        <v/>
      </c>
      <c r="AF191" s="13">
        <v>0.21</v>
      </c>
      <c r="AG191" s="11" t="str">
        <f t="shared" si="42"/>
        <v/>
      </c>
      <c r="AH191" s="11" t="str">
        <f t="shared" si="43"/>
        <v/>
      </c>
      <c r="AL191" t="str">
        <f t="shared" si="44"/>
        <v/>
      </c>
      <c r="AN191" s="11" t="str">
        <f t="shared" si="45"/>
        <v/>
      </c>
      <c r="AO191" s="13"/>
      <c r="AP191" s="11" t="str">
        <f t="shared" si="46"/>
        <v/>
      </c>
      <c r="AQ191" s="11" t="str">
        <f t="shared" si="47"/>
        <v/>
      </c>
    </row>
    <row r="192" spans="4:43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v>0.21</v>
      </c>
      <c r="N192" s="11" t="e">
        <f t="shared" si="40"/>
        <v>#VALUE!</v>
      </c>
      <c r="O192" s="11">
        <f>IF(K192="Eigen Beheer",0,IF(AND(ISNUMBER(N192),I192&lt;&gt;"",H192&lt;&gt;""),ROUND((I192-H192)/Lists!$Q$2,2)*N192,0))</f>
        <v>0</v>
      </c>
      <c r="R192" s="12" t="str">
        <f>IF(Q192="","",VLOOKUP(Q192,Lists!$E:$F,2,FALSE))</f>
        <v/>
      </c>
      <c r="AD192" s="9">
        <v>50</v>
      </c>
      <c r="AE192" s="11" t="str">
        <f t="shared" si="41"/>
        <v/>
      </c>
      <c r="AF192" s="13">
        <v>0.21</v>
      </c>
      <c r="AG192" s="11" t="str">
        <f t="shared" si="42"/>
        <v/>
      </c>
      <c r="AH192" s="11" t="str">
        <f t="shared" si="43"/>
        <v/>
      </c>
      <c r="AL192" t="str">
        <f t="shared" si="44"/>
        <v/>
      </c>
      <c r="AN192" s="11" t="str">
        <f t="shared" si="45"/>
        <v/>
      </c>
      <c r="AO192" s="13"/>
      <c r="AP192" s="11" t="str">
        <f t="shared" si="46"/>
        <v/>
      </c>
      <c r="AQ192" s="11" t="str">
        <f t="shared" si="47"/>
        <v/>
      </c>
    </row>
    <row r="193" spans="4:43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v>0.21</v>
      </c>
      <c r="N193" s="11" t="e">
        <f t="shared" si="40"/>
        <v>#VALUE!</v>
      </c>
      <c r="O193" s="11">
        <f>IF(K193="Eigen Beheer",0,IF(AND(ISNUMBER(N193),I193&lt;&gt;"",H193&lt;&gt;""),ROUND((I193-H193)/Lists!$Q$2,2)*N193,0))</f>
        <v>0</v>
      </c>
      <c r="R193" s="12" t="str">
        <f>IF(Q193="","",VLOOKUP(Q193,Lists!$E:$F,2,FALSE))</f>
        <v/>
      </c>
      <c r="AD193" s="9">
        <v>50</v>
      </c>
      <c r="AE193" s="11" t="str">
        <f t="shared" si="41"/>
        <v/>
      </c>
      <c r="AF193" s="13">
        <v>0.21</v>
      </c>
      <c r="AG193" s="11" t="str">
        <f t="shared" si="42"/>
        <v/>
      </c>
      <c r="AH193" s="11" t="str">
        <f t="shared" si="43"/>
        <v/>
      </c>
      <c r="AL193" t="str">
        <f t="shared" si="44"/>
        <v/>
      </c>
      <c r="AN193" s="11" t="str">
        <f t="shared" si="45"/>
        <v/>
      </c>
      <c r="AO193" s="13"/>
      <c r="AP193" s="11" t="str">
        <f t="shared" si="46"/>
        <v/>
      </c>
      <c r="AQ193" s="11" t="str">
        <f t="shared" si="47"/>
        <v/>
      </c>
    </row>
    <row r="194" spans="4:43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v>0.21</v>
      </c>
      <c r="N194" s="11" t="e">
        <f t="shared" ref="N194:N225" si="48">L194 * (1 + M194)</f>
        <v>#VALUE!</v>
      </c>
      <c r="O194" s="11">
        <f>IF(K194="Eigen Beheer",0,IF(AND(ISNUMBER(N194),I194&lt;&gt;"",H194&lt;&gt;""),ROUND((I194-H194)/Lists!$Q$2,2)*N194,0))</f>
        <v>0</v>
      </c>
      <c r="R194" s="12" t="str">
        <f>IF(Q194="","",VLOOKUP(Q194,Lists!$E:$F,2,FALSE))</f>
        <v/>
      </c>
      <c r="AD194" s="9">
        <v>50</v>
      </c>
      <c r="AE194" s="11" t="str">
        <f t="shared" ref="AE194:AE225" si="49">IF(AB194="","",IF(ISNUMBER(SEARCH("Basis",AB194)),(250/1.21)+MAX(0,AC194-5)*AD194,IF(ISNUMBER(SEARCH("Intensief",AB194)),(375/1.21)+MAX(0,AC194-7)*AD194,AC194*AD194)))</f>
        <v/>
      </c>
      <c r="AF194" s="13">
        <v>0.21</v>
      </c>
      <c r="AG194" s="11" t="str">
        <f t="shared" ref="AG194:AG225" si="50">IF(AE194&lt;&gt;"",AE194*AF194,"")</f>
        <v/>
      </c>
      <c r="AH194" s="11" t="str">
        <f t="shared" ref="AH194:AH225" si="51">IF(AE194&lt;&gt;"",AE194+AG194,"")</f>
        <v/>
      </c>
      <c r="AL194" t="str">
        <f t="shared" ref="AL194:AL201" si="52"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 t="str">
        <f t="shared" ref="AN194:AN225" si="53">IF(AND(AL194&lt;&gt;"",AM194&lt;&gt;""),AL194*AM194,"")</f>
        <v/>
      </c>
      <c r="AO194" s="13"/>
      <c r="AP194" s="11" t="str">
        <f t="shared" ref="AP194:AP225" si="54">IF(AND(AN194&lt;&gt;"",AO194&lt;&gt;""),AN194*AO194,"")</f>
        <v/>
      </c>
      <c r="AQ194" s="11" t="str">
        <f t="shared" ref="AQ194:AQ225" si="55">IF(AND(AN194&lt;&gt;"",AP194&lt;&gt;""),AN194+AP194,"")</f>
        <v/>
      </c>
    </row>
    <row r="195" spans="4:43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v>0.21</v>
      </c>
      <c r="N195" s="11" t="e">
        <f t="shared" si="48"/>
        <v>#VALUE!</v>
      </c>
      <c r="O195" s="11">
        <f>IF(K195="Eigen Beheer",0,IF(AND(ISNUMBER(N195),I195&lt;&gt;"",H195&lt;&gt;""),ROUND((I195-H195)/Lists!$Q$2,2)*N195,0))</f>
        <v>0</v>
      </c>
      <c r="R195" s="12" t="str">
        <f>IF(Q195="","",VLOOKUP(Q195,Lists!$E:$F,2,FALSE))</f>
        <v/>
      </c>
      <c r="AD195" s="9">
        <v>50</v>
      </c>
      <c r="AE195" s="11" t="str">
        <f t="shared" si="49"/>
        <v/>
      </c>
      <c r="AF195" s="13">
        <v>0.21</v>
      </c>
      <c r="AG195" s="11" t="str">
        <f t="shared" si="50"/>
        <v/>
      </c>
      <c r="AH195" s="11" t="str">
        <f t="shared" si="51"/>
        <v/>
      </c>
      <c r="AL195" t="str">
        <f t="shared" si="52"/>
        <v/>
      </c>
      <c r="AN195" s="11" t="str">
        <f t="shared" si="53"/>
        <v/>
      </c>
      <c r="AO195" s="13"/>
      <c r="AP195" s="11" t="str">
        <f t="shared" si="54"/>
        <v/>
      </c>
      <c r="AQ195" s="11" t="str">
        <f t="shared" si="55"/>
        <v/>
      </c>
    </row>
    <row r="196" spans="4:43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v>0.21</v>
      </c>
      <c r="N196" s="11" t="e">
        <f t="shared" si="48"/>
        <v>#VALUE!</v>
      </c>
      <c r="O196" s="11">
        <f>IF(K196="Eigen Beheer",0,IF(AND(ISNUMBER(N196),I196&lt;&gt;"",H196&lt;&gt;""),ROUND((I196-H196)/Lists!$Q$2,2)*N196,0))</f>
        <v>0</v>
      </c>
      <c r="R196" s="12" t="str">
        <f>IF(Q196="","",VLOOKUP(Q196,Lists!$E:$F,2,FALSE))</f>
        <v/>
      </c>
      <c r="AD196" s="9">
        <v>50</v>
      </c>
      <c r="AE196" s="11" t="str">
        <f t="shared" si="49"/>
        <v/>
      </c>
      <c r="AF196" s="13">
        <v>0.21</v>
      </c>
      <c r="AG196" s="11" t="str">
        <f t="shared" si="50"/>
        <v/>
      </c>
      <c r="AH196" s="11" t="str">
        <f t="shared" si="51"/>
        <v/>
      </c>
      <c r="AL196" t="str">
        <f t="shared" si="52"/>
        <v/>
      </c>
      <c r="AN196" s="11" t="str">
        <f t="shared" si="53"/>
        <v/>
      </c>
      <c r="AO196" s="13"/>
      <c r="AP196" s="11" t="str">
        <f t="shared" si="54"/>
        <v/>
      </c>
      <c r="AQ196" s="11" t="str">
        <f t="shared" si="55"/>
        <v/>
      </c>
    </row>
    <row r="197" spans="4:43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v>0.21</v>
      </c>
      <c r="N197" s="11" t="e">
        <f t="shared" si="48"/>
        <v>#VALUE!</v>
      </c>
      <c r="O197" s="11">
        <f>IF(K197="Eigen Beheer",0,IF(AND(ISNUMBER(N197),I197&lt;&gt;"",H197&lt;&gt;""),ROUND((I197-H197)/Lists!$Q$2,2)*N197,0))</f>
        <v>0</v>
      </c>
      <c r="R197" s="12" t="str">
        <f>IF(Q197="","",VLOOKUP(Q197,Lists!$E:$F,2,FALSE))</f>
        <v/>
      </c>
      <c r="AD197" s="9">
        <v>50</v>
      </c>
      <c r="AE197" s="11" t="str">
        <f t="shared" si="49"/>
        <v/>
      </c>
      <c r="AF197" s="13">
        <v>0.21</v>
      </c>
      <c r="AG197" s="11" t="str">
        <f t="shared" si="50"/>
        <v/>
      </c>
      <c r="AH197" s="11" t="str">
        <f t="shared" si="51"/>
        <v/>
      </c>
      <c r="AL197" t="str">
        <f t="shared" si="52"/>
        <v/>
      </c>
      <c r="AN197" s="11" t="str">
        <f t="shared" si="53"/>
        <v/>
      </c>
      <c r="AO197" s="13"/>
      <c r="AP197" s="11" t="str">
        <f t="shared" si="54"/>
        <v/>
      </c>
      <c r="AQ197" s="11" t="str">
        <f t="shared" si="55"/>
        <v/>
      </c>
    </row>
    <row r="198" spans="4:43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v>0.21</v>
      </c>
      <c r="N198" s="11" t="e">
        <f t="shared" si="48"/>
        <v>#VALUE!</v>
      </c>
      <c r="O198" s="11">
        <f>IF(K198="Eigen Beheer",0,IF(AND(ISNUMBER(N198),I198&lt;&gt;"",H198&lt;&gt;""),ROUND((I198-H198)/Lists!$Q$2,2)*N198,0))</f>
        <v>0</v>
      </c>
      <c r="R198" s="12" t="str">
        <f>IF(Q198="","",VLOOKUP(Q198,Lists!$E:$F,2,FALSE))</f>
        <v/>
      </c>
      <c r="AD198" s="9">
        <v>50</v>
      </c>
      <c r="AE198" s="11" t="str">
        <f t="shared" si="49"/>
        <v/>
      </c>
      <c r="AF198" s="13">
        <v>0.21</v>
      </c>
      <c r="AG198" s="11" t="str">
        <f t="shared" si="50"/>
        <v/>
      </c>
      <c r="AH198" s="11" t="str">
        <f t="shared" si="51"/>
        <v/>
      </c>
      <c r="AL198" t="str">
        <f t="shared" si="52"/>
        <v/>
      </c>
      <c r="AN198" s="11" t="str">
        <f t="shared" si="53"/>
        <v/>
      </c>
      <c r="AO198" s="13"/>
      <c r="AP198" s="11" t="str">
        <f t="shared" si="54"/>
        <v/>
      </c>
      <c r="AQ198" s="11" t="str">
        <f t="shared" si="55"/>
        <v/>
      </c>
    </row>
    <row r="199" spans="4:43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v>0.21</v>
      </c>
      <c r="N199" s="11" t="e">
        <f t="shared" si="48"/>
        <v>#VALUE!</v>
      </c>
      <c r="O199" s="11">
        <f>IF(K199="Eigen Beheer",0,IF(AND(ISNUMBER(N199),I199&lt;&gt;"",H199&lt;&gt;""),ROUND((I199-H199)/Lists!$Q$2,2)*N199,0))</f>
        <v>0</v>
      </c>
      <c r="R199" s="12" t="str">
        <f>IF(Q199="","",VLOOKUP(Q199,Lists!$E:$F,2,FALSE))</f>
        <v/>
      </c>
      <c r="AD199" s="9">
        <v>50</v>
      </c>
      <c r="AE199" s="11" t="str">
        <f t="shared" si="49"/>
        <v/>
      </c>
      <c r="AF199" s="13">
        <v>0.21</v>
      </c>
      <c r="AG199" s="11" t="str">
        <f t="shared" si="50"/>
        <v/>
      </c>
      <c r="AH199" s="11" t="str">
        <f t="shared" si="51"/>
        <v/>
      </c>
      <c r="AL199" t="str">
        <f t="shared" si="52"/>
        <v/>
      </c>
      <c r="AN199" s="11" t="str">
        <f t="shared" si="53"/>
        <v/>
      </c>
      <c r="AO199" s="13"/>
      <c r="AP199" s="11" t="str">
        <f t="shared" si="54"/>
        <v/>
      </c>
      <c r="AQ199" s="11" t="str">
        <f t="shared" si="55"/>
        <v/>
      </c>
    </row>
    <row r="200" spans="4:43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v>0.21</v>
      </c>
      <c r="N200" s="11" t="e">
        <f t="shared" si="48"/>
        <v>#VALUE!</v>
      </c>
      <c r="O200" s="11">
        <f>IF(K200="Eigen Beheer",0,IF(AND(ISNUMBER(N200),I200&lt;&gt;"",H200&lt;&gt;""),ROUND((I200-H200)/Lists!$Q$2,2)*N200,0))</f>
        <v>0</v>
      </c>
      <c r="R200" s="12" t="str">
        <f>IF(Q200="","",VLOOKUP(Q200,Lists!$E:$F,2,FALSE))</f>
        <v/>
      </c>
      <c r="AD200" s="9">
        <v>50</v>
      </c>
      <c r="AE200" s="11" t="str">
        <f t="shared" si="49"/>
        <v/>
      </c>
      <c r="AF200" s="13">
        <v>0.21</v>
      </c>
      <c r="AG200" s="11" t="str">
        <f t="shared" si="50"/>
        <v/>
      </c>
      <c r="AH200" s="11" t="str">
        <f t="shared" si="51"/>
        <v/>
      </c>
      <c r="AL200" t="str">
        <f t="shared" si="52"/>
        <v/>
      </c>
      <c r="AN200" s="11" t="str">
        <f t="shared" si="53"/>
        <v/>
      </c>
      <c r="AO200" s="13"/>
      <c r="AP200" s="11" t="str">
        <f t="shared" si="54"/>
        <v/>
      </c>
      <c r="AQ200" s="11" t="str">
        <f t="shared" si="55"/>
        <v/>
      </c>
    </row>
    <row r="201" spans="4:43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v>0.21</v>
      </c>
      <c r="N201" s="11" t="e">
        <f t="shared" si="48"/>
        <v>#VALUE!</v>
      </c>
      <c r="O201" s="11">
        <f>IF(K201="Eigen Beheer",0,IF(AND(ISNUMBER(N201),I201&lt;&gt;"",H201&lt;&gt;""),ROUND((I201-H201)/Lists!$Q$2,2)*N201,0))</f>
        <v>0</v>
      </c>
      <c r="R201" s="12" t="str">
        <f>IF(Q201="","",VLOOKUP(Q201,Lists!$E:$F,2,FALSE))</f>
        <v/>
      </c>
      <c r="AD201" s="9">
        <v>50</v>
      </c>
      <c r="AE201" s="11" t="str">
        <f t="shared" si="49"/>
        <v/>
      </c>
      <c r="AF201" s="13">
        <v>0.21</v>
      </c>
      <c r="AG201" s="11" t="str">
        <f t="shared" si="50"/>
        <v/>
      </c>
      <c r="AH201" s="11" t="str">
        <f t="shared" si="51"/>
        <v/>
      </c>
      <c r="AL201" t="str">
        <f t="shared" si="52"/>
        <v/>
      </c>
      <c r="AN201" s="11" t="str">
        <f t="shared" si="53"/>
        <v/>
      </c>
      <c r="AO201" s="13"/>
      <c r="AP201" s="11" t="str">
        <f t="shared" si="54"/>
        <v/>
      </c>
      <c r="AQ201" s="11" t="str">
        <f t="shared" si="55"/>
        <v/>
      </c>
    </row>
  </sheetData>
  <conditionalFormatting sqref="D2:U5000">
    <cfRule type="expression" dxfId="3" priority="1" stopIfTrue="1">
      <formula>$B2&lt;&gt;"Basis"</formula>
    </cfRule>
  </conditionalFormatting>
  <conditionalFormatting sqref="V2:AA5000">
    <cfRule type="expression" dxfId="2" priority="2" stopIfTrue="1">
      <formula>$B2&lt;&gt;"GWE"</formula>
    </cfRule>
  </conditionalFormatting>
  <conditionalFormatting sqref="AB2:AH5000">
    <cfRule type="expression" dxfId="1" priority="3" stopIfTrue="1">
      <formula>$B2&lt;&gt;"Schoonmaak"</formula>
    </cfRule>
  </conditionalFormatting>
  <conditionalFormatting sqref="AI2:AQ5000">
    <cfRule type="expression" dxfId="0" priority="4" stopIfTrue="1">
      <formula>AND($B2&lt;&gt;"Schade",$B2&lt;&gt;"Extra",$B2&lt;&gt;"GWE_Item")</formula>
    </cfRule>
  </conditionalFormatting>
  <dataValidations count="1">
    <dataValidation type="list" sqref="B2:B5000" xr:uid="{00000000-0002-0000-0100-000000000000}">
      <formula1>"Basis,GWE,GWE_Item,Schoonmaak,Schade,Extra"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1000000}">
          <x14:formula1>
            <xm:f>Lists!$A$2:$A$5000</xm:f>
          </x14:formula1>
          <xm:sqref>A2:A5000</xm:sqref>
        </x14:dataValidation>
        <x14:dataValidation type="list" allowBlank="1" xr:uid="{00000000-0002-0000-0100-000002000000}">
          <x14:formula1>
            <xm:f>Lists!$C$2:$C$5000</xm:f>
          </x14:formula1>
          <xm:sqref>C2:C5000</xm:sqref>
        </x14:dataValidation>
        <x14:dataValidation type="list" allowBlank="1" xr:uid="{00000000-0002-0000-0100-000003000000}">
          <x14:formula1>
            <xm:f>Lists!$K$2:$K$3</xm:f>
          </x14:formula1>
          <xm:sqref>K2:K5000</xm:sqref>
        </x14:dataValidation>
        <x14:dataValidation type="list" allowBlank="1" xr:uid="{00000000-0002-0000-0100-000004000000}">
          <x14:formula1>
            <xm:f>Lists!$I$2:$I$5</xm:f>
          </x14:formula1>
          <xm:sqref>P2:P5000</xm:sqref>
        </x14:dataValidation>
        <x14:dataValidation type="list" allowBlank="1" xr:uid="{00000000-0002-0000-0100-000005000000}">
          <x14:formula1>
            <xm:f>Lists!$E$2:$E$100</xm:f>
          </x14:formula1>
          <xm:sqref>Q2:Q5000</xm:sqref>
        </x14:dataValidation>
        <x14:dataValidation type="list" allowBlank="1" xr:uid="{00000000-0002-0000-0100-000006000000}">
          <x14:formula1>
            <xm:f>Lists!$M$2:$M$6</xm:f>
          </x14:formula1>
          <xm:sqref>AB2:AB5000</xm:sqref>
        </x14:dataValidation>
        <x14:dataValidation type="list" allowBlank="1" xr:uid="{00000000-0002-0000-0100-000007000000}">
          <x14:formula1>
            <xm:f>Lists!$O$2:$O$5</xm:f>
          </x14:formula1>
          <xm:sqref>AI2:AI5000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43</v>
      </c>
      <c r="B1" t="s">
        <v>8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 x14ac:dyDescent="0.2">
      <c r="A2" t="s">
        <v>50</v>
      </c>
      <c r="B2" t="s">
        <v>51</v>
      </c>
      <c r="C2" t="s">
        <v>52</v>
      </c>
      <c r="G2">
        <v>50</v>
      </c>
      <c r="H2">
        <v>500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8169A96A-3695-42F0-B01A-8E29E29F1C36}"/>
</file>

<file path=customXml/itemProps2.xml><?xml version="1.0" encoding="utf-8"?>
<ds:datastoreItem xmlns:ds="http://schemas.openxmlformats.org/officeDocument/2006/customXml" ds:itemID="{8D63DDA2-CEA9-4E68-AB9B-53FB669661B9}"/>
</file>

<file path=customXml/itemProps3.xml><?xml version="1.0" encoding="utf-8"?>
<ds:datastoreItem xmlns:ds="http://schemas.openxmlformats.org/officeDocument/2006/customXml" ds:itemID="{69561370-A0FC-43FE-9AF4-7C918F419F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2026-01-20T11:25:24Z</dcterms:created>
  <dcterms:modified xsi:type="dcterms:W3CDTF">2026-01-20T15:23:26Z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